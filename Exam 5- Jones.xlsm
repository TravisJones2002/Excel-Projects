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slicers/slicer1.xml" ContentType="application/vnd.ms-excel.slicer+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drawings/drawing10.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https://webmailbyui-my.sharepoint.com/personal/trj11_byui_edu/Documents/Spreadsheet Class BA215/EXAMS/"/>
    </mc:Choice>
  </mc:AlternateContent>
  <xr:revisionPtr revIDLastSave="58" documentId="14_{1A1C3C0A-F316-46CF-A010-66F0F9F8676A}" xr6:coauthVersionLast="47" xr6:coauthVersionMax="47" xr10:uidLastSave="{FFD29BD7-0395-4AC0-905B-E1FEC32B98E3}"/>
  <bookViews>
    <workbookView minimized="1" xWindow="6096" yWindow="4740" windowWidth="15168" windowHeight="7500" xr2:uid="{00000000-000D-0000-FFFF-FFFF00000000}"/>
  </bookViews>
  <sheets>
    <sheet name="Instructions" sheetId="14" r:id="rId1"/>
    <sheet name="Salary Data" sheetId="1" r:id="rId2"/>
    <sheet name="Transpsoed Data" sheetId="7" r:id="rId3"/>
    <sheet name="Pie charts" sheetId="17" r:id="rId4"/>
    <sheet name="Salary Charts" sheetId="5" r:id="rId5"/>
    <sheet name="Stats" sheetId="6" r:id="rId6"/>
    <sheet name="Game + Minutes Chart" sheetId="13" r:id="rId7"/>
    <sheet name="Stat Charts" sheetId="8" r:id="rId8"/>
    <sheet name="Kept +New Players Chart" sheetId="22" r:id="rId9"/>
    <sheet name="Pivot Table of Kept Players" sheetId="25" r:id="rId10"/>
    <sheet name="Advance Look UpDashboard" sheetId="4" r:id="rId11"/>
    <sheet name="Goal seeker" sheetId="18" r:id="rId12"/>
    <sheet name="Summary" sheetId="15" r:id="rId13"/>
    <sheet name="VBA" sheetId="2" state="veryHidden" r:id="rId14"/>
  </sheets>
  <definedNames>
    <definedName name="_xleta.SUM" hidden="1" xlm="1">#NAME?</definedName>
    <definedName name="_xleta.TYPE" hidden="1" xlm="1">#NAME?</definedName>
    <definedName name="_xleta.XLOOKUP" hidden="1" xlm="1">#NAME?</definedName>
    <definedName name="Slicer_Player_Name">#N/A</definedName>
    <definedName name="solver_eng" localSheetId="10" hidden="1">1</definedName>
    <definedName name="solver_neg" localSheetId="10" hidden="1">1</definedName>
    <definedName name="solver_num" localSheetId="10" hidden="1">0</definedName>
    <definedName name="solver_opt" localSheetId="10" hidden="1">'Advance Look UpDashboard'!$I$19</definedName>
    <definedName name="solver_typ" localSheetId="10" hidden="1">1</definedName>
    <definedName name="solver_val" localSheetId="10" hidden="1">0</definedName>
    <definedName name="solver_ver" localSheetId="10" hidden="1">3</definedName>
  </definedNames>
  <calcPr calcId="191029"/>
  <pivotCaches>
    <pivotCache cacheId="0" r:id="rId15"/>
  </pivotCaches>
  <extLst>
    <ext xmlns:x14="http://schemas.microsoft.com/office/spreadsheetml/2009/9/main" uri="{BBE1A952-AA13-448e-AADC-164F8A28A991}">
      <x14:slicerCaches>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18" l="1"/>
  <c r="D10" i="18"/>
  <c r="B10" i="18"/>
  <c r="E9" i="18"/>
  <c r="D9" i="18"/>
  <c r="C9" i="18"/>
  <c r="B9" i="18"/>
  <c r="H7" i="4"/>
  <c r="F4" i="4"/>
  <c r="G13" i="4"/>
  <c r="D21" i="4"/>
  <c r="D19" i="4"/>
  <c r="F18" i="4" s="1"/>
  <c r="I7" i="4"/>
  <c r="F11" i="4"/>
  <c r="G11" i="4"/>
  <c r="H11" i="4"/>
  <c r="I11" i="4"/>
  <c r="J11" i="4"/>
  <c r="F13" i="4"/>
  <c r="H13" i="4"/>
  <c r="I13" i="4"/>
  <c r="J13" i="4"/>
  <c r="B8" i="4"/>
  <c r="G7" i="4"/>
  <c r="F7" i="4"/>
  <c r="F20" i="4" l="1"/>
  <c r="F22"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Jayson Kunzler</author>
  </authors>
  <commentList>
    <comment ref="A1" authorId="0" shapeId="0" xr:uid="{00000000-0006-0000-0000-000001000000}">
      <text>
        <r>
          <rPr>
            <b/>
            <i/>
            <sz val="16.5"/>
            <color indexed="16"/>
            <rFont val="Monotype Corsiva"/>
            <family val="4"/>
          </rPr>
          <t xml:space="preserve">"Till I die I will not remove mine integrity from me." </t>
        </r>
        <r>
          <rPr>
            <i/>
            <sz val="16"/>
            <color indexed="16"/>
            <rFont val="Monotype Corsiva"/>
            <family val="4"/>
          </rPr>
          <t xml:space="preserve"> </t>
        </r>
        <r>
          <rPr>
            <sz val="8"/>
            <color indexed="16"/>
            <rFont val="Tahoma"/>
            <family val="2"/>
          </rPr>
          <t>(Job 27:5)</t>
        </r>
        <r>
          <rPr>
            <sz val="12"/>
            <color indexed="16"/>
            <rFont val="Tahoma"/>
            <family val="2"/>
          </rPr>
          <t xml:space="preserve">
</t>
        </r>
        <r>
          <rPr>
            <sz val="8"/>
            <color indexed="16"/>
            <rFont val="Tahoma"/>
            <family val="2"/>
          </rPr>
          <t xml:space="preserve">
</t>
        </r>
        <r>
          <rPr>
            <b/>
            <sz val="11"/>
            <color indexed="16"/>
            <rFont val="Tahoma"/>
            <family val="2"/>
          </rPr>
          <t>This is an EXAM.</t>
        </r>
        <r>
          <rPr>
            <sz val="8"/>
            <color indexed="16"/>
            <rFont val="Tahoma"/>
            <family val="2"/>
          </rPr>
          <t xml:space="preserve">  It is a </t>
        </r>
        <r>
          <rPr>
            <b/>
            <i/>
            <sz val="11"/>
            <color indexed="16"/>
            <rFont val="Tahoma"/>
            <family val="2"/>
          </rPr>
          <t>dishonest violation</t>
        </r>
        <r>
          <rPr>
            <sz val="8"/>
            <color indexed="16"/>
            <rFont val="Tahoma"/>
            <family val="2"/>
          </rPr>
          <t xml:space="preserve"> of the BYU-Idaho Student Honor Code if you:
1) Remove, edit, hide, delete, or otherwise tamper with this WARNING banner and message</t>
        </r>
        <r>
          <rPr>
            <b/>
            <sz val="8"/>
            <color indexed="16"/>
            <rFont val="Tahoma"/>
            <family val="2"/>
          </rPr>
          <t xml:space="preserve"> -- except if you are sending this spreadsheet to an actual client.</t>
        </r>
        <r>
          <rPr>
            <sz val="8"/>
            <color indexed="16"/>
            <rFont val="Tahoma"/>
            <family val="2"/>
          </rPr>
          <t xml:space="preserve">
2) View or receive this file (or </t>
        </r>
        <r>
          <rPr>
            <u/>
            <sz val="8"/>
            <color indexed="16"/>
            <rFont val="Tahoma"/>
            <family val="2"/>
          </rPr>
          <t>any portion</t>
        </r>
        <r>
          <rPr>
            <sz val="8"/>
            <color indexed="16"/>
            <rFont val="Tahoma"/>
            <family val="2"/>
          </rPr>
          <t xml:space="preserve"> of it) by email, downloading from the Internet, texting, electronic file sharing, or ANY OTHER means of electronic or printed distribution (except in the course as authorized).
3) Either post to the Internet, OR send, email, copy and paste, file share, video record, take screenshots, or otherwise distribute this file (or any portion of it), whether electronically or in print, to any current or future B215 student (unless you receive explicit individual permission from your B215 instructor). 
4) Either ask </t>
        </r>
        <r>
          <rPr>
            <i/>
            <u/>
            <sz val="8"/>
            <color indexed="16"/>
            <rFont val="Tahoma"/>
            <family val="2"/>
          </rPr>
          <t>OR</t>
        </r>
        <r>
          <rPr>
            <sz val="8"/>
            <color indexed="16"/>
            <rFont val="Tahoma"/>
            <family val="2"/>
          </rPr>
          <t xml:space="preserve"> answer any questions about this </t>
        </r>
        <r>
          <rPr>
            <u/>
            <sz val="8"/>
            <color indexed="16"/>
            <rFont val="Tahoma"/>
            <family val="2"/>
          </rPr>
          <t>any</t>
        </r>
        <r>
          <rPr>
            <sz val="8"/>
            <color indexed="16"/>
            <rFont val="Tahoma"/>
            <family val="2"/>
          </rPr>
          <t xml:space="preserve"> questions that relate to </t>
        </r>
        <r>
          <rPr>
            <u/>
            <sz val="8"/>
            <color indexed="16"/>
            <rFont val="Tahoma"/>
            <family val="2"/>
          </rPr>
          <t>any</t>
        </r>
        <r>
          <rPr>
            <sz val="8"/>
            <color indexed="16"/>
            <rFont val="Tahoma"/>
            <family val="2"/>
          </rPr>
          <t xml:space="preserve"> aspect of this exam, including electronic questions sent through email, texting, posting on blogs or discussion forums, etc</t>
        </r>
        <r>
          <rPr>
            <b/>
            <sz val="8"/>
            <color indexed="16"/>
            <rFont val="Tahoma"/>
            <family val="2"/>
          </rPr>
          <t xml:space="preserve">  -- except if you are communicating directly with an actual client.</t>
        </r>
        <r>
          <rPr>
            <sz val="8"/>
            <color indexed="16"/>
            <rFont val="Tahoma"/>
            <family val="2"/>
          </rPr>
          <t xml:space="preserve">
5) Look at any aspect or portion of this exam from any other current or past student.
</t>
        </r>
        <r>
          <rPr>
            <b/>
            <i/>
            <sz val="8"/>
            <color indexed="16"/>
            <rFont val="Tahoma"/>
            <family val="2"/>
          </rPr>
          <t>REPORTING VIOLATIONS:</t>
        </r>
        <r>
          <rPr>
            <sz val="8"/>
            <color indexed="16"/>
            <rFont val="Tahoma"/>
            <family val="2"/>
          </rPr>
          <t xml:space="preserve"> If you have received this file from anyone other than your instructor (or if you have witnessed any violations described above), you are obligated to report it immediately to the BYU-Idaho Student Honor Office.
Phone:  208-496-9300  (tell them the file is from the Business Management Dept.)
Email:  sho@byui.edu</t>
        </r>
      </text>
    </comment>
    <comment ref="A2" authorId="0" shapeId="0" xr:uid="{00000000-0006-0000-0000-000002000000}">
      <text>
        <r>
          <rPr>
            <b/>
            <i/>
            <sz val="16.5"/>
            <color indexed="16"/>
            <rFont val="Monotype Corsiva"/>
            <family val="4"/>
          </rPr>
          <t xml:space="preserve">"Till I die I will not remove mine integrity from me." </t>
        </r>
        <r>
          <rPr>
            <i/>
            <sz val="16"/>
            <color indexed="16"/>
            <rFont val="Monotype Corsiva"/>
            <family val="4"/>
          </rPr>
          <t xml:space="preserve"> </t>
        </r>
        <r>
          <rPr>
            <sz val="8"/>
            <color indexed="16"/>
            <rFont val="Tahoma"/>
            <family val="2"/>
          </rPr>
          <t>(Job 27:5)</t>
        </r>
        <r>
          <rPr>
            <sz val="12"/>
            <color indexed="16"/>
            <rFont val="Tahoma"/>
            <family val="2"/>
          </rPr>
          <t xml:space="preserve">
</t>
        </r>
        <r>
          <rPr>
            <sz val="8"/>
            <color indexed="16"/>
            <rFont val="Tahoma"/>
            <family val="2"/>
          </rPr>
          <t xml:space="preserve">
</t>
        </r>
        <r>
          <rPr>
            <b/>
            <sz val="11"/>
            <color indexed="16"/>
            <rFont val="Tahoma"/>
            <family val="2"/>
          </rPr>
          <t>This is an EXAM.</t>
        </r>
        <r>
          <rPr>
            <sz val="8"/>
            <color indexed="16"/>
            <rFont val="Tahoma"/>
            <family val="2"/>
          </rPr>
          <t xml:space="preserve">  It is a </t>
        </r>
        <r>
          <rPr>
            <b/>
            <i/>
            <sz val="11"/>
            <color indexed="16"/>
            <rFont val="Tahoma"/>
            <family val="2"/>
          </rPr>
          <t>dishonest violation</t>
        </r>
        <r>
          <rPr>
            <sz val="8"/>
            <color indexed="16"/>
            <rFont val="Tahoma"/>
            <family val="2"/>
          </rPr>
          <t xml:space="preserve"> of the BYU-Idaho Student Honor Code if you:
1) Remove, edit, hide, delete, or otherwise tamper with this WARNING banner and message</t>
        </r>
        <r>
          <rPr>
            <b/>
            <sz val="8"/>
            <color indexed="16"/>
            <rFont val="Tahoma"/>
            <family val="2"/>
          </rPr>
          <t xml:space="preserve"> -- except if you are sending this spreadsheet to an actual client.</t>
        </r>
        <r>
          <rPr>
            <sz val="8"/>
            <color indexed="16"/>
            <rFont val="Tahoma"/>
            <family val="2"/>
          </rPr>
          <t xml:space="preserve">
2) View or receive this file (or </t>
        </r>
        <r>
          <rPr>
            <u/>
            <sz val="8"/>
            <color indexed="16"/>
            <rFont val="Tahoma"/>
            <family val="2"/>
          </rPr>
          <t>any portion</t>
        </r>
        <r>
          <rPr>
            <sz val="8"/>
            <color indexed="16"/>
            <rFont val="Tahoma"/>
            <family val="2"/>
          </rPr>
          <t xml:space="preserve"> of it) by email, downloading from the Internet, texting, electronic file sharing, or ANY OTHER means of electronic or printed distribution (except in the course as authorized).
3) Either post to the Internet, OR send, email, copy and paste, file share, video record, take screenshots, or otherwise distribute this file (or any portion of it), whether electronically or in print, to any current or future B215 student (unless you receive explicit individual permission from your B215 instructor).
4) Either ask </t>
        </r>
        <r>
          <rPr>
            <i/>
            <u/>
            <sz val="8"/>
            <color indexed="16"/>
            <rFont val="Tahoma"/>
            <family val="2"/>
          </rPr>
          <t>OR</t>
        </r>
        <r>
          <rPr>
            <sz val="8"/>
            <color indexed="16"/>
            <rFont val="Tahoma"/>
            <family val="2"/>
          </rPr>
          <t xml:space="preserve"> answer any questions about this </t>
        </r>
        <r>
          <rPr>
            <u/>
            <sz val="8"/>
            <color indexed="16"/>
            <rFont val="Tahoma"/>
            <family val="2"/>
          </rPr>
          <t>any</t>
        </r>
        <r>
          <rPr>
            <sz val="8"/>
            <color indexed="16"/>
            <rFont val="Tahoma"/>
            <family val="2"/>
          </rPr>
          <t xml:space="preserve"> questions that relate to </t>
        </r>
        <r>
          <rPr>
            <u/>
            <sz val="8"/>
            <color indexed="16"/>
            <rFont val="Tahoma"/>
            <family val="2"/>
          </rPr>
          <t>any</t>
        </r>
        <r>
          <rPr>
            <sz val="8"/>
            <color indexed="16"/>
            <rFont val="Tahoma"/>
            <family val="2"/>
          </rPr>
          <t xml:space="preserve"> aspect of this exam, including electronic questions sent through email, texting, posting on blogs or discussion forums, etc</t>
        </r>
        <r>
          <rPr>
            <b/>
            <sz val="8"/>
            <color indexed="16"/>
            <rFont val="Tahoma"/>
            <family val="2"/>
          </rPr>
          <t xml:space="preserve"> -- except if you are communicating directly with an actual client.</t>
        </r>
        <r>
          <rPr>
            <sz val="8"/>
            <color indexed="16"/>
            <rFont val="Tahoma"/>
            <family val="2"/>
          </rPr>
          <t xml:space="preserve">
5) Look at any aspect or portion of this exam from any other current or past student.
</t>
        </r>
        <r>
          <rPr>
            <b/>
            <i/>
            <sz val="8"/>
            <color indexed="16"/>
            <rFont val="Tahoma"/>
            <family val="2"/>
          </rPr>
          <t>REPORTING VIOLATIONS:</t>
        </r>
        <r>
          <rPr>
            <sz val="8"/>
            <color indexed="16"/>
            <rFont val="Tahoma"/>
            <family val="2"/>
          </rPr>
          <t xml:space="preserve"> If you have received this file from anyone other than your instructor (or if you have witnessed any violations described above), you are obligated to report it immediately to the BYU-Idaho Student Honor Office.
Phone:  208-496-9300  (tell them the file is from the Business Management Dept.)
Email:  sho@byui.edu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tc={8FB73186-9E1C-4F49-B796-F4A5F3D51C8F}</author>
  </authors>
  <commentList>
    <comment ref="I30" authorId="0" shapeId="0" xr:uid="{8FB73186-9E1C-4F49-B796-F4A5F3D51C8F}">
      <text>
        <t>[Threaded comment]
Your version of Excel allows you to read this threaded comment; however, any edits to it will get removed if the file is opened in a newer version of Excel. Learn more: https://go.microsoft.com/fwlink/?linkid=870924
Comment:
    The Highlighted Green Cells represent the changed potential contracts</t>
      </text>
    </comment>
  </commentList>
</comments>
</file>

<file path=xl/sharedStrings.xml><?xml version="1.0" encoding="utf-8"?>
<sst xmlns="http://schemas.openxmlformats.org/spreadsheetml/2006/main" count="369" uniqueCount="98">
  <si>
    <t>BEFORE you do anything with this file, CLICK HERE and carefully read</t>
  </si>
  <si>
    <t>HONESTY WARNING (do not edit, hide, or move this EXCEPT when sending to an actual client)</t>
  </si>
  <si>
    <t>Spring 2025</t>
  </si>
  <si>
    <t>Cordier-06</t>
  </si>
  <si>
    <t>Player Name</t>
  </si>
  <si>
    <t>2025–26 Salary</t>
  </si>
  <si>
    <t>2026–27 Salary</t>
  </si>
  <si>
    <t>2027–28 Salary</t>
  </si>
  <si>
    <t>Beyond 2028</t>
  </si>
  <si>
    <t>Donovan Mitchell</t>
  </si>
  <si>
    <t>Evan Mobley</t>
  </si>
  <si>
    <t>Darius Garland</t>
  </si>
  <si>
    <t>De’Andre Hunter</t>
  </si>
  <si>
    <t>Jarrett Allen</t>
  </si>
  <si>
    <t>Max Strus</t>
  </si>
  <si>
    <t>Lonzo Ball</t>
  </si>
  <si>
    <t>Isaac Okoro</t>
  </si>
  <si>
    <t>Dean Wade</t>
  </si>
  <si>
    <t>Craig Porter Jr.</t>
  </si>
  <si>
    <t>Jaylon Tyson</t>
  </si>
  <si>
    <t>Chuma Okeke</t>
  </si>
  <si>
    <t>Sam Merrill</t>
  </si>
  <si>
    <t>Larry Nance Jr.</t>
  </si>
  <si>
    <t>Tyrese Proctor</t>
  </si>
  <si>
    <t>$2,172,500*</t>
  </si>
  <si>
    <t>Ricky Rubio</t>
  </si>
  <si>
    <t>Cleveland Cavaliers Roster &amp; Salary Analysis – 2025–26</t>
  </si>
  <si>
    <t>Players</t>
  </si>
  <si>
    <t xml:space="preserve">3‑yr/ $150.3 M ext. signed Jul 2024 </t>
  </si>
  <si>
    <t>5‑yr/ $197.2 M ext. :contentReference</t>
  </si>
  <si>
    <t xml:space="preserve">3‑yr deal </t>
  </si>
  <si>
    <t xml:space="preserve">5‑yr/ $269.1 M max </t>
  </si>
  <si>
    <t>Multi‑yr extension</t>
  </si>
  <si>
    <t xml:space="preserve">Signed extension </t>
  </si>
  <si>
    <t xml:space="preserve">Veteran deal </t>
  </si>
  <si>
    <t xml:space="preserve">3‑yr/ $33 M deal </t>
  </si>
  <si>
    <t xml:space="preserve">Guaranteed for ’25‑26 </t>
  </si>
  <si>
    <t xml:space="preserve">Multi‑yr minimum </t>
  </si>
  <si>
    <t xml:space="preserve">Team option declined </t>
  </si>
  <si>
    <t xml:space="preserve">Signed 4‑yr deal starting ’25‑26 </t>
  </si>
  <si>
    <t xml:space="preserve">Signed 1‑yr deal </t>
  </si>
  <si>
    <t>4‑yr, $8.69M rookie deal *est.</t>
  </si>
  <si>
    <t xml:space="preserve">Veteran minimum </t>
  </si>
  <si>
    <t>Contract Type</t>
  </si>
  <si>
    <t>Season</t>
  </si>
  <si>
    <t>MPG</t>
  </si>
  <si>
    <t>PPG</t>
  </si>
  <si>
    <t>RPG</t>
  </si>
  <si>
    <t>APG</t>
  </si>
  <si>
    <t>SPG</t>
  </si>
  <si>
    <t>BPG</t>
  </si>
  <si>
    <t>FG%</t>
  </si>
  <si>
    <t>3P%</t>
  </si>
  <si>
    <t>FT%</t>
  </si>
  <si>
    <t>Stat</t>
  </si>
  <si>
    <t>Games</t>
  </si>
  <si>
    <t>Clevland Cavalaries Player Stats</t>
  </si>
  <si>
    <t>Cavalaries Player Stats</t>
  </si>
  <si>
    <t>Team</t>
  </si>
  <si>
    <t>Salary Cap</t>
  </si>
  <si>
    <t>Tax Bill</t>
  </si>
  <si>
    <t>Total Cost</t>
  </si>
  <si>
    <t>Cleveland</t>
  </si>
  <si>
    <t>STATS</t>
  </si>
  <si>
    <t>PLAYER INFORMATION</t>
  </si>
  <si>
    <t>CONTRACT  INFO</t>
  </si>
  <si>
    <t>Player</t>
  </si>
  <si>
    <t>Salary Cap without player</t>
  </si>
  <si>
    <t>Tax Bill Without Player</t>
  </si>
  <si>
    <t>Total Cost Without Player</t>
  </si>
  <si>
    <t>Teams Cost Information For Refrence</t>
  </si>
  <si>
    <t>Cost &amp; Tax Caculations</t>
  </si>
  <si>
    <t xml:space="preserve">No Further Contract </t>
  </si>
  <si>
    <t>No Further Contract</t>
  </si>
  <si>
    <t>Rookie</t>
  </si>
  <si>
    <t>No further Contract</t>
  </si>
  <si>
    <t>Salary Seasons</t>
  </si>
  <si>
    <t>2025-26</t>
  </si>
  <si>
    <t>2026-27</t>
  </si>
  <si>
    <t>2027-28</t>
  </si>
  <si>
    <t>Orginal Salary Cap</t>
  </si>
  <si>
    <t>Salary Cap Goal</t>
  </si>
  <si>
    <t>Oringinal</t>
  </si>
  <si>
    <t>Potential</t>
  </si>
  <si>
    <t xml:space="preserve">Too Early </t>
  </si>
  <si>
    <t>Potential Change Future Contracts To Fit Slary Goals</t>
  </si>
  <si>
    <t>Grand Total</t>
  </si>
  <si>
    <t>Sum of 2025–26 Salary</t>
  </si>
  <si>
    <t>Sum of PPG</t>
  </si>
  <si>
    <t>Sum of RPG</t>
  </si>
  <si>
    <t>Sum of APG</t>
  </si>
  <si>
    <t>New Players</t>
  </si>
  <si>
    <t>Kept Playes</t>
  </si>
  <si>
    <t>Salary &amp; Stats of Kept and New Players of the upcoming Season</t>
  </si>
  <si>
    <t>Pivot Table of Kept Players</t>
  </si>
  <si>
    <t>Summary of Conclusion to Solve Luxury Tax Problem</t>
  </si>
  <si>
    <t xml:space="preserve">Message from Clevland Cavalries Manager </t>
  </si>
  <si>
    <t xml:space="preserve">5‑yr/ $197.2 M ext.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</si>
</sst>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4" formatCode="_(&quot;$&quot;* #,##0.00_);_(&quot;$&quot;* \(#,##0.00\);_(&quot;$&quot;* &quot;-&quot;??_);_(@_)"/>
    <numFmt numFmtId="43" formatCode="_(* #,##0.00_);_(* \(#,##0.00\);_(* &quot;-&quot;??_);_(@_)"/>
    <numFmt numFmtId="164" formatCode="_(&quot;$&quot;* #,##0_);_(&quot;$&quot;* \(#,##0\);_(&quot;$&quot;* &quot;-&quot;??_);_(@_)"/>
    <numFmt numFmtId="165" formatCode="_(* #,##0.0_);_(* \(#,##0.0\);_(* &quot;-&quot;??_);_(@_)"/>
    <numFmt numFmtId="166" formatCode="_(* #,##0_);_(* \(#,##0\);_(* &quot;-&quot;??_);_(@_)"/>
    <numFmt numFmtId="167" formatCode="0.0%"/>
  </numFmts>
  <fonts count="29">
    <font>
      <sz val="11"/>
      <color theme="1"/>
      <name val="Calibri"/>
      <family val="2"/>
      <scheme val="minor"/>
    </font>
    <font>
      <sz val="12"/>
      <color indexed="16"/>
      <name val="Tahoma"/>
      <family val="2"/>
    </font>
    <font>
      <sz val="8"/>
      <color indexed="16"/>
      <name val="Tahoma"/>
      <family val="2"/>
    </font>
    <font>
      <i/>
      <sz val="16"/>
      <color indexed="16"/>
      <name val="Monotype Corsiva"/>
      <family val="4"/>
    </font>
    <font>
      <u/>
      <sz val="8"/>
      <color indexed="16"/>
      <name val="Tahoma"/>
      <family val="2"/>
    </font>
    <font>
      <b/>
      <sz val="11"/>
      <color indexed="16"/>
      <name val="Tahoma"/>
      <family val="2"/>
    </font>
    <font>
      <i/>
      <u/>
      <sz val="8"/>
      <color indexed="16"/>
      <name val="Tahoma"/>
      <family val="2"/>
    </font>
    <font>
      <b/>
      <i/>
      <sz val="11"/>
      <color indexed="16"/>
      <name val="Tahoma"/>
      <family val="2"/>
    </font>
    <font>
      <b/>
      <i/>
      <sz val="8"/>
      <color indexed="16"/>
      <name val="Tahoma"/>
      <family val="2"/>
    </font>
    <font>
      <b/>
      <i/>
      <sz val="16.5"/>
      <color indexed="16"/>
      <name val="Monotype Corsiva"/>
      <family val="4"/>
    </font>
    <font>
      <b/>
      <sz val="8"/>
      <color indexed="16"/>
      <name val="Tahoma"/>
      <family val="2"/>
    </font>
    <font>
      <sz val="11"/>
      <name val="Calibri"/>
      <family val="2"/>
      <scheme val="minor"/>
    </font>
    <font>
      <sz val="10"/>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8"/>
      <color rgb="FFFFFF00"/>
      <name val="Calibri Light"/>
      <family val="2"/>
      <scheme val="major"/>
    </font>
    <font>
      <sz val="11"/>
      <color rgb="FFFFFF00"/>
      <name val="Calibri"/>
      <family val="2"/>
      <scheme val="minor"/>
    </font>
    <font>
      <b/>
      <sz val="13"/>
      <color rgb="FFFFFF00"/>
      <name val="Calibri"/>
      <family val="2"/>
      <scheme val="minor"/>
    </font>
    <font>
      <b/>
      <sz val="12"/>
      <color rgb="FFC00000"/>
      <name val="Calibri"/>
      <family val="2"/>
      <scheme val="minor"/>
    </font>
    <font>
      <b/>
      <sz val="15"/>
      <color rgb="FFFFFF00"/>
      <name val="Calibri"/>
      <family val="2"/>
      <scheme val="minor"/>
    </font>
    <font>
      <b/>
      <sz val="14"/>
      <color theme="7"/>
      <name val="Calibri"/>
      <family val="2"/>
      <scheme val="minor"/>
    </font>
    <font>
      <sz val="11"/>
      <color theme="7"/>
      <name val="Calibri"/>
      <family val="2"/>
      <scheme val="minor"/>
    </font>
    <font>
      <b/>
      <sz val="10"/>
      <color theme="1"/>
      <name val="Inherit"/>
    </font>
    <font>
      <sz val="8"/>
      <name val="Calibri"/>
      <family val="2"/>
      <scheme val="minor"/>
    </font>
    <font>
      <sz val="11"/>
      <color theme="5"/>
      <name val="Calibri"/>
      <family val="2"/>
      <scheme val="minor"/>
    </font>
  </fonts>
  <fills count="22">
    <fill>
      <patternFill patternType="none"/>
    </fill>
    <fill>
      <patternFill patternType="gray125"/>
    </fill>
    <fill>
      <patternFill patternType="solid">
        <fgColor rgb="FFFFFF00"/>
        <bgColor indexed="64"/>
      </patternFill>
    </fill>
    <fill>
      <patternFill patternType="solid">
        <fgColor rgb="FFFFCC99"/>
      </patternFill>
    </fill>
    <fill>
      <patternFill patternType="solid">
        <fgColor rgb="FFC00000"/>
        <bgColor indexed="64"/>
      </patternFill>
    </fill>
    <fill>
      <patternFill patternType="solid">
        <fgColor theme="9" tint="0.59999389629810485"/>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5"/>
        <bgColor indexed="64"/>
      </patternFill>
    </fill>
    <fill>
      <patternFill patternType="solid">
        <fgColor rgb="FFFF0000"/>
        <bgColor indexed="64"/>
      </patternFill>
    </fill>
    <fill>
      <patternFill patternType="solid">
        <fgColor theme="0" tint="-0.34998626667073579"/>
        <bgColor indexed="64"/>
      </patternFill>
    </fill>
    <fill>
      <patternFill patternType="solid">
        <fgColor rgb="FF92D050"/>
        <bgColor indexed="64"/>
      </patternFill>
    </fill>
    <fill>
      <patternFill patternType="solid">
        <fgColor theme="9"/>
        <bgColor indexed="64"/>
      </patternFill>
    </fill>
    <fill>
      <patternFill patternType="solid">
        <fgColor rgb="FFFFC000"/>
        <bgColor indexed="64"/>
      </patternFill>
    </fill>
    <fill>
      <patternFill patternType="solid">
        <fgColor theme="1" tint="0.499984740745262"/>
        <bgColor indexed="64"/>
      </patternFill>
    </fill>
    <fill>
      <patternFill patternType="solid">
        <fgColor theme="1" tint="4.9989318521683403E-2"/>
        <bgColor indexed="64"/>
      </patternFill>
    </fill>
    <fill>
      <patternFill patternType="solid">
        <fgColor theme="7"/>
        <bgColor indexed="64"/>
      </patternFill>
    </fill>
    <fill>
      <patternFill patternType="solid">
        <fgColor theme="0"/>
        <bgColor indexed="64"/>
      </patternFill>
    </fill>
    <fill>
      <patternFill patternType="solid">
        <fgColor theme="2" tint="-9.9978637043366805E-2"/>
        <bgColor indexed="64"/>
      </patternFill>
    </fill>
  </fills>
  <borders count="28">
    <border>
      <left/>
      <right/>
      <top/>
      <bottom/>
      <diagonal/>
    </border>
    <border>
      <left/>
      <right/>
      <top/>
      <bottom style="thick">
        <color theme="4"/>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indexed="64"/>
      </left>
      <right style="medium">
        <color indexed="64"/>
      </right>
      <top style="medium">
        <color indexed="64"/>
      </top>
      <bottom/>
      <diagonal/>
    </border>
    <border>
      <left style="medium">
        <color indexed="64"/>
      </left>
      <right style="medium">
        <color indexed="64"/>
      </right>
      <top style="thin">
        <color rgb="FF7F7F7F"/>
      </top>
      <bottom style="medium">
        <color indexed="64"/>
      </bottom>
      <diagonal/>
    </border>
    <border>
      <left style="thin">
        <color rgb="FF7F7F7F"/>
      </left>
      <right style="thin">
        <color rgb="FF7F7F7F"/>
      </right>
      <top style="thin">
        <color rgb="FF7F7F7F"/>
      </top>
      <bottom style="medium">
        <color indexed="64"/>
      </bottom>
      <diagonal/>
    </border>
    <border>
      <left/>
      <right/>
      <top/>
      <bottom style="medium">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8">
    <xf numFmtId="0" fontId="0" fillId="0" borderId="0"/>
    <xf numFmtId="44" fontId="13" fillId="0" borderId="0" applyFont="0" applyFill="0" applyBorder="0" applyAlignment="0" applyProtection="0"/>
    <xf numFmtId="0" fontId="14" fillId="0" borderId="0" applyNumberFormat="0" applyFill="0" applyBorder="0" applyAlignment="0" applyProtection="0"/>
    <xf numFmtId="0" fontId="15" fillId="0" borderId="1" applyNumberFormat="0" applyFill="0" applyAlignment="0" applyProtection="0"/>
    <xf numFmtId="0" fontId="16" fillId="0" borderId="2" applyNumberFormat="0" applyFill="0" applyAlignment="0" applyProtection="0"/>
    <xf numFmtId="0" fontId="17" fillId="0" borderId="0" applyNumberFormat="0" applyFill="0" applyBorder="0" applyAlignment="0" applyProtection="0"/>
    <xf numFmtId="0" fontId="18" fillId="3" borderId="3" applyNumberFormat="0" applyAlignment="0" applyProtection="0"/>
    <xf numFmtId="9" fontId="13" fillId="0" borderId="0" applyFont="0" applyFill="0" applyBorder="0" applyAlignment="0" applyProtection="0"/>
  </cellStyleXfs>
  <cellXfs count="172">
    <xf numFmtId="0" fontId="0" fillId="0" borderId="0" xfId="0"/>
    <xf numFmtId="6" fontId="0" fillId="0" borderId="0" xfId="0" applyNumberFormat="1"/>
    <xf numFmtId="0" fontId="0" fillId="4" borderId="0" xfId="0" applyFill="1"/>
    <xf numFmtId="0" fontId="19" fillId="4" borderId="0" xfId="2" applyFont="1" applyFill="1"/>
    <xf numFmtId="0" fontId="20" fillId="4" borderId="0" xfId="0" applyFont="1" applyFill="1"/>
    <xf numFmtId="0" fontId="0" fillId="0" borderId="0" xfId="0" applyAlignment="1">
      <alignment horizontal="left"/>
    </xf>
    <xf numFmtId="0" fontId="19" fillId="4" borderId="4" xfId="2" applyFont="1" applyFill="1" applyBorder="1"/>
    <xf numFmtId="0" fontId="19" fillId="4" borderId="5" xfId="2" applyFont="1" applyFill="1" applyBorder="1"/>
    <xf numFmtId="0" fontId="20" fillId="4" borderId="5" xfId="0" applyFont="1" applyFill="1"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1" xfId="0" applyBorder="1" applyAlignment="1">
      <alignment horizontal="left"/>
    </xf>
    <xf numFmtId="6" fontId="0" fillId="0" borderId="0" xfId="0" applyNumberFormat="1" applyAlignment="1">
      <alignment horizontal="left"/>
    </xf>
    <xf numFmtId="6" fontId="0" fillId="0" borderId="10" xfId="0" applyNumberFormat="1" applyBorder="1" applyAlignment="1">
      <alignment horizontal="left"/>
    </xf>
    <xf numFmtId="0" fontId="0" fillId="0" borderId="10" xfId="0" applyBorder="1" applyAlignment="1">
      <alignment horizontal="left"/>
    </xf>
    <xf numFmtId="0" fontId="0" fillId="0" borderId="12" xfId="0" applyBorder="1"/>
    <xf numFmtId="6" fontId="0" fillId="0" borderId="12" xfId="0" applyNumberFormat="1" applyBorder="1" applyAlignment="1">
      <alignment horizontal="left"/>
    </xf>
    <xf numFmtId="0" fontId="0" fillId="0" borderId="12" xfId="0" applyBorder="1" applyAlignment="1">
      <alignment horizontal="left"/>
    </xf>
    <xf numFmtId="10" fontId="0" fillId="0" borderId="0" xfId="0" applyNumberFormat="1"/>
    <xf numFmtId="0" fontId="0" fillId="0" borderId="13" xfId="0" applyBorder="1"/>
    <xf numFmtId="0" fontId="0" fillId="0" borderId="14" xfId="0" applyBorder="1"/>
    <xf numFmtId="0" fontId="0" fillId="0" borderId="15" xfId="0" applyBorder="1"/>
    <xf numFmtId="0" fontId="0" fillId="0" borderId="16" xfId="0" applyBorder="1"/>
    <xf numFmtId="6" fontId="0" fillId="0" borderId="17" xfId="0" applyNumberFormat="1" applyBorder="1" applyAlignment="1">
      <alignment horizontal="left"/>
    </xf>
    <xf numFmtId="0" fontId="0" fillId="0" borderId="18" xfId="0" applyBorder="1"/>
    <xf numFmtId="6" fontId="0" fillId="0" borderId="19" xfId="0" applyNumberFormat="1" applyBorder="1" applyAlignment="1">
      <alignment horizontal="left"/>
    </xf>
    <xf numFmtId="0" fontId="0" fillId="0" borderId="19" xfId="0" applyBorder="1" applyAlignment="1">
      <alignment horizontal="left"/>
    </xf>
    <xf numFmtId="0" fontId="18" fillId="3" borderId="22" xfId="6" applyBorder="1"/>
    <xf numFmtId="0" fontId="0" fillId="6" borderId="7" xfId="0" applyFill="1" applyBorder="1" applyAlignment="1">
      <alignment horizontal="center"/>
    </xf>
    <xf numFmtId="0" fontId="0" fillId="6" borderId="0" xfId="0" applyFill="1" applyAlignment="1">
      <alignment horizontal="center"/>
    </xf>
    <xf numFmtId="0" fontId="0" fillId="6" borderId="8" xfId="0" applyFill="1" applyBorder="1" applyAlignment="1">
      <alignment horizontal="center"/>
    </xf>
    <xf numFmtId="0" fontId="0" fillId="8" borderId="7" xfId="0" applyFill="1" applyBorder="1" applyAlignment="1">
      <alignment horizontal="center"/>
    </xf>
    <xf numFmtId="0" fontId="0" fillId="8" borderId="0" xfId="0" applyFill="1" applyAlignment="1">
      <alignment horizontal="center"/>
    </xf>
    <xf numFmtId="0" fontId="0" fillId="8" borderId="8" xfId="0" applyFill="1" applyBorder="1" applyAlignment="1">
      <alignment horizontal="center"/>
    </xf>
    <xf numFmtId="0" fontId="0" fillId="8" borderId="9" xfId="0" applyFill="1" applyBorder="1" applyAlignment="1">
      <alignment horizontal="center"/>
    </xf>
    <xf numFmtId="0" fontId="0" fillId="8" borderId="10" xfId="0" applyFill="1" applyBorder="1" applyAlignment="1">
      <alignment horizontal="center"/>
    </xf>
    <xf numFmtId="0" fontId="0" fillId="8" borderId="11" xfId="0" applyFill="1" applyBorder="1" applyAlignment="1">
      <alignment horizontal="center"/>
    </xf>
    <xf numFmtId="0" fontId="18" fillId="3" borderId="3" xfId="6"/>
    <xf numFmtId="0" fontId="18" fillId="3" borderId="23" xfId="6" applyBorder="1"/>
    <xf numFmtId="0" fontId="0" fillId="2" borderId="4" xfId="0" applyFill="1" applyBorder="1"/>
    <xf numFmtId="0" fontId="0" fillId="2" borderId="7" xfId="0" applyFill="1" applyBorder="1"/>
    <xf numFmtId="0" fontId="0" fillId="2" borderId="9" xfId="0" applyFill="1" applyBorder="1"/>
    <xf numFmtId="164" fontId="0" fillId="9" borderId="8" xfId="1" applyNumberFormat="1" applyFont="1" applyFill="1" applyBorder="1" applyAlignment="1">
      <alignment horizontal="left"/>
    </xf>
    <xf numFmtId="0" fontId="0" fillId="9" borderId="11" xfId="0" applyFill="1" applyBorder="1"/>
    <xf numFmtId="0" fontId="0" fillId="4" borderId="7" xfId="0" applyFill="1" applyBorder="1"/>
    <xf numFmtId="0" fontId="0" fillId="4" borderId="8" xfId="0" applyFill="1" applyBorder="1"/>
    <xf numFmtId="0" fontId="20" fillId="4" borderId="21" xfId="0" applyFont="1" applyFill="1" applyBorder="1"/>
    <xf numFmtId="0" fontId="20" fillId="2" borderId="0" xfId="0" applyFont="1" applyFill="1"/>
    <xf numFmtId="164" fontId="0" fillId="7" borderId="9" xfId="1" applyNumberFormat="1" applyFont="1" applyFill="1" applyBorder="1"/>
    <xf numFmtId="164" fontId="0" fillId="7" borderId="10" xfId="1" applyNumberFormat="1" applyFont="1" applyFill="1" applyBorder="1"/>
    <xf numFmtId="0" fontId="0" fillId="11" borderId="0" xfId="0" applyFill="1"/>
    <xf numFmtId="0" fontId="0" fillId="11" borderId="5" xfId="0" applyFill="1" applyBorder="1"/>
    <xf numFmtId="0" fontId="0" fillId="11" borderId="10" xfId="0" applyFill="1" applyBorder="1"/>
    <xf numFmtId="0" fontId="0" fillId="12" borderId="0" xfId="0" applyFill="1"/>
    <xf numFmtId="0" fontId="25" fillId="11" borderId="0" xfId="0" applyFont="1" applyFill="1"/>
    <xf numFmtId="164" fontId="0" fillId="7" borderId="11" xfId="1" applyNumberFormat="1" applyFont="1" applyFill="1" applyBorder="1"/>
    <xf numFmtId="6" fontId="26" fillId="13" borderId="20" xfId="0" applyNumberFormat="1" applyFont="1" applyFill="1" applyBorder="1" applyAlignment="1">
      <alignment horizontal="center" vertical="center" wrapText="1"/>
    </xf>
    <xf numFmtId="44" fontId="0" fillId="0" borderId="0" xfId="1" applyFont="1"/>
    <xf numFmtId="164" fontId="0" fillId="14" borderId="0" xfId="1" applyNumberFormat="1" applyFont="1" applyFill="1" applyBorder="1" applyAlignment="1">
      <alignment horizontal="left" vertical="center"/>
    </xf>
    <xf numFmtId="44" fontId="20" fillId="2" borderId="0" xfId="1" applyFont="1" applyFill="1"/>
    <xf numFmtId="0" fontId="0" fillId="15" borderId="0" xfId="0" applyFill="1"/>
    <xf numFmtId="44" fontId="0" fillId="16" borderId="0" xfId="1" applyFont="1" applyFill="1" applyBorder="1"/>
    <xf numFmtId="0" fontId="0" fillId="2" borderId="0" xfId="0" applyFill="1"/>
    <xf numFmtId="44" fontId="0" fillId="2" borderId="0" xfId="1" applyFont="1" applyFill="1"/>
    <xf numFmtId="0" fontId="20" fillId="17" borderId="4" xfId="0" applyFont="1" applyFill="1" applyBorder="1"/>
    <xf numFmtId="0" fontId="20" fillId="17" borderId="5" xfId="0" applyFont="1" applyFill="1" applyBorder="1"/>
    <xf numFmtId="1" fontId="20" fillId="17" borderId="6" xfId="0" applyNumberFormat="1" applyFont="1" applyFill="1" applyBorder="1"/>
    <xf numFmtId="44" fontId="20" fillId="17" borderId="4" xfId="1" applyFont="1" applyFill="1" applyBorder="1"/>
    <xf numFmtId="44" fontId="20" fillId="17" borderId="5" xfId="1" applyFont="1" applyFill="1" applyBorder="1"/>
    <xf numFmtId="44" fontId="20" fillId="17" borderId="6" xfId="1" applyFont="1" applyFill="1" applyBorder="1"/>
    <xf numFmtId="0" fontId="0" fillId="18" borderId="0" xfId="0" applyFill="1"/>
    <xf numFmtId="10" fontId="0" fillId="4" borderId="0" xfId="0" applyNumberFormat="1" applyFill="1"/>
    <xf numFmtId="0" fontId="11" fillId="0" borderId="0" xfId="0" applyFont="1"/>
    <xf numFmtId="0" fontId="11" fillId="2" borderId="4" xfId="0" applyFont="1" applyFill="1" applyBorder="1"/>
    <xf numFmtId="0" fontId="11" fillId="2" borderId="5" xfId="0" applyFont="1" applyFill="1" applyBorder="1"/>
    <xf numFmtId="43" fontId="11" fillId="2" borderId="5" xfId="1" applyNumberFormat="1" applyFont="1" applyFill="1" applyBorder="1"/>
    <xf numFmtId="0" fontId="11" fillId="2" borderId="6" xfId="0" applyFont="1" applyFill="1" applyBorder="1"/>
    <xf numFmtId="0" fontId="11" fillId="2" borderId="7" xfId="0" applyFont="1" applyFill="1" applyBorder="1"/>
    <xf numFmtId="0" fontId="11" fillId="2" borderId="0" xfId="0" applyFont="1" applyFill="1"/>
    <xf numFmtId="166" fontId="11" fillId="2" borderId="0" xfId="1" applyNumberFormat="1" applyFont="1" applyFill="1"/>
    <xf numFmtId="0" fontId="11" fillId="2" borderId="8" xfId="0" applyFont="1" applyFill="1" applyBorder="1"/>
    <xf numFmtId="165" fontId="11" fillId="2" borderId="0" xfId="1" applyNumberFormat="1" applyFont="1" applyFill="1"/>
    <xf numFmtId="167" fontId="11" fillId="2" borderId="0" xfId="0" applyNumberFormat="1" applyFont="1" applyFill="1"/>
    <xf numFmtId="167" fontId="11" fillId="2" borderId="0" xfId="7" applyNumberFormat="1" applyFont="1" applyFill="1"/>
    <xf numFmtId="10" fontId="11" fillId="2" borderId="8" xfId="0" applyNumberFormat="1" applyFont="1" applyFill="1" applyBorder="1"/>
    <xf numFmtId="0" fontId="11" fillId="2" borderId="9" xfId="0" applyFont="1" applyFill="1" applyBorder="1"/>
    <xf numFmtId="167" fontId="11" fillId="2" borderId="10" xfId="0" applyNumberFormat="1" applyFont="1" applyFill="1" applyBorder="1"/>
    <xf numFmtId="167" fontId="11" fillId="2" borderId="10" xfId="7" applyNumberFormat="1" applyFont="1" applyFill="1" applyBorder="1"/>
    <xf numFmtId="0" fontId="11" fillId="2" borderId="10" xfId="0" applyFont="1" applyFill="1" applyBorder="1"/>
    <xf numFmtId="10" fontId="11" fillId="2" borderId="11" xfId="0" applyNumberFormat="1" applyFont="1" applyFill="1" applyBorder="1"/>
    <xf numFmtId="0" fontId="0" fillId="8" borderId="4" xfId="0" applyFill="1" applyBorder="1"/>
    <xf numFmtId="0" fontId="0" fillId="8" borderId="5" xfId="0" applyFill="1" applyBorder="1"/>
    <xf numFmtId="0" fontId="0" fillId="8" borderId="5" xfId="0" applyFill="1" applyBorder="1" applyAlignment="1">
      <alignment horizontal="right"/>
    </xf>
    <xf numFmtId="0" fontId="0" fillId="8" borderId="7" xfId="0" applyFill="1" applyBorder="1"/>
    <xf numFmtId="6" fontId="0" fillId="8" borderId="0" xfId="0" applyNumberFormat="1" applyFill="1" applyAlignment="1">
      <alignment horizontal="left"/>
    </xf>
    <xf numFmtId="0" fontId="0" fillId="8" borderId="0" xfId="0" applyFill="1"/>
    <xf numFmtId="0" fontId="0" fillId="8" borderId="8" xfId="0" applyFill="1" applyBorder="1"/>
    <xf numFmtId="165" fontId="0" fillId="8" borderId="0" xfId="1" applyNumberFormat="1" applyFont="1" applyFill="1" applyBorder="1"/>
    <xf numFmtId="165" fontId="0" fillId="8" borderId="8" xfId="1" applyNumberFormat="1" applyFont="1" applyFill="1" applyBorder="1"/>
    <xf numFmtId="0" fontId="0" fillId="8" borderId="0" xfId="0" applyFill="1" applyAlignment="1">
      <alignment horizontal="right"/>
    </xf>
    <xf numFmtId="0" fontId="0" fillId="8" borderId="8" xfId="0" applyFill="1" applyBorder="1" applyAlignment="1">
      <alignment horizontal="right"/>
    </xf>
    <xf numFmtId="0" fontId="0" fillId="8" borderId="9" xfId="0" applyFill="1" applyBorder="1"/>
    <xf numFmtId="6" fontId="0" fillId="8" borderId="10" xfId="0" applyNumberFormat="1" applyFill="1" applyBorder="1" applyAlignment="1">
      <alignment horizontal="left"/>
    </xf>
    <xf numFmtId="0" fontId="0" fillId="8" borderId="10" xfId="0" applyFill="1" applyBorder="1"/>
    <xf numFmtId="0" fontId="0" fillId="8" borderId="11" xfId="0" applyFill="1" applyBorder="1"/>
    <xf numFmtId="0" fontId="11" fillId="0" borderId="0" xfId="0" applyFont="1" applyAlignment="1">
      <alignment horizontal="left"/>
    </xf>
    <xf numFmtId="6" fontId="11" fillId="0" borderId="0" xfId="0" applyNumberFormat="1" applyFont="1"/>
    <xf numFmtId="0" fontId="11" fillId="19" borderId="0" xfId="0" applyFont="1" applyFill="1"/>
    <xf numFmtId="0" fontId="28" fillId="19" borderId="0" xfId="0" applyFont="1" applyFill="1"/>
    <xf numFmtId="0" fontId="0" fillId="19" borderId="0" xfId="0" applyFill="1"/>
    <xf numFmtId="0" fontId="0" fillId="7" borderId="7" xfId="0" applyFill="1" applyBorder="1"/>
    <xf numFmtId="164" fontId="0" fillId="7" borderId="0" xfId="0" applyNumberFormat="1" applyFill="1"/>
    <xf numFmtId="164" fontId="0" fillId="7" borderId="8" xfId="0" applyNumberFormat="1" applyFill="1" applyBorder="1"/>
    <xf numFmtId="0" fontId="0" fillId="7" borderId="9" xfId="0" applyFill="1" applyBorder="1"/>
    <xf numFmtId="164" fontId="0" fillId="7" borderId="10" xfId="0" applyNumberFormat="1" applyFill="1" applyBorder="1"/>
    <xf numFmtId="164" fontId="0" fillId="7" borderId="11" xfId="0" applyNumberFormat="1" applyFill="1" applyBorder="1"/>
    <xf numFmtId="44" fontId="0" fillId="7" borderId="7" xfId="1" applyFont="1" applyFill="1" applyBorder="1"/>
    <xf numFmtId="164" fontId="0" fillId="7" borderId="0" xfId="1" applyNumberFormat="1" applyFont="1" applyFill="1" applyBorder="1" applyAlignment="1">
      <alignment horizontal="left" vertical="center"/>
    </xf>
    <xf numFmtId="44" fontId="0" fillId="7" borderId="9" xfId="1" applyFont="1" applyFill="1" applyBorder="1"/>
    <xf numFmtId="164" fontId="0" fillId="7" borderId="10" xfId="1" applyNumberFormat="1" applyFont="1" applyFill="1" applyBorder="1" applyAlignment="1">
      <alignment horizontal="left" vertical="center"/>
    </xf>
    <xf numFmtId="44" fontId="0" fillId="7" borderId="4" xfId="1" applyFont="1" applyFill="1" applyBorder="1"/>
    <xf numFmtId="44" fontId="0" fillId="7" borderId="5" xfId="1" applyFont="1" applyFill="1" applyBorder="1"/>
    <xf numFmtId="44" fontId="0" fillId="7" borderId="6" xfId="1" applyFont="1" applyFill="1" applyBorder="1"/>
    <xf numFmtId="164" fontId="0" fillId="7" borderId="8" xfId="1" applyNumberFormat="1" applyFont="1" applyFill="1" applyBorder="1" applyAlignment="1">
      <alignment horizontal="left" vertical="center"/>
    </xf>
    <xf numFmtId="164" fontId="0" fillId="7" borderId="11" xfId="1" applyNumberFormat="1" applyFont="1" applyFill="1" applyBorder="1" applyAlignment="1">
      <alignment horizontal="left" vertical="center"/>
    </xf>
    <xf numFmtId="0" fontId="11" fillId="21" borderId="0" xfId="0" applyFont="1" applyFill="1" applyAlignment="1">
      <alignment horizontal="left"/>
    </xf>
    <xf numFmtId="6" fontId="11" fillId="21" borderId="0" xfId="0" applyNumberFormat="1" applyFont="1" applyFill="1"/>
    <xf numFmtId="0" fontId="0" fillId="8" borderId="6" xfId="0" applyFill="1" applyBorder="1" applyAlignment="1">
      <alignment horizontal="right"/>
    </xf>
    <xf numFmtId="0" fontId="26" fillId="20" borderId="20" xfId="0" applyFont="1" applyFill="1" applyBorder="1" applyAlignment="1">
      <alignment horizontal="center" vertical="center" wrapText="1"/>
    </xf>
    <xf numFmtId="6" fontId="26" fillId="20" borderId="20" xfId="0" applyNumberFormat="1" applyFont="1" applyFill="1" applyBorder="1" applyAlignment="1">
      <alignment horizontal="center" vertical="center" wrapText="1"/>
    </xf>
    <xf numFmtId="0" fontId="26" fillId="6" borderId="20" xfId="0" applyFont="1" applyFill="1" applyBorder="1" applyAlignment="1">
      <alignment horizontal="center" vertical="center" wrapText="1"/>
    </xf>
    <xf numFmtId="0" fontId="0" fillId="16" borderId="0" xfId="0" applyFill="1"/>
    <xf numFmtId="0" fontId="11" fillId="16" borderId="0" xfId="0" applyFont="1" applyFill="1"/>
    <xf numFmtId="0" fontId="28" fillId="16" borderId="0" xfId="0" applyFont="1" applyFill="1"/>
    <xf numFmtId="0" fontId="11" fillId="21" borderId="0" xfId="0" applyFont="1" applyFill="1"/>
    <xf numFmtId="0" fontId="11" fillId="2" borderId="0" xfId="0" applyFont="1" applyFill="1" applyAlignment="1">
      <alignment horizontal="center"/>
    </xf>
    <xf numFmtId="0" fontId="12" fillId="2" borderId="0" xfId="0" applyFont="1" applyFill="1" applyAlignment="1">
      <alignment horizontal="center"/>
    </xf>
    <xf numFmtId="0" fontId="0" fillId="8" borderId="7" xfId="0" applyFill="1" applyBorder="1" applyAlignment="1">
      <alignment horizontal="center"/>
    </xf>
    <xf numFmtId="0" fontId="0" fillId="8" borderId="0" xfId="0" applyFill="1" applyAlignment="1">
      <alignment horizontal="center"/>
    </xf>
    <xf numFmtId="0" fontId="0" fillId="8" borderId="8" xfId="0" applyFill="1" applyBorder="1" applyAlignment="1">
      <alignment horizontal="center"/>
    </xf>
    <xf numFmtId="0" fontId="0" fillId="4" borderId="24" xfId="0" applyFill="1" applyBorder="1" applyAlignment="1">
      <alignment horizontal="center"/>
    </xf>
    <xf numFmtId="0" fontId="0" fillId="4" borderId="21" xfId="0" applyFill="1" applyBorder="1" applyAlignment="1">
      <alignment horizontal="center"/>
    </xf>
    <xf numFmtId="0" fontId="0" fillId="4" borderId="6" xfId="0" applyFill="1" applyBorder="1" applyAlignment="1">
      <alignment horizontal="center"/>
    </xf>
    <xf numFmtId="0" fontId="0" fillId="7" borderId="9" xfId="0"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6" fontId="0" fillId="10" borderId="9" xfId="0" applyNumberFormat="1" applyFill="1" applyBorder="1" applyAlignment="1">
      <alignment horizontal="center"/>
    </xf>
    <xf numFmtId="6" fontId="0" fillId="10" borderId="11" xfId="0" applyNumberFormat="1" applyFill="1" applyBorder="1" applyAlignment="1">
      <alignment horizontal="center"/>
    </xf>
    <xf numFmtId="6" fontId="0" fillId="10" borderId="7" xfId="0" applyNumberFormat="1" applyFill="1" applyBorder="1" applyAlignment="1">
      <alignment horizontal="center"/>
    </xf>
    <xf numFmtId="6" fontId="0" fillId="10" borderId="8" xfId="0" applyNumberFormat="1" applyFill="1" applyBorder="1" applyAlignment="1">
      <alignment horizontal="center"/>
    </xf>
    <xf numFmtId="0" fontId="0" fillId="8" borderId="4" xfId="0" applyFill="1" applyBorder="1" applyAlignment="1">
      <alignment horizontal="center"/>
    </xf>
    <xf numFmtId="0" fontId="0" fillId="8" borderId="6" xfId="0" applyFill="1" applyBorder="1" applyAlignment="1">
      <alignment horizontal="center"/>
    </xf>
    <xf numFmtId="0" fontId="24" fillId="4" borderId="2" xfId="4" applyFont="1" applyFill="1" applyAlignment="1">
      <alignment horizontal="center"/>
    </xf>
    <xf numFmtId="0" fontId="16" fillId="4" borderId="2" xfId="4" applyFill="1" applyAlignment="1">
      <alignment horizontal="center"/>
    </xf>
    <xf numFmtId="0" fontId="23" fillId="4" borderId="7" xfId="3" applyFont="1" applyFill="1" applyBorder="1" applyAlignment="1">
      <alignment horizontal="center"/>
    </xf>
    <xf numFmtId="0" fontId="23" fillId="4" borderId="0" xfId="3" applyFont="1" applyFill="1" applyBorder="1" applyAlignment="1">
      <alignment horizontal="center"/>
    </xf>
    <xf numFmtId="164" fontId="20" fillId="4" borderId="25" xfId="1" applyNumberFormat="1" applyFont="1" applyFill="1" applyBorder="1" applyAlignment="1">
      <alignment horizontal="center"/>
    </xf>
    <xf numFmtId="164" fontId="20" fillId="4" borderId="26" xfId="1" applyNumberFormat="1" applyFont="1" applyFill="1" applyBorder="1" applyAlignment="1">
      <alignment horizontal="center"/>
    </xf>
    <xf numFmtId="164" fontId="20" fillId="4" borderId="27" xfId="1" applyNumberFormat="1" applyFont="1" applyFill="1" applyBorder="1" applyAlignment="1">
      <alignment horizontal="center"/>
    </xf>
    <xf numFmtId="0" fontId="18" fillId="3" borderId="5" xfId="6" applyBorder="1" applyAlignment="1">
      <alignment horizontal="center"/>
    </xf>
    <xf numFmtId="0" fontId="18" fillId="3" borderId="6" xfId="6" applyBorder="1" applyAlignment="1">
      <alignment horizontal="center"/>
    </xf>
    <xf numFmtId="0" fontId="21" fillId="4" borderId="4" xfId="4" applyFont="1" applyFill="1" applyBorder="1" applyAlignment="1">
      <alignment horizontal="center"/>
    </xf>
    <xf numFmtId="0" fontId="21" fillId="4" borderId="5" xfId="4" applyFont="1" applyFill="1" applyBorder="1" applyAlignment="1">
      <alignment horizontal="center"/>
    </xf>
    <xf numFmtId="0" fontId="21" fillId="4" borderId="6" xfId="4" applyFont="1" applyFill="1" applyBorder="1" applyAlignment="1">
      <alignment horizontal="center"/>
    </xf>
    <xf numFmtId="0" fontId="22" fillId="2" borderId="7" xfId="5" applyFont="1" applyFill="1" applyBorder="1" applyAlignment="1">
      <alignment horizontal="center"/>
    </xf>
    <xf numFmtId="0" fontId="22" fillId="2" borderId="0" xfId="5" applyFont="1" applyFill="1" applyBorder="1" applyAlignment="1">
      <alignment horizontal="center"/>
    </xf>
    <xf numFmtId="0" fontId="22" fillId="2" borderId="8" xfId="5" applyFont="1" applyFill="1" applyBorder="1" applyAlignment="1">
      <alignment horizontal="center"/>
    </xf>
    <xf numFmtId="0" fontId="11" fillId="5" borderId="7" xfId="0" applyFont="1" applyFill="1" applyBorder="1" applyAlignment="1">
      <alignment horizontal="center"/>
    </xf>
    <xf numFmtId="0" fontId="11" fillId="5" borderId="0" xfId="0" applyFont="1" applyFill="1" applyAlignment="1">
      <alignment horizontal="center"/>
    </xf>
    <xf numFmtId="0" fontId="11" fillId="5" borderId="8" xfId="0" applyFont="1" applyFill="1" applyBorder="1" applyAlignment="1">
      <alignment horizontal="center"/>
    </xf>
  </cellXfs>
  <cellStyles count="8">
    <cellStyle name="Currency" xfId="1" builtinId="4"/>
    <cellStyle name="Heading 1" xfId="3" builtinId="16"/>
    <cellStyle name="Heading 2" xfId="4" builtinId="17"/>
    <cellStyle name="Heading 4" xfId="5" builtinId="19"/>
    <cellStyle name="Input" xfId="6" builtinId="20"/>
    <cellStyle name="Normal" xfId="0" builtinId="0"/>
    <cellStyle name="Percent" xfId="7" builtinId="5"/>
    <cellStyle name="Title" xfId="2" builtinId="15"/>
  </cellStyles>
  <dxfs count="8">
    <dxf>
      <fill>
        <patternFill patternType="solid">
          <bgColor theme="2" tint="-9.9978637043366805E-2"/>
        </patternFill>
      </fill>
    </dxf>
    <dxf>
      <fill>
        <patternFill patternType="solid">
          <bgColor theme="2" tint="-9.9978637043366805E-2"/>
        </patternFill>
      </fill>
    </dxf>
    <dxf>
      <font>
        <color auto="1"/>
      </font>
    </dxf>
    <dxf>
      <font>
        <color auto="1"/>
      </font>
    </dxf>
    <dxf>
      <font>
        <color auto="1"/>
      </font>
    </dxf>
    <dxf>
      <font>
        <color auto="1"/>
      </font>
    </dxf>
    <dxf>
      <font>
        <color auto="1"/>
      </font>
    </dxf>
    <dxf>
      <font>
        <color auto="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'Transpsoed Data'!$B$4</c:f>
              <c:strCache>
                <c:ptCount val="1"/>
                <c:pt idx="0">
                  <c:v>2025–26 Salary</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3B4-4DE5-BE8D-1F6701E027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3B4-4DE5-BE8D-1F6701E027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3B4-4DE5-BE8D-1F6701E027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3B4-4DE5-BE8D-1F6701E027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3B4-4DE5-BE8D-1F6701E027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3B4-4DE5-BE8D-1F6701E027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3B4-4DE5-BE8D-1F6701E027F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3B4-4DE5-BE8D-1F6701E027F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3B4-4DE5-BE8D-1F6701E027F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3B4-4DE5-BE8D-1F6701E027F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3B4-4DE5-BE8D-1F6701E027F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3B4-4DE5-BE8D-1F6701E027F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3B4-4DE5-BE8D-1F6701E027FB}"/>
              </c:ext>
            </c:extLst>
          </c:dPt>
          <c:cat>
            <c:strRef>
              <c:f>'Transpsoed Data'!$C$3:$O$3</c:f>
              <c:strCache>
                <c:ptCount val="13"/>
                <c:pt idx="0">
                  <c:v>Donovan Mitchell</c:v>
                </c:pt>
                <c:pt idx="1">
                  <c:v>Evan Mobley</c:v>
                </c:pt>
                <c:pt idx="2">
                  <c:v>Darius Garland</c:v>
                </c:pt>
                <c:pt idx="3">
                  <c:v>De’Andre Hunter</c:v>
                </c:pt>
                <c:pt idx="4">
                  <c:v>Jarrett Allen</c:v>
                </c:pt>
                <c:pt idx="5">
                  <c:v>Max Strus</c:v>
                </c:pt>
                <c:pt idx="6">
                  <c:v>Lonzo Ball</c:v>
                </c:pt>
                <c:pt idx="7">
                  <c:v>Isaac Okoro</c:v>
                </c:pt>
                <c:pt idx="8">
                  <c:v>Dean Wade</c:v>
                </c:pt>
                <c:pt idx="9">
                  <c:v>Craig Porter Jr.</c:v>
                </c:pt>
                <c:pt idx="10">
                  <c:v>Jaylon Tyson</c:v>
                </c:pt>
                <c:pt idx="11">
                  <c:v>Chuma Okeke</c:v>
                </c:pt>
                <c:pt idx="12">
                  <c:v>Sam Merrill</c:v>
                </c:pt>
              </c:strCache>
            </c:strRef>
          </c:cat>
          <c:val>
            <c:numRef>
              <c:f>'Transpsoed Data'!$C$4:$O$4</c:f>
              <c:numCache>
                <c:formatCode>"$"#,##0_);[Red]\("$"#,##0\)</c:formatCode>
                <c:ptCount val="13"/>
                <c:pt idx="0">
                  <c:v>46394100</c:v>
                </c:pt>
                <c:pt idx="1">
                  <c:v>39446090</c:v>
                </c:pt>
                <c:pt idx="2">
                  <c:v>23303571</c:v>
                </c:pt>
                <c:pt idx="3">
                  <c:v>20000000</c:v>
                </c:pt>
                <c:pt idx="4">
                  <c:v>15936452</c:v>
                </c:pt>
                <c:pt idx="5">
                  <c:v>10000000</c:v>
                </c:pt>
                <c:pt idx="6">
                  <c:v>11000000</c:v>
                </c:pt>
                <c:pt idx="7">
                  <c:v>6623456</c:v>
                </c:pt>
                <c:pt idx="8">
                  <c:v>2221677</c:v>
                </c:pt>
                <c:pt idx="9">
                  <c:v>3492480</c:v>
                </c:pt>
                <c:pt idx="10">
                  <c:v>2546675</c:v>
                </c:pt>
                <c:pt idx="11">
                  <c:v>8480000</c:v>
                </c:pt>
                <c:pt idx="12">
                  <c:v>3634000</c:v>
                </c:pt>
              </c:numCache>
            </c:numRef>
          </c:val>
          <c:extLst>
            <c:ext xmlns:c16="http://schemas.microsoft.com/office/drawing/2014/chart" uri="{C3380CC4-5D6E-409C-BE32-E72D297353CC}">
              <c16:uniqueId val="{0000001A-63B4-4DE5-BE8D-1F6701E027FB}"/>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2026-2027 Salary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0DD-47BB-BC18-2C3F5797F0E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0DD-47BB-BC18-2C3F5797F0E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0DD-47BB-BC18-2C3F5797F0E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0DD-47BB-BC18-2C3F5797F0E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0DD-47BB-BC18-2C3F5797F0E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0DD-47BB-BC18-2C3F5797F0E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50DD-47BB-BC18-2C3F5797F0E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50DD-47BB-BC18-2C3F5797F0E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50DD-47BB-BC18-2C3F5797F0EA}"/>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50DD-47BB-BC18-2C3F5797F0EA}"/>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50DD-47BB-BC18-2C3F5797F0EA}"/>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50DD-47BB-BC18-2C3F5797F0EA}"/>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50DD-47BB-BC18-2C3F5797F0EA}"/>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50DD-47BB-BC18-2C3F5797F0EA}"/>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50DD-47BB-BC18-2C3F5797F0EA}"/>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50DD-47BB-BC18-2C3F5797F0EA}"/>
              </c:ext>
            </c:extLst>
          </c:dPt>
          <c:cat>
            <c:strRef>
              <c:f>'Transpsoed Data'!$C$3:$R$3</c:f>
              <c:strCache>
                <c:ptCount val="16"/>
                <c:pt idx="0">
                  <c:v>Donovan Mitchell</c:v>
                </c:pt>
                <c:pt idx="1">
                  <c:v>Evan Mobley</c:v>
                </c:pt>
                <c:pt idx="2">
                  <c:v>Darius Garland</c:v>
                </c:pt>
                <c:pt idx="3">
                  <c:v>De’Andre Hunter</c:v>
                </c:pt>
                <c:pt idx="4">
                  <c:v>Jarrett Allen</c:v>
                </c:pt>
                <c:pt idx="5">
                  <c:v>Max Strus</c:v>
                </c:pt>
                <c:pt idx="6">
                  <c:v>Lonzo Ball</c:v>
                </c:pt>
                <c:pt idx="7">
                  <c:v>Isaac Okoro</c:v>
                </c:pt>
                <c:pt idx="8">
                  <c:v>Dean Wade</c:v>
                </c:pt>
                <c:pt idx="9">
                  <c:v>Craig Porter Jr.</c:v>
                </c:pt>
                <c:pt idx="10">
                  <c:v>Jaylon Tyson</c:v>
                </c:pt>
                <c:pt idx="11">
                  <c:v>Chuma Okeke</c:v>
                </c:pt>
                <c:pt idx="12">
                  <c:v>Sam Merrill</c:v>
                </c:pt>
                <c:pt idx="13">
                  <c:v>Larry Nance Jr.</c:v>
                </c:pt>
                <c:pt idx="14">
                  <c:v>Tyrese Proctor</c:v>
                </c:pt>
                <c:pt idx="15">
                  <c:v>Ricky Rubio</c:v>
                </c:pt>
              </c:strCache>
            </c:strRef>
          </c:cat>
          <c:val>
            <c:numRef>
              <c:f>'Transpsoed Data'!$C$5:$R$5</c:f>
              <c:numCache>
                <c:formatCode>"$"#,##0_);[Red]\("$"#,##0\)</c:formatCode>
                <c:ptCount val="16"/>
                <c:pt idx="0">
                  <c:v>50105628</c:v>
                </c:pt>
                <c:pt idx="1">
                  <c:v>42166510</c:v>
                </c:pt>
                <c:pt idx="2">
                  <c:v>24910714</c:v>
                </c:pt>
                <c:pt idx="3">
                  <c:v>28000000</c:v>
                </c:pt>
                <c:pt idx="4">
                  <c:v>16660836</c:v>
                </c:pt>
                <c:pt idx="5">
                  <c:v>10000000</c:v>
                </c:pt>
                <c:pt idx="6">
                  <c:v>11800000</c:v>
                </c:pt>
                <c:pt idx="7" formatCode="General">
                  <c:v>0</c:v>
                </c:pt>
                <c:pt idx="8">
                  <c:v>2406205</c:v>
                </c:pt>
                <c:pt idx="9">
                  <c:v>3658560</c:v>
                </c:pt>
                <c:pt idx="10" formatCode="General">
                  <c:v>0</c:v>
                </c:pt>
                <c:pt idx="11">
                  <c:v>9160000</c:v>
                </c:pt>
                <c:pt idx="12">
                  <c:v>0</c:v>
                </c:pt>
                <c:pt idx="13">
                  <c:v>0</c:v>
                </c:pt>
                <c:pt idx="14">
                  <c:v>0</c:v>
                </c:pt>
                <c:pt idx="15">
                  <c:v>424672</c:v>
                </c:pt>
              </c:numCache>
            </c:numRef>
          </c:val>
          <c:extLst>
            <c:ext xmlns:c16="http://schemas.microsoft.com/office/drawing/2014/chart" uri="{C3380CC4-5D6E-409C-BE32-E72D297353CC}">
              <c16:uniqueId val="{00000020-50DD-47BB-BC18-2C3F5797F0E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2027-2028</a:t>
            </a:r>
            <a:r>
              <a:rPr lang="en-US" baseline="0"/>
              <a:t> Salary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0B9-43D6-849B-7F88A40A633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0B9-43D6-849B-7F88A40A633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0B9-43D6-849B-7F88A40A633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0B9-43D6-849B-7F88A40A633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0B9-43D6-849B-7F88A40A633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0B9-43D6-849B-7F88A40A633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0B9-43D6-849B-7F88A40A633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B0B9-43D6-849B-7F88A40A633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B0B9-43D6-849B-7F88A40A633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B0B9-43D6-849B-7F88A40A6336}"/>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B0B9-43D6-849B-7F88A40A6336}"/>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B0B9-43D6-849B-7F88A40A6336}"/>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B0B9-43D6-849B-7F88A40A6336}"/>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B0B9-43D6-849B-7F88A40A6336}"/>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B0B9-43D6-849B-7F88A40A6336}"/>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B0B9-43D6-849B-7F88A40A6336}"/>
              </c:ext>
            </c:extLst>
          </c:dPt>
          <c:cat>
            <c:strRef>
              <c:f>'Transpsoed Data'!$C$3:$R$3</c:f>
              <c:strCache>
                <c:ptCount val="16"/>
                <c:pt idx="0">
                  <c:v>Donovan Mitchell</c:v>
                </c:pt>
                <c:pt idx="1">
                  <c:v>Evan Mobley</c:v>
                </c:pt>
                <c:pt idx="2">
                  <c:v>Darius Garland</c:v>
                </c:pt>
                <c:pt idx="3">
                  <c:v>De’Andre Hunter</c:v>
                </c:pt>
                <c:pt idx="4">
                  <c:v>Jarrett Allen</c:v>
                </c:pt>
                <c:pt idx="5">
                  <c:v>Max Strus</c:v>
                </c:pt>
                <c:pt idx="6">
                  <c:v>Lonzo Ball</c:v>
                </c:pt>
                <c:pt idx="7">
                  <c:v>Isaac Okoro</c:v>
                </c:pt>
                <c:pt idx="8">
                  <c:v>Dean Wade</c:v>
                </c:pt>
                <c:pt idx="9">
                  <c:v>Craig Porter Jr.</c:v>
                </c:pt>
                <c:pt idx="10">
                  <c:v>Jaylon Tyson</c:v>
                </c:pt>
                <c:pt idx="11">
                  <c:v>Chuma Okeke</c:v>
                </c:pt>
                <c:pt idx="12">
                  <c:v>Sam Merrill</c:v>
                </c:pt>
                <c:pt idx="13">
                  <c:v>Larry Nance Jr.</c:v>
                </c:pt>
                <c:pt idx="14">
                  <c:v>Tyrese Proctor</c:v>
                </c:pt>
                <c:pt idx="15">
                  <c:v>Ricky Rubio</c:v>
                </c:pt>
              </c:strCache>
            </c:strRef>
          </c:cat>
          <c:val>
            <c:numRef>
              <c:f>'Transpsoed Data'!$C$6:$R$6</c:f>
              <c:numCache>
                <c:formatCode>"$"#,##0_);[Red]\("$"#,##0\)</c:formatCode>
                <c:ptCount val="16"/>
                <c:pt idx="0">
                  <c:v>53817156</c:v>
                </c:pt>
                <c:pt idx="1">
                  <c:v>44886930</c:v>
                </c:pt>
                <c:pt idx="2">
                  <c:v>48214285</c:v>
                </c:pt>
                <c:pt idx="3">
                  <c:v>30240000</c:v>
                </c:pt>
                <c:pt idx="4">
                  <c:v>32597288</c:v>
                </c:pt>
                <c:pt idx="5">
                  <c:v>10000000</c:v>
                </c:pt>
                <c:pt idx="6" formatCode="General">
                  <c:v>0</c:v>
                </c:pt>
                <c:pt idx="7" formatCode="General">
                  <c:v>0</c:v>
                </c:pt>
                <c:pt idx="8" formatCode="General">
                  <c:v>0</c:v>
                </c:pt>
                <c:pt idx="9">
                  <c:v>5641500</c:v>
                </c:pt>
                <c:pt idx="10" formatCode="General">
                  <c:v>0</c:v>
                </c:pt>
                <c:pt idx="11">
                  <c:v>9840000</c:v>
                </c:pt>
                <c:pt idx="12">
                  <c:v>0</c:v>
                </c:pt>
                <c:pt idx="13">
                  <c:v>0</c:v>
                </c:pt>
                <c:pt idx="14">
                  <c:v>849344</c:v>
                </c:pt>
                <c:pt idx="15">
                  <c:v>849344</c:v>
                </c:pt>
              </c:numCache>
            </c:numRef>
          </c:val>
          <c:extLst>
            <c:ext xmlns:c16="http://schemas.microsoft.com/office/drawing/2014/chart" uri="{C3380CC4-5D6E-409C-BE32-E72D297353CC}">
              <c16:uniqueId val="{00000020-B0B9-43D6-849B-7F88A40A6336}"/>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Beyond</a:t>
            </a:r>
            <a:r>
              <a:rPr lang="en-US" baseline="0"/>
              <a:t> 2028 Salary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803-4C99-AD28-1EE1B8ABBE7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803-4C99-AD28-1EE1B8ABBE7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803-4C99-AD28-1EE1B8ABBE7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803-4C99-AD28-1EE1B8ABBE7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803-4C99-AD28-1EE1B8ABBE7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803-4C99-AD28-1EE1B8ABBE7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803-4C99-AD28-1EE1B8ABBE7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D803-4C99-AD28-1EE1B8ABBE7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D803-4C99-AD28-1EE1B8ABBE7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D803-4C99-AD28-1EE1B8ABBE7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D803-4C99-AD28-1EE1B8ABBE7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D803-4C99-AD28-1EE1B8ABBE7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D803-4C99-AD28-1EE1B8ABBE7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D803-4C99-AD28-1EE1B8ABBE7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D803-4C99-AD28-1EE1B8ABBE71}"/>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D803-4C99-AD28-1EE1B8ABBE71}"/>
              </c:ext>
            </c:extLst>
          </c:dPt>
          <c:cat>
            <c:strRef>
              <c:f>'Transpsoed Data'!$C$3:$R$3</c:f>
              <c:strCache>
                <c:ptCount val="16"/>
                <c:pt idx="0">
                  <c:v>Donovan Mitchell</c:v>
                </c:pt>
                <c:pt idx="1">
                  <c:v>Evan Mobley</c:v>
                </c:pt>
                <c:pt idx="2">
                  <c:v>Darius Garland</c:v>
                </c:pt>
                <c:pt idx="3">
                  <c:v>De’Andre Hunter</c:v>
                </c:pt>
                <c:pt idx="4">
                  <c:v>Jarrett Allen</c:v>
                </c:pt>
                <c:pt idx="5">
                  <c:v>Max Strus</c:v>
                </c:pt>
                <c:pt idx="6">
                  <c:v>Lonzo Ball</c:v>
                </c:pt>
                <c:pt idx="7">
                  <c:v>Isaac Okoro</c:v>
                </c:pt>
                <c:pt idx="8">
                  <c:v>Dean Wade</c:v>
                </c:pt>
                <c:pt idx="9">
                  <c:v>Craig Porter Jr.</c:v>
                </c:pt>
                <c:pt idx="10">
                  <c:v>Jaylon Tyson</c:v>
                </c:pt>
                <c:pt idx="11">
                  <c:v>Chuma Okeke</c:v>
                </c:pt>
                <c:pt idx="12">
                  <c:v>Sam Merrill</c:v>
                </c:pt>
                <c:pt idx="13">
                  <c:v>Larry Nance Jr.</c:v>
                </c:pt>
                <c:pt idx="14">
                  <c:v>Tyrese Proctor</c:v>
                </c:pt>
                <c:pt idx="15">
                  <c:v>Ricky Rubio</c:v>
                </c:pt>
              </c:strCache>
            </c:strRef>
          </c:cat>
          <c:val>
            <c:numRef>
              <c:f>'Transpsoed Data'!$C$7:$R$7</c:f>
              <c:numCache>
                <c:formatCode>General</c:formatCode>
                <c:ptCount val="16"/>
                <c:pt idx="0" formatCode="&quot;$&quot;#,##0_);[Red]\(&quot;$&quot;#,##0\)">
                  <c:v>57528684</c:v>
                </c:pt>
                <c:pt idx="1">
                  <c:v>0</c:v>
                </c:pt>
                <c:pt idx="2">
                  <c:v>0</c:v>
                </c:pt>
                <c:pt idx="3" formatCode="&quot;$&quot;#,##0_);[Red]\(&quot;$&quot;#,##0\)">
                  <c:v>32480000</c:v>
                </c:pt>
                <c:pt idx="4">
                  <c:v>0</c:v>
                </c:pt>
                <c:pt idx="5">
                  <c:v>0</c:v>
                </c:pt>
                <c:pt idx="6">
                  <c:v>0</c:v>
                </c:pt>
                <c:pt idx="7">
                  <c:v>0</c:v>
                </c:pt>
                <c:pt idx="8">
                  <c:v>0</c:v>
                </c:pt>
                <c:pt idx="9">
                  <c:v>0</c:v>
                </c:pt>
                <c:pt idx="10">
                  <c:v>0</c:v>
                </c:pt>
                <c:pt idx="11" formatCode="&quot;$&quot;#,##0_);[Red]\(&quot;$&quot;#,##0\)">
                  <c:v>10520000</c:v>
                </c:pt>
                <c:pt idx="12" formatCode="&quot;$&quot;#,##0_);[Red]\(&quot;$&quot;#,##0\)">
                  <c:v>0</c:v>
                </c:pt>
                <c:pt idx="13" formatCode="&quot;$&quot;#,##0_);[Red]\(&quot;$&quot;#,##0\)">
                  <c:v>0</c:v>
                </c:pt>
                <c:pt idx="14" formatCode="&quot;$&quot;#,##0_);[Red]\(&quot;$&quot;#,##0\)">
                  <c:v>0</c:v>
                </c:pt>
                <c:pt idx="15" formatCode="&quot;$&quot;#,##0_);[Red]\(&quot;$&quot;#,##0\)">
                  <c:v>0</c:v>
                </c:pt>
              </c:numCache>
            </c:numRef>
          </c:val>
          <c:extLst>
            <c:ext xmlns:c16="http://schemas.microsoft.com/office/drawing/2014/chart" uri="{C3380CC4-5D6E-409C-BE32-E72D297353CC}">
              <c16:uniqueId val="{00000020-D803-4C99-AD28-1EE1B8ABBE7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'Transpsoed Data'!$B$4</c:f>
              <c:strCache>
                <c:ptCount val="1"/>
                <c:pt idx="0">
                  <c:v>2025–26 Salary</c:v>
                </c:pt>
              </c:strCache>
            </c:strRef>
          </c:tx>
          <c:spPr>
            <a:solidFill>
              <a:srgbClr val="C00000"/>
            </a:solidFill>
            <a:ln>
              <a:noFill/>
            </a:ln>
            <a:effectLst/>
          </c:spPr>
          <c:invertIfNegative val="0"/>
          <c:cat>
            <c:strRef>
              <c:f>'Transpsoed Data'!$C$3:$O$3</c:f>
              <c:strCache>
                <c:ptCount val="13"/>
                <c:pt idx="0">
                  <c:v>Donovan Mitchell</c:v>
                </c:pt>
                <c:pt idx="1">
                  <c:v>Evan Mobley</c:v>
                </c:pt>
                <c:pt idx="2">
                  <c:v>Darius Garland</c:v>
                </c:pt>
                <c:pt idx="3">
                  <c:v>De’Andre Hunter</c:v>
                </c:pt>
                <c:pt idx="4">
                  <c:v>Jarrett Allen</c:v>
                </c:pt>
                <c:pt idx="5">
                  <c:v>Max Strus</c:v>
                </c:pt>
                <c:pt idx="6">
                  <c:v>Lonzo Ball</c:v>
                </c:pt>
                <c:pt idx="7">
                  <c:v>Isaac Okoro</c:v>
                </c:pt>
                <c:pt idx="8">
                  <c:v>Dean Wade</c:v>
                </c:pt>
                <c:pt idx="9">
                  <c:v>Craig Porter Jr.</c:v>
                </c:pt>
                <c:pt idx="10">
                  <c:v>Jaylon Tyson</c:v>
                </c:pt>
                <c:pt idx="11">
                  <c:v>Chuma Okeke</c:v>
                </c:pt>
                <c:pt idx="12">
                  <c:v>Sam Merrill</c:v>
                </c:pt>
              </c:strCache>
            </c:strRef>
          </c:cat>
          <c:val>
            <c:numRef>
              <c:f>'Transpsoed Data'!$C$4:$O$4</c:f>
              <c:numCache>
                <c:formatCode>"$"#,##0_);[Red]\("$"#,##0\)</c:formatCode>
                <c:ptCount val="13"/>
                <c:pt idx="0">
                  <c:v>46394100</c:v>
                </c:pt>
                <c:pt idx="1">
                  <c:v>39446090</c:v>
                </c:pt>
                <c:pt idx="2">
                  <c:v>23303571</c:v>
                </c:pt>
                <c:pt idx="3">
                  <c:v>20000000</c:v>
                </c:pt>
                <c:pt idx="4">
                  <c:v>15936452</c:v>
                </c:pt>
                <c:pt idx="5">
                  <c:v>10000000</c:v>
                </c:pt>
                <c:pt idx="6">
                  <c:v>11000000</c:v>
                </c:pt>
                <c:pt idx="7">
                  <c:v>6623456</c:v>
                </c:pt>
                <c:pt idx="8">
                  <c:v>2221677</c:v>
                </c:pt>
                <c:pt idx="9">
                  <c:v>3492480</c:v>
                </c:pt>
                <c:pt idx="10">
                  <c:v>2546675</c:v>
                </c:pt>
                <c:pt idx="11">
                  <c:v>8480000</c:v>
                </c:pt>
                <c:pt idx="12">
                  <c:v>3634000</c:v>
                </c:pt>
              </c:numCache>
            </c:numRef>
          </c:val>
          <c:extLst>
            <c:ext xmlns:c16="http://schemas.microsoft.com/office/drawing/2014/chart" uri="{C3380CC4-5D6E-409C-BE32-E72D297353CC}">
              <c16:uniqueId val="{00000000-E995-4DC9-81FC-6671AD111717}"/>
            </c:ext>
          </c:extLst>
        </c:ser>
        <c:dLbls>
          <c:showLegendKey val="0"/>
          <c:showVal val="0"/>
          <c:showCatName val="0"/>
          <c:showSerName val="0"/>
          <c:showPercent val="0"/>
          <c:showBubbleSize val="0"/>
        </c:dLbls>
        <c:gapWidth val="219"/>
        <c:overlap val="-27"/>
        <c:axId val="132813392"/>
        <c:axId val="192008352"/>
      </c:barChart>
      <c:catAx>
        <c:axId val="1328133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Players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008352"/>
        <c:crosses val="autoZero"/>
        <c:auto val="1"/>
        <c:lblAlgn val="ctr"/>
        <c:lblOffset val="100"/>
        <c:noMultiLvlLbl val="0"/>
      </c:catAx>
      <c:valAx>
        <c:axId val="1920083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Salaries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813392"/>
        <c:crosses val="autoZero"/>
        <c:crossBetween val="between"/>
      </c:valAx>
      <c:spPr>
        <a:solidFill>
          <a:srgbClr val="00B050"/>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'Transpsoed Data'!$B$5</c:f>
              <c:strCache>
                <c:ptCount val="1"/>
                <c:pt idx="0">
                  <c:v>2026–27 Salary</c:v>
                </c:pt>
              </c:strCache>
            </c:strRef>
          </c:tx>
          <c:spPr>
            <a:solidFill>
              <a:srgbClr val="C00000"/>
            </a:solidFill>
            <a:ln>
              <a:noFill/>
            </a:ln>
            <a:effectLst/>
          </c:spPr>
          <c:invertIfNegative val="0"/>
          <c:cat>
            <c:strRef>
              <c:f>'Transpsoed Data'!$C$3:$O$3</c:f>
              <c:strCache>
                <c:ptCount val="13"/>
                <c:pt idx="0">
                  <c:v>Donovan Mitchell</c:v>
                </c:pt>
                <c:pt idx="1">
                  <c:v>Evan Mobley</c:v>
                </c:pt>
                <c:pt idx="2">
                  <c:v>Darius Garland</c:v>
                </c:pt>
                <c:pt idx="3">
                  <c:v>De’Andre Hunter</c:v>
                </c:pt>
                <c:pt idx="4">
                  <c:v>Jarrett Allen</c:v>
                </c:pt>
                <c:pt idx="5">
                  <c:v>Max Strus</c:v>
                </c:pt>
                <c:pt idx="6">
                  <c:v>Lonzo Ball</c:v>
                </c:pt>
                <c:pt idx="7">
                  <c:v>Isaac Okoro</c:v>
                </c:pt>
                <c:pt idx="8">
                  <c:v>Dean Wade</c:v>
                </c:pt>
                <c:pt idx="9">
                  <c:v>Craig Porter Jr.</c:v>
                </c:pt>
                <c:pt idx="10">
                  <c:v>Jaylon Tyson</c:v>
                </c:pt>
                <c:pt idx="11">
                  <c:v>Chuma Okeke</c:v>
                </c:pt>
                <c:pt idx="12">
                  <c:v>Sam Merrill</c:v>
                </c:pt>
              </c:strCache>
            </c:strRef>
          </c:cat>
          <c:val>
            <c:numRef>
              <c:f>'Transpsoed Data'!$C$5:$O$5</c:f>
              <c:numCache>
                <c:formatCode>"$"#,##0_);[Red]\("$"#,##0\)</c:formatCode>
                <c:ptCount val="13"/>
                <c:pt idx="0">
                  <c:v>50105628</c:v>
                </c:pt>
                <c:pt idx="1">
                  <c:v>42166510</c:v>
                </c:pt>
                <c:pt idx="2">
                  <c:v>24910714</c:v>
                </c:pt>
                <c:pt idx="3">
                  <c:v>28000000</c:v>
                </c:pt>
                <c:pt idx="4">
                  <c:v>16660836</c:v>
                </c:pt>
                <c:pt idx="5">
                  <c:v>10000000</c:v>
                </c:pt>
                <c:pt idx="6">
                  <c:v>11800000</c:v>
                </c:pt>
                <c:pt idx="7" formatCode="General">
                  <c:v>0</c:v>
                </c:pt>
                <c:pt idx="8">
                  <c:v>2406205</c:v>
                </c:pt>
                <c:pt idx="9">
                  <c:v>3658560</c:v>
                </c:pt>
                <c:pt idx="10" formatCode="General">
                  <c:v>0</c:v>
                </c:pt>
                <c:pt idx="11">
                  <c:v>9160000</c:v>
                </c:pt>
                <c:pt idx="12">
                  <c:v>0</c:v>
                </c:pt>
              </c:numCache>
            </c:numRef>
          </c:val>
          <c:extLst>
            <c:ext xmlns:c16="http://schemas.microsoft.com/office/drawing/2014/chart" uri="{C3380CC4-5D6E-409C-BE32-E72D297353CC}">
              <c16:uniqueId val="{00000000-79A4-434D-8C3B-B430076E483D}"/>
            </c:ext>
          </c:extLst>
        </c:ser>
        <c:dLbls>
          <c:showLegendKey val="0"/>
          <c:showVal val="0"/>
          <c:showCatName val="0"/>
          <c:showSerName val="0"/>
          <c:showPercent val="0"/>
          <c:showBubbleSize val="0"/>
        </c:dLbls>
        <c:gapWidth val="219"/>
        <c:overlap val="-27"/>
        <c:axId val="175836928"/>
        <c:axId val="32254928"/>
      </c:barChart>
      <c:catAx>
        <c:axId val="175836928"/>
        <c:scaling>
          <c:orientation val="minMax"/>
        </c:scaling>
        <c:delete val="0"/>
        <c:axPos val="b"/>
        <c:title>
          <c:tx>
            <c:rich>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r>
                  <a:rPr lang="en-US"/>
                  <a:t>Players</a:t>
                </a:r>
              </a:p>
            </c:rich>
          </c:tx>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32254928"/>
        <c:crosses val="autoZero"/>
        <c:auto val="1"/>
        <c:lblAlgn val="ctr"/>
        <c:lblOffset val="100"/>
        <c:noMultiLvlLbl val="0"/>
      </c:catAx>
      <c:valAx>
        <c:axId val="32254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r>
                  <a:rPr lang="en-US"/>
                  <a:t>Salaries</a:t>
                </a:r>
              </a:p>
            </c:rich>
          </c:tx>
          <c:overlay val="0"/>
          <c:spPr>
            <a:noFill/>
            <a:ln>
              <a:noFill/>
            </a:ln>
            <a:effectLst/>
          </c:spPr>
          <c:txPr>
            <a:bodyPr rot="-54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title>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75836928"/>
        <c:crosses val="autoZero"/>
        <c:crossBetween val="between"/>
      </c:valAx>
      <c:spPr>
        <a:solidFill>
          <a:srgbClr val="00B050"/>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00"/>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'Transpsoed Data'!$B$6</c:f>
              <c:strCache>
                <c:ptCount val="1"/>
                <c:pt idx="0">
                  <c:v>2027–28 Salary</c:v>
                </c:pt>
              </c:strCache>
            </c:strRef>
          </c:tx>
          <c:spPr>
            <a:solidFill>
              <a:srgbClr val="C00000"/>
            </a:solidFill>
            <a:ln>
              <a:noFill/>
            </a:ln>
            <a:effectLst/>
          </c:spPr>
          <c:invertIfNegative val="0"/>
          <c:cat>
            <c:strRef>
              <c:f>'Transpsoed Data'!$C$3:$O$3</c:f>
              <c:strCache>
                <c:ptCount val="13"/>
                <c:pt idx="0">
                  <c:v>Donovan Mitchell</c:v>
                </c:pt>
                <c:pt idx="1">
                  <c:v>Evan Mobley</c:v>
                </c:pt>
                <c:pt idx="2">
                  <c:v>Darius Garland</c:v>
                </c:pt>
                <c:pt idx="3">
                  <c:v>De’Andre Hunter</c:v>
                </c:pt>
                <c:pt idx="4">
                  <c:v>Jarrett Allen</c:v>
                </c:pt>
                <c:pt idx="5">
                  <c:v>Max Strus</c:v>
                </c:pt>
                <c:pt idx="6">
                  <c:v>Lonzo Ball</c:v>
                </c:pt>
                <c:pt idx="7">
                  <c:v>Isaac Okoro</c:v>
                </c:pt>
                <c:pt idx="8">
                  <c:v>Dean Wade</c:v>
                </c:pt>
                <c:pt idx="9">
                  <c:v>Craig Porter Jr.</c:v>
                </c:pt>
                <c:pt idx="10">
                  <c:v>Jaylon Tyson</c:v>
                </c:pt>
                <c:pt idx="11">
                  <c:v>Chuma Okeke</c:v>
                </c:pt>
                <c:pt idx="12">
                  <c:v>Sam Merrill</c:v>
                </c:pt>
              </c:strCache>
            </c:strRef>
          </c:cat>
          <c:val>
            <c:numRef>
              <c:f>'Transpsoed Data'!$C$6:$O$6</c:f>
              <c:numCache>
                <c:formatCode>"$"#,##0_);[Red]\("$"#,##0\)</c:formatCode>
                <c:ptCount val="13"/>
                <c:pt idx="0">
                  <c:v>53817156</c:v>
                </c:pt>
                <c:pt idx="1">
                  <c:v>44886930</c:v>
                </c:pt>
                <c:pt idx="2">
                  <c:v>48214285</c:v>
                </c:pt>
                <c:pt idx="3">
                  <c:v>30240000</c:v>
                </c:pt>
                <c:pt idx="4">
                  <c:v>32597288</c:v>
                </c:pt>
                <c:pt idx="5">
                  <c:v>10000000</c:v>
                </c:pt>
                <c:pt idx="6" formatCode="General">
                  <c:v>0</c:v>
                </c:pt>
                <c:pt idx="7" formatCode="General">
                  <c:v>0</c:v>
                </c:pt>
                <c:pt idx="8" formatCode="General">
                  <c:v>0</c:v>
                </c:pt>
                <c:pt idx="9">
                  <c:v>5641500</c:v>
                </c:pt>
                <c:pt idx="10" formatCode="General">
                  <c:v>0</c:v>
                </c:pt>
                <c:pt idx="11">
                  <c:v>9840000</c:v>
                </c:pt>
                <c:pt idx="12">
                  <c:v>0</c:v>
                </c:pt>
              </c:numCache>
            </c:numRef>
          </c:val>
          <c:extLst>
            <c:ext xmlns:c16="http://schemas.microsoft.com/office/drawing/2014/chart" uri="{C3380CC4-5D6E-409C-BE32-E72D297353CC}">
              <c16:uniqueId val="{00000000-1169-434D-A707-4174993C94E8}"/>
            </c:ext>
          </c:extLst>
        </c:ser>
        <c:dLbls>
          <c:showLegendKey val="0"/>
          <c:showVal val="0"/>
          <c:showCatName val="0"/>
          <c:showSerName val="0"/>
          <c:showPercent val="0"/>
          <c:showBubbleSize val="0"/>
        </c:dLbls>
        <c:gapWidth val="219"/>
        <c:overlap val="-27"/>
        <c:axId val="1759424016"/>
        <c:axId val="1759424496"/>
      </c:barChart>
      <c:catAx>
        <c:axId val="17594240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Players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9424496"/>
        <c:crosses val="autoZero"/>
        <c:auto val="1"/>
        <c:lblAlgn val="ctr"/>
        <c:lblOffset val="100"/>
        <c:noMultiLvlLbl val="0"/>
      </c:catAx>
      <c:valAx>
        <c:axId val="1759424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Salaries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9424016"/>
        <c:crosses val="autoZero"/>
        <c:crossBetween val="between"/>
      </c:valAx>
      <c:spPr>
        <a:solidFill>
          <a:schemeClr val="accent6"/>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'Transpsoed Data'!$B$7</c:f>
              <c:strCache>
                <c:ptCount val="1"/>
                <c:pt idx="0">
                  <c:v>Beyond 2028</c:v>
                </c:pt>
              </c:strCache>
            </c:strRef>
          </c:tx>
          <c:spPr>
            <a:solidFill>
              <a:srgbClr val="C00000"/>
            </a:solidFill>
            <a:ln>
              <a:noFill/>
            </a:ln>
            <a:effectLst/>
          </c:spPr>
          <c:invertIfNegative val="0"/>
          <c:cat>
            <c:strRef>
              <c:f>'Transpsoed Data'!$C$3:$O$3</c:f>
              <c:strCache>
                <c:ptCount val="13"/>
                <c:pt idx="0">
                  <c:v>Donovan Mitchell</c:v>
                </c:pt>
                <c:pt idx="1">
                  <c:v>Evan Mobley</c:v>
                </c:pt>
                <c:pt idx="2">
                  <c:v>Darius Garland</c:v>
                </c:pt>
                <c:pt idx="3">
                  <c:v>De’Andre Hunter</c:v>
                </c:pt>
                <c:pt idx="4">
                  <c:v>Jarrett Allen</c:v>
                </c:pt>
                <c:pt idx="5">
                  <c:v>Max Strus</c:v>
                </c:pt>
                <c:pt idx="6">
                  <c:v>Lonzo Ball</c:v>
                </c:pt>
                <c:pt idx="7">
                  <c:v>Isaac Okoro</c:v>
                </c:pt>
                <c:pt idx="8">
                  <c:v>Dean Wade</c:v>
                </c:pt>
                <c:pt idx="9">
                  <c:v>Craig Porter Jr.</c:v>
                </c:pt>
                <c:pt idx="10">
                  <c:v>Jaylon Tyson</c:v>
                </c:pt>
                <c:pt idx="11">
                  <c:v>Chuma Okeke</c:v>
                </c:pt>
                <c:pt idx="12">
                  <c:v>Sam Merrill</c:v>
                </c:pt>
              </c:strCache>
            </c:strRef>
          </c:cat>
          <c:val>
            <c:numRef>
              <c:f>'Transpsoed Data'!$C$7:$O$7</c:f>
              <c:numCache>
                <c:formatCode>General</c:formatCode>
                <c:ptCount val="13"/>
                <c:pt idx="0" formatCode="&quot;$&quot;#,##0_);[Red]\(&quot;$&quot;#,##0\)">
                  <c:v>57528684</c:v>
                </c:pt>
                <c:pt idx="1">
                  <c:v>0</c:v>
                </c:pt>
                <c:pt idx="2">
                  <c:v>0</c:v>
                </c:pt>
                <c:pt idx="3" formatCode="&quot;$&quot;#,##0_);[Red]\(&quot;$&quot;#,##0\)">
                  <c:v>32480000</c:v>
                </c:pt>
                <c:pt idx="4">
                  <c:v>0</c:v>
                </c:pt>
                <c:pt idx="5">
                  <c:v>0</c:v>
                </c:pt>
                <c:pt idx="6">
                  <c:v>0</c:v>
                </c:pt>
                <c:pt idx="7">
                  <c:v>0</c:v>
                </c:pt>
                <c:pt idx="8">
                  <c:v>0</c:v>
                </c:pt>
                <c:pt idx="9">
                  <c:v>0</c:v>
                </c:pt>
                <c:pt idx="10">
                  <c:v>0</c:v>
                </c:pt>
                <c:pt idx="11" formatCode="&quot;$&quot;#,##0_);[Red]\(&quot;$&quot;#,##0\)">
                  <c:v>10520000</c:v>
                </c:pt>
                <c:pt idx="12" formatCode="&quot;$&quot;#,##0_);[Red]\(&quot;$&quot;#,##0\)">
                  <c:v>0</c:v>
                </c:pt>
              </c:numCache>
            </c:numRef>
          </c:val>
          <c:extLst>
            <c:ext xmlns:c16="http://schemas.microsoft.com/office/drawing/2014/chart" uri="{C3380CC4-5D6E-409C-BE32-E72D297353CC}">
              <c16:uniqueId val="{00000000-2005-41EF-8E96-49A065EA9D94}"/>
            </c:ext>
          </c:extLst>
        </c:ser>
        <c:dLbls>
          <c:showLegendKey val="0"/>
          <c:showVal val="0"/>
          <c:showCatName val="0"/>
          <c:showSerName val="0"/>
          <c:showPercent val="0"/>
          <c:showBubbleSize val="0"/>
        </c:dLbls>
        <c:gapWidth val="219"/>
        <c:overlap val="-27"/>
        <c:axId val="108364624"/>
        <c:axId val="108365104"/>
      </c:barChart>
      <c:catAx>
        <c:axId val="108364624"/>
        <c:scaling>
          <c:orientation val="minMax"/>
        </c:scaling>
        <c:delete val="0"/>
        <c:axPos val="b"/>
        <c:title>
          <c:tx>
            <c:rich>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r>
                  <a:rPr lang="en-US"/>
                  <a:t>Players</a:t>
                </a:r>
              </a:p>
            </c:rich>
          </c:tx>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08365104"/>
        <c:crosses val="autoZero"/>
        <c:auto val="1"/>
        <c:lblAlgn val="ctr"/>
        <c:lblOffset val="100"/>
        <c:noMultiLvlLbl val="0"/>
      </c:catAx>
      <c:valAx>
        <c:axId val="1083651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r>
                  <a:rPr lang="en-US"/>
                  <a:t>Salaries</a:t>
                </a:r>
              </a:p>
            </c:rich>
          </c:tx>
          <c:overlay val="0"/>
          <c:spPr>
            <a:noFill/>
            <a:ln>
              <a:noFill/>
            </a:ln>
            <a:effectLst/>
          </c:spPr>
          <c:txPr>
            <a:bodyPr rot="-54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title>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08364624"/>
        <c:crosses val="autoZero"/>
        <c:crossBetween val="between"/>
      </c:valAx>
      <c:spPr>
        <a:solidFill>
          <a:schemeClr val="accent6"/>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00"/>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Games played </a:t>
            </a:r>
            <a:r>
              <a:rPr lang="en-US" sz="1400" b="0" i="0" u="none" strike="noStrike" kern="1200" spc="0" baseline="0">
                <a:solidFill>
                  <a:sysClr val="windowText" lastClr="000000">
                    <a:lumMod val="65000"/>
                    <a:lumOff val="35000"/>
                  </a:sysClr>
                </a:solidFill>
              </a:rPr>
              <a:t>each player of Last season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Stats!$B$3</c:f>
              <c:strCache>
                <c:ptCount val="1"/>
                <c:pt idx="0">
                  <c:v>Games</c:v>
                </c:pt>
              </c:strCache>
            </c:strRef>
          </c:tx>
          <c:spPr>
            <a:solidFill>
              <a:schemeClr val="accent1"/>
            </a:solidFill>
            <a:ln>
              <a:noFill/>
            </a:ln>
            <a:effectLst/>
          </c:spPr>
          <c:invertIfNegative val="0"/>
          <c:cat>
            <c:strRef>
              <c:f>Stats!$C$2:$O$2</c:f>
              <c:strCache>
                <c:ptCount val="13"/>
                <c:pt idx="0">
                  <c:v>Donovan Mitchell</c:v>
                </c:pt>
                <c:pt idx="1">
                  <c:v>Evan Mobley</c:v>
                </c:pt>
                <c:pt idx="2">
                  <c:v>Darius Garland</c:v>
                </c:pt>
                <c:pt idx="3">
                  <c:v>De’Andre Hunter</c:v>
                </c:pt>
                <c:pt idx="4">
                  <c:v>Jarrett Allen</c:v>
                </c:pt>
                <c:pt idx="5">
                  <c:v>Max Strus</c:v>
                </c:pt>
                <c:pt idx="6">
                  <c:v>Lonzo Ball</c:v>
                </c:pt>
                <c:pt idx="7">
                  <c:v>Isaac Okoro</c:v>
                </c:pt>
                <c:pt idx="8">
                  <c:v> Dean Wade </c:v>
                </c:pt>
                <c:pt idx="9">
                  <c:v> Craig Porter Jr. </c:v>
                </c:pt>
                <c:pt idx="10">
                  <c:v> Jaylon Tyson </c:v>
                </c:pt>
                <c:pt idx="11">
                  <c:v>Chuma Okeke</c:v>
                </c:pt>
                <c:pt idx="12">
                  <c:v>Sam Merrill</c:v>
                </c:pt>
              </c:strCache>
            </c:strRef>
          </c:cat>
          <c:val>
            <c:numRef>
              <c:f>Stats!$C$3:$O$3</c:f>
              <c:numCache>
                <c:formatCode>General</c:formatCode>
                <c:ptCount val="13"/>
                <c:pt idx="0">
                  <c:v>71</c:v>
                </c:pt>
                <c:pt idx="1">
                  <c:v>71</c:v>
                </c:pt>
                <c:pt idx="2">
                  <c:v>75</c:v>
                </c:pt>
                <c:pt idx="3">
                  <c:v>27</c:v>
                </c:pt>
                <c:pt idx="4">
                  <c:v>82</c:v>
                </c:pt>
                <c:pt idx="5">
                  <c:v>50</c:v>
                </c:pt>
                <c:pt idx="6">
                  <c:v>35</c:v>
                </c:pt>
                <c:pt idx="7">
                  <c:v>55</c:v>
                </c:pt>
                <c:pt idx="8" formatCode="_(* #,##0_);_(* \(#,##0\);_(* &quot;-&quot;??_);_(@_)">
                  <c:v>59</c:v>
                </c:pt>
                <c:pt idx="9" formatCode="_(* #,##0_);_(* \(#,##0\);_(* &quot;-&quot;??_);_(@_)">
                  <c:v>51</c:v>
                </c:pt>
                <c:pt idx="10" formatCode="_(* #,##0_);_(* \(#,##0\);_(* &quot;-&quot;??_);_(@_)">
                  <c:v>47</c:v>
                </c:pt>
                <c:pt idx="11">
                  <c:v>2</c:v>
                </c:pt>
                <c:pt idx="12">
                  <c:v>71</c:v>
                </c:pt>
              </c:numCache>
            </c:numRef>
          </c:val>
          <c:extLst>
            <c:ext xmlns:c16="http://schemas.microsoft.com/office/drawing/2014/chart" uri="{C3380CC4-5D6E-409C-BE32-E72D297353CC}">
              <c16:uniqueId val="{00000000-294D-44DB-9730-0430BD77E559}"/>
            </c:ext>
          </c:extLst>
        </c:ser>
        <c:dLbls>
          <c:showLegendKey val="0"/>
          <c:showVal val="0"/>
          <c:showCatName val="0"/>
          <c:showSerName val="0"/>
          <c:showPercent val="0"/>
          <c:showBubbleSize val="0"/>
        </c:dLbls>
        <c:gapWidth val="182"/>
        <c:axId val="209236832"/>
        <c:axId val="209237312"/>
      </c:barChart>
      <c:catAx>
        <c:axId val="20923683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Players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37312"/>
        <c:crosses val="autoZero"/>
        <c:auto val="1"/>
        <c:lblAlgn val="ctr"/>
        <c:lblOffset val="100"/>
        <c:noMultiLvlLbl val="0"/>
      </c:catAx>
      <c:valAx>
        <c:axId val="20923731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Games</a:t>
                </a:r>
                <a:r>
                  <a:rPr lang="en-US" baseline="0"/>
                  <a:t> per player</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368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MPG </a:t>
            </a:r>
            <a:r>
              <a:rPr lang="en-US" sz="1400" b="0" i="0" u="none" strike="noStrike" kern="1200" spc="0" baseline="0">
                <a:solidFill>
                  <a:sysClr val="windowText" lastClr="000000">
                    <a:lumMod val="65000"/>
                    <a:lumOff val="35000"/>
                  </a:sysClr>
                </a:solidFill>
              </a:rPr>
              <a:t>each player of Last season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Stats!$B$4</c:f>
              <c:strCache>
                <c:ptCount val="1"/>
                <c:pt idx="0">
                  <c:v>MPG</c:v>
                </c:pt>
              </c:strCache>
            </c:strRef>
          </c:tx>
          <c:spPr>
            <a:solidFill>
              <a:schemeClr val="accent1"/>
            </a:solidFill>
            <a:ln>
              <a:noFill/>
            </a:ln>
            <a:effectLst/>
          </c:spPr>
          <c:invertIfNegative val="0"/>
          <c:cat>
            <c:strRef>
              <c:f>Stats!$C$2:$R$2</c:f>
              <c:strCache>
                <c:ptCount val="16"/>
                <c:pt idx="0">
                  <c:v>Donovan Mitchell</c:v>
                </c:pt>
                <c:pt idx="1">
                  <c:v>Evan Mobley</c:v>
                </c:pt>
                <c:pt idx="2">
                  <c:v>Darius Garland</c:v>
                </c:pt>
                <c:pt idx="3">
                  <c:v>De’Andre Hunter</c:v>
                </c:pt>
                <c:pt idx="4">
                  <c:v>Jarrett Allen</c:v>
                </c:pt>
                <c:pt idx="5">
                  <c:v>Max Strus</c:v>
                </c:pt>
                <c:pt idx="6">
                  <c:v>Lonzo Ball</c:v>
                </c:pt>
                <c:pt idx="7">
                  <c:v>Isaac Okoro</c:v>
                </c:pt>
                <c:pt idx="8">
                  <c:v> Dean Wade </c:v>
                </c:pt>
                <c:pt idx="9">
                  <c:v> Craig Porter Jr. </c:v>
                </c:pt>
                <c:pt idx="10">
                  <c:v> Jaylon Tyson </c:v>
                </c:pt>
                <c:pt idx="11">
                  <c:v>Chuma Okeke</c:v>
                </c:pt>
                <c:pt idx="12">
                  <c:v>Sam Merrill</c:v>
                </c:pt>
                <c:pt idx="13">
                  <c:v>Larry Nance Jr.</c:v>
                </c:pt>
                <c:pt idx="14">
                  <c:v>Tyrese Proctor</c:v>
                </c:pt>
                <c:pt idx="15">
                  <c:v>Ricky Rubio</c:v>
                </c:pt>
              </c:strCache>
            </c:strRef>
          </c:cat>
          <c:val>
            <c:numRef>
              <c:f>Stats!$C$4:$R$4</c:f>
              <c:numCache>
                <c:formatCode>General</c:formatCode>
                <c:ptCount val="16"/>
                <c:pt idx="0">
                  <c:v>31.4</c:v>
                </c:pt>
                <c:pt idx="1">
                  <c:v>30.5</c:v>
                </c:pt>
                <c:pt idx="2">
                  <c:v>30.7</c:v>
                </c:pt>
                <c:pt idx="3">
                  <c:v>25</c:v>
                </c:pt>
                <c:pt idx="4">
                  <c:v>28</c:v>
                </c:pt>
                <c:pt idx="5">
                  <c:v>25.5</c:v>
                </c:pt>
                <c:pt idx="6">
                  <c:v>22.2</c:v>
                </c:pt>
                <c:pt idx="7">
                  <c:v>19.100000000000001</c:v>
                </c:pt>
                <c:pt idx="8" formatCode="_(* #,##0.0_);_(* \(#,##0.0\);_(* &quot;-&quot;??_);_(@_)">
                  <c:v>21.2</c:v>
                </c:pt>
                <c:pt idx="9" formatCode="_(* #,##0.0_);_(* \(#,##0.0\);_(* &quot;-&quot;??_);_(@_)">
                  <c:v>10.1</c:v>
                </c:pt>
                <c:pt idx="10" formatCode="_(* #,##0.0_);_(* \(#,##0.0\);_(* &quot;-&quot;??_);_(@_)">
                  <c:v>9.6</c:v>
                </c:pt>
                <c:pt idx="11">
                  <c:v>12.5</c:v>
                </c:pt>
                <c:pt idx="12">
                  <c:v>19.7</c:v>
                </c:pt>
                <c:pt idx="13">
                  <c:v>20.3</c:v>
                </c:pt>
                <c:pt idx="14">
                  <c:v>0</c:v>
                </c:pt>
                <c:pt idx="15">
                  <c:v>4.5</c:v>
                </c:pt>
              </c:numCache>
            </c:numRef>
          </c:val>
          <c:extLst>
            <c:ext xmlns:c16="http://schemas.microsoft.com/office/drawing/2014/chart" uri="{C3380CC4-5D6E-409C-BE32-E72D297353CC}">
              <c16:uniqueId val="{00000000-B6F6-4161-93B3-81B9E1F5F0CB}"/>
            </c:ext>
          </c:extLst>
        </c:ser>
        <c:dLbls>
          <c:showLegendKey val="0"/>
          <c:showVal val="0"/>
          <c:showCatName val="0"/>
          <c:showSerName val="0"/>
          <c:showPercent val="0"/>
          <c:showBubbleSize val="0"/>
        </c:dLbls>
        <c:gapWidth val="182"/>
        <c:axId val="1515938560"/>
        <c:axId val="1515940960"/>
      </c:barChart>
      <c:catAx>
        <c:axId val="151593856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Players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5940960"/>
        <c:crosses val="autoZero"/>
        <c:auto val="1"/>
        <c:lblAlgn val="ctr"/>
        <c:lblOffset val="100"/>
        <c:noMultiLvlLbl val="0"/>
      </c:catAx>
      <c:valAx>
        <c:axId val="151594096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Minutes</a:t>
                </a:r>
                <a:r>
                  <a:rPr lang="en-US" baseline="0"/>
                  <a:t> per Player</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5938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PPG of each playerof</a:t>
            </a:r>
            <a:r>
              <a:rPr lang="en-US" baseline="0"/>
              <a:t> Last season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Stats!$B$5</c:f>
              <c:strCache>
                <c:ptCount val="1"/>
                <c:pt idx="0">
                  <c:v>PPG</c:v>
                </c:pt>
              </c:strCache>
            </c:strRef>
          </c:tx>
          <c:spPr>
            <a:solidFill>
              <a:schemeClr val="accent1"/>
            </a:solidFill>
            <a:ln>
              <a:noFill/>
            </a:ln>
            <a:effectLst/>
          </c:spPr>
          <c:invertIfNegative val="0"/>
          <c:cat>
            <c:strRef>
              <c:f>Stats!$C$2:$R$2</c:f>
              <c:strCache>
                <c:ptCount val="16"/>
                <c:pt idx="0">
                  <c:v>Donovan Mitchell</c:v>
                </c:pt>
                <c:pt idx="1">
                  <c:v>Evan Mobley</c:v>
                </c:pt>
                <c:pt idx="2">
                  <c:v>Darius Garland</c:v>
                </c:pt>
                <c:pt idx="3">
                  <c:v>De’Andre Hunter</c:v>
                </c:pt>
                <c:pt idx="4">
                  <c:v>Jarrett Allen</c:v>
                </c:pt>
                <c:pt idx="5">
                  <c:v>Max Strus</c:v>
                </c:pt>
                <c:pt idx="6">
                  <c:v>Lonzo Ball</c:v>
                </c:pt>
                <c:pt idx="7">
                  <c:v>Isaac Okoro</c:v>
                </c:pt>
                <c:pt idx="8">
                  <c:v> Dean Wade </c:v>
                </c:pt>
                <c:pt idx="9">
                  <c:v> Craig Porter Jr. </c:v>
                </c:pt>
                <c:pt idx="10">
                  <c:v> Jaylon Tyson </c:v>
                </c:pt>
                <c:pt idx="11">
                  <c:v>Chuma Okeke</c:v>
                </c:pt>
                <c:pt idx="12">
                  <c:v>Sam Merrill</c:v>
                </c:pt>
                <c:pt idx="13">
                  <c:v>Larry Nance Jr.</c:v>
                </c:pt>
                <c:pt idx="14">
                  <c:v>Tyrese Proctor</c:v>
                </c:pt>
                <c:pt idx="15">
                  <c:v>Ricky Rubio</c:v>
                </c:pt>
              </c:strCache>
            </c:strRef>
          </c:cat>
          <c:val>
            <c:numRef>
              <c:f>Stats!$C$5:$R$5</c:f>
              <c:numCache>
                <c:formatCode>General</c:formatCode>
                <c:ptCount val="16"/>
                <c:pt idx="0">
                  <c:v>24</c:v>
                </c:pt>
                <c:pt idx="1">
                  <c:v>18.5</c:v>
                </c:pt>
                <c:pt idx="2">
                  <c:v>20.6</c:v>
                </c:pt>
                <c:pt idx="3">
                  <c:v>14.3</c:v>
                </c:pt>
                <c:pt idx="4">
                  <c:v>13.5</c:v>
                </c:pt>
                <c:pt idx="5">
                  <c:v>9.4</c:v>
                </c:pt>
                <c:pt idx="6">
                  <c:v>7.6</c:v>
                </c:pt>
                <c:pt idx="7">
                  <c:v>6.1</c:v>
                </c:pt>
                <c:pt idx="8" formatCode="_(* #,##0.0_);_(* \(#,##0.0\);_(* &quot;-&quot;??_);_(@_)">
                  <c:v>5.4</c:v>
                </c:pt>
                <c:pt idx="9" formatCode="_(* #,##0.0_);_(* \(#,##0.0\);_(* &quot;-&quot;??_);_(@_)">
                  <c:v>3.7</c:v>
                </c:pt>
                <c:pt idx="10" formatCode="_(* #,##0.0_);_(* \(#,##0.0\);_(* &quot;-&quot;??_);_(@_)">
                  <c:v>3.6</c:v>
                </c:pt>
                <c:pt idx="11">
                  <c:v>2.5</c:v>
                </c:pt>
                <c:pt idx="12">
                  <c:v>7.2</c:v>
                </c:pt>
                <c:pt idx="13">
                  <c:v>8.5</c:v>
                </c:pt>
                <c:pt idx="14">
                  <c:v>0</c:v>
                </c:pt>
                <c:pt idx="15">
                  <c:v>0.7</c:v>
                </c:pt>
              </c:numCache>
            </c:numRef>
          </c:val>
          <c:extLst>
            <c:ext xmlns:c16="http://schemas.microsoft.com/office/drawing/2014/chart" uri="{C3380CC4-5D6E-409C-BE32-E72D297353CC}">
              <c16:uniqueId val="{00000000-22A9-4B94-908F-C0CBA7C5FD9A}"/>
            </c:ext>
          </c:extLst>
        </c:ser>
        <c:dLbls>
          <c:showLegendKey val="0"/>
          <c:showVal val="0"/>
          <c:showCatName val="0"/>
          <c:showSerName val="0"/>
          <c:showPercent val="0"/>
          <c:showBubbleSize val="0"/>
        </c:dLbls>
        <c:gapWidth val="182"/>
        <c:axId val="1515990880"/>
        <c:axId val="1515991840"/>
      </c:barChart>
      <c:catAx>
        <c:axId val="151599088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Players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5991840"/>
        <c:crosses val="autoZero"/>
        <c:auto val="1"/>
        <c:lblAlgn val="ctr"/>
        <c:lblOffset val="100"/>
        <c:noMultiLvlLbl val="0"/>
      </c:catAx>
      <c:valAx>
        <c:axId val="151599184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Points</a:t>
                </a:r>
                <a:r>
                  <a:rPr lang="en-US" baseline="0"/>
                  <a:t> per Game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59908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US"/>
              <a:t>RPG of each player of Last season</a:t>
            </a:r>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0"/>
          <c:order val="0"/>
          <c:tx>
            <c:strRef>
              <c:f>Stats!$B$6</c:f>
              <c:strCache>
                <c:ptCount val="1"/>
                <c:pt idx="0">
                  <c:v>RPG</c:v>
                </c:pt>
              </c:strCache>
            </c:strRef>
          </c:tx>
          <c:spPr>
            <a:solidFill>
              <a:schemeClr val="accent1"/>
            </a:solidFill>
            <a:ln>
              <a:noFill/>
            </a:ln>
            <a:effectLst/>
          </c:spPr>
          <c:invertIfNegative val="0"/>
          <c:cat>
            <c:strRef>
              <c:f>Stats!$C$2:$R$2</c:f>
              <c:strCache>
                <c:ptCount val="16"/>
                <c:pt idx="0">
                  <c:v>Donovan Mitchell</c:v>
                </c:pt>
                <c:pt idx="1">
                  <c:v>Evan Mobley</c:v>
                </c:pt>
                <c:pt idx="2">
                  <c:v>Darius Garland</c:v>
                </c:pt>
                <c:pt idx="3">
                  <c:v>De’Andre Hunter</c:v>
                </c:pt>
                <c:pt idx="4">
                  <c:v>Jarrett Allen</c:v>
                </c:pt>
                <c:pt idx="5">
                  <c:v>Max Strus</c:v>
                </c:pt>
                <c:pt idx="6">
                  <c:v>Lonzo Ball</c:v>
                </c:pt>
                <c:pt idx="7">
                  <c:v>Isaac Okoro</c:v>
                </c:pt>
                <c:pt idx="8">
                  <c:v> Dean Wade </c:v>
                </c:pt>
                <c:pt idx="9">
                  <c:v> Craig Porter Jr. </c:v>
                </c:pt>
                <c:pt idx="10">
                  <c:v> Jaylon Tyson </c:v>
                </c:pt>
                <c:pt idx="11">
                  <c:v>Chuma Okeke</c:v>
                </c:pt>
                <c:pt idx="12">
                  <c:v>Sam Merrill</c:v>
                </c:pt>
                <c:pt idx="13">
                  <c:v>Larry Nance Jr.</c:v>
                </c:pt>
                <c:pt idx="14">
                  <c:v>Tyrese Proctor</c:v>
                </c:pt>
                <c:pt idx="15">
                  <c:v>Ricky Rubio</c:v>
                </c:pt>
              </c:strCache>
            </c:strRef>
          </c:cat>
          <c:val>
            <c:numRef>
              <c:f>Stats!$C$6:$R$6</c:f>
              <c:numCache>
                <c:formatCode>General</c:formatCode>
                <c:ptCount val="16"/>
                <c:pt idx="0">
                  <c:v>4.5</c:v>
                </c:pt>
                <c:pt idx="1">
                  <c:v>9.3000000000000007</c:v>
                </c:pt>
                <c:pt idx="2">
                  <c:v>2.9</c:v>
                </c:pt>
                <c:pt idx="3">
                  <c:v>4.2</c:v>
                </c:pt>
                <c:pt idx="4">
                  <c:v>9.6999999999999993</c:v>
                </c:pt>
                <c:pt idx="5">
                  <c:v>4.3</c:v>
                </c:pt>
                <c:pt idx="6">
                  <c:v>3.4</c:v>
                </c:pt>
                <c:pt idx="7">
                  <c:v>2.4</c:v>
                </c:pt>
                <c:pt idx="8" formatCode="_(* #,##0.0_);_(* \(#,##0.0\);_(* &quot;-&quot;??_);_(@_)">
                  <c:v>4.2</c:v>
                </c:pt>
                <c:pt idx="9" formatCode="_(* #,##0.0_);_(* \(#,##0.0\);_(* &quot;-&quot;??_);_(@_)">
                  <c:v>1.3</c:v>
                </c:pt>
                <c:pt idx="10" formatCode="_(* #,##0.0_);_(* \(#,##0.0\);_(* &quot;-&quot;??_);_(@_)">
                  <c:v>2</c:v>
                </c:pt>
                <c:pt idx="11">
                  <c:v>2</c:v>
                </c:pt>
                <c:pt idx="12">
                  <c:v>2.2000000000000002</c:v>
                </c:pt>
                <c:pt idx="13">
                  <c:v>4.3</c:v>
                </c:pt>
                <c:pt idx="14">
                  <c:v>0</c:v>
                </c:pt>
                <c:pt idx="15">
                  <c:v>0.7</c:v>
                </c:pt>
              </c:numCache>
            </c:numRef>
          </c:val>
          <c:extLst>
            <c:ext xmlns:c16="http://schemas.microsoft.com/office/drawing/2014/chart" uri="{C3380CC4-5D6E-409C-BE32-E72D297353CC}">
              <c16:uniqueId val="{00000000-0110-4971-B334-91DF094C0596}"/>
            </c:ext>
          </c:extLst>
        </c:ser>
        <c:dLbls>
          <c:showLegendKey val="0"/>
          <c:showVal val="0"/>
          <c:showCatName val="0"/>
          <c:showSerName val="0"/>
          <c:showPercent val="0"/>
          <c:showBubbleSize val="0"/>
        </c:dLbls>
        <c:gapWidth val="182"/>
        <c:axId val="108367024"/>
        <c:axId val="108368464"/>
      </c:barChart>
      <c:catAx>
        <c:axId val="108367024"/>
        <c:scaling>
          <c:orientation val="minMax"/>
        </c:scaling>
        <c:delete val="0"/>
        <c:axPos val="l"/>
        <c:title>
          <c:tx>
            <c:rich>
              <a:bodyPr rot="-54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r>
                  <a:rPr lang="en-US"/>
                  <a:t>Players</a:t>
                </a:r>
              </a:p>
            </c:rich>
          </c:tx>
          <c:overlay val="0"/>
          <c:spPr>
            <a:noFill/>
            <a:ln>
              <a:noFill/>
            </a:ln>
            <a:effectLst/>
          </c:spPr>
          <c:txPr>
            <a:bodyPr rot="-54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08368464"/>
        <c:crosses val="autoZero"/>
        <c:auto val="1"/>
        <c:lblAlgn val="ctr"/>
        <c:lblOffset val="100"/>
        <c:noMultiLvlLbl val="0"/>
      </c:catAx>
      <c:valAx>
        <c:axId val="10836846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r>
                  <a:rPr lang="en-US"/>
                  <a:t>Rebonds per Game</a:t>
                </a:r>
              </a:p>
            </c:rich>
          </c:tx>
          <c:layout>
            <c:manualLayout>
              <c:xMode val="edge"/>
              <c:yMode val="edge"/>
              <c:x val="0.4545503062117236"/>
              <c:y val="0.88331000291630213"/>
            </c:manualLayout>
          </c:layout>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083670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APG </a:t>
            </a:r>
            <a:r>
              <a:rPr lang="en-US" sz="1400" b="0" i="0" u="none" strike="noStrike" kern="1200" spc="0" baseline="0">
                <a:solidFill>
                  <a:sysClr val="windowText" lastClr="000000">
                    <a:lumMod val="65000"/>
                    <a:lumOff val="35000"/>
                  </a:sysClr>
                </a:solidFill>
                <a:latin typeface="+mn-lt"/>
                <a:ea typeface="+mn-ea"/>
                <a:cs typeface="+mn-cs"/>
              </a:rPr>
              <a:t>each player of Last season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Stats!$B$7</c:f>
              <c:strCache>
                <c:ptCount val="1"/>
                <c:pt idx="0">
                  <c:v>APG</c:v>
                </c:pt>
              </c:strCache>
            </c:strRef>
          </c:tx>
          <c:spPr>
            <a:solidFill>
              <a:schemeClr val="accent1"/>
            </a:solidFill>
            <a:ln>
              <a:noFill/>
            </a:ln>
            <a:effectLst/>
          </c:spPr>
          <c:invertIfNegative val="0"/>
          <c:cat>
            <c:strRef>
              <c:f>Stats!$C$2:$R$2</c:f>
              <c:strCache>
                <c:ptCount val="16"/>
                <c:pt idx="0">
                  <c:v>Donovan Mitchell</c:v>
                </c:pt>
                <c:pt idx="1">
                  <c:v>Evan Mobley</c:v>
                </c:pt>
                <c:pt idx="2">
                  <c:v>Darius Garland</c:v>
                </c:pt>
                <c:pt idx="3">
                  <c:v>De’Andre Hunter</c:v>
                </c:pt>
                <c:pt idx="4">
                  <c:v>Jarrett Allen</c:v>
                </c:pt>
                <c:pt idx="5">
                  <c:v>Max Strus</c:v>
                </c:pt>
                <c:pt idx="6">
                  <c:v>Lonzo Ball</c:v>
                </c:pt>
                <c:pt idx="7">
                  <c:v>Isaac Okoro</c:v>
                </c:pt>
                <c:pt idx="8">
                  <c:v> Dean Wade </c:v>
                </c:pt>
                <c:pt idx="9">
                  <c:v> Craig Porter Jr. </c:v>
                </c:pt>
                <c:pt idx="10">
                  <c:v> Jaylon Tyson </c:v>
                </c:pt>
                <c:pt idx="11">
                  <c:v>Chuma Okeke</c:v>
                </c:pt>
                <c:pt idx="12">
                  <c:v>Sam Merrill</c:v>
                </c:pt>
                <c:pt idx="13">
                  <c:v>Larry Nance Jr.</c:v>
                </c:pt>
                <c:pt idx="14">
                  <c:v>Tyrese Proctor</c:v>
                </c:pt>
                <c:pt idx="15">
                  <c:v>Ricky Rubio</c:v>
                </c:pt>
              </c:strCache>
            </c:strRef>
          </c:cat>
          <c:val>
            <c:numRef>
              <c:f>Stats!$C$7:$R$7</c:f>
              <c:numCache>
                <c:formatCode>General</c:formatCode>
                <c:ptCount val="16"/>
                <c:pt idx="0">
                  <c:v>5</c:v>
                </c:pt>
                <c:pt idx="1">
                  <c:v>3.2</c:v>
                </c:pt>
                <c:pt idx="2">
                  <c:v>6.7</c:v>
                </c:pt>
                <c:pt idx="3">
                  <c:v>1.3</c:v>
                </c:pt>
                <c:pt idx="4">
                  <c:v>1.9</c:v>
                </c:pt>
                <c:pt idx="5">
                  <c:v>3.2</c:v>
                </c:pt>
                <c:pt idx="6">
                  <c:v>3.3</c:v>
                </c:pt>
                <c:pt idx="7">
                  <c:v>1.2</c:v>
                </c:pt>
                <c:pt idx="8" formatCode="_(* #,##0.0_);_(* \(#,##0.0\);_(* &quot;-&quot;??_);_(@_)">
                  <c:v>1.3</c:v>
                </c:pt>
                <c:pt idx="9" formatCode="_(* #,##0.0_);_(* \(#,##0.0\);_(* &quot;-&quot;??_);_(@_)">
                  <c:v>1.4</c:v>
                </c:pt>
                <c:pt idx="10" formatCode="_(* #,##0.0_);_(* \(#,##0.0\);_(* &quot;-&quot;??_);_(@_)">
                  <c:v>0.9</c:v>
                </c:pt>
                <c:pt idx="11">
                  <c:v>0.7</c:v>
                </c:pt>
                <c:pt idx="12">
                  <c:v>1.5</c:v>
                </c:pt>
                <c:pt idx="13">
                  <c:v>1.6</c:v>
                </c:pt>
                <c:pt idx="14">
                  <c:v>0</c:v>
                </c:pt>
                <c:pt idx="15">
                  <c:v>0.7</c:v>
                </c:pt>
              </c:numCache>
            </c:numRef>
          </c:val>
          <c:extLst>
            <c:ext xmlns:c16="http://schemas.microsoft.com/office/drawing/2014/chart" uri="{C3380CC4-5D6E-409C-BE32-E72D297353CC}">
              <c16:uniqueId val="{00000000-C25A-4CF6-B5AE-CE3285E98FD7}"/>
            </c:ext>
          </c:extLst>
        </c:ser>
        <c:dLbls>
          <c:showLegendKey val="0"/>
          <c:showVal val="0"/>
          <c:showCatName val="0"/>
          <c:showSerName val="0"/>
          <c:showPercent val="0"/>
          <c:showBubbleSize val="0"/>
        </c:dLbls>
        <c:gapWidth val="182"/>
        <c:axId val="54329968"/>
        <c:axId val="54332848"/>
      </c:barChart>
      <c:catAx>
        <c:axId val="5432996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Players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32848"/>
        <c:crosses val="autoZero"/>
        <c:auto val="1"/>
        <c:lblAlgn val="ctr"/>
        <c:lblOffset val="100"/>
        <c:noMultiLvlLbl val="0"/>
      </c:catAx>
      <c:valAx>
        <c:axId val="543328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Assist</a:t>
                </a:r>
                <a:r>
                  <a:rPr lang="en-US" baseline="0"/>
                  <a:t> per Game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299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SPG </a:t>
            </a:r>
            <a:r>
              <a:rPr lang="en-US" sz="1400" b="0" i="0" u="none" strike="noStrike" kern="1200" spc="0" baseline="0">
                <a:solidFill>
                  <a:sysClr val="windowText" lastClr="000000">
                    <a:lumMod val="65000"/>
                    <a:lumOff val="35000"/>
                  </a:sysClr>
                </a:solidFill>
              </a:rPr>
              <a:t>each player of Last season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Stats!$B$8</c:f>
              <c:strCache>
                <c:ptCount val="1"/>
                <c:pt idx="0">
                  <c:v>SPG</c:v>
                </c:pt>
              </c:strCache>
            </c:strRef>
          </c:tx>
          <c:spPr>
            <a:solidFill>
              <a:schemeClr val="accent1"/>
            </a:solidFill>
            <a:ln>
              <a:noFill/>
            </a:ln>
            <a:effectLst/>
          </c:spPr>
          <c:invertIfNegative val="0"/>
          <c:cat>
            <c:strRef>
              <c:f>Stats!$C$2:$R$2</c:f>
              <c:strCache>
                <c:ptCount val="16"/>
                <c:pt idx="0">
                  <c:v>Donovan Mitchell</c:v>
                </c:pt>
                <c:pt idx="1">
                  <c:v>Evan Mobley</c:v>
                </c:pt>
                <c:pt idx="2">
                  <c:v>Darius Garland</c:v>
                </c:pt>
                <c:pt idx="3">
                  <c:v>De’Andre Hunter</c:v>
                </c:pt>
                <c:pt idx="4">
                  <c:v>Jarrett Allen</c:v>
                </c:pt>
                <c:pt idx="5">
                  <c:v>Max Strus</c:v>
                </c:pt>
                <c:pt idx="6">
                  <c:v>Lonzo Ball</c:v>
                </c:pt>
                <c:pt idx="7">
                  <c:v>Isaac Okoro</c:v>
                </c:pt>
                <c:pt idx="8">
                  <c:v> Dean Wade </c:v>
                </c:pt>
                <c:pt idx="9">
                  <c:v> Craig Porter Jr. </c:v>
                </c:pt>
                <c:pt idx="10">
                  <c:v> Jaylon Tyson </c:v>
                </c:pt>
                <c:pt idx="11">
                  <c:v>Chuma Okeke</c:v>
                </c:pt>
                <c:pt idx="12">
                  <c:v>Sam Merrill</c:v>
                </c:pt>
                <c:pt idx="13">
                  <c:v>Larry Nance Jr.</c:v>
                </c:pt>
                <c:pt idx="14">
                  <c:v>Tyrese Proctor</c:v>
                </c:pt>
                <c:pt idx="15">
                  <c:v>Ricky Rubio</c:v>
                </c:pt>
              </c:strCache>
            </c:strRef>
          </c:cat>
          <c:val>
            <c:numRef>
              <c:f>Stats!$C$8:$R$8</c:f>
              <c:numCache>
                <c:formatCode>General</c:formatCode>
                <c:ptCount val="16"/>
                <c:pt idx="0">
                  <c:v>1.3</c:v>
                </c:pt>
                <c:pt idx="1">
                  <c:v>0.9</c:v>
                </c:pt>
                <c:pt idx="2">
                  <c:v>1.2</c:v>
                </c:pt>
                <c:pt idx="3">
                  <c:v>0.7</c:v>
                </c:pt>
                <c:pt idx="4">
                  <c:v>0.9</c:v>
                </c:pt>
                <c:pt idx="5">
                  <c:v>0.5</c:v>
                </c:pt>
                <c:pt idx="6">
                  <c:v>1.3</c:v>
                </c:pt>
                <c:pt idx="7">
                  <c:v>0.9</c:v>
                </c:pt>
                <c:pt idx="8" formatCode="_(* #,##0.0_);_(* \(#,##0.0\);_(* &quot;-&quot;??_);_(@_)">
                  <c:v>0.7</c:v>
                </c:pt>
                <c:pt idx="9" formatCode="_(* #,##0.0_);_(* \(#,##0.0\);_(* &quot;-&quot;??_);_(@_)">
                  <c:v>0.3</c:v>
                </c:pt>
                <c:pt idx="10" formatCode="_(* #,##0.0_);_(* \(#,##0.0\);_(* &quot;-&quot;??_);_(@_)">
                  <c:v>0.3</c:v>
                </c:pt>
                <c:pt idx="11">
                  <c:v>0</c:v>
                </c:pt>
                <c:pt idx="12">
                  <c:v>0.7</c:v>
                </c:pt>
                <c:pt idx="13">
                  <c:v>0.7</c:v>
                </c:pt>
                <c:pt idx="14">
                  <c:v>0</c:v>
                </c:pt>
                <c:pt idx="15">
                  <c:v>0.3</c:v>
                </c:pt>
              </c:numCache>
            </c:numRef>
          </c:val>
          <c:extLst>
            <c:ext xmlns:c16="http://schemas.microsoft.com/office/drawing/2014/chart" uri="{C3380CC4-5D6E-409C-BE32-E72D297353CC}">
              <c16:uniqueId val="{00000000-69F0-43A8-BAAB-89CDD2B930B8}"/>
            </c:ext>
          </c:extLst>
        </c:ser>
        <c:dLbls>
          <c:showLegendKey val="0"/>
          <c:showVal val="0"/>
          <c:showCatName val="0"/>
          <c:showSerName val="0"/>
          <c:showPercent val="0"/>
          <c:showBubbleSize val="0"/>
        </c:dLbls>
        <c:gapWidth val="182"/>
        <c:axId val="66314656"/>
        <c:axId val="66316576"/>
      </c:barChart>
      <c:catAx>
        <c:axId val="6631465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Players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16576"/>
        <c:crosses val="autoZero"/>
        <c:auto val="1"/>
        <c:lblAlgn val="ctr"/>
        <c:lblOffset val="100"/>
        <c:noMultiLvlLbl val="0"/>
      </c:catAx>
      <c:valAx>
        <c:axId val="6631657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Steals</a:t>
                </a:r>
                <a:r>
                  <a:rPr lang="en-US" baseline="0"/>
                  <a:t> per Game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146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BPG </a:t>
            </a:r>
            <a:r>
              <a:rPr lang="en-US" sz="1400" b="0" i="0" u="none" strike="noStrike" kern="1200" spc="0" baseline="0">
                <a:solidFill>
                  <a:sysClr val="windowText" lastClr="000000">
                    <a:lumMod val="65000"/>
                    <a:lumOff val="35000"/>
                  </a:sysClr>
                </a:solidFill>
              </a:rPr>
              <a:t>each player of Last season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Stats!$B$9</c:f>
              <c:strCache>
                <c:ptCount val="1"/>
                <c:pt idx="0">
                  <c:v>BPG</c:v>
                </c:pt>
              </c:strCache>
            </c:strRef>
          </c:tx>
          <c:spPr>
            <a:solidFill>
              <a:schemeClr val="accent1"/>
            </a:solidFill>
            <a:ln>
              <a:noFill/>
            </a:ln>
            <a:effectLst/>
          </c:spPr>
          <c:invertIfNegative val="0"/>
          <c:cat>
            <c:strRef>
              <c:f>Stats!$C$2:$R$2</c:f>
              <c:strCache>
                <c:ptCount val="16"/>
                <c:pt idx="0">
                  <c:v>Donovan Mitchell</c:v>
                </c:pt>
                <c:pt idx="1">
                  <c:v>Evan Mobley</c:v>
                </c:pt>
                <c:pt idx="2">
                  <c:v>Darius Garland</c:v>
                </c:pt>
                <c:pt idx="3">
                  <c:v>De’Andre Hunter</c:v>
                </c:pt>
                <c:pt idx="4">
                  <c:v>Jarrett Allen</c:v>
                </c:pt>
                <c:pt idx="5">
                  <c:v>Max Strus</c:v>
                </c:pt>
                <c:pt idx="6">
                  <c:v>Lonzo Ball</c:v>
                </c:pt>
                <c:pt idx="7">
                  <c:v>Isaac Okoro</c:v>
                </c:pt>
                <c:pt idx="8">
                  <c:v> Dean Wade </c:v>
                </c:pt>
                <c:pt idx="9">
                  <c:v> Craig Porter Jr. </c:v>
                </c:pt>
                <c:pt idx="10">
                  <c:v> Jaylon Tyson </c:v>
                </c:pt>
                <c:pt idx="11">
                  <c:v>Chuma Okeke</c:v>
                </c:pt>
                <c:pt idx="12">
                  <c:v>Sam Merrill</c:v>
                </c:pt>
                <c:pt idx="13">
                  <c:v>Larry Nance Jr.</c:v>
                </c:pt>
                <c:pt idx="14">
                  <c:v>Tyrese Proctor</c:v>
                </c:pt>
                <c:pt idx="15">
                  <c:v>Ricky Rubio</c:v>
                </c:pt>
              </c:strCache>
            </c:strRef>
          </c:cat>
          <c:val>
            <c:numRef>
              <c:f>Stats!$C$9:$R$9</c:f>
              <c:numCache>
                <c:formatCode>General</c:formatCode>
                <c:ptCount val="16"/>
                <c:pt idx="0">
                  <c:v>0.2</c:v>
                </c:pt>
                <c:pt idx="1">
                  <c:v>1.6</c:v>
                </c:pt>
                <c:pt idx="2">
                  <c:v>0.1</c:v>
                </c:pt>
                <c:pt idx="3">
                  <c:v>0.3</c:v>
                </c:pt>
                <c:pt idx="4">
                  <c:v>0.9</c:v>
                </c:pt>
                <c:pt idx="5">
                  <c:v>0.2</c:v>
                </c:pt>
                <c:pt idx="6">
                  <c:v>0.5</c:v>
                </c:pt>
                <c:pt idx="7">
                  <c:v>0.3</c:v>
                </c:pt>
                <c:pt idx="8" formatCode="_(* #,##0.0_);_(* \(#,##0.0\);_(* &quot;-&quot;??_);_(@_)">
                  <c:v>0.3</c:v>
                </c:pt>
                <c:pt idx="9" formatCode="_(* #,##0.0_);_(* \(#,##0.0\);_(* &quot;-&quot;??_);_(@_)">
                  <c:v>0.3</c:v>
                </c:pt>
                <c:pt idx="10" formatCode="_(* #,##0.0_);_(* \(#,##0.0\);_(* &quot;-&quot;??_);_(@_)">
                  <c:v>0.1</c:v>
                </c:pt>
                <c:pt idx="11">
                  <c:v>0.5</c:v>
                </c:pt>
                <c:pt idx="12">
                  <c:v>0.2</c:v>
                </c:pt>
                <c:pt idx="13">
                  <c:v>0.3</c:v>
                </c:pt>
                <c:pt idx="14">
                  <c:v>0</c:v>
                </c:pt>
                <c:pt idx="15">
                  <c:v>0.1</c:v>
                </c:pt>
              </c:numCache>
            </c:numRef>
          </c:val>
          <c:extLst>
            <c:ext xmlns:c16="http://schemas.microsoft.com/office/drawing/2014/chart" uri="{C3380CC4-5D6E-409C-BE32-E72D297353CC}">
              <c16:uniqueId val="{00000000-B71E-4BE0-AFC1-BBCF2C2969CA}"/>
            </c:ext>
          </c:extLst>
        </c:ser>
        <c:dLbls>
          <c:showLegendKey val="0"/>
          <c:showVal val="0"/>
          <c:showCatName val="0"/>
          <c:showSerName val="0"/>
          <c:showPercent val="0"/>
          <c:showBubbleSize val="0"/>
        </c:dLbls>
        <c:gapWidth val="182"/>
        <c:axId val="199943728"/>
        <c:axId val="147466256"/>
      </c:barChart>
      <c:catAx>
        <c:axId val="19994372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Players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466256"/>
        <c:crosses val="autoZero"/>
        <c:auto val="1"/>
        <c:lblAlgn val="ctr"/>
        <c:lblOffset val="100"/>
        <c:noMultiLvlLbl val="0"/>
      </c:catAx>
      <c:valAx>
        <c:axId val="147466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Blocks</a:t>
                </a:r>
                <a:r>
                  <a:rPr lang="en-US" baseline="0"/>
                  <a:t> per Game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9437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FG% </a:t>
            </a:r>
            <a:r>
              <a:rPr lang="en-US" sz="1400" b="0" i="0" u="none" strike="noStrike" kern="1200" spc="0" baseline="0">
                <a:solidFill>
                  <a:sysClr val="windowText" lastClr="000000">
                    <a:lumMod val="65000"/>
                    <a:lumOff val="35000"/>
                  </a:sysClr>
                </a:solidFill>
              </a:rPr>
              <a:t>each player of Last season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Stats!$B$10</c:f>
              <c:strCache>
                <c:ptCount val="1"/>
                <c:pt idx="0">
                  <c:v>FG%</c:v>
                </c:pt>
              </c:strCache>
            </c:strRef>
          </c:tx>
          <c:spPr>
            <a:solidFill>
              <a:schemeClr val="accent1"/>
            </a:solidFill>
            <a:ln>
              <a:noFill/>
            </a:ln>
            <a:effectLst/>
          </c:spPr>
          <c:invertIfNegative val="0"/>
          <c:cat>
            <c:strRef>
              <c:f>Stats!$C$2:$R$2</c:f>
              <c:strCache>
                <c:ptCount val="16"/>
                <c:pt idx="0">
                  <c:v>Donovan Mitchell</c:v>
                </c:pt>
                <c:pt idx="1">
                  <c:v>Evan Mobley</c:v>
                </c:pt>
                <c:pt idx="2">
                  <c:v>Darius Garland</c:v>
                </c:pt>
                <c:pt idx="3">
                  <c:v>De’Andre Hunter</c:v>
                </c:pt>
                <c:pt idx="4">
                  <c:v>Jarrett Allen</c:v>
                </c:pt>
                <c:pt idx="5">
                  <c:v>Max Strus</c:v>
                </c:pt>
                <c:pt idx="6">
                  <c:v>Lonzo Ball</c:v>
                </c:pt>
                <c:pt idx="7">
                  <c:v>Isaac Okoro</c:v>
                </c:pt>
                <c:pt idx="8">
                  <c:v> Dean Wade </c:v>
                </c:pt>
                <c:pt idx="9">
                  <c:v> Craig Porter Jr. </c:v>
                </c:pt>
                <c:pt idx="10">
                  <c:v> Jaylon Tyson </c:v>
                </c:pt>
                <c:pt idx="11">
                  <c:v>Chuma Okeke</c:v>
                </c:pt>
                <c:pt idx="12">
                  <c:v>Sam Merrill</c:v>
                </c:pt>
                <c:pt idx="13">
                  <c:v>Larry Nance Jr.</c:v>
                </c:pt>
                <c:pt idx="14">
                  <c:v>Tyrese Proctor</c:v>
                </c:pt>
                <c:pt idx="15">
                  <c:v>Ricky Rubio</c:v>
                </c:pt>
              </c:strCache>
            </c:strRef>
          </c:cat>
          <c:val>
            <c:numRef>
              <c:f>Stats!$C$10:$R$10</c:f>
              <c:numCache>
                <c:formatCode>0.0%</c:formatCode>
                <c:ptCount val="16"/>
                <c:pt idx="0">
                  <c:v>0.443</c:v>
                </c:pt>
                <c:pt idx="1">
                  <c:v>0.55700000000000005</c:v>
                </c:pt>
                <c:pt idx="2">
                  <c:v>0.47199999999999998</c:v>
                </c:pt>
                <c:pt idx="3">
                  <c:v>0.48499999999999999</c:v>
                </c:pt>
                <c:pt idx="4">
                  <c:v>0.70599999999999996</c:v>
                </c:pt>
                <c:pt idx="5">
                  <c:v>0.442</c:v>
                </c:pt>
                <c:pt idx="6">
                  <c:v>0.42299999999999999</c:v>
                </c:pt>
                <c:pt idx="7">
                  <c:v>0.46400000000000002</c:v>
                </c:pt>
                <c:pt idx="8">
                  <c:v>0.41299999999999998</c:v>
                </c:pt>
                <c:pt idx="9">
                  <c:v>0.51400000000000001</c:v>
                </c:pt>
                <c:pt idx="10">
                  <c:v>0.43</c:v>
                </c:pt>
                <c:pt idx="11">
                  <c:v>0.28599999999999998</c:v>
                </c:pt>
                <c:pt idx="12">
                  <c:v>0.40600000000000003</c:v>
                </c:pt>
                <c:pt idx="13">
                  <c:v>0.51600000000000001</c:v>
                </c:pt>
                <c:pt idx="14" formatCode="General">
                  <c:v>0</c:v>
                </c:pt>
                <c:pt idx="15" formatCode="0.00%">
                  <c:v>0.25</c:v>
                </c:pt>
              </c:numCache>
            </c:numRef>
          </c:val>
          <c:extLst>
            <c:ext xmlns:c16="http://schemas.microsoft.com/office/drawing/2014/chart" uri="{C3380CC4-5D6E-409C-BE32-E72D297353CC}">
              <c16:uniqueId val="{00000000-ACCF-43D9-BFA6-537F3548A08C}"/>
            </c:ext>
          </c:extLst>
        </c:ser>
        <c:dLbls>
          <c:showLegendKey val="0"/>
          <c:showVal val="0"/>
          <c:showCatName val="0"/>
          <c:showSerName val="0"/>
          <c:showPercent val="0"/>
          <c:showBubbleSize val="0"/>
        </c:dLbls>
        <c:gapWidth val="182"/>
        <c:axId val="51741328"/>
        <c:axId val="51746608"/>
      </c:barChart>
      <c:catAx>
        <c:axId val="5174132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Players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46608"/>
        <c:crosses val="autoZero"/>
        <c:auto val="1"/>
        <c:lblAlgn val="ctr"/>
        <c:lblOffset val="100"/>
        <c:noMultiLvlLbl val="0"/>
      </c:catAx>
      <c:valAx>
        <c:axId val="517466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Field</a:t>
                </a:r>
                <a:r>
                  <a:rPr lang="en-US" baseline="0"/>
                  <a:t> Goals per Game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413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3P% </a:t>
            </a:r>
            <a:r>
              <a:rPr lang="en-US" sz="1400" b="0" i="0" u="none" strike="noStrike" kern="1200" spc="0" baseline="0">
                <a:solidFill>
                  <a:sysClr val="windowText" lastClr="000000">
                    <a:lumMod val="65000"/>
                    <a:lumOff val="35000"/>
                  </a:sysClr>
                </a:solidFill>
              </a:rPr>
              <a:t>each player of Last season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Stats!$B$11</c:f>
              <c:strCache>
                <c:ptCount val="1"/>
                <c:pt idx="0">
                  <c:v>3P%</c:v>
                </c:pt>
              </c:strCache>
            </c:strRef>
          </c:tx>
          <c:spPr>
            <a:solidFill>
              <a:schemeClr val="accent1"/>
            </a:solidFill>
            <a:ln>
              <a:noFill/>
            </a:ln>
            <a:effectLst/>
          </c:spPr>
          <c:invertIfNegative val="0"/>
          <c:cat>
            <c:strRef>
              <c:f>Stats!$C$2:$R$2</c:f>
              <c:strCache>
                <c:ptCount val="16"/>
                <c:pt idx="0">
                  <c:v>Donovan Mitchell</c:v>
                </c:pt>
                <c:pt idx="1">
                  <c:v>Evan Mobley</c:v>
                </c:pt>
                <c:pt idx="2">
                  <c:v>Darius Garland</c:v>
                </c:pt>
                <c:pt idx="3">
                  <c:v>De’Andre Hunter</c:v>
                </c:pt>
                <c:pt idx="4">
                  <c:v>Jarrett Allen</c:v>
                </c:pt>
                <c:pt idx="5">
                  <c:v>Max Strus</c:v>
                </c:pt>
                <c:pt idx="6">
                  <c:v>Lonzo Ball</c:v>
                </c:pt>
                <c:pt idx="7">
                  <c:v>Isaac Okoro</c:v>
                </c:pt>
                <c:pt idx="8">
                  <c:v> Dean Wade </c:v>
                </c:pt>
                <c:pt idx="9">
                  <c:v> Craig Porter Jr. </c:v>
                </c:pt>
                <c:pt idx="10">
                  <c:v> Jaylon Tyson </c:v>
                </c:pt>
                <c:pt idx="11">
                  <c:v>Chuma Okeke</c:v>
                </c:pt>
                <c:pt idx="12">
                  <c:v>Sam Merrill</c:v>
                </c:pt>
                <c:pt idx="13">
                  <c:v>Larry Nance Jr.</c:v>
                </c:pt>
                <c:pt idx="14">
                  <c:v>Tyrese Proctor</c:v>
                </c:pt>
                <c:pt idx="15">
                  <c:v>Ricky Rubio</c:v>
                </c:pt>
              </c:strCache>
            </c:strRef>
          </c:cat>
          <c:val>
            <c:numRef>
              <c:f>Stats!$C$11:$R$11</c:f>
              <c:numCache>
                <c:formatCode>0.0%</c:formatCode>
                <c:ptCount val="16"/>
                <c:pt idx="0">
                  <c:v>0.36799999999999999</c:v>
                </c:pt>
                <c:pt idx="1">
                  <c:v>0.37</c:v>
                </c:pt>
                <c:pt idx="2">
                  <c:v>0.40100000000000002</c:v>
                </c:pt>
                <c:pt idx="3">
                  <c:v>0.42599999999999999</c:v>
                </c:pt>
                <c:pt idx="4">
                  <c:v>0.16400000000000001</c:v>
                </c:pt>
                <c:pt idx="5">
                  <c:v>0.38600000000000001</c:v>
                </c:pt>
                <c:pt idx="6">
                  <c:v>1.9</c:v>
                </c:pt>
                <c:pt idx="7">
                  <c:v>0.371</c:v>
                </c:pt>
                <c:pt idx="8">
                  <c:v>0.36</c:v>
                </c:pt>
                <c:pt idx="9">
                  <c:v>0.438</c:v>
                </c:pt>
                <c:pt idx="10">
                  <c:v>0.34499999999999997</c:v>
                </c:pt>
                <c:pt idx="11">
                  <c:v>0.16700000000000001</c:v>
                </c:pt>
                <c:pt idx="12">
                  <c:v>0.372</c:v>
                </c:pt>
                <c:pt idx="13">
                  <c:v>0.44700000000000001</c:v>
                </c:pt>
                <c:pt idx="14" formatCode="General">
                  <c:v>0</c:v>
                </c:pt>
                <c:pt idx="15" formatCode="0.00%">
                  <c:v>0</c:v>
                </c:pt>
              </c:numCache>
            </c:numRef>
          </c:val>
          <c:extLst>
            <c:ext xmlns:c16="http://schemas.microsoft.com/office/drawing/2014/chart" uri="{C3380CC4-5D6E-409C-BE32-E72D297353CC}">
              <c16:uniqueId val="{00000000-F6FE-4DD3-8E70-1B3240F7F44E}"/>
            </c:ext>
          </c:extLst>
        </c:ser>
        <c:dLbls>
          <c:showLegendKey val="0"/>
          <c:showVal val="0"/>
          <c:showCatName val="0"/>
          <c:showSerName val="0"/>
          <c:showPercent val="0"/>
          <c:showBubbleSize val="0"/>
        </c:dLbls>
        <c:gapWidth val="182"/>
        <c:axId val="203002752"/>
        <c:axId val="203003232"/>
      </c:barChart>
      <c:catAx>
        <c:axId val="20300275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Players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003232"/>
        <c:crosses val="autoZero"/>
        <c:auto val="1"/>
        <c:lblAlgn val="ctr"/>
        <c:lblOffset val="100"/>
        <c:noMultiLvlLbl val="0"/>
      </c:catAx>
      <c:valAx>
        <c:axId val="20300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3</a:t>
                </a:r>
                <a:r>
                  <a:rPr lang="en-US" baseline="0"/>
                  <a:t> Pointers  per Game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0027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FT% </a:t>
            </a:r>
            <a:r>
              <a:rPr lang="en-US" sz="1400" b="0" i="0" u="none" strike="noStrike" kern="1200" spc="0" baseline="0">
                <a:solidFill>
                  <a:sysClr val="windowText" lastClr="000000">
                    <a:lumMod val="65000"/>
                    <a:lumOff val="35000"/>
                  </a:sysClr>
                </a:solidFill>
              </a:rPr>
              <a:t>each player of Last season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Stats!$B$12</c:f>
              <c:strCache>
                <c:ptCount val="1"/>
                <c:pt idx="0">
                  <c:v>FT%</c:v>
                </c:pt>
              </c:strCache>
            </c:strRef>
          </c:tx>
          <c:spPr>
            <a:solidFill>
              <a:schemeClr val="accent1"/>
            </a:solidFill>
            <a:ln>
              <a:noFill/>
            </a:ln>
            <a:effectLst/>
          </c:spPr>
          <c:invertIfNegative val="0"/>
          <c:cat>
            <c:strRef>
              <c:f>Stats!$C$2:$R$2</c:f>
              <c:strCache>
                <c:ptCount val="16"/>
                <c:pt idx="0">
                  <c:v>Donovan Mitchell</c:v>
                </c:pt>
                <c:pt idx="1">
                  <c:v>Evan Mobley</c:v>
                </c:pt>
                <c:pt idx="2">
                  <c:v>Darius Garland</c:v>
                </c:pt>
                <c:pt idx="3">
                  <c:v>De’Andre Hunter</c:v>
                </c:pt>
                <c:pt idx="4">
                  <c:v>Jarrett Allen</c:v>
                </c:pt>
                <c:pt idx="5">
                  <c:v>Max Strus</c:v>
                </c:pt>
                <c:pt idx="6">
                  <c:v>Lonzo Ball</c:v>
                </c:pt>
                <c:pt idx="7">
                  <c:v>Isaac Okoro</c:v>
                </c:pt>
                <c:pt idx="8">
                  <c:v> Dean Wade </c:v>
                </c:pt>
                <c:pt idx="9">
                  <c:v> Craig Porter Jr. </c:v>
                </c:pt>
                <c:pt idx="10">
                  <c:v> Jaylon Tyson </c:v>
                </c:pt>
                <c:pt idx="11">
                  <c:v>Chuma Okeke</c:v>
                </c:pt>
                <c:pt idx="12">
                  <c:v>Sam Merrill</c:v>
                </c:pt>
                <c:pt idx="13">
                  <c:v>Larry Nance Jr.</c:v>
                </c:pt>
                <c:pt idx="14">
                  <c:v>Tyrese Proctor</c:v>
                </c:pt>
                <c:pt idx="15">
                  <c:v>Ricky Rubio</c:v>
                </c:pt>
              </c:strCache>
            </c:strRef>
          </c:cat>
          <c:val>
            <c:numRef>
              <c:f>Stats!$C$12:$R$12</c:f>
              <c:numCache>
                <c:formatCode>0.0%</c:formatCode>
                <c:ptCount val="16"/>
                <c:pt idx="0">
                  <c:v>0.82299999999999995</c:v>
                </c:pt>
                <c:pt idx="1">
                  <c:v>0.72499999999999998</c:v>
                </c:pt>
                <c:pt idx="2">
                  <c:v>0.878</c:v>
                </c:pt>
                <c:pt idx="3">
                  <c:v>0.82099999999999995</c:v>
                </c:pt>
                <c:pt idx="4">
                  <c:v>0.71799999999999997</c:v>
                </c:pt>
                <c:pt idx="5">
                  <c:v>0.82399999999999995</c:v>
                </c:pt>
                <c:pt idx="6">
                  <c:v>0.6</c:v>
                </c:pt>
                <c:pt idx="7">
                  <c:v>0.71699999999999997</c:v>
                </c:pt>
                <c:pt idx="8">
                  <c:v>0.53300000000000003</c:v>
                </c:pt>
                <c:pt idx="9">
                  <c:v>0.71899999999999997</c:v>
                </c:pt>
                <c:pt idx="10">
                  <c:v>0.79200000000000004</c:v>
                </c:pt>
                <c:pt idx="11">
                  <c:v>0.78700000000000003</c:v>
                </c:pt>
                <c:pt idx="12">
                  <c:v>0.96599999999999997</c:v>
                </c:pt>
                <c:pt idx="13">
                  <c:v>0.67700000000000005</c:v>
                </c:pt>
                <c:pt idx="14" formatCode="General">
                  <c:v>0</c:v>
                </c:pt>
                <c:pt idx="15" formatCode="0.00%">
                  <c:v>1</c:v>
                </c:pt>
              </c:numCache>
            </c:numRef>
          </c:val>
          <c:extLst>
            <c:ext xmlns:c16="http://schemas.microsoft.com/office/drawing/2014/chart" uri="{C3380CC4-5D6E-409C-BE32-E72D297353CC}">
              <c16:uniqueId val="{00000000-BA9D-444A-B165-FF48E96F913F}"/>
            </c:ext>
          </c:extLst>
        </c:ser>
        <c:dLbls>
          <c:showLegendKey val="0"/>
          <c:showVal val="0"/>
          <c:showCatName val="0"/>
          <c:showSerName val="0"/>
          <c:showPercent val="0"/>
          <c:showBubbleSize val="0"/>
        </c:dLbls>
        <c:gapWidth val="182"/>
        <c:axId val="51746128"/>
        <c:axId val="1712309248"/>
      </c:barChart>
      <c:catAx>
        <c:axId val="5174612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Players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309248"/>
        <c:crosses val="autoZero"/>
        <c:auto val="1"/>
        <c:lblAlgn val="ctr"/>
        <c:lblOffset val="100"/>
        <c:noMultiLvlLbl val="0"/>
      </c:catAx>
      <c:valAx>
        <c:axId val="1712309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Free</a:t>
                </a:r>
                <a:r>
                  <a:rPr lang="en-US" baseline="0"/>
                  <a:t> throws per Game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461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1</xdr:col>
      <xdr:colOff>91440</xdr:colOff>
      <xdr:row>1</xdr:row>
      <xdr:rowOff>106680</xdr:rowOff>
    </xdr:from>
    <xdr:to>
      <xdr:col>12</xdr:col>
      <xdr:colOff>114300</xdr:colOff>
      <xdr:row>8</xdr:row>
      <xdr:rowOff>175260</xdr:rowOff>
    </xdr:to>
    <xdr:sp macro="" textlink="">
      <xdr:nvSpPr>
        <xdr:cNvPr id="2" name="TextBox 1">
          <a:extLst>
            <a:ext uri="{FF2B5EF4-FFF2-40B4-BE49-F238E27FC236}">
              <a16:creationId xmlns:a16="http://schemas.microsoft.com/office/drawing/2014/main" id="{0E1DDC0A-BC02-8689-5747-2B07580EDE6F}"/>
            </a:ext>
          </a:extLst>
        </xdr:cNvPr>
        <xdr:cNvSpPr txBox="1"/>
      </xdr:nvSpPr>
      <xdr:spPr>
        <a:xfrm>
          <a:off x="701040" y="472440"/>
          <a:ext cx="6728460" cy="134874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Instructions from the General Manager – Cleveland Cavaliers</a:t>
          </a:r>
        </a:p>
        <a:p>
          <a:r>
            <a:rPr lang="en-US" sz="1100" b="1">
              <a:solidFill>
                <a:schemeClr val="dk1"/>
              </a:solidFill>
              <a:effectLst/>
              <a:latin typeface="+mn-lt"/>
              <a:ea typeface="+mn-ea"/>
              <a:cs typeface="+mn-cs"/>
            </a:rPr>
            <a:t>Team,</a:t>
          </a:r>
        </a:p>
        <a:p>
          <a:r>
            <a:rPr lang="en-US" sz="1100" b="1">
              <a:solidFill>
                <a:schemeClr val="dk1"/>
              </a:solidFill>
              <a:effectLst/>
              <a:latin typeface="+mn-lt"/>
              <a:ea typeface="+mn-ea"/>
              <a:cs typeface="+mn-cs"/>
            </a:rPr>
            <a:t>As you know, our projected total cost for the 2025–26 season is $366 million, which includes $141 million in luxury tax penalties. That is the highest in the league — and while we’re winning games, we can’t continue to operate above the tax threshold long term.</a:t>
          </a:r>
        </a:p>
        <a:p>
          <a:r>
            <a:rPr lang="en-US" sz="1100" b="1">
              <a:solidFill>
                <a:schemeClr val="dk1"/>
              </a:solidFill>
              <a:effectLst/>
              <a:latin typeface="+mn-lt"/>
              <a:ea typeface="+mn-ea"/>
              <a:cs typeface="+mn-cs"/>
            </a:rPr>
            <a:t>I need this Excel spreadsheet to help us evaluate trade options and contract restructures to bring us under the tax threshold without compromising our core performance.</a:t>
          </a:r>
        </a:p>
        <a:p>
          <a:endParaRPr lang="en-US" sz="1100"/>
        </a:p>
      </xdr:txBody>
    </xdr:sp>
    <xdr:clientData/>
  </xdr:twoCellAnchor>
  <xdr:twoCellAnchor editAs="oneCell">
    <xdr:from>
      <xdr:col>5</xdr:col>
      <xdr:colOff>449580</xdr:colOff>
      <xdr:row>8</xdr:row>
      <xdr:rowOff>173461</xdr:rowOff>
    </xdr:from>
    <xdr:to>
      <xdr:col>7</xdr:col>
      <xdr:colOff>198120</xdr:colOff>
      <xdr:row>23</xdr:row>
      <xdr:rowOff>0</xdr:rowOff>
    </xdr:to>
    <xdr:pic>
      <xdr:nvPicPr>
        <xdr:cNvPr id="6" name="Picture 5" descr="Cleveland Cavaliers Wallpapers - Wallpaper Cave">
          <a:extLst>
            <a:ext uri="{FF2B5EF4-FFF2-40B4-BE49-F238E27FC236}">
              <a16:creationId xmlns:a16="http://schemas.microsoft.com/office/drawing/2014/main" id="{98179CEA-5EB5-D93F-9168-BD116274DF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97580" y="1750801"/>
          <a:ext cx="2811780" cy="17543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7620</xdr:colOff>
      <xdr:row>1</xdr:row>
      <xdr:rowOff>121920</xdr:rowOff>
    </xdr:from>
    <xdr:to>
      <xdr:col>8</xdr:col>
      <xdr:colOff>312420</xdr:colOff>
      <xdr:row>16</xdr:row>
      <xdr:rowOff>121920</xdr:rowOff>
    </xdr:to>
    <xdr:graphicFrame macro="">
      <xdr:nvGraphicFramePr>
        <xdr:cNvPr id="3" name="Chart 2">
          <a:extLst>
            <a:ext uri="{FF2B5EF4-FFF2-40B4-BE49-F238E27FC236}">
              <a16:creationId xmlns:a16="http://schemas.microsoft.com/office/drawing/2014/main" id="{788D9503-BA73-4B11-9B93-2E2EEB6FD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601980</xdr:colOff>
      <xdr:row>1</xdr:row>
      <xdr:rowOff>99060</xdr:rowOff>
    </xdr:from>
    <xdr:to>
      <xdr:col>17</xdr:col>
      <xdr:colOff>297180</xdr:colOff>
      <xdr:row>16</xdr:row>
      <xdr:rowOff>99060</xdr:rowOff>
    </xdr:to>
    <xdr:graphicFrame macro="">
      <xdr:nvGraphicFramePr>
        <xdr:cNvPr id="2" name="Chart 1">
          <a:extLst>
            <a:ext uri="{FF2B5EF4-FFF2-40B4-BE49-F238E27FC236}">
              <a16:creationId xmlns:a16="http://schemas.microsoft.com/office/drawing/2014/main" id="{DFFC771A-AB94-4538-8575-A0B1898DA5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19</xdr:row>
      <xdr:rowOff>0</xdr:rowOff>
    </xdr:from>
    <xdr:to>
      <xdr:col>8</xdr:col>
      <xdr:colOff>304800</xdr:colOff>
      <xdr:row>34</xdr:row>
      <xdr:rowOff>0</xdr:rowOff>
    </xdr:to>
    <xdr:graphicFrame macro="">
      <xdr:nvGraphicFramePr>
        <xdr:cNvPr id="4" name="Chart 3">
          <a:extLst>
            <a:ext uri="{FF2B5EF4-FFF2-40B4-BE49-F238E27FC236}">
              <a16:creationId xmlns:a16="http://schemas.microsoft.com/office/drawing/2014/main" id="{CBE3DA86-4E38-4863-84D6-85D6422D42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0</xdr:colOff>
      <xdr:row>19</xdr:row>
      <xdr:rowOff>0</xdr:rowOff>
    </xdr:from>
    <xdr:to>
      <xdr:col>17</xdr:col>
      <xdr:colOff>304800</xdr:colOff>
      <xdr:row>34</xdr:row>
      <xdr:rowOff>0</xdr:rowOff>
    </xdr:to>
    <xdr:graphicFrame macro="">
      <xdr:nvGraphicFramePr>
        <xdr:cNvPr id="5" name="Chart 4">
          <a:extLst>
            <a:ext uri="{FF2B5EF4-FFF2-40B4-BE49-F238E27FC236}">
              <a16:creationId xmlns:a16="http://schemas.microsoft.com/office/drawing/2014/main" id="{9AA863BA-CA60-4D5D-BD00-32E16B0B55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525780</xdr:colOff>
      <xdr:row>1</xdr:row>
      <xdr:rowOff>160020</xdr:rowOff>
    </xdr:from>
    <xdr:to>
      <xdr:col>9</xdr:col>
      <xdr:colOff>220980</xdr:colOff>
      <xdr:row>16</xdr:row>
      <xdr:rowOff>160020</xdr:rowOff>
    </xdr:to>
    <xdr:graphicFrame macro="">
      <xdr:nvGraphicFramePr>
        <xdr:cNvPr id="3" name="Chart 2">
          <a:extLst>
            <a:ext uri="{FF2B5EF4-FFF2-40B4-BE49-F238E27FC236}">
              <a16:creationId xmlns:a16="http://schemas.microsoft.com/office/drawing/2014/main" id="{A3E4C9E0-51FA-4A3A-8C36-56E4AD56C5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xdr:row>
      <xdr:rowOff>0</xdr:rowOff>
    </xdr:from>
    <xdr:to>
      <xdr:col>18</xdr:col>
      <xdr:colOff>304800</xdr:colOff>
      <xdr:row>17</xdr:row>
      <xdr:rowOff>0</xdr:rowOff>
    </xdr:to>
    <xdr:graphicFrame macro="">
      <xdr:nvGraphicFramePr>
        <xdr:cNvPr id="4" name="Chart 3">
          <a:extLst>
            <a:ext uri="{FF2B5EF4-FFF2-40B4-BE49-F238E27FC236}">
              <a16:creationId xmlns:a16="http://schemas.microsoft.com/office/drawing/2014/main" id="{10C28240-006A-46A6-B00C-967C0A8E1B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19</xdr:row>
      <xdr:rowOff>0</xdr:rowOff>
    </xdr:from>
    <xdr:to>
      <xdr:col>9</xdr:col>
      <xdr:colOff>304800</xdr:colOff>
      <xdr:row>34</xdr:row>
      <xdr:rowOff>0</xdr:rowOff>
    </xdr:to>
    <xdr:graphicFrame macro="">
      <xdr:nvGraphicFramePr>
        <xdr:cNvPr id="5" name="Chart 4">
          <a:extLst>
            <a:ext uri="{FF2B5EF4-FFF2-40B4-BE49-F238E27FC236}">
              <a16:creationId xmlns:a16="http://schemas.microsoft.com/office/drawing/2014/main" id="{1C9A6273-C850-48FA-A398-AAD39B481C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0</xdr:colOff>
      <xdr:row>19</xdr:row>
      <xdr:rowOff>0</xdr:rowOff>
    </xdr:from>
    <xdr:to>
      <xdr:col>18</xdr:col>
      <xdr:colOff>304800</xdr:colOff>
      <xdr:row>34</xdr:row>
      <xdr:rowOff>0</xdr:rowOff>
    </xdr:to>
    <xdr:graphicFrame macro="">
      <xdr:nvGraphicFramePr>
        <xdr:cNvPr id="6" name="Chart 5">
          <a:extLst>
            <a:ext uri="{FF2B5EF4-FFF2-40B4-BE49-F238E27FC236}">
              <a16:creationId xmlns:a16="http://schemas.microsoft.com/office/drawing/2014/main" id="{21412A10-17C6-47B0-9FEB-197AA638EE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4</xdr:row>
      <xdr:rowOff>0</xdr:rowOff>
    </xdr:from>
    <xdr:to>
      <xdr:col>9</xdr:col>
      <xdr:colOff>304800</xdr:colOff>
      <xdr:row>19</xdr:row>
      <xdr:rowOff>0</xdr:rowOff>
    </xdr:to>
    <xdr:graphicFrame macro="">
      <xdr:nvGraphicFramePr>
        <xdr:cNvPr id="2" name="Chart 1">
          <a:extLst>
            <a:ext uri="{FF2B5EF4-FFF2-40B4-BE49-F238E27FC236}">
              <a16:creationId xmlns:a16="http://schemas.microsoft.com/office/drawing/2014/main" id="{42E71DF8-C912-4327-99EF-CFFB9C2281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4</xdr:row>
      <xdr:rowOff>0</xdr:rowOff>
    </xdr:from>
    <xdr:to>
      <xdr:col>18</xdr:col>
      <xdr:colOff>304800</xdr:colOff>
      <xdr:row>19</xdr:row>
      <xdr:rowOff>0</xdr:rowOff>
    </xdr:to>
    <xdr:graphicFrame macro="">
      <xdr:nvGraphicFramePr>
        <xdr:cNvPr id="3" name="Chart 2">
          <a:extLst>
            <a:ext uri="{FF2B5EF4-FFF2-40B4-BE49-F238E27FC236}">
              <a16:creationId xmlns:a16="http://schemas.microsoft.com/office/drawing/2014/main" id="{925E83F5-1D42-4E88-9A77-C50C3602FE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533400</xdr:colOff>
      <xdr:row>2</xdr:row>
      <xdr:rowOff>7620</xdr:rowOff>
    </xdr:from>
    <xdr:to>
      <xdr:col>8</xdr:col>
      <xdr:colOff>228600</xdr:colOff>
      <xdr:row>17</xdr:row>
      <xdr:rowOff>7620</xdr:rowOff>
    </xdr:to>
    <xdr:graphicFrame macro="">
      <xdr:nvGraphicFramePr>
        <xdr:cNvPr id="2" name="Chart 1">
          <a:extLst>
            <a:ext uri="{FF2B5EF4-FFF2-40B4-BE49-F238E27FC236}">
              <a16:creationId xmlns:a16="http://schemas.microsoft.com/office/drawing/2014/main" id="{BF49C4D2-68AF-4026-AEF1-6BF87FB9CA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16</xdr:col>
      <xdr:colOff>304800</xdr:colOff>
      <xdr:row>17</xdr:row>
      <xdr:rowOff>0</xdr:rowOff>
    </xdr:to>
    <xdr:graphicFrame macro="">
      <xdr:nvGraphicFramePr>
        <xdr:cNvPr id="3" name="Chart 2">
          <a:extLst>
            <a:ext uri="{FF2B5EF4-FFF2-40B4-BE49-F238E27FC236}">
              <a16:creationId xmlns:a16="http://schemas.microsoft.com/office/drawing/2014/main" id="{72548324-616C-4E30-B14C-CB9E95F825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18</xdr:row>
      <xdr:rowOff>0</xdr:rowOff>
    </xdr:from>
    <xdr:to>
      <xdr:col>8</xdr:col>
      <xdr:colOff>304800</xdr:colOff>
      <xdr:row>33</xdr:row>
      <xdr:rowOff>0</xdr:rowOff>
    </xdr:to>
    <xdr:graphicFrame macro="">
      <xdr:nvGraphicFramePr>
        <xdr:cNvPr id="4" name="Chart 3">
          <a:extLst>
            <a:ext uri="{FF2B5EF4-FFF2-40B4-BE49-F238E27FC236}">
              <a16:creationId xmlns:a16="http://schemas.microsoft.com/office/drawing/2014/main" id="{0A36EFA9-F4DD-48FF-90C2-396997E259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579120</xdr:colOff>
      <xdr:row>17</xdr:row>
      <xdr:rowOff>160020</xdr:rowOff>
    </xdr:from>
    <xdr:to>
      <xdr:col>16</xdr:col>
      <xdr:colOff>274320</xdr:colOff>
      <xdr:row>32</xdr:row>
      <xdr:rowOff>160020</xdr:rowOff>
    </xdr:to>
    <xdr:graphicFrame macro="">
      <xdr:nvGraphicFramePr>
        <xdr:cNvPr id="5" name="Chart 4">
          <a:extLst>
            <a:ext uri="{FF2B5EF4-FFF2-40B4-BE49-F238E27FC236}">
              <a16:creationId xmlns:a16="http://schemas.microsoft.com/office/drawing/2014/main" id="{12D98E83-4C71-4818-8B5B-7D8067EF81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34</xdr:row>
      <xdr:rowOff>0</xdr:rowOff>
    </xdr:from>
    <xdr:to>
      <xdr:col>8</xdr:col>
      <xdr:colOff>304800</xdr:colOff>
      <xdr:row>49</xdr:row>
      <xdr:rowOff>0</xdr:rowOff>
    </xdr:to>
    <xdr:graphicFrame macro="">
      <xdr:nvGraphicFramePr>
        <xdr:cNvPr id="6" name="Chart 5">
          <a:extLst>
            <a:ext uri="{FF2B5EF4-FFF2-40B4-BE49-F238E27FC236}">
              <a16:creationId xmlns:a16="http://schemas.microsoft.com/office/drawing/2014/main" id="{A3FD5662-680C-4632-BEBB-9529537731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563880</xdr:colOff>
      <xdr:row>34</xdr:row>
      <xdr:rowOff>22860</xdr:rowOff>
    </xdr:from>
    <xdr:to>
      <xdr:col>16</xdr:col>
      <xdr:colOff>259080</xdr:colOff>
      <xdr:row>49</xdr:row>
      <xdr:rowOff>22860</xdr:rowOff>
    </xdr:to>
    <xdr:graphicFrame macro="">
      <xdr:nvGraphicFramePr>
        <xdr:cNvPr id="7" name="Chart 6">
          <a:extLst>
            <a:ext uri="{FF2B5EF4-FFF2-40B4-BE49-F238E27FC236}">
              <a16:creationId xmlns:a16="http://schemas.microsoft.com/office/drawing/2014/main" id="{A82E83A6-0FA2-4480-9C67-795CEC3031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50</xdr:row>
      <xdr:rowOff>0</xdr:rowOff>
    </xdr:from>
    <xdr:to>
      <xdr:col>8</xdr:col>
      <xdr:colOff>304800</xdr:colOff>
      <xdr:row>65</xdr:row>
      <xdr:rowOff>0</xdr:rowOff>
    </xdr:to>
    <xdr:graphicFrame macro="">
      <xdr:nvGraphicFramePr>
        <xdr:cNvPr id="8" name="Chart 7">
          <a:extLst>
            <a:ext uri="{FF2B5EF4-FFF2-40B4-BE49-F238E27FC236}">
              <a16:creationId xmlns:a16="http://schemas.microsoft.com/office/drawing/2014/main" id="{857C3E0C-67F5-4958-9017-3F02BF498A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548640</xdr:colOff>
      <xdr:row>50</xdr:row>
      <xdr:rowOff>22860</xdr:rowOff>
    </xdr:from>
    <xdr:to>
      <xdr:col>16</xdr:col>
      <xdr:colOff>243840</xdr:colOff>
      <xdr:row>65</xdr:row>
      <xdr:rowOff>22860</xdr:rowOff>
    </xdr:to>
    <xdr:graphicFrame macro="">
      <xdr:nvGraphicFramePr>
        <xdr:cNvPr id="9" name="Chart 8">
          <a:extLst>
            <a:ext uri="{FF2B5EF4-FFF2-40B4-BE49-F238E27FC236}">
              <a16:creationId xmlns:a16="http://schemas.microsoft.com/office/drawing/2014/main" id="{7F9F0755-4AA1-48EF-9921-3AC21FA4FE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152400</xdr:colOff>
      <xdr:row>1</xdr:row>
      <xdr:rowOff>76200</xdr:rowOff>
    </xdr:from>
    <xdr:to>
      <xdr:col>5</xdr:col>
      <xdr:colOff>434340</xdr:colOff>
      <xdr:row>5</xdr:row>
      <xdr:rowOff>91440</xdr:rowOff>
    </xdr:to>
    <xdr:sp macro="" textlink="">
      <xdr:nvSpPr>
        <xdr:cNvPr id="2" name="TextBox 1">
          <a:extLst>
            <a:ext uri="{FF2B5EF4-FFF2-40B4-BE49-F238E27FC236}">
              <a16:creationId xmlns:a16="http://schemas.microsoft.com/office/drawing/2014/main" id="{2ED0C50F-E83D-818B-2400-89D61A72DEE6}"/>
            </a:ext>
          </a:extLst>
        </xdr:cNvPr>
        <xdr:cNvSpPr txBox="1"/>
      </xdr:nvSpPr>
      <xdr:spPr>
        <a:xfrm>
          <a:off x="762000" y="373380"/>
          <a:ext cx="3848100" cy="746760"/>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a:t>
          </a:r>
          <a:r>
            <a:rPr lang="en-US" sz="1100" baseline="0"/>
            <a:t> Chart shows Statistics of Points per game, assist per game, and rebounds per game, as also there upcoming season salaries of both of the kept players and new players. They are seprtated so that the front office knows which player has agreed to stay .</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6</xdr:col>
      <xdr:colOff>441960</xdr:colOff>
      <xdr:row>4</xdr:row>
      <xdr:rowOff>152400</xdr:rowOff>
    </xdr:from>
    <xdr:to>
      <xdr:col>8</xdr:col>
      <xdr:colOff>76200</xdr:colOff>
      <xdr:row>18</xdr:row>
      <xdr:rowOff>59055</xdr:rowOff>
    </xdr:to>
    <mc:AlternateContent xmlns:mc="http://schemas.openxmlformats.org/markup-compatibility/2006" xmlns:a14="http://schemas.microsoft.com/office/drawing/2010/main">
      <mc:Choice Requires="a14">
        <xdr:graphicFrame macro="">
          <xdr:nvGraphicFramePr>
            <xdr:cNvPr id="7" name="Player Name">
              <a:extLst>
                <a:ext uri="{FF2B5EF4-FFF2-40B4-BE49-F238E27FC236}">
                  <a16:creationId xmlns:a16="http://schemas.microsoft.com/office/drawing/2014/main" id="{AC060B88-731F-9E6E-B5BE-C657B5B20EC5}"/>
                </a:ext>
              </a:extLst>
            </xdr:cNvPr>
            <xdr:cNvGraphicFramePr/>
          </xdr:nvGraphicFramePr>
          <xdr:xfrm>
            <a:off x="0" y="0"/>
            <a:ext cx="0" cy="0"/>
          </xdr:xfrm>
          <a:graphic>
            <a:graphicData uri="http://schemas.microsoft.com/office/drawing/2010/slicer">
              <sle:slicer xmlns:sle="http://schemas.microsoft.com/office/drawing/2010/slicer" name="Player Name"/>
            </a:graphicData>
          </a:graphic>
        </xdr:graphicFrame>
      </mc:Choice>
      <mc:Fallback xmlns="">
        <xdr:sp macro="" textlink="">
          <xdr:nvSpPr>
            <xdr:cNvPr id="0" name=""/>
            <xdr:cNvSpPr>
              <a:spLocks noTextEdit="1"/>
            </xdr:cNvSpPr>
          </xdr:nvSpPr>
          <xdr:spPr>
            <a:xfrm>
              <a:off x="5897880" y="9982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60960</xdr:colOff>
      <xdr:row>1</xdr:row>
      <xdr:rowOff>68580</xdr:rowOff>
    </xdr:from>
    <xdr:to>
      <xdr:col>4</xdr:col>
      <xdr:colOff>563880</xdr:colOff>
      <xdr:row>4</xdr:row>
      <xdr:rowOff>76200</xdr:rowOff>
    </xdr:to>
    <xdr:sp macro="" textlink="">
      <xdr:nvSpPr>
        <xdr:cNvPr id="9" name="TextBox 8">
          <a:extLst>
            <a:ext uri="{FF2B5EF4-FFF2-40B4-BE49-F238E27FC236}">
              <a16:creationId xmlns:a16="http://schemas.microsoft.com/office/drawing/2014/main" id="{3E5CA4C8-5E74-2A26-D3D6-98F2EEF6BFD9}"/>
            </a:ext>
          </a:extLst>
        </xdr:cNvPr>
        <xdr:cNvSpPr txBox="1"/>
      </xdr:nvSpPr>
      <xdr:spPr>
        <a:xfrm>
          <a:off x="60960" y="365760"/>
          <a:ext cx="3063240" cy="55626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table allows us to use the</a:t>
          </a:r>
          <a:r>
            <a:rPr lang="en-US" sz="1100" baseline="0"/>
            <a:t> procces of ellimination so that we can compare only potential Players who we can trade or cut.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605927</xdr:colOff>
      <xdr:row>2</xdr:row>
      <xdr:rowOff>36723</xdr:rowOff>
    </xdr:from>
    <xdr:to>
      <xdr:col>12</xdr:col>
      <xdr:colOff>596747</xdr:colOff>
      <xdr:row>6</xdr:row>
      <xdr:rowOff>91807</xdr:rowOff>
    </xdr:to>
    <xdr:sp macro="" textlink="">
      <xdr:nvSpPr>
        <xdr:cNvPr id="2" name="TextBox 1">
          <a:extLst>
            <a:ext uri="{FF2B5EF4-FFF2-40B4-BE49-F238E27FC236}">
              <a16:creationId xmlns:a16="http://schemas.microsoft.com/office/drawing/2014/main" id="{6A496311-D3F7-5C11-85C4-E837776A7A46}"/>
            </a:ext>
          </a:extLst>
        </xdr:cNvPr>
        <xdr:cNvSpPr txBox="1"/>
      </xdr:nvSpPr>
      <xdr:spPr>
        <a:xfrm>
          <a:off x="10622096" y="477398"/>
          <a:ext cx="1588265" cy="835445"/>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a:t>
          </a:r>
          <a:r>
            <a:rPr lang="en-US" sz="1100" baseline="0"/>
            <a:t> allows us to look up any player and there information such as stats and salary.</a:t>
          </a:r>
          <a:endParaRPr lang="en-US" sz="1100"/>
        </a:p>
      </xdr:txBody>
    </xdr:sp>
    <xdr:clientData/>
  </xdr:twoCellAnchor>
  <xdr:twoCellAnchor>
    <xdr:from>
      <xdr:col>11</xdr:col>
      <xdr:colOff>348867</xdr:colOff>
      <xdr:row>16</xdr:row>
      <xdr:rowOff>18361</xdr:rowOff>
    </xdr:from>
    <xdr:to>
      <xdr:col>12</xdr:col>
      <xdr:colOff>780362</xdr:colOff>
      <xdr:row>22</xdr:row>
      <xdr:rowOff>119350</xdr:rowOff>
    </xdr:to>
    <xdr:sp macro="" textlink="">
      <xdr:nvSpPr>
        <xdr:cNvPr id="3" name="TextBox 2">
          <a:extLst>
            <a:ext uri="{FF2B5EF4-FFF2-40B4-BE49-F238E27FC236}">
              <a16:creationId xmlns:a16="http://schemas.microsoft.com/office/drawing/2014/main" id="{5F785453-79D8-A1CE-F85A-9C0227258D2D}"/>
            </a:ext>
          </a:extLst>
        </xdr:cNvPr>
        <xdr:cNvSpPr txBox="1"/>
      </xdr:nvSpPr>
      <xdr:spPr>
        <a:xfrm>
          <a:off x="11356554" y="3167349"/>
          <a:ext cx="1037422" cy="1248579"/>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a:t>
          </a:r>
          <a:r>
            <a:rPr lang="en-US" sz="1100" baseline="0"/>
            <a:t> allows us to caculate what the cost will be without the player within the roster.</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56147</xdr:colOff>
      <xdr:row>1</xdr:row>
      <xdr:rowOff>144379</xdr:rowOff>
    </xdr:from>
    <xdr:to>
      <xdr:col>6</xdr:col>
      <xdr:colOff>240632</xdr:colOff>
      <xdr:row>6</xdr:row>
      <xdr:rowOff>16042</xdr:rowOff>
    </xdr:to>
    <xdr:sp macro="" textlink="">
      <xdr:nvSpPr>
        <xdr:cNvPr id="4" name="TextBox 3">
          <a:extLst>
            <a:ext uri="{FF2B5EF4-FFF2-40B4-BE49-F238E27FC236}">
              <a16:creationId xmlns:a16="http://schemas.microsoft.com/office/drawing/2014/main" id="{30593546-0C1E-1AF7-C1A7-63892CCFB3DD}"/>
            </a:ext>
          </a:extLst>
        </xdr:cNvPr>
        <xdr:cNvSpPr txBox="1"/>
      </xdr:nvSpPr>
      <xdr:spPr>
        <a:xfrm>
          <a:off x="56147" y="441158"/>
          <a:ext cx="6288506" cy="794084"/>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b="1"/>
            <a:t>This sheet is designed to help the Cleveland Cavaliers front office evaluate how future player contracts may need to be adjusted in order to meet long-term salary cap goals and reduce luxury tax penalties. It specifically uses Excel’s Goal Seek tool to identify how much to adjust a contract — or apply a salary reduction — so that the team’s total salary aligns with a desired financial target for a given season.</a:t>
          </a:r>
        </a:p>
        <a:p>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312420</xdr:colOff>
      <xdr:row>1</xdr:row>
      <xdr:rowOff>175260</xdr:rowOff>
    </xdr:from>
    <xdr:to>
      <xdr:col>16</xdr:col>
      <xdr:colOff>350520</xdr:colOff>
      <xdr:row>9</xdr:row>
      <xdr:rowOff>144780</xdr:rowOff>
    </xdr:to>
    <xdr:sp macro="" textlink="">
      <xdr:nvSpPr>
        <xdr:cNvPr id="2" name="TextBox 1">
          <a:extLst>
            <a:ext uri="{FF2B5EF4-FFF2-40B4-BE49-F238E27FC236}">
              <a16:creationId xmlns:a16="http://schemas.microsoft.com/office/drawing/2014/main" id="{C09DEDC2-C17E-6AFB-163D-BFA74230EFAC}"/>
            </a:ext>
          </a:extLst>
        </xdr:cNvPr>
        <xdr:cNvSpPr txBox="1"/>
      </xdr:nvSpPr>
      <xdr:spPr>
        <a:xfrm>
          <a:off x="922020" y="358140"/>
          <a:ext cx="9182100" cy="143256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t>To address the Cleveland Cavaliers’ escalating luxury tax burden, this project focuses on strategically reducing total team salary beginning in the 2025–26 season and continuing through 2028. With a projected cost of $366 million in 2025–26, the primary goal is to bring total salary closer to the estimated internal cap target of $230 million. The core trio of Donovan Mitchell, Evan Mobley, and Darius Garland should be retained due to their strong performance and long-term value. However, to create financial flexibility, the team should explore trading or restructuring higher-cost, lower-impact contracts such as De’Andre Hunter ($23.3M), Jarrett Allen ($20M), and Max Strus ($15.9M). Additional savings can come from cutting or letting contracts expire for players like Lonzo Ball, Chuma Okeke, and Larry Nance Jr. These moves could reduce salary obligations by $55–65 million. For future seasons, the team should aim to stay under evolving cap goals—approximately $235M in 2026–27, $250M in 2027–28, and $270–280M in 2028—balancing cap compliance with competitive strength.</a:t>
          </a:r>
          <a:endParaRPr lang="en-US" sz="1100"/>
        </a:p>
      </xdr:txBody>
    </xdr:sp>
    <xdr:clientData/>
  </xdr:twoCellAnchor>
</xdr:wsDr>
</file>

<file path=xl/persons/person.xml><?xml version="1.0" encoding="utf-8"?>
<personList xmlns="http://schemas.microsoft.com/office/spreadsheetml/2018/threadedcomments" xmlns:x="http://schemas.openxmlformats.org/spreadsheetml/2006/main">
  <person displayName="Jones, Travis" id="{6C5D9D55-1971-416E-8100-56A3BE4144F0}" userId="S::trj11@byui.edu::e79baf4e-4f5b-4ec1-a261-4427548a0d45"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ravis Jones" refreshedDate="45854.470989467591" createdVersion="8" refreshedVersion="8" minRefreshableVersion="3" recordCount="13" xr:uid="{EE903217-A4A5-4D32-A957-B6A98E2E737E}">
  <cacheSource type="worksheet">
    <worksheetSource ref="B7:F21" sheet="Kept +New Players Chart"/>
  </cacheSource>
  <cacheFields count="5">
    <cacheField name="Player Name" numFmtId="0">
      <sharedItems count="13">
        <s v="Donovan Mitchell"/>
        <s v="Evan Mobley"/>
        <s v="Darius Garland"/>
        <s v="De’Andre Hunter"/>
        <s v="Jarrett Allen"/>
        <s v="Max Strus"/>
        <s v="Lonzo Ball"/>
        <s v="Isaac Okoro"/>
        <s v="Dean Wade"/>
        <s v="Craig Porter Jr."/>
        <s v="Jaylon Tyson"/>
        <s v="Chuma Okeke"/>
        <s v="Sam Merrill"/>
      </sharedItems>
    </cacheField>
    <cacheField name="2025–26 Salary" numFmtId="6">
      <sharedItems containsSemiMixedTypes="0" containsString="0" containsNumber="1" containsInteger="1" minValue="2221677" maxValue="46394100" count="12">
        <n v="46394100"/>
        <n v="39446090"/>
        <n v="23303571"/>
        <n v="20000000"/>
        <n v="15936452"/>
        <n v="10000000"/>
        <n v="11000000"/>
        <n v="6623456"/>
        <n v="2221677"/>
        <n v="3492480"/>
        <n v="2546675"/>
        <n v="8480000"/>
      </sharedItems>
    </cacheField>
    <cacheField name="PPG" numFmtId="0">
      <sharedItems containsSemiMixedTypes="0" containsString="0" containsNumber="1" minValue="2.5" maxValue="24" count="13">
        <n v="24"/>
        <n v="18.5"/>
        <n v="20.6"/>
        <n v="14.3"/>
        <n v="13.5"/>
        <n v="9.4"/>
        <n v="7.6"/>
        <n v="6.1"/>
        <n v="5.4"/>
        <n v="3.7"/>
        <n v="3.6"/>
        <n v="2.5"/>
        <n v="7.2"/>
      </sharedItems>
    </cacheField>
    <cacheField name="RPG" numFmtId="0">
      <sharedItems containsSemiMixedTypes="0" containsString="0" containsNumber="1" minValue="1.3" maxValue="9.6999999999999993" count="11">
        <n v="4.5"/>
        <n v="9.3000000000000007"/>
        <n v="2.9"/>
        <n v="4.2"/>
        <n v="9.6999999999999993"/>
        <n v="4.3"/>
        <n v="3.4"/>
        <n v="2.4"/>
        <n v="1.3"/>
        <n v="2"/>
        <n v="2.2000000000000002"/>
      </sharedItems>
    </cacheField>
    <cacheField name="APG" numFmtId="0">
      <sharedItems containsSemiMixedTypes="0" containsString="0" containsNumber="1" minValue="0.7" maxValue="6.7" count="11">
        <n v="5"/>
        <n v="3.2"/>
        <n v="6.7"/>
        <n v="1.3"/>
        <n v="1.9"/>
        <n v="3.3"/>
        <n v="1.2"/>
        <n v="1.4"/>
        <n v="0.9"/>
        <n v="0.7"/>
        <n v="1.5"/>
      </sharedItems>
    </cacheField>
  </cacheFields>
  <extLst>
    <ext xmlns:x14="http://schemas.microsoft.com/office/spreadsheetml/2009/9/main" uri="{725AE2AE-9491-48be-B2B4-4EB974FC3084}">
      <x14:pivotCacheDefinition pivotCacheId="14240718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x v="0"/>
    <x v="0"/>
    <x v="0"/>
    <x v="0"/>
    <x v="0"/>
  </r>
  <r>
    <x v="1"/>
    <x v="0"/>
    <x v="1"/>
    <x v="1"/>
    <x v="1"/>
  </r>
  <r>
    <x v="2"/>
    <x v="1"/>
    <x v="2"/>
    <x v="2"/>
    <x v="2"/>
  </r>
  <r>
    <x v="3"/>
    <x v="2"/>
    <x v="3"/>
    <x v="3"/>
    <x v="3"/>
  </r>
  <r>
    <x v="4"/>
    <x v="3"/>
    <x v="4"/>
    <x v="4"/>
    <x v="4"/>
  </r>
  <r>
    <x v="5"/>
    <x v="4"/>
    <x v="5"/>
    <x v="5"/>
    <x v="1"/>
  </r>
  <r>
    <x v="6"/>
    <x v="5"/>
    <x v="6"/>
    <x v="6"/>
    <x v="5"/>
  </r>
  <r>
    <x v="7"/>
    <x v="6"/>
    <x v="7"/>
    <x v="7"/>
    <x v="6"/>
  </r>
  <r>
    <x v="8"/>
    <x v="7"/>
    <x v="8"/>
    <x v="3"/>
    <x v="3"/>
  </r>
  <r>
    <x v="9"/>
    <x v="8"/>
    <x v="9"/>
    <x v="8"/>
    <x v="7"/>
  </r>
  <r>
    <x v="10"/>
    <x v="9"/>
    <x v="10"/>
    <x v="9"/>
    <x v="8"/>
  </r>
  <r>
    <x v="11"/>
    <x v="10"/>
    <x v="11"/>
    <x v="9"/>
    <x v="9"/>
  </r>
  <r>
    <x v="12"/>
    <x v="11"/>
    <x v="12"/>
    <x v="10"/>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3D1C06F-B200-4EFC-B758-5EE414041DB2}" name="PivotTable3" cacheId="0" applyNumberFormats="0" applyBorderFormats="0" applyFontFormats="0" applyPatternFormats="0" applyAlignmentFormats="0" applyWidthHeightFormats="1" dataCaption="Values" updatedVersion="8" minRefreshableVersion="3" useAutoFormatting="1" itemPrintTitles="1" createdVersion="8" indent="0" showHeaders="0" outline="1" outlineData="1" multipleFieldFilters="0" chartFormat="8">
  <location ref="B6:F20" firstHeaderRow="0" firstDataRow="1" firstDataCol="1"/>
  <pivotFields count="5">
    <pivotField axis="axisRow" showAll="0">
      <items count="14">
        <item x="11"/>
        <item x="9"/>
        <item x="2"/>
        <item x="3"/>
        <item x="8"/>
        <item x="0"/>
        <item x="1"/>
        <item x="7"/>
        <item x="4"/>
        <item x="10"/>
        <item x="6"/>
        <item x="5"/>
        <item x="12"/>
        <item t="default"/>
      </items>
    </pivotField>
    <pivotField dataField="1" numFmtId="6" showAll="0">
      <items count="13">
        <item x="8"/>
        <item x="10"/>
        <item x="9"/>
        <item x="7"/>
        <item x="11"/>
        <item x="5"/>
        <item x="6"/>
        <item x="4"/>
        <item x="3"/>
        <item x="2"/>
        <item x="1"/>
        <item x="0"/>
        <item t="default"/>
      </items>
    </pivotField>
    <pivotField dataField="1" showAll="0">
      <items count="14">
        <item x="11"/>
        <item x="10"/>
        <item x="9"/>
        <item x="8"/>
        <item x="7"/>
        <item x="12"/>
        <item x="6"/>
        <item x="5"/>
        <item x="4"/>
        <item x="3"/>
        <item x="1"/>
        <item x="2"/>
        <item x="0"/>
        <item t="default"/>
      </items>
    </pivotField>
    <pivotField dataField="1" showAll="0">
      <items count="12">
        <item x="8"/>
        <item x="9"/>
        <item x="10"/>
        <item x="7"/>
        <item x="2"/>
        <item x="6"/>
        <item x="3"/>
        <item x="5"/>
        <item x="0"/>
        <item x="1"/>
        <item x="4"/>
        <item t="default"/>
      </items>
    </pivotField>
    <pivotField dataField="1" showAll="0">
      <items count="12">
        <item x="9"/>
        <item x="8"/>
        <item x="6"/>
        <item x="3"/>
        <item x="7"/>
        <item x="10"/>
        <item x="4"/>
        <item x="1"/>
        <item x="5"/>
        <item x="0"/>
        <item x="2"/>
        <item t="default"/>
      </items>
    </pivotField>
  </pivotFields>
  <rowFields count="1">
    <field x="0"/>
  </rowFields>
  <rowItems count="14">
    <i>
      <x/>
    </i>
    <i>
      <x v="1"/>
    </i>
    <i>
      <x v="2"/>
    </i>
    <i>
      <x v="3"/>
    </i>
    <i>
      <x v="4"/>
    </i>
    <i>
      <x v="5"/>
    </i>
    <i>
      <x v="6"/>
    </i>
    <i>
      <x v="7"/>
    </i>
    <i>
      <x v="8"/>
    </i>
    <i>
      <x v="9"/>
    </i>
    <i>
      <x v="10"/>
    </i>
    <i>
      <x v="11"/>
    </i>
    <i>
      <x v="12"/>
    </i>
    <i t="grand">
      <x/>
    </i>
  </rowItems>
  <colFields count="1">
    <field x="-2"/>
  </colFields>
  <colItems count="4">
    <i>
      <x/>
    </i>
    <i i="1">
      <x v="1"/>
    </i>
    <i i="2">
      <x v="2"/>
    </i>
    <i i="3">
      <x v="3"/>
    </i>
  </colItems>
  <dataFields count="4">
    <dataField name="Sum of PPG" fld="2" baseField="0" baseItem="0"/>
    <dataField name="Sum of APG" fld="4" baseField="0" baseItem="0"/>
    <dataField name="Sum of 2025–26 Salary" fld="1" baseField="0" baseItem="0" numFmtId="6"/>
    <dataField name="Sum of RPG" fld="3" baseField="0" baseItem="0"/>
  </dataFields>
  <formats count="8">
    <format dxfId="7">
      <pivotArea type="all" dataOnly="0" outline="0" fieldPosition="0"/>
    </format>
    <format dxfId="6">
      <pivotArea outline="0" collapsedLevelsAreSubtotals="1" fieldPosition="0"/>
    </format>
    <format dxfId="5">
      <pivotArea field="0" type="button" dataOnly="0" labelOnly="1" outline="0" axis="axisRow" fieldPosition="0"/>
    </format>
    <format dxfId="4">
      <pivotArea dataOnly="0" labelOnly="1" fieldPosition="0">
        <references count="1">
          <reference field="0" count="0"/>
        </references>
      </pivotArea>
    </format>
    <format dxfId="3">
      <pivotArea dataOnly="0" labelOnly="1" grandRow="1" outline="0" fieldPosition="0"/>
    </format>
    <format dxfId="2">
      <pivotArea dataOnly="0" labelOnly="1" outline="0" fieldPosition="0">
        <references count="1">
          <reference field="4294967294" count="3">
            <x v="0"/>
            <x v="1"/>
            <x v="2"/>
          </reference>
        </references>
      </pivotArea>
    </format>
    <format dxfId="1">
      <pivotArea collapsedLevelsAreSubtotals="1" fieldPosition="0">
        <references count="1">
          <reference field="0" count="0"/>
        </references>
      </pivotArea>
    </format>
    <format dxfId="0">
      <pivotArea dataOnly="0" labelOnly="1" fieldPosition="0">
        <references count="1">
          <reference field="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yer_Name" xr10:uid="{A676ADDE-0013-4647-8B41-F5725654D74E}" sourceName="Player Name">
  <pivotTables>
    <pivotTable tabId="25" name="PivotTable3"/>
  </pivotTables>
  <data>
    <tabular pivotCacheId="1424071882">
      <items count="13">
        <i x="11" s="1"/>
        <i x="9" s="1"/>
        <i x="2" s="1"/>
        <i x="3" s="1"/>
        <i x="8" s="1"/>
        <i x="0" s="1"/>
        <i x="1" s="1"/>
        <i x="7" s="1"/>
        <i x="4" s="1"/>
        <i x="10" s="1"/>
        <i x="6" s="1"/>
        <i x="5" s="1"/>
        <i x="1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yer Name" xr10:uid="{523C2625-C180-4B0C-8A8D-F94EC1FCD0E3}" cache="Slicer_Player_Name" caption="Player Name" startItem="6"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I30" dT="2025-07-16T18:57:51.26" personId="{6C5D9D55-1971-416E-8100-56A3BE4144F0}" id="{8FB73186-9E1C-4F49-B796-F4A5F3D51C8F}">
    <text>The Highlighted Green Cells represent the changed potential contracts</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9.xml"/><Relationship Id="rId4" Type="http://schemas.microsoft.com/office/2017/10/relationships/threadedComment" Target="../threadedComments/threadedComment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D1C3C-9F3D-4B25-A594-D7F92D6FBDFE}">
  <sheetPr codeName="Sheet3"/>
  <dimension ref="A1:M23"/>
  <sheetViews>
    <sheetView showGridLines="0" tabSelected="1" workbookViewId="0">
      <selection activeCell="M23" sqref="M23"/>
    </sheetView>
  </sheetViews>
  <sheetFormatPr defaultColWidth="0" defaultRowHeight="123" customHeight="1" zeroHeight="1"/>
  <cols>
    <col min="1" max="6" width="8.88671875" style="2" customWidth="1"/>
    <col min="7" max="7" width="35.77734375" style="2" customWidth="1"/>
    <col min="8" max="13" width="8.88671875" style="2" customWidth="1"/>
    <col min="14" max="16384" width="8.88671875" hidden="1"/>
  </cols>
  <sheetData>
    <row r="1" spans="1:7" ht="23.4">
      <c r="A1" s="3" t="s">
        <v>96</v>
      </c>
      <c r="B1" s="3"/>
      <c r="C1" s="3"/>
      <c r="D1" s="4"/>
      <c r="E1" s="4"/>
      <c r="F1" s="4"/>
      <c r="G1" s="4"/>
    </row>
    <row r="2" spans="1:7" ht="14.4"/>
    <row r="3" spans="1:7" ht="14.4"/>
    <row r="4" spans="1:7" ht="14.4"/>
    <row r="5" spans="1:7" ht="14.4"/>
    <row r="6" spans="1:7" ht="14.4"/>
    <row r="7" spans="1:7" ht="14.4"/>
    <row r="8" spans="1:7" ht="14.4"/>
    <row r="9" spans="1:7" ht="14.4"/>
    <row r="10" spans="1:7" ht="14.4"/>
    <row r="11" spans="1:7" ht="14.4" hidden="1"/>
    <row r="12" spans="1:7" ht="14.4" hidden="1"/>
    <row r="13" spans="1:7" ht="14.4" hidden="1"/>
    <row r="14" spans="1:7" ht="14.4" hidden="1"/>
    <row r="15" spans="1:7" ht="14.4" hidden="1"/>
    <row r="16" spans="1:7" ht="14.4" hidden="1"/>
    <row r="17" spans="7:7" ht="14.4" hidden="1"/>
    <row r="18" spans="7:7" ht="14.4" hidden="1"/>
    <row r="19" spans="7:7" ht="14.4" hidden="1"/>
    <row r="20" spans="7:7" ht="14.4" hidden="1"/>
    <row r="21" spans="7:7" ht="14.4" hidden="1"/>
    <row r="22" spans="7:7" ht="14.4" hidden="1"/>
    <row r="23" spans="7:7" ht="123" customHeight="1">
      <c r="G23"/>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32"/>
  <sheetViews>
    <sheetView topLeftCell="D6" workbookViewId="0">
      <selection activeCell="H8" sqref="H8"/>
    </sheetView>
  </sheetViews>
  <sheetFormatPr defaultColWidth="8.5546875" defaultRowHeight="14.4"/>
  <cols>
    <col min="5" max="5" width="21.109375" customWidth="1"/>
    <col min="6" max="6" width="16" customWidth="1"/>
    <col min="7" max="7" width="17.88671875" customWidth="1"/>
    <col min="8" max="8" width="15.33203125" customWidth="1"/>
    <col min="9" max="9" width="17.5546875" bestFit="1" customWidth="1"/>
    <col min="10" max="10" width="34.6640625" customWidth="1"/>
    <col min="11" max="11" width="13.44140625" customWidth="1"/>
  </cols>
  <sheetData>
    <row r="1" spans="1:11">
      <c r="A1" s="137" t="s">
        <v>1</v>
      </c>
      <c r="B1" s="137"/>
      <c r="C1" s="137"/>
      <c r="D1" s="137"/>
      <c r="E1" s="137"/>
      <c r="F1" s="137"/>
      <c r="G1" s="137"/>
      <c r="H1" s="137"/>
      <c r="I1" s="137"/>
      <c r="J1" s="137"/>
      <c r="K1" s="137"/>
    </row>
    <row r="2" spans="1:11">
      <c r="A2" s="138" t="s">
        <v>0</v>
      </c>
      <c r="B2" s="138"/>
      <c r="C2" s="138"/>
      <c r="D2" s="138"/>
      <c r="E2" s="138"/>
      <c r="F2" s="138"/>
      <c r="G2" s="138"/>
      <c r="H2" s="138"/>
      <c r="I2" s="138"/>
      <c r="J2" s="138"/>
      <c r="K2" s="138"/>
    </row>
    <row r="5" spans="1:11" ht="6" customHeight="1" thickBot="1"/>
    <row r="6" spans="1:11" ht="24" customHeight="1">
      <c r="E6" s="6" t="s">
        <v>26</v>
      </c>
      <c r="F6" s="7"/>
      <c r="G6" s="7"/>
      <c r="H6" s="8"/>
      <c r="I6" s="8"/>
      <c r="J6" s="9"/>
    </row>
    <row r="7" spans="1:11">
      <c r="E7" s="10" t="s">
        <v>4</v>
      </c>
      <c r="F7" t="s">
        <v>5</v>
      </c>
      <c r="G7" t="s">
        <v>6</v>
      </c>
      <c r="H7" t="s">
        <v>7</v>
      </c>
      <c r="I7" t="s">
        <v>8</v>
      </c>
      <c r="J7" s="11" t="s">
        <v>43</v>
      </c>
    </row>
    <row r="8" spans="1:11">
      <c r="E8" s="10" t="s">
        <v>9</v>
      </c>
      <c r="F8" s="14">
        <v>46394100</v>
      </c>
      <c r="G8" s="14">
        <v>50105628</v>
      </c>
      <c r="H8" s="14">
        <v>53817156</v>
      </c>
      <c r="I8" s="5" t="s">
        <v>73</v>
      </c>
      <c r="J8" s="11" t="s">
        <v>28</v>
      </c>
    </row>
    <row r="9" spans="1:11">
      <c r="E9" s="10" t="s">
        <v>10</v>
      </c>
      <c r="F9" s="14">
        <v>46394100</v>
      </c>
      <c r="G9" s="14">
        <v>50105628</v>
      </c>
      <c r="H9" s="14">
        <v>53817156</v>
      </c>
      <c r="I9" s="14">
        <v>57528684</v>
      </c>
      <c r="J9" s="11" t="s">
        <v>31</v>
      </c>
    </row>
    <row r="10" spans="1:11">
      <c r="E10" s="10" t="s">
        <v>11</v>
      </c>
      <c r="F10" s="14">
        <v>39446090</v>
      </c>
      <c r="G10" s="14">
        <v>42166510</v>
      </c>
      <c r="H10" s="14">
        <v>44886930</v>
      </c>
      <c r="I10" s="5" t="s">
        <v>73</v>
      </c>
      <c r="J10" s="11" t="s">
        <v>29</v>
      </c>
    </row>
    <row r="11" spans="1:11">
      <c r="E11" s="10" t="s">
        <v>12</v>
      </c>
      <c r="F11" s="14">
        <v>23303571</v>
      </c>
      <c r="G11" s="14">
        <v>24910714</v>
      </c>
      <c r="H11" s="14">
        <v>48214285</v>
      </c>
      <c r="I11" s="5" t="s">
        <v>73</v>
      </c>
      <c r="J11" s="11" t="s">
        <v>30</v>
      </c>
    </row>
    <row r="12" spans="1:11">
      <c r="E12" s="10" t="s">
        <v>13</v>
      </c>
      <c r="F12" s="14">
        <v>20000000</v>
      </c>
      <c r="G12" s="14">
        <v>28000000</v>
      </c>
      <c r="H12" s="14">
        <v>30240000</v>
      </c>
      <c r="I12" s="14">
        <v>32480000</v>
      </c>
      <c r="J12" s="11" t="s">
        <v>32</v>
      </c>
    </row>
    <row r="13" spans="1:11">
      <c r="E13" s="10" t="s">
        <v>14</v>
      </c>
      <c r="F13" s="14">
        <v>15936452</v>
      </c>
      <c r="G13" s="14">
        <v>16660836</v>
      </c>
      <c r="H13" s="14">
        <v>32597288</v>
      </c>
      <c r="I13" s="5" t="s">
        <v>73</v>
      </c>
      <c r="J13" s="11" t="s">
        <v>33</v>
      </c>
    </row>
    <row r="14" spans="1:11">
      <c r="E14" s="10" t="s">
        <v>15</v>
      </c>
      <c r="F14" s="14">
        <v>10000000</v>
      </c>
      <c r="G14" s="14">
        <v>10000000</v>
      </c>
      <c r="H14" s="14">
        <v>10000000</v>
      </c>
      <c r="I14" s="5" t="s">
        <v>73</v>
      </c>
      <c r="J14" s="11" t="s">
        <v>34</v>
      </c>
    </row>
    <row r="15" spans="1:11">
      <c r="E15" s="10" t="s">
        <v>16</v>
      </c>
      <c r="F15" s="14">
        <v>11000000</v>
      </c>
      <c r="G15" s="14">
        <v>11800000</v>
      </c>
      <c r="H15" s="5" t="s">
        <v>73</v>
      </c>
      <c r="I15" s="5" t="s">
        <v>73</v>
      </c>
      <c r="J15" s="11" t="s">
        <v>35</v>
      </c>
    </row>
    <row r="16" spans="1:11">
      <c r="E16" s="10" t="s">
        <v>17</v>
      </c>
      <c r="F16" s="14">
        <v>6623456</v>
      </c>
      <c r="G16" s="5" t="s">
        <v>72</v>
      </c>
      <c r="H16" s="5" t="s">
        <v>73</v>
      </c>
      <c r="I16" s="5" t="s">
        <v>73</v>
      </c>
      <c r="J16" s="11" t="s">
        <v>36</v>
      </c>
    </row>
    <row r="17" spans="5:14">
      <c r="E17" s="10" t="s">
        <v>18</v>
      </c>
      <c r="F17" s="14">
        <v>2221677</v>
      </c>
      <c r="G17" s="14">
        <v>2406205</v>
      </c>
      <c r="H17" s="5" t="s">
        <v>73</v>
      </c>
      <c r="I17" s="5" t="s">
        <v>73</v>
      </c>
      <c r="J17" s="11" t="s">
        <v>36</v>
      </c>
    </row>
    <row r="18" spans="5:14">
      <c r="E18" s="10" t="s">
        <v>19</v>
      </c>
      <c r="F18" s="14">
        <v>3492480</v>
      </c>
      <c r="G18" s="14">
        <v>3658560</v>
      </c>
      <c r="H18" s="14">
        <v>5641500</v>
      </c>
      <c r="I18" s="5" t="s">
        <v>73</v>
      </c>
      <c r="J18" s="11" t="s">
        <v>37</v>
      </c>
    </row>
    <row r="19" spans="5:14">
      <c r="E19" s="10" t="s">
        <v>20</v>
      </c>
      <c r="F19" s="14">
        <v>2546675</v>
      </c>
      <c r="G19" s="5" t="s">
        <v>73</v>
      </c>
      <c r="H19" s="5" t="s">
        <v>73</v>
      </c>
      <c r="I19" s="5" t="s">
        <v>73</v>
      </c>
      <c r="J19" s="11" t="s">
        <v>38</v>
      </c>
    </row>
    <row r="20" spans="5:14">
      <c r="E20" s="10" t="s">
        <v>21</v>
      </c>
      <c r="F20" s="14">
        <v>8480000</v>
      </c>
      <c r="G20" s="14">
        <v>9160000</v>
      </c>
      <c r="H20" s="14">
        <v>9840000</v>
      </c>
      <c r="I20" s="14">
        <v>10520000</v>
      </c>
      <c r="J20" s="11" t="s">
        <v>39</v>
      </c>
    </row>
    <row r="21" spans="5:14">
      <c r="E21" s="10" t="s">
        <v>22</v>
      </c>
      <c r="F21" s="14">
        <v>3634000</v>
      </c>
      <c r="G21" s="14" t="s">
        <v>73</v>
      </c>
      <c r="H21" s="5" t="s">
        <v>73</v>
      </c>
      <c r="I21" s="5" t="s">
        <v>73</v>
      </c>
      <c r="J21" s="11" t="s">
        <v>40</v>
      </c>
    </row>
    <row r="22" spans="5:14">
      <c r="E22" s="10" t="s">
        <v>23</v>
      </c>
      <c r="F22" s="14" t="s">
        <v>24</v>
      </c>
      <c r="G22" s="14" t="s">
        <v>24</v>
      </c>
      <c r="H22" s="5" t="s">
        <v>73</v>
      </c>
      <c r="I22" s="5" t="s">
        <v>75</v>
      </c>
      <c r="J22" s="11" t="s">
        <v>41</v>
      </c>
    </row>
    <row r="23" spans="5:14" ht="15" thickBot="1">
      <c r="E23" s="12" t="s">
        <v>25</v>
      </c>
      <c r="F23" s="15">
        <v>424672</v>
      </c>
      <c r="G23" s="15">
        <v>424672</v>
      </c>
      <c r="H23" s="15">
        <v>849344</v>
      </c>
      <c r="I23" s="16" t="s">
        <v>73</v>
      </c>
      <c r="J23" s="13" t="s">
        <v>42</v>
      </c>
      <c r="K23" s="5"/>
      <c r="L23" s="5"/>
      <c r="M23" s="5"/>
      <c r="N23" s="5"/>
    </row>
    <row r="24" spans="5:14" ht="15" thickBot="1">
      <c r="F24" s="1"/>
    </row>
    <row r="25" spans="5:14" ht="15" thickBot="1">
      <c r="E25" s="130" t="s">
        <v>58</v>
      </c>
      <c r="F25" s="130" t="s">
        <v>59</v>
      </c>
      <c r="G25" s="130" t="s">
        <v>60</v>
      </c>
      <c r="H25" s="130" t="s">
        <v>61</v>
      </c>
    </row>
    <row r="26" spans="5:14" ht="15" thickBot="1">
      <c r="E26" s="130" t="s">
        <v>62</v>
      </c>
      <c r="F26" s="131">
        <v>225015016</v>
      </c>
      <c r="G26" s="131">
        <v>141040100</v>
      </c>
      <c r="H26" s="131">
        <v>366055116</v>
      </c>
    </row>
    <row r="27" spans="5:14">
      <c r="F27" s="1"/>
      <c r="G27" s="1"/>
      <c r="H27" s="1"/>
      <c r="I27" s="1"/>
    </row>
    <row r="28" spans="5:14">
      <c r="F28" s="1"/>
    </row>
    <row r="31" spans="5:14">
      <c r="F31" s="1"/>
      <c r="G31" s="1"/>
      <c r="H31" s="1"/>
      <c r="I31" s="1"/>
    </row>
    <row r="32" spans="5:14">
      <c r="F32" s="1"/>
    </row>
  </sheetData>
  <mergeCells count="2">
    <mergeCell ref="A1:K1"/>
    <mergeCell ref="A2:K2"/>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D073E-9BCB-4BCD-A82F-96641B32829D}">
  <sheetPr codeName="Sheet4"/>
  <dimension ref="A1:S10"/>
  <sheetViews>
    <sheetView showGridLines="0" zoomScale="85" zoomScaleNormal="85" workbookViewId="0">
      <selection activeCell="M6" sqref="M6"/>
    </sheetView>
  </sheetViews>
  <sheetFormatPr defaultColWidth="0" defaultRowHeight="14.4" zeroHeight="1"/>
  <cols>
    <col min="1" max="1" width="8.88671875" customWidth="1"/>
    <col min="2" max="2" width="26.109375" customWidth="1"/>
    <col min="3" max="3" width="18.77734375" customWidth="1"/>
    <col min="4" max="4" width="30.88671875" customWidth="1"/>
    <col min="5" max="5" width="18.77734375" customWidth="1"/>
    <col min="6" max="6" width="16.6640625" customWidth="1"/>
    <col min="7" max="12" width="18.77734375" customWidth="1"/>
    <col min="13" max="13" width="21.44140625" customWidth="1"/>
    <col min="14" max="19" width="18.77734375" customWidth="1"/>
    <col min="20" max="16384" width="8.88671875" hidden="1"/>
  </cols>
  <sheetData>
    <row r="1" spans="2:18" ht="15" thickBot="1"/>
    <row r="2" spans="2:18" ht="24" thickBot="1">
      <c r="C2" s="6" t="s">
        <v>26</v>
      </c>
      <c r="D2" s="2"/>
      <c r="E2" s="2"/>
      <c r="F2" s="2"/>
    </row>
    <row r="3" spans="2:18">
      <c r="B3" s="21" t="s">
        <v>27</v>
      </c>
      <c r="C3" s="22" t="s">
        <v>9</v>
      </c>
      <c r="D3" s="22" t="s">
        <v>10</v>
      </c>
      <c r="E3" s="22" t="s">
        <v>11</v>
      </c>
      <c r="F3" s="22" t="s">
        <v>12</v>
      </c>
      <c r="G3" s="22" t="s">
        <v>13</v>
      </c>
      <c r="H3" s="22" t="s">
        <v>14</v>
      </c>
      <c r="I3" s="22" t="s">
        <v>15</v>
      </c>
      <c r="J3" s="22" t="s">
        <v>16</v>
      </c>
      <c r="K3" s="22" t="s">
        <v>17</v>
      </c>
      <c r="L3" s="22" t="s">
        <v>18</v>
      </c>
      <c r="M3" s="22" t="s">
        <v>19</v>
      </c>
      <c r="N3" s="22" t="s">
        <v>20</v>
      </c>
      <c r="O3" s="22" t="s">
        <v>21</v>
      </c>
      <c r="P3" s="22" t="s">
        <v>22</v>
      </c>
      <c r="Q3" s="22" t="s">
        <v>23</v>
      </c>
      <c r="R3" s="23" t="s">
        <v>25</v>
      </c>
    </row>
    <row r="4" spans="2:18">
      <c r="B4" s="24" t="s">
        <v>5</v>
      </c>
      <c r="C4" s="18">
        <v>46394100</v>
      </c>
      <c r="D4" s="18">
        <v>39446090</v>
      </c>
      <c r="E4" s="18">
        <v>23303571</v>
      </c>
      <c r="F4" s="18">
        <v>20000000</v>
      </c>
      <c r="G4" s="18">
        <v>15936452</v>
      </c>
      <c r="H4" s="18">
        <v>10000000</v>
      </c>
      <c r="I4" s="18">
        <v>11000000</v>
      </c>
      <c r="J4" s="18">
        <v>6623456</v>
      </c>
      <c r="K4" s="18">
        <v>2221677</v>
      </c>
      <c r="L4" s="18">
        <v>3492480</v>
      </c>
      <c r="M4" s="18">
        <v>2546675</v>
      </c>
      <c r="N4" s="18">
        <v>8480000</v>
      </c>
      <c r="O4" s="18">
        <v>3634000</v>
      </c>
      <c r="P4" s="18" t="s">
        <v>24</v>
      </c>
      <c r="Q4" s="18" t="s">
        <v>24</v>
      </c>
      <c r="R4" s="25">
        <v>424672</v>
      </c>
    </row>
    <row r="5" spans="2:18" ht="15" thickBot="1">
      <c r="B5" s="24" t="s">
        <v>6</v>
      </c>
      <c r="C5" s="18">
        <v>50105628</v>
      </c>
      <c r="D5" s="18">
        <v>42166510</v>
      </c>
      <c r="E5" s="18">
        <v>24910714</v>
      </c>
      <c r="F5" s="18">
        <v>28000000</v>
      </c>
      <c r="G5" s="18">
        <v>16660836</v>
      </c>
      <c r="H5" s="18">
        <v>10000000</v>
      </c>
      <c r="I5" s="18">
        <v>11800000</v>
      </c>
      <c r="J5" s="28" t="s">
        <v>73</v>
      </c>
      <c r="K5" s="18">
        <v>2406205</v>
      </c>
      <c r="L5" s="18">
        <v>3658560</v>
      </c>
      <c r="M5" s="19" t="s">
        <v>73</v>
      </c>
      <c r="N5" s="18">
        <v>9160000</v>
      </c>
      <c r="O5" s="18" t="s">
        <v>73</v>
      </c>
      <c r="P5" s="18" t="s">
        <v>24</v>
      </c>
      <c r="Q5" s="18" t="s">
        <v>24</v>
      </c>
      <c r="R5" s="25">
        <v>424672</v>
      </c>
    </row>
    <row r="6" spans="2:18" ht="15" thickBot="1">
      <c r="B6" s="24" t="s">
        <v>7</v>
      </c>
      <c r="C6" s="18">
        <v>53817156</v>
      </c>
      <c r="D6" s="18">
        <v>44886930</v>
      </c>
      <c r="E6" s="18">
        <v>48214285</v>
      </c>
      <c r="F6" s="18">
        <v>30240000</v>
      </c>
      <c r="G6" s="18">
        <v>32597288</v>
      </c>
      <c r="H6" s="18">
        <v>10000000</v>
      </c>
      <c r="I6" s="19" t="s">
        <v>73</v>
      </c>
      <c r="J6" s="28" t="s">
        <v>73</v>
      </c>
      <c r="K6" s="28" t="s">
        <v>73</v>
      </c>
      <c r="L6" s="18">
        <v>5641500</v>
      </c>
      <c r="M6" s="19" t="s">
        <v>73</v>
      </c>
      <c r="N6" s="18">
        <v>9840000</v>
      </c>
      <c r="O6" s="18" t="s">
        <v>73</v>
      </c>
      <c r="P6" s="18" t="s">
        <v>73</v>
      </c>
      <c r="Q6" s="18">
        <v>849344</v>
      </c>
      <c r="R6" s="25">
        <v>849344</v>
      </c>
    </row>
    <row r="7" spans="2:18" ht="15" thickBot="1">
      <c r="B7" s="26" t="s">
        <v>8</v>
      </c>
      <c r="C7" s="27">
        <v>57528684</v>
      </c>
      <c r="D7" s="28" t="s">
        <v>73</v>
      </c>
      <c r="E7" s="28" t="s">
        <v>73</v>
      </c>
      <c r="F7" s="27">
        <v>32480000</v>
      </c>
      <c r="G7" s="28" t="s">
        <v>73</v>
      </c>
      <c r="H7" s="28" t="s">
        <v>73</v>
      </c>
      <c r="I7" s="28" t="s">
        <v>73</v>
      </c>
      <c r="J7" s="28" t="s">
        <v>73</v>
      </c>
      <c r="K7" s="28" t="s">
        <v>73</v>
      </c>
      <c r="L7" s="28" t="s">
        <v>73</v>
      </c>
      <c r="M7" s="28" t="s">
        <v>73</v>
      </c>
      <c r="N7" s="27">
        <v>10520000</v>
      </c>
      <c r="O7" s="18" t="s">
        <v>73</v>
      </c>
      <c r="P7" s="18" t="s">
        <v>73</v>
      </c>
      <c r="Q7" s="18" t="s">
        <v>73</v>
      </c>
      <c r="R7" s="18" t="s">
        <v>73</v>
      </c>
    </row>
    <row r="8" spans="2:18"/>
    <row r="9" spans="2:18">
      <c r="B9" s="17"/>
      <c r="C9" s="17" t="s">
        <v>43</v>
      </c>
      <c r="D9" s="17" t="s">
        <v>28</v>
      </c>
      <c r="E9" s="17" t="s">
        <v>31</v>
      </c>
      <c r="F9" s="17" t="s">
        <v>97</v>
      </c>
      <c r="G9" s="17" t="s">
        <v>30</v>
      </c>
      <c r="H9" s="17" t="s">
        <v>32</v>
      </c>
      <c r="I9" s="17" t="s">
        <v>33</v>
      </c>
      <c r="J9" s="17" t="s">
        <v>34</v>
      </c>
      <c r="K9" s="17" t="s">
        <v>35</v>
      </c>
      <c r="L9" s="17" t="s">
        <v>36</v>
      </c>
      <c r="M9" s="17" t="s">
        <v>36</v>
      </c>
    </row>
    <row r="10" spans="2:18"/>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C8C1A-8858-46F5-A70F-8FC3D6D5E581}">
  <sheetPr codeName="Sheet5"/>
  <dimension ref="A1"/>
  <sheetViews>
    <sheetView showGridLines="0" workbookViewId="0">
      <selection sqref="A1:XFD1048576"/>
    </sheetView>
  </sheetViews>
  <sheetFormatPr defaultRowHeight="14.4"/>
  <cols>
    <col min="1" max="16384" width="8.88671875" style="2"/>
  </cols>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80570-70E4-4E03-BF71-F94FBCB69C9E}">
  <sheetPr codeName="Sheet6"/>
  <dimension ref="A1"/>
  <sheetViews>
    <sheetView showGridLines="0" workbookViewId="0">
      <selection activeCell="K10" sqref="K10"/>
    </sheetView>
  </sheetViews>
  <sheetFormatPr defaultRowHeight="14.4"/>
  <cols>
    <col min="1" max="16384" width="8.88671875" style="52"/>
  </cols>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9C1C9A-831A-453E-9A85-47753DAD5F5A}">
  <sheetPr codeName="Sheet7"/>
  <dimension ref="A1:S21"/>
  <sheetViews>
    <sheetView showGridLines="0" zoomScale="72" zoomScaleNormal="72" workbookViewId="0">
      <selection activeCell="A19" sqref="A19:XFD21"/>
    </sheetView>
  </sheetViews>
  <sheetFormatPr defaultColWidth="0" defaultRowHeight="14.4" zeroHeight="1"/>
  <cols>
    <col min="1" max="1" width="8.88671875" style="72" customWidth="1"/>
    <col min="2" max="2" width="8.88671875" customWidth="1"/>
    <col min="3" max="18" width="14.77734375" customWidth="1"/>
    <col min="19" max="19" width="5.77734375" customWidth="1"/>
    <col min="20" max="16384" width="8.88671875" hidden="1"/>
  </cols>
  <sheetData>
    <row r="1" spans="1:19" ht="24" thickBot="1">
      <c r="A1" s="2"/>
      <c r="B1" s="3" t="s">
        <v>56</v>
      </c>
      <c r="C1" s="4"/>
      <c r="D1" s="4"/>
      <c r="E1" s="4"/>
      <c r="F1" s="2"/>
      <c r="G1" s="2"/>
      <c r="H1" s="2"/>
      <c r="I1" s="2"/>
      <c r="J1" s="2"/>
      <c r="K1" s="2"/>
      <c r="L1" s="2"/>
      <c r="M1" s="2"/>
      <c r="N1" s="2"/>
      <c r="O1" s="2"/>
      <c r="P1" s="2"/>
      <c r="Q1" s="2"/>
      <c r="R1" s="2"/>
      <c r="S1" s="2"/>
    </row>
    <row r="2" spans="1:19">
      <c r="A2" s="2"/>
      <c r="B2" s="75" t="s">
        <v>57</v>
      </c>
      <c r="C2" s="76" t="s">
        <v>9</v>
      </c>
      <c r="D2" s="76" t="s">
        <v>10</v>
      </c>
      <c r="E2" s="76" t="s">
        <v>11</v>
      </c>
      <c r="F2" s="76" t="s">
        <v>12</v>
      </c>
      <c r="G2" s="76" t="s">
        <v>13</v>
      </c>
      <c r="H2" s="76" t="s">
        <v>14</v>
      </c>
      <c r="I2" s="76" t="s">
        <v>15</v>
      </c>
      <c r="J2" s="76" t="s">
        <v>16</v>
      </c>
      <c r="K2" s="77" t="s">
        <v>17</v>
      </c>
      <c r="L2" s="77" t="s">
        <v>18</v>
      </c>
      <c r="M2" s="77" t="s">
        <v>19</v>
      </c>
      <c r="N2" s="76" t="s">
        <v>20</v>
      </c>
      <c r="O2" s="76" t="s">
        <v>21</v>
      </c>
      <c r="P2" s="76" t="s">
        <v>22</v>
      </c>
      <c r="Q2" s="76" t="s">
        <v>23</v>
      </c>
      <c r="R2" s="78" t="s">
        <v>25</v>
      </c>
      <c r="S2" s="2"/>
    </row>
    <row r="3" spans="1:19">
      <c r="A3" s="2"/>
      <c r="B3" s="79" t="s">
        <v>55</v>
      </c>
      <c r="C3" s="80">
        <v>71</v>
      </c>
      <c r="D3" s="80">
        <v>71</v>
      </c>
      <c r="E3" s="80">
        <v>75</v>
      </c>
      <c r="F3" s="80">
        <v>27</v>
      </c>
      <c r="G3" s="80">
        <v>82</v>
      </c>
      <c r="H3" s="80">
        <v>50</v>
      </c>
      <c r="I3" s="80">
        <v>35</v>
      </c>
      <c r="J3" s="80">
        <v>55</v>
      </c>
      <c r="K3" s="81">
        <v>59</v>
      </c>
      <c r="L3" s="81">
        <v>51</v>
      </c>
      <c r="M3" s="81">
        <v>47</v>
      </c>
      <c r="N3" s="80">
        <v>2</v>
      </c>
      <c r="O3" s="80">
        <v>71</v>
      </c>
      <c r="P3" s="80">
        <v>24</v>
      </c>
      <c r="Q3" s="80" t="s">
        <v>74</v>
      </c>
      <c r="R3" s="82">
        <v>3</v>
      </c>
      <c r="S3" s="2"/>
    </row>
    <row r="4" spans="1:19">
      <c r="A4" s="2"/>
      <c r="B4" s="79" t="s">
        <v>45</v>
      </c>
      <c r="C4" s="80">
        <v>31.4</v>
      </c>
      <c r="D4" s="80">
        <v>30.5</v>
      </c>
      <c r="E4" s="80">
        <v>30.7</v>
      </c>
      <c r="F4" s="80">
        <v>25</v>
      </c>
      <c r="G4" s="80">
        <v>28</v>
      </c>
      <c r="H4" s="80">
        <v>25.5</v>
      </c>
      <c r="I4" s="80">
        <v>22.2</v>
      </c>
      <c r="J4" s="80">
        <v>19.100000000000001</v>
      </c>
      <c r="K4" s="83">
        <v>21.2</v>
      </c>
      <c r="L4" s="83">
        <v>10.1</v>
      </c>
      <c r="M4" s="83">
        <v>9.6</v>
      </c>
      <c r="N4" s="80">
        <v>12.5</v>
      </c>
      <c r="O4" s="80">
        <v>19.7</v>
      </c>
      <c r="P4" s="80">
        <v>20.3</v>
      </c>
      <c r="Q4" s="80" t="s">
        <v>74</v>
      </c>
      <c r="R4" s="82">
        <v>4.5</v>
      </c>
      <c r="S4" s="2"/>
    </row>
    <row r="5" spans="1:19">
      <c r="A5" s="2"/>
      <c r="B5" s="79" t="s">
        <v>46</v>
      </c>
      <c r="C5" s="80">
        <v>24</v>
      </c>
      <c r="D5" s="80">
        <v>18.5</v>
      </c>
      <c r="E5" s="80">
        <v>20.6</v>
      </c>
      <c r="F5" s="80">
        <v>14.3</v>
      </c>
      <c r="G5" s="80">
        <v>13.5</v>
      </c>
      <c r="H5" s="80">
        <v>9.4</v>
      </c>
      <c r="I5" s="80">
        <v>7.6</v>
      </c>
      <c r="J5" s="80">
        <v>6.1</v>
      </c>
      <c r="K5" s="83">
        <v>5.4</v>
      </c>
      <c r="L5" s="83">
        <v>3.7</v>
      </c>
      <c r="M5" s="83">
        <v>3.6</v>
      </c>
      <c r="N5" s="80">
        <v>2.5</v>
      </c>
      <c r="O5" s="80">
        <v>7.2</v>
      </c>
      <c r="P5" s="80">
        <v>8.5</v>
      </c>
      <c r="Q5" s="80" t="s">
        <v>74</v>
      </c>
      <c r="R5" s="82">
        <v>0.7</v>
      </c>
      <c r="S5" s="2"/>
    </row>
    <row r="6" spans="1:19">
      <c r="A6" s="2"/>
      <c r="B6" s="79" t="s">
        <v>47</v>
      </c>
      <c r="C6" s="80">
        <v>4.5</v>
      </c>
      <c r="D6" s="80">
        <v>9.3000000000000007</v>
      </c>
      <c r="E6" s="80">
        <v>2.9</v>
      </c>
      <c r="F6" s="80">
        <v>4.2</v>
      </c>
      <c r="G6" s="80">
        <v>9.6999999999999993</v>
      </c>
      <c r="H6" s="80">
        <v>4.3</v>
      </c>
      <c r="I6" s="80">
        <v>3.4</v>
      </c>
      <c r="J6" s="80">
        <v>2.4</v>
      </c>
      <c r="K6" s="83">
        <v>4.2</v>
      </c>
      <c r="L6" s="83">
        <v>1.3</v>
      </c>
      <c r="M6" s="83">
        <v>2</v>
      </c>
      <c r="N6" s="80">
        <v>2</v>
      </c>
      <c r="O6" s="80">
        <v>2.2000000000000002</v>
      </c>
      <c r="P6" s="80">
        <v>4.3</v>
      </c>
      <c r="Q6" s="80" t="s">
        <v>74</v>
      </c>
      <c r="R6" s="82">
        <v>0.7</v>
      </c>
      <c r="S6" s="2"/>
    </row>
    <row r="7" spans="1:19">
      <c r="A7" s="2"/>
      <c r="B7" s="79" t="s">
        <v>48</v>
      </c>
      <c r="C7" s="80">
        <v>5</v>
      </c>
      <c r="D7" s="80">
        <v>3.2</v>
      </c>
      <c r="E7" s="80">
        <v>6.7</v>
      </c>
      <c r="F7" s="80">
        <v>1.3</v>
      </c>
      <c r="G7" s="80">
        <v>1.9</v>
      </c>
      <c r="H7" s="80">
        <v>3.2</v>
      </c>
      <c r="I7" s="80">
        <v>3.3</v>
      </c>
      <c r="J7" s="80">
        <v>1.2</v>
      </c>
      <c r="K7" s="83">
        <v>1.3</v>
      </c>
      <c r="L7" s="83">
        <v>1.4</v>
      </c>
      <c r="M7" s="83">
        <v>0.9</v>
      </c>
      <c r="N7" s="80">
        <v>0.7</v>
      </c>
      <c r="O7" s="80">
        <v>1.5</v>
      </c>
      <c r="P7" s="80">
        <v>1.6</v>
      </c>
      <c r="Q7" s="80" t="s">
        <v>74</v>
      </c>
      <c r="R7" s="82">
        <v>0.7</v>
      </c>
      <c r="S7" s="2"/>
    </row>
    <row r="8" spans="1:19">
      <c r="A8" s="2"/>
      <c r="B8" s="79" t="s">
        <v>49</v>
      </c>
      <c r="C8" s="80">
        <v>1.3</v>
      </c>
      <c r="D8" s="80">
        <v>0.9</v>
      </c>
      <c r="E8" s="80">
        <v>1.2</v>
      </c>
      <c r="F8" s="80">
        <v>0.7</v>
      </c>
      <c r="G8" s="80">
        <v>0.9</v>
      </c>
      <c r="H8" s="80">
        <v>0.5</v>
      </c>
      <c r="I8" s="80">
        <v>1.3</v>
      </c>
      <c r="J8" s="80">
        <v>0.9</v>
      </c>
      <c r="K8" s="83">
        <v>0.7</v>
      </c>
      <c r="L8" s="83">
        <v>0.3</v>
      </c>
      <c r="M8" s="83">
        <v>0.3</v>
      </c>
      <c r="N8" s="80">
        <v>0</v>
      </c>
      <c r="O8" s="80">
        <v>0.7</v>
      </c>
      <c r="P8" s="80">
        <v>0.7</v>
      </c>
      <c r="Q8" s="80" t="s">
        <v>74</v>
      </c>
      <c r="R8" s="82">
        <v>0.3</v>
      </c>
      <c r="S8" s="2"/>
    </row>
    <row r="9" spans="1:19">
      <c r="A9" s="2"/>
      <c r="B9" s="79" t="s">
        <v>50</v>
      </c>
      <c r="C9" s="80">
        <v>0.2</v>
      </c>
      <c r="D9" s="80">
        <v>1.6</v>
      </c>
      <c r="E9" s="80">
        <v>0.1</v>
      </c>
      <c r="F9" s="80">
        <v>0.3</v>
      </c>
      <c r="G9" s="80">
        <v>0.9</v>
      </c>
      <c r="H9" s="80">
        <v>0.2</v>
      </c>
      <c r="I9" s="80">
        <v>0.5</v>
      </c>
      <c r="J9" s="80">
        <v>0.3</v>
      </c>
      <c r="K9" s="83">
        <v>0.3</v>
      </c>
      <c r="L9" s="83">
        <v>0.3</v>
      </c>
      <c r="M9" s="83">
        <v>0.1</v>
      </c>
      <c r="N9" s="80">
        <v>0.5</v>
      </c>
      <c r="O9" s="80">
        <v>0.2</v>
      </c>
      <c r="P9" s="80">
        <v>0.3</v>
      </c>
      <c r="Q9" s="80" t="s">
        <v>74</v>
      </c>
      <c r="R9" s="82">
        <v>0.1</v>
      </c>
      <c r="S9" s="2"/>
    </row>
    <row r="10" spans="1:19">
      <c r="A10" s="2"/>
      <c r="B10" s="79" t="s">
        <v>51</v>
      </c>
      <c r="C10" s="84">
        <v>0.443</v>
      </c>
      <c r="D10" s="84">
        <v>0.55700000000000005</v>
      </c>
      <c r="E10" s="84">
        <v>0.47199999999999998</v>
      </c>
      <c r="F10" s="84">
        <v>0.48499999999999999</v>
      </c>
      <c r="G10" s="84">
        <v>0.70599999999999996</v>
      </c>
      <c r="H10" s="84">
        <v>0.442</v>
      </c>
      <c r="I10" s="84">
        <v>0.42299999999999999</v>
      </c>
      <c r="J10" s="84">
        <v>0.46400000000000002</v>
      </c>
      <c r="K10" s="85">
        <v>0.41299999999999998</v>
      </c>
      <c r="L10" s="85">
        <v>0.51400000000000001</v>
      </c>
      <c r="M10" s="85">
        <v>0.43</v>
      </c>
      <c r="N10" s="84">
        <v>0.28599999999999998</v>
      </c>
      <c r="O10" s="84">
        <v>0.40600000000000003</v>
      </c>
      <c r="P10" s="84">
        <v>0.51600000000000001</v>
      </c>
      <c r="Q10" s="80" t="s">
        <v>74</v>
      </c>
      <c r="R10" s="86">
        <v>0.25</v>
      </c>
      <c r="S10" s="2"/>
    </row>
    <row r="11" spans="1:19">
      <c r="A11" s="2"/>
      <c r="B11" s="79" t="s">
        <v>52</v>
      </c>
      <c r="C11" s="84">
        <v>0.36799999999999999</v>
      </c>
      <c r="D11" s="84">
        <v>0.37</v>
      </c>
      <c r="E11" s="84">
        <v>0.40100000000000002</v>
      </c>
      <c r="F11" s="84">
        <v>0.42599999999999999</v>
      </c>
      <c r="G11" s="84">
        <v>0.16400000000000001</v>
      </c>
      <c r="H11" s="84">
        <v>0.38600000000000001</v>
      </c>
      <c r="I11" s="84">
        <v>1.9</v>
      </c>
      <c r="J11" s="84">
        <v>0.371</v>
      </c>
      <c r="K11" s="85">
        <v>0.36</v>
      </c>
      <c r="L11" s="85">
        <v>0.438</v>
      </c>
      <c r="M11" s="85">
        <v>0.34499999999999997</v>
      </c>
      <c r="N11" s="84">
        <v>0.16700000000000001</v>
      </c>
      <c r="O11" s="84">
        <v>0.372</v>
      </c>
      <c r="P11" s="84">
        <v>0.44700000000000001</v>
      </c>
      <c r="Q11" s="80" t="s">
        <v>74</v>
      </c>
      <c r="R11" s="86">
        <v>0</v>
      </c>
      <c r="S11" s="2"/>
    </row>
    <row r="12" spans="1:19" ht="15" thickBot="1">
      <c r="A12" s="2"/>
      <c r="B12" s="87" t="s">
        <v>53</v>
      </c>
      <c r="C12" s="88">
        <v>0.82299999999999995</v>
      </c>
      <c r="D12" s="88">
        <v>0.72499999999999998</v>
      </c>
      <c r="E12" s="88">
        <v>0.878</v>
      </c>
      <c r="F12" s="88">
        <v>0.82099999999999995</v>
      </c>
      <c r="G12" s="88">
        <v>0.71799999999999997</v>
      </c>
      <c r="H12" s="88">
        <v>0.82399999999999995</v>
      </c>
      <c r="I12" s="88">
        <v>0.6</v>
      </c>
      <c r="J12" s="88">
        <v>0.71699999999999997</v>
      </c>
      <c r="K12" s="89">
        <v>0.53300000000000003</v>
      </c>
      <c r="L12" s="89">
        <v>0.71899999999999997</v>
      </c>
      <c r="M12" s="89">
        <v>0.79200000000000004</v>
      </c>
      <c r="N12" s="88">
        <v>0.78700000000000003</v>
      </c>
      <c r="O12" s="88">
        <v>0.96599999999999997</v>
      </c>
      <c r="P12" s="88">
        <v>0.67700000000000005</v>
      </c>
      <c r="Q12" s="90" t="s">
        <v>74</v>
      </c>
      <c r="R12" s="91">
        <v>1</v>
      </c>
      <c r="S12" s="2"/>
    </row>
    <row r="13" spans="1:19">
      <c r="A13" s="2"/>
      <c r="B13" s="2"/>
      <c r="C13" s="2"/>
      <c r="D13" s="2"/>
      <c r="E13" s="2"/>
      <c r="F13" s="2"/>
      <c r="G13" s="2"/>
      <c r="H13" s="2"/>
      <c r="I13" s="2"/>
      <c r="J13" s="2"/>
      <c r="K13" s="73"/>
      <c r="L13" s="73"/>
      <c r="M13" s="73"/>
      <c r="N13" s="2"/>
      <c r="O13" s="2"/>
      <c r="P13" s="2"/>
      <c r="Q13" s="2"/>
      <c r="R13" s="2"/>
      <c r="S13" s="2"/>
    </row>
    <row r="14" spans="1:19" hidden="1">
      <c r="K14" s="20"/>
      <c r="L14" s="20"/>
      <c r="M14" s="20"/>
    </row>
    <row r="15" spans="1:19" hidden="1">
      <c r="K15" s="20"/>
      <c r="L15" s="20"/>
      <c r="M15" s="20"/>
    </row>
    <row r="16" spans="1:19" hidden="1">
      <c r="K16" s="20"/>
      <c r="L16" s="20"/>
    </row>
    <row r="17" spans="1:13" hidden="1">
      <c r="K17" s="20"/>
      <c r="M17" s="20"/>
    </row>
    <row r="18" spans="1:13" hidden="1">
      <c r="K18" s="20"/>
      <c r="L18" s="20"/>
      <c r="M18" s="20"/>
    </row>
    <row r="19" spans="1:13" hidden="1">
      <c r="A19"/>
    </row>
    <row r="20" spans="1:13" hidden="1">
      <c r="A20"/>
    </row>
    <row r="21" spans="1:13" hidden="1">
      <c r="A2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D8F2C-F9C6-450C-880E-E86B3681BB85}">
  <sheetPr codeName="Sheet8"/>
  <dimension ref="A1"/>
  <sheetViews>
    <sheetView showGridLines="0" workbookViewId="0">
      <selection activeCell="F1" sqref="F1"/>
    </sheetView>
  </sheetViews>
  <sheetFormatPr defaultRowHeight="14.4"/>
  <cols>
    <col min="1" max="16384" width="8.88671875" style="2"/>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1E44E-7383-41DD-837C-2977FF5B4A1E}">
  <sheetPr codeName="Sheet9"/>
  <dimension ref="A1:R1"/>
  <sheetViews>
    <sheetView showGridLines="0" workbookViewId="0">
      <selection activeCell="S1" sqref="S1:XFD1048576"/>
    </sheetView>
  </sheetViews>
  <sheetFormatPr defaultColWidth="0" defaultRowHeight="14.4"/>
  <cols>
    <col min="1" max="18" width="8.88671875" style="49" customWidth="1"/>
    <col min="19" max="16384" width="8.88671875" style="49" hidden="1"/>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1DDB-2B9C-4D2B-81E5-9B7DCAFD2622}">
  <dimension ref="A1:F26"/>
  <sheetViews>
    <sheetView topLeftCell="A3" workbookViewId="0">
      <selection activeCell="B9" sqref="B9"/>
    </sheetView>
  </sheetViews>
  <sheetFormatPr defaultColWidth="8.88671875" defaultRowHeight="14.4" zeroHeight="1"/>
  <cols>
    <col min="1" max="1" width="8.88671875" style="64" customWidth="1"/>
    <col min="2" max="2" width="16" customWidth="1"/>
    <col min="3" max="3" width="14.109375" customWidth="1"/>
    <col min="4" max="4" width="13" customWidth="1"/>
    <col min="5" max="7" width="8.88671875" customWidth="1"/>
    <col min="8" max="16383" width="0" hidden="1" customWidth="1"/>
  </cols>
  <sheetData>
    <row r="1" spans="1:6" s="2" customFormat="1" ht="23.4">
      <c r="A1" s="3" t="s">
        <v>93</v>
      </c>
      <c r="B1" s="4"/>
      <c r="C1" s="4"/>
      <c r="D1" s="4"/>
      <c r="E1" s="4"/>
    </row>
    <row r="2" spans="1:6" s="64" customFormat="1"/>
    <row r="3" spans="1:6" s="64" customFormat="1"/>
    <row r="4" spans="1:6" s="64" customFormat="1"/>
    <row r="5" spans="1:6" s="64" customFormat="1"/>
    <row r="6" spans="1:6" s="64" customFormat="1" ht="15" thickBot="1"/>
    <row r="7" spans="1:6" s="64" customFormat="1">
      <c r="B7" s="92" t="s">
        <v>4</v>
      </c>
      <c r="C7" s="93" t="s">
        <v>5</v>
      </c>
      <c r="D7" s="94" t="s">
        <v>46</v>
      </c>
      <c r="E7" s="94" t="s">
        <v>47</v>
      </c>
      <c r="F7" s="129" t="s">
        <v>48</v>
      </c>
    </row>
    <row r="8" spans="1:6" s="64" customFormat="1">
      <c r="B8" s="139" t="s">
        <v>92</v>
      </c>
      <c r="C8" s="140"/>
      <c r="D8" s="140"/>
      <c r="E8" s="140"/>
      <c r="F8" s="141"/>
    </row>
    <row r="9" spans="1:6" s="64" customFormat="1">
      <c r="B9" s="95" t="s">
        <v>9</v>
      </c>
      <c r="C9" s="96">
        <v>46394100</v>
      </c>
      <c r="D9" s="97">
        <v>24</v>
      </c>
      <c r="E9" s="97">
        <v>4.5</v>
      </c>
      <c r="F9" s="98">
        <v>5</v>
      </c>
    </row>
    <row r="10" spans="1:6" s="64" customFormat="1">
      <c r="B10" s="95" t="s">
        <v>10</v>
      </c>
      <c r="C10" s="96">
        <v>46394100</v>
      </c>
      <c r="D10" s="97">
        <v>18.5</v>
      </c>
      <c r="E10" s="97">
        <v>9.3000000000000007</v>
      </c>
      <c r="F10" s="98">
        <v>3.2</v>
      </c>
    </row>
    <row r="11" spans="1:6" s="64" customFormat="1">
      <c r="B11" s="95" t="s">
        <v>11</v>
      </c>
      <c r="C11" s="96">
        <v>39446090</v>
      </c>
      <c r="D11" s="97">
        <v>20.6</v>
      </c>
      <c r="E11" s="97">
        <v>2.9</v>
      </c>
      <c r="F11" s="98">
        <v>6.7</v>
      </c>
    </row>
    <row r="12" spans="1:6" s="64" customFormat="1">
      <c r="B12" s="95" t="s">
        <v>12</v>
      </c>
      <c r="C12" s="96">
        <v>23303571</v>
      </c>
      <c r="D12" s="97">
        <v>14.3</v>
      </c>
      <c r="E12" s="97">
        <v>4.2</v>
      </c>
      <c r="F12" s="98">
        <v>1.3</v>
      </c>
    </row>
    <row r="13" spans="1:6" s="64" customFormat="1">
      <c r="B13" s="95" t="s">
        <v>13</v>
      </c>
      <c r="C13" s="96">
        <v>20000000</v>
      </c>
      <c r="D13" s="97">
        <v>13.5</v>
      </c>
      <c r="E13" s="97">
        <v>9.6999999999999993</v>
      </c>
      <c r="F13" s="98">
        <v>1.9</v>
      </c>
    </row>
    <row r="14" spans="1:6" s="64" customFormat="1">
      <c r="B14" s="95" t="s">
        <v>14</v>
      </c>
      <c r="C14" s="96">
        <v>15936452</v>
      </c>
      <c r="D14" s="97">
        <v>9.4</v>
      </c>
      <c r="E14" s="97">
        <v>4.3</v>
      </c>
      <c r="F14" s="98">
        <v>3.2</v>
      </c>
    </row>
    <row r="15" spans="1:6" s="64" customFormat="1">
      <c r="B15" s="95" t="s">
        <v>15</v>
      </c>
      <c r="C15" s="96">
        <v>10000000</v>
      </c>
      <c r="D15" s="97">
        <v>7.6</v>
      </c>
      <c r="E15" s="97">
        <v>3.4</v>
      </c>
      <c r="F15" s="98">
        <v>3.3</v>
      </c>
    </row>
    <row r="16" spans="1:6" s="64" customFormat="1">
      <c r="B16" s="95" t="s">
        <v>16</v>
      </c>
      <c r="C16" s="96">
        <v>11000000</v>
      </c>
      <c r="D16" s="97">
        <v>6.1</v>
      </c>
      <c r="E16" s="97">
        <v>2.4</v>
      </c>
      <c r="F16" s="98">
        <v>1.2</v>
      </c>
    </row>
    <row r="17" spans="2:6" s="64" customFormat="1">
      <c r="B17" s="95" t="s">
        <v>17</v>
      </c>
      <c r="C17" s="96">
        <v>6623456</v>
      </c>
      <c r="D17" s="99">
        <v>5.4</v>
      </c>
      <c r="E17" s="99">
        <v>4.2</v>
      </c>
      <c r="F17" s="100">
        <v>1.3</v>
      </c>
    </row>
    <row r="18" spans="2:6" s="64" customFormat="1">
      <c r="B18" s="95" t="s">
        <v>18</v>
      </c>
      <c r="C18" s="96">
        <v>2221677</v>
      </c>
      <c r="D18" s="99">
        <v>3.7</v>
      </c>
      <c r="E18" s="99">
        <v>1.3</v>
      </c>
      <c r="F18" s="100">
        <v>1.4</v>
      </c>
    </row>
    <row r="19" spans="2:6" s="64" customFormat="1">
      <c r="B19" s="95" t="s">
        <v>19</v>
      </c>
      <c r="C19" s="96">
        <v>3492480</v>
      </c>
      <c r="D19" s="99">
        <v>3.6</v>
      </c>
      <c r="E19" s="99">
        <v>2</v>
      </c>
      <c r="F19" s="100">
        <v>0.9</v>
      </c>
    </row>
    <row r="20" spans="2:6" s="64" customFormat="1">
      <c r="B20" s="95" t="s">
        <v>20</v>
      </c>
      <c r="C20" s="96">
        <v>2546675</v>
      </c>
      <c r="D20" s="97">
        <v>2.5</v>
      </c>
      <c r="E20" s="97">
        <v>2</v>
      </c>
      <c r="F20" s="98">
        <v>0.7</v>
      </c>
    </row>
    <row r="21" spans="2:6" s="64" customFormat="1">
      <c r="B21" s="95" t="s">
        <v>21</v>
      </c>
      <c r="C21" s="96">
        <v>8480000</v>
      </c>
      <c r="D21" s="97">
        <v>7.2</v>
      </c>
      <c r="E21" s="97">
        <v>2.2000000000000002</v>
      </c>
      <c r="F21" s="98">
        <v>1.5</v>
      </c>
    </row>
    <row r="22" spans="2:6" s="64" customFormat="1">
      <c r="B22" s="139" t="s">
        <v>91</v>
      </c>
      <c r="C22" s="140"/>
      <c r="D22" s="140"/>
      <c r="E22" s="140"/>
      <c r="F22" s="141"/>
    </row>
    <row r="23" spans="2:6" s="64" customFormat="1">
      <c r="B23" s="95" t="s">
        <v>22</v>
      </c>
      <c r="C23" s="96">
        <v>3634000</v>
      </c>
      <c r="D23" s="97">
        <v>8.5</v>
      </c>
      <c r="E23" s="97">
        <v>4.3</v>
      </c>
      <c r="F23" s="98">
        <v>1.6</v>
      </c>
    </row>
    <row r="24" spans="2:6" s="64" customFormat="1">
      <c r="B24" s="95" t="s">
        <v>23</v>
      </c>
      <c r="C24" s="96" t="s">
        <v>24</v>
      </c>
      <c r="D24" s="101" t="s">
        <v>74</v>
      </c>
      <c r="E24" s="101" t="s">
        <v>74</v>
      </c>
      <c r="F24" s="102" t="s">
        <v>74</v>
      </c>
    </row>
    <row r="25" spans="2:6" s="64" customFormat="1" ht="15" thickBot="1">
      <c r="B25" s="103" t="s">
        <v>25</v>
      </c>
      <c r="C25" s="104">
        <v>424672</v>
      </c>
      <c r="D25" s="105">
        <v>0.7</v>
      </c>
      <c r="E25" s="105">
        <v>0.7</v>
      </c>
      <c r="F25" s="106">
        <v>0.7</v>
      </c>
    </row>
    <row r="26" spans="2:6" s="64" customFormat="1"/>
  </sheetData>
  <mergeCells count="2">
    <mergeCell ref="B22:F22"/>
    <mergeCell ref="B8:F8"/>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1BF8F-575F-4081-AB1C-EA59891FE51E}">
  <dimension ref="A1:BE33"/>
  <sheetViews>
    <sheetView showGridLines="0" workbookViewId="0">
      <selection activeCell="H3" sqref="H3"/>
    </sheetView>
  </sheetViews>
  <sheetFormatPr defaultColWidth="0" defaultRowHeight="14.4" zeroHeight="1"/>
  <cols>
    <col min="1" max="1" width="8.88671875" style="74" customWidth="1"/>
    <col min="2" max="2" width="15.44140625" style="134" bestFit="1" customWidth="1"/>
    <col min="3" max="3" width="10.88671875" style="134" bestFit="1" customWidth="1"/>
    <col min="4" max="4" width="11" style="134" bestFit="1" customWidth="1"/>
    <col min="5" max="5" width="20.21875" style="134" bestFit="1" customWidth="1"/>
    <col min="6" max="6" width="10.88671875" style="109" bestFit="1" customWidth="1"/>
    <col min="7" max="9" width="16" style="74" bestFit="1" customWidth="1"/>
    <col min="10" max="11" width="16" style="74" hidden="1" customWidth="1"/>
    <col min="12" max="12" width="0" style="74" hidden="1" customWidth="1"/>
    <col min="13" max="16384" width="0" style="74" hidden="1"/>
  </cols>
  <sheetData>
    <row r="1" spans="1:57" customFormat="1" ht="23.4">
      <c r="A1" s="3" t="s">
        <v>94</v>
      </c>
      <c r="B1" s="4"/>
      <c r="C1" s="4"/>
      <c r="D1" s="134"/>
      <c r="E1" s="111"/>
      <c r="F1" s="111"/>
      <c r="G1" s="111"/>
      <c r="H1" s="111"/>
      <c r="I1" s="111"/>
      <c r="J1" s="111"/>
      <c r="K1" s="111"/>
    </row>
    <row r="2" spans="1:57" s="109" customFormat="1">
      <c r="G2" s="110"/>
      <c r="H2" s="110"/>
      <c r="I2" s="110"/>
      <c r="J2" s="110"/>
      <c r="K2" s="110"/>
    </row>
    <row r="3" spans="1:57" s="109" customFormat="1">
      <c r="G3" s="110"/>
      <c r="H3" s="110"/>
      <c r="I3" s="110"/>
      <c r="J3" s="110"/>
      <c r="K3" s="110"/>
    </row>
    <row r="4" spans="1:57" s="109" customFormat="1">
      <c r="G4" s="110"/>
      <c r="H4" s="110"/>
      <c r="I4" s="110"/>
      <c r="J4" s="110"/>
      <c r="K4" s="110"/>
    </row>
    <row r="5" spans="1:57" s="109" customFormat="1">
      <c r="G5" s="110"/>
      <c r="H5" s="110"/>
      <c r="I5" s="110"/>
      <c r="J5" s="110"/>
      <c r="K5" s="110"/>
    </row>
    <row r="6" spans="1:57" s="134" customFormat="1">
      <c r="B6" s="74"/>
      <c r="C6" s="74" t="s">
        <v>88</v>
      </c>
      <c r="D6" s="74" t="s">
        <v>90</v>
      </c>
      <c r="E6" s="74" t="s">
        <v>87</v>
      </c>
      <c r="F6" s="74" t="s">
        <v>89</v>
      </c>
      <c r="G6" s="133"/>
      <c r="H6" s="133"/>
      <c r="I6" s="133"/>
      <c r="J6" s="133"/>
      <c r="K6" s="133"/>
      <c r="L6" s="133"/>
      <c r="M6" s="133"/>
      <c r="N6" s="133"/>
      <c r="O6" s="133"/>
      <c r="P6" s="133"/>
      <c r="Q6" s="133"/>
      <c r="R6" s="133"/>
      <c r="S6" s="133"/>
      <c r="T6" s="133"/>
      <c r="U6" s="133"/>
      <c r="V6" s="133"/>
      <c r="W6" s="133"/>
      <c r="X6" s="133"/>
      <c r="Y6" s="133"/>
      <c r="Z6" s="133"/>
      <c r="AA6" s="133"/>
      <c r="AB6" s="133"/>
      <c r="AC6" s="133"/>
      <c r="AD6" s="133"/>
      <c r="AE6" s="133"/>
      <c r="AF6" s="133"/>
      <c r="AG6" s="133"/>
      <c r="AH6" s="133"/>
      <c r="AI6" s="133"/>
      <c r="AJ6" s="133"/>
      <c r="AK6" s="133"/>
      <c r="AL6" s="133"/>
      <c r="AM6" s="133"/>
      <c r="AN6" s="133"/>
      <c r="AO6" s="133"/>
      <c r="AP6" s="133"/>
      <c r="AQ6" s="133"/>
      <c r="AR6" s="133"/>
      <c r="AS6" s="133"/>
      <c r="AT6" s="133"/>
      <c r="AU6" s="133"/>
      <c r="AV6" s="133"/>
      <c r="AW6" s="133"/>
      <c r="AX6" s="133"/>
      <c r="AY6" s="133"/>
      <c r="AZ6" s="133"/>
      <c r="BA6" s="133"/>
      <c r="BB6" s="133"/>
      <c r="BC6" s="133"/>
      <c r="BD6" s="133"/>
      <c r="BE6" s="133"/>
    </row>
    <row r="7" spans="1:57" s="134" customFormat="1">
      <c r="B7" s="127" t="s">
        <v>20</v>
      </c>
      <c r="C7" s="136">
        <v>2.5</v>
      </c>
      <c r="D7" s="136">
        <v>0.7</v>
      </c>
      <c r="E7" s="128">
        <v>2546675</v>
      </c>
      <c r="F7" s="136">
        <v>2</v>
      </c>
      <c r="G7" s="133"/>
      <c r="H7" s="133"/>
      <c r="I7" s="133"/>
      <c r="J7" s="133"/>
      <c r="K7" s="133"/>
      <c r="L7" s="133"/>
      <c r="M7" s="133"/>
      <c r="N7" s="133"/>
      <c r="O7" s="133"/>
      <c r="P7" s="133"/>
      <c r="Q7" s="133"/>
      <c r="R7" s="133"/>
      <c r="S7" s="133"/>
      <c r="T7" s="133"/>
      <c r="U7" s="133"/>
      <c r="V7" s="133"/>
      <c r="W7" s="133"/>
      <c r="X7" s="133"/>
      <c r="Y7" s="133"/>
      <c r="Z7" s="133"/>
      <c r="AA7" s="133"/>
      <c r="AB7" s="133"/>
      <c r="AC7" s="133"/>
      <c r="AD7" s="133"/>
      <c r="AE7" s="133"/>
      <c r="AF7" s="133"/>
      <c r="AG7" s="133"/>
      <c r="AH7" s="133"/>
      <c r="AI7" s="133"/>
      <c r="AJ7" s="133"/>
      <c r="AK7" s="133"/>
      <c r="AL7" s="133"/>
      <c r="AM7" s="133"/>
      <c r="AN7" s="133"/>
      <c r="AO7" s="133"/>
      <c r="AP7" s="133"/>
      <c r="AQ7" s="133"/>
      <c r="AR7" s="133"/>
      <c r="AS7" s="133"/>
      <c r="AT7" s="133"/>
      <c r="AU7" s="133"/>
      <c r="AV7" s="133"/>
      <c r="AW7" s="133"/>
      <c r="AX7" s="133"/>
      <c r="AY7" s="133"/>
      <c r="AZ7" s="133"/>
      <c r="BA7" s="133"/>
      <c r="BB7" s="133"/>
      <c r="BC7" s="133"/>
      <c r="BD7" s="133"/>
      <c r="BE7" s="133"/>
    </row>
    <row r="8" spans="1:57" s="134" customFormat="1">
      <c r="B8" s="127" t="s">
        <v>18</v>
      </c>
      <c r="C8" s="136">
        <v>3.7</v>
      </c>
      <c r="D8" s="136">
        <v>1.4</v>
      </c>
      <c r="E8" s="128">
        <v>2221677</v>
      </c>
      <c r="F8" s="136">
        <v>1.3</v>
      </c>
      <c r="G8" s="133"/>
      <c r="H8" s="133"/>
      <c r="I8" s="133"/>
      <c r="J8" s="133"/>
      <c r="K8" s="133"/>
      <c r="L8" s="133"/>
      <c r="M8" s="133"/>
      <c r="N8" s="133"/>
      <c r="O8" s="133"/>
      <c r="P8" s="133"/>
      <c r="Q8" s="133"/>
      <c r="R8" s="133"/>
      <c r="S8" s="133"/>
      <c r="T8" s="133"/>
      <c r="U8" s="133"/>
      <c r="V8" s="133"/>
      <c r="W8" s="133"/>
      <c r="X8" s="133"/>
      <c r="Y8" s="133"/>
      <c r="Z8" s="133"/>
      <c r="AA8" s="133"/>
      <c r="AB8" s="133"/>
      <c r="AC8" s="133"/>
      <c r="AD8" s="133"/>
      <c r="AE8" s="133"/>
      <c r="AF8" s="133"/>
      <c r="AG8" s="133"/>
      <c r="AH8" s="133"/>
      <c r="AI8" s="133"/>
      <c r="AJ8" s="133"/>
      <c r="AK8" s="133"/>
      <c r="AL8" s="133"/>
      <c r="AM8" s="133"/>
      <c r="AN8" s="133"/>
      <c r="AO8" s="133"/>
      <c r="AP8" s="133"/>
      <c r="AQ8" s="133"/>
      <c r="AR8" s="133"/>
      <c r="AS8" s="133"/>
      <c r="AT8" s="133"/>
      <c r="AU8" s="133"/>
      <c r="AV8" s="133"/>
      <c r="AW8" s="133"/>
      <c r="AX8" s="133"/>
      <c r="AY8" s="133"/>
      <c r="AZ8" s="133"/>
      <c r="BA8" s="133"/>
      <c r="BB8" s="133"/>
      <c r="BC8" s="133"/>
      <c r="BD8" s="133"/>
      <c r="BE8" s="133"/>
    </row>
    <row r="9" spans="1:57" s="134" customFormat="1">
      <c r="B9" s="127" t="s">
        <v>11</v>
      </c>
      <c r="C9" s="136">
        <v>20.6</v>
      </c>
      <c r="D9" s="136">
        <v>6.7</v>
      </c>
      <c r="E9" s="128">
        <v>39446090</v>
      </c>
      <c r="F9" s="136">
        <v>2.9</v>
      </c>
      <c r="G9" s="135"/>
      <c r="H9" s="135"/>
      <c r="I9" s="135"/>
      <c r="J9" s="135"/>
      <c r="K9" s="135"/>
    </row>
    <row r="10" spans="1:57" s="134" customFormat="1">
      <c r="B10" s="127" t="s">
        <v>12</v>
      </c>
      <c r="C10" s="136">
        <v>14.3</v>
      </c>
      <c r="D10" s="136">
        <v>1.3</v>
      </c>
      <c r="E10" s="128">
        <v>23303571</v>
      </c>
      <c r="F10" s="136">
        <v>4.2</v>
      </c>
      <c r="G10" s="135"/>
      <c r="H10" s="135"/>
      <c r="I10" s="135"/>
      <c r="J10" s="135"/>
      <c r="K10" s="135"/>
    </row>
    <row r="11" spans="1:57" s="134" customFormat="1">
      <c r="B11" s="127" t="s">
        <v>17</v>
      </c>
      <c r="C11" s="136">
        <v>5.4</v>
      </c>
      <c r="D11" s="136">
        <v>1.3</v>
      </c>
      <c r="E11" s="128">
        <v>6623456</v>
      </c>
      <c r="F11" s="136">
        <v>4.2</v>
      </c>
      <c r="G11" s="135"/>
      <c r="H11" s="135"/>
      <c r="I11" s="135"/>
      <c r="J11" s="135"/>
      <c r="K11" s="135"/>
    </row>
    <row r="12" spans="1:57" s="134" customFormat="1">
      <c r="B12" s="127" t="s">
        <v>9</v>
      </c>
      <c r="C12" s="136">
        <v>24</v>
      </c>
      <c r="D12" s="136">
        <v>5</v>
      </c>
      <c r="E12" s="128">
        <v>46394100</v>
      </c>
      <c r="F12" s="136">
        <v>4.5</v>
      </c>
      <c r="G12" s="135"/>
      <c r="H12" s="135"/>
      <c r="I12" s="135"/>
      <c r="J12" s="135"/>
      <c r="K12" s="135"/>
    </row>
    <row r="13" spans="1:57" s="134" customFormat="1">
      <c r="B13" s="127" t="s">
        <v>10</v>
      </c>
      <c r="C13" s="136">
        <v>18.5</v>
      </c>
      <c r="D13" s="136">
        <v>3.2</v>
      </c>
      <c r="E13" s="128">
        <v>46394100</v>
      </c>
      <c r="F13" s="136">
        <v>9.3000000000000007</v>
      </c>
      <c r="G13" s="135"/>
      <c r="H13" s="135"/>
      <c r="I13" s="135"/>
      <c r="J13" s="135"/>
      <c r="K13" s="135"/>
    </row>
    <row r="14" spans="1:57" s="134" customFormat="1">
      <c r="B14" s="127" t="s">
        <v>16</v>
      </c>
      <c r="C14" s="136">
        <v>6.1</v>
      </c>
      <c r="D14" s="136">
        <v>1.2</v>
      </c>
      <c r="E14" s="128">
        <v>11000000</v>
      </c>
      <c r="F14" s="136">
        <v>2.4</v>
      </c>
      <c r="G14" s="135"/>
      <c r="H14" s="135"/>
      <c r="I14" s="135"/>
      <c r="J14" s="135"/>
      <c r="K14" s="135"/>
    </row>
    <row r="15" spans="1:57" s="134" customFormat="1">
      <c r="B15" s="127" t="s">
        <v>13</v>
      </c>
      <c r="C15" s="136">
        <v>13.5</v>
      </c>
      <c r="D15" s="136">
        <v>1.9</v>
      </c>
      <c r="E15" s="128">
        <v>20000000</v>
      </c>
      <c r="F15" s="136">
        <v>9.6999999999999993</v>
      </c>
      <c r="G15" s="135"/>
      <c r="H15" s="135"/>
      <c r="I15" s="135"/>
      <c r="J15" s="135"/>
      <c r="K15" s="135"/>
    </row>
    <row r="16" spans="1:57" s="134" customFormat="1">
      <c r="B16" s="127" t="s">
        <v>19</v>
      </c>
      <c r="C16" s="136">
        <v>3.6</v>
      </c>
      <c r="D16" s="136">
        <v>0.9</v>
      </c>
      <c r="E16" s="128">
        <v>3492480</v>
      </c>
      <c r="F16" s="136">
        <v>2</v>
      </c>
      <c r="G16" s="135"/>
      <c r="H16" s="135"/>
      <c r="I16" s="135"/>
      <c r="J16" s="135"/>
      <c r="K16" s="135"/>
    </row>
    <row r="17" spans="2:11" s="134" customFormat="1">
      <c r="B17" s="127" t="s">
        <v>15</v>
      </c>
      <c r="C17" s="136">
        <v>7.6</v>
      </c>
      <c r="D17" s="136">
        <v>3.3</v>
      </c>
      <c r="E17" s="128">
        <v>10000000</v>
      </c>
      <c r="F17" s="136">
        <v>3.4</v>
      </c>
      <c r="G17" s="135"/>
      <c r="H17" s="135"/>
      <c r="I17" s="135"/>
      <c r="J17" s="135"/>
      <c r="K17" s="135"/>
    </row>
    <row r="18" spans="2:11" s="134" customFormat="1">
      <c r="B18" s="127" t="s">
        <v>14</v>
      </c>
      <c r="C18" s="136">
        <v>9.4</v>
      </c>
      <c r="D18" s="136">
        <v>3.2</v>
      </c>
      <c r="E18" s="128">
        <v>15936452</v>
      </c>
      <c r="F18" s="136">
        <v>4.3</v>
      </c>
      <c r="G18" s="135"/>
      <c r="H18" s="135"/>
      <c r="I18" s="135"/>
      <c r="J18" s="135"/>
      <c r="K18" s="135"/>
    </row>
    <row r="19" spans="2:11" s="134" customFormat="1">
      <c r="B19" s="127" t="s">
        <v>21</v>
      </c>
      <c r="C19" s="136">
        <v>7.2</v>
      </c>
      <c r="D19" s="136">
        <v>1.5</v>
      </c>
      <c r="E19" s="128">
        <v>8480000</v>
      </c>
      <c r="F19" s="136">
        <v>2.2000000000000002</v>
      </c>
      <c r="G19" s="135"/>
      <c r="H19" s="135"/>
      <c r="I19" s="135"/>
      <c r="J19" s="135"/>
      <c r="K19" s="135"/>
    </row>
    <row r="20" spans="2:11" s="134" customFormat="1">
      <c r="B20" s="107" t="s">
        <v>86</v>
      </c>
      <c r="C20" s="74">
        <v>136.39999999999998</v>
      </c>
      <c r="D20" s="74">
        <v>31.599999999999998</v>
      </c>
      <c r="E20" s="108">
        <v>235838601</v>
      </c>
      <c r="F20" s="74">
        <v>52.4</v>
      </c>
      <c r="G20" s="135"/>
      <c r="H20" s="135"/>
      <c r="I20" s="135"/>
      <c r="J20" s="135"/>
      <c r="K20" s="135"/>
    </row>
    <row r="21" spans="2:11" s="134" customFormat="1">
      <c r="B21" s="133"/>
      <c r="C21" s="133"/>
      <c r="D21" s="133"/>
      <c r="E21" s="133"/>
      <c r="F21" s="109"/>
      <c r="G21" s="135"/>
      <c r="H21" s="135"/>
      <c r="I21" s="135"/>
      <c r="J21" s="135"/>
      <c r="K21" s="135"/>
    </row>
    <row r="22" spans="2:11" s="134" customFormat="1">
      <c r="B22" s="133"/>
      <c r="C22" s="133"/>
      <c r="D22" s="133"/>
      <c r="E22" s="133"/>
      <c r="F22" s="109"/>
      <c r="G22" s="135"/>
      <c r="H22" s="135"/>
      <c r="I22" s="135"/>
      <c r="J22" s="135"/>
      <c r="K22" s="135"/>
    </row>
    <row r="23" spans="2:11" hidden="1">
      <c r="B23" s="133"/>
      <c r="C23" s="133"/>
      <c r="D23" s="133"/>
      <c r="E23" s="133"/>
    </row>
    <row r="24" spans="2:11" hidden="1">
      <c r="B24" s="133"/>
      <c r="C24" s="133"/>
      <c r="D24" s="133"/>
      <c r="E24" s="133"/>
    </row>
    <row r="25" spans="2:11" hidden="1">
      <c r="B25" s="133"/>
      <c r="C25" s="133"/>
      <c r="D25" s="133"/>
      <c r="E25" s="133"/>
    </row>
    <row r="26" spans="2:11" hidden="1">
      <c r="B26" s="133"/>
      <c r="C26" s="133"/>
      <c r="D26" s="133"/>
      <c r="E26" s="133"/>
    </row>
    <row r="27" spans="2:11" hidden="1">
      <c r="B27" s="133"/>
      <c r="C27" s="133"/>
      <c r="D27" s="133"/>
      <c r="E27" s="133"/>
    </row>
    <row r="28" spans="2:11" hidden="1">
      <c r="B28" s="133"/>
      <c r="C28" s="133"/>
      <c r="D28" s="133"/>
      <c r="E28" s="133"/>
    </row>
    <row r="29" spans="2:11" hidden="1">
      <c r="B29" s="133"/>
      <c r="C29" s="133"/>
      <c r="D29" s="133"/>
      <c r="E29" s="133"/>
    </row>
    <row r="30" spans="2:11" hidden="1">
      <c r="B30" s="133"/>
      <c r="C30" s="133"/>
      <c r="D30" s="133"/>
      <c r="E30" s="133"/>
    </row>
    <row r="31" spans="2:11" hidden="1">
      <c r="B31" s="133"/>
      <c r="C31" s="133"/>
      <c r="D31" s="133"/>
      <c r="E31" s="133"/>
    </row>
    <row r="32" spans="2:11" hidden="1">
      <c r="B32" s="133"/>
      <c r="C32" s="133"/>
      <c r="D32" s="133"/>
      <c r="E32" s="133"/>
    </row>
    <row r="33" spans="2:5" hidden="1">
      <c r="B33" s="133"/>
      <c r="C33" s="133"/>
      <c r="D33" s="133"/>
      <c r="E33" s="133"/>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941CA-0A25-4C41-A15B-1EAD7CA78198}">
  <sheetPr codeName="Sheet11"/>
  <dimension ref="A1:M23"/>
  <sheetViews>
    <sheetView showGridLines="0" zoomScale="83" zoomScaleNormal="83" workbookViewId="0">
      <selection activeCell="C4" sqref="C4"/>
    </sheetView>
  </sheetViews>
  <sheetFormatPr defaultColWidth="0" defaultRowHeight="14.4" zeroHeight="1"/>
  <cols>
    <col min="1" max="1" width="12.6640625" customWidth="1"/>
    <col min="2" max="2" width="15.6640625" customWidth="1"/>
    <col min="3" max="3" width="17.109375" customWidth="1"/>
    <col min="4" max="4" width="15.88671875" customWidth="1"/>
    <col min="5" max="5" width="6.6640625" customWidth="1"/>
    <col min="6" max="6" width="15.44140625" customWidth="1"/>
    <col min="7" max="7" width="16.5546875" customWidth="1"/>
    <col min="8" max="8" width="13" customWidth="1"/>
    <col min="9" max="9" width="18" customWidth="1"/>
    <col min="10" max="10" width="15" customWidth="1"/>
    <col min="11" max="11" width="14.44140625" customWidth="1"/>
    <col min="12" max="12" width="8.88671875" customWidth="1"/>
    <col min="13" max="13" width="13.6640625" customWidth="1"/>
    <col min="14" max="16384" width="8.88671875" hidden="1"/>
  </cols>
  <sheetData>
    <row r="1" spans="1:13" ht="19.95" customHeight="1">
      <c r="A1" s="156" t="s">
        <v>64</v>
      </c>
      <c r="B1" s="157"/>
      <c r="C1" s="157"/>
      <c r="D1" s="157"/>
      <c r="E1" s="157"/>
      <c r="F1" s="157"/>
      <c r="G1" s="157"/>
      <c r="H1" s="157"/>
      <c r="I1" s="157"/>
      <c r="J1" s="157"/>
      <c r="K1" s="157"/>
      <c r="L1" s="157"/>
      <c r="M1" s="157"/>
    </row>
    <row r="2" spans="1:13" ht="15" thickBot="1">
      <c r="A2" s="52"/>
      <c r="B2" s="52"/>
      <c r="C2" s="54"/>
      <c r="D2" s="52"/>
      <c r="E2" s="52"/>
      <c r="F2" s="52"/>
      <c r="G2" s="52"/>
      <c r="H2" s="52"/>
      <c r="I2" s="52"/>
      <c r="J2" s="52"/>
      <c r="K2" s="52"/>
      <c r="L2" s="52"/>
      <c r="M2" s="52"/>
    </row>
    <row r="3" spans="1:13" ht="17.399999999999999" customHeight="1">
      <c r="A3" s="52"/>
      <c r="B3" s="52"/>
      <c r="C3" s="48" t="s">
        <v>27</v>
      </c>
      <c r="D3" s="52"/>
      <c r="E3" s="52"/>
      <c r="F3" s="163" t="s">
        <v>4</v>
      </c>
      <c r="G3" s="164"/>
      <c r="H3" s="164"/>
      <c r="I3" s="165"/>
      <c r="J3" s="52"/>
      <c r="K3" s="52"/>
      <c r="L3" s="52"/>
      <c r="M3" s="52"/>
    </row>
    <row r="4" spans="1:13" ht="14.4" customHeight="1" thickBot="1">
      <c r="A4" s="52"/>
      <c r="B4" s="52"/>
      <c r="C4" s="29" t="s">
        <v>15</v>
      </c>
      <c r="D4" s="52"/>
      <c r="E4" s="52"/>
      <c r="F4" s="166" t="str">
        <f>_xlfn.XLOOKUP(C4,'Salary Data'!E8:E23,'Salary Data'!E8:E23)</f>
        <v>Lonzo Ball</v>
      </c>
      <c r="G4" s="167"/>
      <c r="H4" s="167"/>
      <c r="I4" s="168"/>
      <c r="J4" s="52"/>
      <c r="K4" s="52"/>
      <c r="L4" s="52"/>
      <c r="M4" s="52"/>
    </row>
    <row r="5" spans="1:13">
      <c r="A5" s="52"/>
      <c r="B5" s="52"/>
      <c r="C5" s="53"/>
      <c r="D5" s="52"/>
      <c r="E5" s="52"/>
      <c r="F5" s="169" t="s">
        <v>65</v>
      </c>
      <c r="G5" s="170"/>
      <c r="H5" s="170"/>
      <c r="I5" s="171"/>
      <c r="J5" s="52"/>
      <c r="K5" s="52"/>
      <c r="L5" s="52"/>
      <c r="M5" s="52"/>
    </row>
    <row r="6" spans="1:13" ht="15" thickBot="1">
      <c r="A6" s="52"/>
      <c r="B6" s="52"/>
      <c r="C6" s="52"/>
      <c r="D6" s="52"/>
      <c r="E6" s="52"/>
      <c r="F6" s="30" t="s">
        <v>5</v>
      </c>
      <c r="G6" s="31" t="s">
        <v>6</v>
      </c>
      <c r="H6" s="31" t="s">
        <v>7</v>
      </c>
      <c r="I6" s="32" t="s">
        <v>8</v>
      </c>
      <c r="J6" s="52"/>
      <c r="K6" s="52"/>
      <c r="L6" s="52"/>
      <c r="M6" s="52"/>
    </row>
    <row r="7" spans="1:13" ht="15" thickBot="1">
      <c r="A7" s="52"/>
      <c r="B7" s="143" t="s">
        <v>43</v>
      </c>
      <c r="C7" s="144"/>
      <c r="D7" s="144"/>
      <c r="E7" s="52"/>
      <c r="F7" s="50">
        <f>_xlfn.XLOOKUP(C4,'Salary Data'!E8:E23,'Salary Data'!F8:F23)</f>
        <v>10000000</v>
      </c>
      <c r="G7" s="51">
        <f>_xlfn.XLOOKUP(C4,'Salary Data'!E8:E23,'Salary Data'!G8:G23)</f>
        <v>10000000</v>
      </c>
      <c r="H7" s="51">
        <f>_xlfn.XLOOKUP(C4,'Salary Data'!E8:E23,'Salary Data'!H8:H23)</f>
        <v>10000000</v>
      </c>
      <c r="I7" s="57" t="str">
        <f>_xlfn.XLOOKUP(C4,'Salary Data'!E8:E23,'Salary Data'!I8:I23)</f>
        <v>No Further Contract</v>
      </c>
      <c r="J7" s="52"/>
      <c r="K7" s="52"/>
      <c r="L7" s="52"/>
      <c r="M7" s="52"/>
    </row>
    <row r="8" spans="1:13" ht="15" thickBot="1">
      <c r="A8" s="52"/>
      <c r="B8" s="145" t="str">
        <f>_xlfn.XLOOKUP(C4,'Salary Data'!E8:E23,'Salary Data'!J8:J23)</f>
        <v xml:space="preserve">Veteran deal </v>
      </c>
      <c r="C8" s="146"/>
      <c r="D8" s="147"/>
      <c r="E8" s="52"/>
      <c r="F8" s="52"/>
      <c r="G8" s="52"/>
      <c r="H8" s="52"/>
      <c r="I8" s="52"/>
      <c r="J8" s="52"/>
      <c r="K8" s="52"/>
      <c r="L8" s="52"/>
      <c r="M8" s="52"/>
    </row>
    <row r="9" spans="1:13" ht="15" thickBot="1">
      <c r="A9" s="52"/>
      <c r="B9" s="52"/>
      <c r="C9" s="52"/>
      <c r="D9" s="52"/>
      <c r="E9" s="52"/>
      <c r="F9" s="158" t="s">
        <v>63</v>
      </c>
      <c r="G9" s="159"/>
      <c r="H9" s="159"/>
      <c r="I9" s="159"/>
      <c r="J9" s="160"/>
      <c r="K9" s="52"/>
      <c r="L9" s="52"/>
      <c r="M9" s="52"/>
    </row>
    <row r="10" spans="1:13">
      <c r="A10" s="52"/>
      <c r="B10" s="52"/>
      <c r="C10" s="52"/>
      <c r="D10" s="52"/>
      <c r="E10" s="52"/>
      <c r="F10" s="30" t="s">
        <v>55</v>
      </c>
      <c r="G10" s="31" t="s">
        <v>45</v>
      </c>
      <c r="H10" s="31" t="s">
        <v>46</v>
      </c>
      <c r="I10" s="31" t="s">
        <v>47</v>
      </c>
      <c r="J10" s="32" t="s">
        <v>48</v>
      </c>
      <c r="K10" s="52"/>
      <c r="L10" s="52"/>
      <c r="M10" s="52"/>
    </row>
    <row r="11" spans="1:13">
      <c r="A11" s="52"/>
      <c r="B11" s="52"/>
      <c r="C11" s="52"/>
      <c r="D11" s="52"/>
      <c r="E11" s="52"/>
      <c r="F11" s="33">
        <f>_xlfn.XLOOKUP(C4,Stats!C2:R2,Stats!C3:R3)</f>
        <v>35</v>
      </c>
      <c r="G11" s="34">
        <f>_xlfn.XLOOKUP(C4,Stats!C2:R2,Stats!C4:R4)</f>
        <v>22.2</v>
      </c>
      <c r="H11" s="34">
        <f>_xlfn.XLOOKUP(C4,Stats!C2:R2,Stats!C5:R5)</f>
        <v>7.6</v>
      </c>
      <c r="I11" s="34">
        <f>_xlfn.XLOOKUP(C4,Stats!C2:R2,Stats!C6:R6)</f>
        <v>3.4</v>
      </c>
      <c r="J11" s="35">
        <f>_xlfn.XLOOKUP(C4,Stats!C2:R2,Stats!C7:R7)</f>
        <v>3.3</v>
      </c>
      <c r="K11" s="52"/>
      <c r="L11" s="52"/>
      <c r="M11" s="52"/>
    </row>
    <row r="12" spans="1:13">
      <c r="A12" s="52"/>
      <c r="B12" s="52"/>
      <c r="C12" s="52"/>
      <c r="D12" s="52"/>
      <c r="E12" s="52"/>
      <c r="F12" s="30" t="s">
        <v>49</v>
      </c>
      <c r="G12" s="31" t="s">
        <v>50</v>
      </c>
      <c r="H12" s="31" t="s">
        <v>51</v>
      </c>
      <c r="I12" s="31" t="s">
        <v>52</v>
      </c>
      <c r="J12" s="32" t="s">
        <v>53</v>
      </c>
      <c r="K12" s="52"/>
      <c r="L12" s="52"/>
      <c r="M12" s="52"/>
    </row>
    <row r="13" spans="1:13" ht="14.4" customHeight="1" thickBot="1">
      <c r="A13" s="52"/>
      <c r="B13" s="52"/>
      <c r="C13" s="52"/>
      <c r="D13" s="52"/>
      <c r="E13" s="52"/>
      <c r="F13" s="36">
        <f>_xlfn.XLOOKUP(C4,Stats!C2:R2,Stats!C8:R8)</f>
        <v>1.3</v>
      </c>
      <c r="G13" s="37">
        <f>_xlfn.XLOOKUP(C4,Stats!C2:R2,Stats!C9:R9)</f>
        <v>0.5</v>
      </c>
      <c r="H13" s="37">
        <f>_xlfn.XLOOKUP(C4,Stats!C2:R2,Stats!C10:R10)</f>
        <v>0.42299999999999999</v>
      </c>
      <c r="I13" s="37">
        <f>_xlfn.XLOOKUP('Advance Look UpDashboard'!C4,Stats!C2:R2,Stats!C11:R11)</f>
        <v>1.9</v>
      </c>
      <c r="J13" s="38">
        <f>_xlfn.XLOOKUP(C4,Stats!C2:R2,Stats!C12:R12)</f>
        <v>0.6</v>
      </c>
      <c r="K13" s="52"/>
      <c r="L13" s="52"/>
      <c r="M13" s="52"/>
    </row>
    <row r="14" spans="1:13" ht="14.4" customHeight="1">
      <c r="A14" s="52"/>
      <c r="B14" s="52"/>
      <c r="C14" s="52"/>
      <c r="D14" s="52"/>
      <c r="E14" s="52"/>
      <c r="F14" s="52"/>
      <c r="G14" s="52"/>
      <c r="H14" s="52"/>
      <c r="I14" s="52"/>
      <c r="J14" s="52"/>
      <c r="K14" s="52"/>
      <c r="L14" s="52"/>
      <c r="M14" s="52"/>
    </row>
    <row r="15" spans="1:13" s="55" customFormat="1" ht="19.95" customHeight="1" thickBot="1">
      <c r="A15" s="154" t="s">
        <v>71</v>
      </c>
      <c r="B15" s="155"/>
      <c r="C15" s="155"/>
      <c r="D15" s="155"/>
      <c r="E15" s="155"/>
      <c r="F15" s="155"/>
      <c r="G15" s="155"/>
      <c r="H15" s="155"/>
      <c r="I15" s="155"/>
      <c r="J15" s="155"/>
      <c r="K15" s="155"/>
      <c r="L15" s="155"/>
      <c r="M15" s="155"/>
    </row>
    <row r="16" spans="1:13" ht="14.4" customHeight="1" thickTop="1" thickBot="1">
      <c r="A16" s="52"/>
      <c r="B16" s="52"/>
      <c r="C16" s="52"/>
      <c r="D16" s="52"/>
      <c r="E16" s="52"/>
      <c r="F16" s="52"/>
      <c r="G16" s="52"/>
      <c r="H16" s="52"/>
      <c r="I16" s="52"/>
      <c r="J16" s="52"/>
      <c r="K16" s="52"/>
      <c r="L16" s="52"/>
      <c r="M16" s="52"/>
    </row>
    <row r="17" spans="1:13">
      <c r="A17" s="52"/>
      <c r="B17" s="41" t="s">
        <v>66</v>
      </c>
      <c r="C17" s="161" t="s">
        <v>9</v>
      </c>
      <c r="D17" s="162"/>
      <c r="E17" s="52"/>
      <c r="F17" s="152" t="s">
        <v>67</v>
      </c>
      <c r="G17" s="153"/>
      <c r="H17" s="52"/>
      <c r="I17" s="52"/>
      <c r="J17" s="52"/>
      <c r="K17" s="52"/>
      <c r="L17" s="52"/>
      <c r="M17" s="52"/>
    </row>
    <row r="18" spans="1:13" ht="15" thickBot="1">
      <c r="A18" s="52"/>
      <c r="B18" s="46"/>
      <c r="C18" s="2"/>
      <c r="D18" s="47"/>
      <c r="E18" s="52"/>
      <c r="F18" s="150">
        <f>I20-D19</f>
        <v>174909388</v>
      </c>
      <c r="G18" s="151"/>
      <c r="H18" s="52"/>
      <c r="I18" s="142" t="s">
        <v>70</v>
      </c>
      <c r="J18" s="142"/>
      <c r="K18" s="142"/>
      <c r="L18" s="52"/>
      <c r="M18" s="52"/>
    </row>
    <row r="19" spans="1:13" ht="15" thickBot="1">
      <c r="A19" s="52"/>
      <c r="B19" s="42" t="s">
        <v>44</v>
      </c>
      <c r="C19" s="39" t="s">
        <v>6</v>
      </c>
      <c r="D19" s="44">
        <f>INDEX('Salary Data'!F8:I23, MATCH('Advance Look UpDashboard'!C17,'Salary Data'!E8:E23, 0 ), MATCH('Advance Look UpDashboard'!C19,'Salary Data'!F7:I7,0))</f>
        <v>50105628</v>
      </c>
      <c r="E19" s="52"/>
      <c r="F19" s="139" t="s">
        <v>68</v>
      </c>
      <c r="G19" s="141"/>
      <c r="H19" s="52"/>
      <c r="I19" s="132" t="s">
        <v>59</v>
      </c>
      <c r="J19" s="132" t="s">
        <v>60</v>
      </c>
      <c r="K19" s="132" t="s">
        <v>61</v>
      </c>
      <c r="L19" s="52"/>
      <c r="M19" s="52"/>
    </row>
    <row r="20" spans="1:13" ht="15" thickBot="1">
      <c r="A20" s="52"/>
      <c r="B20" s="46"/>
      <c r="C20" s="2"/>
      <c r="D20" s="47"/>
      <c r="E20" s="52"/>
      <c r="F20" s="150">
        <f>J20-(D19*0.2061)</f>
        <v>130713330.06919999</v>
      </c>
      <c r="G20" s="151"/>
      <c r="H20" s="52"/>
      <c r="I20" s="58">
        <v>225015016</v>
      </c>
      <c r="J20" s="58">
        <v>141040100</v>
      </c>
      <c r="K20" s="58">
        <v>366055116</v>
      </c>
      <c r="L20" s="52"/>
      <c r="M20" s="52"/>
    </row>
    <row r="21" spans="1:13" ht="15" thickBot="1">
      <c r="A21" s="52"/>
      <c r="B21" s="43" t="s">
        <v>54</v>
      </c>
      <c r="C21" s="40" t="s">
        <v>49</v>
      </c>
      <c r="D21" s="45">
        <f>INDEX(Stats!C3:R12, MATCH('Advance Look UpDashboard'!C17, Stats!C2:R2, 0), MATCH('Advance Look UpDashboard'!C21,Stats!B3:B12,0))</f>
        <v>50</v>
      </c>
      <c r="E21" s="52"/>
      <c r="F21" s="139" t="s">
        <v>69</v>
      </c>
      <c r="G21" s="141"/>
      <c r="H21" s="52"/>
      <c r="I21" s="52"/>
      <c r="J21" s="52"/>
      <c r="K21" s="52"/>
      <c r="L21" s="52"/>
      <c r="M21" s="52"/>
    </row>
    <row r="22" spans="1:13" ht="15" thickBot="1">
      <c r="A22" s="52"/>
      <c r="B22" s="52"/>
      <c r="C22" s="52"/>
      <c r="D22" s="52"/>
      <c r="E22" s="56"/>
      <c r="F22" s="148">
        <f>F18+F20</f>
        <v>305622718.06919998</v>
      </c>
      <c r="G22" s="149"/>
      <c r="H22" s="52"/>
      <c r="I22" s="52"/>
      <c r="J22" s="52"/>
      <c r="K22" s="52"/>
      <c r="L22" s="52"/>
      <c r="M22" s="52"/>
    </row>
    <row r="23" spans="1:13">
      <c r="A23" s="52"/>
      <c r="B23" s="52"/>
      <c r="C23" s="52"/>
      <c r="D23" s="52"/>
      <c r="E23" s="52"/>
      <c r="F23" s="52"/>
      <c r="G23" s="52"/>
      <c r="H23" s="52"/>
      <c r="I23" s="52"/>
      <c r="J23" s="52"/>
      <c r="K23" s="52"/>
      <c r="L23" s="52"/>
      <c r="M23" s="52"/>
    </row>
  </sheetData>
  <mergeCells count="16">
    <mergeCell ref="A1:M1"/>
    <mergeCell ref="F9:J9"/>
    <mergeCell ref="C17:D17"/>
    <mergeCell ref="F3:I3"/>
    <mergeCell ref="F4:I4"/>
    <mergeCell ref="F5:I5"/>
    <mergeCell ref="I18:K18"/>
    <mergeCell ref="B7:D7"/>
    <mergeCell ref="B8:D8"/>
    <mergeCell ref="F22:G22"/>
    <mergeCell ref="F20:G20"/>
    <mergeCell ref="F21:G21"/>
    <mergeCell ref="F19:G19"/>
    <mergeCell ref="F17:G17"/>
    <mergeCell ref="F18:G18"/>
    <mergeCell ref="A15:M15"/>
  </mergeCells>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A41A38AF-DF2C-43CE-A925-C1CD52C080C4}">
          <x14:formula1>
            <xm:f>'Salary Data'!$E$8:$E$23</xm:f>
          </x14:formula1>
          <xm:sqref>C4 C17</xm:sqref>
        </x14:dataValidation>
        <x14:dataValidation type="list" allowBlank="1" showInputMessage="1" showErrorMessage="1" xr:uid="{75C75C4B-16B8-46CA-AF68-FE3B35DAF187}">
          <x14:formula1>
            <xm:f>'Salary Data'!$F$7:$I$7</xm:f>
          </x14:formula1>
          <xm:sqref>C19</xm:sqref>
        </x14:dataValidation>
        <x14:dataValidation type="list" allowBlank="1" showInputMessage="1" showErrorMessage="1" xr:uid="{8CC740FC-9F9E-4DCE-B91D-50FB5F3870E5}">
          <x14:formula1>
            <xm:f>Stats!$B$3:$B$12</xm:f>
          </x14:formula1>
          <xm:sqref>C21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AF27B-5EF5-452F-8C5F-DF30B67CEA9C}">
  <sheetPr codeName="Sheet12"/>
  <dimension ref="A1:AE33"/>
  <sheetViews>
    <sheetView topLeftCell="A7" zoomScale="70" zoomScaleNormal="70" workbookViewId="0">
      <selection activeCell="I30" sqref="I30"/>
    </sheetView>
  </sheetViews>
  <sheetFormatPr defaultColWidth="0" defaultRowHeight="14.4" zeroHeight="1"/>
  <cols>
    <col min="1" max="1" width="18.109375" style="64" customWidth="1"/>
    <col min="2" max="2" width="17" style="64" customWidth="1"/>
    <col min="3" max="3" width="14.6640625" style="64" customWidth="1"/>
    <col min="4" max="5" width="14.21875" style="64" customWidth="1"/>
    <col min="6" max="6" width="15.21875" style="64" customWidth="1"/>
    <col min="7" max="10" width="20.77734375" style="65" customWidth="1"/>
    <col min="11" max="24" width="20.77734375" style="59" hidden="1" customWidth="1"/>
    <col min="25" max="31" width="0" hidden="1" customWidth="1"/>
    <col min="32" max="16384" width="8.88671875" hidden="1"/>
  </cols>
  <sheetData>
    <row r="1" spans="1:24" ht="23.4">
      <c r="A1" s="3" t="s">
        <v>85</v>
      </c>
      <c r="B1" s="4"/>
      <c r="C1" s="4"/>
      <c r="D1" s="4"/>
      <c r="E1" s="4"/>
    </row>
    <row r="2" spans="1:24" s="49" customFormat="1">
      <c r="G2" s="61"/>
      <c r="H2" s="61"/>
      <c r="I2" s="61"/>
      <c r="J2" s="61"/>
      <c r="K2" s="61"/>
      <c r="L2" s="61"/>
      <c r="M2" s="61"/>
      <c r="N2" s="61"/>
      <c r="O2" s="61"/>
      <c r="P2" s="61"/>
      <c r="Q2" s="61"/>
      <c r="R2" s="61"/>
      <c r="S2" s="61"/>
      <c r="T2" s="61"/>
      <c r="U2" s="61"/>
      <c r="V2" s="61"/>
      <c r="W2" s="61"/>
      <c r="X2" s="61"/>
    </row>
    <row r="3" spans="1:24" s="49" customFormat="1">
      <c r="G3" s="61"/>
      <c r="H3" s="61"/>
      <c r="I3" s="61"/>
      <c r="J3" s="61"/>
      <c r="K3" s="61"/>
      <c r="L3" s="61"/>
      <c r="M3" s="61"/>
      <c r="N3" s="61"/>
      <c r="O3" s="61"/>
      <c r="P3" s="61"/>
      <c r="Q3" s="61"/>
      <c r="R3" s="61"/>
      <c r="S3" s="61"/>
      <c r="T3" s="61"/>
      <c r="U3" s="61"/>
      <c r="V3" s="61"/>
      <c r="W3" s="61"/>
      <c r="X3" s="61"/>
    </row>
    <row r="4" spans="1:24" s="49" customFormat="1">
      <c r="G4" s="61"/>
      <c r="H4" s="61"/>
      <c r="I4" s="61"/>
      <c r="J4" s="61"/>
      <c r="K4" s="61"/>
      <c r="L4" s="61"/>
      <c r="M4" s="61"/>
      <c r="N4" s="61"/>
      <c r="O4" s="61"/>
      <c r="P4" s="61"/>
      <c r="Q4" s="61"/>
      <c r="R4" s="61"/>
      <c r="S4" s="61"/>
      <c r="T4" s="61"/>
      <c r="U4" s="61"/>
      <c r="V4" s="61"/>
      <c r="W4" s="61"/>
      <c r="X4" s="61"/>
    </row>
    <row r="5" spans="1:24" s="49" customFormat="1">
      <c r="G5" s="61"/>
      <c r="H5" s="61"/>
      <c r="I5" s="61"/>
      <c r="J5" s="61"/>
      <c r="K5" s="61"/>
      <c r="L5" s="61"/>
      <c r="M5" s="61"/>
      <c r="N5" s="61"/>
      <c r="O5" s="61"/>
      <c r="P5" s="61"/>
      <c r="Q5" s="61"/>
      <c r="R5" s="61"/>
      <c r="S5" s="61"/>
      <c r="T5" s="61"/>
      <c r="U5" s="61"/>
      <c r="V5" s="61"/>
      <c r="W5" s="61"/>
      <c r="X5" s="61"/>
    </row>
    <row r="6" spans="1:24" s="49" customFormat="1">
      <c r="G6" s="61"/>
      <c r="H6" s="61"/>
      <c r="I6" s="61"/>
      <c r="J6" s="61"/>
      <c r="K6" s="61"/>
      <c r="L6" s="61"/>
      <c r="M6" s="61"/>
      <c r="N6" s="61"/>
      <c r="O6" s="61"/>
      <c r="P6" s="61"/>
      <c r="Q6" s="61"/>
      <c r="R6" s="61"/>
      <c r="S6" s="61"/>
      <c r="T6" s="61"/>
      <c r="U6" s="61"/>
      <c r="V6" s="61"/>
      <c r="W6" s="61"/>
      <c r="X6" s="61"/>
    </row>
    <row r="7" spans="1:24" s="49" customFormat="1" ht="15" thickBot="1">
      <c r="G7" s="61"/>
      <c r="H7" s="61"/>
      <c r="I7" s="61"/>
      <c r="J7" s="61"/>
      <c r="K7" s="61"/>
      <c r="L7" s="61"/>
      <c r="M7" s="61"/>
      <c r="N7" s="61"/>
      <c r="O7" s="61"/>
      <c r="P7" s="61"/>
      <c r="Q7" s="61"/>
      <c r="R7" s="61"/>
      <c r="S7" s="61"/>
      <c r="T7" s="61"/>
      <c r="U7" s="61"/>
      <c r="V7" s="61"/>
      <c r="W7" s="61"/>
      <c r="X7" s="61"/>
    </row>
    <row r="8" spans="1:24">
      <c r="A8" s="66" t="s">
        <v>76</v>
      </c>
      <c r="B8" s="67" t="s">
        <v>77</v>
      </c>
      <c r="C8" s="67" t="s">
        <v>78</v>
      </c>
      <c r="D8" s="67" t="s">
        <v>79</v>
      </c>
      <c r="E8" s="68">
        <v>2028</v>
      </c>
    </row>
    <row r="9" spans="1:24">
      <c r="A9" s="112" t="s">
        <v>80</v>
      </c>
      <c r="B9" s="113">
        <f>SUM(B13:J13,B18:H18)</f>
        <v>212949263</v>
      </c>
      <c r="C9" s="113">
        <f>SUM(B14:J14,B19:H19)</f>
        <v>199293125</v>
      </c>
      <c r="D9" s="113">
        <f>SUM(B15:J15,B20:H20)</f>
        <v>236086503</v>
      </c>
      <c r="E9" s="114">
        <f>SUM(B16:J16,B21:H21)</f>
        <v>100528684</v>
      </c>
    </row>
    <row r="10" spans="1:24" ht="15" thickBot="1">
      <c r="A10" s="115" t="s">
        <v>81</v>
      </c>
      <c r="B10" s="116">
        <f>SUM(B24:J24,B29:H29)</f>
        <v>225000000</v>
      </c>
      <c r="C10" s="116">
        <f>SUM(B25:J25,B30:H30)</f>
        <v>229999999.99999994</v>
      </c>
      <c r="D10" s="116">
        <f>SUM(B26:J26,B31:H31)</f>
        <v>250000000</v>
      </c>
      <c r="E10" s="117" t="s">
        <v>84</v>
      </c>
    </row>
    <row r="11" spans="1:24" ht="15" thickBot="1">
      <c r="A11" s="62" t="s">
        <v>82</v>
      </c>
      <c r="B11" s="49"/>
      <c r="C11" s="49"/>
      <c r="D11" s="49"/>
      <c r="E11" s="49"/>
      <c r="F11" s="49"/>
      <c r="G11" s="61"/>
      <c r="H11" s="61"/>
      <c r="I11" s="61"/>
      <c r="J11" s="61"/>
    </row>
    <row r="12" spans="1:24">
      <c r="A12" s="69" t="s">
        <v>27</v>
      </c>
      <c r="B12" s="70" t="s">
        <v>9</v>
      </c>
      <c r="C12" s="70" t="s">
        <v>10</v>
      </c>
      <c r="D12" s="70" t="s">
        <v>11</v>
      </c>
      <c r="E12" s="70" t="s">
        <v>12</v>
      </c>
      <c r="F12" s="70" t="s">
        <v>13</v>
      </c>
      <c r="G12" s="70" t="s">
        <v>14</v>
      </c>
      <c r="H12" s="70" t="s">
        <v>15</v>
      </c>
      <c r="I12" s="70" t="s">
        <v>16</v>
      </c>
      <c r="J12" s="71" t="s">
        <v>17</v>
      </c>
    </row>
    <row r="13" spans="1:24">
      <c r="A13" s="118" t="s">
        <v>5</v>
      </c>
      <c r="B13" s="119">
        <v>46394100</v>
      </c>
      <c r="C13" s="119">
        <v>39446090</v>
      </c>
      <c r="D13" s="119">
        <v>39446090</v>
      </c>
      <c r="E13" s="119">
        <v>23303571</v>
      </c>
      <c r="F13" s="119">
        <v>15936452</v>
      </c>
      <c r="G13" s="119">
        <v>10000000</v>
      </c>
      <c r="H13" s="119">
        <v>11000000</v>
      </c>
      <c r="I13" s="119">
        <v>6623456</v>
      </c>
      <c r="J13" s="125">
        <v>2221677</v>
      </c>
    </row>
    <row r="14" spans="1:24">
      <c r="A14" s="118" t="s">
        <v>6</v>
      </c>
      <c r="B14" s="119">
        <v>50105628</v>
      </c>
      <c r="C14" s="119">
        <v>42166510</v>
      </c>
      <c r="D14" s="119">
        <v>24910714</v>
      </c>
      <c r="E14" s="119">
        <v>28000000</v>
      </c>
      <c r="F14" s="119">
        <v>16660836</v>
      </c>
      <c r="G14" s="119">
        <v>10000000</v>
      </c>
      <c r="H14" s="119">
        <v>11800000</v>
      </c>
      <c r="I14" s="119" t="s">
        <v>73</v>
      </c>
      <c r="J14" s="125">
        <v>2406205</v>
      </c>
    </row>
    <row r="15" spans="1:24">
      <c r="A15" s="118" t="s">
        <v>7</v>
      </c>
      <c r="B15" s="119">
        <v>53817156</v>
      </c>
      <c r="C15" s="119">
        <v>44886930</v>
      </c>
      <c r="D15" s="119">
        <v>48214285</v>
      </c>
      <c r="E15" s="119">
        <v>30240000</v>
      </c>
      <c r="F15" s="119">
        <v>32597288</v>
      </c>
      <c r="G15" s="119">
        <v>10000000</v>
      </c>
      <c r="H15" s="119" t="s">
        <v>73</v>
      </c>
      <c r="I15" s="119" t="s">
        <v>73</v>
      </c>
      <c r="J15" s="125" t="s">
        <v>73</v>
      </c>
    </row>
    <row r="16" spans="1:24" ht="15" thickBot="1">
      <c r="A16" s="120" t="s">
        <v>8</v>
      </c>
      <c r="B16" s="121">
        <v>57528684</v>
      </c>
      <c r="C16" s="121" t="s">
        <v>73</v>
      </c>
      <c r="D16" s="121" t="s">
        <v>73</v>
      </c>
      <c r="E16" s="121">
        <v>32480000</v>
      </c>
      <c r="F16" s="121" t="s">
        <v>73</v>
      </c>
      <c r="G16" s="121" t="s">
        <v>73</v>
      </c>
      <c r="H16" s="121" t="s">
        <v>73</v>
      </c>
      <c r="I16" s="121" t="s">
        <v>73</v>
      </c>
      <c r="J16" s="126" t="s">
        <v>73</v>
      </c>
    </row>
    <row r="17" spans="1:31">
      <c r="A17" s="122" t="s">
        <v>27</v>
      </c>
      <c r="B17" s="123" t="s">
        <v>18</v>
      </c>
      <c r="C17" s="123" t="s">
        <v>19</v>
      </c>
      <c r="D17" s="123" t="s">
        <v>20</v>
      </c>
      <c r="E17" s="123" t="s">
        <v>21</v>
      </c>
      <c r="F17" s="123" t="s">
        <v>22</v>
      </c>
      <c r="G17" s="123" t="s">
        <v>23</v>
      </c>
      <c r="H17" s="124" t="s">
        <v>25</v>
      </c>
      <c r="I17" s="64"/>
      <c r="J17" s="64"/>
      <c r="K17"/>
      <c r="L17"/>
      <c r="M17"/>
      <c r="Y17" s="59"/>
      <c r="Z17" s="59"/>
      <c r="AA17" s="59"/>
      <c r="AB17" s="59"/>
      <c r="AC17" s="59"/>
      <c r="AD17" s="59"/>
      <c r="AE17" s="59"/>
    </row>
    <row r="18" spans="1:31">
      <c r="A18" s="118" t="s">
        <v>5</v>
      </c>
      <c r="B18" s="119">
        <v>3492480</v>
      </c>
      <c r="C18" s="119">
        <v>2546675</v>
      </c>
      <c r="D18" s="119">
        <v>8480000</v>
      </c>
      <c r="E18" s="119">
        <v>3634000</v>
      </c>
      <c r="F18" s="119" t="s">
        <v>24</v>
      </c>
      <c r="G18" s="119" t="s">
        <v>24</v>
      </c>
      <c r="H18" s="125">
        <v>424672</v>
      </c>
      <c r="I18" s="64"/>
      <c r="J18" s="64"/>
      <c r="K18"/>
      <c r="L18"/>
      <c r="M18"/>
      <c r="Y18" s="59"/>
      <c r="Z18" s="59"/>
      <c r="AA18" s="59"/>
      <c r="AB18" s="59"/>
      <c r="AC18" s="59"/>
      <c r="AD18" s="59"/>
      <c r="AE18" s="59"/>
    </row>
    <row r="19" spans="1:31">
      <c r="A19" s="118" t="s">
        <v>6</v>
      </c>
      <c r="B19" s="119">
        <v>3658560</v>
      </c>
      <c r="C19" s="119" t="s">
        <v>73</v>
      </c>
      <c r="D19" s="119">
        <v>9160000</v>
      </c>
      <c r="E19" s="119" t="s">
        <v>73</v>
      </c>
      <c r="F19" s="119" t="s">
        <v>24</v>
      </c>
      <c r="G19" s="119" t="s">
        <v>24</v>
      </c>
      <c r="H19" s="125">
        <v>424672</v>
      </c>
      <c r="I19" s="64"/>
      <c r="J19" s="64"/>
      <c r="K19"/>
      <c r="L19"/>
      <c r="M19"/>
      <c r="Y19" s="59"/>
      <c r="Z19" s="59"/>
      <c r="AA19" s="59"/>
      <c r="AB19" s="59"/>
      <c r="AC19" s="59"/>
      <c r="AD19" s="59"/>
      <c r="AE19" s="59"/>
    </row>
    <row r="20" spans="1:31">
      <c r="A20" s="118" t="s">
        <v>7</v>
      </c>
      <c r="B20" s="119">
        <v>5641500</v>
      </c>
      <c r="C20" s="119" t="s">
        <v>73</v>
      </c>
      <c r="D20" s="119">
        <v>9840000</v>
      </c>
      <c r="E20" s="119" t="s">
        <v>73</v>
      </c>
      <c r="F20" s="119" t="s">
        <v>73</v>
      </c>
      <c r="G20" s="119" t="s">
        <v>73</v>
      </c>
      <c r="H20" s="125">
        <v>849344</v>
      </c>
      <c r="I20" s="64"/>
      <c r="J20" s="64"/>
      <c r="K20"/>
      <c r="L20"/>
      <c r="M20"/>
      <c r="Y20" s="59"/>
      <c r="Z20" s="59"/>
      <c r="AA20" s="59"/>
      <c r="AB20" s="59"/>
      <c r="AC20" s="59"/>
      <c r="AD20" s="59"/>
      <c r="AE20" s="59"/>
    </row>
    <row r="21" spans="1:31" ht="15" thickBot="1">
      <c r="A21" s="120" t="s">
        <v>8</v>
      </c>
      <c r="B21" s="121" t="s">
        <v>73</v>
      </c>
      <c r="C21" s="121" t="s">
        <v>73</v>
      </c>
      <c r="D21" s="121">
        <v>10520000</v>
      </c>
      <c r="E21" s="121" t="s">
        <v>73</v>
      </c>
      <c r="F21" s="121" t="s">
        <v>73</v>
      </c>
      <c r="G21" s="121" t="s">
        <v>73</v>
      </c>
      <c r="H21" s="126" t="s">
        <v>73</v>
      </c>
      <c r="I21" s="64"/>
      <c r="J21" s="64"/>
      <c r="K21"/>
      <c r="L21"/>
      <c r="M21"/>
      <c r="Y21" s="59"/>
      <c r="Z21" s="59"/>
      <c r="AA21" s="59"/>
      <c r="AB21" s="59"/>
      <c r="AC21" s="59"/>
      <c r="AD21" s="59"/>
      <c r="AE21" s="59"/>
    </row>
    <row r="22" spans="1:31" ht="15" thickBot="1">
      <c r="A22" s="63" t="s">
        <v>83</v>
      </c>
    </row>
    <row r="23" spans="1:31">
      <c r="A23" s="69" t="s">
        <v>27</v>
      </c>
      <c r="B23" s="70" t="s">
        <v>9</v>
      </c>
      <c r="C23" s="70" t="s">
        <v>10</v>
      </c>
      <c r="D23" s="70" t="s">
        <v>11</v>
      </c>
      <c r="E23" s="70" t="s">
        <v>12</v>
      </c>
      <c r="F23" s="70" t="s">
        <v>13</v>
      </c>
      <c r="G23" s="70" t="s">
        <v>14</v>
      </c>
      <c r="H23" s="70" t="s">
        <v>15</v>
      </c>
      <c r="I23" s="70" t="s">
        <v>16</v>
      </c>
      <c r="J23" s="71" t="s">
        <v>17</v>
      </c>
    </row>
    <row r="24" spans="1:31">
      <c r="A24" s="118" t="s">
        <v>5</v>
      </c>
      <c r="B24" s="119">
        <v>46394100</v>
      </c>
      <c r="C24" s="119">
        <v>39446090</v>
      </c>
      <c r="D24" s="60">
        <v>51496826.999999993</v>
      </c>
      <c r="E24" s="119">
        <v>23303571</v>
      </c>
      <c r="F24" s="119">
        <v>15936452</v>
      </c>
      <c r="G24" s="119">
        <v>10000000</v>
      </c>
      <c r="H24" s="119">
        <v>11000000</v>
      </c>
      <c r="I24" s="119">
        <v>6623456</v>
      </c>
      <c r="J24" s="125">
        <v>2221677</v>
      </c>
    </row>
    <row r="25" spans="1:31">
      <c r="A25" s="118" t="s">
        <v>6</v>
      </c>
      <c r="B25" s="60">
        <v>80812502.999999955</v>
      </c>
      <c r="C25" s="119">
        <v>42166510</v>
      </c>
      <c r="D25" s="119">
        <v>24910714</v>
      </c>
      <c r="E25" s="119">
        <v>28000000</v>
      </c>
      <c r="F25" s="119">
        <v>16660836</v>
      </c>
      <c r="G25" s="119">
        <v>10000000</v>
      </c>
      <c r="H25" s="119">
        <v>11800000</v>
      </c>
      <c r="I25" s="119" t="s">
        <v>73</v>
      </c>
      <c r="J25" s="125">
        <v>2406205</v>
      </c>
    </row>
    <row r="26" spans="1:31">
      <c r="A26" s="118" t="s">
        <v>7</v>
      </c>
      <c r="B26" s="119">
        <v>53817156</v>
      </c>
      <c r="C26" s="60">
        <v>58800426.999999985</v>
      </c>
      <c r="D26" s="119">
        <v>48214285</v>
      </c>
      <c r="E26" s="119">
        <v>30240000</v>
      </c>
      <c r="F26" s="119">
        <v>32597288</v>
      </c>
      <c r="G26" s="119">
        <v>10000000</v>
      </c>
      <c r="H26" s="119" t="s">
        <v>73</v>
      </c>
      <c r="I26" s="119" t="s">
        <v>73</v>
      </c>
      <c r="J26" s="125" t="s">
        <v>73</v>
      </c>
    </row>
    <row r="27" spans="1:31" ht="15" thickBot="1">
      <c r="A27" s="120" t="s">
        <v>8</v>
      </c>
      <c r="B27" s="121">
        <v>57528684</v>
      </c>
      <c r="C27" s="121" t="s">
        <v>73</v>
      </c>
      <c r="D27" s="121" t="s">
        <v>73</v>
      </c>
      <c r="E27" s="121">
        <v>32480000</v>
      </c>
      <c r="F27" s="121" t="s">
        <v>73</v>
      </c>
      <c r="G27" s="121" t="s">
        <v>73</v>
      </c>
      <c r="H27" s="121" t="s">
        <v>73</v>
      </c>
      <c r="I27" s="121" t="s">
        <v>73</v>
      </c>
      <c r="J27" s="126" t="s">
        <v>73</v>
      </c>
    </row>
    <row r="28" spans="1:31">
      <c r="A28" s="122" t="s">
        <v>27</v>
      </c>
      <c r="B28" s="123" t="s">
        <v>18</v>
      </c>
      <c r="C28" s="123" t="s">
        <v>19</v>
      </c>
      <c r="D28" s="123" t="s">
        <v>20</v>
      </c>
      <c r="E28" s="123" t="s">
        <v>21</v>
      </c>
      <c r="F28" s="123" t="s">
        <v>22</v>
      </c>
      <c r="G28" s="123" t="s">
        <v>23</v>
      </c>
      <c r="H28" s="124" t="s">
        <v>25</v>
      </c>
      <c r="I28" s="64"/>
      <c r="J28" s="64"/>
    </row>
    <row r="29" spans="1:31">
      <c r="A29" s="118" t="s">
        <v>5</v>
      </c>
      <c r="B29" s="119">
        <v>3492480</v>
      </c>
      <c r="C29" s="119">
        <v>2546675</v>
      </c>
      <c r="D29" s="119">
        <v>8480000</v>
      </c>
      <c r="E29" s="119">
        <v>3634000</v>
      </c>
      <c r="F29" s="119" t="s">
        <v>24</v>
      </c>
      <c r="G29" s="119" t="s">
        <v>24</v>
      </c>
      <c r="H29" s="125">
        <v>424672</v>
      </c>
      <c r="I29" s="64"/>
      <c r="J29" s="64"/>
    </row>
    <row r="30" spans="1:31">
      <c r="A30" s="118" t="s">
        <v>6</v>
      </c>
      <c r="B30" s="119">
        <v>3658560</v>
      </c>
      <c r="C30" s="119" t="s">
        <v>73</v>
      </c>
      <c r="D30" s="119">
        <v>9160000</v>
      </c>
      <c r="E30" s="119" t="s">
        <v>73</v>
      </c>
      <c r="F30" s="119" t="s">
        <v>24</v>
      </c>
      <c r="G30" s="119" t="s">
        <v>24</v>
      </c>
      <c r="H30" s="125">
        <v>424672</v>
      </c>
      <c r="I30" s="64"/>
      <c r="J30" s="64"/>
    </row>
    <row r="31" spans="1:31">
      <c r="A31" s="118" t="s">
        <v>7</v>
      </c>
      <c r="B31" s="119">
        <v>5641500</v>
      </c>
      <c r="C31" s="119" t="s">
        <v>73</v>
      </c>
      <c r="D31" s="119">
        <v>9840000</v>
      </c>
      <c r="E31" s="119" t="s">
        <v>73</v>
      </c>
      <c r="F31" s="119" t="s">
        <v>73</v>
      </c>
      <c r="G31" s="119" t="s">
        <v>73</v>
      </c>
      <c r="H31" s="125">
        <v>849344</v>
      </c>
      <c r="I31" s="64"/>
      <c r="J31" s="64"/>
    </row>
    <row r="32" spans="1:31" ht="15" thickBot="1">
      <c r="A32" s="120" t="s">
        <v>8</v>
      </c>
      <c r="B32" s="121" t="s">
        <v>73</v>
      </c>
      <c r="C32" s="121" t="s">
        <v>73</v>
      </c>
      <c r="D32" s="121">
        <v>10520000</v>
      </c>
      <c r="E32" s="121" t="s">
        <v>73</v>
      </c>
      <c r="F32" s="121" t="s">
        <v>73</v>
      </c>
      <c r="G32" s="121" t="s">
        <v>73</v>
      </c>
      <c r="H32" s="126" t="s">
        <v>73</v>
      </c>
      <c r="I32" s="64"/>
      <c r="J32" s="64"/>
    </row>
    <row r="33"/>
  </sheetData>
  <phoneticPr fontId="27" type="noConversion"/>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65768-84F6-49B4-9C88-B626528B848C}">
  <sheetPr codeName="Sheet14"/>
  <dimension ref="A1:Q11"/>
  <sheetViews>
    <sheetView workbookViewId="0">
      <selection activeCell="A11" sqref="A11:XFD11"/>
    </sheetView>
  </sheetViews>
  <sheetFormatPr defaultColWidth="0" defaultRowHeight="14.4" zeroHeight="1"/>
  <cols>
    <col min="1" max="17" width="8.88671875" customWidth="1"/>
    <col min="18" max="16384" width="8.88671875" hidden="1"/>
  </cols>
  <sheetData>
    <row r="1" spans="1:17" ht="23.4">
      <c r="A1" s="3" t="s">
        <v>95</v>
      </c>
      <c r="B1" s="3"/>
      <c r="C1" s="3"/>
      <c r="D1" s="4"/>
      <c r="E1" s="4"/>
      <c r="F1" s="4"/>
      <c r="G1" s="4"/>
      <c r="H1" s="4"/>
      <c r="I1" s="4"/>
      <c r="J1" s="64"/>
      <c r="K1" s="64"/>
      <c r="L1" s="64"/>
      <c r="M1" s="64"/>
      <c r="N1" s="64"/>
      <c r="O1" s="64"/>
      <c r="P1" s="64"/>
      <c r="Q1" s="64"/>
    </row>
    <row r="2" spans="1:17">
      <c r="A2" s="49"/>
      <c r="B2" s="49"/>
      <c r="C2" s="49"/>
      <c r="D2" s="49"/>
      <c r="E2" s="49"/>
      <c r="F2" s="49"/>
      <c r="G2" s="49"/>
      <c r="H2" s="49"/>
      <c r="I2" s="49"/>
      <c r="J2" s="49"/>
      <c r="K2" s="49"/>
      <c r="L2" s="49"/>
      <c r="M2" s="49"/>
      <c r="N2" s="49"/>
      <c r="O2" s="49"/>
      <c r="P2" s="49"/>
      <c r="Q2" s="49"/>
    </row>
    <row r="3" spans="1:17">
      <c r="A3" s="49"/>
      <c r="B3" s="49"/>
      <c r="C3" s="49"/>
      <c r="D3" s="49"/>
      <c r="E3" s="49"/>
      <c r="F3" s="49"/>
      <c r="G3" s="49"/>
      <c r="H3" s="49"/>
      <c r="I3" s="49"/>
      <c r="J3" s="49"/>
      <c r="K3" s="49"/>
      <c r="L3" s="49"/>
      <c r="M3" s="49"/>
      <c r="N3" s="49"/>
      <c r="O3" s="49"/>
      <c r="P3" s="49"/>
      <c r="Q3" s="49"/>
    </row>
    <row r="4" spans="1:17">
      <c r="A4" s="49"/>
      <c r="B4" s="49"/>
      <c r="C4" s="49"/>
      <c r="D4" s="49"/>
      <c r="E4" s="49"/>
      <c r="F4" s="49"/>
      <c r="G4" s="49"/>
      <c r="H4" s="49"/>
      <c r="I4" s="49"/>
      <c r="J4" s="49"/>
      <c r="K4" s="49"/>
      <c r="L4" s="49"/>
      <c r="M4" s="49"/>
      <c r="N4" s="49"/>
      <c r="O4" s="49"/>
      <c r="P4" s="49"/>
      <c r="Q4" s="49"/>
    </row>
    <row r="5" spans="1:17">
      <c r="A5" s="49"/>
      <c r="B5" s="49"/>
      <c r="C5" s="49"/>
      <c r="D5" s="49"/>
      <c r="E5" s="49"/>
      <c r="F5" s="49"/>
      <c r="G5" s="49"/>
      <c r="H5" s="49"/>
      <c r="I5" s="49"/>
      <c r="J5" s="49"/>
      <c r="K5" s="49"/>
      <c r="L5" s="49"/>
      <c r="M5" s="49"/>
      <c r="N5" s="49"/>
      <c r="O5" s="49"/>
      <c r="P5" s="49"/>
      <c r="Q5" s="49"/>
    </row>
    <row r="6" spans="1:17">
      <c r="A6" s="49"/>
      <c r="B6" s="49"/>
      <c r="C6" s="49"/>
      <c r="D6" s="49"/>
      <c r="E6" s="49"/>
      <c r="F6" s="49"/>
      <c r="G6" s="49"/>
      <c r="H6" s="49"/>
      <c r="I6" s="49"/>
      <c r="J6" s="49"/>
      <c r="K6" s="49"/>
      <c r="L6" s="49"/>
      <c r="M6" s="49"/>
      <c r="N6" s="49"/>
      <c r="O6" s="49"/>
      <c r="P6" s="49"/>
      <c r="Q6" s="49"/>
    </row>
    <row r="7" spans="1:17">
      <c r="A7" s="49"/>
      <c r="B7" s="49"/>
      <c r="C7" s="49"/>
      <c r="D7" s="49"/>
      <c r="E7" s="49"/>
      <c r="F7" s="49"/>
      <c r="G7" s="49"/>
      <c r="H7" s="49"/>
      <c r="I7" s="49"/>
      <c r="J7" s="49"/>
      <c r="K7" s="49"/>
      <c r="L7" s="49"/>
      <c r="M7" s="49"/>
      <c r="N7" s="49"/>
      <c r="O7" s="49"/>
      <c r="P7" s="49"/>
      <c r="Q7" s="49"/>
    </row>
    <row r="8" spans="1:17">
      <c r="A8" s="49"/>
      <c r="B8" s="49"/>
      <c r="C8" s="49"/>
      <c r="D8" s="49"/>
      <c r="E8" s="49"/>
      <c r="F8" s="49"/>
      <c r="G8" s="49"/>
      <c r="H8" s="49"/>
      <c r="I8" s="49"/>
      <c r="J8" s="49"/>
      <c r="K8" s="49"/>
      <c r="L8" s="49"/>
      <c r="M8" s="49"/>
      <c r="N8" s="49"/>
      <c r="O8" s="49"/>
      <c r="P8" s="49"/>
      <c r="Q8" s="49"/>
    </row>
    <row r="9" spans="1:17">
      <c r="A9" s="49"/>
      <c r="B9" s="49"/>
      <c r="C9" s="49"/>
      <c r="D9" s="49"/>
      <c r="E9" s="49"/>
      <c r="F9" s="49"/>
      <c r="G9" s="49"/>
      <c r="H9" s="49"/>
      <c r="I9" s="49"/>
      <c r="J9" s="49"/>
      <c r="K9" s="49"/>
      <c r="L9" s="49"/>
      <c r="M9" s="49"/>
      <c r="N9" s="49"/>
      <c r="O9" s="49"/>
      <c r="P9" s="49"/>
      <c r="Q9" s="49"/>
    </row>
    <row r="10" spans="1:17">
      <c r="A10" s="49"/>
      <c r="B10" s="49"/>
      <c r="C10" s="49"/>
      <c r="D10" s="49"/>
      <c r="E10" s="49"/>
      <c r="F10" s="49"/>
      <c r="G10" s="49"/>
      <c r="H10" s="49"/>
      <c r="I10" s="49"/>
      <c r="J10" s="49"/>
      <c r="K10" s="49"/>
      <c r="L10" s="49"/>
      <c r="M10" s="49"/>
      <c r="N10" s="49"/>
      <c r="O10" s="49"/>
      <c r="P10" s="49"/>
      <c r="Q10" s="49"/>
    </row>
    <row r="11" spans="1:17">
      <c r="A11" s="49"/>
      <c r="B11" s="49"/>
      <c r="C11" s="49"/>
      <c r="D11" s="49"/>
      <c r="E11" s="49"/>
      <c r="F11" s="49"/>
      <c r="G11" s="49"/>
      <c r="H11" s="49"/>
      <c r="I11" s="49"/>
      <c r="J11" s="49"/>
      <c r="K11" s="49"/>
      <c r="L11" s="49"/>
      <c r="M11" s="49"/>
      <c r="N11" s="49"/>
      <c r="O11" s="49"/>
      <c r="P11" s="49"/>
      <c r="Q11" s="49"/>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2"/>
  <sheetViews>
    <sheetView workbookViewId="0"/>
  </sheetViews>
  <sheetFormatPr defaultRowHeight="14.4"/>
  <sheetData>
    <row r="1" spans="1:1">
      <c r="A1" t="s">
        <v>2</v>
      </c>
    </row>
    <row r="2" spans="1:1">
      <c r="A2" t="s">
        <v>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Instructions</vt:lpstr>
      <vt:lpstr>Salary Data</vt:lpstr>
      <vt:lpstr>Transpsoed Data</vt:lpstr>
      <vt:lpstr>Pie charts</vt:lpstr>
      <vt:lpstr>Salary Charts</vt:lpstr>
      <vt:lpstr>Stats</vt:lpstr>
      <vt:lpstr>Game + Minutes Chart</vt:lpstr>
      <vt:lpstr>Stat Charts</vt:lpstr>
      <vt:lpstr>Kept +New Players Chart</vt:lpstr>
      <vt:lpstr>Pivot Table of Kept Players</vt:lpstr>
      <vt:lpstr>Advance Look UpDashboard</vt:lpstr>
      <vt:lpstr>Goal seeker</vt:lpstr>
      <vt:lpstr>Summary</vt:lpstr>
    </vt:vector>
  </TitlesOfParts>
  <Company>Brigham Young University Idaho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Jayson Kunzler</dc:creator>
  <cp:lastModifiedBy>Jones, Travis</cp:lastModifiedBy>
  <dcterms:created xsi:type="dcterms:W3CDTF">2016-04-12T22:10:30Z</dcterms:created>
  <dcterms:modified xsi:type="dcterms:W3CDTF">2026-03-10T20:13:52Z</dcterms:modified>
</cp:coreProperties>
</file>