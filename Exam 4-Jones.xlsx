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webmailbyui-my.sharepoint.com/personal/trj11_byui_edu/Documents/Spreadsheet Class BA215/EXAMS/"/>
    </mc:Choice>
  </mc:AlternateContent>
  <xr:revisionPtr revIDLastSave="13" documentId="14_{97736A5A-A40F-4887-81B5-1077302E09E4}" xr6:coauthVersionLast="47" xr6:coauthVersionMax="47" xr10:uidLastSave="{585C6A40-3204-4320-A8A4-697D6A92EA8C}"/>
  <bookViews>
    <workbookView minimized="1" xWindow="6444" yWindow="5088" windowWidth="15168" windowHeight="7500" activeTab="1" xr2:uid="{00000000-000D-0000-FFFF-FFFF00000000}"/>
  </bookViews>
  <sheets>
    <sheet name="Survey Data" sheetId="1" r:id="rId1"/>
    <sheet name="Q1" sheetId="32" r:id="rId2"/>
    <sheet name="Q2" sheetId="21" r:id="rId3"/>
    <sheet name="Q3" sheetId="18" r:id="rId4"/>
    <sheet name="Q4" sheetId="34" r:id="rId5"/>
    <sheet name="Q5" sheetId="27" r:id="rId6"/>
    <sheet name="Q6" sheetId="35" r:id="rId7"/>
    <sheet name="Q7" sheetId="36" r:id="rId8"/>
    <sheet name="Q8" sheetId="37" r:id="rId9"/>
    <sheet name="Q9" sheetId="29" r:id="rId10"/>
    <sheet name="Q10" sheetId="38" r:id="rId11"/>
    <sheet name="Q11 AGE" sheetId="30" r:id="rId12"/>
    <sheet name="Q12 Gender" sheetId="31" r:id="rId13"/>
    <sheet name="VBA" sheetId="2" state="veryHidden" r:id="rId14"/>
  </sheets>
  <definedNames>
    <definedName name="Slicer_How_many_times_in_the_last_2_years_have_you_attended_a_live_theater_production__play_or_musical_?">#N/A</definedName>
    <definedName name="Slicer_What_is_your_age?">#N/A</definedName>
    <definedName name="Slicer_What_is_your_gender?">#N/A</definedName>
  </definedNames>
  <calcPr calcId="191029"/>
  <pivotCaches>
    <pivotCache cacheId="1" r:id="rId15"/>
    <pivotCache cacheId="2" r:id="rId16"/>
    <pivotCache cacheId="3" r:id="rId17"/>
    <pivotCache cacheId="4" r:id="rId18"/>
    <pivotCache cacheId="5" r:id="rId19"/>
    <pivotCache cacheId="6" r:id="rId20"/>
    <pivotCache cacheId="7" r:id="rId21"/>
    <pivotCache cacheId="8" r:id="rId22"/>
    <pivotCache cacheId="9" r:id="rId23"/>
    <pivotCache cacheId="10" r:id="rId24"/>
    <pivotCache cacheId="11" r:id="rId25"/>
    <pivotCache cacheId="12" r:id="rId26"/>
  </pivotCaches>
  <extLst>
    <ext xmlns:x14="http://schemas.microsoft.com/office/spreadsheetml/2009/9/main" uri="{BBE1A952-AA13-448e-AADC-164F8A28A991}">
      <x14:slicerCaches>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33" i="1" l="1"/>
  <c r="N166" i="1" l="1"/>
  <c r="M166" i="1"/>
  <c r="L166" i="1"/>
  <c r="K166" i="1"/>
  <c r="J166" i="1"/>
  <c r="I16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Jayson Kunzler</author>
  </authors>
  <commentList>
    <comment ref="A1" authorId="0" shapeId="0" xr:uid="{00000000-0006-0000-0000-000001000000}">
      <text>
        <r>
          <rPr>
            <b/>
            <i/>
            <sz val="16.5"/>
            <color indexed="16"/>
            <rFont val="Monotype Corsiva"/>
            <family val="4"/>
          </rPr>
          <t xml:space="preserve">"Till I die I will not remove mine integrity from me." </t>
        </r>
        <r>
          <rPr>
            <i/>
            <sz val="16"/>
            <color indexed="16"/>
            <rFont val="Monotype Corsiva"/>
            <family val="4"/>
          </rPr>
          <t xml:space="preserve"> </t>
        </r>
        <r>
          <rPr>
            <sz val="8"/>
            <color indexed="16"/>
            <rFont val="Tahoma"/>
            <family val="2"/>
          </rPr>
          <t>(Job 27:5)</t>
        </r>
        <r>
          <rPr>
            <sz val="12"/>
            <color indexed="16"/>
            <rFont val="Tahoma"/>
            <family val="2"/>
          </rPr>
          <t xml:space="preserve">
</t>
        </r>
        <r>
          <rPr>
            <sz val="8"/>
            <color indexed="16"/>
            <rFont val="Tahoma"/>
            <family val="2"/>
          </rPr>
          <t xml:space="preserve">
</t>
        </r>
        <r>
          <rPr>
            <b/>
            <sz val="11"/>
            <color indexed="16"/>
            <rFont val="Tahoma"/>
            <family val="2"/>
          </rPr>
          <t>This is an EXAM.</t>
        </r>
        <r>
          <rPr>
            <sz val="8"/>
            <color indexed="16"/>
            <rFont val="Tahoma"/>
            <family val="2"/>
          </rPr>
          <t xml:space="preserve">  It is a </t>
        </r>
        <r>
          <rPr>
            <b/>
            <i/>
            <sz val="11"/>
            <color indexed="16"/>
            <rFont val="Tahoma"/>
            <family val="2"/>
          </rPr>
          <t>dishonest violation</t>
        </r>
        <r>
          <rPr>
            <sz val="8"/>
            <color indexed="16"/>
            <rFont val="Tahoma"/>
            <family val="2"/>
          </rPr>
          <t xml:space="preserve"> of the BYU-Idaho Student Honor Code if you:
1) Remove, edit, hide, delete, or otherwise tamper with this WARNING banner and message.
2) View or receive this file (or </t>
        </r>
        <r>
          <rPr>
            <u/>
            <sz val="8"/>
            <color indexed="16"/>
            <rFont val="Tahoma"/>
            <family val="2"/>
          </rPr>
          <t>any portion</t>
        </r>
        <r>
          <rPr>
            <sz val="8"/>
            <color indexed="16"/>
            <rFont val="Tahoma"/>
            <family val="2"/>
          </rPr>
          <t xml:space="preserve"> of it) by email, downloading from the Internet, texting, electronic file sharing, or ANY OTHER means of electronic or printed distribution (except in the course as authorized).
3) Send, email, copy and paste, post to the Internet, file share, video record, take screenshots, or otherwise distribute this file (or any portion of it), whether electronically or in print, to any other person or entity.
4) Either ask </t>
        </r>
        <r>
          <rPr>
            <i/>
            <u/>
            <sz val="8"/>
            <color indexed="16"/>
            <rFont val="Tahoma"/>
            <family val="2"/>
          </rPr>
          <t>OR</t>
        </r>
        <r>
          <rPr>
            <sz val="8"/>
            <color indexed="16"/>
            <rFont val="Tahoma"/>
            <family val="2"/>
          </rPr>
          <t xml:space="preserve"> answer any questions about this </t>
        </r>
        <r>
          <rPr>
            <u/>
            <sz val="8"/>
            <color indexed="16"/>
            <rFont val="Tahoma"/>
            <family val="2"/>
          </rPr>
          <t>any</t>
        </r>
        <r>
          <rPr>
            <sz val="8"/>
            <color indexed="16"/>
            <rFont val="Tahoma"/>
            <family val="2"/>
          </rPr>
          <t xml:space="preserve"> questions that relate to </t>
        </r>
        <r>
          <rPr>
            <u/>
            <sz val="8"/>
            <color indexed="16"/>
            <rFont val="Tahoma"/>
            <family val="2"/>
          </rPr>
          <t>any</t>
        </r>
        <r>
          <rPr>
            <sz val="8"/>
            <color indexed="16"/>
            <rFont val="Tahoma"/>
            <family val="2"/>
          </rPr>
          <t xml:space="preserve"> aspect of this exam, including electronic questions sent through email, texting, posting on blogs or discussion forums, etc.
5) Look at any aspect or portion of this exam from any other current or past student.
6) Show any aspect or portion of this exam to any current or future student.
</t>
        </r>
        <r>
          <rPr>
            <b/>
            <i/>
            <sz val="8"/>
            <color indexed="16"/>
            <rFont val="Tahoma"/>
            <family val="2"/>
          </rPr>
          <t>REPORTING VIOLATIONS:</t>
        </r>
        <r>
          <rPr>
            <sz val="8"/>
            <color indexed="16"/>
            <rFont val="Tahoma"/>
            <family val="2"/>
          </rPr>
          <t xml:space="preserve"> If you have received this file from anyone other than your instructor (or if you have witnessed any violations described above), you are obligated to report it immediately to the BYU-Idaho Student Honor Office.
Phone:  208-496-9300  (tell them the file is from the Business Management Dept.)
Email:  sho@byui.edu</t>
        </r>
      </text>
    </comment>
    <comment ref="A2" authorId="0" shapeId="0" xr:uid="{00000000-0006-0000-0000-000002000000}">
      <text>
        <r>
          <rPr>
            <b/>
            <i/>
            <sz val="16.5"/>
            <color indexed="16"/>
            <rFont val="Monotype Corsiva"/>
            <family val="4"/>
          </rPr>
          <t xml:space="preserve">"Till I die I will not remove mine integrity from me." </t>
        </r>
        <r>
          <rPr>
            <i/>
            <sz val="16"/>
            <color indexed="16"/>
            <rFont val="Monotype Corsiva"/>
            <family val="4"/>
          </rPr>
          <t xml:space="preserve"> </t>
        </r>
        <r>
          <rPr>
            <sz val="8"/>
            <color indexed="16"/>
            <rFont val="Tahoma"/>
            <family val="2"/>
          </rPr>
          <t>(Job 27:5)</t>
        </r>
        <r>
          <rPr>
            <sz val="12"/>
            <color indexed="16"/>
            <rFont val="Tahoma"/>
            <family val="2"/>
          </rPr>
          <t xml:space="preserve">
</t>
        </r>
        <r>
          <rPr>
            <sz val="8"/>
            <color indexed="16"/>
            <rFont val="Tahoma"/>
            <family val="2"/>
          </rPr>
          <t xml:space="preserve">
</t>
        </r>
        <r>
          <rPr>
            <b/>
            <sz val="11"/>
            <color indexed="16"/>
            <rFont val="Tahoma"/>
            <family val="2"/>
          </rPr>
          <t>This is an EXAM.</t>
        </r>
        <r>
          <rPr>
            <sz val="8"/>
            <color indexed="16"/>
            <rFont val="Tahoma"/>
            <family val="2"/>
          </rPr>
          <t xml:space="preserve">  It is a </t>
        </r>
        <r>
          <rPr>
            <b/>
            <i/>
            <sz val="11"/>
            <color indexed="16"/>
            <rFont val="Tahoma"/>
            <family val="2"/>
          </rPr>
          <t>dishonest violation</t>
        </r>
        <r>
          <rPr>
            <sz val="8"/>
            <color indexed="16"/>
            <rFont val="Tahoma"/>
            <family val="2"/>
          </rPr>
          <t xml:space="preserve"> of the BYU-Idaho Student Honor Code if you:
1) Remove, edit, hide, delete, or otherwise tamper with this WARNING banner and message.
2) View or receive this file (or </t>
        </r>
        <r>
          <rPr>
            <u/>
            <sz val="8"/>
            <color indexed="16"/>
            <rFont val="Tahoma"/>
            <family val="2"/>
          </rPr>
          <t>any portion</t>
        </r>
        <r>
          <rPr>
            <sz val="8"/>
            <color indexed="16"/>
            <rFont val="Tahoma"/>
            <family val="2"/>
          </rPr>
          <t xml:space="preserve"> of it) by email, downloading from the Internet, texting, electronic file sharing, or ANY OTHER means of electronic or printed distribution (except in the course as authorized).
3) Send, email, copy and paste, post to the Internet, file share, video record, take screenshots, or otherwise distribute this file (or any portion of it), whether electronically or in print, to any other person or entity.
4) Either ask </t>
        </r>
        <r>
          <rPr>
            <i/>
            <u/>
            <sz val="8"/>
            <color indexed="16"/>
            <rFont val="Tahoma"/>
            <family val="2"/>
          </rPr>
          <t>OR</t>
        </r>
        <r>
          <rPr>
            <sz val="8"/>
            <color indexed="16"/>
            <rFont val="Tahoma"/>
            <family val="2"/>
          </rPr>
          <t xml:space="preserve"> answer any questions about this </t>
        </r>
        <r>
          <rPr>
            <u/>
            <sz val="8"/>
            <color indexed="16"/>
            <rFont val="Tahoma"/>
            <family val="2"/>
          </rPr>
          <t>any</t>
        </r>
        <r>
          <rPr>
            <sz val="8"/>
            <color indexed="16"/>
            <rFont val="Tahoma"/>
            <family val="2"/>
          </rPr>
          <t xml:space="preserve"> questions that relate to </t>
        </r>
        <r>
          <rPr>
            <u/>
            <sz val="8"/>
            <color indexed="16"/>
            <rFont val="Tahoma"/>
            <family val="2"/>
          </rPr>
          <t>any</t>
        </r>
        <r>
          <rPr>
            <sz val="8"/>
            <color indexed="16"/>
            <rFont val="Tahoma"/>
            <family val="2"/>
          </rPr>
          <t xml:space="preserve"> aspect of this exam, including electronic questions sent through email, texting, posting on blogs or discussion forums, etc.
5) Look at any aspect or portion of this exam from any other current or past student.
6) Show any aspect or portion of this exam to any current or future student.
</t>
        </r>
        <r>
          <rPr>
            <b/>
            <i/>
            <sz val="8"/>
            <color indexed="16"/>
            <rFont val="Tahoma"/>
            <family val="2"/>
          </rPr>
          <t>REPORTING VIOLATIONS:</t>
        </r>
        <r>
          <rPr>
            <sz val="8"/>
            <color indexed="16"/>
            <rFont val="Tahoma"/>
            <family val="2"/>
          </rPr>
          <t xml:space="preserve"> If you have received this file from anyone other than your instructor (or if you have witnessed any violations described above), you are obligated to report it immediately to the BYU-Idaho Student Honor Office.
Phone:  208-496-9300  (tell them the file is from the Business Management Dept.)
Email:  sho@byui.edu</t>
        </r>
      </text>
    </comment>
  </commentList>
</comments>
</file>

<file path=xl/sharedStrings.xml><?xml version="1.0" encoding="utf-8"?>
<sst xmlns="http://schemas.openxmlformats.org/spreadsheetml/2006/main" count="2574" uniqueCount="257">
  <si>
    <t>How many times in the last 2 years have you attended a live theater production (play or musical)?</t>
  </si>
  <si>
    <t>For what reasons do you typically attend the theater?</t>
  </si>
  <si>
    <t>When it comes to live theater productions, which genre are you interested in attending?</t>
  </si>
  <si>
    <t xml:space="preserve">Check all the musicals you would be interested in seeing in a local theater production. </t>
  </si>
  <si>
    <t>Rate how each factor influences you when considering a playhouse.</t>
  </si>
  <si>
    <t xml:space="preserve">How do you typically learn about upcoming plays or musicals you might want to attend?   </t>
  </si>
  <si>
    <t>What is your age?</t>
  </si>
  <si>
    <t>What is your gender?</t>
  </si>
  <si>
    <t>Special occasions (birthdays, anniversaries,etc.)</t>
  </si>
  <si>
    <t>Holidays</t>
  </si>
  <si>
    <t>Date night</t>
  </si>
  <si>
    <t>The show is something I like</t>
  </si>
  <si>
    <t>When I know someone in the performance</t>
  </si>
  <si>
    <t>Any chance I can</t>
  </si>
  <si>
    <t>Secret Garden</t>
  </si>
  <si>
    <t>You're a Good Man Charlie Brown</t>
  </si>
  <si>
    <t>The Drowsy Chaperone</t>
  </si>
  <si>
    <t>Scarlet Pimpernel</t>
  </si>
  <si>
    <t>Big River</t>
  </si>
  <si>
    <t>West Side Story</t>
  </si>
  <si>
    <t>Oklahoma</t>
  </si>
  <si>
    <t>Little Women</t>
  </si>
  <si>
    <t>Man of La Mancha</t>
  </si>
  <si>
    <t>None of the Above</t>
  </si>
  <si>
    <t>TV</t>
  </si>
  <si>
    <t>Newspaper</t>
  </si>
  <si>
    <t>Radio</t>
  </si>
  <si>
    <t>Mailer (ValPak, Postcards, etc.)</t>
  </si>
  <si>
    <t>Internet web sites</t>
  </si>
  <si>
    <t>Social Networking Online</t>
  </si>
  <si>
    <t>E-mail</t>
  </si>
  <si>
    <t>Word of Mouth</t>
  </si>
  <si>
    <t>7 or more</t>
  </si>
  <si>
    <t>Over the phone</t>
  </si>
  <si>
    <t>$26-$35</t>
  </si>
  <si>
    <t>7 Very likely</t>
  </si>
  <si>
    <t>50-64</t>
  </si>
  <si>
    <t>Male</t>
  </si>
  <si>
    <t>I love Theater!</t>
  </si>
  <si>
    <t>$16-$25</t>
  </si>
  <si>
    <t>19-34</t>
  </si>
  <si>
    <t>Female</t>
  </si>
  <si>
    <t>On the internet</t>
  </si>
  <si>
    <t>35-49</t>
  </si>
  <si>
    <t>5 to 6</t>
  </si>
  <si>
    <t>Sometimes the seats &amp; tables are too close together.  I would rather sit across from my partner than next to.</t>
  </si>
  <si>
    <t>The only thing I feel is strange is when they seat my husband and I next to each other instead of across from each other when we go alone.  It makes me feel like the couple on the other side is a little too involved with our conversation!</t>
  </si>
  <si>
    <t>3 to 4</t>
  </si>
  <si>
    <t>marque</t>
  </si>
  <si>
    <t>$36-$45</t>
  </si>
  <si>
    <t>not applicable</t>
  </si>
  <si>
    <t>For Fun!</t>
  </si>
  <si>
    <t>Wicked</t>
  </si>
  <si>
    <t>Under 18</t>
  </si>
  <si>
    <t>At the theater box office in advance</t>
  </si>
  <si>
    <t>ON has great ticket prices and we like a "deal"</t>
  </si>
  <si>
    <t>Some of these I do not know - but may be interested with more information</t>
  </si>
  <si>
    <t>Into the Woods, Back to the 80s, Mixed Tape, Assassins, Chicago, She Loves Me, Starlight Express,</t>
  </si>
  <si>
    <t>I would love to see different food choices!!</t>
  </si>
  <si>
    <t>take advantage of the nice meal with the show</t>
  </si>
  <si>
    <t>Your billboard</t>
  </si>
  <si>
    <t>I don't know several of these...I may be interested in finding out more about them.</t>
  </si>
  <si>
    <t>Sometimes it is hard to turn your chair to see the stage well making things a bit uncomfortable.</t>
  </si>
  <si>
    <t>MORE BATHROOMS, MORE ELBOW ROOM,</t>
  </si>
  <si>
    <t>Paint your wagon, Cats</t>
  </si>
  <si>
    <t>I activly search them out.</t>
  </si>
  <si>
    <t>too  many tables, too close together!!</t>
  </si>
  <si>
    <t>1 to 2</t>
  </si>
  <si>
    <t>When you eat a meal its hard to eat if yu are to cramped</t>
  </si>
  <si>
    <t>i just love it</t>
  </si>
  <si>
    <t>Carisel</t>
  </si>
  <si>
    <t>sign at the building</t>
  </si>
  <si>
    <t>food was cold</t>
  </si>
  <si>
    <t>Fiddler on the Roof</t>
  </si>
  <si>
    <t>Phantom of the Opera, Wicked, Hairspray, mamma mia, footloose,</t>
  </si>
  <si>
    <t>i don't really care much for musicals</t>
  </si>
  <si>
    <t>Ladies' Night OUt</t>
  </si>
  <si>
    <t>Joseph &amp; Technicolor Dreamcoat</t>
  </si>
  <si>
    <t>We just enjoy the experience and talent</t>
  </si>
  <si>
    <t>Another Les Mis....the last one was amazing!</t>
  </si>
  <si>
    <t>The food is not up to past presentations and the seats have never been too "tush" friendly.</t>
  </si>
  <si>
    <t>Had prime rib and all at our table felt it was more done like a roast.....over cooked</t>
  </si>
  <si>
    <t>Have season tickets to Theatre ISU</t>
  </si>
  <si>
    <t>South Pacific, The Fantasticks, White Christmas</t>
  </si>
  <si>
    <t>The current chairs can get uncomfortable without a break</t>
  </si>
  <si>
    <t>Season tickets at ISU</t>
  </si>
  <si>
    <t>Bathrooms could be more clean and it is hard to turn chair toward stage when seated by a ledge</t>
  </si>
  <si>
    <t>but only if I know what I am getting.</t>
  </si>
  <si>
    <t>Bill Board outside</t>
  </si>
  <si>
    <t>Phantom of THe Opera</t>
  </si>
  <si>
    <t>driving by theatre, message board</t>
  </si>
  <si>
    <t>The Quilters</t>
  </si>
  <si>
    <t>We've never been disappointed</t>
  </si>
  <si>
    <t>Wicked, Mama Mia</t>
  </si>
  <si>
    <t>Wicked, Phantom of the Opera</t>
  </si>
  <si>
    <t>Les Miserables, Evita, Chitty Chitty Bang Bang</t>
  </si>
  <si>
    <t>Phantom of the Opera    Sound of Music</t>
  </si>
  <si>
    <t>kid in acting class</t>
  </si>
  <si>
    <t>disney classics, les miserable, footloose, any comedy</t>
  </si>
  <si>
    <t>Les Misrables</t>
  </si>
  <si>
    <t>joseph and his amazing technicolor dreamcoat</t>
  </si>
  <si>
    <t>I have had in plays</t>
  </si>
  <si>
    <t>Wicked, Mama Mia, Little Mermaid, Beauty and the Beast,</t>
  </si>
  <si>
    <t>Mama Mia</t>
  </si>
  <si>
    <t>Seven Brides for seven Brothers</t>
  </si>
  <si>
    <t>Phantom of the Opera</t>
  </si>
  <si>
    <t>Just to see the performance, how the actors did, how well it was put together, ect...</t>
  </si>
  <si>
    <t>At the theater box office when the show starts</t>
  </si>
  <si>
    <t>Newsies, Anchors Away</t>
  </si>
  <si>
    <t>or more, depends on production</t>
  </si>
  <si>
    <t>marquee</t>
  </si>
  <si>
    <t>Seven Brides for Seven Brothers</t>
  </si>
  <si>
    <t>Show Boat, My Fair Lady, The King and I,</t>
  </si>
  <si>
    <t>Matinee that I can attend with my daughter and mother.  Both children and the elderly have a difficult with evening performances.</t>
  </si>
  <si>
    <t>I'd like to have each of these options available, so I can plan in advance or be more spontaneous.</t>
  </si>
  <si>
    <t>Pete's Dragon, Sweeney Todd</t>
  </si>
  <si>
    <t>Phantom of the Opera, Les Mis</t>
  </si>
  <si>
    <t>Mama Mia, The Addams Family, Aida,  Finians Rainbow, Into the Woods, Tarzan, Once on this Island, Pirates of Penzance,</t>
  </si>
  <si>
    <t>South Pacific</t>
  </si>
  <si>
    <t>IDAHO Unido</t>
  </si>
  <si>
    <t>The Music Man, Damn Yankees</t>
  </si>
  <si>
    <t>won tickets</t>
  </si>
  <si>
    <t>Guys and Dolls, Fiddler on the Roof, Music Man, Les Mis, Phantom of the Opera</t>
  </si>
  <si>
    <t>promotion</t>
  </si>
  <si>
    <t>family tradition</t>
  </si>
  <si>
    <t>love all shows and theater</t>
  </si>
  <si>
    <t>Kiss me Kate, Hello Dolly, Summer Magic, Funny Girl</t>
  </si>
  <si>
    <t>Look at the bilboard when I drive by</t>
  </si>
  <si>
    <t>Mother Daughter night</t>
  </si>
  <si>
    <t>family related...disney plays..wizard of oz etc</t>
  </si>
  <si>
    <t>Thoroughly Modern Millie</t>
  </si>
  <si>
    <t>Les Miserables, Seven Brides for Seven Brothers, Sound of Music</t>
  </si>
  <si>
    <t>How would you rate your overall experience at our theater?</t>
  </si>
  <si>
    <t>How likely are you to recommend our theater to a friend?</t>
  </si>
  <si>
    <t>What is your preferred method of purchasing tickets for a theater?</t>
  </si>
  <si>
    <t>When you attend a theater, how much do you expect to pay per ticket?</t>
  </si>
  <si>
    <t>BEFORE you do anything with this file, CLICK HERE and carefully read</t>
  </si>
  <si>
    <t>HONESTY WARNING (do not edit, hide, or move this)</t>
  </si>
  <si>
    <t>Spring 2025</t>
  </si>
  <si>
    <t>Cordier-06</t>
  </si>
  <si>
    <t>Row Labels</t>
  </si>
  <si>
    <t>Grand Total</t>
  </si>
  <si>
    <t>Q1_Attendance</t>
  </si>
  <si>
    <t>Q2_SpecialOccasion</t>
  </si>
  <si>
    <t>Q2_Holidays</t>
  </si>
  <si>
    <t>Q2_Date night</t>
  </si>
  <si>
    <t>Q2_The show is something I like</t>
  </si>
  <si>
    <t>Q2_When I know someone in the performance</t>
  </si>
  <si>
    <t>Q2_Other (please specify)</t>
  </si>
  <si>
    <t>Q3_Classic Musicals</t>
  </si>
  <si>
    <t xml:space="preserve">Q3_Recent Broadway Musicals </t>
  </si>
  <si>
    <t xml:space="preserve">Q3_Shakespeare </t>
  </si>
  <si>
    <t>Q3_Parodies of Broadway Hits</t>
  </si>
  <si>
    <t>Q3_Comedies</t>
  </si>
  <si>
    <t>Q3_Drama</t>
  </si>
  <si>
    <t>Q4_Secret Garden</t>
  </si>
  <si>
    <t>Q4_You're a Good Man Charlie Brown</t>
  </si>
  <si>
    <t>Q4_The Drowsy Chaperone</t>
  </si>
  <si>
    <t>Q4_Scarlet Pimpernel</t>
  </si>
  <si>
    <t>Q4_Big River</t>
  </si>
  <si>
    <t>Q4_West Side Story</t>
  </si>
  <si>
    <t>Q4_Oklahoma</t>
  </si>
  <si>
    <t>Q4_Little Women</t>
  </si>
  <si>
    <t>Q4_Man of La Mancha</t>
  </si>
  <si>
    <t>Q4_None of the Above</t>
  </si>
  <si>
    <t>Q4_Other (please specify)</t>
  </si>
  <si>
    <t>Q5-Seating Comfort</t>
  </si>
  <si>
    <t>Q5_Professional Performances</t>
  </si>
  <si>
    <t>Q5_Theater Cleanliness</t>
  </si>
  <si>
    <t>Q5_Theater Ambiance</t>
  </si>
  <si>
    <t>Q5_Ticket Prices</t>
  </si>
  <si>
    <t>Q6-TV</t>
  </si>
  <si>
    <t>Q6_Newspaper</t>
  </si>
  <si>
    <t>Q6_Radio</t>
  </si>
  <si>
    <t>Q6_Mailer (ValPak, Postcards, etc.)</t>
  </si>
  <si>
    <t>Q6_Internet web sites</t>
  </si>
  <si>
    <t>Q6_Social Networking Online</t>
  </si>
  <si>
    <t>Q6_E-mail</t>
  </si>
  <si>
    <t>Q7_Other (please specify)</t>
  </si>
  <si>
    <t>Q8_Other (please specify)</t>
  </si>
  <si>
    <t>Q5_Family  Appropriate  Content</t>
  </si>
  <si>
    <t>Q6_Other (please specify)</t>
  </si>
  <si>
    <t>Q7_Ticket purchased method</t>
  </si>
  <si>
    <t>Q8_Expected Price</t>
  </si>
  <si>
    <t>Q9_Family Appropriate content</t>
  </si>
  <si>
    <t>Q9_Food</t>
  </si>
  <si>
    <t>Q9_Performance/Talent</t>
  </si>
  <si>
    <t>Q9_Value (worth the money?)</t>
  </si>
  <si>
    <t>Q9_Theater Cleanliness</t>
  </si>
  <si>
    <t>Q9_Theater Ambiance</t>
  </si>
  <si>
    <t>Q9_Seating Comfort</t>
  </si>
  <si>
    <t>Q9_Feel free to explain any of your answers here:</t>
  </si>
  <si>
    <t>Q10_recommendScore</t>
  </si>
  <si>
    <t>Q11_Age</t>
  </si>
  <si>
    <t>Q12_Gender</t>
  </si>
  <si>
    <t>Count of Q4_Secret Garden</t>
  </si>
  <si>
    <t>Count of Q4_You're a Good Man Charlie Brown</t>
  </si>
  <si>
    <t>Count of Q4_The Drowsy Chaperone</t>
  </si>
  <si>
    <t>Count of Q4_Scarlet Pimpernel</t>
  </si>
  <si>
    <t>Count of Q4_Big River</t>
  </si>
  <si>
    <t>Count of Q2_Holidays</t>
  </si>
  <si>
    <t>Count of Q2_Date night</t>
  </si>
  <si>
    <t>Count of Q2_The show is something I like</t>
  </si>
  <si>
    <t>Count of Q2_When I know someone in the performance</t>
  </si>
  <si>
    <t>Average of Q3_Classic Musicals</t>
  </si>
  <si>
    <t xml:space="preserve">Average of Q3_Recent Broadway Musicals </t>
  </si>
  <si>
    <t>Average of Q3_Parodies of Broadway Hits</t>
  </si>
  <si>
    <t>Average of Q3_Comedies</t>
  </si>
  <si>
    <t xml:space="preserve">Average of Q3_Shakespeare </t>
  </si>
  <si>
    <t>Average of Q3_Drama</t>
  </si>
  <si>
    <t>Average of Q5-Seating Comfort</t>
  </si>
  <si>
    <t>Average of Q5_Professional Performances</t>
  </si>
  <si>
    <t>Average of Q5_Theater Cleanliness</t>
  </si>
  <si>
    <t>Average of Q5_Theater Ambiance</t>
  </si>
  <si>
    <t>Average of Q5_Ticket Prices</t>
  </si>
  <si>
    <t>Count of Q2_SpecialOccasion</t>
  </si>
  <si>
    <t>Average of Q9_Family Appropriate content</t>
  </si>
  <si>
    <t>Average of Q9_Food</t>
  </si>
  <si>
    <t>Average of Q9_Performance/Talent</t>
  </si>
  <si>
    <t>Average of Q9_Value (worth the money?)</t>
  </si>
  <si>
    <t>Average of Q9_Theater Cleanliness</t>
  </si>
  <si>
    <t>Average of Q9_Theater Ambiance</t>
  </si>
  <si>
    <t>Average of Q9_Seating Comfort</t>
  </si>
  <si>
    <t>Count of What is your age?</t>
  </si>
  <si>
    <t>Count of What is your gender?</t>
  </si>
  <si>
    <t>Live Theater Attendance in Past 2 Years</t>
  </si>
  <si>
    <t>Q6_Word of Mouth</t>
  </si>
  <si>
    <t>Preferred Method for Buying Theater Ticket</t>
  </si>
  <si>
    <t>Expected Ticket Price per Person</t>
  </si>
  <si>
    <t>Likelihood to Recommend the Theater</t>
  </si>
  <si>
    <t>Count of Q6_Newspaper</t>
  </si>
  <si>
    <t>Count of Q6_Radio</t>
  </si>
  <si>
    <t>Count of Q6_Mailer (ValPak, Postcards, etc.)</t>
  </si>
  <si>
    <t>Count of Q6_Internet web sites</t>
  </si>
  <si>
    <t>Count of Q6_Social Networking Online2</t>
  </si>
  <si>
    <t>Count of Q6_E-mail</t>
  </si>
  <si>
    <t>Count of Q4_West Side Story</t>
  </si>
  <si>
    <t>Count of Q4_Oklahoma</t>
  </si>
  <si>
    <t>Count of Q4_Little Women</t>
  </si>
  <si>
    <t>Count of Q4_Man of La Mancha</t>
  </si>
  <si>
    <t>Count of Q4_None of the Above</t>
  </si>
  <si>
    <t>Count of Q9_</t>
  </si>
  <si>
    <t xml:space="preserve">Count of Q2_Other </t>
  </si>
  <si>
    <t xml:space="preserve">Average of Q5_Family  </t>
  </si>
  <si>
    <t xml:space="preserve">Count of Q4_Other </t>
  </si>
  <si>
    <t>Live Theater Attendance in the Last 2 Years</t>
  </si>
  <si>
    <t>Reasons People Attend the Theater</t>
  </si>
  <si>
    <t>Average Interest in Theater Genres</t>
  </si>
  <si>
    <t>Musicals Audiences Want to See Locally</t>
  </si>
  <si>
    <t>How Audiences Hear About Upcoming Shows</t>
  </si>
  <si>
    <t>Preferred Method for Buying Theater Tickets</t>
  </si>
  <si>
    <t>Expected Price per Ticket</t>
  </si>
  <si>
    <t>Rating of Theater Experience Factors</t>
  </si>
  <si>
    <t>AGE</t>
  </si>
  <si>
    <t>Gender</t>
  </si>
  <si>
    <t>I</t>
  </si>
  <si>
    <t>Average Of best Experince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</si>
</sst>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0"/>
      <name val="Calibri"/>
      <family val="2"/>
      <scheme val="minor"/>
    </font>
    <font>
      <sz val="10"/>
      <color theme="0"/>
      <name val="Calibri"/>
      <family val="2"/>
      <scheme val="minor"/>
    </font>
    <font>
      <b/>
      <i/>
      <sz val="16.5"/>
      <color indexed="16"/>
      <name val="Monotype Corsiva"/>
      <family val="4"/>
    </font>
    <font>
      <i/>
      <sz val="16"/>
      <color indexed="16"/>
      <name val="Monotype Corsiva"/>
      <family val="4"/>
    </font>
    <font>
      <sz val="8"/>
      <color indexed="16"/>
      <name val="Tahoma"/>
      <family val="2"/>
    </font>
    <font>
      <sz val="12"/>
      <color indexed="16"/>
      <name val="Tahoma"/>
      <family val="2"/>
    </font>
    <font>
      <b/>
      <sz val="11"/>
      <color indexed="16"/>
      <name val="Tahoma"/>
      <family val="2"/>
    </font>
    <font>
      <b/>
      <i/>
      <sz val="11"/>
      <color indexed="16"/>
      <name val="Tahoma"/>
      <family val="2"/>
    </font>
    <font>
      <u/>
      <sz val="8"/>
      <color indexed="16"/>
      <name val="Tahoma"/>
      <family val="2"/>
    </font>
    <font>
      <i/>
      <u/>
      <sz val="8"/>
      <color indexed="16"/>
      <name val="Tahoma"/>
      <family val="2"/>
    </font>
    <font>
      <b/>
      <i/>
      <sz val="8"/>
      <color indexed="16"/>
      <name val="Tahoma"/>
      <family val="2"/>
    </font>
    <font>
      <sz val="18"/>
      <color theme="3"/>
      <name val="Calibri Light"/>
      <family val="2"/>
      <scheme val="major"/>
    </font>
    <font>
      <b/>
      <sz val="11"/>
      <color theme="3"/>
      <name val="Calibri"/>
      <family val="2"/>
      <scheme val="minor"/>
    </font>
    <font>
      <sz val="11"/>
      <color rgb="FF3F3F76"/>
      <name val="Calibri"/>
      <family val="2"/>
      <scheme val="minor"/>
    </font>
    <font>
      <sz val="11"/>
      <color rgb="FFFF0000"/>
      <name val="Calibri"/>
      <family val="2"/>
      <scheme val="minor"/>
    </font>
    <font>
      <sz val="18"/>
      <color theme="1"/>
      <name val="Calibri Light"/>
      <family val="2"/>
      <scheme val="major"/>
    </font>
    <font>
      <sz val="18"/>
      <color theme="7"/>
      <name val="Calibri Light"/>
      <family val="2"/>
      <scheme val="major"/>
    </font>
    <font>
      <sz val="18"/>
      <color rgb="FFEE0000"/>
      <name val="Calibri Light"/>
      <family val="2"/>
      <scheme val="major"/>
    </font>
    <font>
      <sz val="18"/>
      <color rgb="FFFFFF00"/>
      <name val="Calibri Light"/>
      <family val="2"/>
      <scheme val="major"/>
    </font>
    <font>
      <sz val="18"/>
      <color theme="2" tint="-0.249977111117893"/>
      <name val="Calibri Light"/>
      <family val="2"/>
      <scheme val="major"/>
    </font>
    <font>
      <sz val="18"/>
      <color rgb="FFC00000"/>
      <name val="Calibri Light"/>
      <family val="2"/>
      <scheme val="major"/>
    </font>
    <font>
      <sz val="18"/>
      <color rgb="FF7030A0"/>
      <name val="Calibri Light"/>
      <family val="2"/>
      <scheme val="major"/>
    </font>
  </fonts>
  <fills count="19">
    <fill>
      <patternFill patternType="none"/>
    </fill>
    <fill>
      <patternFill patternType="gray125"/>
    </fill>
    <fill>
      <patternFill patternType="solid">
        <fgColor rgb="FFFF0000"/>
        <bgColor indexed="64"/>
      </patternFill>
    </fill>
    <fill>
      <patternFill patternType="solid">
        <fgColor rgb="FFFFCC99"/>
      </patternFill>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7"/>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bgColor indexed="64"/>
      </patternFill>
    </fill>
    <fill>
      <patternFill patternType="solid">
        <fgColor theme="9"/>
        <bgColor indexed="64"/>
      </patternFill>
    </fill>
    <fill>
      <patternFill patternType="solid">
        <fgColor theme="8"/>
        <bgColor indexed="64"/>
      </patternFill>
    </fill>
    <fill>
      <patternFill patternType="solid">
        <fgColor rgb="FFEE0000"/>
        <bgColor indexed="64"/>
      </patternFill>
    </fill>
    <fill>
      <patternFill patternType="solid">
        <fgColor theme="3"/>
        <bgColor indexed="64"/>
      </patternFill>
    </fill>
  </fills>
  <borders count="14">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14" fillId="3" borderId="1" applyNumberFormat="0" applyAlignment="0" applyProtection="0"/>
  </cellStyleXfs>
  <cellXfs count="70">
    <xf numFmtId="0" fontId="0" fillId="0" borderId="0" xfId="0"/>
    <xf numFmtId="2" fontId="0" fillId="0" borderId="0" xfId="0" applyNumberFormat="1"/>
    <xf numFmtId="0" fontId="0" fillId="0" borderId="0" xfId="0" pivotButton="1"/>
    <xf numFmtId="0" fontId="0" fillId="0" borderId="0" xfId="0" applyAlignment="1">
      <alignment horizontal="left"/>
    </xf>
    <xf numFmtId="0" fontId="13" fillId="0" borderId="0" xfId="2"/>
    <xf numFmtId="0" fontId="0" fillId="0" borderId="2" xfId="0" applyBorder="1"/>
    <xf numFmtId="0" fontId="0" fillId="0" borderId="3" xfId="0" applyBorder="1"/>
    <xf numFmtId="0" fontId="0" fillId="0" borderId="8" xfId="0" applyBorder="1"/>
    <xf numFmtId="0" fontId="0" fillId="5" borderId="0" xfId="0" applyFill="1" applyAlignment="1">
      <alignment horizontal="left"/>
    </xf>
    <xf numFmtId="0" fontId="0" fillId="5" borderId="0" xfId="0" applyFill="1"/>
    <xf numFmtId="0" fontId="0" fillId="6" borderId="0" xfId="0" applyFill="1" applyAlignment="1">
      <alignment horizontal="left"/>
    </xf>
    <xf numFmtId="0" fontId="0" fillId="6" borderId="0" xfId="0" applyFill="1"/>
    <xf numFmtId="0" fontId="0" fillId="7" borderId="0" xfId="0" applyFill="1" applyAlignment="1">
      <alignment horizontal="left"/>
    </xf>
    <xf numFmtId="0" fontId="0" fillId="7" borderId="0" xfId="0" applyFill="1"/>
    <xf numFmtId="2" fontId="0" fillId="8" borderId="4" xfId="0" applyNumberFormat="1" applyFill="1" applyBorder="1"/>
    <xf numFmtId="2" fontId="0" fillId="8" borderId="9" xfId="0" applyNumberFormat="1" applyFill="1" applyBorder="1"/>
    <xf numFmtId="0" fontId="0" fillId="8" borderId="5" xfId="0" applyFill="1" applyBorder="1"/>
    <xf numFmtId="0" fontId="0" fillId="9" borderId="0" xfId="0" applyFill="1" applyAlignment="1">
      <alignment horizontal="left"/>
    </xf>
    <xf numFmtId="0" fontId="0" fillId="9" borderId="0" xfId="0" applyFill="1"/>
    <xf numFmtId="0" fontId="0" fillId="12" borderId="0" xfId="0" applyFill="1" applyAlignment="1">
      <alignment horizontal="left"/>
    </xf>
    <xf numFmtId="0" fontId="0" fillId="12" borderId="0" xfId="0" applyFill="1"/>
    <xf numFmtId="0" fontId="0" fillId="13" borderId="4" xfId="0" applyFill="1" applyBorder="1"/>
    <xf numFmtId="0" fontId="0" fillId="13" borderId="9" xfId="0" applyFill="1" applyBorder="1"/>
    <xf numFmtId="0" fontId="0" fillId="13" borderId="5" xfId="0" applyFill="1" applyBorder="1"/>
    <xf numFmtId="0" fontId="0" fillId="6" borderId="6" xfId="0" applyFill="1" applyBorder="1"/>
    <xf numFmtId="0" fontId="0" fillId="6" borderId="10" xfId="0" applyFill="1" applyBorder="1"/>
    <xf numFmtId="0" fontId="0" fillId="6" borderId="7" xfId="0" applyFill="1" applyBorder="1"/>
    <xf numFmtId="0" fontId="0" fillId="13" borderId="0" xfId="0" applyFill="1"/>
    <xf numFmtId="0" fontId="0" fillId="11" borderId="0" xfId="0" applyFill="1"/>
    <xf numFmtId="0" fontId="0" fillId="14" borderId="0" xfId="0" applyFill="1"/>
    <xf numFmtId="2" fontId="0" fillId="11" borderId="0" xfId="0" applyNumberFormat="1" applyFill="1"/>
    <xf numFmtId="0" fontId="0" fillId="15" borderId="0" xfId="0" applyFill="1"/>
    <xf numFmtId="0" fontId="0" fillId="16" borderId="0" xfId="0" applyFill="1"/>
    <xf numFmtId="0" fontId="0" fillId="17" borderId="0" xfId="0" applyFill="1"/>
    <xf numFmtId="0" fontId="12" fillId="11" borderId="0" xfId="1" applyFill="1"/>
    <xf numFmtId="0" fontId="12" fillId="13" borderId="0" xfId="1" applyFill="1"/>
    <xf numFmtId="0" fontId="12" fillId="14" borderId="0" xfId="1" applyFill="1"/>
    <xf numFmtId="0" fontId="12" fillId="17" borderId="0" xfId="1" applyFill="1"/>
    <xf numFmtId="0" fontId="12" fillId="6" borderId="0" xfId="1" applyFill="1"/>
    <xf numFmtId="0" fontId="12" fillId="15" borderId="0" xfId="1" applyFill="1"/>
    <xf numFmtId="0" fontId="12" fillId="16" borderId="0" xfId="1" applyFill="1"/>
    <xf numFmtId="0" fontId="12" fillId="9" borderId="0" xfId="1" applyFill="1"/>
    <xf numFmtId="0" fontId="0" fillId="4" borderId="2" xfId="0" applyFill="1" applyBorder="1"/>
    <xf numFmtId="0" fontId="0" fillId="4" borderId="8" xfId="0" applyFill="1" applyBorder="1"/>
    <xf numFmtId="0" fontId="0" fillId="4" borderId="3" xfId="0" applyFill="1" applyBorder="1"/>
    <xf numFmtId="0" fontId="14" fillId="9" borderId="1" xfId="3" applyFill="1"/>
    <xf numFmtId="0" fontId="12" fillId="18" borderId="0" xfId="1" applyFill="1"/>
    <xf numFmtId="0" fontId="0" fillId="18" borderId="0" xfId="0" applyFill="1"/>
    <xf numFmtId="0" fontId="17" fillId="18" borderId="0" xfId="1" applyFont="1" applyFill="1"/>
    <xf numFmtId="0" fontId="15" fillId="9" borderId="0" xfId="0" applyFont="1" applyFill="1"/>
    <xf numFmtId="0" fontId="17" fillId="17" borderId="0" xfId="1" applyFont="1" applyFill="1"/>
    <xf numFmtId="0" fontId="19" fillId="14" borderId="0" xfId="1" applyFont="1" applyFill="1"/>
    <xf numFmtId="0" fontId="18" fillId="6" borderId="0" xfId="1" applyFont="1" applyFill="1"/>
    <xf numFmtId="0" fontId="21" fillId="6" borderId="0" xfId="1" applyFont="1" applyFill="1"/>
    <xf numFmtId="0" fontId="17" fillId="15" borderId="0" xfId="1" applyFont="1" applyFill="1"/>
    <xf numFmtId="0" fontId="16" fillId="16" borderId="0" xfId="1" applyFont="1" applyFill="1"/>
    <xf numFmtId="0" fontId="20" fillId="16" borderId="0" xfId="1" applyFont="1" applyFill="1"/>
    <xf numFmtId="0" fontId="22" fillId="15" borderId="0" xfId="1" applyFont="1" applyFill="1"/>
    <xf numFmtId="2" fontId="0" fillId="10" borderId="4" xfId="0" applyNumberFormat="1" applyFill="1" applyBorder="1"/>
    <xf numFmtId="2" fontId="0" fillId="10" borderId="9" xfId="0" applyNumberFormat="1" applyFill="1" applyBorder="1"/>
    <xf numFmtId="2" fontId="0" fillId="10" borderId="5" xfId="0" applyNumberFormat="1" applyFill="1" applyBorder="1"/>
    <xf numFmtId="0" fontId="1" fillId="2" borderId="0" xfId="0" applyFont="1" applyFill="1" applyAlignment="1">
      <alignment horizontal="center"/>
    </xf>
    <xf numFmtId="0" fontId="2" fillId="2" borderId="0" xfId="0" applyFont="1" applyFill="1" applyAlignment="1">
      <alignment horizontal="center"/>
    </xf>
    <xf numFmtId="0" fontId="0" fillId="0" borderId="0" xfId="0" applyNumberFormat="1"/>
    <xf numFmtId="0" fontId="0" fillId="5" borderId="11" xfId="0" applyNumberFormat="1" applyFill="1" applyBorder="1"/>
    <xf numFmtId="0" fontId="0" fillId="5" borderId="12" xfId="0" applyNumberFormat="1" applyFill="1" applyBorder="1"/>
    <xf numFmtId="0" fontId="0" fillId="5" borderId="13" xfId="0" applyNumberFormat="1" applyFill="1" applyBorder="1"/>
    <xf numFmtId="0" fontId="0" fillId="5" borderId="11" xfId="0" applyFill="1" applyBorder="1" applyAlignment="1">
      <alignment horizontal="left"/>
    </xf>
    <xf numFmtId="0" fontId="0" fillId="5" borderId="12" xfId="0" applyFill="1" applyBorder="1" applyAlignment="1">
      <alignment horizontal="left"/>
    </xf>
    <xf numFmtId="0" fontId="0" fillId="5" borderId="13" xfId="0" applyFill="1" applyBorder="1" applyAlignment="1">
      <alignment horizontal="left"/>
    </xf>
  </cellXfs>
  <cellStyles count="4">
    <cellStyle name="Heading 4" xfId="2" builtinId="19"/>
    <cellStyle name="Input" xfId="3" builtinId="20"/>
    <cellStyle name="Normal" xfId="0" builtinId="0"/>
    <cellStyle name="Title" xfId="1" builtinId="15"/>
  </cellStyles>
  <dxfs count="74">
    <dxf>
      <fill>
        <patternFill patternType="solid">
          <bgColor theme="2" tint="-9.9978637043366805E-2"/>
        </patternFill>
      </fill>
    </dxf>
    <dxf>
      <fill>
        <patternFill patternType="solid">
          <bgColor theme="2" tint="-9.9978637043366805E-2"/>
        </patternFill>
      </fill>
    </dxf>
    <dxf>
      <fill>
        <patternFill>
          <bgColor theme="9" tint="0.79998168889431442"/>
        </patternFill>
      </fill>
    </dxf>
    <dxf>
      <fill>
        <patternFill>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9.9978637043366805E-2"/>
        </patternFill>
      </fill>
    </dxf>
    <dxf>
      <fill>
        <patternFill patternType="solid">
          <bgColor theme="2" tint="-9.9978637043366805E-2"/>
        </patternFill>
      </fill>
    </dxf>
    <dxf>
      <fill>
        <patternFill>
          <bgColor theme="9" tint="0.79998168889431442"/>
        </patternFill>
      </fill>
    </dxf>
    <dxf>
      <fill>
        <patternFill>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9.9978637043366805E-2"/>
        </patternFill>
      </fill>
    </dxf>
    <dxf>
      <fill>
        <patternFill patternType="solid">
          <bgColor theme="2" tint="-9.9978637043366805E-2"/>
        </patternFill>
      </fill>
    </dxf>
    <dxf>
      <fill>
        <patternFill>
          <bgColor theme="9" tint="0.79998168889431442"/>
        </patternFill>
      </fill>
    </dxf>
    <dxf>
      <fill>
        <patternFill>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9.9978637043366805E-2"/>
        </patternFill>
      </fill>
    </dxf>
    <dxf>
      <fill>
        <patternFill patternType="solid">
          <bgColor theme="2" tint="-9.9978637043366805E-2"/>
        </patternFill>
      </fill>
    </dxf>
    <dxf>
      <fill>
        <patternFill>
          <bgColor theme="9" tint="0.79998168889431442"/>
        </patternFill>
      </fill>
    </dxf>
    <dxf>
      <fill>
        <patternFill>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9.9978637043366805E-2"/>
        </patternFill>
      </fill>
    </dxf>
    <dxf>
      <fill>
        <patternFill patternType="solid">
          <bgColor theme="2" tint="-9.9978637043366805E-2"/>
        </patternFill>
      </fill>
    </dxf>
    <dxf>
      <fill>
        <patternFill>
          <bgColor theme="9" tint="0.79998168889431442"/>
        </patternFill>
      </fill>
    </dxf>
    <dxf>
      <fill>
        <patternFill>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9.9978637043366805E-2"/>
        </patternFill>
      </fill>
    </dxf>
    <dxf>
      <fill>
        <patternFill patternType="solid">
          <bgColor theme="2" tint="-9.9978637043366805E-2"/>
        </patternFill>
      </fill>
    </dxf>
    <dxf>
      <fill>
        <patternFill>
          <bgColor theme="9" tint="0.79998168889431442"/>
        </patternFill>
      </fill>
    </dxf>
    <dxf>
      <fill>
        <patternFill>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79998168889431442"/>
        </patternFill>
      </fill>
    </dxf>
    <dxf>
      <fill>
        <patternFill patternType="solid">
          <bgColor theme="5" tint="0.79998168889431442"/>
        </patternFill>
      </fill>
    </dxf>
    <dxf>
      <fill>
        <patternFill>
          <bgColor theme="7" tint="0.79998168889431442"/>
        </patternFill>
      </fill>
    </dxf>
    <dxf>
      <fill>
        <patternFill>
          <bgColor theme="7"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7"/>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5" tint="0.39997558519241921"/>
        </patternFill>
      </fill>
    </dxf>
    <dxf>
      <fill>
        <patternFill patternType="solid">
          <bgColor theme="5" tint="0.39997558519241921"/>
        </patternFill>
      </fill>
    </dxf>
    <dxf>
      <fill>
        <patternFill patternType="solid">
          <bgColor theme="9" tint="0.59999389629810485"/>
        </patternFill>
      </fill>
    </dxf>
    <dxf>
      <fill>
        <patternFill patternType="solid">
          <bgColor theme="9" tint="0.59999389629810485"/>
        </patternFill>
      </fill>
    </dxf>
    <dxf>
      <fill>
        <patternFill patternType="solid">
          <bgColor theme="5" tint="0.59999389629810485"/>
        </patternFill>
      </fill>
    </dxf>
    <dxf>
      <numFmt numFmtId="2" formatCode="0.00"/>
    </dxf>
    <dxf>
      <fill>
        <patternFill patternType="solid">
          <bgColor theme="7" tint="0.59999389629810485"/>
        </patternFill>
      </fill>
    </dxf>
    <dxf>
      <fill>
        <patternFill patternType="solid">
          <bgColor theme="5"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rgb="FFFFFF00"/>
        </patternFill>
      </fill>
    </dxf>
    <dxf>
      <fill>
        <patternFill>
          <bgColor theme="7" tint="0.79998168889431442"/>
        </patternFill>
      </fill>
    </dxf>
    <dxf>
      <fill>
        <patternFill patternType="solid">
          <bgColor theme="7"/>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bgColor theme="9" tint="0.79998168889431442"/>
        </patternFill>
      </fill>
    </dxf>
    <dxf>
      <fill>
        <patternFill patternType="solid">
          <bgColor theme="2" tint="-9.9978637043366805E-2"/>
        </patternFill>
      </fill>
    </dxf>
    <dxf>
      <fill>
        <patternFill patternType="solid">
          <bgColor theme="2" tint="-9.9978637043366805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pivotCacheDefinition" Target="pivotCache/pivotCacheDefinition12.xml"/><Relationship Id="rId3" Type="http://schemas.openxmlformats.org/officeDocument/2006/relationships/worksheet" Target="worksheets/sheet3.xml"/><Relationship Id="rId21" Type="http://schemas.openxmlformats.org/officeDocument/2006/relationships/pivotCacheDefinition" Target="pivotCache/pivotCacheDefinition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microsoft.com/office/2007/relationships/slicerCache" Target="slicerCaches/slicerCache1.xml"/><Relationship Id="rId30" Type="http://schemas.openxmlformats.org/officeDocument/2006/relationships/theme" Target="theme/them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 4-Jones.xlsx]Q1!PivotTable49</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Live Theater Attendance in Past 2 Years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'Q1'!$B$3</c:f>
              <c:strCache>
                <c:ptCount val="1"/>
                <c:pt idx="0">
                  <c:v>Total</c:v>
                </c:pt>
              </c:strCache>
            </c:strRef>
          </c:tx>
          <c:spPr>
            <a:solidFill>
              <a:schemeClr val="accent1"/>
            </a:solidFill>
            <a:ln>
              <a:noFill/>
            </a:ln>
            <a:effectLst/>
          </c:spPr>
          <c:invertIfNegative val="0"/>
          <c:cat>
            <c:strRef>
              <c:f>'Q1'!$A$4:$A$9</c:f>
              <c:strCache>
                <c:ptCount val="5"/>
                <c:pt idx="0">
                  <c:v>1 to 2</c:v>
                </c:pt>
                <c:pt idx="1">
                  <c:v>3 to 4</c:v>
                </c:pt>
                <c:pt idx="2">
                  <c:v>5 to 6</c:v>
                </c:pt>
                <c:pt idx="3">
                  <c:v>7 or more</c:v>
                </c:pt>
                <c:pt idx="4">
                  <c:v>Q1_Attendance</c:v>
                </c:pt>
              </c:strCache>
            </c:strRef>
          </c:cat>
          <c:val>
            <c:numRef>
              <c:f>'Q1'!$B$4:$B$9</c:f>
              <c:numCache>
                <c:formatCode>General</c:formatCode>
                <c:ptCount val="5"/>
                <c:pt idx="0">
                  <c:v>49</c:v>
                </c:pt>
                <c:pt idx="1">
                  <c:v>56</c:v>
                </c:pt>
                <c:pt idx="2">
                  <c:v>29</c:v>
                </c:pt>
                <c:pt idx="3">
                  <c:v>27</c:v>
                </c:pt>
                <c:pt idx="4">
                  <c:v>1</c:v>
                </c:pt>
              </c:numCache>
            </c:numRef>
          </c:val>
          <c:extLst>
            <c:ext xmlns:c16="http://schemas.microsoft.com/office/drawing/2014/chart" uri="{C3380CC4-5D6E-409C-BE32-E72D297353CC}">
              <c16:uniqueId val="{00000000-E76E-4AB8-8A87-FCBE437D373F}"/>
            </c:ext>
          </c:extLst>
        </c:ser>
        <c:dLbls>
          <c:showLegendKey val="0"/>
          <c:showVal val="0"/>
          <c:showCatName val="0"/>
          <c:showSerName val="0"/>
          <c:showPercent val="0"/>
          <c:showBubbleSize val="0"/>
        </c:dLbls>
        <c:gapWidth val="219"/>
        <c:overlap val="-27"/>
        <c:axId val="566622015"/>
        <c:axId val="566622975"/>
      </c:barChart>
      <c:catAx>
        <c:axId val="566622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Attandnace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622975"/>
        <c:crosses val="autoZero"/>
        <c:auto val="1"/>
        <c:lblAlgn val="ctr"/>
        <c:lblOffset val="100"/>
        <c:noMultiLvlLbl val="0"/>
      </c:catAx>
      <c:valAx>
        <c:axId val="566622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Rresponses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62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 4-Jones.xlsx]Q2!PivotTable29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Reasons People Attend the Theater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0268299795858852"/>
          <c:w val="0.53464129483814526"/>
          <c:h val="0.68991761446485855"/>
        </c:manualLayout>
      </c:layout>
      <c:barChart>
        <c:barDir val="col"/>
        <c:grouping val="clustered"/>
        <c:varyColors val="0"/>
        <c:ser>
          <c:idx val="0"/>
          <c:order val="0"/>
          <c:tx>
            <c:strRef>
              <c:f>'Q2'!$A$3</c:f>
              <c:strCache>
                <c:ptCount val="1"/>
                <c:pt idx="0">
                  <c:v>Count of Q2_SpecialOccasion</c:v>
                </c:pt>
              </c:strCache>
            </c:strRef>
          </c:tx>
          <c:spPr>
            <a:solidFill>
              <a:schemeClr val="accent1"/>
            </a:solidFill>
            <a:ln>
              <a:noFill/>
            </a:ln>
            <a:effectLst/>
          </c:spPr>
          <c:invertIfNegative val="0"/>
          <c:cat>
            <c:strRef>
              <c:f>'Q2'!$A$4</c:f>
              <c:strCache>
                <c:ptCount val="1"/>
                <c:pt idx="0">
                  <c:v>Total</c:v>
                </c:pt>
              </c:strCache>
            </c:strRef>
          </c:cat>
          <c:val>
            <c:numRef>
              <c:f>'Q2'!$A$4</c:f>
              <c:numCache>
                <c:formatCode>General</c:formatCode>
                <c:ptCount val="1"/>
                <c:pt idx="0">
                  <c:v>52</c:v>
                </c:pt>
              </c:numCache>
            </c:numRef>
          </c:val>
          <c:extLst>
            <c:ext xmlns:c16="http://schemas.microsoft.com/office/drawing/2014/chart" uri="{C3380CC4-5D6E-409C-BE32-E72D297353CC}">
              <c16:uniqueId val="{00000000-565F-4D85-AFFD-84B780FF7C7D}"/>
            </c:ext>
          </c:extLst>
        </c:ser>
        <c:ser>
          <c:idx val="1"/>
          <c:order val="1"/>
          <c:tx>
            <c:strRef>
              <c:f>'Q2'!$B$3</c:f>
              <c:strCache>
                <c:ptCount val="1"/>
                <c:pt idx="0">
                  <c:v>Count of Q2_Holidays</c:v>
                </c:pt>
              </c:strCache>
            </c:strRef>
          </c:tx>
          <c:spPr>
            <a:solidFill>
              <a:schemeClr val="accent2"/>
            </a:solidFill>
            <a:ln>
              <a:noFill/>
            </a:ln>
            <a:effectLst/>
          </c:spPr>
          <c:invertIfNegative val="0"/>
          <c:cat>
            <c:strRef>
              <c:f>'Q2'!$A$4</c:f>
              <c:strCache>
                <c:ptCount val="1"/>
                <c:pt idx="0">
                  <c:v>Total</c:v>
                </c:pt>
              </c:strCache>
            </c:strRef>
          </c:cat>
          <c:val>
            <c:numRef>
              <c:f>'Q2'!$B$4</c:f>
              <c:numCache>
                <c:formatCode>General</c:formatCode>
                <c:ptCount val="1"/>
                <c:pt idx="0">
                  <c:v>18</c:v>
                </c:pt>
              </c:numCache>
            </c:numRef>
          </c:val>
          <c:extLst>
            <c:ext xmlns:c16="http://schemas.microsoft.com/office/drawing/2014/chart" uri="{C3380CC4-5D6E-409C-BE32-E72D297353CC}">
              <c16:uniqueId val="{00000001-565F-4D85-AFFD-84B780FF7C7D}"/>
            </c:ext>
          </c:extLst>
        </c:ser>
        <c:ser>
          <c:idx val="2"/>
          <c:order val="2"/>
          <c:tx>
            <c:strRef>
              <c:f>'Q2'!$C$3</c:f>
              <c:strCache>
                <c:ptCount val="1"/>
                <c:pt idx="0">
                  <c:v>Count of Q2_Date night</c:v>
                </c:pt>
              </c:strCache>
            </c:strRef>
          </c:tx>
          <c:spPr>
            <a:solidFill>
              <a:schemeClr val="accent3"/>
            </a:solidFill>
            <a:ln>
              <a:noFill/>
            </a:ln>
            <a:effectLst/>
          </c:spPr>
          <c:invertIfNegative val="0"/>
          <c:cat>
            <c:strRef>
              <c:f>'Q2'!$A$4</c:f>
              <c:strCache>
                <c:ptCount val="1"/>
                <c:pt idx="0">
                  <c:v>Total</c:v>
                </c:pt>
              </c:strCache>
            </c:strRef>
          </c:cat>
          <c:val>
            <c:numRef>
              <c:f>'Q2'!$C$4</c:f>
              <c:numCache>
                <c:formatCode>General</c:formatCode>
                <c:ptCount val="1"/>
                <c:pt idx="0">
                  <c:v>53</c:v>
                </c:pt>
              </c:numCache>
            </c:numRef>
          </c:val>
          <c:extLst>
            <c:ext xmlns:c16="http://schemas.microsoft.com/office/drawing/2014/chart" uri="{C3380CC4-5D6E-409C-BE32-E72D297353CC}">
              <c16:uniqueId val="{00000002-565F-4D85-AFFD-84B780FF7C7D}"/>
            </c:ext>
          </c:extLst>
        </c:ser>
        <c:ser>
          <c:idx val="3"/>
          <c:order val="3"/>
          <c:tx>
            <c:strRef>
              <c:f>'Q2'!$D$3</c:f>
              <c:strCache>
                <c:ptCount val="1"/>
                <c:pt idx="0">
                  <c:v>Count of Q2_The show is something I like</c:v>
                </c:pt>
              </c:strCache>
            </c:strRef>
          </c:tx>
          <c:spPr>
            <a:solidFill>
              <a:schemeClr val="accent4"/>
            </a:solidFill>
            <a:ln>
              <a:noFill/>
            </a:ln>
            <a:effectLst/>
          </c:spPr>
          <c:invertIfNegative val="0"/>
          <c:cat>
            <c:strRef>
              <c:f>'Q2'!$A$4</c:f>
              <c:strCache>
                <c:ptCount val="1"/>
                <c:pt idx="0">
                  <c:v>Total</c:v>
                </c:pt>
              </c:strCache>
            </c:strRef>
          </c:cat>
          <c:val>
            <c:numRef>
              <c:f>'Q2'!$D$4</c:f>
              <c:numCache>
                <c:formatCode>General</c:formatCode>
                <c:ptCount val="1"/>
                <c:pt idx="0">
                  <c:v>131</c:v>
                </c:pt>
              </c:numCache>
            </c:numRef>
          </c:val>
          <c:extLst>
            <c:ext xmlns:c16="http://schemas.microsoft.com/office/drawing/2014/chart" uri="{C3380CC4-5D6E-409C-BE32-E72D297353CC}">
              <c16:uniqueId val="{00000003-565F-4D85-AFFD-84B780FF7C7D}"/>
            </c:ext>
          </c:extLst>
        </c:ser>
        <c:ser>
          <c:idx val="4"/>
          <c:order val="4"/>
          <c:tx>
            <c:strRef>
              <c:f>'Q2'!$E$3</c:f>
              <c:strCache>
                <c:ptCount val="1"/>
                <c:pt idx="0">
                  <c:v>Count of Q2_When I know someone in the performance</c:v>
                </c:pt>
              </c:strCache>
            </c:strRef>
          </c:tx>
          <c:spPr>
            <a:solidFill>
              <a:schemeClr val="accent5"/>
            </a:solidFill>
            <a:ln>
              <a:noFill/>
            </a:ln>
            <a:effectLst/>
          </c:spPr>
          <c:invertIfNegative val="0"/>
          <c:cat>
            <c:strRef>
              <c:f>'Q2'!$A$4</c:f>
              <c:strCache>
                <c:ptCount val="1"/>
                <c:pt idx="0">
                  <c:v>Total</c:v>
                </c:pt>
              </c:strCache>
            </c:strRef>
          </c:cat>
          <c:val>
            <c:numRef>
              <c:f>'Q2'!$E$4</c:f>
              <c:numCache>
                <c:formatCode>General</c:formatCode>
                <c:ptCount val="1"/>
                <c:pt idx="0">
                  <c:v>62</c:v>
                </c:pt>
              </c:numCache>
            </c:numRef>
          </c:val>
          <c:extLst>
            <c:ext xmlns:c16="http://schemas.microsoft.com/office/drawing/2014/chart" uri="{C3380CC4-5D6E-409C-BE32-E72D297353CC}">
              <c16:uniqueId val="{00000004-565F-4D85-AFFD-84B780FF7C7D}"/>
            </c:ext>
          </c:extLst>
        </c:ser>
        <c:ser>
          <c:idx val="5"/>
          <c:order val="5"/>
          <c:tx>
            <c:strRef>
              <c:f>'Q2'!$F$3</c:f>
              <c:strCache>
                <c:ptCount val="1"/>
                <c:pt idx="0">
                  <c:v>Count of Q2_Other </c:v>
                </c:pt>
              </c:strCache>
            </c:strRef>
          </c:tx>
          <c:spPr>
            <a:solidFill>
              <a:schemeClr val="accent6"/>
            </a:solidFill>
            <a:ln>
              <a:noFill/>
            </a:ln>
            <a:effectLst/>
          </c:spPr>
          <c:invertIfNegative val="0"/>
          <c:cat>
            <c:strRef>
              <c:f>'Q2'!$A$4</c:f>
              <c:strCache>
                <c:ptCount val="1"/>
                <c:pt idx="0">
                  <c:v>Total</c:v>
                </c:pt>
              </c:strCache>
            </c:strRef>
          </c:cat>
          <c:val>
            <c:numRef>
              <c:f>'Q2'!$F$4</c:f>
              <c:numCache>
                <c:formatCode>General</c:formatCode>
                <c:ptCount val="1"/>
                <c:pt idx="0">
                  <c:v>18</c:v>
                </c:pt>
              </c:numCache>
            </c:numRef>
          </c:val>
          <c:extLst>
            <c:ext xmlns:c16="http://schemas.microsoft.com/office/drawing/2014/chart" uri="{C3380CC4-5D6E-409C-BE32-E72D297353CC}">
              <c16:uniqueId val="{00000005-565F-4D85-AFFD-84B780FF7C7D}"/>
            </c:ext>
          </c:extLst>
        </c:ser>
        <c:dLbls>
          <c:showLegendKey val="0"/>
          <c:showVal val="0"/>
          <c:showCatName val="0"/>
          <c:showSerName val="0"/>
          <c:showPercent val="0"/>
          <c:showBubbleSize val="0"/>
        </c:dLbls>
        <c:gapWidth val="219"/>
        <c:overlap val="-27"/>
        <c:axId val="679588495"/>
        <c:axId val="679588975"/>
      </c:barChart>
      <c:catAx>
        <c:axId val="679588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588975"/>
        <c:crosses val="autoZero"/>
        <c:auto val="1"/>
        <c:lblAlgn val="ctr"/>
        <c:lblOffset val="100"/>
        <c:noMultiLvlLbl val="0"/>
      </c:catAx>
      <c:valAx>
        <c:axId val="679588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Responses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58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 4-Jones.xlsx]Q3!PivotTable24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'Q3'!$A$3</c:f>
              <c:strCache>
                <c:ptCount val="1"/>
                <c:pt idx="0">
                  <c:v>Average of Q3_Classic Musicals</c:v>
                </c:pt>
              </c:strCache>
            </c:strRef>
          </c:tx>
          <c:spPr>
            <a:solidFill>
              <a:schemeClr val="accent1"/>
            </a:solidFill>
            <a:ln>
              <a:noFill/>
            </a:ln>
            <a:effectLst/>
          </c:spPr>
          <c:invertIfNegative val="0"/>
          <c:cat>
            <c:strRef>
              <c:f>'Q3'!$A$4</c:f>
              <c:strCache>
                <c:ptCount val="1"/>
                <c:pt idx="0">
                  <c:v>Total</c:v>
                </c:pt>
              </c:strCache>
            </c:strRef>
          </c:cat>
          <c:val>
            <c:numRef>
              <c:f>'Q3'!$A$4</c:f>
              <c:numCache>
                <c:formatCode>0.00</c:formatCode>
                <c:ptCount val="1"/>
                <c:pt idx="0">
                  <c:v>4.2468354430379751</c:v>
                </c:pt>
              </c:numCache>
            </c:numRef>
          </c:val>
          <c:extLst>
            <c:ext xmlns:c16="http://schemas.microsoft.com/office/drawing/2014/chart" uri="{C3380CC4-5D6E-409C-BE32-E72D297353CC}">
              <c16:uniqueId val="{00000000-4815-428D-BCF7-19CF41749F03}"/>
            </c:ext>
          </c:extLst>
        </c:ser>
        <c:ser>
          <c:idx val="1"/>
          <c:order val="1"/>
          <c:tx>
            <c:strRef>
              <c:f>'Q3'!$B$3</c:f>
              <c:strCache>
                <c:ptCount val="1"/>
                <c:pt idx="0">
                  <c:v>Average of Q3_Recent Broadway Musicals </c:v>
                </c:pt>
              </c:strCache>
            </c:strRef>
          </c:tx>
          <c:spPr>
            <a:solidFill>
              <a:schemeClr val="accent2"/>
            </a:solidFill>
            <a:ln>
              <a:noFill/>
            </a:ln>
            <a:effectLst/>
          </c:spPr>
          <c:invertIfNegative val="0"/>
          <c:cat>
            <c:strRef>
              <c:f>'Q3'!$A$4</c:f>
              <c:strCache>
                <c:ptCount val="1"/>
                <c:pt idx="0">
                  <c:v>Total</c:v>
                </c:pt>
              </c:strCache>
            </c:strRef>
          </c:cat>
          <c:val>
            <c:numRef>
              <c:f>'Q3'!$B$4</c:f>
              <c:numCache>
                <c:formatCode>0.00</c:formatCode>
                <c:ptCount val="1"/>
                <c:pt idx="0">
                  <c:v>4.2229299363057322</c:v>
                </c:pt>
              </c:numCache>
            </c:numRef>
          </c:val>
          <c:extLst>
            <c:ext xmlns:c16="http://schemas.microsoft.com/office/drawing/2014/chart" uri="{C3380CC4-5D6E-409C-BE32-E72D297353CC}">
              <c16:uniqueId val="{00000001-4815-428D-BCF7-19CF41749F03}"/>
            </c:ext>
          </c:extLst>
        </c:ser>
        <c:ser>
          <c:idx val="2"/>
          <c:order val="2"/>
          <c:tx>
            <c:strRef>
              <c:f>'Q3'!$C$3</c:f>
              <c:strCache>
                <c:ptCount val="1"/>
                <c:pt idx="0">
                  <c:v>Average of Q3_Parodies of Broadway Hits</c:v>
                </c:pt>
              </c:strCache>
            </c:strRef>
          </c:tx>
          <c:spPr>
            <a:solidFill>
              <a:schemeClr val="accent3"/>
            </a:solidFill>
            <a:ln>
              <a:noFill/>
            </a:ln>
            <a:effectLst/>
          </c:spPr>
          <c:invertIfNegative val="0"/>
          <c:cat>
            <c:strRef>
              <c:f>'Q3'!$A$4</c:f>
              <c:strCache>
                <c:ptCount val="1"/>
                <c:pt idx="0">
                  <c:v>Total</c:v>
                </c:pt>
              </c:strCache>
            </c:strRef>
          </c:cat>
          <c:val>
            <c:numRef>
              <c:f>'Q3'!$C$4</c:f>
              <c:numCache>
                <c:formatCode>0.00</c:formatCode>
                <c:ptCount val="1"/>
                <c:pt idx="0">
                  <c:v>3.5751633986928102</c:v>
                </c:pt>
              </c:numCache>
            </c:numRef>
          </c:val>
          <c:extLst>
            <c:ext xmlns:c16="http://schemas.microsoft.com/office/drawing/2014/chart" uri="{C3380CC4-5D6E-409C-BE32-E72D297353CC}">
              <c16:uniqueId val="{00000002-4815-428D-BCF7-19CF41749F03}"/>
            </c:ext>
          </c:extLst>
        </c:ser>
        <c:ser>
          <c:idx val="3"/>
          <c:order val="3"/>
          <c:tx>
            <c:strRef>
              <c:f>'Q3'!$D$3</c:f>
              <c:strCache>
                <c:ptCount val="1"/>
                <c:pt idx="0">
                  <c:v>Average of Q3_Shakespeare </c:v>
                </c:pt>
              </c:strCache>
            </c:strRef>
          </c:tx>
          <c:spPr>
            <a:solidFill>
              <a:schemeClr val="accent4"/>
            </a:solidFill>
            <a:ln>
              <a:noFill/>
            </a:ln>
            <a:effectLst/>
          </c:spPr>
          <c:invertIfNegative val="0"/>
          <c:cat>
            <c:strRef>
              <c:f>'Q3'!$A$4</c:f>
              <c:strCache>
                <c:ptCount val="1"/>
                <c:pt idx="0">
                  <c:v>Total</c:v>
                </c:pt>
              </c:strCache>
            </c:strRef>
          </c:cat>
          <c:val>
            <c:numRef>
              <c:f>'Q3'!$D$4</c:f>
              <c:numCache>
                <c:formatCode>0.00</c:formatCode>
                <c:ptCount val="1"/>
                <c:pt idx="0">
                  <c:v>2.5862068965517242</c:v>
                </c:pt>
              </c:numCache>
            </c:numRef>
          </c:val>
          <c:extLst>
            <c:ext xmlns:c16="http://schemas.microsoft.com/office/drawing/2014/chart" uri="{C3380CC4-5D6E-409C-BE32-E72D297353CC}">
              <c16:uniqueId val="{00000003-4815-428D-BCF7-19CF41749F03}"/>
            </c:ext>
          </c:extLst>
        </c:ser>
        <c:ser>
          <c:idx val="4"/>
          <c:order val="4"/>
          <c:tx>
            <c:strRef>
              <c:f>'Q3'!$E$3</c:f>
              <c:strCache>
                <c:ptCount val="1"/>
                <c:pt idx="0">
                  <c:v>Average of Q3_Comedies</c:v>
                </c:pt>
              </c:strCache>
            </c:strRef>
          </c:tx>
          <c:spPr>
            <a:solidFill>
              <a:schemeClr val="accent5"/>
            </a:solidFill>
            <a:ln>
              <a:noFill/>
            </a:ln>
            <a:effectLst/>
          </c:spPr>
          <c:invertIfNegative val="0"/>
          <c:cat>
            <c:strRef>
              <c:f>'Q3'!$A$4</c:f>
              <c:strCache>
                <c:ptCount val="1"/>
                <c:pt idx="0">
                  <c:v>Total</c:v>
                </c:pt>
              </c:strCache>
            </c:strRef>
          </c:cat>
          <c:val>
            <c:numRef>
              <c:f>'Q3'!$E$4</c:f>
              <c:numCache>
                <c:formatCode>0.00</c:formatCode>
                <c:ptCount val="1"/>
                <c:pt idx="0">
                  <c:v>4.3207547169811322</c:v>
                </c:pt>
              </c:numCache>
            </c:numRef>
          </c:val>
          <c:extLst>
            <c:ext xmlns:c16="http://schemas.microsoft.com/office/drawing/2014/chart" uri="{C3380CC4-5D6E-409C-BE32-E72D297353CC}">
              <c16:uniqueId val="{00000004-4815-428D-BCF7-19CF41749F03}"/>
            </c:ext>
          </c:extLst>
        </c:ser>
        <c:ser>
          <c:idx val="5"/>
          <c:order val="5"/>
          <c:tx>
            <c:strRef>
              <c:f>'Q3'!$F$3</c:f>
              <c:strCache>
                <c:ptCount val="1"/>
                <c:pt idx="0">
                  <c:v>Average of Q3_Drama</c:v>
                </c:pt>
              </c:strCache>
            </c:strRef>
          </c:tx>
          <c:spPr>
            <a:solidFill>
              <a:schemeClr val="accent6"/>
            </a:solidFill>
            <a:ln>
              <a:noFill/>
            </a:ln>
            <a:effectLst/>
          </c:spPr>
          <c:invertIfNegative val="0"/>
          <c:cat>
            <c:strRef>
              <c:f>'Q3'!$A$4</c:f>
              <c:strCache>
                <c:ptCount val="1"/>
                <c:pt idx="0">
                  <c:v>Total</c:v>
                </c:pt>
              </c:strCache>
            </c:strRef>
          </c:cat>
          <c:val>
            <c:numRef>
              <c:f>'Q3'!$F$4</c:f>
              <c:numCache>
                <c:formatCode>0.00</c:formatCode>
                <c:ptCount val="1"/>
                <c:pt idx="0">
                  <c:v>3.38961038961039</c:v>
                </c:pt>
              </c:numCache>
            </c:numRef>
          </c:val>
          <c:extLst>
            <c:ext xmlns:c16="http://schemas.microsoft.com/office/drawing/2014/chart" uri="{C3380CC4-5D6E-409C-BE32-E72D297353CC}">
              <c16:uniqueId val="{00000005-4815-428D-BCF7-19CF41749F03}"/>
            </c:ext>
          </c:extLst>
        </c:ser>
        <c:dLbls>
          <c:showLegendKey val="0"/>
          <c:showVal val="0"/>
          <c:showCatName val="0"/>
          <c:showSerName val="0"/>
          <c:showPercent val="0"/>
          <c:showBubbleSize val="0"/>
        </c:dLbls>
        <c:gapWidth val="219"/>
        <c:overlap val="-27"/>
        <c:axId val="630635551"/>
        <c:axId val="630636511"/>
      </c:barChart>
      <c:catAx>
        <c:axId val="630635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636511"/>
        <c:crosses val="autoZero"/>
        <c:auto val="1"/>
        <c:lblAlgn val="ctr"/>
        <c:lblOffset val="100"/>
        <c:noMultiLvlLbl val="0"/>
      </c:catAx>
      <c:valAx>
        <c:axId val="6306365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esponses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2.3148148148148147E-2"/>
              <c:y val="0.35633948773644675"/>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63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 4-Jones.xlsx]Q4!PivotTable52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Musicals Audiences Want to See Locally</a:t>
            </a:r>
            <a:endParaRPr lang="en-US"/>
          </a:p>
        </c:rich>
      </c:tx>
      <c:layout>
        <c:manualLayout>
          <c:xMode val="edge"/>
          <c:yMode val="edge"/>
          <c:x val="0.13581436772199315"/>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692038495188095E-2"/>
          <c:y val="0.15175707203266259"/>
          <c:w val="0.5401968503937008"/>
          <c:h val="0.75010279965004378"/>
        </c:manualLayout>
      </c:layout>
      <c:barChart>
        <c:barDir val="col"/>
        <c:grouping val="clustered"/>
        <c:varyColors val="0"/>
        <c:ser>
          <c:idx val="0"/>
          <c:order val="0"/>
          <c:tx>
            <c:strRef>
              <c:f>'Q4'!$A$3</c:f>
              <c:strCache>
                <c:ptCount val="1"/>
                <c:pt idx="0">
                  <c:v>Count of Q4_Man of La Mancha</c:v>
                </c:pt>
              </c:strCache>
            </c:strRef>
          </c:tx>
          <c:spPr>
            <a:solidFill>
              <a:schemeClr val="accent1"/>
            </a:solidFill>
            <a:ln>
              <a:noFill/>
            </a:ln>
            <a:effectLst/>
          </c:spPr>
          <c:invertIfNegative val="0"/>
          <c:cat>
            <c:strRef>
              <c:f>'Q4'!$A$4</c:f>
              <c:strCache>
                <c:ptCount val="1"/>
                <c:pt idx="0">
                  <c:v>Total</c:v>
                </c:pt>
              </c:strCache>
            </c:strRef>
          </c:cat>
          <c:val>
            <c:numRef>
              <c:f>'Q4'!$A$4</c:f>
              <c:numCache>
                <c:formatCode>General</c:formatCode>
                <c:ptCount val="1"/>
                <c:pt idx="0">
                  <c:v>64</c:v>
                </c:pt>
              </c:numCache>
            </c:numRef>
          </c:val>
          <c:extLst>
            <c:ext xmlns:c16="http://schemas.microsoft.com/office/drawing/2014/chart" uri="{C3380CC4-5D6E-409C-BE32-E72D297353CC}">
              <c16:uniqueId val="{00000000-CFF3-483C-BD22-5DAF384D81D7}"/>
            </c:ext>
          </c:extLst>
        </c:ser>
        <c:ser>
          <c:idx val="1"/>
          <c:order val="1"/>
          <c:tx>
            <c:strRef>
              <c:f>'Q4'!$B$3</c:f>
              <c:strCache>
                <c:ptCount val="1"/>
                <c:pt idx="0">
                  <c:v>Count of Q4_Secret Garden</c:v>
                </c:pt>
              </c:strCache>
            </c:strRef>
          </c:tx>
          <c:spPr>
            <a:solidFill>
              <a:schemeClr val="accent2"/>
            </a:solidFill>
            <a:ln>
              <a:noFill/>
            </a:ln>
            <a:effectLst/>
          </c:spPr>
          <c:invertIfNegative val="0"/>
          <c:cat>
            <c:strRef>
              <c:f>'Q4'!$A$4</c:f>
              <c:strCache>
                <c:ptCount val="1"/>
                <c:pt idx="0">
                  <c:v>Total</c:v>
                </c:pt>
              </c:strCache>
            </c:strRef>
          </c:cat>
          <c:val>
            <c:numRef>
              <c:f>'Q4'!$B$4</c:f>
              <c:numCache>
                <c:formatCode>General</c:formatCode>
                <c:ptCount val="1"/>
                <c:pt idx="0">
                  <c:v>78</c:v>
                </c:pt>
              </c:numCache>
            </c:numRef>
          </c:val>
          <c:extLst>
            <c:ext xmlns:c16="http://schemas.microsoft.com/office/drawing/2014/chart" uri="{C3380CC4-5D6E-409C-BE32-E72D297353CC}">
              <c16:uniqueId val="{00000001-CFF3-483C-BD22-5DAF384D81D7}"/>
            </c:ext>
          </c:extLst>
        </c:ser>
        <c:ser>
          <c:idx val="2"/>
          <c:order val="2"/>
          <c:tx>
            <c:strRef>
              <c:f>'Q4'!$C$3</c:f>
              <c:strCache>
                <c:ptCount val="1"/>
                <c:pt idx="0">
                  <c:v>Count of Q4_You're a Good Man Charlie Brown</c:v>
                </c:pt>
              </c:strCache>
            </c:strRef>
          </c:tx>
          <c:spPr>
            <a:solidFill>
              <a:schemeClr val="accent3"/>
            </a:solidFill>
            <a:ln>
              <a:noFill/>
            </a:ln>
            <a:effectLst/>
          </c:spPr>
          <c:invertIfNegative val="0"/>
          <c:cat>
            <c:strRef>
              <c:f>'Q4'!$A$4</c:f>
              <c:strCache>
                <c:ptCount val="1"/>
                <c:pt idx="0">
                  <c:v>Total</c:v>
                </c:pt>
              </c:strCache>
            </c:strRef>
          </c:cat>
          <c:val>
            <c:numRef>
              <c:f>'Q4'!$C$4</c:f>
              <c:numCache>
                <c:formatCode>General</c:formatCode>
                <c:ptCount val="1"/>
                <c:pt idx="0">
                  <c:v>71</c:v>
                </c:pt>
              </c:numCache>
            </c:numRef>
          </c:val>
          <c:extLst>
            <c:ext xmlns:c16="http://schemas.microsoft.com/office/drawing/2014/chart" uri="{C3380CC4-5D6E-409C-BE32-E72D297353CC}">
              <c16:uniqueId val="{00000002-CFF3-483C-BD22-5DAF384D81D7}"/>
            </c:ext>
          </c:extLst>
        </c:ser>
        <c:ser>
          <c:idx val="3"/>
          <c:order val="3"/>
          <c:tx>
            <c:strRef>
              <c:f>'Q4'!$D$3</c:f>
              <c:strCache>
                <c:ptCount val="1"/>
                <c:pt idx="0">
                  <c:v>Count of Q4_The Drowsy Chaperone</c:v>
                </c:pt>
              </c:strCache>
            </c:strRef>
          </c:tx>
          <c:spPr>
            <a:solidFill>
              <a:schemeClr val="accent4"/>
            </a:solidFill>
            <a:ln>
              <a:noFill/>
            </a:ln>
            <a:effectLst/>
          </c:spPr>
          <c:invertIfNegative val="0"/>
          <c:cat>
            <c:strRef>
              <c:f>'Q4'!$A$4</c:f>
              <c:strCache>
                <c:ptCount val="1"/>
                <c:pt idx="0">
                  <c:v>Total</c:v>
                </c:pt>
              </c:strCache>
            </c:strRef>
          </c:cat>
          <c:val>
            <c:numRef>
              <c:f>'Q4'!$D$4</c:f>
              <c:numCache>
                <c:formatCode>General</c:formatCode>
                <c:ptCount val="1"/>
                <c:pt idx="0">
                  <c:v>32</c:v>
                </c:pt>
              </c:numCache>
            </c:numRef>
          </c:val>
          <c:extLst>
            <c:ext xmlns:c16="http://schemas.microsoft.com/office/drawing/2014/chart" uri="{C3380CC4-5D6E-409C-BE32-E72D297353CC}">
              <c16:uniqueId val="{00000003-CFF3-483C-BD22-5DAF384D81D7}"/>
            </c:ext>
          </c:extLst>
        </c:ser>
        <c:ser>
          <c:idx val="4"/>
          <c:order val="4"/>
          <c:tx>
            <c:strRef>
              <c:f>'Q4'!$E$3</c:f>
              <c:strCache>
                <c:ptCount val="1"/>
                <c:pt idx="0">
                  <c:v>Count of Q4_Scarlet Pimpernel</c:v>
                </c:pt>
              </c:strCache>
            </c:strRef>
          </c:tx>
          <c:spPr>
            <a:solidFill>
              <a:schemeClr val="accent5"/>
            </a:solidFill>
            <a:ln>
              <a:noFill/>
            </a:ln>
            <a:effectLst/>
          </c:spPr>
          <c:invertIfNegative val="0"/>
          <c:cat>
            <c:strRef>
              <c:f>'Q4'!$A$4</c:f>
              <c:strCache>
                <c:ptCount val="1"/>
                <c:pt idx="0">
                  <c:v>Total</c:v>
                </c:pt>
              </c:strCache>
            </c:strRef>
          </c:cat>
          <c:val>
            <c:numRef>
              <c:f>'Q4'!$E$4</c:f>
              <c:numCache>
                <c:formatCode>General</c:formatCode>
                <c:ptCount val="1"/>
                <c:pt idx="0">
                  <c:v>50</c:v>
                </c:pt>
              </c:numCache>
            </c:numRef>
          </c:val>
          <c:extLst>
            <c:ext xmlns:c16="http://schemas.microsoft.com/office/drawing/2014/chart" uri="{C3380CC4-5D6E-409C-BE32-E72D297353CC}">
              <c16:uniqueId val="{00000004-CFF3-483C-BD22-5DAF384D81D7}"/>
            </c:ext>
          </c:extLst>
        </c:ser>
        <c:ser>
          <c:idx val="5"/>
          <c:order val="5"/>
          <c:tx>
            <c:strRef>
              <c:f>'Q4'!$F$3</c:f>
              <c:strCache>
                <c:ptCount val="1"/>
                <c:pt idx="0">
                  <c:v>Count of Q4_Little Women</c:v>
                </c:pt>
              </c:strCache>
            </c:strRef>
          </c:tx>
          <c:spPr>
            <a:solidFill>
              <a:schemeClr val="accent6"/>
            </a:solidFill>
            <a:ln>
              <a:noFill/>
            </a:ln>
            <a:effectLst/>
          </c:spPr>
          <c:invertIfNegative val="0"/>
          <c:cat>
            <c:strRef>
              <c:f>'Q4'!$A$4</c:f>
              <c:strCache>
                <c:ptCount val="1"/>
                <c:pt idx="0">
                  <c:v>Total</c:v>
                </c:pt>
              </c:strCache>
            </c:strRef>
          </c:cat>
          <c:val>
            <c:numRef>
              <c:f>'Q4'!$F$4</c:f>
              <c:numCache>
                <c:formatCode>General</c:formatCode>
                <c:ptCount val="1"/>
                <c:pt idx="0">
                  <c:v>84</c:v>
                </c:pt>
              </c:numCache>
            </c:numRef>
          </c:val>
          <c:extLst>
            <c:ext xmlns:c16="http://schemas.microsoft.com/office/drawing/2014/chart" uri="{C3380CC4-5D6E-409C-BE32-E72D297353CC}">
              <c16:uniqueId val="{00000005-CFF3-483C-BD22-5DAF384D81D7}"/>
            </c:ext>
          </c:extLst>
        </c:ser>
        <c:ser>
          <c:idx val="6"/>
          <c:order val="6"/>
          <c:tx>
            <c:strRef>
              <c:f>'Q4'!$G$3</c:f>
              <c:strCache>
                <c:ptCount val="1"/>
                <c:pt idx="0">
                  <c:v>Count of Q4_Big River</c:v>
                </c:pt>
              </c:strCache>
            </c:strRef>
          </c:tx>
          <c:spPr>
            <a:solidFill>
              <a:schemeClr val="accent1">
                <a:lumMod val="60000"/>
              </a:schemeClr>
            </a:solidFill>
            <a:ln>
              <a:noFill/>
            </a:ln>
            <a:effectLst/>
          </c:spPr>
          <c:invertIfNegative val="0"/>
          <c:cat>
            <c:strRef>
              <c:f>'Q4'!$A$4</c:f>
              <c:strCache>
                <c:ptCount val="1"/>
                <c:pt idx="0">
                  <c:v>Total</c:v>
                </c:pt>
              </c:strCache>
            </c:strRef>
          </c:cat>
          <c:val>
            <c:numRef>
              <c:f>'Q4'!$G$4</c:f>
              <c:numCache>
                <c:formatCode>General</c:formatCode>
                <c:ptCount val="1"/>
                <c:pt idx="0">
                  <c:v>32</c:v>
                </c:pt>
              </c:numCache>
            </c:numRef>
          </c:val>
          <c:extLst>
            <c:ext xmlns:c16="http://schemas.microsoft.com/office/drawing/2014/chart" uri="{C3380CC4-5D6E-409C-BE32-E72D297353CC}">
              <c16:uniqueId val="{00000006-CFF3-483C-BD22-5DAF384D81D7}"/>
            </c:ext>
          </c:extLst>
        </c:ser>
        <c:ser>
          <c:idx val="7"/>
          <c:order val="7"/>
          <c:tx>
            <c:strRef>
              <c:f>'Q4'!$H$3</c:f>
              <c:strCache>
                <c:ptCount val="1"/>
                <c:pt idx="0">
                  <c:v>Count of Q4_West Side Story</c:v>
                </c:pt>
              </c:strCache>
            </c:strRef>
          </c:tx>
          <c:spPr>
            <a:solidFill>
              <a:schemeClr val="accent2">
                <a:lumMod val="60000"/>
              </a:schemeClr>
            </a:solidFill>
            <a:ln>
              <a:noFill/>
            </a:ln>
            <a:effectLst/>
          </c:spPr>
          <c:invertIfNegative val="0"/>
          <c:cat>
            <c:strRef>
              <c:f>'Q4'!$A$4</c:f>
              <c:strCache>
                <c:ptCount val="1"/>
                <c:pt idx="0">
                  <c:v>Total</c:v>
                </c:pt>
              </c:strCache>
            </c:strRef>
          </c:cat>
          <c:val>
            <c:numRef>
              <c:f>'Q4'!$H$4</c:f>
              <c:numCache>
                <c:formatCode>General</c:formatCode>
                <c:ptCount val="1"/>
                <c:pt idx="0">
                  <c:v>118</c:v>
                </c:pt>
              </c:numCache>
            </c:numRef>
          </c:val>
          <c:extLst>
            <c:ext xmlns:c16="http://schemas.microsoft.com/office/drawing/2014/chart" uri="{C3380CC4-5D6E-409C-BE32-E72D297353CC}">
              <c16:uniqueId val="{00000007-CFF3-483C-BD22-5DAF384D81D7}"/>
            </c:ext>
          </c:extLst>
        </c:ser>
        <c:ser>
          <c:idx val="8"/>
          <c:order val="8"/>
          <c:tx>
            <c:strRef>
              <c:f>'Q4'!$I$3</c:f>
              <c:strCache>
                <c:ptCount val="1"/>
                <c:pt idx="0">
                  <c:v>Count of Q4_Oklahoma</c:v>
                </c:pt>
              </c:strCache>
            </c:strRef>
          </c:tx>
          <c:spPr>
            <a:solidFill>
              <a:schemeClr val="accent3">
                <a:lumMod val="60000"/>
              </a:schemeClr>
            </a:solidFill>
            <a:ln>
              <a:noFill/>
            </a:ln>
            <a:effectLst/>
          </c:spPr>
          <c:invertIfNegative val="0"/>
          <c:cat>
            <c:strRef>
              <c:f>'Q4'!$A$4</c:f>
              <c:strCache>
                <c:ptCount val="1"/>
                <c:pt idx="0">
                  <c:v>Total</c:v>
                </c:pt>
              </c:strCache>
            </c:strRef>
          </c:cat>
          <c:val>
            <c:numRef>
              <c:f>'Q4'!$I$4</c:f>
              <c:numCache>
                <c:formatCode>General</c:formatCode>
                <c:ptCount val="1"/>
                <c:pt idx="0">
                  <c:v>114</c:v>
                </c:pt>
              </c:numCache>
            </c:numRef>
          </c:val>
          <c:extLst>
            <c:ext xmlns:c16="http://schemas.microsoft.com/office/drawing/2014/chart" uri="{C3380CC4-5D6E-409C-BE32-E72D297353CC}">
              <c16:uniqueId val="{00000008-CFF3-483C-BD22-5DAF384D81D7}"/>
            </c:ext>
          </c:extLst>
        </c:ser>
        <c:ser>
          <c:idx val="9"/>
          <c:order val="9"/>
          <c:tx>
            <c:strRef>
              <c:f>'Q4'!$J$3</c:f>
              <c:strCache>
                <c:ptCount val="1"/>
                <c:pt idx="0">
                  <c:v>Count of Q4_None of the Above</c:v>
                </c:pt>
              </c:strCache>
            </c:strRef>
          </c:tx>
          <c:spPr>
            <a:solidFill>
              <a:schemeClr val="accent4">
                <a:lumMod val="60000"/>
              </a:schemeClr>
            </a:solidFill>
            <a:ln>
              <a:noFill/>
            </a:ln>
            <a:effectLst/>
          </c:spPr>
          <c:invertIfNegative val="0"/>
          <c:cat>
            <c:strRef>
              <c:f>'Q4'!$A$4</c:f>
              <c:strCache>
                <c:ptCount val="1"/>
                <c:pt idx="0">
                  <c:v>Total</c:v>
                </c:pt>
              </c:strCache>
            </c:strRef>
          </c:cat>
          <c:val>
            <c:numRef>
              <c:f>'Q4'!$J$4</c:f>
              <c:numCache>
                <c:formatCode>General</c:formatCode>
                <c:ptCount val="1"/>
                <c:pt idx="0">
                  <c:v>3</c:v>
                </c:pt>
              </c:numCache>
            </c:numRef>
          </c:val>
          <c:extLst>
            <c:ext xmlns:c16="http://schemas.microsoft.com/office/drawing/2014/chart" uri="{C3380CC4-5D6E-409C-BE32-E72D297353CC}">
              <c16:uniqueId val="{00000009-CFF3-483C-BD22-5DAF384D81D7}"/>
            </c:ext>
          </c:extLst>
        </c:ser>
        <c:ser>
          <c:idx val="10"/>
          <c:order val="10"/>
          <c:tx>
            <c:strRef>
              <c:f>'Q4'!$K$3</c:f>
              <c:strCache>
                <c:ptCount val="1"/>
                <c:pt idx="0">
                  <c:v>Count of Q4_Other </c:v>
                </c:pt>
              </c:strCache>
            </c:strRef>
          </c:tx>
          <c:spPr>
            <a:solidFill>
              <a:schemeClr val="accent5">
                <a:lumMod val="60000"/>
              </a:schemeClr>
            </a:solidFill>
            <a:ln>
              <a:noFill/>
            </a:ln>
            <a:effectLst/>
          </c:spPr>
          <c:invertIfNegative val="0"/>
          <c:cat>
            <c:strRef>
              <c:f>'Q4'!$A$4</c:f>
              <c:strCache>
                <c:ptCount val="1"/>
                <c:pt idx="0">
                  <c:v>Total</c:v>
                </c:pt>
              </c:strCache>
            </c:strRef>
          </c:cat>
          <c:val>
            <c:numRef>
              <c:f>'Q4'!$K$4</c:f>
              <c:numCache>
                <c:formatCode>General</c:formatCode>
                <c:ptCount val="1"/>
                <c:pt idx="0">
                  <c:v>40</c:v>
                </c:pt>
              </c:numCache>
            </c:numRef>
          </c:val>
          <c:extLst>
            <c:ext xmlns:c16="http://schemas.microsoft.com/office/drawing/2014/chart" uri="{C3380CC4-5D6E-409C-BE32-E72D297353CC}">
              <c16:uniqueId val="{0000000A-CFF3-483C-BD22-5DAF384D81D7}"/>
            </c:ext>
          </c:extLst>
        </c:ser>
        <c:dLbls>
          <c:showLegendKey val="0"/>
          <c:showVal val="0"/>
          <c:showCatName val="0"/>
          <c:showSerName val="0"/>
          <c:showPercent val="0"/>
          <c:showBubbleSize val="0"/>
        </c:dLbls>
        <c:gapWidth val="219"/>
        <c:overlap val="-27"/>
        <c:axId val="665174143"/>
        <c:axId val="665179423"/>
      </c:barChart>
      <c:catAx>
        <c:axId val="665174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Musicals</a:t>
                </a:r>
              </a:p>
            </c:rich>
          </c:tx>
          <c:layout>
            <c:manualLayout>
              <c:xMode val="edge"/>
              <c:yMode val="edge"/>
              <c:x val="0.43437030201092541"/>
              <c:y val="0.9249766695829687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179423"/>
        <c:crosses val="autoZero"/>
        <c:auto val="1"/>
        <c:lblAlgn val="ctr"/>
        <c:lblOffset val="100"/>
        <c:noMultiLvlLbl val="0"/>
      </c:catAx>
      <c:valAx>
        <c:axId val="665179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Responses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17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 4-Jones.xlsx]Q5!PivotTable44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'Q5'!$A$3</c:f>
              <c:strCache>
                <c:ptCount val="1"/>
                <c:pt idx="0">
                  <c:v>Average of Q5-Seating Comfort</c:v>
                </c:pt>
              </c:strCache>
            </c:strRef>
          </c:tx>
          <c:spPr>
            <a:solidFill>
              <a:schemeClr val="accent1"/>
            </a:solidFill>
            <a:ln>
              <a:noFill/>
            </a:ln>
            <a:effectLst/>
          </c:spPr>
          <c:invertIfNegative val="0"/>
          <c:cat>
            <c:strRef>
              <c:f>'Q5'!$A$4</c:f>
              <c:strCache>
                <c:ptCount val="1"/>
                <c:pt idx="0">
                  <c:v>Total</c:v>
                </c:pt>
              </c:strCache>
            </c:strRef>
          </c:cat>
          <c:val>
            <c:numRef>
              <c:f>'Q5'!$A$4</c:f>
              <c:numCache>
                <c:formatCode>0.00</c:formatCode>
                <c:ptCount val="1"/>
                <c:pt idx="0">
                  <c:v>5.3602484472049685</c:v>
                </c:pt>
              </c:numCache>
            </c:numRef>
          </c:val>
          <c:extLst>
            <c:ext xmlns:c16="http://schemas.microsoft.com/office/drawing/2014/chart" uri="{C3380CC4-5D6E-409C-BE32-E72D297353CC}">
              <c16:uniqueId val="{00000000-1602-4A32-8B56-F69F46FEF4F5}"/>
            </c:ext>
          </c:extLst>
        </c:ser>
        <c:ser>
          <c:idx val="1"/>
          <c:order val="1"/>
          <c:tx>
            <c:strRef>
              <c:f>'Q5'!$B$3</c:f>
              <c:strCache>
                <c:ptCount val="1"/>
                <c:pt idx="0">
                  <c:v>Average of Q5_Ticket Prices</c:v>
                </c:pt>
              </c:strCache>
            </c:strRef>
          </c:tx>
          <c:spPr>
            <a:solidFill>
              <a:schemeClr val="accent2"/>
            </a:solidFill>
            <a:ln>
              <a:noFill/>
            </a:ln>
            <a:effectLst/>
          </c:spPr>
          <c:invertIfNegative val="0"/>
          <c:cat>
            <c:strRef>
              <c:f>'Q5'!$A$4</c:f>
              <c:strCache>
                <c:ptCount val="1"/>
                <c:pt idx="0">
                  <c:v>Total</c:v>
                </c:pt>
              </c:strCache>
            </c:strRef>
          </c:cat>
          <c:val>
            <c:numRef>
              <c:f>'Q5'!$B$4</c:f>
              <c:numCache>
                <c:formatCode>0.00</c:formatCode>
                <c:ptCount val="1"/>
                <c:pt idx="0">
                  <c:v>6.3229813664596275</c:v>
                </c:pt>
              </c:numCache>
            </c:numRef>
          </c:val>
          <c:extLst>
            <c:ext xmlns:c16="http://schemas.microsoft.com/office/drawing/2014/chart" uri="{C3380CC4-5D6E-409C-BE32-E72D297353CC}">
              <c16:uniqueId val="{00000001-1602-4A32-8B56-F69F46FEF4F5}"/>
            </c:ext>
          </c:extLst>
        </c:ser>
        <c:ser>
          <c:idx val="2"/>
          <c:order val="2"/>
          <c:tx>
            <c:strRef>
              <c:f>'Q5'!$C$3</c:f>
              <c:strCache>
                <c:ptCount val="1"/>
                <c:pt idx="0">
                  <c:v>Average of Q5_Professional Performances</c:v>
                </c:pt>
              </c:strCache>
            </c:strRef>
          </c:tx>
          <c:spPr>
            <a:solidFill>
              <a:schemeClr val="accent3"/>
            </a:solidFill>
            <a:ln>
              <a:noFill/>
            </a:ln>
            <a:effectLst/>
          </c:spPr>
          <c:invertIfNegative val="0"/>
          <c:cat>
            <c:strRef>
              <c:f>'Q5'!$A$4</c:f>
              <c:strCache>
                <c:ptCount val="1"/>
                <c:pt idx="0">
                  <c:v>Total</c:v>
                </c:pt>
              </c:strCache>
            </c:strRef>
          </c:cat>
          <c:val>
            <c:numRef>
              <c:f>'Q5'!$C$4</c:f>
              <c:numCache>
                <c:formatCode>0.00</c:formatCode>
                <c:ptCount val="1"/>
                <c:pt idx="0">
                  <c:v>5.7329192546583849</c:v>
                </c:pt>
              </c:numCache>
            </c:numRef>
          </c:val>
          <c:extLst>
            <c:ext xmlns:c16="http://schemas.microsoft.com/office/drawing/2014/chart" uri="{C3380CC4-5D6E-409C-BE32-E72D297353CC}">
              <c16:uniqueId val="{00000002-1602-4A32-8B56-F69F46FEF4F5}"/>
            </c:ext>
          </c:extLst>
        </c:ser>
        <c:ser>
          <c:idx val="3"/>
          <c:order val="3"/>
          <c:tx>
            <c:strRef>
              <c:f>'Q5'!$D$3</c:f>
              <c:strCache>
                <c:ptCount val="1"/>
                <c:pt idx="0">
                  <c:v>Average of Q5_Theater Cleanliness</c:v>
                </c:pt>
              </c:strCache>
            </c:strRef>
          </c:tx>
          <c:spPr>
            <a:solidFill>
              <a:schemeClr val="accent4"/>
            </a:solidFill>
            <a:ln>
              <a:noFill/>
            </a:ln>
            <a:effectLst/>
          </c:spPr>
          <c:invertIfNegative val="0"/>
          <c:cat>
            <c:strRef>
              <c:f>'Q5'!$A$4</c:f>
              <c:strCache>
                <c:ptCount val="1"/>
                <c:pt idx="0">
                  <c:v>Total</c:v>
                </c:pt>
              </c:strCache>
            </c:strRef>
          </c:cat>
          <c:val>
            <c:numRef>
              <c:f>'Q5'!$D$4</c:f>
              <c:numCache>
                <c:formatCode>0.00</c:formatCode>
                <c:ptCount val="1"/>
                <c:pt idx="0">
                  <c:v>5.987577639751553</c:v>
                </c:pt>
              </c:numCache>
            </c:numRef>
          </c:val>
          <c:extLst>
            <c:ext xmlns:c16="http://schemas.microsoft.com/office/drawing/2014/chart" uri="{C3380CC4-5D6E-409C-BE32-E72D297353CC}">
              <c16:uniqueId val="{00000003-1602-4A32-8B56-F69F46FEF4F5}"/>
            </c:ext>
          </c:extLst>
        </c:ser>
        <c:ser>
          <c:idx val="4"/>
          <c:order val="4"/>
          <c:tx>
            <c:strRef>
              <c:f>'Q5'!$E$3</c:f>
              <c:strCache>
                <c:ptCount val="1"/>
                <c:pt idx="0">
                  <c:v>Average of Q5_Theater Ambiance</c:v>
                </c:pt>
              </c:strCache>
            </c:strRef>
          </c:tx>
          <c:spPr>
            <a:solidFill>
              <a:schemeClr val="accent5"/>
            </a:solidFill>
            <a:ln>
              <a:noFill/>
            </a:ln>
            <a:effectLst/>
          </c:spPr>
          <c:invertIfNegative val="0"/>
          <c:cat>
            <c:strRef>
              <c:f>'Q5'!$A$4</c:f>
              <c:strCache>
                <c:ptCount val="1"/>
                <c:pt idx="0">
                  <c:v>Total</c:v>
                </c:pt>
              </c:strCache>
            </c:strRef>
          </c:cat>
          <c:val>
            <c:numRef>
              <c:f>'Q5'!$E$4</c:f>
              <c:numCache>
                <c:formatCode>0.00</c:formatCode>
                <c:ptCount val="1"/>
                <c:pt idx="0">
                  <c:v>5.7025316455696204</c:v>
                </c:pt>
              </c:numCache>
            </c:numRef>
          </c:val>
          <c:extLst>
            <c:ext xmlns:c16="http://schemas.microsoft.com/office/drawing/2014/chart" uri="{C3380CC4-5D6E-409C-BE32-E72D297353CC}">
              <c16:uniqueId val="{00000004-1602-4A32-8B56-F69F46FEF4F5}"/>
            </c:ext>
          </c:extLst>
        </c:ser>
        <c:ser>
          <c:idx val="5"/>
          <c:order val="5"/>
          <c:tx>
            <c:strRef>
              <c:f>'Q5'!$F$3</c:f>
              <c:strCache>
                <c:ptCount val="1"/>
                <c:pt idx="0">
                  <c:v>Average of Q5_Family  </c:v>
                </c:pt>
              </c:strCache>
            </c:strRef>
          </c:tx>
          <c:spPr>
            <a:solidFill>
              <a:schemeClr val="accent6"/>
            </a:solidFill>
            <a:ln>
              <a:noFill/>
            </a:ln>
            <a:effectLst/>
          </c:spPr>
          <c:invertIfNegative val="0"/>
          <c:cat>
            <c:strRef>
              <c:f>'Q5'!$A$4</c:f>
              <c:strCache>
                <c:ptCount val="1"/>
                <c:pt idx="0">
                  <c:v>Total</c:v>
                </c:pt>
              </c:strCache>
            </c:strRef>
          </c:cat>
          <c:val>
            <c:numRef>
              <c:f>'Q5'!$F$4</c:f>
              <c:numCache>
                <c:formatCode>0.00</c:formatCode>
                <c:ptCount val="1"/>
                <c:pt idx="0">
                  <c:v>5.3757961783439487</c:v>
                </c:pt>
              </c:numCache>
            </c:numRef>
          </c:val>
          <c:extLst>
            <c:ext xmlns:c16="http://schemas.microsoft.com/office/drawing/2014/chart" uri="{C3380CC4-5D6E-409C-BE32-E72D297353CC}">
              <c16:uniqueId val="{00000005-1602-4A32-8B56-F69F46FEF4F5}"/>
            </c:ext>
          </c:extLst>
        </c:ser>
        <c:dLbls>
          <c:showLegendKey val="0"/>
          <c:showVal val="0"/>
          <c:showCatName val="0"/>
          <c:showSerName val="0"/>
          <c:showPercent val="0"/>
          <c:showBubbleSize val="0"/>
        </c:dLbls>
        <c:gapWidth val="219"/>
        <c:overlap val="-27"/>
        <c:axId val="668801519"/>
        <c:axId val="632851007"/>
      </c:barChart>
      <c:catAx>
        <c:axId val="66880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851007"/>
        <c:crosses val="autoZero"/>
        <c:auto val="1"/>
        <c:lblAlgn val="ctr"/>
        <c:lblOffset val="100"/>
        <c:noMultiLvlLbl val="0"/>
      </c:catAx>
      <c:valAx>
        <c:axId val="632851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80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 4-Jones.xlsx]Q6!PivotTable53</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'Q6'!$A$3</c:f>
              <c:strCache>
                <c:ptCount val="1"/>
                <c:pt idx="0">
                  <c:v>Count of Q6_Newspaper</c:v>
                </c:pt>
              </c:strCache>
            </c:strRef>
          </c:tx>
          <c:spPr>
            <a:solidFill>
              <a:schemeClr val="accent1"/>
            </a:solidFill>
            <a:ln>
              <a:noFill/>
            </a:ln>
            <a:effectLst/>
          </c:spPr>
          <c:invertIfNegative val="0"/>
          <c:cat>
            <c:strRef>
              <c:f>'Q6'!$A$4</c:f>
              <c:strCache>
                <c:ptCount val="1"/>
                <c:pt idx="0">
                  <c:v>Total</c:v>
                </c:pt>
              </c:strCache>
            </c:strRef>
          </c:cat>
          <c:val>
            <c:numRef>
              <c:f>'Q6'!$A$4</c:f>
              <c:numCache>
                <c:formatCode>General</c:formatCode>
                <c:ptCount val="1"/>
                <c:pt idx="0">
                  <c:v>77</c:v>
                </c:pt>
              </c:numCache>
            </c:numRef>
          </c:val>
          <c:extLst>
            <c:ext xmlns:c16="http://schemas.microsoft.com/office/drawing/2014/chart" uri="{C3380CC4-5D6E-409C-BE32-E72D297353CC}">
              <c16:uniqueId val="{00000000-92BD-4621-B199-4E1BD1D0FD80}"/>
            </c:ext>
          </c:extLst>
        </c:ser>
        <c:ser>
          <c:idx val="1"/>
          <c:order val="1"/>
          <c:tx>
            <c:strRef>
              <c:f>'Q6'!$B$3</c:f>
              <c:strCache>
                <c:ptCount val="1"/>
                <c:pt idx="0">
                  <c:v>Count of Q6_Radio</c:v>
                </c:pt>
              </c:strCache>
            </c:strRef>
          </c:tx>
          <c:spPr>
            <a:solidFill>
              <a:schemeClr val="accent2"/>
            </a:solidFill>
            <a:ln>
              <a:noFill/>
            </a:ln>
            <a:effectLst/>
          </c:spPr>
          <c:invertIfNegative val="0"/>
          <c:cat>
            <c:strRef>
              <c:f>'Q6'!$A$4</c:f>
              <c:strCache>
                <c:ptCount val="1"/>
                <c:pt idx="0">
                  <c:v>Total</c:v>
                </c:pt>
              </c:strCache>
            </c:strRef>
          </c:cat>
          <c:val>
            <c:numRef>
              <c:f>'Q6'!$B$4</c:f>
              <c:numCache>
                <c:formatCode>General</c:formatCode>
                <c:ptCount val="1"/>
                <c:pt idx="0">
                  <c:v>39</c:v>
                </c:pt>
              </c:numCache>
            </c:numRef>
          </c:val>
          <c:extLst>
            <c:ext xmlns:c16="http://schemas.microsoft.com/office/drawing/2014/chart" uri="{C3380CC4-5D6E-409C-BE32-E72D297353CC}">
              <c16:uniqueId val="{00000001-92BD-4621-B199-4E1BD1D0FD80}"/>
            </c:ext>
          </c:extLst>
        </c:ser>
        <c:ser>
          <c:idx val="2"/>
          <c:order val="2"/>
          <c:tx>
            <c:strRef>
              <c:f>'Q6'!$C$3</c:f>
              <c:strCache>
                <c:ptCount val="1"/>
                <c:pt idx="0">
                  <c:v>Count of Q6_Mailer (ValPak, Postcards, etc.)</c:v>
                </c:pt>
              </c:strCache>
            </c:strRef>
          </c:tx>
          <c:spPr>
            <a:solidFill>
              <a:schemeClr val="accent3"/>
            </a:solidFill>
            <a:ln>
              <a:noFill/>
            </a:ln>
            <a:effectLst/>
          </c:spPr>
          <c:invertIfNegative val="0"/>
          <c:cat>
            <c:strRef>
              <c:f>'Q6'!$A$4</c:f>
              <c:strCache>
                <c:ptCount val="1"/>
                <c:pt idx="0">
                  <c:v>Total</c:v>
                </c:pt>
              </c:strCache>
            </c:strRef>
          </c:cat>
          <c:val>
            <c:numRef>
              <c:f>'Q6'!$C$4</c:f>
              <c:numCache>
                <c:formatCode>General</c:formatCode>
                <c:ptCount val="1"/>
                <c:pt idx="0">
                  <c:v>39</c:v>
                </c:pt>
              </c:numCache>
            </c:numRef>
          </c:val>
          <c:extLst>
            <c:ext xmlns:c16="http://schemas.microsoft.com/office/drawing/2014/chart" uri="{C3380CC4-5D6E-409C-BE32-E72D297353CC}">
              <c16:uniqueId val="{00000002-92BD-4621-B199-4E1BD1D0FD80}"/>
            </c:ext>
          </c:extLst>
        </c:ser>
        <c:ser>
          <c:idx val="3"/>
          <c:order val="3"/>
          <c:tx>
            <c:strRef>
              <c:f>'Q6'!$D$3</c:f>
              <c:strCache>
                <c:ptCount val="1"/>
                <c:pt idx="0">
                  <c:v>Count of Q6_Internet web sites</c:v>
                </c:pt>
              </c:strCache>
            </c:strRef>
          </c:tx>
          <c:spPr>
            <a:solidFill>
              <a:schemeClr val="accent4"/>
            </a:solidFill>
            <a:ln>
              <a:noFill/>
            </a:ln>
            <a:effectLst/>
          </c:spPr>
          <c:invertIfNegative val="0"/>
          <c:cat>
            <c:strRef>
              <c:f>'Q6'!$A$4</c:f>
              <c:strCache>
                <c:ptCount val="1"/>
                <c:pt idx="0">
                  <c:v>Total</c:v>
                </c:pt>
              </c:strCache>
            </c:strRef>
          </c:cat>
          <c:val>
            <c:numRef>
              <c:f>'Q6'!$D$4</c:f>
              <c:numCache>
                <c:formatCode>General</c:formatCode>
                <c:ptCount val="1"/>
                <c:pt idx="0">
                  <c:v>74</c:v>
                </c:pt>
              </c:numCache>
            </c:numRef>
          </c:val>
          <c:extLst>
            <c:ext xmlns:c16="http://schemas.microsoft.com/office/drawing/2014/chart" uri="{C3380CC4-5D6E-409C-BE32-E72D297353CC}">
              <c16:uniqueId val="{00000003-92BD-4621-B199-4E1BD1D0FD80}"/>
            </c:ext>
          </c:extLst>
        </c:ser>
        <c:ser>
          <c:idx val="4"/>
          <c:order val="4"/>
          <c:tx>
            <c:strRef>
              <c:f>'Q6'!$E$3</c:f>
              <c:strCache>
                <c:ptCount val="1"/>
                <c:pt idx="0">
                  <c:v>Count of Q6_Social Networking Online2</c:v>
                </c:pt>
              </c:strCache>
            </c:strRef>
          </c:tx>
          <c:spPr>
            <a:solidFill>
              <a:schemeClr val="accent5"/>
            </a:solidFill>
            <a:ln>
              <a:noFill/>
            </a:ln>
            <a:effectLst/>
          </c:spPr>
          <c:invertIfNegative val="0"/>
          <c:cat>
            <c:strRef>
              <c:f>'Q6'!$A$4</c:f>
              <c:strCache>
                <c:ptCount val="1"/>
                <c:pt idx="0">
                  <c:v>Total</c:v>
                </c:pt>
              </c:strCache>
            </c:strRef>
          </c:cat>
          <c:val>
            <c:numRef>
              <c:f>'Q6'!$E$4</c:f>
              <c:numCache>
                <c:formatCode>General</c:formatCode>
                <c:ptCount val="1"/>
                <c:pt idx="0">
                  <c:v>32</c:v>
                </c:pt>
              </c:numCache>
            </c:numRef>
          </c:val>
          <c:extLst>
            <c:ext xmlns:c16="http://schemas.microsoft.com/office/drawing/2014/chart" uri="{C3380CC4-5D6E-409C-BE32-E72D297353CC}">
              <c16:uniqueId val="{00000004-92BD-4621-B199-4E1BD1D0FD80}"/>
            </c:ext>
          </c:extLst>
        </c:ser>
        <c:ser>
          <c:idx val="5"/>
          <c:order val="5"/>
          <c:tx>
            <c:strRef>
              <c:f>'Q6'!$F$3</c:f>
              <c:strCache>
                <c:ptCount val="1"/>
                <c:pt idx="0">
                  <c:v>Count of Q6_E-mail</c:v>
                </c:pt>
              </c:strCache>
            </c:strRef>
          </c:tx>
          <c:spPr>
            <a:solidFill>
              <a:schemeClr val="accent6"/>
            </a:solidFill>
            <a:ln>
              <a:noFill/>
            </a:ln>
            <a:effectLst/>
          </c:spPr>
          <c:invertIfNegative val="0"/>
          <c:cat>
            <c:strRef>
              <c:f>'Q6'!$A$4</c:f>
              <c:strCache>
                <c:ptCount val="1"/>
                <c:pt idx="0">
                  <c:v>Total</c:v>
                </c:pt>
              </c:strCache>
            </c:strRef>
          </c:cat>
          <c:val>
            <c:numRef>
              <c:f>'Q6'!$F$4</c:f>
              <c:numCache>
                <c:formatCode>General</c:formatCode>
                <c:ptCount val="1"/>
                <c:pt idx="0">
                  <c:v>95</c:v>
                </c:pt>
              </c:numCache>
            </c:numRef>
          </c:val>
          <c:extLst>
            <c:ext xmlns:c16="http://schemas.microsoft.com/office/drawing/2014/chart" uri="{C3380CC4-5D6E-409C-BE32-E72D297353CC}">
              <c16:uniqueId val="{00000005-92BD-4621-B199-4E1BD1D0FD80}"/>
            </c:ext>
          </c:extLst>
        </c:ser>
        <c:dLbls>
          <c:showLegendKey val="0"/>
          <c:showVal val="0"/>
          <c:showCatName val="0"/>
          <c:showSerName val="0"/>
          <c:showPercent val="0"/>
          <c:showBubbleSize val="0"/>
        </c:dLbls>
        <c:gapWidth val="219"/>
        <c:overlap val="-27"/>
        <c:axId val="676583007"/>
        <c:axId val="676584447"/>
      </c:barChart>
      <c:catAx>
        <c:axId val="676583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How</a:t>
                </a:r>
                <a:r>
                  <a:rPr lang="en-US" baseline="0"/>
                  <a:t> they heard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584447"/>
        <c:crosses val="autoZero"/>
        <c:auto val="1"/>
        <c:lblAlgn val="ctr"/>
        <c:lblOffset val="100"/>
        <c:noMultiLvlLbl val="0"/>
      </c:catAx>
      <c:valAx>
        <c:axId val="676584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Responses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58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 4-Jones.xlsx]Q7!PivotTable54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Preferred Method for Buying Theater Ticket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'Q7'!$B$3</c:f>
              <c:strCache>
                <c:ptCount val="1"/>
                <c:pt idx="0">
                  <c:v>Total</c:v>
                </c:pt>
              </c:strCache>
            </c:strRef>
          </c:tx>
          <c:spPr>
            <a:solidFill>
              <a:schemeClr val="accent1"/>
            </a:solidFill>
            <a:ln>
              <a:noFill/>
            </a:ln>
            <a:effectLst/>
          </c:spPr>
          <c:invertIfNegative val="0"/>
          <c:cat>
            <c:strRef>
              <c:f>'Q7'!$A$4:$A$9</c:f>
              <c:strCache>
                <c:ptCount val="5"/>
                <c:pt idx="0">
                  <c:v>At the theater box office in advance</c:v>
                </c:pt>
                <c:pt idx="1">
                  <c:v>At the theater box office when the show starts</c:v>
                </c:pt>
                <c:pt idx="2">
                  <c:v>On the internet</c:v>
                </c:pt>
                <c:pt idx="3">
                  <c:v>Over the phone</c:v>
                </c:pt>
                <c:pt idx="4">
                  <c:v>Q7_Ticket purchased method</c:v>
                </c:pt>
              </c:strCache>
            </c:strRef>
          </c:cat>
          <c:val>
            <c:numRef>
              <c:f>'Q7'!$B$4:$B$9</c:f>
              <c:numCache>
                <c:formatCode>General</c:formatCode>
                <c:ptCount val="5"/>
                <c:pt idx="0">
                  <c:v>20</c:v>
                </c:pt>
                <c:pt idx="1">
                  <c:v>2</c:v>
                </c:pt>
                <c:pt idx="2">
                  <c:v>75</c:v>
                </c:pt>
                <c:pt idx="3">
                  <c:v>61</c:v>
                </c:pt>
                <c:pt idx="4">
                  <c:v>1</c:v>
                </c:pt>
              </c:numCache>
            </c:numRef>
          </c:val>
          <c:extLst>
            <c:ext xmlns:c16="http://schemas.microsoft.com/office/drawing/2014/chart" uri="{C3380CC4-5D6E-409C-BE32-E72D297353CC}">
              <c16:uniqueId val="{00000000-4855-4CB9-9CE6-897EE2F91EF0}"/>
            </c:ext>
          </c:extLst>
        </c:ser>
        <c:dLbls>
          <c:showLegendKey val="0"/>
          <c:showVal val="0"/>
          <c:showCatName val="0"/>
          <c:showSerName val="0"/>
          <c:showPercent val="0"/>
          <c:showBubbleSize val="0"/>
        </c:dLbls>
        <c:gapWidth val="219"/>
        <c:overlap val="-27"/>
        <c:axId val="659028479"/>
        <c:axId val="659026079"/>
      </c:barChart>
      <c:catAx>
        <c:axId val="659028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Prefered</a:t>
                </a:r>
                <a:r>
                  <a:rPr lang="en-US" baseline="0"/>
                  <a:t> Methods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026079"/>
        <c:crosses val="autoZero"/>
        <c:auto val="1"/>
        <c:lblAlgn val="ctr"/>
        <c:lblOffset val="100"/>
        <c:noMultiLvlLbl val="0"/>
      </c:catAx>
      <c:valAx>
        <c:axId val="659026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Responses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02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 4-Jones.xlsx]Q8!PivotTable56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Expected Ticket Price per 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'Q8'!$B$3</c:f>
              <c:strCache>
                <c:ptCount val="1"/>
                <c:pt idx="0">
                  <c:v>Total</c:v>
                </c:pt>
              </c:strCache>
            </c:strRef>
          </c:tx>
          <c:spPr>
            <a:solidFill>
              <a:srgbClr val="FFFF00"/>
            </a:solidFill>
            <a:ln>
              <a:noFill/>
            </a:ln>
            <a:effectLst/>
          </c:spPr>
          <c:invertIfNegative val="0"/>
          <c:cat>
            <c:strRef>
              <c:f>'Q8'!$A$4:$A$7</c:f>
              <c:strCache>
                <c:ptCount val="3"/>
                <c:pt idx="0">
                  <c:v>$16-$25</c:v>
                </c:pt>
                <c:pt idx="1">
                  <c:v>$26-$35</c:v>
                </c:pt>
                <c:pt idx="2">
                  <c:v>$36-$45</c:v>
                </c:pt>
              </c:strCache>
            </c:strRef>
          </c:cat>
          <c:val>
            <c:numRef>
              <c:f>'Q8'!$B$4:$B$7</c:f>
              <c:numCache>
                <c:formatCode>General</c:formatCode>
                <c:ptCount val="3"/>
                <c:pt idx="0">
                  <c:v>36</c:v>
                </c:pt>
                <c:pt idx="1">
                  <c:v>61</c:v>
                </c:pt>
                <c:pt idx="2">
                  <c:v>10</c:v>
                </c:pt>
              </c:numCache>
            </c:numRef>
          </c:val>
          <c:extLst>
            <c:ext xmlns:c16="http://schemas.microsoft.com/office/drawing/2014/chart" uri="{C3380CC4-5D6E-409C-BE32-E72D297353CC}">
              <c16:uniqueId val="{00000000-6CA5-488B-B1FF-69B50C56EBFE}"/>
            </c:ext>
          </c:extLst>
        </c:ser>
        <c:dLbls>
          <c:showLegendKey val="0"/>
          <c:showVal val="0"/>
          <c:showCatName val="0"/>
          <c:showSerName val="0"/>
          <c:showPercent val="0"/>
          <c:showBubbleSize val="0"/>
        </c:dLbls>
        <c:gapWidth val="219"/>
        <c:overlap val="-27"/>
        <c:axId val="399127423"/>
        <c:axId val="668800559"/>
      </c:barChart>
      <c:catAx>
        <c:axId val="399127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r>
                  <a:rPr lang="en-US" baseline="0"/>
                  <a:t> ranges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800559"/>
        <c:crosses val="autoZero"/>
        <c:auto val="1"/>
        <c:lblAlgn val="ctr"/>
        <c:lblOffset val="100"/>
        <c:noMultiLvlLbl val="0"/>
      </c:catAx>
      <c:valAx>
        <c:axId val="6688005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Responsese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12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 4-Jones.xlsx]Q9!PivotTable46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Satisfaction with Theater Experience</a:t>
            </a:r>
            <a:endParaRPr lang="en-US"/>
          </a:p>
        </c:rich>
      </c:tx>
      <c:layout>
        <c:manualLayout>
          <c:xMode val="edge"/>
          <c:yMode val="edge"/>
          <c:x val="0.2861028768462765"/>
          <c:y val="0.1113586685908634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69247594050744"/>
          <c:y val="0.14249781277340332"/>
          <c:w val="0.52041863517060372"/>
          <c:h val="0.75010279965004378"/>
        </c:manualLayout>
      </c:layout>
      <c:barChart>
        <c:barDir val="bar"/>
        <c:grouping val="clustered"/>
        <c:varyColors val="0"/>
        <c:ser>
          <c:idx val="0"/>
          <c:order val="0"/>
          <c:tx>
            <c:strRef>
              <c:f>'Q9'!$A$3</c:f>
              <c:strCache>
                <c:ptCount val="1"/>
                <c:pt idx="0">
                  <c:v>Average of Q9_Family Appropriate content</c:v>
                </c:pt>
              </c:strCache>
            </c:strRef>
          </c:tx>
          <c:spPr>
            <a:solidFill>
              <a:schemeClr val="accent1"/>
            </a:solidFill>
            <a:ln>
              <a:noFill/>
            </a:ln>
            <a:effectLst/>
          </c:spPr>
          <c:invertIfNegative val="0"/>
          <c:cat>
            <c:strRef>
              <c:f>'Q9'!$A$4</c:f>
              <c:strCache>
                <c:ptCount val="1"/>
                <c:pt idx="0">
                  <c:v>Total</c:v>
                </c:pt>
              </c:strCache>
            </c:strRef>
          </c:cat>
          <c:val>
            <c:numRef>
              <c:f>'Q9'!$A$4</c:f>
              <c:numCache>
                <c:formatCode>0.00</c:formatCode>
                <c:ptCount val="1"/>
                <c:pt idx="0">
                  <c:v>6.4864864864864868</c:v>
                </c:pt>
              </c:numCache>
            </c:numRef>
          </c:val>
          <c:extLst>
            <c:ext xmlns:c16="http://schemas.microsoft.com/office/drawing/2014/chart" uri="{C3380CC4-5D6E-409C-BE32-E72D297353CC}">
              <c16:uniqueId val="{00000000-5371-4142-9A01-B136E124740E}"/>
            </c:ext>
          </c:extLst>
        </c:ser>
        <c:ser>
          <c:idx val="1"/>
          <c:order val="1"/>
          <c:tx>
            <c:strRef>
              <c:f>'Q9'!$B$3</c:f>
              <c:strCache>
                <c:ptCount val="1"/>
                <c:pt idx="0">
                  <c:v>Average of Q9_Food</c:v>
                </c:pt>
              </c:strCache>
            </c:strRef>
          </c:tx>
          <c:spPr>
            <a:solidFill>
              <a:schemeClr val="accent2"/>
            </a:solidFill>
            <a:ln>
              <a:noFill/>
            </a:ln>
            <a:effectLst/>
          </c:spPr>
          <c:invertIfNegative val="0"/>
          <c:cat>
            <c:strRef>
              <c:f>'Q9'!$A$4</c:f>
              <c:strCache>
                <c:ptCount val="1"/>
                <c:pt idx="0">
                  <c:v>Total</c:v>
                </c:pt>
              </c:strCache>
            </c:strRef>
          </c:cat>
          <c:val>
            <c:numRef>
              <c:f>'Q9'!$B$4</c:f>
              <c:numCache>
                <c:formatCode>0.00</c:formatCode>
                <c:ptCount val="1"/>
                <c:pt idx="0">
                  <c:v>6.0129870129870131</c:v>
                </c:pt>
              </c:numCache>
            </c:numRef>
          </c:val>
          <c:extLst>
            <c:ext xmlns:c16="http://schemas.microsoft.com/office/drawing/2014/chart" uri="{C3380CC4-5D6E-409C-BE32-E72D297353CC}">
              <c16:uniqueId val="{00000001-5371-4142-9A01-B136E124740E}"/>
            </c:ext>
          </c:extLst>
        </c:ser>
        <c:ser>
          <c:idx val="2"/>
          <c:order val="2"/>
          <c:tx>
            <c:strRef>
              <c:f>'Q9'!$C$3</c:f>
              <c:strCache>
                <c:ptCount val="1"/>
                <c:pt idx="0">
                  <c:v>Average of Q9_Performance/Talent</c:v>
                </c:pt>
              </c:strCache>
            </c:strRef>
          </c:tx>
          <c:spPr>
            <a:solidFill>
              <a:schemeClr val="accent3"/>
            </a:solidFill>
            <a:ln>
              <a:noFill/>
            </a:ln>
            <a:effectLst/>
          </c:spPr>
          <c:invertIfNegative val="0"/>
          <c:cat>
            <c:strRef>
              <c:f>'Q9'!$A$4</c:f>
              <c:strCache>
                <c:ptCount val="1"/>
                <c:pt idx="0">
                  <c:v>Total</c:v>
                </c:pt>
              </c:strCache>
            </c:strRef>
          </c:cat>
          <c:val>
            <c:numRef>
              <c:f>'Q9'!$C$4</c:f>
              <c:numCache>
                <c:formatCode>0.00</c:formatCode>
                <c:ptCount val="1"/>
                <c:pt idx="0">
                  <c:v>6.4375</c:v>
                </c:pt>
              </c:numCache>
            </c:numRef>
          </c:val>
          <c:extLst>
            <c:ext xmlns:c16="http://schemas.microsoft.com/office/drawing/2014/chart" uri="{C3380CC4-5D6E-409C-BE32-E72D297353CC}">
              <c16:uniqueId val="{00000002-5371-4142-9A01-B136E124740E}"/>
            </c:ext>
          </c:extLst>
        </c:ser>
        <c:ser>
          <c:idx val="3"/>
          <c:order val="3"/>
          <c:tx>
            <c:strRef>
              <c:f>'Q9'!$D$3</c:f>
              <c:strCache>
                <c:ptCount val="1"/>
                <c:pt idx="0">
                  <c:v>Average of Q9_Value (worth the money?)</c:v>
                </c:pt>
              </c:strCache>
            </c:strRef>
          </c:tx>
          <c:spPr>
            <a:solidFill>
              <a:schemeClr val="accent4"/>
            </a:solidFill>
            <a:ln>
              <a:noFill/>
            </a:ln>
            <a:effectLst/>
          </c:spPr>
          <c:invertIfNegative val="0"/>
          <c:cat>
            <c:strRef>
              <c:f>'Q9'!$A$4</c:f>
              <c:strCache>
                <c:ptCount val="1"/>
                <c:pt idx="0">
                  <c:v>Total</c:v>
                </c:pt>
              </c:strCache>
            </c:strRef>
          </c:cat>
          <c:val>
            <c:numRef>
              <c:f>'Q9'!$D$4</c:f>
              <c:numCache>
                <c:formatCode>0.00</c:formatCode>
                <c:ptCount val="1"/>
                <c:pt idx="0">
                  <c:v>6.3250000000000002</c:v>
                </c:pt>
              </c:numCache>
            </c:numRef>
          </c:val>
          <c:extLst>
            <c:ext xmlns:c16="http://schemas.microsoft.com/office/drawing/2014/chart" uri="{C3380CC4-5D6E-409C-BE32-E72D297353CC}">
              <c16:uniqueId val="{00000003-5371-4142-9A01-B136E124740E}"/>
            </c:ext>
          </c:extLst>
        </c:ser>
        <c:ser>
          <c:idx val="4"/>
          <c:order val="4"/>
          <c:tx>
            <c:strRef>
              <c:f>'Q9'!$E$3</c:f>
              <c:strCache>
                <c:ptCount val="1"/>
                <c:pt idx="0">
                  <c:v>Average of Q9_Theater Cleanliness</c:v>
                </c:pt>
              </c:strCache>
            </c:strRef>
          </c:tx>
          <c:spPr>
            <a:solidFill>
              <a:schemeClr val="accent5"/>
            </a:solidFill>
            <a:ln>
              <a:noFill/>
            </a:ln>
            <a:effectLst/>
          </c:spPr>
          <c:invertIfNegative val="0"/>
          <c:cat>
            <c:strRef>
              <c:f>'Q9'!$A$4</c:f>
              <c:strCache>
                <c:ptCount val="1"/>
                <c:pt idx="0">
                  <c:v>Total</c:v>
                </c:pt>
              </c:strCache>
            </c:strRef>
          </c:cat>
          <c:val>
            <c:numRef>
              <c:f>'Q9'!$E$4</c:f>
              <c:numCache>
                <c:formatCode>0.00</c:formatCode>
                <c:ptCount val="1"/>
                <c:pt idx="0">
                  <c:v>6.6375000000000002</c:v>
                </c:pt>
              </c:numCache>
            </c:numRef>
          </c:val>
          <c:extLst>
            <c:ext xmlns:c16="http://schemas.microsoft.com/office/drawing/2014/chart" uri="{C3380CC4-5D6E-409C-BE32-E72D297353CC}">
              <c16:uniqueId val="{00000004-5371-4142-9A01-B136E124740E}"/>
            </c:ext>
          </c:extLst>
        </c:ser>
        <c:ser>
          <c:idx val="5"/>
          <c:order val="5"/>
          <c:tx>
            <c:strRef>
              <c:f>'Q9'!$F$3</c:f>
              <c:strCache>
                <c:ptCount val="1"/>
                <c:pt idx="0">
                  <c:v>Average of Q9_Theater Ambiance</c:v>
                </c:pt>
              </c:strCache>
            </c:strRef>
          </c:tx>
          <c:spPr>
            <a:solidFill>
              <a:schemeClr val="accent6"/>
            </a:solidFill>
            <a:ln>
              <a:noFill/>
            </a:ln>
            <a:effectLst/>
          </c:spPr>
          <c:invertIfNegative val="0"/>
          <c:cat>
            <c:strRef>
              <c:f>'Q9'!$A$4</c:f>
              <c:strCache>
                <c:ptCount val="1"/>
                <c:pt idx="0">
                  <c:v>Total</c:v>
                </c:pt>
              </c:strCache>
            </c:strRef>
          </c:cat>
          <c:val>
            <c:numRef>
              <c:f>'Q9'!$F$4</c:f>
              <c:numCache>
                <c:formatCode>0.00</c:formatCode>
                <c:ptCount val="1"/>
                <c:pt idx="0">
                  <c:v>6.6329113924050631</c:v>
                </c:pt>
              </c:numCache>
            </c:numRef>
          </c:val>
          <c:extLst>
            <c:ext xmlns:c16="http://schemas.microsoft.com/office/drawing/2014/chart" uri="{C3380CC4-5D6E-409C-BE32-E72D297353CC}">
              <c16:uniqueId val="{00000005-5371-4142-9A01-B136E124740E}"/>
            </c:ext>
          </c:extLst>
        </c:ser>
        <c:ser>
          <c:idx val="6"/>
          <c:order val="6"/>
          <c:tx>
            <c:strRef>
              <c:f>'Q9'!$G$3</c:f>
              <c:strCache>
                <c:ptCount val="1"/>
                <c:pt idx="0">
                  <c:v>Average of Q9_Seating Comfort</c:v>
                </c:pt>
              </c:strCache>
            </c:strRef>
          </c:tx>
          <c:spPr>
            <a:solidFill>
              <a:schemeClr val="accent1">
                <a:lumMod val="60000"/>
              </a:schemeClr>
            </a:solidFill>
            <a:ln>
              <a:noFill/>
            </a:ln>
            <a:effectLst/>
          </c:spPr>
          <c:invertIfNegative val="0"/>
          <c:cat>
            <c:strRef>
              <c:f>'Q9'!$A$4</c:f>
              <c:strCache>
                <c:ptCount val="1"/>
                <c:pt idx="0">
                  <c:v>Total</c:v>
                </c:pt>
              </c:strCache>
            </c:strRef>
          </c:cat>
          <c:val>
            <c:numRef>
              <c:f>'Q9'!$G$4</c:f>
              <c:numCache>
                <c:formatCode>0.00</c:formatCode>
                <c:ptCount val="1"/>
                <c:pt idx="0">
                  <c:v>5.7407407407407405</c:v>
                </c:pt>
              </c:numCache>
            </c:numRef>
          </c:val>
          <c:extLst>
            <c:ext xmlns:c16="http://schemas.microsoft.com/office/drawing/2014/chart" uri="{C3380CC4-5D6E-409C-BE32-E72D297353CC}">
              <c16:uniqueId val="{00000006-5371-4142-9A01-B136E124740E}"/>
            </c:ext>
          </c:extLst>
        </c:ser>
        <c:ser>
          <c:idx val="7"/>
          <c:order val="7"/>
          <c:tx>
            <c:strRef>
              <c:f>'Q9'!$H$3</c:f>
              <c:strCache>
                <c:ptCount val="1"/>
                <c:pt idx="0">
                  <c:v>Count of Q9_</c:v>
                </c:pt>
              </c:strCache>
            </c:strRef>
          </c:tx>
          <c:spPr>
            <a:solidFill>
              <a:schemeClr val="accent2">
                <a:lumMod val="60000"/>
              </a:schemeClr>
            </a:solidFill>
            <a:ln>
              <a:noFill/>
            </a:ln>
            <a:effectLst/>
          </c:spPr>
          <c:invertIfNegative val="0"/>
          <c:cat>
            <c:strRef>
              <c:f>'Q9'!$A$4</c:f>
              <c:strCache>
                <c:ptCount val="1"/>
                <c:pt idx="0">
                  <c:v>Total</c:v>
                </c:pt>
              </c:strCache>
            </c:strRef>
          </c:cat>
          <c:val>
            <c:numRef>
              <c:f>'Q9'!$H$4</c:f>
              <c:numCache>
                <c:formatCode>General</c:formatCode>
                <c:ptCount val="1"/>
                <c:pt idx="0">
                  <c:v>13</c:v>
                </c:pt>
              </c:numCache>
            </c:numRef>
          </c:val>
          <c:extLst>
            <c:ext xmlns:c16="http://schemas.microsoft.com/office/drawing/2014/chart" uri="{C3380CC4-5D6E-409C-BE32-E72D297353CC}">
              <c16:uniqueId val="{00000007-5371-4142-9A01-B136E124740E}"/>
            </c:ext>
          </c:extLst>
        </c:ser>
        <c:dLbls>
          <c:showLegendKey val="0"/>
          <c:showVal val="0"/>
          <c:showCatName val="0"/>
          <c:showSerName val="0"/>
          <c:showPercent val="0"/>
          <c:showBubbleSize val="0"/>
        </c:dLbls>
        <c:gapWidth val="182"/>
        <c:axId val="682607135"/>
        <c:axId val="682609055"/>
      </c:barChart>
      <c:catAx>
        <c:axId val="6826071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Experice</a:t>
                </a:r>
                <a:r>
                  <a:rPr lang="en-US" baseline="0"/>
                  <a:t> Factors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609055"/>
        <c:crosses val="autoZero"/>
        <c:auto val="1"/>
        <c:lblAlgn val="ctr"/>
        <c:lblOffset val="100"/>
        <c:noMultiLvlLbl val="0"/>
      </c:catAx>
      <c:valAx>
        <c:axId val="682609055"/>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607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 4-Jones.xlsx]Q10!PivotTable57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Likelihood to Recommend the Theater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'Q10'!$B$3</c:f>
              <c:strCache>
                <c:ptCount val="1"/>
                <c:pt idx="0">
                  <c:v>Total</c:v>
                </c:pt>
              </c:strCache>
            </c:strRef>
          </c:tx>
          <c:spPr>
            <a:solidFill>
              <a:schemeClr val="accent1"/>
            </a:solidFill>
            <a:ln>
              <a:noFill/>
            </a:ln>
            <a:effectLst/>
          </c:spPr>
          <c:invertIfNegative val="0"/>
          <c:cat>
            <c:strRef>
              <c:f>'Q10'!$A$4:$A$9</c:f>
              <c:strCache>
                <c:ptCount val="5"/>
                <c:pt idx="0">
                  <c:v>3</c:v>
                </c:pt>
                <c:pt idx="1">
                  <c:v>4</c:v>
                </c:pt>
                <c:pt idx="2">
                  <c:v>5</c:v>
                </c:pt>
                <c:pt idx="3">
                  <c:v>6</c:v>
                </c:pt>
                <c:pt idx="4">
                  <c:v>7 Very likely</c:v>
                </c:pt>
              </c:strCache>
            </c:strRef>
          </c:cat>
          <c:val>
            <c:numRef>
              <c:f>'Q10'!$B$4:$B$9</c:f>
              <c:numCache>
                <c:formatCode>General</c:formatCode>
                <c:ptCount val="5"/>
                <c:pt idx="0">
                  <c:v>1</c:v>
                </c:pt>
                <c:pt idx="1">
                  <c:v>1</c:v>
                </c:pt>
                <c:pt idx="2">
                  <c:v>9</c:v>
                </c:pt>
                <c:pt idx="3">
                  <c:v>7</c:v>
                </c:pt>
                <c:pt idx="4">
                  <c:v>63</c:v>
                </c:pt>
              </c:numCache>
            </c:numRef>
          </c:val>
          <c:extLst>
            <c:ext xmlns:c16="http://schemas.microsoft.com/office/drawing/2014/chart" uri="{C3380CC4-5D6E-409C-BE32-E72D297353CC}">
              <c16:uniqueId val="{00000000-795C-4F66-B2A9-71F35EFCD741}"/>
            </c:ext>
          </c:extLst>
        </c:ser>
        <c:dLbls>
          <c:showLegendKey val="0"/>
          <c:showVal val="0"/>
          <c:showCatName val="0"/>
          <c:showSerName val="0"/>
          <c:showPercent val="0"/>
          <c:showBubbleSize val="0"/>
        </c:dLbls>
        <c:gapWidth val="219"/>
        <c:overlap val="-27"/>
        <c:axId val="657610255"/>
        <c:axId val="657608815"/>
      </c:barChart>
      <c:catAx>
        <c:axId val="657610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Propablity</a:t>
                </a:r>
                <a:r>
                  <a:rPr lang="en-US" baseline="0"/>
                  <a:t> 1-10 to recommend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608815"/>
        <c:crosses val="autoZero"/>
        <c:auto val="1"/>
        <c:lblAlgn val="ctr"/>
        <c:lblOffset val="100"/>
        <c:noMultiLvlLbl val="0"/>
      </c:catAx>
      <c:valAx>
        <c:axId val="657608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Responses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61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 4-Jones.xlsx]Q11 AGE!PivotTable47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'Q11 AGE'!$B$3</c:f>
              <c:strCache>
                <c:ptCount val="1"/>
                <c:pt idx="0">
                  <c:v>Total</c:v>
                </c:pt>
              </c:strCache>
            </c:strRef>
          </c:tx>
          <c:spPr>
            <a:solidFill>
              <a:schemeClr val="accent1"/>
            </a:solidFill>
            <a:ln>
              <a:noFill/>
            </a:ln>
            <a:effectLst/>
          </c:spPr>
          <c:invertIfNegative val="0"/>
          <c:cat>
            <c:strRef>
              <c:f>'Q11 AGE'!$A$4:$A$9</c:f>
              <c:strCache>
                <c:ptCount val="5"/>
                <c:pt idx="0">
                  <c:v>65</c:v>
                </c:pt>
                <c:pt idx="1">
                  <c:v>19-34</c:v>
                </c:pt>
                <c:pt idx="2">
                  <c:v>35-49</c:v>
                </c:pt>
                <c:pt idx="3">
                  <c:v>50-64</c:v>
                </c:pt>
                <c:pt idx="4">
                  <c:v>Under 18</c:v>
                </c:pt>
              </c:strCache>
            </c:strRef>
          </c:cat>
          <c:val>
            <c:numRef>
              <c:f>'Q11 AGE'!$B$4:$B$9</c:f>
              <c:numCache>
                <c:formatCode>General</c:formatCode>
                <c:ptCount val="5"/>
                <c:pt idx="0">
                  <c:v>16</c:v>
                </c:pt>
                <c:pt idx="1">
                  <c:v>38</c:v>
                </c:pt>
                <c:pt idx="2">
                  <c:v>49</c:v>
                </c:pt>
                <c:pt idx="3">
                  <c:v>49</c:v>
                </c:pt>
                <c:pt idx="4">
                  <c:v>9</c:v>
                </c:pt>
              </c:numCache>
            </c:numRef>
          </c:val>
          <c:extLst>
            <c:ext xmlns:c16="http://schemas.microsoft.com/office/drawing/2014/chart" uri="{C3380CC4-5D6E-409C-BE32-E72D297353CC}">
              <c16:uniqueId val="{00000000-893F-4832-ACD8-858092BA7234}"/>
            </c:ext>
          </c:extLst>
        </c:ser>
        <c:dLbls>
          <c:showLegendKey val="0"/>
          <c:showVal val="0"/>
          <c:showCatName val="0"/>
          <c:showSerName val="0"/>
          <c:showPercent val="0"/>
          <c:showBubbleSize val="0"/>
        </c:dLbls>
        <c:gapWidth val="182"/>
        <c:axId val="659027999"/>
        <c:axId val="659027039"/>
      </c:barChart>
      <c:catAx>
        <c:axId val="659027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027039"/>
        <c:crosses val="autoZero"/>
        <c:auto val="1"/>
        <c:lblAlgn val="ctr"/>
        <c:lblOffset val="100"/>
        <c:noMultiLvlLbl val="0"/>
      </c:catAx>
      <c:valAx>
        <c:axId val="65902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02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 4-Jones.xlsx]Q12 Gender!PivotTable48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'Q12 Gender'!$B$3</c:f>
              <c:strCache>
                <c:ptCount val="1"/>
                <c:pt idx="0">
                  <c:v>Total</c:v>
                </c:pt>
              </c:strCache>
            </c:strRef>
          </c:tx>
          <c:spPr>
            <a:solidFill>
              <a:schemeClr val="accent1"/>
            </a:solidFill>
            <a:ln>
              <a:noFill/>
            </a:ln>
            <a:effectLst/>
          </c:spPr>
          <c:invertIfNegative val="0"/>
          <c:cat>
            <c:strRef>
              <c:f>'Q12 Gender'!$A$4:$A$6</c:f>
              <c:strCache>
                <c:ptCount val="2"/>
                <c:pt idx="0">
                  <c:v>Female</c:v>
                </c:pt>
                <c:pt idx="1">
                  <c:v>Male</c:v>
                </c:pt>
              </c:strCache>
            </c:strRef>
          </c:cat>
          <c:val>
            <c:numRef>
              <c:f>'Q12 Gender'!$B$4:$B$6</c:f>
              <c:numCache>
                <c:formatCode>General</c:formatCode>
                <c:ptCount val="2"/>
                <c:pt idx="0">
                  <c:v>129</c:v>
                </c:pt>
                <c:pt idx="1">
                  <c:v>32</c:v>
                </c:pt>
              </c:numCache>
            </c:numRef>
          </c:val>
          <c:extLst>
            <c:ext xmlns:c16="http://schemas.microsoft.com/office/drawing/2014/chart" uri="{C3380CC4-5D6E-409C-BE32-E72D297353CC}">
              <c16:uniqueId val="{00000000-D70B-4DD8-A045-687445320775}"/>
            </c:ext>
          </c:extLst>
        </c:ser>
        <c:dLbls>
          <c:showLegendKey val="0"/>
          <c:showVal val="0"/>
          <c:showCatName val="0"/>
          <c:showSerName val="0"/>
          <c:showPercent val="0"/>
          <c:showBubbleSize val="0"/>
        </c:dLbls>
        <c:gapWidth val="219"/>
        <c:overlap val="-27"/>
        <c:axId val="622979567"/>
        <c:axId val="622980527"/>
      </c:barChart>
      <c:catAx>
        <c:axId val="62297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80527"/>
        <c:crosses val="autoZero"/>
        <c:auto val="1"/>
        <c:lblAlgn val="ctr"/>
        <c:lblOffset val="100"/>
        <c:noMultiLvlLbl val="0"/>
      </c:catAx>
      <c:valAx>
        <c:axId val="622980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7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259080</xdr:colOff>
      <xdr:row>1</xdr:row>
      <xdr:rowOff>15240</xdr:rowOff>
    </xdr:from>
    <xdr:to>
      <xdr:col>8</xdr:col>
      <xdr:colOff>312420</xdr:colOff>
      <xdr:row>14</xdr:row>
      <xdr:rowOff>45720</xdr:rowOff>
    </xdr:to>
    <xdr:graphicFrame macro="">
      <xdr:nvGraphicFramePr>
        <xdr:cNvPr id="2" name="Chart 1">
          <a:extLst>
            <a:ext uri="{FF2B5EF4-FFF2-40B4-BE49-F238E27FC236}">
              <a16:creationId xmlns:a16="http://schemas.microsoft.com/office/drawing/2014/main" id="{DF431840-3781-C54B-F34D-3DE9CAC26D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601980</xdr:colOff>
      <xdr:row>1</xdr:row>
      <xdr:rowOff>38101</xdr:rowOff>
    </xdr:from>
    <xdr:to>
      <xdr:col>11</xdr:col>
      <xdr:colOff>342900</xdr:colOff>
      <xdr:row>10</xdr:row>
      <xdr:rowOff>106680</xdr:rowOff>
    </xdr:to>
    <mc:AlternateContent xmlns:mc="http://schemas.openxmlformats.org/markup-compatibility/2006" xmlns:a14="http://schemas.microsoft.com/office/drawing/2010/main">
      <mc:Choice Requires="a14">
        <xdr:graphicFrame macro="">
          <xdr:nvGraphicFramePr>
            <xdr:cNvPr id="3" name="How many times in the last 2 years have you attended a live theater production (play or musical)?">
              <a:extLst>
                <a:ext uri="{FF2B5EF4-FFF2-40B4-BE49-F238E27FC236}">
                  <a16:creationId xmlns:a16="http://schemas.microsoft.com/office/drawing/2014/main" id="{F20A9625-22C0-28C2-FB37-61795B1C948A}"/>
                </a:ext>
              </a:extLst>
            </xdr:cNvPr>
            <xdr:cNvGraphicFramePr/>
          </xdr:nvGraphicFramePr>
          <xdr:xfrm>
            <a:off x="0" y="0"/>
            <a:ext cx="0" cy="0"/>
          </xdr:xfrm>
          <a:graphic>
            <a:graphicData uri="http://schemas.microsoft.com/office/drawing/2010/slicer">
              <sle:slicer xmlns:sle="http://schemas.microsoft.com/office/drawing/2010/slicer" name="How many times in the last 2 years have you attended a live theater production (play or musical)?"/>
            </a:graphicData>
          </a:graphic>
        </xdr:graphicFrame>
      </mc:Choice>
      <mc:Fallback xmlns="">
        <xdr:sp macro="" textlink="">
          <xdr:nvSpPr>
            <xdr:cNvPr id="0" name=""/>
            <xdr:cNvSpPr>
              <a:spLocks noTextEdit="1"/>
            </xdr:cNvSpPr>
          </xdr:nvSpPr>
          <xdr:spPr>
            <a:xfrm>
              <a:off x="7566660" y="335281"/>
              <a:ext cx="1569720" cy="1729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7620</xdr:rowOff>
    </xdr:from>
    <xdr:to>
      <xdr:col>8</xdr:col>
      <xdr:colOff>530087</xdr:colOff>
      <xdr:row>21</xdr:row>
      <xdr:rowOff>33130</xdr:rowOff>
    </xdr:to>
    <xdr:graphicFrame macro="">
      <xdr:nvGraphicFramePr>
        <xdr:cNvPr id="3" name="Chart 2">
          <a:extLst>
            <a:ext uri="{FF2B5EF4-FFF2-40B4-BE49-F238E27FC236}">
              <a16:creationId xmlns:a16="http://schemas.microsoft.com/office/drawing/2014/main" id="{E40F9C3F-28D8-D9AC-1868-16C45B3DE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99060</xdr:colOff>
      <xdr:row>5</xdr:row>
      <xdr:rowOff>7620</xdr:rowOff>
    </xdr:from>
    <xdr:to>
      <xdr:col>3</xdr:col>
      <xdr:colOff>358140</xdr:colOff>
      <xdr:row>17</xdr:row>
      <xdr:rowOff>22860</xdr:rowOff>
    </xdr:to>
    <xdr:graphicFrame macro="">
      <xdr:nvGraphicFramePr>
        <xdr:cNvPr id="2" name="Chart 1">
          <a:extLst>
            <a:ext uri="{FF2B5EF4-FFF2-40B4-BE49-F238E27FC236}">
              <a16:creationId xmlns:a16="http://schemas.microsoft.com/office/drawing/2014/main" id="{6C9A1860-722B-CCD2-60B4-62CC636CB2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167640</xdr:colOff>
      <xdr:row>5</xdr:row>
      <xdr:rowOff>99060</xdr:rowOff>
    </xdr:from>
    <xdr:to>
      <xdr:col>10</xdr:col>
      <xdr:colOff>320040</xdr:colOff>
      <xdr:row>20</xdr:row>
      <xdr:rowOff>99060</xdr:rowOff>
    </xdr:to>
    <xdr:graphicFrame macro="">
      <xdr:nvGraphicFramePr>
        <xdr:cNvPr id="2" name="Chart 1">
          <a:extLst>
            <a:ext uri="{FF2B5EF4-FFF2-40B4-BE49-F238E27FC236}">
              <a16:creationId xmlns:a16="http://schemas.microsoft.com/office/drawing/2014/main" id="{822522CB-B333-AF47-5B23-D885D4DDF9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350520</xdr:colOff>
      <xdr:row>5</xdr:row>
      <xdr:rowOff>38100</xdr:rowOff>
    </xdr:from>
    <xdr:to>
      <xdr:col>5</xdr:col>
      <xdr:colOff>777240</xdr:colOff>
      <xdr:row>20</xdr:row>
      <xdr:rowOff>38100</xdr:rowOff>
    </xdr:to>
    <xdr:graphicFrame macro="">
      <xdr:nvGraphicFramePr>
        <xdr:cNvPr id="2" name="Chart 1">
          <a:extLst>
            <a:ext uri="{FF2B5EF4-FFF2-40B4-BE49-F238E27FC236}">
              <a16:creationId xmlns:a16="http://schemas.microsoft.com/office/drawing/2014/main" id="{5D9A6087-2E1D-247B-F2EC-514300E335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5</xdr:row>
      <xdr:rowOff>4042</xdr:rowOff>
    </xdr:from>
    <xdr:to>
      <xdr:col>5</xdr:col>
      <xdr:colOff>8659</xdr:colOff>
      <xdr:row>20</xdr:row>
      <xdr:rowOff>80242</xdr:rowOff>
    </xdr:to>
    <xdr:graphicFrame macro="">
      <xdr:nvGraphicFramePr>
        <xdr:cNvPr id="4" name="Chart 3">
          <a:extLst>
            <a:ext uri="{FF2B5EF4-FFF2-40B4-BE49-F238E27FC236}">
              <a16:creationId xmlns:a16="http://schemas.microsoft.com/office/drawing/2014/main" id="{DDD8AD6E-1C4D-8A8D-C3D8-D86586535C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236220</xdr:colOff>
      <xdr:row>2</xdr:row>
      <xdr:rowOff>30480</xdr:rowOff>
    </xdr:from>
    <xdr:to>
      <xdr:col>6</xdr:col>
      <xdr:colOff>358140</xdr:colOff>
      <xdr:row>17</xdr:row>
      <xdr:rowOff>99060</xdr:rowOff>
    </xdr:to>
    <xdr:graphicFrame macro="">
      <xdr:nvGraphicFramePr>
        <xdr:cNvPr id="3" name="Chart 2">
          <a:extLst>
            <a:ext uri="{FF2B5EF4-FFF2-40B4-BE49-F238E27FC236}">
              <a16:creationId xmlns:a16="http://schemas.microsoft.com/office/drawing/2014/main" id="{7908A11F-3B72-7904-2296-B8851E7480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350520</xdr:colOff>
      <xdr:row>2</xdr:row>
      <xdr:rowOff>7620</xdr:rowOff>
    </xdr:from>
    <xdr:to>
      <xdr:col>8</xdr:col>
      <xdr:colOff>22860</xdr:colOff>
      <xdr:row>13</xdr:row>
      <xdr:rowOff>102870</xdr:rowOff>
    </xdr:to>
    <xdr:graphicFrame macro="">
      <xdr:nvGraphicFramePr>
        <xdr:cNvPr id="2" name="Chart 1">
          <a:extLst>
            <a:ext uri="{FF2B5EF4-FFF2-40B4-BE49-F238E27FC236}">
              <a16:creationId xmlns:a16="http://schemas.microsoft.com/office/drawing/2014/main" id="{E86078ED-7380-8612-7BFD-5C152B4D97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5</xdr:row>
      <xdr:rowOff>106680</xdr:rowOff>
    </xdr:from>
    <xdr:to>
      <xdr:col>12</xdr:col>
      <xdr:colOff>266700</xdr:colOff>
      <xdr:row>18</xdr:row>
      <xdr:rowOff>99060</xdr:rowOff>
    </xdr:to>
    <xdr:graphicFrame macro="">
      <xdr:nvGraphicFramePr>
        <xdr:cNvPr id="2" name="Chart 1">
          <a:extLst>
            <a:ext uri="{FF2B5EF4-FFF2-40B4-BE49-F238E27FC236}">
              <a16:creationId xmlns:a16="http://schemas.microsoft.com/office/drawing/2014/main" id="{82B021C9-07D7-1447-C64F-FD1722F4CD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335280</xdr:colOff>
      <xdr:row>3</xdr:row>
      <xdr:rowOff>0</xdr:rowOff>
    </xdr:from>
    <xdr:to>
      <xdr:col>9</xdr:col>
      <xdr:colOff>335280</xdr:colOff>
      <xdr:row>13</xdr:row>
      <xdr:rowOff>144780</xdr:rowOff>
    </xdr:to>
    <xdr:graphicFrame macro="">
      <xdr:nvGraphicFramePr>
        <xdr:cNvPr id="4" name="Chart 3">
          <a:extLst>
            <a:ext uri="{FF2B5EF4-FFF2-40B4-BE49-F238E27FC236}">
              <a16:creationId xmlns:a16="http://schemas.microsoft.com/office/drawing/2014/main" id="{BB749F0D-3AF3-4FDF-C28C-47EFBD9222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335280</xdr:colOff>
      <xdr:row>1</xdr:row>
      <xdr:rowOff>144780</xdr:rowOff>
    </xdr:from>
    <xdr:to>
      <xdr:col>5</xdr:col>
      <xdr:colOff>335280</xdr:colOff>
      <xdr:row>12</xdr:row>
      <xdr:rowOff>30479</xdr:rowOff>
    </xdr:to>
    <mc:AlternateContent xmlns:mc="http://schemas.openxmlformats.org/markup-compatibility/2006" xmlns:a14="http://schemas.microsoft.com/office/drawing/2010/main">
      <mc:Choice Requires="a14">
        <xdr:graphicFrame macro="">
          <xdr:nvGraphicFramePr>
            <xdr:cNvPr id="3" name="What is your age?">
              <a:extLst>
                <a:ext uri="{FF2B5EF4-FFF2-40B4-BE49-F238E27FC236}">
                  <a16:creationId xmlns:a16="http://schemas.microsoft.com/office/drawing/2014/main" id="{711D1AF3-D411-43AC-78EF-76DAD7668421}"/>
                </a:ext>
              </a:extLst>
            </xdr:cNvPr>
            <xdr:cNvGraphicFramePr/>
          </xdr:nvGraphicFramePr>
          <xdr:xfrm>
            <a:off x="0" y="0"/>
            <a:ext cx="0" cy="0"/>
          </xdr:xfrm>
          <a:graphic>
            <a:graphicData uri="http://schemas.microsoft.com/office/drawing/2010/slicer">
              <sle:slicer xmlns:sle="http://schemas.microsoft.com/office/drawing/2010/slicer" name="What is your age?"/>
            </a:graphicData>
          </a:graphic>
        </xdr:graphicFrame>
      </mc:Choice>
      <mc:Fallback xmlns="">
        <xdr:sp macro="" textlink="">
          <xdr:nvSpPr>
            <xdr:cNvPr id="0" name=""/>
            <xdr:cNvSpPr>
              <a:spLocks noTextEdit="1"/>
            </xdr:cNvSpPr>
          </xdr:nvSpPr>
          <xdr:spPr>
            <a:xfrm>
              <a:off x="2842260" y="441960"/>
              <a:ext cx="1828800" cy="2011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137160</xdr:colOff>
      <xdr:row>12</xdr:row>
      <xdr:rowOff>137160</xdr:rowOff>
    </xdr:from>
    <xdr:to>
      <xdr:col>4</xdr:col>
      <xdr:colOff>190500</xdr:colOff>
      <xdr:row>24</xdr:row>
      <xdr:rowOff>129540</xdr:rowOff>
    </xdr:to>
    <xdr:graphicFrame macro="">
      <xdr:nvGraphicFramePr>
        <xdr:cNvPr id="4" name="Chart 3">
          <a:extLst>
            <a:ext uri="{FF2B5EF4-FFF2-40B4-BE49-F238E27FC236}">
              <a16:creationId xmlns:a16="http://schemas.microsoft.com/office/drawing/2014/main" id="{37A1C7AD-9D20-7483-5FF4-C0439C6B7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7</xdr:col>
      <xdr:colOff>426720</xdr:colOff>
      <xdr:row>2</xdr:row>
      <xdr:rowOff>15241</xdr:rowOff>
    </xdr:from>
    <xdr:to>
      <xdr:col>10</xdr:col>
      <xdr:colOff>426720</xdr:colOff>
      <xdr:row>9</xdr:row>
      <xdr:rowOff>15241</xdr:rowOff>
    </xdr:to>
    <mc:AlternateContent xmlns:mc="http://schemas.openxmlformats.org/markup-compatibility/2006" xmlns:a14="http://schemas.microsoft.com/office/drawing/2010/main">
      <mc:Choice Requires="a14">
        <xdr:graphicFrame macro="">
          <xdr:nvGraphicFramePr>
            <xdr:cNvPr id="2" name="What is your gender?">
              <a:extLst>
                <a:ext uri="{FF2B5EF4-FFF2-40B4-BE49-F238E27FC236}">
                  <a16:creationId xmlns:a16="http://schemas.microsoft.com/office/drawing/2014/main" id="{34BD9175-9F8E-57B1-8691-D1EEB471C3A5}"/>
                </a:ext>
              </a:extLst>
            </xdr:cNvPr>
            <xdr:cNvGraphicFramePr/>
          </xdr:nvGraphicFramePr>
          <xdr:xfrm>
            <a:off x="0" y="0"/>
            <a:ext cx="0" cy="0"/>
          </xdr:xfrm>
          <a:graphic>
            <a:graphicData uri="http://schemas.microsoft.com/office/drawing/2010/slicer">
              <sle:slicer xmlns:sle="http://schemas.microsoft.com/office/drawing/2010/slicer" name="What is your gender?"/>
            </a:graphicData>
          </a:graphic>
        </xdr:graphicFrame>
      </mc:Choice>
      <mc:Fallback xmlns="">
        <xdr:sp macro="" textlink="">
          <xdr:nvSpPr>
            <xdr:cNvPr id="0" name=""/>
            <xdr:cNvSpPr>
              <a:spLocks noTextEdit="1"/>
            </xdr:cNvSpPr>
          </xdr:nvSpPr>
          <xdr:spPr>
            <a:xfrm>
              <a:off x="6187440" y="609601"/>
              <a:ext cx="182880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76200</xdr:colOff>
      <xdr:row>2</xdr:row>
      <xdr:rowOff>15240</xdr:rowOff>
    </xdr:from>
    <xdr:to>
      <xdr:col>7</xdr:col>
      <xdr:colOff>167640</xdr:colOff>
      <xdr:row>13</xdr:row>
      <xdr:rowOff>160020</xdr:rowOff>
    </xdr:to>
    <xdr:graphicFrame macro="">
      <xdr:nvGraphicFramePr>
        <xdr:cNvPr id="3" name="Chart 2">
          <a:extLst>
            <a:ext uri="{FF2B5EF4-FFF2-40B4-BE49-F238E27FC236}">
              <a16:creationId xmlns:a16="http://schemas.microsoft.com/office/drawing/2014/main" id="{1079FD92-36D7-1FEE-4C6C-355F8B8B8C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vis Jones" refreshedDate="45837.897309722219" createdVersion="8" refreshedVersion="8" minRefreshableVersion="3" recordCount="162" xr:uid="{4D13D4A5-F64A-40D7-A151-60B804C5660A}">
  <cacheSource type="worksheet">
    <worksheetSource ref="I4:N166" sheet="Survey Data"/>
  </cacheSource>
  <cacheFields count="6">
    <cacheField name="Q3_Classic Musicals" numFmtId="0">
      <sharedItems containsString="0" containsBlank="1" containsNumber="1" minValue="1" maxValue="5" count="7">
        <n v="3"/>
        <n v="5"/>
        <n v="2"/>
        <n v="4"/>
        <n v="1"/>
        <m/>
        <n v="4.2468354430379751"/>
      </sharedItems>
    </cacheField>
    <cacheField name="Q3_Recent Broadway Musicals " numFmtId="0">
      <sharedItems containsString="0" containsBlank="1" containsNumber="1" minValue="1" maxValue="5" count="7">
        <n v="4"/>
        <n v="5"/>
        <n v="3"/>
        <n v="2"/>
        <n v="1"/>
        <m/>
        <n v="4.2229299363057322"/>
      </sharedItems>
    </cacheField>
    <cacheField name="Q3_Shakespeare " numFmtId="0">
      <sharedItems containsString="0" containsBlank="1" containsNumber="1" minValue="1" maxValue="5" count="7">
        <n v="3"/>
        <n v="2"/>
        <m/>
        <n v="1"/>
        <n v="4"/>
        <n v="5"/>
        <n v="2.5862068965517242"/>
      </sharedItems>
    </cacheField>
    <cacheField name="Q3_Parodies of Broadway Hits" numFmtId="0">
      <sharedItems containsString="0" containsBlank="1" containsNumber="1" minValue="1" maxValue="5" count="7">
        <n v="4"/>
        <n v="3"/>
        <n v="2"/>
        <n v="5"/>
        <m/>
        <n v="1"/>
        <n v="3.5751633986928106"/>
      </sharedItems>
    </cacheField>
    <cacheField name="Q3_Comedies" numFmtId="0">
      <sharedItems containsString="0" containsBlank="1" containsNumber="1" minValue="1" maxValue="5" count="7">
        <n v="5"/>
        <n v="3"/>
        <n v="4"/>
        <n v="2"/>
        <n v="1"/>
        <m/>
        <n v="4.3207547169811322"/>
      </sharedItems>
    </cacheField>
    <cacheField name="Q3_Drama" numFmtId="0">
      <sharedItems containsString="0" containsBlank="1" containsNumber="1" minValue="1" maxValue="5" count="7">
        <n v="4"/>
        <n v="5"/>
        <n v="2"/>
        <n v="3"/>
        <n v="1"/>
        <m/>
        <n v="3.3896103896103895"/>
      </sharedItems>
    </cacheField>
  </cacheFields>
  <extLst>
    <ext xmlns:x14="http://schemas.microsoft.com/office/spreadsheetml/2009/9/main" uri="{725AE2AE-9491-48be-B2B4-4EB974FC3084}">
      <x14:pivotCacheDefinition pivotCacheId="878381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vis Jones" refreshedDate="45838.438549421298" createdVersion="8" refreshedVersion="8" minRefreshableVersion="3" recordCount="161" xr:uid="{F03164AE-8843-4D54-9AB7-09C95B322C20}">
  <cacheSource type="worksheet">
    <worksheetSource ref="B4:H165" sheet="Survey Data"/>
  </cacheSource>
  <cacheFields count="7">
    <cacheField name="Q2_SpecialOccasion" numFmtId="0">
      <sharedItems containsBlank="1" count="2">
        <m/>
        <s v="Special occasions (birthdays, anniversaries,etc.)"/>
      </sharedItems>
    </cacheField>
    <cacheField name="Q2_Holidays" numFmtId="0">
      <sharedItems containsBlank="1" count="2">
        <m/>
        <s v="Holidays"/>
      </sharedItems>
    </cacheField>
    <cacheField name="Q2_Date night" numFmtId="0">
      <sharedItems containsBlank="1" count="2">
        <s v="Date night"/>
        <m/>
      </sharedItems>
    </cacheField>
    <cacheField name="Q2_The show is something I like" numFmtId="0">
      <sharedItems containsBlank="1" count="2">
        <m/>
        <s v="The show is something I like"/>
      </sharedItems>
    </cacheField>
    <cacheField name="Q2_When I know someone in the performance" numFmtId="0">
      <sharedItems containsBlank="1" count="2">
        <s v="When I know someone in the performance"/>
        <m/>
      </sharedItems>
    </cacheField>
    <cacheField name="Any chance I can" numFmtId="0">
      <sharedItems containsNonDate="0" containsString="0" containsBlank="1" count="1">
        <m/>
      </sharedItems>
    </cacheField>
    <cacheField name="Q2_Other (please specify)" numFmtId="0">
      <sharedItems containsBlank="1" count="19">
        <m/>
        <s v="I love Theater!"/>
        <s v="For Fun!"/>
        <s v="ON has great ticket prices and we like a &quot;deal&quot;"/>
        <s v="take advantage of the nice meal with the show"/>
        <s v="i just love it"/>
        <s v="Ladies' Night OUt"/>
        <s v="We just enjoy the experience and talent"/>
        <s v="Have season tickets to Theatre ISU"/>
        <s v="Season tickets at ISU"/>
        <s v="kid in acting class"/>
        <s v="I have had in plays"/>
        <s v="Just to see the performance, how the actors did, how well it was put together, ect..."/>
        <s v="Matinee that I can attend with my daughter and mother.  Both children and the elderly have a difficult with evening performances."/>
        <s v="won tickets"/>
        <s v="promotion"/>
        <s v="family tradition"/>
        <s v="love all shows and theater"/>
        <s v="Mother Daughter night"/>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vis Jones" refreshedDate="45838.45683599537" createdVersion="8" refreshedVersion="8" minRefreshableVersion="3" recordCount="161" xr:uid="{CDA25EED-F702-45FE-B4BA-266FFFEB6E8E}">
  <cacheSource type="worksheet">
    <worksheetSource ref="Z4:AE165" sheet="Survey Data"/>
  </cacheSource>
  <cacheFields count="6">
    <cacheField name="Q5-Seating Comfort" numFmtId="0">
      <sharedItems containsSemiMixedTypes="0" containsString="0" containsNumber="1" containsInteger="1" minValue="2" maxValue="7"/>
    </cacheField>
    <cacheField name="Q5_Professional Performances" numFmtId="0">
      <sharedItems containsSemiMixedTypes="0" containsString="0" containsNumber="1" containsInteger="1" minValue="1" maxValue="7"/>
    </cacheField>
    <cacheField name="Q5_Theater Cleanliness" numFmtId="0">
      <sharedItems containsSemiMixedTypes="0" containsString="0" containsNumber="1" containsInteger="1" minValue="1" maxValue="7"/>
    </cacheField>
    <cacheField name="Q5_Theater Ambiance" numFmtId="0">
      <sharedItems containsString="0" containsBlank="1" containsNumber="1" containsInteger="1" minValue="1" maxValue="7"/>
    </cacheField>
    <cacheField name="Q5_Ticket Prices" numFmtId="0">
      <sharedItems containsSemiMixedTypes="0" containsString="0" containsNumber="1" containsInteger="1" minValue="3" maxValue="7"/>
    </cacheField>
    <cacheField name="Q5_Family  Appropriate  Content" numFmtId="0">
      <sharedItems containsString="0" containsBlank="1" containsNumber="1" containsInteger="1" minValue="1" maxValue="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vis Jones" refreshedDate="45838.45936666667" createdVersion="8" refreshedVersion="8" minRefreshableVersion="3" recordCount="151" xr:uid="{33B1BC7D-DB2B-4319-88EB-EEB717F70968}">
  <cacheSource type="worksheet">
    <worksheetSource ref="AS4:AZ155" sheet="Survey Data"/>
  </cacheSource>
  <cacheFields count="8">
    <cacheField name="Q9_Family Appropriate content" numFmtId="0">
      <sharedItems containsBlank="1" containsMixedTypes="1" containsNumber="1" containsInteger="1" minValue="4" maxValue="7"/>
    </cacheField>
    <cacheField name="Q9_Food" numFmtId="0">
      <sharedItems containsBlank="1" containsMixedTypes="1" containsNumber="1" containsInteger="1" minValue="3" maxValue="7"/>
    </cacheField>
    <cacheField name="Q9_Performance/Talent" numFmtId="0">
      <sharedItems containsBlank="1" containsMixedTypes="1" containsNumber="1" containsInteger="1" minValue="4" maxValue="7"/>
    </cacheField>
    <cacheField name="Q9_Value (worth the money?)" numFmtId="0">
      <sharedItems containsBlank="1" containsMixedTypes="1" containsNumber="1" containsInteger="1" minValue="3" maxValue="7" count="7">
        <n v="6"/>
        <n v="7"/>
        <s v="not applicable"/>
        <n v="3"/>
        <n v="5"/>
        <n v="4"/>
        <m/>
      </sharedItems>
    </cacheField>
    <cacheField name="Q9_Theater Cleanliness" numFmtId="0">
      <sharedItems containsBlank="1" containsMixedTypes="1" containsNumber="1" containsInteger="1" minValue="5" maxValue="7"/>
    </cacheField>
    <cacheField name="Q9_Theater Ambiance" numFmtId="0">
      <sharedItems containsBlank="1" containsMixedTypes="1" containsNumber="1" containsInteger="1" minValue="4" maxValue="7"/>
    </cacheField>
    <cacheField name="Q9_Seating Comfort" numFmtId="0">
      <sharedItems containsString="0" containsBlank="1" containsNumber="1" containsInteger="1" minValue="1" maxValue="7"/>
    </cacheField>
    <cacheField name="Q9_Feel free to explain any of your answers here:" numFmtId="0">
      <sharedItems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vis Jones" refreshedDate="45838.483996643517" createdVersion="8" refreshedVersion="8" minRefreshableVersion="3" recordCount="162" xr:uid="{C5754816-F12F-4BF1-89A9-EB4946A8C02A}">
  <cacheSource type="worksheet">
    <worksheetSource ref="BB3:BB165" sheet="Survey Data"/>
  </cacheSource>
  <cacheFields count="1">
    <cacheField name="What is your age?" numFmtId="0">
      <sharedItems containsMixedTypes="1" containsNumber="1" containsInteger="1" minValue="65" maxValue="65" count="6">
        <s v="Q11_Age"/>
        <s v="50-64"/>
        <s v="19-34"/>
        <s v="35-49"/>
        <s v="Under 18"/>
        <n v="65"/>
      </sharedItems>
    </cacheField>
  </cacheFields>
  <extLst>
    <ext xmlns:x14="http://schemas.microsoft.com/office/spreadsheetml/2009/9/main" uri="{725AE2AE-9491-48be-B2B4-4EB974FC3084}">
      <x14:pivotCacheDefinition pivotCacheId="891334990"/>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vis Jones" refreshedDate="45838.48569872685" createdVersion="8" refreshedVersion="8" minRefreshableVersion="3" recordCount="162" xr:uid="{90D33628-3FA8-461F-ADB2-AC5E85FE684B}">
  <cacheSource type="worksheet">
    <worksheetSource ref="BC3:BC165" sheet="Survey Data"/>
  </cacheSource>
  <cacheFields count="1">
    <cacheField name="What is your gender?" numFmtId="0">
      <sharedItems count="3">
        <s v="Q12_Gender"/>
        <s v="Male"/>
        <s v="Female"/>
      </sharedItems>
    </cacheField>
  </cacheFields>
  <extLst>
    <ext xmlns:x14="http://schemas.microsoft.com/office/spreadsheetml/2009/9/main" uri="{725AE2AE-9491-48be-B2B4-4EB974FC3084}">
      <x14:pivotCacheDefinition pivotCacheId="102702256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vis Jones" refreshedDate="45838.491591203703" createdVersion="8" refreshedVersion="8" minRefreshableVersion="3" recordCount="162" xr:uid="{78D9F9C2-3302-4F3A-8878-31576FCA9D37}">
  <cacheSource type="worksheet">
    <worksheetSource ref="A3:A165" sheet="Survey Data"/>
  </cacheSource>
  <cacheFields count="1">
    <cacheField name="How many times in the last 2 years have you attended a live theater production (play or musical)?" numFmtId="0">
      <sharedItems count="5">
        <s v="Q1_Attendance"/>
        <s v="7 or more"/>
        <s v="5 to 6"/>
        <s v="3 to 4"/>
        <s v="1 to 2"/>
      </sharedItems>
    </cacheField>
  </cacheFields>
  <extLst>
    <ext xmlns:x14="http://schemas.microsoft.com/office/spreadsheetml/2009/9/main" uri="{725AE2AE-9491-48be-B2B4-4EB974FC3084}">
      <x14:pivotCacheDefinition pivotCacheId="2058804573"/>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vis Jones" refreshedDate="45838.498865046298" createdVersion="8" refreshedVersion="8" minRefreshableVersion="3" recordCount="161" xr:uid="{6CEB3244-C3B8-4A2B-84BA-656058875B10}">
  <cacheSource type="worksheet">
    <worksheetSource ref="O4:Y165" sheet="Survey Data"/>
  </cacheSource>
  <cacheFields count="11">
    <cacheField name="Q4_Secret Garden" numFmtId="0">
      <sharedItems containsBlank="1" count="2">
        <s v="Secret Garden"/>
        <m/>
      </sharedItems>
    </cacheField>
    <cacheField name="Q4_You're a Good Man Charlie Brown" numFmtId="0">
      <sharedItems containsBlank="1" count="2">
        <m/>
        <s v="You're a Good Man Charlie Brown"/>
      </sharedItems>
    </cacheField>
    <cacheField name="Q4_The Drowsy Chaperone" numFmtId="0">
      <sharedItems containsBlank="1" count="2">
        <m/>
        <s v="The Drowsy Chaperone"/>
      </sharedItems>
    </cacheField>
    <cacheField name="Q4_Scarlet Pimpernel" numFmtId="0">
      <sharedItems containsBlank="1" count="2">
        <s v="Scarlet Pimpernel"/>
        <m/>
      </sharedItems>
    </cacheField>
    <cacheField name="Q4_Big River" numFmtId="0">
      <sharedItems containsBlank="1" count="2">
        <m/>
        <s v="Big River"/>
      </sharedItems>
    </cacheField>
    <cacheField name="Q4_West Side Story" numFmtId="0">
      <sharedItems containsBlank="1" count="2">
        <m/>
        <s v="West Side Story"/>
      </sharedItems>
    </cacheField>
    <cacheField name="Q4_Oklahoma" numFmtId="0">
      <sharedItems containsBlank="1" count="2">
        <s v="Oklahoma"/>
        <m/>
      </sharedItems>
    </cacheField>
    <cacheField name="Q4_Little Women" numFmtId="0">
      <sharedItems containsBlank="1" count="2">
        <m/>
        <s v="Little Women"/>
      </sharedItems>
    </cacheField>
    <cacheField name="Q4_Man of La Mancha" numFmtId="0">
      <sharedItems containsBlank="1" count="2">
        <m/>
        <s v="Man of La Mancha"/>
      </sharedItems>
    </cacheField>
    <cacheField name="Q4_None of the Above" numFmtId="0">
      <sharedItems containsBlank="1" count="2">
        <m/>
        <s v="None of the Above"/>
      </sharedItems>
    </cacheField>
    <cacheField name="Q4_Other (please specify)" numFmtId="0">
      <sharedItems containsBlank="1" count="37">
        <m/>
        <s v="Wicked"/>
        <s v="Some of these I do not know - but may be interested with more information"/>
        <s v="Into the Woods, Back to the 80s, Mixed Tape, Assassins, Chicago, She Loves Me, Starlight Express,"/>
        <s v="I don't know several of these...I may be interested in finding out more about them."/>
        <s v="Paint your wagon, Cats"/>
        <s v="Carisel"/>
        <s v="Fiddler on the Roof"/>
        <s v="Phantom of the Opera, Wicked, Hairspray, mamma mia, footloose,"/>
        <s v="i don't really care much for musicals"/>
        <s v="Joseph &amp; Technicolor Dreamcoat"/>
        <s v="Another Les Mis....the last one was amazing!"/>
        <s v="South Pacific, The Fantasticks, White Christmas"/>
        <s v="Phantom of THe Opera"/>
        <s v="The Quilters"/>
        <s v="Wicked, Mama Mia"/>
        <s v="Wicked, Phantom of the Opera"/>
        <s v="Les Miserables, Evita, Chitty Chitty Bang Bang"/>
        <s v="Phantom of the Opera    Sound of Music"/>
        <s v="disney classics, les miserable, footloose, any comedy"/>
        <s v="Les Misrables"/>
        <s v="joseph and his amazing technicolor dreamcoat"/>
        <s v="Wicked, Mama Mia, Little Mermaid, Beauty and the Beast,"/>
        <s v="Mama Mia"/>
        <s v="Seven Brides for seven Brothers"/>
        <s v="Newsies, Anchors Away"/>
        <s v="Show Boat, My Fair Lady, The King and I,"/>
        <s v="Pete's Dragon, Sweeney Todd"/>
        <s v="Phantom of the Opera, Les Mis"/>
        <s v="Mama Mia, The Addams Family, Aida,  Finians Rainbow, Into the Woods, Tarzan, Once on this Island, Pirates of Penzance,"/>
        <s v="South Pacific"/>
        <s v="The Music Man, Damn Yankees"/>
        <s v="Guys and Dolls, Fiddler on the Roof, Music Man, Les Mis, Phantom of the Opera"/>
        <s v="Kiss me Kate, Hello Dolly, Summer Magic, Funny Girl"/>
        <s v="family related...disney plays..wizard of oz etc"/>
        <s v="Thoroughly Modern Millie"/>
        <s v="Les Miserables, Seven Brides for Seven Brothers, Sound of Music"/>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vis Jones" refreshedDate="45838.503190625001" createdVersion="8" refreshedVersion="8" minRefreshableVersion="3" recordCount="161" xr:uid="{1128B78F-9FD6-4743-97BD-A131DFC45327}">
  <cacheSource type="worksheet">
    <worksheetSource ref="AG4:AL165" sheet="Survey Data"/>
  </cacheSource>
  <cacheFields count="6">
    <cacheField name="Q6_Newspaper" numFmtId="0">
      <sharedItems containsBlank="1" count="2">
        <m/>
        <s v="Newspaper"/>
      </sharedItems>
    </cacheField>
    <cacheField name="Q6_Radio" numFmtId="0">
      <sharedItems containsBlank="1" count="2">
        <m/>
        <s v="Radio"/>
      </sharedItems>
    </cacheField>
    <cacheField name="Q6_Mailer (ValPak, Postcards, etc.)" numFmtId="0">
      <sharedItems containsBlank="1" count="2">
        <m/>
        <s v="Mailer (ValPak, Postcards, etc.)"/>
      </sharedItems>
    </cacheField>
    <cacheField name="Q6_Internet web sites" numFmtId="0">
      <sharedItems containsBlank="1" count="2">
        <s v="Internet web sites"/>
        <m/>
      </sharedItems>
    </cacheField>
    <cacheField name="Q6_Social Networking Online" numFmtId="0">
      <sharedItems containsBlank="1" count="2">
        <m/>
        <s v="Social Networking Online"/>
      </sharedItems>
    </cacheField>
    <cacheField name="Q6_E-mail" numFmtId="0">
      <sharedItems containsBlank="1" count="2">
        <s v="E-mail"/>
        <m/>
      </sharedItems>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vis Jones" refreshedDate="45838.50419699074" createdVersion="8" refreshedVersion="8" minRefreshableVersion="3" recordCount="162" xr:uid="{2A506B4E-0F66-4A8B-9AE1-3900474743A4}">
  <cacheSource type="worksheet">
    <worksheetSource ref="AO3:AO165" sheet="Survey Data"/>
  </cacheSource>
  <cacheFields count="1">
    <cacheField name="What is your preferred method of purchasing tickets for a theater?" numFmtId="0">
      <sharedItems containsBlank="1" count="6">
        <s v="Q7_Ticket purchased method"/>
        <s v="Over the phone"/>
        <s v="On the internet"/>
        <s v="At the theater box office in advance"/>
        <s v="At the theater box office when the show starts"/>
        <m/>
      </sharedItems>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vis Jones" refreshedDate="45838.509252199074" createdVersion="8" refreshedVersion="8" minRefreshableVersion="3" recordCount="108" xr:uid="{9B6A0392-9797-4CDB-823F-D368A377433F}">
  <cacheSource type="worksheet">
    <worksheetSource ref="AQ3:AQ111" sheet="Survey Data"/>
  </cacheSource>
  <cacheFields count="1">
    <cacheField name="When you attend a theater, how much do you expect to pay per ticket?" numFmtId="0">
      <sharedItems count="4">
        <s v="Q8_Expected Price"/>
        <s v="$26-$35"/>
        <s v="$16-$25"/>
        <s v="$36-$45"/>
      </sharedItems>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vis Jones" refreshedDate="45838.513352314818" createdVersion="8" refreshedVersion="8" minRefreshableVersion="3" recordCount="152" xr:uid="{FCFB22EA-9F8B-48F6-AC27-791F60AD4951}">
  <cacheSource type="worksheet">
    <worksheetSource ref="BA3:BA155" sheet="Survey Data"/>
  </cacheSource>
  <cacheFields count="1">
    <cacheField name="How likely are you to recommend our theater to a friend?" numFmtId="0">
      <sharedItems containsBlank="1" containsMixedTypes="1" containsNumber="1" containsInteger="1" minValue="3" maxValue="6" count="7">
        <s v="Q10_recommendScore"/>
        <s v="7 Very likely"/>
        <n v="6"/>
        <n v="5"/>
        <n v="4"/>
        <m/>
        <n v="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
  <r>
    <x v="0"/>
    <x v="0"/>
    <x v="0"/>
    <x v="0"/>
    <x v="0"/>
    <x v="0"/>
  </r>
  <r>
    <x v="0"/>
    <x v="1"/>
    <x v="1"/>
    <x v="0"/>
    <x v="0"/>
    <x v="1"/>
  </r>
  <r>
    <x v="1"/>
    <x v="1"/>
    <x v="0"/>
    <x v="0"/>
    <x v="1"/>
    <x v="0"/>
  </r>
  <r>
    <x v="1"/>
    <x v="1"/>
    <x v="0"/>
    <x v="1"/>
    <x v="0"/>
    <x v="0"/>
  </r>
  <r>
    <x v="1"/>
    <x v="2"/>
    <x v="0"/>
    <x v="2"/>
    <x v="0"/>
    <x v="2"/>
  </r>
  <r>
    <x v="0"/>
    <x v="0"/>
    <x v="2"/>
    <x v="3"/>
    <x v="0"/>
    <x v="2"/>
  </r>
  <r>
    <x v="0"/>
    <x v="2"/>
    <x v="1"/>
    <x v="0"/>
    <x v="0"/>
    <x v="3"/>
  </r>
  <r>
    <x v="2"/>
    <x v="2"/>
    <x v="1"/>
    <x v="1"/>
    <x v="0"/>
    <x v="2"/>
  </r>
  <r>
    <x v="0"/>
    <x v="1"/>
    <x v="1"/>
    <x v="3"/>
    <x v="0"/>
    <x v="0"/>
  </r>
  <r>
    <x v="1"/>
    <x v="1"/>
    <x v="3"/>
    <x v="1"/>
    <x v="2"/>
    <x v="4"/>
  </r>
  <r>
    <x v="1"/>
    <x v="1"/>
    <x v="2"/>
    <x v="3"/>
    <x v="0"/>
    <x v="1"/>
  </r>
  <r>
    <x v="1"/>
    <x v="1"/>
    <x v="0"/>
    <x v="0"/>
    <x v="1"/>
    <x v="3"/>
  </r>
  <r>
    <x v="3"/>
    <x v="1"/>
    <x v="1"/>
    <x v="1"/>
    <x v="0"/>
    <x v="1"/>
  </r>
  <r>
    <x v="0"/>
    <x v="1"/>
    <x v="1"/>
    <x v="0"/>
    <x v="0"/>
    <x v="0"/>
  </r>
  <r>
    <x v="3"/>
    <x v="0"/>
    <x v="2"/>
    <x v="3"/>
    <x v="0"/>
    <x v="0"/>
  </r>
  <r>
    <x v="1"/>
    <x v="1"/>
    <x v="1"/>
    <x v="3"/>
    <x v="0"/>
    <x v="1"/>
  </r>
  <r>
    <x v="1"/>
    <x v="0"/>
    <x v="0"/>
    <x v="0"/>
    <x v="1"/>
    <x v="3"/>
  </r>
  <r>
    <x v="1"/>
    <x v="1"/>
    <x v="3"/>
    <x v="0"/>
    <x v="0"/>
    <x v="0"/>
  </r>
  <r>
    <x v="1"/>
    <x v="1"/>
    <x v="1"/>
    <x v="2"/>
    <x v="1"/>
    <x v="3"/>
  </r>
  <r>
    <x v="1"/>
    <x v="2"/>
    <x v="3"/>
    <x v="0"/>
    <x v="2"/>
    <x v="3"/>
  </r>
  <r>
    <x v="0"/>
    <x v="3"/>
    <x v="1"/>
    <x v="0"/>
    <x v="0"/>
    <x v="0"/>
  </r>
  <r>
    <x v="1"/>
    <x v="1"/>
    <x v="4"/>
    <x v="1"/>
    <x v="2"/>
    <x v="3"/>
  </r>
  <r>
    <x v="0"/>
    <x v="0"/>
    <x v="3"/>
    <x v="0"/>
    <x v="2"/>
    <x v="0"/>
  </r>
  <r>
    <x v="3"/>
    <x v="0"/>
    <x v="2"/>
    <x v="4"/>
    <x v="2"/>
    <x v="0"/>
  </r>
  <r>
    <x v="1"/>
    <x v="1"/>
    <x v="4"/>
    <x v="3"/>
    <x v="0"/>
    <x v="0"/>
  </r>
  <r>
    <x v="1"/>
    <x v="1"/>
    <x v="5"/>
    <x v="0"/>
    <x v="0"/>
    <x v="1"/>
  </r>
  <r>
    <x v="1"/>
    <x v="1"/>
    <x v="3"/>
    <x v="0"/>
    <x v="2"/>
    <x v="3"/>
  </r>
  <r>
    <x v="0"/>
    <x v="1"/>
    <x v="1"/>
    <x v="2"/>
    <x v="2"/>
    <x v="0"/>
  </r>
  <r>
    <x v="1"/>
    <x v="1"/>
    <x v="5"/>
    <x v="3"/>
    <x v="0"/>
    <x v="0"/>
  </r>
  <r>
    <x v="1"/>
    <x v="1"/>
    <x v="3"/>
    <x v="2"/>
    <x v="1"/>
    <x v="3"/>
  </r>
  <r>
    <x v="3"/>
    <x v="1"/>
    <x v="3"/>
    <x v="0"/>
    <x v="0"/>
    <x v="3"/>
  </r>
  <r>
    <x v="1"/>
    <x v="1"/>
    <x v="0"/>
    <x v="1"/>
    <x v="0"/>
    <x v="0"/>
  </r>
  <r>
    <x v="1"/>
    <x v="1"/>
    <x v="4"/>
    <x v="1"/>
    <x v="0"/>
    <x v="3"/>
  </r>
  <r>
    <x v="4"/>
    <x v="3"/>
    <x v="1"/>
    <x v="0"/>
    <x v="2"/>
    <x v="0"/>
  </r>
  <r>
    <x v="1"/>
    <x v="1"/>
    <x v="3"/>
    <x v="2"/>
    <x v="1"/>
    <x v="3"/>
  </r>
  <r>
    <x v="3"/>
    <x v="0"/>
    <x v="3"/>
    <x v="0"/>
    <x v="2"/>
    <x v="3"/>
  </r>
  <r>
    <x v="3"/>
    <x v="1"/>
    <x v="3"/>
    <x v="0"/>
    <x v="2"/>
    <x v="3"/>
  </r>
  <r>
    <x v="5"/>
    <x v="0"/>
    <x v="2"/>
    <x v="0"/>
    <x v="2"/>
    <x v="0"/>
  </r>
  <r>
    <x v="1"/>
    <x v="1"/>
    <x v="0"/>
    <x v="1"/>
    <x v="0"/>
    <x v="1"/>
  </r>
  <r>
    <x v="1"/>
    <x v="2"/>
    <x v="3"/>
    <x v="3"/>
    <x v="0"/>
    <x v="0"/>
  </r>
  <r>
    <x v="1"/>
    <x v="1"/>
    <x v="2"/>
    <x v="1"/>
    <x v="3"/>
    <x v="5"/>
  </r>
  <r>
    <x v="3"/>
    <x v="1"/>
    <x v="0"/>
    <x v="1"/>
    <x v="0"/>
    <x v="2"/>
  </r>
  <r>
    <x v="2"/>
    <x v="1"/>
    <x v="1"/>
    <x v="0"/>
    <x v="2"/>
    <x v="0"/>
  </r>
  <r>
    <x v="1"/>
    <x v="1"/>
    <x v="3"/>
    <x v="1"/>
    <x v="1"/>
    <x v="2"/>
  </r>
  <r>
    <x v="1"/>
    <x v="1"/>
    <x v="1"/>
    <x v="1"/>
    <x v="2"/>
    <x v="0"/>
  </r>
  <r>
    <x v="1"/>
    <x v="1"/>
    <x v="0"/>
    <x v="3"/>
    <x v="0"/>
    <x v="3"/>
  </r>
  <r>
    <x v="1"/>
    <x v="0"/>
    <x v="4"/>
    <x v="3"/>
    <x v="0"/>
    <x v="1"/>
  </r>
  <r>
    <x v="1"/>
    <x v="0"/>
    <x v="4"/>
    <x v="1"/>
    <x v="2"/>
    <x v="1"/>
  </r>
  <r>
    <x v="2"/>
    <x v="1"/>
    <x v="0"/>
    <x v="3"/>
    <x v="0"/>
    <x v="0"/>
  </r>
  <r>
    <x v="1"/>
    <x v="2"/>
    <x v="1"/>
    <x v="2"/>
    <x v="1"/>
    <x v="2"/>
  </r>
  <r>
    <x v="1"/>
    <x v="1"/>
    <x v="3"/>
    <x v="3"/>
    <x v="0"/>
    <x v="4"/>
  </r>
  <r>
    <x v="1"/>
    <x v="1"/>
    <x v="5"/>
    <x v="4"/>
    <x v="0"/>
    <x v="5"/>
  </r>
  <r>
    <x v="1"/>
    <x v="1"/>
    <x v="1"/>
    <x v="1"/>
    <x v="2"/>
    <x v="0"/>
  </r>
  <r>
    <x v="3"/>
    <x v="1"/>
    <x v="0"/>
    <x v="3"/>
    <x v="0"/>
    <x v="3"/>
  </r>
  <r>
    <x v="1"/>
    <x v="1"/>
    <x v="5"/>
    <x v="3"/>
    <x v="0"/>
    <x v="5"/>
  </r>
  <r>
    <x v="1"/>
    <x v="1"/>
    <x v="3"/>
    <x v="0"/>
    <x v="0"/>
    <x v="2"/>
  </r>
  <r>
    <x v="2"/>
    <x v="0"/>
    <x v="4"/>
    <x v="0"/>
    <x v="2"/>
    <x v="0"/>
  </r>
  <r>
    <x v="1"/>
    <x v="1"/>
    <x v="3"/>
    <x v="3"/>
    <x v="0"/>
    <x v="4"/>
  </r>
  <r>
    <x v="3"/>
    <x v="0"/>
    <x v="0"/>
    <x v="1"/>
    <x v="0"/>
    <x v="3"/>
  </r>
  <r>
    <x v="2"/>
    <x v="0"/>
    <x v="0"/>
    <x v="0"/>
    <x v="0"/>
    <x v="0"/>
  </r>
  <r>
    <x v="1"/>
    <x v="1"/>
    <x v="0"/>
    <x v="5"/>
    <x v="4"/>
    <x v="4"/>
  </r>
  <r>
    <x v="1"/>
    <x v="1"/>
    <x v="5"/>
    <x v="3"/>
    <x v="0"/>
    <x v="1"/>
  </r>
  <r>
    <x v="1"/>
    <x v="1"/>
    <x v="2"/>
    <x v="0"/>
    <x v="5"/>
    <x v="5"/>
  </r>
  <r>
    <x v="1"/>
    <x v="0"/>
    <x v="0"/>
    <x v="0"/>
    <x v="0"/>
    <x v="1"/>
  </r>
  <r>
    <x v="4"/>
    <x v="4"/>
    <x v="3"/>
    <x v="5"/>
    <x v="4"/>
    <x v="4"/>
  </r>
  <r>
    <x v="1"/>
    <x v="0"/>
    <x v="0"/>
    <x v="1"/>
    <x v="2"/>
    <x v="3"/>
  </r>
  <r>
    <x v="1"/>
    <x v="1"/>
    <x v="3"/>
    <x v="3"/>
    <x v="1"/>
    <x v="3"/>
  </r>
  <r>
    <x v="3"/>
    <x v="0"/>
    <x v="1"/>
    <x v="2"/>
    <x v="2"/>
    <x v="0"/>
  </r>
  <r>
    <x v="1"/>
    <x v="5"/>
    <x v="2"/>
    <x v="3"/>
    <x v="5"/>
    <x v="1"/>
  </r>
  <r>
    <x v="1"/>
    <x v="0"/>
    <x v="3"/>
    <x v="1"/>
    <x v="3"/>
    <x v="3"/>
  </r>
  <r>
    <x v="1"/>
    <x v="1"/>
    <x v="5"/>
    <x v="3"/>
    <x v="0"/>
    <x v="1"/>
  </r>
  <r>
    <x v="0"/>
    <x v="1"/>
    <x v="3"/>
    <x v="2"/>
    <x v="0"/>
    <x v="4"/>
  </r>
  <r>
    <x v="1"/>
    <x v="2"/>
    <x v="2"/>
    <x v="3"/>
    <x v="0"/>
    <x v="1"/>
  </r>
  <r>
    <x v="1"/>
    <x v="1"/>
    <x v="0"/>
    <x v="0"/>
    <x v="0"/>
    <x v="2"/>
  </r>
  <r>
    <x v="1"/>
    <x v="1"/>
    <x v="3"/>
    <x v="5"/>
    <x v="0"/>
    <x v="3"/>
  </r>
  <r>
    <x v="1"/>
    <x v="1"/>
    <x v="3"/>
    <x v="2"/>
    <x v="0"/>
    <x v="2"/>
  </r>
  <r>
    <x v="3"/>
    <x v="0"/>
    <x v="4"/>
    <x v="0"/>
    <x v="2"/>
    <x v="0"/>
  </r>
  <r>
    <x v="3"/>
    <x v="1"/>
    <x v="1"/>
    <x v="1"/>
    <x v="2"/>
    <x v="1"/>
  </r>
  <r>
    <x v="1"/>
    <x v="5"/>
    <x v="2"/>
    <x v="3"/>
    <x v="0"/>
    <x v="5"/>
  </r>
  <r>
    <x v="2"/>
    <x v="2"/>
    <x v="3"/>
    <x v="2"/>
    <x v="0"/>
    <x v="3"/>
  </r>
  <r>
    <x v="1"/>
    <x v="0"/>
    <x v="0"/>
    <x v="0"/>
    <x v="2"/>
    <x v="0"/>
  </r>
  <r>
    <x v="1"/>
    <x v="1"/>
    <x v="3"/>
    <x v="3"/>
    <x v="0"/>
    <x v="3"/>
  </r>
  <r>
    <x v="3"/>
    <x v="2"/>
    <x v="4"/>
    <x v="1"/>
    <x v="2"/>
    <x v="0"/>
  </r>
  <r>
    <x v="1"/>
    <x v="1"/>
    <x v="5"/>
    <x v="3"/>
    <x v="0"/>
    <x v="1"/>
  </r>
  <r>
    <x v="4"/>
    <x v="2"/>
    <x v="5"/>
    <x v="1"/>
    <x v="1"/>
    <x v="3"/>
  </r>
  <r>
    <x v="1"/>
    <x v="2"/>
    <x v="3"/>
    <x v="1"/>
    <x v="0"/>
    <x v="3"/>
  </r>
  <r>
    <x v="2"/>
    <x v="1"/>
    <x v="5"/>
    <x v="4"/>
    <x v="0"/>
    <x v="0"/>
  </r>
  <r>
    <x v="1"/>
    <x v="5"/>
    <x v="2"/>
    <x v="3"/>
    <x v="2"/>
    <x v="1"/>
  </r>
  <r>
    <x v="2"/>
    <x v="3"/>
    <x v="4"/>
    <x v="0"/>
    <x v="0"/>
    <x v="0"/>
  </r>
  <r>
    <x v="1"/>
    <x v="1"/>
    <x v="2"/>
    <x v="3"/>
    <x v="0"/>
    <x v="5"/>
  </r>
  <r>
    <x v="5"/>
    <x v="1"/>
    <x v="2"/>
    <x v="1"/>
    <x v="1"/>
    <x v="2"/>
  </r>
  <r>
    <x v="1"/>
    <x v="1"/>
    <x v="5"/>
    <x v="1"/>
    <x v="0"/>
    <x v="3"/>
  </r>
  <r>
    <x v="1"/>
    <x v="1"/>
    <x v="4"/>
    <x v="3"/>
    <x v="0"/>
    <x v="1"/>
  </r>
  <r>
    <x v="0"/>
    <x v="1"/>
    <x v="1"/>
    <x v="0"/>
    <x v="2"/>
    <x v="3"/>
  </r>
  <r>
    <x v="2"/>
    <x v="0"/>
    <x v="3"/>
    <x v="1"/>
    <x v="0"/>
    <x v="3"/>
  </r>
  <r>
    <x v="1"/>
    <x v="1"/>
    <x v="0"/>
    <x v="1"/>
    <x v="0"/>
    <x v="0"/>
  </r>
  <r>
    <x v="1"/>
    <x v="1"/>
    <x v="4"/>
    <x v="0"/>
    <x v="0"/>
    <x v="0"/>
  </r>
  <r>
    <x v="1"/>
    <x v="1"/>
    <x v="3"/>
    <x v="3"/>
    <x v="0"/>
    <x v="1"/>
  </r>
  <r>
    <x v="1"/>
    <x v="1"/>
    <x v="4"/>
    <x v="0"/>
    <x v="0"/>
    <x v="1"/>
  </r>
  <r>
    <x v="1"/>
    <x v="1"/>
    <x v="0"/>
    <x v="2"/>
    <x v="2"/>
    <x v="0"/>
  </r>
  <r>
    <x v="3"/>
    <x v="3"/>
    <x v="0"/>
    <x v="2"/>
    <x v="0"/>
    <x v="1"/>
  </r>
  <r>
    <x v="0"/>
    <x v="0"/>
    <x v="3"/>
    <x v="0"/>
    <x v="0"/>
    <x v="0"/>
  </r>
  <r>
    <x v="1"/>
    <x v="2"/>
    <x v="1"/>
    <x v="1"/>
    <x v="0"/>
    <x v="3"/>
  </r>
  <r>
    <x v="3"/>
    <x v="1"/>
    <x v="1"/>
    <x v="1"/>
    <x v="1"/>
    <x v="3"/>
  </r>
  <r>
    <x v="3"/>
    <x v="0"/>
    <x v="3"/>
    <x v="0"/>
    <x v="0"/>
    <x v="0"/>
  </r>
  <r>
    <x v="1"/>
    <x v="2"/>
    <x v="1"/>
    <x v="0"/>
    <x v="2"/>
    <x v="2"/>
  </r>
  <r>
    <x v="1"/>
    <x v="1"/>
    <x v="5"/>
    <x v="3"/>
    <x v="0"/>
    <x v="1"/>
  </r>
  <r>
    <x v="0"/>
    <x v="2"/>
    <x v="0"/>
    <x v="0"/>
    <x v="2"/>
    <x v="3"/>
  </r>
  <r>
    <x v="0"/>
    <x v="2"/>
    <x v="4"/>
    <x v="2"/>
    <x v="0"/>
    <x v="3"/>
  </r>
  <r>
    <x v="3"/>
    <x v="0"/>
    <x v="2"/>
    <x v="4"/>
    <x v="2"/>
    <x v="0"/>
  </r>
  <r>
    <x v="1"/>
    <x v="1"/>
    <x v="0"/>
    <x v="1"/>
    <x v="2"/>
    <x v="0"/>
  </r>
  <r>
    <x v="1"/>
    <x v="0"/>
    <x v="0"/>
    <x v="4"/>
    <x v="2"/>
    <x v="2"/>
  </r>
  <r>
    <x v="0"/>
    <x v="3"/>
    <x v="0"/>
    <x v="0"/>
    <x v="0"/>
    <x v="3"/>
  </r>
  <r>
    <x v="1"/>
    <x v="2"/>
    <x v="4"/>
    <x v="2"/>
    <x v="3"/>
    <x v="3"/>
  </r>
  <r>
    <x v="1"/>
    <x v="1"/>
    <x v="0"/>
    <x v="0"/>
    <x v="2"/>
    <x v="3"/>
  </r>
  <r>
    <x v="1"/>
    <x v="2"/>
    <x v="4"/>
    <x v="0"/>
    <x v="2"/>
    <x v="0"/>
  </r>
  <r>
    <x v="1"/>
    <x v="1"/>
    <x v="4"/>
    <x v="3"/>
    <x v="0"/>
    <x v="0"/>
  </r>
  <r>
    <x v="1"/>
    <x v="1"/>
    <x v="1"/>
    <x v="1"/>
    <x v="1"/>
    <x v="3"/>
  </r>
  <r>
    <x v="1"/>
    <x v="1"/>
    <x v="3"/>
    <x v="1"/>
    <x v="1"/>
    <x v="3"/>
  </r>
  <r>
    <x v="1"/>
    <x v="2"/>
    <x v="4"/>
    <x v="0"/>
    <x v="2"/>
    <x v="0"/>
  </r>
  <r>
    <x v="2"/>
    <x v="0"/>
    <x v="3"/>
    <x v="2"/>
    <x v="0"/>
    <x v="0"/>
  </r>
  <r>
    <x v="1"/>
    <x v="1"/>
    <x v="0"/>
    <x v="3"/>
    <x v="0"/>
    <x v="3"/>
  </r>
  <r>
    <x v="3"/>
    <x v="0"/>
    <x v="0"/>
    <x v="4"/>
    <x v="2"/>
    <x v="0"/>
  </r>
  <r>
    <x v="3"/>
    <x v="0"/>
    <x v="2"/>
    <x v="4"/>
    <x v="2"/>
    <x v="5"/>
  </r>
  <r>
    <x v="3"/>
    <x v="1"/>
    <x v="0"/>
    <x v="3"/>
    <x v="0"/>
    <x v="3"/>
  </r>
  <r>
    <x v="3"/>
    <x v="0"/>
    <x v="1"/>
    <x v="1"/>
    <x v="2"/>
    <x v="3"/>
  </r>
  <r>
    <x v="1"/>
    <x v="2"/>
    <x v="3"/>
    <x v="3"/>
    <x v="0"/>
    <x v="4"/>
  </r>
  <r>
    <x v="3"/>
    <x v="1"/>
    <x v="5"/>
    <x v="2"/>
    <x v="2"/>
    <x v="0"/>
  </r>
  <r>
    <x v="3"/>
    <x v="1"/>
    <x v="0"/>
    <x v="1"/>
    <x v="2"/>
    <x v="0"/>
  </r>
  <r>
    <x v="1"/>
    <x v="2"/>
    <x v="4"/>
    <x v="1"/>
    <x v="1"/>
    <x v="0"/>
  </r>
  <r>
    <x v="3"/>
    <x v="3"/>
    <x v="3"/>
    <x v="1"/>
    <x v="3"/>
    <x v="2"/>
  </r>
  <r>
    <x v="1"/>
    <x v="1"/>
    <x v="3"/>
    <x v="0"/>
    <x v="0"/>
    <x v="2"/>
  </r>
  <r>
    <x v="1"/>
    <x v="0"/>
    <x v="5"/>
    <x v="5"/>
    <x v="2"/>
    <x v="2"/>
  </r>
  <r>
    <x v="1"/>
    <x v="1"/>
    <x v="5"/>
    <x v="0"/>
    <x v="0"/>
    <x v="3"/>
  </r>
  <r>
    <x v="3"/>
    <x v="2"/>
    <x v="0"/>
    <x v="2"/>
    <x v="0"/>
    <x v="0"/>
  </r>
  <r>
    <x v="3"/>
    <x v="3"/>
    <x v="1"/>
    <x v="2"/>
    <x v="0"/>
    <x v="2"/>
  </r>
  <r>
    <x v="1"/>
    <x v="1"/>
    <x v="1"/>
    <x v="3"/>
    <x v="2"/>
    <x v="3"/>
  </r>
  <r>
    <x v="0"/>
    <x v="2"/>
    <x v="3"/>
    <x v="4"/>
    <x v="1"/>
    <x v="4"/>
  </r>
  <r>
    <x v="1"/>
    <x v="2"/>
    <x v="1"/>
    <x v="0"/>
    <x v="2"/>
    <x v="3"/>
  </r>
  <r>
    <x v="1"/>
    <x v="1"/>
    <x v="1"/>
    <x v="2"/>
    <x v="0"/>
    <x v="1"/>
  </r>
  <r>
    <x v="1"/>
    <x v="1"/>
    <x v="1"/>
    <x v="3"/>
    <x v="0"/>
    <x v="3"/>
  </r>
  <r>
    <x v="1"/>
    <x v="1"/>
    <x v="3"/>
    <x v="1"/>
    <x v="1"/>
    <x v="4"/>
  </r>
  <r>
    <x v="2"/>
    <x v="3"/>
    <x v="1"/>
    <x v="1"/>
    <x v="2"/>
    <x v="3"/>
  </r>
  <r>
    <x v="2"/>
    <x v="3"/>
    <x v="1"/>
    <x v="0"/>
    <x v="0"/>
    <x v="4"/>
  </r>
  <r>
    <x v="0"/>
    <x v="2"/>
    <x v="0"/>
    <x v="1"/>
    <x v="1"/>
    <x v="3"/>
  </r>
  <r>
    <x v="1"/>
    <x v="1"/>
    <x v="0"/>
    <x v="1"/>
    <x v="2"/>
    <x v="3"/>
  </r>
  <r>
    <x v="1"/>
    <x v="1"/>
    <x v="5"/>
    <x v="3"/>
    <x v="0"/>
    <x v="1"/>
  </r>
  <r>
    <x v="1"/>
    <x v="0"/>
    <x v="3"/>
    <x v="1"/>
    <x v="0"/>
    <x v="2"/>
  </r>
  <r>
    <x v="3"/>
    <x v="0"/>
    <x v="0"/>
    <x v="1"/>
    <x v="0"/>
    <x v="2"/>
  </r>
  <r>
    <x v="1"/>
    <x v="2"/>
    <x v="0"/>
    <x v="0"/>
    <x v="0"/>
    <x v="2"/>
  </r>
  <r>
    <x v="4"/>
    <x v="0"/>
    <x v="3"/>
    <x v="3"/>
    <x v="0"/>
    <x v="1"/>
  </r>
  <r>
    <x v="1"/>
    <x v="1"/>
    <x v="1"/>
    <x v="0"/>
    <x v="0"/>
    <x v="0"/>
  </r>
  <r>
    <x v="0"/>
    <x v="0"/>
    <x v="3"/>
    <x v="2"/>
    <x v="1"/>
    <x v="0"/>
  </r>
  <r>
    <x v="3"/>
    <x v="0"/>
    <x v="1"/>
    <x v="1"/>
    <x v="2"/>
    <x v="0"/>
  </r>
  <r>
    <x v="1"/>
    <x v="3"/>
    <x v="4"/>
    <x v="5"/>
    <x v="3"/>
    <x v="3"/>
  </r>
  <r>
    <x v="5"/>
    <x v="5"/>
    <x v="2"/>
    <x v="3"/>
    <x v="0"/>
    <x v="1"/>
  </r>
  <r>
    <x v="1"/>
    <x v="1"/>
    <x v="5"/>
    <x v="2"/>
    <x v="0"/>
    <x v="1"/>
  </r>
  <r>
    <x v="1"/>
    <x v="3"/>
    <x v="5"/>
    <x v="3"/>
    <x v="0"/>
    <x v="0"/>
  </r>
  <r>
    <x v="2"/>
    <x v="0"/>
    <x v="3"/>
    <x v="1"/>
    <x v="0"/>
    <x v="2"/>
  </r>
  <r>
    <x v="1"/>
    <x v="1"/>
    <x v="3"/>
    <x v="5"/>
    <x v="1"/>
    <x v="4"/>
  </r>
  <r>
    <x v="1"/>
    <x v="1"/>
    <x v="1"/>
    <x v="1"/>
    <x v="2"/>
    <x v="0"/>
  </r>
  <r>
    <x v="6"/>
    <x v="6"/>
    <x v="6"/>
    <x v="6"/>
    <x v="6"/>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
  <r>
    <x v="0"/>
    <x v="0"/>
    <x v="0"/>
    <x v="0"/>
    <x v="0"/>
    <x v="0"/>
    <x v="0"/>
  </r>
  <r>
    <x v="0"/>
    <x v="1"/>
    <x v="1"/>
    <x v="1"/>
    <x v="0"/>
    <x v="0"/>
    <x v="1"/>
  </r>
  <r>
    <x v="0"/>
    <x v="0"/>
    <x v="1"/>
    <x v="1"/>
    <x v="0"/>
    <x v="0"/>
    <x v="0"/>
  </r>
  <r>
    <x v="0"/>
    <x v="0"/>
    <x v="1"/>
    <x v="1"/>
    <x v="0"/>
    <x v="0"/>
    <x v="0"/>
  </r>
  <r>
    <x v="0"/>
    <x v="0"/>
    <x v="0"/>
    <x v="1"/>
    <x v="0"/>
    <x v="0"/>
    <x v="0"/>
  </r>
  <r>
    <x v="1"/>
    <x v="1"/>
    <x v="0"/>
    <x v="1"/>
    <x v="1"/>
    <x v="0"/>
    <x v="0"/>
  </r>
  <r>
    <x v="1"/>
    <x v="1"/>
    <x v="0"/>
    <x v="0"/>
    <x v="1"/>
    <x v="0"/>
    <x v="0"/>
  </r>
  <r>
    <x v="0"/>
    <x v="0"/>
    <x v="0"/>
    <x v="0"/>
    <x v="1"/>
    <x v="0"/>
    <x v="0"/>
  </r>
  <r>
    <x v="1"/>
    <x v="1"/>
    <x v="0"/>
    <x v="1"/>
    <x v="0"/>
    <x v="0"/>
    <x v="2"/>
  </r>
  <r>
    <x v="0"/>
    <x v="0"/>
    <x v="0"/>
    <x v="0"/>
    <x v="1"/>
    <x v="0"/>
    <x v="0"/>
  </r>
  <r>
    <x v="0"/>
    <x v="0"/>
    <x v="1"/>
    <x v="0"/>
    <x v="0"/>
    <x v="0"/>
    <x v="0"/>
  </r>
  <r>
    <x v="0"/>
    <x v="0"/>
    <x v="0"/>
    <x v="1"/>
    <x v="0"/>
    <x v="0"/>
    <x v="0"/>
  </r>
  <r>
    <x v="1"/>
    <x v="0"/>
    <x v="0"/>
    <x v="1"/>
    <x v="0"/>
    <x v="0"/>
    <x v="3"/>
  </r>
  <r>
    <x v="1"/>
    <x v="0"/>
    <x v="0"/>
    <x v="1"/>
    <x v="0"/>
    <x v="0"/>
    <x v="0"/>
  </r>
  <r>
    <x v="1"/>
    <x v="0"/>
    <x v="1"/>
    <x v="1"/>
    <x v="0"/>
    <x v="0"/>
    <x v="4"/>
  </r>
  <r>
    <x v="0"/>
    <x v="0"/>
    <x v="1"/>
    <x v="1"/>
    <x v="1"/>
    <x v="0"/>
    <x v="0"/>
  </r>
  <r>
    <x v="1"/>
    <x v="1"/>
    <x v="0"/>
    <x v="1"/>
    <x v="0"/>
    <x v="0"/>
    <x v="0"/>
  </r>
  <r>
    <x v="0"/>
    <x v="0"/>
    <x v="1"/>
    <x v="1"/>
    <x v="1"/>
    <x v="0"/>
    <x v="0"/>
  </r>
  <r>
    <x v="0"/>
    <x v="0"/>
    <x v="1"/>
    <x v="1"/>
    <x v="1"/>
    <x v="0"/>
    <x v="0"/>
  </r>
  <r>
    <x v="1"/>
    <x v="1"/>
    <x v="0"/>
    <x v="1"/>
    <x v="1"/>
    <x v="0"/>
    <x v="0"/>
  </r>
  <r>
    <x v="1"/>
    <x v="0"/>
    <x v="0"/>
    <x v="1"/>
    <x v="1"/>
    <x v="0"/>
    <x v="0"/>
  </r>
  <r>
    <x v="1"/>
    <x v="0"/>
    <x v="0"/>
    <x v="1"/>
    <x v="0"/>
    <x v="0"/>
    <x v="0"/>
  </r>
  <r>
    <x v="0"/>
    <x v="0"/>
    <x v="1"/>
    <x v="1"/>
    <x v="1"/>
    <x v="0"/>
    <x v="0"/>
  </r>
  <r>
    <x v="0"/>
    <x v="0"/>
    <x v="1"/>
    <x v="1"/>
    <x v="1"/>
    <x v="0"/>
    <x v="0"/>
  </r>
  <r>
    <x v="1"/>
    <x v="1"/>
    <x v="0"/>
    <x v="1"/>
    <x v="1"/>
    <x v="0"/>
    <x v="0"/>
  </r>
  <r>
    <x v="1"/>
    <x v="0"/>
    <x v="1"/>
    <x v="0"/>
    <x v="1"/>
    <x v="0"/>
    <x v="0"/>
  </r>
  <r>
    <x v="0"/>
    <x v="0"/>
    <x v="1"/>
    <x v="1"/>
    <x v="1"/>
    <x v="0"/>
    <x v="0"/>
  </r>
  <r>
    <x v="0"/>
    <x v="0"/>
    <x v="1"/>
    <x v="1"/>
    <x v="0"/>
    <x v="0"/>
    <x v="5"/>
  </r>
  <r>
    <x v="0"/>
    <x v="0"/>
    <x v="1"/>
    <x v="1"/>
    <x v="1"/>
    <x v="0"/>
    <x v="0"/>
  </r>
  <r>
    <x v="0"/>
    <x v="0"/>
    <x v="1"/>
    <x v="1"/>
    <x v="1"/>
    <x v="0"/>
    <x v="0"/>
  </r>
  <r>
    <x v="0"/>
    <x v="0"/>
    <x v="0"/>
    <x v="1"/>
    <x v="0"/>
    <x v="0"/>
    <x v="0"/>
  </r>
  <r>
    <x v="0"/>
    <x v="0"/>
    <x v="0"/>
    <x v="1"/>
    <x v="1"/>
    <x v="0"/>
    <x v="0"/>
  </r>
  <r>
    <x v="1"/>
    <x v="0"/>
    <x v="0"/>
    <x v="1"/>
    <x v="1"/>
    <x v="0"/>
    <x v="0"/>
  </r>
  <r>
    <x v="0"/>
    <x v="0"/>
    <x v="0"/>
    <x v="0"/>
    <x v="1"/>
    <x v="0"/>
    <x v="0"/>
  </r>
  <r>
    <x v="1"/>
    <x v="0"/>
    <x v="0"/>
    <x v="0"/>
    <x v="0"/>
    <x v="0"/>
    <x v="0"/>
  </r>
  <r>
    <x v="0"/>
    <x v="0"/>
    <x v="1"/>
    <x v="1"/>
    <x v="1"/>
    <x v="0"/>
    <x v="0"/>
  </r>
  <r>
    <x v="0"/>
    <x v="0"/>
    <x v="1"/>
    <x v="1"/>
    <x v="1"/>
    <x v="0"/>
    <x v="0"/>
  </r>
  <r>
    <x v="1"/>
    <x v="0"/>
    <x v="0"/>
    <x v="1"/>
    <x v="1"/>
    <x v="0"/>
    <x v="0"/>
  </r>
  <r>
    <x v="0"/>
    <x v="0"/>
    <x v="1"/>
    <x v="1"/>
    <x v="0"/>
    <x v="0"/>
    <x v="0"/>
  </r>
  <r>
    <x v="0"/>
    <x v="0"/>
    <x v="1"/>
    <x v="1"/>
    <x v="1"/>
    <x v="0"/>
    <x v="6"/>
  </r>
  <r>
    <x v="0"/>
    <x v="0"/>
    <x v="1"/>
    <x v="1"/>
    <x v="0"/>
    <x v="0"/>
    <x v="0"/>
  </r>
  <r>
    <x v="0"/>
    <x v="0"/>
    <x v="0"/>
    <x v="0"/>
    <x v="1"/>
    <x v="0"/>
    <x v="0"/>
  </r>
  <r>
    <x v="0"/>
    <x v="0"/>
    <x v="1"/>
    <x v="1"/>
    <x v="1"/>
    <x v="0"/>
    <x v="0"/>
  </r>
  <r>
    <x v="0"/>
    <x v="0"/>
    <x v="1"/>
    <x v="1"/>
    <x v="1"/>
    <x v="0"/>
    <x v="0"/>
  </r>
  <r>
    <x v="0"/>
    <x v="0"/>
    <x v="1"/>
    <x v="1"/>
    <x v="1"/>
    <x v="0"/>
    <x v="0"/>
  </r>
  <r>
    <x v="0"/>
    <x v="0"/>
    <x v="1"/>
    <x v="1"/>
    <x v="1"/>
    <x v="0"/>
    <x v="7"/>
  </r>
  <r>
    <x v="0"/>
    <x v="0"/>
    <x v="1"/>
    <x v="1"/>
    <x v="1"/>
    <x v="0"/>
    <x v="0"/>
  </r>
  <r>
    <x v="0"/>
    <x v="0"/>
    <x v="1"/>
    <x v="1"/>
    <x v="1"/>
    <x v="0"/>
    <x v="8"/>
  </r>
  <r>
    <x v="1"/>
    <x v="0"/>
    <x v="1"/>
    <x v="0"/>
    <x v="1"/>
    <x v="0"/>
    <x v="9"/>
  </r>
  <r>
    <x v="0"/>
    <x v="0"/>
    <x v="1"/>
    <x v="1"/>
    <x v="0"/>
    <x v="0"/>
    <x v="0"/>
  </r>
  <r>
    <x v="0"/>
    <x v="0"/>
    <x v="0"/>
    <x v="1"/>
    <x v="1"/>
    <x v="0"/>
    <x v="0"/>
  </r>
  <r>
    <x v="0"/>
    <x v="0"/>
    <x v="1"/>
    <x v="1"/>
    <x v="0"/>
    <x v="0"/>
    <x v="0"/>
  </r>
  <r>
    <x v="0"/>
    <x v="0"/>
    <x v="0"/>
    <x v="1"/>
    <x v="1"/>
    <x v="0"/>
    <x v="0"/>
  </r>
  <r>
    <x v="1"/>
    <x v="0"/>
    <x v="0"/>
    <x v="1"/>
    <x v="1"/>
    <x v="0"/>
    <x v="0"/>
  </r>
  <r>
    <x v="1"/>
    <x v="1"/>
    <x v="1"/>
    <x v="0"/>
    <x v="1"/>
    <x v="0"/>
    <x v="0"/>
  </r>
  <r>
    <x v="1"/>
    <x v="0"/>
    <x v="1"/>
    <x v="1"/>
    <x v="1"/>
    <x v="0"/>
    <x v="0"/>
  </r>
  <r>
    <x v="0"/>
    <x v="0"/>
    <x v="1"/>
    <x v="1"/>
    <x v="1"/>
    <x v="0"/>
    <x v="0"/>
  </r>
  <r>
    <x v="0"/>
    <x v="0"/>
    <x v="1"/>
    <x v="1"/>
    <x v="0"/>
    <x v="0"/>
    <x v="0"/>
  </r>
  <r>
    <x v="1"/>
    <x v="0"/>
    <x v="1"/>
    <x v="1"/>
    <x v="1"/>
    <x v="0"/>
    <x v="0"/>
  </r>
  <r>
    <x v="1"/>
    <x v="0"/>
    <x v="1"/>
    <x v="0"/>
    <x v="1"/>
    <x v="0"/>
    <x v="0"/>
  </r>
  <r>
    <x v="1"/>
    <x v="1"/>
    <x v="0"/>
    <x v="1"/>
    <x v="1"/>
    <x v="0"/>
    <x v="0"/>
  </r>
  <r>
    <x v="0"/>
    <x v="0"/>
    <x v="0"/>
    <x v="1"/>
    <x v="0"/>
    <x v="0"/>
    <x v="0"/>
  </r>
  <r>
    <x v="1"/>
    <x v="0"/>
    <x v="1"/>
    <x v="1"/>
    <x v="0"/>
    <x v="0"/>
    <x v="0"/>
  </r>
  <r>
    <x v="0"/>
    <x v="1"/>
    <x v="1"/>
    <x v="1"/>
    <x v="0"/>
    <x v="0"/>
    <x v="0"/>
  </r>
  <r>
    <x v="0"/>
    <x v="0"/>
    <x v="0"/>
    <x v="1"/>
    <x v="0"/>
    <x v="0"/>
    <x v="0"/>
  </r>
  <r>
    <x v="0"/>
    <x v="0"/>
    <x v="0"/>
    <x v="0"/>
    <x v="0"/>
    <x v="0"/>
    <x v="0"/>
  </r>
  <r>
    <x v="0"/>
    <x v="0"/>
    <x v="1"/>
    <x v="1"/>
    <x v="1"/>
    <x v="0"/>
    <x v="0"/>
  </r>
  <r>
    <x v="0"/>
    <x v="0"/>
    <x v="1"/>
    <x v="0"/>
    <x v="0"/>
    <x v="0"/>
    <x v="0"/>
  </r>
  <r>
    <x v="0"/>
    <x v="1"/>
    <x v="1"/>
    <x v="1"/>
    <x v="1"/>
    <x v="0"/>
    <x v="0"/>
  </r>
  <r>
    <x v="0"/>
    <x v="0"/>
    <x v="1"/>
    <x v="1"/>
    <x v="1"/>
    <x v="0"/>
    <x v="0"/>
  </r>
  <r>
    <x v="1"/>
    <x v="0"/>
    <x v="0"/>
    <x v="1"/>
    <x v="1"/>
    <x v="0"/>
    <x v="0"/>
  </r>
  <r>
    <x v="0"/>
    <x v="0"/>
    <x v="1"/>
    <x v="1"/>
    <x v="1"/>
    <x v="0"/>
    <x v="0"/>
  </r>
  <r>
    <x v="0"/>
    <x v="1"/>
    <x v="1"/>
    <x v="0"/>
    <x v="1"/>
    <x v="0"/>
    <x v="0"/>
  </r>
  <r>
    <x v="0"/>
    <x v="0"/>
    <x v="1"/>
    <x v="1"/>
    <x v="1"/>
    <x v="0"/>
    <x v="0"/>
  </r>
  <r>
    <x v="1"/>
    <x v="0"/>
    <x v="1"/>
    <x v="1"/>
    <x v="1"/>
    <x v="0"/>
    <x v="0"/>
  </r>
  <r>
    <x v="0"/>
    <x v="0"/>
    <x v="1"/>
    <x v="1"/>
    <x v="0"/>
    <x v="0"/>
    <x v="0"/>
  </r>
  <r>
    <x v="1"/>
    <x v="0"/>
    <x v="0"/>
    <x v="1"/>
    <x v="0"/>
    <x v="0"/>
    <x v="0"/>
  </r>
  <r>
    <x v="0"/>
    <x v="0"/>
    <x v="1"/>
    <x v="1"/>
    <x v="0"/>
    <x v="0"/>
    <x v="0"/>
  </r>
  <r>
    <x v="0"/>
    <x v="1"/>
    <x v="1"/>
    <x v="1"/>
    <x v="1"/>
    <x v="0"/>
    <x v="0"/>
  </r>
  <r>
    <x v="0"/>
    <x v="0"/>
    <x v="1"/>
    <x v="1"/>
    <x v="1"/>
    <x v="0"/>
    <x v="0"/>
  </r>
  <r>
    <x v="1"/>
    <x v="0"/>
    <x v="1"/>
    <x v="1"/>
    <x v="0"/>
    <x v="0"/>
    <x v="0"/>
  </r>
  <r>
    <x v="0"/>
    <x v="0"/>
    <x v="1"/>
    <x v="1"/>
    <x v="1"/>
    <x v="0"/>
    <x v="0"/>
  </r>
  <r>
    <x v="1"/>
    <x v="0"/>
    <x v="0"/>
    <x v="1"/>
    <x v="0"/>
    <x v="0"/>
    <x v="0"/>
  </r>
  <r>
    <x v="0"/>
    <x v="0"/>
    <x v="1"/>
    <x v="1"/>
    <x v="1"/>
    <x v="0"/>
    <x v="0"/>
  </r>
  <r>
    <x v="0"/>
    <x v="0"/>
    <x v="1"/>
    <x v="1"/>
    <x v="1"/>
    <x v="0"/>
    <x v="0"/>
  </r>
  <r>
    <x v="1"/>
    <x v="0"/>
    <x v="1"/>
    <x v="1"/>
    <x v="0"/>
    <x v="0"/>
    <x v="0"/>
  </r>
  <r>
    <x v="0"/>
    <x v="0"/>
    <x v="1"/>
    <x v="1"/>
    <x v="1"/>
    <x v="0"/>
    <x v="0"/>
  </r>
  <r>
    <x v="0"/>
    <x v="0"/>
    <x v="1"/>
    <x v="1"/>
    <x v="0"/>
    <x v="0"/>
    <x v="0"/>
  </r>
  <r>
    <x v="0"/>
    <x v="0"/>
    <x v="1"/>
    <x v="0"/>
    <x v="0"/>
    <x v="0"/>
    <x v="10"/>
  </r>
  <r>
    <x v="1"/>
    <x v="0"/>
    <x v="1"/>
    <x v="1"/>
    <x v="0"/>
    <x v="0"/>
    <x v="0"/>
  </r>
  <r>
    <x v="0"/>
    <x v="0"/>
    <x v="1"/>
    <x v="1"/>
    <x v="1"/>
    <x v="0"/>
    <x v="0"/>
  </r>
  <r>
    <x v="0"/>
    <x v="0"/>
    <x v="1"/>
    <x v="0"/>
    <x v="0"/>
    <x v="0"/>
    <x v="0"/>
  </r>
  <r>
    <x v="0"/>
    <x v="0"/>
    <x v="0"/>
    <x v="1"/>
    <x v="1"/>
    <x v="0"/>
    <x v="0"/>
  </r>
  <r>
    <x v="0"/>
    <x v="0"/>
    <x v="1"/>
    <x v="1"/>
    <x v="1"/>
    <x v="0"/>
    <x v="0"/>
  </r>
  <r>
    <x v="0"/>
    <x v="0"/>
    <x v="1"/>
    <x v="1"/>
    <x v="1"/>
    <x v="0"/>
    <x v="0"/>
  </r>
  <r>
    <x v="0"/>
    <x v="0"/>
    <x v="0"/>
    <x v="0"/>
    <x v="1"/>
    <x v="0"/>
    <x v="0"/>
  </r>
  <r>
    <x v="0"/>
    <x v="0"/>
    <x v="1"/>
    <x v="1"/>
    <x v="0"/>
    <x v="0"/>
    <x v="0"/>
  </r>
  <r>
    <x v="0"/>
    <x v="0"/>
    <x v="1"/>
    <x v="0"/>
    <x v="0"/>
    <x v="0"/>
    <x v="11"/>
  </r>
  <r>
    <x v="0"/>
    <x v="0"/>
    <x v="1"/>
    <x v="1"/>
    <x v="1"/>
    <x v="0"/>
    <x v="0"/>
  </r>
  <r>
    <x v="0"/>
    <x v="0"/>
    <x v="0"/>
    <x v="1"/>
    <x v="1"/>
    <x v="0"/>
    <x v="0"/>
  </r>
  <r>
    <x v="0"/>
    <x v="0"/>
    <x v="0"/>
    <x v="1"/>
    <x v="0"/>
    <x v="0"/>
    <x v="0"/>
  </r>
  <r>
    <x v="0"/>
    <x v="0"/>
    <x v="0"/>
    <x v="0"/>
    <x v="1"/>
    <x v="0"/>
    <x v="0"/>
  </r>
  <r>
    <x v="0"/>
    <x v="0"/>
    <x v="0"/>
    <x v="1"/>
    <x v="1"/>
    <x v="0"/>
    <x v="0"/>
  </r>
  <r>
    <x v="0"/>
    <x v="0"/>
    <x v="1"/>
    <x v="0"/>
    <x v="0"/>
    <x v="0"/>
    <x v="0"/>
  </r>
  <r>
    <x v="1"/>
    <x v="0"/>
    <x v="1"/>
    <x v="1"/>
    <x v="0"/>
    <x v="0"/>
    <x v="0"/>
  </r>
  <r>
    <x v="1"/>
    <x v="0"/>
    <x v="1"/>
    <x v="1"/>
    <x v="0"/>
    <x v="0"/>
    <x v="0"/>
  </r>
  <r>
    <x v="1"/>
    <x v="0"/>
    <x v="1"/>
    <x v="1"/>
    <x v="0"/>
    <x v="0"/>
    <x v="12"/>
  </r>
  <r>
    <x v="0"/>
    <x v="0"/>
    <x v="1"/>
    <x v="1"/>
    <x v="0"/>
    <x v="0"/>
    <x v="0"/>
  </r>
  <r>
    <x v="0"/>
    <x v="0"/>
    <x v="1"/>
    <x v="1"/>
    <x v="1"/>
    <x v="0"/>
    <x v="0"/>
  </r>
  <r>
    <x v="0"/>
    <x v="1"/>
    <x v="1"/>
    <x v="0"/>
    <x v="1"/>
    <x v="0"/>
    <x v="0"/>
  </r>
  <r>
    <x v="0"/>
    <x v="0"/>
    <x v="1"/>
    <x v="1"/>
    <x v="0"/>
    <x v="0"/>
    <x v="0"/>
  </r>
  <r>
    <x v="1"/>
    <x v="0"/>
    <x v="1"/>
    <x v="1"/>
    <x v="0"/>
    <x v="0"/>
    <x v="0"/>
  </r>
  <r>
    <x v="1"/>
    <x v="1"/>
    <x v="1"/>
    <x v="1"/>
    <x v="1"/>
    <x v="0"/>
    <x v="0"/>
  </r>
  <r>
    <x v="0"/>
    <x v="0"/>
    <x v="0"/>
    <x v="1"/>
    <x v="1"/>
    <x v="0"/>
    <x v="0"/>
  </r>
  <r>
    <x v="1"/>
    <x v="0"/>
    <x v="0"/>
    <x v="1"/>
    <x v="1"/>
    <x v="0"/>
    <x v="0"/>
  </r>
  <r>
    <x v="0"/>
    <x v="1"/>
    <x v="1"/>
    <x v="1"/>
    <x v="0"/>
    <x v="0"/>
    <x v="0"/>
  </r>
  <r>
    <x v="0"/>
    <x v="0"/>
    <x v="1"/>
    <x v="1"/>
    <x v="0"/>
    <x v="0"/>
    <x v="0"/>
  </r>
  <r>
    <x v="0"/>
    <x v="0"/>
    <x v="1"/>
    <x v="1"/>
    <x v="1"/>
    <x v="0"/>
    <x v="0"/>
  </r>
  <r>
    <x v="0"/>
    <x v="0"/>
    <x v="1"/>
    <x v="1"/>
    <x v="1"/>
    <x v="0"/>
    <x v="0"/>
  </r>
  <r>
    <x v="1"/>
    <x v="0"/>
    <x v="1"/>
    <x v="1"/>
    <x v="0"/>
    <x v="0"/>
    <x v="0"/>
  </r>
  <r>
    <x v="0"/>
    <x v="0"/>
    <x v="1"/>
    <x v="1"/>
    <x v="1"/>
    <x v="0"/>
    <x v="0"/>
  </r>
  <r>
    <x v="0"/>
    <x v="0"/>
    <x v="1"/>
    <x v="1"/>
    <x v="1"/>
    <x v="0"/>
    <x v="13"/>
  </r>
  <r>
    <x v="1"/>
    <x v="1"/>
    <x v="0"/>
    <x v="1"/>
    <x v="0"/>
    <x v="0"/>
    <x v="0"/>
  </r>
  <r>
    <x v="0"/>
    <x v="0"/>
    <x v="0"/>
    <x v="0"/>
    <x v="1"/>
    <x v="0"/>
    <x v="0"/>
  </r>
  <r>
    <x v="1"/>
    <x v="0"/>
    <x v="1"/>
    <x v="1"/>
    <x v="0"/>
    <x v="0"/>
    <x v="0"/>
  </r>
  <r>
    <x v="1"/>
    <x v="0"/>
    <x v="0"/>
    <x v="1"/>
    <x v="0"/>
    <x v="0"/>
    <x v="0"/>
  </r>
  <r>
    <x v="0"/>
    <x v="0"/>
    <x v="1"/>
    <x v="1"/>
    <x v="1"/>
    <x v="0"/>
    <x v="0"/>
  </r>
  <r>
    <x v="1"/>
    <x v="0"/>
    <x v="1"/>
    <x v="1"/>
    <x v="1"/>
    <x v="0"/>
    <x v="0"/>
  </r>
  <r>
    <x v="0"/>
    <x v="0"/>
    <x v="0"/>
    <x v="1"/>
    <x v="0"/>
    <x v="0"/>
    <x v="0"/>
  </r>
  <r>
    <x v="0"/>
    <x v="0"/>
    <x v="1"/>
    <x v="1"/>
    <x v="0"/>
    <x v="0"/>
    <x v="0"/>
  </r>
  <r>
    <x v="0"/>
    <x v="0"/>
    <x v="1"/>
    <x v="1"/>
    <x v="1"/>
    <x v="0"/>
    <x v="0"/>
  </r>
  <r>
    <x v="0"/>
    <x v="0"/>
    <x v="1"/>
    <x v="1"/>
    <x v="1"/>
    <x v="0"/>
    <x v="0"/>
  </r>
  <r>
    <x v="0"/>
    <x v="0"/>
    <x v="0"/>
    <x v="1"/>
    <x v="0"/>
    <x v="0"/>
    <x v="0"/>
  </r>
  <r>
    <x v="0"/>
    <x v="0"/>
    <x v="0"/>
    <x v="1"/>
    <x v="0"/>
    <x v="0"/>
    <x v="0"/>
  </r>
  <r>
    <x v="1"/>
    <x v="1"/>
    <x v="1"/>
    <x v="0"/>
    <x v="1"/>
    <x v="0"/>
    <x v="0"/>
  </r>
  <r>
    <x v="1"/>
    <x v="0"/>
    <x v="1"/>
    <x v="1"/>
    <x v="1"/>
    <x v="0"/>
    <x v="14"/>
  </r>
  <r>
    <x v="0"/>
    <x v="0"/>
    <x v="1"/>
    <x v="1"/>
    <x v="1"/>
    <x v="0"/>
    <x v="0"/>
  </r>
  <r>
    <x v="1"/>
    <x v="0"/>
    <x v="1"/>
    <x v="0"/>
    <x v="1"/>
    <x v="0"/>
    <x v="0"/>
  </r>
  <r>
    <x v="0"/>
    <x v="0"/>
    <x v="1"/>
    <x v="1"/>
    <x v="1"/>
    <x v="0"/>
    <x v="0"/>
  </r>
  <r>
    <x v="0"/>
    <x v="0"/>
    <x v="1"/>
    <x v="1"/>
    <x v="1"/>
    <x v="0"/>
    <x v="0"/>
  </r>
  <r>
    <x v="0"/>
    <x v="0"/>
    <x v="1"/>
    <x v="1"/>
    <x v="0"/>
    <x v="0"/>
    <x v="0"/>
  </r>
  <r>
    <x v="0"/>
    <x v="0"/>
    <x v="1"/>
    <x v="1"/>
    <x v="1"/>
    <x v="0"/>
    <x v="0"/>
  </r>
  <r>
    <x v="1"/>
    <x v="0"/>
    <x v="1"/>
    <x v="0"/>
    <x v="1"/>
    <x v="0"/>
    <x v="15"/>
  </r>
  <r>
    <x v="0"/>
    <x v="0"/>
    <x v="0"/>
    <x v="1"/>
    <x v="1"/>
    <x v="0"/>
    <x v="0"/>
  </r>
  <r>
    <x v="0"/>
    <x v="0"/>
    <x v="1"/>
    <x v="1"/>
    <x v="1"/>
    <x v="0"/>
    <x v="0"/>
  </r>
  <r>
    <x v="0"/>
    <x v="0"/>
    <x v="1"/>
    <x v="1"/>
    <x v="1"/>
    <x v="0"/>
    <x v="16"/>
  </r>
  <r>
    <x v="0"/>
    <x v="0"/>
    <x v="0"/>
    <x v="0"/>
    <x v="1"/>
    <x v="0"/>
    <x v="17"/>
  </r>
  <r>
    <x v="1"/>
    <x v="0"/>
    <x v="1"/>
    <x v="1"/>
    <x v="1"/>
    <x v="0"/>
    <x v="0"/>
  </r>
  <r>
    <x v="0"/>
    <x v="0"/>
    <x v="1"/>
    <x v="1"/>
    <x v="1"/>
    <x v="0"/>
    <x v="0"/>
  </r>
  <r>
    <x v="1"/>
    <x v="0"/>
    <x v="1"/>
    <x v="0"/>
    <x v="1"/>
    <x v="0"/>
    <x v="18"/>
  </r>
  <r>
    <x v="0"/>
    <x v="0"/>
    <x v="0"/>
    <x v="0"/>
    <x v="1"/>
    <x v="0"/>
    <x v="0"/>
  </r>
  <r>
    <x v="1"/>
    <x v="0"/>
    <x v="0"/>
    <x v="1"/>
    <x v="0"/>
    <x v="0"/>
    <x v="0"/>
  </r>
  <r>
    <x v="0"/>
    <x v="0"/>
    <x v="1"/>
    <x v="1"/>
    <x v="1"/>
    <x v="0"/>
    <x v="0"/>
  </r>
  <r>
    <x v="0"/>
    <x v="0"/>
    <x v="1"/>
    <x v="1"/>
    <x v="1"/>
    <x v="0"/>
    <x v="0"/>
  </r>
  <r>
    <x v="0"/>
    <x v="0"/>
    <x v="0"/>
    <x v="1"/>
    <x v="0"/>
    <x v="0"/>
    <x v="0"/>
  </r>
  <r>
    <x v="1"/>
    <x v="0"/>
    <x v="1"/>
    <x v="0"/>
    <x v="1"/>
    <x v="0"/>
    <x v="0"/>
  </r>
  <r>
    <x v="0"/>
    <x v="0"/>
    <x v="1"/>
    <x v="1"/>
    <x v="1"/>
    <x v="0"/>
    <x v="0"/>
  </r>
  <r>
    <x v="1"/>
    <x v="0"/>
    <x v="1"/>
    <x v="1"/>
    <x v="0"/>
    <x v="0"/>
    <x v="0"/>
  </r>
  <r>
    <x v="0"/>
    <x v="0"/>
    <x v="1"/>
    <x v="1"/>
    <x v="1"/>
    <x v="0"/>
    <x v="0"/>
  </r>
  <r>
    <x v="1"/>
    <x v="0"/>
    <x v="0"/>
    <x v="1"/>
    <x v="0"/>
    <x v="0"/>
    <x v="0"/>
  </r>
  <r>
    <x v="1"/>
    <x v="0"/>
    <x v="0"/>
    <x v="1"/>
    <x v="1"/>
    <x v="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
  <r>
    <n v="6"/>
    <n v="4"/>
    <n v="6"/>
    <n v="6"/>
    <n v="5"/>
    <n v="6"/>
  </r>
  <r>
    <n v="2"/>
    <n v="7"/>
    <n v="7"/>
    <n v="7"/>
    <n v="7"/>
    <n v="7"/>
  </r>
  <r>
    <n v="4"/>
    <n v="6"/>
    <n v="7"/>
    <n v="6"/>
    <n v="5"/>
    <n v="6"/>
  </r>
  <r>
    <n v="4"/>
    <n v="5"/>
    <n v="7"/>
    <n v="5"/>
    <n v="7"/>
    <n v="6"/>
  </r>
  <r>
    <n v="4"/>
    <n v="5"/>
    <n v="5"/>
    <n v="4"/>
    <n v="7"/>
    <n v="7"/>
  </r>
  <r>
    <n v="3"/>
    <n v="6"/>
    <n v="5"/>
    <n v="5"/>
    <n v="4"/>
    <n v="7"/>
  </r>
  <r>
    <n v="6"/>
    <n v="5"/>
    <n v="6"/>
    <n v="5"/>
    <n v="6"/>
    <n v="7"/>
  </r>
  <r>
    <n v="7"/>
    <n v="6"/>
    <n v="5"/>
    <n v="6"/>
    <n v="6"/>
    <n v="1"/>
  </r>
  <r>
    <n v="6"/>
    <n v="5"/>
    <n v="5"/>
    <n v="5"/>
    <n v="6"/>
    <n v="6"/>
  </r>
  <r>
    <n v="6"/>
    <n v="5"/>
    <n v="6"/>
    <n v="5"/>
    <n v="7"/>
    <n v="4"/>
  </r>
  <r>
    <n v="7"/>
    <n v="7"/>
    <n v="7"/>
    <n v="7"/>
    <n v="7"/>
    <n v="7"/>
  </r>
  <r>
    <n v="4"/>
    <n v="6"/>
    <n v="5"/>
    <n v="5"/>
    <n v="6"/>
    <n v="6"/>
  </r>
  <r>
    <n v="4"/>
    <n v="5"/>
    <n v="6"/>
    <n v="6"/>
    <n v="6"/>
    <n v="6"/>
  </r>
  <r>
    <n v="5"/>
    <n v="6"/>
    <n v="5"/>
    <n v="5"/>
    <n v="6"/>
    <n v="1"/>
  </r>
  <r>
    <n v="5"/>
    <n v="5"/>
    <n v="5"/>
    <n v="5"/>
    <n v="7"/>
    <n v="7"/>
  </r>
  <r>
    <n v="7"/>
    <n v="7"/>
    <n v="7"/>
    <n v="7"/>
    <n v="7"/>
    <m/>
  </r>
  <r>
    <n v="5"/>
    <n v="6"/>
    <n v="6"/>
    <n v="5"/>
    <n v="6"/>
    <n v="7"/>
  </r>
  <r>
    <n v="7"/>
    <n v="7"/>
    <n v="7"/>
    <n v="4"/>
    <n v="7"/>
    <n v="2"/>
  </r>
  <r>
    <n v="5"/>
    <n v="7"/>
    <n v="6"/>
    <n v="5"/>
    <n v="6"/>
    <n v="6"/>
  </r>
  <r>
    <n v="5"/>
    <n v="7"/>
    <n v="7"/>
    <n v="6"/>
    <n v="5"/>
    <n v="6"/>
  </r>
  <r>
    <n v="7"/>
    <n v="6"/>
    <n v="7"/>
    <n v="6"/>
    <n v="6"/>
    <n v="6"/>
  </r>
  <r>
    <n v="5"/>
    <n v="7"/>
    <n v="7"/>
    <n v="5"/>
    <n v="7"/>
    <n v="6"/>
  </r>
  <r>
    <n v="7"/>
    <n v="6"/>
    <n v="7"/>
    <n v="7"/>
    <n v="6"/>
    <n v="6"/>
  </r>
  <r>
    <n v="5"/>
    <n v="6"/>
    <n v="7"/>
    <n v="7"/>
    <n v="6"/>
    <n v="7"/>
  </r>
  <r>
    <n v="4"/>
    <n v="5"/>
    <n v="6"/>
    <n v="5"/>
    <n v="5"/>
    <n v="3"/>
  </r>
  <r>
    <n v="5"/>
    <n v="6"/>
    <n v="7"/>
    <n v="6"/>
    <n v="7"/>
    <n v="6"/>
  </r>
  <r>
    <n v="7"/>
    <n v="7"/>
    <n v="7"/>
    <n v="7"/>
    <n v="7"/>
    <n v="5"/>
  </r>
  <r>
    <n v="5"/>
    <n v="4"/>
    <n v="6"/>
    <n v="6"/>
    <n v="6"/>
    <n v="7"/>
  </r>
  <r>
    <n v="7"/>
    <n v="7"/>
    <n v="7"/>
    <n v="7"/>
    <n v="7"/>
    <n v="7"/>
  </r>
  <r>
    <n v="7"/>
    <n v="6"/>
    <n v="7"/>
    <n v="6"/>
    <n v="6"/>
    <n v="1"/>
  </r>
  <r>
    <n v="3"/>
    <n v="5"/>
    <n v="5"/>
    <n v="5"/>
    <n v="5"/>
    <n v="5"/>
  </r>
  <r>
    <n v="4"/>
    <n v="7"/>
    <n v="5"/>
    <n v="7"/>
    <n v="6"/>
    <n v="4"/>
  </r>
  <r>
    <n v="6"/>
    <n v="7"/>
    <n v="7"/>
    <n v="7"/>
    <n v="7"/>
    <n v="1"/>
  </r>
  <r>
    <n v="4"/>
    <n v="5"/>
    <n v="7"/>
    <n v="5"/>
    <n v="5"/>
    <n v="2"/>
  </r>
  <r>
    <n v="6"/>
    <n v="6"/>
    <n v="6"/>
    <n v="6"/>
    <n v="7"/>
    <n v="7"/>
  </r>
  <r>
    <n v="7"/>
    <n v="7"/>
    <n v="7"/>
    <n v="7"/>
    <n v="7"/>
    <m/>
  </r>
  <r>
    <n v="6"/>
    <n v="6"/>
    <n v="7"/>
    <n v="6"/>
    <n v="5"/>
    <n v="5"/>
  </r>
  <r>
    <n v="7"/>
    <n v="7"/>
    <n v="7"/>
    <n v="7"/>
    <n v="7"/>
    <n v="7"/>
  </r>
  <r>
    <n v="5"/>
    <n v="7"/>
    <n v="1"/>
    <n v="3"/>
    <n v="7"/>
    <n v="1"/>
  </r>
  <r>
    <n v="6"/>
    <n v="7"/>
    <n v="7"/>
    <n v="6"/>
    <n v="7"/>
    <n v="7"/>
  </r>
  <r>
    <n v="5"/>
    <n v="5"/>
    <n v="6"/>
    <n v="6"/>
    <n v="6"/>
    <n v="7"/>
  </r>
  <r>
    <n v="3"/>
    <n v="6"/>
    <n v="7"/>
    <n v="7"/>
    <n v="5"/>
    <n v="4"/>
  </r>
  <r>
    <n v="5"/>
    <n v="6"/>
    <n v="6"/>
    <n v="6"/>
    <n v="7"/>
    <n v="5"/>
  </r>
  <r>
    <n v="4"/>
    <n v="4"/>
    <n v="4"/>
    <n v="4"/>
    <n v="4"/>
    <n v="7"/>
  </r>
  <r>
    <n v="5"/>
    <n v="5"/>
    <n v="5"/>
    <n v="4"/>
    <n v="6"/>
    <n v="7"/>
  </r>
  <r>
    <n v="7"/>
    <n v="7"/>
    <n v="7"/>
    <n v="7"/>
    <n v="5"/>
    <n v="5"/>
  </r>
  <r>
    <n v="5"/>
    <n v="7"/>
    <n v="7"/>
    <n v="7"/>
    <n v="7"/>
    <n v="7"/>
  </r>
  <r>
    <n v="7"/>
    <n v="7"/>
    <n v="7"/>
    <n v="7"/>
    <n v="7"/>
    <n v="5"/>
  </r>
  <r>
    <n v="5"/>
    <n v="6"/>
    <n v="6"/>
    <n v="6"/>
    <n v="7"/>
    <n v="4"/>
  </r>
  <r>
    <n v="5"/>
    <n v="6"/>
    <n v="6"/>
    <n v="4"/>
    <n v="7"/>
    <n v="5"/>
  </r>
  <r>
    <n v="7"/>
    <n v="7"/>
    <n v="7"/>
    <n v="7"/>
    <n v="7"/>
    <n v="7"/>
  </r>
  <r>
    <n v="4"/>
    <n v="7"/>
    <n v="6"/>
    <n v="5"/>
    <n v="6"/>
    <n v="6"/>
  </r>
  <r>
    <n v="6"/>
    <n v="6"/>
    <n v="6"/>
    <n v="5"/>
    <n v="5"/>
    <n v="4"/>
  </r>
  <r>
    <n v="7"/>
    <n v="7"/>
    <n v="7"/>
    <n v="7"/>
    <n v="7"/>
    <n v="7"/>
  </r>
  <r>
    <n v="7"/>
    <n v="7"/>
    <n v="7"/>
    <n v="7"/>
    <n v="7"/>
    <n v="7"/>
  </r>
  <r>
    <n v="6"/>
    <n v="6"/>
    <n v="6"/>
    <n v="6"/>
    <n v="6"/>
    <n v="6"/>
  </r>
  <r>
    <n v="6"/>
    <n v="5"/>
    <n v="5"/>
    <n v="4"/>
    <n v="7"/>
    <n v="4"/>
  </r>
  <r>
    <n v="7"/>
    <n v="7"/>
    <n v="7"/>
    <n v="7"/>
    <n v="7"/>
    <n v="7"/>
  </r>
  <r>
    <n v="6"/>
    <n v="6"/>
    <n v="6"/>
    <n v="6"/>
    <n v="6"/>
    <n v="6"/>
  </r>
  <r>
    <n v="7"/>
    <n v="7"/>
    <n v="7"/>
    <n v="7"/>
    <n v="7"/>
    <n v="7"/>
  </r>
  <r>
    <n v="5"/>
    <n v="5"/>
    <n v="5"/>
    <n v="5"/>
    <n v="7"/>
    <n v="7"/>
  </r>
  <r>
    <n v="7"/>
    <n v="7"/>
    <n v="7"/>
    <n v="7"/>
    <n v="7"/>
    <n v="7"/>
  </r>
  <r>
    <n v="4"/>
    <n v="5"/>
    <n v="5"/>
    <n v="5"/>
    <n v="4"/>
    <n v="7"/>
  </r>
  <r>
    <n v="5"/>
    <n v="6"/>
    <n v="5"/>
    <n v="6"/>
    <n v="4"/>
    <n v="5"/>
  </r>
  <r>
    <n v="3"/>
    <n v="3"/>
    <n v="4"/>
    <n v="2"/>
    <n v="6"/>
    <n v="6"/>
  </r>
  <r>
    <n v="5"/>
    <n v="6"/>
    <n v="7"/>
    <n v="6"/>
    <n v="7"/>
    <n v="6"/>
  </r>
  <r>
    <n v="5"/>
    <n v="4"/>
    <n v="7"/>
    <n v="6"/>
    <n v="7"/>
    <n v="7"/>
  </r>
  <r>
    <n v="5"/>
    <n v="6"/>
    <n v="6"/>
    <n v="7"/>
    <n v="7"/>
    <n v="1"/>
  </r>
  <r>
    <n v="7"/>
    <n v="7"/>
    <n v="7"/>
    <n v="7"/>
    <n v="7"/>
    <n v="7"/>
  </r>
  <r>
    <n v="5"/>
    <n v="7"/>
    <n v="5"/>
    <n v="5"/>
    <n v="5"/>
    <n v="5"/>
  </r>
  <r>
    <n v="6"/>
    <n v="4"/>
    <n v="6"/>
    <n v="6"/>
    <n v="6"/>
    <n v="4"/>
  </r>
  <r>
    <n v="7"/>
    <n v="6"/>
    <n v="7"/>
    <n v="7"/>
    <n v="7"/>
    <n v="4"/>
  </r>
  <r>
    <n v="6"/>
    <n v="6"/>
    <n v="7"/>
    <n v="7"/>
    <n v="7"/>
    <n v="7"/>
  </r>
  <r>
    <n v="3"/>
    <n v="3"/>
    <n v="6"/>
    <n v="6"/>
    <n v="6"/>
    <n v="4"/>
  </r>
  <r>
    <n v="7"/>
    <n v="7"/>
    <n v="7"/>
    <n v="7"/>
    <n v="7"/>
    <n v="1"/>
  </r>
  <r>
    <n v="7"/>
    <n v="7"/>
    <n v="7"/>
    <n v="4"/>
    <n v="7"/>
    <n v="7"/>
  </r>
  <r>
    <n v="7"/>
    <n v="6"/>
    <n v="6"/>
    <n v="6"/>
    <n v="6"/>
    <n v="7"/>
  </r>
  <r>
    <n v="5"/>
    <n v="5"/>
    <n v="6"/>
    <n v="6"/>
    <n v="5"/>
    <n v="3"/>
  </r>
  <r>
    <n v="7"/>
    <n v="7"/>
    <n v="7"/>
    <n v="7"/>
    <n v="7"/>
    <n v="4"/>
  </r>
  <r>
    <n v="4"/>
    <n v="4"/>
    <n v="4"/>
    <n v="3"/>
    <n v="7"/>
    <n v="2"/>
  </r>
  <r>
    <n v="7"/>
    <n v="7"/>
    <n v="7"/>
    <n v="7"/>
    <n v="7"/>
    <n v="5"/>
  </r>
  <r>
    <n v="7"/>
    <n v="6"/>
    <n v="7"/>
    <n v="7"/>
    <n v="7"/>
    <n v="7"/>
  </r>
  <r>
    <n v="6"/>
    <n v="5"/>
    <n v="6"/>
    <n v="5"/>
    <n v="6"/>
    <n v="6"/>
  </r>
  <r>
    <n v="7"/>
    <n v="7"/>
    <n v="7"/>
    <n v="7"/>
    <n v="7"/>
    <m/>
  </r>
  <r>
    <n v="7"/>
    <n v="7"/>
    <n v="7"/>
    <n v="6"/>
    <n v="4"/>
    <n v="7"/>
  </r>
  <r>
    <n v="7"/>
    <n v="4"/>
    <n v="7"/>
    <n v="6"/>
    <n v="7"/>
    <n v="4"/>
  </r>
  <r>
    <n v="6"/>
    <n v="6"/>
    <n v="6"/>
    <n v="6"/>
    <n v="7"/>
    <n v="6"/>
  </r>
  <r>
    <n v="7"/>
    <n v="7"/>
    <n v="7"/>
    <n v="7"/>
    <n v="7"/>
    <n v="7"/>
  </r>
  <r>
    <n v="3"/>
    <n v="2"/>
    <n v="6"/>
    <n v="6"/>
    <n v="6"/>
    <n v="1"/>
  </r>
  <r>
    <n v="6"/>
    <n v="7"/>
    <n v="7"/>
    <n v="7"/>
    <n v="7"/>
    <n v="6"/>
  </r>
  <r>
    <n v="7"/>
    <n v="5"/>
    <n v="5"/>
    <n v="6"/>
    <n v="5"/>
    <n v="2"/>
  </r>
  <r>
    <n v="3"/>
    <n v="4"/>
    <n v="5"/>
    <n v="5"/>
    <n v="7"/>
    <n v="7"/>
  </r>
  <r>
    <n v="4"/>
    <n v="7"/>
    <n v="4"/>
    <n v="4"/>
    <n v="7"/>
    <n v="7"/>
  </r>
  <r>
    <n v="5"/>
    <n v="5"/>
    <n v="7"/>
    <n v="6"/>
    <n v="6"/>
    <n v="7"/>
  </r>
  <r>
    <n v="5"/>
    <n v="5"/>
    <n v="7"/>
    <n v="6"/>
    <n v="5"/>
    <n v="4"/>
  </r>
  <r>
    <n v="6"/>
    <n v="5"/>
    <n v="6"/>
    <n v="5"/>
    <n v="5"/>
    <n v="7"/>
  </r>
  <r>
    <n v="5"/>
    <n v="7"/>
    <n v="7"/>
    <n v="7"/>
    <n v="7"/>
    <n v="6"/>
  </r>
  <r>
    <n v="7"/>
    <n v="5"/>
    <n v="7"/>
    <n v="7"/>
    <n v="7"/>
    <n v="7"/>
  </r>
  <r>
    <n v="6"/>
    <n v="6"/>
    <n v="6"/>
    <n v="6"/>
    <n v="7"/>
    <n v="7"/>
  </r>
  <r>
    <n v="5"/>
    <n v="5"/>
    <n v="6"/>
    <n v="6"/>
    <n v="7"/>
    <n v="7"/>
  </r>
  <r>
    <n v="6"/>
    <n v="5"/>
    <n v="6"/>
    <n v="6"/>
    <n v="7"/>
    <n v="6"/>
  </r>
  <r>
    <n v="7"/>
    <n v="6"/>
    <n v="7"/>
    <n v="6"/>
    <n v="7"/>
    <n v="5"/>
  </r>
  <r>
    <n v="2"/>
    <n v="6"/>
    <n v="6"/>
    <n v="5"/>
    <n v="7"/>
    <n v="7"/>
  </r>
  <r>
    <n v="5"/>
    <n v="6"/>
    <n v="7"/>
    <m/>
    <n v="6"/>
    <n v="7"/>
  </r>
  <r>
    <n v="5"/>
    <n v="6"/>
    <n v="5"/>
    <n v="5"/>
    <n v="7"/>
    <n v="6"/>
  </r>
  <r>
    <n v="5"/>
    <n v="7"/>
    <n v="7"/>
    <n v="6"/>
    <n v="6"/>
    <n v="7"/>
  </r>
  <r>
    <n v="3"/>
    <n v="1"/>
    <n v="7"/>
    <n v="6"/>
    <n v="7"/>
    <n v="7"/>
  </r>
  <r>
    <n v="2"/>
    <n v="4"/>
    <n v="4"/>
    <m/>
    <n v="3"/>
    <n v="5"/>
  </r>
  <r>
    <n v="3"/>
    <n v="5"/>
    <n v="7"/>
    <n v="5"/>
    <n v="7"/>
    <n v="7"/>
  </r>
  <r>
    <n v="6"/>
    <n v="6"/>
    <n v="6"/>
    <n v="6"/>
    <n v="6"/>
    <n v="6"/>
  </r>
  <r>
    <n v="7"/>
    <n v="7"/>
    <n v="7"/>
    <n v="7"/>
    <n v="7"/>
    <n v="1"/>
  </r>
  <r>
    <n v="3"/>
    <n v="5"/>
    <n v="7"/>
    <n v="5"/>
    <n v="7"/>
    <n v="7"/>
  </r>
  <r>
    <n v="3"/>
    <n v="6"/>
    <n v="5"/>
    <n v="5"/>
    <n v="7"/>
    <n v="7"/>
  </r>
  <r>
    <n v="3"/>
    <n v="4"/>
    <n v="4"/>
    <n v="3"/>
    <n v="7"/>
    <n v="5"/>
  </r>
  <r>
    <n v="6"/>
    <n v="5"/>
    <n v="5"/>
    <n v="6"/>
    <n v="6"/>
    <m/>
  </r>
  <r>
    <n v="5"/>
    <n v="5"/>
    <n v="5"/>
    <n v="5"/>
    <n v="6"/>
    <n v="7"/>
  </r>
  <r>
    <n v="6"/>
    <n v="7"/>
    <n v="6"/>
    <n v="6"/>
    <n v="7"/>
    <n v="4"/>
  </r>
  <r>
    <n v="6"/>
    <n v="6"/>
    <n v="5"/>
    <n v="5"/>
    <n v="5"/>
    <n v="6"/>
  </r>
  <r>
    <n v="7"/>
    <n v="7"/>
    <n v="7"/>
    <n v="7"/>
    <n v="7"/>
    <n v="5"/>
  </r>
  <r>
    <n v="5"/>
    <n v="5"/>
    <n v="6"/>
    <n v="6"/>
    <n v="7"/>
    <n v="7"/>
  </r>
  <r>
    <n v="7"/>
    <n v="6"/>
    <n v="6"/>
    <n v="6"/>
    <n v="7"/>
    <n v="3"/>
  </r>
  <r>
    <n v="7"/>
    <n v="5"/>
    <n v="5"/>
    <n v="5"/>
    <n v="5"/>
    <n v="7"/>
  </r>
  <r>
    <n v="3"/>
    <n v="3"/>
    <n v="7"/>
    <n v="5"/>
    <n v="7"/>
    <n v="7"/>
  </r>
  <r>
    <n v="5"/>
    <n v="5"/>
    <n v="5"/>
    <n v="5"/>
    <n v="5"/>
    <n v="1"/>
  </r>
  <r>
    <n v="5"/>
    <n v="6"/>
    <n v="6"/>
    <n v="6"/>
    <n v="6"/>
    <n v="6"/>
  </r>
  <r>
    <n v="3"/>
    <n v="5"/>
    <n v="6"/>
    <n v="4"/>
    <n v="7"/>
    <n v="6"/>
  </r>
  <r>
    <n v="5"/>
    <n v="5"/>
    <n v="2"/>
    <n v="4"/>
    <n v="4"/>
    <n v="1"/>
  </r>
  <r>
    <n v="5"/>
    <n v="6"/>
    <n v="5"/>
    <n v="7"/>
    <n v="6"/>
    <n v="5"/>
  </r>
  <r>
    <n v="6"/>
    <n v="6"/>
    <n v="7"/>
    <n v="7"/>
    <n v="7"/>
    <n v="7"/>
  </r>
  <r>
    <n v="4"/>
    <n v="5"/>
    <n v="4"/>
    <n v="6"/>
    <n v="6"/>
    <n v="7"/>
  </r>
  <r>
    <n v="4"/>
    <n v="3"/>
    <n v="3"/>
    <n v="3"/>
    <n v="5"/>
    <n v="7"/>
  </r>
  <r>
    <n v="4"/>
    <n v="7"/>
    <n v="5"/>
    <n v="5"/>
    <n v="5"/>
    <n v="7"/>
  </r>
  <r>
    <n v="6"/>
    <n v="7"/>
    <n v="7"/>
    <n v="6"/>
    <n v="7"/>
    <n v="4"/>
  </r>
  <r>
    <n v="6"/>
    <n v="7"/>
    <n v="7"/>
    <n v="7"/>
    <n v="6"/>
    <n v="4"/>
  </r>
  <r>
    <n v="5"/>
    <n v="5"/>
    <n v="7"/>
    <n v="6"/>
    <n v="7"/>
    <n v="7"/>
  </r>
  <r>
    <n v="6"/>
    <n v="6"/>
    <n v="6"/>
    <n v="6"/>
    <n v="6"/>
    <n v="6"/>
  </r>
  <r>
    <n v="4"/>
    <n v="7"/>
    <n v="7"/>
    <n v="7"/>
    <n v="7"/>
    <n v="5"/>
  </r>
  <r>
    <n v="3"/>
    <n v="4"/>
    <n v="4"/>
    <n v="4"/>
    <n v="7"/>
    <n v="4"/>
  </r>
  <r>
    <n v="5"/>
    <n v="6"/>
    <n v="4"/>
    <n v="5"/>
    <n v="6"/>
    <n v="4"/>
  </r>
  <r>
    <n v="7"/>
    <n v="7"/>
    <n v="7"/>
    <n v="7"/>
    <n v="7"/>
    <n v="3"/>
  </r>
  <r>
    <n v="7"/>
    <n v="7"/>
    <n v="7"/>
    <n v="7"/>
    <n v="7"/>
    <n v="7"/>
  </r>
  <r>
    <n v="7"/>
    <n v="5"/>
    <n v="5"/>
    <n v="5"/>
    <n v="7"/>
    <n v="7"/>
  </r>
  <r>
    <n v="4"/>
    <n v="4"/>
    <n v="4"/>
    <n v="4"/>
    <n v="5"/>
    <n v="4"/>
  </r>
  <r>
    <n v="4"/>
    <n v="4"/>
    <n v="5"/>
    <n v="4"/>
    <n v="7"/>
    <n v="6"/>
  </r>
  <r>
    <n v="6"/>
    <n v="5"/>
    <n v="5"/>
    <n v="5"/>
    <n v="6"/>
    <n v="4"/>
  </r>
  <r>
    <n v="3"/>
    <n v="4"/>
    <n v="5"/>
    <n v="6"/>
    <n v="7"/>
    <n v="7"/>
  </r>
  <r>
    <n v="7"/>
    <n v="7"/>
    <n v="7"/>
    <m/>
    <n v="5"/>
    <n v="1"/>
  </r>
  <r>
    <n v="7"/>
    <n v="5"/>
    <n v="7"/>
    <n v="7"/>
    <n v="7"/>
    <n v="7"/>
  </r>
  <r>
    <n v="7"/>
    <n v="7"/>
    <n v="7"/>
    <n v="7"/>
    <n v="7"/>
    <n v="5"/>
  </r>
  <r>
    <n v="6"/>
    <n v="2"/>
    <n v="2"/>
    <n v="1"/>
    <n v="7"/>
    <n v="2"/>
  </r>
  <r>
    <n v="6"/>
    <n v="4"/>
    <n v="5"/>
    <n v="5"/>
    <n v="6"/>
    <n v="1"/>
  </r>
  <r>
    <n v="5"/>
    <n v="6"/>
    <n v="6"/>
    <n v="5"/>
    <n v="6"/>
    <n v="6"/>
  </r>
  <r>
    <n v="5"/>
    <n v="6"/>
    <n v="6"/>
    <n v="6"/>
    <n v="7"/>
    <n v="7"/>
  </r>
  <r>
    <n v="2"/>
    <n v="4"/>
    <n v="4"/>
    <n v="5"/>
    <n v="7"/>
    <n v="5"/>
  </r>
  <r>
    <n v="6"/>
    <n v="7"/>
    <n v="7"/>
    <n v="6"/>
    <n v="7"/>
    <n v="7"/>
  </r>
  <r>
    <n v="7"/>
    <n v="7"/>
    <n v="7"/>
    <n v="7"/>
    <n v="7"/>
    <n v="1"/>
  </r>
  <r>
    <n v="5"/>
    <n v="6"/>
    <n v="5"/>
    <n v="4"/>
    <n v="6"/>
    <n v="6"/>
  </r>
  <r>
    <n v="7"/>
    <n v="7"/>
    <n v="6"/>
    <n v="7"/>
    <n v="7"/>
    <n v="7"/>
  </r>
  <r>
    <n v="5"/>
    <n v="6"/>
    <n v="6"/>
    <n v="5"/>
    <n v="6"/>
    <n v="5"/>
  </r>
  <r>
    <n v="3"/>
    <n v="6"/>
    <n v="4"/>
    <n v="3"/>
    <n v="7"/>
    <n v="4"/>
  </r>
  <r>
    <n v="4"/>
    <n v="6"/>
    <n v="5"/>
    <n v="5"/>
    <n v="6"/>
    <n v="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n v="7"/>
    <n v="6"/>
    <n v="7"/>
    <x v="0"/>
    <n v="7"/>
    <n v="6"/>
    <n v="5"/>
    <m/>
  </r>
  <r>
    <n v="7"/>
    <n v="6"/>
    <n v="7"/>
    <x v="1"/>
    <n v="7"/>
    <n v="7"/>
    <n v="5"/>
    <m/>
  </r>
  <r>
    <n v="7"/>
    <n v="6"/>
    <n v="7"/>
    <x v="1"/>
    <n v="7"/>
    <n v="7"/>
    <n v="5"/>
    <m/>
  </r>
  <r>
    <n v="7"/>
    <n v="7"/>
    <n v="7"/>
    <x v="1"/>
    <n v="7"/>
    <n v="7"/>
    <n v="7"/>
    <m/>
  </r>
  <r>
    <n v="7"/>
    <n v="6"/>
    <n v="6"/>
    <x v="0"/>
    <n v="7"/>
    <n v="7"/>
    <n v="5"/>
    <s v="Sometimes the seats &amp; tables are too close together.  I would rather sit across from my partner than next to."/>
  </r>
  <r>
    <n v="7"/>
    <n v="5"/>
    <n v="6"/>
    <x v="0"/>
    <n v="7"/>
    <n v="7"/>
    <n v="7"/>
    <s v="The only thing I feel is strange is when they seat my husband and I next to each other instead of across from each other when we go alone.  It makes me feel like the couple on the other side is a little too involved with our conversation!"/>
  </r>
  <r>
    <n v="7"/>
    <n v="6"/>
    <n v="6"/>
    <x v="1"/>
    <n v="7"/>
    <n v="7"/>
    <n v="7"/>
    <m/>
  </r>
  <r>
    <n v="7"/>
    <n v="6"/>
    <n v="5"/>
    <x v="2"/>
    <n v="7"/>
    <s v="not applicable"/>
    <n v="1"/>
    <m/>
  </r>
  <r>
    <n v="7"/>
    <n v="7"/>
    <n v="7"/>
    <x v="1"/>
    <n v="7"/>
    <n v="7"/>
    <n v="7"/>
    <m/>
  </r>
  <r>
    <n v="7"/>
    <n v="6"/>
    <n v="5"/>
    <x v="0"/>
    <n v="7"/>
    <n v="7"/>
    <n v="6"/>
    <m/>
  </r>
  <r>
    <n v="7"/>
    <n v="7"/>
    <n v="7"/>
    <x v="1"/>
    <n v="7"/>
    <n v="7"/>
    <n v="7"/>
    <m/>
  </r>
  <r>
    <n v="7"/>
    <n v="6"/>
    <n v="7"/>
    <x v="1"/>
    <n v="7"/>
    <n v="7"/>
    <n v="6"/>
    <m/>
  </r>
  <r>
    <n v="6"/>
    <n v="6"/>
    <n v="7"/>
    <x v="0"/>
    <n v="7"/>
    <n v="7"/>
    <n v="7"/>
    <m/>
  </r>
  <r>
    <n v="6"/>
    <n v="5"/>
    <n v="7"/>
    <x v="0"/>
    <n v="6"/>
    <n v="6"/>
    <n v="6"/>
    <s v="I would love to see different food choices!!"/>
  </r>
  <r>
    <n v="6"/>
    <n v="6"/>
    <n v="7"/>
    <x v="1"/>
    <n v="7"/>
    <n v="6"/>
    <n v="6"/>
    <m/>
  </r>
  <r>
    <m/>
    <n v="6"/>
    <n v="7"/>
    <x v="1"/>
    <n v="6"/>
    <n v="6"/>
    <n v="6"/>
    <m/>
  </r>
  <r>
    <n v="7"/>
    <n v="6"/>
    <n v="7"/>
    <x v="1"/>
    <n v="7"/>
    <n v="7"/>
    <n v="5"/>
    <s v="Sometimes it is hard to turn your chair to see the stage well making things a bit uncomfortable."/>
  </r>
  <r>
    <s v="not applicable"/>
    <n v="6"/>
    <n v="7"/>
    <x v="0"/>
    <n v="6"/>
    <n v="7"/>
    <n v="5"/>
    <s v="MORE BATHROOMS, MORE ELBOW ROOM,"/>
  </r>
  <r>
    <n v="7"/>
    <n v="6"/>
    <n v="7"/>
    <x v="0"/>
    <n v="6"/>
    <n v="6"/>
    <n v="6"/>
    <m/>
  </r>
  <r>
    <n v="7"/>
    <n v="7"/>
    <n v="7"/>
    <x v="1"/>
    <n v="7"/>
    <n v="6"/>
    <n v="4"/>
    <m/>
  </r>
  <r>
    <n v="6"/>
    <n v="6"/>
    <n v="6"/>
    <x v="1"/>
    <n v="7"/>
    <n v="6"/>
    <n v="6"/>
    <m/>
  </r>
  <r>
    <n v="7"/>
    <n v="6"/>
    <n v="7"/>
    <x v="0"/>
    <n v="6"/>
    <n v="6"/>
    <n v="5"/>
    <m/>
  </r>
  <r>
    <s v="not applicable"/>
    <n v="6"/>
    <s v="not applicable"/>
    <x v="1"/>
    <s v="not applicable"/>
    <s v="not applicable"/>
    <n v="6"/>
    <s v="too  many tables, too close together!!"/>
  </r>
  <r>
    <n v="6"/>
    <n v="4"/>
    <n v="6"/>
    <x v="0"/>
    <n v="5"/>
    <n v="6"/>
    <n v="5"/>
    <m/>
  </r>
  <r>
    <n v="5"/>
    <n v="6"/>
    <n v="7"/>
    <x v="1"/>
    <n v="7"/>
    <n v="7"/>
    <n v="5"/>
    <m/>
  </r>
  <r>
    <n v="7"/>
    <n v="7"/>
    <n v="7"/>
    <x v="1"/>
    <n v="7"/>
    <n v="7"/>
    <n v="7"/>
    <m/>
  </r>
  <r>
    <n v="7"/>
    <n v="6"/>
    <n v="7"/>
    <x v="0"/>
    <n v="7"/>
    <n v="7"/>
    <n v="6"/>
    <s v="When you eat a meal its hard to eat if yu are to cramped"/>
  </r>
  <r>
    <n v="7"/>
    <s v="not applicable"/>
    <n v="7"/>
    <x v="1"/>
    <n v="7"/>
    <n v="7"/>
    <n v="7"/>
    <m/>
  </r>
  <r>
    <n v="7"/>
    <n v="7"/>
    <n v="7"/>
    <x v="1"/>
    <n v="7"/>
    <n v="7"/>
    <n v="3"/>
    <m/>
  </r>
  <r>
    <n v="5"/>
    <n v="3"/>
    <n v="4"/>
    <x v="3"/>
    <n v="6"/>
    <n v="6"/>
    <n v="6"/>
    <s v="food was cold"/>
  </r>
  <r>
    <n v="6"/>
    <n v="5"/>
    <n v="5"/>
    <x v="4"/>
    <n v="6"/>
    <n v="6"/>
    <n v="5"/>
    <m/>
  </r>
  <r>
    <n v="6"/>
    <n v="6"/>
    <n v="6"/>
    <x v="0"/>
    <n v="6"/>
    <n v="6"/>
    <n v="6"/>
    <m/>
  </r>
  <r>
    <n v="6"/>
    <n v="5"/>
    <n v="6"/>
    <x v="0"/>
    <n v="6"/>
    <n v="7"/>
    <n v="5"/>
    <m/>
  </r>
  <r>
    <n v="5"/>
    <n v="7"/>
    <n v="7"/>
    <x v="1"/>
    <n v="7"/>
    <n v="6"/>
    <n v="5"/>
    <m/>
  </r>
  <r>
    <n v="7"/>
    <n v="7"/>
    <n v="7"/>
    <x v="4"/>
    <n v="7"/>
    <n v="6"/>
    <n v="5"/>
    <m/>
  </r>
  <r>
    <n v="6"/>
    <n v="6"/>
    <n v="6"/>
    <x v="0"/>
    <n v="6"/>
    <n v="6"/>
    <n v="5"/>
    <m/>
  </r>
  <r>
    <n v="6"/>
    <n v="6"/>
    <n v="6"/>
    <x v="0"/>
    <n v="6"/>
    <n v="6"/>
    <n v="6"/>
    <m/>
  </r>
  <r>
    <n v="7"/>
    <n v="5"/>
    <n v="7"/>
    <x v="0"/>
    <n v="6"/>
    <n v="5"/>
    <n v="5"/>
    <m/>
  </r>
  <r>
    <n v="7"/>
    <n v="7"/>
    <n v="7"/>
    <x v="1"/>
    <n v="7"/>
    <n v="7"/>
    <n v="7"/>
    <m/>
  </r>
  <r>
    <n v="7"/>
    <n v="6"/>
    <n v="7"/>
    <x v="0"/>
    <n v="7"/>
    <n v="7"/>
    <n v="7"/>
    <m/>
  </r>
  <r>
    <n v="7"/>
    <n v="6"/>
    <n v="7"/>
    <x v="1"/>
    <n v="7"/>
    <n v="7"/>
    <n v="7"/>
    <m/>
  </r>
  <r>
    <s v="not applicable"/>
    <n v="7"/>
    <n v="7"/>
    <x v="1"/>
    <n v="7"/>
    <n v="7"/>
    <n v="4"/>
    <m/>
  </r>
  <r>
    <n v="7"/>
    <n v="6"/>
    <n v="6"/>
    <x v="0"/>
    <n v="6"/>
    <n v="7"/>
    <n v="5"/>
    <m/>
  </r>
  <r>
    <n v="7"/>
    <n v="7"/>
    <n v="7"/>
    <x v="1"/>
    <n v="7"/>
    <n v="7"/>
    <n v="6"/>
    <m/>
  </r>
  <r>
    <n v="7"/>
    <n v="7"/>
    <n v="7"/>
    <x v="1"/>
    <n v="7"/>
    <n v="7"/>
    <n v="6"/>
    <m/>
  </r>
  <r>
    <n v="7"/>
    <n v="3"/>
    <n v="7"/>
    <x v="1"/>
    <n v="7"/>
    <n v="7"/>
    <n v="4"/>
    <s v="The food is not up to past presentations and the seats have never been too &quot;tush&quot; friendly."/>
  </r>
  <r>
    <n v="7"/>
    <n v="5"/>
    <n v="7"/>
    <x v="1"/>
    <n v="7"/>
    <n v="7"/>
    <n v="7"/>
    <s v="Had prime rib and all at our table felt it was more done like a roast.....over cooked"/>
  </r>
  <r>
    <s v="not applicable"/>
    <n v="7"/>
    <n v="7"/>
    <x v="1"/>
    <n v="7"/>
    <n v="7"/>
    <n v="5"/>
    <s v="The current chairs can get uncomfortable without a break"/>
  </r>
  <r>
    <n v="7"/>
    <n v="7"/>
    <n v="7"/>
    <x v="1"/>
    <n v="6"/>
    <n v="7"/>
    <n v="5"/>
    <s v="Bathrooms could be more clean and it is hard to turn chair toward stage when seated by a ledge"/>
  </r>
  <r>
    <n v="6"/>
    <n v="7"/>
    <n v="6"/>
    <x v="0"/>
    <n v="7"/>
    <n v="7"/>
    <n v="6"/>
    <m/>
  </r>
  <r>
    <n v="7"/>
    <n v="7"/>
    <n v="7"/>
    <x v="1"/>
    <n v="7"/>
    <n v="7"/>
    <n v="7"/>
    <m/>
  </r>
  <r>
    <n v="7"/>
    <n v="5"/>
    <n v="7"/>
    <x v="1"/>
    <n v="7"/>
    <n v="7"/>
    <n v="6"/>
    <m/>
  </r>
  <r>
    <n v="7"/>
    <n v="7"/>
    <n v="7"/>
    <x v="0"/>
    <n v="7"/>
    <n v="7"/>
    <n v="7"/>
    <m/>
  </r>
  <r>
    <n v="7"/>
    <n v="6"/>
    <n v="6"/>
    <x v="0"/>
    <n v="7"/>
    <n v="7"/>
    <n v="7"/>
    <m/>
  </r>
  <r>
    <n v="7"/>
    <n v="7"/>
    <n v="6"/>
    <x v="1"/>
    <n v="6"/>
    <n v="7"/>
    <n v="6"/>
    <m/>
  </r>
  <r>
    <n v="6"/>
    <n v="6"/>
    <n v="6"/>
    <x v="0"/>
    <n v="7"/>
    <n v="6"/>
    <n v="6"/>
    <m/>
  </r>
  <r>
    <n v="6"/>
    <n v="6"/>
    <n v="7"/>
    <x v="1"/>
    <n v="7"/>
    <n v="7"/>
    <n v="6"/>
    <m/>
  </r>
  <r>
    <n v="4"/>
    <n v="4"/>
    <n v="5"/>
    <x v="4"/>
    <n v="6"/>
    <n v="7"/>
    <n v="5"/>
    <m/>
  </r>
  <r>
    <n v="7"/>
    <n v="7"/>
    <n v="7"/>
    <x v="1"/>
    <n v="7"/>
    <n v="7"/>
    <n v="7"/>
    <m/>
  </r>
  <r>
    <n v="7"/>
    <n v="7"/>
    <n v="7"/>
    <x v="1"/>
    <n v="7"/>
    <n v="7"/>
    <n v="6"/>
    <m/>
  </r>
  <r>
    <n v="5"/>
    <n v="5"/>
    <n v="5"/>
    <x v="4"/>
    <n v="7"/>
    <n v="7"/>
    <n v="7"/>
    <m/>
  </r>
  <r>
    <n v="7"/>
    <n v="7"/>
    <n v="7"/>
    <x v="1"/>
    <n v="7"/>
    <n v="7"/>
    <n v="5"/>
    <m/>
  </r>
  <r>
    <n v="6"/>
    <n v="6"/>
    <n v="6"/>
    <x v="1"/>
    <n v="7"/>
    <n v="7"/>
    <n v="6"/>
    <m/>
  </r>
  <r>
    <n v="6"/>
    <n v="7"/>
    <n v="7"/>
    <x v="1"/>
    <n v="7"/>
    <n v="7"/>
    <n v="7"/>
    <m/>
  </r>
  <r>
    <n v="7"/>
    <m/>
    <n v="5"/>
    <x v="0"/>
    <n v="6"/>
    <n v="6"/>
    <n v="6"/>
    <m/>
  </r>
  <r>
    <n v="6"/>
    <n v="5"/>
    <n v="6"/>
    <x v="4"/>
    <n v="6"/>
    <n v="6"/>
    <n v="4"/>
    <m/>
  </r>
  <r>
    <n v="7"/>
    <n v="7"/>
    <n v="7"/>
    <x v="1"/>
    <n v="7"/>
    <n v="7"/>
    <n v="7"/>
    <m/>
  </r>
  <r>
    <n v="4"/>
    <s v="not applicable"/>
    <n v="7"/>
    <x v="1"/>
    <n v="7"/>
    <n v="7"/>
    <n v="6"/>
    <s v="We've never been disappointed"/>
  </r>
  <r>
    <n v="7"/>
    <n v="5"/>
    <n v="6"/>
    <x v="0"/>
    <n v="7"/>
    <n v="7"/>
    <n v="6"/>
    <m/>
  </r>
  <r>
    <n v="7"/>
    <n v="6"/>
    <n v="6"/>
    <x v="0"/>
    <n v="6"/>
    <n v="6"/>
    <n v="6"/>
    <m/>
  </r>
  <r>
    <n v="7"/>
    <s v="not applicable"/>
    <n v="7"/>
    <x v="1"/>
    <n v="7"/>
    <n v="7"/>
    <n v="7"/>
    <m/>
  </r>
  <r>
    <n v="7"/>
    <n v="4"/>
    <n v="5"/>
    <x v="5"/>
    <n v="6"/>
    <n v="7"/>
    <n v="6"/>
    <m/>
  </r>
  <r>
    <n v="7"/>
    <n v="7"/>
    <n v="7"/>
    <x v="1"/>
    <n v="7"/>
    <n v="7"/>
    <n v="7"/>
    <m/>
  </r>
  <r>
    <n v="6"/>
    <n v="6"/>
    <n v="6"/>
    <x v="4"/>
    <n v="6"/>
    <n v="7"/>
    <n v="6"/>
    <m/>
  </r>
  <r>
    <m/>
    <m/>
    <m/>
    <x v="6"/>
    <m/>
    <m/>
    <m/>
    <m/>
  </r>
  <r>
    <m/>
    <m/>
    <m/>
    <x v="6"/>
    <m/>
    <m/>
    <m/>
    <m/>
  </r>
  <r>
    <m/>
    <m/>
    <m/>
    <x v="6"/>
    <m/>
    <m/>
    <m/>
    <m/>
  </r>
  <r>
    <m/>
    <m/>
    <m/>
    <x v="6"/>
    <m/>
    <m/>
    <m/>
    <m/>
  </r>
  <r>
    <m/>
    <m/>
    <m/>
    <x v="6"/>
    <m/>
    <m/>
    <m/>
    <m/>
  </r>
  <r>
    <m/>
    <m/>
    <m/>
    <x v="6"/>
    <m/>
    <m/>
    <m/>
    <m/>
  </r>
  <r>
    <m/>
    <m/>
    <m/>
    <x v="6"/>
    <m/>
    <m/>
    <m/>
    <m/>
  </r>
  <r>
    <m/>
    <m/>
    <m/>
    <x v="6"/>
    <m/>
    <m/>
    <m/>
    <m/>
  </r>
  <r>
    <m/>
    <m/>
    <m/>
    <x v="6"/>
    <m/>
    <m/>
    <m/>
    <m/>
  </r>
  <r>
    <m/>
    <m/>
    <m/>
    <x v="6"/>
    <m/>
    <m/>
    <m/>
    <m/>
  </r>
  <r>
    <m/>
    <m/>
    <m/>
    <x v="6"/>
    <m/>
    <m/>
    <m/>
    <m/>
  </r>
  <r>
    <m/>
    <m/>
    <m/>
    <x v="6"/>
    <m/>
    <m/>
    <m/>
    <m/>
  </r>
  <r>
    <m/>
    <m/>
    <m/>
    <x v="6"/>
    <m/>
    <m/>
    <m/>
    <m/>
  </r>
  <r>
    <m/>
    <m/>
    <m/>
    <x v="6"/>
    <m/>
    <m/>
    <m/>
    <m/>
  </r>
  <r>
    <m/>
    <m/>
    <m/>
    <x v="6"/>
    <m/>
    <m/>
    <m/>
    <m/>
  </r>
  <r>
    <n v="7"/>
    <n v="7"/>
    <n v="7"/>
    <x v="1"/>
    <n v="7"/>
    <n v="7"/>
    <n v="7"/>
    <m/>
  </r>
  <r>
    <m/>
    <m/>
    <m/>
    <x v="6"/>
    <m/>
    <m/>
    <m/>
    <m/>
  </r>
  <r>
    <m/>
    <m/>
    <m/>
    <x v="6"/>
    <m/>
    <m/>
    <m/>
    <m/>
  </r>
  <r>
    <m/>
    <m/>
    <m/>
    <x v="6"/>
    <m/>
    <m/>
    <m/>
    <m/>
  </r>
  <r>
    <m/>
    <m/>
    <m/>
    <x v="6"/>
    <m/>
    <m/>
    <m/>
    <m/>
  </r>
  <r>
    <n v="5"/>
    <n v="6"/>
    <n v="6"/>
    <x v="5"/>
    <n v="5"/>
    <n v="4"/>
    <n v="3"/>
    <m/>
  </r>
  <r>
    <m/>
    <m/>
    <m/>
    <x v="6"/>
    <m/>
    <m/>
    <m/>
    <m/>
  </r>
  <r>
    <m/>
    <m/>
    <m/>
    <x v="6"/>
    <m/>
    <m/>
    <m/>
    <m/>
  </r>
  <r>
    <m/>
    <m/>
    <m/>
    <x v="6"/>
    <m/>
    <m/>
    <m/>
    <m/>
  </r>
  <r>
    <m/>
    <m/>
    <m/>
    <x v="6"/>
    <m/>
    <m/>
    <m/>
    <m/>
  </r>
  <r>
    <m/>
    <m/>
    <m/>
    <x v="6"/>
    <m/>
    <m/>
    <m/>
    <m/>
  </r>
  <r>
    <m/>
    <m/>
    <m/>
    <x v="6"/>
    <m/>
    <m/>
    <m/>
    <m/>
  </r>
  <r>
    <m/>
    <m/>
    <m/>
    <x v="6"/>
    <m/>
    <m/>
    <m/>
    <m/>
  </r>
  <r>
    <m/>
    <m/>
    <m/>
    <x v="6"/>
    <m/>
    <m/>
    <m/>
    <m/>
  </r>
  <r>
    <m/>
    <m/>
    <m/>
    <x v="6"/>
    <m/>
    <m/>
    <m/>
    <m/>
  </r>
  <r>
    <m/>
    <m/>
    <m/>
    <x v="6"/>
    <m/>
    <m/>
    <m/>
    <m/>
  </r>
  <r>
    <m/>
    <m/>
    <m/>
    <x v="6"/>
    <m/>
    <m/>
    <m/>
    <m/>
  </r>
  <r>
    <m/>
    <m/>
    <m/>
    <x v="6"/>
    <m/>
    <m/>
    <m/>
    <m/>
  </r>
  <r>
    <m/>
    <m/>
    <m/>
    <x v="6"/>
    <m/>
    <m/>
    <m/>
    <m/>
  </r>
  <r>
    <m/>
    <m/>
    <m/>
    <x v="6"/>
    <m/>
    <m/>
    <m/>
    <m/>
  </r>
  <r>
    <m/>
    <m/>
    <m/>
    <x v="6"/>
    <m/>
    <m/>
    <m/>
    <m/>
  </r>
  <r>
    <m/>
    <m/>
    <m/>
    <x v="6"/>
    <m/>
    <m/>
    <m/>
    <m/>
  </r>
  <r>
    <m/>
    <m/>
    <m/>
    <x v="6"/>
    <m/>
    <m/>
    <m/>
    <m/>
  </r>
  <r>
    <m/>
    <m/>
    <m/>
    <x v="6"/>
    <m/>
    <m/>
    <m/>
    <m/>
  </r>
  <r>
    <m/>
    <m/>
    <m/>
    <x v="6"/>
    <m/>
    <m/>
    <m/>
    <m/>
  </r>
  <r>
    <m/>
    <m/>
    <m/>
    <x v="6"/>
    <m/>
    <m/>
    <m/>
    <m/>
  </r>
  <r>
    <m/>
    <m/>
    <m/>
    <x v="6"/>
    <m/>
    <m/>
    <m/>
    <m/>
  </r>
  <r>
    <m/>
    <m/>
    <m/>
    <x v="6"/>
    <m/>
    <m/>
    <m/>
    <m/>
  </r>
  <r>
    <m/>
    <m/>
    <m/>
    <x v="6"/>
    <m/>
    <m/>
    <m/>
    <m/>
  </r>
  <r>
    <m/>
    <n v="4"/>
    <n v="4"/>
    <x v="3"/>
    <n v="6"/>
    <n v="6"/>
    <n v="4"/>
    <m/>
  </r>
  <r>
    <m/>
    <m/>
    <m/>
    <x v="6"/>
    <m/>
    <m/>
    <m/>
    <m/>
  </r>
  <r>
    <m/>
    <m/>
    <m/>
    <x v="6"/>
    <m/>
    <m/>
    <m/>
    <m/>
  </r>
  <r>
    <m/>
    <m/>
    <m/>
    <x v="6"/>
    <m/>
    <m/>
    <m/>
    <m/>
  </r>
  <r>
    <m/>
    <m/>
    <m/>
    <x v="6"/>
    <m/>
    <m/>
    <m/>
    <m/>
  </r>
  <r>
    <m/>
    <m/>
    <m/>
    <x v="6"/>
    <m/>
    <m/>
    <m/>
    <m/>
  </r>
  <r>
    <m/>
    <m/>
    <m/>
    <x v="6"/>
    <m/>
    <m/>
    <m/>
    <m/>
  </r>
  <r>
    <m/>
    <m/>
    <m/>
    <x v="6"/>
    <m/>
    <m/>
    <m/>
    <m/>
  </r>
  <r>
    <m/>
    <m/>
    <m/>
    <x v="6"/>
    <m/>
    <m/>
    <m/>
    <m/>
  </r>
  <r>
    <m/>
    <m/>
    <m/>
    <x v="6"/>
    <m/>
    <m/>
    <m/>
    <m/>
  </r>
  <r>
    <m/>
    <m/>
    <m/>
    <x v="6"/>
    <m/>
    <m/>
    <m/>
    <m/>
  </r>
  <r>
    <m/>
    <m/>
    <m/>
    <x v="6"/>
    <m/>
    <m/>
    <m/>
    <m/>
  </r>
  <r>
    <m/>
    <m/>
    <m/>
    <x v="6"/>
    <m/>
    <m/>
    <m/>
    <m/>
  </r>
  <r>
    <m/>
    <m/>
    <m/>
    <x v="6"/>
    <m/>
    <m/>
    <m/>
    <m/>
  </r>
  <r>
    <m/>
    <m/>
    <m/>
    <x v="6"/>
    <m/>
    <m/>
    <m/>
    <m/>
  </r>
  <r>
    <m/>
    <m/>
    <m/>
    <x v="6"/>
    <m/>
    <m/>
    <m/>
    <m/>
  </r>
  <r>
    <m/>
    <m/>
    <m/>
    <x v="6"/>
    <m/>
    <m/>
    <m/>
    <m/>
  </r>
  <r>
    <n v="5"/>
    <n v="6"/>
    <n v="6"/>
    <x v="0"/>
    <n v="6"/>
    <n v="6"/>
    <n v="5"/>
    <m/>
  </r>
  <r>
    <m/>
    <m/>
    <m/>
    <x v="6"/>
    <m/>
    <m/>
    <m/>
    <m/>
  </r>
  <r>
    <n v="6"/>
    <n v="6"/>
    <n v="6"/>
    <x v="0"/>
    <n v="6"/>
    <n v="6"/>
    <n v="6"/>
    <m/>
  </r>
  <r>
    <m/>
    <m/>
    <m/>
    <x v="6"/>
    <m/>
    <m/>
    <m/>
    <m/>
  </r>
  <r>
    <m/>
    <m/>
    <m/>
    <x v="6"/>
    <m/>
    <m/>
    <m/>
    <m/>
  </r>
  <r>
    <m/>
    <m/>
    <m/>
    <x v="6"/>
    <m/>
    <m/>
    <m/>
    <m/>
  </r>
  <r>
    <m/>
    <m/>
    <m/>
    <x v="6"/>
    <m/>
    <m/>
    <m/>
    <m/>
  </r>
  <r>
    <n v="5"/>
    <n v="5"/>
    <n v="5"/>
    <x v="0"/>
    <n v="6"/>
    <n v="6"/>
    <n v="5"/>
    <m/>
  </r>
  <r>
    <m/>
    <m/>
    <m/>
    <x v="6"/>
    <m/>
    <m/>
    <m/>
    <m/>
  </r>
  <r>
    <m/>
    <m/>
    <m/>
    <x v="6"/>
    <m/>
    <m/>
    <m/>
    <m/>
  </r>
  <r>
    <m/>
    <m/>
    <m/>
    <x v="6"/>
    <m/>
    <m/>
    <m/>
    <m/>
  </r>
  <r>
    <m/>
    <m/>
    <m/>
    <x v="6"/>
    <m/>
    <m/>
    <m/>
    <m/>
  </r>
  <r>
    <m/>
    <m/>
    <m/>
    <x v="6"/>
    <m/>
    <m/>
    <m/>
    <m/>
  </r>
  <r>
    <m/>
    <m/>
    <m/>
    <x v="6"/>
    <m/>
    <m/>
    <m/>
    <m/>
  </r>
  <r>
    <m/>
    <m/>
    <m/>
    <x v="6"/>
    <m/>
    <m/>
    <m/>
    <m/>
  </r>
  <r>
    <s v="not applicable"/>
    <n v="7"/>
    <n v="6"/>
    <x v="1"/>
    <n v="7"/>
    <n v="7"/>
    <n v="6"/>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
  <r>
    <x v="0"/>
  </r>
  <r>
    <x v="1"/>
  </r>
  <r>
    <x v="2"/>
  </r>
  <r>
    <x v="3"/>
  </r>
  <r>
    <x v="2"/>
  </r>
  <r>
    <x v="3"/>
  </r>
  <r>
    <x v="2"/>
  </r>
  <r>
    <x v="2"/>
  </r>
  <r>
    <x v="3"/>
  </r>
  <r>
    <x v="4"/>
  </r>
  <r>
    <x v="3"/>
  </r>
  <r>
    <x v="5"/>
  </r>
  <r>
    <x v="1"/>
  </r>
  <r>
    <x v="3"/>
  </r>
  <r>
    <x v="2"/>
  </r>
  <r>
    <x v="5"/>
  </r>
  <r>
    <x v="3"/>
  </r>
  <r>
    <x v="2"/>
  </r>
  <r>
    <x v="3"/>
  </r>
  <r>
    <x v="1"/>
  </r>
  <r>
    <x v="1"/>
  </r>
  <r>
    <x v="1"/>
  </r>
  <r>
    <x v="1"/>
  </r>
  <r>
    <x v="5"/>
  </r>
  <r>
    <x v="2"/>
  </r>
  <r>
    <x v="1"/>
  </r>
  <r>
    <x v="2"/>
  </r>
  <r>
    <x v="1"/>
  </r>
  <r>
    <x v="2"/>
  </r>
  <r>
    <x v="1"/>
  </r>
  <r>
    <x v="1"/>
  </r>
  <r>
    <x v="3"/>
  </r>
  <r>
    <x v="3"/>
  </r>
  <r>
    <x v="3"/>
  </r>
  <r>
    <x v="3"/>
  </r>
  <r>
    <x v="3"/>
  </r>
  <r>
    <x v="3"/>
  </r>
  <r>
    <x v="5"/>
  </r>
  <r>
    <x v="1"/>
  </r>
  <r>
    <x v="2"/>
  </r>
  <r>
    <x v="5"/>
  </r>
  <r>
    <x v="3"/>
  </r>
  <r>
    <x v="2"/>
  </r>
  <r>
    <x v="3"/>
  </r>
  <r>
    <x v="5"/>
  </r>
  <r>
    <x v="5"/>
  </r>
  <r>
    <x v="1"/>
  </r>
  <r>
    <x v="3"/>
  </r>
  <r>
    <x v="1"/>
  </r>
  <r>
    <x v="3"/>
  </r>
  <r>
    <x v="3"/>
  </r>
  <r>
    <x v="2"/>
  </r>
  <r>
    <x v="5"/>
  </r>
  <r>
    <x v="4"/>
  </r>
  <r>
    <x v="3"/>
  </r>
  <r>
    <x v="1"/>
  </r>
  <r>
    <x v="1"/>
  </r>
  <r>
    <x v="3"/>
  </r>
  <r>
    <x v="1"/>
  </r>
  <r>
    <x v="3"/>
  </r>
  <r>
    <x v="2"/>
  </r>
  <r>
    <x v="3"/>
  </r>
  <r>
    <x v="3"/>
  </r>
  <r>
    <x v="5"/>
  </r>
  <r>
    <x v="5"/>
  </r>
  <r>
    <x v="3"/>
  </r>
  <r>
    <x v="2"/>
  </r>
  <r>
    <x v="1"/>
  </r>
  <r>
    <x v="5"/>
  </r>
  <r>
    <x v="5"/>
  </r>
  <r>
    <x v="3"/>
  </r>
  <r>
    <x v="2"/>
  </r>
  <r>
    <x v="3"/>
  </r>
  <r>
    <x v="2"/>
  </r>
  <r>
    <x v="2"/>
  </r>
  <r>
    <x v="1"/>
  </r>
  <r>
    <x v="1"/>
  </r>
  <r>
    <x v="2"/>
  </r>
  <r>
    <x v="4"/>
  </r>
  <r>
    <x v="1"/>
  </r>
  <r>
    <x v="1"/>
  </r>
  <r>
    <x v="3"/>
  </r>
  <r>
    <x v="1"/>
  </r>
  <r>
    <x v="2"/>
  </r>
  <r>
    <x v="1"/>
  </r>
  <r>
    <x v="3"/>
  </r>
  <r>
    <x v="3"/>
  </r>
  <r>
    <x v="3"/>
  </r>
  <r>
    <x v="5"/>
  </r>
  <r>
    <x v="3"/>
  </r>
  <r>
    <x v="1"/>
  </r>
  <r>
    <x v="5"/>
  </r>
  <r>
    <x v="3"/>
  </r>
  <r>
    <x v="2"/>
  </r>
  <r>
    <x v="4"/>
  </r>
  <r>
    <x v="1"/>
  </r>
  <r>
    <x v="2"/>
  </r>
  <r>
    <x v="4"/>
  </r>
  <r>
    <x v="4"/>
  </r>
  <r>
    <x v="3"/>
  </r>
  <r>
    <x v="2"/>
  </r>
  <r>
    <x v="3"/>
  </r>
  <r>
    <x v="1"/>
  </r>
  <r>
    <x v="2"/>
  </r>
  <r>
    <x v="4"/>
  </r>
  <r>
    <x v="1"/>
  </r>
  <r>
    <x v="1"/>
  </r>
  <r>
    <x v="4"/>
  </r>
  <r>
    <x v="4"/>
  </r>
  <r>
    <x v="1"/>
  </r>
  <r>
    <x v="1"/>
  </r>
  <r>
    <x v="1"/>
  </r>
  <r>
    <x v="2"/>
  </r>
  <r>
    <x v="2"/>
  </r>
  <r>
    <x v="2"/>
  </r>
  <r>
    <x v="3"/>
  </r>
  <r>
    <x v="1"/>
  </r>
  <r>
    <x v="1"/>
  </r>
  <r>
    <x v="2"/>
  </r>
  <r>
    <x v="5"/>
  </r>
  <r>
    <x v="3"/>
  </r>
  <r>
    <x v="2"/>
  </r>
  <r>
    <x v="1"/>
  </r>
  <r>
    <x v="1"/>
  </r>
  <r>
    <x v="1"/>
  </r>
  <r>
    <x v="3"/>
  </r>
  <r>
    <x v="2"/>
  </r>
  <r>
    <x v="2"/>
  </r>
  <r>
    <x v="3"/>
  </r>
  <r>
    <x v="1"/>
  </r>
  <r>
    <x v="3"/>
  </r>
  <r>
    <x v="2"/>
  </r>
  <r>
    <x v="1"/>
  </r>
  <r>
    <x v="2"/>
  </r>
  <r>
    <x v="3"/>
  </r>
  <r>
    <x v="3"/>
  </r>
  <r>
    <x v="3"/>
  </r>
  <r>
    <x v="2"/>
  </r>
  <r>
    <x v="1"/>
  </r>
  <r>
    <x v="2"/>
  </r>
  <r>
    <x v="3"/>
  </r>
  <r>
    <x v="3"/>
  </r>
  <r>
    <x v="2"/>
  </r>
  <r>
    <x v="1"/>
  </r>
  <r>
    <x v="2"/>
  </r>
  <r>
    <x v="1"/>
  </r>
  <r>
    <x v="1"/>
  </r>
  <r>
    <x v="5"/>
  </r>
  <r>
    <x v="1"/>
  </r>
  <r>
    <x v="1"/>
  </r>
  <r>
    <x v="2"/>
  </r>
  <r>
    <x v="1"/>
  </r>
  <r>
    <x v="1"/>
  </r>
  <r>
    <x v="3"/>
  </r>
  <r>
    <x v="3"/>
  </r>
  <r>
    <x v="3"/>
  </r>
  <r>
    <x v="1"/>
  </r>
  <r>
    <x v="3"/>
  </r>
  <r>
    <x v="3"/>
  </r>
  <r>
    <x v="1"/>
  </r>
  <r>
    <x v="2"/>
  </r>
  <r>
    <x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
  <r>
    <x v="0"/>
  </r>
  <r>
    <x v="1"/>
  </r>
  <r>
    <x v="2"/>
  </r>
  <r>
    <x v="2"/>
  </r>
  <r>
    <x v="2"/>
  </r>
  <r>
    <x v="2"/>
  </r>
  <r>
    <x v="2"/>
  </r>
  <r>
    <x v="1"/>
  </r>
  <r>
    <x v="1"/>
  </r>
  <r>
    <x v="2"/>
  </r>
  <r>
    <x v="1"/>
  </r>
  <r>
    <x v="1"/>
  </r>
  <r>
    <x v="2"/>
  </r>
  <r>
    <x v="2"/>
  </r>
  <r>
    <x v="2"/>
  </r>
  <r>
    <x v="2"/>
  </r>
  <r>
    <x v="2"/>
  </r>
  <r>
    <x v="2"/>
  </r>
  <r>
    <x v="2"/>
  </r>
  <r>
    <x v="2"/>
  </r>
  <r>
    <x v="1"/>
  </r>
  <r>
    <x v="1"/>
  </r>
  <r>
    <x v="2"/>
  </r>
  <r>
    <x v="2"/>
  </r>
  <r>
    <x v="2"/>
  </r>
  <r>
    <x v="1"/>
  </r>
  <r>
    <x v="2"/>
  </r>
  <r>
    <x v="2"/>
  </r>
  <r>
    <x v="2"/>
  </r>
  <r>
    <x v="2"/>
  </r>
  <r>
    <x v="2"/>
  </r>
  <r>
    <x v="1"/>
  </r>
  <r>
    <x v="2"/>
  </r>
  <r>
    <x v="2"/>
  </r>
  <r>
    <x v="1"/>
  </r>
  <r>
    <x v="2"/>
  </r>
  <r>
    <x v="2"/>
  </r>
  <r>
    <x v="2"/>
  </r>
  <r>
    <x v="1"/>
  </r>
  <r>
    <x v="2"/>
  </r>
  <r>
    <x v="2"/>
  </r>
  <r>
    <x v="2"/>
  </r>
  <r>
    <x v="2"/>
  </r>
  <r>
    <x v="2"/>
  </r>
  <r>
    <x v="2"/>
  </r>
  <r>
    <x v="2"/>
  </r>
  <r>
    <x v="1"/>
  </r>
  <r>
    <x v="2"/>
  </r>
  <r>
    <x v="1"/>
  </r>
  <r>
    <x v="2"/>
  </r>
  <r>
    <x v="2"/>
  </r>
  <r>
    <x v="2"/>
  </r>
  <r>
    <x v="2"/>
  </r>
  <r>
    <x v="2"/>
  </r>
  <r>
    <x v="2"/>
  </r>
  <r>
    <x v="1"/>
  </r>
  <r>
    <x v="2"/>
  </r>
  <r>
    <x v="2"/>
  </r>
  <r>
    <x v="2"/>
  </r>
  <r>
    <x v="2"/>
  </r>
  <r>
    <x v="2"/>
  </r>
  <r>
    <x v="2"/>
  </r>
  <r>
    <x v="2"/>
  </r>
  <r>
    <x v="2"/>
  </r>
  <r>
    <x v="1"/>
  </r>
  <r>
    <x v="2"/>
  </r>
  <r>
    <x v="2"/>
  </r>
  <r>
    <x v="2"/>
  </r>
  <r>
    <x v="2"/>
  </r>
  <r>
    <x v="1"/>
  </r>
  <r>
    <x v="2"/>
  </r>
  <r>
    <x v="2"/>
  </r>
  <r>
    <x v="2"/>
  </r>
  <r>
    <x v="2"/>
  </r>
  <r>
    <x v="2"/>
  </r>
  <r>
    <x v="1"/>
  </r>
  <r>
    <x v="2"/>
  </r>
  <r>
    <x v="2"/>
  </r>
  <r>
    <x v="2"/>
  </r>
  <r>
    <x v="2"/>
  </r>
  <r>
    <x v="2"/>
  </r>
  <r>
    <x v="2"/>
  </r>
  <r>
    <x v="2"/>
  </r>
  <r>
    <x v="2"/>
  </r>
  <r>
    <x v="2"/>
  </r>
  <r>
    <x v="1"/>
  </r>
  <r>
    <x v="2"/>
  </r>
  <r>
    <x v="2"/>
  </r>
  <r>
    <x v="2"/>
  </r>
  <r>
    <x v="2"/>
  </r>
  <r>
    <x v="2"/>
  </r>
  <r>
    <x v="1"/>
  </r>
  <r>
    <x v="2"/>
  </r>
  <r>
    <x v="2"/>
  </r>
  <r>
    <x v="2"/>
  </r>
  <r>
    <x v="2"/>
  </r>
  <r>
    <x v="2"/>
  </r>
  <r>
    <x v="2"/>
  </r>
  <r>
    <x v="2"/>
  </r>
  <r>
    <x v="2"/>
  </r>
  <r>
    <x v="2"/>
  </r>
  <r>
    <x v="2"/>
  </r>
  <r>
    <x v="2"/>
  </r>
  <r>
    <x v="1"/>
  </r>
  <r>
    <x v="1"/>
  </r>
  <r>
    <x v="2"/>
  </r>
  <r>
    <x v="2"/>
  </r>
  <r>
    <x v="2"/>
  </r>
  <r>
    <x v="1"/>
  </r>
  <r>
    <x v="1"/>
  </r>
  <r>
    <x v="2"/>
  </r>
  <r>
    <x v="2"/>
  </r>
  <r>
    <x v="2"/>
  </r>
  <r>
    <x v="2"/>
  </r>
  <r>
    <x v="2"/>
  </r>
  <r>
    <x v="2"/>
  </r>
  <r>
    <x v="2"/>
  </r>
  <r>
    <x v="1"/>
  </r>
  <r>
    <x v="2"/>
  </r>
  <r>
    <x v="2"/>
  </r>
  <r>
    <x v="2"/>
  </r>
  <r>
    <x v="2"/>
  </r>
  <r>
    <x v="2"/>
  </r>
  <r>
    <x v="2"/>
  </r>
  <r>
    <x v="2"/>
  </r>
  <r>
    <x v="2"/>
  </r>
  <r>
    <x v="2"/>
  </r>
  <r>
    <x v="2"/>
  </r>
  <r>
    <x v="2"/>
  </r>
  <r>
    <x v="1"/>
  </r>
  <r>
    <x v="1"/>
  </r>
  <r>
    <x v="2"/>
  </r>
  <r>
    <x v="2"/>
  </r>
  <r>
    <x v="2"/>
  </r>
  <r>
    <x v="2"/>
  </r>
  <r>
    <x v="2"/>
  </r>
  <r>
    <x v="2"/>
  </r>
  <r>
    <x v="2"/>
  </r>
  <r>
    <x v="2"/>
  </r>
  <r>
    <x v="1"/>
  </r>
  <r>
    <x v="2"/>
  </r>
  <r>
    <x v="2"/>
  </r>
  <r>
    <x v="2"/>
  </r>
  <r>
    <x v="1"/>
  </r>
  <r>
    <x v="2"/>
  </r>
  <r>
    <x v="1"/>
  </r>
  <r>
    <x v="2"/>
  </r>
  <r>
    <x v="1"/>
  </r>
  <r>
    <x v="2"/>
  </r>
  <r>
    <x v="2"/>
  </r>
  <r>
    <x v="2"/>
  </r>
  <r>
    <x v="2"/>
  </r>
  <r>
    <x v="1"/>
  </r>
  <r>
    <x v="2"/>
  </r>
  <r>
    <x v="2"/>
  </r>
  <r>
    <x v="2"/>
  </r>
  <r>
    <x v="2"/>
  </r>
  <r>
    <x v="2"/>
  </r>
  <r>
    <x v="2"/>
  </r>
  <r>
    <x v="2"/>
  </r>
  <r>
    <x v="2"/>
  </r>
  <r>
    <x v="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
  <r>
    <x v="0"/>
  </r>
  <r>
    <x v="1"/>
  </r>
  <r>
    <x v="1"/>
  </r>
  <r>
    <x v="1"/>
  </r>
  <r>
    <x v="1"/>
  </r>
  <r>
    <x v="2"/>
  </r>
  <r>
    <x v="2"/>
  </r>
  <r>
    <x v="2"/>
  </r>
  <r>
    <x v="3"/>
  </r>
  <r>
    <x v="1"/>
  </r>
  <r>
    <x v="3"/>
  </r>
  <r>
    <x v="3"/>
  </r>
  <r>
    <x v="1"/>
  </r>
  <r>
    <x v="1"/>
  </r>
  <r>
    <x v="1"/>
  </r>
  <r>
    <x v="3"/>
  </r>
  <r>
    <x v="1"/>
  </r>
  <r>
    <x v="3"/>
  </r>
  <r>
    <x v="3"/>
  </r>
  <r>
    <x v="2"/>
  </r>
  <r>
    <x v="1"/>
  </r>
  <r>
    <x v="1"/>
  </r>
  <r>
    <x v="2"/>
  </r>
  <r>
    <x v="3"/>
  </r>
  <r>
    <x v="4"/>
  </r>
  <r>
    <x v="2"/>
  </r>
  <r>
    <x v="3"/>
  </r>
  <r>
    <x v="3"/>
  </r>
  <r>
    <x v="1"/>
  </r>
  <r>
    <x v="1"/>
  </r>
  <r>
    <x v="1"/>
  </r>
  <r>
    <x v="2"/>
  </r>
  <r>
    <x v="4"/>
  </r>
  <r>
    <x v="3"/>
  </r>
  <r>
    <x v="3"/>
  </r>
  <r>
    <x v="3"/>
  </r>
  <r>
    <x v="3"/>
  </r>
  <r>
    <x v="2"/>
  </r>
  <r>
    <x v="4"/>
  </r>
  <r>
    <x v="3"/>
  </r>
  <r>
    <x v="1"/>
  </r>
  <r>
    <x v="3"/>
  </r>
  <r>
    <x v="3"/>
  </r>
  <r>
    <x v="3"/>
  </r>
  <r>
    <x v="3"/>
  </r>
  <r>
    <x v="2"/>
  </r>
  <r>
    <x v="2"/>
  </r>
  <r>
    <x v="2"/>
  </r>
  <r>
    <x v="1"/>
  </r>
  <r>
    <x v="1"/>
  </r>
  <r>
    <x v="2"/>
  </r>
  <r>
    <x v="3"/>
  </r>
  <r>
    <x v="1"/>
  </r>
  <r>
    <x v="2"/>
  </r>
  <r>
    <x v="4"/>
  </r>
  <r>
    <x v="3"/>
  </r>
  <r>
    <x v="4"/>
  </r>
  <r>
    <x v="3"/>
  </r>
  <r>
    <x v="3"/>
  </r>
  <r>
    <x v="3"/>
  </r>
  <r>
    <x v="4"/>
  </r>
  <r>
    <x v="2"/>
  </r>
  <r>
    <x v="1"/>
  </r>
  <r>
    <x v="3"/>
  </r>
  <r>
    <x v="1"/>
  </r>
  <r>
    <x v="3"/>
  </r>
  <r>
    <x v="3"/>
  </r>
  <r>
    <x v="3"/>
  </r>
  <r>
    <x v="2"/>
  </r>
  <r>
    <x v="3"/>
  </r>
  <r>
    <x v="3"/>
  </r>
  <r>
    <x v="3"/>
  </r>
  <r>
    <x v="2"/>
  </r>
  <r>
    <x v="3"/>
  </r>
  <r>
    <x v="3"/>
  </r>
  <r>
    <x v="3"/>
  </r>
  <r>
    <x v="4"/>
  </r>
  <r>
    <x v="4"/>
  </r>
  <r>
    <x v="3"/>
  </r>
  <r>
    <x v="2"/>
  </r>
  <r>
    <x v="4"/>
  </r>
  <r>
    <x v="3"/>
  </r>
  <r>
    <x v="4"/>
  </r>
  <r>
    <x v="4"/>
  </r>
  <r>
    <x v="4"/>
  </r>
  <r>
    <x v="4"/>
  </r>
  <r>
    <x v="4"/>
  </r>
  <r>
    <x v="4"/>
  </r>
  <r>
    <x v="4"/>
  </r>
  <r>
    <x v="4"/>
  </r>
  <r>
    <x v="1"/>
  </r>
  <r>
    <x v="4"/>
  </r>
  <r>
    <x v="2"/>
  </r>
  <r>
    <x v="3"/>
  </r>
  <r>
    <x v="3"/>
  </r>
  <r>
    <x v="4"/>
  </r>
  <r>
    <x v="4"/>
  </r>
  <r>
    <x v="2"/>
  </r>
  <r>
    <x v="1"/>
  </r>
  <r>
    <x v="3"/>
  </r>
  <r>
    <x v="4"/>
  </r>
  <r>
    <x v="3"/>
  </r>
  <r>
    <x v="3"/>
  </r>
  <r>
    <x v="4"/>
  </r>
  <r>
    <x v="4"/>
  </r>
  <r>
    <x v="4"/>
  </r>
  <r>
    <x v="3"/>
  </r>
  <r>
    <x v="1"/>
  </r>
  <r>
    <x v="2"/>
  </r>
  <r>
    <x v="4"/>
  </r>
  <r>
    <x v="4"/>
  </r>
  <r>
    <x v="4"/>
  </r>
  <r>
    <x v="3"/>
  </r>
  <r>
    <x v="4"/>
  </r>
  <r>
    <x v="4"/>
  </r>
  <r>
    <x v="3"/>
  </r>
  <r>
    <x v="2"/>
  </r>
  <r>
    <x v="3"/>
  </r>
  <r>
    <x v="2"/>
  </r>
  <r>
    <x v="4"/>
  </r>
  <r>
    <x v="3"/>
  </r>
  <r>
    <x v="4"/>
  </r>
  <r>
    <x v="4"/>
  </r>
  <r>
    <x v="4"/>
  </r>
  <r>
    <x v="3"/>
  </r>
  <r>
    <x v="4"/>
  </r>
  <r>
    <x v="3"/>
  </r>
  <r>
    <x v="3"/>
  </r>
  <r>
    <x v="2"/>
  </r>
  <r>
    <x v="2"/>
  </r>
  <r>
    <x v="1"/>
  </r>
  <r>
    <x v="3"/>
  </r>
  <r>
    <x v="3"/>
  </r>
  <r>
    <x v="4"/>
  </r>
  <r>
    <x v="2"/>
  </r>
  <r>
    <x v="4"/>
  </r>
  <r>
    <x v="4"/>
  </r>
  <r>
    <x v="4"/>
  </r>
  <r>
    <x v="4"/>
  </r>
  <r>
    <x v="4"/>
  </r>
  <r>
    <x v="2"/>
  </r>
  <r>
    <x v="4"/>
  </r>
  <r>
    <x v="2"/>
  </r>
  <r>
    <x v="4"/>
  </r>
  <r>
    <x v="4"/>
  </r>
  <r>
    <x v="4"/>
  </r>
  <r>
    <x v="1"/>
  </r>
  <r>
    <x v="1"/>
  </r>
  <r>
    <x v="3"/>
  </r>
  <r>
    <x v="3"/>
  </r>
  <r>
    <x v="4"/>
  </r>
  <r>
    <x v="3"/>
  </r>
  <r>
    <x v="3"/>
  </r>
  <r>
    <x v="4"/>
  </r>
  <r>
    <x v="4"/>
  </r>
  <r>
    <x v="4"/>
  </r>
  <r>
    <x v="4"/>
  </r>
  <r>
    <x v="3"/>
  </r>
  <r>
    <x v="2"/>
  </r>
  <r>
    <x v="2"/>
  </r>
  <r>
    <x v="3"/>
  </r>
  <r>
    <x v="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
  <r>
    <x v="0"/>
    <x v="0"/>
    <x v="0"/>
    <x v="0"/>
    <x v="0"/>
    <x v="0"/>
    <x v="0"/>
    <x v="0"/>
    <x v="0"/>
    <x v="0"/>
    <x v="0"/>
  </r>
  <r>
    <x v="0"/>
    <x v="1"/>
    <x v="1"/>
    <x v="0"/>
    <x v="0"/>
    <x v="1"/>
    <x v="1"/>
    <x v="0"/>
    <x v="0"/>
    <x v="0"/>
    <x v="0"/>
  </r>
  <r>
    <x v="0"/>
    <x v="1"/>
    <x v="0"/>
    <x v="0"/>
    <x v="0"/>
    <x v="1"/>
    <x v="0"/>
    <x v="1"/>
    <x v="1"/>
    <x v="0"/>
    <x v="0"/>
  </r>
  <r>
    <x v="0"/>
    <x v="1"/>
    <x v="1"/>
    <x v="0"/>
    <x v="0"/>
    <x v="1"/>
    <x v="1"/>
    <x v="1"/>
    <x v="0"/>
    <x v="0"/>
    <x v="0"/>
  </r>
  <r>
    <x v="0"/>
    <x v="0"/>
    <x v="0"/>
    <x v="0"/>
    <x v="1"/>
    <x v="1"/>
    <x v="0"/>
    <x v="0"/>
    <x v="0"/>
    <x v="0"/>
    <x v="0"/>
  </r>
  <r>
    <x v="1"/>
    <x v="1"/>
    <x v="1"/>
    <x v="1"/>
    <x v="0"/>
    <x v="0"/>
    <x v="1"/>
    <x v="0"/>
    <x v="1"/>
    <x v="0"/>
    <x v="0"/>
  </r>
  <r>
    <x v="1"/>
    <x v="1"/>
    <x v="1"/>
    <x v="1"/>
    <x v="0"/>
    <x v="1"/>
    <x v="0"/>
    <x v="0"/>
    <x v="0"/>
    <x v="0"/>
    <x v="0"/>
  </r>
  <r>
    <x v="0"/>
    <x v="0"/>
    <x v="1"/>
    <x v="1"/>
    <x v="0"/>
    <x v="0"/>
    <x v="0"/>
    <x v="0"/>
    <x v="0"/>
    <x v="0"/>
    <x v="0"/>
  </r>
  <r>
    <x v="1"/>
    <x v="1"/>
    <x v="0"/>
    <x v="0"/>
    <x v="0"/>
    <x v="1"/>
    <x v="0"/>
    <x v="1"/>
    <x v="0"/>
    <x v="0"/>
    <x v="1"/>
  </r>
  <r>
    <x v="1"/>
    <x v="0"/>
    <x v="0"/>
    <x v="1"/>
    <x v="0"/>
    <x v="1"/>
    <x v="0"/>
    <x v="0"/>
    <x v="1"/>
    <x v="0"/>
    <x v="0"/>
  </r>
  <r>
    <x v="1"/>
    <x v="1"/>
    <x v="0"/>
    <x v="1"/>
    <x v="0"/>
    <x v="1"/>
    <x v="0"/>
    <x v="0"/>
    <x v="1"/>
    <x v="0"/>
    <x v="0"/>
  </r>
  <r>
    <x v="0"/>
    <x v="0"/>
    <x v="1"/>
    <x v="0"/>
    <x v="1"/>
    <x v="1"/>
    <x v="1"/>
    <x v="1"/>
    <x v="1"/>
    <x v="0"/>
    <x v="0"/>
  </r>
  <r>
    <x v="0"/>
    <x v="1"/>
    <x v="0"/>
    <x v="1"/>
    <x v="0"/>
    <x v="0"/>
    <x v="0"/>
    <x v="0"/>
    <x v="1"/>
    <x v="0"/>
    <x v="2"/>
  </r>
  <r>
    <x v="1"/>
    <x v="0"/>
    <x v="1"/>
    <x v="1"/>
    <x v="0"/>
    <x v="1"/>
    <x v="1"/>
    <x v="0"/>
    <x v="1"/>
    <x v="0"/>
    <x v="3"/>
  </r>
  <r>
    <x v="0"/>
    <x v="0"/>
    <x v="0"/>
    <x v="1"/>
    <x v="1"/>
    <x v="0"/>
    <x v="0"/>
    <x v="1"/>
    <x v="0"/>
    <x v="0"/>
    <x v="0"/>
  </r>
  <r>
    <x v="0"/>
    <x v="1"/>
    <x v="1"/>
    <x v="0"/>
    <x v="1"/>
    <x v="1"/>
    <x v="0"/>
    <x v="1"/>
    <x v="1"/>
    <x v="0"/>
    <x v="0"/>
  </r>
  <r>
    <x v="0"/>
    <x v="0"/>
    <x v="0"/>
    <x v="0"/>
    <x v="0"/>
    <x v="0"/>
    <x v="1"/>
    <x v="1"/>
    <x v="0"/>
    <x v="0"/>
    <x v="4"/>
  </r>
  <r>
    <x v="0"/>
    <x v="0"/>
    <x v="1"/>
    <x v="1"/>
    <x v="1"/>
    <x v="0"/>
    <x v="0"/>
    <x v="1"/>
    <x v="0"/>
    <x v="0"/>
    <x v="0"/>
  </r>
  <r>
    <x v="1"/>
    <x v="0"/>
    <x v="0"/>
    <x v="1"/>
    <x v="1"/>
    <x v="1"/>
    <x v="0"/>
    <x v="1"/>
    <x v="1"/>
    <x v="0"/>
    <x v="0"/>
  </r>
  <r>
    <x v="1"/>
    <x v="1"/>
    <x v="0"/>
    <x v="0"/>
    <x v="0"/>
    <x v="1"/>
    <x v="0"/>
    <x v="0"/>
    <x v="1"/>
    <x v="0"/>
    <x v="5"/>
  </r>
  <r>
    <x v="1"/>
    <x v="1"/>
    <x v="1"/>
    <x v="1"/>
    <x v="1"/>
    <x v="0"/>
    <x v="0"/>
    <x v="0"/>
    <x v="0"/>
    <x v="0"/>
    <x v="0"/>
  </r>
  <r>
    <x v="0"/>
    <x v="1"/>
    <x v="0"/>
    <x v="0"/>
    <x v="0"/>
    <x v="1"/>
    <x v="0"/>
    <x v="1"/>
    <x v="1"/>
    <x v="0"/>
    <x v="0"/>
  </r>
  <r>
    <x v="1"/>
    <x v="0"/>
    <x v="0"/>
    <x v="1"/>
    <x v="0"/>
    <x v="1"/>
    <x v="0"/>
    <x v="1"/>
    <x v="0"/>
    <x v="0"/>
    <x v="0"/>
  </r>
  <r>
    <x v="1"/>
    <x v="0"/>
    <x v="0"/>
    <x v="0"/>
    <x v="0"/>
    <x v="0"/>
    <x v="0"/>
    <x v="0"/>
    <x v="1"/>
    <x v="0"/>
    <x v="0"/>
  </r>
  <r>
    <x v="1"/>
    <x v="0"/>
    <x v="0"/>
    <x v="1"/>
    <x v="1"/>
    <x v="1"/>
    <x v="0"/>
    <x v="1"/>
    <x v="1"/>
    <x v="0"/>
    <x v="0"/>
  </r>
  <r>
    <x v="0"/>
    <x v="1"/>
    <x v="1"/>
    <x v="0"/>
    <x v="1"/>
    <x v="1"/>
    <x v="0"/>
    <x v="1"/>
    <x v="1"/>
    <x v="0"/>
    <x v="0"/>
  </r>
  <r>
    <x v="1"/>
    <x v="0"/>
    <x v="0"/>
    <x v="1"/>
    <x v="0"/>
    <x v="1"/>
    <x v="0"/>
    <x v="0"/>
    <x v="0"/>
    <x v="0"/>
    <x v="0"/>
  </r>
  <r>
    <x v="0"/>
    <x v="0"/>
    <x v="0"/>
    <x v="1"/>
    <x v="0"/>
    <x v="1"/>
    <x v="1"/>
    <x v="1"/>
    <x v="0"/>
    <x v="0"/>
    <x v="0"/>
  </r>
  <r>
    <x v="1"/>
    <x v="1"/>
    <x v="0"/>
    <x v="0"/>
    <x v="0"/>
    <x v="1"/>
    <x v="0"/>
    <x v="0"/>
    <x v="0"/>
    <x v="0"/>
    <x v="0"/>
  </r>
  <r>
    <x v="1"/>
    <x v="1"/>
    <x v="0"/>
    <x v="1"/>
    <x v="0"/>
    <x v="1"/>
    <x v="1"/>
    <x v="0"/>
    <x v="0"/>
    <x v="0"/>
    <x v="6"/>
  </r>
  <r>
    <x v="1"/>
    <x v="0"/>
    <x v="0"/>
    <x v="1"/>
    <x v="0"/>
    <x v="0"/>
    <x v="1"/>
    <x v="0"/>
    <x v="0"/>
    <x v="1"/>
    <x v="0"/>
  </r>
  <r>
    <x v="1"/>
    <x v="0"/>
    <x v="0"/>
    <x v="1"/>
    <x v="0"/>
    <x v="1"/>
    <x v="0"/>
    <x v="0"/>
    <x v="0"/>
    <x v="0"/>
    <x v="7"/>
  </r>
  <r>
    <x v="1"/>
    <x v="0"/>
    <x v="0"/>
    <x v="1"/>
    <x v="0"/>
    <x v="1"/>
    <x v="1"/>
    <x v="0"/>
    <x v="0"/>
    <x v="0"/>
    <x v="8"/>
  </r>
  <r>
    <x v="1"/>
    <x v="0"/>
    <x v="0"/>
    <x v="1"/>
    <x v="0"/>
    <x v="0"/>
    <x v="1"/>
    <x v="0"/>
    <x v="0"/>
    <x v="1"/>
    <x v="9"/>
  </r>
  <r>
    <x v="1"/>
    <x v="0"/>
    <x v="0"/>
    <x v="1"/>
    <x v="0"/>
    <x v="1"/>
    <x v="1"/>
    <x v="1"/>
    <x v="0"/>
    <x v="0"/>
    <x v="0"/>
  </r>
  <r>
    <x v="0"/>
    <x v="1"/>
    <x v="1"/>
    <x v="0"/>
    <x v="0"/>
    <x v="1"/>
    <x v="1"/>
    <x v="0"/>
    <x v="1"/>
    <x v="0"/>
    <x v="0"/>
  </r>
  <r>
    <x v="0"/>
    <x v="0"/>
    <x v="0"/>
    <x v="1"/>
    <x v="1"/>
    <x v="1"/>
    <x v="0"/>
    <x v="0"/>
    <x v="1"/>
    <x v="0"/>
    <x v="0"/>
  </r>
  <r>
    <x v="0"/>
    <x v="0"/>
    <x v="0"/>
    <x v="1"/>
    <x v="1"/>
    <x v="1"/>
    <x v="1"/>
    <x v="1"/>
    <x v="1"/>
    <x v="0"/>
    <x v="0"/>
  </r>
  <r>
    <x v="1"/>
    <x v="0"/>
    <x v="0"/>
    <x v="1"/>
    <x v="0"/>
    <x v="1"/>
    <x v="0"/>
    <x v="1"/>
    <x v="0"/>
    <x v="0"/>
    <x v="0"/>
  </r>
  <r>
    <x v="0"/>
    <x v="1"/>
    <x v="0"/>
    <x v="1"/>
    <x v="0"/>
    <x v="1"/>
    <x v="0"/>
    <x v="1"/>
    <x v="0"/>
    <x v="0"/>
    <x v="10"/>
  </r>
  <r>
    <x v="0"/>
    <x v="0"/>
    <x v="0"/>
    <x v="1"/>
    <x v="0"/>
    <x v="1"/>
    <x v="0"/>
    <x v="1"/>
    <x v="1"/>
    <x v="0"/>
    <x v="0"/>
  </r>
  <r>
    <x v="1"/>
    <x v="1"/>
    <x v="0"/>
    <x v="0"/>
    <x v="0"/>
    <x v="1"/>
    <x v="0"/>
    <x v="0"/>
    <x v="1"/>
    <x v="0"/>
    <x v="0"/>
  </r>
  <r>
    <x v="0"/>
    <x v="1"/>
    <x v="1"/>
    <x v="0"/>
    <x v="0"/>
    <x v="1"/>
    <x v="1"/>
    <x v="1"/>
    <x v="1"/>
    <x v="0"/>
    <x v="0"/>
  </r>
  <r>
    <x v="1"/>
    <x v="0"/>
    <x v="0"/>
    <x v="1"/>
    <x v="0"/>
    <x v="0"/>
    <x v="0"/>
    <x v="0"/>
    <x v="0"/>
    <x v="0"/>
    <x v="0"/>
  </r>
  <r>
    <x v="0"/>
    <x v="0"/>
    <x v="0"/>
    <x v="1"/>
    <x v="1"/>
    <x v="1"/>
    <x v="0"/>
    <x v="0"/>
    <x v="1"/>
    <x v="0"/>
    <x v="0"/>
  </r>
  <r>
    <x v="0"/>
    <x v="0"/>
    <x v="0"/>
    <x v="0"/>
    <x v="0"/>
    <x v="1"/>
    <x v="0"/>
    <x v="1"/>
    <x v="1"/>
    <x v="0"/>
    <x v="11"/>
  </r>
  <r>
    <x v="0"/>
    <x v="0"/>
    <x v="0"/>
    <x v="1"/>
    <x v="1"/>
    <x v="1"/>
    <x v="1"/>
    <x v="1"/>
    <x v="1"/>
    <x v="0"/>
    <x v="0"/>
  </r>
  <r>
    <x v="1"/>
    <x v="1"/>
    <x v="1"/>
    <x v="1"/>
    <x v="0"/>
    <x v="1"/>
    <x v="0"/>
    <x v="0"/>
    <x v="1"/>
    <x v="0"/>
    <x v="12"/>
  </r>
  <r>
    <x v="0"/>
    <x v="0"/>
    <x v="0"/>
    <x v="0"/>
    <x v="0"/>
    <x v="1"/>
    <x v="1"/>
    <x v="0"/>
    <x v="1"/>
    <x v="0"/>
    <x v="0"/>
  </r>
  <r>
    <x v="0"/>
    <x v="1"/>
    <x v="0"/>
    <x v="0"/>
    <x v="1"/>
    <x v="1"/>
    <x v="1"/>
    <x v="1"/>
    <x v="0"/>
    <x v="0"/>
    <x v="0"/>
  </r>
  <r>
    <x v="0"/>
    <x v="0"/>
    <x v="0"/>
    <x v="1"/>
    <x v="1"/>
    <x v="1"/>
    <x v="0"/>
    <x v="1"/>
    <x v="0"/>
    <x v="0"/>
    <x v="0"/>
  </r>
  <r>
    <x v="1"/>
    <x v="1"/>
    <x v="1"/>
    <x v="0"/>
    <x v="0"/>
    <x v="1"/>
    <x v="1"/>
    <x v="0"/>
    <x v="1"/>
    <x v="0"/>
    <x v="0"/>
  </r>
  <r>
    <x v="1"/>
    <x v="0"/>
    <x v="0"/>
    <x v="1"/>
    <x v="0"/>
    <x v="1"/>
    <x v="0"/>
    <x v="1"/>
    <x v="0"/>
    <x v="0"/>
    <x v="0"/>
  </r>
  <r>
    <x v="0"/>
    <x v="1"/>
    <x v="1"/>
    <x v="0"/>
    <x v="1"/>
    <x v="1"/>
    <x v="0"/>
    <x v="1"/>
    <x v="1"/>
    <x v="0"/>
    <x v="0"/>
  </r>
  <r>
    <x v="0"/>
    <x v="0"/>
    <x v="1"/>
    <x v="1"/>
    <x v="0"/>
    <x v="1"/>
    <x v="1"/>
    <x v="0"/>
    <x v="0"/>
    <x v="0"/>
    <x v="0"/>
  </r>
  <r>
    <x v="1"/>
    <x v="0"/>
    <x v="0"/>
    <x v="1"/>
    <x v="0"/>
    <x v="0"/>
    <x v="0"/>
    <x v="0"/>
    <x v="0"/>
    <x v="0"/>
    <x v="0"/>
  </r>
  <r>
    <x v="0"/>
    <x v="0"/>
    <x v="1"/>
    <x v="1"/>
    <x v="0"/>
    <x v="1"/>
    <x v="1"/>
    <x v="1"/>
    <x v="0"/>
    <x v="0"/>
    <x v="0"/>
  </r>
  <r>
    <x v="1"/>
    <x v="0"/>
    <x v="0"/>
    <x v="1"/>
    <x v="0"/>
    <x v="0"/>
    <x v="0"/>
    <x v="0"/>
    <x v="0"/>
    <x v="0"/>
    <x v="0"/>
  </r>
  <r>
    <x v="1"/>
    <x v="0"/>
    <x v="0"/>
    <x v="1"/>
    <x v="0"/>
    <x v="1"/>
    <x v="0"/>
    <x v="0"/>
    <x v="0"/>
    <x v="0"/>
    <x v="0"/>
  </r>
  <r>
    <x v="0"/>
    <x v="1"/>
    <x v="0"/>
    <x v="1"/>
    <x v="0"/>
    <x v="1"/>
    <x v="0"/>
    <x v="1"/>
    <x v="0"/>
    <x v="0"/>
    <x v="0"/>
  </r>
  <r>
    <x v="0"/>
    <x v="0"/>
    <x v="0"/>
    <x v="0"/>
    <x v="0"/>
    <x v="1"/>
    <x v="0"/>
    <x v="1"/>
    <x v="0"/>
    <x v="0"/>
    <x v="0"/>
  </r>
  <r>
    <x v="1"/>
    <x v="1"/>
    <x v="1"/>
    <x v="1"/>
    <x v="0"/>
    <x v="1"/>
    <x v="0"/>
    <x v="1"/>
    <x v="0"/>
    <x v="0"/>
    <x v="0"/>
  </r>
  <r>
    <x v="1"/>
    <x v="1"/>
    <x v="0"/>
    <x v="1"/>
    <x v="0"/>
    <x v="1"/>
    <x v="0"/>
    <x v="0"/>
    <x v="1"/>
    <x v="0"/>
    <x v="0"/>
  </r>
  <r>
    <x v="1"/>
    <x v="1"/>
    <x v="0"/>
    <x v="0"/>
    <x v="0"/>
    <x v="1"/>
    <x v="0"/>
    <x v="1"/>
    <x v="1"/>
    <x v="0"/>
    <x v="0"/>
  </r>
  <r>
    <x v="0"/>
    <x v="1"/>
    <x v="0"/>
    <x v="1"/>
    <x v="0"/>
    <x v="0"/>
    <x v="1"/>
    <x v="1"/>
    <x v="1"/>
    <x v="0"/>
    <x v="13"/>
  </r>
  <r>
    <x v="1"/>
    <x v="0"/>
    <x v="0"/>
    <x v="0"/>
    <x v="0"/>
    <x v="1"/>
    <x v="0"/>
    <x v="1"/>
    <x v="0"/>
    <x v="0"/>
    <x v="0"/>
  </r>
  <r>
    <x v="0"/>
    <x v="0"/>
    <x v="0"/>
    <x v="1"/>
    <x v="0"/>
    <x v="1"/>
    <x v="1"/>
    <x v="1"/>
    <x v="0"/>
    <x v="0"/>
    <x v="0"/>
  </r>
  <r>
    <x v="0"/>
    <x v="0"/>
    <x v="0"/>
    <x v="1"/>
    <x v="0"/>
    <x v="1"/>
    <x v="0"/>
    <x v="0"/>
    <x v="0"/>
    <x v="0"/>
    <x v="14"/>
  </r>
  <r>
    <x v="0"/>
    <x v="1"/>
    <x v="0"/>
    <x v="1"/>
    <x v="1"/>
    <x v="1"/>
    <x v="0"/>
    <x v="1"/>
    <x v="0"/>
    <x v="0"/>
    <x v="0"/>
  </r>
  <r>
    <x v="1"/>
    <x v="0"/>
    <x v="0"/>
    <x v="1"/>
    <x v="1"/>
    <x v="1"/>
    <x v="0"/>
    <x v="1"/>
    <x v="0"/>
    <x v="0"/>
    <x v="0"/>
  </r>
  <r>
    <x v="0"/>
    <x v="1"/>
    <x v="0"/>
    <x v="1"/>
    <x v="0"/>
    <x v="1"/>
    <x v="0"/>
    <x v="1"/>
    <x v="0"/>
    <x v="0"/>
    <x v="15"/>
  </r>
  <r>
    <x v="0"/>
    <x v="1"/>
    <x v="1"/>
    <x v="1"/>
    <x v="0"/>
    <x v="1"/>
    <x v="0"/>
    <x v="0"/>
    <x v="0"/>
    <x v="0"/>
    <x v="0"/>
  </r>
  <r>
    <x v="0"/>
    <x v="1"/>
    <x v="0"/>
    <x v="0"/>
    <x v="0"/>
    <x v="1"/>
    <x v="0"/>
    <x v="1"/>
    <x v="0"/>
    <x v="0"/>
    <x v="0"/>
  </r>
  <r>
    <x v="1"/>
    <x v="1"/>
    <x v="1"/>
    <x v="1"/>
    <x v="0"/>
    <x v="0"/>
    <x v="1"/>
    <x v="0"/>
    <x v="1"/>
    <x v="0"/>
    <x v="0"/>
  </r>
  <r>
    <x v="1"/>
    <x v="1"/>
    <x v="0"/>
    <x v="1"/>
    <x v="0"/>
    <x v="1"/>
    <x v="0"/>
    <x v="0"/>
    <x v="1"/>
    <x v="0"/>
    <x v="16"/>
  </r>
  <r>
    <x v="0"/>
    <x v="0"/>
    <x v="0"/>
    <x v="1"/>
    <x v="1"/>
    <x v="1"/>
    <x v="0"/>
    <x v="0"/>
    <x v="0"/>
    <x v="0"/>
    <x v="0"/>
  </r>
  <r>
    <x v="0"/>
    <x v="1"/>
    <x v="0"/>
    <x v="1"/>
    <x v="0"/>
    <x v="1"/>
    <x v="0"/>
    <x v="1"/>
    <x v="0"/>
    <x v="0"/>
    <x v="0"/>
  </r>
  <r>
    <x v="1"/>
    <x v="0"/>
    <x v="1"/>
    <x v="1"/>
    <x v="0"/>
    <x v="1"/>
    <x v="1"/>
    <x v="0"/>
    <x v="1"/>
    <x v="0"/>
    <x v="0"/>
  </r>
  <r>
    <x v="1"/>
    <x v="0"/>
    <x v="0"/>
    <x v="1"/>
    <x v="0"/>
    <x v="1"/>
    <x v="0"/>
    <x v="1"/>
    <x v="1"/>
    <x v="0"/>
    <x v="0"/>
  </r>
  <r>
    <x v="1"/>
    <x v="0"/>
    <x v="0"/>
    <x v="1"/>
    <x v="0"/>
    <x v="0"/>
    <x v="0"/>
    <x v="1"/>
    <x v="0"/>
    <x v="0"/>
    <x v="0"/>
  </r>
  <r>
    <x v="0"/>
    <x v="1"/>
    <x v="0"/>
    <x v="1"/>
    <x v="0"/>
    <x v="1"/>
    <x v="0"/>
    <x v="1"/>
    <x v="0"/>
    <x v="0"/>
    <x v="0"/>
  </r>
  <r>
    <x v="1"/>
    <x v="0"/>
    <x v="0"/>
    <x v="1"/>
    <x v="1"/>
    <x v="1"/>
    <x v="0"/>
    <x v="1"/>
    <x v="0"/>
    <x v="0"/>
    <x v="0"/>
  </r>
  <r>
    <x v="0"/>
    <x v="1"/>
    <x v="0"/>
    <x v="0"/>
    <x v="0"/>
    <x v="1"/>
    <x v="1"/>
    <x v="1"/>
    <x v="1"/>
    <x v="0"/>
    <x v="17"/>
  </r>
  <r>
    <x v="1"/>
    <x v="1"/>
    <x v="0"/>
    <x v="1"/>
    <x v="1"/>
    <x v="1"/>
    <x v="0"/>
    <x v="1"/>
    <x v="0"/>
    <x v="0"/>
    <x v="0"/>
  </r>
  <r>
    <x v="1"/>
    <x v="0"/>
    <x v="0"/>
    <x v="1"/>
    <x v="0"/>
    <x v="0"/>
    <x v="0"/>
    <x v="0"/>
    <x v="0"/>
    <x v="0"/>
    <x v="0"/>
  </r>
  <r>
    <x v="1"/>
    <x v="0"/>
    <x v="0"/>
    <x v="1"/>
    <x v="0"/>
    <x v="1"/>
    <x v="0"/>
    <x v="0"/>
    <x v="0"/>
    <x v="0"/>
    <x v="0"/>
  </r>
  <r>
    <x v="1"/>
    <x v="1"/>
    <x v="0"/>
    <x v="1"/>
    <x v="0"/>
    <x v="1"/>
    <x v="1"/>
    <x v="0"/>
    <x v="0"/>
    <x v="0"/>
    <x v="0"/>
  </r>
  <r>
    <x v="0"/>
    <x v="0"/>
    <x v="1"/>
    <x v="1"/>
    <x v="1"/>
    <x v="1"/>
    <x v="0"/>
    <x v="1"/>
    <x v="0"/>
    <x v="0"/>
    <x v="18"/>
  </r>
  <r>
    <x v="1"/>
    <x v="0"/>
    <x v="0"/>
    <x v="1"/>
    <x v="0"/>
    <x v="0"/>
    <x v="0"/>
    <x v="1"/>
    <x v="0"/>
    <x v="0"/>
    <x v="0"/>
  </r>
  <r>
    <x v="1"/>
    <x v="0"/>
    <x v="0"/>
    <x v="1"/>
    <x v="0"/>
    <x v="0"/>
    <x v="0"/>
    <x v="0"/>
    <x v="0"/>
    <x v="0"/>
    <x v="19"/>
  </r>
  <r>
    <x v="1"/>
    <x v="0"/>
    <x v="0"/>
    <x v="1"/>
    <x v="0"/>
    <x v="1"/>
    <x v="0"/>
    <x v="0"/>
    <x v="1"/>
    <x v="0"/>
    <x v="20"/>
  </r>
  <r>
    <x v="0"/>
    <x v="1"/>
    <x v="1"/>
    <x v="0"/>
    <x v="1"/>
    <x v="1"/>
    <x v="0"/>
    <x v="1"/>
    <x v="1"/>
    <x v="0"/>
    <x v="21"/>
  </r>
  <r>
    <x v="0"/>
    <x v="1"/>
    <x v="0"/>
    <x v="0"/>
    <x v="0"/>
    <x v="1"/>
    <x v="0"/>
    <x v="1"/>
    <x v="0"/>
    <x v="0"/>
    <x v="0"/>
  </r>
  <r>
    <x v="0"/>
    <x v="0"/>
    <x v="0"/>
    <x v="1"/>
    <x v="0"/>
    <x v="1"/>
    <x v="0"/>
    <x v="0"/>
    <x v="0"/>
    <x v="0"/>
    <x v="0"/>
  </r>
  <r>
    <x v="0"/>
    <x v="0"/>
    <x v="1"/>
    <x v="0"/>
    <x v="0"/>
    <x v="0"/>
    <x v="1"/>
    <x v="0"/>
    <x v="1"/>
    <x v="0"/>
    <x v="0"/>
  </r>
  <r>
    <x v="1"/>
    <x v="0"/>
    <x v="0"/>
    <x v="0"/>
    <x v="0"/>
    <x v="1"/>
    <x v="0"/>
    <x v="0"/>
    <x v="0"/>
    <x v="0"/>
    <x v="0"/>
  </r>
  <r>
    <x v="1"/>
    <x v="1"/>
    <x v="0"/>
    <x v="1"/>
    <x v="0"/>
    <x v="1"/>
    <x v="0"/>
    <x v="1"/>
    <x v="0"/>
    <x v="0"/>
    <x v="0"/>
  </r>
  <r>
    <x v="1"/>
    <x v="0"/>
    <x v="0"/>
    <x v="1"/>
    <x v="0"/>
    <x v="1"/>
    <x v="1"/>
    <x v="0"/>
    <x v="0"/>
    <x v="0"/>
    <x v="0"/>
  </r>
  <r>
    <x v="0"/>
    <x v="0"/>
    <x v="0"/>
    <x v="1"/>
    <x v="0"/>
    <x v="1"/>
    <x v="0"/>
    <x v="1"/>
    <x v="0"/>
    <x v="0"/>
    <x v="0"/>
  </r>
  <r>
    <x v="0"/>
    <x v="0"/>
    <x v="0"/>
    <x v="1"/>
    <x v="0"/>
    <x v="1"/>
    <x v="0"/>
    <x v="1"/>
    <x v="0"/>
    <x v="0"/>
    <x v="22"/>
  </r>
  <r>
    <x v="0"/>
    <x v="0"/>
    <x v="0"/>
    <x v="1"/>
    <x v="0"/>
    <x v="0"/>
    <x v="0"/>
    <x v="1"/>
    <x v="0"/>
    <x v="0"/>
    <x v="0"/>
  </r>
  <r>
    <x v="0"/>
    <x v="1"/>
    <x v="0"/>
    <x v="1"/>
    <x v="0"/>
    <x v="0"/>
    <x v="1"/>
    <x v="0"/>
    <x v="0"/>
    <x v="0"/>
    <x v="23"/>
  </r>
  <r>
    <x v="1"/>
    <x v="1"/>
    <x v="0"/>
    <x v="1"/>
    <x v="0"/>
    <x v="1"/>
    <x v="1"/>
    <x v="0"/>
    <x v="0"/>
    <x v="0"/>
    <x v="24"/>
  </r>
  <r>
    <x v="1"/>
    <x v="1"/>
    <x v="0"/>
    <x v="1"/>
    <x v="0"/>
    <x v="1"/>
    <x v="0"/>
    <x v="0"/>
    <x v="0"/>
    <x v="0"/>
    <x v="13"/>
  </r>
  <r>
    <x v="1"/>
    <x v="0"/>
    <x v="0"/>
    <x v="1"/>
    <x v="0"/>
    <x v="0"/>
    <x v="0"/>
    <x v="0"/>
    <x v="0"/>
    <x v="0"/>
    <x v="0"/>
  </r>
  <r>
    <x v="1"/>
    <x v="0"/>
    <x v="0"/>
    <x v="0"/>
    <x v="0"/>
    <x v="1"/>
    <x v="0"/>
    <x v="0"/>
    <x v="1"/>
    <x v="0"/>
    <x v="0"/>
  </r>
  <r>
    <x v="0"/>
    <x v="0"/>
    <x v="0"/>
    <x v="1"/>
    <x v="0"/>
    <x v="1"/>
    <x v="1"/>
    <x v="1"/>
    <x v="0"/>
    <x v="0"/>
    <x v="1"/>
  </r>
  <r>
    <x v="0"/>
    <x v="1"/>
    <x v="0"/>
    <x v="1"/>
    <x v="0"/>
    <x v="1"/>
    <x v="1"/>
    <x v="0"/>
    <x v="0"/>
    <x v="0"/>
    <x v="25"/>
  </r>
  <r>
    <x v="1"/>
    <x v="0"/>
    <x v="0"/>
    <x v="0"/>
    <x v="0"/>
    <x v="1"/>
    <x v="0"/>
    <x v="0"/>
    <x v="1"/>
    <x v="0"/>
    <x v="0"/>
  </r>
  <r>
    <x v="1"/>
    <x v="0"/>
    <x v="0"/>
    <x v="1"/>
    <x v="0"/>
    <x v="1"/>
    <x v="1"/>
    <x v="0"/>
    <x v="0"/>
    <x v="0"/>
    <x v="0"/>
  </r>
  <r>
    <x v="1"/>
    <x v="0"/>
    <x v="0"/>
    <x v="0"/>
    <x v="0"/>
    <x v="1"/>
    <x v="0"/>
    <x v="1"/>
    <x v="1"/>
    <x v="0"/>
    <x v="0"/>
  </r>
  <r>
    <x v="0"/>
    <x v="1"/>
    <x v="0"/>
    <x v="0"/>
    <x v="0"/>
    <x v="0"/>
    <x v="0"/>
    <x v="1"/>
    <x v="0"/>
    <x v="0"/>
    <x v="0"/>
  </r>
  <r>
    <x v="1"/>
    <x v="0"/>
    <x v="0"/>
    <x v="1"/>
    <x v="0"/>
    <x v="0"/>
    <x v="1"/>
    <x v="1"/>
    <x v="0"/>
    <x v="0"/>
    <x v="0"/>
  </r>
  <r>
    <x v="0"/>
    <x v="0"/>
    <x v="0"/>
    <x v="1"/>
    <x v="0"/>
    <x v="1"/>
    <x v="0"/>
    <x v="0"/>
    <x v="0"/>
    <x v="0"/>
    <x v="7"/>
  </r>
  <r>
    <x v="0"/>
    <x v="0"/>
    <x v="0"/>
    <x v="1"/>
    <x v="0"/>
    <x v="1"/>
    <x v="0"/>
    <x v="1"/>
    <x v="0"/>
    <x v="0"/>
    <x v="0"/>
  </r>
  <r>
    <x v="0"/>
    <x v="1"/>
    <x v="0"/>
    <x v="0"/>
    <x v="0"/>
    <x v="1"/>
    <x v="0"/>
    <x v="1"/>
    <x v="1"/>
    <x v="0"/>
    <x v="0"/>
  </r>
  <r>
    <x v="1"/>
    <x v="1"/>
    <x v="0"/>
    <x v="1"/>
    <x v="1"/>
    <x v="1"/>
    <x v="0"/>
    <x v="0"/>
    <x v="1"/>
    <x v="0"/>
    <x v="0"/>
  </r>
  <r>
    <x v="0"/>
    <x v="0"/>
    <x v="0"/>
    <x v="1"/>
    <x v="0"/>
    <x v="1"/>
    <x v="0"/>
    <x v="1"/>
    <x v="1"/>
    <x v="0"/>
    <x v="24"/>
  </r>
  <r>
    <x v="0"/>
    <x v="1"/>
    <x v="0"/>
    <x v="1"/>
    <x v="0"/>
    <x v="1"/>
    <x v="1"/>
    <x v="1"/>
    <x v="1"/>
    <x v="0"/>
    <x v="0"/>
  </r>
  <r>
    <x v="0"/>
    <x v="1"/>
    <x v="0"/>
    <x v="1"/>
    <x v="0"/>
    <x v="1"/>
    <x v="0"/>
    <x v="1"/>
    <x v="1"/>
    <x v="0"/>
    <x v="26"/>
  </r>
  <r>
    <x v="1"/>
    <x v="0"/>
    <x v="0"/>
    <x v="1"/>
    <x v="0"/>
    <x v="1"/>
    <x v="0"/>
    <x v="0"/>
    <x v="0"/>
    <x v="0"/>
    <x v="0"/>
  </r>
  <r>
    <x v="0"/>
    <x v="0"/>
    <x v="0"/>
    <x v="1"/>
    <x v="0"/>
    <x v="1"/>
    <x v="0"/>
    <x v="1"/>
    <x v="0"/>
    <x v="0"/>
    <x v="0"/>
  </r>
  <r>
    <x v="0"/>
    <x v="1"/>
    <x v="0"/>
    <x v="1"/>
    <x v="0"/>
    <x v="1"/>
    <x v="1"/>
    <x v="1"/>
    <x v="1"/>
    <x v="0"/>
    <x v="0"/>
  </r>
  <r>
    <x v="1"/>
    <x v="0"/>
    <x v="0"/>
    <x v="1"/>
    <x v="0"/>
    <x v="1"/>
    <x v="0"/>
    <x v="1"/>
    <x v="1"/>
    <x v="0"/>
    <x v="0"/>
  </r>
  <r>
    <x v="0"/>
    <x v="1"/>
    <x v="0"/>
    <x v="1"/>
    <x v="0"/>
    <x v="1"/>
    <x v="1"/>
    <x v="1"/>
    <x v="0"/>
    <x v="0"/>
    <x v="0"/>
  </r>
  <r>
    <x v="1"/>
    <x v="0"/>
    <x v="1"/>
    <x v="0"/>
    <x v="0"/>
    <x v="0"/>
    <x v="0"/>
    <x v="0"/>
    <x v="1"/>
    <x v="0"/>
    <x v="0"/>
  </r>
  <r>
    <x v="0"/>
    <x v="0"/>
    <x v="0"/>
    <x v="1"/>
    <x v="0"/>
    <x v="0"/>
    <x v="1"/>
    <x v="0"/>
    <x v="0"/>
    <x v="0"/>
    <x v="27"/>
  </r>
  <r>
    <x v="0"/>
    <x v="1"/>
    <x v="0"/>
    <x v="0"/>
    <x v="1"/>
    <x v="1"/>
    <x v="0"/>
    <x v="1"/>
    <x v="1"/>
    <x v="0"/>
    <x v="28"/>
  </r>
  <r>
    <x v="1"/>
    <x v="0"/>
    <x v="0"/>
    <x v="1"/>
    <x v="1"/>
    <x v="1"/>
    <x v="1"/>
    <x v="0"/>
    <x v="1"/>
    <x v="0"/>
    <x v="29"/>
  </r>
  <r>
    <x v="0"/>
    <x v="1"/>
    <x v="0"/>
    <x v="0"/>
    <x v="0"/>
    <x v="1"/>
    <x v="0"/>
    <x v="1"/>
    <x v="1"/>
    <x v="0"/>
    <x v="30"/>
  </r>
  <r>
    <x v="1"/>
    <x v="1"/>
    <x v="0"/>
    <x v="1"/>
    <x v="0"/>
    <x v="1"/>
    <x v="0"/>
    <x v="1"/>
    <x v="0"/>
    <x v="0"/>
    <x v="0"/>
  </r>
  <r>
    <x v="1"/>
    <x v="1"/>
    <x v="0"/>
    <x v="1"/>
    <x v="0"/>
    <x v="1"/>
    <x v="0"/>
    <x v="1"/>
    <x v="0"/>
    <x v="0"/>
    <x v="0"/>
  </r>
  <r>
    <x v="1"/>
    <x v="1"/>
    <x v="0"/>
    <x v="1"/>
    <x v="1"/>
    <x v="1"/>
    <x v="1"/>
    <x v="0"/>
    <x v="1"/>
    <x v="0"/>
    <x v="31"/>
  </r>
  <r>
    <x v="0"/>
    <x v="0"/>
    <x v="0"/>
    <x v="1"/>
    <x v="0"/>
    <x v="0"/>
    <x v="1"/>
    <x v="0"/>
    <x v="0"/>
    <x v="0"/>
    <x v="0"/>
  </r>
  <r>
    <x v="1"/>
    <x v="0"/>
    <x v="0"/>
    <x v="0"/>
    <x v="0"/>
    <x v="0"/>
    <x v="0"/>
    <x v="1"/>
    <x v="0"/>
    <x v="0"/>
    <x v="0"/>
  </r>
  <r>
    <x v="1"/>
    <x v="0"/>
    <x v="0"/>
    <x v="1"/>
    <x v="0"/>
    <x v="0"/>
    <x v="1"/>
    <x v="0"/>
    <x v="0"/>
    <x v="1"/>
    <x v="0"/>
  </r>
  <r>
    <x v="1"/>
    <x v="1"/>
    <x v="0"/>
    <x v="1"/>
    <x v="0"/>
    <x v="1"/>
    <x v="0"/>
    <x v="1"/>
    <x v="0"/>
    <x v="0"/>
    <x v="0"/>
  </r>
  <r>
    <x v="1"/>
    <x v="1"/>
    <x v="0"/>
    <x v="1"/>
    <x v="0"/>
    <x v="1"/>
    <x v="0"/>
    <x v="1"/>
    <x v="1"/>
    <x v="0"/>
    <x v="0"/>
  </r>
  <r>
    <x v="1"/>
    <x v="0"/>
    <x v="0"/>
    <x v="1"/>
    <x v="0"/>
    <x v="1"/>
    <x v="0"/>
    <x v="0"/>
    <x v="0"/>
    <x v="0"/>
    <x v="32"/>
  </r>
  <r>
    <x v="1"/>
    <x v="1"/>
    <x v="0"/>
    <x v="1"/>
    <x v="0"/>
    <x v="1"/>
    <x v="0"/>
    <x v="1"/>
    <x v="0"/>
    <x v="0"/>
    <x v="0"/>
  </r>
  <r>
    <x v="1"/>
    <x v="1"/>
    <x v="0"/>
    <x v="1"/>
    <x v="1"/>
    <x v="1"/>
    <x v="0"/>
    <x v="1"/>
    <x v="1"/>
    <x v="0"/>
    <x v="0"/>
  </r>
  <r>
    <x v="1"/>
    <x v="0"/>
    <x v="0"/>
    <x v="0"/>
    <x v="0"/>
    <x v="1"/>
    <x v="0"/>
    <x v="0"/>
    <x v="1"/>
    <x v="0"/>
    <x v="0"/>
  </r>
  <r>
    <x v="1"/>
    <x v="0"/>
    <x v="0"/>
    <x v="1"/>
    <x v="0"/>
    <x v="0"/>
    <x v="0"/>
    <x v="0"/>
    <x v="0"/>
    <x v="0"/>
    <x v="0"/>
  </r>
  <r>
    <x v="1"/>
    <x v="1"/>
    <x v="0"/>
    <x v="1"/>
    <x v="0"/>
    <x v="0"/>
    <x v="0"/>
    <x v="0"/>
    <x v="0"/>
    <x v="0"/>
    <x v="0"/>
  </r>
  <r>
    <x v="1"/>
    <x v="0"/>
    <x v="0"/>
    <x v="1"/>
    <x v="0"/>
    <x v="0"/>
    <x v="0"/>
    <x v="0"/>
    <x v="0"/>
    <x v="0"/>
    <x v="0"/>
  </r>
  <r>
    <x v="0"/>
    <x v="1"/>
    <x v="1"/>
    <x v="0"/>
    <x v="1"/>
    <x v="1"/>
    <x v="0"/>
    <x v="1"/>
    <x v="1"/>
    <x v="0"/>
    <x v="0"/>
  </r>
  <r>
    <x v="0"/>
    <x v="1"/>
    <x v="1"/>
    <x v="0"/>
    <x v="1"/>
    <x v="1"/>
    <x v="0"/>
    <x v="1"/>
    <x v="1"/>
    <x v="0"/>
    <x v="0"/>
  </r>
  <r>
    <x v="1"/>
    <x v="0"/>
    <x v="0"/>
    <x v="1"/>
    <x v="0"/>
    <x v="0"/>
    <x v="0"/>
    <x v="0"/>
    <x v="1"/>
    <x v="0"/>
    <x v="33"/>
  </r>
  <r>
    <x v="1"/>
    <x v="1"/>
    <x v="0"/>
    <x v="0"/>
    <x v="0"/>
    <x v="0"/>
    <x v="0"/>
    <x v="0"/>
    <x v="0"/>
    <x v="0"/>
    <x v="0"/>
  </r>
  <r>
    <x v="0"/>
    <x v="1"/>
    <x v="0"/>
    <x v="1"/>
    <x v="1"/>
    <x v="0"/>
    <x v="0"/>
    <x v="1"/>
    <x v="0"/>
    <x v="0"/>
    <x v="0"/>
  </r>
  <r>
    <x v="0"/>
    <x v="0"/>
    <x v="1"/>
    <x v="1"/>
    <x v="0"/>
    <x v="1"/>
    <x v="0"/>
    <x v="1"/>
    <x v="0"/>
    <x v="0"/>
    <x v="0"/>
  </r>
  <r>
    <x v="0"/>
    <x v="1"/>
    <x v="0"/>
    <x v="0"/>
    <x v="0"/>
    <x v="1"/>
    <x v="0"/>
    <x v="0"/>
    <x v="1"/>
    <x v="0"/>
    <x v="0"/>
  </r>
  <r>
    <x v="0"/>
    <x v="0"/>
    <x v="0"/>
    <x v="1"/>
    <x v="0"/>
    <x v="0"/>
    <x v="1"/>
    <x v="0"/>
    <x v="0"/>
    <x v="0"/>
    <x v="34"/>
  </r>
  <r>
    <x v="0"/>
    <x v="0"/>
    <x v="0"/>
    <x v="1"/>
    <x v="0"/>
    <x v="0"/>
    <x v="0"/>
    <x v="0"/>
    <x v="0"/>
    <x v="0"/>
    <x v="0"/>
  </r>
  <r>
    <x v="0"/>
    <x v="1"/>
    <x v="0"/>
    <x v="0"/>
    <x v="0"/>
    <x v="0"/>
    <x v="0"/>
    <x v="1"/>
    <x v="1"/>
    <x v="0"/>
    <x v="0"/>
  </r>
  <r>
    <x v="0"/>
    <x v="1"/>
    <x v="1"/>
    <x v="0"/>
    <x v="1"/>
    <x v="0"/>
    <x v="1"/>
    <x v="0"/>
    <x v="1"/>
    <x v="0"/>
    <x v="0"/>
  </r>
  <r>
    <x v="1"/>
    <x v="0"/>
    <x v="0"/>
    <x v="0"/>
    <x v="0"/>
    <x v="1"/>
    <x v="0"/>
    <x v="1"/>
    <x v="1"/>
    <x v="0"/>
    <x v="0"/>
  </r>
  <r>
    <x v="1"/>
    <x v="0"/>
    <x v="1"/>
    <x v="0"/>
    <x v="0"/>
    <x v="0"/>
    <x v="1"/>
    <x v="1"/>
    <x v="1"/>
    <x v="0"/>
    <x v="35"/>
  </r>
  <r>
    <x v="1"/>
    <x v="1"/>
    <x v="0"/>
    <x v="1"/>
    <x v="0"/>
    <x v="0"/>
    <x v="0"/>
    <x v="1"/>
    <x v="0"/>
    <x v="0"/>
    <x v="0"/>
  </r>
  <r>
    <x v="1"/>
    <x v="0"/>
    <x v="0"/>
    <x v="1"/>
    <x v="0"/>
    <x v="1"/>
    <x v="0"/>
    <x v="1"/>
    <x v="0"/>
    <x v="0"/>
    <x v="36"/>
  </r>
  <r>
    <x v="0"/>
    <x v="0"/>
    <x v="1"/>
    <x v="0"/>
    <x v="0"/>
    <x v="1"/>
    <x v="1"/>
    <x v="0"/>
    <x v="0"/>
    <x v="0"/>
    <x v="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
  <r>
    <x v="0"/>
    <x v="0"/>
    <x v="0"/>
    <x v="0"/>
    <x v="0"/>
    <x v="0"/>
  </r>
  <r>
    <x v="0"/>
    <x v="0"/>
    <x v="0"/>
    <x v="1"/>
    <x v="1"/>
    <x v="0"/>
  </r>
  <r>
    <x v="0"/>
    <x v="0"/>
    <x v="0"/>
    <x v="0"/>
    <x v="1"/>
    <x v="0"/>
  </r>
  <r>
    <x v="0"/>
    <x v="0"/>
    <x v="1"/>
    <x v="0"/>
    <x v="1"/>
    <x v="0"/>
  </r>
  <r>
    <x v="0"/>
    <x v="0"/>
    <x v="0"/>
    <x v="0"/>
    <x v="0"/>
    <x v="1"/>
  </r>
  <r>
    <x v="0"/>
    <x v="1"/>
    <x v="1"/>
    <x v="0"/>
    <x v="0"/>
    <x v="0"/>
  </r>
  <r>
    <x v="0"/>
    <x v="0"/>
    <x v="0"/>
    <x v="0"/>
    <x v="0"/>
    <x v="0"/>
  </r>
  <r>
    <x v="0"/>
    <x v="0"/>
    <x v="0"/>
    <x v="0"/>
    <x v="0"/>
    <x v="1"/>
  </r>
  <r>
    <x v="1"/>
    <x v="1"/>
    <x v="0"/>
    <x v="0"/>
    <x v="1"/>
    <x v="0"/>
  </r>
  <r>
    <x v="0"/>
    <x v="0"/>
    <x v="0"/>
    <x v="0"/>
    <x v="0"/>
    <x v="1"/>
  </r>
  <r>
    <x v="1"/>
    <x v="0"/>
    <x v="0"/>
    <x v="1"/>
    <x v="0"/>
    <x v="1"/>
  </r>
  <r>
    <x v="1"/>
    <x v="0"/>
    <x v="1"/>
    <x v="1"/>
    <x v="0"/>
    <x v="0"/>
  </r>
  <r>
    <x v="1"/>
    <x v="0"/>
    <x v="0"/>
    <x v="1"/>
    <x v="0"/>
    <x v="0"/>
  </r>
  <r>
    <x v="1"/>
    <x v="0"/>
    <x v="1"/>
    <x v="0"/>
    <x v="1"/>
    <x v="0"/>
  </r>
  <r>
    <x v="0"/>
    <x v="0"/>
    <x v="0"/>
    <x v="0"/>
    <x v="0"/>
    <x v="0"/>
  </r>
  <r>
    <x v="0"/>
    <x v="0"/>
    <x v="0"/>
    <x v="0"/>
    <x v="0"/>
    <x v="1"/>
  </r>
  <r>
    <x v="0"/>
    <x v="0"/>
    <x v="0"/>
    <x v="1"/>
    <x v="1"/>
    <x v="1"/>
  </r>
  <r>
    <x v="1"/>
    <x v="0"/>
    <x v="0"/>
    <x v="1"/>
    <x v="0"/>
    <x v="0"/>
  </r>
  <r>
    <x v="0"/>
    <x v="0"/>
    <x v="0"/>
    <x v="0"/>
    <x v="0"/>
    <x v="0"/>
  </r>
  <r>
    <x v="0"/>
    <x v="1"/>
    <x v="0"/>
    <x v="0"/>
    <x v="0"/>
    <x v="0"/>
  </r>
  <r>
    <x v="0"/>
    <x v="0"/>
    <x v="0"/>
    <x v="0"/>
    <x v="0"/>
    <x v="0"/>
  </r>
  <r>
    <x v="0"/>
    <x v="1"/>
    <x v="0"/>
    <x v="0"/>
    <x v="1"/>
    <x v="0"/>
  </r>
  <r>
    <x v="0"/>
    <x v="0"/>
    <x v="0"/>
    <x v="1"/>
    <x v="0"/>
    <x v="1"/>
  </r>
  <r>
    <x v="0"/>
    <x v="1"/>
    <x v="1"/>
    <x v="0"/>
    <x v="1"/>
    <x v="1"/>
  </r>
  <r>
    <x v="0"/>
    <x v="1"/>
    <x v="0"/>
    <x v="0"/>
    <x v="0"/>
    <x v="1"/>
  </r>
  <r>
    <x v="0"/>
    <x v="0"/>
    <x v="0"/>
    <x v="1"/>
    <x v="0"/>
    <x v="0"/>
  </r>
  <r>
    <x v="0"/>
    <x v="0"/>
    <x v="0"/>
    <x v="1"/>
    <x v="0"/>
    <x v="0"/>
  </r>
  <r>
    <x v="0"/>
    <x v="0"/>
    <x v="0"/>
    <x v="0"/>
    <x v="1"/>
    <x v="1"/>
  </r>
  <r>
    <x v="1"/>
    <x v="1"/>
    <x v="0"/>
    <x v="1"/>
    <x v="0"/>
    <x v="1"/>
  </r>
  <r>
    <x v="0"/>
    <x v="1"/>
    <x v="0"/>
    <x v="1"/>
    <x v="0"/>
    <x v="1"/>
  </r>
  <r>
    <x v="1"/>
    <x v="0"/>
    <x v="0"/>
    <x v="1"/>
    <x v="0"/>
    <x v="1"/>
  </r>
  <r>
    <x v="1"/>
    <x v="0"/>
    <x v="0"/>
    <x v="1"/>
    <x v="0"/>
    <x v="0"/>
  </r>
  <r>
    <x v="0"/>
    <x v="0"/>
    <x v="0"/>
    <x v="0"/>
    <x v="1"/>
    <x v="0"/>
  </r>
  <r>
    <x v="0"/>
    <x v="0"/>
    <x v="1"/>
    <x v="1"/>
    <x v="0"/>
    <x v="1"/>
  </r>
  <r>
    <x v="0"/>
    <x v="0"/>
    <x v="0"/>
    <x v="0"/>
    <x v="1"/>
    <x v="0"/>
  </r>
  <r>
    <x v="0"/>
    <x v="0"/>
    <x v="0"/>
    <x v="1"/>
    <x v="0"/>
    <x v="0"/>
  </r>
  <r>
    <x v="1"/>
    <x v="0"/>
    <x v="0"/>
    <x v="0"/>
    <x v="0"/>
    <x v="0"/>
  </r>
  <r>
    <x v="0"/>
    <x v="0"/>
    <x v="0"/>
    <x v="1"/>
    <x v="0"/>
    <x v="0"/>
  </r>
  <r>
    <x v="1"/>
    <x v="0"/>
    <x v="0"/>
    <x v="1"/>
    <x v="0"/>
    <x v="1"/>
  </r>
  <r>
    <x v="1"/>
    <x v="0"/>
    <x v="0"/>
    <x v="0"/>
    <x v="0"/>
    <x v="0"/>
  </r>
  <r>
    <x v="0"/>
    <x v="0"/>
    <x v="0"/>
    <x v="1"/>
    <x v="1"/>
    <x v="1"/>
  </r>
  <r>
    <x v="0"/>
    <x v="0"/>
    <x v="0"/>
    <x v="0"/>
    <x v="1"/>
    <x v="0"/>
  </r>
  <r>
    <x v="1"/>
    <x v="1"/>
    <x v="1"/>
    <x v="1"/>
    <x v="1"/>
    <x v="1"/>
  </r>
  <r>
    <x v="1"/>
    <x v="0"/>
    <x v="1"/>
    <x v="1"/>
    <x v="0"/>
    <x v="0"/>
  </r>
  <r>
    <x v="1"/>
    <x v="0"/>
    <x v="0"/>
    <x v="0"/>
    <x v="0"/>
    <x v="1"/>
  </r>
  <r>
    <x v="1"/>
    <x v="0"/>
    <x v="0"/>
    <x v="0"/>
    <x v="0"/>
    <x v="0"/>
  </r>
  <r>
    <x v="1"/>
    <x v="0"/>
    <x v="0"/>
    <x v="1"/>
    <x v="0"/>
    <x v="0"/>
  </r>
  <r>
    <x v="1"/>
    <x v="0"/>
    <x v="1"/>
    <x v="0"/>
    <x v="0"/>
    <x v="1"/>
  </r>
  <r>
    <x v="0"/>
    <x v="1"/>
    <x v="1"/>
    <x v="0"/>
    <x v="0"/>
    <x v="0"/>
  </r>
  <r>
    <x v="1"/>
    <x v="0"/>
    <x v="0"/>
    <x v="1"/>
    <x v="1"/>
    <x v="1"/>
  </r>
  <r>
    <x v="0"/>
    <x v="0"/>
    <x v="0"/>
    <x v="0"/>
    <x v="1"/>
    <x v="0"/>
  </r>
  <r>
    <x v="1"/>
    <x v="0"/>
    <x v="0"/>
    <x v="0"/>
    <x v="1"/>
    <x v="1"/>
  </r>
  <r>
    <x v="0"/>
    <x v="0"/>
    <x v="0"/>
    <x v="1"/>
    <x v="1"/>
    <x v="1"/>
  </r>
  <r>
    <x v="0"/>
    <x v="0"/>
    <x v="0"/>
    <x v="1"/>
    <x v="0"/>
    <x v="0"/>
  </r>
  <r>
    <x v="1"/>
    <x v="0"/>
    <x v="0"/>
    <x v="1"/>
    <x v="0"/>
    <x v="0"/>
  </r>
  <r>
    <x v="0"/>
    <x v="1"/>
    <x v="0"/>
    <x v="1"/>
    <x v="0"/>
    <x v="0"/>
  </r>
  <r>
    <x v="1"/>
    <x v="0"/>
    <x v="0"/>
    <x v="0"/>
    <x v="0"/>
    <x v="0"/>
  </r>
  <r>
    <x v="1"/>
    <x v="0"/>
    <x v="0"/>
    <x v="1"/>
    <x v="0"/>
    <x v="1"/>
  </r>
  <r>
    <x v="0"/>
    <x v="0"/>
    <x v="1"/>
    <x v="1"/>
    <x v="0"/>
    <x v="1"/>
  </r>
  <r>
    <x v="0"/>
    <x v="0"/>
    <x v="0"/>
    <x v="1"/>
    <x v="1"/>
    <x v="1"/>
  </r>
  <r>
    <x v="0"/>
    <x v="0"/>
    <x v="0"/>
    <x v="1"/>
    <x v="0"/>
    <x v="1"/>
  </r>
  <r>
    <x v="0"/>
    <x v="0"/>
    <x v="0"/>
    <x v="1"/>
    <x v="0"/>
    <x v="1"/>
  </r>
  <r>
    <x v="1"/>
    <x v="0"/>
    <x v="0"/>
    <x v="0"/>
    <x v="0"/>
    <x v="0"/>
  </r>
  <r>
    <x v="1"/>
    <x v="0"/>
    <x v="1"/>
    <x v="1"/>
    <x v="0"/>
    <x v="0"/>
  </r>
  <r>
    <x v="1"/>
    <x v="0"/>
    <x v="0"/>
    <x v="1"/>
    <x v="0"/>
    <x v="1"/>
  </r>
  <r>
    <x v="0"/>
    <x v="0"/>
    <x v="1"/>
    <x v="1"/>
    <x v="0"/>
    <x v="1"/>
  </r>
  <r>
    <x v="0"/>
    <x v="0"/>
    <x v="0"/>
    <x v="0"/>
    <x v="0"/>
    <x v="1"/>
  </r>
  <r>
    <x v="1"/>
    <x v="1"/>
    <x v="0"/>
    <x v="1"/>
    <x v="0"/>
    <x v="0"/>
  </r>
  <r>
    <x v="1"/>
    <x v="0"/>
    <x v="0"/>
    <x v="0"/>
    <x v="0"/>
    <x v="1"/>
  </r>
  <r>
    <x v="0"/>
    <x v="0"/>
    <x v="0"/>
    <x v="1"/>
    <x v="0"/>
    <x v="0"/>
  </r>
  <r>
    <x v="0"/>
    <x v="0"/>
    <x v="1"/>
    <x v="0"/>
    <x v="1"/>
    <x v="1"/>
  </r>
  <r>
    <x v="1"/>
    <x v="0"/>
    <x v="0"/>
    <x v="0"/>
    <x v="0"/>
    <x v="0"/>
  </r>
  <r>
    <x v="0"/>
    <x v="0"/>
    <x v="0"/>
    <x v="1"/>
    <x v="0"/>
    <x v="0"/>
  </r>
  <r>
    <x v="1"/>
    <x v="1"/>
    <x v="0"/>
    <x v="1"/>
    <x v="0"/>
    <x v="0"/>
  </r>
  <r>
    <x v="0"/>
    <x v="0"/>
    <x v="0"/>
    <x v="0"/>
    <x v="0"/>
    <x v="0"/>
  </r>
  <r>
    <x v="1"/>
    <x v="0"/>
    <x v="1"/>
    <x v="1"/>
    <x v="0"/>
    <x v="0"/>
  </r>
  <r>
    <x v="0"/>
    <x v="1"/>
    <x v="0"/>
    <x v="1"/>
    <x v="0"/>
    <x v="0"/>
  </r>
  <r>
    <x v="1"/>
    <x v="1"/>
    <x v="0"/>
    <x v="0"/>
    <x v="0"/>
    <x v="1"/>
  </r>
  <r>
    <x v="1"/>
    <x v="0"/>
    <x v="0"/>
    <x v="1"/>
    <x v="0"/>
    <x v="1"/>
  </r>
  <r>
    <x v="1"/>
    <x v="0"/>
    <x v="0"/>
    <x v="1"/>
    <x v="0"/>
    <x v="0"/>
  </r>
  <r>
    <x v="1"/>
    <x v="1"/>
    <x v="1"/>
    <x v="0"/>
    <x v="0"/>
    <x v="1"/>
  </r>
  <r>
    <x v="1"/>
    <x v="1"/>
    <x v="1"/>
    <x v="1"/>
    <x v="0"/>
    <x v="0"/>
  </r>
  <r>
    <x v="1"/>
    <x v="1"/>
    <x v="1"/>
    <x v="0"/>
    <x v="1"/>
    <x v="0"/>
  </r>
  <r>
    <x v="1"/>
    <x v="1"/>
    <x v="0"/>
    <x v="1"/>
    <x v="0"/>
    <x v="1"/>
  </r>
  <r>
    <x v="0"/>
    <x v="1"/>
    <x v="0"/>
    <x v="0"/>
    <x v="0"/>
    <x v="0"/>
  </r>
  <r>
    <x v="0"/>
    <x v="0"/>
    <x v="0"/>
    <x v="1"/>
    <x v="0"/>
    <x v="0"/>
  </r>
  <r>
    <x v="1"/>
    <x v="0"/>
    <x v="0"/>
    <x v="1"/>
    <x v="0"/>
    <x v="1"/>
  </r>
  <r>
    <x v="1"/>
    <x v="1"/>
    <x v="0"/>
    <x v="1"/>
    <x v="0"/>
    <x v="1"/>
  </r>
  <r>
    <x v="1"/>
    <x v="0"/>
    <x v="0"/>
    <x v="1"/>
    <x v="0"/>
    <x v="0"/>
  </r>
  <r>
    <x v="0"/>
    <x v="0"/>
    <x v="0"/>
    <x v="1"/>
    <x v="0"/>
    <x v="0"/>
  </r>
  <r>
    <x v="1"/>
    <x v="0"/>
    <x v="1"/>
    <x v="1"/>
    <x v="0"/>
    <x v="0"/>
  </r>
  <r>
    <x v="0"/>
    <x v="0"/>
    <x v="0"/>
    <x v="1"/>
    <x v="0"/>
    <x v="0"/>
  </r>
  <r>
    <x v="0"/>
    <x v="0"/>
    <x v="1"/>
    <x v="1"/>
    <x v="0"/>
    <x v="0"/>
  </r>
  <r>
    <x v="0"/>
    <x v="0"/>
    <x v="0"/>
    <x v="1"/>
    <x v="1"/>
    <x v="1"/>
  </r>
  <r>
    <x v="1"/>
    <x v="0"/>
    <x v="1"/>
    <x v="1"/>
    <x v="0"/>
    <x v="0"/>
  </r>
  <r>
    <x v="0"/>
    <x v="0"/>
    <x v="0"/>
    <x v="1"/>
    <x v="0"/>
    <x v="1"/>
  </r>
  <r>
    <x v="1"/>
    <x v="0"/>
    <x v="0"/>
    <x v="0"/>
    <x v="1"/>
    <x v="1"/>
  </r>
  <r>
    <x v="1"/>
    <x v="1"/>
    <x v="0"/>
    <x v="1"/>
    <x v="1"/>
    <x v="1"/>
  </r>
  <r>
    <x v="0"/>
    <x v="0"/>
    <x v="0"/>
    <x v="0"/>
    <x v="0"/>
    <x v="0"/>
  </r>
  <r>
    <x v="0"/>
    <x v="1"/>
    <x v="1"/>
    <x v="1"/>
    <x v="0"/>
    <x v="0"/>
  </r>
  <r>
    <x v="1"/>
    <x v="0"/>
    <x v="0"/>
    <x v="0"/>
    <x v="0"/>
    <x v="1"/>
  </r>
  <r>
    <x v="0"/>
    <x v="0"/>
    <x v="1"/>
    <x v="0"/>
    <x v="0"/>
    <x v="0"/>
  </r>
  <r>
    <x v="0"/>
    <x v="0"/>
    <x v="0"/>
    <x v="0"/>
    <x v="0"/>
    <x v="0"/>
  </r>
  <r>
    <x v="0"/>
    <x v="0"/>
    <x v="0"/>
    <x v="1"/>
    <x v="0"/>
    <x v="1"/>
  </r>
  <r>
    <x v="0"/>
    <x v="0"/>
    <x v="0"/>
    <x v="1"/>
    <x v="1"/>
    <x v="1"/>
  </r>
  <r>
    <x v="1"/>
    <x v="0"/>
    <x v="0"/>
    <x v="0"/>
    <x v="0"/>
    <x v="0"/>
  </r>
  <r>
    <x v="0"/>
    <x v="0"/>
    <x v="0"/>
    <x v="1"/>
    <x v="0"/>
    <x v="1"/>
  </r>
  <r>
    <x v="0"/>
    <x v="0"/>
    <x v="0"/>
    <x v="0"/>
    <x v="0"/>
    <x v="0"/>
  </r>
  <r>
    <x v="1"/>
    <x v="0"/>
    <x v="0"/>
    <x v="1"/>
    <x v="0"/>
    <x v="0"/>
  </r>
  <r>
    <x v="1"/>
    <x v="0"/>
    <x v="0"/>
    <x v="1"/>
    <x v="0"/>
    <x v="0"/>
  </r>
  <r>
    <x v="1"/>
    <x v="1"/>
    <x v="0"/>
    <x v="1"/>
    <x v="0"/>
    <x v="0"/>
  </r>
  <r>
    <x v="0"/>
    <x v="0"/>
    <x v="0"/>
    <x v="0"/>
    <x v="0"/>
    <x v="1"/>
  </r>
  <r>
    <x v="1"/>
    <x v="1"/>
    <x v="1"/>
    <x v="1"/>
    <x v="1"/>
    <x v="0"/>
  </r>
  <r>
    <x v="1"/>
    <x v="0"/>
    <x v="0"/>
    <x v="1"/>
    <x v="0"/>
    <x v="1"/>
  </r>
  <r>
    <x v="1"/>
    <x v="0"/>
    <x v="0"/>
    <x v="0"/>
    <x v="0"/>
    <x v="0"/>
  </r>
  <r>
    <x v="0"/>
    <x v="0"/>
    <x v="1"/>
    <x v="0"/>
    <x v="0"/>
    <x v="1"/>
  </r>
  <r>
    <x v="1"/>
    <x v="1"/>
    <x v="0"/>
    <x v="1"/>
    <x v="0"/>
    <x v="0"/>
  </r>
  <r>
    <x v="0"/>
    <x v="1"/>
    <x v="1"/>
    <x v="0"/>
    <x v="0"/>
    <x v="0"/>
  </r>
  <r>
    <x v="0"/>
    <x v="0"/>
    <x v="0"/>
    <x v="0"/>
    <x v="0"/>
    <x v="1"/>
  </r>
  <r>
    <x v="1"/>
    <x v="0"/>
    <x v="0"/>
    <x v="0"/>
    <x v="0"/>
    <x v="0"/>
  </r>
  <r>
    <x v="1"/>
    <x v="0"/>
    <x v="0"/>
    <x v="1"/>
    <x v="0"/>
    <x v="1"/>
  </r>
  <r>
    <x v="1"/>
    <x v="0"/>
    <x v="1"/>
    <x v="1"/>
    <x v="0"/>
    <x v="0"/>
  </r>
  <r>
    <x v="1"/>
    <x v="1"/>
    <x v="1"/>
    <x v="0"/>
    <x v="1"/>
    <x v="1"/>
  </r>
  <r>
    <x v="1"/>
    <x v="0"/>
    <x v="0"/>
    <x v="1"/>
    <x v="0"/>
    <x v="0"/>
  </r>
  <r>
    <x v="1"/>
    <x v="0"/>
    <x v="0"/>
    <x v="1"/>
    <x v="1"/>
    <x v="0"/>
  </r>
  <r>
    <x v="0"/>
    <x v="0"/>
    <x v="0"/>
    <x v="1"/>
    <x v="1"/>
    <x v="1"/>
  </r>
  <r>
    <x v="0"/>
    <x v="0"/>
    <x v="0"/>
    <x v="0"/>
    <x v="0"/>
    <x v="1"/>
  </r>
  <r>
    <x v="1"/>
    <x v="1"/>
    <x v="0"/>
    <x v="1"/>
    <x v="0"/>
    <x v="0"/>
  </r>
  <r>
    <x v="1"/>
    <x v="0"/>
    <x v="0"/>
    <x v="0"/>
    <x v="0"/>
    <x v="0"/>
  </r>
  <r>
    <x v="1"/>
    <x v="1"/>
    <x v="0"/>
    <x v="1"/>
    <x v="0"/>
    <x v="0"/>
  </r>
  <r>
    <x v="1"/>
    <x v="0"/>
    <x v="0"/>
    <x v="0"/>
    <x v="0"/>
    <x v="0"/>
  </r>
  <r>
    <x v="1"/>
    <x v="1"/>
    <x v="1"/>
    <x v="1"/>
    <x v="0"/>
    <x v="1"/>
  </r>
  <r>
    <x v="1"/>
    <x v="0"/>
    <x v="0"/>
    <x v="0"/>
    <x v="1"/>
    <x v="0"/>
  </r>
  <r>
    <x v="1"/>
    <x v="0"/>
    <x v="0"/>
    <x v="0"/>
    <x v="0"/>
    <x v="0"/>
  </r>
  <r>
    <x v="0"/>
    <x v="0"/>
    <x v="0"/>
    <x v="0"/>
    <x v="0"/>
    <x v="0"/>
  </r>
  <r>
    <x v="1"/>
    <x v="1"/>
    <x v="1"/>
    <x v="1"/>
    <x v="0"/>
    <x v="0"/>
  </r>
  <r>
    <x v="0"/>
    <x v="0"/>
    <x v="0"/>
    <x v="1"/>
    <x v="0"/>
    <x v="0"/>
  </r>
  <r>
    <x v="1"/>
    <x v="0"/>
    <x v="0"/>
    <x v="0"/>
    <x v="0"/>
    <x v="0"/>
  </r>
  <r>
    <x v="0"/>
    <x v="0"/>
    <x v="0"/>
    <x v="1"/>
    <x v="0"/>
    <x v="1"/>
  </r>
  <r>
    <x v="0"/>
    <x v="0"/>
    <x v="1"/>
    <x v="0"/>
    <x v="0"/>
    <x v="1"/>
  </r>
  <r>
    <x v="1"/>
    <x v="0"/>
    <x v="0"/>
    <x v="0"/>
    <x v="0"/>
    <x v="0"/>
  </r>
  <r>
    <x v="0"/>
    <x v="1"/>
    <x v="0"/>
    <x v="0"/>
    <x v="0"/>
    <x v="0"/>
  </r>
  <r>
    <x v="0"/>
    <x v="0"/>
    <x v="0"/>
    <x v="1"/>
    <x v="0"/>
    <x v="1"/>
  </r>
  <r>
    <x v="0"/>
    <x v="1"/>
    <x v="1"/>
    <x v="1"/>
    <x v="0"/>
    <x v="0"/>
  </r>
  <r>
    <x v="1"/>
    <x v="1"/>
    <x v="0"/>
    <x v="1"/>
    <x v="0"/>
    <x v="0"/>
  </r>
  <r>
    <x v="1"/>
    <x v="0"/>
    <x v="1"/>
    <x v="1"/>
    <x v="0"/>
    <x v="0"/>
  </r>
  <r>
    <x v="0"/>
    <x v="1"/>
    <x v="0"/>
    <x v="0"/>
    <x v="0"/>
    <x v="0"/>
  </r>
  <r>
    <x v="0"/>
    <x v="1"/>
    <x v="0"/>
    <x v="0"/>
    <x v="0"/>
    <x v="1"/>
  </r>
  <r>
    <x v="0"/>
    <x v="0"/>
    <x v="0"/>
    <x v="0"/>
    <x v="0"/>
    <x v="0"/>
  </r>
  <r>
    <x v="0"/>
    <x v="1"/>
    <x v="1"/>
    <x v="1"/>
    <x v="0"/>
    <x v="1"/>
  </r>
  <r>
    <x v="0"/>
    <x v="0"/>
    <x v="1"/>
    <x v="1"/>
    <x v="0"/>
    <x v="1"/>
  </r>
  <r>
    <x v="1"/>
    <x v="1"/>
    <x v="1"/>
    <x v="0"/>
    <x v="0"/>
    <x v="1"/>
  </r>
  <r>
    <x v="0"/>
    <x v="0"/>
    <x v="0"/>
    <x v="0"/>
    <x v="0"/>
    <x v="1"/>
  </r>
  <r>
    <x v="1"/>
    <x v="0"/>
    <x v="1"/>
    <x v="0"/>
    <x v="1"/>
    <x v="0"/>
  </r>
  <r>
    <x v="0"/>
    <x v="0"/>
    <x v="0"/>
    <x v="1"/>
    <x v="0"/>
    <x v="0"/>
  </r>
  <r>
    <x v="1"/>
    <x v="0"/>
    <x v="1"/>
    <x v="1"/>
    <x v="0"/>
    <x v="0"/>
  </r>
  <r>
    <x v="0"/>
    <x v="0"/>
    <x v="0"/>
    <x v="0"/>
    <x v="0"/>
    <x v="1"/>
  </r>
  <r>
    <x v="0"/>
    <x v="0"/>
    <x v="1"/>
    <x v="1"/>
    <x v="0"/>
    <x v="1"/>
  </r>
  <r>
    <x v="1"/>
    <x v="0"/>
    <x v="0"/>
    <x v="1"/>
    <x v="0"/>
    <x v="0"/>
  </r>
  <r>
    <x v="0"/>
    <x v="0"/>
    <x v="0"/>
    <x v="0"/>
    <x v="1"/>
    <x v="1"/>
  </r>
  <r>
    <x v="1"/>
    <x v="0"/>
    <x v="0"/>
    <x v="0"/>
    <x v="0"/>
    <x v="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
  <r>
    <x v="0"/>
  </r>
  <r>
    <x v="1"/>
  </r>
  <r>
    <x v="1"/>
  </r>
  <r>
    <x v="2"/>
  </r>
  <r>
    <x v="2"/>
  </r>
  <r>
    <x v="1"/>
  </r>
  <r>
    <x v="1"/>
  </r>
  <r>
    <x v="1"/>
  </r>
  <r>
    <x v="1"/>
  </r>
  <r>
    <x v="2"/>
  </r>
  <r>
    <x v="1"/>
  </r>
  <r>
    <x v="3"/>
  </r>
  <r>
    <x v="3"/>
  </r>
  <r>
    <x v="1"/>
  </r>
  <r>
    <x v="1"/>
  </r>
  <r>
    <x v="3"/>
  </r>
  <r>
    <x v="1"/>
  </r>
  <r>
    <x v="2"/>
  </r>
  <r>
    <x v="1"/>
  </r>
  <r>
    <x v="2"/>
  </r>
  <r>
    <x v="2"/>
  </r>
  <r>
    <x v="1"/>
  </r>
  <r>
    <x v="3"/>
  </r>
  <r>
    <x v="1"/>
  </r>
  <r>
    <x v="1"/>
  </r>
  <r>
    <x v="1"/>
  </r>
  <r>
    <x v="2"/>
  </r>
  <r>
    <x v="1"/>
  </r>
  <r>
    <x v="3"/>
  </r>
  <r>
    <x v="1"/>
  </r>
  <r>
    <x v="1"/>
  </r>
  <r>
    <x v="1"/>
  </r>
  <r>
    <x v="2"/>
  </r>
  <r>
    <x v="2"/>
  </r>
  <r>
    <x v="2"/>
  </r>
  <r>
    <x v="2"/>
  </r>
  <r>
    <x v="2"/>
  </r>
  <r>
    <x v="1"/>
  </r>
  <r>
    <x v="2"/>
  </r>
  <r>
    <x v="2"/>
  </r>
  <r>
    <x v="1"/>
  </r>
  <r>
    <x v="1"/>
  </r>
  <r>
    <x v="2"/>
  </r>
  <r>
    <x v="2"/>
  </r>
  <r>
    <x v="1"/>
  </r>
  <r>
    <x v="2"/>
  </r>
  <r>
    <x v="2"/>
  </r>
  <r>
    <x v="1"/>
  </r>
  <r>
    <x v="2"/>
  </r>
  <r>
    <x v="1"/>
  </r>
  <r>
    <x v="1"/>
  </r>
  <r>
    <x v="2"/>
  </r>
  <r>
    <x v="2"/>
  </r>
  <r>
    <x v="1"/>
  </r>
  <r>
    <x v="2"/>
  </r>
  <r>
    <x v="2"/>
  </r>
  <r>
    <x v="1"/>
  </r>
  <r>
    <x v="1"/>
  </r>
  <r>
    <x v="1"/>
  </r>
  <r>
    <x v="3"/>
  </r>
  <r>
    <x v="1"/>
  </r>
  <r>
    <x v="3"/>
  </r>
  <r>
    <x v="1"/>
  </r>
  <r>
    <x v="1"/>
  </r>
  <r>
    <x v="3"/>
  </r>
  <r>
    <x v="1"/>
  </r>
  <r>
    <x v="3"/>
  </r>
  <r>
    <x v="2"/>
  </r>
  <r>
    <x v="3"/>
  </r>
  <r>
    <x v="1"/>
  </r>
  <r>
    <x v="3"/>
  </r>
  <r>
    <x v="2"/>
  </r>
  <r>
    <x v="1"/>
  </r>
  <r>
    <x v="2"/>
  </r>
  <r>
    <x v="1"/>
  </r>
  <r>
    <x v="1"/>
  </r>
  <r>
    <x v="3"/>
  </r>
  <r>
    <x v="2"/>
  </r>
  <r>
    <x v="2"/>
  </r>
  <r>
    <x v="1"/>
  </r>
  <r>
    <x v="1"/>
  </r>
  <r>
    <x v="2"/>
  </r>
  <r>
    <x v="2"/>
  </r>
  <r>
    <x v="2"/>
  </r>
  <r>
    <x v="2"/>
  </r>
  <r>
    <x v="2"/>
  </r>
  <r>
    <x v="2"/>
  </r>
  <r>
    <x v="1"/>
  </r>
  <r>
    <x v="1"/>
  </r>
  <r>
    <x v="2"/>
  </r>
  <r>
    <x v="2"/>
  </r>
  <r>
    <x v="1"/>
  </r>
  <r>
    <x v="3"/>
  </r>
  <r>
    <x v="2"/>
  </r>
  <r>
    <x v="2"/>
  </r>
  <r>
    <x v="2"/>
  </r>
  <r>
    <x v="2"/>
  </r>
  <r>
    <x v="1"/>
  </r>
  <r>
    <x v="3"/>
  </r>
  <r>
    <x v="3"/>
  </r>
  <r>
    <x v="1"/>
  </r>
  <r>
    <x v="1"/>
  </r>
  <r>
    <x v="2"/>
  </r>
  <r>
    <x v="2"/>
  </r>
  <r>
    <x v="2"/>
  </r>
  <r>
    <x v="1"/>
  </r>
  <r>
    <x v="3"/>
  </r>
  <r>
    <x v="4"/>
  </r>
  <r>
    <x v="5"/>
  </r>
  <r>
    <x v="3"/>
  </r>
  <r>
    <x v="3"/>
  </r>
  <r>
    <x v="2"/>
  </r>
  <r>
    <x v="1"/>
  </r>
  <r>
    <x v="2"/>
  </r>
  <r>
    <x v="4"/>
  </r>
  <r>
    <x v="2"/>
  </r>
  <r>
    <x v="3"/>
  </r>
  <r>
    <x v="1"/>
  </r>
  <r>
    <x v="2"/>
  </r>
  <r>
    <x v="1"/>
  </r>
  <r>
    <x v="2"/>
  </r>
  <r>
    <x v="2"/>
  </r>
  <r>
    <x v="3"/>
  </r>
  <r>
    <x v="2"/>
  </r>
  <r>
    <x v="2"/>
  </r>
  <r>
    <x v="2"/>
  </r>
  <r>
    <x v="5"/>
  </r>
  <r>
    <x v="2"/>
  </r>
  <r>
    <x v="2"/>
  </r>
  <r>
    <x v="5"/>
  </r>
  <r>
    <x v="1"/>
  </r>
  <r>
    <x v="1"/>
  </r>
  <r>
    <x v="1"/>
  </r>
  <r>
    <x v="2"/>
  </r>
  <r>
    <x v="2"/>
  </r>
  <r>
    <x v="2"/>
  </r>
  <r>
    <x v="1"/>
  </r>
  <r>
    <x v="2"/>
  </r>
  <r>
    <x v="2"/>
  </r>
  <r>
    <x v="2"/>
  </r>
  <r>
    <x v="2"/>
  </r>
  <r>
    <x v="1"/>
  </r>
  <r>
    <x v="2"/>
  </r>
  <r>
    <x v="2"/>
  </r>
  <r>
    <x v="2"/>
  </r>
  <r>
    <x v="2"/>
  </r>
  <r>
    <x v="1"/>
  </r>
  <r>
    <x v="2"/>
  </r>
  <r>
    <x v="1"/>
  </r>
  <r>
    <x v="1"/>
  </r>
  <r>
    <x v="2"/>
  </r>
  <r>
    <x v="2"/>
  </r>
  <r>
    <x v="1"/>
  </r>
  <r>
    <x v="2"/>
  </r>
  <r>
    <x v="2"/>
  </r>
  <r>
    <x v="2"/>
  </r>
  <r>
    <x v="2"/>
  </r>
  <r>
    <x v="1"/>
  </r>
  <r>
    <x v="2"/>
  </r>
  <r>
    <x v="1"/>
  </r>
  <r>
    <x v="2"/>
  </r>
  <r>
    <x v="2"/>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r>
  <r>
    <x v="1"/>
  </r>
  <r>
    <x v="2"/>
  </r>
  <r>
    <x v="1"/>
  </r>
  <r>
    <x v="1"/>
  </r>
  <r>
    <x v="1"/>
  </r>
  <r>
    <x v="1"/>
  </r>
  <r>
    <x v="1"/>
  </r>
  <r>
    <x v="3"/>
  </r>
  <r>
    <x v="2"/>
  </r>
  <r>
    <x v="1"/>
  </r>
  <r>
    <x v="1"/>
  </r>
  <r>
    <x v="1"/>
  </r>
  <r>
    <x v="1"/>
  </r>
  <r>
    <x v="1"/>
  </r>
  <r>
    <x v="1"/>
  </r>
  <r>
    <x v="1"/>
  </r>
  <r>
    <x v="1"/>
  </r>
  <r>
    <x v="2"/>
  </r>
  <r>
    <x v="1"/>
  </r>
  <r>
    <x v="3"/>
  </r>
  <r>
    <x v="1"/>
  </r>
  <r>
    <x v="1"/>
  </r>
  <r>
    <x v="3"/>
  </r>
  <r>
    <x v="2"/>
  </r>
  <r>
    <x v="3"/>
  </r>
  <r>
    <x v="2"/>
  </r>
  <r>
    <x v="1"/>
  </r>
  <r>
    <x v="1"/>
  </r>
  <r>
    <x v="1"/>
  </r>
  <r>
    <x v="1"/>
  </r>
  <r>
    <x v="1"/>
  </r>
  <r>
    <x v="1"/>
  </r>
  <r>
    <x v="1"/>
  </r>
  <r>
    <x v="2"/>
  </r>
  <r>
    <x v="2"/>
  </r>
  <r>
    <x v="3"/>
  </r>
  <r>
    <x v="1"/>
  </r>
  <r>
    <x v="2"/>
  </r>
  <r>
    <x v="1"/>
  </r>
  <r>
    <x v="1"/>
  </r>
  <r>
    <x v="2"/>
  </r>
  <r>
    <x v="3"/>
  </r>
  <r>
    <x v="2"/>
  </r>
  <r>
    <x v="2"/>
  </r>
  <r>
    <x v="1"/>
  </r>
  <r>
    <x v="3"/>
  </r>
  <r>
    <x v="1"/>
  </r>
  <r>
    <x v="1"/>
  </r>
  <r>
    <x v="1"/>
  </r>
  <r>
    <x v="1"/>
  </r>
  <r>
    <x v="2"/>
  </r>
  <r>
    <x v="3"/>
  </r>
  <r>
    <x v="2"/>
  </r>
  <r>
    <x v="1"/>
  </r>
  <r>
    <x v="1"/>
  </r>
  <r>
    <x v="2"/>
  </r>
  <r>
    <x v="1"/>
  </r>
  <r>
    <x v="2"/>
  </r>
  <r>
    <x v="1"/>
  </r>
  <r>
    <x v="2"/>
  </r>
  <r>
    <x v="2"/>
  </r>
  <r>
    <x v="1"/>
  </r>
  <r>
    <x v="1"/>
  </r>
  <r>
    <x v="1"/>
  </r>
  <r>
    <x v="1"/>
  </r>
  <r>
    <x v="2"/>
  </r>
  <r>
    <x v="1"/>
  </r>
  <r>
    <x v="2"/>
  </r>
  <r>
    <x v="3"/>
  </r>
  <r>
    <x v="1"/>
  </r>
  <r>
    <x v="1"/>
  </r>
  <r>
    <x v="1"/>
  </r>
  <r>
    <x v="2"/>
  </r>
  <r>
    <x v="2"/>
  </r>
  <r>
    <x v="1"/>
  </r>
  <r>
    <x v="2"/>
  </r>
  <r>
    <x v="1"/>
  </r>
  <r>
    <x v="1"/>
  </r>
  <r>
    <x v="1"/>
  </r>
  <r>
    <x v="2"/>
  </r>
  <r>
    <x v="1"/>
  </r>
  <r>
    <x v="2"/>
  </r>
  <r>
    <x v="1"/>
  </r>
  <r>
    <x v="1"/>
  </r>
  <r>
    <x v="1"/>
  </r>
  <r>
    <x v="1"/>
  </r>
  <r>
    <x v="2"/>
  </r>
  <r>
    <x v="1"/>
  </r>
  <r>
    <x v="2"/>
  </r>
  <r>
    <x v="1"/>
  </r>
  <r>
    <x v="1"/>
  </r>
  <r>
    <x v="2"/>
  </r>
  <r>
    <x v="1"/>
  </r>
  <r>
    <x v="2"/>
  </r>
  <r>
    <x v="1"/>
  </r>
  <r>
    <x v="1"/>
  </r>
  <r>
    <x v="2"/>
  </r>
  <r>
    <x v="2"/>
  </r>
  <r>
    <x v="2"/>
  </r>
  <r>
    <x v="3"/>
  </r>
  <r>
    <x v="2"/>
  </r>
  <r>
    <x v="1"/>
  </r>
  <r>
    <x v="2"/>
  </r>
  <r>
    <x v="2"/>
  </r>
  <r>
    <x v="2"/>
  </r>
  <r>
    <x v="1"/>
  </r>
  <r>
    <x v="2"/>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2">
  <r>
    <x v="0"/>
  </r>
  <r>
    <x v="1"/>
  </r>
  <r>
    <x v="1"/>
  </r>
  <r>
    <x v="1"/>
  </r>
  <r>
    <x v="1"/>
  </r>
  <r>
    <x v="1"/>
  </r>
  <r>
    <x v="1"/>
  </r>
  <r>
    <x v="1"/>
  </r>
  <r>
    <x v="1"/>
  </r>
  <r>
    <x v="1"/>
  </r>
  <r>
    <x v="1"/>
  </r>
  <r>
    <x v="1"/>
  </r>
  <r>
    <x v="1"/>
  </r>
  <r>
    <x v="1"/>
  </r>
  <r>
    <x v="1"/>
  </r>
  <r>
    <x v="1"/>
  </r>
  <r>
    <x v="1"/>
  </r>
  <r>
    <x v="1"/>
  </r>
  <r>
    <x v="2"/>
  </r>
  <r>
    <x v="1"/>
  </r>
  <r>
    <x v="1"/>
  </r>
  <r>
    <x v="1"/>
  </r>
  <r>
    <x v="1"/>
  </r>
  <r>
    <x v="1"/>
  </r>
  <r>
    <x v="3"/>
  </r>
  <r>
    <x v="1"/>
  </r>
  <r>
    <x v="1"/>
  </r>
  <r>
    <x v="1"/>
  </r>
  <r>
    <x v="1"/>
  </r>
  <r>
    <x v="2"/>
  </r>
  <r>
    <x v="3"/>
  </r>
  <r>
    <x v="3"/>
  </r>
  <r>
    <x v="1"/>
  </r>
  <r>
    <x v="1"/>
  </r>
  <r>
    <x v="3"/>
  </r>
  <r>
    <x v="3"/>
  </r>
  <r>
    <x v="1"/>
  </r>
  <r>
    <x v="1"/>
  </r>
  <r>
    <x v="4"/>
  </r>
  <r>
    <x v="2"/>
  </r>
  <r>
    <x v="1"/>
  </r>
  <r>
    <x v="1"/>
  </r>
  <r>
    <x v="1"/>
  </r>
  <r>
    <x v="2"/>
  </r>
  <r>
    <x v="1"/>
  </r>
  <r>
    <x v="1"/>
  </r>
  <r>
    <x v="1"/>
  </r>
  <r>
    <x v="1"/>
  </r>
  <r>
    <x v="1"/>
  </r>
  <r>
    <x v="1"/>
  </r>
  <r>
    <x v="1"/>
  </r>
  <r>
    <x v="1"/>
  </r>
  <r>
    <x v="1"/>
  </r>
  <r>
    <x v="1"/>
  </r>
  <r>
    <x v="1"/>
  </r>
  <r>
    <x v="1"/>
  </r>
  <r>
    <x v="1"/>
  </r>
  <r>
    <x v="1"/>
  </r>
  <r>
    <x v="1"/>
  </r>
  <r>
    <x v="1"/>
  </r>
  <r>
    <x v="1"/>
  </r>
  <r>
    <x v="3"/>
  </r>
  <r>
    <x v="1"/>
  </r>
  <r>
    <x v="1"/>
  </r>
  <r>
    <x v="2"/>
  </r>
  <r>
    <x v="1"/>
  </r>
  <r>
    <x v="2"/>
  </r>
  <r>
    <x v="1"/>
  </r>
  <r>
    <x v="1"/>
  </r>
  <r>
    <x v="1"/>
  </r>
  <r>
    <x v="1"/>
  </r>
  <r>
    <x v="1"/>
  </r>
  <r>
    <x v="1"/>
  </r>
  <r>
    <x v="1"/>
  </r>
  <r>
    <x v="1"/>
  </r>
  <r>
    <x v="5"/>
  </r>
  <r>
    <x v="5"/>
  </r>
  <r>
    <x v="5"/>
  </r>
  <r>
    <x v="5"/>
  </r>
  <r>
    <x v="5"/>
  </r>
  <r>
    <x v="5"/>
  </r>
  <r>
    <x v="5"/>
  </r>
  <r>
    <x v="5"/>
  </r>
  <r>
    <x v="5"/>
  </r>
  <r>
    <x v="5"/>
  </r>
  <r>
    <x v="5"/>
  </r>
  <r>
    <x v="5"/>
  </r>
  <r>
    <x v="5"/>
  </r>
  <r>
    <x v="5"/>
  </r>
  <r>
    <x v="5"/>
  </r>
  <r>
    <x v="1"/>
  </r>
  <r>
    <x v="5"/>
  </r>
  <r>
    <x v="5"/>
  </r>
  <r>
    <x v="5"/>
  </r>
  <r>
    <x v="5"/>
  </r>
  <r>
    <x v="3"/>
  </r>
  <r>
    <x v="5"/>
  </r>
  <r>
    <x v="5"/>
  </r>
  <r>
    <x v="5"/>
  </r>
  <r>
    <x v="5"/>
  </r>
  <r>
    <x v="5"/>
  </r>
  <r>
    <x v="5"/>
  </r>
  <r>
    <x v="5"/>
  </r>
  <r>
    <x v="5"/>
  </r>
  <r>
    <x v="5"/>
  </r>
  <r>
    <x v="5"/>
  </r>
  <r>
    <x v="5"/>
  </r>
  <r>
    <x v="5"/>
  </r>
  <r>
    <x v="5"/>
  </r>
  <r>
    <x v="5"/>
  </r>
  <r>
    <x v="5"/>
  </r>
  <r>
    <x v="5"/>
  </r>
  <r>
    <x v="5"/>
  </r>
  <r>
    <x v="5"/>
  </r>
  <r>
    <x v="5"/>
  </r>
  <r>
    <x v="5"/>
  </r>
  <r>
    <x v="5"/>
  </r>
  <r>
    <x v="5"/>
  </r>
  <r>
    <x v="5"/>
  </r>
  <r>
    <x v="3"/>
  </r>
  <r>
    <x v="5"/>
  </r>
  <r>
    <x v="5"/>
  </r>
  <r>
    <x v="5"/>
  </r>
  <r>
    <x v="5"/>
  </r>
  <r>
    <x v="5"/>
  </r>
  <r>
    <x v="5"/>
  </r>
  <r>
    <x v="5"/>
  </r>
  <r>
    <x v="5"/>
  </r>
  <r>
    <x v="5"/>
  </r>
  <r>
    <x v="5"/>
  </r>
  <r>
    <x v="5"/>
  </r>
  <r>
    <x v="5"/>
  </r>
  <r>
    <x v="5"/>
  </r>
  <r>
    <x v="5"/>
  </r>
  <r>
    <x v="5"/>
  </r>
  <r>
    <x v="5"/>
  </r>
  <r>
    <x v="3"/>
  </r>
  <r>
    <x v="5"/>
  </r>
  <r>
    <x v="2"/>
  </r>
  <r>
    <x v="5"/>
  </r>
  <r>
    <x v="5"/>
  </r>
  <r>
    <x v="5"/>
  </r>
  <r>
    <x v="5"/>
  </r>
  <r>
    <x v="6"/>
  </r>
  <r>
    <x v="5"/>
  </r>
  <r>
    <x v="5"/>
  </r>
  <r>
    <x v="5"/>
  </r>
  <r>
    <x v="5"/>
  </r>
  <r>
    <x v="5"/>
  </r>
  <r>
    <x v="5"/>
  </r>
  <r>
    <x v="5"/>
  </r>
  <r>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954AF8-39AA-43AB-90FF-1B36CF52CD2D}" name="PivotTable4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
    <pivotField axis="axisRow" dataField="1" showAll="0">
      <items count="6">
        <item x="4"/>
        <item x="3"/>
        <item x="2"/>
        <item x="1"/>
        <item x="0"/>
        <item t="default"/>
      </items>
    </pivotField>
  </pivotFields>
  <rowFields count="1">
    <field x="0"/>
  </rowFields>
  <rowItems count="6">
    <i>
      <x/>
    </i>
    <i>
      <x v="1"/>
    </i>
    <i>
      <x v="2"/>
    </i>
    <i>
      <x v="3"/>
    </i>
    <i>
      <x v="4"/>
    </i>
    <i t="grand">
      <x/>
    </i>
  </rowItems>
  <colItems count="1">
    <i/>
  </colItems>
  <dataFields count="1">
    <dataField name="Live Theater Attendance in Past 2 Years" fld="0" subtotal="count" baseField="0" baseItem="0"/>
  </dataFields>
  <formats count="6">
    <format dxfId="73">
      <pivotArea collapsedLevelsAreSubtotals="1" fieldPosition="0">
        <references count="1">
          <reference field="0" count="0"/>
        </references>
      </pivotArea>
    </format>
    <format dxfId="72">
      <pivotArea dataOnly="0" labelOnly="1" fieldPosition="0">
        <references count="1">
          <reference field="0" count="0"/>
        </references>
      </pivotArea>
    </format>
    <format dxfId="71">
      <pivotArea collapsedLevelsAreSubtotals="1" fieldPosition="0">
        <references count="1">
          <reference field="0" count="0"/>
        </references>
      </pivotArea>
    </format>
    <format dxfId="70">
      <pivotArea dataOnly="0" labelOnly="1" fieldPosition="0">
        <references count="1">
          <reference field="0" count="0"/>
        </references>
      </pivotArea>
    </format>
    <format dxfId="69">
      <pivotArea collapsedLevelsAreSubtotals="1" fieldPosition="0">
        <references count="1">
          <reference field="0" count="0"/>
        </references>
      </pivotArea>
    </format>
    <format dxfId="68">
      <pivotArea dataOnly="0" labelOnly="1" fieldPosition="0">
        <references count="1">
          <reference field="0"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9C8557-D601-41E5-8FC7-B8F6FE35C249}" name="PivotTable2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F4" firstHeaderRow="0" firstDataRow="1" firstDataCol="0"/>
  <pivotFields count="7">
    <pivotField dataField="1" showAll="0">
      <items count="3">
        <item x="1"/>
        <item x="0"/>
        <item t="default"/>
      </items>
    </pivotField>
    <pivotField dataField="1" showAll="0"/>
    <pivotField dataField="1" showAll="0"/>
    <pivotField dataField="1" showAll="0"/>
    <pivotField dataField="1" showAll="0"/>
    <pivotField showAll="0"/>
    <pivotField dataField="1" showAll="0"/>
  </pivotFields>
  <rowItems count="1">
    <i/>
  </rowItems>
  <colFields count="1">
    <field x="-2"/>
  </colFields>
  <colItems count="6">
    <i>
      <x/>
    </i>
    <i i="1">
      <x v="1"/>
    </i>
    <i i="2">
      <x v="2"/>
    </i>
    <i i="3">
      <x v="3"/>
    </i>
    <i i="4">
      <x v="4"/>
    </i>
    <i i="5">
      <x v="5"/>
    </i>
  </colItems>
  <dataFields count="6">
    <dataField name="Count of Q2_SpecialOccasion" fld="0" subtotal="count" baseField="0" baseItem="0"/>
    <dataField name="Count of Q2_Holidays" fld="1" subtotal="count" baseField="0" baseItem="0"/>
    <dataField name="Count of Q2_Date night" fld="2" subtotal="count" baseField="0" baseItem="0"/>
    <dataField name="Count of Q2_The show is something I like" fld="3" subtotal="count" baseField="0" baseItem="0"/>
    <dataField name="Count of Q2_When I know someone in the performance" fld="4" subtotal="count" baseField="0" baseItem="0"/>
    <dataField name="Count of Q2_Other " fld="6" subtotal="count" baseField="0" baseItem="0"/>
  </dataFields>
  <formats count="5">
    <format dxfId="67">
      <pivotArea type="all" dataOnly="0" outline="0" fieldPosition="0"/>
    </format>
    <format dxfId="66">
      <pivotArea outline="0" collapsedLevelsAreSubtotals="1" fieldPosition="0"/>
    </format>
    <format dxfId="65">
      <pivotArea dataOnly="0" labelOnly="1" outline="0" axis="axisValues" fieldPosition="0"/>
    </format>
    <format dxfId="64">
      <pivotArea outline="0" collapsedLevelsAreSubtotals="1" fieldPosition="0"/>
    </format>
    <format dxfId="63">
      <pivotArea outline="0" collapsedLevelsAreSubtotals="1" fieldPosition="0"/>
    </format>
  </formats>
  <chartFormats count="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3"/>
          </reference>
        </references>
      </pivotArea>
    </chartFormat>
    <chartFormat chart="7" format="4" series="1">
      <pivotArea type="data" outline="0" fieldPosition="0">
        <references count="1">
          <reference field="4294967294" count="1" selected="0">
            <x v="4"/>
          </reference>
        </references>
      </pivotArea>
    </chartFormat>
    <chartFormat chart="7"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45ADAA-1E52-4D1B-8551-607B799B41B1}"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F4" firstHeaderRow="0" firstDataRow="1" firstDataCol="0"/>
  <pivotFields count="6">
    <pivotField dataField="1" showAll="0">
      <items count="8">
        <item x="4"/>
        <item x="2"/>
        <item x="0"/>
        <item x="3"/>
        <item x="6"/>
        <item x="1"/>
        <item x="5"/>
        <item t="default"/>
      </items>
    </pivotField>
    <pivotField dataField="1" showAll="0"/>
    <pivotField dataField="1" showAll="0"/>
    <pivotField dataField="1" showAll="0"/>
    <pivotField dataField="1" showAll="0"/>
    <pivotField dataField="1" showAll="0">
      <items count="8">
        <item x="4"/>
        <item x="2"/>
        <item x="3"/>
        <item x="6"/>
        <item x="0"/>
        <item x="1"/>
        <item x="5"/>
        <item t="default"/>
      </items>
    </pivotField>
  </pivotFields>
  <rowItems count="1">
    <i/>
  </rowItems>
  <colFields count="1">
    <field x="-2"/>
  </colFields>
  <colItems count="6">
    <i>
      <x/>
    </i>
    <i i="1">
      <x v="1"/>
    </i>
    <i i="2">
      <x v="2"/>
    </i>
    <i i="3">
      <x v="3"/>
    </i>
    <i i="4">
      <x v="4"/>
    </i>
    <i i="5">
      <x v="5"/>
    </i>
  </colItems>
  <dataFields count="6">
    <dataField name="Average of Q3_Classic Musicals" fld="0" subtotal="average" baseField="0" baseItem="1"/>
    <dataField name="Average of Q3_Recent Broadway Musicals " fld="1" subtotal="average" baseField="0" baseItem="1"/>
    <dataField name="Average of Q3_Parodies of Broadway Hits" fld="3" subtotal="average" baseField="0" baseItem="1"/>
    <dataField name="Average of Q3_Shakespeare " fld="2" subtotal="average" baseField="0" baseItem="1"/>
    <dataField name="Average of Q3_Comedies" fld="4" subtotal="average" baseField="0" baseItem="1"/>
    <dataField name="Average of Q3_Drama" fld="5" subtotal="average" baseField="0" baseItem="1"/>
  </dataFields>
  <formats count="4">
    <format dxfId="62">
      <pivotArea dataOnly="0" labelOnly="1" outline="0" fieldPosition="0">
        <references count="1">
          <reference field="4294967294" count="6">
            <x v="0"/>
            <x v="1"/>
            <x v="2"/>
            <x v="3"/>
            <x v="4"/>
            <x v="5"/>
          </reference>
        </references>
      </pivotArea>
    </format>
    <format dxfId="61">
      <pivotArea outline="0" collapsedLevelsAreSubtotals="1" fieldPosition="0"/>
    </format>
    <format dxfId="60">
      <pivotArea dataOnly="0" outline="0" fieldPosition="0">
        <references count="1">
          <reference field="4294967294" count="6">
            <x v="0"/>
            <x v="1"/>
            <x v="2"/>
            <x v="3"/>
            <x v="4"/>
            <x v="5"/>
          </reference>
        </references>
      </pivotArea>
    </format>
    <format dxfId="5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C8CE4F-7D7B-4050-BA45-5B1F741CDB6C}" name="PivotTable5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K4" firstHeaderRow="0" firstDataRow="1" firstDataCol="0"/>
  <pivotFields count="11">
    <pivotField dataField="1" showAll="0">
      <items count="3">
        <item x="0"/>
        <item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Items count="1">
    <i/>
  </rowItems>
  <colFields count="1">
    <field x="-2"/>
  </colFields>
  <colItems count="11">
    <i>
      <x/>
    </i>
    <i i="1">
      <x v="1"/>
    </i>
    <i i="2">
      <x v="2"/>
    </i>
    <i i="3">
      <x v="3"/>
    </i>
    <i i="4">
      <x v="4"/>
    </i>
    <i i="5">
      <x v="5"/>
    </i>
    <i i="6">
      <x v="6"/>
    </i>
    <i i="7">
      <x v="7"/>
    </i>
    <i i="8">
      <x v="8"/>
    </i>
    <i i="9">
      <x v="9"/>
    </i>
    <i i="10">
      <x v="10"/>
    </i>
  </colItems>
  <dataFields count="11">
    <dataField name="Count of Q4_Man of La Mancha" fld="8" subtotal="count" baseField="0" baseItem="0"/>
    <dataField name="Count of Q4_Secret Garden" fld="0" subtotal="count" baseField="0" baseItem="0"/>
    <dataField name="Count of Q4_You're a Good Man Charlie Brown" fld="1" subtotal="count" baseField="0" baseItem="0"/>
    <dataField name="Count of Q4_The Drowsy Chaperone" fld="2" subtotal="count" baseField="0" baseItem="0"/>
    <dataField name="Count of Q4_Scarlet Pimpernel" fld="3" subtotal="count" baseField="0" baseItem="0"/>
    <dataField name="Count of Q4_Little Women" fld="7" subtotal="count" baseField="0" baseItem="0"/>
    <dataField name="Count of Q4_Big River" fld="4" subtotal="count" baseField="0" baseItem="0"/>
    <dataField name="Count of Q4_West Side Story" fld="5" subtotal="count" baseField="0" baseItem="0"/>
    <dataField name="Count of Q4_Oklahoma" fld="6" subtotal="count" baseField="0" baseItem="0"/>
    <dataField name="Count of Q4_None of the Above" fld="9" subtotal="count" baseField="0" baseItem="0"/>
    <dataField name="Count of Q4_Other " fld="10" subtotal="count" baseField="0" baseItem="0"/>
  </dataFields>
  <formats count="4">
    <format dxfId="58">
      <pivotArea type="all" dataOnly="0" outline="0" fieldPosition="0"/>
    </format>
    <format dxfId="57">
      <pivotArea outline="0" collapsedLevelsAreSubtotals="1" fieldPosition="0"/>
    </format>
    <format dxfId="56">
      <pivotArea dataOnly="0" labelOnly="1" outline="0" fieldPosition="0">
        <references count="1">
          <reference field="4294967294" count="11">
            <x v="0"/>
            <x v="1"/>
            <x v="2"/>
            <x v="3"/>
            <x v="4"/>
            <x v="5"/>
            <x v="6"/>
            <x v="7"/>
            <x v="8"/>
            <x v="9"/>
            <x v="10"/>
          </reference>
        </references>
      </pivotArea>
    </format>
    <format dxfId="55">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0" format="8" series="1">
      <pivotArea type="data" outline="0" fieldPosition="0">
        <references count="1">
          <reference field="4294967294" count="1" selected="0">
            <x v="8"/>
          </reference>
        </references>
      </pivotArea>
    </chartFormat>
    <chartFormat chart="0" format="9" series="1">
      <pivotArea type="data" outline="0" fieldPosition="0">
        <references count="1">
          <reference field="4294967294" count="1" selected="0">
            <x v="9"/>
          </reference>
        </references>
      </pivotArea>
    </chartFormat>
    <chartFormat chart="0" format="10" series="1">
      <pivotArea type="data" outline="0" fieldPosition="0">
        <references count="1">
          <reference field="4294967294"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8D9DA1-4910-4769-A51D-50AE4646822A}" name="PivotTable4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F4" firstHeaderRow="0" firstDataRow="1" firstDataCol="0"/>
  <pivotFields count="6">
    <pivotField dataField="1" showAll="0"/>
    <pivotField dataField="1" showAll="0"/>
    <pivotField dataField="1" showAll="0"/>
    <pivotField dataField="1" showAll="0"/>
    <pivotField dataField="1" showAll="0"/>
    <pivotField dataField="1" showAll="0"/>
  </pivotFields>
  <rowItems count="1">
    <i/>
  </rowItems>
  <colFields count="1">
    <field x="-2"/>
  </colFields>
  <colItems count="6">
    <i>
      <x/>
    </i>
    <i i="1">
      <x v="1"/>
    </i>
    <i i="2">
      <x v="2"/>
    </i>
    <i i="3">
      <x v="3"/>
    </i>
    <i i="4">
      <x v="4"/>
    </i>
    <i i="5">
      <x v="5"/>
    </i>
  </colItems>
  <dataFields count="6">
    <dataField name="Average of Q5-Seating Comfort" fld="0" subtotal="average" baseField="0" baseItem="0"/>
    <dataField name="Average of Q5_Ticket Prices" fld="4" subtotal="average" baseField="0" baseItem="1"/>
    <dataField name="Average of Q5_Professional Performances" fld="1" subtotal="average" baseField="0" baseItem="1"/>
    <dataField name="Average of Q5_Theater Cleanliness" fld="2" subtotal="average" baseField="0" baseItem="1"/>
    <dataField name="Average of Q5_Theater Ambiance" fld="3" subtotal="average" baseField="0" baseItem="1"/>
    <dataField name="Average of Q5_Family  " fld="5" subtotal="average" baseField="0" baseItem="1"/>
  </dataFields>
  <formats count="2">
    <format dxfId="54">
      <pivotArea outline="0" collapsedLevelsAreSubtotals="1" fieldPosition="0"/>
    </format>
    <format dxfId="5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AAB839-1E2C-4713-B2B7-AE41A501DF5B}" name="PivotTable5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F4" firstHeaderRow="0" firstDataRow="1" firstDataCol="0"/>
  <pivotFields count="6">
    <pivotField dataField="1" showAll="0">
      <items count="3">
        <item x="1"/>
        <item h="1" x="0"/>
        <item t="default"/>
      </items>
    </pivotField>
    <pivotField dataField="1" showAll="0">
      <items count="3">
        <item x="1"/>
        <item x="0"/>
        <item t="default"/>
      </items>
    </pivotField>
    <pivotField dataField="1" showAll="0">
      <items count="3">
        <item x="1"/>
        <item x="0"/>
        <item t="default"/>
      </items>
    </pivotField>
    <pivotField dataField="1" showAll="0">
      <items count="3">
        <item x="0"/>
        <item x="1"/>
        <item t="default"/>
      </items>
    </pivotField>
    <pivotField dataField="1" showAll="0">
      <items count="3">
        <item sd="0" x="1"/>
        <item sd="0" x="0"/>
        <item t="default"/>
      </items>
    </pivotField>
    <pivotField dataField="1" showAll="0">
      <items count="3">
        <item x="0"/>
        <item x="1"/>
        <item t="default"/>
      </items>
    </pivotField>
  </pivotFields>
  <rowItems count="1">
    <i/>
  </rowItems>
  <colFields count="1">
    <field x="-2"/>
  </colFields>
  <colItems count="6">
    <i>
      <x/>
    </i>
    <i i="1">
      <x v="1"/>
    </i>
    <i i="2">
      <x v="2"/>
    </i>
    <i i="3">
      <x v="3"/>
    </i>
    <i i="4">
      <x v="4"/>
    </i>
    <i i="5">
      <x v="5"/>
    </i>
  </colItems>
  <dataFields count="6">
    <dataField name="Count of Q6_Newspaper" fld="0" subtotal="count" baseField="0" baseItem="0"/>
    <dataField name="Count of Q6_Radio" fld="1" subtotal="count" baseField="0" baseItem="0"/>
    <dataField name="Count of Q6_Mailer (ValPak, Postcards, etc.)" fld="2" subtotal="count" baseField="0" baseItem="0"/>
    <dataField name="Count of Q6_Internet web sites" fld="3" subtotal="count" baseField="0" baseItem="0"/>
    <dataField name="Count of Q6_Social Networking Online2" fld="4" subtotal="count" baseField="0" baseItem="0"/>
    <dataField name="Count of Q6_E-mail" fld="5" subtotal="count" baseField="0" baseItem="0"/>
  </dataFields>
  <formats count="1">
    <format dxfId="52">
      <pivotArea outline="0" collapsedLevelsAreSubtotals="1" fieldPosition="0"/>
    </format>
  </formats>
  <chartFormats count="6">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2"/>
          </reference>
        </references>
      </pivotArea>
    </chartFormat>
    <chartFormat chart="15" format="3" series="1">
      <pivotArea type="data" outline="0" fieldPosition="0">
        <references count="1">
          <reference field="4294967294" count="1" selected="0">
            <x v="3"/>
          </reference>
        </references>
      </pivotArea>
    </chartFormat>
    <chartFormat chart="15" format="4" series="1">
      <pivotArea type="data" outline="0" fieldPosition="0">
        <references count="1">
          <reference field="4294967294" count="1" selected="0">
            <x v="4"/>
          </reference>
        </references>
      </pivotArea>
    </chartFormat>
    <chartFormat chart="15"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0447C9-69DD-4F9B-B603-74E92A337DD7}" name="PivotTable5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
    <pivotField axis="axisRow" dataField="1" showAll="0">
      <items count="7">
        <item x="3"/>
        <item x="4"/>
        <item x="2"/>
        <item x="1"/>
        <item x="0"/>
        <item h="1" x="5"/>
        <item t="default"/>
      </items>
    </pivotField>
  </pivotFields>
  <rowFields count="1">
    <field x="0"/>
  </rowFields>
  <rowItems count="6">
    <i>
      <x/>
    </i>
    <i>
      <x v="1"/>
    </i>
    <i>
      <x v="2"/>
    </i>
    <i>
      <x v="3"/>
    </i>
    <i>
      <x v="4"/>
    </i>
    <i t="grand">
      <x/>
    </i>
  </rowItems>
  <colItems count="1">
    <i/>
  </colItems>
  <dataFields count="1">
    <dataField name="Preferred Method for Buying Theater Ticket" fld="0" subtotal="count" baseField="0" baseItem="0"/>
  </dataFields>
  <formats count="2">
    <format dxfId="51">
      <pivotArea collapsedLevelsAreSubtotals="1" fieldPosition="0">
        <references count="1">
          <reference field="0" count="0"/>
        </references>
      </pivotArea>
    </format>
    <format dxfId="50">
      <pivotArea dataOnly="0" labelOnly="1" fieldPosition="0">
        <references count="1">
          <reference field="0" count="0"/>
        </references>
      </pivotArea>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72367B-8143-4BFE-8F4B-99EEA0E3C4F3}" name="PivotTable5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
    <pivotField axis="axisRow" dataField="1" showAll="0">
      <items count="5">
        <item x="2"/>
        <item x="1"/>
        <item x="3"/>
        <item h="1" x="0"/>
        <item t="default"/>
      </items>
    </pivotField>
  </pivotFields>
  <rowFields count="1">
    <field x="0"/>
  </rowFields>
  <rowItems count="4">
    <i>
      <x/>
    </i>
    <i>
      <x v="1"/>
    </i>
    <i>
      <x v="2"/>
    </i>
    <i t="grand">
      <x/>
    </i>
  </rowItems>
  <colItems count="1">
    <i/>
  </colItems>
  <dataFields count="1">
    <dataField name="Expected Ticket Price per Person" fld="0" subtotal="count" baseField="0" baseItem="0"/>
  </dataFields>
  <formats count="2">
    <format dxfId="49">
      <pivotArea collapsedLevelsAreSubtotals="1" fieldPosition="0">
        <references count="1">
          <reference field="0" count="0"/>
        </references>
      </pivotArea>
    </format>
    <format dxfId="48">
      <pivotArea dataOnly="0" labelOnly="1" fieldPosition="0">
        <references count="1">
          <reference field="0"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544430-C29E-4489-95C4-D836237FD58A}" name="PivotTable4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H4" firstHeaderRow="0" firstDataRow="1" firstDataCol="0"/>
  <pivotFields count="8">
    <pivotField dataField="1" showAll="0"/>
    <pivotField dataField="1" showAll="0"/>
    <pivotField dataField="1" showAll="0"/>
    <pivotField dataField="1" showAll="0">
      <items count="8">
        <item x="3"/>
        <item x="5"/>
        <item x="4"/>
        <item x="0"/>
        <item x="1"/>
        <item x="2"/>
        <item x="6"/>
        <item t="default"/>
      </items>
    </pivotField>
    <pivotField dataField="1" showAll="0"/>
    <pivotField dataField="1" showAll="0"/>
    <pivotField dataField="1" showAll="0"/>
    <pivotField dataField="1" showAll="0"/>
  </pivotFields>
  <rowItems count="1">
    <i/>
  </rowItems>
  <colFields count="1">
    <field x="-2"/>
  </colFields>
  <colItems count="8">
    <i>
      <x/>
    </i>
    <i i="1">
      <x v="1"/>
    </i>
    <i i="2">
      <x v="2"/>
    </i>
    <i i="3">
      <x v="3"/>
    </i>
    <i i="4">
      <x v="4"/>
    </i>
    <i i="5">
      <x v="5"/>
    </i>
    <i i="6">
      <x v="6"/>
    </i>
    <i i="7">
      <x v="7"/>
    </i>
  </colItems>
  <dataFields count="8">
    <dataField name="Average of Q9_Family Appropriate content" fld="0" subtotal="average" baseField="0" baseItem="0" numFmtId="2"/>
    <dataField name="Average of Q9_Food" fld="1" subtotal="average" baseField="0" baseItem="1" numFmtId="2"/>
    <dataField name="Average of Q9_Performance/Talent" fld="2" subtotal="average" baseField="0" baseItem="1" numFmtId="2"/>
    <dataField name="Average of Q9_Value (worth the money?)" fld="3" subtotal="average" baseField="0" baseItem="1" numFmtId="2"/>
    <dataField name="Average of Q9_Theater Cleanliness" fld="4" subtotal="average" baseField="0" baseItem="1" numFmtId="2"/>
    <dataField name="Average of Q9_Theater Ambiance" fld="5" subtotal="average" baseField="0" baseItem="1" numFmtId="2"/>
    <dataField name="Average of Q9_Seating Comfort" fld="6" subtotal="average" baseField="0" baseItem="1" numFmtId="2"/>
    <dataField name="Count of Q9_" fld="7" subtotal="count" baseField="0" baseItem="7"/>
  </dataFields>
  <formats count="5">
    <format dxfId="47">
      <pivotArea outline="0" collapsedLevelsAreSubtotals="1" fieldPosition="0">
        <references count="1">
          <reference field="4294967294" count="7" selected="0">
            <x v="0"/>
            <x v="1"/>
            <x v="2"/>
            <x v="3"/>
            <x v="4"/>
            <x v="5"/>
            <x v="6"/>
          </reference>
        </references>
      </pivotArea>
    </format>
    <format dxfId="46">
      <pivotArea type="all" dataOnly="0" outline="0" fieldPosition="0"/>
    </format>
    <format dxfId="45">
      <pivotArea outline="0" collapsedLevelsAreSubtotals="1" fieldPosition="0"/>
    </format>
    <format dxfId="44">
      <pivotArea dataOnly="0" labelOnly="1" outline="0" fieldPosition="0">
        <references count="1">
          <reference field="4294967294" count="8">
            <x v="0"/>
            <x v="1"/>
            <x v="2"/>
            <x v="3"/>
            <x v="4"/>
            <x v="5"/>
            <x v="6"/>
            <x v="7"/>
          </reference>
        </references>
      </pivotArea>
    </format>
    <format dxfId="43">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D7E5F4-ED34-42B6-B396-DA0DF96B9EEB}" name="PivotTable5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
    <pivotField axis="axisRow" dataField="1" showAll="0">
      <items count="8">
        <item x="6"/>
        <item x="4"/>
        <item x="3"/>
        <item x="2"/>
        <item x="1"/>
        <item h="1" x="0"/>
        <item h="1" x="5"/>
        <item t="default"/>
      </items>
    </pivotField>
  </pivotFields>
  <rowFields count="1">
    <field x="0"/>
  </rowFields>
  <rowItems count="6">
    <i>
      <x/>
    </i>
    <i>
      <x v="1"/>
    </i>
    <i>
      <x v="2"/>
    </i>
    <i>
      <x v="3"/>
    </i>
    <i>
      <x v="4"/>
    </i>
    <i t="grand">
      <x/>
    </i>
  </rowItems>
  <colItems count="1">
    <i/>
  </colItems>
  <dataFields count="1">
    <dataField name="Likelihood to Recommend the Theater" fld="0" subtotal="count" baseField="0" baseItem="0"/>
  </dataFields>
  <formats count="2">
    <format dxfId="42">
      <pivotArea collapsedLevelsAreSubtotals="1" fieldPosition="0">
        <references count="1">
          <reference field="0" count="0"/>
        </references>
      </pivotArea>
    </format>
    <format dxfId="41">
      <pivotArea dataOnly="0" labelOnly="1" fieldPosition="0">
        <references count="1">
          <reference field="0" count="0"/>
        </references>
      </pivotArea>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D580B4-A814-4BE9-8768-97EDD1D8F5DF}" name="PivotTable4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
    <pivotField axis="axisRow" dataField="1" showAll="0">
      <items count="7">
        <item x="5"/>
        <item x="2"/>
        <item x="3"/>
        <item x="1"/>
        <item h="1" x="0"/>
        <item x="4"/>
        <item t="default"/>
      </items>
    </pivotField>
  </pivotFields>
  <rowFields count="1">
    <field x="0"/>
  </rowFields>
  <rowItems count="6">
    <i>
      <x/>
    </i>
    <i>
      <x v="1"/>
    </i>
    <i>
      <x v="2"/>
    </i>
    <i>
      <x v="3"/>
    </i>
    <i>
      <x v="5"/>
    </i>
    <i t="grand">
      <x/>
    </i>
  </rowItems>
  <colItems count="1">
    <i/>
  </colItems>
  <dataFields count="1">
    <dataField name="Count of What is your age?" fld="0" subtotal="count" baseField="0" baseItem="0"/>
  </dataFields>
  <formats count="3">
    <format dxfId="40">
      <pivotArea dataOnly="0" labelOnly="1" fieldPosition="0">
        <references count="1">
          <reference field="0" count="1">
            <x v="1"/>
          </reference>
        </references>
      </pivotArea>
    </format>
    <format dxfId="39">
      <pivotArea collapsedLevelsAreSubtotals="1" fieldPosition="0">
        <references count="1">
          <reference field="0" count="0"/>
        </references>
      </pivotArea>
    </format>
    <format dxfId="38">
      <pivotArea dataOnly="0" labelOnly="1" fieldPosition="0">
        <references count="1">
          <reference field="0"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AA81D3F-D264-4D35-ABFB-CD0119805358}" name="PivotTable4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1">
    <pivotField axis="axisRow" dataField="1" showAll="0">
      <items count="4">
        <item x="2"/>
        <item x="1"/>
        <item h="1" x="0"/>
        <item t="default"/>
      </items>
    </pivotField>
  </pivotFields>
  <rowFields count="1">
    <field x="0"/>
  </rowFields>
  <rowItems count="3">
    <i>
      <x/>
    </i>
    <i>
      <x v="1"/>
    </i>
    <i t="grand">
      <x/>
    </i>
  </rowItems>
  <colItems count="1">
    <i/>
  </colItems>
  <dataFields count="1">
    <dataField name="Count of What is your gender?" fld="0" subtotal="count" baseField="0" baseItem="0"/>
  </dataFields>
  <formats count="2">
    <format dxfId="37">
      <pivotArea collapsedLevelsAreSubtotals="1" fieldPosition="0">
        <references count="1">
          <reference field="0" count="0"/>
        </references>
      </pivotArea>
    </format>
    <format dxfId="36">
      <pivotArea dataOnly="0" labelOnly="1" fieldPosition="0">
        <references count="1">
          <reference field="0"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at_is_your_age?" xr10:uid="{9E371D86-6DED-4807-B689-5B41F0252229}" sourceName="What is your age?">
  <pivotTables>
    <pivotTable tabId="30" name="PivotTable47"/>
  </pivotTables>
  <data>
    <tabular pivotCacheId="891334990">
      <items count="6">
        <i x="5" s="1"/>
        <i x="2" s="1"/>
        <i x="3" s="1"/>
        <i x="1" s="1"/>
        <i x="0"/>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at_is_your_gender?" xr10:uid="{D25077E7-5C15-4E70-9464-2C8E670DE1D5}" sourceName="What is your gender?">
  <pivotTables>
    <pivotTable tabId="31" name="PivotTable48"/>
  </pivotTables>
  <data>
    <tabular pivotCacheId="1027022561">
      <items count="3">
        <i x="2" s="1"/>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w_many_times_in_the_last_2_years_have_you_attended_a_live_theater_production__play_or_musical_?" xr10:uid="{1CDA3363-7DC1-419B-B05C-BE421774085B}" sourceName="How many times in the last 2 years have you attended a live theater production (play or musical)?">
  <pivotTables>
    <pivotTable tabId="32" name="PivotTable49"/>
  </pivotTables>
  <data>
    <tabular pivotCacheId="2058804573">
      <items count="5">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w many times in the last 2 years have you attended a live theater production (play or musical)?" xr10:uid="{F46DD9F1-54C5-4FA2-AB83-D855475FD57F}" cache="Slicer_How_many_times_in_the_last_2_years_have_you_attended_a_live_theater_production__play_or_musical_?" caption="How many times in the last 2 years have you attended a live theater production (play or musica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hat is your age?" xr10:uid="{A2E8AB6E-C48F-414B-BD88-E91B9AE6EF15}" cache="Slicer_What_is_your_age?" caption="What is your ag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hat is your gender?" xr10:uid="{76E702A1-19C5-4E90-8443-07A0A25CC9F3}" cache="Slicer_What_is_your_gender?" caption="What is your 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D166"/>
  <sheetViews>
    <sheetView workbookViewId="0">
      <selection activeCell="A3" sqref="A3"/>
    </sheetView>
  </sheetViews>
  <sheetFormatPr defaultRowHeight="14.4" x14ac:dyDescent="0.3"/>
  <cols>
    <col min="55" max="55" width="11.33203125" customWidth="1"/>
  </cols>
  <sheetData>
    <row r="1" spans="1:56" x14ac:dyDescent="0.3">
      <c r="A1" s="61" t="s">
        <v>137</v>
      </c>
      <c r="B1" s="61"/>
      <c r="C1" s="61"/>
      <c r="D1" s="61"/>
      <c r="E1" s="61"/>
      <c r="F1" s="61"/>
      <c r="G1" s="61"/>
    </row>
    <row r="2" spans="1:56" x14ac:dyDescent="0.3">
      <c r="A2" s="62" t="s">
        <v>136</v>
      </c>
      <c r="B2" s="62"/>
      <c r="C2" s="62"/>
      <c r="D2" s="62"/>
      <c r="E2" s="62"/>
      <c r="F2" s="62"/>
      <c r="G2" s="62"/>
    </row>
    <row r="3" spans="1:56" x14ac:dyDescent="0.3">
      <c r="A3" s="4" t="s">
        <v>0</v>
      </c>
      <c r="B3" s="4" t="s">
        <v>1</v>
      </c>
      <c r="C3" s="4"/>
      <c r="D3" s="4"/>
      <c r="E3" s="4"/>
      <c r="F3" s="4"/>
      <c r="G3" s="4"/>
      <c r="H3" s="4"/>
      <c r="I3" s="4" t="s">
        <v>2</v>
      </c>
      <c r="J3" s="4"/>
      <c r="K3" s="4"/>
      <c r="L3" s="4"/>
      <c r="M3" s="4"/>
      <c r="N3" s="4"/>
      <c r="O3" s="4" t="s">
        <v>3</v>
      </c>
      <c r="P3" s="4"/>
      <c r="Q3" s="4"/>
      <c r="R3" s="4"/>
      <c r="S3" s="4"/>
      <c r="T3" s="4"/>
      <c r="U3" s="4"/>
      <c r="V3" s="4"/>
      <c r="W3" s="4"/>
      <c r="X3" s="4"/>
      <c r="Y3" s="4"/>
      <c r="Z3" s="4" t="s">
        <v>4</v>
      </c>
      <c r="AA3" s="4"/>
      <c r="AB3" s="4"/>
      <c r="AC3" s="4"/>
      <c r="AD3" s="4"/>
      <c r="AE3" s="4"/>
      <c r="AF3" s="4" t="s">
        <v>5</v>
      </c>
      <c r="AG3" s="4"/>
      <c r="AH3" s="4"/>
      <c r="AI3" s="4"/>
      <c r="AJ3" s="4"/>
      <c r="AK3" s="4"/>
      <c r="AL3" s="4"/>
      <c r="AM3" s="4"/>
      <c r="AN3" s="4"/>
      <c r="AO3" s="4" t="s">
        <v>134</v>
      </c>
      <c r="AP3" s="4"/>
      <c r="AQ3" s="4" t="s">
        <v>135</v>
      </c>
      <c r="AR3" s="4"/>
      <c r="AS3" s="4" t="s">
        <v>132</v>
      </c>
      <c r="AT3" s="4"/>
      <c r="AU3" s="4"/>
      <c r="AV3" s="4"/>
      <c r="AW3" s="4"/>
      <c r="AX3" s="4"/>
      <c r="AY3" s="4"/>
      <c r="AZ3" s="4"/>
      <c r="BA3" s="4" t="s">
        <v>133</v>
      </c>
      <c r="BB3" s="4" t="s">
        <v>6</v>
      </c>
      <c r="BC3" s="4" t="s">
        <v>7</v>
      </c>
      <c r="BD3" s="4"/>
    </row>
    <row r="4" spans="1:56" x14ac:dyDescent="0.3">
      <c r="A4" t="s">
        <v>142</v>
      </c>
      <c r="B4" t="s">
        <v>143</v>
      </c>
      <c r="C4" t="s">
        <v>144</v>
      </c>
      <c r="D4" t="s">
        <v>145</v>
      </c>
      <c r="E4" t="s">
        <v>146</v>
      </c>
      <c r="F4" t="s">
        <v>147</v>
      </c>
      <c r="G4" t="s">
        <v>13</v>
      </c>
      <c r="H4" t="s">
        <v>148</v>
      </c>
      <c r="I4" t="s">
        <v>149</v>
      </c>
      <c r="J4" t="s">
        <v>150</v>
      </c>
      <c r="K4" t="s">
        <v>151</v>
      </c>
      <c r="L4" t="s">
        <v>152</v>
      </c>
      <c r="M4" t="s">
        <v>153</v>
      </c>
      <c r="N4" t="s">
        <v>154</v>
      </c>
      <c r="O4" t="s">
        <v>155</v>
      </c>
      <c r="P4" t="s">
        <v>156</v>
      </c>
      <c r="Q4" t="s">
        <v>157</v>
      </c>
      <c r="R4" t="s">
        <v>158</v>
      </c>
      <c r="S4" t="s">
        <v>159</v>
      </c>
      <c r="T4" t="s">
        <v>160</v>
      </c>
      <c r="U4" t="s">
        <v>161</v>
      </c>
      <c r="V4" t="s">
        <v>162</v>
      </c>
      <c r="W4" t="s">
        <v>163</v>
      </c>
      <c r="X4" t="s">
        <v>164</v>
      </c>
      <c r="Y4" t="s">
        <v>165</v>
      </c>
      <c r="Z4" t="s">
        <v>166</v>
      </c>
      <c r="AA4" t="s">
        <v>167</v>
      </c>
      <c r="AB4" t="s">
        <v>168</v>
      </c>
      <c r="AC4" t="s">
        <v>169</v>
      </c>
      <c r="AD4" t="s">
        <v>170</v>
      </c>
      <c r="AE4" t="s">
        <v>180</v>
      </c>
      <c r="AF4" t="s">
        <v>171</v>
      </c>
      <c r="AG4" t="s">
        <v>172</v>
      </c>
      <c r="AH4" t="s">
        <v>173</v>
      </c>
      <c r="AI4" t="s">
        <v>174</v>
      </c>
      <c r="AJ4" t="s">
        <v>175</v>
      </c>
      <c r="AK4" t="s">
        <v>176</v>
      </c>
      <c r="AL4" t="s">
        <v>177</v>
      </c>
      <c r="AM4" t="s">
        <v>226</v>
      </c>
      <c r="AN4" t="s">
        <v>181</v>
      </c>
      <c r="AO4" t="s">
        <v>182</v>
      </c>
      <c r="AP4" t="s">
        <v>178</v>
      </c>
      <c r="AQ4" t="s">
        <v>183</v>
      </c>
      <c r="AR4" t="s">
        <v>179</v>
      </c>
      <c r="AS4" t="s">
        <v>184</v>
      </c>
      <c r="AT4" t="s">
        <v>185</v>
      </c>
      <c r="AU4" t="s">
        <v>186</v>
      </c>
      <c r="AV4" t="s">
        <v>187</v>
      </c>
      <c r="AW4" t="s">
        <v>188</v>
      </c>
      <c r="AX4" t="s">
        <v>189</v>
      </c>
      <c r="AY4" t="s">
        <v>190</v>
      </c>
      <c r="AZ4" t="s">
        <v>191</v>
      </c>
      <c r="BA4" t="s">
        <v>192</v>
      </c>
      <c r="BB4" t="s">
        <v>193</v>
      </c>
      <c r="BC4" t="s">
        <v>194</v>
      </c>
    </row>
    <row r="5" spans="1:56" x14ac:dyDescent="0.3">
      <c r="A5" t="s">
        <v>32</v>
      </c>
      <c r="D5" t="s">
        <v>10</v>
      </c>
      <c r="F5" t="s">
        <v>12</v>
      </c>
      <c r="I5">
        <v>3</v>
      </c>
      <c r="J5">
        <v>4</v>
      </c>
      <c r="K5">
        <v>3</v>
      </c>
      <c r="L5">
        <v>4</v>
      </c>
      <c r="M5">
        <v>5</v>
      </c>
      <c r="N5">
        <v>4</v>
      </c>
      <c r="O5" t="s">
        <v>14</v>
      </c>
      <c r="R5" t="s">
        <v>17</v>
      </c>
      <c r="U5" t="s">
        <v>20</v>
      </c>
      <c r="Z5">
        <v>6</v>
      </c>
      <c r="AA5">
        <v>4</v>
      </c>
      <c r="AB5">
        <v>6</v>
      </c>
      <c r="AC5">
        <v>6</v>
      </c>
      <c r="AD5">
        <v>5</v>
      </c>
      <c r="AE5">
        <v>6</v>
      </c>
      <c r="AJ5" t="s">
        <v>28</v>
      </c>
      <c r="AL5" t="s">
        <v>30</v>
      </c>
      <c r="AM5" t="s">
        <v>31</v>
      </c>
      <c r="AO5" t="s">
        <v>33</v>
      </c>
      <c r="AQ5" t="s">
        <v>34</v>
      </c>
      <c r="AS5">
        <v>7</v>
      </c>
      <c r="AT5">
        <v>6</v>
      </c>
      <c r="AU5">
        <v>7</v>
      </c>
      <c r="AV5">
        <v>6</v>
      </c>
      <c r="AW5">
        <v>7</v>
      </c>
      <c r="AX5">
        <v>6</v>
      </c>
      <c r="AY5">
        <v>5</v>
      </c>
      <c r="BA5" t="s">
        <v>35</v>
      </c>
      <c r="BB5" t="s">
        <v>36</v>
      </c>
      <c r="BC5" t="s">
        <v>37</v>
      </c>
    </row>
    <row r="6" spans="1:56" x14ac:dyDescent="0.3">
      <c r="A6" t="s">
        <v>32</v>
      </c>
      <c r="C6" t="s">
        <v>9</v>
      </c>
      <c r="E6" t="s">
        <v>11</v>
      </c>
      <c r="F6" t="s">
        <v>12</v>
      </c>
      <c r="H6" t="s">
        <v>38</v>
      </c>
      <c r="I6">
        <v>3</v>
      </c>
      <c r="J6">
        <v>5</v>
      </c>
      <c r="K6">
        <v>2</v>
      </c>
      <c r="L6">
        <v>4</v>
      </c>
      <c r="M6">
        <v>5</v>
      </c>
      <c r="N6">
        <v>5</v>
      </c>
      <c r="O6" t="s">
        <v>14</v>
      </c>
      <c r="P6" t="s">
        <v>15</v>
      </c>
      <c r="Q6" t="s">
        <v>16</v>
      </c>
      <c r="R6" t="s">
        <v>17</v>
      </c>
      <c r="T6" t="s">
        <v>19</v>
      </c>
      <c r="Z6">
        <v>2</v>
      </c>
      <c r="AA6">
        <v>7</v>
      </c>
      <c r="AB6">
        <v>7</v>
      </c>
      <c r="AC6">
        <v>7</v>
      </c>
      <c r="AD6">
        <v>7</v>
      </c>
      <c r="AE6">
        <v>7</v>
      </c>
      <c r="AK6" t="s">
        <v>29</v>
      </c>
      <c r="AL6" t="s">
        <v>30</v>
      </c>
      <c r="AM6" t="s">
        <v>31</v>
      </c>
      <c r="AO6" t="s">
        <v>33</v>
      </c>
      <c r="AQ6" t="s">
        <v>39</v>
      </c>
      <c r="AS6">
        <v>7</v>
      </c>
      <c r="AT6">
        <v>6</v>
      </c>
      <c r="AU6">
        <v>7</v>
      </c>
      <c r="AV6">
        <v>7</v>
      </c>
      <c r="AW6">
        <v>7</v>
      </c>
      <c r="AX6">
        <v>7</v>
      </c>
      <c r="AY6">
        <v>5</v>
      </c>
      <c r="BA6" t="s">
        <v>35</v>
      </c>
      <c r="BB6" t="s">
        <v>40</v>
      </c>
      <c r="BC6" t="s">
        <v>41</v>
      </c>
    </row>
    <row r="7" spans="1:56" x14ac:dyDescent="0.3">
      <c r="A7" t="s">
        <v>32</v>
      </c>
      <c r="E7" t="s">
        <v>11</v>
      </c>
      <c r="F7" t="s">
        <v>12</v>
      </c>
      <c r="I7">
        <v>5</v>
      </c>
      <c r="J7">
        <v>5</v>
      </c>
      <c r="K7">
        <v>3</v>
      </c>
      <c r="L7">
        <v>4</v>
      </c>
      <c r="M7">
        <v>3</v>
      </c>
      <c r="N7">
        <v>4</v>
      </c>
      <c r="O7" t="s">
        <v>14</v>
      </c>
      <c r="P7" t="s">
        <v>15</v>
      </c>
      <c r="R7" t="s">
        <v>17</v>
      </c>
      <c r="T7" t="s">
        <v>19</v>
      </c>
      <c r="U7" t="s">
        <v>20</v>
      </c>
      <c r="V7" t="s">
        <v>21</v>
      </c>
      <c r="W7" t="s">
        <v>22</v>
      </c>
      <c r="Z7">
        <v>4</v>
      </c>
      <c r="AA7">
        <v>6</v>
      </c>
      <c r="AB7">
        <v>7</v>
      </c>
      <c r="AC7">
        <v>6</v>
      </c>
      <c r="AD7">
        <v>5</v>
      </c>
      <c r="AE7">
        <v>6</v>
      </c>
      <c r="AJ7" t="s">
        <v>28</v>
      </c>
      <c r="AK7" t="s">
        <v>29</v>
      </c>
      <c r="AL7" t="s">
        <v>30</v>
      </c>
      <c r="AM7" t="s">
        <v>31</v>
      </c>
      <c r="AO7" t="s">
        <v>42</v>
      </c>
      <c r="AQ7" t="s">
        <v>34</v>
      </c>
      <c r="AS7">
        <v>7</v>
      </c>
      <c r="AT7">
        <v>6</v>
      </c>
      <c r="AU7">
        <v>7</v>
      </c>
      <c r="AV7">
        <v>7</v>
      </c>
      <c r="AW7">
        <v>7</v>
      </c>
      <c r="AX7">
        <v>7</v>
      </c>
      <c r="AY7">
        <v>5</v>
      </c>
      <c r="BA7" t="s">
        <v>35</v>
      </c>
      <c r="BB7" t="s">
        <v>43</v>
      </c>
      <c r="BC7" t="s">
        <v>41</v>
      </c>
    </row>
    <row r="8" spans="1:56" x14ac:dyDescent="0.3">
      <c r="A8" t="s">
        <v>32</v>
      </c>
      <c r="E8" t="s">
        <v>11</v>
      </c>
      <c r="F8" t="s">
        <v>12</v>
      </c>
      <c r="I8">
        <v>5</v>
      </c>
      <c r="J8">
        <v>5</v>
      </c>
      <c r="K8">
        <v>3</v>
      </c>
      <c r="L8">
        <v>3</v>
      </c>
      <c r="M8">
        <v>5</v>
      </c>
      <c r="N8">
        <v>4</v>
      </c>
      <c r="O8" t="s">
        <v>14</v>
      </c>
      <c r="P8" t="s">
        <v>15</v>
      </c>
      <c r="Q8" t="s">
        <v>16</v>
      </c>
      <c r="R8" t="s">
        <v>17</v>
      </c>
      <c r="T8" t="s">
        <v>19</v>
      </c>
      <c r="V8" t="s">
        <v>21</v>
      </c>
      <c r="Z8">
        <v>4</v>
      </c>
      <c r="AA8">
        <v>5</v>
      </c>
      <c r="AB8">
        <v>7</v>
      </c>
      <c r="AC8">
        <v>5</v>
      </c>
      <c r="AD8">
        <v>7</v>
      </c>
      <c r="AE8">
        <v>6</v>
      </c>
      <c r="AI8" t="s">
        <v>27</v>
      </c>
      <c r="AJ8" t="s">
        <v>28</v>
      </c>
      <c r="AK8" t="s">
        <v>29</v>
      </c>
      <c r="AL8" t="s">
        <v>30</v>
      </c>
      <c r="AM8" t="s">
        <v>31</v>
      </c>
      <c r="AO8" t="s">
        <v>42</v>
      </c>
      <c r="AQ8" t="s">
        <v>34</v>
      </c>
      <c r="AS8">
        <v>7</v>
      </c>
      <c r="AT8">
        <v>7</v>
      </c>
      <c r="AU8">
        <v>7</v>
      </c>
      <c r="AV8">
        <v>7</v>
      </c>
      <c r="AW8">
        <v>7</v>
      </c>
      <c r="AX8">
        <v>7</v>
      </c>
      <c r="AY8">
        <v>7</v>
      </c>
      <c r="BA8" t="s">
        <v>35</v>
      </c>
      <c r="BB8" t="s">
        <v>40</v>
      </c>
      <c r="BC8" t="s">
        <v>41</v>
      </c>
    </row>
    <row r="9" spans="1:56" x14ac:dyDescent="0.3">
      <c r="A9" t="s">
        <v>44</v>
      </c>
      <c r="D9" t="s">
        <v>10</v>
      </c>
      <c r="E9" t="s">
        <v>11</v>
      </c>
      <c r="F9" t="s">
        <v>12</v>
      </c>
      <c r="I9">
        <v>5</v>
      </c>
      <c r="J9">
        <v>3</v>
      </c>
      <c r="K9">
        <v>3</v>
      </c>
      <c r="L9">
        <v>2</v>
      </c>
      <c r="M9">
        <v>5</v>
      </c>
      <c r="N9">
        <v>2</v>
      </c>
      <c r="O9" t="s">
        <v>14</v>
      </c>
      <c r="R9" t="s">
        <v>17</v>
      </c>
      <c r="S9" t="s">
        <v>18</v>
      </c>
      <c r="T9" t="s">
        <v>19</v>
      </c>
      <c r="U9" t="s">
        <v>20</v>
      </c>
      <c r="Z9">
        <v>4</v>
      </c>
      <c r="AA9">
        <v>5</v>
      </c>
      <c r="AB9">
        <v>5</v>
      </c>
      <c r="AC9">
        <v>4</v>
      </c>
      <c r="AD9">
        <v>7</v>
      </c>
      <c r="AE9">
        <v>7</v>
      </c>
      <c r="AJ9" t="s">
        <v>28</v>
      </c>
      <c r="AM9" t="s">
        <v>31</v>
      </c>
      <c r="AO9" t="s">
        <v>33</v>
      </c>
      <c r="AQ9" t="s">
        <v>34</v>
      </c>
      <c r="AS9">
        <v>7</v>
      </c>
      <c r="AT9">
        <v>6</v>
      </c>
      <c r="AU9">
        <v>6</v>
      </c>
      <c r="AV9">
        <v>6</v>
      </c>
      <c r="AW9">
        <v>7</v>
      </c>
      <c r="AX9">
        <v>7</v>
      </c>
      <c r="AY9">
        <v>5</v>
      </c>
      <c r="AZ9" t="s">
        <v>45</v>
      </c>
      <c r="BA9" t="s">
        <v>35</v>
      </c>
      <c r="BB9" t="s">
        <v>43</v>
      </c>
      <c r="BC9" t="s">
        <v>41</v>
      </c>
    </row>
    <row r="10" spans="1:56" x14ac:dyDescent="0.3">
      <c r="A10" t="s">
        <v>44</v>
      </c>
      <c r="B10" t="s">
        <v>8</v>
      </c>
      <c r="C10" t="s">
        <v>9</v>
      </c>
      <c r="D10" t="s">
        <v>10</v>
      </c>
      <c r="E10" t="s">
        <v>11</v>
      </c>
      <c r="I10">
        <v>3</v>
      </c>
      <c r="J10">
        <v>4</v>
      </c>
      <c r="L10">
        <v>5</v>
      </c>
      <c r="M10">
        <v>5</v>
      </c>
      <c r="N10">
        <v>2</v>
      </c>
      <c r="P10" t="s">
        <v>15</v>
      </c>
      <c r="Q10" t="s">
        <v>16</v>
      </c>
      <c r="W10" t="s">
        <v>22</v>
      </c>
      <c r="Z10">
        <v>3</v>
      </c>
      <c r="AA10">
        <v>6</v>
      </c>
      <c r="AB10">
        <v>5</v>
      </c>
      <c r="AC10">
        <v>5</v>
      </c>
      <c r="AD10">
        <v>4</v>
      </c>
      <c r="AE10">
        <v>7</v>
      </c>
      <c r="AH10" t="s">
        <v>26</v>
      </c>
      <c r="AI10" t="s">
        <v>27</v>
      </c>
      <c r="AJ10" t="s">
        <v>28</v>
      </c>
      <c r="AL10" t="s">
        <v>30</v>
      </c>
      <c r="AM10" t="s">
        <v>31</v>
      </c>
      <c r="AO10" t="s">
        <v>33</v>
      </c>
      <c r="AQ10" t="s">
        <v>34</v>
      </c>
      <c r="AS10">
        <v>7</v>
      </c>
      <c r="AT10">
        <v>5</v>
      </c>
      <c r="AU10">
        <v>6</v>
      </c>
      <c r="AV10">
        <v>6</v>
      </c>
      <c r="AW10">
        <v>7</v>
      </c>
      <c r="AX10">
        <v>7</v>
      </c>
      <c r="AY10">
        <v>7</v>
      </c>
      <c r="AZ10" t="s">
        <v>46</v>
      </c>
      <c r="BA10" t="s">
        <v>35</v>
      </c>
      <c r="BB10" t="s">
        <v>40</v>
      </c>
      <c r="BC10" t="s">
        <v>41</v>
      </c>
    </row>
    <row r="11" spans="1:56" x14ac:dyDescent="0.3">
      <c r="A11" t="s">
        <v>44</v>
      </c>
      <c r="B11" t="s">
        <v>8</v>
      </c>
      <c r="C11" t="s">
        <v>9</v>
      </c>
      <c r="D11" t="s">
        <v>10</v>
      </c>
      <c r="I11">
        <v>3</v>
      </c>
      <c r="J11">
        <v>3</v>
      </c>
      <c r="K11">
        <v>2</v>
      </c>
      <c r="L11">
        <v>4</v>
      </c>
      <c r="M11">
        <v>5</v>
      </c>
      <c r="N11">
        <v>3</v>
      </c>
      <c r="P11" t="s">
        <v>15</v>
      </c>
      <c r="Q11" t="s">
        <v>16</v>
      </c>
      <c r="T11" t="s">
        <v>19</v>
      </c>
      <c r="U11" t="s">
        <v>20</v>
      </c>
      <c r="Z11">
        <v>6</v>
      </c>
      <c r="AA11">
        <v>5</v>
      </c>
      <c r="AB11">
        <v>6</v>
      </c>
      <c r="AC11">
        <v>5</v>
      </c>
      <c r="AD11">
        <v>6</v>
      </c>
      <c r="AE11">
        <v>7</v>
      </c>
      <c r="AJ11" t="s">
        <v>28</v>
      </c>
      <c r="AL11" t="s">
        <v>30</v>
      </c>
      <c r="AM11" t="s">
        <v>31</v>
      </c>
      <c r="AO11" t="s">
        <v>33</v>
      </c>
      <c r="AQ11" t="s">
        <v>34</v>
      </c>
      <c r="AS11">
        <v>7</v>
      </c>
      <c r="AT11">
        <v>6</v>
      </c>
      <c r="AU11">
        <v>6</v>
      </c>
      <c r="AV11">
        <v>7</v>
      </c>
      <c r="AW11">
        <v>7</v>
      </c>
      <c r="AX11">
        <v>7</v>
      </c>
      <c r="AY11">
        <v>7</v>
      </c>
      <c r="BA11" t="s">
        <v>35</v>
      </c>
      <c r="BB11" t="s">
        <v>40</v>
      </c>
      <c r="BC11" t="s">
        <v>37</v>
      </c>
    </row>
    <row r="12" spans="1:56" x14ac:dyDescent="0.3">
      <c r="A12" t="s">
        <v>47</v>
      </c>
      <c r="D12" t="s">
        <v>10</v>
      </c>
      <c r="I12">
        <v>2</v>
      </c>
      <c r="J12">
        <v>3</v>
      </c>
      <c r="K12">
        <v>2</v>
      </c>
      <c r="L12">
        <v>3</v>
      </c>
      <c r="M12">
        <v>5</v>
      </c>
      <c r="N12">
        <v>2</v>
      </c>
      <c r="O12" t="s">
        <v>14</v>
      </c>
      <c r="Q12" t="s">
        <v>16</v>
      </c>
      <c r="U12" t="s">
        <v>20</v>
      </c>
      <c r="Z12">
        <v>7</v>
      </c>
      <c r="AA12">
        <v>6</v>
      </c>
      <c r="AB12">
        <v>5</v>
      </c>
      <c r="AC12">
        <v>6</v>
      </c>
      <c r="AD12">
        <v>6</v>
      </c>
      <c r="AE12">
        <v>1</v>
      </c>
      <c r="AJ12" t="s">
        <v>28</v>
      </c>
      <c r="AN12" t="s">
        <v>48</v>
      </c>
      <c r="AO12" t="s">
        <v>33</v>
      </c>
      <c r="AQ12" t="s">
        <v>49</v>
      </c>
      <c r="AS12">
        <v>7</v>
      </c>
      <c r="AT12">
        <v>6</v>
      </c>
      <c r="AU12">
        <v>5</v>
      </c>
      <c r="AV12" t="s">
        <v>50</v>
      </c>
      <c r="AW12">
        <v>7</v>
      </c>
      <c r="AX12" t="s">
        <v>50</v>
      </c>
      <c r="AY12">
        <v>1</v>
      </c>
      <c r="BA12" t="s">
        <v>35</v>
      </c>
      <c r="BB12" t="s">
        <v>43</v>
      </c>
      <c r="BC12" t="s">
        <v>37</v>
      </c>
    </row>
    <row r="13" spans="1:56" x14ac:dyDescent="0.3">
      <c r="A13" t="s">
        <v>32</v>
      </c>
      <c r="B13" t="s">
        <v>8</v>
      </c>
      <c r="C13" t="s">
        <v>9</v>
      </c>
      <c r="D13" t="s">
        <v>10</v>
      </c>
      <c r="E13" t="s">
        <v>11</v>
      </c>
      <c r="F13" t="s">
        <v>12</v>
      </c>
      <c r="H13" t="s">
        <v>51</v>
      </c>
      <c r="I13">
        <v>3</v>
      </c>
      <c r="J13">
        <v>5</v>
      </c>
      <c r="K13">
        <v>2</v>
      </c>
      <c r="L13">
        <v>5</v>
      </c>
      <c r="M13">
        <v>5</v>
      </c>
      <c r="N13">
        <v>4</v>
      </c>
      <c r="P13" t="s">
        <v>15</v>
      </c>
      <c r="R13" t="s">
        <v>17</v>
      </c>
      <c r="T13" t="s">
        <v>19</v>
      </c>
      <c r="U13" t="s">
        <v>20</v>
      </c>
      <c r="V13" t="s">
        <v>21</v>
      </c>
      <c r="Y13" t="s">
        <v>52</v>
      </c>
      <c r="Z13">
        <v>6</v>
      </c>
      <c r="AA13">
        <v>5</v>
      </c>
      <c r="AB13">
        <v>5</v>
      </c>
      <c r="AC13">
        <v>5</v>
      </c>
      <c r="AD13">
        <v>6</v>
      </c>
      <c r="AE13">
        <v>6</v>
      </c>
      <c r="AF13" t="s">
        <v>24</v>
      </c>
      <c r="AG13" t="s">
        <v>25</v>
      </c>
      <c r="AH13" t="s">
        <v>26</v>
      </c>
      <c r="AJ13" t="s">
        <v>28</v>
      </c>
      <c r="AK13" t="s">
        <v>29</v>
      </c>
      <c r="AL13" t="s">
        <v>30</v>
      </c>
      <c r="AM13" t="s">
        <v>31</v>
      </c>
      <c r="AO13" t="s">
        <v>42</v>
      </c>
      <c r="AQ13" t="s">
        <v>39</v>
      </c>
      <c r="AS13">
        <v>7</v>
      </c>
      <c r="AT13">
        <v>7</v>
      </c>
      <c r="AU13">
        <v>7</v>
      </c>
      <c r="AV13">
        <v>7</v>
      </c>
      <c r="AW13">
        <v>7</v>
      </c>
      <c r="AX13">
        <v>7</v>
      </c>
      <c r="AY13">
        <v>7</v>
      </c>
      <c r="BA13" t="s">
        <v>35</v>
      </c>
      <c r="BB13" t="s">
        <v>53</v>
      </c>
      <c r="BC13" t="s">
        <v>41</v>
      </c>
    </row>
    <row r="14" spans="1:56" x14ac:dyDescent="0.3">
      <c r="A14" t="s">
        <v>47</v>
      </c>
      <c r="D14" t="s">
        <v>10</v>
      </c>
      <c r="I14">
        <v>5</v>
      </c>
      <c r="J14">
        <v>5</v>
      </c>
      <c r="K14">
        <v>1</v>
      </c>
      <c r="L14">
        <v>3</v>
      </c>
      <c r="M14">
        <v>4</v>
      </c>
      <c r="N14">
        <v>1</v>
      </c>
      <c r="T14" t="s">
        <v>19</v>
      </c>
      <c r="U14" t="s">
        <v>20</v>
      </c>
      <c r="W14" t="s">
        <v>22</v>
      </c>
      <c r="Z14">
        <v>6</v>
      </c>
      <c r="AA14">
        <v>5</v>
      </c>
      <c r="AB14">
        <v>6</v>
      </c>
      <c r="AC14">
        <v>5</v>
      </c>
      <c r="AD14">
        <v>7</v>
      </c>
      <c r="AE14">
        <v>4</v>
      </c>
      <c r="AJ14" t="s">
        <v>28</v>
      </c>
      <c r="AM14" t="s">
        <v>31</v>
      </c>
      <c r="AO14" t="s">
        <v>33</v>
      </c>
      <c r="AQ14" t="s">
        <v>34</v>
      </c>
      <c r="AS14">
        <v>7</v>
      </c>
      <c r="AT14">
        <v>6</v>
      </c>
      <c r="AU14">
        <v>5</v>
      </c>
      <c r="AV14">
        <v>6</v>
      </c>
      <c r="AW14">
        <v>7</v>
      </c>
      <c r="AX14">
        <v>7</v>
      </c>
      <c r="AY14">
        <v>6</v>
      </c>
      <c r="BA14" t="s">
        <v>35</v>
      </c>
      <c r="BB14" t="s">
        <v>43</v>
      </c>
      <c r="BC14" t="s">
        <v>37</v>
      </c>
    </row>
    <row r="15" spans="1:56" x14ac:dyDescent="0.3">
      <c r="A15" t="s">
        <v>47</v>
      </c>
      <c r="F15" t="s">
        <v>12</v>
      </c>
      <c r="I15">
        <v>5</v>
      </c>
      <c r="J15">
        <v>5</v>
      </c>
      <c r="L15">
        <v>5</v>
      </c>
      <c r="M15">
        <v>5</v>
      </c>
      <c r="N15">
        <v>5</v>
      </c>
      <c r="P15" t="s">
        <v>15</v>
      </c>
      <c r="T15" t="s">
        <v>19</v>
      </c>
      <c r="U15" t="s">
        <v>20</v>
      </c>
      <c r="W15" t="s">
        <v>22</v>
      </c>
      <c r="Z15">
        <v>7</v>
      </c>
      <c r="AA15">
        <v>7</v>
      </c>
      <c r="AB15">
        <v>7</v>
      </c>
      <c r="AC15">
        <v>7</v>
      </c>
      <c r="AD15">
        <v>7</v>
      </c>
      <c r="AE15">
        <v>7</v>
      </c>
      <c r="AG15" t="s">
        <v>25</v>
      </c>
      <c r="AM15" t="s">
        <v>31</v>
      </c>
      <c r="AO15" t="s">
        <v>54</v>
      </c>
      <c r="AQ15" t="s">
        <v>34</v>
      </c>
      <c r="AS15">
        <v>7</v>
      </c>
      <c r="AT15">
        <v>7</v>
      </c>
      <c r="AU15">
        <v>7</v>
      </c>
      <c r="AV15">
        <v>7</v>
      </c>
      <c r="AW15">
        <v>7</v>
      </c>
      <c r="AX15">
        <v>7</v>
      </c>
      <c r="AY15">
        <v>7</v>
      </c>
      <c r="BA15" t="s">
        <v>35</v>
      </c>
      <c r="BB15">
        <v>65</v>
      </c>
      <c r="BC15" t="s">
        <v>37</v>
      </c>
    </row>
    <row r="16" spans="1:56" x14ac:dyDescent="0.3">
      <c r="A16" t="s">
        <v>32</v>
      </c>
      <c r="D16" t="s">
        <v>10</v>
      </c>
      <c r="E16" t="s">
        <v>11</v>
      </c>
      <c r="F16" t="s">
        <v>12</v>
      </c>
      <c r="I16">
        <v>5</v>
      </c>
      <c r="J16">
        <v>5</v>
      </c>
      <c r="K16">
        <v>3</v>
      </c>
      <c r="L16">
        <v>4</v>
      </c>
      <c r="M16">
        <v>3</v>
      </c>
      <c r="N16">
        <v>3</v>
      </c>
      <c r="O16" t="s">
        <v>14</v>
      </c>
      <c r="Q16" t="s">
        <v>16</v>
      </c>
      <c r="R16" t="s">
        <v>17</v>
      </c>
      <c r="S16" t="s">
        <v>18</v>
      </c>
      <c r="T16" t="s">
        <v>19</v>
      </c>
      <c r="V16" t="s">
        <v>21</v>
      </c>
      <c r="W16" t="s">
        <v>22</v>
      </c>
      <c r="Z16">
        <v>4</v>
      </c>
      <c r="AA16">
        <v>6</v>
      </c>
      <c r="AB16">
        <v>5</v>
      </c>
      <c r="AC16">
        <v>5</v>
      </c>
      <c r="AD16">
        <v>6</v>
      </c>
      <c r="AE16">
        <v>6</v>
      </c>
      <c r="AF16" t="s">
        <v>24</v>
      </c>
      <c r="AG16" t="s">
        <v>25</v>
      </c>
      <c r="AI16" t="s">
        <v>27</v>
      </c>
      <c r="AL16" t="s">
        <v>30</v>
      </c>
      <c r="AM16" t="s">
        <v>31</v>
      </c>
      <c r="AO16" t="s">
        <v>54</v>
      </c>
      <c r="AQ16" t="s">
        <v>34</v>
      </c>
      <c r="AS16">
        <v>7</v>
      </c>
      <c r="AT16">
        <v>6</v>
      </c>
      <c r="AU16">
        <v>7</v>
      </c>
      <c r="AV16">
        <v>7</v>
      </c>
      <c r="AW16">
        <v>7</v>
      </c>
      <c r="AX16">
        <v>7</v>
      </c>
      <c r="AY16">
        <v>6</v>
      </c>
      <c r="BA16" t="s">
        <v>35</v>
      </c>
      <c r="BB16" t="s">
        <v>36</v>
      </c>
      <c r="BC16" t="s">
        <v>41</v>
      </c>
    </row>
    <row r="17" spans="1:55" x14ac:dyDescent="0.3">
      <c r="A17" t="s">
        <v>32</v>
      </c>
      <c r="B17" t="s">
        <v>8</v>
      </c>
      <c r="D17" t="s">
        <v>10</v>
      </c>
      <c r="E17" t="s">
        <v>11</v>
      </c>
      <c r="F17" t="s">
        <v>12</v>
      </c>
      <c r="H17" t="s">
        <v>55</v>
      </c>
      <c r="I17">
        <v>4</v>
      </c>
      <c r="J17">
        <v>5</v>
      </c>
      <c r="K17">
        <v>2</v>
      </c>
      <c r="L17">
        <v>3</v>
      </c>
      <c r="M17">
        <v>5</v>
      </c>
      <c r="N17">
        <v>5</v>
      </c>
      <c r="O17" t="s">
        <v>14</v>
      </c>
      <c r="P17" t="s">
        <v>15</v>
      </c>
      <c r="U17" t="s">
        <v>20</v>
      </c>
      <c r="W17" t="s">
        <v>22</v>
      </c>
      <c r="Y17" t="s">
        <v>56</v>
      </c>
      <c r="Z17">
        <v>4</v>
      </c>
      <c r="AA17">
        <v>5</v>
      </c>
      <c r="AB17">
        <v>6</v>
      </c>
      <c r="AC17">
        <v>6</v>
      </c>
      <c r="AD17">
        <v>6</v>
      </c>
      <c r="AE17">
        <v>6</v>
      </c>
      <c r="AG17" t="s">
        <v>25</v>
      </c>
      <c r="AL17" t="s">
        <v>30</v>
      </c>
      <c r="AM17" t="s">
        <v>31</v>
      </c>
      <c r="AO17" t="s">
        <v>33</v>
      </c>
      <c r="AQ17" t="s">
        <v>34</v>
      </c>
      <c r="AS17">
        <v>6</v>
      </c>
      <c r="AT17">
        <v>6</v>
      </c>
      <c r="AU17">
        <v>7</v>
      </c>
      <c r="AV17">
        <v>6</v>
      </c>
      <c r="AW17">
        <v>7</v>
      </c>
      <c r="AX17">
        <v>7</v>
      </c>
      <c r="AY17">
        <v>7</v>
      </c>
      <c r="BA17" t="s">
        <v>35</v>
      </c>
      <c r="BB17" t="s">
        <v>43</v>
      </c>
      <c r="BC17" t="s">
        <v>41</v>
      </c>
    </row>
    <row r="18" spans="1:55" x14ac:dyDescent="0.3">
      <c r="A18" t="s">
        <v>32</v>
      </c>
      <c r="B18" t="s">
        <v>8</v>
      </c>
      <c r="D18" t="s">
        <v>10</v>
      </c>
      <c r="E18" t="s">
        <v>11</v>
      </c>
      <c r="F18" t="s">
        <v>12</v>
      </c>
      <c r="I18">
        <v>3</v>
      </c>
      <c r="J18">
        <v>5</v>
      </c>
      <c r="K18">
        <v>2</v>
      </c>
      <c r="L18">
        <v>4</v>
      </c>
      <c r="M18">
        <v>5</v>
      </c>
      <c r="N18">
        <v>4</v>
      </c>
      <c r="Q18" t="s">
        <v>16</v>
      </c>
      <c r="T18" t="s">
        <v>19</v>
      </c>
      <c r="W18" t="s">
        <v>22</v>
      </c>
      <c r="Y18" t="s">
        <v>57</v>
      </c>
      <c r="Z18">
        <v>5</v>
      </c>
      <c r="AA18">
        <v>6</v>
      </c>
      <c r="AB18">
        <v>5</v>
      </c>
      <c r="AC18">
        <v>5</v>
      </c>
      <c r="AD18">
        <v>6</v>
      </c>
      <c r="AE18">
        <v>1</v>
      </c>
      <c r="AG18" t="s">
        <v>25</v>
      </c>
      <c r="AI18" t="s">
        <v>27</v>
      </c>
      <c r="AJ18" t="s">
        <v>28</v>
      </c>
      <c r="AK18" t="s">
        <v>29</v>
      </c>
      <c r="AL18" t="s">
        <v>30</v>
      </c>
      <c r="AM18" t="s">
        <v>31</v>
      </c>
      <c r="AO18" t="s">
        <v>33</v>
      </c>
      <c r="AQ18" t="s">
        <v>34</v>
      </c>
      <c r="AS18">
        <v>6</v>
      </c>
      <c r="AT18">
        <v>5</v>
      </c>
      <c r="AU18">
        <v>7</v>
      </c>
      <c r="AV18">
        <v>6</v>
      </c>
      <c r="AW18">
        <v>6</v>
      </c>
      <c r="AX18">
        <v>6</v>
      </c>
      <c r="AY18">
        <v>6</v>
      </c>
      <c r="AZ18" t="s">
        <v>58</v>
      </c>
      <c r="BA18" t="s">
        <v>35</v>
      </c>
      <c r="BB18" t="s">
        <v>40</v>
      </c>
      <c r="BC18" t="s">
        <v>41</v>
      </c>
    </row>
    <row r="19" spans="1:55" x14ac:dyDescent="0.3">
      <c r="A19" t="s">
        <v>47</v>
      </c>
      <c r="B19" t="s">
        <v>8</v>
      </c>
      <c r="E19" t="s">
        <v>11</v>
      </c>
      <c r="F19" t="s">
        <v>12</v>
      </c>
      <c r="H19" t="s">
        <v>59</v>
      </c>
      <c r="I19">
        <v>4</v>
      </c>
      <c r="J19">
        <v>4</v>
      </c>
      <c r="L19">
        <v>5</v>
      </c>
      <c r="M19">
        <v>5</v>
      </c>
      <c r="N19">
        <v>4</v>
      </c>
      <c r="O19" t="s">
        <v>14</v>
      </c>
      <c r="S19" t="s">
        <v>18</v>
      </c>
      <c r="U19" t="s">
        <v>20</v>
      </c>
      <c r="V19" t="s">
        <v>21</v>
      </c>
      <c r="Z19">
        <v>5</v>
      </c>
      <c r="AA19">
        <v>5</v>
      </c>
      <c r="AB19">
        <v>5</v>
      </c>
      <c r="AC19">
        <v>5</v>
      </c>
      <c r="AD19">
        <v>7</v>
      </c>
      <c r="AE19">
        <v>7</v>
      </c>
      <c r="AF19" t="s">
        <v>24</v>
      </c>
      <c r="AJ19" t="s">
        <v>28</v>
      </c>
      <c r="AL19" t="s">
        <v>30</v>
      </c>
      <c r="AO19" t="s">
        <v>54</v>
      </c>
      <c r="AQ19" t="s">
        <v>34</v>
      </c>
      <c r="AS19">
        <v>6</v>
      </c>
      <c r="AT19">
        <v>6</v>
      </c>
      <c r="AU19">
        <v>7</v>
      </c>
      <c r="AV19">
        <v>7</v>
      </c>
      <c r="AW19">
        <v>7</v>
      </c>
      <c r="AX19">
        <v>6</v>
      </c>
      <c r="AY19">
        <v>6</v>
      </c>
      <c r="BA19" t="s">
        <v>35</v>
      </c>
      <c r="BB19">
        <v>65</v>
      </c>
      <c r="BC19" t="s">
        <v>41</v>
      </c>
    </row>
    <row r="20" spans="1:55" x14ac:dyDescent="0.3">
      <c r="A20" t="s">
        <v>32</v>
      </c>
      <c r="E20" t="s">
        <v>11</v>
      </c>
      <c r="I20">
        <v>5</v>
      </c>
      <c r="J20">
        <v>5</v>
      </c>
      <c r="K20">
        <v>2</v>
      </c>
      <c r="L20">
        <v>5</v>
      </c>
      <c r="M20">
        <v>5</v>
      </c>
      <c r="N20">
        <v>5</v>
      </c>
      <c r="O20" t="s">
        <v>14</v>
      </c>
      <c r="P20" t="s">
        <v>15</v>
      </c>
      <c r="Q20" t="s">
        <v>16</v>
      </c>
      <c r="R20" t="s">
        <v>17</v>
      </c>
      <c r="S20" t="s">
        <v>18</v>
      </c>
      <c r="T20" t="s">
        <v>19</v>
      </c>
      <c r="U20" t="s">
        <v>20</v>
      </c>
      <c r="V20" t="s">
        <v>21</v>
      </c>
      <c r="W20" t="s">
        <v>22</v>
      </c>
      <c r="Z20">
        <v>7</v>
      </c>
      <c r="AA20">
        <v>7</v>
      </c>
      <c r="AB20">
        <v>7</v>
      </c>
      <c r="AC20">
        <v>7</v>
      </c>
      <c r="AD20">
        <v>7</v>
      </c>
      <c r="AJ20" t="s">
        <v>28</v>
      </c>
      <c r="AN20" t="s">
        <v>60</v>
      </c>
      <c r="AO20" t="s">
        <v>33</v>
      </c>
      <c r="AQ20" t="s">
        <v>34</v>
      </c>
      <c r="AT20">
        <v>6</v>
      </c>
      <c r="AU20">
        <v>7</v>
      </c>
      <c r="AV20">
        <v>7</v>
      </c>
      <c r="AW20">
        <v>6</v>
      </c>
      <c r="AX20">
        <v>6</v>
      </c>
      <c r="AY20">
        <v>6</v>
      </c>
      <c r="BA20" t="s">
        <v>35</v>
      </c>
      <c r="BB20" t="s">
        <v>43</v>
      </c>
      <c r="BC20" t="s">
        <v>41</v>
      </c>
    </row>
    <row r="21" spans="1:55" x14ac:dyDescent="0.3">
      <c r="A21" t="s">
        <v>47</v>
      </c>
      <c r="B21" t="s">
        <v>8</v>
      </c>
      <c r="C21" t="s">
        <v>9</v>
      </c>
      <c r="D21" t="s">
        <v>10</v>
      </c>
      <c r="E21" t="s">
        <v>11</v>
      </c>
      <c r="F21" t="s">
        <v>12</v>
      </c>
      <c r="I21">
        <v>5</v>
      </c>
      <c r="J21">
        <v>4</v>
      </c>
      <c r="K21">
        <v>3</v>
      </c>
      <c r="L21">
        <v>4</v>
      </c>
      <c r="M21">
        <v>3</v>
      </c>
      <c r="N21">
        <v>3</v>
      </c>
      <c r="O21" t="s">
        <v>14</v>
      </c>
      <c r="R21" t="s">
        <v>17</v>
      </c>
      <c r="V21" t="s">
        <v>21</v>
      </c>
      <c r="Y21" t="s">
        <v>61</v>
      </c>
      <c r="Z21">
        <v>5</v>
      </c>
      <c r="AA21">
        <v>6</v>
      </c>
      <c r="AB21">
        <v>6</v>
      </c>
      <c r="AC21">
        <v>5</v>
      </c>
      <c r="AD21">
        <v>6</v>
      </c>
      <c r="AE21">
        <v>7</v>
      </c>
      <c r="AK21" t="s">
        <v>29</v>
      </c>
      <c r="AM21" t="s">
        <v>31</v>
      </c>
      <c r="AO21" t="s">
        <v>42</v>
      </c>
      <c r="AQ21" t="s">
        <v>34</v>
      </c>
      <c r="AS21">
        <v>7</v>
      </c>
      <c r="AT21">
        <v>6</v>
      </c>
      <c r="AU21">
        <v>7</v>
      </c>
      <c r="AV21">
        <v>7</v>
      </c>
      <c r="AW21">
        <v>7</v>
      </c>
      <c r="AX21">
        <v>7</v>
      </c>
      <c r="AY21">
        <v>5</v>
      </c>
      <c r="AZ21" t="s">
        <v>62</v>
      </c>
      <c r="BA21" t="s">
        <v>35</v>
      </c>
      <c r="BB21" t="s">
        <v>40</v>
      </c>
      <c r="BC21" t="s">
        <v>41</v>
      </c>
    </row>
    <row r="22" spans="1:55" x14ac:dyDescent="0.3">
      <c r="A22" t="s">
        <v>47</v>
      </c>
      <c r="E22" t="s">
        <v>11</v>
      </c>
      <c r="I22">
        <v>5</v>
      </c>
      <c r="J22">
        <v>5</v>
      </c>
      <c r="K22">
        <v>1</v>
      </c>
      <c r="L22">
        <v>4</v>
      </c>
      <c r="M22">
        <v>5</v>
      </c>
      <c r="N22">
        <v>4</v>
      </c>
      <c r="O22" t="s">
        <v>14</v>
      </c>
      <c r="Q22" t="s">
        <v>16</v>
      </c>
      <c r="S22" t="s">
        <v>18</v>
      </c>
      <c r="U22" t="s">
        <v>20</v>
      </c>
      <c r="V22" t="s">
        <v>21</v>
      </c>
      <c r="Z22">
        <v>7</v>
      </c>
      <c r="AA22">
        <v>7</v>
      </c>
      <c r="AB22">
        <v>7</v>
      </c>
      <c r="AC22">
        <v>4</v>
      </c>
      <c r="AD22">
        <v>7</v>
      </c>
      <c r="AE22">
        <v>2</v>
      </c>
      <c r="AG22" t="s">
        <v>25</v>
      </c>
      <c r="AL22" t="s">
        <v>30</v>
      </c>
      <c r="AO22" t="s">
        <v>33</v>
      </c>
      <c r="AQ22" t="s">
        <v>39</v>
      </c>
      <c r="AS22" t="s">
        <v>50</v>
      </c>
      <c r="AT22">
        <v>6</v>
      </c>
      <c r="AU22">
        <v>7</v>
      </c>
      <c r="AV22">
        <v>6</v>
      </c>
      <c r="AW22">
        <v>6</v>
      </c>
      <c r="AX22">
        <v>7</v>
      </c>
      <c r="AY22">
        <v>5</v>
      </c>
      <c r="AZ22" t="s">
        <v>63</v>
      </c>
      <c r="BA22">
        <v>6</v>
      </c>
      <c r="BB22" t="s">
        <v>43</v>
      </c>
      <c r="BC22" t="s">
        <v>41</v>
      </c>
    </row>
    <row r="23" spans="1:55" x14ac:dyDescent="0.3">
      <c r="A23" t="s">
        <v>44</v>
      </c>
      <c r="E23" t="s">
        <v>11</v>
      </c>
      <c r="I23">
        <v>5</v>
      </c>
      <c r="J23">
        <v>5</v>
      </c>
      <c r="K23">
        <v>2</v>
      </c>
      <c r="L23">
        <v>2</v>
      </c>
      <c r="M23">
        <v>3</v>
      </c>
      <c r="N23">
        <v>3</v>
      </c>
      <c r="S23" t="s">
        <v>18</v>
      </c>
      <c r="T23" t="s">
        <v>19</v>
      </c>
      <c r="U23" t="s">
        <v>20</v>
      </c>
      <c r="V23" t="s">
        <v>21</v>
      </c>
      <c r="W23" t="s">
        <v>22</v>
      </c>
      <c r="Z23">
        <v>5</v>
      </c>
      <c r="AA23">
        <v>7</v>
      </c>
      <c r="AB23">
        <v>6</v>
      </c>
      <c r="AC23">
        <v>5</v>
      </c>
      <c r="AD23">
        <v>6</v>
      </c>
      <c r="AE23">
        <v>6</v>
      </c>
      <c r="AJ23" t="s">
        <v>28</v>
      </c>
      <c r="AL23" t="s">
        <v>30</v>
      </c>
      <c r="AM23" t="s">
        <v>31</v>
      </c>
      <c r="AO23" t="s">
        <v>42</v>
      </c>
      <c r="AQ23" t="s">
        <v>34</v>
      </c>
      <c r="AS23">
        <v>7</v>
      </c>
      <c r="AT23">
        <v>6</v>
      </c>
      <c r="AU23">
        <v>7</v>
      </c>
      <c r="AV23">
        <v>6</v>
      </c>
      <c r="AW23">
        <v>6</v>
      </c>
      <c r="AX23">
        <v>6</v>
      </c>
      <c r="AY23">
        <v>6</v>
      </c>
      <c r="BA23" t="s">
        <v>35</v>
      </c>
      <c r="BB23" t="s">
        <v>36</v>
      </c>
      <c r="BC23" t="s">
        <v>41</v>
      </c>
    </row>
    <row r="24" spans="1:55" x14ac:dyDescent="0.3">
      <c r="A24" t="s">
        <v>32</v>
      </c>
      <c r="B24" t="s">
        <v>8</v>
      </c>
      <c r="C24" t="s">
        <v>9</v>
      </c>
      <c r="D24" t="s">
        <v>10</v>
      </c>
      <c r="E24" t="s">
        <v>11</v>
      </c>
      <c r="I24">
        <v>5</v>
      </c>
      <c r="J24">
        <v>3</v>
      </c>
      <c r="K24">
        <v>1</v>
      </c>
      <c r="L24">
        <v>4</v>
      </c>
      <c r="M24">
        <v>4</v>
      </c>
      <c r="N24">
        <v>3</v>
      </c>
      <c r="P24" t="s">
        <v>15</v>
      </c>
      <c r="R24" t="s">
        <v>17</v>
      </c>
      <c r="T24" t="s">
        <v>19</v>
      </c>
      <c r="U24" t="s">
        <v>20</v>
      </c>
      <c r="W24" t="s">
        <v>22</v>
      </c>
      <c r="Y24" t="s">
        <v>64</v>
      </c>
      <c r="Z24">
        <v>5</v>
      </c>
      <c r="AA24">
        <v>7</v>
      </c>
      <c r="AB24">
        <v>7</v>
      </c>
      <c r="AC24">
        <v>6</v>
      </c>
      <c r="AD24">
        <v>5</v>
      </c>
      <c r="AE24">
        <v>6</v>
      </c>
      <c r="AH24" t="s">
        <v>26</v>
      </c>
      <c r="AJ24" t="s">
        <v>28</v>
      </c>
      <c r="AL24" t="s">
        <v>30</v>
      </c>
      <c r="AM24" t="s">
        <v>31</v>
      </c>
      <c r="AN24" t="s">
        <v>65</v>
      </c>
      <c r="AO24" t="s">
        <v>42</v>
      </c>
      <c r="AQ24" t="s">
        <v>49</v>
      </c>
      <c r="AS24">
        <v>7</v>
      </c>
      <c r="AT24">
        <v>7</v>
      </c>
      <c r="AU24">
        <v>7</v>
      </c>
      <c r="AV24">
        <v>7</v>
      </c>
      <c r="AW24">
        <v>7</v>
      </c>
      <c r="AX24">
        <v>6</v>
      </c>
      <c r="AY24">
        <v>4</v>
      </c>
      <c r="BA24" t="s">
        <v>35</v>
      </c>
      <c r="BB24" t="s">
        <v>36</v>
      </c>
      <c r="BC24" t="s">
        <v>37</v>
      </c>
    </row>
    <row r="25" spans="1:55" x14ac:dyDescent="0.3">
      <c r="A25" t="s">
        <v>32</v>
      </c>
      <c r="B25" t="s">
        <v>8</v>
      </c>
      <c r="D25" t="s">
        <v>10</v>
      </c>
      <c r="E25" t="s">
        <v>11</v>
      </c>
      <c r="I25">
        <v>3</v>
      </c>
      <c r="J25">
        <v>2</v>
      </c>
      <c r="K25">
        <v>2</v>
      </c>
      <c r="L25">
        <v>4</v>
      </c>
      <c r="M25">
        <v>5</v>
      </c>
      <c r="N25">
        <v>4</v>
      </c>
      <c r="P25" t="s">
        <v>15</v>
      </c>
      <c r="Q25" t="s">
        <v>16</v>
      </c>
      <c r="S25" t="s">
        <v>18</v>
      </c>
      <c r="U25" t="s">
        <v>20</v>
      </c>
      <c r="Z25">
        <v>7</v>
      </c>
      <c r="AA25">
        <v>6</v>
      </c>
      <c r="AB25">
        <v>7</v>
      </c>
      <c r="AC25">
        <v>6</v>
      </c>
      <c r="AD25">
        <v>6</v>
      </c>
      <c r="AE25">
        <v>6</v>
      </c>
      <c r="AJ25" t="s">
        <v>28</v>
      </c>
      <c r="AL25" t="s">
        <v>30</v>
      </c>
      <c r="AM25" t="s">
        <v>31</v>
      </c>
      <c r="AO25" t="s">
        <v>33</v>
      </c>
      <c r="AQ25" t="s">
        <v>34</v>
      </c>
      <c r="AS25">
        <v>6</v>
      </c>
      <c r="AT25">
        <v>6</v>
      </c>
      <c r="AU25">
        <v>6</v>
      </c>
      <c r="AV25">
        <v>7</v>
      </c>
      <c r="AW25">
        <v>7</v>
      </c>
      <c r="AX25">
        <v>6</v>
      </c>
      <c r="AY25">
        <v>6</v>
      </c>
      <c r="BA25" t="s">
        <v>35</v>
      </c>
      <c r="BB25" t="s">
        <v>36</v>
      </c>
      <c r="BC25" t="s">
        <v>37</v>
      </c>
    </row>
    <row r="26" spans="1:55" x14ac:dyDescent="0.3">
      <c r="A26" t="s">
        <v>44</v>
      </c>
      <c r="B26" t="s">
        <v>8</v>
      </c>
      <c r="D26" t="s">
        <v>10</v>
      </c>
      <c r="E26" t="s">
        <v>11</v>
      </c>
      <c r="F26" t="s">
        <v>12</v>
      </c>
      <c r="I26">
        <v>5</v>
      </c>
      <c r="J26">
        <v>5</v>
      </c>
      <c r="K26">
        <v>4</v>
      </c>
      <c r="L26">
        <v>3</v>
      </c>
      <c r="M26">
        <v>4</v>
      </c>
      <c r="N26">
        <v>3</v>
      </c>
      <c r="O26" t="s">
        <v>14</v>
      </c>
      <c r="P26" t="s">
        <v>15</v>
      </c>
      <c r="R26" t="s">
        <v>17</v>
      </c>
      <c r="T26" t="s">
        <v>19</v>
      </c>
      <c r="U26" t="s">
        <v>20</v>
      </c>
      <c r="V26" t="s">
        <v>21</v>
      </c>
      <c r="W26" t="s">
        <v>22</v>
      </c>
      <c r="Z26">
        <v>5</v>
      </c>
      <c r="AA26">
        <v>7</v>
      </c>
      <c r="AB26">
        <v>7</v>
      </c>
      <c r="AC26">
        <v>5</v>
      </c>
      <c r="AD26">
        <v>7</v>
      </c>
      <c r="AE26">
        <v>6</v>
      </c>
      <c r="AH26" t="s">
        <v>26</v>
      </c>
      <c r="AJ26" t="s">
        <v>28</v>
      </c>
      <c r="AK26" t="s">
        <v>29</v>
      </c>
      <c r="AL26" t="s">
        <v>30</v>
      </c>
      <c r="AM26" t="s">
        <v>31</v>
      </c>
      <c r="AO26" t="s">
        <v>54</v>
      </c>
      <c r="AQ26" t="s">
        <v>34</v>
      </c>
      <c r="AS26">
        <v>7</v>
      </c>
      <c r="AT26">
        <v>6</v>
      </c>
      <c r="AU26">
        <v>7</v>
      </c>
      <c r="AV26">
        <v>6</v>
      </c>
      <c r="AW26">
        <v>6</v>
      </c>
      <c r="AX26">
        <v>6</v>
      </c>
      <c r="AY26">
        <v>5</v>
      </c>
      <c r="BA26" t="s">
        <v>35</v>
      </c>
      <c r="BB26" t="s">
        <v>36</v>
      </c>
      <c r="BC26" t="s">
        <v>41</v>
      </c>
    </row>
    <row r="27" spans="1:55" x14ac:dyDescent="0.3">
      <c r="A27" t="s">
        <v>47</v>
      </c>
      <c r="E27" t="s">
        <v>11</v>
      </c>
      <c r="I27">
        <v>3</v>
      </c>
      <c r="J27">
        <v>4</v>
      </c>
      <c r="K27">
        <v>1</v>
      </c>
      <c r="L27">
        <v>4</v>
      </c>
      <c r="M27">
        <v>4</v>
      </c>
      <c r="N27">
        <v>4</v>
      </c>
      <c r="T27" t="s">
        <v>19</v>
      </c>
      <c r="U27" t="s">
        <v>20</v>
      </c>
      <c r="V27" t="s">
        <v>21</v>
      </c>
      <c r="Z27">
        <v>7</v>
      </c>
      <c r="AA27">
        <v>6</v>
      </c>
      <c r="AB27">
        <v>7</v>
      </c>
      <c r="AC27">
        <v>7</v>
      </c>
      <c r="AD27">
        <v>6</v>
      </c>
      <c r="AE27">
        <v>6</v>
      </c>
      <c r="AF27" t="s">
        <v>24</v>
      </c>
      <c r="AM27" t="s">
        <v>31</v>
      </c>
      <c r="AO27" t="s">
        <v>33</v>
      </c>
      <c r="AQ27" t="s">
        <v>49</v>
      </c>
      <c r="AS27" t="s">
        <v>50</v>
      </c>
      <c r="AT27">
        <v>6</v>
      </c>
      <c r="AU27" t="s">
        <v>50</v>
      </c>
      <c r="AV27">
        <v>7</v>
      </c>
      <c r="AW27" t="s">
        <v>50</v>
      </c>
      <c r="AX27" t="s">
        <v>50</v>
      </c>
      <c r="AY27">
        <v>6</v>
      </c>
      <c r="AZ27" t="s">
        <v>66</v>
      </c>
      <c r="BA27" t="s">
        <v>35</v>
      </c>
      <c r="BB27">
        <v>65</v>
      </c>
      <c r="BC27" t="s">
        <v>41</v>
      </c>
    </row>
    <row r="28" spans="1:55" x14ac:dyDescent="0.3">
      <c r="A28" t="s">
        <v>67</v>
      </c>
      <c r="E28" t="s">
        <v>11</v>
      </c>
      <c r="I28">
        <v>4</v>
      </c>
      <c r="J28">
        <v>4</v>
      </c>
      <c r="M28">
        <v>4</v>
      </c>
      <c r="N28">
        <v>4</v>
      </c>
      <c r="R28" t="s">
        <v>17</v>
      </c>
      <c r="U28" t="s">
        <v>20</v>
      </c>
      <c r="W28" t="s">
        <v>22</v>
      </c>
      <c r="Z28">
        <v>5</v>
      </c>
      <c r="AA28">
        <v>6</v>
      </c>
      <c r="AB28">
        <v>7</v>
      </c>
      <c r="AC28">
        <v>7</v>
      </c>
      <c r="AD28">
        <v>6</v>
      </c>
      <c r="AE28">
        <v>7</v>
      </c>
      <c r="AH28" t="s">
        <v>26</v>
      </c>
      <c r="AI28" t="s">
        <v>27</v>
      </c>
      <c r="AJ28" t="s">
        <v>28</v>
      </c>
      <c r="AK28" t="s">
        <v>29</v>
      </c>
      <c r="AO28" t="s">
        <v>33</v>
      </c>
      <c r="AQ28" t="s">
        <v>39</v>
      </c>
      <c r="AS28">
        <v>6</v>
      </c>
      <c r="AT28">
        <v>4</v>
      </c>
      <c r="AU28">
        <v>6</v>
      </c>
      <c r="AV28">
        <v>6</v>
      </c>
      <c r="AW28">
        <v>5</v>
      </c>
      <c r="AX28">
        <v>6</v>
      </c>
      <c r="AY28">
        <v>5</v>
      </c>
      <c r="BA28">
        <v>5</v>
      </c>
      <c r="BB28" t="s">
        <v>40</v>
      </c>
      <c r="BC28" t="s">
        <v>41</v>
      </c>
    </row>
    <row r="29" spans="1:55" x14ac:dyDescent="0.3">
      <c r="A29" t="s">
        <v>44</v>
      </c>
      <c r="B29" t="s">
        <v>8</v>
      </c>
      <c r="C29" t="s">
        <v>9</v>
      </c>
      <c r="D29" t="s">
        <v>10</v>
      </c>
      <c r="E29" t="s">
        <v>11</v>
      </c>
      <c r="I29">
        <v>5</v>
      </c>
      <c r="J29">
        <v>5</v>
      </c>
      <c r="K29">
        <v>4</v>
      </c>
      <c r="L29">
        <v>5</v>
      </c>
      <c r="M29">
        <v>5</v>
      </c>
      <c r="N29">
        <v>4</v>
      </c>
      <c r="S29" t="s">
        <v>18</v>
      </c>
      <c r="T29" t="s">
        <v>19</v>
      </c>
      <c r="U29" t="s">
        <v>20</v>
      </c>
      <c r="V29" t="s">
        <v>21</v>
      </c>
      <c r="W29" t="s">
        <v>22</v>
      </c>
      <c r="Z29">
        <v>4</v>
      </c>
      <c r="AA29">
        <v>5</v>
      </c>
      <c r="AB29">
        <v>6</v>
      </c>
      <c r="AC29">
        <v>5</v>
      </c>
      <c r="AD29">
        <v>5</v>
      </c>
      <c r="AE29">
        <v>3</v>
      </c>
      <c r="AH29" t="s">
        <v>26</v>
      </c>
      <c r="AJ29" t="s">
        <v>28</v>
      </c>
      <c r="AM29" t="s">
        <v>31</v>
      </c>
      <c r="AO29" t="s">
        <v>33</v>
      </c>
      <c r="AQ29" t="s">
        <v>49</v>
      </c>
      <c r="AS29">
        <v>5</v>
      </c>
      <c r="AT29">
        <v>6</v>
      </c>
      <c r="AU29">
        <v>7</v>
      </c>
      <c r="AV29">
        <v>7</v>
      </c>
      <c r="AW29">
        <v>7</v>
      </c>
      <c r="AX29">
        <v>7</v>
      </c>
      <c r="AY29">
        <v>5</v>
      </c>
      <c r="BA29" t="s">
        <v>35</v>
      </c>
      <c r="BB29" t="s">
        <v>36</v>
      </c>
      <c r="BC29" t="s">
        <v>37</v>
      </c>
    </row>
    <row r="30" spans="1:55" x14ac:dyDescent="0.3">
      <c r="A30" t="s">
        <v>47</v>
      </c>
      <c r="B30" t="s">
        <v>8</v>
      </c>
      <c r="I30">
        <v>5</v>
      </c>
      <c r="J30">
        <v>5</v>
      </c>
      <c r="K30">
        <v>5</v>
      </c>
      <c r="L30">
        <v>4</v>
      </c>
      <c r="M30">
        <v>5</v>
      </c>
      <c r="N30">
        <v>5</v>
      </c>
      <c r="O30" t="s">
        <v>14</v>
      </c>
      <c r="P30" t="s">
        <v>15</v>
      </c>
      <c r="Q30" t="s">
        <v>16</v>
      </c>
      <c r="R30" t="s">
        <v>17</v>
      </c>
      <c r="S30" t="s">
        <v>18</v>
      </c>
      <c r="T30" t="s">
        <v>19</v>
      </c>
      <c r="U30" t="s">
        <v>20</v>
      </c>
      <c r="V30" t="s">
        <v>21</v>
      </c>
      <c r="W30" t="s">
        <v>22</v>
      </c>
      <c r="Z30">
        <v>5</v>
      </c>
      <c r="AA30">
        <v>6</v>
      </c>
      <c r="AB30">
        <v>7</v>
      </c>
      <c r="AC30">
        <v>6</v>
      </c>
      <c r="AD30">
        <v>7</v>
      </c>
      <c r="AE30">
        <v>6</v>
      </c>
      <c r="AL30" t="s">
        <v>30</v>
      </c>
      <c r="AO30" t="s">
        <v>42</v>
      </c>
      <c r="AQ30" t="s">
        <v>39</v>
      </c>
      <c r="AS30">
        <v>7</v>
      </c>
      <c r="AT30">
        <v>7</v>
      </c>
      <c r="AU30">
        <v>7</v>
      </c>
      <c r="AV30">
        <v>7</v>
      </c>
      <c r="AW30">
        <v>7</v>
      </c>
      <c r="AX30">
        <v>7</v>
      </c>
      <c r="AY30">
        <v>7</v>
      </c>
      <c r="BA30" t="s">
        <v>35</v>
      </c>
      <c r="BB30" t="s">
        <v>40</v>
      </c>
      <c r="BC30" t="s">
        <v>41</v>
      </c>
    </row>
    <row r="31" spans="1:55" x14ac:dyDescent="0.3">
      <c r="A31" t="s">
        <v>47</v>
      </c>
      <c r="E31" t="s">
        <v>11</v>
      </c>
      <c r="I31">
        <v>5</v>
      </c>
      <c r="J31">
        <v>5</v>
      </c>
      <c r="K31">
        <v>1</v>
      </c>
      <c r="L31">
        <v>4</v>
      </c>
      <c r="M31">
        <v>4</v>
      </c>
      <c r="N31">
        <v>3</v>
      </c>
      <c r="T31" t="s">
        <v>19</v>
      </c>
      <c r="U31" t="s">
        <v>20</v>
      </c>
      <c r="Z31">
        <v>7</v>
      </c>
      <c r="AA31">
        <v>7</v>
      </c>
      <c r="AB31">
        <v>7</v>
      </c>
      <c r="AC31">
        <v>7</v>
      </c>
      <c r="AD31">
        <v>7</v>
      </c>
      <c r="AE31">
        <v>5</v>
      </c>
      <c r="AL31" t="s">
        <v>30</v>
      </c>
      <c r="AM31" t="s">
        <v>31</v>
      </c>
      <c r="AO31" t="s">
        <v>33</v>
      </c>
      <c r="AQ31" t="s">
        <v>34</v>
      </c>
      <c r="AS31">
        <v>7</v>
      </c>
      <c r="AT31">
        <v>6</v>
      </c>
      <c r="AU31">
        <v>7</v>
      </c>
      <c r="AV31">
        <v>6</v>
      </c>
      <c r="AW31">
        <v>7</v>
      </c>
      <c r="AX31">
        <v>7</v>
      </c>
      <c r="AY31">
        <v>6</v>
      </c>
      <c r="AZ31" t="s">
        <v>68</v>
      </c>
      <c r="BA31" t="s">
        <v>35</v>
      </c>
      <c r="BB31" t="s">
        <v>36</v>
      </c>
      <c r="BC31" t="s">
        <v>41</v>
      </c>
    </row>
    <row r="32" spans="1:55" x14ac:dyDescent="0.3">
      <c r="A32" t="s">
        <v>32</v>
      </c>
      <c r="E32" t="s">
        <v>11</v>
      </c>
      <c r="F32" t="s">
        <v>12</v>
      </c>
      <c r="H32" t="s">
        <v>69</v>
      </c>
      <c r="I32">
        <v>3</v>
      </c>
      <c r="J32">
        <v>5</v>
      </c>
      <c r="K32">
        <v>2</v>
      </c>
      <c r="L32">
        <v>2</v>
      </c>
      <c r="M32">
        <v>4</v>
      </c>
      <c r="N32">
        <v>4</v>
      </c>
      <c r="O32" t="s">
        <v>14</v>
      </c>
      <c r="T32" t="s">
        <v>19</v>
      </c>
      <c r="V32" t="s">
        <v>21</v>
      </c>
      <c r="Z32">
        <v>5</v>
      </c>
      <c r="AA32">
        <v>4</v>
      </c>
      <c r="AB32">
        <v>6</v>
      </c>
      <c r="AC32">
        <v>6</v>
      </c>
      <c r="AD32">
        <v>6</v>
      </c>
      <c r="AE32">
        <v>7</v>
      </c>
      <c r="AJ32" t="s">
        <v>28</v>
      </c>
      <c r="AK32" t="s">
        <v>29</v>
      </c>
      <c r="AM32" t="s">
        <v>31</v>
      </c>
      <c r="AO32" t="s">
        <v>54</v>
      </c>
      <c r="AQ32" t="s">
        <v>34</v>
      </c>
      <c r="AS32">
        <v>7</v>
      </c>
      <c r="AT32" t="s">
        <v>50</v>
      </c>
      <c r="AU32">
        <v>7</v>
      </c>
      <c r="AV32">
        <v>7</v>
      </c>
      <c r="AW32">
        <v>7</v>
      </c>
      <c r="AX32">
        <v>7</v>
      </c>
      <c r="AY32">
        <v>7</v>
      </c>
      <c r="BA32" t="s">
        <v>35</v>
      </c>
      <c r="BB32" t="s">
        <v>40</v>
      </c>
      <c r="BC32" t="s">
        <v>41</v>
      </c>
    </row>
    <row r="33" spans="1:55" x14ac:dyDescent="0.3">
      <c r="A33" t="s">
        <v>32</v>
      </c>
      <c r="E33" t="s">
        <v>11</v>
      </c>
      <c r="I33">
        <v>5</v>
      </c>
      <c r="J33">
        <v>5</v>
      </c>
      <c r="K33">
        <v>5</v>
      </c>
      <c r="L33">
        <v>5</v>
      </c>
      <c r="M33">
        <v>5</v>
      </c>
      <c r="N33">
        <v>4</v>
      </c>
      <c r="P33" t="s">
        <v>15</v>
      </c>
      <c r="R33" t="s">
        <v>17</v>
      </c>
      <c r="T33" t="s">
        <v>19</v>
      </c>
      <c r="U33" t="s">
        <v>20</v>
      </c>
      <c r="Z33">
        <v>7</v>
      </c>
      <c r="AA33">
        <v>7</v>
      </c>
      <c r="AB33">
        <v>7</v>
      </c>
      <c r="AC33">
        <v>7</v>
      </c>
      <c r="AD33">
        <v>7</v>
      </c>
      <c r="AE33">
        <v>7</v>
      </c>
      <c r="AG33" t="s">
        <v>25</v>
      </c>
      <c r="AH33" t="s">
        <v>26</v>
      </c>
      <c r="AO33" t="s">
        <v>33</v>
      </c>
      <c r="AQ33" t="s">
        <v>34</v>
      </c>
      <c r="AS33">
        <v>7</v>
      </c>
      <c r="AT33">
        <v>7</v>
      </c>
      <c r="AU33">
        <v>7</v>
      </c>
      <c r="AV33">
        <v>7</v>
      </c>
      <c r="AW33">
        <f>7-0.252+0.252</f>
        <v>7</v>
      </c>
      <c r="AX33">
        <v>7</v>
      </c>
      <c r="AY33">
        <v>3</v>
      </c>
      <c r="BA33">
        <v>6</v>
      </c>
      <c r="BB33" t="s">
        <v>36</v>
      </c>
      <c r="BC33" t="s">
        <v>41</v>
      </c>
    </row>
    <row r="34" spans="1:55" x14ac:dyDescent="0.3">
      <c r="A34" t="s">
        <v>32</v>
      </c>
      <c r="E34" t="s">
        <v>11</v>
      </c>
      <c r="I34">
        <v>5</v>
      </c>
      <c r="J34">
        <v>5</v>
      </c>
      <c r="K34">
        <v>1</v>
      </c>
      <c r="L34">
        <v>2</v>
      </c>
      <c r="M34">
        <v>3</v>
      </c>
      <c r="N34">
        <v>3</v>
      </c>
      <c r="P34" t="s">
        <v>15</v>
      </c>
      <c r="T34" t="s">
        <v>19</v>
      </c>
      <c r="Y34" t="s">
        <v>70</v>
      </c>
      <c r="Z34">
        <v>7</v>
      </c>
      <c r="AA34">
        <v>6</v>
      </c>
      <c r="AB34">
        <v>7</v>
      </c>
      <c r="AC34">
        <v>6</v>
      </c>
      <c r="AD34">
        <v>6</v>
      </c>
      <c r="AE34">
        <v>1</v>
      </c>
      <c r="AH34" t="s">
        <v>26</v>
      </c>
      <c r="AM34" t="s">
        <v>31</v>
      </c>
      <c r="AN34" t="s">
        <v>71</v>
      </c>
      <c r="AO34" t="s">
        <v>33</v>
      </c>
      <c r="AQ34" t="s">
        <v>34</v>
      </c>
      <c r="AS34">
        <v>5</v>
      </c>
      <c r="AT34">
        <v>3</v>
      </c>
      <c r="AU34">
        <v>4</v>
      </c>
      <c r="AV34">
        <v>3</v>
      </c>
      <c r="AW34">
        <v>6</v>
      </c>
      <c r="AX34">
        <v>6</v>
      </c>
      <c r="AY34">
        <v>6</v>
      </c>
      <c r="AZ34" t="s">
        <v>72</v>
      </c>
      <c r="BA34">
        <v>5</v>
      </c>
      <c r="BB34" t="s">
        <v>36</v>
      </c>
      <c r="BC34" t="s">
        <v>41</v>
      </c>
    </row>
    <row r="35" spans="1:55" x14ac:dyDescent="0.3">
      <c r="A35" t="s">
        <v>44</v>
      </c>
      <c r="D35" t="s">
        <v>10</v>
      </c>
      <c r="E35" t="s">
        <v>11</v>
      </c>
      <c r="F35" t="s">
        <v>12</v>
      </c>
      <c r="I35">
        <v>4</v>
      </c>
      <c r="J35">
        <v>5</v>
      </c>
      <c r="K35">
        <v>1</v>
      </c>
      <c r="L35">
        <v>4</v>
      </c>
      <c r="M35">
        <v>5</v>
      </c>
      <c r="N35">
        <v>3</v>
      </c>
      <c r="X35" t="s">
        <v>23</v>
      </c>
      <c r="Z35">
        <v>3</v>
      </c>
      <c r="AA35">
        <v>5</v>
      </c>
      <c r="AB35">
        <v>5</v>
      </c>
      <c r="AC35">
        <v>5</v>
      </c>
      <c r="AD35">
        <v>5</v>
      </c>
      <c r="AE35">
        <v>5</v>
      </c>
      <c r="AG35" t="s">
        <v>25</v>
      </c>
      <c r="AO35" t="s">
        <v>33</v>
      </c>
      <c r="AQ35" t="s">
        <v>34</v>
      </c>
      <c r="AS35">
        <v>6</v>
      </c>
      <c r="AT35">
        <v>5</v>
      </c>
      <c r="AU35">
        <v>5</v>
      </c>
      <c r="AV35">
        <v>5</v>
      </c>
      <c r="AW35">
        <v>6</v>
      </c>
      <c r="AX35">
        <v>6</v>
      </c>
      <c r="AY35">
        <v>5</v>
      </c>
      <c r="BA35">
        <v>5</v>
      </c>
      <c r="BB35" t="s">
        <v>43</v>
      </c>
      <c r="BC35" t="s">
        <v>37</v>
      </c>
    </row>
    <row r="36" spans="1:55" x14ac:dyDescent="0.3">
      <c r="A36" t="s">
        <v>67</v>
      </c>
      <c r="D36" t="s">
        <v>10</v>
      </c>
      <c r="E36" t="s">
        <v>11</v>
      </c>
      <c r="I36">
        <v>5</v>
      </c>
      <c r="J36">
        <v>5</v>
      </c>
      <c r="K36">
        <v>3</v>
      </c>
      <c r="L36">
        <v>3</v>
      </c>
      <c r="M36">
        <v>5</v>
      </c>
      <c r="N36">
        <v>4</v>
      </c>
      <c r="T36" t="s">
        <v>19</v>
      </c>
      <c r="U36" t="s">
        <v>20</v>
      </c>
      <c r="Y36" t="s">
        <v>73</v>
      </c>
      <c r="Z36">
        <v>4</v>
      </c>
      <c r="AA36">
        <v>7</v>
      </c>
      <c r="AB36">
        <v>5</v>
      </c>
      <c r="AC36">
        <v>7</v>
      </c>
      <c r="AD36">
        <v>6</v>
      </c>
      <c r="AE36">
        <v>4</v>
      </c>
      <c r="AG36" t="s">
        <v>25</v>
      </c>
      <c r="AL36" t="s">
        <v>30</v>
      </c>
      <c r="AO36" t="s">
        <v>42</v>
      </c>
      <c r="AQ36" t="s">
        <v>34</v>
      </c>
      <c r="AS36">
        <v>6</v>
      </c>
      <c r="AT36">
        <v>6</v>
      </c>
      <c r="AU36">
        <v>6</v>
      </c>
      <c r="AV36">
        <v>6</v>
      </c>
      <c r="AW36">
        <v>6</v>
      </c>
      <c r="AX36">
        <v>6</v>
      </c>
      <c r="AY36">
        <v>6</v>
      </c>
      <c r="BA36" t="s">
        <v>35</v>
      </c>
      <c r="BB36" t="s">
        <v>43</v>
      </c>
      <c r="BC36" t="s">
        <v>41</v>
      </c>
    </row>
    <row r="37" spans="1:55" x14ac:dyDescent="0.3">
      <c r="A37" t="s">
        <v>47</v>
      </c>
      <c r="B37" t="s">
        <v>8</v>
      </c>
      <c r="D37" t="s">
        <v>10</v>
      </c>
      <c r="E37" t="s">
        <v>11</v>
      </c>
      <c r="I37">
        <v>5</v>
      </c>
      <c r="J37">
        <v>5</v>
      </c>
      <c r="K37">
        <v>4</v>
      </c>
      <c r="L37">
        <v>3</v>
      </c>
      <c r="M37">
        <v>5</v>
      </c>
      <c r="N37">
        <v>3</v>
      </c>
      <c r="T37" t="s">
        <v>19</v>
      </c>
      <c r="Y37" t="s">
        <v>74</v>
      </c>
      <c r="Z37">
        <v>6</v>
      </c>
      <c r="AA37">
        <v>7</v>
      </c>
      <c r="AB37">
        <v>7</v>
      </c>
      <c r="AC37">
        <v>7</v>
      </c>
      <c r="AD37">
        <v>7</v>
      </c>
      <c r="AE37">
        <v>1</v>
      </c>
      <c r="AJ37" t="s">
        <v>28</v>
      </c>
      <c r="AK37" t="s">
        <v>29</v>
      </c>
      <c r="AL37" t="s">
        <v>30</v>
      </c>
      <c r="AM37" t="s">
        <v>31</v>
      </c>
      <c r="AO37" t="s">
        <v>42</v>
      </c>
      <c r="AQ37" t="s">
        <v>34</v>
      </c>
      <c r="AS37">
        <v>6</v>
      </c>
      <c r="AT37">
        <v>5</v>
      </c>
      <c r="AU37">
        <v>6</v>
      </c>
      <c r="AV37">
        <v>6</v>
      </c>
      <c r="AW37">
        <v>6</v>
      </c>
      <c r="AX37">
        <v>7</v>
      </c>
      <c r="AY37">
        <v>5</v>
      </c>
      <c r="BA37" t="s">
        <v>35</v>
      </c>
      <c r="BB37" t="s">
        <v>43</v>
      </c>
      <c r="BC37" t="s">
        <v>41</v>
      </c>
    </row>
    <row r="38" spans="1:55" x14ac:dyDescent="0.3">
      <c r="A38" t="s">
        <v>47</v>
      </c>
      <c r="D38" t="s">
        <v>10</v>
      </c>
      <c r="I38">
        <v>1</v>
      </c>
      <c r="J38">
        <v>2</v>
      </c>
      <c r="K38">
        <v>2</v>
      </c>
      <c r="L38">
        <v>4</v>
      </c>
      <c r="M38">
        <v>4</v>
      </c>
      <c r="N38">
        <v>4</v>
      </c>
      <c r="X38" t="s">
        <v>23</v>
      </c>
      <c r="Y38" t="s">
        <v>75</v>
      </c>
      <c r="Z38">
        <v>4</v>
      </c>
      <c r="AA38">
        <v>5</v>
      </c>
      <c r="AB38">
        <v>7</v>
      </c>
      <c r="AC38">
        <v>5</v>
      </c>
      <c r="AD38">
        <v>5</v>
      </c>
      <c r="AE38">
        <v>2</v>
      </c>
      <c r="AI38" t="s">
        <v>27</v>
      </c>
      <c r="AO38" t="s">
        <v>42</v>
      </c>
      <c r="AQ38" t="s">
        <v>39</v>
      </c>
      <c r="AS38">
        <v>5</v>
      </c>
      <c r="AT38">
        <v>7</v>
      </c>
      <c r="AU38">
        <v>7</v>
      </c>
      <c r="AV38">
        <v>7</v>
      </c>
      <c r="AW38">
        <v>7</v>
      </c>
      <c r="AX38">
        <v>6</v>
      </c>
      <c r="AY38">
        <v>5</v>
      </c>
      <c r="BA38">
        <v>5</v>
      </c>
      <c r="BB38" t="s">
        <v>43</v>
      </c>
      <c r="BC38" t="s">
        <v>37</v>
      </c>
    </row>
    <row r="39" spans="1:55" x14ac:dyDescent="0.3">
      <c r="A39" t="s">
        <v>47</v>
      </c>
      <c r="B39" t="s">
        <v>8</v>
      </c>
      <c r="D39" t="s">
        <v>10</v>
      </c>
      <c r="F39" t="s">
        <v>12</v>
      </c>
      <c r="I39">
        <v>5</v>
      </c>
      <c r="J39">
        <v>5</v>
      </c>
      <c r="K39">
        <v>1</v>
      </c>
      <c r="L39">
        <v>2</v>
      </c>
      <c r="M39">
        <v>3</v>
      </c>
      <c r="N39">
        <v>3</v>
      </c>
      <c r="T39" t="s">
        <v>19</v>
      </c>
      <c r="V39" t="s">
        <v>21</v>
      </c>
      <c r="Z39">
        <v>6</v>
      </c>
      <c r="AA39">
        <v>6</v>
      </c>
      <c r="AB39">
        <v>6</v>
      </c>
      <c r="AC39">
        <v>6</v>
      </c>
      <c r="AD39">
        <v>7</v>
      </c>
      <c r="AE39">
        <v>7</v>
      </c>
      <c r="AJ39" t="s">
        <v>28</v>
      </c>
      <c r="AK39" t="s">
        <v>29</v>
      </c>
      <c r="AL39" t="s">
        <v>30</v>
      </c>
      <c r="AM39" t="s">
        <v>31</v>
      </c>
      <c r="AO39" t="s">
        <v>42</v>
      </c>
      <c r="AQ39" t="s">
        <v>39</v>
      </c>
      <c r="AS39">
        <v>7</v>
      </c>
      <c r="AT39">
        <v>7</v>
      </c>
      <c r="AU39">
        <v>7</v>
      </c>
      <c r="AV39">
        <v>5</v>
      </c>
      <c r="AW39">
        <v>7</v>
      </c>
      <c r="AX39">
        <v>6</v>
      </c>
      <c r="AY39">
        <v>5</v>
      </c>
      <c r="BA39">
        <v>5</v>
      </c>
      <c r="BB39" t="s">
        <v>43</v>
      </c>
      <c r="BC39" t="s">
        <v>41</v>
      </c>
    </row>
    <row r="40" spans="1:55" x14ac:dyDescent="0.3">
      <c r="A40" t="s">
        <v>47</v>
      </c>
      <c r="E40" t="s">
        <v>11</v>
      </c>
      <c r="I40">
        <v>4</v>
      </c>
      <c r="J40">
        <v>4</v>
      </c>
      <c r="K40">
        <v>1</v>
      </c>
      <c r="L40">
        <v>4</v>
      </c>
      <c r="M40">
        <v>4</v>
      </c>
      <c r="N40">
        <v>3</v>
      </c>
      <c r="O40" t="s">
        <v>14</v>
      </c>
      <c r="P40" t="s">
        <v>15</v>
      </c>
      <c r="Q40" t="s">
        <v>16</v>
      </c>
      <c r="R40" t="s">
        <v>17</v>
      </c>
      <c r="T40" t="s">
        <v>19</v>
      </c>
      <c r="W40" t="s">
        <v>22</v>
      </c>
      <c r="Z40">
        <v>7</v>
      </c>
      <c r="AA40">
        <v>7</v>
      </c>
      <c r="AB40">
        <v>7</v>
      </c>
      <c r="AC40">
        <v>7</v>
      </c>
      <c r="AD40">
        <v>7</v>
      </c>
      <c r="AL40" t="s">
        <v>30</v>
      </c>
      <c r="AM40" t="s">
        <v>31</v>
      </c>
      <c r="AO40" t="s">
        <v>42</v>
      </c>
      <c r="AQ40" t="s">
        <v>49</v>
      </c>
      <c r="AS40">
        <v>6</v>
      </c>
      <c r="AT40">
        <v>6</v>
      </c>
      <c r="AU40">
        <v>6</v>
      </c>
      <c r="AV40">
        <v>6</v>
      </c>
      <c r="AW40">
        <v>6</v>
      </c>
      <c r="AX40">
        <v>6</v>
      </c>
      <c r="AY40">
        <v>5</v>
      </c>
      <c r="BA40" t="s">
        <v>35</v>
      </c>
      <c r="BB40" t="s">
        <v>43</v>
      </c>
      <c r="BC40" t="s">
        <v>41</v>
      </c>
    </row>
    <row r="41" spans="1:55" x14ac:dyDescent="0.3">
      <c r="A41" t="s">
        <v>44</v>
      </c>
      <c r="E41" t="s">
        <v>11</v>
      </c>
      <c r="I41">
        <v>4</v>
      </c>
      <c r="J41">
        <v>5</v>
      </c>
      <c r="K41">
        <v>1</v>
      </c>
      <c r="L41">
        <v>4</v>
      </c>
      <c r="M41">
        <v>4</v>
      </c>
      <c r="N41">
        <v>3</v>
      </c>
      <c r="O41" t="s">
        <v>14</v>
      </c>
      <c r="S41" t="s">
        <v>18</v>
      </c>
      <c r="T41" t="s">
        <v>19</v>
      </c>
      <c r="U41" t="s">
        <v>20</v>
      </c>
      <c r="W41" t="s">
        <v>22</v>
      </c>
      <c r="Z41">
        <v>6</v>
      </c>
      <c r="AA41">
        <v>6</v>
      </c>
      <c r="AB41">
        <v>7</v>
      </c>
      <c r="AC41">
        <v>6</v>
      </c>
      <c r="AD41">
        <v>5</v>
      </c>
      <c r="AE41">
        <v>5</v>
      </c>
      <c r="AG41" t="s">
        <v>25</v>
      </c>
      <c r="AJ41" t="s">
        <v>28</v>
      </c>
      <c r="AL41" t="s">
        <v>30</v>
      </c>
      <c r="AM41" t="s">
        <v>31</v>
      </c>
      <c r="AO41" t="s">
        <v>33</v>
      </c>
      <c r="AQ41" t="s">
        <v>34</v>
      </c>
      <c r="AS41">
        <v>6</v>
      </c>
      <c r="AT41">
        <v>6</v>
      </c>
      <c r="AU41">
        <v>6</v>
      </c>
      <c r="AV41">
        <v>6</v>
      </c>
      <c r="AW41">
        <v>6</v>
      </c>
      <c r="AX41">
        <v>6</v>
      </c>
      <c r="AY41">
        <v>6</v>
      </c>
      <c r="BA41" t="s">
        <v>35</v>
      </c>
      <c r="BB41">
        <v>65</v>
      </c>
      <c r="BC41" t="s">
        <v>41</v>
      </c>
    </row>
    <row r="42" spans="1:55" x14ac:dyDescent="0.3">
      <c r="A42" t="s">
        <v>67</v>
      </c>
      <c r="B42" t="s">
        <v>8</v>
      </c>
      <c r="D42" t="s">
        <v>10</v>
      </c>
      <c r="E42" t="s">
        <v>11</v>
      </c>
      <c r="J42">
        <v>4</v>
      </c>
      <c r="L42">
        <v>4</v>
      </c>
      <c r="M42">
        <v>4</v>
      </c>
      <c r="N42">
        <v>4</v>
      </c>
      <c r="O42" t="s">
        <v>14</v>
      </c>
      <c r="S42" t="s">
        <v>18</v>
      </c>
      <c r="T42" t="s">
        <v>19</v>
      </c>
      <c r="V42" t="s">
        <v>21</v>
      </c>
      <c r="W42" t="s">
        <v>22</v>
      </c>
      <c r="Z42">
        <v>7</v>
      </c>
      <c r="AA42">
        <v>7</v>
      </c>
      <c r="AB42">
        <v>7</v>
      </c>
      <c r="AC42">
        <v>7</v>
      </c>
      <c r="AD42">
        <v>7</v>
      </c>
      <c r="AE42">
        <v>7</v>
      </c>
      <c r="AL42" t="s">
        <v>30</v>
      </c>
      <c r="AO42" t="s">
        <v>42</v>
      </c>
      <c r="AQ42" t="s">
        <v>39</v>
      </c>
      <c r="AS42">
        <v>7</v>
      </c>
      <c r="AT42">
        <v>5</v>
      </c>
      <c r="AU42">
        <v>7</v>
      </c>
      <c r="AV42">
        <v>6</v>
      </c>
      <c r="AW42">
        <v>6</v>
      </c>
      <c r="AX42">
        <v>5</v>
      </c>
      <c r="AY42">
        <v>5</v>
      </c>
      <c r="BA42">
        <v>4</v>
      </c>
      <c r="BB42" t="s">
        <v>36</v>
      </c>
      <c r="BC42" t="s">
        <v>37</v>
      </c>
    </row>
    <row r="43" spans="1:55" x14ac:dyDescent="0.3">
      <c r="A43" t="s">
        <v>47</v>
      </c>
      <c r="E43" t="s">
        <v>11</v>
      </c>
      <c r="F43" t="s">
        <v>12</v>
      </c>
      <c r="I43">
        <v>5</v>
      </c>
      <c r="J43">
        <v>5</v>
      </c>
      <c r="K43">
        <v>3</v>
      </c>
      <c r="L43">
        <v>3</v>
      </c>
      <c r="M43">
        <v>5</v>
      </c>
      <c r="N43">
        <v>5</v>
      </c>
      <c r="T43" t="s">
        <v>19</v>
      </c>
      <c r="U43" t="s">
        <v>20</v>
      </c>
      <c r="V43" t="s">
        <v>21</v>
      </c>
      <c r="Z43">
        <v>5</v>
      </c>
      <c r="AA43">
        <v>7</v>
      </c>
      <c r="AB43">
        <v>1</v>
      </c>
      <c r="AC43">
        <v>3</v>
      </c>
      <c r="AD43">
        <v>7</v>
      </c>
      <c r="AE43">
        <v>1</v>
      </c>
      <c r="AG43" t="s">
        <v>25</v>
      </c>
      <c r="AO43" t="s">
        <v>42</v>
      </c>
      <c r="AQ43" t="s">
        <v>34</v>
      </c>
      <c r="AS43">
        <v>7</v>
      </c>
      <c r="AT43">
        <v>7</v>
      </c>
      <c r="AU43">
        <v>7</v>
      </c>
      <c r="AV43">
        <v>7</v>
      </c>
      <c r="AW43">
        <v>7</v>
      </c>
      <c r="AX43">
        <v>7</v>
      </c>
      <c r="AY43">
        <v>7</v>
      </c>
      <c r="BA43">
        <v>6</v>
      </c>
      <c r="BB43" t="s">
        <v>40</v>
      </c>
      <c r="BC43" t="s">
        <v>41</v>
      </c>
    </row>
    <row r="44" spans="1:55" x14ac:dyDescent="0.3">
      <c r="A44" t="s">
        <v>32</v>
      </c>
      <c r="E44" t="s">
        <v>11</v>
      </c>
      <c r="H44" t="s">
        <v>76</v>
      </c>
      <c r="I44">
        <v>5</v>
      </c>
      <c r="J44">
        <v>3</v>
      </c>
      <c r="K44">
        <v>1</v>
      </c>
      <c r="L44">
        <v>5</v>
      </c>
      <c r="M44">
        <v>5</v>
      </c>
      <c r="N44">
        <v>4</v>
      </c>
      <c r="O44" t="s">
        <v>14</v>
      </c>
      <c r="P44" t="s">
        <v>15</v>
      </c>
      <c r="T44" t="s">
        <v>19</v>
      </c>
      <c r="U44" t="s">
        <v>20</v>
      </c>
      <c r="V44" t="s">
        <v>21</v>
      </c>
      <c r="Y44" t="s">
        <v>77</v>
      </c>
      <c r="Z44">
        <v>6</v>
      </c>
      <c r="AA44">
        <v>7</v>
      </c>
      <c r="AB44">
        <v>7</v>
      </c>
      <c r="AC44">
        <v>6</v>
      </c>
      <c r="AD44">
        <v>7</v>
      </c>
      <c r="AE44">
        <v>7</v>
      </c>
      <c r="AF44" t="s">
        <v>24</v>
      </c>
      <c r="AG44" t="s">
        <v>25</v>
      </c>
      <c r="AJ44" t="s">
        <v>28</v>
      </c>
      <c r="AL44" t="s">
        <v>30</v>
      </c>
      <c r="AM44" t="s">
        <v>31</v>
      </c>
      <c r="AO44" t="s">
        <v>33</v>
      </c>
      <c r="AQ44" t="s">
        <v>34</v>
      </c>
      <c r="AS44">
        <v>7</v>
      </c>
      <c r="AT44">
        <v>6</v>
      </c>
      <c r="AU44">
        <v>7</v>
      </c>
      <c r="AV44">
        <v>6</v>
      </c>
      <c r="AW44">
        <v>7</v>
      </c>
      <c r="AX44">
        <v>7</v>
      </c>
      <c r="AY44">
        <v>7</v>
      </c>
      <c r="BA44" t="s">
        <v>35</v>
      </c>
      <c r="BB44">
        <v>65</v>
      </c>
      <c r="BC44" t="s">
        <v>41</v>
      </c>
    </row>
    <row r="45" spans="1:55" x14ac:dyDescent="0.3">
      <c r="A45" t="s">
        <v>47</v>
      </c>
      <c r="E45" t="s">
        <v>11</v>
      </c>
      <c r="F45" t="s">
        <v>12</v>
      </c>
      <c r="I45">
        <v>5</v>
      </c>
      <c r="J45">
        <v>5</v>
      </c>
      <c r="L45">
        <v>3</v>
      </c>
      <c r="M45">
        <v>2</v>
      </c>
      <c r="O45" t="s">
        <v>14</v>
      </c>
      <c r="T45" t="s">
        <v>19</v>
      </c>
      <c r="U45" t="s">
        <v>20</v>
      </c>
      <c r="V45" t="s">
        <v>21</v>
      </c>
      <c r="W45" t="s">
        <v>22</v>
      </c>
      <c r="Z45">
        <v>5</v>
      </c>
      <c r="AA45">
        <v>5</v>
      </c>
      <c r="AB45">
        <v>6</v>
      </c>
      <c r="AC45">
        <v>6</v>
      </c>
      <c r="AD45">
        <v>6</v>
      </c>
      <c r="AE45">
        <v>7</v>
      </c>
      <c r="AK45" t="s">
        <v>29</v>
      </c>
      <c r="AM45" t="s">
        <v>31</v>
      </c>
      <c r="AO45" t="s">
        <v>33</v>
      </c>
      <c r="AQ45" t="s">
        <v>39</v>
      </c>
      <c r="AS45">
        <v>7</v>
      </c>
      <c r="AT45">
        <v>6</v>
      </c>
      <c r="AU45">
        <v>7</v>
      </c>
      <c r="AV45">
        <v>7</v>
      </c>
      <c r="AW45">
        <v>7</v>
      </c>
      <c r="AX45">
        <v>7</v>
      </c>
      <c r="AY45">
        <v>7</v>
      </c>
      <c r="BA45" t="s">
        <v>35</v>
      </c>
      <c r="BB45" t="s">
        <v>43</v>
      </c>
      <c r="BC45" t="s">
        <v>41</v>
      </c>
    </row>
    <row r="46" spans="1:55" x14ac:dyDescent="0.3">
      <c r="A46" t="s">
        <v>47</v>
      </c>
      <c r="D46" t="s">
        <v>10</v>
      </c>
      <c r="I46">
        <v>4</v>
      </c>
      <c r="J46">
        <v>5</v>
      </c>
      <c r="K46">
        <v>3</v>
      </c>
      <c r="L46">
        <v>3</v>
      </c>
      <c r="M46">
        <v>5</v>
      </c>
      <c r="N46">
        <v>2</v>
      </c>
      <c r="P46" t="s">
        <v>15</v>
      </c>
      <c r="R46" t="s">
        <v>17</v>
      </c>
      <c r="T46" t="s">
        <v>19</v>
      </c>
      <c r="U46" t="s">
        <v>20</v>
      </c>
      <c r="W46" t="s">
        <v>22</v>
      </c>
      <c r="Z46">
        <v>3</v>
      </c>
      <c r="AA46">
        <v>6</v>
      </c>
      <c r="AB46">
        <v>7</v>
      </c>
      <c r="AC46">
        <v>7</v>
      </c>
      <c r="AD46">
        <v>5</v>
      </c>
      <c r="AE46">
        <v>4</v>
      </c>
      <c r="AJ46" t="s">
        <v>28</v>
      </c>
      <c r="AK46" t="s">
        <v>29</v>
      </c>
      <c r="AL46" t="s">
        <v>30</v>
      </c>
      <c r="AM46" t="s">
        <v>31</v>
      </c>
      <c r="AO46" t="s">
        <v>42</v>
      </c>
      <c r="AQ46" t="s">
        <v>49</v>
      </c>
      <c r="AS46" t="s">
        <v>50</v>
      </c>
      <c r="AT46">
        <v>7</v>
      </c>
      <c r="AU46">
        <v>7</v>
      </c>
      <c r="AV46">
        <v>7</v>
      </c>
      <c r="AW46">
        <v>7</v>
      </c>
      <c r="AX46">
        <v>7</v>
      </c>
      <c r="AY46">
        <v>4</v>
      </c>
      <c r="BA46" t="s">
        <v>35</v>
      </c>
      <c r="BB46" t="s">
        <v>40</v>
      </c>
      <c r="BC46" t="s">
        <v>41</v>
      </c>
    </row>
    <row r="47" spans="1:55" x14ac:dyDescent="0.3">
      <c r="A47" t="s">
        <v>47</v>
      </c>
      <c r="E47" t="s">
        <v>11</v>
      </c>
      <c r="I47">
        <v>2</v>
      </c>
      <c r="J47">
        <v>5</v>
      </c>
      <c r="K47">
        <v>2</v>
      </c>
      <c r="L47">
        <v>4</v>
      </c>
      <c r="M47">
        <v>4</v>
      </c>
      <c r="N47">
        <v>4</v>
      </c>
      <c r="O47" t="s">
        <v>14</v>
      </c>
      <c r="P47" t="s">
        <v>15</v>
      </c>
      <c r="Q47" t="s">
        <v>16</v>
      </c>
      <c r="R47" t="s">
        <v>17</v>
      </c>
      <c r="T47" t="s">
        <v>19</v>
      </c>
      <c r="V47" t="s">
        <v>21</v>
      </c>
      <c r="W47" t="s">
        <v>22</v>
      </c>
      <c r="Z47">
        <v>5</v>
      </c>
      <c r="AA47">
        <v>6</v>
      </c>
      <c r="AB47">
        <v>6</v>
      </c>
      <c r="AC47">
        <v>6</v>
      </c>
      <c r="AD47">
        <v>7</v>
      </c>
      <c r="AE47">
        <v>5</v>
      </c>
      <c r="AG47" t="s">
        <v>25</v>
      </c>
      <c r="AH47" t="s">
        <v>26</v>
      </c>
      <c r="AI47" t="s">
        <v>27</v>
      </c>
      <c r="AK47" t="s">
        <v>29</v>
      </c>
      <c r="AM47" t="s">
        <v>31</v>
      </c>
      <c r="AO47" t="s">
        <v>42</v>
      </c>
      <c r="AQ47" t="s">
        <v>39</v>
      </c>
      <c r="AS47">
        <v>7</v>
      </c>
      <c r="AT47">
        <v>6</v>
      </c>
      <c r="AU47">
        <v>6</v>
      </c>
      <c r="AV47">
        <v>6</v>
      </c>
      <c r="AW47">
        <v>6</v>
      </c>
      <c r="AX47">
        <v>7</v>
      </c>
      <c r="AY47">
        <v>5</v>
      </c>
      <c r="BA47">
        <v>6</v>
      </c>
      <c r="BB47" t="s">
        <v>43</v>
      </c>
      <c r="BC47" t="s">
        <v>41</v>
      </c>
    </row>
    <row r="48" spans="1:55" x14ac:dyDescent="0.3">
      <c r="A48" t="s">
        <v>47</v>
      </c>
      <c r="E48" t="s">
        <v>11</v>
      </c>
      <c r="I48">
        <v>5</v>
      </c>
      <c r="J48">
        <v>5</v>
      </c>
      <c r="K48">
        <v>1</v>
      </c>
      <c r="L48">
        <v>3</v>
      </c>
      <c r="M48">
        <v>3</v>
      </c>
      <c r="N48">
        <v>2</v>
      </c>
      <c r="U48" t="s">
        <v>20</v>
      </c>
      <c r="Z48">
        <v>4</v>
      </c>
      <c r="AA48">
        <v>4</v>
      </c>
      <c r="AB48">
        <v>4</v>
      </c>
      <c r="AC48">
        <v>4</v>
      </c>
      <c r="AD48">
        <v>4</v>
      </c>
      <c r="AE48">
        <v>7</v>
      </c>
      <c r="AG48" t="s">
        <v>25</v>
      </c>
      <c r="AI48" t="s">
        <v>27</v>
      </c>
      <c r="AL48" t="s">
        <v>30</v>
      </c>
      <c r="AO48" t="s">
        <v>33</v>
      </c>
      <c r="AQ48" t="s">
        <v>39</v>
      </c>
      <c r="AS48">
        <v>7</v>
      </c>
      <c r="AT48">
        <v>7</v>
      </c>
      <c r="AU48">
        <v>7</v>
      </c>
      <c r="AV48">
        <v>7</v>
      </c>
      <c r="AW48">
        <v>7</v>
      </c>
      <c r="AX48">
        <v>7</v>
      </c>
      <c r="AY48">
        <v>6</v>
      </c>
      <c r="BA48" t="s">
        <v>35</v>
      </c>
      <c r="BB48">
        <v>65</v>
      </c>
      <c r="BC48" t="s">
        <v>41</v>
      </c>
    </row>
    <row r="49" spans="1:55" x14ac:dyDescent="0.3">
      <c r="A49" t="s">
        <v>44</v>
      </c>
      <c r="E49" t="s">
        <v>11</v>
      </c>
      <c r="I49">
        <v>5</v>
      </c>
      <c r="J49">
        <v>5</v>
      </c>
      <c r="K49">
        <v>2</v>
      </c>
      <c r="L49">
        <v>3</v>
      </c>
      <c r="M49">
        <v>4</v>
      </c>
      <c r="N49">
        <v>4</v>
      </c>
      <c r="O49" t="s">
        <v>14</v>
      </c>
      <c r="S49" t="s">
        <v>18</v>
      </c>
      <c r="T49" t="s">
        <v>19</v>
      </c>
      <c r="U49" t="s">
        <v>20</v>
      </c>
      <c r="W49" t="s">
        <v>22</v>
      </c>
      <c r="Z49">
        <v>5</v>
      </c>
      <c r="AA49">
        <v>5</v>
      </c>
      <c r="AB49">
        <v>5</v>
      </c>
      <c r="AC49">
        <v>4</v>
      </c>
      <c r="AD49">
        <v>6</v>
      </c>
      <c r="AE49">
        <v>7</v>
      </c>
      <c r="AG49" t="s">
        <v>25</v>
      </c>
      <c r="AJ49" t="s">
        <v>28</v>
      </c>
      <c r="AM49" t="s">
        <v>31</v>
      </c>
      <c r="AO49" t="s">
        <v>42</v>
      </c>
      <c r="AQ49" t="s">
        <v>34</v>
      </c>
      <c r="AS49">
        <v>7</v>
      </c>
      <c r="AT49">
        <v>7</v>
      </c>
      <c r="AU49">
        <v>7</v>
      </c>
      <c r="AV49">
        <v>7</v>
      </c>
      <c r="AW49">
        <v>7</v>
      </c>
      <c r="AX49">
        <v>7</v>
      </c>
      <c r="AY49">
        <v>6</v>
      </c>
      <c r="BA49" t="s">
        <v>35</v>
      </c>
      <c r="BB49">
        <v>65</v>
      </c>
      <c r="BC49" t="s">
        <v>41</v>
      </c>
    </row>
    <row r="50" spans="1:55" x14ac:dyDescent="0.3">
      <c r="A50" t="s">
        <v>44</v>
      </c>
      <c r="E50" t="s">
        <v>11</v>
      </c>
      <c r="H50" t="s">
        <v>78</v>
      </c>
      <c r="I50">
        <v>5</v>
      </c>
      <c r="J50">
        <v>5</v>
      </c>
      <c r="K50">
        <v>3</v>
      </c>
      <c r="L50">
        <v>5</v>
      </c>
      <c r="M50">
        <v>5</v>
      </c>
      <c r="N50">
        <v>3</v>
      </c>
      <c r="O50" t="s">
        <v>14</v>
      </c>
      <c r="R50" t="s">
        <v>17</v>
      </c>
      <c r="T50" t="s">
        <v>19</v>
      </c>
      <c r="U50" t="s">
        <v>20</v>
      </c>
      <c r="V50" t="s">
        <v>21</v>
      </c>
      <c r="W50" t="s">
        <v>22</v>
      </c>
      <c r="Y50" t="s">
        <v>79</v>
      </c>
      <c r="Z50">
        <v>7</v>
      </c>
      <c r="AA50">
        <v>7</v>
      </c>
      <c r="AB50">
        <v>7</v>
      </c>
      <c r="AC50">
        <v>7</v>
      </c>
      <c r="AD50">
        <v>5</v>
      </c>
      <c r="AE50">
        <v>5</v>
      </c>
      <c r="AG50" t="s">
        <v>25</v>
      </c>
      <c r="AJ50" t="s">
        <v>28</v>
      </c>
      <c r="AL50" t="s">
        <v>30</v>
      </c>
      <c r="AO50" t="s">
        <v>42</v>
      </c>
      <c r="AQ50" t="s">
        <v>49</v>
      </c>
      <c r="AS50">
        <v>7</v>
      </c>
      <c r="AT50">
        <v>3</v>
      </c>
      <c r="AU50">
        <v>7</v>
      </c>
      <c r="AV50">
        <v>7</v>
      </c>
      <c r="AW50">
        <v>7</v>
      </c>
      <c r="AX50">
        <v>7</v>
      </c>
      <c r="AY50">
        <v>4</v>
      </c>
      <c r="AZ50" t="s">
        <v>80</v>
      </c>
      <c r="BA50" t="s">
        <v>35</v>
      </c>
      <c r="BB50" t="s">
        <v>36</v>
      </c>
      <c r="BC50" t="s">
        <v>37</v>
      </c>
    </row>
    <row r="51" spans="1:55" x14ac:dyDescent="0.3">
      <c r="A51" t="s">
        <v>44</v>
      </c>
      <c r="E51" t="s">
        <v>11</v>
      </c>
      <c r="I51">
        <v>5</v>
      </c>
      <c r="J51">
        <v>4</v>
      </c>
      <c r="K51">
        <v>4</v>
      </c>
      <c r="L51">
        <v>5</v>
      </c>
      <c r="M51">
        <v>5</v>
      </c>
      <c r="N51">
        <v>5</v>
      </c>
      <c r="O51" t="s">
        <v>14</v>
      </c>
      <c r="S51" t="s">
        <v>18</v>
      </c>
      <c r="T51" t="s">
        <v>19</v>
      </c>
      <c r="V51" t="s">
        <v>21</v>
      </c>
      <c r="W51" t="s">
        <v>22</v>
      </c>
      <c r="Z51">
        <v>5</v>
      </c>
      <c r="AA51">
        <v>7</v>
      </c>
      <c r="AB51">
        <v>7</v>
      </c>
      <c r="AC51">
        <v>7</v>
      </c>
      <c r="AD51">
        <v>7</v>
      </c>
      <c r="AE51">
        <v>7</v>
      </c>
      <c r="AG51" t="s">
        <v>25</v>
      </c>
      <c r="AL51" t="s">
        <v>30</v>
      </c>
      <c r="AM51" t="s">
        <v>31</v>
      </c>
      <c r="AO51" t="s">
        <v>33</v>
      </c>
      <c r="AQ51" t="s">
        <v>34</v>
      </c>
      <c r="AS51">
        <v>7</v>
      </c>
      <c r="AT51">
        <v>5</v>
      </c>
      <c r="AU51">
        <v>7</v>
      </c>
      <c r="AV51">
        <v>7</v>
      </c>
      <c r="AW51">
        <v>7</v>
      </c>
      <c r="AX51">
        <v>7</v>
      </c>
      <c r="AY51">
        <v>7</v>
      </c>
      <c r="AZ51" t="s">
        <v>81</v>
      </c>
      <c r="BA51" t="s">
        <v>35</v>
      </c>
      <c r="BB51" t="s">
        <v>43</v>
      </c>
      <c r="BC51" t="s">
        <v>41</v>
      </c>
    </row>
    <row r="52" spans="1:55" x14ac:dyDescent="0.3">
      <c r="A52" t="s">
        <v>32</v>
      </c>
      <c r="E52" t="s">
        <v>11</v>
      </c>
      <c r="H52" t="s">
        <v>82</v>
      </c>
      <c r="I52">
        <v>5</v>
      </c>
      <c r="J52">
        <v>4</v>
      </c>
      <c r="K52">
        <v>4</v>
      </c>
      <c r="L52">
        <v>3</v>
      </c>
      <c r="M52">
        <v>4</v>
      </c>
      <c r="N52">
        <v>5</v>
      </c>
      <c r="P52" t="s">
        <v>15</v>
      </c>
      <c r="Q52" t="s">
        <v>16</v>
      </c>
      <c r="T52" t="s">
        <v>19</v>
      </c>
      <c r="U52" t="s">
        <v>20</v>
      </c>
      <c r="W52" t="s">
        <v>22</v>
      </c>
      <c r="Y52" t="s">
        <v>83</v>
      </c>
      <c r="Z52">
        <v>7</v>
      </c>
      <c r="AA52">
        <v>7</v>
      </c>
      <c r="AB52">
        <v>7</v>
      </c>
      <c r="AC52">
        <v>7</v>
      </c>
      <c r="AD52">
        <v>7</v>
      </c>
      <c r="AE52">
        <v>5</v>
      </c>
      <c r="AF52" t="s">
        <v>24</v>
      </c>
      <c r="AG52" t="s">
        <v>25</v>
      </c>
      <c r="AI52" t="s">
        <v>27</v>
      </c>
      <c r="AJ52" t="s">
        <v>28</v>
      </c>
      <c r="AM52" t="s">
        <v>31</v>
      </c>
      <c r="AO52" t="s">
        <v>42</v>
      </c>
      <c r="AQ52" t="s">
        <v>34</v>
      </c>
      <c r="AS52" t="s">
        <v>50</v>
      </c>
      <c r="AT52">
        <v>7</v>
      </c>
      <c r="AU52">
        <v>7</v>
      </c>
      <c r="AV52">
        <v>7</v>
      </c>
      <c r="AW52">
        <v>7</v>
      </c>
      <c r="AX52">
        <v>7</v>
      </c>
      <c r="AY52">
        <v>5</v>
      </c>
      <c r="AZ52" t="s">
        <v>84</v>
      </c>
      <c r="BA52" t="s">
        <v>35</v>
      </c>
      <c r="BB52" t="s">
        <v>36</v>
      </c>
      <c r="BC52" t="s">
        <v>37</v>
      </c>
    </row>
    <row r="53" spans="1:55" x14ac:dyDescent="0.3">
      <c r="A53" t="s">
        <v>32</v>
      </c>
      <c r="B53" t="s">
        <v>8</v>
      </c>
      <c r="H53" t="s">
        <v>85</v>
      </c>
      <c r="I53">
        <v>2</v>
      </c>
      <c r="J53">
        <v>5</v>
      </c>
      <c r="K53">
        <v>3</v>
      </c>
      <c r="L53">
        <v>5</v>
      </c>
      <c r="M53">
        <v>5</v>
      </c>
      <c r="N53">
        <v>4</v>
      </c>
      <c r="O53" t="s">
        <v>14</v>
      </c>
      <c r="R53" t="s">
        <v>17</v>
      </c>
      <c r="T53" t="s">
        <v>19</v>
      </c>
      <c r="W53" t="s">
        <v>22</v>
      </c>
      <c r="Z53">
        <v>5</v>
      </c>
      <c r="AA53">
        <v>6</v>
      </c>
      <c r="AB53">
        <v>6</v>
      </c>
      <c r="AC53">
        <v>6</v>
      </c>
      <c r="AD53">
        <v>7</v>
      </c>
      <c r="AE53">
        <v>4</v>
      </c>
      <c r="AF53" t="s">
        <v>24</v>
      </c>
      <c r="AH53" t="s">
        <v>26</v>
      </c>
      <c r="AI53" t="s">
        <v>27</v>
      </c>
      <c r="AJ53" t="s">
        <v>28</v>
      </c>
      <c r="AL53" t="s">
        <v>30</v>
      </c>
      <c r="AO53" t="s">
        <v>33</v>
      </c>
      <c r="AQ53" t="s">
        <v>34</v>
      </c>
      <c r="AS53">
        <v>7</v>
      </c>
      <c r="AT53">
        <v>7</v>
      </c>
      <c r="AU53">
        <v>7</v>
      </c>
      <c r="AV53">
        <v>7</v>
      </c>
      <c r="AW53">
        <v>6</v>
      </c>
      <c r="AX53">
        <v>7</v>
      </c>
      <c r="AY53">
        <v>5</v>
      </c>
      <c r="AZ53" t="s">
        <v>86</v>
      </c>
      <c r="BA53" t="s">
        <v>35</v>
      </c>
      <c r="BB53" t="s">
        <v>43</v>
      </c>
      <c r="BC53" t="s">
        <v>41</v>
      </c>
    </row>
    <row r="54" spans="1:55" x14ac:dyDescent="0.3">
      <c r="A54" t="s">
        <v>44</v>
      </c>
      <c r="E54" t="s">
        <v>11</v>
      </c>
      <c r="F54" t="s">
        <v>12</v>
      </c>
      <c r="I54">
        <v>5</v>
      </c>
      <c r="J54">
        <v>3</v>
      </c>
      <c r="K54">
        <v>2</v>
      </c>
      <c r="L54">
        <v>2</v>
      </c>
      <c r="M54">
        <v>3</v>
      </c>
      <c r="N54">
        <v>2</v>
      </c>
      <c r="O54" t="s">
        <v>14</v>
      </c>
      <c r="P54" t="s">
        <v>15</v>
      </c>
      <c r="R54" t="s">
        <v>17</v>
      </c>
      <c r="S54" t="s">
        <v>18</v>
      </c>
      <c r="T54" t="s">
        <v>19</v>
      </c>
      <c r="V54" t="s">
        <v>21</v>
      </c>
      <c r="Z54">
        <v>5</v>
      </c>
      <c r="AA54">
        <v>6</v>
      </c>
      <c r="AB54">
        <v>6</v>
      </c>
      <c r="AC54">
        <v>4</v>
      </c>
      <c r="AD54">
        <v>7</v>
      </c>
      <c r="AE54">
        <v>5</v>
      </c>
      <c r="AG54" t="s">
        <v>25</v>
      </c>
      <c r="AK54" t="s">
        <v>29</v>
      </c>
      <c r="AM54" t="s">
        <v>31</v>
      </c>
      <c r="AO54" t="s">
        <v>33</v>
      </c>
      <c r="AQ54" t="s">
        <v>34</v>
      </c>
      <c r="AS54">
        <v>6</v>
      </c>
      <c r="AT54">
        <v>7</v>
      </c>
      <c r="AU54">
        <v>6</v>
      </c>
      <c r="AV54">
        <v>6</v>
      </c>
      <c r="AW54">
        <v>7</v>
      </c>
      <c r="AX54">
        <v>7</v>
      </c>
      <c r="AY54">
        <v>6</v>
      </c>
      <c r="BA54" t="s">
        <v>35</v>
      </c>
      <c r="BB54" t="s">
        <v>43</v>
      </c>
      <c r="BC54" t="s">
        <v>41</v>
      </c>
    </row>
    <row r="55" spans="1:55" x14ac:dyDescent="0.3">
      <c r="A55" t="s">
        <v>47</v>
      </c>
      <c r="D55" t="s">
        <v>10</v>
      </c>
      <c r="E55" t="s">
        <v>11</v>
      </c>
      <c r="I55">
        <v>5</v>
      </c>
      <c r="J55">
        <v>5</v>
      </c>
      <c r="K55">
        <v>1</v>
      </c>
      <c r="L55">
        <v>5</v>
      </c>
      <c r="M55">
        <v>5</v>
      </c>
      <c r="N55">
        <v>1</v>
      </c>
      <c r="O55" t="s">
        <v>14</v>
      </c>
      <c r="S55" t="s">
        <v>18</v>
      </c>
      <c r="T55" t="s">
        <v>19</v>
      </c>
      <c r="U55" t="s">
        <v>20</v>
      </c>
      <c r="V55" t="s">
        <v>21</v>
      </c>
      <c r="Z55">
        <v>7</v>
      </c>
      <c r="AA55">
        <v>7</v>
      </c>
      <c r="AB55">
        <v>7</v>
      </c>
      <c r="AC55">
        <v>7</v>
      </c>
      <c r="AD55">
        <v>7</v>
      </c>
      <c r="AE55">
        <v>7</v>
      </c>
      <c r="AJ55" t="s">
        <v>28</v>
      </c>
      <c r="AK55" t="s">
        <v>29</v>
      </c>
      <c r="AL55" t="s">
        <v>30</v>
      </c>
      <c r="AM55" t="s">
        <v>31</v>
      </c>
      <c r="AO55" t="s">
        <v>42</v>
      </c>
      <c r="AQ55" t="s">
        <v>39</v>
      </c>
      <c r="AS55">
        <v>7</v>
      </c>
      <c r="AT55">
        <v>7</v>
      </c>
      <c r="AU55">
        <v>7</v>
      </c>
      <c r="AV55">
        <v>7</v>
      </c>
      <c r="AW55">
        <v>7</v>
      </c>
      <c r="AX55">
        <v>7</v>
      </c>
      <c r="AY55">
        <v>7</v>
      </c>
      <c r="BA55" t="s">
        <v>35</v>
      </c>
      <c r="BB55" t="s">
        <v>40</v>
      </c>
      <c r="BC55" t="s">
        <v>41</v>
      </c>
    </row>
    <row r="56" spans="1:55" x14ac:dyDescent="0.3">
      <c r="A56" t="s">
        <v>32</v>
      </c>
      <c r="E56" t="s">
        <v>11</v>
      </c>
      <c r="F56" t="s">
        <v>12</v>
      </c>
      <c r="I56">
        <v>5</v>
      </c>
      <c r="J56">
        <v>5</v>
      </c>
      <c r="K56">
        <v>5</v>
      </c>
      <c r="M56">
        <v>5</v>
      </c>
      <c r="P56" t="s">
        <v>15</v>
      </c>
      <c r="Q56" t="s">
        <v>16</v>
      </c>
      <c r="R56" t="s">
        <v>17</v>
      </c>
      <c r="T56" t="s">
        <v>19</v>
      </c>
      <c r="W56" t="s">
        <v>22</v>
      </c>
      <c r="Z56">
        <v>4</v>
      </c>
      <c r="AA56">
        <v>7</v>
      </c>
      <c r="AB56">
        <v>6</v>
      </c>
      <c r="AC56">
        <v>5</v>
      </c>
      <c r="AD56">
        <v>6</v>
      </c>
      <c r="AE56">
        <v>6</v>
      </c>
      <c r="AG56" t="s">
        <v>25</v>
      </c>
      <c r="AJ56" t="s">
        <v>28</v>
      </c>
      <c r="AK56" t="s">
        <v>29</v>
      </c>
      <c r="AM56" t="s">
        <v>31</v>
      </c>
      <c r="AO56" t="s">
        <v>42</v>
      </c>
      <c r="AQ56" t="s">
        <v>49</v>
      </c>
      <c r="AS56">
        <v>7</v>
      </c>
      <c r="AT56">
        <v>5</v>
      </c>
      <c r="AU56">
        <v>7</v>
      </c>
      <c r="AV56">
        <v>7</v>
      </c>
      <c r="AW56">
        <v>7</v>
      </c>
      <c r="AX56">
        <v>7</v>
      </c>
      <c r="AY56">
        <v>6</v>
      </c>
      <c r="BA56" t="s">
        <v>35</v>
      </c>
      <c r="BB56">
        <v>65</v>
      </c>
      <c r="BC56" t="s">
        <v>41</v>
      </c>
    </row>
    <row r="57" spans="1:55" x14ac:dyDescent="0.3">
      <c r="A57" t="s">
        <v>44</v>
      </c>
      <c r="D57" t="s">
        <v>10</v>
      </c>
      <c r="E57" t="s">
        <v>11</v>
      </c>
      <c r="I57">
        <v>5</v>
      </c>
      <c r="J57">
        <v>5</v>
      </c>
      <c r="K57">
        <v>2</v>
      </c>
      <c r="L57">
        <v>3</v>
      </c>
      <c r="M57">
        <v>4</v>
      </c>
      <c r="N57">
        <v>4</v>
      </c>
      <c r="T57" t="s">
        <v>19</v>
      </c>
      <c r="U57" t="s">
        <v>20</v>
      </c>
      <c r="V57" t="s">
        <v>21</v>
      </c>
      <c r="Z57">
        <v>6</v>
      </c>
      <c r="AA57">
        <v>6</v>
      </c>
      <c r="AB57">
        <v>6</v>
      </c>
      <c r="AC57">
        <v>5</v>
      </c>
      <c r="AD57">
        <v>5</v>
      </c>
      <c r="AE57">
        <v>4</v>
      </c>
      <c r="AK57" t="s">
        <v>29</v>
      </c>
      <c r="AM57" t="s">
        <v>31</v>
      </c>
      <c r="AO57" t="s">
        <v>33</v>
      </c>
      <c r="AQ57" t="s">
        <v>39</v>
      </c>
      <c r="AS57">
        <v>7</v>
      </c>
      <c r="AT57">
        <v>7</v>
      </c>
      <c r="AU57">
        <v>7</v>
      </c>
      <c r="AV57">
        <v>6</v>
      </c>
      <c r="AW57">
        <v>7</v>
      </c>
      <c r="AX57">
        <v>7</v>
      </c>
      <c r="AY57">
        <v>7</v>
      </c>
      <c r="BA57" t="s">
        <v>35</v>
      </c>
      <c r="BB57" t="s">
        <v>53</v>
      </c>
      <c r="BC57" t="s">
        <v>41</v>
      </c>
    </row>
    <row r="58" spans="1:55" x14ac:dyDescent="0.3">
      <c r="A58" t="s">
        <v>67</v>
      </c>
      <c r="B58" t="s">
        <v>8</v>
      </c>
      <c r="D58" t="s">
        <v>10</v>
      </c>
      <c r="E58" t="s">
        <v>11</v>
      </c>
      <c r="I58">
        <v>4</v>
      </c>
      <c r="J58">
        <v>5</v>
      </c>
      <c r="K58">
        <v>3</v>
      </c>
      <c r="L58">
        <v>5</v>
      </c>
      <c r="M58">
        <v>5</v>
      </c>
      <c r="N58">
        <v>3</v>
      </c>
      <c r="O58" t="s">
        <v>14</v>
      </c>
      <c r="P58" t="s">
        <v>15</v>
      </c>
      <c r="Q58" t="s">
        <v>16</v>
      </c>
      <c r="R58" t="s">
        <v>17</v>
      </c>
      <c r="S58" t="s">
        <v>18</v>
      </c>
      <c r="T58" t="s">
        <v>19</v>
      </c>
      <c r="U58" t="s">
        <v>20</v>
      </c>
      <c r="V58" t="s">
        <v>21</v>
      </c>
      <c r="W58" t="s">
        <v>22</v>
      </c>
      <c r="Z58">
        <v>7</v>
      </c>
      <c r="AA58">
        <v>7</v>
      </c>
      <c r="AB58">
        <v>7</v>
      </c>
      <c r="AC58">
        <v>7</v>
      </c>
      <c r="AD58">
        <v>7</v>
      </c>
      <c r="AE58">
        <v>7</v>
      </c>
      <c r="AL58" t="s">
        <v>30</v>
      </c>
      <c r="AO58" t="s">
        <v>42</v>
      </c>
      <c r="AP58" t="s">
        <v>87</v>
      </c>
      <c r="AQ58" t="s">
        <v>34</v>
      </c>
      <c r="AS58">
        <v>7</v>
      </c>
      <c r="AT58">
        <v>6</v>
      </c>
      <c r="AU58">
        <v>6</v>
      </c>
      <c r="AV58">
        <v>6</v>
      </c>
      <c r="AW58">
        <v>7</v>
      </c>
      <c r="AX58">
        <v>7</v>
      </c>
      <c r="AY58">
        <v>7</v>
      </c>
      <c r="BA58" t="s">
        <v>35</v>
      </c>
      <c r="BB58" t="s">
        <v>43</v>
      </c>
      <c r="BC58" t="s">
        <v>41</v>
      </c>
    </row>
    <row r="59" spans="1:55" x14ac:dyDescent="0.3">
      <c r="A59" t="s">
        <v>47</v>
      </c>
      <c r="B59" t="s">
        <v>8</v>
      </c>
      <c r="C59" t="s">
        <v>9</v>
      </c>
      <c r="I59">
        <v>5</v>
      </c>
      <c r="J59">
        <v>5</v>
      </c>
      <c r="K59">
        <v>5</v>
      </c>
      <c r="L59">
        <v>5</v>
      </c>
      <c r="M59">
        <v>5</v>
      </c>
      <c r="O59" t="s">
        <v>14</v>
      </c>
      <c r="Q59" t="s">
        <v>16</v>
      </c>
      <c r="T59" t="s">
        <v>19</v>
      </c>
      <c r="Z59">
        <v>7</v>
      </c>
      <c r="AA59">
        <v>7</v>
      </c>
      <c r="AB59">
        <v>7</v>
      </c>
      <c r="AC59">
        <v>7</v>
      </c>
      <c r="AD59">
        <v>7</v>
      </c>
      <c r="AE59">
        <v>7</v>
      </c>
      <c r="AG59" t="s">
        <v>25</v>
      </c>
      <c r="AL59" t="s">
        <v>30</v>
      </c>
      <c r="AO59" t="s">
        <v>42</v>
      </c>
      <c r="AQ59" t="s">
        <v>34</v>
      </c>
      <c r="AS59">
        <v>7</v>
      </c>
      <c r="AT59">
        <v>7</v>
      </c>
      <c r="AU59">
        <v>6</v>
      </c>
      <c r="AV59">
        <v>7</v>
      </c>
      <c r="AW59">
        <v>6</v>
      </c>
      <c r="AX59">
        <v>7</v>
      </c>
      <c r="AY59">
        <v>6</v>
      </c>
      <c r="BA59" t="s">
        <v>35</v>
      </c>
      <c r="BB59" t="s">
        <v>36</v>
      </c>
      <c r="BC59" t="s">
        <v>37</v>
      </c>
    </row>
    <row r="60" spans="1:55" x14ac:dyDescent="0.3">
      <c r="A60" t="s">
        <v>67</v>
      </c>
      <c r="B60" t="s">
        <v>8</v>
      </c>
      <c r="E60" t="s">
        <v>11</v>
      </c>
      <c r="I60">
        <v>5</v>
      </c>
      <c r="J60">
        <v>5</v>
      </c>
      <c r="K60">
        <v>1</v>
      </c>
      <c r="L60">
        <v>4</v>
      </c>
      <c r="M60">
        <v>5</v>
      </c>
      <c r="N60">
        <v>2</v>
      </c>
      <c r="U60" t="s">
        <v>20</v>
      </c>
      <c r="Z60">
        <v>6</v>
      </c>
      <c r="AA60">
        <v>6</v>
      </c>
      <c r="AB60">
        <v>6</v>
      </c>
      <c r="AC60">
        <v>6</v>
      </c>
      <c r="AD60">
        <v>6</v>
      </c>
      <c r="AE60">
        <v>6</v>
      </c>
      <c r="AH60" t="s">
        <v>26</v>
      </c>
      <c r="AL60" t="s">
        <v>30</v>
      </c>
      <c r="AO60" t="s">
        <v>33</v>
      </c>
      <c r="AQ60" t="s">
        <v>39</v>
      </c>
      <c r="AS60">
        <v>6</v>
      </c>
      <c r="AT60">
        <v>6</v>
      </c>
      <c r="AU60">
        <v>6</v>
      </c>
      <c r="AV60">
        <v>6</v>
      </c>
      <c r="AW60">
        <v>7</v>
      </c>
      <c r="AX60">
        <v>6</v>
      </c>
      <c r="AY60">
        <v>6</v>
      </c>
      <c r="BA60" t="s">
        <v>35</v>
      </c>
      <c r="BB60" t="s">
        <v>36</v>
      </c>
      <c r="BC60" t="s">
        <v>41</v>
      </c>
    </row>
    <row r="61" spans="1:55" x14ac:dyDescent="0.3">
      <c r="A61" t="s">
        <v>47</v>
      </c>
      <c r="E61" t="s">
        <v>11</v>
      </c>
      <c r="I61">
        <v>2</v>
      </c>
      <c r="J61">
        <v>4</v>
      </c>
      <c r="K61">
        <v>4</v>
      </c>
      <c r="L61">
        <v>4</v>
      </c>
      <c r="M61">
        <v>4</v>
      </c>
      <c r="N61">
        <v>4</v>
      </c>
      <c r="O61" t="s">
        <v>14</v>
      </c>
      <c r="Q61" t="s">
        <v>16</v>
      </c>
      <c r="T61" t="s">
        <v>19</v>
      </c>
      <c r="V61" t="s">
        <v>21</v>
      </c>
      <c r="Z61">
        <v>6</v>
      </c>
      <c r="AA61">
        <v>5</v>
      </c>
      <c r="AB61">
        <v>5</v>
      </c>
      <c r="AC61">
        <v>4</v>
      </c>
      <c r="AD61">
        <v>7</v>
      </c>
      <c r="AE61">
        <v>4</v>
      </c>
      <c r="AG61" t="s">
        <v>25</v>
      </c>
      <c r="AJ61" t="s">
        <v>28</v>
      </c>
      <c r="AL61" t="s">
        <v>30</v>
      </c>
      <c r="AO61" t="s">
        <v>33</v>
      </c>
      <c r="AQ61" t="s">
        <v>34</v>
      </c>
      <c r="AS61">
        <v>6</v>
      </c>
      <c r="AT61">
        <v>6</v>
      </c>
      <c r="AU61">
        <v>7</v>
      </c>
      <c r="AV61">
        <v>7</v>
      </c>
      <c r="AW61">
        <v>7</v>
      </c>
      <c r="AX61">
        <v>7</v>
      </c>
      <c r="AY61">
        <v>6</v>
      </c>
      <c r="BA61" t="s">
        <v>35</v>
      </c>
      <c r="BB61" t="s">
        <v>43</v>
      </c>
      <c r="BC61" t="s">
        <v>41</v>
      </c>
    </row>
    <row r="62" spans="1:55" x14ac:dyDescent="0.3">
      <c r="A62" t="s">
        <v>47</v>
      </c>
      <c r="E62" t="s">
        <v>11</v>
      </c>
      <c r="F62" t="s">
        <v>12</v>
      </c>
      <c r="I62">
        <v>5</v>
      </c>
      <c r="J62">
        <v>5</v>
      </c>
      <c r="K62">
        <v>1</v>
      </c>
      <c r="L62">
        <v>5</v>
      </c>
      <c r="M62">
        <v>5</v>
      </c>
      <c r="N62">
        <v>1</v>
      </c>
      <c r="U62" t="s">
        <v>20</v>
      </c>
      <c r="Z62">
        <v>7</v>
      </c>
      <c r="AA62">
        <v>7</v>
      </c>
      <c r="AB62">
        <v>7</v>
      </c>
      <c r="AC62">
        <v>7</v>
      </c>
      <c r="AD62">
        <v>7</v>
      </c>
      <c r="AE62">
        <v>7</v>
      </c>
      <c r="AF62" t="s">
        <v>24</v>
      </c>
      <c r="AG62" t="s">
        <v>25</v>
      </c>
      <c r="AM62" t="s">
        <v>31</v>
      </c>
      <c r="AO62" t="s">
        <v>33</v>
      </c>
      <c r="AQ62" t="s">
        <v>39</v>
      </c>
      <c r="AS62">
        <v>4</v>
      </c>
      <c r="AT62">
        <v>4</v>
      </c>
      <c r="AU62">
        <v>5</v>
      </c>
      <c r="AV62">
        <v>5</v>
      </c>
      <c r="AW62">
        <v>6</v>
      </c>
      <c r="AX62">
        <v>7</v>
      </c>
      <c r="AY62">
        <v>5</v>
      </c>
      <c r="BA62" t="s">
        <v>35</v>
      </c>
      <c r="BB62" t="s">
        <v>36</v>
      </c>
      <c r="BC62" t="s">
        <v>41</v>
      </c>
    </row>
    <row r="63" spans="1:55" x14ac:dyDescent="0.3">
      <c r="A63" t="s">
        <v>47</v>
      </c>
      <c r="B63" t="s">
        <v>8</v>
      </c>
      <c r="E63" t="s">
        <v>11</v>
      </c>
      <c r="I63">
        <v>4</v>
      </c>
      <c r="J63">
        <v>4</v>
      </c>
      <c r="K63">
        <v>3</v>
      </c>
      <c r="L63">
        <v>3</v>
      </c>
      <c r="M63">
        <v>5</v>
      </c>
      <c r="N63">
        <v>3</v>
      </c>
      <c r="T63" t="s">
        <v>19</v>
      </c>
      <c r="U63" t="s">
        <v>20</v>
      </c>
      <c r="Z63">
        <v>6</v>
      </c>
      <c r="AA63">
        <v>6</v>
      </c>
      <c r="AB63">
        <v>6</v>
      </c>
      <c r="AC63">
        <v>6</v>
      </c>
      <c r="AD63">
        <v>6</v>
      </c>
      <c r="AE63">
        <v>6</v>
      </c>
      <c r="AI63" t="s">
        <v>27</v>
      </c>
      <c r="AM63" t="s">
        <v>31</v>
      </c>
      <c r="AO63" t="s">
        <v>54</v>
      </c>
      <c r="AQ63" t="s">
        <v>34</v>
      </c>
      <c r="AS63">
        <v>7</v>
      </c>
      <c r="AT63">
        <v>7</v>
      </c>
      <c r="AU63">
        <v>7</v>
      </c>
      <c r="AV63">
        <v>7</v>
      </c>
      <c r="AW63">
        <v>7</v>
      </c>
      <c r="AX63">
        <v>7</v>
      </c>
      <c r="AY63">
        <v>7</v>
      </c>
      <c r="BA63" t="s">
        <v>35</v>
      </c>
      <c r="BB63" t="s">
        <v>43</v>
      </c>
      <c r="BC63" t="s">
        <v>41</v>
      </c>
    </row>
    <row r="64" spans="1:55" x14ac:dyDescent="0.3">
      <c r="A64" t="s">
        <v>67</v>
      </c>
      <c r="B64" t="s">
        <v>8</v>
      </c>
      <c r="I64">
        <v>2</v>
      </c>
      <c r="J64">
        <v>4</v>
      </c>
      <c r="K64">
        <v>3</v>
      </c>
      <c r="L64">
        <v>4</v>
      </c>
      <c r="M64">
        <v>5</v>
      </c>
      <c r="N64">
        <v>4</v>
      </c>
      <c r="O64" t="s">
        <v>14</v>
      </c>
      <c r="P64" t="s">
        <v>15</v>
      </c>
      <c r="T64" t="s">
        <v>19</v>
      </c>
      <c r="U64" t="s">
        <v>20</v>
      </c>
      <c r="V64" t="s">
        <v>21</v>
      </c>
      <c r="Z64">
        <v>7</v>
      </c>
      <c r="AA64">
        <v>7</v>
      </c>
      <c r="AB64">
        <v>7</v>
      </c>
      <c r="AC64">
        <v>7</v>
      </c>
      <c r="AD64">
        <v>7</v>
      </c>
      <c r="AE64">
        <v>7</v>
      </c>
      <c r="AK64" t="s">
        <v>29</v>
      </c>
      <c r="AO64" t="s">
        <v>33</v>
      </c>
      <c r="AQ64" t="s">
        <v>39</v>
      </c>
      <c r="AS64">
        <v>7</v>
      </c>
      <c r="AT64">
        <v>7</v>
      </c>
      <c r="AU64">
        <v>7</v>
      </c>
      <c r="AV64">
        <v>7</v>
      </c>
      <c r="AW64">
        <v>7</v>
      </c>
      <c r="AX64">
        <v>7</v>
      </c>
      <c r="AY64">
        <v>6</v>
      </c>
      <c r="BA64" t="s">
        <v>35</v>
      </c>
      <c r="BB64" t="s">
        <v>40</v>
      </c>
      <c r="BC64" t="s">
        <v>41</v>
      </c>
    </row>
    <row r="65" spans="1:55" x14ac:dyDescent="0.3">
      <c r="A65" t="s">
        <v>44</v>
      </c>
      <c r="B65" t="s">
        <v>8</v>
      </c>
      <c r="C65" t="s">
        <v>9</v>
      </c>
      <c r="D65" t="s">
        <v>10</v>
      </c>
      <c r="E65" t="s">
        <v>11</v>
      </c>
      <c r="I65">
        <v>5</v>
      </c>
      <c r="J65">
        <v>5</v>
      </c>
      <c r="K65">
        <v>3</v>
      </c>
      <c r="L65">
        <v>1</v>
      </c>
      <c r="M65">
        <v>1</v>
      </c>
      <c r="N65">
        <v>1</v>
      </c>
      <c r="O65" t="s">
        <v>14</v>
      </c>
      <c r="R65" t="s">
        <v>17</v>
      </c>
      <c r="T65" t="s">
        <v>19</v>
      </c>
      <c r="U65" t="s">
        <v>20</v>
      </c>
      <c r="V65" t="s">
        <v>21</v>
      </c>
      <c r="Z65">
        <v>5</v>
      </c>
      <c r="AA65">
        <v>5</v>
      </c>
      <c r="AB65">
        <v>5</v>
      </c>
      <c r="AC65">
        <v>5</v>
      </c>
      <c r="AD65">
        <v>7</v>
      </c>
      <c r="AE65">
        <v>7</v>
      </c>
      <c r="AM65" t="s">
        <v>31</v>
      </c>
      <c r="AO65" t="s">
        <v>54</v>
      </c>
      <c r="AQ65" t="s">
        <v>39</v>
      </c>
      <c r="AS65">
        <v>5</v>
      </c>
      <c r="AT65">
        <v>5</v>
      </c>
      <c r="AU65">
        <v>5</v>
      </c>
      <c r="AV65">
        <v>5</v>
      </c>
      <c r="AW65">
        <v>7</v>
      </c>
      <c r="AX65">
        <v>7</v>
      </c>
      <c r="AY65">
        <v>7</v>
      </c>
      <c r="BA65">
        <v>5</v>
      </c>
      <c r="BB65" t="s">
        <v>43</v>
      </c>
      <c r="BC65" t="s">
        <v>41</v>
      </c>
    </row>
    <row r="66" spans="1:55" x14ac:dyDescent="0.3">
      <c r="A66" t="s">
        <v>32</v>
      </c>
      <c r="D66" t="s">
        <v>10</v>
      </c>
      <c r="E66" t="s">
        <v>11</v>
      </c>
      <c r="F66" t="s">
        <v>12</v>
      </c>
      <c r="I66">
        <v>5</v>
      </c>
      <c r="J66">
        <v>5</v>
      </c>
      <c r="K66">
        <v>5</v>
      </c>
      <c r="L66">
        <v>5</v>
      </c>
      <c r="M66">
        <v>5</v>
      </c>
      <c r="N66">
        <v>5</v>
      </c>
      <c r="P66" t="s">
        <v>15</v>
      </c>
      <c r="Q66" t="s">
        <v>16</v>
      </c>
      <c r="T66" t="s">
        <v>19</v>
      </c>
      <c r="U66" t="s">
        <v>20</v>
      </c>
      <c r="V66" t="s">
        <v>21</v>
      </c>
      <c r="Z66">
        <v>7</v>
      </c>
      <c r="AA66">
        <v>7</v>
      </c>
      <c r="AB66">
        <v>7</v>
      </c>
      <c r="AC66">
        <v>7</v>
      </c>
      <c r="AD66">
        <v>7</v>
      </c>
      <c r="AE66">
        <v>7</v>
      </c>
      <c r="AM66" t="s">
        <v>31</v>
      </c>
      <c r="AO66" t="s">
        <v>33</v>
      </c>
      <c r="AQ66" t="s">
        <v>34</v>
      </c>
      <c r="AS66">
        <v>7</v>
      </c>
      <c r="AT66">
        <v>7</v>
      </c>
      <c r="AU66">
        <v>7</v>
      </c>
      <c r="AV66">
        <v>7</v>
      </c>
      <c r="AW66">
        <v>7</v>
      </c>
      <c r="AX66">
        <v>7</v>
      </c>
      <c r="AY66">
        <v>5</v>
      </c>
      <c r="BA66" t="s">
        <v>35</v>
      </c>
      <c r="BB66" t="s">
        <v>43</v>
      </c>
      <c r="BC66" t="s">
        <v>41</v>
      </c>
    </row>
    <row r="67" spans="1:55" x14ac:dyDescent="0.3">
      <c r="A67" t="s">
        <v>47</v>
      </c>
      <c r="B67" t="s">
        <v>8</v>
      </c>
      <c r="E67" t="s">
        <v>11</v>
      </c>
      <c r="F67" t="s">
        <v>12</v>
      </c>
      <c r="I67">
        <v>5</v>
      </c>
      <c r="J67">
        <v>5</v>
      </c>
      <c r="L67">
        <v>4</v>
      </c>
      <c r="P67" t="s">
        <v>15</v>
      </c>
      <c r="T67" t="s">
        <v>19</v>
      </c>
      <c r="U67" t="s">
        <v>20</v>
      </c>
      <c r="W67" t="s">
        <v>22</v>
      </c>
      <c r="Z67">
        <v>4</v>
      </c>
      <c r="AA67">
        <v>5</v>
      </c>
      <c r="AB67">
        <v>5</v>
      </c>
      <c r="AC67">
        <v>5</v>
      </c>
      <c r="AD67">
        <v>4</v>
      </c>
      <c r="AE67">
        <v>7</v>
      </c>
      <c r="AG67" t="s">
        <v>25</v>
      </c>
      <c r="AJ67" t="s">
        <v>28</v>
      </c>
      <c r="AL67" t="s">
        <v>30</v>
      </c>
      <c r="AM67" t="s">
        <v>31</v>
      </c>
      <c r="AN67" t="s">
        <v>88</v>
      </c>
      <c r="AO67" t="s">
        <v>33</v>
      </c>
      <c r="AQ67" t="s">
        <v>34</v>
      </c>
      <c r="AS67">
        <v>6</v>
      </c>
      <c r="AT67">
        <v>6</v>
      </c>
      <c r="AU67">
        <v>6</v>
      </c>
      <c r="AV67">
        <v>7</v>
      </c>
      <c r="AW67">
        <v>7</v>
      </c>
      <c r="AX67">
        <v>7</v>
      </c>
      <c r="AY67">
        <v>6</v>
      </c>
      <c r="BA67" t="s">
        <v>35</v>
      </c>
      <c r="BB67">
        <v>65</v>
      </c>
      <c r="BC67" t="s">
        <v>41</v>
      </c>
    </row>
    <row r="68" spans="1:55" x14ac:dyDescent="0.3">
      <c r="A68" t="s">
        <v>32</v>
      </c>
      <c r="C68" t="s">
        <v>9</v>
      </c>
      <c r="E68" t="s">
        <v>11</v>
      </c>
      <c r="F68" t="s">
        <v>12</v>
      </c>
      <c r="I68">
        <v>5</v>
      </c>
      <c r="J68">
        <v>4</v>
      </c>
      <c r="K68">
        <v>3</v>
      </c>
      <c r="L68">
        <v>4</v>
      </c>
      <c r="M68">
        <v>5</v>
      </c>
      <c r="N68">
        <v>5</v>
      </c>
      <c r="P68" t="s">
        <v>15</v>
      </c>
      <c r="R68" t="s">
        <v>17</v>
      </c>
      <c r="T68" t="s">
        <v>19</v>
      </c>
      <c r="U68" t="s">
        <v>20</v>
      </c>
      <c r="V68" t="s">
        <v>21</v>
      </c>
      <c r="W68" t="s">
        <v>22</v>
      </c>
      <c r="Z68">
        <v>5</v>
      </c>
      <c r="AA68">
        <v>6</v>
      </c>
      <c r="AB68">
        <v>5</v>
      </c>
      <c r="AC68">
        <v>6</v>
      </c>
      <c r="AD68">
        <v>4</v>
      </c>
      <c r="AE68">
        <v>5</v>
      </c>
      <c r="AF68" t="s">
        <v>24</v>
      </c>
      <c r="AG68" t="s">
        <v>25</v>
      </c>
      <c r="AI68" t="s">
        <v>27</v>
      </c>
      <c r="AL68" t="s">
        <v>30</v>
      </c>
      <c r="AM68" t="s">
        <v>31</v>
      </c>
      <c r="AO68" t="s">
        <v>54</v>
      </c>
      <c r="AQ68" t="s">
        <v>34</v>
      </c>
      <c r="AS68">
        <v>6</v>
      </c>
      <c r="AT68">
        <v>7</v>
      </c>
      <c r="AU68">
        <v>7</v>
      </c>
      <c r="AV68">
        <v>7</v>
      </c>
      <c r="AW68">
        <v>7</v>
      </c>
      <c r="AX68">
        <v>7</v>
      </c>
      <c r="AY68">
        <v>7</v>
      </c>
      <c r="BA68">
        <v>6</v>
      </c>
      <c r="BB68">
        <v>65</v>
      </c>
      <c r="BC68" t="s">
        <v>37</v>
      </c>
    </row>
    <row r="69" spans="1:55" x14ac:dyDescent="0.3">
      <c r="A69" t="s">
        <v>47</v>
      </c>
      <c r="D69" t="s">
        <v>10</v>
      </c>
      <c r="E69" t="s">
        <v>11</v>
      </c>
      <c r="F69" t="s">
        <v>12</v>
      </c>
      <c r="I69">
        <v>1</v>
      </c>
      <c r="J69">
        <v>1</v>
      </c>
      <c r="K69">
        <v>1</v>
      </c>
      <c r="L69">
        <v>1</v>
      </c>
      <c r="M69">
        <v>1</v>
      </c>
      <c r="N69">
        <v>1</v>
      </c>
      <c r="O69" t="s">
        <v>14</v>
      </c>
      <c r="P69" t="s">
        <v>15</v>
      </c>
      <c r="V69" t="s">
        <v>21</v>
      </c>
      <c r="W69" t="s">
        <v>22</v>
      </c>
      <c r="Y69" t="s">
        <v>89</v>
      </c>
      <c r="Z69">
        <v>3</v>
      </c>
      <c r="AA69">
        <v>3</v>
      </c>
      <c r="AB69">
        <v>4</v>
      </c>
      <c r="AC69">
        <v>2</v>
      </c>
      <c r="AD69">
        <v>6</v>
      </c>
      <c r="AE69">
        <v>6</v>
      </c>
      <c r="AG69" t="s">
        <v>25</v>
      </c>
      <c r="AM69" t="s">
        <v>31</v>
      </c>
      <c r="AN69" t="s">
        <v>90</v>
      </c>
      <c r="AO69" t="s">
        <v>33</v>
      </c>
      <c r="AQ69" t="s">
        <v>34</v>
      </c>
      <c r="AS69">
        <v>7</v>
      </c>
      <c r="AU69">
        <v>5</v>
      </c>
      <c r="AV69">
        <v>6</v>
      </c>
      <c r="AW69">
        <v>6</v>
      </c>
      <c r="AX69">
        <v>6</v>
      </c>
      <c r="AY69">
        <v>6</v>
      </c>
      <c r="BA69" t="s">
        <v>35</v>
      </c>
      <c r="BB69" t="s">
        <v>43</v>
      </c>
      <c r="BC69" t="s">
        <v>41</v>
      </c>
    </row>
    <row r="70" spans="1:55" x14ac:dyDescent="0.3">
      <c r="A70" t="s">
        <v>47</v>
      </c>
      <c r="D70" t="s">
        <v>10</v>
      </c>
      <c r="F70" t="s">
        <v>12</v>
      </c>
      <c r="I70">
        <v>5</v>
      </c>
      <c r="J70">
        <v>4</v>
      </c>
      <c r="K70">
        <v>3</v>
      </c>
      <c r="L70">
        <v>3</v>
      </c>
      <c r="M70">
        <v>4</v>
      </c>
      <c r="N70">
        <v>3</v>
      </c>
      <c r="R70" t="s">
        <v>17</v>
      </c>
      <c r="T70" t="s">
        <v>19</v>
      </c>
      <c r="U70" t="s">
        <v>20</v>
      </c>
      <c r="V70" t="s">
        <v>21</v>
      </c>
      <c r="Z70">
        <v>5</v>
      </c>
      <c r="AA70">
        <v>6</v>
      </c>
      <c r="AB70">
        <v>7</v>
      </c>
      <c r="AC70">
        <v>6</v>
      </c>
      <c r="AD70">
        <v>7</v>
      </c>
      <c r="AE70">
        <v>6</v>
      </c>
      <c r="AF70" t="s">
        <v>24</v>
      </c>
      <c r="AI70" t="s">
        <v>27</v>
      </c>
      <c r="AM70" t="s">
        <v>31</v>
      </c>
      <c r="AO70" t="s">
        <v>54</v>
      </c>
      <c r="AQ70" t="s">
        <v>39</v>
      </c>
      <c r="AS70">
        <v>6</v>
      </c>
      <c r="AT70">
        <v>5</v>
      </c>
      <c r="AU70">
        <v>6</v>
      </c>
      <c r="AV70">
        <v>5</v>
      </c>
      <c r="AW70">
        <v>6</v>
      </c>
      <c r="AX70">
        <v>6</v>
      </c>
      <c r="AY70">
        <v>4</v>
      </c>
      <c r="BA70">
        <v>6</v>
      </c>
      <c r="BB70" t="s">
        <v>40</v>
      </c>
      <c r="BC70" t="s">
        <v>41</v>
      </c>
    </row>
    <row r="71" spans="1:55" x14ac:dyDescent="0.3">
      <c r="A71" t="s">
        <v>47</v>
      </c>
      <c r="E71" t="s">
        <v>11</v>
      </c>
      <c r="I71">
        <v>5</v>
      </c>
      <c r="J71">
        <v>5</v>
      </c>
      <c r="K71">
        <v>1</v>
      </c>
      <c r="L71">
        <v>5</v>
      </c>
      <c r="M71">
        <v>3</v>
      </c>
      <c r="N71">
        <v>3</v>
      </c>
      <c r="O71" t="s">
        <v>14</v>
      </c>
      <c r="T71" t="s">
        <v>19</v>
      </c>
      <c r="V71" t="s">
        <v>21</v>
      </c>
      <c r="Z71">
        <v>5</v>
      </c>
      <c r="AA71">
        <v>4</v>
      </c>
      <c r="AB71">
        <v>7</v>
      </c>
      <c r="AC71">
        <v>6</v>
      </c>
      <c r="AD71">
        <v>7</v>
      </c>
      <c r="AE71">
        <v>7</v>
      </c>
      <c r="AJ71" t="s">
        <v>28</v>
      </c>
      <c r="AO71" t="s">
        <v>42</v>
      </c>
      <c r="AQ71" t="s">
        <v>34</v>
      </c>
      <c r="AS71">
        <v>7</v>
      </c>
      <c r="AT71">
        <v>7</v>
      </c>
      <c r="AU71">
        <v>7</v>
      </c>
      <c r="AV71">
        <v>7</v>
      </c>
      <c r="AW71">
        <v>7</v>
      </c>
      <c r="AX71">
        <v>7</v>
      </c>
      <c r="AY71">
        <v>7</v>
      </c>
      <c r="BA71" t="s">
        <v>35</v>
      </c>
      <c r="BB71" t="s">
        <v>36</v>
      </c>
      <c r="BC71" t="s">
        <v>41</v>
      </c>
    </row>
    <row r="72" spans="1:55" x14ac:dyDescent="0.3">
      <c r="A72" t="s">
        <v>44</v>
      </c>
      <c r="F72" t="s">
        <v>12</v>
      </c>
      <c r="I72">
        <v>4</v>
      </c>
      <c r="J72">
        <v>4</v>
      </c>
      <c r="K72">
        <v>2</v>
      </c>
      <c r="L72">
        <v>2</v>
      </c>
      <c r="M72">
        <v>4</v>
      </c>
      <c r="N72">
        <v>4</v>
      </c>
      <c r="O72" t="s">
        <v>14</v>
      </c>
      <c r="T72" t="s">
        <v>19</v>
      </c>
      <c r="U72" t="s">
        <v>20</v>
      </c>
      <c r="Y72" t="s">
        <v>91</v>
      </c>
      <c r="Z72">
        <v>5</v>
      </c>
      <c r="AA72">
        <v>6</v>
      </c>
      <c r="AB72">
        <v>6</v>
      </c>
      <c r="AC72">
        <v>7</v>
      </c>
      <c r="AD72">
        <v>7</v>
      </c>
      <c r="AE72">
        <v>1</v>
      </c>
      <c r="AG72" t="s">
        <v>25</v>
      </c>
      <c r="AH72" t="s">
        <v>26</v>
      </c>
      <c r="AL72" t="s">
        <v>30</v>
      </c>
      <c r="AM72" t="s">
        <v>31</v>
      </c>
      <c r="AO72" t="s">
        <v>54</v>
      </c>
      <c r="AQ72" t="s">
        <v>39</v>
      </c>
      <c r="AS72">
        <v>4</v>
      </c>
      <c r="AT72" t="s">
        <v>50</v>
      </c>
      <c r="AU72">
        <v>7</v>
      </c>
      <c r="AV72">
        <v>7</v>
      </c>
      <c r="AW72">
        <v>7</v>
      </c>
      <c r="AX72">
        <v>7</v>
      </c>
      <c r="AY72">
        <v>6</v>
      </c>
      <c r="AZ72" t="s">
        <v>92</v>
      </c>
      <c r="BA72" t="s">
        <v>35</v>
      </c>
      <c r="BB72">
        <v>65</v>
      </c>
      <c r="BC72" t="s">
        <v>41</v>
      </c>
    </row>
    <row r="73" spans="1:55" x14ac:dyDescent="0.3">
      <c r="A73" t="s">
        <v>47</v>
      </c>
      <c r="C73" t="s">
        <v>9</v>
      </c>
      <c r="E73" t="s">
        <v>11</v>
      </c>
      <c r="I73">
        <v>5</v>
      </c>
      <c r="L73">
        <v>5</v>
      </c>
      <c r="N73">
        <v>5</v>
      </c>
      <c r="O73" t="s">
        <v>14</v>
      </c>
      <c r="P73" t="s">
        <v>15</v>
      </c>
      <c r="S73" t="s">
        <v>18</v>
      </c>
      <c r="T73" t="s">
        <v>19</v>
      </c>
      <c r="U73" t="s">
        <v>20</v>
      </c>
      <c r="V73" t="s">
        <v>21</v>
      </c>
      <c r="Z73">
        <v>7</v>
      </c>
      <c r="AA73">
        <v>7</v>
      </c>
      <c r="AB73">
        <v>7</v>
      </c>
      <c r="AC73">
        <v>7</v>
      </c>
      <c r="AD73">
        <v>7</v>
      </c>
      <c r="AE73">
        <v>7</v>
      </c>
      <c r="AG73" t="s">
        <v>25</v>
      </c>
      <c r="AJ73" t="s">
        <v>28</v>
      </c>
      <c r="AM73" t="s">
        <v>31</v>
      </c>
      <c r="AO73" t="s">
        <v>33</v>
      </c>
      <c r="AQ73" t="s">
        <v>49</v>
      </c>
      <c r="AS73">
        <v>7</v>
      </c>
      <c r="AT73">
        <v>5</v>
      </c>
      <c r="AU73">
        <v>6</v>
      </c>
      <c r="AV73">
        <v>6</v>
      </c>
      <c r="AW73">
        <v>7</v>
      </c>
      <c r="AX73">
        <v>7</v>
      </c>
      <c r="AY73">
        <v>6</v>
      </c>
      <c r="BA73" t="s">
        <v>35</v>
      </c>
      <c r="BB73">
        <v>65</v>
      </c>
      <c r="BC73" t="s">
        <v>37</v>
      </c>
    </row>
    <row r="74" spans="1:55" x14ac:dyDescent="0.3">
      <c r="A74" t="s">
        <v>47</v>
      </c>
      <c r="E74" t="s">
        <v>11</v>
      </c>
      <c r="I74">
        <v>5</v>
      </c>
      <c r="J74">
        <v>4</v>
      </c>
      <c r="K74">
        <v>1</v>
      </c>
      <c r="L74">
        <v>3</v>
      </c>
      <c r="M74">
        <v>2</v>
      </c>
      <c r="N74">
        <v>3</v>
      </c>
      <c r="S74" t="s">
        <v>18</v>
      </c>
      <c r="T74" t="s">
        <v>19</v>
      </c>
      <c r="U74" t="s">
        <v>20</v>
      </c>
      <c r="V74" t="s">
        <v>21</v>
      </c>
      <c r="Z74">
        <v>5</v>
      </c>
      <c r="AA74">
        <v>7</v>
      </c>
      <c r="AB74">
        <v>5</v>
      </c>
      <c r="AC74">
        <v>5</v>
      </c>
      <c r="AD74">
        <v>5</v>
      </c>
      <c r="AE74">
        <v>5</v>
      </c>
      <c r="AL74" t="s">
        <v>30</v>
      </c>
      <c r="AM74" t="s">
        <v>31</v>
      </c>
      <c r="AO74" t="s">
        <v>54</v>
      </c>
      <c r="AQ74" t="s">
        <v>34</v>
      </c>
      <c r="AS74">
        <v>7</v>
      </c>
      <c r="AT74">
        <v>6</v>
      </c>
      <c r="AU74">
        <v>6</v>
      </c>
      <c r="AV74">
        <v>6</v>
      </c>
      <c r="AW74">
        <v>6</v>
      </c>
      <c r="AX74">
        <v>6</v>
      </c>
      <c r="AY74">
        <v>6</v>
      </c>
      <c r="BA74" t="s">
        <v>35</v>
      </c>
      <c r="BB74" t="s">
        <v>43</v>
      </c>
      <c r="BC74" t="s">
        <v>41</v>
      </c>
    </row>
    <row r="75" spans="1:55" x14ac:dyDescent="0.3">
      <c r="A75" t="s">
        <v>47</v>
      </c>
      <c r="B75" t="s">
        <v>8</v>
      </c>
      <c r="D75" t="s">
        <v>10</v>
      </c>
      <c r="E75" t="s">
        <v>11</v>
      </c>
      <c r="I75">
        <v>5</v>
      </c>
      <c r="J75">
        <v>5</v>
      </c>
      <c r="K75">
        <v>5</v>
      </c>
      <c r="L75">
        <v>5</v>
      </c>
      <c r="M75">
        <v>5</v>
      </c>
      <c r="N75">
        <v>5</v>
      </c>
      <c r="O75" t="s">
        <v>14</v>
      </c>
      <c r="P75" t="s">
        <v>15</v>
      </c>
      <c r="T75" t="s">
        <v>19</v>
      </c>
      <c r="U75" t="s">
        <v>20</v>
      </c>
      <c r="V75" t="s">
        <v>21</v>
      </c>
      <c r="Y75" t="s">
        <v>93</v>
      </c>
      <c r="Z75">
        <v>6</v>
      </c>
      <c r="AA75">
        <v>4</v>
      </c>
      <c r="AB75">
        <v>6</v>
      </c>
      <c r="AC75">
        <v>6</v>
      </c>
      <c r="AD75">
        <v>6</v>
      </c>
      <c r="AE75">
        <v>4</v>
      </c>
      <c r="AI75" t="s">
        <v>27</v>
      </c>
      <c r="AJ75" t="s">
        <v>28</v>
      </c>
      <c r="AK75" t="s">
        <v>29</v>
      </c>
      <c r="AO75" t="s">
        <v>42</v>
      </c>
      <c r="AQ75" t="s">
        <v>34</v>
      </c>
      <c r="AS75">
        <v>7</v>
      </c>
      <c r="AT75" t="s">
        <v>50</v>
      </c>
      <c r="AU75">
        <v>7</v>
      </c>
      <c r="AV75">
        <v>7</v>
      </c>
      <c r="AW75">
        <v>7</v>
      </c>
      <c r="AX75">
        <v>7</v>
      </c>
      <c r="AY75">
        <v>7</v>
      </c>
      <c r="BA75" t="s">
        <v>35</v>
      </c>
      <c r="BB75" t="s">
        <v>40</v>
      </c>
      <c r="BC75" t="s">
        <v>41</v>
      </c>
    </row>
    <row r="76" spans="1:55" x14ac:dyDescent="0.3">
      <c r="A76" t="s">
        <v>44</v>
      </c>
      <c r="E76" t="s">
        <v>11</v>
      </c>
      <c r="I76">
        <v>3</v>
      </c>
      <c r="J76">
        <v>5</v>
      </c>
      <c r="K76">
        <v>1</v>
      </c>
      <c r="L76">
        <v>2</v>
      </c>
      <c r="M76">
        <v>5</v>
      </c>
      <c r="N76">
        <v>1</v>
      </c>
      <c r="O76" t="s">
        <v>14</v>
      </c>
      <c r="P76" t="s">
        <v>15</v>
      </c>
      <c r="Q76" t="s">
        <v>16</v>
      </c>
      <c r="T76" t="s">
        <v>19</v>
      </c>
      <c r="U76" t="s">
        <v>20</v>
      </c>
      <c r="Z76">
        <v>7</v>
      </c>
      <c r="AA76">
        <v>6</v>
      </c>
      <c r="AB76">
        <v>7</v>
      </c>
      <c r="AC76">
        <v>7</v>
      </c>
      <c r="AD76">
        <v>7</v>
      </c>
      <c r="AE76">
        <v>4</v>
      </c>
      <c r="AG76" t="s">
        <v>25</v>
      </c>
      <c r="AJ76" t="s">
        <v>28</v>
      </c>
      <c r="AL76" t="s">
        <v>30</v>
      </c>
      <c r="AM76" t="s">
        <v>31</v>
      </c>
      <c r="AO76" t="s">
        <v>33</v>
      </c>
      <c r="AQ76" t="s">
        <v>34</v>
      </c>
      <c r="AS76">
        <v>7</v>
      </c>
      <c r="AT76">
        <v>4</v>
      </c>
      <c r="AU76">
        <v>5</v>
      </c>
      <c r="AV76">
        <v>4</v>
      </c>
      <c r="AW76">
        <v>6</v>
      </c>
      <c r="AX76">
        <v>7</v>
      </c>
      <c r="AY76">
        <v>6</v>
      </c>
      <c r="BA76" t="s">
        <v>35</v>
      </c>
      <c r="BB76" t="s">
        <v>43</v>
      </c>
      <c r="BC76" t="s">
        <v>41</v>
      </c>
    </row>
    <row r="77" spans="1:55" x14ac:dyDescent="0.3">
      <c r="A77" t="s">
        <v>47</v>
      </c>
      <c r="C77" t="s">
        <v>9</v>
      </c>
      <c r="I77">
        <v>5</v>
      </c>
      <c r="J77">
        <v>3</v>
      </c>
      <c r="L77">
        <v>5</v>
      </c>
      <c r="M77">
        <v>5</v>
      </c>
      <c r="N77">
        <v>5</v>
      </c>
      <c r="O77" t="s">
        <v>14</v>
      </c>
      <c r="P77" t="s">
        <v>15</v>
      </c>
      <c r="R77" t="s">
        <v>17</v>
      </c>
      <c r="T77" t="s">
        <v>19</v>
      </c>
      <c r="U77" t="s">
        <v>20</v>
      </c>
      <c r="V77" t="s">
        <v>21</v>
      </c>
      <c r="Z77">
        <v>6</v>
      </c>
      <c r="AA77">
        <v>6</v>
      </c>
      <c r="AB77">
        <v>7</v>
      </c>
      <c r="AC77">
        <v>7</v>
      </c>
      <c r="AD77">
        <v>7</v>
      </c>
      <c r="AE77">
        <v>7</v>
      </c>
      <c r="AL77" t="s">
        <v>30</v>
      </c>
      <c r="AO77" t="s">
        <v>42</v>
      </c>
      <c r="AQ77" t="s">
        <v>39</v>
      </c>
      <c r="AS77">
        <v>7</v>
      </c>
      <c r="AT77">
        <v>7</v>
      </c>
      <c r="AU77">
        <v>7</v>
      </c>
      <c r="AV77">
        <v>7</v>
      </c>
      <c r="AW77">
        <v>7</v>
      </c>
      <c r="AX77">
        <v>7</v>
      </c>
      <c r="AY77">
        <v>7</v>
      </c>
      <c r="BA77" t="s">
        <v>35</v>
      </c>
      <c r="BB77" t="s">
        <v>40</v>
      </c>
      <c r="BC77" t="s">
        <v>41</v>
      </c>
    </row>
    <row r="78" spans="1:55" x14ac:dyDescent="0.3">
      <c r="A78" t="s">
        <v>47</v>
      </c>
      <c r="E78" t="s">
        <v>11</v>
      </c>
      <c r="I78">
        <v>5</v>
      </c>
      <c r="J78">
        <v>5</v>
      </c>
      <c r="K78">
        <v>3</v>
      </c>
      <c r="L78">
        <v>4</v>
      </c>
      <c r="M78">
        <v>5</v>
      </c>
      <c r="N78">
        <v>2</v>
      </c>
      <c r="P78" t="s">
        <v>15</v>
      </c>
      <c r="Q78" t="s">
        <v>16</v>
      </c>
      <c r="W78" t="s">
        <v>22</v>
      </c>
      <c r="Z78">
        <v>3</v>
      </c>
      <c r="AA78">
        <v>3</v>
      </c>
      <c r="AB78">
        <v>6</v>
      </c>
      <c r="AC78">
        <v>6</v>
      </c>
      <c r="AD78">
        <v>6</v>
      </c>
      <c r="AE78">
        <v>4</v>
      </c>
      <c r="AG78" t="s">
        <v>25</v>
      </c>
      <c r="AH78" t="s">
        <v>26</v>
      </c>
      <c r="AL78" t="s">
        <v>30</v>
      </c>
      <c r="AM78" t="s">
        <v>31</v>
      </c>
      <c r="AO78" t="s">
        <v>33</v>
      </c>
      <c r="AQ78" t="s">
        <v>39</v>
      </c>
      <c r="AS78">
        <v>6</v>
      </c>
      <c r="AT78">
        <v>6</v>
      </c>
      <c r="AU78">
        <v>6</v>
      </c>
      <c r="AV78">
        <v>5</v>
      </c>
      <c r="AW78">
        <v>6</v>
      </c>
      <c r="AX78">
        <v>7</v>
      </c>
      <c r="AY78">
        <v>6</v>
      </c>
      <c r="BA78" t="s">
        <v>35</v>
      </c>
      <c r="BB78" t="s">
        <v>40</v>
      </c>
      <c r="BC78" t="s">
        <v>41</v>
      </c>
    </row>
    <row r="79" spans="1:55" x14ac:dyDescent="0.3">
      <c r="A79" t="s">
        <v>47</v>
      </c>
      <c r="B79" t="s">
        <v>8</v>
      </c>
      <c r="E79" t="s">
        <v>11</v>
      </c>
      <c r="I79">
        <v>5</v>
      </c>
      <c r="J79">
        <v>5</v>
      </c>
      <c r="K79">
        <v>1</v>
      </c>
      <c r="L79">
        <v>1</v>
      </c>
      <c r="M79">
        <v>5</v>
      </c>
      <c r="N79">
        <v>3</v>
      </c>
      <c r="P79" t="s">
        <v>15</v>
      </c>
      <c r="T79" t="s">
        <v>19</v>
      </c>
      <c r="U79" t="s">
        <v>20</v>
      </c>
      <c r="W79" t="s">
        <v>22</v>
      </c>
      <c r="Y79" t="s">
        <v>94</v>
      </c>
      <c r="Z79">
        <v>7</v>
      </c>
      <c r="AA79">
        <v>7</v>
      </c>
      <c r="AB79">
        <v>7</v>
      </c>
      <c r="AC79">
        <v>7</v>
      </c>
      <c r="AD79">
        <v>7</v>
      </c>
      <c r="AE79">
        <v>1</v>
      </c>
      <c r="AJ79" t="s">
        <v>28</v>
      </c>
      <c r="AL79" t="s">
        <v>30</v>
      </c>
      <c r="AM79" t="s">
        <v>31</v>
      </c>
      <c r="AO79" t="s">
        <v>33</v>
      </c>
      <c r="AQ79" t="s">
        <v>34</v>
      </c>
      <c r="BB79" t="s">
        <v>36</v>
      </c>
      <c r="BC79" t="s">
        <v>37</v>
      </c>
    </row>
    <row r="80" spans="1:55" x14ac:dyDescent="0.3">
      <c r="A80" t="s">
        <v>67</v>
      </c>
      <c r="E80" t="s">
        <v>11</v>
      </c>
      <c r="F80" t="s">
        <v>12</v>
      </c>
      <c r="I80">
        <v>5</v>
      </c>
      <c r="J80">
        <v>5</v>
      </c>
      <c r="K80">
        <v>1</v>
      </c>
      <c r="L80">
        <v>2</v>
      </c>
      <c r="M80">
        <v>5</v>
      </c>
      <c r="N80">
        <v>2</v>
      </c>
      <c r="O80" t="s">
        <v>14</v>
      </c>
      <c r="S80" t="s">
        <v>18</v>
      </c>
      <c r="T80" t="s">
        <v>19</v>
      </c>
      <c r="U80" t="s">
        <v>20</v>
      </c>
      <c r="Z80">
        <v>7</v>
      </c>
      <c r="AA80">
        <v>7</v>
      </c>
      <c r="AB80">
        <v>7</v>
      </c>
      <c r="AC80">
        <v>4</v>
      </c>
      <c r="AD80">
        <v>7</v>
      </c>
      <c r="AE80">
        <v>7</v>
      </c>
      <c r="AF80" t="s">
        <v>24</v>
      </c>
      <c r="AG80" t="s">
        <v>25</v>
      </c>
      <c r="AI80" t="s">
        <v>27</v>
      </c>
      <c r="AL80" t="s">
        <v>30</v>
      </c>
      <c r="AO80" t="s">
        <v>54</v>
      </c>
      <c r="AQ80" t="s">
        <v>39</v>
      </c>
      <c r="BB80" t="s">
        <v>36</v>
      </c>
      <c r="BC80" t="s">
        <v>41</v>
      </c>
    </row>
    <row r="81" spans="1:55" x14ac:dyDescent="0.3">
      <c r="A81" t="s">
        <v>67</v>
      </c>
      <c r="B81" t="s">
        <v>8</v>
      </c>
      <c r="D81" t="s">
        <v>10</v>
      </c>
      <c r="E81" t="s">
        <v>11</v>
      </c>
      <c r="F81" t="s">
        <v>12</v>
      </c>
      <c r="I81">
        <v>4</v>
      </c>
      <c r="J81">
        <v>4</v>
      </c>
      <c r="K81">
        <v>4</v>
      </c>
      <c r="L81">
        <v>4</v>
      </c>
      <c r="M81">
        <v>4</v>
      </c>
      <c r="N81">
        <v>4</v>
      </c>
      <c r="O81" t="s">
        <v>14</v>
      </c>
      <c r="P81" t="s">
        <v>15</v>
      </c>
      <c r="T81" t="s">
        <v>19</v>
      </c>
      <c r="U81" t="s">
        <v>20</v>
      </c>
      <c r="V81" t="s">
        <v>21</v>
      </c>
      <c r="Z81">
        <v>7</v>
      </c>
      <c r="AA81">
        <v>6</v>
      </c>
      <c r="AB81">
        <v>6</v>
      </c>
      <c r="AC81">
        <v>6</v>
      </c>
      <c r="AD81">
        <v>6</v>
      </c>
      <c r="AE81">
        <v>7</v>
      </c>
      <c r="AF81" t="s">
        <v>24</v>
      </c>
      <c r="AH81" t="s">
        <v>26</v>
      </c>
      <c r="AL81" t="s">
        <v>30</v>
      </c>
      <c r="AO81" t="s">
        <v>42</v>
      </c>
      <c r="AQ81" t="s">
        <v>34</v>
      </c>
      <c r="BB81" t="s">
        <v>40</v>
      </c>
      <c r="BC81" t="s">
        <v>41</v>
      </c>
    </row>
    <row r="82" spans="1:55" x14ac:dyDescent="0.3">
      <c r="A82" t="s">
        <v>47</v>
      </c>
      <c r="E82" t="s">
        <v>11</v>
      </c>
      <c r="F82" t="s">
        <v>12</v>
      </c>
      <c r="I82">
        <v>4</v>
      </c>
      <c r="J82">
        <v>5</v>
      </c>
      <c r="K82">
        <v>2</v>
      </c>
      <c r="L82">
        <v>3</v>
      </c>
      <c r="M82">
        <v>4</v>
      </c>
      <c r="N82">
        <v>5</v>
      </c>
      <c r="Q82" t="s">
        <v>16</v>
      </c>
      <c r="T82" t="s">
        <v>19</v>
      </c>
      <c r="W82" t="s">
        <v>22</v>
      </c>
      <c r="Z82">
        <v>5</v>
      </c>
      <c r="AA82">
        <v>5</v>
      </c>
      <c r="AB82">
        <v>6</v>
      </c>
      <c r="AC82">
        <v>6</v>
      </c>
      <c r="AD82">
        <v>5</v>
      </c>
      <c r="AE82">
        <v>3</v>
      </c>
      <c r="AG82" t="s">
        <v>25</v>
      </c>
      <c r="AH82" t="s">
        <v>26</v>
      </c>
      <c r="AJ82" t="s">
        <v>28</v>
      </c>
      <c r="AM82" t="s">
        <v>31</v>
      </c>
      <c r="AO82" t="s">
        <v>42</v>
      </c>
      <c r="AQ82" t="s">
        <v>34</v>
      </c>
      <c r="BB82" t="s">
        <v>53</v>
      </c>
      <c r="BC82" t="s">
        <v>41</v>
      </c>
    </row>
    <row r="83" spans="1:55" x14ac:dyDescent="0.3">
      <c r="A83" t="s">
        <v>44</v>
      </c>
      <c r="C83" t="s">
        <v>9</v>
      </c>
      <c r="E83" t="s">
        <v>11</v>
      </c>
      <c r="I83">
        <v>5</v>
      </c>
      <c r="L83">
        <v>5</v>
      </c>
      <c r="M83">
        <v>5</v>
      </c>
      <c r="T83" t="s">
        <v>19</v>
      </c>
      <c r="U83" t="s">
        <v>20</v>
      </c>
      <c r="V83" t="s">
        <v>21</v>
      </c>
      <c r="W83" t="s">
        <v>22</v>
      </c>
      <c r="Z83">
        <v>7</v>
      </c>
      <c r="AA83">
        <v>7</v>
      </c>
      <c r="AB83">
        <v>7</v>
      </c>
      <c r="AC83">
        <v>7</v>
      </c>
      <c r="AD83">
        <v>7</v>
      </c>
      <c r="AE83">
        <v>4</v>
      </c>
      <c r="AG83" t="s">
        <v>25</v>
      </c>
      <c r="AO83" t="s">
        <v>33</v>
      </c>
      <c r="AQ83" t="s">
        <v>34</v>
      </c>
      <c r="BB83" t="s">
        <v>36</v>
      </c>
      <c r="BC83" t="s">
        <v>41</v>
      </c>
    </row>
    <row r="84" spans="1:55" x14ac:dyDescent="0.3">
      <c r="A84" t="s">
        <v>67</v>
      </c>
      <c r="E84" t="s">
        <v>11</v>
      </c>
      <c r="I84">
        <v>2</v>
      </c>
      <c r="J84">
        <v>3</v>
      </c>
      <c r="K84">
        <v>1</v>
      </c>
      <c r="L84">
        <v>2</v>
      </c>
      <c r="M84">
        <v>5</v>
      </c>
      <c r="N84">
        <v>3</v>
      </c>
      <c r="U84" t="s">
        <v>20</v>
      </c>
      <c r="V84" t="s">
        <v>21</v>
      </c>
      <c r="Z84">
        <v>4</v>
      </c>
      <c r="AA84">
        <v>4</v>
      </c>
      <c r="AB84">
        <v>4</v>
      </c>
      <c r="AC84">
        <v>3</v>
      </c>
      <c r="AD84">
        <v>7</v>
      </c>
      <c r="AE84">
        <v>2</v>
      </c>
      <c r="AF84" t="s">
        <v>24</v>
      </c>
      <c r="AG84" t="s">
        <v>25</v>
      </c>
      <c r="AL84" t="s">
        <v>30</v>
      </c>
      <c r="AO84" t="s">
        <v>33</v>
      </c>
      <c r="AQ84" t="s">
        <v>39</v>
      </c>
      <c r="BB84" t="s">
        <v>36</v>
      </c>
      <c r="BC84" t="s">
        <v>41</v>
      </c>
    </row>
    <row r="85" spans="1:55" x14ac:dyDescent="0.3">
      <c r="A85" t="s">
        <v>47</v>
      </c>
      <c r="B85" t="s">
        <v>8</v>
      </c>
      <c r="E85" t="s">
        <v>11</v>
      </c>
      <c r="F85" t="s">
        <v>12</v>
      </c>
      <c r="I85">
        <v>5</v>
      </c>
      <c r="J85">
        <v>4</v>
      </c>
      <c r="K85">
        <v>3</v>
      </c>
      <c r="L85">
        <v>4</v>
      </c>
      <c r="M85">
        <v>4</v>
      </c>
      <c r="N85">
        <v>4</v>
      </c>
      <c r="O85" t="s">
        <v>14</v>
      </c>
      <c r="P85" t="s">
        <v>15</v>
      </c>
      <c r="T85" t="s">
        <v>19</v>
      </c>
      <c r="U85" t="s">
        <v>20</v>
      </c>
      <c r="V85" t="s">
        <v>21</v>
      </c>
      <c r="Z85">
        <v>7</v>
      </c>
      <c r="AA85">
        <v>7</v>
      </c>
      <c r="AB85">
        <v>7</v>
      </c>
      <c r="AC85">
        <v>7</v>
      </c>
      <c r="AD85">
        <v>7</v>
      </c>
      <c r="AE85">
        <v>5</v>
      </c>
      <c r="AF85" t="s">
        <v>24</v>
      </c>
      <c r="AG85" t="s">
        <v>25</v>
      </c>
      <c r="AH85" t="s">
        <v>26</v>
      </c>
      <c r="AI85" t="s">
        <v>27</v>
      </c>
      <c r="AJ85" t="s">
        <v>28</v>
      </c>
      <c r="AM85" t="s">
        <v>31</v>
      </c>
      <c r="AO85" t="s">
        <v>42</v>
      </c>
      <c r="AQ85" t="s">
        <v>34</v>
      </c>
      <c r="BB85" t="s">
        <v>43</v>
      </c>
      <c r="BC85" t="s">
        <v>41</v>
      </c>
    </row>
    <row r="86" spans="1:55" x14ac:dyDescent="0.3">
      <c r="A86" t="s">
        <v>67</v>
      </c>
      <c r="E86" t="s">
        <v>11</v>
      </c>
      <c r="I86">
        <v>5</v>
      </c>
      <c r="J86">
        <v>5</v>
      </c>
      <c r="K86">
        <v>1</v>
      </c>
      <c r="L86">
        <v>5</v>
      </c>
      <c r="M86">
        <v>5</v>
      </c>
      <c r="N86">
        <v>3</v>
      </c>
      <c r="S86" t="s">
        <v>18</v>
      </c>
      <c r="T86" t="s">
        <v>19</v>
      </c>
      <c r="U86" t="s">
        <v>20</v>
      </c>
      <c r="V86" t="s">
        <v>21</v>
      </c>
      <c r="Z86">
        <v>7</v>
      </c>
      <c r="AA86">
        <v>6</v>
      </c>
      <c r="AB86">
        <v>7</v>
      </c>
      <c r="AC86">
        <v>7</v>
      </c>
      <c r="AD86">
        <v>7</v>
      </c>
      <c r="AE86">
        <v>7</v>
      </c>
      <c r="AF86" t="s">
        <v>24</v>
      </c>
      <c r="AG86" t="s">
        <v>25</v>
      </c>
      <c r="AH86" t="s">
        <v>26</v>
      </c>
      <c r="AI86" t="s">
        <v>27</v>
      </c>
      <c r="AL86" t="s">
        <v>30</v>
      </c>
      <c r="AO86" t="s">
        <v>42</v>
      </c>
      <c r="AQ86" t="s">
        <v>39</v>
      </c>
      <c r="BB86" t="s">
        <v>36</v>
      </c>
      <c r="BC86" t="s">
        <v>41</v>
      </c>
    </row>
    <row r="87" spans="1:55" x14ac:dyDescent="0.3">
      <c r="A87" t="s">
        <v>67</v>
      </c>
      <c r="B87" t="s">
        <v>8</v>
      </c>
      <c r="D87" t="s">
        <v>10</v>
      </c>
      <c r="E87" t="s">
        <v>11</v>
      </c>
      <c r="F87" t="s">
        <v>12</v>
      </c>
      <c r="I87">
        <v>4</v>
      </c>
      <c r="J87">
        <v>3</v>
      </c>
      <c r="K87">
        <v>4</v>
      </c>
      <c r="L87">
        <v>3</v>
      </c>
      <c r="M87">
        <v>4</v>
      </c>
      <c r="N87">
        <v>4</v>
      </c>
      <c r="O87" t="s">
        <v>14</v>
      </c>
      <c r="P87" t="s">
        <v>15</v>
      </c>
      <c r="R87" t="s">
        <v>17</v>
      </c>
      <c r="T87" t="s">
        <v>19</v>
      </c>
      <c r="V87" t="s">
        <v>21</v>
      </c>
      <c r="W87" t="s">
        <v>22</v>
      </c>
      <c r="Y87" t="s">
        <v>95</v>
      </c>
      <c r="Z87">
        <v>6</v>
      </c>
      <c r="AA87">
        <v>5</v>
      </c>
      <c r="AB87">
        <v>6</v>
      </c>
      <c r="AC87">
        <v>5</v>
      </c>
      <c r="AD87">
        <v>6</v>
      </c>
      <c r="AE87">
        <v>6</v>
      </c>
      <c r="AG87" t="s">
        <v>25</v>
      </c>
      <c r="AH87" t="s">
        <v>26</v>
      </c>
      <c r="AI87" t="s">
        <v>27</v>
      </c>
      <c r="AJ87" t="s">
        <v>28</v>
      </c>
      <c r="AK87" t="s">
        <v>29</v>
      </c>
      <c r="AL87" t="s">
        <v>30</v>
      </c>
      <c r="AM87" t="s">
        <v>31</v>
      </c>
      <c r="AO87" t="s">
        <v>42</v>
      </c>
      <c r="AQ87" t="s">
        <v>34</v>
      </c>
      <c r="BB87" t="s">
        <v>40</v>
      </c>
      <c r="BC87" t="s">
        <v>41</v>
      </c>
    </row>
    <row r="88" spans="1:55" x14ac:dyDescent="0.3">
      <c r="A88" t="s">
        <v>67</v>
      </c>
      <c r="E88" t="s">
        <v>11</v>
      </c>
      <c r="I88">
        <v>5</v>
      </c>
      <c r="J88">
        <v>5</v>
      </c>
      <c r="K88">
        <v>5</v>
      </c>
      <c r="L88">
        <v>5</v>
      </c>
      <c r="M88">
        <v>5</v>
      </c>
      <c r="N88">
        <v>5</v>
      </c>
      <c r="P88" t="s">
        <v>15</v>
      </c>
      <c r="S88" t="s">
        <v>18</v>
      </c>
      <c r="T88" t="s">
        <v>19</v>
      </c>
      <c r="U88" t="s">
        <v>20</v>
      </c>
      <c r="V88" t="s">
        <v>21</v>
      </c>
      <c r="Z88">
        <v>7</v>
      </c>
      <c r="AA88">
        <v>7</v>
      </c>
      <c r="AB88">
        <v>7</v>
      </c>
      <c r="AC88">
        <v>7</v>
      </c>
      <c r="AD88">
        <v>7</v>
      </c>
      <c r="AF88" t="s">
        <v>24</v>
      </c>
      <c r="AG88" t="s">
        <v>25</v>
      </c>
      <c r="AH88" t="s">
        <v>26</v>
      </c>
      <c r="AO88" t="s">
        <v>42</v>
      </c>
      <c r="AQ88" t="s">
        <v>34</v>
      </c>
      <c r="BB88" t="s">
        <v>36</v>
      </c>
      <c r="BC88" t="s">
        <v>41</v>
      </c>
    </row>
    <row r="89" spans="1:55" x14ac:dyDescent="0.3">
      <c r="A89" t="s">
        <v>67</v>
      </c>
      <c r="E89" t="s">
        <v>11</v>
      </c>
      <c r="I89">
        <v>1</v>
      </c>
      <c r="J89">
        <v>3</v>
      </c>
      <c r="K89">
        <v>5</v>
      </c>
      <c r="L89">
        <v>3</v>
      </c>
      <c r="M89">
        <v>3</v>
      </c>
      <c r="N89">
        <v>3</v>
      </c>
      <c r="U89" t="s">
        <v>20</v>
      </c>
      <c r="Z89">
        <v>7</v>
      </c>
      <c r="AA89">
        <v>7</v>
      </c>
      <c r="AB89">
        <v>7</v>
      </c>
      <c r="AC89">
        <v>6</v>
      </c>
      <c r="AD89">
        <v>4</v>
      </c>
      <c r="AE89">
        <v>7</v>
      </c>
      <c r="AF89" t="s">
        <v>24</v>
      </c>
      <c r="AH89" t="s">
        <v>26</v>
      </c>
      <c r="AJ89" t="s">
        <v>28</v>
      </c>
      <c r="AL89" t="s">
        <v>30</v>
      </c>
      <c r="AM89" t="s">
        <v>31</v>
      </c>
      <c r="AO89" t="s">
        <v>42</v>
      </c>
      <c r="AQ89" t="s">
        <v>34</v>
      </c>
      <c r="BB89" t="s">
        <v>43</v>
      </c>
      <c r="BC89" t="s">
        <v>37</v>
      </c>
    </row>
    <row r="90" spans="1:55" x14ac:dyDescent="0.3">
      <c r="A90" t="s">
        <v>67</v>
      </c>
      <c r="B90" t="s">
        <v>8</v>
      </c>
      <c r="E90" t="s">
        <v>11</v>
      </c>
      <c r="F90" t="s">
        <v>12</v>
      </c>
      <c r="I90">
        <v>5</v>
      </c>
      <c r="J90">
        <v>3</v>
      </c>
      <c r="K90">
        <v>1</v>
      </c>
      <c r="L90">
        <v>3</v>
      </c>
      <c r="M90">
        <v>5</v>
      </c>
      <c r="N90">
        <v>3</v>
      </c>
      <c r="T90" t="s">
        <v>19</v>
      </c>
      <c r="U90" t="s">
        <v>20</v>
      </c>
      <c r="Z90">
        <v>7</v>
      </c>
      <c r="AA90">
        <v>4</v>
      </c>
      <c r="AB90">
        <v>7</v>
      </c>
      <c r="AC90">
        <v>6</v>
      </c>
      <c r="AD90">
        <v>7</v>
      </c>
      <c r="AE90">
        <v>4</v>
      </c>
      <c r="AF90" t="s">
        <v>24</v>
      </c>
      <c r="AL90" t="s">
        <v>30</v>
      </c>
      <c r="AM90" t="s">
        <v>31</v>
      </c>
      <c r="AO90" t="s">
        <v>42</v>
      </c>
      <c r="AQ90" t="s">
        <v>34</v>
      </c>
      <c r="BB90" t="s">
        <v>43</v>
      </c>
      <c r="BC90" t="s">
        <v>41</v>
      </c>
    </row>
    <row r="91" spans="1:55" x14ac:dyDescent="0.3">
      <c r="A91" t="s">
        <v>67</v>
      </c>
      <c r="E91" t="s">
        <v>11</v>
      </c>
      <c r="I91">
        <v>2</v>
      </c>
      <c r="J91">
        <v>5</v>
      </c>
      <c r="K91">
        <v>5</v>
      </c>
      <c r="M91">
        <v>5</v>
      </c>
      <c r="N91">
        <v>4</v>
      </c>
      <c r="P91" t="s">
        <v>15</v>
      </c>
      <c r="T91" t="s">
        <v>19</v>
      </c>
      <c r="Z91">
        <v>6</v>
      </c>
      <c r="AA91">
        <v>6</v>
      </c>
      <c r="AB91">
        <v>6</v>
      </c>
      <c r="AC91">
        <v>6</v>
      </c>
      <c r="AD91">
        <v>7</v>
      </c>
      <c r="AE91">
        <v>6</v>
      </c>
      <c r="AG91" t="s">
        <v>25</v>
      </c>
      <c r="AO91" t="s">
        <v>33</v>
      </c>
      <c r="AQ91" t="s">
        <v>39</v>
      </c>
      <c r="BB91" t="s">
        <v>43</v>
      </c>
      <c r="BC91" t="s">
        <v>41</v>
      </c>
    </row>
    <row r="92" spans="1:55" x14ac:dyDescent="0.3">
      <c r="A92" t="s">
        <v>67</v>
      </c>
      <c r="E92" t="s">
        <v>11</v>
      </c>
      <c r="F92" t="s">
        <v>12</v>
      </c>
      <c r="I92">
        <v>5</v>
      </c>
      <c r="L92">
        <v>5</v>
      </c>
      <c r="M92">
        <v>4</v>
      </c>
      <c r="N92">
        <v>5</v>
      </c>
      <c r="O92" t="s">
        <v>14</v>
      </c>
      <c r="Q92" t="s">
        <v>16</v>
      </c>
      <c r="S92" t="s">
        <v>18</v>
      </c>
      <c r="T92" t="s">
        <v>19</v>
      </c>
      <c r="U92" t="s">
        <v>20</v>
      </c>
      <c r="V92" t="s">
        <v>21</v>
      </c>
      <c r="Y92" t="s">
        <v>96</v>
      </c>
      <c r="Z92">
        <v>7</v>
      </c>
      <c r="AA92">
        <v>7</v>
      </c>
      <c r="AB92">
        <v>7</v>
      </c>
      <c r="AC92">
        <v>7</v>
      </c>
      <c r="AD92">
        <v>7</v>
      </c>
      <c r="AE92">
        <v>7</v>
      </c>
      <c r="AF92" t="s">
        <v>24</v>
      </c>
      <c r="AG92" t="s">
        <v>25</v>
      </c>
      <c r="AH92" t="s">
        <v>26</v>
      </c>
      <c r="AM92" t="s">
        <v>31</v>
      </c>
      <c r="AO92" t="s">
        <v>33</v>
      </c>
      <c r="AQ92" t="s">
        <v>34</v>
      </c>
      <c r="BB92">
        <v>65</v>
      </c>
      <c r="BC92" t="s">
        <v>41</v>
      </c>
    </row>
    <row r="93" spans="1:55" x14ac:dyDescent="0.3">
      <c r="A93" t="s">
        <v>67</v>
      </c>
      <c r="F93" t="s">
        <v>12</v>
      </c>
      <c r="H93" t="s">
        <v>97</v>
      </c>
      <c r="I93">
        <v>2</v>
      </c>
      <c r="J93">
        <v>2</v>
      </c>
      <c r="K93">
        <v>4</v>
      </c>
      <c r="L93">
        <v>4</v>
      </c>
      <c r="M93">
        <v>5</v>
      </c>
      <c r="N93">
        <v>4</v>
      </c>
      <c r="U93" t="s">
        <v>20</v>
      </c>
      <c r="V93" t="s">
        <v>21</v>
      </c>
      <c r="Z93">
        <v>3</v>
      </c>
      <c r="AA93">
        <v>2</v>
      </c>
      <c r="AB93">
        <v>6</v>
      </c>
      <c r="AC93">
        <v>6</v>
      </c>
      <c r="AD93">
        <v>6</v>
      </c>
      <c r="AE93">
        <v>1</v>
      </c>
      <c r="AG93" t="s">
        <v>25</v>
      </c>
      <c r="AL93" t="s">
        <v>30</v>
      </c>
      <c r="AO93" t="s">
        <v>42</v>
      </c>
      <c r="AQ93" t="s">
        <v>39</v>
      </c>
      <c r="BB93" t="s">
        <v>43</v>
      </c>
      <c r="BC93" t="s">
        <v>41</v>
      </c>
    </row>
    <row r="94" spans="1:55" x14ac:dyDescent="0.3">
      <c r="A94" t="s">
        <v>32</v>
      </c>
      <c r="B94" t="s">
        <v>8</v>
      </c>
      <c r="E94" t="s">
        <v>11</v>
      </c>
      <c r="F94" t="s">
        <v>12</v>
      </c>
      <c r="I94">
        <v>5</v>
      </c>
      <c r="J94">
        <v>5</v>
      </c>
      <c r="L94">
        <v>5</v>
      </c>
      <c r="M94">
        <v>5</v>
      </c>
      <c r="U94" t="s">
        <v>20</v>
      </c>
      <c r="Y94" t="s">
        <v>98</v>
      </c>
      <c r="Z94">
        <v>6</v>
      </c>
      <c r="AA94">
        <v>7</v>
      </c>
      <c r="AB94">
        <v>7</v>
      </c>
      <c r="AC94">
        <v>7</v>
      </c>
      <c r="AD94">
        <v>7</v>
      </c>
      <c r="AE94">
        <v>6</v>
      </c>
      <c r="AF94" t="s">
        <v>24</v>
      </c>
      <c r="AL94" t="s">
        <v>30</v>
      </c>
      <c r="AM94" t="s">
        <v>31</v>
      </c>
      <c r="AO94" t="s">
        <v>42</v>
      </c>
      <c r="AQ94" t="s">
        <v>34</v>
      </c>
      <c r="AS94">
        <v>7</v>
      </c>
      <c r="AT94">
        <v>7</v>
      </c>
      <c r="AU94">
        <v>7</v>
      </c>
      <c r="AV94">
        <v>7</v>
      </c>
      <c r="AW94">
        <v>7</v>
      </c>
      <c r="AX94">
        <v>7</v>
      </c>
      <c r="AY94">
        <v>7</v>
      </c>
      <c r="BA94" t="s">
        <v>35</v>
      </c>
      <c r="BB94" t="s">
        <v>36</v>
      </c>
      <c r="BC94" t="s">
        <v>41</v>
      </c>
    </row>
    <row r="95" spans="1:55" x14ac:dyDescent="0.3">
      <c r="A95" t="s">
        <v>67</v>
      </c>
      <c r="E95" t="s">
        <v>11</v>
      </c>
      <c r="J95">
        <v>5</v>
      </c>
      <c r="L95">
        <v>3</v>
      </c>
      <c r="M95">
        <v>3</v>
      </c>
      <c r="N95">
        <v>2</v>
      </c>
      <c r="T95" t="s">
        <v>19</v>
      </c>
      <c r="U95" t="s">
        <v>20</v>
      </c>
      <c r="W95" t="s">
        <v>22</v>
      </c>
      <c r="Y95" t="s">
        <v>99</v>
      </c>
      <c r="Z95">
        <v>7</v>
      </c>
      <c r="AA95">
        <v>5</v>
      </c>
      <c r="AB95">
        <v>5</v>
      </c>
      <c r="AC95">
        <v>6</v>
      </c>
      <c r="AD95">
        <v>5</v>
      </c>
      <c r="AE95">
        <v>2</v>
      </c>
      <c r="AF95" t="s">
        <v>24</v>
      </c>
      <c r="AG95" t="s">
        <v>25</v>
      </c>
      <c r="AI95" t="s">
        <v>27</v>
      </c>
      <c r="AL95" t="s">
        <v>30</v>
      </c>
      <c r="AM95" t="s">
        <v>31</v>
      </c>
      <c r="AO95" t="s">
        <v>33</v>
      </c>
      <c r="AQ95" t="s">
        <v>34</v>
      </c>
      <c r="BB95">
        <v>65</v>
      </c>
      <c r="BC95" t="s">
        <v>37</v>
      </c>
    </row>
    <row r="96" spans="1:55" x14ac:dyDescent="0.3">
      <c r="A96" t="s">
        <v>44</v>
      </c>
      <c r="F96" t="s">
        <v>12</v>
      </c>
      <c r="I96">
        <v>5</v>
      </c>
      <c r="J96">
        <v>5</v>
      </c>
      <c r="K96">
        <v>5</v>
      </c>
      <c r="L96">
        <v>3</v>
      </c>
      <c r="M96">
        <v>5</v>
      </c>
      <c r="N96">
        <v>3</v>
      </c>
      <c r="O96" t="s">
        <v>14</v>
      </c>
      <c r="P96" t="s">
        <v>15</v>
      </c>
      <c r="Q96" t="s">
        <v>16</v>
      </c>
      <c r="R96" t="s">
        <v>17</v>
      </c>
      <c r="S96" t="s">
        <v>18</v>
      </c>
      <c r="T96" t="s">
        <v>19</v>
      </c>
      <c r="U96" t="s">
        <v>20</v>
      </c>
      <c r="V96" t="s">
        <v>21</v>
      </c>
      <c r="W96" t="s">
        <v>22</v>
      </c>
      <c r="Y96" t="s">
        <v>100</v>
      </c>
      <c r="Z96">
        <v>3</v>
      </c>
      <c r="AA96">
        <v>4</v>
      </c>
      <c r="AB96">
        <v>5</v>
      </c>
      <c r="AC96">
        <v>5</v>
      </c>
      <c r="AD96">
        <v>7</v>
      </c>
      <c r="AE96">
        <v>7</v>
      </c>
      <c r="AL96" t="s">
        <v>30</v>
      </c>
      <c r="AM96" t="s">
        <v>31</v>
      </c>
      <c r="AO96" t="s">
        <v>54</v>
      </c>
      <c r="AQ96" t="s">
        <v>39</v>
      </c>
      <c r="BB96" t="s">
        <v>43</v>
      </c>
      <c r="BC96" t="s">
        <v>41</v>
      </c>
    </row>
    <row r="97" spans="1:55" x14ac:dyDescent="0.3">
      <c r="A97" t="s">
        <v>47</v>
      </c>
      <c r="D97" t="s">
        <v>10</v>
      </c>
      <c r="E97" t="s">
        <v>11</v>
      </c>
      <c r="I97">
        <v>5</v>
      </c>
      <c r="J97">
        <v>5</v>
      </c>
      <c r="K97">
        <v>4</v>
      </c>
      <c r="L97">
        <v>5</v>
      </c>
      <c r="M97">
        <v>5</v>
      </c>
      <c r="N97">
        <v>5</v>
      </c>
      <c r="O97" t="s">
        <v>14</v>
      </c>
      <c r="P97" t="s">
        <v>15</v>
      </c>
      <c r="R97" t="s">
        <v>17</v>
      </c>
      <c r="T97" t="s">
        <v>19</v>
      </c>
      <c r="U97" t="s">
        <v>20</v>
      </c>
      <c r="V97" t="s">
        <v>21</v>
      </c>
      <c r="Z97">
        <v>4</v>
      </c>
      <c r="AA97">
        <v>7</v>
      </c>
      <c r="AB97">
        <v>4</v>
      </c>
      <c r="AC97">
        <v>4</v>
      </c>
      <c r="AD97">
        <v>7</v>
      </c>
      <c r="AE97">
        <v>7</v>
      </c>
      <c r="AI97" t="s">
        <v>27</v>
      </c>
      <c r="AL97" t="s">
        <v>30</v>
      </c>
      <c r="AM97" t="s">
        <v>31</v>
      </c>
      <c r="AO97" t="s">
        <v>42</v>
      </c>
      <c r="AQ97" t="s">
        <v>34</v>
      </c>
      <c r="BB97" t="s">
        <v>40</v>
      </c>
      <c r="BC97" t="s">
        <v>41</v>
      </c>
    </row>
    <row r="98" spans="1:55" x14ac:dyDescent="0.3">
      <c r="A98" t="s">
        <v>47</v>
      </c>
      <c r="E98" t="s">
        <v>11</v>
      </c>
      <c r="I98">
        <v>3</v>
      </c>
      <c r="J98">
        <v>5</v>
      </c>
      <c r="K98">
        <v>2</v>
      </c>
      <c r="L98">
        <v>4</v>
      </c>
      <c r="M98">
        <v>4</v>
      </c>
      <c r="N98">
        <v>3</v>
      </c>
      <c r="O98" t="s">
        <v>14</v>
      </c>
      <c r="T98" t="s">
        <v>19</v>
      </c>
      <c r="U98" t="s">
        <v>20</v>
      </c>
      <c r="Z98">
        <v>5</v>
      </c>
      <c r="AA98">
        <v>5</v>
      </c>
      <c r="AB98">
        <v>7</v>
      </c>
      <c r="AC98">
        <v>6</v>
      </c>
      <c r="AD98">
        <v>6</v>
      </c>
      <c r="AE98">
        <v>7</v>
      </c>
      <c r="AK98" t="s">
        <v>29</v>
      </c>
      <c r="AM98" t="s">
        <v>31</v>
      </c>
      <c r="AO98" t="s">
        <v>42</v>
      </c>
      <c r="AQ98" t="s">
        <v>39</v>
      </c>
      <c r="BB98" t="s">
        <v>53</v>
      </c>
      <c r="BC98" t="s">
        <v>41</v>
      </c>
    </row>
    <row r="99" spans="1:55" x14ac:dyDescent="0.3">
      <c r="A99" t="s">
        <v>67</v>
      </c>
      <c r="E99" t="s">
        <v>11</v>
      </c>
      <c r="I99">
        <v>2</v>
      </c>
      <c r="J99">
        <v>4</v>
      </c>
      <c r="K99">
        <v>1</v>
      </c>
      <c r="L99">
        <v>3</v>
      </c>
      <c r="M99">
        <v>5</v>
      </c>
      <c r="N99">
        <v>3</v>
      </c>
      <c r="O99" t="s">
        <v>14</v>
      </c>
      <c r="Q99" t="s">
        <v>16</v>
      </c>
      <c r="R99" t="s">
        <v>17</v>
      </c>
      <c r="W99" t="s">
        <v>22</v>
      </c>
      <c r="Z99">
        <v>5</v>
      </c>
      <c r="AA99">
        <v>5</v>
      </c>
      <c r="AB99">
        <v>7</v>
      </c>
      <c r="AC99">
        <v>6</v>
      </c>
      <c r="AD99">
        <v>5</v>
      </c>
      <c r="AE99">
        <v>4</v>
      </c>
      <c r="AG99" t="s">
        <v>25</v>
      </c>
      <c r="AI99" t="s">
        <v>27</v>
      </c>
      <c r="AL99" t="s">
        <v>30</v>
      </c>
      <c r="AM99" t="s">
        <v>31</v>
      </c>
      <c r="AO99" t="s">
        <v>42</v>
      </c>
      <c r="AQ99" t="s">
        <v>34</v>
      </c>
      <c r="AS99">
        <v>5</v>
      </c>
      <c r="AT99">
        <v>6</v>
      </c>
      <c r="AU99">
        <v>6</v>
      </c>
      <c r="AV99">
        <v>4</v>
      </c>
      <c r="AW99">
        <v>5</v>
      </c>
      <c r="AX99">
        <v>4</v>
      </c>
      <c r="AY99">
        <v>3</v>
      </c>
      <c r="BA99">
        <v>5</v>
      </c>
      <c r="BB99" t="s">
        <v>36</v>
      </c>
      <c r="BC99" t="s">
        <v>41</v>
      </c>
    </row>
    <row r="100" spans="1:55" x14ac:dyDescent="0.3">
      <c r="A100" t="s">
        <v>67</v>
      </c>
      <c r="D100" t="s">
        <v>10</v>
      </c>
      <c r="I100">
        <v>5</v>
      </c>
      <c r="J100">
        <v>5</v>
      </c>
      <c r="K100">
        <v>3</v>
      </c>
      <c r="L100">
        <v>3</v>
      </c>
      <c r="M100">
        <v>5</v>
      </c>
      <c r="N100">
        <v>4</v>
      </c>
      <c r="R100" t="s">
        <v>17</v>
      </c>
      <c r="T100" t="s">
        <v>19</v>
      </c>
      <c r="U100" t="s">
        <v>20</v>
      </c>
      <c r="Z100">
        <v>6</v>
      </c>
      <c r="AA100">
        <v>5</v>
      </c>
      <c r="AB100">
        <v>6</v>
      </c>
      <c r="AC100">
        <v>5</v>
      </c>
      <c r="AD100">
        <v>5</v>
      </c>
      <c r="AE100">
        <v>7</v>
      </c>
      <c r="AM100" t="s">
        <v>31</v>
      </c>
      <c r="AO100" t="s">
        <v>42</v>
      </c>
      <c r="AQ100" t="s">
        <v>34</v>
      </c>
      <c r="BB100" t="s">
        <v>40</v>
      </c>
      <c r="BC100" t="s">
        <v>41</v>
      </c>
    </row>
    <row r="101" spans="1:55" x14ac:dyDescent="0.3">
      <c r="A101" t="s">
        <v>44</v>
      </c>
      <c r="E101" t="s">
        <v>11</v>
      </c>
      <c r="F101" t="s">
        <v>12</v>
      </c>
      <c r="I101">
        <v>5</v>
      </c>
      <c r="J101">
        <v>5</v>
      </c>
      <c r="K101">
        <v>4</v>
      </c>
      <c r="L101">
        <v>4</v>
      </c>
      <c r="M101">
        <v>5</v>
      </c>
      <c r="N101">
        <v>4</v>
      </c>
      <c r="P101" t="s">
        <v>15</v>
      </c>
      <c r="T101" t="s">
        <v>19</v>
      </c>
      <c r="U101" t="s">
        <v>20</v>
      </c>
      <c r="V101" t="s">
        <v>21</v>
      </c>
      <c r="Z101">
        <v>5</v>
      </c>
      <c r="AA101">
        <v>7</v>
      </c>
      <c r="AB101">
        <v>7</v>
      </c>
      <c r="AC101">
        <v>7</v>
      </c>
      <c r="AD101">
        <v>7</v>
      </c>
      <c r="AE101">
        <v>6</v>
      </c>
      <c r="AG101" t="s">
        <v>25</v>
      </c>
      <c r="AJ101" t="s">
        <v>28</v>
      </c>
      <c r="AK101" t="s">
        <v>29</v>
      </c>
      <c r="AM101" t="s">
        <v>31</v>
      </c>
      <c r="AO101" t="s">
        <v>33</v>
      </c>
      <c r="AQ101" t="s">
        <v>39</v>
      </c>
      <c r="BB101" t="s">
        <v>53</v>
      </c>
      <c r="BC101" t="s">
        <v>41</v>
      </c>
    </row>
    <row r="102" spans="1:55" x14ac:dyDescent="0.3">
      <c r="A102" t="s">
        <v>32</v>
      </c>
      <c r="F102" t="s">
        <v>12</v>
      </c>
      <c r="H102" t="s">
        <v>101</v>
      </c>
      <c r="I102">
        <v>5</v>
      </c>
      <c r="J102">
        <v>5</v>
      </c>
      <c r="K102">
        <v>1</v>
      </c>
      <c r="L102">
        <v>5</v>
      </c>
      <c r="M102">
        <v>5</v>
      </c>
      <c r="N102">
        <v>5</v>
      </c>
      <c r="T102" t="s">
        <v>19</v>
      </c>
      <c r="Z102">
        <v>7</v>
      </c>
      <c r="AA102">
        <v>5</v>
      </c>
      <c r="AB102">
        <v>7</v>
      </c>
      <c r="AC102">
        <v>7</v>
      </c>
      <c r="AD102">
        <v>7</v>
      </c>
      <c r="AE102">
        <v>7</v>
      </c>
      <c r="AF102" t="s">
        <v>24</v>
      </c>
      <c r="AG102" t="s">
        <v>25</v>
      </c>
      <c r="AH102" t="s">
        <v>26</v>
      </c>
      <c r="AK102" t="s">
        <v>29</v>
      </c>
      <c r="AM102" t="s">
        <v>31</v>
      </c>
      <c r="AO102" t="s">
        <v>54</v>
      </c>
      <c r="AQ102" t="s">
        <v>39</v>
      </c>
      <c r="BB102" t="s">
        <v>53</v>
      </c>
      <c r="BC102" t="s">
        <v>41</v>
      </c>
    </row>
    <row r="103" spans="1:55" x14ac:dyDescent="0.3">
      <c r="A103" t="s">
        <v>47</v>
      </c>
      <c r="E103" t="s">
        <v>11</v>
      </c>
      <c r="I103">
        <v>5</v>
      </c>
      <c r="J103">
        <v>5</v>
      </c>
      <c r="K103">
        <v>4</v>
      </c>
      <c r="L103">
        <v>4</v>
      </c>
      <c r="M103">
        <v>5</v>
      </c>
      <c r="N103">
        <v>5</v>
      </c>
      <c r="O103" t="s">
        <v>14</v>
      </c>
      <c r="T103" t="s">
        <v>19</v>
      </c>
      <c r="U103" t="s">
        <v>20</v>
      </c>
      <c r="V103" t="s">
        <v>21</v>
      </c>
      <c r="Z103">
        <v>6</v>
      </c>
      <c r="AA103">
        <v>6</v>
      </c>
      <c r="AB103">
        <v>6</v>
      </c>
      <c r="AC103">
        <v>6</v>
      </c>
      <c r="AD103">
        <v>7</v>
      </c>
      <c r="AE103">
        <v>7</v>
      </c>
      <c r="AJ103" t="s">
        <v>28</v>
      </c>
      <c r="AL103" t="s">
        <v>30</v>
      </c>
      <c r="AM103" t="s">
        <v>31</v>
      </c>
      <c r="AO103" t="s">
        <v>54</v>
      </c>
      <c r="AQ103" t="s">
        <v>39</v>
      </c>
      <c r="BB103" t="s">
        <v>43</v>
      </c>
      <c r="BC103" t="s">
        <v>41</v>
      </c>
    </row>
    <row r="104" spans="1:55" x14ac:dyDescent="0.3">
      <c r="A104" t="s">
        <v>67</v>
      </c>
      <c r="D104" t="s">
        <v>10</v>
      </c>
      <c r="E104" t="s">
        <v>11</v>
      </c>
      <c r="I104">
        <v>5</v>
      </c>
      <c r="J104">
        <v>5</v>
      </c>
      <c r="K104">
        <v>3</v>
      </c>
      <c r="L104">
        <v>2</v>
      </c>
      <c r="M104">
        <v>4</v>
      </c>
      <c r="N104">
        <v>4</v>
      </c>
      <c r="O104" t="s">
        <v>14</v>
      </c>
      <c r="T104" t="s">
        <v>19</v>
      </c>
      <c r="U104" t="s">
        <v>20</v>
      </c>
      <c r="V104" t="s">
        <v>21</v>
      </c>
      <c r="Y104" t="s">
        <v>102</v>
      </c>
      <c r="Z104">
        <v>5</v>
      </c>
      <c r="AA104">
        <v>5</v>
      </c>
      <c r="AB104">
        <v>6</v>
      </c>
      <c r="AC104">
        <v>6</v>
      </c>
      <c r="AD104">
        <v>7</v>
      </c>
      <c r="AE104">
        <v>7</v>
      </c>
      <c r="AH104" t="s">
        <v>26</v>
      </c>
      <c r="AI104" t="s">
        <v>27</v>
      </c>
      <c r="AL104" t="s">
        <v>30</v>
      </c>
      <c r="AM104" t="s">
        <v>31</v>
      </c>
      <c r="AO104" t="s">
        <v>33</v>
      </c>
      <c r="AQ104" t="s">
        <v>49</v>
      </c>
      <c r="BB104" t="s">
        <v>40</v>
      </c>
      <c r="BC104" t="s">
        <v>41</v>
      </c>
    </row>
    <row r="105" spans="1:55" x14ac:dyDescent="0.3">
      <c r="A105" t="s">
        <v>47</v>
      </c>
      <c r="D105" t="s">
        <v>10</v>
      </c>
      <c r="E105" t="s">
        <v>11</v>
      </c>
      <c r="F105" t="s">
        <v>12</v>
      </c>
      <c r="I105">
        <v>4</v>
      </c>
      <c r="J105">
        <v>2</v>
      </c>
      <c r="K105">
        <v>3</v>
      </c>
      <c r="L105">
        <v>2</v>
      </c>
      <c r="M105">
        <v>5</v>
      </c>
      <c r="N105">
        <v>5</v>
      </c>
      <c r="O105" t="s">
        <v>14</v>
      </c>
      <c r="U105" t="s">
        <v>20</v>
      </c>
      <c r="V105" t="s">
        <v>21</v>
      </c>
      <c r="Z105">
        <v>6</v>
      </c>
      <c r="AA105">
        <v>5</v>
      </c>
      <c r="AB105">
        <v>6</v>
      </c>
      <c r="AC105">
        <v>6</v>
      </c>
      <c r="AD105">
        <v>7</v>
      </c>
      <c r="AE105">
        <v>6</v>
      </c>
      <c r="AG105" t="s">
        <v>25</v>
      </c>
      <c r="AJ105" t="s">
        <v>28</v>
      </c>
      <c r="AM105" t="s">
        <v>31</v>
      </c>
      <c r="AO105" t="s">
        <v>33</v>
      </c>
      <c r="AQ105" t="s">
        <v>39</v>
      </c>
      <c r="BB105" t="s">
        <v>43</v>
      </c>
      <c r="BC105" t="s">
        <v>41</v>
      </c>
    </row>
    <row r="106" spans="1:55" x14ac:dyDescent="0.3">
      <c r="A106" t="s">
        <v>47</v>
      </c>
      <c r="D106" t="s">
        <v>10</v>
      </c>
      <c r="I106">
        <v>3</v>
      </c>
      <c r="J106">
        <v>4</v>
      </c>
      <c r="K106">
        <v>1</v>
      </c>
      <c r="L106">
        <v>4</v>
      </c>
      <c r="M106">
        <v>5</v>
      </c>
      <c r="N106">
        <v>4</v>
      </c>
      <c r="O106" t="s">
        <v>14</v>
      </c>
      <c r="P106" t="s">
        <v>15</v>
      </c>
      <c r="Y106" t="s">
        <v>103</v>
      </c>
      <c r="Z106">
        <v>7</v>
      </c>
      <c r="AA106">
        <v>6</v>
      </c>
      <c r="AB106">
        <v>7</v>
      </c>
      <c r="AC106">
        <v>6</v>
      </c>
      <c r="AD106">
        <v>7</v>
      </c>
      <c r="AE106">
        <v>5</v>
      </c>
      <c r="AI106" t="s">
        <v>27</v>
      </c>
      <c r="AJ106" t="s">
        <v>28</v>
      </c>
      <c r="AL106" t="s">
        <v>30</v>
      </c>
      <c r="AM106" t="s">
        <v>31</v>
      </c>
      <c r="AO106" t="s">
        <v>42</v>
      </c>
      <c r="AQ106" t="s">
        <v>34</v>
      </c>
      <c r="BB106" t="s">
        <v>36</v>
      </c>
      <c r="BC106" t="s">
        <v>41</v>
      </c>
    </row>
    <row r="107" spans="1:55" x14ac:dyDescent="0.3">
      <c r="A107" t="s">
        <v>67</v>
      </c>
      <c r="D107" t="s">
        <v>10</v>
      </c>
      <c r="E107" t="s">
        <v>11</v>
      </c>
      <c r="I107">
        <v>5</v>
      </c>
      <c r="J107">
        <v>3</v>
      </c>
      <c r="K107">
        <v>2</v>
      </c>
      <c r="L107">
        <v>3</v>
      </c>
      <c r="M107">
        <v>5</v>
      </c>
      <c r="N107">
        <v>3</v>
      </c>
      <c r="P107" t="s">
        <v>15</v>
      </c>
      <c r="T107" t="s">
        <v>19</v>
      </c>
      <c r="Y107" t="s">
        <v>104</v>
      </c>
      <c r="Z107">
        <v>2</v>
      </c>
      <c r="AA107">
        <v>6</v>
      </c>
      <c r="AB107">
        <v>6</v>
      </c>
      <c r="AC107">
        <v>5</v>
      </c>
      <c r="AD107">
        <v>7</v>
      </c>
      <c r="AE107">
        <v>7</v>
      </c>
      <c r="AJ107" t="s">
        <v>28</v>
      </c>
      <c r="AL107" t="s">
        <v>30</v>
      </c>
      <c r="AM107" t="s">
        <v>31</v>
      </c>
      <c r="AO107" t="s">
        <v>42</v>
      </c>
      <c r="AQ107" t="s">
        <v>39</v>
      </c>
      <c r="BB107" t="s">
        <v>40</v>
      </c>
      <c r="BC107" t="s">
        <v>37</v>
      </c>
    </row>
    <row r="108" spans="1:55" x14ac:dyDescent="0.3">
      <c r="A108" t="s">
        <v>67</v>
      </c>
      <c r="F108" t="s">
        <v>12</v>
      </c>
      <c r="I108">
        <v>4</v>
      </c>
      <c r="J108">
        <v>5</v>
      </c>
      <c r="K108">
        <v>2</v>
      </c>
      <c r="L108">
        <v>3</v>
      </c>
      <c r="M108">
        <v>3</v>
      </c>
      <c r="N108">
        <v>3</v>
      </c>
      <c r="P108" t="s">
        <v>15</v>
      </c>
      <c r="T108" t="s">
        <v>19</v>
      </c>
      <c r="U108" t="s">
        <v>20</v>
      </c>
      <c r="Y108" t="s">
        <v>105</v>
      </c>
      <c r="Z108">
        <v>5</v>
      </c>
      <c r="AA108">
        <v>6</v>
      </c>
      <c r="AB108">
        <v>7</v>
      </c>
      <c r="AD108">
        <v>6</v>
      </c>
      <c r="AE108">
        <v>7</v>
      </c>
      <c r="AM108" t="s">
        <v>31</v>
      </c>
      <c r="AO108" t="s">
        <v>42</v>
      </c>
      <c r="AQ108" t="s">
        <v>39</v>
      </c>
      <c r="BB108" t="s">
        <v>53</v>
      </c>
      <c r="BC108" t="s">
        <v>37</v>
      </c>
    </row>
    <row r="109" spans="1:55" x14ac:dyDescent="0.3">
      <c r="A109" t="s">
        <v>67</v>
      </c>
      <c r="B109" t="s">
        <v>8</v>
      </c>
      <c r="E109" t="s">
        <v>11</v>
      </c>
      <c r="F109" t="s">
        <v>12</v>
      </c>
      <c r="I109">
        <v>4</v>
      </c>
      <c r="J109">
        <v>4</v>
      </c>
      <c r="K109">
        <v>1</v>
      </c>
      <c r="L109">
        <v>4</v>
      </c>
      <c r="M109">
        <v>5</v>
      </c>
      <c r="N109">
        <v>4</v>
      </c>
      <c r="U109" t="s">
        <v>20</v>
      </c>
      <c r="Z109">
        <v>5</v>
      </c>
      <c r="AA109">
        <v>6</v>
      </c>
      <c r="AB109">
        <v>5</v>
      </c>
      <c r="AC109">
        <v>5</v>
      </c>
      <c r="AD109">
        <v>7</v>
      </c>
      <c r="AE109">
        <v>6</v>
      </c>
      <c r="AF109" t="s">
        <v>24</v>
      </c>
      <c r="AK109" t="s">
        <v>29</v>
      </c>
      <c r="AO109" t="s">
        <v>33</v>
      </c>
      <c r="AQ109" t="s">
        <v>39</v>
      </c>
      <c r="BB109" t="s">
        <v>36</v>
      </c>
      <c r="BC109" t="s">
        <v>41</v>
      </c>
    </row>
    <row r="110" spans="1:55" x14ac:dyDescent="0.3">
      <c r="A110" t="s">
        <v>47</v>
      </c>
      <c r="B110" t="s">
        <v>8</v>
      </c>
      <c r="E110" t="s">
        <v>11</v>
      </c>
      <c r="F110" t="s">
        <v>12</v>
      </c>
      <c r="I110">
        <v>5</v>
      </c>
      <c r="J110">
        <v>3</v>
      </c>
      <c r="K110">
        <v>2</v>
      </c>
      <c r="L110">
        <v>4</v>
      </c>
      <c r="M110">
        <v>4</v>
      </c>
      <c r="N110">
        <v>2</v>
      </c>
      <c r="R110" t="s">
        <v>17</v>
      </c>
      <c r="T110" t="s">
        <v>19</v>
      </c>
      <c r="U110" t="s">
        <v>20</v>
      </c>
      <c r="W110" t="s">
        <v>22</v>
      </c>
      <c r="Z110">
        <v>5</v>
      </c>
      <c r="AA110">
        <v>7</v>
      </c>
      <c r="AB110">
        <v>7</v>
      </c>
      <c r="AC110">
        <v>6</v>
      </c>
      <c r="AD110">
        <v>6</v>
      </c>
      <c r="AE110">
        <v>7</v>
      </c>
      <c r="AG110" t="s">
        <v>25</v>
      </c>
      <c r="AJ110" t="s">
        <v>28</v>
      </c>
      <c r="AL110" t="s">
        <v>30</v>
      </c>
      <c r="AM110" t="s">
        <v>31</v>
      </c>
      <c r="AO110" t="s">
        <v>54</v>
      </c>
      <c r="AQ110" t="s">
        <v>34</v>
      </c>
      <c r="BB110" t="s">
        <v>36</v>
      </c>
      <c r="BC110" t="s">
        <v>41</v>
      </c>
    </row>
    <row r="111" spans="1:55" x14ac:dyDescent="0.3">
      <c r="A111" t="s">
        <v>32</v>
      </c>
      <c r="B111" t="s">
        <v>8</v>
      </c>
      <c r="E111" t="s">
        <v>11</v>
      </c>
      <c r="F111" t="s">
        <v>12</v>
      </c>
      <c r="H111" t="s">
        <v>106</v>
      </c>
      <c r="I111">
        <v>5</v>
      </c>
      <c r="J111">
        <v>5</v>
      </c>
      <c r="K111">
        <v>5</v>
      </c>
      <c r="L111">
        <v>5</v>
      </c>
      <c r="M111">
        <v>5</v>
      </c>
      <c r="N111">
        <v>5</v>
      </c>
      <c r="O111" t="s">
        <v>14</v>
      </c>
      <c r="T111" t="s">
        <v>19</v>
      </c>
      <c r="V111" t="s">
        <v>21</v>
      </c>
      <c r="Y111" t="s">
        <v>52</v>
      </c>
      <c r="Z111">
        <v>3</v>
      </c>
      <c r="AA111">
        <v>1</v>
      </c>
      <c r="AB111">
        <v>7</v>
      </c>
      <c r="AC111">
        <v>6</v>
      </c>
      <c r="AD111">
        <v>7</v>
      </c>
      <c r="AE111">
        <v>7</v>
      </c>
      <c r="AM111" t="s">
        <v>31</v>
      </c>
      <c r="AO111" t="s">
        <v>107</v>
      </c>
      <c r="AQ111" t="s">
        <v>39</v>
      </c>
      <c r="BB111" t="s">
        <v>53</v>
      </c>
      <c r="BC111" t="s">
        <v>41</v>
      </c>
    </row>
    <row r="112" spans="1:55" x14ac:dyDescent="0.3">
      <c r="A112" t="s">
        <v>44</v>
      </c>
      <c r="E112" t="s">
        <v>11</v>
      </c>
      <c r="F112" t="s">
        <v>12</v>
      </c>
      <c r="I112">
        <v>3</v>
      </c>
      <c r="J112">
        <v>3</v>
      </c>
      <c r="K112">
        <v>3</v>
      </c>
      <c r="L112">
        <v>4</v>
      </c>
      <c r="M112">
        <v>4</v>
      </c>
      <c r="N112">
        <v>3</v>
      </c>
      <c r="O112" t="s">
        <v>14</v>
      </c>
      <c r="P112" t="s">
        <v>15</v>
      </c>
      <c r="T112" t="s">
        <v>19</v>
      </c>
      <c r="Y112" t="s">
        <v>108</v>
      </c>
      <c r="Z112">
        <v>2</v>
      </c>
      <c r="AA112">
        <v>4</v>
      </c>
      <c r="AB112">
        <v>4</v>
      </c>
      <c r="AD112">
        <v>3</v>
      </c>
      <c r="AE112">
        <v>5</v>
      </c>
      <c r="AJ112" t="s">
        <v>28</v>
      </c>
      <c r="AL112" t="s">
        <v>30</v>
      </c>
      <c r="AM112" t="s">
        <v>31</v>
      </c>
      <c r="BB112" t="s">
        <v>53</v>
      </c>
      <c r="BC112" t="s">
        <v>37</v>
      </c>
    </row>
    <row r="113" spans="1:55" x14ac:dyDescent="0.3">
      <c r="A113" t="s">
        <v>67</v>
      </c>
      <c r="E113" t="s">
        <v>11</v>
      </c>
      <c r="I113">
        <v>3</v>
      </c>
      <c r="J113">
        <v>3</v>
      </c>
      <c r="K113">
        <v>4</v>
      </c>
      <c r="L113">
        <v>2</v>
      </c>
      <c r="M113">
        <v>5</v>
      </c>
      <c r="N113">
        <v>3</v>
      </c>
      <c r="R113" t="s">
        <v>17</v>
      </c>
      <c r="T113" t="s">
        <v>19</v>
      </c>
      <c r="U113" t="s">
        <v>20</v>
      </c>
      <c r="W113" t="s">
        <v>22</v>
      </c>
      <c r="Z113">
        <v>3</v>
      </c>
      <c r="AA113">
        <v>5</v>
      </c>
      <c r="AB113">
        <v>7</v>
      </c>
      <c r="AC113">
        <v>5</v>
      </c>
      <c r="AD113">
        <v>7</v>
      </c>
      <c r="AE113">
        <v>7</v>
      </c>
      <c r="AG113" t="s">
        <v>25</v>
      </c>
      <c r="AL113" t="s">
        <v>30</v>
      </c>
      <c r="AM113" t="s">
        <v>31</v>
      </c>
      <c r="AO113" t="s">
        <v>54</v>
      </c>
      <c r="AQ113" t="s">
        <v>39</v>
      </c>
      <c r="AR113" t="s">
        <v>109</v>
      </c>
      <c r="BB113" t="s">
        <v>36</v>
      </c>
      <c r="BC113" t="s">
        <v>37</v>
      </c>
    </row>
    <row r="114" spans="1:55" x14ac:dyDescent="0.3">
      <c r="A114" t="s">
        <v>67</v>
      </c>
      <c r="C114" t="s">
        <v>9</v>
      </c>
      <c r="I114">
        <v>4</v>
      </c>
      <c r="J114">
        <v>4</v>
      </c>
      <c r="M114">
        <v>4</v>
      </c>
      <c r="N114">
        <v>4</v>
      </c>
      <c r="T114" t="s">
        <v>19</v>
      </c>
      <c r="Z114">
        <v>6</v>
      </c>
      <c r="AA114">
        <v>6</v>
      </c>
      <c r="AB114">
        <v>6</v>
      </c>
      <c r="AC114">
        <v>6</v>
      </c>
      <c r="AD114">
        <v>6</v>
      </c>
      <c r="AE114">
        <v>6</v>
      </c>
      <c r="AG114" t="s">
        <v>25</v>
      </c>
      <c r="AL114" t="s">
        <v>30</v>
      </c>
      <c r="AO114" t="s">
        <v>54</v>
      </c>
      <c r="AQ114" t="s">
        <v>34</v>
      </c>
      <c r="BB114" t="s">
        <v>36</v>
      </c>
      <c r="BC114" t="s">
        <v>41</v>
      </c>
    </row>
    <row r="115" spans="1:55" x14ac:dyDescent="0.3">
      <c r="A115" t="s">
        <v>67</v>
      </c>
      <c r="E115" t="s">
        <v>11</v>
      </c>
      <c r="F115" t="s">
        <v>12</v>
      </c>
      <c r="I115">
        <v>5</v>
      </c>
      <c r="J115">
        <v>5</v>
      </c>
      <c r="K115">
        <v>3</v>
      </c>
      <c r="L115">
        <v>3</v>
      </c>
      <c r="M115">
        <v>4</v>
      </c>
      <c r="N115">
        <v>4</v>
      </c>
      <c r="R115" t="s">
        <v>17</v>
      </c>
      <c r="T115" t="s">
        <v>19</v>
      </c>
      <c r="U115" t="s">
        <v>20</v>
      </c>
      <c r="V115" t="s">
        <v>21</v>
      </c>
      <c r="W115" t="s">
        <v>22</v>
      </c>
      <c r="Z115">
        <v>7</v>
      </c>
      <c r="AA115">
        <v>7</v>
      </c>
      <c r="AB115">
        <v>7</v>
      </c>
      <c r="AC115">
        <v>7</v>
      </c>
      <c r="AD115">
        <v>7</v>
      </c>
      <c r="AE115">
        <v>1</v>
      </c>
      <c r="AF115" t="s">
        <v>24</v>
      </c>
      <c r="AG115" t="s">
        <v>25</v>
      </c>
      <c r="AH115" t="s">
        <v>26</v>
      </c>
      <c r="AL115" t="s">
        <v>30</v>
      </c>
      <c r="AO115" t="s">
        <v>42</v>
      </c>
      <c r="AQ115" t="s">
        <v>34</v>
      </c>
      <c r="BB115" t="s">
        <v>36</v>
      </c>
      <c r="BC115" t="s">
        <v>41</v>
      </c>
    </row>
    <row r="116" spans="1:55" x14ac:dyDescent="0.3">
      <c r="A116" t="s">
        <v>47</v>
      </c>
      <c r="B116" t="s">
        <v>8</v>
      </c>
      <c r="E116" t="s">
        <v>11</v>
      </c>
      <c r="F116" t="s">
        <v>12</v>
      </c>
      <c r="I116">
        <v>5</v>
      </c>
      <c r="J116">
        <v>4</v>
      </c>
      <c r="K116">
        <v>3</v>
      </c>
      <c r="M116">
        <v>4</v>
      </c>
      <c r="N116">
        <v>2</v>
      </c>
      <c r="O116" t="s">
        <v>14</v>
      </c>
      <c r="P116" t="s">
        <v>15</v>
      </c>
      <c r="R116" t="s">
        <v>17</v>
      </c>
      <c r="U116" t="s">
        <v>20</v>
      </c>
      <c r="V116" t="s">
        <v>21</v>
      </c>
      <c r="Z116">
        <v>3</v>
      </c>
      <c r="AA116">
        <v>5</v>
      </c>
      <c r="AB116">
        <v>7</v>
      </c>
      <c r="AC116">
        <v>5</v>
      </c>
      <c r="AD116">
        <v>7</v>
      </c>
      <c r="AE116">
        <v>7</v>
      </c>
      <c r="AJ116" t="s">
        <v>28</v>
      </c>
      <c r="AM116" t="s">
        <v>31</v>
      </c>
      <c r="AO116" t="s">
        <v>33</v>
      </c>
      <c r="AQ116" t="s">
        <v>34</v>
      </c>
      <c r="BB116" t="s">
        <v>40</v>
      </c>
      <c r="BC116" t="s">
        <v>41</v>
      </c>
    </row>
    <row r="117" spans="1:55" x14ac:dyDescent="0.3">
      <c r="A117" t="s">
        <v>67</v>
      </c>
      <c r="B117" t="s">
        <v>8</v>
      </c>
      <c r="C117" t="s">
        <v>9</v>
      </c>
      <c r="E117" t="s">
        <v>11</v>
      </c>
      <c r="I117">
        <v>3</v>
      </c>
      <c r="J117">
        <v>2</v>
      </c>
      <c r="K117">
        <v>3</v>
      </c>
      <c r="L117">
        <v>4</v>
      </c>
      <c r="M117">
        <v>5</v>
      </c>
      <c r="N117">
        <v>3</v>
      </c>
      <c r="V117" t="s">
        <v>21</v>
      </c>
      <c r="Z117">
        <v>3</v>
      </c>
      <c r="AA117">
        <v>6</v>
      </c>
      <c r="AB117">
        <v>5</v>
      </c>
      <c r="AC117">
        <v>5</v>
      </c>
      <c r="AD117">
        <v>7</v>
      </c>
      <c r="AE117">
        <v>7</v>
      </c>
      <c r="AG117" t="s">
        <v>25</v>
      </c>
      <c r="AH117" t="s">
        <v>26</v>
      </c>
      <c r="AI117" t="s">
        <v>27</v>
      </c>
      <c r="AK117" t="s">
        <v>29</v>
      </c>
      <c r="AL117" t="s">
        <v>30</v>
      </c>
      <c r="AM117" t="s">
        <v>31</v>
      </c>
      <c r="AO117" t="s">
        <v>42</v>
      </c>
      <c r="AQ117" t="s">
        <v>34</v>
      </c>
      <c r="BB117" t="s">
        <v>40</v>
      </c>
      <c r="BC117" t="s">
        <v>41</v>
      </c>
    </row>
    <row r="118" spans="1:55" x14ac:dyDescent="0.3">
      <c r="A118" t="s">
        <v>67</v>
      </c>
      <c r="D118" t="s">
        <v>10</v>
      </c>
      <c r="E118" t="s">
        <v>11</v>
      </c>
      <c r="I118">
        <v>5</v>
      </c>
      <c r="J118">
        <v>3</v>
      </c>
      <c r="K118">
        <v>4</v>
      </c>
      <c r="L118">
        <v>2</v>
      </c>
      <c r="M118">
        <v>2</v>
      </c>
      <c r="N118">
        <v>3</v>
      </c>
      <c r="O118" t="s">
        <v>14</v>
      </c>
      <c r="T118" t="s">
        <v>19</v>
      </c>
      <c r="U118" t="s">
        <v>20</v>
      </c>
      <c r="Y118" t="s">
        <v>73</v>
      </c>
      <c r="Z118">
        <v>3</v>
      </c>
      <c r="AA118">
        <v>4</v>
      </c>
      <c r="AB118">
        <v>4</v>
      </c>
      <c r="AC118">
        <v>3</v>
      </c>
      <c r="AD118">
        <v>7</v>
      </c>
      <c r="AE118">
        <v>5</v>
      </c>
      <c r="AG118" t="s">
        <v>25</v>
      </c>
      <c r="AO118" t="s">
        <v>107</v>
      </c>
      <c r="AQ118" t="s">
        <v>39</v>
      </c>
      <c r="BB118" t="s">
        <v>40</v>
      </c>
      <c r="BC118" t="s">
        <v>41</v>
      </c>
    </row>
    <row r="119" spans="1:55" x14ac:dyDescent="0.3">
      <c r="A119" t="s">
        <v>47</v>
      </c>
      <c r="B119" t="s">
        <v>8</v>
      </c>
      <c r="D119" t="s">
        <v>10</v>
      </c>
      <c r="E119" t="s">
        <v>11</v>
      </c>
      <c r="I119">
        <v>5</v>
      </c>
      <c r="J119">
        <v>5</v>
      </c>
      <c r="K119">
        <v>3</v>
      </c>
      <c r="L119">
        <v>4</v>
      </c>
      <c r="M119">
        <v>4</v>
      </c>
      <c r="N119">
        <v>3</v>
      </c>
      <c r="O119" t="s">
        <v>14</v>
      </c>
      <c r="T119" t="s">
        <v>19</v>
      </c>
      <c r="U119" t="s">
        <v>20</v>
      </c>
      <c r="V119" t="s">
        <v>21</v>
      </c>
      <c r="Z119">
        <v>6</v>
      </c>
      <c r="AA119">
        <v>5</v>
      </c>
      <c r="AB119">
        <v>5</v>
      </c>
      <c r="AC119">
        <v>6</v>
      </c>
      <c r="AD119">
        <v>6</v>
      </c>
      <c r="AG119" t="s">
        <v>25</v>
      </c>
      <c r="AJ119" t="s">
        <v>28</v>
      </c>
      <c r="AL119" t="s">
        <v>30</v>
      </c>
      <c r="AM119" t="s">
        <v>31</v>
      </c>
      <c r="AO119" t="s">
        <v>42</v>
      </c>
      <c r="AQ119" t="s">
        <v>49</v>
      </c>
      <c r="BB119" t="s">
        <v>43</v>
      </c>
      <c r="BC119" t="s">
        <v>41</v>
      </c>
    </row>
    <row r="120" spans="1:55" x14ac:dyDescent="0.3">
      <c r="A120" t="s">
        <v>44</v>
      </c>
      <c r="C120" t="s">
        <v>9</v>
      </c>
      <c r="E120" t="s">
        <v>11</v>
      </c>
      <c r="F120" t="s">
        <v>12</v>
      </c>
      <c r="I120">
        <v>5</v>
      </c>
      <c r="J120">
        <v>3</v>
      </c>
      <c r="K120">
        <v>4</v>
      </c>
      <c r="L120">
        <v>4</v>
      </c>
      <c r="M120">
        <v>4</v>
      </c>
      <c r="N120">
        <v>4</v>
      </c>
      <c r="O120" t="s">
        <v>14</v>
      </c>
      <c r="P120" t="s">
        <v>15</v>
      </c>
      <c r="R120" t="s">
        <v>17</v>
      </c>
      <c r="T120" t="s">
        <v>19</v>
      </c>
      <c r="U120" t="s">
        <v>20</v>
      </c>
      <c r="V120" t="s">
        <v>21</v>
      </c>
      <c r="W120" t="s">
        <v>22</v>
      </c>
      <c r="Z120">
        <v>5</v>
      </c>
      <c r="AA120">
        <v>5</v>
      </c>
      <c r="AB120">
        <v>5</v>
      </c>
      <c r="AC120">
        <v>5</v>
      </c>
      <c r="AD120">
        <v>6</v>
      </c>
      <c r="AE120">
        <v>7</v>
      </c>
      <c r="AF120" t="s">
        <v>24</v>
      </c>
      <c r="AI120" t="s">
        <v>27</v>
      </c>
      <c r="AJ120" t="s">
        <v>28</v>
      </c>
      <c r="AM120" t="s">
        <v>31</v>
      </c>
      <c r="AN120" t="s">
        <v>110</v>
      </c>
      <c r="AO120" t="s">
        <v>54</v>
      </c>
      <c r="AQ120" t="s">
        <v>49</v>
      </c>
      <c r="BB120" t="s">
        <v>36</v>
      </c>
      <c r="BC120" t="s">
        <v>41</v>
      </c>
    </row>
    <row r="121" spans="1:55" x14ac:dyDescent="0.3">
      <c r="A121" t="s">
        <v>47</v>
      </c>
      <c r="E121" t="s">
        <v>11</v>
      </c>
      <c r="F121" t="s">
        <v>12</v>
      </c>
      <c r="I121">
        <v>5</v>
      </c>
      <c r="J121">
        <v>5</v>
      </c>
      <c r="K121">
        <v>4</v>
      </c>
      <c r="L121">
        <v>5</v>
      </c>
      <c r="M121">
        <v>5</v>
      </c>
      <c r="N121">
        <v>4</v>
      </c>
      <c r="P121" t="s">
        <v>15</v>
      </c>
      <c r="S121" t="s">
        <v>18</v>
      </c>
      <c r="T121" t="s">
        <v>19</v>
      </c>
      <c r="U121" t="s">
        <v>20</v>
      </c>
      <c r="W121" t="s">
        <v>22</v>
      </c>
      <c r="Z121">
        <v>6</v>
      </c>
      <c r="AA121">
        <v>7</v>
      </c>
      <c r="AB121">
        <v>6</v>
      </c>
      <c r="AC121">
        <v>6</v>
      </c>
      <c r="AD121">
        <v>7</v>
      </c>
      <c r="AE121">
        <v>4</v>
      </c>
      <c r="AG121" t="s">
        <v>25</v>
      </c>
      <c r="AH121" t="s">
        <v>26</v>
      </c>
      <c r="AL121" t="s">
        <v>30</v>
      </c>
      <c r="AM121" t="s">
        <v>31</v>
      </c>
      <c r="AO121" t="s">
        <v>33</v>
      </c>
      <c r="AQ121" t="s">
        <v>34</v>
      </c>
      <c r="BB121" t="s">
        <v>36</v>
      </c>
      <c r="BC121" t="s">
        <v>37</v>
      </c>
    </row>
    <row r="122" spans="1:55" x14ac:dyDescent="0.3">
      <c r="A122" t="s">
        <v>44</v>
      </c>
      <c r="E122" t="s">
        <v>11</v>
      </c>
      <c r="I122">
        <v>5</v>
      </c>
      <c r="J122">
        <v>5</v>
      </c>
      <c r="K122">
        <v>2</v>
      </c>
      <c r="L122">
        <v>3</v>
      </c>
      <c r="M122">
        <v>3</v>
      </c>
      <c r="N122">
        <v>3</v>
      </c>
      <c r="O122" t="s">
        <v>14</v>
      </c>
      <c r="T122" t="s">
        <v>19</v>
      </c>
      <c r="U122" t="s">
        <v>20</v>
      </c>
      <c r="V122" t="s">
        <v>21</v>
      </c>
      <c r="W122" t="s">
        <v>22</v>
      </c>
      <c r="Y122" t="s">
        <v>111</v>
      </c>
      <c r="Z122">
        <v>6</v>
      </c>
      <c r="AA122">
        <v>6</v>
      </c>
      <c r="AB122">
        <v>5</v>
      </c>
      <c r="AC122">
        <v>5</v>
      </c>
      <c r="AD122">
        <v>5</v>
      </c>
      <c r="AE122">
        <v>6</v>
      </c>
      <c r="AF122" t="s">
        <v>24</v>
      </c>
      <c r="AH122" t="s">
        <v>26</v>
      </c>
      <c r="AI122" t="s">
        <v>27</v>
      </c>
      <c r="AJ122" t="s">
        <v>28</v>
      </c>
      <c r="AL122" t="s">
        <v>30</v>
      </c>
      <c r="AM122" t="s">
        <v>31</v>
      </c>
      <c r="AO122" t="s">
        <v>42</v>
      </c>
      <c r="AQ122" t="s">
        <v>49</v>
      </c>
      <c r="BB122" t="s">
        <v>40</v>
      </c>
      <c r="BC122" t="s">
        <v>41</v>
      </c>
    </row>
    <row r="123" spans="1:55" x14ac:dyDescent="0.3">
      <c r="A123" t="s">
        <v>67</v>
      </c>
      <c r="E123" t="s">
        <v>11</v>
      </c>
      <c r="I123">
        <v>5</v>
      </c>
      <c r="J123">
        <v>5</v>
      </c>
      <c r="K123">
        <v>1</v>
      </c>
      <c r="L123">
        <v>3</v>
      </c>
      <c r="M123">
        <v>3</v>
      </c>
      <c r="N123">
        <v>3</v>
      </c>
      <c r="O123" t="s">
        <v>14</v>
      </c>
      <c r="P123" t="s">
        <v>15</v>
      </c>
      <c r="T123" t="s">
        <v>19</v>
      </c>
      <c r="V123" t="s">
        <v>21</v>
      </c>
      <c r="W123" t="s">
        <v>22</v>
      </c>
      <c r="Z123">
        <v>7</v>
      </c>
      <c r="AA123">
        <v>7</v>
      </c>
      <c r="AB123">
        <v>7</v>
      </c>
      <c r="AC123">
        <v>7</v>
      </c>
      <c r="AD123">
        <v>7</v>
      </c>
      <c r="AE123">
        <v>5</v>
      </c>
      <c r="AJ123" t="s">
        <v>28</v>
      </c>
      <c r="AO123" t="s">
        <v>33</v>
      </c>
      <c r="AQ123" t="s">
        <v>34</v>
      </c>
      <c r="AT123">
        <v>4</v>
      </c>
      <c r="AU123">
        <v>4</v>
      </c>
      <c r="AV123">
        <v>3</v>
      </c>
      <c r="AW123">
        <v>6</v>
      </c>
      <c r="AX123">
        <v>6</v>
      </c>
      <c r="AY123">
        <v>4</v>
      </c>
      <c r="BA123">
        <v>5</v>
      </c>
      <c r="BB123">
        <v>65</v>
      </c>
      <c r="BC123" t="s">
        <v>41</v>
      </c>
    </row>
    <row r="124" spans="1:55" x14ac:dyDescent="0.3">
      <c r="A124" t="s">
        <v>47</v>
      </c>
      <c r="B124" t="s">
        <v>8</v>
      </c>
      <c r="E124" t="s">
        <v>11</v>
      </c>
      <c r="F124" t="s">
        <v>12</v>
      </c>
      <c r="I124">
        <v>5</v>
      </c>
      <c r="J124">
        <v>3</v>
      </c>
      <c r="K124">
        <v>4</v>
      </c>
      <c r="L124">
        <v>4</v>
      </c>
      <c r="M124">
        <v>4</v>
      </c>
      <c r="N124">
        <v>4</v>
      </c>
      <c r="O124" t="s">
        <v>14</v>
      </c>
      <c r="P124" t="s">
        <v>15</v>
      </c>
      <c r="T124" t="s">
        <v>19</v>
      </c>
      <c r="U124" t="s">
        <v>20</v>
      </c>
      <c r="V124" t="s">
        <v>21</v>
      </c>
      <c r="W124" t="s">
        <v>22</v>
      </c>
      <c r="Y124" t="s">
        <v>112</v>
      </c>
      <c r="Z124">
        <v>5</v>
      </c>
      <c r="AA124">
        <v>5</v>
      </c>
      <c r="AB124">
        <v>6</v>
      </c>
      <c r="AC124">
        <v>6</v>
      </c>
      <c r="AD124">
        <v>7</v>
      </c>
      <c r="AE124">
        <v>7</v>
      </c>
      <c r="AG124" t="s">
        <v>25</v>
      </c>
      <c r="AJ124" t="s">
        <v>28</v>
      </c>
      <c r="AL124" t="s">
        <v>30</v>
      </c>
      <c r="AM124" t="s">
        <v>31</v>
      </c>
      <c r="AO124" t="s">
        <v>42</v>
      </c>
      <c r="AQ124" t="s">
        <v>34</v>
      </c>
      <c r="BB124" t="s">
        <v>43</v>
      </c>
      <c r="BC124" t="s">
        <v>41</v>
      </c>
    </row>
    <row r="125" spans="1:55" x14ac:dyDescent="0.3">
      <c r="A125" t="s">
        <v>67</v>
      </c>
      <c r="E125" t="s">
        <v>11</v>
      </c>
      <c r="I125">
        <v>2</v>
      </c>
      <c r="J125">
        <v>4</v>
      </c>
      <c r="K125">
        <v>1</v>
      </c>
      <c r="L125">
        <v>2</v>
      </c>
      <c r="M125">
        <v>5</v>
      </c>
      <c r="N125">
        <v>4</v>
      </c>
      <c r="T125" t="s">
        <v>19</v>
      </c>
      <c r="U125" t="s">
        <v>20</v>
      </c>
      <c r="Z125">
        <v>7</v>
      </c>
      <c r="AA125">
        <v>6</v>
      </c>
      <c r="AB125">
        <v>6</v>
      </c>
      <c r="AC125">
        <v>6</v>
      </c>
      <c r="AD125">
        <v>7</v>
      </c>
      <c r="AE125">
        <v>3</v>
      </c>
      <c r="AF125" t="s">
        <v>24</v>
      </c>
      <c r="AG125" t="s">
        <v>25</v>
      </c>
      <c r="AM125" t="s">
        <v>31</v>
      </c>
      <c r="AO125" t="s">
        <v>42</v>
      </c>
      <c r="AQ125" t="s">
        <v>49</v>
      </c>
      <c r="BB125" t="s">
        <v>40</v>
      </c>
      <c r="BC125" t="s">
        <v>41</v>
      </c>
    </row>
    <row r="126" spans="1:55" x14ac:dyDescent="0.3">
      <c r="A126" t="s">
        <v>67</v>
      </c>
      <c r="E126" t="s">
        <v>11</v>
      </c>
      <c r="H126" t="s">
        <v>113</v>
      </c>
      <c r="I126">
        <v>5</v>
      </c>
      <c r="J126">
        <v>5</v>
      </c>
      <c r="K126">
        <v>3</v>
      </c>
      <c r="L126">
        <v>5</v>
      </c>
      <c r="M126">
        <v>5</v>
      </c>
      <c r="N126">
        <v>3</v>
      </c>
      <c r="O126" t="s">
        <v>14</v>
      </c>
      <c r="T126" t="s">
        <v>19</v>
      </c>
      <c r="U126" t="s">
        <v>20</v>
      </c>
      <c r="V126" t="s">
        <v>21</v>
      </c>
      <c r="Z126">
        <v>7</v>
      </c>
      <c r="AA126">
        <v>5</v>
      </c>
      <c r="AB126">
        <v>5</v>
      </c>
      <c r="AC126">
        <v>5</v>
      </c>
      <c r="AD126">
        <v>5</v>
      </c>
      <c r="AE126">
        <v>7</v>
      </c>
      <c r="AF126" t="s">
        <v>24</v>
      </c>
      <c r="AG126" t="s">
        <v>25</v>
      </c>
      <c r="AI126" t="s">
        <v>27</v>
      </c>
      <c r="AL126" t="s">
        <v>30</v>
      </c>
      <c r="AO126" t="s">
        <v>54</v>
      </c>
      <c r="AQ126" t="s">
        <v>39</v>
      </c>
      <c r="BB126" t="s">
        <v>36</v>
      </c>
      <c r="BC126" t="s">
        <v>41</v>
      </c>
    </row>
    <row r="127" spans="1:55" x14ac:dyDescent="0.3">
      <c r="A127" t="s">
        <v>67</v>
      </c>
      <c r="B127" t="s">
        <v>8</v>
      </c>
      <c r="C127" t="s">
        <v>9</v>
      </c>
      <c r="D127" t="s">
        <v>10</v>
      </c>
      <c r="E127" t="s">
        <v>11</v>
      </c>
      <c r="F127" t="s">
        <v>12</v>
      </c>
      <c r="I127">
        <v>4</v>
      </c>
      <c r="J127">
        <v>4</v>
      </c>
      <c r="K127">
        <v>3</v>
      </c>
      <c r="M127">
        <v>4</v>
      </c>
      <c r="N127">
        <v>4</v>
      </c>
      <c r="O127" t="s">
        <v>14</v>
      </c>
      <c r="P127" t="s">
        <v>15</v>
      </c>
      <c r="T127" t="s">
        <v>19</v>
      </c>
      <c r="V127" t="s">
        <v>21</v>
      </c>
      <c r="W127" t="s">
        <v>22</v>
      </c>
      <c r="Z127">
        <v>3</v>
      </c>
      <c r="AA127">
        <v>3</v>
      </c>
      <c r="AB127">
        <v>7</v>
      </c>
      <c r="AC127">
        <v>5</v>
      </c>
      <c r="AD127">
        <v>7</v>
      </c>
      <c r="AE127">
        <v>7</v>
      </c>
      <c r="AG127" t="s">
        <v>25</v>
      </c>
      <c r="AH127" t="s">
        <v>26</v>
      </c>
      <c r="AI127" t="s">
        <v>27</v>
      </c>
      <c r="AJ127" t="s">
        <v>28</v>
      </c>
      <c r="AK127" t="s">
        <v>29</v>
      </c>
      <c r="AO127" t="s">
        <v>42</v>
      </c>
      <c r="AQ127" t="s">
        <v>49</v>
      </c>
      <c r="BB127" t="s">
        <v>36</v>
      </c>
      <c r="BC127" t="s">
        <v>41</v>
      </c>
    </row>
    <row r="128" spans="1:55" x14ac:dyDescent="0.3">
      <c r="A128" t="s">
        <v>47</v>
      </c>
      <c r="D128" t="s">
        <v>10</v>
      </c>
      <c r="I128">
        <v>4</v>
      </c>
      <c r="J128">
        <v>4</v>
      </c>
      <c r="M128">
        <v>4</v>
      </c>
      <c r="T128" t="s">
        <v>19</v>
      </c>
      <c r="U128" t="s">
        <v>20</v>
      </c>
      <c r="V128" t="s">
        <v>21</v>
      </c>
      <c r="W128" t="s">
        <v>22</v>
      </c>
      <c r="Z128">
        <v>5</v>
      </c>
      <c r="AA128">
        <v>5</v>
      </c>
      <c r="AB128">
        <v>5</v>
      </c>
      <c r="AC128">
        <v>5</v>
      </c>
      <c r="AD128">
        <v>5</v>
      </c>
      <c r="AE128">
        <v>1</v>
      </c>
      <c r="AG128" t="s">
        <v>25</v>
      </c>
      <c r="AL128" t="s">
        <v>30</v>
      </c>
      <c r="AO128" t="s">
        <v>42</v>
      </c>
      <c r="AQ128" t="s">
        <v>34</v>
      </c>
      <c r="BB128" t="s">
        <v>36</v>
      </c>
      <c r="BC128" t="s">
        <v>41</v>
      </c>
    </row>
    <row r="129" spans="1:55" x14ac:dyDescent="0.3">
      <c r="A129" t="s">
        <v>67</v>
      </c>
      <c r="B129" t="s">
        <v>8</v>
      </c>
      <c r="E129" t="s">
        <v>11</v>
      </c>
      <c r="F129" t="s">
        <v>12</v>
      </c>
      <c r="I129">
        <v>4</v>
      </c>
      <c r="J129">
        <v>5</v>
      </c>
      <c r="K129">
        <v>3</v>
      </c>
      <c r="L129">
        <v>5</v>
      </c>
      <c r="M129">
        <v>5</v>
      </c>
      <c r="N129">
        <v>3</v>
      </c>
      <c r="O129" t="s">
        <v>14</v>
      </c>
      <c r="P129" t="s">
        <v>15</v>
      </c>
      <c r="T129" t="s">
        <v>19</v>
      </c>
      <c r="V129" t="s">
        <v>21</v>
      </c>
      <c r="Z129">
        <v>5</v>
      </c>
      <c r="AA129">
        <v>6</v>
      </c>
      <c r="AB129">
        <v>6</v>
      </c>
      <c r="AC129">
        <v>6</v>
      </c>
      <c r="AD129">
        <v>6</v>
      </c>
      <c r="AE129">
        <v>6</v>
      </c>
      <c r="AG129" t="s">
        <v>25</v>
      </c>
      <c r="AK129" t="s">
        <v>29</v>
      </c>
      <c r="AL129" t="s">
        <v>30</v>
      </c>
      <c r="AM129" t="s">
        <v>31</v>
      </c>
      <c r="AO129" t="s">
        <v>42</v>
      </c>
      <c r="AQ129" t="s">
        <v>34</v>
      </c>
      <c r="BB129" t="s">
        <v>43</v>
      </c>
      <c r="BC129" t="s">
        <v>41</v>
      </c>
    </row>
    <row r="130" spans="1:55" x14ac:dyDescent="0.3">
      <c r="A130" t="s">
        <v>47</v>
      </c>
      <c r="B130" t="s">
        <v>8</v>
      </c>
      <c r="D130" t="s">
        <v>10</v>
      </c>
      <c r="E130" t="s">
        <v>11</v>
      </c>
      <c r="F130" t="s">
        <v>12</v>
      </c>
      <c r="I130">
        <v>4</v>
      </c>
      <c r="J130">
        <v>4</v>
      </c>
      <c r="K130">
        <v>2</v>
      </c>
      <c r="L130">
        <v>3</v>
      </c>
      <c r="M130">
        <v>4</v>
      </c>
      <c r="N130">
        <v>3</v>
      </c>
      <c r="Q130" t="s">
        <v>16</v>
      </c>
      <c r="R130" t="s">
        <v>17</v>
      </c>
      <c r="U130" t="s">
        <v>20</v>
      </c>
      <c r="W130" t="s">
        <v>22</v>
      </c>
      <c r="Z130">
        <v>3</v>
      </c>
      <c r="AA130">
        <v>5</v>
      </c>
      <c r="AB130">
        <v>6</v>
      </c>
      <c r="AC130">
        <v>4</v>
      </c>
      <c r="AD130">
        <v>7</v>
      </c>
      <c r="AE130">
        <v>6</v>
      </c>
      <c r="AF130" t="s">
        <v>24</v>
      </c>
      <c r="AK130" t="s">
        <v>29</v>
      </c>
      <c r="AM130" t="s">
        <v>31</v>
      </c>
      <c r="AP130" t="s">
        <v>114</v>
      </c>
      <c r="AQ130" t="s">
        <v>39</v>
      </c>
      <c r="BB130" t="s">
        <v>40</v>
      </c>
      <c r="BC130" t="s">
        <v>41</v>
      </c>
    </row>
    <row r="131" spans="1:55" x14ac:dyDescent="0.3">
      <c r="A131" t="s">
        <v>47</v>
      </c>
      <c r="E131" t="s">
        <v>11</v>
      </c>
      <c r="I131">
        <v>5</v>
      </c>
      <c r="J131">
        <v>3</v>
      </c>
      <c r="K131">
        <v>1</v>
      </c>
      <c r="L131">
        <v>5</v>
      </c>
      <c r="M131">
        <v>5</v>
      </c>
      <c r="N131">
        <v>1</v>
      </c>
      <c r="O131" t="s">
        <v>14</v>
      </c>
      <c r="Y131" t="s">
        <v>115</v>
      </c>
      <c r="Z131">
        <v>5</v>
      </c>
      <c r="AA131">
        <v>5</v>
      </c>
      <c r="AB131">
        <v>2</v>
      </c>
      <c r="AC131">
        <v>4</v>
      </c>
      <c r="AD131">
        <v>4</v>
      </c>
      <c r="AE131">
        <v>1</v>
      </c>
      <c r="AJ131" t="s">
        <v>28</v>
      </c>
      <c r="AO131" t="s">
        <v>42</v>
      </c>
      <c r="AQ131" t="s">
        <v>34</v>
      </c>
      <c r="BB131" t="s">
        <v>40</v>
      </c>
      <c r="BC131" t="s">
        <v>41</v>
      </c>
    </row>
    <row r="132" spans="1:55" x14ac:dyDescent="0.3">
      <c r="A132" t="s">
        <v>44</v>
      </c>
      <c r="B132" t="s">
        <v>8</v>
      </c>
      <c r="E132" t="s">
        <v>11</v>
      </c>
      <c r="I132">
        <v>4</v>
      </c>
      <c r="J132">
        <v>5</v>
      </c>
      <c r="K132">
        <v>5</v>
      </c>
      <c r="L132">
        <v>2</v>
      </c>
      <c r="M132">
        <v>4</v>
      </c>
      <c r="N132">
        <v>4</v>
      </c>
      <c r="O132" t="s">
        <v>14</v>
      </c>
      <c r="P132" t="s">
        <v>15</v>
      </c>
      <c r="R132" t="s">
        <v>17</v>
      </c>
      <c r="S132" t="s">
        <v>18</v>
      </c>
      <c r="T132" t="s">
        <v>19</v>
      </c>
      <c r="U132" t="s">
        <v>20</v>
      </c>
      <c r="V132" t="s">
        <v>21</v>
      </c>
      <c r="W132" t="s">
        <v>22</v>
      </c>
      <c r="Y132" t="s">
        <v>116</v>
      </c>
      <c r="Z132">
        <v>5</v>
      </c>
      <c r="AA132">
        <v>6</v>
      </c>
      <c r="AB132">
        <v>5</v>
      </c>
      <c r="AC132">
        <v>7</v>
      </c>
      <c r="AD132">
        <v>6</v>
      </c>
      <c r="AE132">
        <v>5</v>
      </c>
      <c r="AF132" t="s">
        <v>24</v>
      </c>
      <c r="AG132" t="s">
        <v>25</v>
      </c>
      <c r="AH132" t="s">
        <v>26</v>
      </c>
      <c r="AL132" t="s">
        <v>30</v>
      </c>
      <c r="AM132" t="s">
        <v>31</v>
      </c>
      <c r="AO132" t="s">
        <v>42</v>
      </c>
      <c r="AQ132" t="s">
        <v>34</v>
      </c>
      <c r="BB132" t="s">
        <v>43</v>
      </c>
      <c r="BC132" t="s">
        <v>41</v>
      </c>
    </row>
    <row r="133" spans="1:55" x14ac:dyDescent="0.3">
      <c r="A133" t="s">
        <v>44</v>
      </c>
      <c r="D133" t="s">
        <v>10</v>
      </c>
      <c r="E133" t="s">
        <v>11</v>
      </c>
      <c r="F133" t="s">
        <v>12</v>
      </c>
      <c r="I133">
        <v>4</v>
      </c>
      <c r="J133">
        <v>5</v>
      </c>
      <c r="K133">
        <v>3</v>
      </c>
      <c r="L133">
        <v>3</v>
      </c>
      <c r="M133">
        <v>4</v>
      </c>
      <c r="N133">
        <v>4</v>
      </c>
      <c r="S133" t="s">
        <v>18</v>
      </c>
      <c r="T133" t="s">
        <v>19</v>
      </c>
      <c r="W133" t="s">
        <v>22</v>
      </c>
      <c r="Y133" t="s">
        <v>117</v>
      </c>
      <c r="Z133">
        <v>6</v>
      </c>
      <c r="AA133">
        <v>6</v>
      </c>
      <c r="AB133">
        <v>7</v>
      </c>
      <c r="AC133">
        <v>7</v>
      </c>
      <c r="AD133">
        <v>7</v>
      </c>
      <c r="AE133">
        <v>7</v>
      </c>
      <c r="AG133" t="s">
        <v>25</v>
      </c>
      <c r="AJ133" t="s">
        <v>28</v>
      </c>
      <c r="AL133" t="s">
        <v>30</v>
      </c>
      <c r="BB133" t="s">
        <v>36</v>
      </c>
      <c r="BC133" t="s">
        <v>37</v>
      </c>
    </row>
    <row r="134" spans="1:55" x14ac:dyDescent="0.3">
      <c r="A134" t="s">
        <v>32</v>
      </c>
      <c r="E134" t="s">
        <v>11</v>
      </c>
      <c r="F134" t="s">
        <v>12</v>
      </c>
      <c r="I134">
        <v>5</v>
      </c>
      <c r="J134">
        <v>3</v>
      </c>
      <c r="K134">
        <v>4</v>
      </c>
      <c r="L134">
        <v>3</v>
      </c>
      <c r="M134">
        <v>3</v>
      </c>
      <c r="N134">
        <v>4</v>
      </c>
      <c r="O134" t="s">
        <v>14</v>
      </c>
      <c r="P134" t="s">
        <v>15</v>
      </c>
      <c r="R134" t="s">
        <v>17</v>
      </c>
      <c r="T134" t="s">
        <v>19</v>
      </c>
      <c r="U134" t="s">
        <v>20</v>
      </c>
      <c r="V134" t="s">
        <v>21</v>
      </c>
      <c r="W134" t="s">
        <v>22</v>
      </c>
      <c r="Y134" t="s">
        <v>118</v>
      </c>
      <c r="Z134">
        <v>4</v>
      </c>
      <c r="AA134">
        <v>5</v>
      </c>
      <c r="AB134">
        <v>4</v>
      </c>
      <c r="AC134">
        <v>6</v>
      </c>
      <c r="AD134">
        <v>6</v>
      </c>
      <c r="AE134">
        <v>7</v>
      </c>
      <c r="AG134" t="s">
        <v>25</v>
      </c>
      <c r="AH134" t="s">
        <v>26</v>
      </c>
      <c r="AL134" t="s">
        <v>30</v>
      </c>
      <c r="AM134" t="s">
        <v>31</v>
      </c>
      <c r="AN134" t="s">
        <v>119</v>
      </c>
      <c r="AO134" t="s">
        <v>33</v>
      </c>
      <c r="AQ134" t="s">
        <v>34</v>
      </c>
      <c r="BB134" t="s">
        <v>43</v>
      </c>
      <c r="BC134" t="s">
        <v>37</v>
      </c>
    </row>
    <row r="135" spans="1:55" x14ac:dyDescent="0.3">
      <c r="A135" t="s">
        <v>47</v>
      </c>
      <c r="E135" t="s">
        <v>11</v>
      </c>
      <c r="I135">
        <v>4</v>
      </c>
      <c r="J135">
        <v>2</v>
      </c>
      <c r="K135">
        <v>1</v>
      </c>
      <c r="L135">
        <v>3</v>
      </c>
      <c r="M135">
        <v>2</v>
      </c>
      <c r="N135">
        <v>2</v>
      </c>
      <c r="P135" t="s">
        <v>15</v>
      </c>
      <c r="T135" t="s">
        <v>19</v>
      </c>
      <c r="U135" t="s">
        <v>20</v>
      </c>
      <c r="V135" t="s">
        <v>21</v>
      </c>
      <c r="Z135">
        <v>4</v>
      </c>
      <c r="AA135">
        <v>3</v>
      </c>
      <c r="AB135">
        <v>3</v>
      </c>
      <c r="AC135">
        <v>3</v>
      </c>
      <c r="AD135">
        <v>5</v>
      </c>
      <c r="AE135">
        <v>7</v>
      </c>
      <c r="AG135" t="s">
        <v>25</v>
      </c>
      <c r="AJ135" t="s">
        <v>28</v>
      </c>
      <c r="AL135" t="s">
        <v>30</v>
      </c>
      <c r="AM135" t="s">
        <v>31</v>
      </c>
      <c r="AO135" t="s">
        <v>33</v>
      </c>
      <c r="AQ135" t="s">
        <v>34</v>
      </c>
      <c r="BB135" t="s">
        <v>40</v>
      </c>
      <c r="BC135" t="s">
        <v>41</v>
      </c>
    </row>
    <row r="136" spans="1:55" x14ac:dyDescent="0.3">
      <c r="A136" t="s">
        <v>47</v>
      </c>
      <c r="E136" t="s">
        <v>11</v>
      </c>
      <c r="I136">
        <v>5</v>
      </c>
      <c r="J136">
        <v>5</v>
      </c>
      <c r="K136">
        <v>1</v>
      </c>
      <c r="L136">
        <v>4</v>
      </c>
      <c r="M136">
        <v>5</v>
      </c>
      <c r="N136">
        <v>2</v>
      </c>
      <c r="P136" t="s">
        <v>15</v>
      </c>
      <c r="T136" t="s">
        <v>19</v>
      </c>
      <c r="U136" t="s">
        <v>20</v>
      </c>
      <c r="V136" t="s">
        <v>21</v>
      </c>
      <c r="Z136">
        <v>4</v>
      </c>
      <c r="AA136">
        <v>7</v>
      </c>
      <c r="AB136">
        <v>5</v>
      </c>
      <c r="AC136">
        <v>5</v>
      </c>
      <c r="AD136">
        <v>5</v>
      </c>
      <c r="AE136">
        <v>7</v>
      </c>
      <c r="AG136" t="s">
        <v>25</v>
      </c>
      <c r="AH136" t="s">
        <v>26</v>
      </c>
      <c r="AI136" t="s">
        <v>27</v>
      </c>
      <c r="AM136" t="s">
        <v>31</v>
      </c>
      <c r="AO136" t="s">
        <v>33</v>
      </c>
      <c r="AQ136" t="s">
        <v>34</v>
      </c>
      <c r="BB136" t="s">
        <v>36</v>
      </c>
      <c r="BC136" t="s">
        <v>41</v>
      </c>
    </row>
    <row r="137" spans="1:55" x14ac:dyDescent="0.3">
      <c r="A137" t="s">
        <v>67</v>
      </c>
      <c r="D137" t="s">
        <v>10</v>
      </c>
      <c r="E137" t="s">
        <v>11</v>
      </c>
      <c r="F137" t="s">
        <v>12</v>
      </c>
      <c r="I137">
        <v>5</v>
      </c>
      <c r="J137">
        <v>4</v>
      </c>
      <c r="K137">
        <v>5</v>
      </c>
      <c r="L137">
        <v>1</v>
      </c>
      <c r="M137">
        <v>4</v>
      </c>
      <c r="N137">
        <v>2</v>
      </c>
      <c r="P137" t="s">
        <v>15</v>
      </c>
      <c r="S137" t="s">
        <v>18</v>
      </c>
      <c r="T137" t="s">
        <v>19</v>
      </c>
      <c r="W137" t="s">
        <v>22</v>
      </c>
      <c r="Y137" t="s">
        <v>120</v>
      </c>
      <c r="Z137">
        <v>6</v>
      </c>
      <c r="AA137">
        <v>7</v>
      </c>
      <c r="AB137">
        <v>7</v>
      </c>
      <c r="AC137">
        <v>6</v>
      </c>
      <c r="AD137">
        <v>7</v>
      </c>
      <c r="AE137">
        <v>4</v>
      </c>
      <c r="AG137" t="s">
        <v>25</v>
      </c>
      <c r="AJ137" t="s">
        <v>28</v>
      </c>
      <c r="AK137" t="s">
        <v>29</v>
      </c>
      <c r="AL137" t="s">
        <v>30</v>
      </c>
      <c r="AO137" t="s">
        <v>42</v>
      </c>
      <c r="AQ137" t="s">
        <v>39</v>
      </c>
      <c r="BB137" t="s">
        <v>40</v>
      </c>
      <c r="BC137" t="s">
        <v>41</v>
      </c>
    </row>
    <row r="138" spans="1:55" x14ac:dyDescent="0.3">
      <c r="A138" t="s">
        <v>44</v>
      </c>
      <c r="D138" t="s">
        <v>10</v>
      </c>
      <c r="E138" t="s">
        <v>11</v>
      </c>
      <c r="F138" t="s">
        <v>12</v>
      </c>
      <c r="I138">
        <v>5</v>
      </c>
      <c r="J138">
        <v>5</v>
      </c>
      <c r="K138">
        <v>5</v>
      </c>
      <c r="L138">
        <v>4</v>
      </c>
      <c r="M138">
        <v>5</v>
      </c>
      <c r="N138">
        <v>3</v>
      </c>
      <c r="O138" t="s">
        <v>14</v>
      </c>
      <c r="Z138">
        <v>6</v>
      </c>
      <c r="AA138">
        <v>7</v>
      </c>
      <c r="AB138">
        <v>7</v>
      </c>
      <c r="AC138">
        <v>7</v>
      </c>
      <c r="AD138">
        <v>6</v>
      </c>
      <c r="AE138">
        <v>4</v>
      </c>
      <c r="AG138" t="s">
        <v>25</v>
      </c>
      <c r="AJ138" t="s">
        <v>28</v>
      </c>
      <c r="AL138" t="s">
        <v>30</v>
      </c>
      <c r="AO138" t="s">
        <v>42</v>
      </c>
      <c r="AQ138" t="s">
        <v>34</v>
      </c>
      <c r="BB138" t="s">
        <v>43</v>
      </c>
      <c r="BC138" t="s">
        <v>41</v>
      </c>
    </row>
    <row r="139" spans="1:55" x14ac:dyDescent="0.3">
      <c r="A139" t="s">
        <v>67</v>
      </c>
      <c r="B139" t="s">
        <v>8</v>
      </c>
      <c r="C139" t="s">
        <v>9</v>
      </c>
      <c r="I139">
        <v>4</v>
      </c>
      <c r="J139">
        <v>3</v>
      </c>
      <c r="K139">
        <v>3</v>
      </c>
      <c r="L139">
        <v>2</v>
      </c>
      <c r="M139">
        <v>5</v>
      </c>
      <c r="N139">
        <v>4</v>
      </c>
      <c r="R139" t="s">
        <v>17</v>
      </c>
      <c r="U139" t="s">
        <v>20</v>
      </c>
      <c r="V139" t="s">
        <v>21</v>
      </c>
      <c r="Z139">
        <v>5</v>
      </c>
      <c r="AA139">
        <v>5</v>
      </c>
      <c r="AB139">
        <v>7</v>
      </c>
      <c r="AC139">
        <v>6</v>
      </c>
      <c r="AD139">
        <v>7</v>
      </c>
      <c r="AE139">
        <v>7</v>
      </c>
      <c r="AF139" t="s">
        <v>24</v>
      </c>
      <c r="AJ139" t="s">
        <v>28</v>
      </c>
      <c r="AL139" t="s">
        <v>30</v>
      </c>
      <c r="AO139" t="s">
        <v>42</v>
      </c>
      <c r="AQ139" t="s">
        <v>34</v>
      </c>
      <c r="BB139" t="s">
        <v>43</v>
      </c>
      <c r="BC139" t="s">
        <v>41</v>
      </c>
    </row>
    <row r="140" spans="1:55" x14ac:dyDescent="0.3">
      <c r="A140" t="s">
        <v>67</v>
      </c>
      <c r="B140" t="s">
        <v>8</v>
      </c>
      <c r="E140" t="s">
        <v>11</v>
      </c>
      <c r="H140" t="s">
        <v>121</v>
      </c>
      <c r="I140">
        <v>4</v>
      </c>
      <c r="J140">
        <v>2</v>
      </c>
      <c r="K140">
        <v>2</v>
      </c>
      <c r="L140">
        <v>2</v>
      </c>
      <c r="M140">
        <v>5</v>
      </c>
      <c r="N140">
        <v>2</v>
      </c>
      <c r="X140" t="s">
        <v>23</v>
      </c>
      <c r="Z140">
        <v>6</v>
      </c>
      <c r="AA140">
        <v>6</v>
      </c>
      <c r="AB140">
        <v>6</v>
      </c>
      <c r="AC140">
        <v>6</v>
      </c>
      <c r="AD140">
        <v>6</v>
      </c>
      <c r="AE140">
        <v>6</v>
      </c>
      <c r="AF140" t="s">
        <v>24</v>
      </c>
      <c r="AG140" t="s">
        <v>25</v>
      </c>
      <c r="AH140" t="s">
        <v>26</v>
      </c>
      <c r="AI140" t="s">
        <v>27</v>
      </c>
      <c r="AL140" t="s">
        <v>30</v>
      </c>
      <c r="AM140" t="s">
        <v>31</v>
      </c>
      <c r="AO140" t="s">
        <v>33</v>
      </c>
      <c r="AQ140" t="s">
        <v>39</v>
      </c>
      <c r="AS140">
        <v>5</v>
      </c>
      <c r="AT140">
        <v>6</v>
      </c>
      <c r="AU140">
        <v>6</v>
      </c>
      <c r="AV140">
        <v>6</v>
      </c>
      <c r="AW140">
        <v>6</v>
      </c>
      <c r="AX140">
        <v>6</v>
      </c>
      <c r="AY140">
        <v>5</v>
      </c>
      <c r="BA140">
        <v>5</v>
      </c>
      <c r="BB140" t="s">
        <v>43</v>
      </c>
      <c r="BC140" t="s">
        <v>41</v>
      </c>
    </row>
    <row r="141" spans="1:55" x14ac:dyDescent="0.3">
      <c r="A141" t="s">
        <v>67</v>
      </c>
      <c r="E141" t="s">
        <v>11</v>
      </c>
      <c r="I141">
        <v>5</v>
      </c>
      <c r="J141">
        <v>5</v>
      </c>
      <c r="K141">
        <v>2</v>
      </c>
      <c r="L141">
        <v>5</v>
      </c>
      <c r="M141">
        <v>4</v>
      </c>
      <c r="N141">
        <v>3</v>
      </c>
      <c r="P141" t="s">
        <v>15</v>
      </c>
      <c r="T141" t="s">
        <v>19</v>
      </c>
      <c r="U141" t="s">
        <v>20</v>
      </c>
      <c r="V141" t="s">
        <v>21</v>
      </c>
      <c r="Z141">
        <v>4</v>
      </c>
      <c r="AA141">
        <v>7</v>
      </c>
      <c r="AB141">
        <v>7</v>
      </c>
      <c r="AC141">
        <v>7</v>
      </c>
      <c r="AD141">
        <v>7</v>
      </c>
      <c r="AE141">
        <v>5</v>
      </c>
      <c r="AL141" t="s">
        <v>30</v>
      </c>
      <c r="AM141" t="s">
        <v>31</v>
      </c>
      <c r="AO141" t="s">
        <v>42</v>
      </c>
      <c r="AQ141" t="s">
        <v>34</v>
      </c>
      <c r="BB141" t="s">
        <v>40</v>
      </c>
      <c r="BC141" t="s">
        <v>41</v>
      </c>
    </row>
    <row r="142" spans="1:55" x14ac:dyDescent="0.3">
      <c r="A142" t="s">
        <v>67</v>
      </c>
      <c r="B142" t="s">
        <v>8</v>
      </c>
      <c r="I142">
        <v>3</v>
      </c>
      <c r="J142">
        <v>3</v>
      </c>
      <c r="K142">
        <v>1</v>
      </c>
      <c r="M142">
        <v>3</v>
      </c>
      <c r="N142">
        <v>1</v>
      </c>
      <c r="P142" t="s">
        <v>15</v>
      </c>
      <c r="T142" t="s">
        <v>19</v>
      </c>
      <c r="U142" t="s">
        <v>20</v>
      </c>
      <c r="V142" t="s">
        <v>21</v>
      </c>
      <c r="W142" t="s">
        <v>22</v>
      </c>
      <c r="Z142">
        <v>3</v>
      </c>
      <c r="AA142">
        <v>4</v>
      </c>
      <c r="AB142">
        <v>4</v>
      </c>
      <c r="AC142">
        <v>4</v>
      </c>
      <c r="AD142">
        <v>7</v>
      </c>
      <c r="AE142">
        <v>4</v>
      </c>
      <c r="AF142" t="s">
        <v>24</v>
      </c>
      <c r="AG142" t="s">
        <v>25</v>
      </c>
      <c r="AJ142" t="s">
        <v>28</v>
      </c>
      <c r="AL142" t="s">
        <v>30</v>
      </c>
      <c r="AO142" t="s">
        <v>42</v>
      </c>
      <c r="AQ142" t="s">
        <v>34</v>
      </c>
      <c r="AS142">
        <v>6</v>
      </c>
      <c r="AT142">
        <v>6</v>
      </c>
      <c r="AU142">
        <v>6</v>
      </c>
      <c r="AV142">
        <v>6</v>
      </c>
      <c r="AW142">
        <v>6</v>
      </c>
      <c r="AX142">
        <v>6</v>
      </c>
      <c r="AY142">
        <v>6</v>
      </c>
      <c r="BA142">
        <v>6</v>
      </c>
      <c r="BB142" t="s">
        <v>36</v>
      </c>
      <c r="BC142" t="s">
        <v>41</v>
      </c>
    </row>
    <row r="143" spans="1:55" x14ac:dyDescent="0.3">
      <c r="A143" t="s">
        <v>67</v>
      </c>
      <c r="E143" t="s">
        <v>11</v>
      </c>
      <c r="I143">
        <v>5</v>
      </c>
      <c r="J143">
        <v>3</v>
      </c>
      <c r="K143">
        <v>2</v>
      </c>
      <c r="L143">
        <v>4</v>
      </c>
      <c r="M143">
        <v>4</v>
      </c>
      <c r="N143">
        <v>3</v>
      </c>
      <c r="T143" t="s">
        <v>19</v>
      </c>
      <c r="U143" t="s">
        <v>20</v>
      </c>
      <c r="Y143" t="s">
        <v>122</v>
      </c>
      <c r="Z143">
        <v>5</v>
      </c>
      <c r="AA143">
        <v>6</v>
      </c>
      <c r="AB143">
        <v>4</v>
      </c>
      <c r="AC143">
        <v>5</v>
      </c>
      <c r="AD143">
        <v>6</v>
      </c>
      <c r="AE143">
        <v>4</v>
      </c>
      <c r="AM143" t="s">
        <v>31</v>
      </c>
      <c r="AO143" t="s">
        <v>42</v>
      </c>
      <c r="AQ143" t="s">
        <v>34</v>
      </c>
      <c r="BB143" t="s">
        <v>40</v>
      </c>
      <c r="BC143" t="s">
        <v>37</v>
      </c>
    </row>
    <row r="144" spans="1:55" x14ac:dyDescent="0.3">
      <c r="A144" t="s">
        <v>44</v>
      </c>
      <c r="E144" t="s">
        <v>11</v>
      </c>
      <c r="I144">
        <v>5</v>
      </c>
      <c r="J144">
        <v>5</v>
      </c>
      <c r="K144">
        <v>2</v>
      </c>
      <c r="L144">
        <v>2</v>
      </c>
      <c r="M144">
        <v>5</v>
      </c>
      <c r="N144">
        <v>5</v>
      </c>
      <c r="P144" t="s">
        <v>15</v>
      </c>
      <c r="T144" t="s">
        <v>19</v>
      </c>
      <c r="U144" t="s">
        <v>20</v>
      </c>
      <c r="V144" t="s">
        <v>21</v>
      </c>
      <c r="Z144">
        <v>7</v>
      </c>
      <c r="AA144">
        <v>7</v>
      </c>
      <c r="AB144">
        <v>7</v>
      </c>
      <c r="AC144">
        <v>7</v>
      </c>
      <c r="AD144">
        <v>7</v>
      </c>
      <c r="AE144">
        <v>3</v>
      </c>
      <c r="AI144" t="s">
        <v>27</v>
      </c>
      <c r="AJ144" t="s">
        <v>28</v>
      </c>
      <c r="AM144" t="s">
        <v>31</v>
      </c>
      <c r="AO144" t="s">
        <v>42</v>
      </c>
      <c r="AQ144" t="s">
        <v>34</v>
      </c>
      <c r="BB144" t="s">
        <v>43</v>
      </c>
      <c r="BC144" t="s">
        <v>41</v>
      </c>
    </row>
    <row r="145" spans="1:55" x14ac:dyDescent="0.3">
      <c r="A145" t="s">
        <v>67</v>
      </c>
      <c r="E145" t="s">
        <v>11</v>
      </c>
      <c r="F145" t="s">
        <v>12</v>
      </c>
      <c r="I145">
        <v>5</v>
      </c>
      <c r="J145">
        <v>5</v>
      </c>
      <c r="K145">
        <v>2</v>
      </c>
      <c r="L145">
        <v>5</v>
      </c>
      <c r="M145">
        <v>5</v>
      </c>
      <c r="N145">
        <v>3</v>
      </c>
      <c r="P145" t="s">
        <v>15</v>
      </c>
      <c r="S145" t="s">
        <v>18</v>
      </c>
      <c r="T145" t="s">
        <v>19</v>
      </c>
      <c r="U145" t="s">
        <v>20</v>
      </c>
      <c r="V145" t="s">
        <v>21</v>
      </c>
      <c r="W145" t="s">
        <v>22</v>
      </c>
      <c r="Z145">
        <v>7</v>
      </c>
      <c r="AA145">
        <v>7</v>
      </c>
      <c r="AB145">
        <v>7</v>
      </c>
      <c r="AC145">
        <v>7</v>
      </c>
      <c r="AD145">
        <v>7</v>
      </c>
      <c r="AE145">
        <v>7</v>
      </c>
      <c r="AF145" t="s">
        <v>24</v>
      </c>
      <c r="AG145" t="s">
        <v>25</v>
      </c>
      <c r="AJ145" t="s">
        <v>28</v>
      </c>
      <c r="AL145" t="s">
        <v>30</v>
      </c>
      <c r="AM145" t="s">
        <v>31</v>
      </c>
      <c r="AO145" t="s">
        <v>33</v>
      </c>
      <c r="AQ145" t="s">
        <v>39</v>
      </c>
      <c r="BB145" t="s">
        <v>43</v>
      </c>
      <c r="BC145" t="s">
        <v>41</v>
      </c>
    </row>
    <row r="146" spans="1:55" x14ac:dyDescent="0.3">
      <c r="A146" t="s">
        <v>44</v>
      </c>
      <c r="E146" t="s">
        <v>11</v>
      </c>
      <c r="I146">
        <v>5</v>
      </c>
      <c r="J146">
        <v>5</v>
      </c>
      <c r="K146">
        <v>1</v>
      </c>
      <c r="L146">
        <v>3</v>
      </c>
      <c r="M146">
        <v>3</v>
      </c>
      <c r="N146">
        <v>1</v>
      </c>
      <c r="R146" t="s">
        <v>17</v>
      </c>
      <c r="T146" t="s">
        <v>19</v>
      </c>
      <c r="U146" t="s">
        <v>20</v>
      </c>
      <c r="W146" t="s">
        <v>22</v>
      </c>
      <c r="Z146">
        <v>7</v>
      </c>
      <c r="AA146">
        <v>5</v>
      </c>
      <c r="AB146">
        <v>5</v>
      </c>
      <c r="AC146">
        <v>5</v>
      </c>
      <c r="AD146">
        <v>7</v>
      </c>
      <c r="AE146">
        <v>7</v>
      </c>
      <c r="AF146" t="s">
        <v>24</v>
      </c>
      <c r="AH146" t="s">
        <v>26</v>
      </c>
      <c r="AJ146" t="s">
        <v>28</v>
      </c>
      <c r="AL146" t="s">
        <v>30</v>
      </c>
      <c r="AO146" t="s">
        <v>42</v>
      </c>
      <c r="AQ146" t="s">
        <v>34</v>
      </c>
      <c r="BB146" t="s">
        <v>40</v>
      </c>
      <c r="BC146" t="s">
        <v>41</v>
      </c>
    </row>
    <row r="147" spans="1:55" x14ac:dyDescent="0.3">
      <c r="A147" t="s">
        <v>67</v>
      </c>
      <c r="B147" t="s">
        <v>8</v>
      </c>
      <c r="H147" t="s">
        <v>123</v>
      </c>
      <c r="I147">
        <v>2</v>
      </c>
      <c r="J147">
        <v>2</v>
      </c>
      <c r="K147">
        <v>2</v>
      </c>
      <c r="L147">
        <v>3</v>
      </c>
      <c r="M147">
        <v>4</v>
      </c>
      <c r="N147">
        <v>3</v>
      </c>
      <c r="U147" t="s">
        <v>20</v>
      </c>
      <c r="Z147">
        <v>4</v>
      </c>
      <c r="AA147">
        <v>4</v>
      </c>
      <c r="AB147">
        <v>4</v>
      </c>
      <c r="AC147">
        <v>4</v>
      </c>
      <c r="AD147">
        <v>5</v>
      </c>
      <c r="AE147">
        <v>4</v>
      </c>
      <c r="AF147" t="s">
        <v>24</v>
      </c>
      <c r="AO147" t="s">
        <v>42</v>
      </c>
      <c r="AQ147" t="s">
        <v>34</v>
      </c>
      <c r="AS147">
        <v>5</v>
      </c>
      <c r="AT147">
        <v>5</v>
      </c>
      <c r="AU147">
        <v>5</v>
      </c>
      <c r="AV147">
        <v>6</v>
      </c>
      <c r="AW147">
        <v>6</v>
      </c>
      <c r="AX147">
        <v>6</v>
      </c>
      <c r="AY147">
        <v>5</v>
      </c>
      <c r="BA147">
        <v>3</v>
      </c>
      <c r="BB147" t="s">
        <v>36</v>
      </c>
      <c r="BC147" t="s">
        <v>37</v>
      </c>
    </row>
    <row r="148" spans="1:55" x14ac:dyDescent="0.3">
      <c r="A148" t="s">
        <v>67</v>
      </c>
      <c r="D148" t="s">
        <v>10</v>
      </c>
      <c r="E148" t="s">
        <v>11</v>
      </c>
      <c r="I148">
        <v>2</v>
      </c>
      <c r="J148">
        <v>2</v>
      </c>
      <c r="K148">
        <v>2</v>
      </c>
      <c r="L148">
        <v>4</v>
      </c>
      <c r="M148">
        <v>5</v>
      </c>
      <c r="N148">
        <v>1</v>
      </c>
      <c r="P148" t="s">
        <v>15</v>
      </c>
      <c r="U148" t="s">
        <v>20</v>
      </c>
      <c r="Z148">
        <v>4</v>
      </c>
      <c r="AA148">
        <v>4</v>
      </c>
      <c r="AB148">
        <v>5</v>
      </c>
      <c r="AC148">
        <v>4</v>
      </c>
      <c r="AD148">
        <v>7</v>
      </c>
      <c r="AE148">
        <v>6</v>
      </c>
      <c r="AH148" t="s">
        <v>26</v>
      </c>
      <c r="AI148" t="s">
        <v>27</v>
      </c>
      <c r="AL148" t="s">
        <v>30</v>
      </c>
      <c r="AO148" t="s">
        <v>42</v>
      </c>
      <c r="AQ148" t="s">
        <v>39</v>
      </c>
      <c r="BB148" t="s">
        <v>40</v>
      </c>
      <c r="BC148" t="s">
        <v>41</v>
      </c>
    </row>
    <row r="149" spans="1:55" x14ac:dyDescent="0.3">
      <c r="A149" t="s">
        <v>67</v>
      </c>
      <c r="E149" t="s">
        <v>11</v>
      </c>
      <c r="I149">
        <v>3</v>
      </c>
      <c r="J149">
        <v>3</v>
      </c>
      <c r="K149">
        <v>3</v>
      </c>
      <c r="L149">
        <v>3</v>
      </c>
      <c r="M149">
        <v>3</v>
      </c>
      <c r="N149">
        <v>3</v>
      </c>
      <c r="U149" t="s">
        <v>20</v>
      </c>
      <c r="Z149">
        <v>6</v>
      </c>
      <c r="AA149">
        <v>5</v>
      </c>
      <c r="AB149">
        <v>5</v>
      </c>
      <c r="AC149">
        <v>5</v>
      </c>
      <c r="AD149">
        <v>6</v>
      </c>
      <c r="AE149">
        <v>4</v>
      </c>
      <c r="AF149" t="s">
        <v>24</v>
      </c>
      <c r="AG149" t="s">
        <v>25</v>
      </c>
      <c r="AH149" t="s">
        <v>26</v>
      </c>
      <c r="AL149" t="s">
        <v>30</v>
      </c>
      <c r="AO149" t="s">
        <v>42</v>
      </c>
      <c r="AQ149" t="s">
        <v>34</v>
      </c>
      <c r="BB149" t="s">
        <v>36</v>
      </c>
      <c r="BC149" t="s">
        <v>37</v>
      </c>
    </row>
    <row r="150" spans="1:55" x14ac:dyDescent="0.3">
      <c r="A150" t="s">
        <v>32</v>
      </c>
      <c r="E150" t="s">
        <v>11</v>
      </c>
      <c r="H150" t="s">
        <v>124</v>
      </c>
      <c r="I150">
        <v>5</v>
      </c>
      <c r="J150">
        <v>5</v>
      </c>
      <c r="K150">
        <v>3</v>
      </c>
      <c r="L150">
        <v>3</v>
      </c>
      <c r="M150">
        <v>4</v>
      </c>
      <c r="N150">
        <v>3</v>
      </c>
      <c r="O150" t="s">
        <v>14</v>
      </c>
      <c r="P150" t="s">
        <v>15</v>
      </c>
      <c r="Q150" t="s">
        <v>16</v>
      </c>
      <c r="R150" t="s">
        <v>17</v>
      </c>
      <c r="S150" t="s">
        <v>18</v>
      </c>
      <c r="T150" t="s">
        <v>19</v>
      </c>
      <c r="U150" t="s">
        <v>20</v>
      </c>
      <c r="V150" t="s">
        <v>21</v>
      </c>
      <c r="W150" t="s">
        <v>22</v>
      </c>
      <c r="Z150">
        <v>3</v>
      </c>
      <c r="AA150">
        <v>4</v>
      </c>
      <c r="AB150">
        <v>5</v>
      </c>
      <c r="AC150">
        <v>6</v>
      </c>
      <c r="AD150">
        <v>7</v>
      </c>
      <c r="AE150">
        <v>7</v>
      </c>
      <c r="AG150" t="s">
        <v>25</v>
      </c>
      <c r="AI150" t="s">
        <v>27</v>
      </c>
      <c r="AL150" t="s">
        <v>30</v>
      </c>
      <c r="AO150" t="s">
        <v>33</v>
      </c>
      <c r="AQ150" t="s">
        <v>34</v>
      </c>
      <c r="BB150" t="s">
        <v>36</v>
      </c>
      <c r="BC150" t="s">
        <v>41</v>
      </c>
    </row>
    <row r="151" spans="1:55" x14ac:dyDescent="0.3">
      <c r="A151" t="s">
        <v>32</v>
      </c>
      <c r="D151" t="s">
        <v>10</v>
      </c>
      <c r="H151" t="s">
        <v>125</v>
      </c>
      <c r="I151">
        <v>5</v>
      </c>
      <c r="J151">
        <v>5</v>
      </c>
      <c r="K151">
        <v>5</v>
      </c>
      <c r="L151">
        <v>5</v>
      </c>
      <c r="M151">
        <v>5</v>
      </c>
      <c r="N151">
        <v>5</v>
      </c>
      <c r="O151" t="s">
        <v>14</v>
      </c>
      <c r="P151" t="s">
        <v>15</v>
      </c>
      <c r="Q151" t="s">
        <v>16</v>
      </c>
      <c r="R151" t="s">
        <v>17</v>
      </c>
      <c r="S151" t="s">
        <v>18</v>
      </c>
      <c r="T151" t="s">
        <v>19</v>
      </c>
      <c r="U151" t="s">
        <v>20</v>
      </c>
      <c r="V151" t="s">
        <v>21</v>
      </c>
      <c r="W151" t="s">
        <v>22</v>
      </c>
      <c r="Z151">
        <v>7</v>
      </c>
      <c r="AA151">
        <v>7</v>
      </c>
      <c r="AB151">
        <v>7</v>
      </c>
      <c r="AD151">
        <v>5</v>
      </c>
      <c r="AE151">
        <v>1</v>
      </c>
      <c r="AH151" t="s">
        <v>26</v>
      </c>
      <c r="AJ151" t="s">
        <v>28</v>
      </c>
      <c r="AL151" t="s">
        <v>30</v>
      </c>
      <c r="AO151" t="s">
        <v>42</v>
      </c>
      <c r="AQ151" t="s">
        <v>49</v>
      </c>
      <c r="BB151">
        <v>65</v>
      </c>
      <c r="BC151" t="s">
        <v>37</v>
      </c>
    </row>
    <row r="152" spans="1:55" x14ac:dyDescent="0.3">
      <c r="A152" t="s">
        <v>47</v>
      </c>
      <c r="B152" t="s">
        <v>8</v>
      </c>
      <c r="E152" t="s">
        <v>11</v>
      </c>
      <c r="I152">
        <v>5</v>
      </c>
      <c r="J152">
        <v>4</v>
      </c>
      <c r="K152">
        <v>1</v>
      </c>
      <c r="L152">
        <v>3</v>
      </c>
      <c r="M152">
        <v>5</v>
      </c>
      <c r="N152">
        <v>2</v>
      </c>
      <c r="U152" t="s">
        <v>20</v>
      </c>
      <c r="W152" t="s">
        <v>22</v>
      </c>
      <c r="Y152" t="s">
        <v>126</v>
      </c>
      <c r="Z152">
        <v>7</v>
      </c>
      <c r="AA152">
        <v>5</v>
      </c>
      <c r="AB152">
        <v>7</v>
      </c>
      <c r="AC152">
        <v>7</v>
      </c>
      <c r="AD152">
        <v>7</v>
      </c>
      <c r="AE152">
        <v>7</v>
      </c>
      <c r="AH152" t="s">
        <v>26</v>
      </c>
      <c r="AJ152" t="s">
        <v>28</v>
      </c>
      <c r="AN152" t="s">
        <v>127</v>
      </c>
      <c r="AO152" t="s">
        <v>33</v>
      </c>
      <c r="AQ152" t="s">
        <v>34</v>
      </c>
      <c r="BB152" t="s">
        <v>36</v>
      </c>
      <c r="BC152" t="s">
        <v>41</v>
      </c>
    </row>
    <row r="153" spans="1:55" x14ac:dyDescent="0.3">
      <c r="A153" t="s">
        <v>47</v>
      </c>
      <c r="E153" t="s">
        <v>11</v>
      </c>
      <c r="I153">
        <v>4</v>
      </c>
      <c r="J153">
        <v>4</v>
      </c>
      <c r="K153">
        <v>3</v>
      </c>
      <c r="L153">
        <v>3</v>
      </c>
      <c r="M153">
        <v>5</v>
      </c>
      <c r="N153">
        <v>2</v>
      </c>
      <c r="P153" t="s">
        <v>15</v>
      </c>
      <c r="R153" t="s">
        <v>17</v>
      </c>
      <c r="U153" t="s">
        <v>20</v>
      </c>
      <c r="Z153">
        <v>7</v>
      </c>
      <c r="AA153">
        <v>7</v>
      </c>
      <c r="AB153">
        <v>7</v>
      </c>
      <c r="AC153">
        <v>7</v>
      </c>
      <c r="AD153">
        <v>7</v>
      </c>
      <c r="AE153">
        <v>5</v>
      </c>
      <c r="AJ153" t="s">
        <v>28</v>
      </c>
      <c r="AL153" t="s">
        <v>30</v>
      </c>
      <c r="AM153" t="s">
        <v>31</v>
      </c>
      <c r="AO153" t="s">
        <v>33</v>
      </c>
      <c r="AQ153" t="s">
        <v>39</v>
      </c>
      <c r="BB153" t="s">
        <v>36</v>
      </c>
      <c r="BC153" t="s">
        <v>41</v>
      </c>
    </row>
    <row r="154" spans="1:55" x14ac:dyDescent="0.3">
      <c r="A154" t="s">
        <v>67</v>
      </c>
      <c r="B154" t="s">
        <v>8</v>
      </c>
      <c r="H154" t="s">
        <v>128</v>
      </c>
      <c r="I154">
        <v>5</v>
      </c>
      <c r="J154">
        <v>3</v>
      </c>
      <c r="K154">
        <v>3</v>
      </c>
      <c r="L154">
        <v>4</v>
      </c>
      <c r="M154">
        <v>5</v>
      </c>
      <c r="N154">
        <v>2</v>
      </c>
      <c r="O154" t="s">
        <v>14</v>
      </c>
      <c r="P154" t="s">
        <v>15</v>
      </c>
      <c r="S154" t="s">
        <v>18</v>
      </c>
      <c r="U154" t="s">
        <v>20</v>
      </c>
      <c r="V154" t="s">
        <v>21</v>
      </c>
      <c r="Z154">
        <v>6</v>
      </c>
      <c r="AA154">
        <v>2</v>
      </c>
      <c r="AB154">
        <v>2</v>
      </c>
      <c r="AC154">
        <v>1</v>
      </c>
      <c r="AD154">
        <v>7</v>
      </c>
      <c r="AE154">
        <v>2</v>
      </c>
      <c r="AF154" t="s">
        <v>24</v>
      </c>
      <c r="AH154" t="s">
        <v>26</v>
      </c>
      <c r="AI154" t="s">
        <v>27</v>
      </c>
      <c r="AM154" t="s">
        <v>31</v>
      </c>
      <c r="AO154" t="s">
        <v>42</v>
      </c>
      <c r="AQ154" t="s">
        <v>39</v>
      </c>
      <c r="BB154" t="s">
        <v>40</v>
      </c>
      <c r="BC154" t="s">
        <v>41</v>
      </c>
    </row>
    <row r="155" spans="1:55" x14ac:dyDescent="0.3">
      <c r="A155" t="s">
        <v>47</v>
      </c>
      <c r="D155" t="s">
        <v>10</v>
      </c>
      <c r="I155">
        <v>1</v>
      </c>
      <c r="J155">
        <v>4</v>
      </c>
      <c r="K155">
        <v>1</v>
      </c>
      <c r="L155">
        <v>5</v>
      </c>
      <c r="M155">
        <v>5</v>
      </c>
      <c r="N155">
        <v>5</v>
      </c>
      <c r="O155" t="s">
        <v>14</v>
      </c>
      <c r="Q155" t="s">
        <v>16</v>
      </c>
      <c r="T155" t="s">
        <v>19</v>
      </c>
      <c r="U155" t="s">
        <v>20</v>
      </c>
      <c r="V155" t="s">
        <v>21</v>
      </c>
      <c r="Z155">
        <v>6</v>
      </c>
      <c r="AA155">
        <v>4</v>
      </c>
      <c r="AB155">
        <v>5</v>
      </c>
      <c r="AC155">
        <v>5</v>
      </c>
      <c r="AD155">
        <v>6</v>
      </c>
      <c r="AE155">
        <v>1</v>
      </c>
      <c r="AF155" t="s">
        <v>24</v>
      </c>
      <c r="AI155" t="s">
        <v>27</v>
      </c>
      <c r="AM155" t="s">
        <v>31</v>
      </c>
      <c r="AO155" t="s">
        <v>42</v>
      </c>
      <c r="AQ155" t="s">
        <v>34</v>
      </c>
      <c r="AS155" t="s">
        <v>50</v>
      </c>
      <c r="AT155">
        <v>7</v>
      </c>
      <c r="AU155">
        <v>6</v>
      </c>
      <c r="AV155">
        <v>7</v>
      </c>
      <c r="AW155">
        <v>7</v>
      </c>
      <c r="AX155">
        <v>7</v>
      </c>
      <c r="AY155">
        <v>6</v>
      </c>
      <c r="BA155" t="s">
        <v>35</v>
      </c>
      <c r="BB155" t="s">
        <v>36</v>
      </c>
      <c r="BC155" t="s">
        <v>41</v>
      </c>
    </row>
    <row r="156" spans="1:55" x14ac:dyDescent="0.3">
      <c r="A156" t="s">
        <v>47</v>
      </c>
      <c r="B156" t="s">
        <v>8</v>
      </c>
      <c r="D156" t="s">
        <v>10</v>
      </c>
      <c r="E156" t="s">
        <v>11</v>
      </c>
      <c r="F156" t="s">
        <v>12</v>
      </c>
      <c r="I156">
        <v>5</v>
      </c>
      <c r="J156">
        <v>5</v>
      </c>
      <c r="K156">
        <v>2</v>
      </c>
      <c r="L156">
        <v>4</v>
      </c>
      <c r="M156">
        <v>5</v>
      </c>
      <c r="N156">
        <v>4</v>
      </c>
      <c r="O156" t="s">
        <v>14</v>
      </c>
      <c r="P156" t="s">
        <v>15</v>
      </c>
      <c r="R156" t="s">
        <v>17</v>
      </c>
      <c r="T156" t="s">
        <v>19</v>
      </c>
      <c r="U156" t="s">
        <v>20</v>
      </c>
      <c r="W156" t="s">
        <v>22</v>
      </c>
      <c r="Z156">
        <v>5</v>
      </c>
      <c r="AA156">
        <v>6</v>
      </c>
      <c r="AB156">
        <v>6</v>
      </c>
      <c r="AC156">
        <v>5</v>
      </c>
      <c r="AD156">
        <v>6</v>
      </c>
      <c r="AE156">
        <v>6</v>
      </c>
      <c r="AG156" t="s">
        <v>25</v>
      </c>
      <c r="AH156" t="s">
        <v>26</v>
      </c>
      <c r="AI156" t="s">
        <v>27</v>
      </c>
      <c r="AJ156" t="s">
        <v>28</v>
      </c>
      <c r="AM156" t="s">
        <v>31</v>
      </c>
      <c r="AO156" t="s">
        <v>33</v>
      </c>
      <c r="AQ156" t="s">
        <v>34</v>
      </c>
      <c r="BB156" t="s">
        <v>36</v>
      </c>
      <c r="BC156" t="s">
        <v>37</v>
      </c>
    </row>
    <row r="157" spans="1:55" x14ac:dyDescent="0.3">
      <c r="A157" t="s">
        <v>67</v>
      </c>
      <c r="E157" t="s">
        <v>11</v>
      </c>
      <c r="I157">
        <v>3</v>
      </c>
      <c r="J157">
        <v>4</v>
      </c>
      <c r="K157">
        <v>1</v>
      </c>
      <c r="L157">
        <v>2</v>
      </c>
      <c r="M157">
        <v>3</v>
      </c>
      <c r="N157">
        <v>4</v>
      </c>
      <c r="O157" t="s">
        <v>14</v>
      </c>
      <c r="Y157" t="s">
        <v>129</v>
      </c>
      <c r="Z157">
        <v>5</v>
      </c>
      <c r="AA157">
        <v>6</v>
      </c>
      <c r="AB157">
        <v>6</v>
      </c>
      <c r="AC157">
        <v>6</v>
      </c>
      <c r="AD157">
        <v>7</v>
      </c>
      <c r="AE157">
        <v>7</v>
      </c>
      <c r="AJ157" t="s">
        <v>28</v>
      </c>
      <c r="AO157" t="s">
        <v>42</v>
      </c>
      <c r="AQ157" t="s">
        <v>34</v>
      </c>
      <c r="BB157" t="s">
        <v>43</v>
      </c>
      <c r="BC157" t="s">
        <v>41</v>
      </c>
    </row>
    <row r="158" spans="1:55" x14ac:dyDescent="0.3">
      <c r="A158" t="s">
        <v>67</v>
      </c>
      <c r="E158" t="s">
        <v>11</v>
      </c>
      <c r="I158">
        <v>4</v>
      </c>
      <c r="J158">
        <v>4</v>
      </c>
      <c r="K158">
        <v>2</v>
      </c>
      <c r="L158">
        <v>3</v>
      </c>
      <c r="M158">
        <v>4</v>
      </c>
      <c r="N158">
        <v>4</v>
      </c>
      <c r="O158" t="s">
        <v>14</v>
      </c>
      <c r="U158" t="s">
        <v>20</v>
      </c>
      <c r="Z158">
        <v>2</v>
      </c>
      <c r="AA158">
        <v>4</v>
      </c>
      <c r="AB158">
        <v>4</v>
      </c>
      <c r="AC158">
        <v>5</v>
      </c>
      <c r="AD158">
        <v>7</v>
      </c>
      <c r="AE158">
        <v>5</v>
      </c>
      <c r="AG158" t="s">
        <v>25</v>
      </c>
      <c r="AI158" t="s">
        <v>27</v>
      </c>
      <c r="AJ158" t="s">
        <v>28</v>
      </c>
      <c r="AK158" t="s">
        <v>29</v>
      </c>
      <c r="AL158" t="s">
        <v>30</v>
      </c>
      <c r="AM158" t="s">
        <v>31</v>
      </c>
      <c r="AO158" t="s">
        <v>42</v>
      </c>
      <c r="AQ158" t="s">
        <v>34</v>
      </c>
      <c r="BB158" t="s">
        <v>43</v>
      </c>
      <c r="BC158" t="s">
        <v>41</v>
      </c>
    </row>
    <row r="159" spans="1:55" x14ac:dyDescent="0.3">
      <c r="A159" t="s">
        <v>67</v>
      </c>
      <c r="D159" t="s">
        <v>10</v>
      </c>
      <c r="E159" t="s">
        <v>11</v>
      </c>
      <c r="F159" t="s">
        <v>12</v>
      </c>
      <c r="I159">
        <v>5</v>
      </c>
      <c r="J159">
        <v>2</v>
      </c>
      <c r="K159">
        <v>4</v>
      </c>
      <c r="L159">
        <v>1</v>
      </c>
      <c r="M159">
        <v>2</v>
      </c>
      <c r="N159">
        <v>3</v>
      </c>
      <c r="O159" t="s">
        <v>14</v>
      </c>
      <c r="P159" t="s">
        <v>15</v>
      </c>
      <c r="R159" t="s">
        <v>17</v>
      </c>
      <c r="U159" t="s">
        <v>20</v>
      </c>
      <c r="V159" t="s">
        <v>21</v>
      </c>
      <c r="W159" t="s">
        <v>22</v>
      </c>
      <c r="Z159">
        <v>6</v>
      </c>
      <c r="AA159">
        <v>7</v>
      </c>
      <c r="AB159">
        <v>7</v>
      </c>
      <c r="AC159">
        <v>6</v>
      </c>
      <c r="AD159">
        <v>7</v>
      </c>
      <c r="AE159">
        <v>7</v>
      </c>
      <c r="AL159" t="s">
        <v>30</v>
      </c>
      <c r="AM159" t="s">
        <v>31</v>
      </c>
      <c r="AO159" t="s">
        <v>42</v>
      </c>
      <c r="AQ159" t="s">
        <v>39</v>
      </c>
      <c r="BB159" t="s">
        <v>43</v>
      </c>
      <c r="BC159" t="s">
        <v>41</v>
      </c>
    </row>
    <row r="160" spans="1:55" x14ac:dyDescent="0.3">
      <c r="A160" t="s">
        <v>67</v>
      </c>
      <c r="B160" t="s">
        <v>8</v>
      </c>
      <c r="L160">
        <v>5</v>
      </c>
      <c r="M160">
        <v>5</v>
      </c>
      <c r="N160">
        <v>5</v>
      </c>
      <c r="O160" t="s">
        <v>14</v>
      </c>
      <c r="P160" t="s">
        <v>15</v>
      </c>
      <c r="Q160" t="s">
        <v>16</v>
      </c>
      <c r="R160" t="s">
        <v>17</v>
      </c>
      <c r="S160" t="s">
        <v>18</v>
      </c>
      <c r="W160" t="s">
        <v>22</v>
      </c>
      <c r="Z160">
        <v>7</v>
      </c>
      <c r="AA160">
        <v>7</v>
      </c>
      <c r="AB160">
        <v>7</v>
      </c>
      <c r="AC160">
        <v>7</v>
      </c>
      <c r="AD160">
        <v>7</v>
      </c>
      <c r="AE160">
        <v>1</v>
      </c>
      <c r="AG160" t="s">
        <v>25</v>
      </c>
      <c r="AI160" t="s">
        <v>27</v>
      </c>
      <c r="AL160" t="s">
        <v>30</v>
      </c>
      <c r="AM160" t="s">
        <v>31</v>
      </c>
      <c r="AO160" t="s">
        <v>42</v>
      </c>
      <c r="AQ160" t="s">
        <v>34</v>
      </c>
      <c r="BB160" t="s">
        <v>36</v>
      </c>
      <c r="BC160" t="s">
        <v>41</v>
      </c>
    </row>
    <row r="161" spans="1:55" x14ac:dyDescent="0.3">
      <c r="A161" t="s">
        <v>47</v>
      </c>
      <c r="E161" t="s">
        <v>11</v>
      </c>
      <c r="I161">
        <v>5</v>
      </c>
      <c r="J161">
        <v>5</v>
      </c>
      <c r="K161">
        <v>5</v>
      </c>
      <c r="L161">
        <v>2</v>
      </c>
      <c r="M161">
        <v>5</v>
      </c>
      <c r="N161">
        <v>5</v>
      </c>
      <c r="R161" t="s">
        <v>17</v>
      </c>
      <c r="T161" t="s">
        <v>19</v>
      </c>
      <c r="U161" t="s">
        <v>20</v>
      </c>
      <c r="V161" t="s">
        <v>21</v>
      </c>
      <c r="W161" t="s">
        <v>22</v>
      </c>
      <c r="Z161">
        <v>5</v>
      </c>
      <c r="AA161">
        <v>6</v>
      </c>
      <c r="AB161">
        <v>5</v>
      </c>
      <c r="AC161">
        <v>4</v>
      </c>
      <c r="AD161">
        <v>6</v>
      </c>
      <c r="AE161">
        <v>6</v>
      </c>
      <c r="AJ161" t="s">
        <v>28</v>
      </c>
      <c r="AM161" t="s">
        <v>31</v>
      </c>
      <c r="AO161" t="s">
        <v>33</v>
      </c>
      <c r="AQ161" t="s">
        <v>34</v>
      </c>
      <c r="BB161" t="s">
        <v>43</v>
      </c>
      <c r="BC161" t="s">
        <v>41</v>
      </c>
    </row>
    <row r="162" spans="1:55" x14ac:dyDescent="0.3">
      <c r="A162" t="s">
        <v>44</v>
      </c>
      <c r="B162" t="s">
        <v>8</v>
      </c>
      <c r="E162" t="s">
        <v>11</v>
      </c>
      <c r="F162" t="s">
        <v>12</v>
      </c>
      <c r="I162">
        <v>5</v>
      </c>
      <c r="J162">
        <v>2</v>
      </c>
      <c r="K162">
        <v>5</v>
      </c>
      <c r="L162">
        <v>5</v>
      </c>
      <c r="M162">
        <v>5</v>
      </c>
      <c r="N162">
        <v>4</v>
      </c>
      <c r="Q162" t="s">
        <v>16</v>
      </c>
      <c r="R162" t="s">
        <v>17</v>
      </c>
      <c r="V162" t="s">
        <v>21</v>
      </c>
      <c r="W162" t="s">
        <v>22</v>
      </c>
      <c r="Y162" t="s">
        <v>130</v>
      </c>
      <c r="Z162">
        <v>7</v>
      </c>
      <c r="AA162">
        <v>7</v>
      </c>
      <c r="AB162">
        <v>6</v>
      </c>
      <c r="AC162">
        <v>7</v>
      </c>
      <c r="AD162">
        <v>7</v>
      </c>
      <c r="AE162">
        <v>7</v>
      </c>
      <c r="AF162" t="s">
        <v>24</v>
      </c>
      <c r="AI162" t="s">
        <v>27</v>
      </c>
      <c r="AM162" t="s">
        <v>31</v>
      </c>
      <c r="AO162" t="s">
        <v>42</v>
      </c>
      <c r="AQ162" t="s">
        <v>34</v>
      </c>
      <c r="BB162" t="s">
        <v>43</v>
      </c>
      <c r="BC162" t="s">
        <v>41</v>
      </c>
    </row>
    <row r="163" spans="1:55" x14ac:dyDescent="0.3">
      <c r="A163" t="s">
        <v>44</v>
      </c>
      <c r="E163" t="s">
        <v>11</v>
      </c>
      <c r="I163">
        <v>2</v>
      </c>
      <c r="J163">
        <v>4</v>
      </c>
      <c r="K163">
        <v>1</v>
      </c>
      <c r="L163">
        <v>3</v>
      </c>
      <c r="M163">
        <v>5</v>
      </c>
      <c r="N163">
        <v>2</v>
      </c>
      <c r="P163" t="s">
        <v>15</v>
      </c>
      <c r="U163" t="s">
        <v>20</v>
      </c>
      <c r="V163" t="s">
        <v>21</v>
      </c>
      <c r="Z163">
        <v>5</v>
      </c>
      <c r="AA163">
        <v>6</v>
      </c>
      <c r="AB163">
        <v>6</v>
      </c>
      <c r="AC163">
        <v>5</v>
      </c>
      <c r="AD163">
        <v>6</v>
      </c>
      <c r="AE163">
        <v>5</v>
      </c>
      <c r="AG163" t="s">
        <v>25</v>
      </c>
      <c r="AL163" t="s">
        <v>30</v>
      </c>
      <c r="AM163" t="s">
        <v>31</v>
      </c>
      <c r="AO163" t="s">
        <v>33</v>
      </c>
      <c r="AQ163" t="s">
        <v>34</v>
      </c>
      <c r="BB163" t="s">
        <v>36</v>
      </c>
      <c r="BC163" t="s">
        <v>41</v>
      </c>
    </row>
    <row r="164" spans="1:55" x14ac:dyDescent="0.3">
      <c r="A164" t="s">
        <v>47</v>
      </c>
      <c r="B164" t="s">
        <v>8</v>
      </c>
      <c r="D164" t="s">
        <v>10</v>
      </c>
      <c r="E164" t="s">
        <v>11</v>
      </c>
      <c r="F164" t="s">
        <v>12</v>
      </c>
      <c r="I164">
        <v>5</v>
      </c>
      <c r="J164">
        <v>5</v>
      </c>
      <c r="K164">
        <v>1</v>
      </c>
      <c r="L164">
        <v>1</v>
      </c>
      <c r="M164">
        <v>3</v>
      </c>
      <c r="N164">
        <v>1</v>
      </c>
      <c r="T164" t="s">
        <v>19</v>
      </c>
      <c r="U164" t="s">
        <v>20</v>
      </c>
      <c r="V164" t="s">
        <v>21</v>
      </c>
      <c r="Y164" t="s">
        <v>131</v>
      </c>
      <c r="Z164">
        <v>3</v>
      </c>
      <c r="AA164">
        <v>6</v>
      </c>
      <c r="AB164">
        <v>4</v>
      </c>
      <c r="AC164">
        <v>3</v>
      </c>
      <c r="AD164">
        <v>7</v>
      </c>
      <c r="AE164">
        <v>4</v>
      </c>
      <c r="AJ164" t="s">
        <v>28</v>
      </c>
      <c r="AK164" t="s">
        <v>29</v>
      </c>
      <c r="AM164" t="s">
        <v>31</v>
      </c>
      <c r="AO164" t="s">
        <v>42</v>
      </c>
      <c r="AQ164" t="s">
        <v>34</v>
      </c>
      <c r="BB164" t="s">
        <v>40</v>
      </c>
      <c r="BC164" t="s">
        <v>41</v>
      </c>
    </row>
    <row r="165" spans="1:55" x14ac:dyDescent="0.3">
      <c r="A165" t="s">
        <v>32</v>
      </c>
      <c r="B165" t="s">
        <v>8</v>
      </c>
      <c r="D165" t="s">
        <v>10</v>
      </c>
      <c r="E165" t="s">
        <v>11</v>
      </c>
      <c r="I165">
        <v>5</v>
      </c>
      <c r="J165">
        <v>5</v>
      </c>
      <c r="K165">
        <v>2</v>
      </c>
      <c r="L165">
        <v>3</v>
      </c>
      <c r="M165">
        <v>4</v>
      </c>
      <c r="N165">
        <v>4</v>
      </c>
      <c r="O165" t="s">
        <v>14</v>
      </c>
      <c r="Q165" t="s">
        <v>16</v>
      </c>
      <c r="R165" t="s">
        <v>17</v>
      </c>
      <c r="T165" t="s">
        <v>19</v>
      </c>
      <c r="Z165">
        <v>4</v>
      </c>
      <c r="AA165">
        <v>6</v>
      </c>
      <c r="AB165">
        <v>5</v>
      </c>
      <c r="AC165">
        <v>5</v>
      </c>
      <c r="AD165">
        <v>6</v>
      </c>
      <c r="AE165">
        <v>6</v>
      </c>
      <c r="AG165" t="s">
        <v>25</v>
      </c>
      <c r="AJ165" t="s">
        <v>28</v>
      </c>
      <c r="AL165" t="s">
        <v>30</v>
      </c>
      <c r="AO165" t="s">
        <v>42</v>
      </c>
      <c r="AQ165" t="s">
        <v>34</v>
      </c>
      <c r="BB165" t="s">
        <v>36</v>
      </c>
      <c r="BC165" t="s">
        <v>37</v>
      </c>
    </row>
    <row r="166" spans="1:55" x14ac:dyDescent="0.3">
      <c r="I166" s="1">
        <f t="shared" ref="I166:N166" si="0">AVERAGE(I5:I165)</f>
        <v>4.2468354430379751</v>
      </c>
      <c r="J166" s="1">
        <f t="shared" si="0"/>
        <v>4.2229299363057322</v>
      </c>
      <c r="K166" s="1">
        <f t="shared" si="0"/>
        <v>2.5862068965517242</v>
      </c>
      <c r="L166" s="1">
        <f t="shared" si="0"/>
        <v>3.5751633986928106</v>
      </c>
      <c r="M166" s="1">
        <f t="shared" si="0"/>
        <v>4.3207547169811322</v>
      </c>
      <c r="N166" s="1">
        <f t="shared" si="0"/>
        <v>3.3896103896103895</v>
      </c>
    </row>
  </sheetData>
  <mergeCells count="2">
    <mergeCell ref="A1:G1"/>
    <mergeCell ref="A2:G2"/>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B9A2A-3403-483A-92E6-6C3953B2DB58}">
  <dimension ref="A1:M37"/>
  <sheetViews>
    <sheetView showGridLines="0" tabSelected="1" workbookViewId="0">
      <selection activeCell="B12" sqref="B12"/>
    </sheetView>
  </sheetViews>
  <sheetFormatPr defaultColWidth="0" defaultRowHeight="14.4" zeroHeight="1" x14ac:dyDescent="0.3"/>
  <cols>
    <col min="1" max="1" width="13.77734375" style="28" bestFit="1" customWidth="1"/>
    <col min="2" max="2" width="34.44140625" style="28" bestFit="1" customWidth="1"/>
    <col min="3" max="13" width="8.88671875" style="28" customWidth="1"/>
    <col min="14" max="16384" width="8.88671875" style="28" hidden="1"/>
  </cols>
  <sheetData>
    <row r="1" spans="1:2" ht="23.4" x14ac:dyDescent="0.45">
      <c r="A1" s="34" t="s">
        <v>245</v>
      </c>
      <c r="B1" s="34"/>
    </row>
    <row r="2" spans="1:2" x14ac:dyDescent="0.3"/>
    <row r="3" spans="1:2" ht="15" thickBot="1" x14ac:dyDescent="0.35">
      <c r="A3" s="2" t="s">
        <v>140</v>
      </c>
      <c r="B3" t="s">
        <v>225</v>
      </c>
    </row>
    <row r="4" spans="1:2" x14ac:dyDescent="0.3">
      <c r="A4" s="67" t="s">
        <v>67</v>
      </c>
      <c r="B4" s="64">
        <v>49</v>
      </c>
    </row>
    <row r="5" spans="1:2" x14ac:dyDescent="0.3">
      <c r="A5" s="68" t="s">
        <v>47</v>
      </c>
      <c r="B5" s="65">
        <v>56</v>
      </c>
    </row>
    <row r="6" spans="1:2" x14ac:dyDescent="0.3">
      <c r="A6" s="68" t="s">
        <v>44</v>
      </c>
      <c r="B6" s="65">
        <v>29</v>
      </c>
    </row>
    <row r="7" spans="1:2" x14ac:dyDescent="0.3">
      <c r="A7" s="68" t="s">
        <v>32</v>
      </c>
      <c r="B7" s="65">
        <v>27</v>
      </c>
    </row>
    <row r="8" spans="1:2" ht="15" thickBot="1" x14ac:dyDescent="0.35">
      <c r="A8" s="69" t="s">
        <v>142</v>
      </c>
      <c r="B8" s="66">
        <v>1</v>
      </c>
    </row>
    <row r="9" spans="1:2" x14ac:dyDescent="0.3">
      <c r="A9" s="3" t="s">
        <v>141</v>
      </c>
      <c r="B9" s="63">
        <v>162</v>
      </c>
    </row>
    <row r="10" spans="1:2" x14ac:dyDescent="0.3"/>
    <row r="11" spans="1:2" x14ac:dyDescent="0.3"/>
    <row r="12" spans="1:2" x14ac:dyDescent="0.3"/>
    <row r="13" spans="1:2" x14ac:dyDescent="0.3"/>
    <row r="14" spans="1:2" x14ac:dyDescent="0.3"/>
    <row r="15" spans="1:2" x14ac:dyDescent="0.3"/>
    <row r="16" spans="1:2" x14ac:dyDescent="0.3"/>
    <row r="17" s="28" customFormat="1" x14ac:dyDescent="0.3"/>
    <row r="18" s="28" customFormat="1" x14ac:dyDescent="0.3"/>
    <row r="19" s="28" customFormat="1" x14ac:dyDescent="0.3"/>
    <row r="20" s="28" customFormat="1" hidden="1" x14ac:dyDescent="0.3"/>
    <row r="21" s="28" customFormat="1" hidden="1" x14ac:dyDescent="0.3"/>
    <row r="22" s="28" customFormat="1" hidden="1" x14ac:dyDescent="0.3"/>
    <row r="23" s="28" customFormat="1" hidden="1" x14ac:dyDescent="0.3"/>
    <row r="24" s="28" customFormat="1" hidden="1" x14ac:dyDescent="0.3"/>
    <row r="25" s="28" customFormat="1" hidden="1" x14ac:dyDescent="0.3"/>
    <row r="26" s="28" customFormat="1" hidden="1" x14ac:dyDescent="0.3"/>
    <row r="27" s="28" customFormat="1" hidden="1" x14ac:dyDescent="0.3"/>
    <row r="28" s="28" customFormat="1" hidden="1" x14ac:dyDescent="0.3"/>
    <row r="29" s="28" customFormat="1" hidden="1" x14ac:dyDescent="0.3"/>
    <row r="30" s="28" customFormat="1" hidden="1" x14ac:dyDescent="0.3"/>
    <row r="31" s="28" customFormat="1" hidden="1" x14ac:dyDescent="0.3"/>
    <row r="32" s="28" customFormat="1" hidden="1" x14ac:dyDescent="0.3"/>
    <row r="33" s="28" customFormat="1" hidden="1" x14ac:dyDescent="0.3"/>
    <row r="34" s="28" customFormat="1" hidden="1" x14ac:dyDescent="0.3"/>
    <row r="35" s="28" customFormat="1" hidden="1" x14ac:dyDescent="0.3"/>
    <row r="36" s="28" customFormat="1" hidden="1" x14ac:dyDescent="0.3"/>
    <row r="37" s="28" customFormat="1" hidden="1" x14ac:dyDescent="0.3"/>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765CB-AD15-4FD1-B065-12BEB8733DF4}">
  <dimension ref="A1:M24"/>
  <sheetViews>
    <sheetView showGridLines="0" zoomScale="92" zoomScaleNormal="92" workbookViewId="0">
      <selection activeCell="A2" sqref="A2"/>
    </sheetView>
  </sheetViews>
  <sheetFormatPr defaultColWidth="0" defaultRowHeight="14.4" zeroHeight="1" x14ac:dyDescent="0.3"/>
  <cols>
    <col min="1" max="1" width="7.21875" style="27" customWidth="1"/>
    <col min="2" max="2" width="6.5546875" style="27" customWidth="1"/>
    <col min="3" max="3" width="5.44140625" style="27" customWidth="1"/>
    <col min="4" max="4" width="7.33203125" style="27" customWidth="1"/>
    <col min="5" max="5" width="8.109375" style="27" customWidth="1"/>
    <col min="6" max="6" width="8.33203125" style="27" customWidth="1"/>
    <col min="7" max="13" width="8.88671875" style="27" customWidth="1"/>
    <col min="14" max="16384" width="8.88671875" style="27" hidden="1"/>
  </cols>
  <sheetData>
    <row r="1" spans="1:6" ht="23.4" x14ac:dyDescent="0.45">
      <c r="A1" s="35" t="s">
        <v>246</v>
      </c>
      <c r="B1" s="35"/>
      <c r="C1" s="35"/>
      <c r="D1" s="35"/>
      <c r="E1" s="35"/>
      <c r="F1" s="35"/>
    </row>
    <row r="2" spans="1:6" ht="24" thickBot="1" x14ac:dyDescent="0.5">
      <c r="A2" s="35"/>
      <c r="B2" s="35"/>
      <c r="C2" s="35"/>
      <c r="D2" s="35"/>
      <c r="E2" s="35"/>
      <c r="F2" s="35"/>
    </row>
    <row r="3" spans="1:6" ht="15" thickBot="1" x14ac:dyDescent="0.35">
      <c r="A3" s="5" t="s">
        <v>215</v>
      </c>
      <c r="B3" s="7" t="s">
        <v>200</v>
      </c>
      <c r="C3" s="7" t="s">
        <v>201</v>
      </c>
      <c r="D3" s="7" t="s">
        <v>202</v>
      </c>
      <c r="E3" s="7" t="s">
        <v>203</v>
      </c>
      <c r="F3" s="6" t="s">
        <v>242</v>
      </c>
    </row>
    <row r="4" spans="1:6" ht="15" thickBot="1" x14ac:dyDescent="0.35">
      <c r="A4" s="24">
        <v>52</v>
      </c>
      <c r="B4" s="25">
        <v>18</v>
      </c>
      <c r="C4" s="25">
        <v>53</v>
      </c>
      <c r="D4" s="25">
        <v>131</v>
      </c>
      <c r="E4" s="25">
        <v>62</v>
      </c>
      <c r="F4" s="26">
        <v>18</v>
      </c>
    </row>
    <row r="5" spans="1:6" x14ac:dyDescent="0.3"/>
    <row r="6" spans="1:6" ht="15" thickBot="1" x14ac:dyDescent="0.35">
      <c r="A6"/>
      <c r="B6"/>
      <c r="C6"/>
      <c r="D6"/>
      <c r="E6"/>
      <c r="F6"/>
    </row>
    <row r="7" spans="1:6" x14ac:dyDescent="0.3">
      <c r="A7" s="3"/>
      <c r="B7"/>
      <c r="C7"/>
      <c r="D7"/>
      <c r="E7"/>
      <c r="F7"/>
    </row>
    <row r="8" spans="1:6" x14ac:dyDescent="0.3">
      <c r="A8"/>
      <c r="B8"/>
      <c r="C8"/>
      <c r="D8"/>
      <c r="E8"/>
      <c r="F8"/>
    </row>
    <row r="9" spans="1:6" x14ac:dyDescent="0.3">
      <c r="A9"/>
      <c r="B9"/>
      <c r="C9"/>
      <c r="D9"/>
      <c r="E9"/>
      <c r="F9"/>
    </row>
    <row r="10" spans="1:6" x14ac:dyDescent="0.3">
      <c r="A10"/>
      <c r="B10"/>
      <c r="C10"/>
      <c r="D10"/>
      <c r="E10"/>
      <c r="F10"/>
    </row>
    <row r="11" spans="1:6" x14ac:dyDescent="0.3">
      <c r="A11"/>
      <c r="B11"/>
      <c r="C11"/>
      <c r="D11"/>
      <c r="E11"/>
      <c r="F11"/>
    </row>
    <row r="12" spans="1:6" x14ac:dyDescent="0.3">
      <c r="A12"/>
      <c r="B12"/>
      <c r="C12"/>
      <c r="D12"/>
      <c r="E12"/>
      <c r="F12"/>
    </row>
    <row r="13" spans="1:6" x14ac:dyDescent="0.3">
      <c r="A13"/>
      <c r="B13"/>
      <c r="C13"/>
      <c r="D13"/>
      <c r="E13"/>
      <c r="F13"/>
    </row>
    <row r="14" spans="1:6" x14ac:dyDescent="0.3">
      <c r="A14"/>
      <c r="B14"/>
      <c r="C14"/>
      <c r="D14"/>
      <c r="E14"/>
      <c r="F14"/>
    </row>
    <row r="15" spans="1:6" x14ac:dyDescent="0.3">
      <c r="A15"/>
      <c r="B15"/>
      <c r="C15"/>
      <c r="D15"/>
      <c r="E15"/>
      <c r="F15"/>
    </row>
    <row r="16" spans="1:6" x14ac:dyDescent="0.3">
      <c r="A16"/>
      <c r="B16"/>
      <c r="C16"/>
      <c r="D16"/>
      <c r="E16"/>
      <c r="F16"/>
    </row>
    <row r="17" spans="1:6" x14ac:dyDescent="0.3">
      <c r="A17"/>
      <c r="B17"/>
      <c r="C17"/>
      <c r="D17"/>
      <c r="E17"/>
      <c r="F17"/>
    </row>
    <row r="18" spans="1:6" x14ac:dyDescent="0.3">
      <c r="A18"/>
      <c r="B18"/>
      <c r="C18"/>
      <c r="D18"/>
      <c r="E18"/>
      <c r="F18"/>
    </row>
    <row r="19" spans="1:6" x14ac:dyDescent="0.3">
      <c r="A19"/>
      <c r="B19"/>
      <c r="C19"/>
      <c r="D19"/>
      <c r="E19"/>
      <c r="F19"/>
    </row>
    <row r="20" spans="1:6" x14ac:dyDescent="0.3">
      <c r="A20"/>
      <c r="B20"/>
      <c r="C20"/>
      <c r="D20"/>
      <c r="E20"/>
      <c r="F20"/>
    </row>
    <row r="21" spans="1:6" x14ac:dyDescent="0.3"/>
    <row r="22" spans="1:6" x14ac:dyDescent="0.3"/>
    <row r="23" spans="1:6" x14ac:dyDescent="0.3"/>
    <row r="24" spans="1:6" x14ac:dyDescent="0.3"/>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56CCA-AE7F-4BF1-A949-71C82F27623D}">
  <dimension ref="A1:I20"/>
  <sheetViews>
    <sheetView showGridLines="0" workbookViewId="0">
      <selection activeCell="A4" sqref="A4:F4"/>
    </sheetView>
  </sheetViews>
  <sheetFormatPr defaultRowHeight="14.4" zeroHeight="1" x14ac:dyDescent="0.3"/>
  <cols>
    <col min="1" max="1" width="18.44140625" customWidth="1"/>
    <col min="2" max="2" width="11" customWidth="1"/>
    <col min="3" max="3" width="14.77734375" customWidth="1"/>
    <col min="4" max="4" width="10.88671875" customWidth="1"/>
    <col min="5" max="5" width="8.88671875" customWidth="1"/>
    <col min="6" max="6" width="7.33203125" customWidth="1"/>
    <col min="7" max="7" width="17.21875" customWidth="1"/>
    <col min="9" max="9" width="26.21875" customWidth="1"/>
  </cols>
  <sheetData>
    <row r="1" spans="1:9" s="18" customFormat="1" ht="23.4" x14ac:dyDescent="0.45">
      <c r="A1" s="41" t="s">
        <v>247</v>
      </c>
      <c r="B1" s="41"/>
      <c r="C1" s="41"/>
      <c r="D1" s="41"/>
    </row>
    <row r="2" spans="1:9" s="18" customFormat="1" ht="24" thickBot="1" x14ac:dyDescent="0.5">
      <c r="A2" s="41"/>
      <c r="B2" s="41"/>
      <c r="C2" s="41"/>
      <c r="D2" s="41"/>
    </row>
    <row r="3" spans="1:9" s="18" customFormat="1" x14ac:dyDescent="0.3">
      <c r="A3" s="42" t="s">
        <v>204</v>
      </c>
      <c r="B3" s="43" t="s">
        <v>205</v>
      </c>
      <c r="C3" s="43" t="s">
        <v>206</v>
      </c>
      <c r="D3" s="43" t="s">
        <v>208</v>
      </c>
      <c r="E3" s="43" t="s">
        <v>207</v>
      </c>
      <c r="F3" s="44" t="s">
        <v>209</v>
      </c>
      <c r="G3" s="18" t="s">
        <v>255</v>
      </c>
      <c r="H3" s="49"/>
    </row>
    <row r="4" spans="1:9" s="18" customFormat="1" ht="15" thickBot="1" x14ac:dyDescent="0.35">
      <c r="A4" s="58">
        <v>4.2468354430379751</v>
      </c>
      <c r="B4" s="59">
        <v>4.2229299363057322</v>
      </c>
      <c r="C4" s="59">
        <v>3.5751633986928102</v>
      </c>
      <c r="D4" s="59">
        <v>2.5862068965517242</v>
      </c>
      <c r="E4" s="59">
        <v>4.3207547169811322</v>
      </c>
      <c r="F4" s="60">
        <v>3.38961038961039</v>
      </c>
    </row>
    <row r="5" spans="1:9" s="18" customFormat="1" x14ac:dyDescent="0.3"/>
    <row r="6" spans="1:9" s="18" customFormat="1" x14ac:dyDescent="0.3"/>
    <row r="7" spans="1:9" s="18" customFormat="1" x14ac:dyDescent="0.3">
      <c r="I7" s="45" t="s">
        <v>152</v>
      </c>
    </row>
    <row r="8" spans="1:9" s="18" customFormat="1" x14ac:dyDescent="0.3"/>
    <row r="9" spans="1:9" s="18" customFormat="1" x14ac:dyDescent="0.3"/>
    <row r="10" spans="1:9" s="18" customFormat="1" x14ac:dyDescent="0.3"/>
    <row r="11" spans="1:9" s="18" customFormat="1" x14ac:dyDescent="0.3"/>
    <row r="12" spans="1:9" s="18" customFormat="1" x14ac:dyDescent="0.3"/>
    <row r="13" spans="1:9" s="18" customFormat="1" x14ac:dyDescent="0.3"/>
    <row r="14" spans="1:9" s="18" customFormat="1" x14ac:dyDescent="0.3"/>
    <row r="15" spans="1:9" s="18" customFormat="1" x14ac:dyDescent="0.3"/>
    <row r="16" spans="1:9" s="18" customFormat="1" x14ac:dyDescent="0.3"/>
    <row r="17" s="18" customFormat="1" x14ac:dyDescent="0.3"/>
    <row r="18" s="18" customFormat="1" x14ac:dyDescent="0.3"/>
    <row r="19" s="18" customFormat="1" x14ac:dyDescent="0.3"/>
    <row r="20" s="18" customFormat="1" x14ac:dyDescent="0.3"/>
  </sheetData>
  <pageMargins left="0.7" right="0.7" top="0.75" bottom="0.75" header="0.3" footer="0.3"/>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9B1A8AB-517E-482E-8C5C-1A2AFFBD0192}">
          <x14:formula1>
            <xm:f>'Survey Data'!$I$4:$N$4</xm:f>
          </x14:formula1>
          <xm:sqref>I7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A30A2-B42E-4897-9757-94B9FAF9CFD9}">
  <dimension ref="A1:P23"/>
  <sheetViews>
    <sheetView showGridLines="0" topLeftCell="A3" workbookViewId="0">
      <selection activeCell="E2" sqref="E2"/>
    </sheetView>
  </sheetViews>
  <sheetFormatPr defaultColWidth="0" defaultRowHeight="14.4" zeroHeight="1" x14ac:dyDescent="0.3"/>
  <cols>
    <col min="1" max="1" width="7.21875" customWidth="1"/>
    <col min="2" max="2" width="5.44140625" customWidth="1"/>
    <col min="3" max="3" width="6.44140625" customWidth="1"/>
    <col min="4" max="5" width="6.77734375" customWidth="1"/>
    <col min="6" max="6" width="8.109375" customWidth="1"/>
    <col min="7" max="7" width="6.44140625" customWidth="1"/>
    <col min="8" max="8" width="7.109375" customWidth="1"/>
    <col min="9" max="9" width="6.109375" customWidth="1"/>
    <col min="10" max="10" width="3.33203125" customWidth="1"/>
    <col min="11" max="11" width="8" customWidth="1"/>
    <col min="12" max="16" width="8.88671875" customWidth="1"/>
    <col min="17" max="16384" width="8.88671875" hidden="1"/>
  </cols>
  <sheetData>
    <row r="1" spans="1:12" s="33" customFormat="1" ht="23.4" x14ac:dyDescent="0.45">
      <c r="A1" s="50" t="s">
        <v>248</v>
      </c>
      <c r="B1" s="37"/>
      <c r="C1" s="37"/>
      <c r="D1" s="37"/>
    </row>
    <row r="2" spans="1:12" s="33" customFormat="1" ht="24" thickBot="1" x14ac:dyDescent="0.5">
      <c r="A2" s="37"/>
      <c r="B2" s="37"/>
      <c r="C2" s="37"/>
      <c r="D2" s="37"/>
    </row>
    <row r="3" spans="1:12" s="33" customFormat="1" x14ac:dyDescent="0.3">
      <c r="A3" s="5" t="s">
        <v>239</v>
      </c>
      <c r="B3" s="7" t="s">
        <v>195</v>
      </c>
      <c r="C3" s="7" t="s">
        <v>196</v>
      </c>
      <c r="D3" s="7" t="s">
        <v>197</v>
      </c>
      <c r="E3" s="7" t="s">
        <v>198</v>
      </c>
      <c r="F3" s="7" t="s">
        <v>238</v>
      </c>
      <c r="G3" s="7" t="s">
        <v>199</v>
      </c>
      <c r="H3" s="7" t="s">
        <v>236</v>
      </c>
      <c r="I3" s="7" t="s">
        <v>237</v>
      </c>
      <c r="J3" s="7" t="s">
        <v>240</v>
      </c>
      <c r="K3" s="6" t="s">
        <v>244</v>
      </c>
      <c r="L3"/>
    </row>
    <row r="4" spans="1:12" s="33" customFormat="1" ht="15" thickBot="1" x14ac:dyDescent="0.35">
      <c r="A4" s="21">
        <v>64</v>
      </c>
      <c r="B4" s="22">
        <v>78</v>
      </c>
      <c r="C4" s="22">
        <v>71</v>
      </c>
      <c r="D4" s="22">
        <v>32</v>
      </c>
      <c r="E4" s="22">
        <v>50</v>
      </c>
      <c r="F4" s="22">
        <v>84</v>
      </c>
      <c r="G4" s="22">
        <v>32</v>
      </c>
      <c r="H4" s="22">
        <v>118</v>
      </c>
      <c r="I4" s="22">
        <v>114</v>
      </c>
      <c r="J4" s="22">
        <v>3</v>
      </c>
      <c r="K4" s="23">
        <v>40</v>
      </c>
      <c r="L4"/>
    </row>
    <row r="5" spans="1:12" s="33" customFormat="1" x14ac:dyDescent="0.3"/>
    <row r="6" spans="1:12" s="33" customFormat="1" x14ac:dyDescent="0.3"/>
    <row r="7" spans="1:12" s="33" customFormat="1" x14ac:dyDescent="0.3"/>
    <row r="8" spans="1:12" s="33" customFormat="1" x14ac:dyDescent="0.3"/>
    <row r="9" spans="1:12" s="33" customFormat="1" x14ac:dyDescent="0.3"/>
    <row r="10" spans="1:12" s="33" customFormat="1" x14ac:dyDescent="0.3"/>
    <row r="11" spans="1:12" s="33" customFormat="1" x14ac:dyDescent="0.3"/>
    <row r="12" spans="1:12" s="33" customFormat="1" x14ac:dyDescent="0.3"/>
    <row r="13" spans="1:12" s="33" customFormat="1" x14ac:dyDescent="0.3"/>
    <row r="14" spans="1:12" s="33" customFormat="1" x14ac:dyDescent="0.3"/>
    <row r="15" spans="1:12" s="33" customFormat="1" x14ac:dyDescent="0.3"/>
    <row r="16" spans="1:12" s="33" customFormat="1" x14ac:dyDescent="0.3"/>
    <row r="17" s="33" customFormat="1" x14ac:dyDescent="0.3"/>
    <row r="18" s="33" customFormat="1" x14ac:dyDescent="0.3"/>
    <row r="19" s="33" customFormat="1" x14ac:dyDescent="0.3"/>
    <row r="20" s="33" customFormat="1" x14ac:dyDescent="0.3"/>
    <row r="21" s="33" customFormat="1" x14ac:dyDescent="0.3"/>
    <row r="22" s="33" customFormat="1" x14ac:dyDescent="0.3"/>
    <row r="23" s="33" customFormat="1" x14ac:dyDescent="0.3"/>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80B54-A409-4FF2-ABCC-2453BC20C013}">
  <dimension ref="A1:M27"/>
  <sheetViews>
    <sheetView showGridLines="0" topLeftCell="A2" workbookViewId="0"/>
  </sheetViews>
  <sheetFormatPr defaultColWidth="0" defaultRowHeight="14.4" zeroHeight="1" x14ac:dyDescent="0.3"/>
  <cols>
    <col min="1" max="1" width="11.77734375" customWidth="1"/>
    <col min="2" max="2" width="13.88671875" customWidth="1"/>
    <col min="3" max="3" width="9.88671875" customWidth="1"/>
    <col min="4" max="4" width="11.77734375" customWidth="1"/>
    <col min="5" max="5" width="13.109375" customWidth="1"/>
    <col min="6" max="6" width="7.44140625" customWidth="1"/>
    <col min="7" max="13" width="8.88671875" customWidth="1"/>
    <col min="14" max="16384" width="8.88671875" hidden="1"/>
  </cols>
  <sheetData>
    <row r="1" spans="1:6" s="29" customFormat="1" ht="23.4" x14ac:dyDescent="0.45">
      <c r="A1" s="51" t="s">
        <v>256</v>
      </c>
      <c r="B1" s="36"/>
      <c r="C1" s="36"/>
      <c r="D1" s="36"/>
    </row>
    <row r="2" spans="1:6" s="29" customFormat="1" ht="23.4" x14ac:dyDescent="0.45">
      <c r="A2" s="36"/>
      <c r="B2" s="36"/>
      <c r="C2" s="36"/>
      <c r="D2" s="36"/>
    </row>
    <row r="3" spans="1:6" s="29" customFormat="1" x14ac:dyDescent="0.3">
      <c r="A3" t="s">
        <v>210</v>
      </c>
      <c r="B3" t="s">
        <v>214</v>
      </c>
      <c r="C3" t="s">
        <v>211</v>
      </c>
      <c r="D3" t="s">
        <v>212</v>
      </c>
      <c r="E3" t="s">
        <v>213</v>
      </c>
      <c r="F3" t="s">
        <v>243</v>
      </c>
    </row>
    <row r="4" spans="1:6" s="29" customFormat="1" x14ac:dyDescent="0.3">
      <c r="A4" s="30">
        <v>5.3602484472049685</v>
      </c>
      <c r="B4" s="30">
        <v>6.3229813664596275</v>
      </c>
      <c r="C4" s="30">
        <v>5.7329192546583849</v>
      </c>
      <c r="D4" s="30">
        <v>5.987577639751553</v>
      </c>
      <c r="E4" s="30">
        <v>5.7025316455696204</v>
      </c>
      <c r="F4" s="30">
        <v>5.3757961783439487</v>
      </c>
    </row>
    <row r="5" spans="1:6" s="29" customFormat="1" x14ac:dyDescent="0.3"/>
    <row r="6" spans="1:6" s="29" customFormat="1" x14ac:dyDescent="0.3"/>
    <row r="7" spans="1:6" s="29" customFormat="1" x14ac:dyDescent="0.3"/>
    <row r="8" spans="1:6" s="29" customFormat="1" x14ac:dyDescent="0.3"/>
    <row r="9" spans="1:6" s="29" customFormat="1" x14ac:dyDescent="0.3"/>
    <row r="10" spans="1:6" s="29" customFormat="1" x14ac:dyDescent="0.3"/>
    <row r="11" spans="1:6" s="29" customFormat="1" x14ac:dyDescent="0.3"/>
    <row r="12" spans="1:6" s="29" customFormat="1" x14ac:dyDescent="0.3"/>
    <row r="13" spans="1:6" s="29" customFormat="1" x14ac:dyDescent="0.3"/>
    <row r="14" spans="1:6" s="29" customFormat="1" x14ac:dyDescent="0.3"/>
    <row r="15" spans="1:6" s="29" customFormat="1" x14ac:dyDescent="0.3"/>
    <row r="16" spans="1:6" s="29" customFormat="1" x14ac:dyDescent="0.3"/>
    <row r="17" s="29" customFormat="1" x14ac:dyDescent="0.3"/>
    <row r="18" s="29" customFormat="1" x14ac:dyDescent="0.3"/>
    <row r="19" s="29" customFormat="1" x14ac:dyDescent="0.3"/>
    <row r="20" s="29" customFormat="1" x14ac:dyDescent="0.3"/>
    <row r="21" s="29" customFormat="1" x14ac:dyDescent="0.3"/>
    <row r="22" s="29" customFormat="1" x14ac:dyDescent="0.3"/>
    <row r="23" s="29" customFormat="1" x14ac:dyDescent="0.3"/>
    <row r="24" s="29" customFormat="1" x14ac:dyDescent="0.3"/>
    <row r="25" s="29" customFormat="1" x14ac:dyDescent="0.3"/>
    <row r="26" customFormat="1" hidden="1" x14ac:dyDescent="0.3"/>
    <row r="27" customFormat="1" hidden="1" x14ac:dyDescent="0.3"/>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33FB3-1258-4C3D-A550-60E88780186F}">
  <dimension ref="A1:H24"/>
  <sheetViews>
    <sheetView showGridLines="0" zoomScale="88" zoomScaleNormal="88" workbookViewId="0"/>
  </sheetViews>
  <sheetFormatPr defaultColWidth="0" defaultRowHeight="14.4" zeroHeight="1" x14ac:dyDescent="0.3"/>
  <cols>
    <col min="1" max="1" width="12.5546875" customWidth="1"/>
    <col min="2" max="2" width="10.109375" customWidth="1"/>
    <col min="3" max="3" width="9" customWidth="1"/>
    <col min="4" max="4" width="9.77734375" customWidth="1"/>
    <col min="5" max="5" width="8.109375" customWidth="1"/>
    <col min="6" max="6" width="17.21875" customWidth="1"/>
    <col min="7" max="7" width="24.33203125" bestFit="1" customWidth="1"/>
    <col min="8" max="8" width="17.5546875" bestFit="1" customWidth="1"/>
    <col min="9" max="16384" width="8.88671875" hidden="1"/>
  </cols>
  <sheetData>
    <row r="1" spans="1:6" s="11" customFormat="1" ht="23.4" x14ac:dyDescent="0.45">
      <c r="A1" s="52" t="s">
        <v>249</v>
      </c>
      <c r="B1" s="38"/>
      <c r="C1" s="38"/>
      <c r="D1" s="38"/>
    </row>
    <row r="2" spans="1:6" s="11" customFormat="1" ht="23.4" x14ac:dyDescent="0.45">
      <c r="A2" s="38"/>
      <c r="B2" s="38"/>
      <c r="C2" s="38"/>
      <c r="D2" s="38"/>
    </row>
    <row r="3" spans="1:6" s="11" customFormat="1" x14ac:dyDescent="0.3">
      <c r="A3" t="s">
        <v>230</v>
      </c>
      <c r="B3" t="s">
        <v>231</v>
      </c>
      <c r="C3" t="s">
        <v>232</v>
      </c>
      <c r="D3" t="s">
        <v>233</v>
      </c>
      <c r="E3" t="s">
        <v>234</v>
      </c>
      <c r="F3" t="s">
        <v>235</v>
      </c>
    </row>
    <row r="4" spans="1:6" s="11" customFormat="1" x14ac:dyDescent="0.3">
      <c r="A4" s="27">
        <v>77</v>
      </c>
      <c r="B4" s="27">
        <v>39</v>
      </c>
      <c r="C4" s="27">
        <v>39</v>
      </c>
      <c r="D4" s="27">
        <v>74</v>
      </c>
      <c r="E4" s="27">
        <v>32</v>
      </c>
      <c r="F4" s="27">
        <v>95</v>
      </c>
    </row>
    <row r="5" spans="1:6" s="11" customFormat="1" x14ac:dyDescent="0.3"/>
    <row r="6" spans="1:6" s="11" customFormat="1" x14ac:dyDescent="0.3">
      <c r="A6"/>
      <c r="B6"/>
      <c r="C6"/>
      <c r="D6"/>
      <c r="E6"/>
    </row>
    <row r="7" spans="1:6" s="11" customFormat="1" x14ac:dyDescent="0.3">
      <c r="A7"/>
      <c r="B7"/>
      <c r="C7"/>
      <c r="D7"/>
      <c r="E7"/>
    </row>
    <row r="8" spans="1:6" s="11" customFormat="1" x14ac:dyDescent="0.3">
      <c r="A8"/>
      <c r="B8"/>
      <c r="C8"/>
      <c r="D8"/>
      <c r="E8"/>
    </row>
    <row r="9" spans="1:6" s="11" customFormat="1" x14ac:dyDescent="0.3">
      <c r="A9"/>
      <c r="B9"/>
      <c r="C9"/>
      <c r="D9"/>
      <c r="E9"/>
    </row>
    <row r="10" spans="1:6" s="11" customFormat="1" x14ac:dyDescent="0.3">
      <c r="A10"/>
      <c r="B10"/>
      <c r="C10"/>
      <c r="D10"/>
      <c r="E10"/>
    </row>
    <row r="11" spans="1:6" s="11" customFormat="1" x14ac:dyDescent="0.3">
      <c r="A11"/>
      <c r="B11"/>
      <c r="C11"/>
      <c r="D11"/>
      <c r="E11"/>
    </row>
    <row r="12" spans="1:6" s="11" customFormat="1" x14ac:dyDescent="0.3">
      <c r="A12"/>
      <c r="B12"/>
      <c r="C12"/>
      <c r="D12"/>
      <c r="E12"/>
    </row>
    <row r="13" spans="1:6" s="11" customFormat="1" x14ac:dyDescent="0.3">
      <c r="A13"/>
      <c r="B13"/>
      <c r="C13"/>
      <c r="D13"/>
      <c r="E13"/>
    </row>
    <row r="14" spans="1:6" s="11" customFormat="1" x14ac:dyDescent="0.3">
      <c r="A14"/>
      <c r="B14"/>
      <c r="C14"/>
      <c r="D14"/>
      <c r="E14"/>
    </row>
    <row r="15" spans="1:6" s="11" customFormat="1" x14ac:dyDescent="0.3">
      <c r="A15"/>
      <c r="B15"/>
      <c r="C15"/>
      <c r="D15"/>
      <c r="E15"/>
    </row>
    <row r="16" spans="1:6" s="11" customFormat="1" x14ac:dyDescent="0.3">
      <c r="A16"/>
      <c r="B16"/>
      <c r="C16"/>
      <c r="D16"/>
      <c r="E16"/>
    </row>
    <row r="17" spans="1:5" s="11" customFormat="1" x14ac:dyDescent="0.3">
      <c r="A17"/>
      <c r="B17"/>
      <c r="C17"/>
      <c r="D17"/>
      <c r="E17"/>
    </row>
    <row r="18" spans="1:5" s="11" customFormat="1" x14ac:dyDescent="0.3">
      <c r="A18"/>
      <c r="B18"/>
      <c r="C18"/>
      <c r="D18"/>
      <c r="E18"/>
    </row>
    <row r="19" spans="1:5" s="11" customFormat="1" x14ac:dyDescent="0.3">
      <c r="A19"/>
      <c r="B19"/>
      <c r="C19"/>
      <c r="D19"/>
      <c r="E19"/>
    </row>
    <row r="20" spans="1:5" s="11" customFormat="1" x14ac:dyDescent="0.3">
      <c r="A20"/>
      <c r="B20"/>
      <c r="C20"/>
      <c r="D20"/>
      <c r="E20"/>
    </row>
    <row r="21" spans="1:5" s="11" customFormat="1" x14ac:dyDescent="0.3"/>
    <row r="22" spans="1:5" s="11" customFormat="1" x14ac:dyDescent="0.3"/>
    <row r="23" spans="1:5" s="11" customFormat="1" x14ac:dyDescent="0.3"/>
    <row r="24" spans="1:5" s="11" customFormat="1" x14ac:dyDescent="0.3"/>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55F20-BB75-4CA1-8572-CB569D5AEF44}">
  <dimension ref="A1:G26"/>
  <sheetViews>
    <sheetView showGridLines="0" workbookViewId="0">
      <selection activeCell="A4" sqref="A4"/>
    </sheetView>
  </sheetViews>
  <sheetFormatPr defaultColWidth="0" defaultRowHeight="14.4" zeroHeight="1" x14ac:dyDescent="0.3"/>
  <cols>
    <col min="1" max="1" width="39.5546875" bestFit="1" customWidth="1"/>
    <col min="2" max="2" width="38.33203125" bestFit="1" customWidth="1"/>
    <col min="3" max="7" width="8.88671875" customWidth="1"/>
    <col min="8" max="16384" width="8.88671875" hidden="1"/>
  </cols>
  <sheetData>
    <row r="1" spans="1:4" s="11" customFormat="1" ht="23.4" x14ac:dyDescent="0.45">
      <c r="A1" s="53" t="s">
        <v>250</v>
      </c>
      <c r="B1" s="38"/>
      <c r="C1" s="38"/>
      <c r="D1" s="38"/>
    </row>
    <row r="2" spans="1:4" s="11" customFormat="1" ht="23.4" x14ac:dyDescent="0.45">
      <c r="A2" s="38"/>
      <c r="B2" s="38"/>
      <c r="C2" s="38"/>
      <c r="D2" s="38"/>
    </row>
    <row r="3" spans="1:4" s="11" customFormat="1" x14ac:dyDescent="0.3">
      <c r="A3" s="2" t="s">
        <v>140</v>
      </c>
      <c r="B3" t="s">
        <v>227</v>
      </c>
    </row>
    <row r="4" spans="1:4" s="11" customFormat="1" x14ac:dyDescent="0.3">
      <c r="A4" s="17" t="s">
        <v>54</v>
      </c>
      <c r="B4" s="18">
        <v>20</v>
      </c>
    </row>
    <row r="5" spans="1:4" s="11" customFormat="1" x14ac:dyDescent="0.3">
      <c r="A5" s="17" t="s">
        <v>107</v>
      </c>
      <c r="B5" s="18">
        <v>2</v>
      </c>
    </row>
    <row r="6" spans="1:4" s="11" customFormat="1" x14ac:dyDescent="0.3">
      <c r="A6" s="17" t="s">
        <v>42</v>
      </c>
      <c r="B6" s="18">
        <v>75</v>
      </c>
    </row>
    <row r="7" spans="1:4" s="11" customFormat="1" x14ac:dyDescent="0.3">
      <c r="A7" s="17" t="s">
        <v>33</v>
      </c>
      <c r="B7" s="18">
        <v>61</v>
      </c>
    </row>
    <row r="8" spans="1:4" s="11" customFormat="1" x14ac:dyDescent="0.3">
      <c r="A8" s="17" t="s">
        <v>182</v>
      </c>
      <c r="B8" s="18">
        <v>1</v>
      </c>
    </row>
    <row r="9" spans="1:4" s="11" customFormat="1" x14ac:dyDescent="0.3">
      <c r="A9" s="3" t="s">
        <v>141</v>
      </c>
      <c r="B9">
        <v>159</v>
      </c>
    </row>
    <row r="10" spans="1:4" s="11" customFormat="1" x14ac:dyDescent="0.3"/>
    <row r="11" spans="1:4" s="11" customFormat="1" x14ac:dyDescent="0.3"/>
    <row r="12" spans="1:4" s="11" customFormat="1" x14ac:dyDescent="0.3"/>
    <row r="13" spans="1:4" s="11" customFormat="1" x14ac:dyDescent="0.3"/>
    <row r="14" spans="1:4" s="11" customFormat="1" x14ac:dyDescent="0.3"/>
    <row r="15" spans="1:4" s="11" customFormat="1" x14ac:dyDescent="0.3"/>
    <row r="16" spans="1:4" s="11" customFormat="1" x14ac:dyDescent="0.3"/>
    <row r="17" s="11" customFormat="1" x14ac:dyDescent="0.3"/>
    <row r="18" s="11" customFormat="1" x14ac:dyDescent="0.3"/>
    <row r="19" s="11" customFormat="1" x14ac:dyDescent="0.3"/>
    <row r="20" s="11" customFormat="1" x14ac:dyDescent="0.3"/>
    <row r="21" customFormat="1" hidden="1" x14ac:dyDescent="0.3"/>
    <row r="22" customFormat="1" hidden="1" x14ac:dyDescent="0.3"/>
    <row r="23" customFormat="1" hidden="1" x14ac:dyDescent="0.3"/>
    <row r="24" customFormat="1" hidden="1" x14ac:dyDescent="0.3"/>
    <row r="25" customFormat="1" hidden="1" x14ac:dyDescent="0.3"/>
    <row r="26" customFormat="1" hidden="1" x14ac:dyDescent="0.3"/>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89500-C614-4BC5-A214-32D7303583A3}">
  <dimension ref="A1:K25"/>
  <sheetViews>
    <sheetView showGridLines="0" workbookViewId="0">
      <selection activeCell="A2" sqref="A2"/>
    </sheetView>
  </sheetViews>
  <sheetFormatPr defaultColWidth="0" defaultRowHeight="14.4" zeroHeight="1" x14ac:dyDescent="0.3"/>
  <cols>
    <col min="1" max="1" width="12.5546875" bestFit="1" customWidth="1"/>
    <col min="2" max="2" width="28.5546875" bestFit="1" customWidth="1"/>
    <col min="3" max="11" width="8.88671875" customWidth="1"/>
    <col min="12" max="16384" width="8.88671875" hidden="1"/>
  </cols>
  <sheetData>
    <row r="1" spans="1:4" s="31" customFormat="1" ht="23.4" x14ac:dyDescent="0.45">
      <c r="A1" s="54" t="s">
        <v>251</v>
      </c>
      <c r="B1" s="39"/>
      <c r="C1" s="39"/>
      <c r="D1" s="39"/>
    </row>
    <row r="2" spans="1:4" s="31" customFormat="1" ht="23.4" x14ac:dyDescent="0.45">
      <c r="A2" s="39"/>
      <c r="B2" s="39"/>
      <c r="C2" s="39"/>
      <c r="D2" s="39"/>
    </row>
    <row r="3" spans="1:4" s="31" customFormat="1" x14ac:dyDescent="0.3">
      <c r="A3" s="2" t="s">
        <v>140</v>
      </c>
      <c r="B3" t="s">
        <v>228</v>
      </c>
    </row>
    <row r="4" spans="1:4" s="31" customFormat="1" x14ac:dyDescent="0.3">
      <c r="A4" s="19" t="s">
        <v>39</v>
      </c>
      <c r="B4" s="20">
        <v>36</v>
      </c>
    </row>
    <row r="5" spans="1:4" s="31" customFormat="1" x14ac:dyDescent="0.3">
      <c r="A5" s="19" t="s">
        <v>34</v>
      </c>
      <c r="B5" s="20">
        <v>61</v>
      </c>
    </row>
    <row r="6" spans="1:4" s="31" customFormat="1" x14ac:dyDescent="0.3">
      <c r="A6" s="19" t="s">
        <v>49</v>
      </c>
      <c r="B6" s="20">
        <v>10</v>
      </c>
    </row>
    <row r="7" spans="1:4" s="31" customFormat="1" x14ac:dyDescent="0.3">
      <c r="A7" s="3" t="s">
        <v>141</v>
      </c>
      <c r="B7">
        <v>107</v>
      </c>
    </row>
    <row r="8" spans="1:4" s="31" customFormat="1" x14ac:dyDescent="0.3"/>
    <row r="9" spans="1:4" s="31" customFormat="1" x14ac:dyDescent="0.3"/>
    <row r="10" spans="1:4" s="31" customFormat="1" x14ac:dyDescent="0.3"/>
    <row r="11" spans="1:4" s="31" customFormat="1" x14ac:dyDescent="0.3"/>
    <row r="12" spans="1:4" s="31" customFormat="1" x14ac:dyDescent="0.3"/>
    <row r="13" spans="1:4" s="31" customFormat="1" x14ac:dyDescent="0.3"/>
    <row r="14" spans="1:4" s="31" customFormat="1" x14ac:dyDescent="0.3"/>
    <row r="15" spans="1:4" s="31" customFormat="1" x14ac:dyDescent="0.3"/>
    <row r="16" spans="1:4" s="31" customFormat="1" x14ac:dyDescent="0.3"/>
    <row r="17" s="31" customFormat="1" x14ac:dyDescent="0.3"/>
    <row r="18" s="31" customFormat="1" x14ac:dyDescent="0.3"/>
    <row r="19" s="31" customFormat="1" x14ac:dyDescent="0.3"/>
    <row r="20" customFormat="1" hidden="1" x14ac:dyDescent="0.3"/>
    <row r="21" customFormat="1" hidden="1" x14ac:dyDescent="0.3"/>
    <row r="22" customFormat="1" hidden="1" x14ac:dyDescent="0.3"/>
    <row r="23" customFormat="1" hidden="1" x14ac:dyDescent="0.3"/>
    <row r="24" customFormat="1" hidden="1" x14ac:dyDescent="0.3"/>
    <row r="25" customFormat="1" hidden="1" x14ac:dyDescent="0.3"/>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9EBB0-84B3-4731-B6BA-9F2FFED439D3}">
  <dimension ref="A1:P27"/>
  <sheetViews>
    <sheetView showGridLines="0" workbookViewId="0">
      <selection activeCell="A2" sqref="A2"/>
    </sheetView>
  </sheetViews>
  <sheetFormatPr defaultColWidth="0" defaultRowHeight="14.4" zeroHeight="1" x14ac:dyDescent="0.3"/>
  <cols>
    <col min="1" max="1" width="10.88671875" style="32" customWidth="1"/>
    <col min="2" max="2" width="9.77734375" style="32" customWidth="1"/>
    <col min="3" max="3" width="9.109375" style="32" customWidth="1"/>
    <col min="4" max="5" width="8" style="32" customWidth="1"/>
    <col min="6" max="6" width="9.109375" style="32" customWidth="1"/>
    <col min="7" max="7" width="9" style="32" customWidth="1"/>
    <col min="8" max="8" width="10" style="32" customWidth="1"/>
    <col min="9" max="16" width="8.88671875" style="32" customWidth="1"/>
    <col min="17" max="16384" width="8.88671875" style="32" hidden="1"/>
  </cols>
  <sheetData>
    <row r="1" spans="1:8" ht="23.4" x14ac:dyDescent="0.45">
      <c r="A1" s="55" t="s">
        <v>252</v>
      </c>
      <c r="B1" s="40"/>
      <c r="C1" s="40"/>
      <c r="D1" s="40"/>
    </row>
    <row r="2" spans="1:8" ht="24" thickBot="1" x14ac:dyDescent="0.5">
      <c r="A2" s="40"/>
      <c r="B2" s="40"/>
      <c r="C2" s="40"/>
      <c r="D2" s="40"/>
    </row>
    <row r="3" spans="1:8" x14ac:dyDescent="0.3">
      <c r="A3" s="5" t="s">
        <v>216</v>
      </c>
      <c r="B3" s="7" t="s">
        <v>217</v>
      </c>
      <c r="C3" s="7" t="s">
        <v>218</v>
      </c>
      <c r="D3" s="7" t="s">
        <v>219</v>
      </c>
      <c r="E3" s="7" t="s">
        <v>220</v>
      </c>
      <c r="F3" s="7" t="s">
        <v>221</v>
      </c>
      <c r="G3" s="7" t="s">
        <v>222</v>
      </c>
      <c r="H3" s="6" t="s">
        <v>241</v>
      </c>
    </row>
    <row r="4" spans="1:8" ht="15" thickBot="1" x14ac:dyDescent="0.35">
      <c r="A4" s="14">
        <v>6.4864864864864868</v>
      </c>
      <c r="B4" s="15">
        <v>6.0129870129870131</v>
      </c>
      <c r="C4" s="15">
        <v>6.4375</v>
      </c>
      <c r="D4" s="15">
        <v>6.3250000000000002</v>
      </c>
      <c r="E4" s="15">
        <v>6.6375000000000002</v>
      </c>
      <c r="F4" s="15">
        <v>6.6329113924050631</v>
      </c>
      <c r="G4" s="15">
        <v>5.7407407407407405</v>
      </c>
      <c r="H4" s="16">
        <v>13</v>
      </c>
    </row>
    <row r="5" spans="1:8" x14ac:dyDescent="0.3"/>
    <row r="6" spans="1:8" x14ac:dyDescent="0.3"/>
    <row r="7" spans="1:8" x14ac:dyDescent="0.3"/>
    <row r="8" spans="1:8" x14ac:dyDescent="0.3"/>
    <row r="9" spans="1:8" x14ac:dyDescent="0.3"/>
    <row r="10" spans="1:8" x14ac:dyDescent="0.3"/>
    <row r="11" spans="1:8" x14ac:dyDescent="0.3"/>
    <row r="12" spans="1:8" x14ac:dyDescent="0.3"/>
    <row r="13" spans="1:8" x14ac:dyDescent="0.3"/>
    <row r="14" spans="1:8" x14ac:dyDescent="0.3"/>
    <row r="15" spans="1:8" x14ac:dyDescent="0.3"/>
    <row r="16" spans="1:8" x14ac:dyDescent="0.3"/>
    <row r="17" s="32" customFormat="1" x14ac:dyDescent="0.3"/>
    <row r="18" s="32" customFormat="1" x14ac:dyDescent="0.3"/>
    <row r="19" s="32" customFormat="1" x14ac:dyDescent="0.3"/>
    <row r="20" s="32" customFormat="1" x14ac:dyDescent="0.3"/>
    <row r="21" s="32" customFormat="1" x14ac:dyDescent="0.3"/>
    <row r="22" s="32" customFormat="1" hidden="1" x14ac:dyDescent="0.3"/>
    <row r="23" s="32" customFormat="1" hidden="1" x14ac:dyDescent="0.3"/>
    <row r="24" s="32" customFormat="1" hidden="1" x14ac:dyDescent="0.3"/>
    <row r="25" s="32" customFormat="1" hidden="1" x14ac:dyDescent="0.3"/>
    <row r="26" s="32" customFormat="1" hidden="1" x14ac:dyDescent="0.3"/>
    <row r="27" s="32" customFormat="1" hidden="1" x14ac:dyDescent="0.3"/>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32BE0-34E8-4107-849B-99CE3DE983F4}">
  <dimension ref="A1:N21"/>
  <sheetViews>
    <sheetView showGridLines="0" workbookViewId="0">
      <selection activeCell="A2" sqref="A2"/>
    </sheetView>
  </sheetViews>
  <sheetFormatPr defaultColWidth="0" defaultRowHeight="14.4" zeroHeight="1" x14ac:dyDescent="0.3"/>
  <cols>
    <col min="1" max="1" width="12.5546875" bestFit="1" customWidth="1"/>
    <col min="2" max="2" width="33.77734375" bestFit="1" customWidth="1"/>
    <col min="3" max="14" width="8.88671875" customWidth="1"/>
    <col min="15" max="16384" width="8.88671875" hidden="1"/>
  </cols>
  <sheetData>
    <row r="1" spans="1:14" ht="23.4" x14ac:dyDescent="0.45">
      <c r="A1" s="56" t="s">
        <v>229</v>
      </c>
      <c r="B1" s="40"/>
      <c r="C1" s="40"/>
      <c r="D1" s="40"/>
      <c r="E1" s="32"/>
      <c r="F1" s="32"/>
      <c r="G1" s="32"/>
      <c r="H1" s="32"/>
      <c r="I1" s="32"/>
      <c r="J1" s="32"/>
      <c r="K1" s="32"/>
      <c r="L1" s="32"/>
      <c r="M1" s="32"/>
      <c r="N1" s="32"/>
    </row>
    <row r="2" spans="1:14" ht="23.4" x14ac:dyDescent="0.45">
      <c r="A2" s="40"/>
      <c r="B2" s="40"/>
      <c r="C2" s="40"/>
      <c r="D2" s="40"/>
      <c r="E2" s="32"/>
      <c r="F2" s="32"/>
      <c r="G2" s="32"/>
      <c r="H2" s="32"/>
      <c r="I2" s="32"/>
      <c r="J2" s="32"/>
      <c r="K2" s="32"/>
      <c r="L2" s="32"/>
      <c r="M2" s="32"/>
      <c r="N2" s="32"/>
    </row>
    <row r="3" spans="1:14" x14ac:dyDescent="0.3">
      <c r="A3" s="2" t="s">
        <v>140</v>
      </c>
      <c r="B3" t="s">
        <v>229</v>
      </c>
      <c r="C3" s="32"/>
      <c r="D3" s="32"/>
      <c r="E3" s="32"/>
      <c r="F3" s="32"/>
      <c r="G3" s="32"/>
      <c r="H3" s="32"/>
      <c r="I3" s="32"/>
      <c r="J3" s="32"/>
      <c r="K3" s="32"/>
      <c r="L3" s="32"/>
      <c r="M3" s="32"/>
      <c r="N3" s="32"/>
    </row>
    <row r="4" spans="1:14" x14ac:dyDescent="0.3">
      <c r="A4" s="8">
        <v>3</v>
      </c>
      <c r="B4" s="9">
        <v>1</v>
      </c>
      <c r="C4" s="32"/>
      <c r="D4" s="32"/>
      <c r="E4" s="32"/>
      <c r="F4" s="32"/>
      <c r="G4" s="32"/>
      <c r="H4" s="32"/>
      <c r="I4" s="32"/>
      <c r="J4" s="32"/>
      <c r="K4" s="32"/>
      <c r="L4" s="32"/>
      <c r="M4" s="32"/>
      <c r="N4" s="32"/>
    </row>
    <row r="5" spans="1:14" x14ac:dyDescent="0.3">
      <c r="A5" s="8">
        <v>4</v>
      </c>
      <c r="B5" s="9">
        <v>1</v>
      </c>
      <c r="C5" s="32"/>
      <c r="D5" s="32"/>
      <c r="E5" s="32"/>
      <c r="F5" s="32"/>
      <c r="G5" s="32"/>
      <c r="H5" s="32"/>
      <c r="I5" s="32"/>
      <c r="J5" s="32"/>
      <c r="K5" s="32"/>
      <c r="L5" s="32"/>
      <c r="M5" s="32"/>
      <c r="N5" s="32"/>
    </row>
    <row r="6" spans="1:14" x14ac:dyDescent="0.3">
      <c r="A6" s="8">
        <v>5</v>
      </c>
      <c r="B6" s="9">
        <v>9</v>
      </c>
      <c r="C6" s="32"/>
      <c r="D6" s="32"/>
      <c r="E6" s="32"/>
      <c r="F6" s="32"/>
      <c r="G6" s="32"/>
      <c r="H6" s="32"/>
      <c r="I6" s="32"/>
      <c r="J6" s="32"/>
      <c r="K6" s="32"/>
      <c r="L6" s="32"/>
      <c r="M6" s="32"/>
      <c r="N6" s="32"/>
    </row>
    <row r="7" spans="1:14" x14ac:dyDescent="0.3">
      <c r="A7" s="8">
        <v>6</v>
      </c>
      <c r="B7" s="9">
        <v>7</v>
      </c>
      <c r="C7" s="32"/>
      <c r="D7" s="32"/>
      <c r="E7" s="32"/>
      <c r="F7" s="32"/>
      <c r="G7" s="32"/>
      <c r="H7" s="32"/>
      <c r="I7" s="32"/>
      <c r="J7" s="32"/>
      <c r="K7" s="32"/>
      <c r="L7" s="32"/>
      <c r="M7" s="32"/>
      <c r="N7" s="32"/>
    </row>
    <row r="8" spans="1:14" x14ac:dyDescent="0.3">
      <c r="A8" s="8" t="s">
        <v>35</v>
      </c>
      <c r="B8" s="9">
        <v>63</v>
      </c>
      <c r="C8" s="32"/>
      <c r="D8" s="32"/>
      <c r="E8" s="32"/>
      <c r="F8" s="32"/>
      <c r="G8" s="32"/>
      <c r="H8" s="32"/>
      <c r="I8" s="32"/>
      <c r="J8" s="32"/>
      <c r="K8" s="32"/>
      <c r="L8" s="32"/>
      <c r="M8" s="32"/>
      <c r="N8" s="32"/>
    </row>
    <row r="9" spans="1:14" x14ac:dyDescent="0.3">
      <c r="A9" s="3" t="s">
        <v>141</v>
      </c>
      <c r="B9">
        <v>81</v>
      </c>
      <c r="C9" s="32"/>
      <c r="D9" s="32"/>
      <c r="E9" s="32"/>
      <c r="F9" s="32"/>
      <c r="G9" s="32"/>
      <c r="H9" s="32"/>
      <c r="I9" s="32"/>
      <c r="J9" s="32"/>
      <c r="K9" s="32"/>
      <c r="L9" s="32"/>
      <c r="M9" s="32"/>
      <c r="N9" s="32"/>
    </row>
    <row r="10" spans="1:14" x14ac:dyDescent="0.3">
      <c r="A10" s="32"/>
      <c r="B10" s="32"/>
      <c r="C10" s="32"/>
      <c r="D10" s="32"/>
      <c r="E10" s="32"/>
      <c r="F10" s="32"/>
      <c r="G10" s="32"/>
      <c r="H10" s="32"/>
      <c r="I10" s="32"/>
      <c r="J10" s="32"/>
      <c r="K10" s="32"/>
      <c r="L10" s="32"/>
      <c r="M10" s="32"/>
      <c r="N10" s="32"/>
    </row>
    <row r="11" spans="1:14" x14ac:dyDescent="0.3">
      <c r="A11" s="32"/>
      <c r="B11" s="32"/>
      <c r="C11" s="32"/>
      <c r="D11" s="32"/>
      <c r="E11" s="32"/>
      <c r="F11" s="32"/>
      <c r="G11" s="32"/>
      <c r="H11" s="32"/>
      <c r="I11" s="32"/>
      <c r="J11" s="32"/>
      <c r="K11" s="32"/>
      <c r="L11" s="32"/>
      <c r="M11" s="32"/>
      <c r="N11" s="32"/>
    </row>
    <row r="12" spans="1:14" x14ac:dyDescent="0.3">
      <c r="A12" s="32"/>
      <c r="B12" s="32"/>
      <c r="C12" s="32"/>
      <c r="D12" s="32"/>
      <c r="E12" s="32"/>
      <c r="F12" s="32"/>
      <c r="G12" s="32"/>
      <c r="H12" s="32"/>
      <c r="I12" s="32"/>
      <c r="J12" s="32"/>
      <c r="K12" s="32"/>
      <c r="L12" s="32"/>
      <c r="M12" s="32"/>
      <c r="N12" s="32"/>
    </row>
    <row r="13" spans="1:14" x14ac:dyDescent="0.3">
      <c r="A13" s="32"/>
      <c r="B13" s="32"/>
      <c r="C13" s="32"/>
      <c r="D13" s="32"/>
      <c r="E13" s="32"/>
      <c r="F13" s="32"/>
      <c r="G13" s="32"/>
      <c r="H13" s="32"/>
      <c r="I13" s="32"/>
      <c r="J13" s="32"/>
      <c r="K13" s="32"/>
      <c r="L13" s="32"/>
      <c r="M13" s="32"/>
      <c r="N13" s="32"/>
    </row>
    <row r="14" spans="1:14" x14ac:dyDescent="0.3">
      <c r="A14" s="32"/>
      <c r="B14" s="32"/>
      <c r="C14" s="32"/>
      <c r="D14" s="32"/>
      <c r="E14" s="32"/>
      <c r="F14" s="32"/>
      <c r="G14" s="32"/>
      <c r="H14" s="32"/>
      <c r="I14" s="32"/>
      <c r="J14" s="32"/>
      <c r="K14" s="32"/>
      <c r="L14" s="32"/>
      <c r="M14" s="32"/>
      <c r="N14" s="32"/>
    </row>
    <row r="15" spans="1:14" x14ac:dyDescent="0.3">
      <c r="A15" s="32"/>
      <c r="B15" s="32"/>
      <c r="C15" s="32"/>
      <c r="D15" s="32"/>
      <c r="E15" s="32"/>
      <c r="F15" s="32"/>
      <c r="G15" s="32"/>
      <c r="H15" s="32"/>
      <c r="I15" s="32"/>
      <c r="J15" s="32"/>
      <c r="K15" s="32"/>
      <c r="L15" s="32"/>
      <c r="M15" s="32"/>
      <c r="N15" s="32"/>
    </row>
    <row r="17" customFormat="1" hidden="1" x14ac:dyDescent="0.3"/>
    <row r="18" customFormat="1" hidden="1" x14ac:dyDescent="0.3"/>
    <row r="19" customFormat="1" hidden="1" x14ac:dyDescent="0.3"/>
    <row r="20" customFormat="1" hidden="1" x14ac:dyDescent="0.3"/>
    <row r="21" customFormat="1" hidden="1" x14ac:dyDescent="0.3"/>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B24AC-05A1-46DC-84DF-FA0B5417EEEA}">
  <dimension ref="A1:J29"/>
  <sheetViews>
    <sheetView showGridLines="0" topLeftCell="A8" workbookViewId="0"/>
  </sheetViews>
  <sheetFormatPr defaultColWidth="0" defaultRowHeight="14.4" zeroHeight="1" x14ac:dyDescent="0.3"/>
  <cols>
    <col min="1" max="1" width="12.5546875" style="31" bestFit="1" customWidth="1"/>
    <col min="2" max="2" width="24" style="31" bestFit="1" customWidth="1"/>
    <col min="3" max="10" width="8.88671875" style="31" customWidth="1"/>
    <col min="11" max="16384" width="8.88671875" hidden="1"/>
  </cols>
  <sheetData>
    <row r="1" spans="1:4" ht="23.4" x14ac:dyDescent="0.45">
      <c r="A1" s="57" t="s">
        <v>253</v>
      </c>
      <c r="B1" s="39"/>
      <c r="C1" s="39"/>
      <c r="D1" s="39"/>
    </row>
    <row r="2" spans="1:4" ht="23.4" x14ac:dyDescent="0.45">
      <c r="A2" s="39"/>
      <c r="B2" s="39"/>
      <c r="C2" s="39"/>
      <c r="D2" s="39"/>
    </row>
    <row r="3" spans="1:4" x14ac:dyDescent="0.3">
      <c r="A3" s="2" t="s">
        <v>140</v>
      </c>
      <c r="B3" t="s">
        <v>223</v>
      </c>
    </row>
    <row r="4" spans="1:4" x14ac:dyDescent="0.3">
      <c r="A4" s="10">
        <v>65</v>
      </c>
      <c r="B4" s="11">
        <v>16</v>
      </c>
    </row>
    <row r="5" spans="1:4" x14ac:dyDescent="0.3">
      <c r="A5" s="10" t="s">
        <v>40</v>
      </c>
      <c r="B5" s="11">
        <v>38</v>
      </c>
    </row>
    <row r="6" spans="1:4" x14ac:dyDescent="0.3">
      <c r="A6" s="10" t="s">
        <v>43</v>
      </c>
      <c r="B6" s="11">
        <v>49</v>
      </c>
    </row>
    <row r="7" spans="1:4" x14ac:dyDescent="0.3">
      <c r="A7" s="10" t="s">
        <v>36</v>
      </c>
      <c r="B7" s="11">
        <v>49</v>
      </c>
    </row>
    <row r="8" spans="1:4" x14ac:dyDescent="0.3">
      <c r="A8" s="10" t="s">
        <v>53</v>
      </c>
      <c r="B8" s="11">
        <v>9</v>
      </c>
    </row>
    <row r="9" spans="1:4" x14ac:dyDescent="0.3">
      <c r="A9" s="3" t="s">
        <v>141</v>
      </c>
      <c r="B9">
        <v>161</v>
      </c>
    </row>
    <row r="10" spans="1:4" x14ac:dyDescent="0.3"/>
    <row r="11" spans="1:4" x14ac:dyDescent="0.3"/>
    <row r="12" spans="1:4" x14ac:dyDescent="0.3"/>
    <row r="13" spans="1:4" x14ac:dyDescent="0.3"/>
    <row r="14" spans="1:4" x14ac:dyDescent="0.3"/>
    <row r="15" spans="1:4" x14ac:dyDescent="0.3"/>
    <row r="16" spans="1:4"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3EA91-F306-4A1A-85A9-B9C1EDEE8C43}">
  <dimension ref="A1:L18"/>
  <sheetViews>
    <sheetView showGridLines="0" workbookViewId="0">
      <selection activeCell="A19" sqref="A19:XFD1048576"/>
    </sheetView>
  </sheetViews>
  <sheetFormatPr defaultColWidth="0" defaultRowHeight="14.4" zeroHeight="1" x14ac:dyDescent="0.3"/>
  <cols>
    <col min="1" max="1" width="12.5546875" style="47" bestFit="1" customWidth="1"/>
    <col min="2" max="2" width="27" style="47" bestFit="1" customWidth="1"/>
    <col min="3" max="12" width="8.88671875" style="47" customWidth="1"/>
    <col min="13" max="16384" width="8.88671875" style="47" hidden="1"/>
  </cols>
  <sheetData>
    <row r="1" spans="1:4" ht="23.4" x14ac:dyDescent="0.45">
      <c r="A1" s="48" t="s">
        <v>254</v>
      </c>
      <c r="B1" s="46"/>
      <c r="C1" s="46"/>
      <c r="D1" s="46"/>
    </row>
    <row r="2" spans="1:4" ht="23.4" x14ac:dyDescent="0.45">
      <c r="A2" s="46"/>
      <c r="B2" s="46"/>
      <c r="C2" s="46"/>
      <c r="D2" s="46"/>
    </row>
    <row r="3" spans="1:4" x14ac:dyDescent="0.3">
      <c r="A3" s="2" t="s">
        <v>140</v>
      </c>
      <c r="B3" t="s">
        <v>224</v>
      </c>
    </row>
    <row r="4" spans="1:4" x14ac:dyDescent="0.3">
      <c r="A4" s="12" t="s">
        <v>41</v>
      </c>
      <c r="B4" s="13">
        <v>129</v>
      </c>
    </row>
    <row r="5" spans="1:4" x14ac:dyDescent="0.3">
      <c r="A5" s="12" t="s">
        <v>37</v>
      </c>
      <c r="B5" s="13">
        <v>32</v>
      </c>
    </row>
    <row r="6" spans="1:4" x14ac:dyDescent="0.3">
      <c r="A6" s="3" t="s">
        <v>141</v>
      </c>
      <c r="B6">
        <v>161</v>
      </c>
    </row>
    <row r="7" spans="1:4" x14ac:dyDescent="0.3"/>
    <row r="8" spans="1:4" x14ac:dyDescent="0.3"/>
    <row r="9" spans="1:4" x14ac:dyDescent="0.3"/>
    <row r="10" spans="1:4" x14ac:dyDescent="0.3"/>
    <row r="11" spans="1:4" x14ac:dyDescent="0.3"/>
    <row r="12" spans="1:4" x14ac:dyDescent="0.3"/>
    <row r="13" spans="1:4" x14ac:dyDescent="0.3"/>
    <row r="14" spans="1:4" x14ac:dyDescent="0.3"/>
    <row r="15" spans="1:4" x14ac:dyDescent="0.3"/>
    <row r="16" spans="1:4" x14ac:dyDescent="0.3"/>
    <row r="17" x14ac:dyDescent="0.3"/>
    <row r="18" x14ac:dyDescent="0.3"/>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2"/>
  <sheetViews>
    <sheetView workbookViewId="0"/>
  </sheetViews>
  <sheetFormatPr defaultRowHeight="14.4" x14ac:dyDescent="0.3"/>
  <sheetData>
    <row r="1" spans="1:1" x14ac:dyDescent="0.3">
      <c r="A1" t="s">
        <v>138</v>
      </c>
    </row>
    <row r="2" spans="1:1" x14ac:dyDescent="0.3">
      <c r="A2"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Survey Data</vt:lpstr>
      <vt:lpstr>Q1</vt:lpstr>
      <vt:lpstr>Q2</vt:lpstr>
      <vt:lpstr>Q3</vt:lpstr>
      <vt:lpstr>Q4</vt:lpstr>
      <vt:lpstr>Q5</vt:lpstr>
      <vt:lpstr>Q6</vt:lpstr>
      <vt:lpstr>Q7</vt:lpstr>
      <vt:lpstr>Q8</vt:lpstr>
      <vt:lpstr>Q9</vt:lpstr>
      <vt:lpstr>Q10</vt:lpstr>
      <vt:lpstr>Q11 AGE</vt:lpstr>
      <vt:lpstr>Q12 Gender</vt:lpstr>
    </vt:vector>
  </TitlesOfParts>
  <Company>Brigham Young University Idaho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Jayson Kunzler</dc:creator>
  <cp:lastModifiedBy>Jones, Travis</cp:lastModifiedBy>
  <dcterms:created xsi:type="dcterms:W3CDTF">2015-11-05T01:37:05Z</dcterms:created>
  <dcterms:modified xsi:type="dcterms:W3CDTF">2026-03-10T19:08:37Z</dcterms:modified>
</cp:coreProperties>
</file>