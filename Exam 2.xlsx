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array.xml" ContentType="application/vnd.ms-excel.rdarray+xml"/>
  <Override PartName="/xl/richData/richStyles.xml" ContentType="application/vnd.ms-excel.richstyles+xml"/>
  <Override PartName="/xl/richData/rdsupportingpropertybagstructure.xml" ContentType="application/vnd.ms-excel.rdsupportingpropertybagstructure+xml"/>
  <Override PartName="/xl/richData/rdsupportingpropertybag.xml" ContentType="application/vnd.ms-excel.rdsupportingpropertybag+xml"/>
  <Override PartName="/xl/richData/rdRichValueTypes.xml" ContentType="application/vnd.ms-excel.rdrichvaluetypes+xml"/>
  <Override PartName="/xl/comments1.xml" ContentType="application/vnd.openxmlformats-officedocument.spreadsheetml.comment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6.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7.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8.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drawings/drawing9.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5"/>
  <workbookPr codeName="ThisWorkbook" defaultThemeVersion="166925"/>
  <mc:AlternateContent xmlns:mc="http://schemas.openxmlformats.org/markup-compatibility/2006">
    <mc:Choice Requires="x15">
      <x15ac:absPath xmlns:x15ac="http://schemas.microsoft.com/office/spreadsheetml/2010/11/ac" url="https://webmailbyui-my.sharepoint.com/personal/trj11_byui_edu/Documents/Spreadsheet Class BA215/EXAMS/"/>
    </mc:Choice>
  </mc:AlternateContent>
  <xr:revisionPtr revIDLastSave="140" documentId="8_{F502BC07-4C59-4C31-B0EC-3128BFF5B2A4}" xr6:coauthVersionLast="47" xr6:coauthVersionMax="47" xr10:uidLastSave="{DF6373B3-8E3D-457B-92D1-56521611DF48}"/>
  <bookViews>
    <workbookView xWindow="-108" yWindow="-108" windowWidth="23256" windowHeight="12456" firstSheet="1" activeTab="1" xr2:uid="{00000000-000D-0000-FFFF-FFFF00000000}"/>
  </bookViews>
  <sheets>
    <sheet name="Stock Picks" sheetId="1" r:id="rId1"/>
    <sheet name="Apple" sheetId="3" r:id="rId2"/>
    <sheet name="HPQ" sheetId="4" r:id="rId3"/>
    <sheet name="NIVIDIA" sheetId="5" r:id="rId4"/>
    <sheet name="TSLA" sheetId="6" r:id="rId5"/>
    <sheet name="MSTR" sheetId="7" r:id="rId6"/>
    <sheet name="AMZN" sheetId="9" r:id="rId7"/>
    <sheet name="NFLX" sheetId="11" r:id="rId8"/>
    <sheet name="Summary" sheetId="8" r:id="rId9"/>
    <sheet name="Results" sheetId="12" r:id="rId10"/>
    <sheet name="Dashboard" sheetId="13" r:id="rId11"/>
    <sheet name="VBA" sheetId="2" state="veryHidden" r:id="rId12"/>
  </sheets>
  <externalReferences>
    <externalReference r:id="rId13"/>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8" i="13" l="1" a="1"/>
  <c r="I8" i="13" s="1"/>
  <c r="D10" i="13" a="1"/>
  <c r="D10" i="13" s="1"/>
  <c r="D5" i="13" a="1"/>
  <c r="D5" i="13" s="1"/>
  <c r="D6" i="13" a="1"/>
  <c r="D6" i="13" s="1"/>
  <c r="D7" i="13" a="1"/>
  <c r="D7" i="13" s="1"/>
  <c r="D8" i="13" a="1"/>
  <c r="D8" i="13" s="1"/>
  <c r="D9" i="13" a="1"/>
  <c r="D9" i="13" s="1"/>
  <c r="E10" i="13" a="1"/>
  <c r="E10" i="13" s="1"/>
  <c r="E5" i="13" a="1"/>
  <c r="E5" i="13" s="1"/>
  <c r="E6" i="13" a="1"/>
  <c r="E6" i="13" s="1"/>
  <c r="E7" i="13" a="1"/>
  <c r="E7" i="13" s="1"/>
  <c r="E8" i="13" a="1"/>
  <c r="E8" i="13" s="1"/>
  <c r="E9" i="13" a="1"/>
  <c r="E9" i="13" s="1"/>
  <c r="F5" i="13" a="1"/>
  <c r="F5" i="13" s="1"/>
  <c r="F6" i="13" a="1"/>
  <c r="F6" i="13" s="1"/>
  <c r="F7" i="13" a="1"/>
  <c r="F7" i="13" s="1"/>
  <c r="F8" i="13" a="1"/>
  <c r="F8" i="13" s="1"/>
  <c r="F9" i="13" a="1"/>
  <c r="F9" i="13" s="1"/>
  <c r="F10" i="13" a="1"/>
  <c r="F10" i="13" s="1"/>
  <c r="G6" i="13" a="1"/>
  <c r="G6" i="13" s="1"/>
  <c r="G5" i="13" a="1"/>
  <c r="G5" i="13" s="1"/>
  <c r="G7" i="13" a="1"/>
  <c r="G7" i="13" s="1"/>
  <c r="G8" i="13" a="1"/>
  <c r="G8" i="13" s="1"/>
  <c r="G9" i="13" a="1"/>
  <c r="G9" i="13" s="1"/>
  <c r="G10" i="13" a="1"/>
  <c r="G10" i="13" s="1"/>
  <c r="H5" i="13" a="1"/>
  <c r="H5" i="13" s="1"/>
  <c r="H6" i="13" a="1"/>
  <c r="H6" i="13" s="1"/>
  <c r="H7" i="13" a="1"/>
  <c r="H7" i="13" s="1"/>
  <c r="H8" i="13" a="1"/>
  <c r="H8" i="13" s="1"/>
  <c r="H9" i="13" a="1"/>
  <c r="H9" i="13" s="1"/>
  <c r="H10" i="13" a="1"/>
  <c r="H10" i="13" s="1"/>
  <c r="I5" i="13" a="1"/>
  <c r="I5" i="13" s="1"/>
  <c r="I6" i="13" a="1"/>
  <c r="I6" i="13" s="1"/>
  <c r="I7" i="13" a="1"/>
  <c r="I7" i="13" s="1"/>
  <c r="I9" i="13" a="1"/>
  <c r="I9" i="13" s="1"/>
  <c r="I10" i="13" a="1"/>
  <c r="I10" i="13" s="1"/>
  <c r="I4" i="13" a="1"/>
  <c r="I4" i="13" s="1"/>
  <c r="H4" i="13" a="1"/>
  <c r="H4" i="13" s="1"/>
  <c r="G4" i="13" a="1"/>
  <c r="G4" i="13" s="1"/>
  <c r="F4" i="13" a="1"/>
  <c r="F4" i="13" s="1"/>
  <c r="E4" i="13" a="1"/>
  <c r="E4" i="13" s="1"/>
  <c r="D4" i="13" a="1"/>
  <c r="D4" i="13" s="1"/>
  <c r="C5" i="4" a="1"/>
  <c r="J5" i="13" l="1"/>
  <c r="C5" i="4"/>
  <c r="K5" i="12"/>
  <c r="D6" i="7" a="1"/>
  <c r="C6" i="3" a="1"/>
  <c r="D7" i="11" a="1"/>
  <c r="J8" i="13" l="1"/>
  <c r="J10" i="13"/>
  <c r="J4" i="13"/>
  <c r="M7" i="3"/>
  <c r="O15" i="12"/>
  <c r="O14" i="12"/>
  <c r="O13" i="12"/>
  <c r="O11" i="12"/>
  <c r="G15" i="12"/>
  <c r="G13" i="12"/>
  <c r="G14" i="12"/>
  <c r="G11" i="12"/>
  <c r="S4" i="12"/>
  <c r="O6" i="12"/>
  <c r="G4" i="12"/>
  <c r="M8" i="3"/>
  <c r="G6" i="12" s="1"/>
  <c r="M11" i="3"/>
  <c r="G8" i="12" s="1"/>
  <c r="N10" i="7"/>
  <c r="N11" i="7"/>
  <c r="N11" i="11"/>
  <c r="N12" i="11"/>
  <c r="M10" i="3"/>
  <c r="G7" i="12" s="1"/>
  <c r="N8" i="7"/>
  <c r="N9" i="11"/>
  <c r="N7" i="11"/>
  <c r="D7" i="11"/>
  <c r="D6" i="7"/>
  <c r="C6" i="3"/>
  <c r="K6" i="12" l="1"/>
  <c r="K4" i="12"/>
  <c r="K8" i="12"/>
  <c r="K7" i="12"/>
  <c r="M10" i="4"/>
  <c r="M9" i="4"/>
  <c r="M7" i="4"/>
  <c r="M6" i="4"/>
  <c r="D6" i="5" a="1"/>
  <c r="J6" i="13" l="1"/>
  <c r="O8" i="12"/>
  <c r="O7" i="12"/>
  <c r="O4" i="12"/>
  <c r="N10" i="5"/>
  <c r="N11" i="5"/>
  <c r="N8" i="5"/>
  <c r="D6" i="5"/>
  <c r="D6" i="6" a="1"/>
  <c r="J7" i="13" l="1"/>
  <c r="S8" i="12"/>
  <c r="S7" i="12"/>
  <c r="S6" i="12"/>
  <c r="N11" i="6"/>
  <c r="N10" i="6"/>
  <c r="N8" i="6"/>
  <c r="D6" i="6"/>
  <c r="N6" i="5" l="1"/>
  <c r="N6" i="6" l="1"/>
  <c r="M6" i="3"/>
  <c r="C15" i="1" a="1"/>
  <c r="C15" i="1" s="1"/>
  <c r="D6" i="9" a="1"/>
  <c r="J9" i="13" l="1"/>
  <c r="K15" i="12"/>
  <c r="K11" i="12"/>
  <c r="K14" i="12"/>
  <c r="K13" i="12"/>
  <c r="O10" i="9"/>
  <c r="O11" i="9"/>
  <c r="O8" i="9"/>
  <c r="O6" i="9"/>
  <c r="M5" i="4"/>
  <c r="N6" i="7"/>
  <c r="D6" i="9"/>
</calcChain>
</file>

<file path=xl/comments1.xml><?xml version="1.0" encoding="utf-8"?>
<comments xmlns="http://schemas.openxmlformats.org/spreadsheetml/2006/main" xmlns:mc="http://schemas.openxmlformats.org/markup-compatibility/2006" xmlns:xr="http://schemas.microsoft.com/office/spreadsheetml/2014/revision" mc:Ignorable="xr">
  <authors>
    <author>Jayson Kunzler</author>
  </authors>
  <commentList>
    <comment ref="A1" authorId="0" shapeId="0" xr:uid="{00000000-0006-0000-0000-000001000000}">
      <text>
        <r>
          <rPr>
            <b/>
            <i/>
            <sz val="16.5"/>
            <color indexed="16"/>
            <rFont val="Monotype Corsiva"/>
            <family val="4"/>
          </rPr>
          <t xml:space="preserve">"Till I die I will not remove mine integrity from me." </t>
        </r>
        <r>
          <rPr>
            <i/>
            <sz val="16"/>
            <color indexed="16"/>
            <rFont val="Monotype Corsiva"/>
            <family val="4"/>
          </rPr>
          <t xml:space="preserve"> </t>
        </r>
        <r>
          <rPr>
            <sz val="8"/>
            <color indexed="16"/>
            <rFont val="Tahoma"/>
            <family val="2"/>
          </rPr>
          <t>(Job 27:5)</t>
        </r>
        <r>
          <rPr>
            <sz val="12"/>
            <color indexed="16"/>
            <rFont val="Tahoma"/>
            <family val="2"/>
          </rPr>
          <t xml:space="preserve">
</t>
        </r>
        <r>
          <rPr>
            <sz val="8"/>
            <color indexed="16"/>
            <rFont val="Tahoma"/>
            <family val="2"/>
          </rPr>
          <t xml:space="preserve">
</t>
        </r>
        <r>
          <rPr>
            <b/>
            <sz val="11"/>
            <color indexed="16"/>
            <rFont val="Tahoma"/>
            <family val="2"/>
          </rPr>
          <t>This is an EXAM.</t>
        </r>
        <r>
          <rPr>
            <sz val="8"/>
            <color indexed="16"/>
            <rFont val="Tahoma"/>
            <family val="2"/>
          </rPr>
          <t xml:space="preserve">  It is a </t>
        </r>
        <r>
          <rPr>
            <b/>
            <i/>
            <sz val="11"/>
            <color indexed="16"/>
            <rFont val="Tahoma"/>
            <family val="2"/>
          </rPr>
          <t>dishonest violation</t>
        </r>
        <r>
          <rPr>
            <sz val="8"/>
            <color indexed="16"/>
            <rFont val="Tahoma"/>
            <family val="2"/>
          </rPr>
          <t xml:space="preserve"> of the BYU-Idaho Student Honor Code if you:
1) Remove, edit, hide, delete, or otherwise tamper with this WARNING banner and message.
2) View or receive this file (or </t>
        </r>
        <r>
          <rPr>
            <u/>
            <sz val="8"/>
            <color indexed="16"/>
            <rFont val="Tahoma"/>
            <family val="2"/>
          </rPr>
          <t>any portion</t>
        </r>
        <r>
          <rPr>
            <sz val="8"/>
            <color indexed="16"/>
            <rFont val="Tahoma"/>
            <family val="2"/>
          </rPr>
          <t xml:space="preserve"> of it) by email, downloading from the Internet, texting, electronic file sharing, or ANY OTHER means of electronic or printed distribution (except in the course as authorized).
3) Send, email, copy and paste, post to the Internet, file share, video record, take screenshots, or otherwise distribute this file (or any portion of it), whether electronically or in print, to any other person or entity.
4) Either ask </t>
        </r>
        <r>
          <rPr>
            <i/>
            <u/>
            <sz val="8"/>
            <color indexed="16"/>
            <rFont val="Tahoma"/>
            <family val="2"/>
          </rPr>
          <t>OR</t>
        </r>
        <r>
          <rPr>
            <sz val="8"/>
            <color indexed="16"/>
            <rFont val="Tahoma"/>
            <family val="2"/>
          </rPr>
          <t xml:space="preserve"> answer any questions about this </t>
        </r>
        <r>
          <rPr>
            <u/>
            <sz val="8"/>
            <color indexed="16"/>
            <rFont val="Tahoma"/>
            <family val="2"/>
          </rPr>
          <t>any</t>
        </r>
        <r>
          <rPr>
            <sz val="8"/>
            <color indexed="16"/>
            <rFont val="Tahoma"/>
            <family val="2"/>
          </rPr>
          <t xml:space="preserve"> questions that relate to </t>
        </r>
        <r>
          <rPr>
            <u/>
            <sz val="8"/>
            <color indexed="16"/>
            <rFont val="Tahoma"/>
            <family val="2"/>
          </rPr>
          <t>any</t>
        </r>
        <r>
          <rPr>
            <sz val="8"/>
            <color indexed="16"/>
            <rFont val="Tahoma"/>
            <family val="2"/>
          </rPr>
          <t xml:space="preserve"> aspect of this exam, including electronic questions sent through email, texting, posting on blogs or discussion forums, etc.
5) Look at any aspect or portion of this exam from any other current or past student.
6) Show any aspect or portion of this exam to any current or future student.
</t>
        </r>
        <r>
          <rPr>
            <b/>
            <i/>
            <sz val="8"/>
            <color indexed="16"/>
            <rFont val="Tahoma"/>
            <family val="2"/>
          </rPr>
          <t>REPORTING VIOLATIONS:</t>
        </r>
        <r>
          <rPr>
            <sz val="8"/>
            <color indexed="16"/>
            <rFont val="Tahoma"/>
            <family val="2"/>
          </rPr>
          <t xml:space="preserve"> If you have received this file from anyone other than your instructor (or if you have witnessed any violations described above), you are obligated to report it immediately to the BYU-Idaho Student Honor Office.
Phone:  208-496-9300  (tell them the file is from the Business Management Dept.)
Email:  sho@byui.edu</t>
        </r>
      </text>
    </comment>
    <comment ref="A2" authorId="0" shapeId="0" xr:uid="{00000000-0006-0000-0000-000002000000}">
      <text>
        <r>
          <rPr>
            <b/>
            <i/>
            <sz val="16.5"/>
            <color indexed="16"/>
            <rFont val="Monotype Corsiva"/>
            <family val="4"/>
          </rPr>
          <t xml:space="preserve">"Till I die I will not remove mine integrity from me." </t>
        </r>
        <r>
          <rPr>
            <i/>
            <sz val="16"/>
            <color indexed="16"/>
            <rFont val="Monotype Corsiva"/>
            <family val="4"/>
          </rPr>
          <t xml:space="preserve"> </t>
        </r>
        <r>
          <rPr>
            <sz val="8"/>
            <color indexed="16"/>
            <rFont val="Tahoma"/>
            <family val="2"/>
          </rPr>
          <t>(Job 27:5)</t>
        </r>
        <r>
          <rPr>
            <sz val="12"/>
            <color indexed="16"/>
            <rFont val="Tahoma"/>
            <family val="2"/>
          </rPr>
          <t xml:space="preserve">
</t>
        </r>
        <r>
          <rPr>
            <sz val="8"/>
            <color indexed="16"/>
            <rFont val="Tahoma"/>
            <family val="2"/>
          </rPr>
          <t xml:space="preserve">
</t>
        </r>
        <r>
          <rPr>
            <b/>
            <sz val="11"/>
            <color indexed="16"/>
            <rFont val="Tahoma"/>
            <family val="2"/>
          </rPr>
          <t>This is an EXAM.</t>
        </r>
        <r>
          <rPr>
            <sz val="8"/>
            <color indexed="16"/>
            <rFont val="Tahoma"/>
            <family val="2"/>
          </rPr>
          <t xml:space="preserve">  It is a </t>
        </r>
        <r>
          <rPr>
            <b/>
            <i/>
            <sz val="11"/>
            <color indexed="16"/>
            <rFont val="Tahoma"/>
            <family val="2"/>
          </rPr>
          <t>dishonest violation</t>
        </r>
        <r>
          <rPr>
            <sz val="8"/>
            <color indexed="16"/>
            <rFont val="Tahoma"/>
            <family val="2"/>
          </rPr>
          <t xml:space="preserve"> of the BYU-Idaho Student Honor Code if you:
1) Remove, edit, hide, delete, or otherwise tamper with this WARNING banner and message.
2) View or receive this file (or </t>
        </r>
        <r>
          <rPr>
            <u/>
            <sz val="8"/>
            <color indexed="16"/>
            <rFont val="Tahoma"/>
            <family val="2"/>
          </rPr>
          <t>any portion</t>
        </r>
        <r>
          <rPr>
            <sz val="8"/>
            <color indexed="16"/>
            <rFont val="Tahoma"/>
            <family val="2"/>
          </rPr>
          <t xml:space="preserve"> of it) by email, downloading from the Internet, texting, electronic file sharing, or ANY OTHER means of electronic or printed distribution (except in the course as authorized).
3) Send, email, copy and paste, post to the Internet, file share, video record, take screenshots, or otherwise distribute this file (or any portion of it), whether electronically or in print, to any other person or entity.
4) Either ask </t>
        </r>
        <r>
          <rPr>
            <i/>
            <u/>
            <sz val="8"/>
            <color indexed="16"/>
            <rFont val="Tahoma"/>
            <family val="2"/>
          </rPr>
          <t>OR</t>
        </r>
        <r>
          <rPr>
            <sz val="8"/>
            <color indexed="16"/>
            <rFont val="Tahoma"/>
            <family val="2"/>
          </rPr>
          <t xml:space="preserve"> answer any questions about this </t>
        </r>
        <r>
          <rPr>
            <u/>
            <sz val="8"/>
            <color indexed="16"/>
            <rFont val="Tahoma"/>
            <family val="2"/>
          </rPr>
          <t>any</t>
        </r>
        <r>
          <rPr>
            <sz val="8"/>
            <color indexed="16"/>
            <rFont val="Tahoma"/>
            <family val="2"/>
          </rPr>
          <t xml:space="preserve"> questions that relate to </t>
        </r>
        <r>
          <rPr>
            <u/>
            <sz val="8"/>
            <color indexed="16"/>
            <rFont val="Tahoma"/>
            <family val="2"/>
          </rPr>
          <t>any</t>
        </r>
        <r>
          <rPr>
            <sz val="8"/>
            <color indexed="16"/>
            <rFont val="Tahoma"/>
            <family val="2"/>
          </rPr>
          <t xml:space="preserve"> aspect of this exam, including electronic questions sent through email, texting, posting on blogs or discussion forums, etc.
5) Look at any aspect or portion of this exam from any other current or past student.
6) Show any aspect or portion of this exam to any current or future student.
</t>
        </r>
        <r>
          <rPr>
            <b/>
            <i/>
            <sz val="8"/>
            <color indexed="16"/>
            <rFont val="Tahoma"/>
            <family val="2"/>
          </rPr>
          <t>REPORTING VIOLATIONS:</t>
        </r>
        <r>
          <rPr>
            <sz val="8"/>
            <color indexed="16"/>
            <rFont val="Tahoma"/>
            <family val="2"/>
          </rPr>
          <t xml:space="preserve"> If you have received this file from anyone other than your instructor (or if you have witnessed any violations described above), you are obligated to report it immediately to the BYU-Idaho Student Honor Office.
Phone:  208-496-9300  (tell them the file is from the Business Management Dept.)
Email:  sho@byui.edu</t>
        </r>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7287">
    <bk>
      <extLst>
        <ext uri="{3e2802c4-a4d2-4d8b-9148-e3be6c30e623}">
          <xlrd:rvb i="2"/>
        </ext>
      </extLst>
    </bk>
    <bk>
      <extLst>
        <ext uri="{3e2802c4-a4d2-4d8b-9148-e3be6c30e623}">
          <xlrd:rvb i="9"/>
        </ext>
      </extLst>
    </bk>
    <bk>
      <extLst>
        <ext uri="{3e2802c4-a4d2-4d8b-9148-e3be6c30e623}">
          <xlrd:rvb i="12"/>
        </ext>
      </extLst>
    </bk>
    <bk>
      <extLst>
        <ext uri="{3e2802c4-a4d2-4d8b-9148-e3be6c30e623}">
          <xlrd:rvb i="15"/>
        </ext>
      </extLst>
    </bk>
    <bk>
      <extLst>
        <ext uri="{3e2802c4-a4d2-4d8b-9148-e3be6c30e623}">
          <xlrd:rvb i="18"/>
        </ext>
      </extLst>
    </bk>
    <bk>
      <extLst>
        <ext uri="{3e2802c4-a4d2-4d8b-9148-e3be6c30e623}">
          <xlrd:rvb i="21"/>
        </ext>
      </extLst>
    </bk>
    <bk>
      <extLst>
        <ext uri="{3e2802c4-a4d2-4d8b-9148-e3be6c30e623}">
          <xlrd:rvb i="24"/>
        </ext>
      </extLst>
    </bk>
    <bk>
      <extLst>
        <ext uri="{3e2802c4-a4d2-4d8b-9148-e3be6c30e623}">
          <xlrd:rvb i="25"/>
        </ext>
      </extLst>
    </bk>
    <bk>
      <extLst>
        <ext uri="{3e2802c4-a4d2-4d8b-9148-e3be6c30e623}">
          <xlrd:rvb i="26"/>
        </ext>
      </extLst>
    </bk>
    <bk>
      <extLst>
        <ext uri="{3e2802c4-a4d2-4d8b-9148-e3be6c30e623}">
          <xlrd:rvb i="27"/>
        </ext>
      </extLst>
    </bk>
    <bk>
      <extLst>
        <ext uri="{3e2802c4-a4d2-4d8b-9148-e3be6c30e623}">
          <xlrd:rvb i="28"/>
        </ext>
      </extLst>
    </bk>
    <bk>
      <extLst>
        <ext uri="{3e2802c4-a4d2-4d8b-9148-e3be6c30e623}">
          <xlrd:rvb i="29"/>
        </ext>
      </extLst>
    </bk>
    <bk>
      <extLst>
        <ext uri="{3e2802c4-a4d2-4d8b-9148-e3be6c30e623}">
          <xlrd:rvb i="30"/>
        </ext>
      </extLst>
    </bk>
    <bk>
      <extLst>
        <ext uri="{3e2802c4-a4d2-4d8b-9148-e3be6c30e623}">
          <xlrd:rvb i="31"/>
        </ext>
      </extLst>
    </bk>
    <bk>
      <extLst>
        <ext uri="{3e2802c4-a4d2-4d8b-9148-e3be6c30e623}">
          <xlrd:rvb i="32"/>
        </ext>
      </extLst>
    </bk>
    <bk>
      <extLst>
        <ext uri="{3e2802c4-a4d2-4d8b-9148-e3be6c30e623}">
          <xlrd:rvb i="33"/>
        </ext>
      </extLst>
    </bk>
    <bk>
      <extLst>
        <ext uri="{3e2802c4-a4d2-4d8b-9148-e3be6c30e623}">
          <xlrd:rvb i="34"/>
        </ext>
      </extLst>
    </bk>
    <bk>
      <extLst>
        <ext uri="{3e2802c4-a4d2-4d8b-9148-e3be6c30e623}">
          <xlrd:rvb i="35"/>
        </ext>
      </extLst>
    </bk>
    <bk>
      <extLst>
        <ext uri="{3e2802c4-a4d2-4d8b-9148-e3be6c30e623}">
          <xlrd:rvb i="36"/>
        </ext>
      </extLst>
    </bk>
    <bk>
      <extLst>
        <ext uri="{3e2802c4-a4d2-4d8b-9148-e3be6c30e623}">
          <xlrd:rvb i="37"/>
        </ext>
      </extLst>
    </bk>
    <bk>
      <extLst>
        <ext uri="{3e2802c4-a4d2-4d8b-9148-e3be6c30e623}">
          <xlrd:rvb i="38"/>
        </ext>
      </extLst>
    </bk>
    <bk>
      <extLst>
        <ext uri="{3e2802c4-a4d2-4d8b-9148-e3be6c30e623}">
          <xlrd:rvb i="39"/>
        </ext>
      </extLst>
    </bk>
    <bk>
      <extLst>
        <ext uri="{3e2802c4-a4d2-4d8b-9148-e3be6c30e623}">
          <xlrd:rvb i="40"/>
        </ext>
      </extLst>
    </bk>
    <bk>
      <extLst>
        <ext uri="{3e2802c4-a4d2-4d8b-9148-e3be6c30e623}">
          <xlrd:rvb i="41"/>
        </ext>
      </extLst>
    </bk>
    <bk>
      <extLst>
        <ext uri="{3e2802c4-a4d2-4d8b-9148-e3be6c30e623}">
          <xlrd:rvb i="42"/>
        </ext>
      </extLst>
    </bk>
    <bk>
      <extLst>
        <ext uri="{3e2802c4-a4d2-4d8b-9148-e3be6c30e623}">
          <xlrd:rvb i="43"/>
        </ext>
      </extLst>
    </bk>
    <bk>
      <extLst>
        <ext uri="{3e2802c4-a4d2-4d8b-9148-e3be6c30e623}">
          <xlrd:rvb i="44"/>
        </ext>
      </extLst>
    </bk>
    <bk>
      <extLst>
        <ext uri="{3e2802c4-a4d2-4d8b-9148-e3be6c30e623}">
          <xlrd:rvb i="45"/>
        </ext>
      </extLst>
    </bk>
    <bk>
      <extLst>
        <ext uri="{3e2802c4-a4d2-4d8b-9148-e3be6c30e623}">
          <xlrd:rvb i="46"/>
        </ext>
      </extLst>
    </bk>
    <bk>
      <extLst>
        <ext uri="{3e2802c4-a4d2-4d8b-9148-e3be6c30e623}">
          <xlrd:rvb i="47"/>
        </ext>
      </extLst>
    </bk>
    <bk>
      <extLst>
        <ext uri="{3e2802c4-a4d2-4d8b-9148-e3be6c30e623}">
          <xlrd:rvb i="48"/>
        </ext>
      </extLst>
    </bk>
    <bk>
      <extLst>
        <ext uri="{3e2802c4-a4d2-4d8b-9148-e3be6c30e623}">
          <xlrd:rvb i="49"/>
        </ext>
      </extLst>
    </bk>
    <bk>
      <extLst>
        <ext uri="{3e2802c4-a4d2-4d8b-9148-e3be6c30e623}">
          <xlrd:rvb i="50"/>
        </ext>
      </extLst>
    </bk>
    <bk>
      <extLst>
        <ext uri="{3e2802c4-a4d2-4d8b-9148-e3be6c30e623}">
          <xlrd:rvb i="51"/>
        </ext>
      </extLst>
    </bk>
    <bk>
      <extLst>
        <ext uri="{3e2802c4-a4d2-4d8b-9148-e3be6c30e623}">
          <xlrd:rvb i="52"/>
        </ext>
      </extLst>
    </bk>
    <bk>
      <extLst>
        <ext uri="{3e2802c4-a4d2-4d8b-9148-e3be6c30e623}">
          <xlrd:rvb i="53"/>
        </ext>
      </extLst>
    </bk>
    <bk>
      <extLst>
        <ext uri="{3e2802c4-a4d2-4d8b-9148-e3be6c30e623}">
          <xlrd:rvb i="54"/>
        </ext>
      </extLst>
    </bk>
    <bk>
      <extLst>
        <ext uri="{3e2802c4-a4d2-4d8b-9148-e3be6c30e623}">
          <xlrd:rvb i="55"/>
        </ext>
      </extLst>
    </bk>
    <bk>
      <extLst>
        <ext uri="{3e2802c4-a4d2-4d8b-9148-e3be6c30e623}">
          <xlrd:rvb i="56"/>
        </ext>
      </extLst>
    </bk>
    <bk>
      <extLst>
        <ext uri="{3e2802c4-a4d2-4d8b-9148-e3be6c30e623}">
          <xlrd:rvb i="57"/>
        </ext>
      </extLst>
    </bk>
    <bk>
      <extLst>
        <ext uri="{3e2802c4-a4d2-4d8b-9148-e3be6c30e623}">
          <xlrd:rvb i="58"/>
        </ext>
      </extLst>
    </bk>
    <bk>
      <extLst>
        <ext uri="{3e2802c4-a4d2-4d8b-9148-e3be6c30e623}">
          <xlrd:rvb i="59"/>
        </ext>
      </extLst>
    </bk>
    <bk>
      <extLst>
        <ext uri="{3e2802c4-a4d2-4d8b-9148-e3be6c30e623}">
          <xlrd:rvb i="60"/>
        </ext>
      </extLst>
    </bk>
    <bk>
      <extLst>
        <ext uri="{3e2802c4-a4d2-4d8b-9148-e3be6c30e623}">
          <xlrd:rvb i="61"/>
        </ext>
      </extLst>
    </bk>
    <bk>
      <extLst>
        <ext uri="{3e2802c4-a4d2-4d8b-9148-e3be6c30e623}">
          <xlrd:rvb i="62"/>
        </ext>
      </extLst>
    </bk>
    <bk>
      <extLst>
        <ext uri="{3e2802c4-a4d2-4d8b-9148-e3be6c30e623}">
          <xlrd:rvb i="63"/>
        </ext>
      </extLst>
    </bk>
    <bk>
      <extLst>
        <ext uri="{3e2802c4-a4d2-4d8b-9148-e3be6c30e623}">
          <xlrd:rvb i="64"/>
        </ext>
      </extLst>
    </bk>
    <bk>
      <extLst>
        <ext uri="{3e2802c4-a4d2-4d8b-9148-e3be6c30e623}">
          <xlrd:rvb i="65"/>
        </ext>
      </extLst>
    </bk>
    <bk>
      <extLst>
        <ext uri="{3e2802c4-a4d2-4d8b-9148-e3be6c30e623}">
          <xlrd:rvb i="66"/>
        </ext>
      </extLst>
    </bk>
    <bk>
      <extLst>
        <ext uri="{3e2802c4-a4d2-4d8b-9148-e3be6c30e623}">
          <xlrd:rvb i="67"/>
        </ext>
      </extLst>
    </bk>
    <bk>
      <extLst>
        <ext uri="{3e2802c4-a4d2-4d8b-9148-e3be6c30e623}">
          <xlrd:rvb i="68"/>
        </ext>
      </extLst>
    </bk>
    <bk>
      <extLst>
        <ext uri="{3e2802c4-a4d2-4d8b-9148-e3be6c30e623}">
          <xlrd:rvb i="69"/>
        </ext>
      </extLst>
    </bk>
    <bk>
      <extLst>
        <ext uri="{3e2802c4-a4d2-4d8b-9148-e3be6c30e623}">
          <xlrd:rvb i="70"/>
        </ext>
      </extLst>
    </bk>
    <bk>
      <extLst>
        <ext uri="{3e2802c4-a4d2-4d8b-9148-e3be6c30e623}">
          <xlrd:rvb i="71"/>
        </ext>
      </extLst>
    </bk>
    <bk>
      <extLst>
        <ext uri="{3e2802c4-a4d2-4d8b-9148-e3be6c30e623}">
          <xlrd:rvb i="72"/>
        </ext>
      </extLst>
    </bk>
    <bk>
      <extLst>
        <ext uri="{3e2802c4-a4d2-4d8b-9148-e3be6c30e623}">
          <xlrd:rvb i="73"/>
        </ext>
      </extLst>
    </bk>
    <bk>
      <extLst>
        <ext uri="{3e2802c4-a4d2-4d8b-9148-e3be6c30e623}">
          <xlrd:rvb i="74"/>
        </ext>
      </extLst>
    </bk>
    <bk>
      <extLst>
        <ext uri="{3e2802c4-a4d2-4d8b-9148-e3be6c30e623}">
          <xlrd:rvb i="75"/>
        </ext>
      </extLst>
    </bk>
    <bk>
      <extLst>
        <ext uri="{3e2802c4-a4d2-4d8b-9148-e3be6c30e623}">
          <xlrd:rvb i="76"/>
        </ext>
      </extLst>
    </bk>
    <bk>
      <extLst>
        <ext uri="{3e2802c4-a4d2-4d8b-9148-e3be6c30e623}">
          <xlrd:rvb i="77"/>
        </ext>
      </extLst>
    </bk>
    <bk>
      <extLst>
        <ext uri="{3e2802c4-a4d2-4d8b-9148-e3be6c30e623}">
          <xlrd:rvb i="78"/>
        </ext>
      </extLst>
    </bk>
    <bk>
      <extLst>
        <ext uri="{3e2802c4-a4d2-4d8b-9148-e3be6c30e623}">
          <xlrd:rvb i="79"/>
        </ext>
      </extLst>
    </bk>
    <bk>
      <extLst>
        <ext uri="{3e2802c4-a4d2-4d8b-9148-e3be6c30e623}">
          <xlrd:rvb i="80"/>
        </ext>
      </extLst>
    </bk>
    <bk>
      <extLst>
        <ext uri="{3e2802c4-a4d2-4d8b-9148-e3be6c30e623}">
          <xlrd:rvb i="81"/>
        </ext>
      </extLst>
    </bk>
    <bk>
      <extLst>
        <ext uri="{3e2802c4-a4d2-4d8b-9148-e3be6c30e623}">
          <xlrd:rvb i="82"/>
        </ext>
      </extLst>
    </bk>
    <bk>
      <extLst>
        <ext uri="{3e2802c4-a4d2-4d8b-9148-e3be6c30e623}">
          <xlrd:rvb i="83"/>
        </ext>
      </extLst>
    </bk>
    <bk>
      <extLst>
        <ext uri="{3e2802c4-a4d2-4d8b-9148-e3be6c30e623}">
          <xlrd:rvb i="84"/>
        </ext>
      </extLst>
    </bk>
    <bk>
      <extLst>
        <ext uri="{3e2802c4-a4d2-4d8b-9148-e3be6c30e623}">
          <xlrd:rvb i="85"/>
        </ext>
      </extLst>
    </bk>
    <bk>
      <extLst>
        <ext uri="{3e2802c4-a4d2-4d8b-9148-e3be6c30e623}">
          <xlrd:rvb i="86"/>
        </ext>
      </extLst>
    </bk>
    <bk>
      <extLst>
        <ext uri="{3e2802c4-a4d2-4d8b-9148-e3be6c30e623}">
          <xlrd:rvb i="87"/>
        </ext>
      </extLst>
    </bk>
    <bk>
      <extLst>
        <ext uri="{3e2802c4-a4d2-4d8b-9148-e3be6c30e623}">
          <xlrd:rvb i="88"/>
        </ext>
      </extLst>
    </bk>
    <bk>
      <extLst>
        <ext uri="{3e2802c4-a4d2-4d8b-9148-e3be6c30e623}">
          <xlrd:rvb i="89"/>
        </ext>
      </extLst>
    </bk>
    <bk>
      <extLst>
        <ext uri="{3e2802c4-a4d2-4d8b-9148-e3be6c30e623}">
          <xlrd:rvb i="90"/>
        </ext>
      </extLst>
    </bk>
    <bk>
      <extLst>
        <ext uri="{3e2802c4-a4d2-4d8b-9148-e3be6c30e623}">
          <xlrd:rvb i="91"/>
        </ext>
      </extLst>
    </bk>
    <bk>
      <extLst>
        <ext uri="{3e2802c4-a4d2-4d8b-9148-e3be6c30e623}">
          <xlrd:rvb i="92"/>
        </ext>
      </extLst>
    </bk>
    <bk>
      <extLst>
        <ext uri="{3e2802c4-a4d2-4d8b-9148-e3be6c30e623}">
          <xlrd:rvb i="93"/>
        </ext>
      </extLst>
    </bk>
    <bk>
      <extLst>
        <ext uri="{3e2802c4-a4d2-4d8b-9148-e3be6c30e623}">
          <xlrd:rvb i="94"/>
        </ext>
      </extLst>
    </bk>
    <bk>
      <extLst>
        <ext uri="{3e2802c4-a4d2-4d8b-9148-e3be6c30e623}">
          <xlrd:rvb i="95"/>
        </ext>
      </extLst>
    </bk>
    <bk>
      <extLst>
        <ext uri="{3e2802c4-a4d2-4d8b-9148-e3be6c30e623}">
          <xlrd:rvb i="96"/>
        </ext>
      </extLst>
    </bk>
    <bk>
      <extLst>
        <ext uri="{3e2802c4-a4d2-4d8b-9148-e3be6c30e623}">
          <xlrd:rvb i="97"/>
        </ext>
      </extLst>
    </bk>
    <bk>
      <extLst>
        <ext uri="{3e2802c4-a4d2-4d8b-9148-e3be6c30e623}">
          <xlrd:rvb i="98"/>
        </ext>
      </extLst>
    </bk>
    <bk>
      <extLst>
        <ext uri="{3e2802c4-a4d2-4d8b-9148-e3be6c30e623}">
          <xlrd:rvb i="99"/>
        </ext>
      </extLst>
    </bk>
    <bk>
      <extLst>
        <ext uri="{3e2802c4-a4d2-4d8b-9148-e3be6c30e623}">
          <xlrd:rvb i="100"/>
        </ext>
      </extLst>
    </bk>
    <bk>
      <extLst>
        <ext uri="{3e2802c4-a4d2-4d8b-9148-e3be6c30e623}">
          <xlrd:rvb i="101"/>
        </ext>
      </extLst>
    </bk>
    <bk>
      <extLst>
        <ext uri="{3e2802c4-a4d2-4d8b-9148-e3be6c30e623}">
          <xlrd:rvb i="102"/>
        </ext>
      </extLst>
    </bk>
    <bk>
      <extLst>
        <ext uri="{3e2802c4-a4d2-4d8b-9148-e3be6c30e623}">
          <xlrd:rvb i="103"/>
        </ext>
      </extLst>
    </bk>
    <bk>
      <extLst>
        <ext uri="{3e2802c4-a4d2-4d8b-9148-e3be6c30e623}">
          <xlrd:rvb i="104"/>
        </ext>
      </extLst>
    </bk>
    <bk>
      <extLst>
        <ext uri="{3e2802c4-a4d2-4d8b-9148-e3be6c30e623}">
          <xlrd:rvb i="105"/>
        </ext>
      </extLst>
    </bk>
    <bk>
      <extLst>
        <ext uri="{3e2802c4-a4d2-4d8b-9148-e3be6c30e623}">
          <xlrd:rvb i="106"/>
        </ext>
      </extLst>
    </bk>
    <bk>
      <extLst>
        <ext uri="{3e2802c4-a4d2-4d8b-9148-e3be6c30e623}">
          <xlrd:rvb i="107"/>
        </ext>
      </extLst>
    </bk>
    <bk>
      <extLst>
        <ext uri="{3e2802c4-a4d2-4d8b-9148-e3be6c30e623}">
          <xlrd:rvb i="108"/>
        </ext>
      </extLst>
    </bk>
    <bk>
      <extLst>
        <ext uri="{3e2802c4-a4d2-4d8b-9148-e3be6c30e623}">
          <xlrd:rvb i="109"/>
        </ext>
      </extLst>
    </bk>
    <bk>
      <extLst>
        <ext uri="{3e2802c4-a4d2-4d8b-9148-e3be6c30e623}">
          <xlrd:rvb i="110"/>
        </ext>
      </extLst>
    </bk>
    <bk>
      <extLst>
        <ext uri="{3e2802c4-a4d2-4d8b-9148-e3be6c30e623}">
          <xlrd:rvb i="111"/>
        </ext>
      </extLst>
    </bk>
    <bk>
      <extLst>
        <ext uri="{3e2802c4-a4d2-4d8b-9148-e3be6c30e623}">
          <xlrd:rvb i="112"/>
        </ext>
      </extLst>
    </bk>
    <bk>
      <extLst>
        <ext uri="{3e2802c4-a4d2-4d8b-9148-e3be6c30e623}">
          <xlrd:rvb i="113"/>
        </ext>
      </extLst>
    </bk>
    <bk>
      <extLst>
        <ext uri="{3e2802c4-a4d2-4d8b-9148-e3be6c30e623}">
          <xlrd:rvb i="114"/>
        </ext>
      </extLst>
    </bk>
    <bk>
      <extLst>
        <ext uri="{3e2802c4-a4d2-4d8b-9148-e3be6c30e623}">
          <xlrd:rvb i="115"/>
        </ext>
      </extLst>
    </bk>
    <bk>
      <extLst>
        <ext uri="{3e2802c4-a4d2-4d8b-9148-e3be6c30e623}">
          <xlrd:rvb i="116"/>
        </ext>
      </extLst>
    </bk>
    <bk>
      <extLst>
        <ext uri="{3e2802c4-a4d2-4d8b-9148-e3be6c30e623}">
          <xlrd:rvb i="117"/>
        </ext>
      </extLst>
    </bk>
    <bk>
      <extLst>
        <ext uri="{3e2802c4-a4d2-4d8b-9148-e3be6c30e623}">
          <xlrd:rvb i="118"/>
        </ext>
      </extLst>
    </bk>
    <bk>
      <extLst>
        <ext uri="{3e2802c4-a4d2-4d8b-9148-e3be6c30e623}">
          <xlrd:rvb i="119"/>
        </ext>
      </extLst>
    </bk>
    <bk>
      <extLst>
        <ext uri="{3e2802c4-a4d2-4d8b-9148-e3be6c30e623}">
          <xlrd:rvb i="120"/>
        </ext>
      </extLst>
    </bk>
    <bk>
      <extLst>
        <ext uri="{3e2802c4-a4d2-4d8b-9148-e3be6c30e623}">
          <xlrd:rvb i="121"/>
        </ext>
      </extLst>
    </bk>
    <bk>
      <extLst>
        <ext uri="{3e2802c4-a4d2-4d8b-9148-e3be6c30e623}">
          <xlrd:rvb i="122"/>
        </ext>
      </extLst>
    </bk>
    <bk>
      <extLst>
        <ext uri="{3e2802c4-a4d2-4d8b-9148-e3be6c30e623}">
          <xlrd:rvb i="123"/>
        </ext>
      </extLst>
    </bk>
    <bk>
      <extLst>
        <ext uri="{3e2802c4-a4d2-4d8b-9148-e3be6c30e623}">
          <xlrd:rvb i="124"/>
        </ext>
      </extLst>
    </bk>
    <bk>
      <extLst>
        <ext uri="{3e2802c4-a4d2-4d8b-9148-e3be6c30e623}">
          <xlrd:rvb i="125"/>
        </ext>
      </extLst>
    </bk>
    <bk>
      <extLst>
        <ext uri="{3e2802c4-a4d2-4d8b-9148-e3be6c30e623}">
          <xlrd:rvb i="126"/>
        </ext>
      </extLst>
    </bk>
    <bk>
      <extLst>
        <ext uri="{3e2802c4-a4d2-4d8b-9148-e3be6c30e623}">
          <xlrd:rvb i="127"/>
        </ext>
      </extLst>
    </bk>
    <bk>
      <extLst>
        <ext uri="{3e2802c4-a4d2-4d8b-9148-e3be6c30e623}">
          <xlrd:rvb i="128"/>
        </ext>
      </extLst>
    </bk>
    <bk>
      <extLst>
        <ext uri="{3e2802c4-a4d2-4d8b-9148-e3be6c30e623}">
          <xlrd:rvb i="129"/>
        </ext>
      </extLst>
    </bk>
    <bk>
      <extLst>
        <ext uri="{3e2802c4-a4d2-4d8b-9148-e3be6c30e623}">
          <xlrd:rvb i="130"/>
        </ext>
      </extLst>
    </bk>
    <bk>
      <extLst>
        <ext uri="{3e2802c4-a4d2-4d8b-9148-e3be6c30e623}">
          <xlrd:rvb i="131"/>
        </ext>
      </extLst>
    </bk>
    <bk>
      <extLst>
        <ext uri="{3e2802c4-a4d2-4d8b-9148-e3be6c30e623}">
          <xlrd:rvb i="132"/>
        </ext>
      </extLst>
    </bk>
    <bk>
      <extLst>
        <ext uri="{3e2802c4-a4d2-4d8b-9148-e3be6c30e623}">
          <xlrd:rvb i="133"/>
        </ext>
      </extLst>
    </bk>
    <bk>
      <extLst>
        <ext uri="{3e2802c4-a4d2-4d8b-9148-e3be6c30e623}">
          <xlrd:rvb i="134"/>
        </ext>
      </extLst>
    </bk>
    <bk>
      <extLst>
        <ext uri="{3e2802c4-a4d2-4d8b-9148-e3be6c30e623}">
          <xlrd:rvb i="135"/>
        </ext>
      </extLst>
    </bk>
    <bk>
      <extLst>
        <ext uri="{3e2802c4-a4d2-4d8b-9148-e3be6c30e623}">
          <xlrd:rvb i="136"/>
        </ext>
      </extLst>
    </bk>
    <bk>
      <extLst>
        <ext uri="{3e2802c4-a4d2-4d8b-9148-e3be6c30e623}">
          <xlrd:rvb i="137"/>
        </ext>
      </extLst>
    </bk>
    <bk>
      <extLst>
        <ext uri="{3e2802c4-a4d2-4d8b-9148-e3be6c30e623}">
          <xlrd:rvb i="138"/>
        </ext>
      </extLst>
    </bk>
    <bk>
      <extLst>
        <ext uri="{3e2802c4-a4d2-4d8b-9148-e3be6c30e623}">
          <xlrd:rvb i="139"/>
        </ext>
      </extLst>
    </bk>
    <bk>
      <extLst>
        <ext uri="{3e2802c4-a4d2-4d8b-9148-e3be6c30e623}">
          <xlrd:rvb i="140"/>
        </ext>
      </extLst>
    </bk>
    <bk>
      <extLst>
        <ext uri="{3e2802c4-a4d2-4d8b-9148-e3be6c30e623}">
          <xlrd:rvb i="141"/>
        </ext>
      </extLst>
    </bk>
    <bk>
      <extLst>
        <ext uri="{3e2802c4-a4d2-4d8b-9148-e3be6c30e623}">
          <xlrd:rvb i="142"/>
        </ext>
      </extLst>
    </bk>
    <bk>
      <extLst>
        <ext uri="{3e2802c4-a4d2-4d8b-9148-e3be6c30e623}">
          <xlrd:rvb i="143"/>
        </ext>
      </extLst>
    </bk>
    <bk>
      <extLst>
        <ext uri="{3e2802c4-a4d2-4d8b-9148-e3be6c30e623}">
          <xlrd:rvb i="144"/>
        </ext>
      </extLst>
    </bk>
    <bk>
      <extLst>
        <ext uri="{3e2802c4-a4d2-4d8b-9148-e3be6c30e623}">
          <xlrd:rvb i="145"/>
        </ext>
      </extLst>
    </bk>
    <bk>
      <extLst>
        <ext uri="{3e2802c4-a4d2-4d8b-9148-e3be6c30e623}">
          <xlrd:rvb i="146"/>
        </ext>
      </extLst>
    </bk>
    <bk>
      <extLst>
        <ext uri="{3e2802c4-a4d2-4d8b-9148-e3be6c30e623}">
          <xlrd:rvb i="147"/>
        </ext>
      </extLst>
    </bk>
    <bk>
      <extLst>
        <ext uri="{3e2802c4-a4d2-4d8b-9148-e3be6c30e623}">
          <xlrd:rvb i="148"/>
        </ext>
      </extLst>
    </bk>
    <bk>
      <extLst>
        <ext uri="{3e2802c4-a4d2-4d8b-9148-e3be6c30e623}">
          <xlrd:rvb i="149"/>
        </ext>
      </extLst>
    </bk>
    <bk>
      <extLst>
        <ext uri="{3e2802c4-a4d2-4d8b-9148-e3be6c30e623}">
          <xlrd:rvb i="150"/>
        </ext>
      </extLst>
    </bk>
    <bk>
      <extLst>
        <ext uri="{3e2802c4-a4d2-4d8b-9148-e3be6c30e623}">
          <xlrd:rvb i="151"/>
        </ext>
      </extLst>
    </bk>
    <bk>
      <extLst>
        <ext uri="{3e2802c4-a4d2-4d8b-9148-e3be6c30e623}">
          <xlrd:rvb i="152"/>
        </ext>
      </extLst>
    </bk>
    <bk>
      <extLst>
        <ext uri="{3e2802c4-a4d2-4d8b-9148-e3be6c30e623}">
          <xlrd:rvb i="153"/>
        </ext>
      </extLst>
    </bk>
    <bk>
      <extLst>
        <ext uri="{3e2802c4-a4d2-4d8b-9148-e3be6c30e623}">
          <xlrd:rvb i="154"/>
        </ext>
      </extLst>
    </bk>
    <bk>
      <extLst>
        <ext uri="{3e2802c4-a4d2-4d8b-9148-e3be6c30e623}">
          <xlrd:rvb i="155"/>
        </ext>
      </extLst>
    </bk>
    <bk>
      <extLst>
        <ext uri="{3e2802c4-a4d2-4d8b-9148-e3be6c30e623}">
          <xlrd:rvb i="156"/>
        </ext>
      </extLst>
    </bk>
    <bk>
      <extLst>
        <ext uri="{3e2802c4-a4d2-4d8b-9148-e3be6c30e623}">
          <xlrd:rvb i="157"/>
        </ext>
      </extLst>
    </bk>
    <bk>
      <extLst>
        <ext uri="{3e2802c4-a4d2-4d8b-9148-e3be6c30e623}">
          <xlrd:rvb i="158"/>
        </ext>
      </extLst>
    </bk>
    <bk>
      <extLst>
        <ext uri="{3e2802c4-a4d2-4d8b-9148-e3be6c30e623}">
          <xlrd:rvb i="159"/>
        </ext>
      </extLst>
    </bk>
    <bk>
      <extLst>
        <ext uri="{3e2802c4-a4d2-4d8b-9148-e3be6c30e623}">
          <xlrd:rvb i="160"/>
        </ext>
      </extLst>
    </bk>
    <bk>
      <extLst>
        <ext uri="{3e2802c4-a4d2-4d8b-9148-e3be6c30e623}">
          <xlrd:rvb i="161"/>
        </ext>
      </extLst>
    </bk>
    <bk>
      <extLst>
        <ext uri="{3e2802c4-a4d2-4d8b-9148-e3be6c30e623}">
          <xlrd:rvb i="162"/>
        </ext>
      </extLst>
    </bk>
    <bk>
      <extLst>
        <ext uri="{3e2802c4-a4d2-4d8b-9148-e3be6c30e623}">
          <xlrd:rvb i="163"/>
        </ext>
      </extLst>
    </bk>
    <bk>
      <extLst>
        <ext uri="{3e2802c4-a4d2-4d8b-9148-e3be6c30e623}">
          <xlrd:rvb i="164"/>
        </ext>
      </extLst>
    </bk>
    <bk>
      <extLst>
        <ext uri="{3e2802c4-a4d2-4d8b-9148-e3be6c30e623}">
          <xlrd:rvb i="165"/>
        </ext>
      </extLst>
    </bk>
    <bk>
      <extLst>
        <ext uri="{3e2802c4-a4d2-4d8b-9148-e3be6c30e623}">
          <xlrd:rvb i="166"/>
        </ext>
      </extLst>
    </bk>
    <bk>
      <extLst>
        <ext uri="{3e2802c4-a4d2-4d8b-9148-e3be6c30e623}">
          <xlrd:rvb i="167"/>
        </ext>
      </extLst>
    </bk>
    <bk>
      <extLst>
        <ext uri="{3e2802c4-a4d2-4d8b-9148-e3be6c30e623}">
          <xlrd:rvb i="168"/>
        </ext>
      </extLst>
    </bk>
    <bk>
      <extLst>
        <ext uri="{3e2802c4-a4d2-4d8b-9148-e3be6c30e623}">
          <xlrd:rvb i="169"/>
        </ext>
      </extLst>
    </bk>
    <bk>
      <extLst>
        <ext uri="{3e2802c4-a4d2-4d8b-9148-e3be6c30e623}">
          <xlrd:rvb i="170"/>
        </ext>
      </extLst>
    </bk>
    <bk>
      <extLst>
        <ext uri="{3e2802c4-a4d2-4d8b-9148-e3be6c30e623}">
          <xlrd:rvb i="171"/>
        </ext>
      </extLst>
    </bk>
    <bk>
      <extLst>
        <ext uri="{3e2802c4-a4d2-4d8b-9148-e3be6c30e623}">
          <xlrd:rvb i="172"/>
        </ext>
      </extLst>
    </bk>
    <bk>
      <extLst>
        <ext uri="{3e2802c4-a4d2-4d8b-9148-e3be6c30e623}">
          <xlrd:rvb i="173"/>
        </ext>
      </extLst>
    </bk>
    <bk>
      <extLst>
        <ext uri="{3e2802c4-a4d2-4d8b-9148-e3be6c30e623}">
          <xlrd:rvb i="174"/>
        </ext>
      </extLst>
    </bk>
    <bk>
      <extLst>
        <ext uri="{3e2802c4-a4d2-4d8b-9148-e3be6c30e623}">
          <xlrd:rvb i="175"/>
        </ext>
      </extLst>
    </bk>
    <bk>
      <extLst>
        <ext uri="{3e2802c4-a4d2-4d8b-9148-e3be6c30e623}">
          <xlrd:rvb i="176"/>
        </ext>
      </extLst>
    </bk>
    <bk>
      <extLst>
        <ext uri="{3e2802c4-a4d2-4d8b-9148-e3be6c30e623}">
          <xlrd:rvb i="177"/>
        </ext>
      </extLst>
    </bk>
    <bk>
      <extLst>
        <ext uri="{3e2802c4-a4d2-4d8b-9148-e3be6c30e623}">
          <xlrd:rvb i="178"/>
        </ext>
      </extLst>
    </bk>
    <bk>
      <extLst>
        <ext uri="{3e2802c4-a4d2-4d8b-9148-e3be6c30e623}">
          <xlrd:rvb i="179"/>
        </ext>
      </extLst>
    </bk>
    <bk>
      <extLst>
        <ext uri="{3e2802c4-a4d2-4d8b-9148-e3be6c30e623}">
          <xlrd:rvb i="180"/>
        </ext>
      </extLst>
    </bk>
    <bk>
      <extLst>
        <ext uri="{3e2802c4-a4d2-4d8b-9148-e3be6c30e623}">
          <xlrd:rvb i="181"/>
        </ext>
      </extLst>
    </bk>
    <bk>
      <extLst>
        <ext uri="{3e2802c4-a4d2-4d8b-9148-e3be6c30e623}">
          <xlrd:rvb i="182"/>
        </ext>
      </extLst>
    </bk>
    <bk>
      <extLst>
        <ext uri="{3e2802c4-a4d2-4d8b-9148-e3be6c30e623}">
          <xlrd:rvb i="183"/>
        </ext>
      </extLst>
    </bk>
    <bk>
      <extLst>
        <ext uri="{3e2802c4-a4d2-4d8b-9148-e3be6c30e623}">
          <xlrd:rvb i="184"/>
        </ext>
      </extLst>
    </bk>
    <bk>
      <extLst>
        <ext uri="{3e2802c4-a4d2-4d8b-9148-e3be6c30e623}">
          <xlrd:rvb i="185"/>
        </ext>
      </extLst>
    </bk>
    <bk>
      <extLst>
        <ext uri="{3e2802c4-a4d2-4d8b-9148-e3be6c30e623}">
          <xlrd:rvb i="186"/>
        </ext>
      </extLst>
    </bk>
    <bk>
      <extLst>
        <ext uri="{3e2802c4-a4d2-4d8b-9148-e3be6c30e623}">
          <xlrd:rvb i="187"/>
        </ext>
      </extLst>
    </bk>
    <bk>
      <extLst>
        <ext uri="{3e2802c4-a4d2-4d8b-9148-e3be6c30e623}">
          <xlrd:rvb i="188"/>
        </ext>
      </extLst>
    </bk>
    <bk>
      <extLst>
        <ext uri="{3e2802c4-a4d2-4d8b-9148-e3be6c30e623}">
          <xlrd:rvb i="189"/>
        </ext>
      </extLst>
    </bk>
    <bk>
      <extLst>
        <ext uri="{3e2802c4-a4d2-4d8b-9148-e3be6c30e623}">
          <xlrd:rvb i="190"/>
        </ext>
      </extLst>
    </bk>
    <bk>
      <extLst>
        <ext uri="{3e2802c4-a4d2-4d8b-9148-e3be6c30e623}">
          <xlrd:rvb i="191"/>
        </ext>
      </extLst>
    </bk>
    <bk>
      <extLst>
        <ext uri="{3e2802c4-a4d2-4d8b-9148-e3be6c30e623}">
          <xlrd:rvb i="192"/>
        </ext>
      </extLst>
    </bk>
    <bk>
      <extLst>
        <ext uri="{3e2802c4-a4d2-4d8b-9148-e3be6c30e623}">
          <xlrd:rvb i="193"/>
        </ext>
      </extLst>
    </bk>
    <bk>
      <extLst>
        <ext uri="{3e2802c4-a4d2-4d8b-9148-e3be6c30e623}">
          <xlrd:rvb i="194"/>
        </ext>
      </extLst>
    </bk>
    <bk>
      <extLst>
        <ext uri="{3e2802c4-a4d2-4d8b-9148-e3be6c30e623}">
          <xlrd:rvb i="195"/>
        </ext>
      </extLst>
    </bk>
    <bk>
      <extLst>
        <ext uri="{3e2802c4-a4d2-4d8b-9148-e3be6c30e623}">
          <xlrd:rvb i="196"/>
        </ext>
      </extLst>
    </bk>
    <bk>
      <extLst>
        <ext uri="{3e2802c4-a4d2-4d8b-9148-e3be6c30e623}">
          <xlrd:rvb i="197"/>
        </ext>
      </extLst>
    </bk>
    <bk>
      <extLst>
        <ext uri="{3e2802c4-a4d2-4d8b-9148-e3be6c30e623}">
          <xlrd:rvb i="198"/>
        </ext>
      </extLst>
    </bk>
    <bk>
      <extLst>
        <ext uri="{3e2802c4-a4d2-4d8b-9148-e3be6c30e623}">
          <xlrd:rvb i="199"/>
        </ext>
      </extLst>
    </bk>
    <bk>
      <extLst>
        <ext uri="{3e2802c4-a4d2-4d8b-9148-e3be6c30e623}">
          <xlrd:rvb i="200"/>
        </ext>
      </extLst>
    </bk>
    <bk>
      <extLst>
        <ext uri="{3e2802c4-a4d2-4d8b-9148-e3be6c30e623}">
          <xlrd:rvb i="201"/>
        </ext>
      </extLst>
    </bk>
    <bk>
      <extLst>
        <ext uri="{3e2802c4-a4d2-4d8b-9148-e3be6c30e623}">
          <xlrd:rvb i="202"/>
        </ext>
      </extLst>
    </bk>
    <bk>
      <extLst>
        <ext uri="{3e2802c4-a4d2-4d8b-9148-e3be6c30e623}">
          <xlrd:rvb i="203"/>
        </ext>
      </extLst>
    </bk>
    <bk>
      <extLst>
        <ext uri="{3e2802c4-a4d2-4d8b-9148-e3be6c30e623}">
          <xlrd:rvb i="204"/>
        </ext>
      </extLst>
    </bk>
    <bk>
      <extLst>
        <ext uri="{3e2802c4-a4d2-4d8b-9148-e3be6c30e623}">
          <xlrd:rvb i="205"/>
        </ext>
      </extLst>
    </bk>
    <bk>
      <extLst>
        <ext uri="{3e2802c4-a4d2-4d8b-9148-e3be6c30e623}">
          <xlrd:rvb i="206"/>
        </ext>
      </extLst>
    </bk>
    <bk>
      <extLst>
        <ext uri="{3e2802c4-a4d2-4d8b-9148-e3be6c30e623}">
          <xlrd:rvb i="207"/>
        </ext>
      </extLst>
    </bk>
    <bk>
      <extLst>
        <ext uri="{3e2802c4-a4d2-4d8b-9148-e3be6c30e623}">
          <xlrd:rvb i="208"/>
        </ext>
      </extLst>
    </bk>
    <bk>
      <extLst>
        <ext uri="{3e2802c4-a4d2-4d8b-9148-e3be6c30e623}">
          <xlrd:rvb i="209"/>
        </ext>
      </extLst>
    </bk>
    <bk>
      <extLst>
        <ext uri="{3e2802c4-a4d2-4d8b-9148-e3be6c30e623}">
          <xlrd:rvb i="210"/>
        </ext>
      </extLst>
    </bk>
    <bk>
      <extLst>
        <ext uri="{3e2802c4-a4d2-4d8b-9148-e3be6c30e623}">
          <xlrd:rvb i="211"/>
        </ext>
      </extLst>
    </bk>
    <bk>
      <extLst>
        <ext uri="{3e2802c4-a4d2-4d8b-9148-e3be6c30e623}">
          <xlrd:rvb i="212"/>
        </ext>
      </extLst>
    </bk>
    <bk>
      <extLst>
        <ext uri="{3e2802c4-a4d2-4d8b-9148-e3be6c30e623}">
          <xlrd:rvb i="213"/>
        </ext>
      </extLst>
    </bk>
    <bk>
      <extLst>
        <ext uri="{3e2802c4-a4d2-4d8b-9148-e3be6c30e623}">
          <xlrd:rvb i="214"/>
        </ext>
      </extLst>
    </bk>
    <bk>
      <extLst>
        <ext uri="{3e2802c4-a4d2-4d8b-9148-e3be6c30e623}">
          <xlrd:rvb i="215"/>
        </ext>
      </extLst>
    </bk>
    <bk>
      <extLst>
        <ext uri="{3e2802c4-a4d2-4d8b-9148-e3be6c30e623}">
          <xlrd:rvb i="216"/>
        </ext>
      </extLst>
    </bk>
    <bk>
      <extLst>
        <ext uri="{3e2802c4-a4d2-4d8b-9148-e3be6c30e623}">
          <xlrd:rvb i="217"/>
        </ext>
      </extLst>
    </bk>
    <bk>
      <extLst>
        <ext uri="{3e2802c4-a4d2-4d8b-9148-e3be6c30e623}">
          <xlrd:rvb i="218"/>
        </ext>
      </extLst>
    </bk>
    <bk>
      <extLst>
        <ext uri="{3e2802c4-a4d2-4d8b-9148-e3be6c30e623}">
          <xlrd:rvb i="219"/>
        </ext>
      </extLst>
    </bk>
    <bk>
      <extLst>
        <ext uri="{3e2802c4-a4d2-4d8b-9148-e3be6c30e623}">
          <xlrd:rvb i="220"/>
        </ext>
      </extLst>
    </bk>
    <bk>
      <extLst>
        <ext uri="{3e2802c4-a4d2-4d8b-9148-e3be6c30e623}">
          <xlrd:rvb i="221"/>
        </ext>
      </extLst>
    </bk>
    <bk>
      <extLst>
        <ext uri="{3e2802c4-a4d2-4d8b-9148-e3be6c30e623}">
          <xlrd:rvb i="222"/>
        </ext>
      </extLst>
    </bk>
    <bk>
      <extLst>
        <ext uri="{3e2802c4-a4d2-4d8b-9148-e3be6c30e623}">
          <xlrd:rvb i="223"/>
        </ext>
      </extLst>
    </bk>
    <bk>
      <extLst>
        <ext uri="{3e2802c4-a4d2-4d8b-9148-e3be6c30e623}">
          <xlrd:rvb i="224"/>
        </ext>
      </extLst>
    </bk>
    <bk>
      <extLst>
        <ext uri="{3e2802c4-a4d2-4d8b-9148-e3be6c30e623}">
          <xlrd:rvb i="225"/>
        </ext>
      </extLst>
    </bk>
    <bk>
      <extLst>
        <ext uri="{3e2802c4-a4d2-4d8b-9148-e3be6c30e623}">
          <xlrd:rvb i="226"/>
        </ext>
      </extLst>
    </bk>
    <bk>
      <extLst>
        <ext uri="{3e2802c4-a4d2-4d8b-9148-e3be6c30e623}">
          <xlrd:rvb i="227"/>
        </ext>
      </extLst>
    </bk>
    <bk>
      <extLst>
        <ext uri="{3e2802c4-a4d2-4d8b-9148-e3be6c30e623}">
          <xlrd:rvb i="228"/>
        </ext>
      </extLst>
    </bk>
    <bk>
      <extLst>
        <ext uri="{3e2802c4-a4d2-4d8b-9148-e3be6c30e623}">
          <xlrd:rvb i="229"/>
        </ext>
      </extLst>
    </bk>
    <bk>
      <extLst>
        <ext uri="{3e2802c4-a4d2-4d8b-9148-e3be6c30e623}">
          <xlrd:rvb i="230"/>
        </ext>
      </extLst>
    </bk>
    <bk>
      <extLst>
        <ext uri="{3e2802c4-a4d2-4d8b-9148-e3be6c30e623}">
          <xlrd:rvb i="231"/>
        </ext>
      </extLst>
    </bk>
    <bk>
      <extLst>
        <ext uri="{3e2802c4-a4d2-4d8b-9148-e3be6c30e623}">
          <xlrd:rvb i="232"/>
        </ext>
      </extLst>
    </bk>
    <bk>
      <extLst>
        <ext uri="{3e2802c4-a4d2-4d8b-9148-e3be6c30e623}">
          <xlrd:rvb i="233"/>
        </ext>
      </extLst>
    </bk>
    <bk>
      <extLst>
        <ext uri="{3e2802c4-a4d2-4d8b-9148-e3be6c30e623}">
          <xlrd:rvb i="234"/>
        </ext>
      </extLst>
    </bk>
    <bk>
      <extLst>
        <ext uri="{3e2802c4-a4d2-4d8b-9148-e3be6c30e623}">
          <xlrd:rvb i="235"/>
        </ext>
      </extLst>
    </bk>
    <bk>
      <extLst>
        <ext uri="{3e2802c4-a4d2-4d8b-9148-e3be6c30e623}">
          <xlrd:rvb i="236"/>
        </ext>
      </extLst>
    </bk>
    <bk>
      <extLst>
        <ext uri="{3e2802c4-a4d2-4d8b-9148-e3be6c30e623}">
          <xlrd:rvb i="237"/>
        </ext>
      </extLst>
    </bk>
    <bk>
      <extLst>
        <ext uri="{3e2802c4-a4d2-4d8b-9148-e3be6c30e623}">
          <xlrd:rvb i="238"/>
        </ext>
      </extLst>
    </bk>
    <bk>
      <extLst>
        <ext uri="{3e2802c4-a4d2-4d8b-9148-e3be6c30e623}">
          <xlrd:rvb i="239"/>
        </ext>
      </extLst>
    </bk>
    <bk>
      <extLst>
        <ext uri="{3e2802c4-a4d2-4d8b-9148-e3be6c30e623}">
          <xlrd:rvb i="240"/>
        </ext>
      </extLst>
    </bk>
    <bk>
      <extLst>
        <ext uri="{3e2802c4-a4d2-4d8b-9148-e3be6c30e623}">
          <xlrd:rvb i="241"/>
        </ext>
      </extLst>
    </bk>
    <bk>
      <extLst>
        <ext uri="{3e2802c4-a4d2-4d8b-9148-e3be6c30e623}">
          <xlrd:rvb i="242"/>
        </ext>
      </extLst>
    </bk>
    <bk>
      <extLst>
        <ext uri="{3e2802c4-a4d2-4d8b-9148-e3be6c30e623}">
          <xlrd:rvb i="243"/>
        </ext>
      </extLst>
    </bk>
    <bk>
      <extLst>
        <ext uri="{3e2802c4-a4d2-4d8b-9148-e3be6c30e623}">
          <xlrd:rvb i="244"/>
        </ext>
      </extLst>
    </bk>
    <bk>
      <extLst>
        <ext uri="{3e2802c4-a4d2-4d8b-9148-e3be6c30e623}">
          <xlrd:rvb i="245"/>
        </ext>
      </extLst>
    </bk>
    <bk>
      <extLst>
        <ext uri="{3e2802c4-a4d2-4d8b-9148-e3be6c30e623}">
          <xlrd:rvb i="246"/>
        </ext>
      </extLst>
    </bk>
    <bk>
      <extLst>
        <ext uri="{3e2802c4-a4d2-4d8b-9148-e3be6c30e623}">
          <xlrd:rvb i="247"/>
        </ext>
      </extLst>
    </bk>
    <bk>
      <extLst>
        <ext uri="{3e2802c4-a4d2-4d8b-9148-e3be6c30e623}">
          <xlrd:rvb i="248"/>
        </ext>
      </extLst>
    </bk>
    <bk>
      <extLst>
        <ext uri="{3e2802c4-a4d2-4d8b-9148-e3be6c30e623}">
          <xlrd:rvb i="249"/>
        </ext>
      </extLst>
    </bk>
    <bk>
      <extLst>
        <ext uri="{3e2802c4-a4d2-4d8b-9148-e3be6c30e623}">
          <xlrd:rvb i="250"/>
        </ext>
      </extLst>
    </bk>
    <bk>
      <extLst>
        <ext uri="{3e2802c4-a4d2-4d8b-9148-e3be6c30e623}">
          <xlrd:rvb i="251"/>
        </ext>
      </extLst>
    </bk>
    <bk>
      <extLst>
        <ext uri="{3e2802c4-a4d2-4d8b-9148-e3be6c30e623}">
          <xlrd:rvb i="252"/>
        </ext>
      </extLst>
    </bk>
    <bk>
      <extLst>
        <ext uri="{3e2802c4-a4d2-4d8b-9148-e3be6c30e623}">
          <xlrd:rvb i="253"/>
        </ext>
      </extLst>
    </bk>
    <bk>
      <extLst>
        <ext uri="{3e2802c4-a4d2-4d8b-9148-e3be6c30e623}">
          <xlrd:rvb i="254"/>
        </ext>
      </extLst>
    </bk>
    <bk>
      <extLst>
        <ext uri="{3e2802c4-a4d2-4d8b-9148-e3be6c30e623}">
          <xlrd:rvb i="255"/>
        </ext>
      </extLst>
    </bk>
    <bk>
      <extLst>
        <ext uri="{3e2802c4-a4d2-4d8b-9148-e3be6c30e623}">
          <xlrd:rvb i="256"/>
        </ext>
      </extLst>
    </bk>
    <bk>
      <extLst>
        <ext uri="{3e2802c4-a4d2-4d8b-9148-e3be6c30e623}">
          <xlrd:rvb i="257"/>
        </ext>
      </extLst>
    </bk>
    <bk>
      <extLst>
        <ext uri="{3e2802c4-a4d2-4d8b-9148-e3be6c30e623}">
          <xlrd:rvb i="258"/>
        </ext>
      </extLst>
    </bk>
    <bk>
      <extLst>
        <ext uri="{3e2802c4-a4d2-4d8b-9148-e3be6c30e623}">
          <xlrd:rvb i="259"/>
        </ext>
      </extLst>
    </bk>
    <bk>
      <extLst>
        <ext uri="{3e2802c4-a4d2-4d8b-9148-e3be6c30e623}">
          <xlrd:rvb i="260"/>
        </ext>
      </extLst>
    </bk>
    <bk>
      <extLst>
        <ext uri="{3e2802c4-a4d2-4d8b-9148-e3be6c30e623}">
          <xlrd:rvb i="261"/>
        </ext>
      </extLst>
    </bk>
    <bk>
      <extLst>
        <ext uri="{3e2802c4-a4d2-4d8b-9148-e3be6c30e623}">
          <xlrd:rvb i="262"/>
        </ext>
      </extLst>
    </bk>
    <bk>
      <extLst>
        <ext uri="{3e2802c4-a4d2-4d8b-9148-e3be6c30e623}">
          <xlrd:rvb i="263"/>
        </ext>
      </extLst>
    </bk>
    <bk>
      <extLst>
        <ext uri="{3e2802c4-a4d2-4d8b-9148-e3be6c30e623}">
          <xlrd:rvb i="264"/>
        </ext>
      </extLst>
    </bk>
    <bk>
      <extLst>
        <ext uri="{3e2802c4-a4d2-4d8b-9148-e3be6c30e623}">
          <xlrd:rvb i="265"/>
        </ext>
      </extLst>
    </bk>
    <bk>
      <extLst>
        <ext uri="{3e2802c4-a4d2-4d8b-9148-e3be6c30e623}">
          <xlrd:rvb i="266"/>
        </ext>
      </extLst>
    </bk>
    <bk>
      <extLst>
        <ext uri="{3e2802c4-a4d2-4d8b-9148-e3be6c30e623}">
          <xlrd:rvb i="267"/>
        </ext>
      </extLst>
    </bk>
    <bk>
      <extLst>
        <ext uri="{3e2802c4-a4d2-4d8b-9148-e3be6c30e623}">
          <xlrd:rvb i="268"/>
        </ext>
      </extLst>
    </bk>
    <bk>
      <extLst>
        <ext uri="{3e2802c4-a4d2-4d8b-9148-e3be6c30e623}">
          <xlrd:rvb i="269"/>
        </ext>
      </extLst>
    </bk>
    <bk>
      <extLst>
        <ext uri="{3e2802c4-a4d2-4d8b-9148-e3be6c30e623}">
          <xlrd:rvb i="270"/>
        </ext>
      </extLst>
    </bk>
    <bk>
      <extLst>
        <ext uri="{3e2802c4-a4d2-4d8b-9148-e3be6c30e623}">
          <xlrd:rvb i="271"/>
        </ext>
      </extLst>
    </bk>
    <bk>
      <extLst>
        <ext uri="{3e2802c4-a4d2-4d8b-9148-e3be6c30e623}">
          <xlrd:rvb i="272"/>
        </ext>
      </extLst>
    </bk>
    <bk>
      <extLst>
        <ext uri="{3e2802c4-a4d2-4d8b-9148-e3be6c30e623}">
          <xlrd:rvb i="273"/>
        </ext>
      </extLst>
    </bk>
    <bk>
      <extLst>
        <ext uri="{3e2802c4-a4d2-4d8b-9148-e3be6c30e623}">
          <xlrd:rvb i="274"/>
        </ext>
      </extLst>
    </bk>
    <bk>
      <extLst>
        <ext uri="{3e2802c4-a4d2-4d8b-9148-e3be6c30e623}">
          <xlrd:rvb i="275"/>
        </ext>
      </extLst>
    </bk>
    <bk>
      <extLst>
        <ext uri="{3e2802c4-a4d2-4d8b-9148-e3be6c30e623}">
          <xlrd:rvb i="276"/>
        </ext>
      </extLst>
    </bk>
    <bk>
      <extLst>
        <ext uri="{3e2802c4-a4d2-4d8b-9148-e3be6c30e623}">
          <xlrd:rvb i="277"/>
        </ext>
      </extLst>
    </bk>
    <bk>
      <extLst>
        <ext uri="{3e2802c4-a4d2-4d8b-9148-e3be6c30e623}">
          <xlrd:rvb i="278"/>
        </ext>
      </extLst>
    </bk>
    <bk>
      <extLst>
        <ext uri="{3e2802c4-a4d2-4d8b-9148-e3be6c30e623}">
          <xlrd:rvb i="279"/>
        </ext>
      </extLst>
    </bk>
    <bk>
      <extLst>
        <ext uri="{3e2802c4-a4d2-4d8b-9148-e3be6c30e623}">
          <xlrd:rvb i="280"/>
        </ext>
      </extLst>
    </bk>
    <bk>
      <extLst>
        <ext uri="{3e2802c4-a4d2-4d8b-9148-e3be6c30e623}">
          <xlrd:rvb i="281"/>
        </ext>
      </extLst>
    </bk>
    <bk>
      <extLst>
        <ext uri="{3e2802c4-a4d2-4d8b-9148-e3be6c30e623}">
          <xlrd:rvb i="282"/>
        </ext>
      </extLst>
    </bk>
    <bk>
      <extLst>
        <ext uri="{3e2802c4-a4d2-4d8b-9148-e3be6c30e623}">
          <xlrd:rvb i="283"/>
        </ext>
      </extLst>
    </bk>
    <bk>
      <extLst>
        <ext uri="{3e2802c4-a4d2-4d8b-9148-e3be6c30e623}">
          <xlrd:rvb i="284"/>
        </ext>
      </extLst>
    </bk>
    <bk>
      <extLst>
        <ext uri="{3e2802c4-a4d2-4d8b-9148-e3be6c30e623}">
          <xlrd:rvb i="285"/>
        </ext>
      </extLst>
    </bk>
    <bk>
      <extLst>
        <ext uri="{3e2802c4-a4d2-4d8b-9148-e3be6c30e623}">
          <xlrd:rvb i="286"/>
        </ext>
      </extLst>
    </bk>
    <bk>
      <extLst>
        <ext uri="{3e2802c4-a4d2-4d8b-9148-e3be6c30e623}">
          <xlrd:rvb i="287"/>
        </ext>
      </extLst>
    </bk>
    <bk>
      <extLst>
        <ext uri="{3e2802c4-a4d2-4d8b-9148-e3be6c30e623}">
          <xlrd:rvb i="288"/>
        </ext>
      </extLst>
    </bk>
    <bk>
      <extLst>
        <ext uri="{3e2802c4-a4d2-4d8b-9148-e3be6c30e623}">
          <xlrd:rvb i="289"/>
        </ext>
      </extLst>
    </bk>
    <bk>
      <extLst>
        <ext uri="{3e2802c4-a4d2-4d8b-9148-e3be6c30e623}">
          <xlrd:rvb i="290"/>
        </ext>
      </extLst>
    </bk>
    <bk>
      <extLst>
        <ext uri="{3e2802c4-a4d2-4d8b-9148-e3be6c30e623}">
          <xlrd:rvb i="291"/>
        </ext>
      </extLst>
    </bk>
    <bk>
      <extLst>
        <ext uri="{3e2802c4-a4d2-4d8b-9148-e3be6c30e623}">
          <xlrd:rvb i="292"/>
        </ext>
      </extLst>
    </bk>
    <bk>
      <extLst>
        <ext uri="{3e2802c4-a4d2-4d8b-9148-e3be6c30e623}">
          <xlrd:rvb i="293"/>
        </ext>
      </extLst>
    </bk>
    <bk>
      <extLst>
        <ext uri="{3e2802c4-a4d2-4d8b-9148-e3be6c30e623}">
          <xlrd:rvb i="294"/>
        </ext>
      </extLst>
    </bk>
    <bk>
      <extLst>
        <ext uri="{3e2802c4-a4d2-4d8b-9148-e3be6c30e623}">
          <xlrd:rvb i="295"/>
        </ext>
      </extLst>
    </bk>
    <bk>
      <extLst>
        <ext uri="{3e2802c4-a4d2-4d8b-9148-e3be6c30e623}">
          <xlrd:rvb i="296"/>
        </ext>
      </extLst>
    </bk>
    <bk>
      <extLst>
        <ext uri="{3e2802c4-a4d2-4d8b-9148-e3be6c30e623}">
          <xlrd:rvb i="297"/>
        </ext>
      </extLst>
    </bk>
    <bk>
      <extLst>
        <ext uri="{3e2802c4-a4d2-4d8b-9148-e3be6c30e623}">
          <xlrd:rvb i="298"/>
        </ext>
      </extLst>
    </bk>
    <bk>
      <extLst>
        <ext uri="{3e2802c4-a4d2-4d8b-9148-e3be6c30e623}">
          <xlrd:rvb i="299"/>
        </ext>
      </extLst>
    </bk>
    <bk>
      <extLst>
        <ext uri="{3e2802c4-a4d2-4d8b-9148-e3be6c30e623}">
          <xlrd:rvb i="300"/>
        </ext>
      </extLst>
    </bk>
    <bk>
      <extLst>
        <ext uri="{3e2802c4-a4d2-4d8b-9148-e3be6c30e623}">
          <xlrd:rvb i="301"/>
        </ext>
      </extLst>
    </bk>
    <bk>
      <extLst>
        <ext uri="{3e2802c4-a4d2-4d8b-9148-e3be6c30e623}">
          <xlrd:rvb i="302"/>
        </ext>
      </extLst>
    </bk>
    <bk>
      <extLst>
        <ext uri="{3e2802c4-a4d2-4d8b-9148-e3be6c30e623}">
          <xlrd:rvb i="303"/>
        </ext>
      </extLst>
    </bk>
    <bk>
      <extLst>
        <ext uri="{3e2802c4-a4d2-4d8b-9148-e3be6c30e623}">
          <xlrd:rvb i="304"/>
        </ext>
      </extLst>
    </bk>
    <bk>
      <extLst>
        <ext uri="{3e2802c4-a4d2-4d8b-9148-e3be6c30e623}">
          <xlrd:rvb i="305"/>
        </ext>
      </extLst>
    </bk>
    <bk>
      <extLst>
        <ext uri="{3e2802c4-a4d2-4d8b-9148-e3be6c30e623}">
          <xlrd:rvb i="306"/>
        </ext>
      </extLst>
    </bk>
    <bk>
      <extLst>
        <ext uri="{3e2802c4-a4d2-4d8b-9148-e3be6c30e623}">
          <xlrd:rvb i="307"/>
        </ext>
      </extLst>
    </bk>
    <bk>
      <extLst>
        <ext uri="{3e2802c4-a4d2-4d8b-9148-e3be6c30e623}">
          <xlrd:rvb i="308"/>
        </ext>
      </extLst>
    </bk>
    <bk>
      <extLst>
        <ext uri="{3e2802c4-a4d2-4d8b-9148-e3be6c30e623}">
          <xlrd:rvb i="309"/>
        </ext>
      </extLst>
    </bk>
    <bk>
      <extLst>
        <ext uri="{3e2802c4-a4d2-4d8b-9148-e3be6c30e623}">
          <xlrd:rvb i="310"/>
        </ext>
      </extLst>
    </bk>
    <bk>
      <extLst>
        <ext uri="{3e2802c4-a4d2-4d8b-9148-e3be6c30e623}">
          <xlrd:rvb i="311"/>
        </ext>
      </extLst>
    </bk>
    <bk>
      <extLst>
        <ext uri="{3e2802c4-a4d2-4d8b-9148-e3be6c30e623}">
          <xlrd:rvb i="312"/>
        </ext>
      </extLst>
    </bk>
    <bk>
      <extLst>
        <ext uri="{3e2802c4-a4d2-4d8b-9148-e3be6c30e623}">
          <xlrd:rvb i="313"/>
        </ext>
      </extLst>
    </bk>
    <bk>
      <extLst>
        <ext uri="{3e2802c4-a4d2-4d8b-9148-e3be6c30e623}">
          <xlrd:rvb i="314"/>
        </ext>
      </extLst>
    </bk>
    <bk>
      <extLst>
        <ext uri="{3e2802c4-a4d2-4d8b-9148-e3be6c30e623}">
          <xlrd:rvb i="315"/>
        </ext>
      </extLst>
    </bk>
    <bk>
      <extLst>
        <ext uri="{3e2802c4-a4d2-4d8b-9148-e3be6c30e623}">
          <xlrd:rvb i="316"/>
        </ext>
      </extLst>
    </bk>
    <bk>
      <extLst>
        <ext uri="{3e2802c4-a4d2-4d8b-9148-e3be6c30e623}">
          <xlrd:rvb i="317"/>
        </ext>
      </extLst>
    </bk>
    <bk>
      <extLst>
        <ext uri="{3e2802c4-a4d2-4d8b-9148-e3be6c30e623}">
          <xlrd:rvb i="318"/>
        </ext>
      </extLst>
    </bk>
    <bk>
      <extLst>
        <ext uri="{3e2802c4-a4d2-4d8b-9148-e3be6c30e623}">
          <xlrd:rvb i="319"/>
        </ext>
      </extLst>
    </bk>
    <bk>
      <extLst>
        <ext uri="{3e2802c4-a4d2-4d8b-9148-e3be6c30e623}">
          <xlrd:rvb i="320"/>
        </ext>
      </extLst>
    </bk>
    <bk>
      <extLst>
        <ext uri="{3e2802c4-a4d2-4d8b-9148-e3be6c30e623}">
          <xlrd:rvb i="321"/>
        </ext>
      </extLst>
    </bk>
    <bk>
      <extLst>
        <ext uri="{3e2802c4-a4d2-4d8b-9148-e3be6c30e623}">
          <xlrd:rvb i="322"/>
        </ext>
      </extLst>
    </bk>
    <bk>
      <extLst>
        <ext uri="{3e2802c4-a4d2-4d8b-9148-e3be6c30e623}">
          <xlrd:rvb i="323"/>
        </ext>
      </extLst>
    </bk>
    <bk>
      <extLst>
        <ext uri="{3e2802c4-a4d2-4d8b-9148-e3be6c30e623}">
          <xlrd:rvb i="324"/>
        </ext>
      </extLst>
    </bk>
    <bk>
      <extLst>
        <ext uri="{3e2802c4-a4d2-4d8b-9148-e3be6c30e623}">
          <xlrd:rvb i="325"/>
        </ext>
      </extLst>
    </bk>
    <bk>
      <extLst>
        <ext uri="{3e2802c4-a4d2-4d8b-9148-e3be6c30e623}">
          <xlrd:rvb i="326"/>
        </ext>
      </extLst>
    </bk>
    <bk>
      <extLst>
        <ext uri="{3e2802c4-a4d2-4d8b-9148-e3be6c30e623}">
          <xlrd:rvb i="327"/>
        </ext>
      </extLst>
    </bk>
    <bk>
      <extLst>
        <ext uri="{3e2802c4-a4d2-4d8b-9148-e3be6c30e623}">
          <xlrd:rvb i="328"/>
        </ext>
      </extLst>
    </bk>
    <bk>
      <extLst>
        <ext uri="{3e2802c4-a4d2-4d8b-9148-e3be6c30e623}">
          <xlrd:rvb i="329"/>
        </ext>
      </extLst>
    </bk>
    <bk>
      <extLst>
        <ext uri="{3e2802c4-a4d2-4d8b-9148-e3be6c30e623}">
          <xlrd:rvb i="330"/>
        </ext>
      </extLst>
    </bk>
    <bk>
      <extLst>
        <ext uri="{3e2802c4-a4d2-4d8b-9148-e3be6c30e623}">
          <xlrd:rvb i="331"/>
        </ext>
      </extLst>
    </bk>
    <bk>
      <extLst>
        <ext uri="{3e2802c4-a4d2-4d8b-9148-e3be6c30e623}">
          <xlrd:rvb i="332"/>
        </ext>
      </extLst>
    </bk>
    <bk>
      <extLst>
        <ext uri="{3e2802c4-a4d2-4d8b-9148-e3be6c30e623}">
          <xlrd:rvb i="333"/>
        </ext>
      </extLst>
    </bk>
    <bk>
      <extLst>
        <ext uri="{3e2802c4-a4d2-4d8b-9148-e3be6c30e623}">
          <xlrd:rvb i="334"/>
        </ext>
      </extLst>
    </bk>
    <bk>
      <extLst>
        <ext uri="{3e2802c4-a4d2-4d8b-9148-e3be6c30e623}">
          <xlrd:rvb i="335"/>
        </ext>
      </extLst>
    </bk>
    <bk>
      <extLst>
        <ext uri="{3e2802c4-a4d2-4d8b-9148-e3be6c30e623}">
          <xlrd:rvb i="336"/>
        </ext>
      </extLst>
    </bk>
    <bk>
      <extLst>
        <ext uri="{3e2802c4-a4d2-4d8b-9148-e3be6c30e623}">
          <xlrd:rvb i="337"/>
        </ext>
      </extLst>
    </bk>
    <bk>
      <extLst>
        <ext uri="{3e2802c4-a4d2-4d8b-9148-e3be6c30e623}">
          <xlrd:rvb i="338"/>
        </ext>
      </extLst>
    </bk>
    <bk>
      <extLst>
        <ext uri="{3e2802c4-a4d2-4d8b-9148-e3be6c30e623}">
          <xlrd:rvb i="339"/>
        </ext>
      </extLst>
    </bk>
    <bk>
      <extLst>
        <ext uri="{3e2802c4-a4d2-4d8b-9148-e3be6c30e623}">
          <xlrd:rvb i="340"/>
        </ext>
      </extLst>
    </bk>
    <bk>
      <extLst>
        <ext uri="{3e2802c4-a4d2-4d8b-9148-e3be6c30e623}">
          <xlrd:rvb i="341"/>
        </ext>
      </extLst>
    </bk>
    <bk>
      <extLst>
        <ext uri="{3e2802c4-a4d2-4d8b-9148-e3be6c30e623}">
          <xlrd:rvb i="342"/>
        </ext>
      </extLst>
    </bk>
    <bk>
      <extLst>
        <ext uri="{3e2802c4-a4d2-4d8b-9148-e3be6c30e623}">
          <xlrd:rvb i="343"/>
        </ext>
      </extLst>
    </bk>
    <bk>
      <extLst>
        <ext uri="{3e2802c4-a4d2-4d8b-9148-e3be6c30e623}">
          <xlrd:rvb i="344"/>
        </ext>
      </extLst>
    </bk>
    <bk>
      <extLst>
        <ext uri="{3e2802c4-a4d2-4d8b-9148-e3be6c30e623}">
          <xlrd:rvb i="345"/>
        </ext>
      </extLst>
    </bk>
    <bk>
      <extLst>
        <ext uri="{3e2802c4-a4d2-4d8b-9148-e3be6c30e623}">
          <xlrd:rvb i="346"/>
        </ext>
      </extLst>
    </bk>
    <bk>
      <extLst>
        <ext uri="{3e2802c4-a4d2-4d8b-9148-e3be6c30e623}">
          <xlrd:rvb i="347"/>
        </ext>
      </extLst>
    </bk>
    <bk>
      <extLst>
        <ext uri="{3e2802c4-a4d2-4d8b-9148-e3be6c30e623}">
          <xlrd:rvb i="348"/>
        </ext>
      </extLst>
    </bk>
    <bk>
      <extLst>
        <ext uri="{3e2802c4-a4d2-4d8b-9148-e3be6c30e623}">
          <xlrd:rvb i="349"/>
        </ext>
      </extLst>
    </bk>
    <bk>
      <extLst>
        <ext uri="{3e2802c4-a4d2-4d8b-9148-e3be6c30e623}">
          <xlrd:rvb i="350"/>
        </ext>
      </extLst>
    </bk>
    <bk>
      <extLst>
        <ext uri="{3e2802c4-a4d2-4d8b-9148-e3be6c30e623}">
          <xlrd:rvb i="351"/>
        </ext>
      </extLst>
    </bk>
    <bk>
      <extLst>
        <ext uri="{3e2802c4-a4d2-4d8b-9148-e3be6c30e623}">
          <xlrd:rvb i="352"/>
        </ext>
      </extLst>
    </bk>
    <bk>
      <extLst>
        <ext uri="{3e2802c4-a4d2-4d8b-9148-e3be6c30e623}">
          <xlrd:rvb i="353"/>
        </ext>
      </extLst>
    </bk>
    <bk>
      <extLst>
        <ext uri="{3e2802c4-a4d2-4d8b-9148-e3be6c30e623}">
          <xlrd:rvb i="354"/>
        </ext>
      </extLst>
    </bk>
    <bk>
      <extLst>
        <ext uri="{3e2802c4-a4d2-4d8b-9148-e3be6c30e623}">
          <xlrd:rvb i="355"/>
        </ext>
      </extLst>
    </bk>
    <bk>
      <extLst>
        <ext uri="{3e2802c4-a4d2-4d8b-9148-e3be6c30e623}">
          <xlrd:rvb i="356"/>
        </ext>
      </extLst>
    </bk>
    <bk>
      <extLst>
        <ext uri="{3e2802c4-a4d2-4d8b-9148-e3be6c30e623}">
          <xlrd:rvb i="357"/>
        </ext>
      </extLst>
    </bk>
    <bk>
      <extLst>
        <ext uri="{3e2802c4-a4d2-4d8b-9148-e3be6c30e623}">
          <xlrd:rvb i="358"/>
        </ext>
      </extLst>
    </bk>
    <bk>
      <extLst>
        <ext uri="{3e2802c4-a4d2-4d8b-9148-e3be6c30e623}">
          <xlrd:rvb i="359"/>
        </ext>
      </extLst>
    </bk>
    <bk>
      <extLst>
        <ext uri="{3e2802c4-a4d2-4d8b-9148-e3be6c30e623}">
          <xlrd:rvb i="360"/>
        </ext>
      </extLst>
    </bk>
    <bk>
      <extLst>
        <ext uri="{3e2802c4-a4d2-4d8b-9148-e3be6c30e623}">
          <xlrd:rvb i="361"/>
        </ext>
      </extLst>
    </bk>
    <bk>
      <extLst>
        <ext uri="{3e2802c4-a4d2-4d8b-9148-e3be6c30e623}">
          <xlrd:rvb i="362"/>
        </ext>
      </extLst>
    </bk>
    <bk>
      <extLst>
        <ext uri="{3e2802c4-a4d2-4d8b-9148-e3be6c30e623}">
          <xlrd:rvb i="363"/>
        </ext>
      </extLst>
    </bk>
    <bk>
      <extLst>
        <ext uri="{3e2802c4-a4d2-4d8b-9148-e3be6c30e623}">
          <xlrd:rvb i="364"/>
        </ext>
      </extLst>
    </bk>
    <bk>
      <extLst>
        <ext uri="{3e2802c4-a4d2-4d8b-9148-e3be6c30e623}">
          <xlrd:rvb i="365"/>
        </ext>
      </extLst>
    </bk>
    <bk>
      <extLst>
        <ext uri="{3e2802c4-a4d2-4d8b-9148-e3be6c30e623}">
          <xlrd:rvb i="366"/>
        </ext>
      </extLst>
    </bk>
    <bk>
      <extLst>
        <ext uri="{3e2802c4-a4d2-4d8b-9148-e3be6c30e623}">
          <xlrd:rvb i="367"/>
        </ext>
      </extLst>
    </bk>
    <bk>
      <extLst>
        <ext uri="{3e2802c4-a4d2-4d8b-9148-e3be6c30e623}">
          <xlrd:rvb i="368"/>
        </ext>
      </extLst>
    </bk>
    <bk>
      <extLst>
        <ext uri="{3e2802c4-a4d2-4d8b-9148-e3be6c30e623}">
          <xlrd:rvb i="369"/>
        </ext>
      </extLst>
    </bk>
    <bk>
      <extLst>
        <ext uri="{3e2802c4-a4d2-4d8b-9148-e3be6c30e623}">
          <xlrd:rvb i="370"/>
        </ext>
      </extLst>
    </bk>
    <bk>
      <extLst>
        <ext uri="{3e2802c4-a4d2-4d8b-9148-e3be6c30e623}">
          <xlrd:rvb i="371"/>
        </ext>
      </extLst>
    </bk>
    <bk>
      <extLst>
        <ext uri="{3e2802c4-a4d2-4d8b-9148-e3be6c30e623}">
          <xlrd:rvb i="372"/>
        </ext>
      </extLst>
    </bk>
    <bk>
      <extLst>
        <ext uri="{3e2802c4-a4d2-4d8b-9148-e3be6c30e623}">
          <xlrd:rvb i="373"/>
        </ext>
      </extLst>
    </bk>
    <bk>
      <extLst>
        <ext uri="{3e2802c4-a4d2-4d8b-9148-e3be6c30e623}">
          <xlrd:rvb i="374"/>
        </ext>
      </extLst>
    </bk>
    <bk>
      <extLst>
        <ext uri="{3e2802c4-a4d2-4d8b-9148-e3be6c30e623}">
          <xlrd:rvb i="375"/>
        </ext>
      </extLst>
    </bk>
    <bk>
      <extLst>
        <ext uri="{3e2802c4-a4d2-4d8b-9148-e3be6c30e623}">
          <xlrd:rvb i="376"/>
        </ext>
      </extLst>
    </bk>
    <bk>
      <extLst>
        <ext uri="{3e2802c4-a4d2-4d8b-9148-e3be6c30e623}">
          <xlrd:rvb i="377"/>
        </ext>
      </extLst>
    </bk>
    <bk>
      <extLst>
        <ext uri="{3e2802c4-a4d2-4d8b-9148-e3be6c30e623}">
          <xlrd:rvb i="378"/>
        </ext>
      </extLst>
    </bk>
    <bk>
      <extLst>
        <ext uri="{3e2802c4-a4d2-4d8b-9148-e3be6c30e623}">
          <xlrd:rvb i="379"/>
        </ext>
      </extLst>
    </bk>
    <bk>
      <extLst>
        <ext uri="{3e2802c4-a4d2-4d8b-9148-e3be6c30e623}">
          <xlrd:rvb i="380"/>
        </ext>
      </extLst>
    </bk>
    <bk>
      <extLst>
        <ext uri="{3e2802c4-a4d2-4d8b-9148-e3be6c30e623}">
          <xlrd:rvb i="381"/>
        </ext>
      </extLst>
    </bk>
    <bk>
      <extLst>
        <ext uri="{3e2802c4-a4d2-4d8b-9148-e3be6c30e623}">
          <xlrd:rvb i="382"/>
        </ext>
      </extLst>
    </bk>
    <bk>
      <extLst>
        <ext uri="{3e2802c4-a4d2-4d8b-9148-e3be6c30e623}">
          <xlrd:rvb i="383"/>
        </ext>
      </extLst>
    </bk>
    <bk>
      <extLst>
        <ext uri="{3e2802c4-a4d2-4d8b-9148-e3be6c30e623}">
          <xlrd:rvb i="384"/>
        </ext>
      </extLst>
    </bk>
    <bk>
      <extLst>
        <ext uri="{3e2802c4-a4d2-4d8b-9148-e3be6c30e623}">
          <xlrd:rvb i="385"/>
        </ext>
      </extLst>
    </bk>
    <bk>
      <extLst>
        <ext uri="{3e2802c4-a4d2-4d8b-9148-e3be6c30e623}">
          <xlrd:rvb i="386"/>
        </ext>
      </extLst>
    </bk>
    <bk>
      <extLst>
        <ext uri="{3e2802c4-a4d2-4d8b-9148-e3be6c30e623}">
          <xlrd:rvb i="387"/>
        </ext>
      </extLst>
    </bk>
    <bk>
      <extLst>
        <ext uri="{3e2802c4-a4d2-4d8b-9148-e3be6c30e623}">
          <xlrd:rvb i="388"/>
        </ext>
      </extLst>
    </bk>
    <bk>
      <extLst>
        <ext uri="{3e2802c4-a4d2-4d8b-9148-e3be6c30e623}">
          <xlrd:rvb i="389"/>
        </ext>
      </extLst>
    </bk>
    <bk>
      <extLst>
        <ext uri="{3e2802c4-a4d2-4d8b-9148-e3be6c30e623}">
          <xlrd:rvb i="390"/>
        </ext>
      </extLst>
    </bk>
    <bk>
      <extLst>
        <ext uri="{3e2802c4-a4d2-4d8b-9148-e3be6c30e623}">
          <xlrd:rvb i="391"/>
        </ext>
      </extLst>
    </bk>
    <bk>
      <extLst>
        <ext uri="{3e2802c4-a4d2-4d8b-9148-e3be6c30e623}">
          <xlrd:rvb i="392"/>
        </ext>
      </extLst>
    </bk>
    <bk>
      <extLst>
        <ext uri="{3e2802c4-a4d2-4d8b-9148-e3be6c30e623}">
          <xlrd:rvb i="393"/>
        </ext>
      </extLst>
    </bk>
    <bk>
      <extLst>
        <ext uri="{3e2802c4-a4d2-4d8b-9148-e3be6c30e623}">
          <xlrd:rvb i="394"/>
        </ext>
      </extLst>
    </bk>
    <bk>
      <extLst>
        <ext uri="{3e2802c4-a4d2-4d8b-9148-e3be6c30e623}">
          <xlrd:rvb i="395"/>
        </ext>
      </extLst>
    </bk>
    <bk>
      <extLst>
        <ext uri="{3e2802c4-a4d2-4d8b-9148-e3be6c30e623}">
          <xlrd:rvb i="396"/>
        </ext>
      </extLst>
    </bk>
    <bk>
      <extLst>
        <ext uri="{3e2802c4-a4d2-4d8b-9148-e3be6c30e623}">
          <xlrd:rvb i="397"/>
        </ext>
      </extLst>
    </bk>
    <bk>
      <extLst>
        <ext uri="{3e2802c4-a4d2-4d8b-9148-e3be6c30e623}">
          <xlrd:rvb i="398"/>
        </ext>
      </extLst>
    </bk>
    <bk>
      <extLst>
        <ext uri="{3e2802c4-a4d2-4d8b-9148-e3be6c30e623}">
          <xlrd:rvb i="399"/>
        </ext>
      </extLst>
    </bk>
    <bk>
      <extLst>
        <ext uri="{3e2802c4-a4d2-4d8b-9148-e3be6c30e623}">
          <xlrd:rvb i="400"/>
        </ext>
      </extLst>
    </bk>
    <bk>
      <extLst>
        <ext uri="{3e2802c4-a4d2-4d8b-9148-e3be6c30e623}">
          <xlrd:rvb i="401"/>
        </ext>
      </extLst>
    </bk>
    <bk>
      <extLst>
        <ext uri="{3e2802c4-a4d2-4d8b-9148-e3be6c30e623}">
          <xlrd:rvb i="402"/>
        </ext>
      </extLst>
    </bk>
    <bk>
      <extLst>
        <ext uri="{3e2802c4-a4d2-4d8b-9148-e3be6c30e623}">
          <xlrd:rvb i="403"/>
        </ext>
      </extLst>
    </bk>
    <bk>
      <extLst>
        <ext uri="{3e2802c4-a4d2-4d8b-9148-e3be6c30e623}">
          <xlrd:rvb i="404"/>
        </ext>
      </extLst>
    </bk>
    <bk>
      <extLst>
        <ext uri="{3e2802c4-a4d2-4d8b-9148-e3be6c30e623}">
          <xlrd:rvb i="405"/>
        </ext>
      </extLst>
    </bk>
    <bk>
      <extLst>
        <ext uri="{3e2802c4-a4d2-4d8b-9148-e3be6c30e623}">
          <xlrd:rvb i="406"/>
        </ext>
      </extLst>
    </bk>
    <bk>
      <extLst>
        <ext uri="{3e2802c4-a4d2-4d8b-9148-e3be6c30e623}">
          <xlrd:rvb i="407"/>
        </ext>
      </extLst>
    </bk>
    <bk>
      <extLst>
        <ext uri="{3e2802c4-a4d2-4d8b-9148-e3be6c30e623}">
          <xlrd:rvb i="408"/>
        </ext>
      </extLst>
    </bk>
    <bk>
      <extLst>
        <ext uri="{3e2802c4-a4d2-4d8b-9148-e3be6c30e623}">
          <xlrd:rvb i="409"/>
        </ext>
      </extLst>
    </bk>
    <bk>
      <extLst>
        <ext uri="{3e2802c4-a4d2-4d8b-9148-e3be6c30e623}">
          <xlrd:rvb i="410"/>
        </ext>
      </extLst>
    </bk>
    <bk>
      <extLst>
        <ext uri="{3e2802c4-a4d2-4d8b-9148-e3be6c30e623}">
          <xlrd:rvb i="411"/>
        </ext>
      </extLst>
    </bk>
    <bk>
      <extLst>
        <ext uri="{3e2802c4-a4d2-4d8b-9148-e3be6c30e623}">
          <xlrd:rvb i="412"/>
        </ext>
      </extLst>
    </bk>
    <bk>
      <extLst>
        <ext uri="{3e2802c4-a4d2-4d8b-9148-e3be6c30e623}">
          <xlrd:rvb i="413"/>
        </ext>
      </extLst>
    </bk>
    <bk>
      <extLst>
        <ext uri="{3e2802c4-a4d2-4d8b-9148-e3be6c30e623}">
          <xlrd:rvb i="414"/>
        </ext>
      </extLst>
    </bk>
    <bk>
      <extLst>
        <ext uri="{3e2802c4-a4d2-4d8b-9148-e3be6c30e623}">
          <xlrd:rvb i="415"/>
        </ext>
      </extLst>
    </bk>
    <bk>
      <extLst>
        <ext uri="{3e2802c4-a4d2-4d8b-9148-e3be6c30e623}">
          <xlrd:rvb i="416"/>
        </ext>
      </extLst>
    </bk>
    <bk>
      <extLst>
        <ext uri="{3e2802c4-a4d2-4d8b-9148-e3be6c30e623}">
          <xlrd:rvb i="417"/>
        </ext>
      </extLst>
    </bk>
    <bk>
      <extLst>
        <ext uri="{3e2802c4-a4d2-4d8b-9148-e3be6c30e623}">
          <xlrd:rvb i="418"/>
        </ext>
      </extLst>
    </bk>
    <bk>
      <extLst>
        <ext uri="{3e2802c4-a4d2-4d8b-9148-e3be6c30e623}">
          <xlrd:rvb i="419"/>
        </ext>
      </extLst>
    </bk>
    <bk>
      <extLst>
        <ext uri="{3e2802c4-a4d2-4d8b-9148-e3be6c30e623}">
          <xlrd:rvb i="420"/>
        </ext>
      </extLst>
    </bk>
    <bk>
      <extLst>
        <ext uri="{3e2802c4-a4d2-4d8b-9148-e3be6c30e623}">
          <xlrd:rvb i="421"/>
        </ext>
      </extLst>
    </bk>
    <bk>
      <extLst>
        <ext uri="{3e2802c4-a4d2-4d8b-9148-e3be6c30e623}">
          <xlrd:rvb i="422"/>
        </ext>
      </extLst>
    </bk>
    <bk>
      <extLst>
        <ext uri="{3e2802c4-a4d2-4d8b-9148-e3be6c30e623}">
          <xlrd:rvb i="423"/>
        </ext>
      </extLst>
    </bk>
    <bk>
      <extLst>
        <ext uri="{3e2802c4-a4d2-4d8b-9148-e3be6c30e623}">
          <xlrd:rvb i="424"/>
        </ext>
      </extLst>
    </bk>
    <bk>
      <extLst>
        <ext uri="{3e2802c4-a4d2-4d8b-9148-e3be6c30e623}">
          <xlrd:rvb i="425"/>
        </ext>
      </extLst>
    </bk>
    <bk>
      <extLst>
        <ext uri="{3e2802c4-a4d2-4d8b-9148-e3be6c30e623}">
          <xlrd:rvb i="426"/>
        </ext>
      </extLst>
    </bk>
    <bk>
      <extLst>
        <ext uri="{3e2802c4-a4d2-4d8b-9148-e3be6c30e623}">
          <xlrd:rvb i="427"/>
        </ext>
      </extLst>
    </bk>
    <bk>
      <extLst>
        <ext uri="{3e2802c4-a4d2-4d8b-9148-e3be6c30e623}">
          <xlrd:rvb i="428"/>
        </ext>
      </extLst>
    </bk>
    <bk>
      <extLst>
        <ext uri="{3e2802c4-a4d2-4d8b-9148-e3be6c30e623}">
          <xlrd:rvb i="429"/>
        </ext>
      </extLst>
    </bk>
    <bk>
      <extLst>
        <ext uri="{3e2802c4-a4d2-4d8b-9148-e3be6c30e623}">
          <xlrd:rvb i="430"/>
        </ext>
      </extLst>
    </bk>
    <bk>
      <extLst>
        <ext uri="{3e2802c4-a4d2-4d8b-9148-e3be6c30e623}">
          <xlrd:rvb i="431"/>
        </ext>
      </extLst>
    </bk>
    <bk>
      <extLst>
        <ext uri="{3e2802c4-a4d2-4d8b-9148-e3be6c30e623}">
          <xlrd:rvb i="432"/>
        </ext>
      </extLst>
    </bk>
    <bk>
      <extLst>
        <ext uri="{3e2802c4-a4d2-4d8b-9148-e3be6c30e623}">
          <xlrd:rvb i="433"/>
        </ext>
      </extLst>
    </bk>
    <bk>
      <extLst>
        <ext uri="{3e2802c4-a4d2-4d8b-9148-e3be6c30e623}">
          <xlrd:rvb i="434"/>
        </ext>
      </extLst>
    </bk>
    <bk>
      <extLst>
        <ext uri="{3e2802c4-a4d2-4d8b-9148-e3be6c30e623}">
          <xlrd:rvb i="435"/>
        </ext>
      </extLst>
    </bk>
    <bk>
      <extLst>
        <ext uri="{3e2802c4-a4d2-4d8b-9148-e3be6c30e623}">
          <xlrd:rvb i="436"/>
        </ext>
      </extLst>
    </bk>
    <bk>
      <extLst>
        <ext uri="{3e2802c4-a4d2-4d8b-9148-e3be6c30e623}">
          <xlrd:rvb i="437"/>
        </ext>
      </extLst>
    </bk>
    <bk>
      <extLst>
        <ext uri="{3e2802c4-a4d2-4d8b-9148-e3be6c30e623}">
          <xlrd:rvb i="438"/>
        </ext>
      </extLst>
    </bk>
    <bk>
      <extLst>
        <ext uri="{3e2802c4-a4d2-4d8b-9148-e3be6c30e623}">
          <xlrd:rvb i="439"/>
        </ext>
      </extLst>
    </bk>
    <bk>
      <extLst>
        <ext uri="{3e2802c4-a4d2-4d8b-9148-e3be6c30e623}">
          <xlrd:rvb i="440"/>
        </ext>
      </extLst>
    </bk>
    <bk>
      <extLst>
        <ext uri="{3e2802c4-a4d2-4d8b-9148-e3be6c30e623}">
          <xlrd:rvb i="441"/>
        </ext>
      </extLst>
    </bk>
    <bk>
      <extLst>
        <ext uri="{3e2802c4-a4d2-4d8b-9148-e3be6c30e623}">
          <xlrd:rvb i="442"/>
        </ext>
      </extLst>
    </bk>
    <bk>
      <extLst>
        <ext uri="{3e2802c4-a4d2-4d8b-9148-e3be6c30e623}">
          <xlrd:rvb i="443"/>
        </ext>
      </extLst>
    </bk>
    <bk>
      <extLst>
        <ext uri="{3e2802c4-a4d2-4d8b-9148-e3be6c30e623}">
          <xlrd:rvb i="444"/>
        </ext>
      </extLst>
    </bk>
    <bk>
      <extLst>
        <ext uri="{3e2802c4-a4d2-4d8b-9148-e3be6c30e623}">
          <xlrd:rvb i="445"/>
        </ext>
      </extLst>
    </bk>
    <bk>
      <extLst>
        <ext uri="{3e2802c4-a4d2-4d8b-9148-e3be6c30e623}">
          <xlrd:rvb i="446"/>
        </ext>
      </extLst>
    </bk>
    <bk>
      <extLst>
        <ext uri="{3e2802c4-a4d2-4d8b-9148-e3be6c30e623}">
          <xlrd:rvb i="447"/>
        </ext>
      </extLst>
    </bk>
    <bk>
      <extLst>
        <ext uri="{3e2802c4-a4d2-4d8b-9148-e3be6c30e623}">
          <xlrd:rvb i="448"/>
        </ext>
      </extLst>
    </bk>
    <bk>
      <extLst>
        <ext uri="{3e2802c4-a4d2-4d8b-9148-e3be6c30e623}">
          <xlrd:rvb i="449"/>
        </ext>
      </extLst>
    </bk>
    <bk>
      <extLst>
        <ext uri="{3e2802c4-a4d2-4d8b-9148-e3be6c30e623}">
          <xlrd:rvb i="450"/>
        </ext>
      </extLst>
    </bk>
    <bk>
      <extLst>
        <ext uri="{3e2802c4-a4d2-4d8b-9148-e3be6c30e623}">
          <xlrd:rvb i="451"/>
        </ext>
      </extLst>
    </bk>
    <bk>
      <extLst>
        <ext uri="{3e2802c4-a4d2-4d8b-9148-e3be6c30e623}">
          <xlrd:rvb i="452"/>
        </ext>
      </extLst>
    </bk>
    <bk>
      <extLst>
        <ext uri="{3e2802c4-a4d2-4d8b-9148-e3be6c30e623}">
          <xlrd:rvb i="453"/>
        </ext>
      </extLst>
    </bk>
    <bk>
      <extLst>
        <ext uri="{3e2802c4-a4d2-4d8b-9148-e3be6c30e623}">
          <xlrd:rvb i="454"/>
        </ext>
      </extLst>
    </bk>
    <bk>
      <extLst>
        <ext uri="{3e2802c4-a4d2-4d8b-9148-e3be6c30e623}">
          <xlrd:rvb i="455"/>
        </ext>
      </extLst>
    </bk>
    <bk>
      <extLst>
        <ext uri="{3e2802c4-a4d2-4d8b-9148-e3be6c30e623}">
          <xlrd:rvb i="456"/>
        </ext>
      </extLst>
    </bk>
    <bk>
      <extLst>
        <ext uri="{3e2802c4-a4d2-4d8b-9148-e3be6c30e623}">
          <xlrd:rvb i="457"/>
        </ext>
      </extLst>
    </bk>
    <bk>
      <extLst>
        <ext uri="{3e2802c4-a4d2-4d8b-9148-e3be6c30e623}">
          <xlrd:rvb i="458"/>
        </ext>
      </extLst>
    </bk>
    <bk>
      <extLst>
        <ext uri="{3e2802c4-a4d2-4d8b-9148-e3be6c30e623}">
          <xlrd:rvb i="459"/>
        </ext>
      </extLst>
    </bk>
    <bk>
      <extLst>
        <ext uri="{3e2802c4-a4d2-4d8b-9148-e3be6c30e623}">
          <xlrd:rvb i="460"/>
        </ext>
      </extLst>
    </bk>
    <bk>
      <extLst>
        <ext uri="{3e2802c4-a4d2-4d8b-9148-e3be6c30e623}">
          <xlrd:rvb i="461"/>
        </ext>
      </extLst>
    </bk>
    <bk>
      <extLst>
        <ext uri="{3e2802c4-a4d2-4d8b-9148-e3be6c30e623}">
          <xlrd:rvb i="462"/>
        </ext>
      </extLst>
    </bk>
    <bk>
      <extLst>
        <ext uri="{3e2802c4-a4d2-4d8b-9148-e3be6c30e623}">
          <xlrd:rvb i="463"/>
        </ext>
      </extLst>
    </bk>
    <bk>
      <extLst>
        <ext uri="{3e2802c4-a4d2-4d8b-9148-e3be6c30e623}">
          <xlrd:rvb i="464"/>
        </ext>
      </extLst>
    </bk>
    <bk>
      <extLst>
        <ext uri="{3e2802c4-a4d2-4d8b-9148-e3be6c30e623}">
          <xlrd:rvb i="465"/>
        </ext>
      </extLst>
    </bk>
    <bk>
      <extLst>
        <ext uri="{3e2802c4-a4d2-4d8b-9148-e3be6c30e623}">
          <xlrd:rvb i="466"/>
        </ext>
      </extLst>
    </bk>
    <bk>
      <extLst>
        <ext uri="{3e2802c4-a4d2-4d8b-9148-e3be6c30e623}">
          <xlrd:rvb i="467"/>
        </ext>
      </extLst>
    </bk>
    <bk>
      <extLst>
        <ext uri="{3e2802c4-a4d2-4d8b-9148-e3be6c30e623}">
          <xlrd:rvb i="468"/>
        </ext>
      </extLst>
    </bk>
    <bk>
      <extLst>
        <ext uri="{3e2802c4-a4d2-4d8b-9148-e3be6c30e623}">
          <xlrd:rvb i="469"/>
        </ext>
      </extLst>
    </bk>
    <bk>
      <extLst>
        <ext uri="{3e2802c4-a4d2-4d8b-9148-e3be6c30e623}">
          <xlrd:rvb i="470"/>
        </ext>
      </extLst>
    </bk>
    <bk>
      <extLst>
        <ext uri="{3e2802c4-a4d2-4d8b-9148-e3be6c30e623}">
          <xlrd:rvb i="471"/>
        </ext>
      </extLst>
    </bk>
    <bk>
      <extLst>
        <ext uri="{3e2802c4-a4d2-4d8b-9148-e3be6c30e623}">
          <xlrd:rvb i="472"/>
        </ext>
      </extLst>
    </bk>
    <bk>
      <extLst>
        <ext uri="{3e2802c4-a4d2-4d8b-9148-e3be6c30e623}">
          <xlrd:rvb i="473"/>
        </ext>
      </extLst>
    </bk>
    <bk>
      <extLst>
        <ext uri="{3e2802c4-a4d2-4d8b-9148-e3be6c30e623}">
          <xlrd:rvb i="474"/>
        </ext>
      </extLst>
    </bk>
    <bk>
      <extLst>
        <ext uri="{3e2802c4-a4d2-4d8b-9148-e3be6c30e623}">
          <xlrd:rvb i="475"/>
        </ext>
      </extLst>
    </bk>
    <bk>
      <extLst>
        <ext uri="{3e2802c4-a4d2-4d8b-9148-e3be6c30e623}">
          <xlrd:rvb i="476"/>
        </ext>
      </extLst>
    </bk>
    <bk>
      <extLst>
        <ext uri="{3e2802c4-a4d2-4d8b-9148-e3be6c30e623}">
          <xlrd:rvb i="477"/>
        </ext>
      </extLst>
    </bk>
    <bk>
      <extLst>
        <ext uri="{3e2802c4-a4d2-4d8b-9148-e3be6c30e623}">
          <xlrd:rvb i="478"/>
        </ext>
      </extLst>
    </bk>
    <bk>
      <extLst>
        <ext uri="{3e2802c4-a4d2-4d8b-9148-e3be6c30e623}">
          <xlrd:rvb i="479"/>
        </ext>
      </extLst>
    </bk>
    <bk>
      <extLst>
        <ext uri="{3e2802c4-a4d2-4d8b-9148-e3be6c30e623}">
          <xlrd:rvb i="480"/>
        </ext>
      </extLst>
    </bk>
    <bk>
      <extLst>
        <ext uri="{3e2802c4-a4d2-4d8b-9148-e3be6c30e623}">
          <xlrd:rvb i="481"/>
        </ext>
      </extLst>
    </bk>
    <bk>
      <extLst>
        <ext uri="{3e2802c4-a4d2-4d8b-9148-e3be6c30e623}">
          <xlrd:rvb i="482"/>
        </ext>
      </extLst>
    </bk>
    <bk>
      <extLst>
        <ext uri="{3e2802c4-a4d2-4d8b-9148-e3be6c30e623}">
          <xlrd:rvb i="483"/>
        </ext>
      </extLst>
    </bk>
    <bk>
      <extLst>
        <ext uri="{3e2802c4-a4d2-4d8b-9148-e3be6c30e623}">
          <xlrd:rvb i="484"/>
        </ext>
      </extLst>
    </bk>
    <bk>
      <extLst>
        <ext uri="{3e2802c4-a4d2-4d8b-9148-e3be6c30e623}">
          <xlrd:rvb i="485"/>
        </ext>
      </extLst>
    </bk>
    <bk>
      <extLst>
        <ext uri="{3e2802c4-a4d2-4d8b-9148-e3be6c30e623}">
          <xlrd:rvb i="486"/>
        </ext>
      </extLst>
    </bk>
    <bk>
      <extLst>
        <ext uri="{3e2802c4-a4d2-4d8b-9148-e3be6c30e623}">
          <xlrd:rvb i="487"/>
        </ext>
      </extLst>
    </bk>
    <bk>
      <extLst>
        <ext uri="{3e2802c4-a4d2-4d8b-9148-e3be6c30e623}">
          <xlrd:rvb i="488"/>
        </ext>
      </extLst>
    </bk>
    <bk>
      <extLst>
        <ext uri="{3e2802c4-a4d2-4d8b-9148-e3be6c30e623}">
          <xlrd:rvb i="489"/>
        </ext>
      </extLst>
    </bk>
    <bk>
      <extLst>
        <ext uri="{3e2802c4-a4d2-4d8b-9148-e3be6c30e623}">
          <xlrd:rvb i="490"/>
        </ext>
      </extLst>
    </bk>
    <bk>
      <extLst>
        <ext uri="{3e2802c4-a4d2-4d8b-9148-e3be6c30e623}">
          <xlrd:rvb i="491"/>
        </ext>
      </extLst>
    </bk>
    <bk>
      <extLst>
        <ext uri="{3e2802c4-a4d2-4d8b-9148-e3be6c30e623}">
          <xlrd:rvb i="492"/>
        </ext>
      </extLst>
    </bk>
    <bk>
      <extLst>
        <ext uri="{3e2802c4-a4d2-4d8b-9148-e3be6c30e623}">
          <xlrd:rvb i="493"/>
        </ext>
      </extLst>
    </bk>
    <bk>
      <extLst>
        <ext uri="{3e2802c4-a4d2-4d8b-9148-e3be6c30e623}">
          <xlrd:rvb i="494"/>
        </ext>
      </extLst>
    </bk>
    <bk>
      <extLst>
        <ext uri="{3e2802c4-a4d2-4d8b-9148-e3be6c30e623}">
          <xlrd:rvb i="495"/>
        </ext>
      </extLst>
    </bk>
    <bk>
      <extLst>
        <ext uri="{3e2802c4-a4d2-4d8b-9148-e3be6c30e623}">
          <xlrd:rvb i="496"/>
        </ext>
      </extLst>
    </bk>
    <bk>
      <extLst>
        <ext uri="{3e2802c4-a4d2-4d8b-9148-e3be6c30e623}">
          <xlrd:rvb i="497"/>
        </ext>
      </extLst>
    </bk>
    <bk>
      <extLst>
        <ext uri="{3e2802c4-a4d2-4d8b-9148-e3be6c30e623}">
          <xlrd:rvb i="498"/>
        </ext>
      </extLst>
    </bk>
    <bk>
      <extLst>
        <ext uri="{3e2802c4-a4d2-4d8b-9148-e3be6c30e623}">
          <xlrd:rvb i="499"/>
        </ext>
      </extLst>
    </bk>
    <bk>
      <extLst>
        <ext uri="{3e2802c4-a4d2-4d8b-9148-e3be6c30e623}">
          <xlrd:rvb i="500"/>
        </ext>
      </extLst>
    </bk>
    <bk>
      <extLst>
        <ext uri="{3e2802c4-a4d2-4d8b-9148-e3be6c30e623}">
          <xlrd:rvb i="501"/>
        </ext>
      </extLst>
    </bk>
    <bk>
      <extLst>
        <ext uri="{3e2802c4-a4d2-4d8b-9148-e3be6c30e623}">
          <xlrd:rvb i="502"/>
        </ext>
      </extLst>
    </bk>
    <bk>
      <extLst>
        <ext uri="{3e2802c4-a4d2-4d8b-9148-e3be6c30e623}">
          <xlrd:rvb i="503"/>
        </ext>
      </extLst>
    </bk>
    <bk>
      <extLst>
        <ext uri="{3e2802c4-a4d2-4d8b-9148-e3be6c30e623}">
          <xlrd:rvb i="504"/>
        </ext>
      </extLst>
    </bk>
    <bk>
      <extLst>
        <ext uri="{3e2802c4-a4d2-4d8b-9148-e3be6c30e623}">
          <xlrd:rvb i="505"/>
        </ext>
      </extLst>
    </bk>
    <bk>
      <extLst>
        <ext uri="{3e2802c4-a4d2-4d8b-9148-e3be6c30e623}">
          <xlrd:rvb i="506"/>
        </ext>
      </extLst>
    </bk>
    <bk>
      <extLst>
        <ext uri="{3e2802c4-a4d2-4d8b-9148-e3be6c30e623}">
          <xlrd:rvb i="507"/>
        </ext>
      </extLst>
    </bk>
    <bk>
      <extLst>
        <ext uri="{3e2802c4-a4d2-4d8b-9148-e3be6c30e623}">
          <xlrd:rvb i="508"/>
        </ext>
      </extLst>
    </bk>
    <bk>
      <extLst>
        <ext uri="{3e2802c4-a4d2-4d8b-9148-e3be6c30e623}">
          <xlrd:rvb i="509"/>
        </ext>
      </extLst>
    </bk>
    <bk>
      <extLst>
        <ext uri="{3e2802c4-a4d2-4d8b-9148-e3be6c30e623}">
          <xlrd:rvb i="510"/>
        </ext>
      </extLst>
    </bk>
    <bk>
      <extLst>
        <ext uri="{3e2802c4-a4d2-4d8b-9148-e3be6c30e623}">
          <xlrd:rvb i="511"/>
        </ext>
      </extLst>
    </bk>
    <bk>
      <extLst>
        <ext uri="{3e2802c4-a4d2-4d8b-9148-e3be6c30e623}">
          <xlrd:rvb i="512"/>
        </ext>
      </extLst>
    </bk>
    <bk>
      <extLst>
        <ext uri="{3e2802c4-a4d2-4d8b-9148-e3be6c30e623}">
          <xlrd:rvb i="513"/>
        </ext>
      </extLst>
    </bk>
    <bk>
      <extLst>
        <ext uri="{3e2802c4-a4d2-4d8b-9148-e3be6c30e623}">
          <xlrd:rvb i="514"/>
        </ext>
      </extLst>
    </bk>
    <bk>
      <extLst>
        <ext uri="{3e2802c4-a4d2-4d8b-9148-e3be6c30e623}">
          <xlrd:rvb i="515"/>
        </ext>
      </extLst>
    </bk>
    <bk>
      <extLst>
        <ext uri="{3e2802c4-a4d2-4d8b-9148-e3be6c30e623}">
          <xlrd:rvb i="516"/>
        </ext>
      </extLst>
    </bk>
    <bk>
      <extLst>
        <ext uri="{3e2802c4-a4d2-4d8b-9148-e3be6c30e623}">
          <xlrd:rvb i="517"/>
        </ext>
      </extLst>
    </bk>
    <bk>
      <extLst>
        <ext uri="{3e2802c4-a4d2-4d8b-9148-e3be6c30e623}">
          <xlrd:rvb i="518"/>
        </ext>
      </extLst>
    </bk>
    <bk>
      <extLst>
        <ext uri="{3e2802c4-a4d2-4d8b-9148-e3be6c30e623}">
          <xlrd:rvb i="519"/>
        </ext>
      </extLst>
    </bk>
    <bk>
      <extLst>
        <ext uri="{3e2802c4-a4d2-4d8b-9148-e3be6c30e623}">
          <xlrd:rvb i="520"/>
        </ext>
      </extLst>
    </bk>
    <bk>
      <extLst>
        <ext uri="{3e2802c4-a4d2-4d8b-9148-e3be6c30e623}">
          <xlrd:rvb i="521"/>
        </ext>
      </extLst>
    </bk>
    <bk>
      <extLst>
        <ext uri="{3e2802c4-a4d2-4d8b-9148-e3be6c30e623}">
          <xlrd:rvb i="522"/>
        </ext>
      </extLst>
    </bk>
    <bk>
      <extLst>
        <ext uri="{3e2802c4-a4d2-4d8b-9148-e3be6c30e623}">
          <xlrd:rvb i="523"/>
        </ext>
      </extLst>
    </bk>
    <bk>
      <extLst>
        <ext uri="{3e2802c4-a4d2-4d8b-9148-e3be6c30e623}">
          <xlrd:rvb i="524"/>
        </ext>
      </extLst>
    </bk>
    <bk>
      <extLst>
        <ext uri="{3e2802c4-a4d2-4d8b-9148-e3be6c30e623}">
          <xlrd:rvb i="525"/>
        </ext>
      </extLst>
    </bk>
    <bk>
      <extLst>
        <ext uri="{3e2802c4-a4d2-4d8b-9148-e3be6c30e623}">
          <xlrd:rvb i="526"/>
        </ext>
      </extLst>
    </bk>
    <bk>
      <extLst>
        <ext uri="{3e2802c4-a4d2-4d8b-9148-e3be6c30e623}">
          <xlrd:rvb i="527"/>
        </ext>
      </extLst>
    </bk>
    <bk>
      <extLst>
        <ext uri="{3e2802c4-a4d2-4d8b-9148-e3be6c30e623}">
          <xlrd:rvb i="528"/>
        </ext>
      </extLst>
    </bk>
    <bk>
      <extLst>
        <ext uri="{3e2802c4-a4d2-4d8b-9148-e3be6c30e623}">
          <xlrd:rvb i="529"/>
        </ext>
      </extLst>
    </bk>
    <bk>
      <extLst>
        <ext uri="{3e2802c4-a4d2-4d8b-9148-e3be6c30e623}">
          <xlrd:rvb i="530"/>
        </ext>
      </extLst>
    </bk>
    <bk>
      <extLst>
        <ext uri="{3e2802c4-a4d2-4d8b-9148-e3be6c30e623}">
          <xlrd:rvb i="531"/>
        </ext>
      </extLst>
    </bk>
    <bk>
      <extLst>
        <ext uri="{3e2802c4-a4d2-4d8b-9148-e3be6c30e623}">
          <xlrd:rvb i="532"/>
        </ext>
      </extLst>
    </bk>
    <bk>
      <extLst>
        <ext uri="{3e2802c4-a4d2-4d8b-9148-e3be6c30e623}">
          <xlrd:rvb i="533"/>
        </ext>
      </extLst>
    </bk>
    <bk>
      <extLst>
        <ext uri="{3e2802c4-a4d2-4d8b-9148-e3be6c30e623}">
          <xlrd:rvb i="534"/>
        </ext>
      </extLst>
    </bk>
    <bk>
      <extLst>
        <ext uri="{3e2802c4-a4d2-4d8b-9148-e3be6c30e623}">
          <xlrd:rvb i="535"/>
        </ext>
      </extLst>
    </bk>
    <bk>
      <extLst>
        <ext uri="{3e2802c4-a4d2-4d8b-9148-e3be6c30e623}">
          <xlrd:rvb i="536"/>
        </ext>
      </extLst>
    </bk>
    <bk>
      <extLst>
        <ext uri="{3e2802c4-a4d2-4d8b-9148-e3be6c30e623}">
          <xlrd:rvb i="537"/>
        </ext>
      </extLst>
    </bk>
    <bk>
      <extLst>
        <ext uri="{3e2802c4-a4d2-4d8b-9148-e3be6c30e623}">
          <xlrd:rvb i="538"/>
        </ext>
      </extLst>
    </bk>
    <bk>
      <extLst>
        <ext uri="{3e2802c4-a4d2-4d8b-9148-e3be6c30e623}">
          <xlrd:rvb i="539"/>
        </ext>
      </extLst>
    </bk>
    <bk>
      <extLst>
        <ext uri="{3e2802c4-a4d2-4d8b-9148-e3be6c30e623}">
          <xlrd:rvb i="540"/>
        </ext>
      </extLst>
    </bk>
    <bk>
      <extLst>
        <ext uri="{3e2802c4-a4d2-4d8b-9148-e3be6c30e623}">
          <xlrd:rvb i="541"/>
        </ext>
      </extLst>
    </bk>
    <bk>
      <extLst>
        <ext uri="{3e2802c4-a4d2-4d8b-9148-e3be6c30e623}">
          <xlrd:rvb i="542"/>
        </ext>
      </extLst>
    </bk>
    <bk>
      <extLst>
        <ext uri="{3e2802c4-a4d2-4d8b-9148-e3be6c30e623}">
          <xlrd:rvb i="543"/>
        </ext>
      </extLst>
    </bk>
    <bk>
      <extLst>
        <ext uri="{3e2802c4-a4d2-4d8b-9148-e3be6c30e623}">
          <xlrd:rvb i="544"/>
        </ext>
      </extLst>
    </bk>
    <bk>
      <extLst>
        <ext uri="{3e2802c4-a4d2-4d8b-9148-e3be6c30e623}">
          <xlrd:rvb i="545"/>
        </ext>
      </extLst>
    </bk>
    <bk>
      <extLst>
        <ext uri="{3e2802c4-a4d2-4d8b-9148-e3be6c30e623}">
          <xlrd:rvb i="546"/>
        </ext>
      </extLst>
    </bk>
    <bk>
      <extLst>
        <ext uri="{3e2802c4-a4d2-4d8b-9148-e3be6c30e623}">
          <xlrd:rvb i="547"/>
        </ext>
      </extLst>
    </bk>
    <bk>
      <extLst>
        <ext uri="{3e2802c4-a4d2-4d8b-9148-e3be6c30e623}">
          <xlrd:rvb i="548"/>
        </ext>
      </extLst>
    </bk>
    <bk>
      <extLst>
        <ext uri="{3e2802c4-a4d2-4d8b-9148-e3be6c30e623}">
          <xlrd:rvb i="549"/>
        </ext>
      </extLst>
    </bk>
    <bk>
      <extLst>
        <ext uri="{3e2802c4-a4d2-4d8b-9148-e3be6c30e623}">
          <xlrd:rvb i="550"/>
        </ext>
      </extLst>
    </bk>
    <bk>
      <extLst>
        <ext uri="{3e2802c4-a4d2-4d8b-9148-e3be6c30e623}">
          <xlrd:rvb i="551"/>
        </ext>
      </extLst>
    </bk>
    <bk>
      <extLst>
        <ext uri="{3e2802c4-a4d2-4d8b-9148-e3be6c30e623}">
          <xlrd:rvb i="552"/>
        </ext>
      </extLst>
    </bk>
    <bk>
      <extLst>
        <ext uri="{3e2802c4-a4d2-4d8b-9148-e3be6c30e623}">
          <xlrd:rvb i="553"/>
        </ext>
      </extLst>
    </bk>
    <bk>
      <extLst>
        <ext uri="{3e2802c4-a4d2-4d8b-9148-e3be6c30e623}">
          <xlrd:rvb i="554"/>
        </ext>
      </extLst>
    </bk>
    <bk>
      <extLst>
        <ext uri="{3e2802c4-a4d2-4d8b-9148-e3be6c30e623}">
          <xlrd:rvb i="555"/>
        </ext>
      </extLst>
    </bk>
    <bk>
      <extLst>
        <ext uri="{3e2802c4-a4d2-4d8b-9148-e3be6c30e623}">
          <xlrd:rvb i="556"/>
        </ext>
      </extLst>
    </bk>
    <bk>
      <extLst>
        <ext uri="{3e2802c4-a4d2-4d8b-9148-e3be6c30e623}">
          <xlrd:rvb i="557"/>
        </ext>
      </extLst>
    </bk>
    <bk>
      <extLst>
        <ext uri="{3e2802c4-a4d2-4d8b-9148-e3be6c30e623}">
          <xlrd:rvb i="558"/>
        </ext>
      </extLst>
    </bk>
    <bk>
      <extLst>
        <ext uri="{3e2802c4-a4d2-4d8b-9148-e3be6c30e623}">
          <xlrd:rvb i="559"/>
        </ext>
      </extLst>
    </bk>
    <bk>
      <extLst>
        <ext uri="{3e2802c4-a4d2-4d8b-9148-e3be6c30e623}">
          <xlrd:rvb i="560"/>
        </ext>
      </extLst>
    </bk>
    <bk>
      <extLst>
        <ext uri="{3e2802c4-a4d2-4d8b-9148-e3be6c30e623}">
          <xlrd:rvb i="561"/>
        </ext>
      </extLst>
    </bk>
    <bk>
      <extLst>
        <ext uri="{3e2802c4-a4d2-4d8b-9148-e3be6c30e623}">
          <xlrd:rvb i="562"/>
        </ext>
      </extLst>
    </bk>
    <bk>
      <extLst>
        <ext uri="{3e2802c4-a4d2-4d8b-9148-e3be6c30e623}">
          <xlrd:rvb i="563"/>
        </ext>
      </extLst>
    </bk>
    <bk>
      <extLst>
        <ext uri="{3e2802c4-a4d2-4d8b-9148-e3be6c30e623}">
          <xlrd:rvb i="564"/>
        </ext>
      </extLst>
    </bk>
    <bk>
      <extLst>
        <ext uri="{3e2802c4-a4d2-4d8b-9148-e3be6c30e623}">
          <xlrd:rvb i="565"/>
        </ext>
      </extLst>
    </bk>
    <bk>
      <extLst>
        <ext uri="{3e2802c4-a4d2-4d8b-9148-e3be6c30e623}">
          <xlrd:rvb i="566"/>
        </ext>
      </extLst>
    </bk>
    <bk>
      <extLst>
        <ext uri="{3e2802c4-a4d2-4d8b-9148-e3be6c30e623}">
          <xlrd:rvb i="567"/>
        </ext>
      </extLst>
    </bk>
    <bk>
      <extLst>
        <ext uri="{3e2802c4-a4d2-4d8b-9148-e3be6c30e623}">
          <xlrd:rvb i="568"/>
        </ext>
      </extLst>
    </bk>
    <bk>
      <extLst>
        <ext uri="{3e2802c4-a4d2-4d8b-9148-e3be6c30e623}">
          <xlrd:rvb i="569"/>
        </ext>
      </extLst>
    </bk>
    <bk>
      <extLst>
        <ext uri="{3e2802c4-a4d2-4d8b-9148-e3be6c30e623}">
          <xlrd:rvb i="570"/>
        </ext>
      </extLst>
    </bk>
    <bk>
      <extLst>
        <ext uri="{3e2802c4-a4d2-4d8b-9148-e3be6c30e623}">
          <xlrd:rvb i="571"/>
        </ext>
      </extLst>
    </bk>
    <bk>
      <extLst>
        <ext uri="{3e2802c4-a4d2-4d8b-9148-e3be6c30e623}">
          <xlrd:rvb i="572"/>
        </ext>
      </extLst>
    </bk>
    <bk>
      <extLst>
        <ext uri="{3e2802c4-a4d2-4d8b-9148-e3be6c30e623}">
          <xlrd:rvb i="573"/>
        </ext>
      </extLst>
    </bk>
    <bk>
      <extLst>
        <ext uri="{3e2802c4-a4d2-4d8b-9148-e3be6c30e623}">
          <xlrd:rvb i="574"/>
        </ext>
      </extLst>
    </bk>
    <bk>
      <extLst>
        <ext uri="{3e2802c4-a4d2-4d8b-9148-e3be6c30e623}">
          <xlrd:rvb i="575"/>
        </ext>
      </extLst>
    </bk>
    <bk>
      <extLst>
        <ext uri="{3e2802c4-a4d2-4d8b-9148-e3be6c30e623}">
          <xlrd:rvb i="576"/>
        </ext>
      </extLst>
    </bk>
    <bk>
      <extLst>
        <ext uri="{3e2802c4-a4d2-4d8b-9148-e3be6c30e623}">
          <xlrd:rvb i="577"/>
        </ext>
      </extLst>
    </bk>
    <bk>
      <extLst>
        <ext uri="{3e2802c4-a4d2-4d8b-9148-e3be6c30e623}">
          <xlrd:rvb i="578"/>
        </ext>
      </extLst>
    </bk>
    <bk>
      <extLst>
        <ext uri="{3e2802c4-a4d2-4d8b-9148-e3be6c30e623}">
          <xlrd:rvb i="579"/>
        </ext>
      </extLst>
    </bk>
    <bk>
      <extLst>
        <ext uri="{3e2802c4-a4d2-4d8b-9148-e3be6c30e623}">
          <xlrd:rvb i="580"/>
        </ext>
      </extLst>
    </bk>
    <bk>
      <extLst>
        <ext uri="{3e2802c4-a4d2-4d8b-9148-e3be6c30e623}">
          <xlrd:rvb i="581"/>
        </ext>
      </extLst>
    </bk>
    <bk>
      <extLst>
        <ext uri="{3e2802c4-a4d2-4d8b-9148-e3be6c30e623}">
          <xlrd:rvb i="582"/>
        </ext>
      </extLst>
    </bk>
    <bk>
      <extLst>
        <ext uri="{3e2802c4-a4d2-4d8b-9148-e3be6c30e623}">
          <xlrd:rvb i="583"/>
        </ext>
      </extLst>
    </bk>
    <bk>
      <extLst>
        <ext uri="{3e2802c4-a4d2-4d8b-9148-e3be6c30e623}">
          <xlrd:rvb i="584"/>
        </ext>
      </extLst>
    </bk>
    <bk>
      <extLst>
        <ext uri="{3e2802c4-a4d2-4d8b-9148-e3be6c30e623}">
          <xlrd:rvb i="585"/>
        </ext>
      </extLst>
    </bk>
    <bk>
      <extLst>
        <ext uri="{3e2802c4-a4d2-4d8b-9148-e3be6c30e623}">
          <xlrd:rvb i="586"/>
        </ext>
      </extLst>
    </bk>
    <bk>
      <extLst>
        <ext uri="{3e2802c4-a4d2-4d8b-9148-e3be6c30e623}">
          <xlrd:rvb i="587"/>
        </ext>
      </extLst>
    </bk>
    <bk>
      <extLst>
        <ext uri="{3e2802c4-a4d2-4d8b-9148-e3be6c30e623}">
          <xlrd:rvb i="588"/>
        </ext>
      </extLst>
    </bk>
    <bk>
      <extLst>
        <ext uri="{3e2802c4-a4d2-4d8b-9148-e3be6c30e623}">
          <xlrd:rvb i="589"/>
        </ext>
      </extLst>
    </bk>
    <bk>
      <extLst>
        <ext uri="{3e2802c4-a4d2-4d8b-9148-e3be6c30e623}">
          <xlrd:rvb i="590"/>
        </ext>
      </extLst>
    </bk>
    <bk>
      <extLst>
        <ext uri="{3e2802c4-a4d2-4d8b-9148-e3be6c30e623}">
          <xlrd:rvb i="591"/>
        </ext>
      </extLst>
    </bk>
    <bk>
      <extLst>
        <ext uri="{3e2802c4-a4d2-4d8b-9148-e3be6c30e623}">
          <xlrd:rvb i="592"/>
        </ext>
      </extLst>
    </bk>
    <bk>
      <extLst>
        <ext uri="{3e2802c4-a4d2-4d8b-9148-e3be6c30e623}">
          <xlrd:rvb i="593"/>
        </ext>
      </extLst>
    </bk>
    <bk>
      <extLst>
        <ext uri="{3e2802c4-a4d2-4d8b-9148-e3be6c30e623}">
          <xlrd:rvb i="594"/>
        </ext>
      </extLst>
    </bk>
    <bk>
      <extLst>
        <ext uri="{3e2802c4-a4d2-4d8b-9148-e3be6c30e623}">
          <xlrd:rvb i="595"/>
        </ext>
      </extLst>
    </bk>
    <bk>
      <extLst>
        <ext uri="{3e2802c4-a4d2-4d8b-9148-e3be6c30e623}">
          <xlrd:rvb i="596"/>
        </ext>
      </extLst>
    </bk>
    <bk>
      <extLst>
        <ext uri="{3e2802c4-a4d2-4d8b-9148-e3be6c30e623}">
          <xlrd:rvb i="597"/>
        </ext>
      </extLst>
    </bk>
    <bk>
      <extLst>
        <ext uri="{3e2802c4-a4d2-4d8b-9148-e3be6c30e623}">
          <xlrd:rvb i="598"/>
        </ext>
      </extLst>
    </bk>
    <bk>
      <extLst>
        <ext uri="{3e2802c4-a4d2-4d8b-9148-e3be6c30e623}">
          <xlrd:rvb i="599"/>
        </ext>
      </extLst>
    </bk>
    <bk>
      <extLst>
        <ext uri="{3e2802c4-a4d2-4d8b-9148-e3be6c30e623}">
          <xlrd:rvb i="600"/>
        </ext>
      </extLst>
    </bk>
    <bk>
      <extLst>
        <ext uri="{3e2802c4-a4d2-4d8b-9148-e3be6c30e623}">
          <xlrd:rvb i="601"/>
        </ext>
      </extLst>
    </bk>
    <bk>
      <extLst>
        <ext uri="{3e2802c4-a4d2-4d8b-9148-e3be6c30e623}">
          <xlrd:rvb i="602"/>
        </ext>
      </extLst>
    </bk>
    <bk>
      <extLst>
        <ext uri="{3e2802c4-a4d2-4d8b-9148-e3be6c30e623}">
          <xlrd:rvb i="603"/>
        </ext>
      </extLst>
    </bk>
    <bk>
      <extLst>
        <ext uri="{3e2802c4-a4d2-4d8b-9148-e3be6c30e623}">
          <xlrd:rvb i="604"/>
        </ext>
      </extLst>
    </bk>
    <bk>
      <extLst>
        <ext uri="{3e2802c4-a4d2-4d8b-9148-e3be6c30e623}">
          <xlrd:rvb i="605"/>
        </ext>
      </extLst>
    </bk>
    <bk>
      <extLst>
        <ext uri="{3e2802c4-a4d2-4d8b-9148-e3be6c30e623}">
          <xlrd:rvb i="606"/>
        </ext>
      </extLst>
    </bk>
    <bk>
      <extLst>
        <ext uri="{3e2802c4-a4d2-4d8b-9148-e3be6c30e623}">
          <xlrd:rvb i="607"/>
        </ext>
      </extLst>
    </bk>
    <bk>
      <extLst>
        <ext uri="{3e2802c4-a4d2-4d8b-9148-e3be6c30e623}">
          <xlrd:rvb i="608"/>
        </ext>
      </extLst>
    </bk>
    <bk>
      <extLst>
        <ext uri="{3e2802c4-a4d2-4d8b-9148-e3be6c30e623}">
          <xlrd:rvb i="609"/>
        </ext>
      </extLst>
    </bk>
    <bk>
      <extLst>
        <ext uri="{3e2802c4-a4d2-4d8b-9148-e3be6c30e623}">
          <xlrd:rvb i="610"/>
        </ext>
      </extLst>
    </bk>
    <bk>
      <extLst>
        <ext uri="{3e2802c4-a4d2-4d8b-9148-e3be6c30e623}">
          <xlrd:rvb i="611"/>
        </ext>
      </extLst>
    </bk>
    <bk>
      <extLst>
        <ext uri="{3e2802c4-a4d2-4d8b-9148-e3be6c30e623}">
          <xlrd:rvb i="612"/>
        </ext>
      </extLst>
    </bk>
    <bk>
      <extLst>
        <ext uri="{3e2802c4-a4d2-4d8b-9148-e3be6c30e623}">
          <xlrd:rvb i="613"/>
        </ext>
      </extLst>
    </bk>
    <bk>
      <extLst>
        <ext uri="{3e2802c4-a4d2-4d8b-9148-e3be6c30e623}">
          <xlrd:rvb i="614"/>
        </ext>
      </extLst>
    </bk>
    <bk>
      <extLst>
        <ext uri="{3e2802c4-a4d2-4d8b-9148-e3be6c30e623}">
          <xlrd:rvb i="615"/>
        </ext>
      </extLst>
    </bk>
    <bk>
      <extLst>
        <ext uri="{3e2802c4-a4d2-4d8b-9148-e3be6c30e623}">
          <xlrd:rvb i="616"/>
        </ext>
      </extLst>
    </bk>
    <bk>
      <extLst>
        <ext uri="{3e2802c4-a4d2-4d8b-9148-e3be6c30e623}">
          <xlrd:rvb i="617"/>
        </ext>
      </extLst>
    </bk>
    <bk>
      <extLst>
        <ext uri="{3e2802c4-a4d2-4d8b-9148-e3be6c30e623}">
          <xlrd:rvb i="618"/>
        </ext>
      </extLst>
    </bk>
    <bk>
      <extLst>
        <ext uri="{3e2802c4-a4d2-4d8b-9148-e3be6c30e623}">
          <xlrd:rvb i="619"/>
        </ext>
      </extLst>
    </bk>
    <bk>
      <extLst>
        <ext uri="{3e2802c4-a4d2-4d8b-9148-e3be6c30e623}">
          <xlrd:rvb i="620"/>
        </ext>
      </extLst>
    </bk>
    <bk>
      <extLst>
        <ext uri="{3e2802c4-a4d2-4d8b-9148-e3be6c30e623}">
          <xlrd:rvb i="621"/>
        </ext>
      </extLst>
    </bk>
    <bk>
      <extLst>
        <ext uri="{3e2802c4-a4d2-4d8b-9148-e3be6c30e623}">
          <xlrd:rvb i="622"/>
        </ext>
      </extLst>
    </bk>
    <bk>
      <extLst>
        <ext uri="{3e2802c4-a4d2-4d8b-9148-e3be6c30e623}">
          <xlrd:rvb i="623"/>
        </ext>
      </extLst>
    </bk>
    <bk>
      <extLst>
        <ext uri="{3e2802c4-a4d2-4d8b-9148-e3be6c30e623}">
          <xlrd:rvb i="624"/>
        </ext>
      </extLst>
    </bk>
    <bk>
      <extLst>
        <ext uri="{3e2802c4-a4d2-4d8b-9148-e3be6c30e623}">
          <xlrd:rvb i="625"/>
        </ext>
      </extLst>
    </bk>
    <bk>
      <extLst>
        <ext uri="{3e2802c4-a4d2-4d8b-9148-e3be6c30e623}">
          <xlrd:rvb i="626"/>
        </ext>
      </extLst>
    </bk>
    <bk>
      <extLst>
        <ext uri="{3e2802c4-a4d2-4d8b-9148-e3be6c30e623}">
          <xlrd:rvb i="627"/>
        </ext>
      </extLst>
    </bk>
    <bk>
      <extLst>
        <ext uri="{3e2802c4-a4d2-4d8b-9148-e3be6c30e623}">
          <xlrd:rvb i="628"/>
        </ext>
      </extLst>
    </bk>
    <bk>
      <extLst>
        <ext uri="{3e2802c4-a4d2-4d8b-9148-e3be6c30e623}">
          <xlrd:rvb i="629"/>
        </ext>
      </extLst>
    </bk>
    <bk>
      <extLst>
        <ext uri="{3e2802c4-a4d2-4d8b-9148-e3be6c30e623}">
          <xlrd:rvb i="630"/>
        </ext>
      </extLst>
    </bk>
    <bk>
      <extLst>
        <ext uri="{3e2802c4-a4d2-4d8b-9148-e3be6c30e623}">
          <xlrd:rvb i="631"/>
        </ext>
      </extLst>
    </bk>
    <bk>
      <extLst>
        <ext uri="{3e2802c4-a4d2-4d8b-9148-e3be6c30e623}">
          <xlrd:rvb i="632"/>
        </ext>
      </extLst>
    </bk>
    <bk>
      <extLst>
        <ext uri="{3e2802c4-a4d2-4d8b-9148-e3be6c30e623}">
          <xlrd:rvb i="633"/>
        </ext>
      </extLst>
    </bk>
    <bk>
      <extLst>
        <ext uri="{3e2802c4-a4d2-4d8b-9148-e3be6c30e623}">
          <xlrd:rvb i="634"/>
        </ext>
      </extLst>
    </bk>
    <bk>
      <extLst>
        <ext uri="{3e2802c4-a4d2-4d8b-9148-e3be6c30e623}">
          <xlrd:rvb i="635"/>
        </ext>
      </extLst>
    </bk>
    <bk>
      <extLst>
        <ext uri="{3e2802c4-a4d2-4d8b-9148-e3be6c30e623}">
          <xlrd:rvb i="636"/>
        </ext>
      </extLst>
    </bk>
    <bk>
      <extLst>
        <ext uri="{3e2802c4-a4d2-4d8b-9148-e3be6c30e623}">
          <xlrd:rvb i="637"/>
        </ext>
      </extLst>
    </bk>
    <bk>
      <extLst>
        <ext uri="{3e2802c4-a4d2-4d8b-9148-e3be6c30e623}">
          <xlrd:rvb i="638"/>
        </ext>
      </extLst>
    </bk>
    <bk>
      <extLst>
        <ext uri="{3e2802c4-a4d2-4d8b-9148-e3be6c30e623}">
          <xlrd:rvb i="639"/>
        </ext>
      </extLst>
    </bk>
    <bk>
      <extLst>
        <ext uri="{3e2802c4-a4d2-4d8b-9148-e3be6c30e623}">
          <xlrd:rvb i="640"/>
        </ext>
      </extLst>
    </bk>
    <bk>
      <extLst>
        <ext uri="{3e2802c4-a4d2-4d8b-9148-e3be6c30e623}">
          <xlrd:rvb i="641"/>
        </ext>
      </extLst>
    </bk>
    <bk>
      <extLst>
        <ext uri="{3e2802c4-a4d2-4d8b-9148-e3be6c30e623}">
          <xlrd:rvb i="642"/>
        </ext>
      </extLst>
    </bk>
    <bk>
      <extLst>
        <ext uri="{3e2802c4-a4d2-4d8b-9148-e3be6c30e623}">
          <xlrd:rvb i="643"/>
        </ext>
      </extLst>
    </bk>
    <bk>
      <extLst>
        <ext uri="{3e2802c4-a4d2-4d8b-9148-e3be6c30e623}">
          <xlrd:rvb i="644"/>
        </ext>
      </extLst>
    </bk>
    <bk>
      <extLst>
        <ext uri="{3e2802c4-a4d2-4d8b-9148-e3be6c30e623}">
          <xlrd:rvb i="645"/>
        </ext>
      </extLst>
    </bk>
    <bk>
      <extLst>
        <ext uri="{3e2802c4-a4d2-4d8b-9148-e3be6c30e623}">
          <xlrd:rvb i="646"/>
        </ext>
      </extLst>
    </bk>
    <bk>
      <extLst>
        <ext uri="{3e2802c4-a4d2-4d8b-9148-e3be6c30e623}">
          <xlrd:rvb i="647"/>
        </ext>
      </extLst>
    </bk>
    <bk>
      <extLst>
        <ext uri="{3e2802c4-a4d2-4d8b-9148-e3be6c30e623}">
          <xlrd:rvb i="648"/>
        </ext>
      </extLst>
    </bk>
    <bk>
      <extLst>
        <ext uri="{3e2802c4-a4d2-4d8b-9148-e3be6c30e623}">
          <xlrd:rvb i="649"/>
        </ext>
      </extLst>
    </bk>
    <bk>
      <extLst>
        <ext uri="{3e2802c4-a4d2-4d8b-9148-e3be6c30e623}">
          <xlrd:rvb i="650"/>
        </ext>
      </extLst>
    </bk>
    <bk>
      <extLst>
        <ext uri="{3e2802c4-a4d2-4d8b-9148-e3be6c30e623}">
          <xlrd:rvb i="651"/>
        </ext>
      </extLst>
    </bk>
    <bk>
      <extLst>
        <ext uri="{3e2802c4-a4d2-4d8b-9148-e3be6c30e623}">
          <xlrd:rvb i="652"/>
        </ext>
      </extLst>
    </bk>
    <bk>
      <extLst>
        <ext uri="{3e2802c4-a4d2-4d8b-9148-e3be6c30e623}">
          <xlrd:rvb i="653"/>
        </ext>
      </extLst>
    </bk>
    <bk>
      <extLst>
        <ext uri="{3e2802c4-a4d2-4d8b-9148-e3be6c30e623}">
          <xlrd:rvb i="654"/>
        </ext>
      </extLst>
    </bk>
    <bk>
      <extLst>
        <ext uri="{3e2802c4-a4d2-4d8b-9148-e3be6c30e623}">
          <xlrd:rvb i="655"/>
        </ext>
      </extLst>
    </bk>
    <bk>
      <extLst>
        <ext uri="{3e2802c4-a4d2-4d8b-9148-e3be6c30e623}">
          <xlrd:rvb i="656"/>
        </ext>
      </extLst>
    </bk>
    <bk>
      <extLst>
        <ext uri="{3e2802c4-a4d2-4d8b-9148-e3be6c30e623}">
          <xlrd:rvb i="657"/>
        </ext>
      </extLst>
    </bk>
    <bk>
      <extLst>
        <ext uri="{3e2802c4-a4d2-4d8b-9148-e3be6c30e623}">
          <xlrd:rvb i="658"/>
        </ext>
      </extLst>
    </bk>
    <bk>
      <extLst>
        <ext uri="{3e2802c4-a4d2-4d8b-9148-e3be6c30e623}">
          <xlrd:rvb i="659"/>
        </ext>
      </extLst>
    </bk>
    <bk>
      <extLst>
        <ext uri="{3e2802c4-a4d2-4d8b-9148-e3be6c30e623}">
          <xlrd:rvb i="660"/>
        </ext>
      </extLst>
    </bk>
    <bk>
      <extLst>
        <ext uri="{3e2802c4-a4d2-4d8b-9148-e3be6c30e623}">
          <xlrd:rvb i="661"/>
        </ext>
      </extLst>
    </bk>
    <bk>
      <extLst>
        <ext uri="{3e2802c4-a4d2-4d8b-9148-e3be6c30e623}">
          <xlrd:rvb i="662"/>
        </ext>
      </extLst>
    </bk>
    <bk>
      <extLst>
        <ext uri="{3e2802c4-a4d2-4d8b-9148-e3be6c30e623}">
          <xlrd:rvb i="663"/>
        </ext>
      </extLst>
    </bk>
    <bk>
      <extLst>
        <ext uri="{3e2802c4-a4d2-4d8b-9148-e3be6c30e623}">
          <xlrd:rvb i="664"/>
        </ext>
      </extLst>
    </bk>
    <bk>
      <extLst>
        <ext uri="{3e2802c4-a4d2-4d8b-9148-e3be6c30e623}">
          <xlrd:rvb i="665"/>
        </ext>
      </extLst>
    </bk>
    <bk>
      <extLst>
        <ext uri="{3e2802c4-a4d2-4d8b-9148-e3be6c30e623}">
          <xlrd:rvb i="666"/>
        </ext>
      </extLst>
    </bk>
    <bk>
      <extLst>
        <ext uri="{3e2802c4-a4d2-4d8b-9148-e3be6c30e623}">
          <xlrd:rvb i="667"/>
        </ext>
      </extLst>
    </bk>
    <bk>
      <extLst>
        <ext uri="{3e2802c4-a4d2-4d8b-9148-e3be6c30e623}">
          <xlrd:rvb i="668"/>
        </ext>
      </extLst>
    </bk>
    <bk>
      <extLst>
        <ext uri="{3e2802c4-a4d2-4d8b-9148-e3be6c30e623}">
          <xlrd:rvb i="669"/>
        </ext>
      </extLst>
    </bk>
    <bk>
      <extLst>
        <ext uri="{3e2802c4-a4d2-4d8b-9148-e3be6c30e623}">
          <xlrd:rvb i="670"/>
        </ext>
      </extLst>
    </bk>
    <bk>
      <extLst>
        <ext uri="{3e2802c4-a4d2-4d8b-9148-e3be6c30e623}">
          <xlrd:rvb i="671"/>
        </ext>
      </extLst>
    </bk>
    <bk>
      <extLst>
        <ext uri="{3e2802c4-a4d2-4d8b-9148-e3be6c30e623}">
          <xlrd:rvb i="672"/>
        </ext>
      </extLst>
    </bk>
    <bk>
      <extLst>
        <ext uri="{3e2802c4-a4d2-4d8b-9148-e3be6c30e623}">
          <xlrd:rvb i="673"/>
        </ext>
      </extLst>
    </bk>
    <bk>
      <extLst>
        <ext uri="{3e2802c4-a4d2-4d8b-9148-e3be6c30e623}">
          <xlrd:rvb i="674"/>
        </ext>
      </extLst>
    </bk>
    <bk>
      <extLst>
        <ext uri="{3e2802c4-a4d2-4d8b-9148-e3be6c30e623}">
          <xlrd:rvb i="675"/>
        </ext>
      </extLst>
    </bk>
    <bk>
      <extLst>
        <ext uri="{3e2802c4-a4d2-4d8b-9148-e3be6c30e623}">
          <xlrd:rvb i="676"/>
        </ext>
      </extLst>
    </bk>
    <bk>
      <extLst>
        <ext uri="{3e2802c4-a4d2-4d8b-9148-e3be6c30e623}">
          <xlrd:rvb i="677"/>
        </ext>
      </extLst>
    </bk>
    <bk>
      <extLst>
        <ext uri="{3e2802c4-a4d2-4d8b-9148-e3be6c30e623}">
          <xlrd:rvb i="678"/>
        </ext>
      </extLst>
    </bk>
    <bk>
      <extLst>
        <ext uri="{3e2802c4-a4d2-4d8b-9148-e3be6c30e623}">
          <xlrd:rvb i="679"/>
        </ext>
      </extLst>
    </bk>
    <bk>
      <extLst>
        <ext uri="{3e2802c4-a4d2-4d8b-9148-e3be6c30e623}">
          <xlrd:rvb i="680"/>
        </ext>
      </extLst>
    </bk>
    <bk>
      <extLst>
        <ext uri="{3e2802c4-a4d2-4d8b-9148-e3be6c30e623}">
          <xlrd:rvb i="681"/>
        </ext>
      </extLst>
    </bk>
    <bk>
      <extLst>
        <ext uri="{3e2802c4-a4d2-4d8b-9148-e3be6c30e623}">
          <xlrd:rvb i="682"/>
        </ext>
      </extLst>
    </bk>
    <bk>
      <extLst>
        <ext uri="{3e2802c4-a4d2-4d8b-9148-e3be6c30e623}">
          <xlrd:rvb i="683"/>
        </ext>
      </extLst>
    </bk>
    <bk>
      <extLst>
        <ext uri="{3e2802c4-a4d2-4d8b-9148-e3be6c30e623}">
          <xlrd:rvb i="684"/>
        </ext>
      </extLst>
    </bk>
    <bk>
      <extLst>
        <ext uri="{3e2802c4-a4d2-4d8b-9148-e3be6c30e623}">
          <xlrd:rvb i="685"/>
        </ext>
      </extLst>
    </bk>
    <bk>
      <extLst>
        <ext uri="{3e2802c4-a4d2-4d8b-9148-e3be6c30e623}">
          <xlrd:rvb i="686"/>
        </ext>
      </extLst>
    </bk>
    <bk>
      <extLst>
        <ext uri="{3e2802c4-a4d2-4d8b-9148-e3be6c30e623}">
          <xlrd:rvb i="687"/>
        </ext>
      </extLst>
    </bk>
    <bk>
      <extLst>
        <ext uri="{3e2802c4-a4d2-4d8b-9148-e3be6c30e623}">
          <xlrd:rvb i="688"/>
        </ext>
      </extLst>
    </bk>
    <bk>
      <extLst>
        <ext uri="{3e2802c4-a4d2-4d8b-9148-e3be6c30e623}">
          <xlrd:rvb i="689"/>
        </ext>
      </extLst>
    </bk>
    <bk>
      <extLst>
        <ext uri="{3e2802c4-a4d2-4d8b-9148-e3be6c30e623}">
          <xlrd:rvb i="690"/>
        </ext>
      </extLst>
    </bk>
    <bk>
      <extLst>
        <ext uri="{3e2802c4-a4d2-4d8b-9148-e3be6c30e623}">
          <xlrd:rvb i="691"/>
        </ext>
      </extLst>
    </bk>
    <bk>
      <extLst>
        <ext uri="{3e2802c4-a4d2-4d8b-9148-e3be6c30e623}">
          <xlrd:rvb i="692"/>
        </ext>
      </extLst>
    </bk>
    <bk>
      <extLst>
        <ext uri="{3e2802c4-a4d2-4d8b-9148-e3be6c30e623}">
          <xlrd:rvb i="693"/>
        </ext>
      </extLst>
    </bk>
    <bk>
      <extLst>
        <ext uri="{3e2802c4-a4d2-4d8b-9148-e3be6c30e623}">
          <xlrd:rvb i="694"/>
        </ext>
      </extLst>
    </bk>
    <bk>
      <extLst>
        <ext uri="{3e2802c4-a4d2-4d8b-9148-e3be6c30e623}">
          <xlrd:rvb i="695"/>
        </ext>
      </extLst>
    </bk>
    <bk>
      <extLst>
        <ext uri="{3e2802c4-a4d2-4d8b-9148-e3be6c30e623}">
          <xlrd:rvb i="696"/>
        </ext>
      </extLst>
    </bk>
    <bk>
      <extLst>
        <ext uri="{3e2802c4-a4d2-4d8b-9148-e3be6c30e623}">
          <xlrd:rvb i="697"/>
        </ext>
      </extLst>
    </bk>
    <bk>
      <extLst>
        <ext uri="{3e2802c4-a4d2-4d8b-9148-e3be6c30e623}">
          <xlrd:rvb i="698"/>
        </ext>
      </extLst>
    </bk>
    <bk>
      <extLst>
        <ext uri="{3e2802c4-a4d2-4d8b-9148-e3be6c30e623}">
          <xlrd:rvb i="699"/>
        </ext>
      </extLst>
    </bk>
    <bk>
      <extLst>
        <ext uri="{3e2802c4-a4d2-4d8b-9148-e3be6c30e623}">
          <xlrd:rvb i="700"/>
        </ext>
      </extLst>
    </bk>
    <bk>
      <extLst>
        <ext uri="{3e2802c4-a4d2-4d8b-9148-e3be6c30e623}">
          <xlrd:rvb i="701"/>
        </ext>
      </extLst>
    </bk>
    <bk>
      <extLst>
        <ext uri="{3e2802c4-a4d2-4d8b-9148-e3be6c30e623}">
          <xlrd:rvb i="702"/>
        </ext>
      </extLst>
    </bk>
    <bk>
      <extLst>
        <ext uri="{3e2802c4-a4d2-4d8b-9148-e3be6c30e623}">
          <xlrd:rvb i="703"/>
        </ext>
      </extLst>
    </bk>
    <bk>
      <extLst>
        <ext uri="{3e2802c4-a4d2-4d8b-9148-e3be6c30e623}">
          <xlrd:rvb i="704"/>
        </ext>
      </extLst>
    </bk>
    <bk>
      <extLst>
        <ext uri="{3e2802c4-a4d2-4d8b-9148-e3be6c30e623}">
          <xlrd:rvb i="705"/>
        </ext>
      </extLst>
    </bk>
    <bk>
      <extLst>
        <ext uri="{3e2802c4-a4d2-4d8b-9148-e3be6c30e623}">
          <xlrd:rvb i="706"/>
        </ext>
      </extLst>
    </bk>
    <bk>
      <extLst>
        <ext uri="{3e2802c4-a4d2-4d8b-9148-e3be6c30e623}">
          <xlrd:rvb i="707"/>
        </ext>
      </extLst>
    </bk>
    <bk>
      <extLst>
        <ext uri="{3e2802c4-a4d2-4d8b-9148-e3be6c30e623}">
          <xlrd:rvb i="708"/>
        </ext>
      </extLst>
    </bk>
    <bk>
      <extLst>
        <ext uri="{3e2802c4-a4d2-4d8b-9148-e3be6c30e623}">
          <xlrd:rvb i="709"/>
        </ext>
      </extLst>
    </bk>
    <bk>
      <extLst>
        <ext uri="{3e2802c4-a4d2-4d8b-9148-e3be6c30e623}">
          <xlrd:rvb i="710"/>
        </ext>
      </extLst>
    </bk>
    <bk>
      <extLst>
        <ext uri="{3e2802c4-a4d2-4d8b-9148-e3be6c30e623}">
          <xlrd:rvb i="711"/>
        </ext>
      </extLst>
    </bk>
    <bk>
      <extLst>
        <ext uri="{3e2802c4-a4d2-4d8b-9148-e3be6c30e623}">
          <xlrd:rvb i="712"/>
        </ext>
      </extLst>
    </bk>
    <bk>
      <extLst>
        <ext uri="{3e2802c4-a4d2-4d8b-9148-e3be6c30e623}">
          <xlrd:rvb i="713"/>
        </ext>
      </extLst>
    </bk>
    <bk>
      <extLst>
        <ext uri="{3e2802c4-a4d2-4d8b-9148-e3be6c30e623}">
          <xlrd:rvb i="714"/>
        </ext>
      </extLst>
    </bk>
    <bk>
      <extLst>
        <ext uri="{3e2802c4-a4d2-4d8b-9148-e3be6c30e623}">
          <xlrd:rvb i="715"/>
        </ext>
      </extLst>
    </bk>
    <bk>
      <extLst>
        <ext uri="{3e2802c4-a4d2-4d8b-9148-e3be6c30e623}">
          <xlrd:rvb i="716"/>
        </ext>
      </extLst>
    </bk>
    <bk>
      <extLst>
        <ext uri="{3e2802c4-a4d2-4d8b-9148-e3be6c30e623}">
          <xlrd:rvb i="717"/>
        </ext>
      </extLst>
    </bk>
    <bk>
      <extLst>
        <ext uri="{3e2802c4-a4d2-4d8b-9148-e3be6c30e623}">
          <xlrd:rvb i="718"/>
        </ext>
      </extLst>
    </bk>
    <bk>
      <extLst>
        <ext uri="{3e2802c4-a4d2-4d8b-9148-e3be6c30e623}">
          <xlrd:rvb i="719"/>
        </ext>
      </extLst>
    </bk>
    <bk>
      <extLst>
        <ext uri="{3e2802c4-a4d2-4d8b-9148-e3be6c30e623}">
          <xlrd:rvb i="720"/>
        </ext>
      </extLst>
    </bk>
    <bk>
      <extLst>
        <ext uri="{3e2802c4-a4d2-4d8b-9148-e3be6c30e623}">
          <xlrd:rvb i="721"/>
        </ext>
      </extLst>
    </bk>
    <bk>
      <extLst>
        <ext uri="{3e2802c4-a4d2-4d8b-9148-e3be6c30e623}">
          <xlrd:rvb i="722"/>
        </ext>
      </extLst>
    </bk>
    <bk>
      <extLst>
        <ext uri="{3e2802c4-a4d2-4d8b-9148-e3be6c30e623}">
          <xlrd:rvb i="723"/>
        </ext>
      </extLst>
    </bk>
    <bk>
      <extLst>
        <ext uri="{3e2802c4-a4d2-4d8b-9148-e3be6c30e623}">
          <xlrd:rvb i="724"/>
        </ext>
      </extLst>
    </bk>
    <bk>
      <extLst>
        <ext uri="{3e2802c4-a4d2-4d8b-9148-e3be6c30e623}">
          <xlrd:rvb i="725"/>
        </ext>
      </extLst>
    </bk>
    <bk>
      <extLst>
        <ext uri="{3e2802c4-a4d2-4d8b-9148-e3be6c30e623}">
          <xlrd:rvb i="726"/>
        </ext>
      </extLst>
    </bk>
    <bk>
      <extLst>
        <ext uri="{3e2802c4-a4d2-4d8b-9148-e3be6c30e623}">
          <xlrd:rvb i="727"/>
        </ext>
      </extLst>
    </bk>
    <bk>
      <extLst>
        <ext uri="{3e2802c4-a4d2-4d8b-9148-e3be6c30e623}">
          <xlrd:rvb i="728"/>
        </ext>
      </extLst>
    </bk>
    <bk>
      <extLst>
        <ext uri="{3e2802c4-a4d2-4d8b-9148-e3be6c30e623}">
          <xlrd:rvb i="729"/>
        </ext>
      </extLst>
    </bk>
    <bk>
      <extLst>
        <ext uri="{3e2802c4-a4d2-4d8b-9148-e3be6c30e623}">
          <xlrd:rvb i="730"/>
        </ext>
      </extLst>
    </bk>
    <bk>
      <extLst>
        <ext uri="{3e2802c4-a4d2-4d8b-9148-e3be6c30e623}">
          <xlrd:rvb i="731"/>
        </ext>
      </extLst>
    </bk>
    <bk>
      <extLst>
        <ext uri="{3e2802c4-a4d2-4d8b-9148-e3be6c30e623}">
          <xlrd:rvb i="732"/>
        </ext>
      </extLst>
    </bk>
    <bk>
      <extLst>
        <ext uri="{3e2802c4-a4d2-4d8b-9148-e3be6c30e623}">
          <xlrd:rvb i="733"/>
        </ext>
      </extLst>
    </bk>
    <bk>
      <extLst>
        <ext uri="{3e2802c4-a4d2-4d8b-9148-e3be6c30e623}">
          <xlrd:rvb i="734"/>
        </ext>
      </extLst>
    </bk>
    <bk>
      <extLst>
        <ext uri="{3e2802c4-a4d2-4d8b-9148-e3be6c30e623}">
          <xlrd:rvb i="735"/>
        </ext>
      </extLst>
    </bk>
    <bk>
      <extLst>
        <ext uri="{3e2802c4-a4d2-4d8b-9148-e3be6c30e623}">
          <xlrd:rvb i="736"/>
        </ext>
      </extLst>
    </bk>
    <bk>
      <extLst>
        <ext uri="{3e2802c4-a4d2-4d8b-9148-e3be6c30e623}">
          <xlrd:rvb i="737"/>
        </ext>
      </extLst>
    </bk>
    <bk>
      <extLst>
        <ext uri="{3e2802c4-a4d2-4d8b-9148-e3be6c30e623}">
          <xlrd:rvb i="738"/>
        </ext>
      </extLst>
    </bk>
    <bk>
      <extLst>
        <ext uri="{3e2802c4-a4d2-4d8b-9148-e3be6c30e623}">
          <xlrd:rvb i="739"/>
        </ext>
      </extLst>
    </bk>
    <bk>
      <extLst>
        <ext uri="{3e2802c4-a4d2-4d8b-9148-e3be6c30e623}">
          <xlrd:rvb i="740"/>
        </ext>
      </extLst>
    </bk>
    <bk>
      <extLst>
        <ext uri="{3e2802c4-a4d2-4d8b-9148-e3be6c30e623}">
          <xlrd:rvb i="741"/>
        </ext>
      </extLst>
    </bk>
    <bk>
      <extLst>
        <ext uri="{3e2802c4-a4d2-4d8b-9148-e3be6c30e623}">
          <xlrd:rvb i="742"/>
        </ext>
      </extLst>
    </bk>
    <bk>
      <extLst>
        <ext uri="{3e2802c4-a4d2-4d8b-9148-e3be6c30e623}">
          <xlrd:rvb i="743"/>
        </ext>
      </extLst>
    </bk>
    <bk>
      <extLst>
        <ext uri="{3e2802c4-a4d2-4d8b-9148-e3be6c30e623}">
          <xlrd:rvb i="744"/>
        </ext>
      </extLst>
    </bk>
    <bk>
      <extLst>
        <ext uri="{3e2802c4-a4d2-4d8b-9148-e3be6c30e623}">
          <xlrd:rvb i="745"/>
        </ext>
      </extLst>
    </bk>
    <bk>
      <extLst>
        <ext uri="{3e2802c4-a4d2-4d8b-9148-e3be6c30e623}">
          <xlrd:rvb i="746"/>
        </ext>
      </extLst>
    </bk>
    <bk>
      <extLst>
        <ext uri="{3e2802c4-a4d2-4d8b-9148-e3be6c30e623}">
          <xlrd:rvb i="747"/>
        </ext>
      </extLst>
    </bk>
    <bk>
      <extLst>
        <ext uri="{3e2802c4-a4d2-4d8b-9148-e3be6c30e623}">
          <xlrd:rvb i="748"/>
        </ext>
      </extLst>
    </bk>
    <bk>
      <extLst>
        <ext uri="{3e2802c4-a4d2-4d8b-9148-e3be6c30e623}">
          <xlrd:rvb i="749"/>
        </ext>
      </extLst>
    </bk>
    <bk>
      <extLst>
        <ext uri="{3e2802c4-a4d2-4d8b-9148-e3be6c30e623}">
          <xlrd:rvb i="750"/>
        </ext>
      </extLst>
    </bk>
    <bk>
      <extLst>
        <ext uri="{3e2802c4-a4d2-4d8b-9148-e3be6c30e623}">
          <xlrd:rvb i="751"/>
        </ext>
      </extLst>
    </bk>
    <bk>
      <extLst>
        <ext uri="{3e2802c4-a4d2-4d8b-9148-e3be6c30e623}">
          <xlrd:rvb i="752"/>
        </ext>
      </extLst>
    </bk>
    <bk>
      <extLst>
        <ext uri="{3e2802c4-a4d2-4d8b-9148-e3be6c30e623}">
          <xlrd:rvb i="753"/>
        </ext>
      </extLst>
    </bk>
    <bk>
      <extLst>
        <ext uri="{3e2802c4-a4d2-4d8b-9148-e3be6c30e623}">
          <xlrd:rvb i="754"/>
        </ext>
      </extLst>
    </bk>
    <bk>
      <extLst>
        <ext uri="{3e2802c4-a4d2-4d8b-9148-e3be6c30e623}">
          <xlrd:rvb i="755"/>
        </ext>
      </extLst>
    </bk>
    <bk>
      <extLst>
        <ext uri="{3e2802c4-a4d2-4d8b-9148-e3be6c30e623}">
          <xlrd:rvb i="756"/>
        </ext>
      </extLst>
    </bk>
    <bk>
      <extLst>
        <ext uri="{3e2802c4-a4d2-4d8b-9148-e3be6c30e623}">
          <xlrd:rvb i="757"/>
        </ext>
      </extLst>
    </bk>
    <bk>
      <extLst>
        <ext uri="{3e2802c4-a4d2-4d8b-9148-e3be6c30e623}">
          <xlrd:rvb i="758"/>
        </ext>
      </extLst>
    </bk>
    <bk>
      <extLst>
        <ext uri="{3e2802c4-a4d2-4d8b-9148-e3be6c30e623}">
          <xlrd:rvb i="759"/>
        </ext>
      </extLst>
    </bk>
    <bk>
      <extLst>
        <ext uri="{3e2802c4-a4d2-4d8b-9148-e3be6c30e623}">
          <xlrd:rvb i="760"/>
        </ext>
      </extLst>
    </bk>
    <bk>
      <extLst>
        <ext uri="{3e2802c4-a4d2-4d8b-9148-e3be6c30e623}">
          <xlrd:rvb i="761"/>
        </ext>
      </extLst>
    </bk>
    <bk>
      <extLst>
        <ext uri="{3e2802c4-a4d2-4d8b-9148-e3be6c30e623}">
          <xlrd:rvb i="762"/>
        </ext>
      </extLst>
    </bk>
    <bk>
      <extLst>
        <ext uri="{3e2802c4-a4d2-4d8b-9148-e3be6c30e623}">
          <xlrd:rvb i="763"/>
        </ext>
      </extLst>
    </bk>
    <bk>
      <extLst>
        <ext uri="{3e2802c4-a4d2-4d8b-9148-e3be6c30e623}">
          <xlrd:rvb i="764"/>
        </ext>
      </extLst>
    </bk>
    <bk>
      <extLst>
        <ext uri="{3e2802c4-a4d2-4d8b-9148-e3be6c30e623}">
          <xlrd:rvb i="765"/>
        </ext>
      </extLst>
    </bk>
    <bk>
      <extLst>
        <ext uri="{3e2802c4-a4d2-4d8b-9148-e3be6c30e623}">
          <xlrd:rvb i="766"/>
        </ext>
      </extLst>
    </bk>
    <bk>
      <extLst>
        <ext uri="{3e2802c4-a4d2-4d8b-9148-e3be6c30e623}">
          <xlrd:rvb i="767"/>
        </ext>
      </extLst>
    </bk>
    <bk>
      <extLst>
        <ext uri="{3e2802c4-a4d2-4d8b-9148-e3be6c30e623}">
          <xlrd:rvb i="768"/>
        </ext>
      </extLst>
    </bk>
    <bk>
      <extLst>
        <ext uri="{3e2802c4-a4d2-4d8b-9148-e3be6c30e623}">
          <xlrd:rvb i="769"/>
        </ext>
      </extLst>
    </bk>
    <bk>
      <extLst>
        <ext uri="{3e2802c4-a4d2-4d8b-9148-e3be6c30e623}">
          <xlrd:rvb i="770"/>
        </ext>
      </extLst>
    </bk>
    <bk>
      <extLst>
        <ext uri="{3e2802c4-a4d2-4d8b-9148-e3be6c30e623}">
          <xlrd:rvb i="771"/>
        </ext>
      </extLst>
    </bk>
    <bk>
      <extLst>
        <ext uri="{3e2802c4-a4d2-4d8b-9148-e3be6c30e623}">
          <xlrd:rvb i="772"/>
        </ext>
      </extLst>
    </bk>
    <bk>
      <extLst>
        <ext uri="{3e2802c4-a4d2-4d8b-9148-e3be6c30e623}">
          <xlrd:rvb i="773"/>
        </ext>
      </extLst>
    </bk>
    <bk>
      <extLst>
        <ext uri="{3e2802c4-a4d2-4d8b-9148-e3be6c30e623}">
          <xlrd:rvb i="774"/>
        </ext>
      </extLst>
    </bk>
    <bk>
      <extLst>
        <ext uri="{3e2802c4-a4d2-4d8b-9148-e3be6c30e623}">
          <xlrd:rvb i="775"/>
        </ext>
      </extLst>
    </bk>
    <bk>
      <extLst>
        <ext uri="{3e2802c4-a4d2-4d8b-9148-e3be6c30e623}">
          <xlrd:rvb i="776"/>
        </ext>
      </extLst>
    </bk>
    <bk>
      <extLst>
        <ext uri="{3e2802c4-a4d2-4d8b-9148-e3be6c30e623}">
          <xlrd:rvb i="777"/>
        </ext>
      </extLst>
    </bk>
    <bk>
      <extLst>
        <ext uri="{3e2802c4-a4d2-4d8b-9148-e3be6c30e623}">
          <xlrd:rvb i="778"/>
        </ext>
      </extLst>
    </bk>
    <bk>
      <extLst>
        <ext uri="{3e2802c4-a4d2-4d8b-9148-e3be6c30e623}">
          <xlrd:rvb i="779"/>
        </ext>
      </extLst>
    </bk>
    <bk>
      <extLst>
        <ext uri="{3e2802c4-a4d2-4d8b-9148-e3be6c30e623}">
          <xlrd:rvb i="780"/>
        </ext>
      </extLst>
    </bk>
    <bk>
      <extLst>
        <ext uri="{3e2802c4-a4d2-4d8b-9148-e3be6c30e623}">
          <xlrd:rvb i="781"/>
        </ext>
      </extLst>
    </bk>
    <bk>
      <extLst>
        <ext uri="{3e2802c4-a4d2-4d8b-9148-e3be6c30e623}">
          <xlrd:rvb i="782"/>
        </ext>
      </extLst>
    </bk>
    <bk>
      <extLst>
        <ext uri="{3e2802c4-a4d2-4d8b-9148-e3be6c30e623}">
          <xlrd:rvb i="783"/>
        </ext>
      </extLst>
    </bk>
    <bk>
      <extLst>
        <ext uri="{3e2802c4-a4d2-4d8b-9148-e3be6c30e623}">
          <xlrd:rvb i="784"/>
        </ext>
      </extLst>
    </bk>
    <bk>
      <extLst>
        <ext uri="{3e2802c4-a4d2-4d8b-9148-e3be6c30e623}">
          <xlrd:rvb i="785"/>
        </ext>
      </extLst>
    </bk>
    <bk>
      <extLst>
        <ext uri="{3e2802c4-a4d2-4d8b-9148-e3be6c30e623}">
          <xlrd:rvb i="786"/>
        </ext>
      </extLst>
    </bk>
    <bk>
      <extLst>
        <ext uri="{3e2802c4-a4d2-4d8b-9148-e3be6c30e623}">
          <xlrd:rvb i="787"/>
        </ext>
      </extLst>
    </bk>
    <bk>
      <extLst>
        <ext uri="{3e2802c4-a4d2-4d8b-9148-e3be6c30e623}">
          <xlrd:rvb i="788"/>
        </ext>
      </extLst>
    </bk>
    <bk>
      <extLst>
        <ext uri="{3e2802c4-a4d2-4d8b-9148-e3be6c30e623}">
          <xlrd:rvb i="789"/>
        </ext>
      </extLst>
    </bk>
    <bk>
      <extLst>
        <ext uri="{3e2802c4-a4d2-4d8b-9148-e3be6c30e623}">
          <xlrd:rvb i="790"/>
        </ext>
      </extLst>
    </bk>
    <bk>
      <extLst>
        <ext uri="{3e2802c4-a4d2-4d8b-9148-e3be6c30e623}">
          <xlrd:rvb i="791"/>
        </ext>
      </extLst>
    </bk>
    <bk>
      <extLst>
        <ext uri="{3e2802c4-a4d2-4d8b-9148-e3be6c30e623}">
          <xlrd:rvb i="792"/>
        </ext>
      </extLst>
    </bk>
    <bk>
      <extLst>
        <ext uri="{3e2802c4-a4d2-4d8b-9148-e3be6c30e623}">
          <xlrd:rvb i="793"/>
        </ext>
      </extLst>
    </bk>
    <bk>
      <extLst>
        <ext uri="{3e2802c4-a4d2-4d8b-9148-e3be6c30e623}">
          <xlrd:rvb i="794"/>
        </ext>
      </extLst>
    </bk>
    <bk>
      <extLst>
        <ext uri="{3e2802c4-a4d2-4d8b-9148-e3be6c30e623}">
          <xlrd:rvb i="795"/>
        </ext>
      </extLst>
    </bk>
    <bk>
      <extLst>
        <ext uri="{3e2802c4-a4d2-4d8b-9148-e3be6c30e623}">
          <xlrd:rvb i="796"/>
        </ext>
      </extLst>
    </bk>
    <bk>
      <extLst>
        <ext uri="{3e2802c4-a4d2-4d8b-9148-e3be6c30e623}">
          <xlrd:rvb i="797"/>
        </ext>
      </extLst>
    </bk>
    <bk>
      <extLst>
        <ext uri="{3e2802c4-a4d2-4d8b-9148-e3be6c30e623}">
          <xlrd:rvb i="798"/>
        </ext>
      </extLst>
    </bk>
    <bk>
      <extLst>
        <ext uri="{3e2802c4-a4d2-4d8b-9148-e3be6c30e623}">
          <xlrd:rvb i="799"/>
        </ext>
      </extLst>
    </bk>
    <bk>
      <extLst>
        <ext uri="{3e2802c4-a4d2-4d8b-9148-e3be6c30e623}">
          <xlrd:rvb i="800"/>
        </ext>
      </extLst>
    </bk>
    <bk>
      <extLst>
        <ext uri="{3e2802c4-a4d2-4d8b-9148-e3be6c30e623}">
          <xlrd:rvb i="801"/>
        </ext>
      </extLst>
    </bk>
    <bk>
      <extLst>
        <ext uri="{3e2802c4-a4d2-4d8b-9148-e3be6c30e623}">
          <xlrd:rvb i="802"/>
        </ext>
      </extLst>
    </bk>
    <bk>
      <extLst>
        <ext uri="{3e2802c4-a4d2-4d8b-9148-e3be6c30e623}">
          <xlrd:rvb i="803"/>
        </ext>
      </extLst>
    </bk>
    <bk>
      <extLst>
        <ext uri="{3e2802c4-a4d2-4d8b-9148-e3be6c30e623}">
          <xlrd:rvb i="804"/>
        </ext>
      </extLst>
    </bk>
    <bk>
      <extLst>
        <ext uri="{3e2802c4-a4d2-4d8b-9148-e3be6c30e623}">
          <xlrd:rvb i="805"/>
        </ext>
      </extLst>
    </bk>
    <bk>
      <extLst>
        <ext uri="{3e2802c4-a4d2-4d8b-9148-e3be6c30e623}">
          <xlrd:rvb i="806"/>
        </ext>
      </extLst>
    </bk>
    <bk>
      <extLst>
        <ext uri="{3e2802c4-a4d2-4d8b-9148-e3be6c30e623}">
          <xlrd:rvb i="807"/>
        </ext>
      </extLst>
    </bk>
    <bk>
      <extLst>
        <ext uri="{3e2802c4-a4d2-4d8b-9148-e3be6c30e623}">
          <xlrd:rvb i="808"/>
        </ext>
      </extLst>
    </bk>
    <bk>
      <extLst>
        <ext uri="{3e2802c4-a4d2-4d8b-9148-e3be6c30e623}">
          <xlrd:rvb i="809"/>
        </ext>
      </extLst>
    </bk>
    <bk>
      <extLst>
        <ext uri="{3e2802c4-a4d2-4d8b-9148-e3be6c30e623}">
          <xlrd:rvb i="810"/>
        </ext>
      </extLst>
    </bk>
    <bk>
      <extLst>
        <ext uri="{3e2802c4-a4d2-4d8b-9148-e3be6c30e623}">
          <xlrd:rvb i="811"/>
        </ext>
      </extLst>
    </bk>
    <bk>
      <extLst>
        <ext uri="{3e2802c4-a4d2-4d8b-9148-e3be6c30e623}">
          <xlrd:rvb i="812"/>
        </ext>
      </extLst>
    </bk>
    <bk>
      <extLst>
        <ext uri="{3e2802c4-a4d2-4d8b-9148-e3be6c30e623}">
          <xlrd:rvb i="813"/>
        </ext>
      </extLst>
    </bk>
    <bk>
      <extLst>
        <ext uri="{3e2802c4-a4d2-4d8b-9148-e3be6c30e623}">
          <xlrd:rvb i="814"/>
        </ext>
      </extLst>
    </bk>
    <bk>
      <extLst>
        <ext uri="{3e2802c4-a4d2-4d8b-9148-e3be6c30e623}">
          <xlrd:rvb i="815"/>
        </ext>
      </extLst>
    </bk>
    <bk>
      <extLst>
        <ext uri="{3e2802c4-a4d2-4d8b-9148-e3be6c30e623}">
          <xlrd:rvb i="816"/>
        </ext>
      </extLst>
    </bk>
    <bk>
      <extLst>
        <ext uri="{3e2802c4-a4d2-4d8b-9148-e3be6c30e623}">
          <xlrd:rvb i="817"/>
        </ext>
      </extLst>
    </bk>
    <bk>
      <extLst>
        <ext uri="{3e2802c4-a4d2-4d8b-9148-e3be6c30e623}">
          <xlrd:rvb i="818"/>
        </ext>
      </extLst>
    </bk>
    <bk>
      <extLst>
        <ext uri="{3e2802c4-a4d2-4d8b-9148-e3be6c30e623}">
          <xlrd:rvb i="819"/>
        </ext>
      </extLst>
    </bk>
    <bk>
      <extLst>
        <ext uri="{3e2802c4-a4d2-4d8b-9148-e3be6c30e623}">
          <xlrd:rvb i="820"/>
        </ext>
      </extLst>
    </bk>
    <bk>
      <extLst>
        <ext uri="{3e2802c4-a4d2-4d8b-9148-e3be6c30e623}">
          <xlrd:rvb i="821"/>
        </ext>
      </extLst>
    </bk>
    <bk>
      <extLst>
        <ext uri="{3e2802c4-a4d2-4d8b-9148-e3be6c30e623}">
          <xlrd:rvb i="822"/>
        </ext>
      </extLst>
    </bk>
    <bk>
      <extLst>
        <ext uri="{3e2802c4-a4d2-4d8b-9148-e3be6c30e623}">
          <xlrd:rvb i="823"/>
        </ext>
      </extLst>
    </bk>
    <bk>
      <extLst>
        <ext uri="{3e2802c4-a4d2-4d8b-9148-e3be6c30e623}">
          <xlrd:rvb i="824"/>
        </ext>
      </extLst>
    </bk>
    <bk>
      <extLst>
        <ext uri="{3e2802c4-a4d2-4d8b-9148-e3be6c30e623}">
          <xlrd:rvb i="825"/>
        </ext>
      </extLst>
    </bk>
    <bk>
      <extLst>
        <ext uri="{3e2802c4-a4d2-4d8b-9148-e3be6c30e623}">
          <xlrd:rvb i="826"/>
        </ext>
      </extLst>
    </bk>
    <bk>
      <extLst>
        <ext uri="{3e2802c4-a4d2-4d8b-9148-e3be6c30e623}">
          <xlrd:rvb i="827"/>
        </ext>
      </extLst>
    </bk>
    <bk>
      <extLst>
        <ext uri="{3e2802c4-a4d2-4d8b-9148-e3be6c30e623}">
          <xlrd:rvb i="828"/>
        </ext>
      </extLst>
    </bk>
    <bk>
      <extLst>
        <ext uri="{3e2802c4-a4d2-4d8b-9148-e3be6c30e623}">
          <xlrd:rvb i="829"/>
        </ext>
      </extLst>
    </bk>
    <bk>
      <extLst>
        <ext uri="{3e2802c4-a4d2-4d8b-9148-e3be6c30e623}">
          <xlrd:rvb i="830"/>
        </ext>
      </extLst>
    </bk>
    <bk>
      <extLst>
        <ext uri="{3e2802c4-a4d2-4d8b-9148-e3be6c30e623}">
          <xlrd:rvb i="831"/>
        </ext>
      </extLst>
    </bk>
    <bk>
      <extLst>
        <ext uri="{3e2802c4-a4d2-4d8b-9148-e3be6c30e623}">
          <xlrd:rvb i="832"/>
        </ext>
      </extLst>
    </bk>
    <bk>
      <extLst>
        <ext uri="{3e2802c4-a4d2-4d8b-9148-e3be6c30e623}">
          <xlrd:rvb i="833"/>
        </ext>
      </extLst>
    </bk>
    <bk>
      <extLst>
        <ext uri="{3e2802c4-a4d2-4d8b-9148-e3be6c30e623}">
          <xlrd:rvb i="834"/>
        </ext>
      </extLst>
    </bk>
    <bk>
      <extLst>
        <ext uri="{3e2802c4-a4d2-4d8b-9148-e3be6c30e623}">
          <xlrd:rvb i="835"/>
        </ext>
      </extLst>
    </bk>
    <bk>
      <extLst>
        <ext uri="{3e2802c4-a4d2-4d8b-9148-e3be6c30e623}">
          <xlrd:rvb i="836"/>
        </ext>
      </extLst>
    </bk>
    <bk>
      <extLst>
        <ext uri="{3e2802c4-a4d2-4d8b-9148-e3be6c30e623}">
          <xlrd:rvb i="837"/>
        </ext>
      </extLst>
    </bk>
    <bk>
      <extLst>
        <ext uri="{3e2802c4-a4d2-4d8b-9148-e3be6c30e623}">
          <xlrd:rvb i="838"/>
        </ext>
      </extLst>
    </bk>
    <bk>
      <extLst>
        <ext uri="{3e2802c4-a4d2-4d8b-9148-e3be6c30e623}">
          <xlrd:rvb i="839"/>
        </ext>
      </extLst>
    </bk>
    <bk>
      <extLst>
        <ext uri="{3e2802c4-a4d2-4d8b-9148-e3be6c30e623}">
          <xlrd:rvb i="840"/>
        </ext>
      </extLst>
    </bk>
    <bk>
      <extLst>
        <ext uri="{3e2802c4-a4d2-4d8b-9148-e3be6c30e623}">
          <xlrd:rvb i="841"/>
        </ext>
      </extLst>
    </bk>
    <bk>
      <extLst>
        <ext uri="{3e2802c4-a4d2-4d8b-9148-e3be6c30e623}">
          <xlrd:rvb i="842"/>
        </ext>
      </extLst>
    </bk>
    <bk>
      <extLst>
        <ext uri="{3e2802c4-a4d2-4d8b-9148-e3be6c30e623}">
          <xlrd:rvb i="843"/>
        </ext>
      </extLst>
    </bk>
    <bk>
      <extLst>
        <ext uri="{3e2802c4-a4d2-4d8b-9148-e3be6c30e623}">
          <xlrd:rvb i="844"/>
        </ext>
      </extLst>
    </bk>
    <bk>
      <extLst>
        <ext uri="{3e2802c4-a4d2-4d8b-9148-e3be6c30e623}">
          <xlrd:rvb i="845"/>
        </ext>
      </extLst>
    </bk>
    <bk>
      <extLst>
        <ext uri="{3e2802c4-a4d2-4d8b-9148-e3be6c30e623}">
          <xlrd:rvb i="846"/>
        </ext>
      </extLst>
    </bk>
    <bk>
      <extLst>
        <ext uri="{3e2802c4-a4d2-4d8b-9148-e3be6c30e623}">
          <xlrd:rvb i="847"/>
        </ext>
      </extLst>
    </bk>
    <bk>
      <extLst>
        <ext uri="{3e2802c4-a4d2-4d8b-9148-e3be6c30e623}">
          <xlrd:rvb i="848"/>
        </ext>
      </extLst>
    </bk>
    <bk>
      <extLst>
        <ext uri="{3e2802c4-a4d2-4d8b-9148-e3be6c30e623}">
          <xlrd:rvb i="849"/>
        </ext>
      </extLst>
    </bk>
    <bk>
      <extLst>
        <ext uri="{3e2802c4-a4d2-4d8b-9148-e3be6c30e623}">
          <xlrd:rvb i="850"/>
        </ext>
      </extLst>
    </bk>
    <bk>
      <extLst>
        <ext uri="{3e2802c4-a4d2-4d8b-9148-e3be6c30e623}">
          <xlrd:rvb i="851"/>
        </ext>
      </extLst>
    </bk>
    <bk>
      <extLst>
        <ext uri="{3e2802c4-a4d2-4d8b-9148-e3be6c30e623}">
          <xlrd:rvb i="852"/>
        </ext>
      </extLst>
    </bk>
    <bk>
      <extLst>
        <ext uri="{3e2802c4-a4d2-4d8b-9148-e3be6c30e623}">
          <xlrd:rvb i="853"/>
        </ext>
      </extLst>
    </bk>
    <bk>
      <extLst>
        <ext uri="{3e2802c4-a4d2-4d8b-9148-e3be6c30e623}">
          <xlrd:rvb i="854"/>
        </ext>
      </extLst>
    </bk>
    <bk>
      <extLst>
        <ext uri="{3e2802c4-a4d2-4d8b-9148-e3be6c30e623}">
          <xlrd:rvb i="855"/>
        </ext>
      </extLst>
    </bk>
    <bk>
      <extLst>
        <ext uri="{3e2802c4-a4d2-4d8b-9148-e3be6c30e623}">
          <xlrd:rvb i="856"/>
        </ext>
      </extLst>
    </bk>
    <bk>
      <extLst>
        <ext uri="{3e2802c4-a4d2-4d8b-9148-e3be6c30e623}">
          <xlrd:rvb i="857"/>
        </ext>
      </extLst>
    </bk>
    <bk>
      <extLst>
        <ext uri="{3e2802c4-a4d2-4d8b-9148-e3be6c30e623}">
          <xlrd:rvb i="858"/>
        </ext>
      </extLst>
    </bk>
    <bk>
      <extLst>
        <ext uri="{3e2802c4-a4d2-4d8b-9148-e3be6c30e623}">
          <xlrd:rvb i="859"/>
        </ext>
      </extLst>
    </bk>
    <bk>
      <extLst>
        <ext uri="{3e2802c4-a4d2-4d8b-9148-e3be6c30e623}">
          <xlrd:rvb i="860"/>
        </ext>
      </extLst>
    </bk>
    <bk>
      <extLst>
        <ext uri="{3e2802c4-a4d2-4d8b-9148-e3be6c30e623}">
          <xlrd:rvb i="861"/>
        </ext>
      </extLst>
    </bk>
    <bk>
      <extLst>
        <ext uri="{3e2802c4-a4d2-4d8b-9148-e3be6c30e623}">
          <xlrd:rvb i="862"/>
        </ext>
      </extLst>
    </bk>
    <bk>
      <extLst>
        <ext uri="{3e2802c4-a4d2-4d8b-9148-e3be6c30e623}">
          <xlrd:rvb i="863"/>
        </ext>
      </extLst>
    </bk>
    <bk>
      <extLst>
        <ext uri="{3e2802c4-a4d2-4d8b-9148-e3be6c30e623}">
          <xlrd:rvb i="864"/>
        </ext>
      </extLst>
    </bk>
    <bk>
      <extLst>
        <ext uri="{3e2802c4-a4d2-4d8b-9148-e3be6c30e623}">
          <xlrd:rvb i="865"/>
        </ext>
      </extLst>
    </bk>
    <bk>
      <extLst>
        <ext uri="{3e2802c4-a4d2-4d8b-9148-e3be6c30e623}">
          <xlrd:rvb i="866"/>
        </ext>
      </extLst>
    </bk>
    <bk>
      <extLst>
        <ext uri="{3e2802c4-a4d2-4d8b-9148-e3be6c30e623}">
          <xlrd:rvb i="867"/>
        </ext>
      </extLst>
    </bk>
    <bk>
      <extLst>
        <ext uri="{3e2802c4-a4d2-4d8b-9148-e3be6c30e623}">
          <xlrd:rvb i="868"/>
        </ext>
      </extLst>
    </bk>
    <bk>
      <extLst>
        <ext uri="{3e2802c4-a4d2-4d8b-9148-e3be6c30e623}">
          <xlrd:rvb i="869"/>
        </ext>
      </extLst>
    </bk>
    <bk>
      <extLst>
        <ext uri="{3e2802c4-a4d2-4d8b-9148-e3be6c30e623}">
          <xlrd:rvb i="870"/>
        </ext>
      </extLst>
    </bk>
    <bk>
      <extLst>
        <ext uri="{3e2802c4-a4d2-4d8b-9148-e3be6c30e623}">
          <xlrd:rvb i="871"/>
        </ext>
      </extLst>
    </bk>
    <bk>
      <extLst>
        <ext uri="{3e2802c4-a4d2-4d8b-9148-e3be6c30e623}">
          <xlrd:rvb i="872"/>
        </ext>
      </extLst>
    </bk>
    <bk>
      <extLst>
        <ext uri="{3e2802c4-a4d2-4d8b-9148-e3be6c30e623}">
          <xlrd:rvb i="873"/>
        </ext>
      </extLst>
    </bk>
    <bk>
      <extLst>
        <ext uri="{3e2802c4-a4d2-4d8b-9148-e3be6c30e623}">
          <xlrd:rvb i="874"/>
        </ext>
      </extLst>
    </bk>
    <bk>
      <extLst>
        <ext uri="{3e2802c4-a4d2-4d8b-9148-e3be6c30e623}">
          <xlrd:rvb i="875"/>
        </ext>
      </extLst>
    </bk>
    <bk>
      <extLst>
        <ext uri="{3e2802c4-a4d2-4d8b-9148-e3be6c30e623}">
          <xlrd:rvb i="876"/>
        </ext>
      </extLst>
    </bk>
    <bk>
      <extLst>
        <ext uri="{3e2802c4-a4d2-4d8b-9148-e3be6c30e623}">
          <xlrd:rvb i="877"/>
        </ext>
      </extLst>
    </bk>
    <bk>
      <extLst>
        <ext uri="{3e2802c4-a4d2-4d8b-9148-e3be6c30e623}">
          <xlrd:rvb i="878"/>
        </ext>
      </extLst>
    </bk>
    <bk>
      <extLst>
        <ext uri="{3e2802c4-a4d2-4d8b-9148-e3be6c30e623}">
          <xlrd:rvb i="879"/>
        </ext>
      </extLst>
    </bk>
    <bk>
      <extLst>
        <ext uri="{3e2802c4-a4d2-4d8b-9148-e3be6c30e623}">
          <xlrd:rvb i="880"/>
        </ext>
      </extLst>
    </bk>
    <bk>
      <extLst>
        <ext uri="{3e2802c4-a4d2-4d8b-9148-e3be6c30e623}">
          <xlrd:rvb i="881"/>
        </ext>
      </extLst>
    </bk>
    <bk>
      <extLst>
        <ext uri="{3e2802c4-a4d2-4d8b-9148-e3be6c30e623}">
          <xlrd:rvb i="882"/>
        </ext>
      </extLst>
    </bk>
    <bk>
      <extLst>
        <ext uri="{3e2802c4-a4d2-4d8b-9148-e3be6c30e623}">
          <xlrd:rvb i="883"/>
        </ext>
      </extLst>
    </bk>
    <bk>
      <extLst>
        <ext uri="{3e2802c4-a4d2-4d8b-9148-e3be6c30e623}">
          <xlrd:rvb i="884"/>
        </ext>
      </extLst>
    </bk>
    <bk>
      <extLst>
        <ext uri="{3e2802c4-a4d2-4d8b-9148-e3be6c30e623}">
          <xlrd:rvb i="885"/>
        </ext>
      </extLst>
    </bk>
    <bk>
      <extLst>
        <ext uri="{3e2802c4-a4d2-4d8b-9148-e3be6c30e623}">
          <xlrd:rvb i="886"/>
        </ext>
      </extLst>
    </bk>
    <bk>
      <extLst>
        <ext uri="{3e2802c4-a4d2-4d8b-9148-e3be6c30e623}">
          <xlrd:rvb i="887"/>
        </ext>
      </extLst>
    </bk>
    <bk>
      <extLst>
        <ext uri="{3e2802c4-a4d2-4d8b-9148-e3be6c30e623}">
          <xlrd:rvb i="888"/>
        </ext>
      </extLst>
    </bk>
    <bk>
      <extLst>
        <ext uri="{3e2802c4-a4d2-4d8b-9148-e3be6c30e623}">
          <xlrd:rvb i="889"/>
        </ext>
      </extLst>
    </bk>
    <bk>
      <extLst>
        <ext uri="{3e2802c4-a4d2-4d8b-9148-e3be6c30e623}">
          <xlrd:rvb i="890"/>
        </ext>
      </extLst>
    </bk>
    <bk>
      <extLst>
        <ext uri="{3e2802c4-a4d2-4d8b-9148-e3be6c30e623}">
          <xlrd:rvb i="891"/>
        </ext>
      </extLst>
    </bk>
    <bk>
      <extLst>
        <ext uri="{3e2802c4-a4d2-4d8b-9148-e3be6c30e623}">
          <xlrd:rvb i="892"/>
        </ext>
      </extLst>
    </bk>
    <bk>
      <extLst>
        <ext uri="{3e2802c4-a4d2-4d8b-9148-e3be6c30e623}">
          <xlrd:rvb i="893"/>
        </ext>
      </extLst>
    </bk>
    <bk>
      <extLst>
        <ext uri="{3e2802c4-a4d2-4d8b-9148-e3be6c30e623}">
          <xlrd:rvb i="894"/>
        </ext>
      </extLst>
    </bk>
    <bk>
      <extLst>
        <ext uri="{3e2802c4-a4d2-4d8b-9148-e3be6c30e623}">
          <xlrd:rvb i="895"/>
        </ext>
      </extLst>
    </bk>
    <bk>
      <extLst>
        <ext uri="{3e2802c4-a4d2-4d8b-9148-e3be6c30e623}">
          <xlrd:rvb i="896"/>
        </ext>
      </extLst>
    </bk>
    <bk>
      <extLst>
        <ext uri="{3e2802c4-a4d2-4d8b-9148-e3be6c30e623}">
          <xlrd:rvb i="897"/>
        </ext>
      </extLst>
    </bk>
    <bk>
      <extLst>
        <ext uri="{3e2802c4-a4d2-4d8b-9148-e3be6c30e623}">
          <xlrd:rvb i="898"/>
        </ext>
      </extLst>
    </bk>
    <bk>
      <extLst>
        <ext uri="{3e2802c4-a4d2-4d8b-9148-e3be6c30e623}">
          <xlrd:rvb i="899"/>
        </ext>
      </extLst>
    </bk>
    <bk>
      <extLst>
        <ext uri="{3e2802c4-a4d2-4d8b-9148-e3be6c30e623}">
          <xlrd:rvb i="900"/>
        </ext>
      </extLst>
    </bk>
    <bk>
      <extLst>
        <ext uri="{3e2802c4-a4d2-4d8b-9148-e3be6c30e623}">
          <xlrd:rvb i="901"/>
        </ext>
      </extLst>
    </bk>
    <bk>
      <extLst>
        <ext uri="{3e2802c4-a4d2-4d8b-9148-e3be6c30e623}">
          <xlrd:rvb i="902"/>
        </ext>
      </extLst>
    </bk>
    <bk>
      <extLst>
        <ext uri="{3e2802c4-a4d2-4d8b-9148-e3be6c30e623}">
          <xlrd:rvb i="903"/>
        </ext>
      </extLst>
    </bk>
    <bk>
      <extLst>
        <ext uri="{3e2802c4-a4d2-4d8b-9148-e3be6c30e623}">
          <xlrd:rvb i="904"/>
        </ext>
      </extLst>
    </bk>
    <bk>
      <extLst>
        <ext uri="{3e2802c4-a4d2-4d8b-9148-e3be6c30e623}">
          <xlrd:rvb i="905"/>
        </ext>
      </extLst>
    </bk>
    <bk>
      <extLst>
        <ext uri="{3e2802c4-a4d2-4d8b-9148-e3be6c30e623}">
          <xlrd:rvb i="906"/>
        </ext>
      </extLst>
    </bk>
    <bk>
      <extLst>
        <ext uri="{3e2802c4-a4d2-4d8b-9148-e3be6c30e623}">
          <xlrd:rvb i="907"/>
        </ext>
      </extLst>
    </bk>
    <bk>
      <extLst>
        <ext uri="{3e2802c4-a4d2-4d8b-9148-e3be6c30e623}">
          <xlrd:rvb i="908"/>
        </ext>
      </extLst>
    </bk>
    <bk>
      <extLst>
        <ext uri="{3e2802c4-a4d2-4d8b-9148-e3be6c30e623}">
          <xlrd:rvb i="909"/>
        </ext>
      </extLst>
    </bk>
    <bk>
      <extLst>
        <ext uri="{3e2802c4-a4d2-4d8b-9148-e3be6c30e623}">
          <xlrd:rvb i="910"/>
        </ext>
      </extLst>
    </bk>
    <bk>
      <extLst>
        <ext uri="{3e2802c4-a4d2-4d8b-9148-e3be6c30e623}">
          <xlrd:rvb i="911"/>
        </ext>
      </extLst>
    </bk>
    <bk>
      <extLst>
        <ext uri="{3e2802c4-a4d2-4d8b-9148-e3be6c30e623}">
          <xlrd:rvb i="912"/>
        </ext>
      </extLst>
    </bk>
    <bk>
      <extLst>
        <ext uri="{3e2802c4-a4d2-4d8b-9148-e3be6c30e623}">
          <xlrd:rvb i="913"/>
        </ext>
      </extLst>
    </bk>
    <bk>
      <extLst>
        <ext uri="{3e2802c4-a4d2-4d8b-9148-e3be6c30e623}">
          <xlrd:rvb i="914"/>
        </ext>
      </extLst>
    </bk>
    <bk>
      <extLst>
        <ext uri="{3e2802c4-a4d2-4d8b-9148-e3be6c30e623}">
          <xlrd:rvb i="915"/>
        </ext>
      </extLst>
    </bk>
    <bk>
      <extLst>
        <ext uri="{3e2802c4-a4d2-4d8b-9148-e3be6c30e623}">
          <xlrd:rvb i="916"/>
        </ext>
      </extLst>
    </bk>
    <bk>
      <extLst>
        <ext uri="{3e2802c4-a4d2-4d8b-9148-e3be6c30e623}">
          <xlrd:rvb i="917"/>
        </ext>
      </extLst>
    </bk>
    <bk>
      <extLst>
        <ext uri="{3e2802c4-a4d2-4d8b-9148-e3be6c30e623}">
          <xlrd:rvb i="918"/>
        </ext>
      </extLst>
    </bk>
    <bk>
      <extLst>
        <ext uri="{3e2802c4-a4d2-4d8b-9148-e3be6c30e623}">
          <xlrd:rvb i="919"/>
        </ext>
      </extLst>
    </bk>
    <bk>
      <extLst>
        <ext uri="{3e2802c4-a4d2-4d8b-9148-e3be6c30e623}">
          <xlrd:rvb i="920"/>
        </ext>
      </extLst>
    </bk>
    <bk>
      <extLst>
        <ext uri="{3e2802c4-a4d2-4d8b-9148-e3be6c30e623}">
          <xlrd:rvb i="921"/>
        </ext>
      </extLst>
    </bk>
    <bk>
      <extLst>
        <ext uri="{3e2802c4-a4d2-4d8b-9148-e3be6c30e623}">
          <xlrd:rvb i="922"/>
        </ext>
      </extLst>
    </bk>
    <bk>
      <extLst>
        <ext uri="{3e2802c4-a4d2-4d8b-9148-e3be6c30e623}">
          <xlrd:rvb i="923"/>
        </ext>
      </extLst>
    </bk>
    <bk>
      <extLst>
        <ext uri="{3e2802c4-a4d2-4d8b-9148-e3be6c30e623}">
          <xlrd:rvb i="924"/>
        </ext>
      </extLst>
    </bk>
    <bk>
      <extLst>
        <ext uri="{3e2802c4-a4d2-4d8b-9148-e3be6c30e623}">
          <xlrd:rvb i="925"/>
        </ext>
      </extLst>
    </bk>
    <bk>
      <extLst>
        <ext uri="{3e2802c4-a4d2-4d8b-9148-e3be6c30e623}">
          <xlrd:rvb i="926"/>
        </ext>
      </extLst>
    </bk>
    <bk>
      <extLst>
        <ext uri="{3e2802c4-a4d2-4d8b-9148-e3be6c30e623}">
          <xlrd:rvb i="927"/>
        </ext>
      </extLst>
    </bk>
    <bk>
      <extLst>
        <ext uri="{3e2802c4-a4d2-4d8b-9148-e3be6c30e623}">
          <xlrd:rvb i="928"/>
        </ext>
      </extLst>
    </bk>
    <bk>
      <extLst>
        <ext uri="{3e2802c4-a4d2-4d8b-9148-e3be6c30e623}">
          <xlrd:rvb i="929"/>
        </ext>
      </extLst>
    </bk>
    <bk>
      <extLst>
        <ext uri="{3e2802c4-a4d2-4d8b-9148-e3be6c30e623}">
          <xlrd:rvb i="930"/>
        </ext>
      </extLst>
    </bk>
    <bk>
      <extLst>
        <ext uri="{3e2802c4-a4d2-4d8b-9148-e3be6c30e623}">
          <xlrd:rvb i="931"/>
        </ext>
      </extLst>
    </bk>
    <bk>
      <extLst>
        <ext uri="{3e2802c4-a4d2-4d8b-9148-e3be6c30e623}">
          <xlrd:rvb i="932"/>
        </ext>
      </extLst>
    </bk>
    <bk>
      <extLst>
        <ext uri="{3e2802c4-a4d2-4d8b-9148-e3be6c30e623}">
          <xlrd:rvb i="933"/>
        </ext>
      </extLst>
    </bk>
    <bk>
      <extLst>
        <ext uri="{3e2802c4-a4d2-4d8b-9148-e3be6c30e623}">
          <xlrd:rvb i="934"/>
        </ext>
      </extLst>
    </bk>
    <bk>
      <extLst>
        <ext uri="{3e2802c4-a4d2-4d8b-9148-e3be6c30e623}">
          <xlrd:rvb i="935"/>
        </ext>
      </extLst>
    </bk>
    <bk>
      <extLst>
        <ext uri="{3e2802c4-a4d2-4d8b-9148-e3be6c30e623}">
          <xlrd:rvb i="936"/>
        </ext>
      </extLst>
    </bk>
    <bk>
      <extLst>
        <ext uri="{3e2802c4-a4d2-4d8b-9148-e3be6c30e623}">
          <xlrd:rvb i="937"/>
        </ext>
      </extLst>
    </bk>
    <bk>
      <extLst>
        <ext uri="{3e2802c4-a4d2-4d8b-9148-e3be6c30e623}">
          <xlrd:rvb i="938"/>
        </ext>
      </extLst>
    </bk>
    <bk>
      <extLst>
        <ext uri="{3e2802c4-a4d2-4d8b-9148-e3be6c30e623}">
          <xlrd:rvb i="939"/>
        </ext>
      </extLst>
    </bk>
    <bk>
      <extLst>
        <ext uri="{3e2802c4-a4d2-4d8b-9148-e3be6c30e623}">
          <xlrd:rvb i="940"/>
        </ext>
      </extLst>
    </bk>
    <bk>
      <extLst>
        <ext uri="{3e2802c4-a4d2-4d8b-9148-e3be6c30e623}">
          <xlrd:rvb i="941"/>
        </ext>
      </extLst>
    </bk>
    <bk>
      <extLst>
        <ext uri="{3e2802c4-a4d2-4d8b-9148-e3be6c30e623}">
          <xlrd:rvb i="942"/>
        </ext>
      </extLst>
    </bk>
    <bk>
      <extLst>
        <ext uri="{3e2802c4-a4d2-4d8b-9148-e3be6c30e623}">
          <xlrd:rvb i="943"/>
        </ext>
      </extLst>
    </bk>
    <bk>
      <extLst>
        <ext uri="{3e2802c4-a4d2-4d8b-9148-e3be6c30e623}">
          <xlrd:rvb i="944"/>
        </ext>
      </extLst>
    </bk>
    <bk>
      <extLst>
        <ext uri="{3e2802c4-a4d2-4d8b-9148-e3be6c30e623}">
          <xlrd:rvb i="945"/>
        </ext>
      </extLst>
    </bk>
    <bk>
      <extLst>
        <ext uri="{3e2802c4-a4d2-4d8b-9148-e3be6c30e623}">
          <xlrd:rvb i="946"/>
        </ext>
      </extLst>
    </bk>
    <bk>
      <extLst>
        <ext uri="{3e2802c4-a4d2-4d8b-9148-e3be6c30e623}">
          <xlrd:rvb i="947"/>
        </ext>
      </extLst>
    </bk>
    <bk>
      <extLst>
        <ext uri="{3e2802c4-a4d2-4d8b-9148-e3be6c30e623}">
          <xlrd:rvb i="948"/>
        </ext>
      </extLst>
    </bk>
    <bk>
      <extLst>
        <ext uri="{3e2802c4-a4d2-4d8b-9148-e3be6c30e623}">
          <xlrd:rvb i="949"/>
        </ext>
      </extLst>
    </bk>
    <bk>
      <extLst>
        <ext uri="{3e2802c4-a4d2-4d8b-9148-e3be6c30e623}">
          <xlrd:rvb i="950"/>
        </ext>
      </extLst>
    </bk>
    <bk>
      <extLst>
        <ext uri="{3e2802c4-a4d2-4d8b-9148-e3be6c30e623}">
          <xlrd:rvb i="951"/>
        </ext>
      </extLst>
    </bk>
    <bk>
      <extLst>
        <ext uri="{3e2802c4-a4d2-4d8b-9148-e3be6c30e623}">
          <xlrd:rvb i="952"/>
        </ext>
      </extLst>
    </bk>
    <bk>
      <extLst>
        <ext uri="{3e2802c4-a4d2-4d8b-9148-e3be6c30e623}">
          <xlrd:rvb i="953"/>
        </ext>
      </extLst>
    </bk>
    <bk>
      <extLst>
        <ext uri="{3e2802c4-a4d2-4d8b-9148-e3be6c30e623}">
          <xlrd:rvb i="954"/>
        </ext>
      </extLst>
    </bk>
    <bk>
      <extLst>
        <ext uri="{3e2802c4-a4d2-4d8b-9148-e3be6c30e623}">
          <xlrd:rvb i="955"/>
        </ext>
      </extLst>
    </bk>
    <bk>
      <extLst>
        <ext uri="{3e2802c4-a4d2-4d8b-9148-e3be6c30e623}">
          <xlrd:rvb i="956"/>
        </ext>
      </extLst>
    </bk>
    <bk>
      <extLst>
        <ext uri="{3e2802c4-a4d2-4d8b-9148-e3be6c30e623}">
          <xlrd:rvb i="957"/>
        </ext>
      </extLst>
    </bk>
    <bk>
      <extLst>
        <ext uri="{3e2802c4-a4d2-4d8b-9148-e3be6c30e623}">
          <xlrd:rvb i="958"/>
        </ext>
      </extLst>
    </bk>
    <bk>
      <extLst>
        <ext uri="{3e2802c4-a4d2-4d8b-9148-e3be6c30e623}">
          <xlrd:rvb i="959"/>
        </ext>
      </extLst>
    </bk>
    <bk>
      <extLst>
        <ext uri="{3e2802c4-a4d2-4d8b-9148-e3be6c30e623}">
          <xlrd:rvb i="960"/>
        </ext>
      </extLst>
    </bk>
    <bk>
      <extLst>
        <ext uri="{3e2802c4-a4d2-4d8b-9148-e3be6c30e623}">
          <xlrd:rvb i="961"/>
        </ext>
      </extLst>
    </bk>
    <bk>
      <extLst>
        <ext uri="{3e2802c4-a4d2-4d8b-9148-e3be6c30e623}">
          <xlrd:rvb i="962"/>
        </ext>
      </extLst>
    </bk>
    <bk>
      <extLst>
        <ext uri="{3e2802c4-a4d2-4d8b-9148-e3be6c30e623}">
          <xlrd:rvb i="963"/>
        </ext>
      </extLst>
    </bk>
    <bk>
      <extLst>
        <ext uri="{3e2802c4-a4d2-4d8b-9148-e3be6c30e623}">
          <xlrd:rvb i="964"/>
        </ext>
      </extLst>
    </bk>
    <bk>
      <extLst>
        <ext uri="{3e2802c4-a4d2-4d8b-9148-e3be6c30e623}">
          <xlrd:rvb i="965"/>
        </ext>
      </extLst>
    </bk>
    <bk>
      <extLst>
        <ext uri="{3e2802c4-a4d2-4d8b-9148-e3be6c30e623}">
          <xlrd:rvb i="966"/>
        </ext>
      </extLst>
    </bk>
    <bk>
      <extLst>
        <ext uri="{3e2802c4-a4d2-4d8b-9148-e3be6c30e623}">
          <xlrd:rvb i="967"/>
        </ext>
      </extLst>
    </bk>
    <bk>
      <extLst>
        <ext uri="{3e2802c4-a4d2-4d8b-9148-e3be6c30e623}">
          <xlrd:rvb i="968"/>
        </ext>
      </extLst>
    </bk>
    <bk>
      <extLst>
        <ext uri="{3e2802c4-a4d2-4d8b-9148-e3be6c30e623}">
          <xlrd:rvb i="969"/>
        </ext>
      </extLst>
    </bk>
    <bk>
      <extLst>
        <ext uri="{3e2802c4-a4d2-4d8b-9148-e3be6c30e623}">
          <xlrd:rvb i="970"/>
        </ext>
      </extLst>
    </bk>
    <bk>
      <extLst>
        <ext uri="{3e2802c4-a4d2-4d8b-9148-e3be6c30e623}">
          <xlrd:rvb i="971"/>
        </ext>
      </extLst>
    </bk>
    <bk>
      <extLst>
        <ext uri="{3e2802c4-a4d2-4d8b-9148-e3be6c30e623}">
          <xlrd:rvb i="972"/>
        </ext>
      </extLst>
    </bk>
    <bk>
      <extLst>
        <ext uri="{3e2802c4-a4d2-4d8b-9148-e3be6c30e623}">
          <xlrd:rvb i="973"/>
        </ext>
      </extLst>
    </bk>
    <bk>
      <extLst>
        <ext uri="{3e2802c4-a4d2-4d8b-9148-e3be6c30e623}">
          <xlrd:rvb i="974"/>
        </ext>
      </extLst>
    </bk>
    <bk>
      <extLst>
        <ext uri="{3e2802c4-a4d2-4d8b-9148-e3be6c30e623}">
          <xlrd:rvb i="975"/>
        </ext>
      </extLst>
    </bk>
    <bk>
      <extLst>
        <ext uri="{3e2802c4-a4d2-4d8b-9148-e3be6c30e623}">
          <xlrd:rvb i="976"/>
        </ext>
      </extLst>
    </bk>
    <bk>
      <extLst>
        <ext uri="{3e2802c4-a4d2-4d8b-9148-e3be6c30e623}">
          <xlrd:rvb i="977"/>
        </ext>
      </extLst>
    </bk>
    <bk>
      <extLst>
        <ext uri="{3e2802c4-a4d2-4d8b-9148-e3be6c30e623}">
          <xlrd:rvb i="978"/>
        </ext>
      </extLst>
    </bk>
    <bk>
      <extLst>
        <ext uri="{3e2802c4-a4d2-4d8b-9148-e3be6c30e623}">
          <xlrd:rvb i="979"/>
        </ext>
      </extLst>
    </bk>
    <bk>
      <extLst>
        <ext uri="{3e2802c4-a4d2-4d8b-9148-e3be6c30e623}">
          <xlrd:rvb i="980"/>
        </ext>
      </extLst>
    </bk>
    <bk>
      <extLst>
        <ext uri="{3e2802c4-a4d2-4d8b-9148-e3be6c30e623}">
          <xlrd:rvb i="981"/>
        </ext>
      </extLst>
    </bk>
    <bk>
      <extLst>
        <ext uri="{3e2802c4-a4d2-4d8b-9148-e3be6c30e623}">
          <xlrd:rvb i="982"/>
        </ext>
      </extLst>
    </bk>
    <bk>
      <extLst>
        <ext uri="{3e2802c4-a4d2-4d8b-9148-e3be6c30e623}">
          <xlrd:rvb i="983"/>
        </ext>
      </extLst>
    </bk>
    <bk>
      <extLst>
        <ext uri="{3e2802c4-a4d2-4d8b-9148-e3be6c30e623}">
          <xlrd:rvb i="984"/>
        </ext>
      </extLst>
    </bk>
    <bk>
      <extLst>
        <ext uri="{3e2802c4-a4d2-4d8b-9148-e3be6c30e623}">
          <xlrd:rvb i="985"/>
        </ext>
      </extLst>
    </bk>
    <bk>
      <extLst>
        <ext uri="{3e2802c4-a4d2-4d8b-9148-e3be6c30e623}">
          <xlrd:rvb i="986"/>
        </ext>
      </extLst>
    </bk>
    <bk>
      <extLst>
        <ext uri="{3e2802c4-a4d2-4d8b-9148-e3be6c30e623}">
          <xlrd:rvb i="987"/>
        </ext>
      </extLst>
    </bk>
    <bk>
      <extLst>
        <ext uri="{3e2802c4-a4d2-4d8b-9148-e3be6c30e623}">
          <xlrd:rvb i="988"/>
        </ext>
      </extLst>
    </bk>
    <bk>
      <extLst>
        <ext uri="{3e2802c4-a4d2-4d8b-9148-e3be6c30e623}">
          <xlrd:rvb i="989"/>
        </ext>
      </extLst>
    </bk>
    <bk>
      <extLst>
        <ext uri="{3e2802c4-a4d2-4d8b-9148-e3be6c30e623}">
          <xlrd:rvb i="990"/>
        </ext>
      </extLst>
    </bk>
    <bk>
      <extLst>
        <ext uri="{3e2802c4-a4d2-4d8b-9148-e3be6c30e623}">
          <xlrd:rvb i="991"/>
        </ext>
      </extLst>
    </bk>
    <bk>
      <extLst>
        <ext uri="{3e2802c4-a4d2-4d8b-9148-e3be6c30e623}">
          <xlrd:rvb i="992"/>
        </ext>
      </extLst>
    </bk>
    <bk>
      <extLst>
        <ext uri="{3e2802c4-a4d2-4d8b-9148-e3be6c30e623}">
          <xlrd:rvb i="993"/>
        </ext>
      </extLst>
    </bk>
    <bk>
      <extLst>
        <ext uri="{3e2802c4-a4d2-4d8b-9148-e3be6c30e623}">
          <xlrd:rvb i="994"/>
        </ext>
      </extLst>
    </bk>
    <bk>
      <extLst>
        <ext uri="{3e2802c4-a4d2-4d8b-9148-e3be6c30e623}">
          <xlrd:rvb i="995"/>
        </ext>
      </extLst>
    </bk>
    <bk>
      <extLst>
        <ext uri="{3e2802c4-a4d2-4d8b-9148-e3be6c30e623}">
          <xlrd:rvb i="996"/>
        </ext>
      </extLst>
    </bk>
    <bk>
      <extLst>
        <ext uri="{3e2802c4-a4d2-4d8b-9148-e3be6c30e623}">
          <xlrd:rvb i="997"/>
        </ext>
      </extLst>
    </bk>
    <bk>
      <extLst>
        <ext uri="{3e2802c4-a4d2-4d8b-9148-e3be6c30e623}">
          <xlrd:rvb i="998"/>
        </ext>
      </extLst>
    </bk>
    <bk>
      <extLst>
        <ext uri="{3e2802c4-a4d2-4d8b-9148-e3be6c30e623}">
          <xlrd:rvb i="999"/>
        </ext>
      </extLst>
    </bk>
    <bk>
      <extLst>
        <ext uri="{3e2802c4-a4d2-4d8b-9148-e3be6c30e623}">
          <xlrd:rvb i="1000"/>
        </ext>
      </extLst>
    </bk>
    <bk>
      <extLst>
        <ext uri="{3e2802c4-a4d2-4d8b-9148-e3be6c30e623}">
          <xlrd:rvb i="1001"/>
        </ext>
      </extLst>
    </bk>
    <bk>
      <extLst>
        <ext uri="{3e2802c4-a4d2-4d8b-9148-e3be6c30e623}">
          <xlrd:rvb i="1002"/>
        </ext>
      </extLst>
    </bk>
    <bk>
      <extLst>
        <ext uri="{3e2802c4-a4d2-4d8b-9148-e3be6c30e623}">
          <xlrd:rvb i="1003"/>
        </ext>
      </extLst>
    </bk>
    <bk>
      <extLst>
        <ext uri="{3e2802c4-a4d2-4d8b-9148-e3be6c30e623}">
          <xlrd:rvb i="1004"/>
        </ext>
      </extLst>
    </bk>
    <bk>
      <extLst>
        <ext uri="{3e2802c4-a4d2-4d8b-9148-e3be6c30e623}">
          <xlrd:rvb i="1005"/>
        </ext>
      </extLst>
    </bk>
    <bk>
      <extLst>
        <ext uri="{3e2802c4-a4d2-4d8b-9148-e3be6c30e623}">
          <xlrd:rvb i="1006"/>
        </ext>
      </extLst>
    </bk>
    <bk>
      <extLst>
        <ext uri="{3e2802c4-a4d2-4d8b-9148-e3be6c30e623}">
          <xlrd:rvb i="1007"/>
        </ext>
      </extLst>
    </bk>
    <bk>
      <extLst>
        <ext uri="{3e2802c4-a4d2-4d8b-9148-e3be6c30e623}">
          <xlrd:rvb i="1008"/>
        </ext>
      </extLst>
    </bk>
    <bk>
      <extLst>
        <ext uri="{3e2802c4-a4d2-4d8b-9148-e3be6c30e623}">
          <xlrd:rvb i="1009"/>
        </ext>
      </extLst>
    </bk>
    <bk>
      <extLst>
        <ext uri="{3e2802c4-a4d2-4d8b-9148-e3be6c30e623}">
          <xlrd:rvb i="1010"/>
        </ext>
      </extLst>
    </bk>
    <bk>
      <extLst>
        <ext uri="{3e2802c4-a4d2-4d8b-9148-e3be6c30e623}">
          <xlrd:rvb i="1011"/>
        </ext>
      </extLst>
    </bk>
    <bk>
      <extLst>
        <ext uri="{3e2802c4-a4d2-4d8b-9148-e3be6c30e623}">
          <xlrd:rvb i="1012"/>
        </ext>
      </extLst>
    </bk>
    <bk>
      <extLst>
        <ext uri="{3e2802c4-a4d2-4d8b-9148-e3be6c30e623}">
          <xlrd:rvb i="1013"/>
        </ext>
      </extLst>
    </bk>
    <bk>
      <extLst>
        <ext uri="{3e2802c4-a4d2-4d8b-9148-e3be6c30e623}">
          <xlrd:rvb i="1014"/>
        </ext>
      </extLst>
    </bk>
    <bk>
      <extLst>
        <ext uri="{3e2802c4-a4d2-4d8b-9148-e3be6c30e623}">
          <xlrd:rvb i="1015"/>
        </ext>
      </extLst>
    </bk>
    <bk>
      <extLst>
        <ext uri="{3e2802c4-a4d2-4d8b-9148-e3be6c30e623}">
          <xlrd:rvb i="1016"/>
        </ext>
      </extLst>
    </bk>
    <bk>
      <extLst>
        <ext uri="{3e2802c4-a4d2-4d8b-9148-e3be6c30e623}">
          <xlrd:rvb i="1017"/>
        </ext>
      </extLst>
    </bk>
    <bk>
      <extLst>
        <ext uri="{3e2802c4-a4d2-4d8b-9148-e3be6c30e623}">
          <xlrd:rvb i="1018"/>
        </ext>
      </extLst>
    </bk>
    <bk>
      <extLst>
        <ext uri="{3e2802c4-a4d2-4d8b-9148-e3be6c30e623}">
          <xlrd:rvb i="1019"/>
        </ext>
      </extLst>
    </bk>
    <bk>
      <extLst>
        <ext uri="{3e2802c4-a4d2-4d8b-9148-e3be6c30e623}">
          <xlrd:rvb i="1020"/>
        </ext>
      </extLst>
    </bk>
    <bk>
      <extLst>
        <ext uri="{3e2802c4-a4d2-4d8b-9148-e3be6c30e623}">
          <xlrd:rvb i="1021"/>
        </ext>
      </extLst>
    </bk>
    <bk>
      <extLst>
        <ext uri="{3e2802c4-a4d2-4d8b-9148-e3be6c30e623}">
          <xlrd:rvb i="1022"/>
        </ext>
      </extLst>
    </bk>
    <bk>
      <extLst>
        <ext uri="{3e2802c4-a4d2-4d8b-9148-e3be6c30e623}">
          <xlrd:rvb i="1023"/>
        </ext>
      </extLst>
    </bk>
    <bk>
      <extLst>
        <ext uri="{3e2802c4-a4d2-4d8b-9148-e3be6c30e623}">
          <xlrd:rvb i="1024"/>
        </ext>
      </extLst>
    </bk>
    <bk>
      <extLst>
        <ext uri="{3e2802c4-a4d2-4d8b-9148-e3be6c30e623}">
          <xlrd:rvb i="1025"/>
        </ext>
      </extLst>
    </bk>
    <bk>
      <extLst>
        <ext uri="{3e2802c4-a4d2-4d8b-9148-e3be6c30e623}">
          <xlrd:rvb i="1026"/>
        </ext>
      </extLst>
    </bk>
    <bk>
      <extLst>
        <ext uri="{3e2802c4-a4d2-4d8b-9148-e3be6c30e623}">
          <xlrd:rvb i="1027"/>
        </ext>
      </extLst>
    </bk>
    <bk>
      <extLst>
        <ext uri="{3e2802c4-a4d2-4d8b-9148-e3be6c30e623}">
          <xlrd:rvb i="1028"/>
        </ext>
      </extLst>
    </bk>
    <bk>
      <extLst>
        <ext uri="{3e2802c4-a4d2-4d8b-9148-e3be6c30e623}">
          <xlrd:rvb i="1029"/>
        </ext>
      </extLst>
    </bk>
    <bk>
      <extLst>
        <ext uri="{3e2802c4-a4d2-4d8b-9148-e3be6c30e623}">
          <xlrd:rvb i="1030"/>
        </ext>
      </extLst>
    </bk>
    <bk>
      <extLst>
        <ext uri="{3e2802c4-a4d2-4d8b-9148-e3be6c30e623}">
          <xlrd:rvb i="1031"/>
        </ext>
      </extLst>
    </bk>
    <bk>
      <extLst>
        <ext uri="{3e2802c4-a4d2-4d8b-9148-e3be6c30e623}">
          <xlrd:rvb i="1032"/>
        </ext>
      </extLst>
    </bk>
    <bk>
      <extLst>
        <ext uri="{3e2802c4-a4d2-4d8b-9148-e3be6c30e623}">
          <xlrd:rvb i="1033"/>
        </ext>
      </extLst>
    </bk>
    <bk>
      <extLst>
        <ext uri="{3e2802c4-a4d2-4d8b-9148-e3be6c30e623}">
          <xlrd:rvb i="1034"/>
        </ext>
      </extLst>
    </bk>
    <bk>
      <extLst>
        <ext uri="{3e2802c4-a4d2-4d8b-9148-e3be6c30e623}">
          <xlrd:rvb i="1035"/>
        </ext>
      </extLst>
    </bk>
    <bk>
      <extLst>
        <ext uri="{3e2802c4-a4d2-4d8b-9148-e3be6c30e623}">
          <xlrd:rvb i="1036"/>
        </ext>
      </extLst>
    </bk>
    <bk>
      <extLst>
        <ext uri="{3e2802c4-a4d2-4d8b-9148-e3be6c30e623}">
          <xlrd:rvb i="1037"/>
        </ext>
      </extLst>
    </bk>
    <bk>
      <extLst>
        <ext uri="{3e2802c4-a4d2-4d8b-9148-e3be6c30e623}">
          <xlrd:rvb i="1038"/>
        </ext>
      </extLst>
    </bk>
    <bk>
      <extLst>
        <ext uri="{3e2802c4-a4d2-4d8b-9148-e3be6c30e623}">
          <xlrd:rvb i="1039"/>
        </ext>
      </extLst>
    </bk>
    <bk>
      <extLst>
        <ext uri="{3e2802c4-a4d2-4d8b-9148-e3be6c30e623}">
          <xlrd:rvb i="1040"/>
        </ext>
      </extLst>
    </bk>
    <bk>
      <extLst>
        <ext uri="{3e2802c4-a4d2-4d8b-9148-e3be6c30e623}">
          <xlrd:rvb i="1041"/>
        </ext>
      </extLst>
    </bk>
    <bk>
      <extLst>
        <ext uri="{3e2802c4-a4d2-4d8b-9148-e3be6c30e623}">
          <xlrd:rvb i="1042"/>
        </ext>
      </extLst>
    </bk>
    <bk>
      <extLst>
        <ext uri="{3e2802c4-a4d2-4d8b-9148-e3be6c30e623}">
          <xlrd:rvb i="1043"/>
        </ext>
      </extLst>
    </bk>
    <bk>
      <extLst>
        <ext uri="{3e2802c4-a4d2-4d8b-9148-e3be6c30e623}">
          <xlrd:rvb i="1044"/>
        </ext>
      </extLst>
    </bk>
    <bk>
      <extLst>
        <ext uri="{3e2802c4-a4d2-4d8b-9148-e3be6c30e623}">
          <xlrd:rvb i="1045"/>
        </ext>
      </extLst>
    </bk>
    <bk>
      <extLst>
        <ext uri="{3e2802c4-a4d2-4d8b-9148-e3be6c30e623}">
          <xlrd:rvb i="1046"/>
        </ext>
      </extLst>
    </bk>
    <bk>
      <extLst>
        <ext uri="{3e2802c4-a4d2-4d8b-9148-e3be6c30e623}">
          <xlrd:rvb i="1047"/>
        </ext>
      </extLst>
    </bk>
    <bk>
      <extLst>
        <ext uri="{3e2802c4-a4d2-4d8b-9148-e3be6c30e623}">
          <xlrd:rvb i="1048"/>
        </ext>
      </extLst>
    </bk>
    <bk>
      <extLst>
        <ext uri="{3e2802c4-a4d2-4d8b-9148-e3be6c30e623}">
          <xlrd:rvb i="1049"/>
        </ext>
      </extLst>
    </bk>
    <bk>
      <extLst>
        <ext uri="{3e2802c4-a4d2-4d8b-9148-e3be6c30e623}">
          <xlrd:rvb i="1050"/>
        </ext>
      </extLst>
    </bk>
    <bk>
      <extLst>
        <ext uri="{3e2802c4-a4d2-4d8b-9148-e3be6c30e623}">
          <xlrd:rvb i="1051"/>
        </ext>
      </extLst>
    </bk>
    <bk>
      <extLst>
        <ext uri="{3e2802c4-a4d2-4d8b-9148-e3be6c30e623}">
          <xlrd:rvb i="1052"/>
        </ext>
      </extLst>
    </bk>
    <bk>
      <extLst>
        <ext uri="{3e2802c4-a4d2-4d8b-9148-e3be6c30e623}">
          <xlrd:rvb i="1053"/>
        </ext>
      </extLst>
    </bk>
    <bk>
      <extLst>
        <ext uri="{3e2802c4-a4d2-4d8b-9148-e3be6c30e623}">
          <xlrd:rvb i="1054"/>
        </ext>
      </extLst>
    </bk>
    <bk>
      <extLst>
        <ext uri="{3e2802c4-a4d2-4d8b-9148-e3be6c30e623}">
          <xlrd:rvb i="1055"/>
        </ext>
      </extLst>
    </bk>
    <bk>
      <extLst>
        <ext uri="{3e2802c4-a4d2-4d8b-9148-e3be6c30e623}">
          <xlrd:rvb i="1056"/>
        </ext>
      </extLst>
    </bk>
    <bk>
      <extLst>
        <ext uri="{3e2802c4-a4d2-4d8b-9148-e3be6c30e623}">
          <xlrd:rvb i="1057"/>
        </ext>
      </extLst>
    </bk>
    <bk>
      <extLst>
        <ext uri="{3e2802c4-a4d2-4d8b-9148-e3be6c30e623}">
          <xlrd:rvb i="1058"/>
        </ext>
      </extLst>
    </bk>
    <bk>
      <extLst>
        <ext uri="{3e2802c4-a4d2-4d8b-9148-e3be6c30e623}">
          <xlrd:rvb i="1059"/>
        </ext>
      </extLst>
    </bk>
    <bk>
      <extLst>
        <ext uri="{3e2802c4-a4d2-4d8b-9148-e3be6c30e623}">
          <xlrd:rvb i="1060"/>
        </ext>
      </extLst>
    </bk>
    <bk>
      <extLst>
        <ext uri="{3e2802c4-a4d2-4d8b-9148-e3be6c30e623}">
          <xlrd:rvb i="1061"/>
        </ext>
      </extLst>
    </bk>
    <bk>
      <extLst>
        <ext uri="{3e2802c4-a4d2-4d8b-9148-e3be6c30e623}">
          <xlrd:rvb i="1062"/>
        </ext>
      </extLst>
    </bk>
    <bk>
      <extLst>
        <ext uri="{3e2802c4-a4d2-4d8b-9148-e3be6c30e623}">
          <xlrd:rvb i="1063"/>
        </ext>
      </extLst>
    </bk>
    <bk>
      <extLst>
        <ext uri="{3e2802c4-a4d2-4d8b-9148-e3be6c30e623}">
          <xlrd:rvb i="1064"/>
        </ext>
      </extLst>
    </bk>
    <bk>
      <extLst>
        <ext uri="{3e2802c4-a4d2-4d8b-9148-e3be6c30e623}">
          <xlrd:rvb i="1065"/>
        </ext>
      </extLst>
    </bk>
    <bk>
      <extLst>
        <ext uri="{3e2802c4-a4d2-4d8b-9148-e3be6c30e623}">
          <xlrd:rvb i="1066"/>
        </ext>
      </extLst>
    </bk>
    <bk>
      <extLst>
        <ext uri="{3e2802c4-a4d2-4d8b-9148-e3be6c30e623}">
          <xlrd:rvb i="1067"/>
        </ext>
      </extLst>
    </bk>
    <bk>
      <extLst>
        <ext uri="{3e2802c4-a4d2-4d8b-9148-e3be6c30e623}">
          <xlrd:rvb i="1068"/>
        </ext>
      </extLst>
    </bk>
    <bk>
      <extLst>
        <ext uri="{3e2802c4-a4d2-4d8b-9148-e3be6c30e623}">
          <xlrd:rvb i="1069"/>
        </ext>
      </extLst>
    </bk>
    <bk>
      <extLst>
        <ext uri="{3e2802c4-a4d2-4d8b-9148-e3be6c30e623}">
          <xlrd:rvb i="1070"/>
        </ext>
      </extLst>
    </bk>
    <bk>
      <extLst>
        <ext uri="{3e2802c4-a4d2-4d8b-9148-e3be6c30e623}">
          <xlrd:rvb i="1071"/>
        </ext>
      </extLst>
    </bk>
    <bk>
      <extLst>
        <ext uri="{3e2802c4-a4d2-4d8b-9148-e3be6c30e623}">
          <xlrd:rvb i="1072"/>
        </ext>
      </extLst>
    </bk>
    <bk>
      <extLst>
        <ext uri="{3e2802c4-a4d2-4d8b-9148-e3be6c30e623}">
          <xlrd:rvb i="1073"/>
        </ext>
      </extLst>
    </bk>
    <bk>
      <extLst>
        <ext uri="{3e2802c4-a4d2-4d8b-9148-e3be6c30e623}">
          <xlrd:rvb i="1074"/>
        </ext>
      </extLst>
    </bk>
    <bk>
      <extLst>
        <ext uri="{3e2802c4-a4d2-4d8b-9148-e3be6c30e623}">
          <xlrd:rvb i="1075"/>
        </ext>
      </extLst>
    </bk>
    <bk>
      <extLst>
        <ext uri="{3e2802c4-a4d2-4d8b-9148-e3be6c30e623}">
          <xlrd:rvb i="1076"/>
        </ext>
      </extLst>
    </bk>
    <bk>
      <extLst>
        <ext uri="{3e2802c4-a4d2-4d8b-9148-e3be6c30e623}">
          <xlrd:rvb i="1077"/>
        </ext>
      </extLst>
    </bk>
    <bk>
      <extLst>
        <ext uri="{3e2802c4-a4d2-4d8b-9148-e3be6c30e623}">
          <xlrd:rvb i="1078"/>
        </ext>
      </extLst>
    </bk>
    <bk>
      <extLst>
        <ext uri="{3e2802c4-a4d2-4d8b-9148-e3be6c30e623}">
          <xlrd:rvb i="1079"/>
        </ext>
      </extLst>
    </bk>
    <bk>
      <extLst>
        <ext uri="{3e2802c4-a4d2-4d8b-9148-e3be6c30e623}">
          <xlrd:rvb i="1080"/>
        </ext>
      </extLst>
    </bk>
    <bk>
      <extLst>
        <ext uri="{3e2802c4-a4d2-4d8b-9148-e3be6c30e623}">
          <xlrd:rvb i="1081"/>
        </ext>
      </extLst>
    </bk>
    <bk>
      <extLst>
        <ext uri="{3e2802c4-a4d2-4d8b-9148-e3be6c30e623}">
          <xlrd:rvb i="1082"/>
        </ext>
      </extLst>
    </bk>
    <bk>
      <extLst>
        <ext uri="{3e2802c4-a4d2-4d8b-9148-e3be6c30e623}">
          <xlrd:rvb i="1083"/>
        </ext>
      </extLst>
    </bk>
    <bk>
      <extLst>
        <ext uri="{3e2802c4-a4d2-4d8b-9148-e3be6c30e623}">
          <xlrd:rvb i="1084"/>
        </ext>
      </extLst>
    </bk>
    <bk>
      <extLst>
        <ext uri="{3e2802c4-a4d2-4d8b-9148-e3be6c30e623}">
          <xlrd:rvb i="1085"/>
        </ext>
      </extLst>
    </bk>
    <bk>
      <extLst>
        <ext uri="{3e2802c4-a4d2-4d8b-9148-e3be6c30e623}">
          <xlrd:rvb i="1086"/>
        </ext>
      </extLst>
    </bk>
    <bk>
      <extLst>
        <ext uri="{3e2802c4-a4d2-4d8b-9148-e3be6c30e623}">
          <xlrd:rvb i="1087"/>
        </ext>
      </extLst>
    </bk>
    <bk>
      <extLst>
        <ext uri="{3e2802c4-a4d2-4d8b-9148-e3be6c30e623}">
          <xlrd:rvb i="1088"/>
        </ext>
      </extLst>
    </bk>
    <bk>
      <extLst>
        <ext uri="{3e2802c4-a4d2-4d8b-9148-e3be6c30e623}">
          <xlrd:rvb i="1089"/>
        </ext>
      </extLst>
    </bk>
    <bk>
      <extLst>
        <ext uri="{3e2802c4-a4d2-4d8b-9148-e3be6c30e623}">
          <xlrd:rvb i="1090"/>
        </ext>
      </extLst>
    </bk>
    <bk>
      <extLst>
        <ext uri="{3e2802c4-a4d2-4d8b-9148-e3be6c30e623}">
          <xlrd:rvb i="1091"/>
        </ext>
      </extLst>
    </bk>
    <bk>
      <extLst>
        <ext uri="{3e2802c4-a4d2-4d8b-9148-e3be6c30e623}">
          <xlrd:rvb i="1092"/>
        </ext>
      </extLst>
    </bk>
    <bk>
      <extLst>
        <ext uri="{3e2802c4-a4d2-4d8b-9148-e3be6c30e623}">
          <xlrd:rvb i="1093"/>
        </ext>
      </extLst>
    </bk>
    <bk>
      <extLst>
        <ext uri="{3e2802c4-a4d2-4d8b-9148-e3be6c30e623}">
          <xlrd:rvb i="1094"/>
        </ext>
      </extLst>
    </bk>
    <bk>
      <extLst>
        <ext uri="{3e2802c4-a4d2-4d8b-9148-e3be6c30e623}">
          <xlrd:rvb i="1095"/>
        </ext>
      </extLst>
    </bk>
    <bk>
      <extLst>
        <ext uri="{3e2802c4-a4d2-4d8b-9148-e3be6c30e623}">
          <xlrd:rvb i="1096"/>
        </ext>
      </extLst>
    </bk>
    <bk>
      <extLst>
        <ext uri="{3e2802c4-a4d2-4d8b-9148-e3be6c30e623}">
          <xlrd:rvb i="1097"/>
        </ext>
      </extLst>
    </bk>
    <bk>
      <extLst>
        <ext uri="{3e2802c4-a4d2-4d8b-9148-e3be6c30e623}">
          <xlrd:rvb i="1098"/>
        </ext>
      </extLst>
    </bk>
    <bk>
      <extLst>
        <ext uri="{3e2802c4-a4d2-4d8b-9148-e3be6c30e623}">
          <xlrd:rvb i="1099"/>
        </ext>
      </extLst>
    </bk>
    <bk>
      <extLst>
        <ext uri="{3e2802c4-a4d2-4d8b-9148-e3be6c30e623}">
          <xlrd:rvb i="1100"/>
        </ext>
      </extLst>
    </bk>
    <bk>
      <extLst>
        <ext uri="{3e2802c4-a4d2-4d8b-9148-e3be6c30e623}">
          <xlrd:rvb i="1101"/>
        </ext>
      </extLst>
    </bk>
    <bk>
      <extLst>
        <ext uri="{3e2802c4-a4d2-4d8b-9148-e3be6c30e623}">
          <xlrd:rvb i="1102"/>
        </ext>
      </extLst>
    </bk>
    <bk>
      <extLst>
        <ext uri="{3e2802c4-a4d2-4d8b-9148-e3be6c30e623}">
          <xlrd:rvb i="1103"/>
        </ext>
      </extLst>
    </bk>
    <bk>
      <extLst>
        <ext uri="{3e2802c4-a4d2-4d8b-9148-e3be6c30e623}">
          <xlrd:rvb i="1104"/>
        </ext>
      </extLst>
    </bk>
    <bk>
      <extLst>
        <ext uri="{3e2802c4-a4d2-4d8b-9148-e3be6c30e623}">
          <xlrd:rvb i="1105"/>
        </ext>
      </extLst>
    </bk>
    <bk>
      <extLst>
        <ext uri="{3e2802c4-a4d2-4d8b-9148-e3be6c30e623}">
          <xlrd:rvb i="1106"/>
        </ext>
      </extLst>
    </bk>
    <bk>
      <extLst>
        <ext uri="{3e2802c4-a4d2-4d8b-9148-e3be6c30e623}">
          <xlrd:rvb i="1107"/>
        </ext>
      </extLst>
    </bk>
    <bk>
      <extLst>
        <ext uri="{3e2802c4-a4d2-4d8b-9148-e3be6c30e623}">
          <xlrd:rvb i="1108"/>
        </ext>
      </extLst>
    </bk>
    <bk>
      <extLst>
        <ext uri="{3e2802c4-a4d2-4d8b-9148-e3be6c30e623}">
          <xlrd:rvb i="1109"/>
        </ext>
      </extLst>
    </bk>
    <bk>
      <extLst>
        <ext uri="{3e2802c4-a4d2-4d8b-9148-e3be6c30e623}">
          <xlrd:rvb i="1110"/>
        </ext>
      </extLst>
    </bk>
    <bk>
      <extLst>
        <ext uri="{3e2802c4-a4d2-4d8b-9148-e3be6c30e623}">
          <xlrd:rvb i="1111"/>
        </ext>
      </extLst>
    </bk>
    <bk>
      <extLst>
        <ext uri="{3e2802c4-a4d2-4d8b-9148-e3be6c30e623}">
          <xlrd:rvb i="1112"/>
        </ext>
      </extLst>
    </bk>
    <bk>
      <extLst>
        <ext uri="{3e2802c4-a4d2-4d8b-9148-e3be6c30e623}">
          <xlrd:rvb i="1113"/>
        </ext>
      </extLst>
    </bk>
    <bk>
      <extLst>
        <ext uri="{3e2802c4-a4d2-4d8b-9148-e3be6c30e623}">
          <xlrd:rvb i="1114"/>
        </ext>
      </extLst>
    </bk>
    <bk>
      <extLst>
        <ext uri="{3e2802c4-a4d2-4d8b-9148-e3be6c30e623}">
          <xlrd:rvb i="1115"/>
        </ext>
      </extLst>
    </bk>
    <bk>
      <extLst>
        <ext uri="{3e2802c4-a4d2-4d8b-9148-e3be6c30e623}">
          <xlrd:rvb i="1116"/>
        </ext>
      </extLst>
    </bk>
    <bk>
      <extLst>
        <ext uri="{3e2802c4-a4d2-4d8b-9148-e3be6c30e623}">
          <xlrd:rvb i="1117"/>
        </ext>
      </extLst>
    </bk>
    <bk>
      <extLst>
        <ext uri="{3e2802c4-a4d2-4d8b-9148-e3be6c30e623}">
          <xlrd:rvb i="1118"/>
        </ext>
      </extLst>
    </bk>
    <bk>
      <extLst>
        <ext uri="{3e2802c4-a4d2-4d8b-9148-e3be6c30e623}">
          <xlrd:rvb i="1119"/>
        </ext>
      </extLst>
    </bk>
    <bk>
      <extLst>
        <ext uri="{3e2802c4-a4d2-4d8b-9148-e3be6c30e623}">
          <xlrd:rvb i="1120"/>
        </ext>
      </extLst>
    </bk>
    <bk>
      <extLst>
        <ext uri="{3e2802c4-a4d2-4d8b-9148-e3be6c30e623}">
          <xlrd:rvb i="1121"/>
        </ext>
      </extLst>
    </bk>
    <bk>
      <extLst>
        <ext uri="{3e2802c4-a4d2-4d8b-9148-e3be6c30e623}">
          <xlrd:rvb i="1122"/>
        </ext>
      </extLst>
    </bk>
    <bk>
      <extLst>
        <ext uri="{3e2802c4-a4d2-4d8b-9148-e3be6c30e623}">
          <xlrd:rvb i="1123"/>
        </ext>
      </extLst>
    </bk>
    <bk>
      <extLst>
        <ext uri="{3e2802c4-a4d2-4d8b-9148-e3be6c30e623}">
          <xlrd:rvb i="1124"/>
        </ext>
      </extLst>
    </bk>
    <bk>
      <extLst>
        <ext uri="{3e2802c4-a4d2-4d8b-9148-e3be6c30e623}">
          <xlrd:rvb i="1125"/>
        </ext>
      </extLst>
    </bk>
    <bk>
      <extLst>
        <ext uri="{3e2802c4-a4d2-4d8b-9148-e3be6c30e623}">
          <xlrd:rvb i="1126"/>
        </ext>
      </extLst>
    </bk>
    <bk>
      <extLst>
        <ext uri="{3e2802c4-a4d2-4d8b-9148-e3be6c30e623}">
          <xlrd:rvb i="1127"/>
        </ext>
      </extLst>
    </bk>
    <bk>
      <extLst>
        <ext uri="{3e2802c4-a4d2-4d8b-9148-e3be6c30e623}">
          <xlrd:rvb i="1128"/>
        </ext>
      </extLst>
    </bk>
    <bk>
      <extLst>
        <ext uri="{3e2802c4-a4d2-4d8b-9148-e3be6c30e623}">
          <xlrd:rvb i="1129"/>
        </ext>
      </extLst>
    </bk>
    <bk>
      <extLst>
        <ext uri="{3e2802c4-a4d2-4d8b-9148-e3be6c30e623}">
          <xlrd:rvb i="1130"/>
        </ext>
      </extLst>
    </bk>
    <bk>
      <extLst>
        <ext uri="{3e2802c4-a4d2-4d8b-9148-e3be6c30e623}">
          <xlrd:rvb i="1131"/>
        </ext>
      </extLst>
    </bk>
    <bk>
      <extLst>
        <ext uri="{3e2802c4-a4d2-4d8b-9148-e3be6c30e623}">
          <xlrd:rvb i="1132"/>
        </ext>
      </extLst>
    </bk>
    <bk>
      <extLst>
        <ext uri="{3e2802c4-a4d2-4d8b-9148-e3be6c30e623}">
          <xlrd:rvb i="1133"/>
        </ext>
      </extLst>
    </bk>
    <bk>
      <extLst>
        <ext uri="{3e2802c4-a4d2-4d8b-9148-e3be6c30e623}">
          <xlrd:rvb i="1134"/>
        </ext>
      </extLst>
    </bk>
    <bk>
      <extLst>
        <ext uri="{3e2802c4-a4d2-4d8b-9148-e3be6c30e623}">
          <xlrd:rvb i="1135"/>
        </ext>
      </extLst>
    </bk>
    <bk>
      <extLst>
        <ext uri="{3e2802c4-a4d2-4d8b-9148-e3be6c30e623}">
          <xlrd:rvb i="1136"/>
        </ext>
      </extLst>
    </bk>
    <bk>
      <extLst>
        <ext uri="{3e2802c4-a4d2-4d8b-9148-e3be6c30e623}">
          <xlrd:rvb i="1137"/>
        </ext>
      </extLst>
    </bk>
    <bk>
      <extLst>
        <ext uri="{3e2802c4-a4d2-4d8b-9148-e3be6c30e623}">
          <xlrd:rvb i="1138"/>
        </ext>
      </extLst>
    </bk>
    <bk>
      <extLst>
        <ext uri="{3e2802c4-a4d2-4d8b-9148-e3be6c30e623}">
          <xlrd:rvb i="1139"/>
        </ext>
      </extLst>
    </bk>
    <bk>
      <extLst>
        <ext uri="{3e2802c4-a4d2-4d8b-9148-e3be6c30e623}">
          <xlrd:rvb i="1140"/>
        </ext>
      </extLst>
    </bk>
    <bk>
      <extLst>
        <ext uri="{3e2802c4-a4d2-4d8b-9148-e3be6c30e623}">
          <xlrd:rvb i="1141"/>
        </ext>
      </extLst>
    </bk>
    <bk>
      <extLst>
        <ext uri="{3e2802c4-a4d2-4d8b-9148-e3be6c30e623}">
          <xlrd:rvb i="1142"/>
        </ext>
      </extLst>
    </bk>
    <bk>
      <extLst>
        <ext uri="{3e2802c4-a4d2-4d8b-9148-e3be6c30e623}">
          <xlrd:rvb i="1143"/>
        </ext>
      </extLst>
    </bk>
    <bk>
      <extLst>
        <ext uri="{3e2802c4-a4d2-4d8b-9148-e3be6c30e623}">
          <xlrd:rvb i="1144"/>
        </ext>
      </extLst>
    </bk>
    <bk>
      <extLst>
        <ext uri="{3e2802c4-a4d2-4d8b-9148-e3be6c30e623}">
          <xlrd:rvb i="1145"/>
        </ext>
      </extLst>
    </bk>
    <bk>
      <extLst>
        <ext uri="{3e2802c4-a4d2-4d8b-9148-e3be6c30e623}">
          <xlrd:rvb i="1146"/>
        </ext>
      </extLst>
    </bk>
    <bk>
      <extLst>
        <ext uri="{3e2802c4-a4d2-4d8b-9148-e3be6c30e623}">
          <xlrd:rvb i="1147"/>
        </ext>
      </extLst>
    </bk>
    <bk>
      <extLst>
        <ext uri="{3e2802c4-a4d2-4d8b-9148-e3be6c30e623}">
          <xlrd:rvb i="1148"/>
        </ext>
      </extLst>
    </bk>
    <bk>
      <extLst>
        <ext uri="{3e2802c4-a4d2-4d8b-9148-e3be6c30e623}">
          <xlrd:rvb i="1149"/>
        </ext>
      </extLst>
    </bk>
    <bk>
      <extLst>
        <ext uri="{3e2802c4-a4d2-4d8b-9148-e3be6c30e623}">
          <xlrd:rvb i="1150"/>
        </ext>
      </extLst>
    </bk>
    <bk>
      <extLst>
        <ext uri="{3e2802c4-a4d2-4d8b-9148-e3be6c30e623}">
          <xlrd:rvb i="1151"/>
        </ext>
      </extLst>
    </bk>
    <bk>
      <extLst>
        <ext uri="{3e2802c4-a4d2-4d8b-9148-e3be6c30e623}">
          <xlrd:rvb i="1152"/>
        </ext>
      </extLst>
    </bk>
    <bk>
      <extLst>
        <ext uri="{3e2802c4-a4d2-4d8b-9148-e3be6c30e623}">
          <xlrd:rvb i="1153"/>
        </ext>
      </extLst>
    </bk>
    <bk>
      <extLst>
        <ext uri="{3e2802c4-a4d2-4d8b-9148-e3be6c30e623}">
          <xlrd:rvb i="1154"/>
        </ext>
      </extLst>
    </bk>
    <bk>
      <extLst>
        <ext uri="{3e2802c4-a4d2-4d8b-9148-e3be6c30e623}">
          <xlrd:rvb i="1155"/>
        </ext>
      </extLst>
    </bk>
    <bk>
      <extLst>
        <ext uri="{3e2802c4-a4d2-4d8b-9148-e3be6c30e623}">
          <xlrd:rvb i="1156"/>
        </ext>
      </extLst>
    </bk>
    <bk>
      <extLst>
        <ext uri="{3e2802c4-a4d2-4d8b-9148-e3be6c30e623}">
          <xlrd:rvb i="1157"/>
        </ext>
      </extLst>
    </bk>
    <bk>
      <extLst>
        <ext uri="{3e2802c4-a4d2-4d8b-9148-e3be6c30e623}">
          <xlrd:rvb i="1158"/>
        </ext>
      </extLst>
    </bk>
    <bk>
      <extLst>
        <ext uri="{3e2802c4-a4d2-4d8b-9148-e3be6c30e623}">
          <xlrd:rvb i="1159"/>
        </ext>
      </extLst>
    </bk>
    <bk>
      <extLst>
        <ext uri="{3e2802c4-a4d2-4d8b-9148-e3be6c30e623}">
          <xlrd:rvb i="1160"/>
        </ext>
      </extLst>
    </bk>
    <bk>
      <extLst>
        <ext uri="{3e2802c4-a4d2-4d8b-9148-e3be6c30e623}">
          <xlrd:rvb i="1161"/>
        </ext>
      </extLst>
    </bk>
    <bk>
      <extLst>
        <ext uri="{3e2802c4-a4d2-4d8b-9148-e3be6c30e623}">
          <xlrd:rvb i="1162"/>
        </ext>
      </extLst>
    </bk>
    <bk>
      <extLst>
        <ext uri="{3e2802c4-a4d2-4d8b-9148-e3be6c30e623}">
          <xlrd:rvb i="1163"/>
        </ext>
      </extLst>
    </bk>
    <bk>
      <extLst>
        <ext uri="{3e2802c4-a4d2-4d8b-9148-e3be6c30e623}">
          <xlrd:rvb i="1164"/>
        </ext>
      </extLst>
    </bk>
    <bk>
      <extLst>
        <ext uri="{3e2802c4-a4d2-4d8b-9148-e3be6c30e623}">
          <xlrd:rvb i="1165"/>
        </ext>
      </extLst>
    </bk>
    <bk>
      <extLst>
        <ext uri="{3e2802c4-a4d2-4d8b-9148-e3be6c30e623}">
          <xlrd:rvb i="1166"/>
        </ext>
      </extLst>
    </bk>
    <bk>
      <extLst>
        <ext uri="{3e2802c4-a4d2-4d8b-9148-e3be6c30e623}">
          <xlrd:rvb i="1167"/>
        </ext>
      </extLst>
    </bk>
    <bk>
      <extLst>
        <ext uri="{3e2802c4-a4d2-4d8b-9148-e3be6c30e623}">
          <xlrd:rvb i="1168"/>
        </ext>
      </extLst>
    </bk>
    <bk>
      <extLst>
        <ext uri="{3e2802c4-a4d2-4d8b-9148-e3be6c30e623}">
          <xlrd:rvb i="1169"/>
        </ext>
      </extLst>
    </bk>
    <bk>
      <extLst>
        <ext uri="{3e2802c4-a4d2-4d8b-9148-e3be6c30e623}">
          <xlrd:rvb i="1170"/>
        </ext>
      </extLst>
    </bk>
    <bk>
      <extLst>
        <ext uri="{3e2802c4-a4d2-4d8b-9148-e3be6c30e623}">
          <xlrd:rvb i="1171"/>
        </ext>
      </extLst>
    </bk>
    <bk>
      <extLst>
        <ext uri="{3e2802c4-a4d2-4d8b-9148-e3be6c30e623}">
          <xlrd:rvb i="1172"/>
        </ext>
      </extLst>
    </bk>
    <bk>
      <extLst>
        <ext uri="{3e2802c4-a4d2-4d8b-9148-e3be6c30e623}">
          <xlrd:rvb i="1173"/>
        </ext>
      </extLst>
    </bk>
    <bk>
      <extLst>
        <ext uri="{3e2802c4-a4d2-4d8b-9148-e3be6c30e623}">
          <xlrd:rvb i="1174"/>
        </ext>
      </extLst>
    </bk>
    <bk>
      <extLst>
        <ext uri="{3e2802c4-a4d2-4d8b-9148-e3be6c30e623}">
          <xlrd:rvb i="1175"/>
        </ext>
      </extLst>
    </bk>
    <bk>
      <extLst>
        <ext uri="{3e2802c4-a4d2-4d8b-9148-e3be6c30e623}">
          <xlrd:rvb i="1176"/>
        </ext>
      </extLst>
    </bk>
    <bk>
      <extLst>
        <ext uri="{3e2802c4-a4d2-4d8b-9148-e3be6c30e623}">
          <xlrd:rvb i="1177"/>
        </ext>
      </extLst>
    </bk>
    <bk>
      <extLst>
        <ext uri="{3e2802c4-a4d2-4d8b-9148-e3be6c30e623}">
          <xlrd:rvb i="1178"/>
        </ext>
      </extLst>
    </bk>
    <bk>
      <extLst>
        <ext uri="{3e2802c4-a4d2-4d8b-9148-e3be6c30e623}">
          <xlrd:rvb i="1179"/>
        </ext>
      </extLst>
    </bk>
    <bk>
      <extLst>
        <ext uri="{3e2802c4-a4d2-4d8b-9148-e3be6c30e623}">
          <xlrd:rvb i="1180"/>
        </ext>
      </extLst>
    </bk>
    <bk>
      <extLst>
        <ext uri="{3e2802c4-a4d2-4d8b-9148-e3be6c30e623}">
          <xlrd:rvb i="1181"/>
        </ext>
      </extLst>
    </bk>
    <bk>
      <extLst>
        <ext uri="{3e2802c4-a4d2-4d8b-9148-e3be6c30e623}">
          <xlrd:rvb i="1182"/>
        </ext>
      </extLst>
    </bk>
    <bk>
      <extLst>
        <ext uri="{3e2802c4-a4d2-4d8b-9148-e3be6c30e623}">
          <xlrd:rvb i="1183"/>
        </ext>
      </extLst>
    </bk>
    <bk>
      <extLst>
        <ext uri="{3e2802c4-a4d2-4d8b-9148-e3be6c30e623}">
          <xlrd:rvb i="1184"/>
        </ext>
      </extLst>
    </bk>
    <bk>
      <extLst>
        <ext uri="{3e2802c4-a4d2-4d8b-9148-e3be6c30e623}">
          <xlrd:rvb i="1185"/>
        </ext>
      </extLst>
    </bk>
    <bk>
      <extLst>
        <ext uri="{3e2802c4-a4d2-4d8b-9148-e3be6c30e623}">
          <xlrd:rvb i="1186"/>
        </ext>
      </extLst>
    </bk>
    <bk>
      <extLst>
        <ext uri="{3e2802c4-a4d2-4d8b-9148-e3be6c30e623}">
          <xlrd:rvb i="1187"/>
        </ext>
      </extLst>
    </bk>
    <bk>
      <extLst>
        <ext uri="{3e2802c4-a4d2-4d8b-9148-e3be6c30e623}">
          <xlrd:rvb i="1188"/>
        </ext>
      </extLst>
    </bk>
    <bk>
      <extLst>
        <ext uri="{3e2802c4-a4d2-4d8b-9148-e3be6c30e623}">
          <xlrd:rvb i="1189"/>
        </ext>
      </extLst>
    </bk>
    <bk>
      <extLst>
        <ext uri="{3e2802c4-a4d2-4d8b-9148-e3be6c30e623}">
          <xlrd:rvb i="1190"/>
        </ext>
      </extLst>
    </bk>
    <bk>
      <extLst>
        <ext uri="{3e2802c4-a4d2-4d8b-9148-e3be6c30e623}">
          <xlrd:rvb i="1191"/>
        </ext>
      </extLst>
    </bk>
    <bk>
      <extLst>
        <ext uri="{3e2802c4-a4d2-4d8b-9148-e3be6c30e623}">
          <xlrd:rvb i="1192"/>
        </ext>
      </extLst>
    </bk>
    <bk>
      <extLst>
        <ext uri="{3e2802c4-a4d2-4d8b-9148-e3be6c30e623}">
          <xlrd:rvb i="1193"/>
        </ext>
      </extLst>
    </bk>
    <bk>
      <extLst>
        <ext uri="{3e2802c4-a4d2-4d8b-9148-e3be6c30e623}">
          <xlrd:rvb i="1194"/>
        </ext>
      </extLst>
    </bk>
    <bk>
      <extLst>
        <ext uri="{3e2802c4-a4d2-4d8b-9148-e3be6c30e623}">
          <xlrd:rvb i="1195"/>
        </ext>
      </extLst>
    </bk>
    <bk>
      <extLst>
        <ext uri="{3e2802c4-a4d2-4d8b-9148-e3be6c30e623}">
          <xlrd:rvb i="1196"/>
        </ext>
      </extLst>
    </bk>
    <bk>
      <extLst>
        <ext uri="{3e2802c4-a4d2-4d8b-9148-e3be6c30e623}">
          <xlrd:rvb i="1197"/>
        </ext>
      </extLst>
    </bk>
    <bk>
      <extLst>
        <ext uri="{3e2802c4-a4d2-4d8b-9148-e3be6c30e623}">
          <xlrd:rvb i="1198"/>
        </ext>
      </extLst>
    </bk>
    <bk>
      <extLst>
        <ext uri="{3e2802c4-a4d2-4d8b-9148-e3be6c30e623}">
          <xlrd:rvb i="1199"/>
        </ext>
      </extLst>
    </bk>
    <bk>
      <extLst>
        <ext uri="{3e2802c4-a4d2-4d8b-9148-e3be6c30e623}">
          <xlrd:rvb i="1200"/>
        </ext>
      </extLst>
    </bk>
    <bk>
      <extLst>
        <ext uri="{3e2802c4-a4d2-4d8b-9148-e3be6c30e623}">
          <xlrd:rvb i="1201"/>
        </ext>
      </extLst>
    </bk>
    <bk>
      <extLst>
        <ext uri="{3e2802c4-a4d2-4d8b-9148-e3be6c30e623}">
          <xlrd:rvb i="1202"/>
        </ext>
      </extLst>
    </bk>
    <bk>
      <extLst>
        <ext uri="{3e2802c4-a4d2-4d8b-9148-e3be6c30e623}">
          <xlrd:rvb i="1203"/>
        </ext>
      </extLst>
    </bk>
    <bk>
      <extLst>
        <ext uri="{3e2802c4-a4d2-4d8b-9148-e3be6c30e623}">
          <xlrd:rvb i="1204"/>
        </ext>
      </extLst>
    </bk>
    <bk>
      <extLst>
        <ext uri="{3e2802c4-a4d2-4d8b-9148-e3be6c30e623}">
          <xlrd:rvb i="1205"/>
        </ext>
      </extLst>
    </bk>
    <bk>
      <extLst>
        <ext uri="{3e2802c4-a4d2-4d8b-9148-e3be6c30e623}">
          <xlrd:rvb i="1206"/>
        </ext>
      </extLst>
    </bk>
    <bk>
      <extLst>
        <ext uri="{3e2802c4-a4d2-4d8b-9148-e3be6c30e623}">
          <xlrd:rvb i="1207"/>
        </ext>
      </extLst>
    </bk>
    <bk>
      <extLst>
        <ext uri="{3e2802c4-a4d2-4d8b-9148-e3be6c30e623}">
          <xlrd:rvb i="1208"/>
        </ext>
      </extLst>
    </bk>
    <bk>
      <extLst>
        <ext uri="{3e2802c4-a4d2-4d8b-9148-e3be6c30e623}">
          <xlrd:rvb i="1209"/>
        </ext>
      </extLst>
    </bk>
    <bk>
      <extLst>
        <ext uri="{3e2802c4-a4d2-4d8b-9148-e3be6c30e623}">
          <xlrd:rvb i="1210"/>
        </ext>
      </extLst>
    </bk>
    <bk>
      <extLst>
        <ext uri="{3e2802c4-a4d2-4d8b-9148-e3be6c30e623}">
          <xlrd:rvb i="1211"/>
        </ext>
      </extLst>
    </bk>
    <bk>
      <extLst>
        <ext uri="{3e2802c4-a4d2-4d8b-9148-e3be6c30e623}">
          <xlrd:rvb i="1212"/>
        </ext>
      </extLst>
    </bk>
    <bk>
      <extLst>
        <ext uri="{3e2802c4-a4d2-4d8b-9148-e3be6c30e623}">
          <xlrd:rvb i="1213"/>
        </ext>
      </extLst>
    </bk>
    <bk>
      <extLst>
        <ext uri="{3e2802c4-a4d2-4d8b-9148-e3be6c30e623}">
          <xlrd:rvb i="1214"/>
        </ext>
      </extLst>
    </bk>
    <bk>
      <extLst>
        <ext uri="{3e2802c4-a4d2-4d8b-9148-e3be6c30e623}">
          <xlrd:rvb i="1215"/>
        </ext>
      </extLst>
    </bk>
    <bk>
      <extLst>
        <ext uri="{3e2802c4-a4d2-4d8b-9148-e3be6c30e623}">
          <xlrd:rvb i="1216"/>
        </ext>
      </extLst>
    </bk>
    <bk>
      <extLst>
        <ext uri="{3e2802c4-a4d2-4d8b-9148-e3be6c30e623}">
          <xlrd:rvb i="1217"/>
        </ext>
      </extLst>
    </bk>
    <bk>
      <extLst>
        <ext uri="{3e2802c4-a4d2-4d8b-9148-e3be6c30e623}">
          <xlrd:rvb i="1218"/>
        </ext>
      </extLst>
    </bk>
    <bk>
      <extLst>
        <ext uri="{3e2802c4-a4d2-4d8b-9148-e3be6c30e623}">
          <xlrd:rvb i="1219"/>
        </ext>
      </extLst>
    </bk>
    <bk>
      <extLst>
        <ext uri="{3e2802c4-a4d2-4d8b-9148-e3be6c30e623}">
          <xlrd:rvb i="1220"/>
        </ext>
      </extLst>
    </bk>
    <bk>
      <extLst>
        <ext uri="{3e2802c4-a4d2-4d8b-9148-e3be6c30e623}">
          <xlrd:rvb i="1221"/>
        </ext>
      </extLst>
    </bk>
    <bk>
      <extLst>
        <ext uri="{3e2802c4-a4d2-4d8b-9148-e3be6c30e623}">
          <xlrd:rvb i="1222"/>
        </ext>
      </extLst>
    </bk>
    <bk>
      <extLst>
        <ext uri="{3e2802c4-a4d2-4d8b-9148-e3be6c30e623}">
          <xlrd:rvb i="1223"/>
        </ext>
      </extLst>
    </bk>
    <bk>
      <extLst>
        <ext uri="{3e2802c4-a4d2-4d8b-9148-e3be6c30e623}">
          <xlrd:rvb i="1224"/>
        </ext>
      </extLst>
    </bk>
    <bk>
      <extLst>
        <ext uri="{3e2802c4-a4d2-4d8b-9148-e3be6c30e623}">
          <xlrd:rvb i="1225"/>
        </ext>
      </extLst>
    </bk>
    <bk>
      <extLst>
        <ext uri="{3e2802c4-a4d2-4d8b-9148-e3be6c30e623}">
          <xlrd:rvb i="1226"/>
        </ext>
      </extLst>
    </bk>
    <bk>
      <extLst>
        <ext uri="{3e2802c4-a4d2-4d8b-9148-e3be6c30e623}">
          <xlrd:rvb i="1227"/>
        </ext>
      </extLst>
    </bk>
    <bk>
      <extLst>
        <ext uri="{3e2802c4-a4d2-4d8b-9148-e3be6c30e623}">
          <xlrd:rvb i="1228"/>
        </ext>
      </extLst>
    </bk>
    <bk>
      <extLst>
        <ext uri="{3e2802c4-a4d2-4d8b-9148-e3be6c30e623}">
          <xlrd:rvb i="1229"/>
        </ext>
      </extLst>
    </bk>
    <bk>
      <extLst>
        <ext uri="{3e2802c4-a4d2-4d8b-9148-e3be6c30e623}">
          <xlrd:rvb i="1230"/>
        </ext>
      </extLst>
    </bk>
    <bk>
      <extLst>
        <ext uri="{3e2802c4-a4d2-4d8b-9148-e3be6c30e623}">
          <xlrd:rvb i="1231"/>
        </ext>
      </extLst>
    </bk>
    <bk>
      <extLst>
        <ext uri="{3e2802c4-a4d2-4d8b-9148-e3be6c30e623}">
          <xlrd:rvb i="1232"/>
        </ext>
      </extLst>
    </bk>
    <bk>
      <extLst>
        <ext uri="{3e2802c4-a4d2-4d8b-9148-e3be6c30e623}">
          <xlrd:rvb i="1233"/>
        </ext>
      </extLst>
    </bk>
    <bk>
      <extLst>
        <ext uri="{3e2802c4-a4d2-4d8b-9148-e3be6c30e623}">
          <xlrd:rvb i="1234"/>
        </ext>
      </extLst>
    </bk>
    <bk>
      <extLst>
        <ext uri="{3e2802c4-a4d2-4d8b-9148-e3be6c30e623}">
          <xlrd:rvb i="1235"/>
        </ext>
      </extLst>
    </bk>
    <bk>
      <extLst>
        <ext uri="{3e2802c4-a4d2-4d8b-9148-e3be6c30e623}">
          <xlrd:rvb i="1236"/>
        </ext>
      </extLst>
    </bk>
    <bk>
      <extLst>
        <ext uri="{3e2802c4-a4d2-4d8b-9148-e3be6c30e623}">
          <xlrd:rvb i="1237"/>
        </ext>
      </extLst>
    </bk>
    <bk>
      <extLst>
        <ext uri="{3e2802c4-a4d2-4d8b-9148-e3be6c30e623}">
          <xlrd:rvb i="1238"/>
        </ext>
      </extLst>
    </bk>
    <bk>
      <extLst>
        <ext uri="{3e2802c4-a4d2-4d8b-9148-e3be6c30e623}">
          <xlrd:rvb i="1239"/>
        </ext>
      </extLst>
    </bk>
    <bk>
      <extLst>
        <ext uri="{3e2802c4-a4d2-4d8b-9148-e3be6c30e623}">
          <xlrd:rvb i="1240"/>
        </ext>
      </extLst>
    </bk>
    <bk>
      <extLst>
        <ext uri="{3e2802c4-a4d2-4d8b-9148-e3be6c30e623}">
          <xlrd:rvb i="1241"/>
        </ext>
      </extLst>
    </bk>
    <bk>
      <extLst>
        <ext uri="{3e2802c4-a4d2-4d8b-9148-e3be6c30e623}">
          <xlrd:rvb i="1242"/>
        </ext>
      </extLst>
    </bk>
    <bk>
      <extLst>
        <ext uri="{3e2802c4-a4d2-4d8b-9148-e3be6c30e623}">
          <xlrd:rvb i="1243"/>
        </ext>
      </extLst>
    </bk>
    <bk>
      <extLst>
        <ext uri="{3e2802c4-a4d2-4d8b-9148-e3be6c30e623}">
          <xlrd:rvb i="1244"/>
        </ext>
      </extLst>
    </bk>
    <bk>
      <extLst>
        <ext uri="{3e2802c4-a4d2-4d8b-9148-e3be6c30e623}">
          <xlrd:rvb i="1245"/>
        </ext>
      </extLst>
    </bk>
    <bk>
      <extLst>
        <ext uri="{3e2802c4-a4d2-4d8b-9148-e3be6c30e623}">
          <xlrd:rvb i="1246"/>
        </ext>
      </extLst>
    </bk>
    <bk>
      <extLst>
        <ext uri="{3e2802c4-a4d2-4d8b-9148-e3be6c30e623}">
          <xlrd:rvb i="1247"/>
        </ext>
      </extLst>
    </bk>
    <bk>
      <extLst>
        <ext uri="{3e2802c4-a4d2-4d8b-9148-e3be6c30e623}">
          <xlrd:rvb i="1248"/>
        </ext>
      </extLst>
    </bk>
    <bk>
      <extLst>
        <ext uri="{3e2802c4-a4d2-4d8b-9148-e3be6c30e623}">
          <xlrd:rvb i="1249"/>
        </ext>
      </extLst>
    </bk>
    <bk>
      <extLst>
        <ext uri="{3e2802c4-a4d2-4d8b-9148-e3be6c30e623}">
          <xlrd:rvb i="1250"/>
        </ext>
      </extLst>
    </bk>
    <bk>
      <extLst>
        <ext uri="{3e2802c4-a4d2-4d8b-9148-e3be6c30e623}">
          <xlrd:rvb i="1251"/>
        </ext>
      </extLst>
    </bk>
    <bk>
      <extLst>
        <ext uri="{3e2802c4-a4d2-4d8b-9148-e3be6c30e623}">
          <xlrd:rvb i="1252"/>
        </ext>
      </extLst>
    </bk>
    <bk>
      <extLst>
        <ext uri="{3e2802c4-a4d2-4d8b-9148-e3be6c30e623}">
          <xlrd:rvb i="1253"/>
        </ext>
      </extLst>
    </bk>
    <bk>
      <extLst>
        <ext uri="{3e2802c4-a4d2-4d8b-9148-e3be6c30e623}">
          <xlrd:rvb i="1254"/>
        </ext>
      </extLst>
    </bk>
    <bk>
      <extLst>
        <ext uri="{3e2802c4-a4d2-4d8b-9148-e3be6c30e623}">
          <xlrd:rvb i="1255"/>
        </ext>
      </extLst>
    </bk>
    <bk>
      <extLst>
        <ext uri="{3e2802c4-a4d2-4d8b-9148-e3be6c30e623}">
          <xlrd:rvb i="1256"/>
        </ext>
      </extLst>
    </bk>
    <bk>
      <extLst>
        <ext uri="{3e2802c4-a4d2-4d8b-9148-e3be6c30e623}">
          <xlrd:rvb i="1257"/>
        </ext>
      </extLst>
    </bk>
    <bk>
      <extLst>
        <ext uri="{3e2802c4-a4d2-4d8b-9148-e3be6c30e623}">
          <xlrd:rvb i="1258"/>
        </ext>
      </extLst>
    </bk>
    <bk>
      <extLst>
        <ext uri="{3e2802c4-a4d2-4d8b-9148-e3be6c30e623}">
          <xlrd:rvb i="1259"/>
        </ext>
      </extLst>
    </bk>
    <bk>
      <extLst>
        <ext uri="{3e2802c4-a4d2-4d8b-9148-e3be6c30e623}">
          <xlrd:rvb i="1260"/>
        </ext>
      </extLst>
    </bk>
    <bk>
      <extLst>
        <ext uri="{3e2802c4-a4d2-4d8b-9148-e3be6c30e623}">
          <xlrd:rvb i="1261"/>
        </ext>
      </extLst>
    </bk>
    <bk>
      <extLst>
        <ext uri="{3e2802c4-a4d2-4d8b-9148-e3be6c30e623}">
          <xlrd:rvb i="1262"/>
        </ext>
      </extLst>
    </bk>
    <bk>
      <extLst>
        <ext uri="{3e2802c4-a4d2-4d8b-9148-e3be6c30e623}">
          <xlrd:rvb i="1263"/>
        </ext>
      </extLst>
    </bk>
    <bk>
      <extLst>
        <ext uri="{3e2802c4-a4d2-4d8b-9148-e3be6c30e623}">
          <xlrd:rvb i="1264"/>
        </ext>
      </extLst>
    </bk>
    <bk>
      <extLst>
        <ext uri="{3e2802c4-a4d2-4d8b-9148-e3be6c30e623}">
          <xlrd:rvb i="1265"/>
        </ext>
      </extLst>
    </bk>
    <bk>
      <extLst>
        <ext uri="{3e2802c4-a4d2-4d8b-9148-e3be6c30e623}">
          <xlrd:rvb i="1266"/>
        </ext>
      </extLst>
    </bk>
    <bk>
      <extLst>
        <ext uri="{3e2802c4-a4d2-4d8b-9148-e3be6c30e623}">
          <xlrd:rvb i="1267"/>
        </ext>
      </extLst>
    </bk>
    <bk>
      <extLst>
        <ext uri="{3e2802c4-a4d2-4d8b-9148-e3be6c30e623}">
          <xlrd:rvb i="1268"/>
        </ext>
      </extLst>
    </bk>
    <bk>
      <extLst>
        <ext uri="{3e2802c4-a4d2-4d8b-9148-e3be6c30e623}">
          <xlrd:rvb i="1269"/>
        </ext>
      </extLst>
    </bk>
    <bk>
      <extLst>
        <ext uri="{3e2802c4-a4d2-4d8b-9148-e3be6c30e623}">
          <xlrd:rvb i="1270"/>
        </ext>
      </extLst>
    </bk>
    <bk>
      <extLst>
        <ext uri="{3e2802c4-a4d2-4d8b-9148-e3be6c30e623}">
          <xlrd:rvb i="1271"/>
        </ext>
      </extLst>
    </bk>
    <bk>
      <extLst>
        <ext uri="{3e2802c4-a4d2-4d8b-9148-e3be6c30e623}">
          <xlrd:rvb i="1272"/>
        </ext>
      </extLst>
    </bk>
    <bk>
      <extLst>
        <ext uri="{3e2802c4-a4d2-4d8b-9148-e3be6c30e623}">
          <xlrd:rvb i="1273"/>
        </ext>
      </extLst>
    </bk>
    <bk>
      <extLst>
        <ext uri="{3e2802c4-a4d2-4d8b-9148-e3be6c30e623}">
          <xlrd:rvb i="1274"/>
        </ext>
      </extLst>
    </bk>
    <bk>
      <extLst>
        <ext uri="{3e2802c4-a4d2-4d8b-9148-e3be6c30e623}">
          <xlrd:rvb i="1275"/>
        </ext>
      </extLst>
    </bk>
    <bk>
      <extLst>
        <ext uri="{3e2802c4-a4d2-4d8b-9148-e3be6c30e623}">
          <xlrd:rvb i="1276"/>
        </ext>
      </extLst>
    </bk>
    <bk>
      <extLst>
        <ext uri="{3e2802c4-a4d2-4d8b-9148-e3be6c30e623}">
          <xlrd:rvb i="1277"/>
        </ext>
      </extLst>
    </bk>
    <bk>
      <extLst>
        <ext uri="{3e2802c4-a4d2-4d8b-9148-e3be6c30e623}">
          <xlrd:rvb i="1278"/>
        </ext>
      </extLst>
    </bk>
    <bk>
      <extLst>
        <ext uri="{3e2802c4-a4d2-4d8b-9148-e3be6c30e623}">
          <xlrd:rvb i="1279"/>
        </ext>
      </extLst>
    </bk>
    <bk>
      <extLst>
        <ext uri="{3e2802c4-a4d2-4d8b-9148-e3be6c30e623}">
          <xlrd:rvb i="1280"/>
        </ext>
      </extLst>
    </bk>
    <bk>
      <extLst>
        <ext uri="{3e2802c4-a4d2-4d8b-9148-e3be6c30e623}">
          <xlrd:rvb i="1281"/>
        </ext>
      </extLst>
    </bk>
    <bk>
      <extLst>
        <ext uri="{3e2802c4-a4d2-4d8b-9148-e3be6c30e623}">
          <xlrd:rvb i="1282"/>
        </ext>
      </extLst>
    </bk>
    <bk>
      <extLst>
        <ext uri="{3e2802c4-a4d2-4d8b-9148-e3be6c30e623}">
          <xlrd:rvb i="1283"/>
        </ext>
      </extLst>
    </bk>
    <bk>
      <extLst>
        <ext uri="{3e2802c4-a4d2-4d8b-9148-e3be6c30e623}">
          <xlrd:rvb i="1284"/>
        </ext>
      </extLst>
    </bk>
    <bk>
      <extLst>
        <ext uri="{3e2802c4-a4d2-4d8b-9148-e3be6c30e623}">
          <xlrd:rvb i="1285"/>
        </ext>
      </extLst>
    </bk>
    <bk>
      <extLst>
        <ext uri="{3e2802c4-a4d2-4d8b-9148-e3be6c30e623}">
          <xlrd:rvb i="1286"/>
        </ext>
      </extLst>
    </bk>
    <bk>
      <extLst>
        <ext uri="{3e2802c4-a4d2-4d8b-9148-e3be6c30e623}">
          <xlrd:rvb i="1287"/>
        </ext>
      </extLst>
    </bk>
    <bk>
      <extLst>
        <ext uri="{3e2802c4-a4d2-4d8b-9148-e3be6c30e623}">
          <xlrd:rvb i="1288"/>
        </ext>
      </extLst>
    </bk>
    <bk>
      <extLst>
        <ext uri="{3e2802c4-a4d2-4d8b-9148-e3be6c30e623}">
          <xlrd:rvb i="1289"/>
        </ext>
      </extLst>
    </bk>
    <bk>
      <extLst>
        <ext uri="{3e2802c4-a4d2-4d8b-9148-e3be6c30e623}">
          <xlrd:rvb i="1290"/>
        </ext>
      </extLst>
    </bk>
    <bk>
      <extLst>
        <ext uri="{3e2802c4-a4d2-4d8b-9148-e3be6c30e623}">
          <xlrd:rvb i="1291"/>
        </ext>
      </extLst>
    </bk>
    <bk>
      <extLst>
        <ext uri="{3e2802c4-a4d2-4d8b-9148-e3be6c30e623}">
          <xlrd:rvb i="1292"/>
        </ext>
      </extLst>
    </bk>
    <bk>
      <extLst>
        <ext uri="{3e2802c4-a4d2-4d8b-9148-e3be6c30e623}">
          <xlrd:rvb i="1293"/>
        </ext>
      </extLst>
    </bk>
    <bk>
      <extLst>
        <ext uri="{3e2802c4-a4d2-4d8b-9148-e3be6c30e623}">
          <xlrd:rvb i="1294"/>
        </ext>
      </extLst>
    </bk>
    <bk>
      <extLst>
        <ext uri="{3e2802c4-a4d2-4d8b-9148-e3be6c30e623}">
          <xlrd:rvb i="1295"/>
        </ext>
      </extLst>
    </bk>
    <bk>
      <extLst>
        <ext uri="{3e2802c4-a4d2-4d8b-9148-e3be6c30e623}">
          <xlrd:rvb i="1296"/>
        </ext>
      </extLst>
    </bk>
    <bk>
      <extLst>
        <ext uri="{3e2802c4-a4d2-4d8b-9148-e3be6c30e623}">
          <xlrd:rvb i="1297"/>
        </ext>
      </extLst>
    </bk>
    <bk>
      <extLst>
        <ext uri="{3e2802c4-a4d2-4d8b-9148-e3be6c30e623}">
          <xlrd:rvb i="1298"/>
        </ext>
      </extLst>
    </bk>
    <bk>
      <extLst>
        <ext uri="{3e2802c4-a4d2-4d8b-9148-e3be6c30e623}">
          <xlrd:rvb i="1299"/>
        </ext>
      </extLst>
    </bk>
    <bk>
      <extLst>
        <ext uri="{3e2802c4-a4d2-4d8b-9148-e3be6c30e623}">
          <xlrd:rvb i="1300"/>
        </ext>
      </extLst>
    </bk>
    <bk>
      <extLst>
        <ext uri="{3e2802c4-a4d2-4d8b-9148-e3be6c30e623}">
          <xlrd:rvb i="1301"/>
        </ext>
      </extLst>
    </bk>
    <bk>
      <extLst>
        <ext uri="{3e2802c4-a4d2-4d8b-9148-e3be6c30e623}">
          <xlrd:rvb i="1302"/>
        </ext>
      </extLst>
    </bk>
    <bk>
      <extLst>
        <ext uri="{3e2802c4-a4d2-4d8b-9148-e3be6c30e623}">
          <xlrd:rvb i="1303"/>
        </ext>
      </extLst>
    </bk>
    <bk>
      <extLst>
        <ext uri="{3e2802c4-a4d2-4d8b-9148-e3be6c30e623}">
          <xlrd:rvb i="1304"/>
        </ext>
      </extLst>
    </bk>
    <bk>
      <extLst>
        <ext uri="{3e2802c4-a4d2-4d8b-9148-e3be6c30e623}">
          <xlrd:rvb i="1305"/>
        </ext>
      </extLst>
    </bk>
    <bk>
      <extLst>
        <ext uri="{3e2802c4-a4d2-4d8b-9148-e3be6c30e623}">
          <xlrd:rvb i="1306"/>
        </ext>
      </extLst>
    </bk>
    <bk>
      <extLst>
        <ext uri="{3e2802c4-a4d2-4d8b-9148-e3be6c30e623}">
          <xlrd:rvb i="1307"/>
        </ext>
      </extLst>
    </bk>
    <bk>
      <extLst>
        <ext uri="{3e2802c4-a4d2-4d8b-9148-e3be6c30e623}">
          <xlrd:rvb i="1308"/>
        </ext>
      </extLst>
    </bk>
    <bk>
      <extLst>
        <ext uri="{3e2802c4-a4d2-4d8b-9148-e3be6c30e623}">
          <xlrd:rvb i="1309"/>
        </ext>
      </extLst>
    </bk>
    <bk>
      <extLst>
        <ext uri="{3e2802c4-a4d2-4d8b-9148-e3be6c30e623}">
          <xlrd:rvb i="1310"/>
        </ext>
      </extLst>
    </bk>
    <bk>
      <extLst>
        <ext uri="{3e2802c4-a4d2-4d8b-9148-e3be6c30e623}">
          <xlrd:rvb i="1311"/>
        </ext>
      </extLst>
    </bk>
    <bk>
      <extLst>
        <ext uri="{3e2802c4-a4d2-4d8b-9148-e3be6c30e623}">
          <xlrd:rvb i="1312"/>
        </ext>
      </extLst>
    </bk>
    <bk>
      <extLst>
        <ext uri="{3e2802c4-a4d2-4d8b-9148-e3be6c30e623}">
          <xlrd:rvb i="1313"/>
        </ext>
      </extLst>
    </bk>
    <bk>
      <extLst>
        <ext uri="{3e2802c4-a4d2-4d8b-9148-e3be6c30e623}">
          <xlrd:rvb i="1314"/>
        </ext>
      </extLst>
    </bk>
    <bk>
      <extLst>
        <ext uri="{3e2802c4-a4d2-4d8b-9148-e3be6c30e623}">
          <xlrd:rvb i="1315"/>
        </ext>
      </extLst>
    </bk>
    <bk>
      <extLst>
        <ext uri="{3e2802c4-a4d2-4d8b-9148-e3be6c30e623}">
          <xlrd:rvb i="1316"/>
        </ext>
      </extLst>
    </bk>
    <bk>
      <extLst>
        <ext uri="{3e2802c4-a4d2-4d8b-9148-e3be6c30e623}">
          <xlrd:rvb i="1317"/>
        </ext>
      </extLst>
    </bk>
    <bk>
      <extLst>
        <ext uri="{3e2802c4-a4d2-4d8b-9148-e3be6c30e623}">
          <xlrd:rvb i="1318"/>
        </ext>
      </extLst>
    </bk>
    <bk>
      <extLst>
        <ext uri="{3e2802c4-a4d2-4d8b-9148-e3be6c30e623}">
          <xlrd:rvb i="1319"/>
        </ext>
      </extLst>
    </bk>
    <bk>
      <extLst>
        <ext uri="{3e2802c4-a4d2-4d8b-9148-e3be6c30e623}">
          <xlrd:rvb i="1320"/>
        </ext>
      </extLst>
    </bk>
    <bk>
      <extLst>
        <ext uri="{3e2802c4-a4d2-4d8b-9148-e3be6c30e623}">
          <xlrd:rvb i="1321"/>
        </ext>
      </extLst>
    </bk>
    <bk>
      <extLst>
        <ext uri="{3e2802c4-a4d2-4d8b-9148-e3be6c30e623}">
          <xlrd:rvb i="1322"/>
        </ext>
      </extLst>
    </bk>
    <bk>
      <extLst>
        <ext uri="{3e2802c4-a4d2-4d8b-9148-e3be6c30e623}">
          <xlrd:rvb i="1323"/>
        </ext>
      </extLst>
    </bk>
    <bk>
      <extLst>
        <ext uri="{3e2802c4-a4d2-4d8b-9148-e3be6c30e623}">
          <xlrd:rvb i="1324"/>
        </ext>
      </extLst>
    </bk>
    <bk>
      <extLst>
        <ext uri="{3e2802c4-a4d2-4d8b-9148-e3be6c30e623}">
          <xlrd:rvb i="1325"/>
        </ext>
      </extLst>
    </bk>
    <bk>
      <extLst>
        <ext uri="{3e2802c4-a4d2-4d8b-9148-e3be6c30e623}">
          <xlrd:rvb i="1326"/>
        </ext>
      </extLst>
    </bk>
    <bk>
      <extLst>
        <ext uri="{3e2802c4-a4d2-4d8b-9148-e3be6c30e623}">
          <xlrd:rvb i="1327"/>
        </ext>
      </extLst>
    </bk>
    <bk>
      <extLst>
        <ext uri="{3e2802c4-a4d2-4d8b-9148-e3be6c30e623}">
          <xlrd:rvb i="1328"/>
        </ext>
      </extLst>
    </bk>
    <bk>
      <extLst>
        <ext uri="{3e2802c4-a4d2-4d8b-9148-e3be6c30e623}">
          <xlrd:rvb i="1329"/>
        </ext>
      </extLst>
    </bk>
    <bk>
      <extLst>
        <ext uri="{3e2802c4-a4d2-4d8b-9148-e3be6c30e623}">
          <xlrd:rvb i="1330"/>
        </ext>
      </extLst>
    </bk>
    <bk>
      <extLst>
        <ext uri="{3e2802c4-a4d2-4d8b-9148-e3be6c30e623}">
          <xlrd:rvb i="1331"/>
        </ext>
      </extLst>
    </bk>
    <bk>
      <extLst>
        <ext uri="{3e2802c4-a4d2-4d8b-9148-e3be6c30e623}">
          <xlrd:rvb i="1332"/>
        </ext>
      </extLst>
    </bk>
    <bk>
      <extLst>
        <ext uri="{3e2802c4-a4d2-4d8b-9148-e3be6c30e623}">
          <xlrd:rvb i="1333"/>
        </ext>
      </extLst>
    </bk>
    <bk>
      <extLst>
        <ext uri="{3e2802c4-a4d2-4d8b-9148-e3be6c30e623}">
          <xlrd:rvb i="1334"/>
        </ext>
      </extLst>
    </bk>
    <bk>
      <extLst>
        <ext uri="{3e2802c4-a4d2-4d8b-9148-e3be6c30e623}">
          <xlrd:rvb i="1335"/>
        </ext>
      </extLst>
    </bk>
    <bk>
      <extLst>
        <ext uri="{3e2802c4-a4d2-4d8b-9148-e3be6c30e623}">
          <xlrd:rvb i="1336"/>
        </ext>
      </extLst>
    </bk>
    <bk>
      <extLst>
        <ext uri="{3e2802c4-a4d2-4d8b-9148-e3be6c30e623}">
          <xlrd:rvb i="1337"/>
        </ext>
      </extLst>
    </bk>
    <bk>
      <extLst>
        <ext uri="{3e2802c4-a4d2-4d8b-9148-e3be6c30e623}">
          <xlrd:rvb i="1338"/>
        </ext>
      </extLst>
    </bk>
    <bk>
      <extLst>
        <ext uri="{3e2802c4-a4d2-4d8b-9148-e3be6c30e623}">
          <xlrd:rvb i="1339"/>
        </ext>
      </extLst>
    </bk>
    <bk>
      <extLst>
        <ext uri="{3e2802c4-a4d2-4d8b-9148-e3be6c30e623}">
          <xlrd:rvb i="1340"/>
        </ext>
      </extLst>
    </bk>
    <bk>
      <extLst>
        <ext uri="{3e2802c4-a4d2-4d8b-9148-e3be6c30e623}">
          <xlrd:rvb i="1341"/>
        </ext>
      </extLst>
    </bk>
    <bk>
      <extLst>
        <ext uri="{3e2802c4-a4d2-4d8b-9148-e3be6c30e623}">
          <xlrd:rvb i="1342"/>
        </ext>
      </extLst>
    </bk>
    <bk>
      <extLst>
        <ext uri="{3e2802c4-a4d2-4d8b-9148-e3be6c30e623}">
          <xlrd:rvb i="1343"/>
        </ext>
      </extLst>
    </bk>
    <bk>
      <extLst>
        <ext uri="{3e2802c4-a4d2-4d8b-9148-e3be6c30e623}">
          <xlrd:rvb i="1344"/>
        </ext>
      </extLst>
    </bk>
    <bk>
      <extLst>
        <ext uri="{3e2802c4-a4d2-4d8b-9148-e3be6c30e623}">
          <xlrd:rvb i="1345"/>
        </ext>
      </extLst>
    </bk>
    <bk>
      <extLst>
        <ext uri="{3e2802c4-a4d2-4d8b-9148-e3be6c30e623}">
          <xlrd:rvb i="1346"/>
        </ext>
      </extLst>
    </bk>
    <bk>
      <extLst>
        <ext uri="{3e2802c4-a4d2-4d8b-9148-e3be6c30e623}">
          <xlrd:rvb i="1347"/>
        </ext>
      </extLst>
    </bk>
    <bk>
      <extLst>
        <ext uri="{3e2802c4-a4d2-4d8b-9148-e3be6c30e623}">
          <xlrd:rvb i="1348"/>
        </ext>
      </extLst>
    </bk>
    <bk>
      <extLst>
        <ext uri="{3e2802c4-a4d2-4d8b-9148-e3be6c30e623}">
          <xlrd:rvb i="1349"/>
        </ext>
      </extLst>
    </bk>
    <bk>
      <extLst>
        <ext uri="{3e2802c4-a4d2-4d8b-9148-e3be6c30e623}">
          <xlrd:rvb i="1350"/>
        </ext>
      </extLst>
    </bk>
    <bk>
      <extLst>
        <ext uri="{3e2802c4-a4d2-4d8b-9148-e3be6c30e623}">
          <xlrd:rvb i="1351"/>
        </ext>
      </extLst>
    </bk>
    <bk>
      <extLst>
        <ext uri="{3e2802c4-a4d2-4d8b-9148-e3be6c30e623}">
          <xlrd:rvb i="1352"/>
        </ext>
      </extLst>
    </bk>
    <bk>
      <extLst>
        <ext uri="{3e2802c4-a4d2-4d8b-9148-e3be6c30e623}">
          <xlrd:rvb i="1353"/>
        </ext>
      </extLst>
    </bk>
    <bk>
      <extLst>
        <ext uri="{3e2802c4-a4d2-4d8b-9148-e3be6c30e623}">
          <xlrd:rvb i="1354"/>
        </ext>
      </extLst>
    </bk>
    <bk>
      <extLst>
        <ext uri="{3e2802c4-a4d2-4d8b-9148-e3be6c30e623}">
          <xlrd:rvb i="1355"/>
        </ext>
      </extLst>
    </bk>
    <bk>
      <extLst>
        <ext uri="{3e2802c4-a4d2-4d8b-9148-e3be6c30e623}">
          <xlrd:rvb i="1356"/>
        </ext>
      </extLst>
    </bk>
    <bk>
      <extLst>
        <ext uri="{3e2802c4-a4d2-4d8b-9148-e3be6c30e623}">
          <xlrd:rvb i="1357"/>
        </ext>
      </extLst>
    </bk>
    <bk>
      <extLst>
        <ext uri="{3e2802c4-a4d2-4d8b-9148-e3be6c30e623}">
          <xlrd:rvb i="1358"/>
        </ext>
      </extLst>
    </bk>
    <bk>
      <extLst>
        <ext uri="{3e2802c4-a4d2-4d8b-9148-e3be6c30e623}">
          <xlrd:rvb i="1359"/>
        </ext>
      </extLst>
    </bk>
    <bk>
      <extLst>
        <ext uri="{3e2802c4-a4d2-4d8b-9148-e3be6c30e623}">
          <xlrd:rvb i="1360"/>
        </ext>
      </extLst>
    </bk>
    <bk>
      <extLst>
        <ext uri="{3e2802c4-a4d2-4d8b-9148-e3be6c30e623}">
          <xlrd:rvb i="1361"/>
        </ext>
      </extLst>
    </bk>
    <bk>
      <extLst>
        <ext uri="{3e2802c4-a4d2-4d8b-9148-e3be6c30e623}">
          <xlrd:rvb i="1362"/>
        </ext>
      </extLst>
    </bk>
    <bk>
      <extLst>
        <ext uri="{3e2802c4-a4d2-4d8b-9148-e3be6c30e623}">
          <xlrd:rvb i="1363"/>
        </ext>
      </extLst>
    </bk>
    <bk>
      <extLst>
        <ext uri="{3e2802c4-a4d2-4d8b-9148-e3be6c30e623}">
          <xlrd:rvb i="1364"/>
        </ext>
      </extLst>
    </bk>
    <bk>
      <extLst>
        <ext uri="{3e2802c4-a4d2-4d8b-9148-e3be6c30e623}">
          <xlrd:rvb i="1365"/>
        </ext>
      </extLst>
    </bk>
    <bk>
      <extLst>
        <ext uri="{3e2802c4-a4d2-4d8b-9148-e3be6c30e623}">
          <xlrd:rvb i="1366"/>
        </ext>
      </extLst>
    </bk>
    <bk>
      <extLst>
        <ext uri="{3e2802c4-a4d2-4d8b-9148-e3be6c30e623}">
          <xlrd:rvb i="1367"/>
        </ext>
      </extLst>
    </bk>
    <bk>
      <extLst>
        <ext uri="{3e2802c4-a4d2-4d8b-9148-e3be6c30e623}">
          <xlrd:rvb i="1368"/>
        </ext>
      </extLst>
    </bk>
    <bk>
      <extLst>
        <ext uri="{3e2802c4-a4d2-4d8b-9148-e3be6c30e623}">
          <xlrd:rvb i="1369"/>
        </ext>
      </extLst>
    </bk>
    <bk>
      <extLst>
        <ext uri="{3e2802c4-a4d2-4d8b-9148-e3be6c30e623}">
          <xlrd:rvb i="1370"/>
        </ext>
      </extLst>
    </bk>
    <bk>
      <extLst>
        <ext uri="{3e2802c4-a4d2-4d8b-9148-e3be6c30e623}">
          <xlrd:rvb i="1371"/>
        </ext>
      </extLst>
    </bk>
    <bk>
      <extLst>
        <ext uri="{3e2802c4-a4d2-4d8b-9148-e3be6c30e623}">
          <xlrd:rvb i="1372"/>
        </ext>
      </extLst>
    </bk>
    <bk>
      <extLst>
        <ext uri="{3e2802c4-a4d2-4d8b-9148-e3be6c30e623}">
          <xlrd:rvb i="1373"/>
        </ext>
      </extLst>
    </bk>
    <bk>
      <extLst>
        <ext uri="{3e2802c4-a4d2-4d8b-9148-e3be6c30e623}">
          <xlrd:rvb i="1374"/>
        </ext>
      </extLst>
    </bk>
    <bk>
      <extLst>
        <ext uri="{3e2802c4-a4d2-4d8b-9148-e3be6c30e623}">
          <xlrd:rvb i="1375"/>
        </ext>
      </extLst>
    </bk>
    <bk>
      <extLst>
        <ext uri="{3e2802c4-a4d2-4d8b-9148-e3be6c30e623}">
          <xlrd:rvb i="1376"/>
        </ext>
      </extLst>
    </bk>
    <bk>
      <extLst>
        <ext uri="{3e2802c4-a4d2-4d8b-9148-e3be6c30e623}">
          <xlrd:rvb i="1377"/>
        </ext>
      </extLst>
    </bk>
    <bk>
      <extLst>
        <ext uri="{3e2802c4-a4d2-4d8b-9148-e3be6c30e623}">
          <xlrd:rvb i="1378"/>
        </ext>
      </extLst>
    </bk>
    <bk>
      <extLst>
        <ext uri="{3e2802c4-a4d2-4d8b-9148-e3be6c30e623}">
          <xlrd:rvb i="1379"/>
        </ext>
      </extLst>
    </bk>
    <bk>
      <extLst>
        <ext uri="{3e2802c4-a4d2-4d8b-9148-e3be6c30e623}">
          <xlrd:rvb i="1380"/>
        </ext>
      </extLst>
    </bk>
    <bk>
      <extLst>
        <ext uri="{3e2802c4-a4d2-4d8b-9148-e3be6c30e623}">
          <xlrd:rvb i="1381"/>
        </ext>
      </extLst>
    </bk>
    <bk>
      <extLst>
        <ext uri="{3e2802c4-a4d2-4d8b-9148-e3be6c30e623}">
          <xlrd:rvb i="1382"/>
        </ext>
      </extLst>
    </bk>
    <bk>
      <extLst>
        <ext uri="{3e2802c4-a4d2-4d8b-9148-e3be6c30e623}">
          <xlrd:rvb i="1383"/>
        </ext>
      </extLst>
    </bk>
    <bk>
      <extLst>
        <ext uri="{3e2802c4-a4d2-4d8b-9148-e3be6c30e623}">
          <xlrd:rvb i="1384"/>
        </ext>
      </extLst>
    </bk>
    <bk>
      <extLst>
        <ext uri="{3e2802c4-a4d2-4d8b-9148-e3be6c30e623}">
          <xlrd:rvb i="1385"/>
        </ext>
      </extLst>
    </bk>
    <bk>
      <extLst>
        <ext uri="{3e2802c4-a4d2-4d8b-9148-e3be6c30e623}">
          <xlrd:rvb i="1386"/>
        </ext>
      </extLst>
    </bk>
    <bk>
      <extLst>
        <ext uri="{3e2802c4-a4d2-4d8b-9148-e3be6c30e623}">
          <xlrd:rvb i="1387"/>
        </ext>
      </extLst>
    </bk>
    <bk>
      <extLst>
        <ext uri="{3e2802c4-a4d2-4d8b-9148-e3be6c30e623}">
          <xlrd:rvb i="1388"/>
        </ext>
      </extLst>
    </bk>
    <bk>
      <extLst>
        <ext uri="{3e2802c4-a4d2-4d8b-9148-e3be6c30e623}">
          <xlrd:rvb i="1389"/>
        </ext>
      </extLst>
    </bk>
    <bk>
      <extLst>
        <ext uri="{3e2802c4-a4d2-4d8b-9148-e3be6c30e623}">
          <xlrd:rvb i="1390"/>
        </ext>
      </extLst>
    </bk>
    <bk>
      <extLst>
        <ext uri="{3e2802c4-a4d2-4d8b-9148-e3be6c30e623}">
          <xlrd:rvb i="1391"/>
        </ext>
      </extLst>
    </bk>
    <bk>
      <extLst>
        <ext uri="{3e2802c4-a4d2-4d8b-9148-e3be6c30e623}">
          <xlrd:rvb i="1392"/>
        </ext>
      </extLst>
    </bk>
    <bk>
      <extLst>
        <ext uri="{3e2802c4-a4d2-4d8b-9148-e3be6c30e623}">
          <xlrd:rvb i="1393"/>
        </ext>
      </extLst>
    </bk>
    <bk>
      <extLst>
        <ext uri="{3e2802c4-a4d2-4d8b-9148-e3be6c30e623}">
          <xlrd:rvb i="1394"/>
        </ext>
      </extLst>
    </bk>
    <bk>
      <extLst>
        <ext uri="{3e2802c4-a4d2-4d8b-9148-e3be6c30e623}">
          <xlrd:rvb i="1395"/>
        </ext>
      </extLst>
    </bk>
    <bk>
      <extLst>
        <ext uri="{3e2802c4-a4d2-4d8b-9148-e3be6c30e623}">
          <xlrd:rvb i="1396"/>
        </ext>
      </extLst>
    </bk>
    <bk>
      <extLst>
        <ext uri="{3e2802c4-a4d2-4d8b-9148-e3be6c30e623}">
          <xlrd:rvb i="1397"/>
        </ext>
      </extLst>
    </bk>
    <bk>
      <extLst>
        <ext uri="{3e2802c4-a4d2-4d8b-9148-e3be6c30e623}">
          <xlrd:rvb i="1398"/>
        </ext>
      </extLst>
    </bk>
    <bk>
      <extLst>
        <ext uri="{3e2802c4-a4d2-4d8b-9148-e3be6c30e623}">
          <xlrd:rvb i="1399"/>
        </ext>
      </extLst>
    </bk>
    <bk>
      <extLst>
        <ext uri="{3e2802c4-a4d2-4d8b-9148-e3be6c30e623}">
          <xlrd:rvb i="1400"/>
        </ext>
      </extLst>
    </bk>
    <bk>
      <extLst>
        <ext uri="{3e2802c4-a4d2-4d8b-9148-e3be6c30e623}">
          <xlrd:rvb i="1401"/>
        </ext>
      </extLst>
    </bk>
    <bk>
      <extLst>
        <ext uri="{3e2802c4-a4d2-4d8b-9148-e3be6c30e623}">
          <xlrd:rvb i="1402"/>
        </ext>
      </extLst>
    </bk>
    <bk>
      <extLst>
        <ext uri="{3e2802c4-a4d2-4d8b-9148-e3be6c30e623}">
          <xlrd:rvb i="1403"/>
        </ext>
      </extLst>
    </bk>
    <bk>
      <extLst>
        <ext uri="{3e2802c4-a4d2-4d8b-9148-e3be6c30e623}">
          <xlrd:rvb i="1404"/>
        </ext>
      </extLst>
    </bk>
    <bk>
      <extLst>
        <ext uri="{3e2802c4-a4d2-4d8b-9148-e3be6c30e623}">
          <xlrd:rvb i="1405"/>
        </ext>
      </extLst>
    </bk>
    <bk>
      <extLst>
        <ext uri="{3e2802c4-a4d2-4d8b-9148-e3be6c30e623}">
          <xlrd:rvb i="1406"/>
        </ext>
      </extLst>
    </bk>
    <bk>
      <extLst>
        <ext uri="{3e2802c4-a4d2-4d8b-9148-e3be6c30e623}">
          <xlrd:rvb i="1407"/>
        </ext>
      </extLst>
    </bk>
    <bk>
      <extLst>
        <ext uri="{3e2802c4-a4d2-4d8b-9148-e3be6c30e623}">
          <xlrd:rvb i="1408"/>
        </ext>
      </extLst>
    </bk>
    <bk>
      <extLst>
        <ext uri="{3e2802c4-a4d2-4d8b-9148-e3be6c30e623}">
          <xlrd:rvb i="1409"/>
        </ext>
      </extLst>
    </bk>
    <bk>
      <extLst>
        <ext uri="{3e2802c4-a4d2-4d8b-9148-e3be6c30e623}">
          <xlrd:rvb i="1410"/>
        </ext>
      </extLst>
    </bk>
    <bk>
      <extLst>
        <ext uri="{3e2802c4-a4d2-4d8b-9148-e3be6c30e623}">
          <xlrd:rvb i="1411"/>
        </ext>
      </extLst>
    </bk>
    <bk>
      <extLst>
        <ext uri="{3e2802c4-a4d2-4d8b-9148-e3be6c30e623}">
          <xlrd:rvb i="1412"/>
        </ext>
      </extLst>
    </bk>
    <bk>
      <extLst>
        <ext uri="{3e2802c4-a4d2-4d8b-9148-e3be6c30e623}">
          <xlrd:rvb i="1413"/>
        </ext>
      </extLst>
    </bk>
    <bk>
      <extLst>
        <ext uri="{3e2802c4-a4d2-4d8b-9148-e3be6c30e623}">
          <xlrd:rvb i="1414"/>
        </ext>
      </extLst>
    </bk>
    <bk>
      <extLst>
        <ext uri="{3e2802c4-a4d2-4d8b-9148-e3be6c30e623}">
          <xlrd:rvb i="1415"/>
        </ext>
      </extLst>
    </bk>
    <bk>
      <extLst>
        <ext uri="{3e2802c4-a4d2-4d8b-9148-e3be6c30e623}">
          <xlrd:rvb i="1416"/>
        </ext>
      </extLst>
    </bk>
    <bk>
      <extLst>
        <ext uri="{3e2802c4-a4d2-4d8b-9148-e3be6c30e623}">
          <xlrd:rvb i="1417"/>
        </ext>
      </extLst>
    </bk>
    <bk>
      <extLst>
        <ext uri="{3e2802c4-a4d2-4d8b-9148-e3be6c30e623}">
          <xlrd:rvb i="1418"/>
        </ext>
      </extLst>
    </bk>
    <bk>
      <extLst>
        <ext uri="{3e2802c4-a4d2-4d8b-9148-e3be6c30e623}">
          <xlrd:rvb i="1419"/>
        </ext>
      </extLst>
    </bk>
    <bk>
      <extLst>
        <ext uri="{3e2802c4-a4d2-4d8b-9148-e3be6c30e623}">
          <xlrd:rvb i="1420"/>
        </ext>
      </extLst>
    </bk>
    <bk>
      <extLst>
        <ext uri="{3e2802c4-a4d2-4d8b-9148-e3be6c30e623}">
          <xlrd:rvb i="1421"/>
        </ext>
      </extLst>
    </bk>
    <bk>
      <extLst>
        <ext uri="{3e2802c4-a4d2-4d8b-9148-e3be6c30e623}">
          <xlrd:rvb i="1422"/>
        </ext>
      </extLst>
    </bk>
    <bk>
      <extLst>
        <ext uri="{3e2802c4-a4d2-4d8b-9148-e3be6c30e623}">
          <xlrd:rvb i="1423"/>
        </ext>
      </extLst>
    </bk>
    <bk>
      <extLst>
        <ext uri="{3e2802c4-a4d2-4d8b-9148-e3be6c30e623}">
          <xlrd:rvb i="1424"/>
        </ext>
      </extLst>
    </bk>
    <bk>
      <extLst>
        <ext uri="{3e2802c4-a4d2-4d8b-9148-e3be6c30e623}">
          <xlrd:rvb i="1425"/>
        </ext>
      </extLst>
    </bk>
    <bk>
      <extLst>
        <ext uri="{3e2802c4-a4d2-4d8b-9148-e3be6c30e623}">
          <xlrd:rvb i="1426"/>
        </ext>
      </extLst>
    </bk>
    <bk>
      <extLst>
        <ext uri="{3e2802c4-a4d2-4d8b-9148-e3be6c30e623}">
          <xlrd:rvb i="1427"/>
        </ext>
      </extLst>
    </bk>
    <bk>
      <extLst>
        <ext uri="{3e2802c4-a4d2-4d8b-9148-e3be6c30e623}">
          <xlrd:rvb i="1428"/>
        </ext>
      </extLst>
    </bk>
    <bk>
      <extLst>
        <ext uri="{3e2802c4-a4d2-4d8b-9148-e3be6c30e623}">
          <xlrd:rvb i="1429"/>
        </ext>
      </extLst>
    </bk>
    <bk>
      <extLst>
        <ext uri="{3e2802c4-a4d2-4d8b-9148-e3be6c30e623}">
          <xlrd:rvb i="1430"/>
        </ext>
      </extLst>
    </bk>
    <bk>
      <extLst>
        <ext uri="{3e2802c4-a4d2-4d8b-9148-e3be6c30e623}">
          <xlrd:rvb i="1431"/>
        </ext>
      </extLst>
    </bk>
    <bk>
      <extLst>
        <ext uri="{3e2802c4-a4d2-4d8b-9148-e3be6c30e623}">
          <xlrd:rvb i="1432"/>
        </ext>
      </extLst>
    </bk>
    <bk>
      <extLst>
        <ext uri="{3e2802c4-a4d2-4d8b-9148-e3be6c30e623}">
          <xlrd:rvb i="1433"/>
        </ext>
      </extLst>
    </bk>
    <bk>
      <extLst>
        <ext uri="{3e2802c4-a4d2-4d8b-9148-e3be6c30e623}">
          <xlrd:rvb i="1434"/>
        </ext>
      </extLst>
    </bk>
    <bk>
      <extLst>
        <ext uri="{3e2802c4-a4d2-4d8b-9148-e3be6c30e623}">
          <xlrd:rvb i="1435"/>
        </ext>
      </extLst>
    </bk>
    <bk>
      <extLst>
        <ext uri="{3e2802c4-a4d2-4d8b-9148-e3be6c30e623}">
          <xlrd:rvb i="1436"/>
        </ext>
      </extLst>
    </bk>
    <bk>
      <extLst>
        <ext uri="{3e2802c4-a4d2-4d8b-9148-e3be6c30e623}">
          <xlrd:rvb i="1437"/>
        </ext>
      </extLst>
    </bk>
    <bk>
      <extLst>
        <ext uri="{3e2802c4-a4d2-4d8b-9148-e3be6c30e623}">
          <xlrd:rvb i="1438"/>
        </ext>
      </extLst>
    </bk>
    <bk>
      <extLst>
        <ext uri="{3e2802c4-a4d2-4d8b-9148-e3be6c30e623}">
          <xlrd:rvb i="1439"/>
        </ext>
      </extLst>
    </bk>
    <bk>
      <extLst>
        <ext uri="{3e2802c4-a4d2-4d8b-9148-e3be6c30e623}">
          <xlrd:rvb i="1440"/>
        </ext>
      </extLst>
    </bk>
    <bk>
      <extLst>
        <ext uri="{3e2802c4-a4d2-4d8b-9148-e3be6c30e623}">
          <xlrd:rvb i="1441"/>
        </ext>
      </extLst>
    </bk>
    <bk>
      <extLst>
        <ext uri="{3e2802c4-a4d2-4d8b-9148-e3be6c30e623}">
          <xlrd:rvb i="1442"/>
        </ext>
      </extLst>
    </bk>
    <bk>
      <extLst>
        <ext uri="{3e2802c4-a4d2-4d8b-9148-e3be6c30e623}">
          <xlrd:rvb i="1443"/>
        </ext>
      </extLst>
    </bk>
    <bk>
      <extLst>
        <ext uri="{3e2802c4-a4d2-4d8b-9148-e3be6c30e623}">
          <xlrd:rvb i="1444"/>
        </ext>
      </extLst>
    </bk>
    <bk>
      <extLst>
        <ext uri="{3e2802c4-a4d2-4d8b-9148-e3be6c30e623}">
          <xlrd:rvb i="1445"/>
        </ext>
      </extLst>
    </bk>
    <bk>
      <extLst>
        <ext uri="{3e2802c4-a4d2-4d8b-9148-e3be6c30e623}">
          <xlrd:rvb i="1446"/>
        </ext>
      </extLst>
    </bk>
    <bk>
      <extLst>
        <ext uri="{3e2802c4-a4d2-4d8b-9148-e3be6c30e623}">
          <xlrd:rvb i="1447"/>
        </ext>
      </extLst>
    </bk>
    <bk>
      <extLst>
        <ext uri="{3e2802c4-a4d2-4d8b-9148-e3be6c30e623}">
          <xlrd:rvb i="1448"/>
        </ext>
      </extLst>
    </bk>
    <bk>
      <extLst>
        <ext uri="{3e2802c4-a4d2-4d8b-9148-e3be6c30e623}">
          <xlrd:rvb i="1449"/>
        </ext>
      </extLst>
    </bk>
    <bk>
      <extLst>
        <ext uri="{3e2802c4-a4d2-4d8b-9148-e3be6c30e623}">
          <xlrd:rvb i="1450"/>
        </ext>
      </extLst>
    </bk>
    <bk>
      <extLst>
        <ext uri="{3e2802c4-a4d2-4d8b-9148-e3be6c30e623}">
          <xlrd:rvb i="1451"/>
        </ext>
      </extLst>
    </bk>
    <bk>
      <extLst>
        <ext uri="{3e2802c4-a4d2-4d8b-9148-e3be6c30e623}">
          <xlrd:rvb i="1452"/>
        </ext>
      </extLst>
    </bk>
    <bk>
      <extLst>
        <ext uri="{3e2802c4-a4d2-4d8b-9148-e3be6c30e623}">
          <xlrd:rvb i="1453"/>
        </ext>
      </extLst>
    </bk>
    <bk>
      <extLst>
        <ext uri="{3e2802c4-a4d2-4d8b-9148-e3be6c30e623}">
          <xlrd:rvb i="1454"/>
        </ext>
      </extLst>
    </bk>
    <bk>
      <extLst>
        <ext uri="{3e2802c4-a4d2-4d8b-9148-e3be6c30e623}">
          <xlrd:rvb i="1455"/>
        </ext>
      </extLst>
    </bk>
    <bk>
      <extLst>
        <ext uri="{3e2802c4-a4d2-4d8b-9148-e3be6c30e623}">
          <xlrd:rvb i="1456"/>
        </ext>
      </extLst>
    </bk>
    <bk>
      <extLst>
        <ext uri="{3e2802c4-a4d2-4d8b-9148-e3be6c30e623}">
          <xlrd:rvb i="1457"/>
        </ext>
      </extLst>
    </bk>
    <bk>
      <extLst>
        <ext uri="{3e2802c4-a4d2-4d8b-9148-e3be6c30e623}">
          <xlrd:rvb i="1458"/>
        </ext>
      </extLst>
    </bk>
    <bk>
      <extLst>
        <ext uri="{3e2802c4-a4d2-4d8b-9148-e3be6c30e623}">
          <xlrd:rvb i="1459"/>
        </ext>
      </extLst>
    </bk>
    <bk>
      <extLst>
        <ext uri="{3e2802c4-a4d2-4d8b-9148-e3be6c30e623}">
          <xlrd:rvb i="1460"/>
        </ext>
      </extLst>
    </bk>
    <bk>
      <extLst>
        <ext uri="{3e2802c4-a4d2-4d8b-9148-e3be6c30e623}">
          <xlrd:rvb i="1461"/>
        </ext>
      </extLst>
    </bk>
    <bk>
      <extLst>
        <ext uri="{3e2802c4-a4d2-4d8b-9148-e3be6c30e623}">
          <xlrd:rvb i="1462"/>
        </ext>
      </extLst>
    </bk>
    <bk>
      <extLst>
        <ext uri="{3e2802c4-a4d2-4d8b-9148-e3be6c30e623}">
          <xlrd:rvb i="1463"/>
        </ext>
      </extLst>
    </bk>
    <bk>
      <extLst>
        <ext uri="{3e2802c4-a4d2-4d8b-9148-e3be6c30e623}">
          <xlrd:rvb i="1464"/>
        </ext>
      </extLst>
    </bk>
    <bk>
      <extLst>
        <ext uri="{3e2802c4-a4d2-4d8b-9148-e3be6c30e623}">
          <xlrd:rvb i="1465"/>
        </ext>
      </extLst>
    </bk>
    <bk>
      <extLst>
        <ext uri="{3e2802c4-a4d2-4d8b-9148-e3be6c30e623}">
          <xlrd:rvb i="1466"/>
        </ext>
      </extLst>
    </bk>
    <bk>
      <extLst>
        <ext uri="{3e2802c4-a4d2-4d8b-9148-e3be6c30e623}">
          <xlrd:rvb i="1467"/>
        </ext>
      </extLst>
    </bk>
    <bk>
      <extLst>
        <ext uri="{3e2802c4-a4d2-4d8b-9148-e3be6c30e623}">
          <xlrd:rvb i="1468"/>
        </ext>
      </extLst>
    </bk>
    <bk>
      <extLst>
        <ext uri="{3e2802c4-a4d2-4d8b-9148-e3be6c30e623}">
          <xlrd:rvb i="1469"/>
        </ext>
      </extLst>
    </bk>
    <bk>
      <extLst>
        <ext uri="{3e2802c4-a4d2-4d8b-9148-e3be6c30e623}">
          <xlrd:rvb i="1470"/>
        </ext>
      </extLst>
    </bk>
    <bk>
      <extLst>
        <ext uri="{3e2802c4-a4d2-4d8b-9148-e3be6c30e623}">
          <xlrd:rvb i="1471"/>
        </ext>
      </extLst>
    </bk>
    <bk>
      <extLst>
        <ext uri="{3e2802c4-a4d2-4d8b-9148-e3be6c30e623}">
          <xlrd:rvb i="1472"/>
        </ext>
      </extLst>
    </bk>
    <bk>
      <extLst>
        <ext uri="{3e2802c4-a4d2-4d8b-9148-e3be6c30e623}">
          <xlrd:rvb i="1473"/>
        </ext>
      </extLst>
    </bk>
    <bk>
      <extLst>
        <ext uri="{3e2802c4-a4d2-4d8b-9148-e3be6c30e623}">
          <xlrd:rvb i="1474"/>
        </ext>
      </extLst>
    </bk>
    <bk>
      <extLst>
        <ext uri="{3e2802c4-a4d2-4d8b-9148-e3be6c30e623}">
          <xlrd:rvb i="1475"/>
        </ext>
      </extLst>
    </bk>
    <bk>
      <extLst>
        <ext uri="{3e2802c4-a4d2-4d8b-9148-e3be6c30e623}">
          <xlrd:rvb i="1476"/>
        </ext>
      </extLst>
    </bk>
    <bk>
      <extLst>
        <ext uri="{3e2802c4-a4d2-4d8b-9148-e3be6c30e623}">
          <xlrd:rvb i="1477"/>
        </ext>
      </extLst>
    </bk>
    <bk>
      <extLst>
        <ext uri="{3e2802c4-a4d2-4d8b-9148-e3be6c30e623}">
          <xlrd:rvb i="1478"/>
        </ext>
      </extLst>
    </bk>
    <bk>
      <extLst>
        <ext uri="{3e2802c4-a4d2-4d8b-9148-e3be6c30e623}">
          <xlrd:rvb i="1479"/>
        </ext>
      </extLst>
    </bk>
    <bk>
      <extLst>
        <ext uri="{3e2802c4-a4d2-4d8b-9148-e3be6c30e623}">
          <xlrd:rvb i="1480"/>
        </ext>
      </extLst>
    </bk>
    <bk>
      <extLst>
        <ext uri="{3e2802c4-a4d2-4d8b-9148-e3be6c30e623}">
          <xlrd:rvb i="1481"/>
        </ext>
      </extLst>
    </bk>
    <bk>
      <extLst>
        <ext uri="{3e2802c4-a4d2-4d8b-9148-e3be6c30e623}">
          <xlrd:rvb i="1482"/>
        </ext>
      </extLst>
    </bk>
    <bk>
      <extLst>
        <ext uri="{3e2802c4-a4d2-4d8b-9148-e3be6c30e623}">
          <xlrd:rvb i="1483"/>
        </ext>
      </extLst>
    </bk>
    <bk>
      <extLst>
        <ext uri="{3e2802c4-a4d2-4d8b-9148-e3be6c30e623}">
          <xlrd:rvb i="1484"/>
        </ext>
      </extLst>
    </bk>
    <bk>
      <extLst>
        <ext uri="{3e2802c4-a4d2-4d8b-9148-e3be6c30e623}">
          <xlrd:rvb i="1485"/>
        </ext>
      </extLst>
    </bk>
    <bk>
      <extLst>
        <ext uri="{3e2802c4-a4d2-4d8b-9148-e3be6c30e623}">
          <xlrd:rvb i="1486"/>
        </ext>
      </extLst>
    </bk>
    <bk>
      <extLst>
        <ext uri="{3e2802c4-a4d2-4d8b-9148-e3be6c30e623}">
          <xlrd:rvb i="1487"/>
        </ext>
      </extLst>
    </bk>
    <bk>
      <extLst>
        <ext uri="{3e2802c4-a4d2-4d8b-9148-e3be6c30e623}">
          <xlrd:rvb i="1488"/>
        </ext>
      </extLst>
    </bk>
    <bk>
      <extLst>
        <ext uri="{3e2802c4-a4d2-4d8b-9148-e3be6c30e623}">
          <xlrd:rvb i="1489"/>
        </ext>
      </extLst>
    </bk>
    <bk>
      <extLst>
        <ext uri="{3e2802c4-a4d2-4d8b-9148-e3be6c30e623}">
          <xlrd:rvb i="1490"/>
        </ext>
      </extLst>
    </bk>
    <bk>
      <extLst>
        <ext uri="{3e2802c4-a4d2-4d8b-9148-e3be6c30e623}">
          <xlrd:rvb i="1491"/>
        </ext>
      </extLst>
    </bk>
    <bk>
      <extLst>
        <ext uri="{3e2802c4-a4d2-4d8b-9148-e3be6c30e623}">
          <xlrd:rvb i="1492"/>
        </ext>
      </extLst>
    </bk>
    <bk>
      <extLst>
        <ext uri="{3e2802c4-a4d2-4d8b-9148-e3be6c30e623}">
          <xlrd:rvb i="1493"/>
        </ext>
      </extLst>
    </bk>
    <bk>
      <extLst>
        <ext uri="{3e2802c4-a4d2-4d8b-9148-e3be6c30e623}">
          <xlrd:rvb i="1494"/>
        </ext>
      </extLst>
    </bk>
    <bk>
      <extLst>
        <ext uri="{3e2802c4-a4d2-4d8b-9148-e3be6c30e623}">
          <xlrd:rvb i="1495"/>
        </ext>
      </extLst>
    </bk>
    <bk>
      <extLst>
        <ext uri="{3e2802c4-a4d2-4d8b-9148-e3be6c30e623}">
          <xlrd:rvb i="1496"/>
        </ext>
      </extLst>
    </bk>
    <bk>
      <extLst>
        <ext uri="{3e2802c4-a4d2-4d8b-9148-e3be6c30e623}">
          <xlrd:rvb i="1497"/>
        </ext>
      </extLst>
    </bk>
    <bk>
      <extLst>
        <ext uri="{3e2802c4-a4d2-4d8b-9148-e3be6c30e623}">
          <xlrd:rvb i="1498"/>
        </ext>
      </extLst>
    </bk>
    <bk>
      <extLst>
        <ext uri="{3e2802c4-a4d2-4d8b-9148-e3be6c30e623}">
          <xlrd:rvb i="1499"/>
        </ext>
      </extLst>
    </bk>
    <bk>
      <extLst>
        <ext uri="{3e2802c4-a4d2-4d8b-9148-e3be6c30e623}">
          <xlrd:rvb i="1500"/>
        </ext>
      </extLst>
    </bk>
    <bk>
      <extLst>
        <ext uri="{3e2802c4-a4d2-4d8b-9148-e3be6c30e623}">
          <xlrd:rvb i="1501"/>
        </ext>
      </extLst>
    </bk>
    <bk>
      <extLst>
        <ext uri="{3e2802c4-a4d2-4d8b-9148-e3be6c30e623}">
          <xlrd:rvb i="1502"/>
        </ext>
      </extLst>
    </bk>
    <bk>
      <extLst>
        <ext uri="{3e2802c4-a4d2-4d8b-9148-e3be6c30e623}">
          <xlrd:rvb i="1503"/>
        </ext>
      </extLst>
    </bk>
    <bk>
      <extLst>
        <ext uri="{3e2802c4-a4d2-4d8b-9148-e3be6c30e623}">
          <xlrd:rvb i="1504"/>
        </ext>
      </extLst>
    </bk>
    <bk>
      <extLst>
        <ext uri="{3e2802c4-a4d2-4d8b-9148-e3be6c30e623}">
          <xlrd:rvb i="1505"/>
        </ext>
      </extLst>
    </bk>
    <bk>
      <extLst>
        <ext uri="{3e2802c4-a4d2-4d8b-9148-e3be6c30e623}">
          <xlrd:rvb i="1506"/>
        </ext>
      </extLst>
    </bk>
    <bk>
      <extLst>
        <ext uri="{3e2802c4-a4d2-4d8b-9148-e3be6c30e623}">
          <xlrd:rvb i="1507"/>
        </ext>
      </extLst>
    </bk>
    <bk>
      <extLst>
        <ext uri="{3e2802c4-a4d2-4d8b-9148-e3be6c30e623}">
          <xlrd:rvb i="1508"/>
        </ext>
      </extLst>
    </bk>
    <bk>
      <extLst>
        <ext uri="{3e2802c4-a4d2-4d8b-9148-e3be6c30e623}">
          <xlrd:rvb i="1509"/>
        </ext>
      </extLst>
    </bk>
    <bk>
      <extLst>
        <ext uri="{3e2802c4-a4d2-4d8b-9148-e3be6c30e623}">
          <xlrd:rvb i="1510"/>
        </ext>
      </extLst>
    </bk>
    <bk>
      <extLst>
        <ext uri="{3e2802c4-a4d2-4d8b-9148-e3be6c30e623}">
          <xlrd:rvb i="1511"/>
        </ext>
      </extLst>
    </bk>
    <bk>
      <extLst>
        <ext uri="{3e2802c4-a4d2-4d8b-9148-e3be6c30e623}">
          <xlrd:rvb i="1512"/>
        </ext>
      </extLst>
    </bk>
    <bk>
      <extLst>
        <ext uri="{3e2802c4-a4d2-4d8b-9148-e3be6c30e623}">
          <xlrd:rvb i="1513"/>
        </ext>
      </extLst>
    </bk>
    <bk>
      <extLst>
        <ext uri="{3e2802c4-a4d2-4d8b-9148-e3be6c30e623}">
          <xlrd:rvb i="1514"/>
        </ext>
      </extLst>
    </bk>
    <bk>
      <extLst>
        <ext uri="{3e2802c4-a4d2-4d8b-9148-e3be6c30e623}">
          <xlrd:rvb i="1515"/>
        </ext>
      </extLst>
    </bk>
    <bk>
      <extLst>
        <ext uri="{3e2802c4-a4d2-4d8b-9148-e3be6c30e623}">
          <xlrd:rvb i="1516"/>
        </ext>
      </extLst>
    </bk>
    <bk>
      <extLst>
        <ext uri="{3e2802c4-a4d2-4d8b-9148-e3be6c30e623}">
          <xlrd:rvb i="1517"/>
        </ext>
      </extLst>
    </bk>
    <bk>
      <extLst>
        <ext uri="{3e2802c4-a4d2-4d8b-9148-e3be6c30e623}">
          <xlrd:rvb i="1518"/>
        </ext>
      </extLst>
    </bk>
    <bk>
      <extLst>
        <ext uri="{3e2802c4-a4d2-4d8b-9148-e3be6c30e623}">
          <xlrd:rvb i="1519"/>
        </ext>
      </extLst>
    </bk>
    <bk>
      <extLst>
        <ext uri="{3e2802c4-a4d2-4d8b-9148-e3be6c30e623}">
          <xlrd:rvb i="1520"/>
        </ext>
      </extLst>
    </bk>
    <bk>
      <extLst>
        <ext uri="{3e2802c4-a4d2-4d8b-9148-e3be6c30e623}">
          <xlrd:rvb i="1521"/>
        </ext>
      </extLst>
    </bk>
    <bk>
      <extLst>
        <ext uri="{3e2802c4-a4d2-4d8b-9148-e3be6c30e623}">
          <xlrd:rvb i="1522"/>
        </ext>
      </extLst>
    </bk>
    <bk>
      <extLst>
        <ext uri="{3e2802c4-a4d2-4d8b-9148-e3be6c30e623}">
          <xlrd:rvb i="1523"/>
        </ext>
      </extLst>
    </bk>
    <bk>
      <extLst>
        <ext uri="{3e2802c4-a4d2-4d8b-9148-e3be6c30e623}">
          <xlrd:rvb i="1524"/>
        </ext>
      </extLst>
    </bk>
    <bk>
      <extLst>
        <ext uri="{3e2802c4-a4d2-4d8b-9148-e3be6c30e623}">
          <xlrd:rvb i="1525"/>
        </ext>
      </extLst>
    </bk>
    <bk>
      <extLst>
        <ext uri="{3e2802c4-a4d2-4d8b-9148-e3be6c30e623}">
          <xlrd:rvb i="1526"/>
        </ext>
      </extLst>
    </bk>
    <bk>
      <extLst>
        <ext uri="{3e2802c4-a4d2-4d8b-9148-e3be6c30e623}">
          <xlrd:rvb i="1527"/>
        </ext>
      </extLst>
    </bk>
    <bk>
      <extLst>
        <ext uri="{3e2802c4-a4d2-4d8b-9148-e3be6c30e623}">
          <xlrd:rvb i="1528"/>
        </ext>
      </extLst>
    </bk>
    <bk>
      <extLst>
        <ext uri="{3e2802c4-a4d2-4d8b-9148-e3be6c30e623}">
          <xlrd:rvb i="1529"/>
        </ext>
      </extLst>
    </bk>
    <bk>
      <extLst>
        <ext uri="{3e2802c4-a4d2-4d8b-9148-e3be6c30e623}">
          <xlrd:rvb i="1530"/>
        </ext>
      </extLst>
    </bk>
    <bk>
      <extLst>
        <ext uri="{3e2802c4-a4d2-4d8b-9148-e3be6c30e623}">
          <xlrd:rvb i="1531"/>
        </ext>
      </extLst>
    </bk>
    <bk>
      <extLst>
        <ext uri="{3e2802c4-a4d2-4d8b-9148-e3be6c30e623}">
          <xlrd:rvb i="1532"/>
        </ext>
      </extLst>
    </bk>
    <bk>
      <extLst>
        <ext uri="{3e2802c4-a4d2-4d8b-9148-e3be6c30e623}">
          <xlrd:rvb i="1533"/>
        </ext>
      </extLst>
    </bk>
    <bk>
      <extLst>
        <ext uri="{3e2802c4-a4d2-4d8b-9148-e3be6c30e623}">
          <xlrd:rvb i="1534"/>
        </ext>
      </extLst>
    </bk>
    <bk>
      <extLst>
        <ext uri="{3e2802c4-a4d2-4d8b-9148-e3be6c30e623}">
          <xlrd:rvb i="1535"/>
        </ext>
      </extLst>
    </bk>
    <bk>
      <extLst>
        <ext uri="{3e2802c4-a4d2-4d8b-9148-e3be6c30e623}">
          <xlrd:rvb i="1536"/>
        </ext>
      </extLst>
    </bk>
    <bk>
      <extLst>
        <ext uri="{3e2802c4-a4d2-4d8b-9148-e3be6c30e623}">
          <xlrd:rvb i="1537"/>
        </ext>
      </extLst>
    </bk>
    <bk>
      <extLst>
        <ext uri="{3e2802c4-a4d2-4d8b-9148-e3be6c30e623}">
          <xlrd:rvb i="1538"/>
        </ext>
      </extLst>
    </bk>
    <bk>
      <extLst>
        <ext uri="{3e2802c4-a4d2-4d8b-9148-e3be6c30e623}">
          <xlrd:rvb i="1539"/>
        </ext>
      </extLst>
    </bk>
    <bk>
      <extLst>
        <ext uri="{3e2802c4-a4d2-4d8b-9148-e3be6c30e623}">
          <xlrd:rvb i="1540"/>
        </ext>
      </extLst>
    </bk>
    <bk>
      <extLst>
        <ext uri="{3e2802c4-a4d2-4d8b-9148-e3be6c30e623}">
          <xlrd:rvb i="1541"/>
        </ext>
      </extLst>
    </bk>
    <bk>
      <extLst>
        <ext uri="{3e2802c4-a4d2-4d8b-9148-e3be6c30e623}">
          <xlrd:rvb i="1542"/>
        </ext>
      </extLst>
    </bk>
    <bk>
      <extLst>
        <ext uri="{3e2802c4-a4d2-4d8b-9148-e3be6c30e623}">
          <xlrd:rvb i="1543"/>
        </ext>
      </extLst>
    </bk>
    <bk>
      <extLst>
        <ext uri="{3e2802c4-a4d2-4d8b-9148-e3be6c30e623}">
          <xlrd:rvb i="1544"/>
        </ext>
      </extLst>
    </bk>
    <bk>
      <extLst>
        <ext uri="{3e2802c4-a4d2-4d8b-9148-e3be6c30e623}">
          <xlrd:rvb i="1545"/>
        </ext>
      </extLst>
    </bk>
    <bk>
      <extLst>
        <ext uri="{3e2802c4-a4d2-4d8b-9148-e3be6c30e623}">
          <xlrd:rvb i="1546"/>
        </ext>
      </extLst>
    </bk>
    <bk>
      <extLst>
        <ext uri="{3e2802c4-a4d2-4d8b-9148-e3be6c30e623}">
          <xlrd:rvb i="1547"/>
        </ext>
      </extLst>
    </bk>
    <bk>
      <extLst>
        <ext uri="{3e2802c4-a4d2-4d8b-9148-e3be6c30e623}">
          <xlrd:rvb i="1548"/>
        </ext>
      </extLst>
    </bk>
    <bk>
      <extLst>
        <ext uri="{3e2802c4-a4d2-4d8b-9148-e3be6c30e623}">
          <xlrd:rvb i="1549"/>
        </ext>
      </extLst>
    </bk>
    <bk>
      <extLst>
        <ext uri="{3e2802c4-a4d2-4d8b-9148-e3be6c30e623}">
          <xlrd:rvb i="1550"/>
        </ext>
      </extLst>
    </bk>
    <bk>
      <extLst>
        <ext uri="{3e2802c4-a4d2-4d8b-9148-e3be6c30e623}">
          <xlrd:rvb i="1551"/>
        </ext>
      </extLst>
    </bk>
    <bk>
      <extLst>
        <ext uri="{3e2802c4-a4d2-4d8b-9148-e3be6c30e623}">
          <xlrd:rvb i="1552"/>
        </ext>
      </extLst>
    </bk>
    <bk>
      <extLst>
        <ext uri="{3e2802c4-a4d2-4d8b-9148-e3be6c30e623}">
          <xlrd:rvb i="1553"/>
        </ext>
      </extLst>
    </bk>
    <bk>
      <extLst>
        <ext uri="{3e2802c4-a4d2-4d8b-9148-e3be6c30e623}">
          <xlrd:rvb i="1554"/>
        </ext>
      </extLst>
    </bk>
    <bk>
      <extLst>
        <ext uri="{3e2802c4-a4d2-4d8b-9148-e3be6c30e623}">
          <xlrd:rvb i="1555"/>
        </ext>
      </extLst>
    </bk>
    <bk>
      <extLst>
        <ext uri="{3e2802c4-a4d2-4d8b-9148-e3be6c30e623}">
          <xlrd:rvb i="1556"/>
        </ext>
      </extLst>
    </bk>
    <bk>
      <extLst>
        <ext uri="{3e2802c4-a4d2-4d8b-9148-e3be6c30e623}">
          <xlrd:rvb i="1557"/>
        </ext>
      </extLst>
    </bk>
    <bk>
      <extLst>
        <ext uri="{3e2802c4-a4d2-4d8b-9148-e3be6c30e623}">
          <xlrd:rvb i="1558"/>
        </ext>
      </extLst>
    </bk>
    <bk>
      <extLst>
        <ext uri="{3e2802c4-a4d2-4d8b-9148-e3be6c30e623}">
          <xlrd:rvb i="1559"/>
        </ext>
      </extLst>
    </bk>
    <bk>
      <extLst>
        <ext uri="{3e2802c4-a4d2-4d8b-9148-e3be6c30e623}">
          <xlrd:rvb i="1560"/>
        </ext>
      </extLst>
    </bk>
    <bk>
      <extLst>
        <ext uri="{3e2802c4-a4d2-4d8b-9148-e3be6c30e623}">
          <xlrd:rvb i="1561"/>
        </ext>
      </extLst>
    </bk>
    <bk>
      <extLst>
        <ext uri="{3e2802c4-a4d2-4d8b-9148-e3be6c30e623}">
          <xlrd:rvb i="1562"/>
        </ext>
      </extLst>
    </bk>
    <bk>
      <extLst>
        <ext uri="{3e2802c4-a4d2-4d8b-9148-e3be6c30e623}">
          <xlrd:rvb i="1563"/>
        </ext>
      </extLst>
    </bk>
    <bk>
      <extLst>
        <ext uri="{3e2802c4-a4d2-4d8b-9148-e3be6c30e623}">
          <xlrd:rvb i="1564"/>
        </ext>
      </extLst>
    </bk>
    <bk>
      <extLst>
        <ext uri="{3e2802c4-a4d2-4d8b-9148-e3be6c30e623}">
          <xlrd:rvb i="1565"/>
        </ext>
      </extLst>
    </bk>
    <bk>
      <extLst>
        <ext uri="{3e2802c4-a4d2-4d8b-9148-e3be6c30e623}">
          <xlrd:rvb i="1566"/>
        </ext>
      </extLst>
    </bk>
    <bk>
      <extLst>
        <ext uri="{3e2802c4-a4d2-4d8b-9148-e3be6c30e623}">
          <xlrd:rvb i="1567"/>
        </ext>
      </extLst>
    </bk>
    <bk>
      <extLst>
        <ext uri="{3e2802c4-a4d2-4d8b-9148-e3be6c30e623}">
          <xlrd:rvb i="1568"/>
        </ext>
      </extLst>
    </bk>
    <bk>
      <extLst>
        <ext uri="{3e2802c4-a4d2-4d8b-9148-e3be6c30e623}">
          <xlrd:rvb i="1569"/>
        </ext>
      </extLst>
    </bk>
    <bk>
      <extLst>
        <ext uri="{3e2802c4-a4d2-4d8b-9148-e3be6c30e623}">
          <xlrd:rvb i="1570"/>
        </ext>
      </extLst>
    </bk>
    <bk>
      <extLst>
        <ext uri="{3e2802c4-a4d2-4d8b-9148-e3be6c30e623}">
          <xlrd:rvb i="1571"/>
        </ext>
      </extLst>
    </bk>
    <bk>
      <extLst>
        <ext uri="{3e2802c4-a4d2-4d8b-9148-e3be6c30e623}">
          <xlrd:rvb i="1572"/>
        </ext>
      </extLst>
    </bk>
    <bk>
      <extLst>
        <ext uri="{3e2802c4-a4d2-4d8b-9148-e3be6c30e623}">
          <xlrd:rvb i="1573"/>
        </ext>
      </extLst>
    </bk>
    <bk>
      <extLst>
        <ext uri="{3e2802c4-a4d2-4d8b-9148-e3be6c30e623}">
          <xlrd:rvb i="1574"/>
        </ext>
      </extLst>
    </bk>
    <bk>
      <extLst>
        <ext uri="{3e2802c4-a4d2-4d8b-9148-e3be6c30e623}">
          <xlrd:rvb i="1575"/>
        </ext>
      </extLst>
    </bk>
    <bk>
      <extLst>
        <ext uri="{3e2802c4-a4d2-4d8b-9148-e3be6c30e623}">
          <xlrd:rvb i="1576"/>
        </ext>
      </extLst>
    </bk>
    <bk>
      <extLst>
        <ext uri="{3e2802c4-a4d2-4d8b-9148-e3be6c30e623}">
          <xlrd:rvb i="1577"/>
        </ext>
      </extLst>
    </bk>
    <bk>
      <extLst>
        <ext uri="{3e2802c4-a4d2-4d8b-9148-e3be6c30e623}">
          <xlrd:rvb i="1578"/>
        </ext>
      </extLst>
    </bk>
    <bk>
      <extLst>
        <ext uri="{3e2802c4-a4d2-4d8b-9148-e3be6c30e623}">
          <xlrd:rvb i="1579"/>
        </ext>
      </extLst>
    </bk>
    <bk>
      <extLst>
        <ext uri="{3e2802c4-a4d2-4d8b-9148-e3be6c30e623}">
          <xlrd:rvb i="1580"/>
        </ext>
      </extLst>
    </bk>
    <bk>
      <extLst>
        <ext uri="{3e2802c4-a4d2-4d8b-9148-e3be6c30e623}">
          <xlrd:rvb i="1581"/>
        </ext>
      </extLst>
    </bk>
    <bk>
      <extLst>
        <ext uri="{3e2802c4-a4d2-4d8b-9148-e3be6c30e623}">
          <xlrd:rvb i="1582"/>
        </ext>
      </extLst>
    </bk>
    <bk>
      <extLst>
        <ext uri="{3e2802c4-a4d2-4d8b-9148-e3be6c30e623}">
          <xlrd:rvb i="1583"/>
        </ext>
      </extLst>
    </bk>
    <bk>
      <extLst>
        <ext uri="{3e2802c4-a4d2-4d8b-9148-e3be6c30e623}">
          <xlrd:rvb i="1584"/>
        </ext>
      </extLst>
    </bk>
    <bk>
      <extLst>
        <ext uri="{3e2802c4-a4d2-4d8b-9148-e3be6c30e623}">
          <xlrd:rvb i="1585"/>
        </ext>
      </extLst>
    </bk>
    <bk>
      <extLst>
        <ext uri="{3e2802c4-a4d2-4d8b-9148-e3be6c30e623}">
          <xlrd:rvb i="1586"/>
        </ext>
      </extLst>
    </bk>
    <bk>
      <extLst>
        <ext uri="{3e2802c4-a4d2-4d8b-9148-e3be6c30e623}">
          <xlrd:rvb i="1587"/>
        </ext>
      </extLst>
    </bk>
    <bk>
      <extLst>
        <ext uri="{3e2802c4-a4d2-4d8b-9148-e3be6c30e623}">
          <xlrd:rvb i="1588"/>
        </ext>
      </extLst>
    </bk>
    <bk>
      <extLst>
        <ext uri="{3e2802c4-a4d2-4d8b-9148-e3be6c30e623}">
          <xlrd:rvb i="1589"/>
        </ext>
      </extLst>
    </bk>
    <bk>
      <extLst>
        <ext uri="{3e2802c4-a4d2-4d8b-9148-e3be6c30e623}">
          <xlrd:rvb i="1590"/>
        </ext>
      </extLst>
    </bk>
    <bk>
      <extLst>
        <ext uri="{3e2802c4-a4d2-4d8b-9148-e3be6c30e623}">
          <xlrd:rvb i="1591"/>
        </ext>
      </extLst>
    </bk>
    <bk>
      <extLst>
        <ext uri="{3e2802c4-a4d2-4d8b-9148-e3be6c30e623}">
          <xlrd:rvb i="1592"/>
        </ext>
      </extLst>
    </bk>
    <bk>
      <extLst>
        <ext uri="{3e2802c4-a4d2-4d8b-9148-e3be6c30e623}">
          <xlrd:rvb i="1593"/>
        </ext>
      </extLst>
    </bk>
    <bk>
      <extLst>
        <ext uri="{3e2802c4-a4d2-4d8b-9148-e3be6c30e623}">
          <xlrd:rvb i="1594"/>
        </ext>
      </extLst>
    </bk>
    <bk>
      <extLst>
        <ext uri="{3e2802c4-a4d2-4d8b-9148-e3be6c30e623}">
          <xlrd:rvb i="1595"/>
        </ext>
      </extLst>
    </bk>
    <bk>
      <extLst>
        <ext uri="{3e2802c4-a4d2-4d8b-9148-e3be6c30e623}">
          <xlrd:rvb i="1596"/>
        </ext>
      </extLst>
    </bk>
    <bk>
      <extLst>
        <ext uri="{3e2802c4-a4d2-4d8b-9148-e3be6c30e623}">
          <xlrd:rvb i="1597"/>
        </ext>
      </extLst>
    </bk>
    <bk>
      <extLst>
        <ext uri="{3e2802c4-a4d2-4d8b-9148-e3be6c30e623}">
          <xlrd:rvb i="1598"/>
        </ext>
      </extLst>
    </bk>
    <bk>
      <extLst>
        <ext uri="{3e2802c4-a4d2-4d8b-9148-e3be6c30e623}">
          <xlrd:rvb i="1599"/>
        </ext>
      </extLst>
    </bk>
    <bk>
      <extLst>
        <ext uri="{3e2802c4-a4d2-4d8b-9148-e3be6c30e623}">
          <xlrd:rvb i="1600"/>
        </ext>
      </extLst>
    </bk>
    <bk>
      <extLst>
        <ext uri="{3e2802c4-a4d2-4d8b-9148-e3be6c30e623}">
          <xlrd:rvb i="1601"/>
        </ext>
      </extLst>
    </bk>
    <bk>
      <extLst>
        <ext uri="{3e2802c4-a4d2-4d8b-9148-e3be6c30e623}">
          <xlrd:rvb i="1602"/>
        </ext>
      </extLst>
    </bk>
    <bk>
      <extLst>
        <ext uri="{3e2802c4-a4d2-4d8b-9148-e3be6c30e623}">
          <xlrd:rvb i="1603"/>
        </ext>
      </extLst>
    </bk>
    <bk>
      <extLst>
        <ext uri="{3e2802c4-a4d2-4d8b-9148-e3be6c30e623}">
          <xlrd:rvb i="1604"/>
        </ext>
      </extLst>
    </bk>
    <bk>
      <extLst>
        <ext uri="{3e2802c4-a4d2-4d8b-9148-e3be6c30e623}">
          <xlrd:rvb i="1605"/>
        </ext>
      </extLst>
    </bk>
    <bk>
      <extLst>
        <ext uri="{3e2802c4-a4d2-4d8b-9148-e3be6c30e623}">
          <xlrd:rvb i="1606"/>
        </ext>
      </extLst>
    </bk>
    <bk>
      <extLst>
        <ext uri="{3e2802c4-a4d2-4d8b-9148-e3be6c30e623}">
          <xlrd:rvb i="1607"/>
        </ext>
      </extLst>
    </bk>
    <bk>
      <extLst>
        <ext uri="{3e2802c4-a4d2-4d8b-9148-e3be6c30e623}">
          <xlrd:rvb i="1608"/>
        </ext>
      </extLst>
    </bk>
    <bk>
      <extLst>
        <ext uri="{3e2802c4-a4d2-4d8b-9148-e3be6c30e623}">
          <xlrd:rvb i="1609"/>
        </ext>
      </extLst>
    </bk>
    <bk>
      <extLst>
        <ext uri="{3e2802c4-a4d2-4d8b-9148-e3be6c30e623}">
          <xlrd:rvb i="1610"/>
        </ext>
      </extLst>
    </bk>
    <bk>
      <extLst>
        <ext uri="{3e2802c4-a4d2-4d8b-9148-e3be6c30e623}">
          <xlrd:rvb i="1611"/>
        </ext>
      </extLst>
    </bk>
    <bk>
      <extLst>
        <ext uri="{3e2802c4-a4d2-4d8b-9148-e3be6c30e623}">
          <xlrd:rvb i="1612"/>
        </ext>
      </extLst>
    </bk>
    <bk>
      <extLst>
        <ext uri="{3e2802c4-a4d2-4d8b-9148-e3be6c30e623}">
          <xlrd:rvb i="1613"/>
        </ext>
      </extLst>
    </bk>
    <bk>
      <extLst>
        <ext uri="{3e2802c4-a4d2-4d8b-9148-e3be6c30e623}">
          <xlrd:rvb i="1614"/>
        </ext>
      </extLst>
    </bk>
    <bk>
      <extLst>
        <ext uri="{3e2802c4-a4d2-4d8b-9148-e3be6c30e623}">
          <xlrd:rvb i="1615"/>
        </ext>
      </extLst>
    </bk>
    <bk>
      <extLst>
        <ext uri="{3e2802c4-a4d2-4d8b-9148-e3be6c30e623}">
          <xlrd:rvb i="1616"/>
        </ext>
      </extLst>
    </bk>
    <bk>
      <extLst>
        <ext uri="{3e2802c4-a4d2-4d8b-9148-e3be6c30e623}">
          <xlrd:rvb i="1617"/>
        </ext>
      </extLst>
    </bk>
    <bk>
      <extLst>
        <ext uri="{3e2802c4-a4d2-4d8b-9148-e3be6c30e623}">
          <xlrd:rvb i="1618"/>
        </ext>
      </extLst>
    </bk>
    <bk>
      <extLst>
        <ext uri="{3e2802c4-a4d2-4d8b-9148-e3be6c30e623}">
          <xlrd:rvb i="1619"/>
        </ext>
      </extLst>
    </bk>
    <bk>
      <extLst>
        <ext uri="{3e2802c4-a4d2-4d8b-9148-e3be6c30e623}">
          <xlrd:rvb i="1620"/>
        </ext>
      </extLst>
    </bk>
    <bk>
      <extLst>
        <ext uri="{3e2802c4-a4d2-4d8b-9148-e3be6c30e623}">
          <xlrd:rvb i="1621"/>
        </ext>
      </extLst>
    </bk>
    <bk>
      <extLst>
        <ext uri="{3e2802c4-a4d2-4d8b-9148-e3be6c30e623}">
          <xlrd:rvb i="1622"/>
        </ext>
      </extLst>
    </bk>
    <bk>
      <extLst>
        <ext uri="{3e2802c4-a4d2-4d8b-9148-e3be6c30e623}">
          <xlrd:rvb i="1623"/>
        </ext>
      </extLst>
    </bk>
    <bk>
      <extLst>
        <ext uri="{3e2802c4-a4d2-4d8b-9148-e3be6c30e623}">
          <xlrd:rvb i="1624"/>
        </ext>
      </extLst>
    </bk>
    <bk>
      <extLst>
        <ext uri="{3e2802c4-a4d2-4d8b-9148-e3be6c30e623}">
          <xlrd:rvb i="1625"/>
        </ext>
      </extLst>
    </bk>
    <bk>
      <extLst>
        <ext uri="{3e2802c4-a4d2-4d8b-9148-e3be6c30e623}">
          <xlrd:rvb i="1626"/>
        </ext>
      </extLst>
    </bk>
    <bk>
      <extLst>
        <ext uri="{3e2802c4-a4d2-4d8b-9148-e3be6c30e623}">
          <xlrd:rvb i="1627"/>
        </ext>
      </extLst>
    </bk>
    <bk>
      <extLst>
        <ext uri="{3e2802c4-a4d2-4d8b-9148-e3be6c30e623}">
          <xlrd:rvb i="1628"/>
        </ext>
      </extLst>
    </bk>
    <bk>
      <extLst>
        <ext uri="{3e2802c4-a4d2-4d8b-9148-e3be6c30e623}">
          <xlrd:rvb i="1629"/>
        </ext>
      </extLst>
    </bk>
    <bk>
      <extLst>
        <ext uri="{3e2802c4-a4d2-4d8b-9148-e3be6c30e623}">
          <xlrd:rvb i="1630"/>
        </ext>
      </extLst>
    </bk>
    <bk>
      <extLst>
        <ext uri="{3e2802c4-a4d2-4d8b-9148-e3be6c30e623}">
          <xlrd:rvb i="1631"/>
        </ext>
      </extLst>
    </bk>
    <bk>
      <extLst>
        <ext uri="{3e2802c4-a4d2-4d8b-9148-e3be6c30e623}">
          <xlrd:rvb i="1632"/>
        </ext>
      </extLst>
    </bk>
    <bk>
      <extLst>
        <ext uri="{3e2802c4-a4d2-4d8b-9148-e3be6c30e623}">
          <xlrd:rvb i="1633"/>
        </ext>
      </extLst>
    </bk>
    <bk>
      <extLst>
        <ext uri="{3e2802c4-a4d2-4d8b-9148-e3be6c30e623}">
          <xlrd:rvb i="1634"/>
        </ext>
      </extLst>
    </bk>
    <bk>
      <extLst>
        <ext uri="{3e2802c4-a4d2-4d8b-9148-e3be6c30e623}">
          <xlrd:rvb i="1635"/>
        </ext>
      </extLst>
    </bk>
    <bk>
      <extLst>
        <ext uri="{3e2802c4-a4d2-4d8b-9148-e3be6c30e623}">
          <xlrd:rvb i="1636"/>
        </ext>
      </extLst>
    </bk>
    <bk>
      <extLst>
        <ext uri="{3e2802c4-a4d2-4d8b-9148-e3be6c30e623}">
          <xlrd:rvb i="1637"/>
        </ext>
      </extLst>
    </bk>
    <bk>
      <extLst>
        <ext uri="{3e2802c4-a4d2-4d8b-9148-e3be6c30e623}">
          <xlrd:rvb i="1638"/>
        </ext>
      </extLst>
    </bk>
    <bk>
      <extLst>
        <ext uri="{3e2802c4-a4d2-4d8b-9148-e3be6c30e623}">
          <xlrd:rvb i="1639"/>
        </ext>
      </extLst>
    </bk>
    <bk>
      <extLst>
        <ext uri="{3e2802c4-a4d2-4d8b-9148-e3be6c30e623}">
          <xlrd:rvb i="1640"/>
        </ext>
      </extLst>
    </bk>
    <bk>
      <extLst>
        <ext uri="{3e2802c4-a4d2-4d8b-9148-e3be6c30e623}">
          <xlrd:rvb i="1641"/>
        </ext>
      </extLst>
    </bk>
    <bk>
      <extLst>
        <ext uri="{3e2802c4-a4d2-4d8b-9148-e3be6c30e623}">
          <xlrd:rvb i="1642"/>
        </ext>
      </extLst>
    </bk>
    <bk>
      <extLst>
        <ext uri="{3e2802c4-a4d2-4d8b-9148-e3be6c30e623}">
          <xlrd:rvb i="1643"/>
        </ext>
      </extLst>
    </bk>
    <bk>
      <extLst>
        <ext uri="{3e2802c4-a4d2-4d8b-9148-e3be6c30e623}">
          <xlrd:rvb i="1644"/>
        </ext>
      </extLst>
    </bk>
    <bk>
      <extLst>
        <ext uri="{3e2802c4-a4d2-4d8b-9148-e3be6c30e623}">
          <xlrd:rvb i="1645"/>
        </ext>
      </extLst>
    </bk>
    <bk>
      <extLst>
        <ext uri="{3e2802c4-a4d2-4d8b-9148-e3be6c30e623}">
          <xlrd:rvb i="1646"/>
        </ext>
      </extLst>
    </bk>
    <bk>
      <extLst>
        <ext uri="{3e2802c4-a4d2-4d8b-9148-e3be6c30e623}">
          <xlrd:rvb i="1647"/>
        </ext>
      </extLst>
    </bk>
    <bk>
      <extLst>
        <ext uri="{3e2802c4-a4d2-4d8b-9148-e3be6c30e623}">
          <xlrd:rvb i="1648"/>
        </ext>
      </extLst>
    </bk>
    <bk>
      <extLst>
        <ext uri="{3e2802c4-a4d2-4d8b-9148-e3be6c30e623}">
          <xlrd:rvb i="1649"/>
        </ext>
      </extLst>
    </bk>
    <bk>
      <extLst>
        <ext uri="{3e2802c4-a4d2-4d8b-9148-e3be6c30e623}">
          <xlrd:rvb i="1650"/>
        </ext>
      </extLst>
    </bk>
    <bk>
      <extLst>
        <ext uri="{3e2802c4-a4d2-4d8b-9148-e3be6c30e623}">
          <xlrd:rvb i="1651"/>
        </ext>
      </extLst>
    </bk>
    <bk>
      <extLst>
        <ext uri="{3e2802c4-a4d2-4d8b-9148-e3be6c30e623}">
          <xlrd:rvb i="1652"/>
        </ext>
      </extLst>
    </bk>
    <bk>
      <extLst>
        <ext uri="{3e2802c4-a4d2-4d8b-9148-e3be6c30e623}">
          <xlrd:rvb i="1653"/>
        </ext>
      </extLst>
    </bk>
    <bk>
      <extLst>
        <ext uri="{3e2802c4-a4d2-4d8b-9148-e3be6c30e623}">
          <xlrd:rvb i="1654"/>
        </ext>
      </extLst>
    </bk>
    <bk>
      <extLst>
        <ext uri="{3e2802c4-a4d2-4d8b-9148-e3be6c30e623}">
          <xlrd:rvb i="1655"/>
        </ext>
      </extLst>
    </bk>
    <bk>
      <extLst>
        <ext uri="{3e2802c4-a4d2-4d8b-9148-e3be6c30e623}">
          <xlrd:rvb i="1656"/>
        </ext>
      </extLst>
    </bk>
    <bk>
      <extLst>
        <ext uri="{3e2802c4-a4d2-4d8b-9148-e3be6c30e623}">
          <xlrd:rvb i="1657"/>
        </ext>
      </extLst>
    </bk>
    <bk>
      <extLst>
        <ext uri="{3e2802c4-a4d2-4d8b-9148-e3be6c30e623}">
          <xlrd:rvb i="1658"/>
        </ext>
      </extLst>
    </bk>
    <bk>
      <extLst>
        <ext uri="{3e2802c4-a4d2-4d8b-9148-e3be6c30e623}">
          <xlrd:rvb i="1659"/>
        </ext>
      </extLst>
    </bk>
    <bk>
      <extLst>
        <ext uri="{3e2802c4-a4d2-4d8b-9148-e3be6c30e623}">
          <xlrd:rvb i="1660"/>
        </ext>
      </extLst>
    </bk>
    <bk>
      <extLst>
        <ext uri="{3e2802c4-a4d2-4d8b-9148-e3be6c30e623}">
          <xlrd:rvb i="1661"/>
        </ext>
      </extLst>
    </bk>
    <bk>
      <extLst>
        <ext uri="{3e2802c4-a4d2-4d8b-9148-e3be6c30e623}">
          <xlrd:rvb i="1662"/>
        </ext>
      </extLst>
    </bk>
    <bk>
      <extLst>
        <ext uri="{3e2802c4-a4d2-4d8b-9148-e3be6c30e623}">
          <xlrd:rvb i="1663"/>
        </ext>
      </extLst>
    </bk>
    <bk>
      <extLst>
        <ext uri="{3e2802c4-a4d2-4d8b-9148-e3be6c30e623}">
          <xlrd:rvb i="1664"/>
        </ext>
      </extLst>
    </bk>
    <bk>
      <extLst>
        <ext uri="{3e2802c4-a4d2-4d8b-9148-e3be6c30e623}">
          <xlrd:rvb i="1665"/>
        </ext>
      </extLst>
    </bk>
    <bk>
      <extLst>
        <ext uri="{3e2802c4-a4d2-4d8b-9148-e3be6c30e623}">
          <xlrd:rvb i="1666"/>
        </ext>
      </extLst>
    </bk>
    <bk>
      <extLst>
        <ext uri="{3e2802c4-a4d2-4d8b-9148-e3be6c30e623}">
          <xlrd:rvb i="1667"/>
        </ext>
      </extLst>
    </bk>
    <bk>
      <extLst>
        <ext uri="{3e2802c4-a4d2-4d8b-9148-e3be6c30e623}">
          <xlrd:rvb i="1668"/>
        </ext>
      </extLst>
    </bk>
    <bk>
      <extLst>
        <ext uri="{3e2802c4-a4d2-4d8b-9148-e3be6c30e623}">
          <xlrd:rvb i="1669"/>
        </ext>
      </extLst>
    </bk>
    <bk>
      <extLst>
        <ext uri="{3e2802c4-a4d2-4d8b-9148-e3be6c30e623}">
          <xlrd:rvb i="1670"/>
        </ext>
      </extLst>
    </bk>
    <bk>
      <extLst>
        <ext uri="{3e2802c4-a4d2-4d8b-9148-e3be6c30e623}">
          <xlrd:rvb i="1671"/>
        </ext>
      </extLst>
    </bk>
    <bk>
      <extLst>
        <ext uri="{3e2802c4-a4d2-4d8b-9148-e3be6c30e623}">
          <xlrd:rvb i="1672"/>
        </ext>
      </extLst>
    </bk>
    <bk>
      <extLst>
        <ext uri="{3e2802c4-a4d2-4d8b-9148-e3be6c30e623}">
          <xlrd:rvb i="1673"/>
        </ext>
      </extLst>
    </bk>
    <bk>
      <extLst>
        <ext uri="{3e2802c4-a4d2-4d8b-9148-e3be6c30e623}">
          <xlrd:rvb i="1674"/>
        </ext>
      </extLst>
    </bk>
    <bk>
      <extLst>
        <ext uri="{3e2802c4-a4d2-4d8b-9148-e3be6c30e623}">
          <xlrd:rvb i="1675"/>
        </ext>
      </extLst>
    </bk>
    <bk>
      <extLst>
        <ext uri="{3e2802c4-a4d2-4d8b-9148-e3be6c30e623}">
          <xlrd:rvb i="1676"/>
        </ext>
      </extLst>
    </bk>
    <bk>
      <extLst>
        <ext uri="{3e2802c4-a4d2-4d8b-9148-e3be6c30e623}">
          <xlrd:rvb i="1677"/>
        </ext>
      </extLst>
    </bk>
    <bk>
      <extLst>
        <ext uri="{3e2802c4-a4d2-4d8b-9148-e3be6c30e623}">
          <xlrd:rvb i="1678"/>
        </ext>
      </extLst>
    </bk>
    <bk>
      <extLst>
        <ext uri="{3e2802c4-a4d2-4d8b-9148-e3be6c30e623}">
          <xlrd:rvb i="1679"/>
        </ext>
      </extLst>
    </bk>
    <bk>
      <extLst>
        <ext uri="{3e2802c4-a4d2-4d8b-9148-e3be6c30e623}">
          <xlrd:rvb i="1680"/>
        </ext>
      </extLst>
    </bk>
    <bk>
      <extLst>
        <ext uri="{3e2802c4-a4d2-4d8b-9148-e3be6c30e623}">
          <xlrd:rvb i="1681"/>
        </ext>
      </extLst>
    </bk>
    <bk>
      <extLst>
        <ext uri="{3e2802c4-a4d2-4d8b-9148-e3be6c30e623}">
          <xlrd:rvb i="1682"/>
        </ext>
      </extLst>
    </bk>
    <bk>
      <extLst>
        <ext uri="{3e2802c4-a4d2-4d8b-9148-e3be6c30e623}">
          <xlrd:rvb i="1683"/>
        </ext>
      </extLst>
    </bk>
    <bk>
      <extLst>
        <ext uri="{3e2802c4-a4d2-4d8b-9148-e3be6c30e623}">
          <xlrd:rvb i="1684"/>
        </ext>
      </extLst>
    </bk>
    <bk>
      <extLst>
        <ext uri="{3e2802c4-a4d2-4d8b-9148-e3be6c30e623}">
          <xlrd:rvb i="1685"/>
        </ext>
      </extLst>
    </bk>
    <bk>
      <extLst>
        <ext uri="{3e2802c4-a4d2-4d8b-9148-e3be6c30e623}">
          <xlrd:rvb i="1686"/>
        </ext>
      </extLst>
    </bk>
    <bk>
      <extLst>
        <ext uri="{3e2802c4-a4d2-4d8b-9148-e3be6c30e623}">
          <xlrd:rvb i="1687"/>
        </ext>
      </extLst>
    </bk>
    <bk>
      <extLst>
        <ext uri="{3e2802c4-a4d2-4d8b-9148-e3be6c30e623}">
          <xlrd:rvb i="1688"/>
        </ext>
      </extLst>
    </bk>
    <bk>
      <extLst>
        <ext uri="{3e2802c4-a4d2-4d8b-9148-e3be6c30e623}">
          <xlrd:rvb i="1689"/>
        </ext>
      </extLst>
    </bk>
    <bk>
      <extLst>
        <ext uri="{3e2802c4-a4d2-4d8b-9148-e3be6c30e623}">
          <xlrd:rvb i="1690"/>
        </ext>
      </extLst>
    </bk>
    <bk>
      <extLst>
        <ext uri="{3e2802c4-a4d2-4d8b-9148-e3be6c30e623}">
          <xlrd:rvb i="1691"/>
        </ext>
      </extLst>
    </bk>
    <bk>
      <extLst>
        <ext uri="{3e2802c4-a4d2-4d8b-9148-e3be6c30e623}">
          <xlrd:rvb i="1692"/>
        </ext>
      </extLst>
    </bk>
    <bk>
      <extLst>
        <ext uri="{3e2802c4-a4d2-4d8b-9148-e3be6c30e623}">
          <xlrd:rvb i="1693"/>
        </ext>
      </extLst>
    </bk>
    <bk>
      <extLst>
        <ext uri="{3e2802c4-a4d2-4d8b-9148-e3be6c30e623}">
          <xlrd:rvb i="1694"/>
        </ext>
      </extLst>
    </bk>
    <bk>
      <extLst>
        <ext uri="{3e2802c4-a4d2-4d8b-9148-e3be6c30e623}">
          <xlrd:rvb i="1695"/>
        </ext>
      </extLst>
    </bk>
    <bk>
      <extLst>
        <ext uri="{3e2802c4-a4d2-4d8b-9148-e3be6c30e623}">
          <xlrd:rvb i="1696"/>
        </ext>
      </extLst>
    </bk>
    <bk>
      <extLst>
        <ext uri="{3e2802c4-a4d2-4d8b-9148-e3be6c30e623}">
          <xlrd:rvb i="1697"/>
        </ext>
      </extLst>
    </bk>
    <bk>
      <extLst>
        <ext uri="{3e2802c4-a4d2-4d8b-9148-e3be6c30e623}">
          <xlrd:rvb i="1698"/>
        </ext>
      </extLst>
    </bk>
    <bk>
      <extLst>
        <ext uri="{3e2802c4-a4d2-4d8b-9148-e3be6c30e623}">
          <xlrd:rvb i="1699"/>
        </ext>
      </extLst>
    </bk>
    <bk>
      <extLst>
        <ext uri="{3e2802c4-a4d2-4d8b-9148-e3be6c30e623}">
          <xlrd:rvb i="1700"/>
        </ext>
      </extLst>
    </bk>
    <bk>
      <extLst>
        <ext uri="{3e2802c4-a4d2-4d8b-9148-e3be6c30e623}">
          <xlrd:rvb i="1701"/>
        </ext>
      </extLst>
    </bk>
    <bk>
      <extLst>
        <ext uri="{3e2802c4-a4d2-4d8b-9148-e3be6c30e623}">
          <xlrd:rvb i="1702"/>
        </ext>
      </extLst>
    </bk>
    <bk>
      <extLst>
        <ext uri="{3e2802c4-a4d2-4d8b-9148-e3be6c30e623}">
          <xlrd:rvb i="1703"/>
        </ext>
      </extLst>
    </bk>
    <bk>
      <extLst>
        <ext uri="{3e2802c4-a4d2-4d8b-9148-e3be6c30e623}">
          <xlrd:rvb i="1704"/>
        </ext>
      </extLst>
    </bk>
    <bk>
      <extLst>
        <ext uri="{3e2802c4-a4d2-4d8b-9148-e3be6c30e623}">
          <xlrd:rvb i="1705"/>
        </ext>
      </extLst>
    </bk>
    <bk>
      <extLst>
        <ext uri="{3e2802c4-a4d2-4d8b-9148-e3be6c30e623}">
          <xlrd:rvb i="1706"/>
        </ext>
      </extLst>
    </bk>
    <bk>
      <extLst>
        <ext uri="{3e2802c4-a4d2-4d8b-9148-e3be6c30e623}">
          <xlrd:rvb i="1707"/>
        </ext>
      </extLst>
    </bk>
    <bk>
      <extLst>
        <ext uri="{3e2802c4-a4d2-4d8b-9148-e3be6c30e623}">
          <xlrd:rvb i="1708"/>
        </ext>
      </extLst>
    </bk>
    <bk>
      <extLst>
        <ext uri="{3e2802c4-a4d2-4d8b-9148-e3be6c30e623}">
          <xlrd:rvb i="1709"/>
        </ext>
      </extLst>
    </bk>
    <bk>
      <extLst>
        <ext uri="{3e2802c4-a4d2-4d8b-9148-e3be6c30e623}">
          <xlrd:rvb i="1710"/>
        </ext>
      </extLst>
    </bk>
    <bk>
      <extLst>
        <ext uri="{3e2802c4-a4d2-4d8b-9148-e3be6c30e623}">
          <xlrd:rvb i="1711"/>
        </ext>
      </extLst>
    </bk>
    <bk>
      <extLst>
        <ext uri="{3e2802c4-a4d2-4d8b-9148-e3be6c30e623}">
          <xlrd:rvb i="1712"/>
        </ext>
      </extLst>
    </bk>
    <bk>
      <extLst>
        <ext uri="{3e2802c4-a4d2-4d8b-9148-e3be6c30e623}">
          <xlrd:rvb i="1713"/>
        </ext>
      </extLst>
    </bk>
    <bk>
      <extLst>
        <ext uri="{3e2802c4-a4d2-4d8b-9148-e3be6c30e623}">
          <xlrd:rvb i="1714"/>
        </ext>
      </extLst>
    </bk>
    <bk>
      <extLst>
        <ext uri="{3e2802c4-a4d2-4d8b-9148-e3be6c30e623}">
          <xlrd:rvb i="1715"/>
        </ext>
      </extLst>
    </bk>
    <bk>
      <extLst>
        <ext uri="{3e2802c4-a4d2-4d8b-9148-e3be6c30e623}">
          <xlrd:rvb i="1716"/>
        </ext>
      </extLst>
    </bk>
    <bk>
      <extLst>
        <ext uri="{3e2802c4-a4d2-4d8b-9148-e3be6c30e623}">
          <xlrd:rvb i="1717"/>
        </ext>
      </extLst>
    </bk>
    <bk>
      <extLst>
        <ext uri="{3e2802c4-a4d2-4d8b-9148-e3be6c30e623}">
          <xlrd:rvb i="1718"/>
        </ext>
      </extLst>
    </bk>
    <bk>
      <extLst>
        <ext uri="{3e2802c4-a4d2-4d8b-9148-e3be6c30e623}">
          <xlrd:rvb i="1719"/>
        </ext>
      </extLst>
    </bk>
    <bk>
      <extLst>
        <ext uri="{3e2802c4-a4d2-4d8b-9148-e3be6c30e623}">
          <xlrd:rvb i="1720"/>
        </ext>
      </extLst>
    </bk>
    <bk>
      <extLst>
        <ext uri="{3e2802c4-a4d2-4d8b-9148-e3be6c30e623}">
          <xlrd:rvb i="1721"/>
        </ext>
      </extLst>
    </bk>
    <bk>
      <extLst>
        <ext uri="{3e2802c4-a4d2-4d8b-9148-e3be6c30e623}">
          <xlrd:rvb i="1722"/>
        </ext>
      </extLst>
    </bk>
    <bk>
      <extLst>
        <ext uri="{3e2802c4-a4d2-4d8b-9148-e3be6c30e623}">
          <xlrd:rvb i="1723"/>
        </ext>
      </extLst>
    </bk>
    <bk>
      <extLst>
        <ext uri="{3e2802c4-a4d2-4d8b-9148-e3be6c30e623}">
          <xlrd:rvb i="1724"/>
        </ext>
      </extLst>
    </bk>
    <bk>
      <extLst>
        <ext uri="{3e2802c4-a4d2-4d8b-9148-e3be6c30e623}">
          <xlrd:rvb i="1725"/>
        </ext>
      </extLst>
    </bk>
    <bk>
      <extLst>
        <ext uri="{3e2802c4-a4d2-4d8b-9148-e3be6c30e623}">
          <xlrd:rvb i="1726"/>
        </ext>
      </extLst>
    </bk>
    <bk>
      <extLst>
        <ext uri="{3e2802c4-a4d2-4d8b-9148-e3be6c30e623}">
          <xlrd:rvb i="1727"/>
        </ext>
      </extLst>
    </bk>
    <bk>
      <extLst>
        <ext uri="{3e2802c4-a4d2-4d8b-9148-e3be6c30e623}">
          <xlrd:rvb i="1728"/>
        </ext>
      </extLst>
    </bk>
    <bk>
      <extLst>
        <ext uri="{3e2802c4-a4d2-4d8b-9148-e3be6c30e623}">
          <xlrd:rvb i="1729"/>
        </ext>
      </extLst>
    </bk>
    <bk>
      <extLst>
        <ext uri="{3e2802c4-a4d2-4d8b-9148-e3be6c30e623}">
          <xlrd:rvb i="1730"/>
        </ext>
      </extLst>
    </bk>
    <bk>
      <extLst>
        <ext uri="{3e2802c4-a4d2-4d8b-9148-e3be6c30e623}">
          <xlrd:rvb i="1731"/>
        </ext>
      </extLst>
    </bk>
    <bk>
      <extLst>
        <ext uri="{3e2802c4-a4d2-4d8b-9148-e3be6c30e623}">
          <xlrd:rvb i="1732"/>
        </ext>
      </extLst>
    </bk>
    <bk>
      <extLst>
        <ext uri="{3e2802c4-a4d2-4d8b-9148-e3be6c30e623}">
          <xlrd:rvb i="1733"/>
        </ext>
      </extLst>
    </bk>
    <bk>
      <extLst>
        <ext uri="{3e2802c4-a4d2-4d8b-9148-e3be6c30e623}">
          <xlrd:rvb i="1734"/>
        </ext>
      </extLst>
    </bk>
    <bk>
      <extLst>
        <ext uri="{3e2802c4-a4d2-4d8b-9148-e3be6c30e623}">
          <xlrd:rvb i="1735"/>
        </ext>
      </extLst>
    </bk>
    <bk>
      <extLst>
        <ext uri="{3e2802c4-a4d2-4d8b-9148-e3be6c30e623}">
          <xlrd:rvb i="1736"/>
        </ext>
      </extLst>
    </bk>
    <bk>
      <extLst>
        <ext uri="{3e2802c4-a4d2-4d8b-9148-e3be6c30e623}">
          <xlrd:rvb i="1737"/>
        </ext>
      </extLst>
    </bk>
    <bk>
      <extLst>
        <ext uri="{3e2802c4-a4d2-4d8b-9148-e3be6c30e623}">
          <xlrd:rvb i="1738"/>
        </ext>
      </extLst>
    </bk>
    <bk>
      <extLst>
        <ext uri="{3e2802c4-a4d2-4d8b-9148-e3be6c30e623}">
          <xlrd:rvb i="1739"/>
        </ext>
      </extLst>
    </bk>
    <bk>
      <extLst>
        <ext uri="{3e2802c4-a4d2-4d8b-9148-e3be6c30e623}">
          <xlrd:rvb i="1740"/>
        </ext>
      </extLst>
    </bk>
    <bk>
      <extLst>
        <ext uri="{3e2802c4-a4d2-4d8b-9148-e3be6c30e623}">
          <xlrd:rvb i="1741"/>
        </ext>
      </extLst>
    </bk>
    <bk>
      <extLst>
        <ext uri="{3e2802c4-a4d2-4d8b-9148-e3be6c30e623}">
          <xlrd:rvb i="1742"/>
        </ext>
      </extLst>
    </bk>
    <bk>
      <extLst>
        <ext uri="{3e2802c4-a4d2-4d8b-9148-e3be6c30e623}">
          <xlrd:rvb i="1743"/>
        </ext>
      </extLst>
    </bk>
    <bk>
      <extLst>
        <ext uri="{3e2802c4-a4d2-4d8b-9148-e3be6c30e623}">
          <xlrd:rvb i="1744"/>
        </ext>
      </extLst>
    </bk>
    <bk>
      <extLst>
        <ext uri="{3e2802c4-a4d2-4d8b-9148-e3be6c30e623}">
          <xlrd:rvb i="1745"/>
        </ext>
      </extLst>
    </bk>
    <bk>
      <extLst>
        <ext uri="{3e2802c4-a4d2-4d8b-9148-e3be6c30e623}">
          <xlrd:rvb i="1746"/>
        </ext>
      </extLst>
    </bk>
    <bk>
      <extLst>
        <ext uri="{3e2802c4-a4d2-4d8b-9148-e3be6c30e623}">
          <xlrd:rvb i="1747"/>
        </ext>
      </extLst>
    </bk>
    <bk>
      <extLst>
        <ext uri="{3e2802c4-a4d2-4d8b-9148-e3be6c30e623}">
          <xlrd:rvb i="1748"/>
        </ext>
      </extLst>
    </bk>
    <bk>
      <extLst>
        <ext uri="{3e2802c4-a4d2-4d8b-9148-e3be6c30e623}">
          <xlrd:rvb i="1749"/>
        </ext>
      </extLst>
    </bk>
    <bk>
      <extLst>
        <ext uri="{3e2802c4-a4d2-4d8b-9148-e3be6c30e623}">
          <xlrd:rvb i="1750"/>
        </ext>
      </extLst>
    </bk>
    <bk>
      <extLst>
        <ext uri="{3e2802c4-a4d2-4d8b-9148-e3be6c30e623}">
          <xlrd:rvb i="1751"/>
        </ext>
      </extLst>
    </bk>
    <bk>
      <extLst>
        <ext uri="{3e2802c4-a4d2-4d8b-9148-e3be6c30e623}">
          <xlrd:rvb i="1752"/>
        </ext>
      </extLst>
    </bk>
    <bk>
      <extLst>
        <ext uri="{3e2802c4-a4d2-4d8b-9148-e3be6c30e623}">
          <xlrd:rvb i="1753"/>
        </ext>
      </extLst>
    </bk>
    <bk>
      <extLst>
        <ext uri="{3e2802c4-a4d2-4d8b-9148-e3be6c30e623}">
          <xlrd:rvb i="1754"/>
        </ext>
      </extLst>
    </bk>
    <bk>
      <extLst>
        <ext uri="{3e2802c4-a4d2-4d8b-9148-e3be6c30e623}">
          <xlrd:rvb i="1755"/>
        </ext>
      </extLst>
    </bk>
    <bk>
      <extLst>
        <ext uri="{3e2802c4-a4d2-4d8b-9148-e3be6c30e623}">
          <xlrd:rvb i="1756"/>
        </ext>
      </extLst>
    </bk>
    <bk>
      <extLst>
        <ext uri="{3e2802c4-a4d2-4d8b-9148-e3be6c30e623}">
          <xlrd:rvb i="1757"/>
        </ext>
      </extLst>
    </bk>
    <bk>
      <extLst>
        <ext uri="{3e2802c4-a4d2-4d8b-9148-e3be6c30e623}">
          <xlrd:rvb i="1758"/>
        </ext>
      </extLst>
    </bk>
    <bk>
      <extLst>
        <ext uri="{3e2802c4-a4d2-4d8b-9148-e3be6c30e623}">
          <xlrd:rvb i="1759"/>
        </ext>
      </extLst>
    </bk>
    <bk>
      <extLst>
        <ext uri="{3e2802c4-a4d2-4d8b-9148-e3be6c30e623}">
          <xlrd:rvb i="1760"/>
        </ext>
      </extLst>
    </bk>
    <bk>
      <extLst>
        <ext uri="{3e2802c4-a4d2-4d8b-9148-e3be6c30e623}">
          <xlrd:rvb i="1761"/>
        </ext>
      </extLst>
    </bk>
    <bk>
      <extLst>
        <ext uri="{3e2802c4-a4d2-4d8b-9148-e3be6c30e623}">
          <xlrd:rvb i="1762"/>
        </ext>
      </extLst>
    </bk>
    <bk>
      <extLst>
        <ext uri="{3e2802c4-a4d2-4d8b-9148-e3be6c30e623}">
          <xlrd:rvb i="1763"/>
        </ext>
      </extLst>
    </bk>
    <bk>
      <extLst>
        <ext uri="{3e2802c4-a4d2-4d8b-9148-e3be6c30e623}">
          <xlrd:rvb i="1764"/>
        </ext>
      </extLst>
    </bk>
    <bk>
      <extLst>
        <ext uri="{3e2802c4-a4d2-4d8b-9148-e3be6c30e623}">
          <xlrd:rvb i="1765"/>
        </ext>
      </extLst>
    </bk>
    <bk>
      <extLst>
        <ext uri="{3e2802c4-a4d2-4d8b-9148-e3be6c30e623}">
          <xlrd:rvb i="1766"/>
        </ext>
      </extLst>
    </bk>
    <bk>
      <extLst>
        <ext uri="{3e2802c4-a4d2-4d8b-9148-e3be6c30e623}">
          <xlrd:rvb i="1767"/>
        </ext>
      </extLst>
    </bk>
    <bk>
      <extLst>
        <ext uri="{3e2802c4-a4d2-4d8b-9148-e3be6c30e623}">
          <xlrd:rvb i="1768"/>
        </ext>
      </extLst>
    </bk>
    <bk>
      <extLst>
        <ext uri="{3e2802c4-a4d2-4d8b-9148-e3be6c30e623}">
          <xlrd:rvb i="1769"/>
        </ext>
      </extLst>
    </bk>
    <bk>
      <extLst>
        <ext uri="{3e2802c4-a4d2-4d8b-9148-e3be6c30e623}">
          <xlrd:rvb i="1770"/>
        </ext>
      </extLst>
    </bk>
    <bk>
      <extLst>
        <ext uri="{3e2802c4-a4d2-4d8b-9148-e3be6c30e623}">
          <xlrd:rvb i="1771"/>
        </ext>
      </extLst>
    </bk>
    <bk>
      <extLst>
        <ext uri="{3e2802c4-a4d2-4d8b-9148-e3be6c30e623}">
          <xlrd:rvb i="1772"/>
        </ext>
      </extLst>
    </bk>
    <bk>
      <extLst>
        <ext uri="{3e2802c4-a4d2-4d8b-9148-e3be6c30e623}">
          <xlrd:rvb i="1773"/>
        </ext>
      </extLst>
    </bk>
    <bk>
      <extLst>
        <ext uri="{3e2802c4-a4d2-4d8b-9148-e3be6c30e623}">
          <xlrd:rvb i="1774"/>
        </ext>
      </extLst>
    </bk>
    <bk>
      <extLst>
        <ext uri="{3e2802c4-a4d2-4d8b-9148-e3be6c30e623}">
          <xlrd:rvb i="1775"/>
        </ext>
      </extLst>
    </bk>
    <bk>
      <extLst>
        <ext uri="{3e2802c4-a4d2-4d8b-9148-e3be6c30e623}">
          <xlrd:rvb i="1776"/>
        </ext>
      </extLst>
    </bk>
    <bk>
      <extLst>
        <ext uri="{3e2802c4-a4d2-4d8b-9148-e3be6c30e623}">
          <xlrd:rvb i="1777"/>
        </ext>
      </extLst>
    </bk>
    <bk>
      <extLst>
        <ext uri="{3e2802c4-a4d2-4d8b-9148-e3be6c30e623}">
          <xlrd:rvb i="1778"/>
        </ext>
      </extLst>
    </bk>
    <bk>
      <extLst>
        <ext uri="{3e2802c4-a4d2-4d8b-9148-e3be6c30e623}">
          <xlrd:rvb i="1779"/>
        </ext>
      </extLst>
    </bk>
    <bk>
      <extLst>
        <ext uri="{3e2802c4-a4d2-4d8b-9148-e3be6c30e623}">
          <xlrd:rvb i="1780"/>
        </ext>
      </extLst>
    </bk>
    <bk>
      <extLst>
        <ext uri="{3e2802c4-a4d2-4d8b-9148-e3be6c30e623}">
          <xlrd:rvb i="1781"/>
        </ext>
      </extLst>
    </bk>
    <bk>
      <extLst>
        <ext uri="{3e2802c4-a4d2-4d8b-9148-e3be6c30e623}">
          <xlrd:rvb i="1782"/>
        </ext>
      </extLst>
    </bk>
    <bk>
      <extLst>
        <ext uri="{3e2802c4-a4d2-4d8b-9148-e3be6c30e623}">
          <xlrd:rvb i="1783"/>
        </ext>
      </extLst>
    </bk>
    <bk>
      <extLst>
        <ext uri="{3e2802c4-a4d2-4d8b-9148-e3be6c30e623}">
          <xlrd:rvb i="1784"/>
        </ext>
      </extLst>
    </bk>
    <bk>
      <extLst>
        <ext uri="{3e2802c4-a4d2-4d8b-9148-e3be6c30e623}">
          <xlrd:rvb i="1785"/>
        </ext>
      </extLst>
    </bk>
    <bk>
      <extLst>
        <ext uri="{3e2802c4-a4d2-4d8b-9148-e3be6c30e623}">
          <xlrd:rvb i="1786"/>
        </ext>
      </extLst>
    </bk>
    <bk>
      <extLst>
        <ext uri="{3e2802c4-a4d2-4d8b-9148-e3be6c30e623}">
          <xlrd:rvb i="1787"/>
        </ext>
      </extLst>
    </bk>
    <bk>
      <extLst>
        <ext uri="{3e2802c4-a4d2-4d8b-9148-e3be6c30e623}">
          <xlrd:rvb i="1788"/>
        </ext>
      </extLst>
    </bk>
    <bk>
      <extLst>
        <ext uri="{3e2802c4-a4d2-4d8b-9148-e3be6c30e623}">
          <xlrd:rvb i="1789"/>
        </ext>
      </extLst>
    </bk>
    <bk>
      <extLst>
        <ext uri="{3e2802c4-a4d2-4d8b-9148-e3be6c30e623}">
          <xlrd:rvb i="1790"/>
        </ext>
      </extLst>
    </bk>
    <bk>
      <extLst>
        <ext uri="{3e2802c4-a4d2-4d8b-9148-e3be6c30e623}">
          <xlrd:rvb i="1791"/>
        </ext>
      </extLst>
    </bk>
    <bk>
      <extLst>
        <ext uri="{3e2802c4-a4d2-4d8b-9148-e3be6c30e623}">
          <xlrd:rvb i="1792"/>
        </ext>
      </extLst>
    </bk>
    <bk>
      <extLst>
        <ext uri="{3e2802c4-a4d2-4d8b-9148-e3be6c30e623}">
          <xlrd:rvb i="1793"/>
        </ext>
      </extLst>
    </bk>
    <bk>
      <extLst>
        <ext uri="{3e2802c4-a4d2-4d8b-9148-e3be6c30e623}">
          <xlrd:rvb i="1794"/>
        </ext>
      </extLst>
    </bk>
    <bk>
      <extLst>
        <ext uri="{3e2802c4-a4d2-4d8b-9148-e3be6c30e623}">
          <xlrd:rvb i="1795"/>
        </ext>
      </extLst>
    </bk>
    <bk>
      <extLst>
        <ext uri="{3e2802c4-a4d2-4d8b-9148-e3be6c30e623}">
          <xlrd:rvb i="1796"/>
        </ext>
      </extLst>
    </bk>
    <bk>
      <extLst>
        <ext uri="{3e2802c4-a4d2-4d8b-9148-e3be6c30e623}">
          <xlrd:rvb i="1797"/>
        </ext>
      </extLst>
    </bk>
    <bk>
      <extLst>
        <ext uri="{3e2802c4-a4d2-4d8b-9148-e3be6c30e623}">
          <xlrd:rvb i="1798"/>
        </ext>
      </extLst>
    </bk>
    <bk>
      <extLst>
        <ext uri="{3e2802c4-a4d2-4d8b-9148-e3be6c30e623}">
          <xlrd:rvb i="1799"/>
        </ext>
      </extLst>
    </bk>
    <bk>
      <extLst>
        <ext uri="{3e2802c4-a4d2-4d8b-9148-e3be6c30e623}">
          <xlrd:rvb i="1800"/>
        </ext>
      </extLst>
    </bk>
    <bk>
      <extLst>
        <ext uri="{3e2802c4-a4d2-4d8b-9148-e3be6c30e623}">
          <xlrd:rvb i="1801"/>
        </ext>
      </extLst>
    </bk>
    <bk>
      <extLst>
        <ext uri="{3e2802c4-a4d2-4d8b-9148-e3be6c30e623}">
          <xlrd:rvb i="1802"/>
        </ext>
      </extLst>
    </bk>
    <bk>
      <extLst>
        <ext uri="{3e2802c4-a4d2-4d8b-9148-e3be6c30e623}">
          <xlrd:rvb i="1803"/>
        </ext>
      </extLst>
    </bk>
    <bk>
      <extLst>
        <ext uri="{3e2802c4-a4d2-4d8b-9148-e3be6c30e623}">
          <xlrd:rvb i="1804"/>
        </ext>
      </extLst>
    </bk>
    <bk>
      <extLst>
        <ext uri="{3e2802c4-a4d2-4d8b-9148-e3be6c30e623}">
          <xlrd:rvb i="1805"/>
        </ext>
      </extLst>
    </bk>
    <bk>
      <extLst>
        <ext uri="{3e2802c4-a4d2-4d8b-9148-e3be6c30e623}">
          <xlrd:rvb i="1806"/>
        </ext>
      </extLst>
    </bk>
    <bk>
      <extLst>
        <ext uri="{3e2802c4-a4d2-4d8b-9148-e3be6c30e623}">
          <xlrd:rvb i="1807"/>
        </ext>
      </extLst>
    </bk>
    <bk>
      <extLst>
        <ext uri="{3e2802c4-a4d2-4d8b-9148-e3be6c30e623}">
          <xlrd:rvb i="1808"/>
        </ext>
      </extLst>
    </bk>
    <bk>
      <extLst>
        <ext uri="{3e2802c4-a4d2-4d8b-9148-e3be6c30e623}">
          <xlrd:rvb i="1809"/>
        </ext>
      </extLst>
    </bk>
    <bk>
      <extLst>
        <ext uri="{3e2802c4-a4d2-4d8b-9148-e3be6c30e623}">
          <xlrd:rvb i="1810"/>
        </ext>
      </extLst>
    </bk>
    <bk>
      <extLst>
        <ext uri="{3e2802c4-a4d2-4d8b-9148-e3be6c30e623}">
          <xlrd:rvb i="1811"/>
        </ext>
      </extLst>
    </bk>
    <bk>
      <extLst>
        <ext uri="{3e2802c4-a4d2-4d8b-9148-e3be6c30e623}">
          <xlrd:rvb i="1812"/>
        </ext>
      </extLst>
    </bk>
    <bk>
      <extLst>
        <ext uri="{3e2802c4-a4d2-4d8b-9148-e3be6c30e623}">
          <xlrd:rvb i="1813"/>
        </ext>
      </extLst>
    </bk>
    <bk>
      <extLst>
        <ext uri="{3e2802c4-a4d2-4d8b-9148-e3be6c30e623}">
          <xlrd:rvb i="1814"/>
        </ext>
      </extLst>
    </bk>
    <bk>
      <extLst>
        <ext uri="{3e2802c4-a4d2-4d8b-9148-e3be6c30e623}">
          <xlrd:rvb i="1815"/>
        </ext>
      </extLst>
    </bk>
    <bk>
      <extLst>
        <ext uri="{3e2802c4-a4d2-4d8b-9148-e3be6c30e623}">
          <xlrd:rvb i="1816"/>
        </ext>
      </extLst>
    </bk>
    <bk>
      <extLst>
        <ext uri="{3e2802c4-a4d2-4d8b-9148-e3be6c30e623}">
          <xlrd:rvb i="1817"/>
        </ext>
      </extLst>
    </bk>
    <bk>
      <extLst>
        <ext uri="{3e2802c4-a4d2-4d8b-9148-e3be6c30e623}">
          <xlrd:rvb i="1818"/>
        </ext>
      </extLst>
    </bk>
    <bk>
      <extLst>
        <ext uri="{3e2802c4-a4d2-4d8b-9148-e3be6c30e623}">
          <xlrd:rvb i="1819"/>
        </ext>
      </extLst>
    </bk>
    <bk>
      <extLst>
        <ext uri="{3e2802c4-a4d2-4d8b-9148-e3be6c30e623}">
          <xlrd:rvb i="1820"/>
        </ext>
      </extLst>
    </bk>
    <bk>
      <extLst>
        <ext uri="{3e2802c4-a4d2-4d8b-9148-e3be6c30e623}">
          <xlrd:rvb i="1821"/>
        </ext>
      </extLst>
    </bk>
    <bk>
      <extLst>
        <ext uri="{3e2802c4-a4d2-4d8b-9148-e3be6c30e623}">
          <xlrd:rvb i="1822"/>
        </ext>
      </extLst>
    </bk>
    <bk>
      <extLst>
        <ext uri="{3e2802c4-a4d2-4d8b-9148-e3be6c30e623}">
          <xlrd:rvb i="1823"/>
        </ext>
      </extLst>
    </bk>
    <bk>
      <extLst>
        <ext uri="{3e2802c4-a4d2-4d8b-9148-e3be6c30e623}">
          <xlrd:rvb i="1824"/>
        </ext>
      </extLst>
    </bk>
    <bk>
      <extLst>
        <ext uri="{3e2802c4-a4d2-4d8b-9148-e3be6c30e623}">
          <xlrd:rvb i="1825"/>
        </ext>
      </extLst>
    </bk>
    <bk>
      <extLst>
        <ext uri="{3e2802c4-a4d2-4d8b-9148-e3be6c30e623}">
          <xlrd:rvb i="1826"/>
        </ext>
      </extLst>
    </bk>
    <bk>
      <extLst>
        <ext uri="{3e2802c4-a4d2-4d8b-9148-e3be6c30e623}">
          <xlrd:rvb i="1827"/>
        </ext>
      </extLst>
    </bk>
    <bk>
      <extLst>
        <ext uri="{3e2802c4-a4d2-4d8b-9148-e3be6c30e623}">
          <xlrd:rvb i="1828"/>
        </ext>
      </extLst>
    </bk>
    <bk>
      <extLst>
        <ext uri="{3e2802c4-a4d2-4d8b-9148-e3be6c30e623}">
          <xlrd:rvb i="1829"/>
        </ext>
      </extLst>
    </bk>
    <bk>
      <extLst>
        <ext uri="{3e2802c4-a4d2-4d8b-9148-e3be6c30e623}">
          <xlrd:rvb i="1830"/>
        </ext>
      </extLst>
    </bk>
    <bk>
      <extLst>
        <ext uri="{3e2802c4-a4d2-4d8b-9148-e3be6c30e623}">
          <xlrd:rvb i="1831"/>
        </ext>
      </extLst>
    </bk>
    <bk>
      <extLst>
        <ext uri="{3e2802c4-a4d2-4d8b-9148-e3be6c30e623}">
          <xlrd:rvb i="1832"/>
        </ext>
      </extLst>
    </bk>
    <bk>
      <extLst>
        <ext uri="{3e2802c4-a4d2-4d8b-9148-e3be6c30e623}">
          <xlrd:rvb i="1833"/>
        </ext>
      </extLst>
    </bk>
    <bk>
      <extLst>
        <ext uri="{3e2802c4-a4d2-4d8b-9148-e3be6c30e623}">
          <xlrd:rvb i="1834"/>
        </ext>
      </extLst>
    </bk>
    <bk>
      <extLst>
        <ext uri="{3e2802c4-a4d2-4d8b-9148-e3be6c30e623}">
          <xlrd:rvb i="1835"/>
        </ext>
      </extLst>
    </bk>
    <bk>
      <extLst>
        <ext uri="{3e2802c4-a4d2-4d8b-9148-e3be6c30e623}">
          <xlrd:rvb i="1836"/>
        </ext>
      </extLst>
    </bk>
    <bk>
      <extLst>
        <ext uri="{3e2802c4-a4d2-4d8b-9148-e3be6c30e623}">
          <xlrd:rvb i="1837"/>
        </ext>
      </extLst>
    </bk>
    <bk>
      <extLst>
        <ext uri="{3e2802c4-a4d2-4d8b-9148-e3be6c30e623}">
          <xlrd:rvb i="1838"/>
        </ext>
      </extLst>
    </bk>
    <bk>
      <extLst>
        <ext uri="{3e2802c4-a4d2-4d8b-9148-e3be6c30e623}">
          <xlrd:rvb i="1839"/>
        </ext>
      </extLst>
    </bk>
    <bk>
      <extLst>
        <ext uri="{3e2802c4-a4d2-4d8b-9148-e3be6c30e623}">
          <xlrd:rvb i="1840"/>
        </ext>
      </extLst>
    </bk>
    <bk>
      <extLst>
        <ext uri="{3e2802c4-a4d2-4d8b-9148-e3be6c30e623}">
          <xlrd:rvb i="1841"/>
        </ext>
      </extLst>
    </bk>
    <bk>
      <extLst>
        <ext uri="{3e2802c4-a4d2-4d8b-9148-e3be6c30e623}">
          <xlrd:rvb i="1842"/>
        </ext>
      </extLst>
    </bk>
    <bk>
      <extLst>
        <ext uri="{3e2802c4-a4d2-4d8b-9148-e3be6c30e623}">
          <xlrd:rvb i="1843"/>
        </ext>
      </extLst>
    </bk>
    <bk>
      <extLst>
        <ext uri="{3e2802c4-a4d2-4d8b-9148-e3be6c30e623}">
          <xlrd:rvb i="1844"/>
        </ext>
      </extLst>
    </bk>
    <bk>
      <extLst>
        <ext uri="{3e2802c4-a4d2-4d8b-9148-e3be6c30e623}">
          <xlrd:rvb i="1845"/>
        </ext>
      </extLst>
    </bk>
    <bk>
      <extLst>
        <ext uri="{3e2802c4-a4d2-4d8b-9148-e3be6c30e623}">
          <xlrd:rvb i="1846"/>
        </ext>
      </extLst>
    </bk>
    <bk>
      <extLst>
        <ext uri="{3e2802c4-a4d2-4d8b-9148-e3be6c30e623}">
          <xlrd:rvb i="1847"/>
        </ext>
      </extLst>
    </bk>
    <bk>
      <extLst>
        <ext uri="{3e2802c4-a4d2-4d8b-9148-e3be6c30e623}">
          <xlrd:rvb i="1848"/>
        </ext>
      </extLst>
    </bk>
    <bk>
      <extLst>
        <ext uri="{3e2802c4-a4d2-4d8b-9148-e3be6c30e623}">
          <xlrd:rvb i="1849"/>
        </ext>
      </extLst>
    </bk>
    <bk>
      <extLst>
        <ext uri="{3e2802c4-a4d2-4d8b-9148-e3be6c30e623}">
          <xlrd:rvb i="1850"/>
        </ext>
      </extLst>
    </bk>
    <bk>
      <extLst>
        <ext uri="{3e2802c4-a4d2-4d8b-9148-e3be6c30e623}">
          <xlrd:rvb i="1851"/>
        </ext>
      </extLst>
    </bk>
    <bk>
      <extLst>
        <ext uri="{3e2802c4-a4d2-4d8b-9148-e3be6c30e623}">
          <xlrd:rvb i="1852"/>
        </ext>
      </extLst>
    </bk>
    <bk>
      <extLst>
        <ext uri="{3e2802c4-a4d2-4d8b-9148-e3be6c30e623}">
          <xlrd:rvb i="1853"/>
        </ext>
      </extLst>
    </bk>
    <bk>
      <extLst>
        <ext uri="{3e2802c4-a4d2-4d8b-9148-e3be6c30e623}">
          <xlrd:rvb i="1854"/>
        </ext>
      </extLst>
    </bk>
    <bk>
      <extLst>
        <ext uri="{3e2802c4-a4d2-4d8b-9148-e3be6c30e623}">
          <xlrd:rvb i="1855"/>
        </ext>
      </extLst>
    </bk>
    <bk>
      <extLst>
        <ext uri="{3e2802c4-a4d2-4d8b-9148-e3be6c30e623}">
          <xlrd:rvb i="1856"/>
        </ext>
      </extLst>
    </bk>
    <bk>
      <extLst>
        <ext uri="{3e2802c4-a4d2-4d8b-9148-e3be6c30e623}">
          <xlrd:rvb i="1857"/>
        </ext>
      </extLst>
    </bk>
    <bk>
      <extLst>
        <ext uri="{3e2802c4-a4d2-4d8b-9148-e3be6c30e623}">
          <xlrd:rvb i="1858"/>
        </ext>
      </extLst>
    </bk>
    <bk>
      <extLst>
        <ext uri="{3e2802c4-a4d2-4d8b-9148-e3be6c30e623}">
          <xlrd:rvb i="1859"/>
        </ext>
      </extLst>
    </bk>
    <bk>
      <extLst>
        <ext uri="{3e2802c4-a4d2-4d8b-9148-e3be6c30e623}">
          <xlrd:rvb i="1860"/>
        </ext>
      </extLst>
    </bk>
    <bk>
      <extLst>
        <ext uri="{3e2802c4-a4d2-4d8b-9148-e3be6c30e623}">
          <xlrd:rvb i="1861"/>
        </ext>
      </extLst>
    </bk>
    <bk>
      <extLst>
        <ext uri="{3e2802c4-a4d2-4d8b-9148-e3be6c30e623}">
          <xlrd:rvb i="1862"/>
        </ext>
      </extLst>
    </bk>
    <bk>
      <extLst>
        <ext uri="{3e2802c4-a4d2-4d8b-9148-e3be6c30e623}">
          <xlrd:rvb i="1863"/>
        </ext>
      </extLst>
    </bk>
    <bk>
      <extLst>
        <ext uri="{3e2802c4-a4d2-4d8b-9148-e3be6c30e623}">
          <xlrd:rvb i="1864"/>
        </ext>
      </extLst>
    </bk>
    <bk>
      <extLst>
        <ext uri="{3e2802c4-a4d2-4d8b-9148-e3be6c30e623}">
          <xlrd:rvb i="1865"/>
        </ext>
      </extLst>
    </bk>
    <bk>
      <extLst>
        <ext uri="{3e2802c4-a4d2-4d8b-9148-e3be6c30e623}">
          <xlrd:rvb i="1866"/>
        </ext>
      </extLst>
    </bk>
    <bk>
      <extLst>
        <ext uri="{3e2802c4-a4d2-4d8b-9148-e3be6c30e623}">
          <xlrd:rvb i="1867"/>
        </ext>
      </extLst>
    </bk>
    <bk>
      <extLst>
        <ext uri="{3e2802c4-a4d2-4d8b-9148-e3be6c30e623}">
          <xlrd:rvb i="1868"/>
        </ext>
      </extLst>
    </bk>
    <bk>
      <extLst>
        <ext uri="{3e2802c4-a4d2-4d8b-9148-e3be6c30e623}">
          <xlrd:rvb i="1869"/>
        </ext>
      </extLst>
    </bk>
    <bk>
      <extLst>
        <ext uri="{3e2802c4-a4d2-4d8b-9148-e3be6c30e623}">
          <xlrd:rvb i="1870"/>
        </ext>
      </extLst>
    </bk>
    <bk>
      <extLst>
        <ext uri="{3e2802c4-a4d2-4d8b-9148-e3be6c30e623}">
          <xlrd:rvb i="1871"/>
        </ext>
      </extLst>
    </bk>
    <bk>
      <extLst>
        <ext uri="{3e2802c4-a4d2-4d8b-9148-e3be6c30e623}">
          <xlrd:rvb i="1872"/>
        </ext>
      </extLst>
    </bk>
    <bk>
      <extLst>
        <ext uri="{3e2802c4-a4d2-4d8b-9148-e3be6c30e623}">
          <xlrd:rvb i="1873"/>
        </ext>
      </extLst>
    </bk>
    <bk>
      <extLst>
        <ext uri="{3e2802c4-a4d2-4d8b-9148-e3be6c30e623}">
          <xlrd:rvb i="1874"/>
        </ext>
      </extLst>
    </bk>
    <bk>
      <extLst>
        <ext uri="{3e2802c4-a4d2-4d8b-9148-e3be6c30e623}">
          <xlrd:rvb i="1875"/>
        </ext>
      </extLst>
    </bk>
    <bk>
      <extLst>
        <ext uri="{3e2802c4-a4d2-4d8b-9148-e3be6c30e623}">
          <xlrd:rvb i="1876"/>
        </ext>
      </extLst>
    </bk>
    <bk>
      <extLst>
        <ext uri="{3e2802c4-a4d2-4d8b-9148-e3be6c30e623}">
          <xlrd:rvb i="1877"/>
        </ext>
      </extLst>
    </bk>
    <bk>
      <extLst>
        <ext uri="{3e2802c4-a4d2-4d8b-9148-e3be6c30e623}">
          <xlrd:rvb i="1878"/>
        </ext>
      </extLst>
    </bk>
    <bk>
      <extLst>
        <ext uri="{3e2802c4-a4d2-4d8b-9148-e3be6c30e623}">
          <xlrd:rvb i="1879"/>
        </ext>
      </extLst>
    </bk>
    <bk>
      <extLst>
        <ext uri="{3e2802c4-a4d2-4d8b-9148-e3be6c30e623}">
          <xlrd:rvb i="1880"/>
        </ext>
      </extLst>
    </bk>
    <bk>
      <extLst>
        <ext uri="{3e2802c4-a4d2-4d8b-9148-e3be6c30e623}">
          <xlrd:rvb i="1881"/>
        </ext>
      </extLst>
    </bk>
    <bk>
      <extLst>
        <ext uri="{3e2802c4-a4d2-4d8b-9148-e3be6c30e623}">
          <xlrd:rvb i="1882"/>
        </ext>
      </extLst>
    </bk>
    <bk>
      <extLst>
        <ext uri="{3e2802c4-a4d2-4d8b-9148-e3be6c30e623}">
          <xlrd:rvb i="1883"/>
        </ext>
      </extLst>
    </bk>
    <bk>
      <extLst>
        <ext uri="{3e2802c4-a4d2-4d8b-9148-e3be6c30e623}">
          <xlrd:rvb i="1884"/>
        </ext>
      </extLst>
    </bk>
    <bk>
      <extLst>
        <ext uri="{3e2802c4-a4d2-4d8b-9148-e3be6c30e623}">
          <xlrd:rvb i="1885"/>
        </ext>
      </extLst>
    </bk>
    <bk>
      <extLst>
        <ext uri="{3e2802c4-a4d2-4d8b-9148-e3be6c30e623}">
          <xlrd:rvb i="1886"/>
        </ext>
      </extLst>
    </bk>
    <bk>
      <extLst>
        <ext uri="{3e2802c4-a4d2-4d8b-9148-e3be6c30e623}">
          <xlrd:rvb i="1887"/>
        </ext>
      </extLst>
    </bk>
    <bk>
      <extLst>
        <ext uri="{3e2802c4-a4d2-4d8b-9148-e3be6c30e623}">
          <xlrd:rvb i="1888"/>
        </ext>
      </extLst>
    </bk>
    <bk>
      <extLst>
        <ext uri="{3e2802c4-a4d2-4d8b-9148-e3be6c30e623}">
          <xlrd:rvb i="1889"/>
        </ext>
      </extLst>
    </bk>
    <bk>
      <extLst>
        <ext uri="{3e2802c4-a4d2-4d8b-9148-e3be6c30e623}">
          <xlrd:rvb i="1890"/>
        </ext>
      </extLst>
    </bk>
    <bk>
      <extLst>
        <ext uri="{3e2802c4-a4d2-4d8b-9148-e3be6c30e623}">
          <xlrd:rvb i="1891"/>
        </ext>
      </extLst>
    </bk>
    <bk>
      <extLst>
        <ext uri="{3e2802c4-a4d2-4d8b-9148-e3be6c30e623}">
          <xlrd:rvb i="1892"/>
        </ext>
      </extLst>
    </bk>
    <bk>
      <extLst>
        <ext uri="{3e2802c4-a4d2-4d8b-9148-e3be6c30e623}">
          <xlrd:rvb i="1893"/>
        </ext>
      </extLst>
    </bk>
    <bk>
      <extLst>
        <ext uri="{3e2802c4-a4d2-4d8b-9148-e3be6c30e623}">
          <xlrd:rvb i="1894"/>
        </ext>
      </extLst>
    </bk>
    <bk>
      <extLst>
        <ext uri="{3e2802c4-a4d2-4d8b-9148-e3be6c30e623}">
          <xlrd:rvb i="1895"/>
        </ext>
      </extLst>
    </bk>
    <bk>
      <extLst>
        <ext uri="{3e2802c4-a4d2-4d8b-9148-e3be6c30e623}">
          <xlrd:rvb i="1896"/>
        </ext>
      </extLst>
    </bk>
    <bk>
      <extLst>
        <ext uri="{3e2802c4-a4d2-4d8b-9148-e3be6c30e623}">
          <xlrd:rvb i="1897"/>
        </ext>
      </extLst>
    </bk>
    <bk>
      <extLst>
        <ext uri="{3e2802c4-a4d2-4d8b-9148-e3be6c30e623}">
          <xlrd:rvb i="1898"/>
        </ext>
      </extLst>
    </bk>
    <bk>
      <extLst>
        <ext uri="{3e2802c4-a4d2-4d8b-9148-e3be6c30e623}">
          <xlrd:rvb i="1899"/>
        </ext>
      </extLst>
    </bk>
    <bk>
      <extLst>
        <ext uri="{3e2802c4-a4d2-4d8b-9148-e3be6c30e623}">
          <xlrd:rvb i="1900"/>
        </ext>
      </extLst>
    </bk>
    <bk>
      <extLst>
        <ext uri="{3e2802c4-a4d2-4d8b-9148-e3be6c30e623}">
          <xlrd:rvb i="1901"/>
        </ext>
      </extLst>
    </bk>
    <bk>
      <extLst>
        <ext uri="{3e2802c4-a4d2-4d8b-9148-e3be6c30e623}">
          <xlrd:rvb i="1902"/>
        </ext>
      </extLst>
    </bk>
    <bk>
      <extLst>
        <ext uri="{3e2802c4-a4d2-4d8b-9148-e3be6c30e623}">
          <xlrd:rvb i="1903"/>
        </ext>
      </extLst>
    </bk>
    <bk>
      <extLst>
        <ext uri="{3e2802c4-a4d2-4d8b-9148-e3be6c30e623}">
          <xlrd:rvb i="1904"/>
        </ext>
      </extLst>
    </bk>
    <bk>
      <extLst>
        <ext uri="{3e2802c4-a4d2-4d8b-9148-e3be6c30e623}">
          <xlrd:rvb i="1905"/>
        </ext>
      </extLst>
    </bk>
    <bk>
      <extLst>
        <ext uri="{3e2802c4-a4d2-4d8b-9148-e3be6c30e623}">
          <xlrd:rvb i="1906"/>
        </ext>
      </extLst>
    </bk>
    <bk>
      <extLst>
        <ext uri="{3e2802c4-a4d2-4d8b-9148-e3be6c30e623}">
          <xlrd:rvb i="1907"/>
        </ext>
      </extLst>
    </bk>
    <bk>
      <extLst>
        <ext uri="{3e2802c4-a4d2-4d8b-9148-e3be6c30e623}">
          <xlrd:rvb i="1908"/>
        </ext>
      </extLst>
    </bk>
    <bk>
      <extLst>
        <ext uri="{3e2802c4-a4d2-4d8b-9148-e3be6c30e623}">
          <xlrd:rvb i="1909"/>
        </ext>
      </extLst>
    </bk>
    <bk>
      <extLst>
        <ext uri="{3e2802c4-a4d2-4d8b-9148-e3be6c30e623}">
          <xlrd:rvb i="1910"/>
        </ext>
      </extLst>
    </bk>
    <bk>
      <extLst>
        <ext uri="{3e2802c4-a4d2-4d8b-9148-e3be6c30e623}">
          <xlrd:rvb i="1911"/>
        </ext>
      </extLst>
    </bk>
    <bk>
      <extLst>
        <ext uri="{3e2802c4-a4d2-4d8b-9148-e3be6c30e623}">
          <xlrd:rvb i="1912"/>
        </ext>
      </extLst>
    </bk>
    <bk>
      <extLst>
        <ext uri="{3e2802c4-a4d2-4d8b-9148-e3be6c30e623}">
          <xlrd:rvb i="1913"/>
        </ext>
      </extLst>
    </bk>
    <bk>
      <extLst>
        <ext uri="{3e2802c4-a4d2-4d8b-9148-e3be6c30e623}">
          <xlrd:rvb i="1914"/>
        </ext>
      </extLst>
    </bk>
    <bk>
      <extLst>
        <ext uri="{3e2802c4-a4d2-4d8b-9148-e3be6c30e623}">
          <xlrd:rvb i="1915"/>
        </ext>
      </extLst>
    </bk>
    <bk>
      <extLst>
        <ext uri="{3e2802c4-a4d2-4d8b-9148-e3be6c30e623}">
          <xlrd:rvb i="1916"/>
        </ext>
      </extLst>
    </bk>
    <bk>
      <extLst>
        <ext uri="{3e2802c4-a4d2-4d8b-9148-e3be6c30e623}">
          <xlrd:rvb i="1917"/>
        </ext>
      </extLst>
    </bk>
    <bk>
      <extLst>
        <ext uri="{3e2802c4-a4d2-4d8b-9148-e3be6c30e623}">
          <xlrd:rvb i="1918"/>
        </ext>
      </extLst>
    </bk>
    <bk>
      <extLst>
        <ext uri="{3e2802c4-a4d2-4d8b-9148-e3be6c30e623}">
          <xlrd:rvb i="1919"/>
        </ext>
      </extLst>
    </bk>
    <bk>
      <extLst>
        <ext uri="{3e2802c4-a4d2-4d8b-9148-e3be6c30e623}">
          <xlrd:rvb i="1920"/>
        </ext>
      </extLst>
    </bk>
    <bk>
      <extLst>
        <ext uri="{3e2802c4-a4d2-4d8b-9148-e3be6c30e623}">
          <xlrd:rvb i="1921"/>
        </ext>
      </extLst>
    </bk>
    <bk>
      <extLst>
        <ext uri="{3e2802c4-a4d2-4d8b-9148-e3be6c30e623}">
          <xlrd:rvb i="1922"/>
        </ext>
      </extLst>
    </bk>
    <bk>
      <extLst>
        <ext uri="{3e2802c4-a4d2-4d8b-9148-e3be6c30e623}">
          <xlrd:rvb i="1923"/>
        </ext>
      </extLst>
    </bk>
    <bk>
      <extLst>
        <ext uri="{3e2802c4-a4d2-4d8b-9148-e3be6c30e623}">
          <xlrd:rvb i="1924"/>
        </ext>
      </extLst>
    </bk>
    <bk>
      <extLst>
        <ext uri="{3e2802c4-a4d2-4d8b-9148-e3be6c30e623}">
          <xlrd:rvb i="1925"/>
        </ext>
      </extLst>
    </bk>
    <bk>
      <extLst>
        <ext uri="{3e2802c4-a4d2-4d8b-9148-e3be6c30e623}">
          <xlrd:rvb i="1926"/>
        </ext>
      </extLst>
    </bk>
    <bk>
      <extLst>
        <ext uri="{3e2802c4-a4d2-4d8b-9148-e3be6c30e623}">
          <xlrd:rvb i="1927"/>
        </ext>
      </extLst>
    </bk>
    <bk>
      <extLst>
        <ext uri="{3e2802c4-a4d2-4d8b-9148-e3be6c30e623}">
          <xlrd:rvb i="1928"/>
        </ext>
      </extLst>
    </bk>
    <bk>
      <extLst>
        <ext uri="{3e2802c4-a4d2-4d8b-9148-e3be6c30e623}">
          <xlrd:rvb i="1929"/>
        </ext>
      </extLst>
    </bk>
    <bk>
      <extLst>
        <ext uri="{3e2802c4-a4d2-4d8b-9148-e3be6c30e623}">
          <xlrd:rvb i="1930"/>
        </ext>
      </extLst>
    </bk>
    <bk>
      <extLst>
        <ext uri="{3e2802c4-a4d2-4d8b-9148-e3be6c30e623}">
          <xlrd:rvb i="1931"/>
        </ext>
      </extLst>
    </bk>
    <bk>
      <extLst>
        <ext uri="{3e2802c4-a4d2-4d8b-9148-e3be6c30e623}">
          <xlrd:rvb i="1932"/>
        </ext>
      </extLst>
    </bk>
    <bk>
      <extLst>
        <ext uri="{3e2802c4-a4d2-4d8b-9148-e3be6c30e623}">
          <xlrd:rvb i="1933"/>
        </ext>
      </extLst>
    </bk>
    <bk>
      <extLst>
        <ext uri="{3e2802c4-a4d2-4d8b-9148-e3be6c30e623}">
          <xlrd:rvb i="1934"/>
        </ext>
      </extLst>
    </bk>
    <bk>
      <extLst>
        <ext uri="{3e2802c4-a4d2-4d8b-9148-e3be6c30e623}">
          <xlrd:rvb i="1935"/>
        </ext>
      </extLst>
    </bk>
    <bk>
      <extLst>
        <ext uri="{3e2802c4-a4d2-4d8b-9148-e3be6c30e623}">
          <xlrd:rvb i="1936"/>
        </ext>
      </extLst>
    </bk>
    <bk>
      <extLst>
        <ext uri="{3e2802c4-a4d2-4d8b-9148-e3be6c30e623}">
          <xlrd:rvb i="1937"/>
        </ext>
      </extLst>
    </bk>
    <bk>
      <extLst>
        <ext uri="{3e2802c4-a4d2-4d8b-9148-e3be6c30e623}">
          <xlrd:rvb i="1938"/>
        </ext>
      </extLst>
    </bk>
    <bk>
      <extLst>
        <ext uri="{3e2802c4-a4d2-4d8b-9148-e3be6c30e623}">
          <xlrd:rvb i="1939"/>
        </ext>
      </extLst>
    </bk>
    <bk>
      <extLst>
        <ext uri="{3e2802c4-a4d2-4d8b-9148-e3be6c30e623}">
          <xlrd:rvb i="1940"/>
        </ext>
      </extLst>
    </bk>
    <bk>
      <extLst>
        <ext uri="{3e2802c4-a4d2-4d8b-9148-e3be6c30e623}">
          <xlrd:rvb i="1941"/>
        </ext>
      </extLst>
    </bk>
    <bk>
      <extLst>
        <ext uri="{3e2802c4-a4d2-4d8b-9148-e3be6c30e623}">
          <xlrd:rvb i="1942"/>
        </ext>
      </extLst>
    </bk>
    <bk>
      <extLst>
        <ext uri="{3e2802c4-a4d2-4d8b-9148-e3be6c30e623}">
          <xlrd:rvb i="1943"/>
        </ext>
      </extLst>
    </bk>
    <bk>
      <extLst>
        <ext uri="{3e2802c4-a4d2-4d8b-9148-e3be6c30e623}">
          <xlrd:rvb i="1944"/>
        </ext>
      </extLst>
    </bk>
    <bk>
      <extLst>
        <ext uri="{3e2802c4-a4d2-4d8b-9148-e3be6c30e623}">
          <xlrd:rvb i="1945"/>
        </ext>
      </extLst>
    </bk>
    <bk>
      <extLst>
        <ext uri="{3e2802c4-a4d2-4d8b-9148-e3be6c30e623}">
          <xlrd:rvb i="1946"/>
        </ext>
      </extLst>
    </bk>
    <bk>
      <extLst>
        <ext uri="{3e2802c4-a4d2-4d8b-9148-e3be6c30e623}">
          <xlrd:rvb i="1947"/>
        </ext>
      </extLst>
    </bk>
    <bk>
      <extLst>
        <ext uri="{3e2802c4-a4d2-4d8b-9148-e3be6c30e623}">
          <xlrd:rvb i="1948"/>
        </ext>
      </extLst>
    </bk>
    <bk>
      <extLst>
        <ext uri="{3e2802c4-a4d2-4d8b-9148-e3be6c30e623}">
          <xlrd:rvb i="1949"/>
        </ext>
      </extLst>
    </bk>
    <bk>
      <extLst>
        <ext uri="{3e2802c4-a4d2-4d8b-9148-e3be6c30e623}">
          <xlrd:rvb i="1950"/>
        </ext>
      </extLst>
    </bk>
    <bk>
      <extLst>
        <ext uri="{3e2802c4-a4d2-4d8b-9148-e3be6c30e623}">
          <xlrd:rvb i="1951"/>
        </ext>
      </extLst>
    </bk>
    <bk>
      <extLst>
        <ext uri="{3e2802c4-a4d2-4d8b-9148-e3be6c30e623}">
          <xlrd:rvb i="1952"/>
        </ext>
      </extLst>
    </bk>
    <bk>
      <extLst>
        <ext uri="{3e2802c4-a4d2-4d8b-9148-e3be6c30e623}">
          <xlrd:rvb i="1953"/>
        </ext>
      </extLst>
    </bk>
    <bk>
      <extLst>
        <ext uri="{3e2802c4-a4d2-4d8b-9148-e3be6c30e623}">
          <xlrd:rvb i="1954"/>
        </ext>
      </extLst>
    </bk>
    <bk>
      <extLst>
        <ext uri="{3e2802c4-a4d2-4d8b-9148-e3be6c30e623}">
          <xlrd:rvb i="1955"/>
        </ext>
      </extLst>
    </bk>
    <bk>
      <extLst>
        <ext uri="{3e2802c4-a4d2-4d8b-9148-e3be6c30e623}">
          <xlrd:rvb i="1956"/>
        </ext>
      </extLst>
    </bk>
    <bk>
      <extLst>
        <ext uri="{3e2802c4-a4d2-4d8b-9148-e3be6c30e623}">
          <xlrd:rvb i="1957"/>
        </ext>
      </extLst>
    </bk>
    <bk>
      <extLst>
        <ext uri="{3e2802c4-a4d2-4d8b-9148-e3be6c30e623}">
          <xlrd:rvb i="1958"/>
        </ext>
      </extLst>
    </bk>
    <bk>
      <extLst>
        <ext uri="{3e2802c4-a4d2-4d8b-9148-e3be6c30e623}">
          <xlrd:rvb i="1959"/>
        </ext>
      </extLst>
    </bk>
    <bk>
      <extLst>
        <ext uri="{3e2802c4-a4d2-4d8b-9148-e3be6c30e623}">
          <xlrd:rvb i="1960"/>
        </ext>
      </extLst>
    </bk>
    <bk>
      <extLst>
        <ext uri="{3e2802c4-a4d2-4d8b-9148-e3be6c30e623}">
          <xlrd:rvb i="1961"/>
        </ext>
      </extLst>
    </bk>
    <bk>
      <extLst>
        <ext uri="{3e2802c4-a4d2-4d8b-9148-e3be6c30e623}">
          <xlrd:rvb i="1962"/>
        </ext>
      </extLst>
    </bk>
    <bk>
      <extLst>
        <ext uri="{3e2802c4-a4d2-4d8b-9148-e3be6c30e623}">
          <xlrd:rvb i="1963"/>
        </ext>
      </extLst>
    </bk>
    <bk>
      <extLst>
        <ext uri="{3e2802c4-a4d2-4d8b-9148-e3be6c30e623}">
          <xlrd:rvb i="1964"/>
        </ext>
      </extLst>
    </bk>
    <bk>
      <extLst>
        <ext uri="{3e2802c4-a4d2-4d8b-9148-e3be6c30e623}">
          <xlrd:rvb i="1965"/>
        </ext>
      </extLst>
    </bk>
    <bk>
      <extLst>
        <ext uri="{3e2802c4-a4d2-4d8b-9148-e3be6c30e623}">
          <xlrd:rvb i="1966"/>
        </ext>
      </extLst>
    </bk>
    <bk>
      <extLst>
        <ext uri="{3e2802c4-a4d2-4d8b-9148-e3be6c30e623}">
          <xlrd:rvb i="1967"/>
        </ext>
      </extLst>
    </bk>
    <bk>
      <extLst>
        <ext uri="{3e2802c4-a4d2-4d8b-9148-e3be6c30e623}">
          <xlrd:rvb i="1968"/>
        </ext>
      </extLst>
    </bk>
    <bk>
      <extLst>
        <ext uri="{3e2802c4-a4d2-4d8b-9148-e3be6c30e623}">
          <xlrd:rvb i="1969"/>
        </ext>
      </extLst>
    </bk>
    <bk>
      <extLst>
        <ext uri="{3e2802c4-a4d2-4d8b-9148-e3be6c30e623}">
          <xlrd:rvb i="1970"/>
        </ext>
      </extLst>
    </bk>
    <bk>
      <extLst>
        <ext uri="{3e2802c4-a4d2-4d8b-9148-e3be6c30e623}">
          <xlrd:rvb i="1971"/>
        </ext>
      </extLst>
    </bk>
    <bk>
      <extLst>
        <ext uri="{3e2802c4-a4d2-4d8b-9148-e3be6c30e623}">
          <xlrd:rvb i="1972"/>
        </ext>
      </extLst>
    </bk>
    <bk>
      <extLst>
        <ext uri="{3e2802c4-a4d2-4d8b-9148-e3be6c30e623}">
          <xlrd:rvb i="1973"/>
        </ext>
      </extLst>
    </bk>
    <bk>
      <extLst>
        <ext uri="{3e2802c4-a4d2-4d8b-9148-e3be6c30e623}">
          <xlrd:rvb i="1974"/>
        </ext>
      </extLst>
    </bk>
    <bk>
      <extLst>
        <ext uri="{3e2802c4-a4d2-4d8b-9148-e3be6c30e623}">
          <xlrd:rvb i="1975"/>
        </ext>
      </extLst>
    </bk>
    <bk>
      <extLst>
        <ext uri="{3e2802c4-a4d2-4d8b-9148-e3be6c30e623}">
          <xlrd:rvb i="1976"/>
        </ext>
      </extLst>
    </bk>
    <bk>
      <extLst>
        <ext uri="{3e2802c4-a4d2-4d8b-9148-e3be6c30e623}">
          <xlrd:rvb i="1977"/>
        </ext>
      </extLst>
    </bk>
    <bk>
      <extLst>
        <ext uri="{3e2802c4-a4d2-4d8b-9148-e3be6c30e623}">
          <xlrd:rvb i="1978"/>
        </ext>
      </extLst>
    </bk>
    <bk>
      <extLst>
        <ext uri="{3e2802c4-a4d2-4d8b-9148-e3be6c30e623}">
          <xlrd:rvb i="1979"/>
        </ext>
      </extLst>
    </bk>
    <bk>
      <extLst>
        <ext uri="{3e2802c4-a4d2-4d8b-9148-e3be6c30e623}">
          <xlrd:rvb i="1980"/>
        </ext>
      </extLst>
    </bk>
    <bk>
      <extLst>
        <ext uri="{3e2802c4-a4d2-4d8b-9148-e3be6c30e623}">
          <xlrd:rvb i="1981"/>
        </ext>
      </extLst>
    </bk>
    <bk>
      <extLst>
        <ext uri="{3e2802c4-a4d2-4d8b-9148-e3be6c30e623}">
          <xlrd:rvb i="1982"/>
        </ext>
      </extLst>
    </bk>
    <bk>
      <extLst>
        <ext uri="{3e2802c4-a4d2-4d8b-9148-e3be6c30e623}">
          <xlrd:rvb i="1983"/>
        </ext>
      </extLst>
    </bk>
    <bk>
      <extLst>
        <ext uri="{3e2802c4-a4d2-4d8b-9148-e3be6c30e623}">
          <xlrd:rvb i="1984"/>
        </ext>
      </extLst>
    </bk>
    <bk>
      <extLst>
        <ext uri="{3e2802c4-a4d2-4d8b-9148-e3be6c30e623}">
          <xlrd:rvb i="1985"/>
        </ext>
      </extLst>
    </bk>
    <bk>
      <extLst>
        <ext uri="{3e2802c4-a4d2-4d8b-9148-e3be6c30e623}">
          <xlrd:rvb i="1986"/>
        </ext>
      </extLst>
    </bk>
    <bk>
      <extLst>
        <ext uri="{3e2802c4-a4d2-4d8b-9148-e3be6c30e623}">
          <xlrd:rvb i="1987"/>
        </ext>
      </extLst>
    </bk>
    <bk>
      <extLst>
        <ext uri="{3e2802c4-a4d2-4d8b-9148-e3be6c30e623}">
          <xlrd:rvb i="1988"/>
        </ext>
      </extLst>
    </bk>
    <bk>
      <extLst>
        <ext uri="{3e2802c4-a4d2-4d8b-9148-e3be6c30e623}">
          <xlrd:rvb i="1989"/>
        </ext>
      </extLst>
    </bk>
    <bk>
      <extLst>
        <ext uri="{3e2802c4-a4d2-4d8b-9148-e3be6c30e623}">
          <xlrd:rvb i="1990"/>
        </ext>
      </extLst>
    </bk>
    <bk>
      <extLst>
        <ext uri="{3e2802c4-a4d2-4d8b-9148-e3be6c30e623}">
          <xlrd:rvb i="1991"/>
        </ext>
      </extLst>
    </bk>
    <bk>
      <extLst>
        <ext uri="{3e2802c4-a4d2-4d8b-9148-e3be6c30e623}">
          <xlrd:rvb i="1992"/>
        </ext>
      </extLst>
    </bk>
    <bk>
      <extLst>
        <ext uri="{3e2802c4-a4d2-4d8b-9148-e3be6c30e623}">
          <xlrd:rvb i="1993"/>
        </ext>
      </extLst>
    </bk>
    <bk>
      <extLst>
        <ext uri="{3e2802c4-a4d2-4d8b-9148-e3be6c30e623}">
          <xlrd:rvb i="1994"/>
        </ext>
      </extLst>
    </bk>
    <bk>
      <extLst>
        <ext uri="{3e2802c4-a4d2-4d8b-9148-e3be6c30e623}">
          <xlrd:rvb i="1995"/>
        </ext>
      </extLst>
    </bk>
    <bk>
      <extLst>
        <ext uri="{3e2802c4-a4d2-4d8b-9148-e3be6c30e623}">
          <xlrd:rvb i="1996"/>
        </ext>
      </extLst>
    </bk>
    <bk>
      <extLst>
        <ext uri="{3e2802c4-a4d2-4d8b-9148-e3be6c30e623}">
          <xlrd:rvb i="1997"/>
        </ext>
      </extLst>
    </bk>
    <bk>
      <extLst>
        <ext uri="{3e2802c4-a4d2-4d8b-9148-e3be6c30e623}">
          <xlrd:rvb i="1998"/>
        </ext>
      </extLst>
    </bk>
    <bk>
      <extLst>
        <ext uri="{3e2802c4-a4d2-4d8b-9148-e3be6c30e623}">
          <xlrd:rvb i="1999"/>
        </ext>
      </extLst>
    </bk>
    <bk>
      <extLst>
        <ext uri="{3e2802c4-a4d2-4d8b-9148-e3be6c30e623}">
          <xlrd:rvb i="2000"/>
        </ext>
      </extLst>
    </bk>
    <bk>
      <extLst>
        <ext uri="{3e2802c4-a4d2-4d8b-9148-e3be6c30e623}">
          <xlrd:rvb i="2001"/>
        </ext>
      </extLst>
    </bk>
    <bk>
      <extLst>
        <ext uri="{3e2802c4-a4d2-4d8b-9148-e3be6c30e623}">
          <xlrd:rvb i="2002"/>
        </ext>
      </extLst>
    </bk>
    <bk>
      <extLst>
        <ext uri="{3e2802c4-a4d2-4d8b-9148-e3be6c30e623}">
          <xlrd:rvb i="2003"/>
        </ext>
      </extLst>
    </bk>
    <bk>
      <extLst>
        <ext uri="{3e2802c4-a4d2-4d8b-9148-e3be6c30e623}">
          <xlrd:rvb i="2004"/>
        </ext>
      </extLst>
    </bk>
    <bk>
      <extLst>
        <ext uri="{3e2802c4-a4d2-4d8b-9148-e3be6c30e623}">
          <xlrd:rvb i="2005"/>
        </ext>
      </extLst>
    </bk>
    <bk>
      <extLst>
        <ext uri="{3e2802c4-a4d2-4d8b-9148-e3be6c30e623}">
          <xlrd:rvb i="2006"/>
        </ext>
      </extLst>
    </bk>
    <bk>
      <extLst>
        <ext uri="{3e2802c4-a4d2-4d8b-9148-e3be6c30e623}">
          <xlrd:rvb i="2007"/>
        </ext>
      </extLst>
    </bk>
    <bk>
      <extLst>
        <ext uri="{3e2802c4-a4d2-4d8b-9148-e3be6c30e623}">
          <xlrd:rvb i="2008"/>
        </ext>
      </extLst>
    </bk>
    <bk>
      <extLst>
        <ext uri="{3e2802c4-a4d2-4d8b-9148-e3be6c30e623}">
          <xlrd:rvb i="2009"/>
        </ext>
      </extLst>
    </bk>
    <bk>
      <extLst>
        <ext uri="{3e2802c4-a4d2-4d8b-9148-e3be6c30e623}">
          <xlrd:rvb i="2010"/>
        </ext>
      </extLst>
    </bk>
    <bk>
      <extLst>
        <ext uri="{3e2802c4-a4d2-4d8b-9148-e3be6c30e623}">
          <xlrd:rvb i="2011"/>
        </ext>
      </extLst>
    </bk>
    <bk>
      <extLst>
        <ext uri="{3e2802c4-a4d2-4d8b-9148-e3be6c30e623}">
          <xlrd:rvb i="2012"/>
        </ext>
      </extLst>
    </bk>
    <bk>
      <extLst>
        <ext uri="{3e2802c4-a4d2-4d8b-9148-e3be6c30e623}">
          <xlrd:rvb i="2013"/>
        </ext>
      </extLst>
    </bk>
    <bk>
      <extLst>
        <ext uri="{3e2802c4-a4d2-4d8b-9148-e3be6c30e623}">
          <xlrd:rvb i="2014"/>
        </ext>
      </extLst>
    </bk>
    <bk>
      <extLst>
        <ext uri="{3e2802c4-a4d2-4d8b-9148-e3be6c30e623}">
          <xlrd:rvb i="2015"/>
        </ext>
      </extLst>
    </bk>
    <bk>
      <extLst>
        <ext uri="{3e2802c4-a4d2-4d8b-9148-e3be6c30e623}">
          <xlrd:rvb i="2016"/>
        </ext>
      </extLst>
    </bk>
    <bk>
      <extLst>
        <ext uri="{3e2802c4-a4d2-4d8b-9148-e3be6c30e623}">
          <xlrd:rvb i="2017"/>
        </ext>
      </extLst>
    </bk>
    <bk>
      <extLst>
        <ext uri="{3e2802c4-a4d2-4d8b-9148-e3be6c30e623}">
          <xlrd:rvb i="2018"/>
        </ext>
      </extLst>
    </bk>
    <bk>
      <extLst>
        <ext uri="{3e2802c4-a4d2-4d8b-9148-e3be6c30e623}">
          <xlrd:rvb i="2019"/>
        </ext>
      </extLst>
    </bk>
    <bk>
      <extLst>
        <ext uri="{3e2802c4-a4d2-4d8b-9148-e3be6c30e623}">
          <xlrd:rvb i="2020"/>
        </ext>
      </extLst>
    </bk>
    <bk>
      <extLst>
        <ext uri="{3e2802c4-a4d2-4d8b-9148-e3be6c30e623}">
          <xlrd:rvb i="2021"/>
        </ext>
      </extLst>
    </bk>
    <bk>
      <extLst>
        <ext uri="{3e2802c4-a4d2-4d8b-9148-e3be6c30e623}">
          <xlrd:rvb i="2022"/>
        </ext>
      </extLst>
    </bk>
    <bk>
      <extLst>
        <ext uri="{3e2802c4-a4d2-4d8b-9148-e3be6c30e623}">
          <xlrd:rvb i="2023"/>
        </ext>
      </extLst>
    </bk>
    <bk>
      <extLst>
        <ext uri="{3e2802c4-a4d2-4d8b-9148-e3be6c30e623}">
          <xlrd:rvb i="2024"/>
        </ext>
      </extLst>
    </bk>
    <bk>
      <extLst>
        <ext uri="{3e2802c4-a4d2-4d8b-9148-e3be6c30e623}">
          <xlrd:rvb i="2025"/>
        </ext>
      </extLst>
    </bk>
    <bk>
      <extLst>
        <ext uri="{3e2802c4-a4d2-4d8b-9148-e3be6c30e623}">
          <xlrd:rvb i="2026"/>
        </ext>
      </extLst>
    </bk>
    <bk>
      <extLst>
        <ext uri="{3e2802c4-a4d2-4d8b-9148-e3be6c30e623}">
          <xlrd:rvb i="2027"/>
        </ext>
      </extLst>
    </bk>
    <bk>
      <extLst>
        <ext uri="{3e2802c4-a4d2-4d8b-9148-e3be6c30e623}">
          <xlrd:rvb i="2028"/>
        </ext>
      </extLst>
    </bk>
    <bk>
      <extLst>
        <ext uri="{3e2802c4-a4d2-4d8b-9148-e3be6c30e623}">
          <xlrd:rvb i="2029"/>
        </ext>
      </extLst>
    </bk>
    <bk>
      <extLst>
        <ext uri="{3e2802c4-a4d2-4d8b-9148-e3be6c30e623}">
          <xlrd:rvb i="2030"/>
        </ext>
      </extLst>
    </bk>
    <bk>
      <extLst>
        <ext uri="{3e2802c4-a4d2-4d8b-9148-e3be6c30e623}">
          <xlrd:rvb i="2031"/>
        </ext>
      </extLst>
    </bk>
    <bk>
      <extLst>
        <ext uri="{3e2802c4-a4d2-4d8b-9148-e3be6c30e623}">
          <xlrd:rvb i="2032"/>
        </ext>
      </extLst>
    </bk>
    <bk>
      <extLst>
        <ext uri="{3e2802c4-a4d2-4d8b-9148-e3be6c30e623}">
          <xlrd:rvb i="2033"/>
        </ext>
      </extLst>
    </bk>
    <bk>
      <extLst>
        <ext uri="{3e2802c4-a4d2-4d8b-9148-e3be6c30e623}">
          <xlrd:rvb i="2034"/>
        </ext>
      </extLst>
    </bk>
    <bk>
      <extLst>
        <ext uri="{3e2802c4-a4d2-4d8b-9148-e3be6c30e623}">
          <xlrd:rvb i="2035"/>
        </ext>
      </extLst>
    </bk>
    <bk>
      <extLst>
        <ext uri="{3e2802c4-a4d2-4d8b-9148-e3be6c30e623}">
          <xlrd:rvb i="2036"/>
        </ext>
      </extLst>
    </bk>
    <bk>
      <extLst>
        <ext uri="{3e2802c4-a4d2-4d8b-9148-e3be6c30e623}">
          <xlrd:rvb i="2037"/>
        </ext>
      </extLst>
    </bk>
    <bk>
      <extLst>
        <ext uri="{3e2802c4-a4d2-4d8b-9148-e3be6c30e623}">
          <xlrd:rvb i="2038"/>
        </ext>
      </extLst>
    </bk>
    <bk>
      <extLst>
        <ext uri="{3e2802c4-a4d2-4d8b-9148-e3be6c30e623}">
          <xlrd:rvb i="2039"/>
        </ext>
      </extLst>
    </bk>
    <bk>
      <extLst>
        <ext uri="{3e2802c4-a4d2-4d8b-9148-e3be6c30e623}">
          <xlrd:rvb i="2040"/>
        </ext>
      </extLst>
    </bk>
    <bk>
      <extLst>
        <ext uri="{3e2802c4-a4d2-4d8b-9148-e3be6c30e623}">
          <xlrd:rvb i="2041"/>
        </ext>
      </extLst>
    </bk>
    <bk>
      <extLst>
        <ext uri="{3e2802c4-a4d2-4d8b-9148-e3be6c30e623}">
          <xlrd:rvb i="2042"/>
        </ext>
      </extLst>
    </bk>
    <bk>
      <extLst>
        <ext uri="{3e2802c4-a4d2-4d8b-9148-e3be6c30e623}">
          <xlrd:rvb i="2043"/>
        </ext>
      </extLst>
    </bk>
    <bk>
      <extLst>
        <ext uri="{3e2802c4-a4d2-4d8b-9148-e3be6c30e623}">
          <xlrd:rvb i="2044"/>
        </ext>
      </extLst>
    </bk>
    <bk>
      <extLst>
        <ext uri="{3e2802c4-a4d2-4d8b-9148-e3be6c30e623}">
          <xlrd:rvb i="2045"/>
        </ext>
      </extLst>
    </bk>
    <bk>
      <extLst>
        <ext uri="{3e2802c4-a4d2-4d8b-9148-e3be6c30e623}">
          <xlrd:rvb i="2046"/>
        </ext>
      </extLst>
    </bk>
    <bk>
      <extLst>
        <ext uri="{3e2802c4-a4d2-4d8b-9148-e3be6c30e623}">
          <xlrd:rvb i="2047"/>
        </ext>
      </extLst>
    </bk>
    <bk>
      <extLst>
        <ext uri="{3e2802c4-a4d2-4d8b-9148-e3be6c30e623}">
          <xlrd:rvb i="2048"/>
        </ext>
      </extLst>
    </bk>
    <bk>
      <extLst>
        <ext uri="{3e2802c4-a4d2-4d8b-9148-e3be6c30e623}">
          <xlrd:rvb i="2049"/>
        </ext>
      </extLst>
    </bk>
    <bk>
      <extLst>
        <ext uri="{3e2802c4-a4d2-4d8b-9148-e3be6c30e623}">
          <xlrd:rvb i="2050"/>
        </ext>
      </extLst>
    </bk>
    <bk>
      <extLst>
        <ext uri="{3e2802c4-a4d2-4d8b-9148-e3be6c30e623}">
          <xlrd:rvb i="2051"/>
        </ext>
      </extLst>
    </bk>
    <bk>
      <extLst>
        <ext uri="{3e2802c4-a4d2-4d8b-9148-e3be6c30e623}">
          <xlrd:rvb i="2052"/>
        </ext>
      </extLst>
    </bk>
    <bk>
      <extLst>
        <ext uri="{3e2802c4-a4d2-4d8b-9148-e3be6c30e623}">
          <xlrd:rvb i="2053"/>
        </ext>
      </extLst>
    </bk>
    <bk>
      <extLst>
        <ext uri="{3e2802c4-a4d2-4d8b-9148-e3be6c30e623}">
          <xlrd:rvb i="2054"/>
        </ext>
      </extLst>
    </bk>
    <bk>
      <extLst>
        <ext uri="{3e2802c4-a4d2-4d8b-9148-e3be6c30e623}">
          <xlrd:rvb i="2055"/>
        </ext>
      </extLst>
    </bk>
    <bk>
      <extLst>
        <ext uri="{3e2802c4-a4d2-4d8b-9148-e3be6c30e623}">
          <xlrd:rvb i="2056"/>
        </ext>
      </extLst>
    </bk>
    <bk>
      <extLst>
        <ext uri="{3e2802c4-a4d2-4d8b-9148-e3be6c30e623}">
          <xlrd:rvb i="2057"/>
        </ext>
      </extLst>
    </bk>
    <bk>
      <extLst>
        <ext uri="{3e2802c4-a4d2-4d8b-9148-e3be6c30e623}">
          <xlrd:rvb i="2058"/>
        </ext>
      </extLst>
    </bk>
    <bk>
      <extLst>
        <ext uri="{3e2802c4-a4d2-4d8b-9148-e3be6c30e623}">
          <xlrd:rvb i="2059"/>
        </ext>
      </extLst>
    </bk>
    <bk>
      <extLst>
        <ext uri="{3e2802c4-a4d2-4d8b-9148-e3be6c30e623}">
          <xlrd:rvb i="2060"/>
        </ext>
      </extLst>
    </bk>
    <bk>
      <extLst>
        <ext uri="{3e2802c4-a4d2-4d8b-9148-e3be6c30e623}">
          <xlrd:rvb i="2061"/>
        </ext>
      </extLst>
    </bk>
    <bk>
      <extLst>
        <ext uri="{3e2802c4-a4d2-4d8b-9148-e3be6c30e623}">
          <xlrd:rvb i="2062"/>
        </ext>
      </extLst>
    </bk>
    <bk>
      <extLst>
        <ext uri="{3e2802c4-a4d2-4d8b-9148-e3be6c30e623}">
          <xlrd:rvb i="2063"/>
        </ext>
      </extLst>
    </bk>
    <bk>
      <extLst>
        <ext uri="{3e2802c4-a4d2-4d8b-9148-e3be6c30e623}">
          <xlrd:rvb i="2064"/>
        </ext>
      </extLst>
    </bk>
    <bk>
      <extLst>
        <ext uri="{3e2802c4-a4d2-4d8b-9148-e3be6c30e623}">
          <xlrd:rvb i="2065"/>
        </ext>
      </extLst>
    </bk>
    <bk>
      <extLst>
        <ext uri="{3e2802c4-a4d2-4d8b-9148-e3be6c30e623}">
          <xlrd:rvb i="2066"/>
        </ext>
      </extLst>
    </bk>
    <bk>
      <extLst>
        <ext uri="{3e2802c4-a4d2-4d8b-9148-e3be6c30e623}">
          <xlrd:rvb i="2067"/>
        </ext>
      </extLst>
    </bk>
    <bk>
      <extLst>
        <ext uri="{3e2802c4-a4d2-4d8b-9148-e3be6c30e623}">
          <xlrd:rvb i="2068"/>
        </ext>
      </extLst>
    </bk>
    <bk>
      <extLst>
        <ext uri="{3e2802c4-a4d2-4d8b-9148-e3be6c30e623}">
          <xlrd:rvb i="2069"/>
        </ext>
      </extLst>
    </bk>
    <bk>
      <extLst>
        <ext uri="{3e2802c4-a4d2-4d8b-9148-e3be6c30e623}">
          <xlrd:rvb i="2070"/>
        </ext>
      </extLst>
    </bk>
    <bk>
      <extLst>
        <ext uri="{3e2802c4-a4d2-4d8b-9148-e3be6c30e623}">
          <xlrd:rvb i="2071"/>
        </ext>
      </extLst>
    </bk>
    <bk>
      <extLst>
        <ext uri="{3e2802c4-a4d2-4d8b-9148-e3be6c30e623}">
          <xlrd:rvb i="2072"/>
        </ext>
      </extLst>
    </bk>
    <bk>
      <extLst>
        <ext uri="{3e2802c4-a4d2-4d8b-9148-e3be6c30e623}">
          <xlrd:rvb i="2073"/>
        </ext>
      </extLst>
    </bk>
    <bk>
      <extLst>
        <ext uri="{3e2802c4-a4d2-4d8b-9148-e3be6c30e623}">
          <xlrd:rvb i="2074"/>
        </ext>
      </extLst>
    </bk>
    <bk>
      <extLst>
        <ext uri="{3e2802c4-a4d2-4d8b-9148-e3be6c30e623}">
          <xlrd:rvb i="2075"/>
        </ext>
      </extLst>
    </bk>
    <bk>
      <extLst>
        <ext uri="{3e2802c4-a4d2-4d8b-9148-e3be6c30e623}">
          <xlrd:rvb i="2076"/>
        </ext>
      </extLst>
    </bk>
    <bk>
      <extLst>
        <ext uri="{3e2802c4-a4d2-4d8b-9148-e3be6c30e623}">
          <xlrd:rvb i="2077"/>
        </ext>
      </extLst>
    </bk>
    <bk>
      <extLst>
        <ext uri="{3e2802c4-a4d2-4d8b-9148-e3be6c30e623}">
          <xlrd:rvb i="2078"/>
        </ext>
      </extLst>
    </bk>
    <bk>
      <extLst>
        <ext uri="{3e2802c4-a4d2-4d8b-9148-e3be6c30e623}">
          <xlrd:rvb i="2079"/>
        </ext>
      </extLst>
    </bk>
    <bk>
      <extLst>
        <ext uri="{3e2802c4-a4d2-4d8b-9148-e3be6c30e623}">
          <xlrd:rvb i="2080"/>
        </ext>
      </extLst>
    </bk>
    <bk>
      <extLst>
        <ext uri="{3e2802c4-a4d2-4d8b-9148-e3be6c30e623}">
          <xlrd:rvb i="2081"/>
        </ext>
      </extLst>
    </bk>
    <bk>
      <extLst>
        <ext uri="{3e2802c4-a4d2-4d8b-9148-e3be6c30e623}">
          <xlrd:rvb i="2082"/>
        </ext>
      </extLst>
    </bk>
    <bk>
      <extLst>
        <ext uri="{3e2802c4-a4d2-4d8b-9148-e3be6c30e623}">
          <xlrd:rvb i="2083"/>
        </ext>
      </extLst>
    </bk>
    <bk>
      <extLst>
        <ext uri="{3e2802c4-a4d2-4d8b-9148-e3be6c30e623}">
          <xlrd:rvb i="2084"/>
        </ext>
      </extLst>
    </bk>
    <bk>
      <extLst>
        <ext uri="{3e2802c4-a4d2-4d8b-9148-e3be6c30e623}">
          <xlrd:rvb i="2085"/>
        </ext>
      </extLst>
    </bk>
    <bk>
      <extLst>
        <ext uri="{3e2802c4-a4d2-4d8b-9148-e3be6c30e623}">
          <xlrd:rvb i="2086"/>
        </ext>
      </extLst>
    </bk>
    <bk>
      <extLst>
        <ext uri="{3e2802c4-a4d2-4d8b-9148-e3be6c30e623}">
          <xlrd:rvb i="2087"/>
        </ext>
      </extLst>
    </bk>
    <bk>
      <extLst>
        <ext uri="{3e2802c4-a4d2-4d8b-9148-e3be6c30e623}">
          <xlrd:rvb i="2088"/>
        </ext>
      </extLst>
    </bk>
    <bk>
      <extLst>
        <ext uri="{3e2802c4-a4d2-4d8b-9148-e3be6c30e623}">
          <xlrd:rvb i="2089"/>
        </ext>
      </extLst>
    </bk>
    <bk>
      <extLst>
        <ext uri="{3e2802c4-a4d2-4d8b-9148-e3be6c30e623}">
          <xlrd:rvb i="2090"/>
        </ext>
      </extLst>
    </bk>
    <bk>
      <extLst>
        <ext uri="{3e2802c4-a4d2-4d8b-9148-e3be6c30e623}">
          <xlrd:rvb i="2091"/>
        </ext>
      </extLst>
    </bk>
    <bk>
      <extLst>
        <ext uri="{3e2802c4-a4d2-4d8b-9148-e3be6c30e623}">
          <xlrd:rvb i="2092"/>
        </ext>
      </extLst>
    </bk>
    <bk>
      <extLst>
        <ext uri="{3e2802c4-a4d2-4d8b-9148-e3be6c30e623}">
          <xlrd:rvb i="2093"/>
        </ext>
      </extLst>
    </bk>
    <bk>
      <extLst>
        <ext uri="{3e2802c4-a4d2-4d8b-9148-e3be6c30e623}">
          <xlrd:rvb i="2094"/>
        </ext>
      </extLst>
    </bk>
    <bk>
      <extLst>
        <ext uri="{3e2802c4-a4d2-4d8b-9148-e3be6c30e623}">
          <xlrd:rvb i="2095"/>
        </ext>
      </extLst>
    </bk>
    <bk>
      <extLst>
        <ext uri="{3e2802c4-a4d2-4d8b-9148-e3be6c30e623}">
          <xlrd:rvb i="2096"/>
        </ext>
      </extLst>
    </bk>
    <bk>
      <extLst>
        <ext uri="{3e2802c4-a4d2-4d8b-9148-e3be6c30e623}">
          <xlrd:rvb i="2097"/>
        </ext>
      </extLst>
    </bk>
    <bk>
      <extLst>
        <ext uri="{3e2802c4-a4d2-4d8b-9148-e3be6c30e623}">
          <xlrd:rvb i="2098"/>
        </ext>
      </extLst>
    </bk>
    <bk>
      <extLst>
        <ext uri="{3e2802c4-a4d2-4d8b-9148-e3be6c30e623}">
          <xlrd:rvb i="2099"/>
        </ext>
      </extLst>
    </bk>
    <bk>
      <extLst>
        <ext uri="{3e2802c4-a4d2-4d8b-9148-e3be6c30e623}">
          <xlrd:rvb i="2100"/>
        </ext>
      </extLst>
    </bk>
    <bk>
      <extLst>
        <ext uri="{3e2802c4-a4d2-4d8b-9148-e3be6c30e623}">
          <xlrd:rvb i="2101"/>
        </ext>
      </extLst>
    </bk>
    <bk>
      <extLst>
        <ext uri="{3e2802c4-a4d2-4d8b-9148-e3be6c30e623}">
          <xlrd:rvb i="2102"/>
        </ext>
      </extLst>
    </bk>
    <bk>
      <extLst>
        <ext uri="{3e2802c4-a4d2-4d8b-9148-e3be6c30e623}">
          <xlrd:rvb i="2103"/>
        </ext>
      </extLst>
    </bk>
    <bk>
      <extLst>
        <ext uri="{3e2802c4-a4d2-4d8b-9148-e3be6c30e623}">
          <xlrd:rvb i="2104"/>
        </ext>
      </extLst>
    </bk>
    <bk>
      <extLst>
        <ext uri="{3e2802c4-a4d2-4d8b-9148-e3be6c30e623}">
          <xlrd:rvb i="2105"/>
        </ext>
      </extLst>
    </bk>
    <bk>
      <extLst>
        <ext uri="{3e2802c4-a4d2-4d8b-9148-e3be6c30e623}">
          <xlrd:rvb i="2106"/>
        </ext>
      </extLst>
    </bk>
    <bk>
      <extLst>
        <ext uri="{3e2802c4-a4d2-4d8b-9148-e3be6c30e623}">
          <xlrd:rvb i="2107"/>
        </ext>
      </extLst>
    </bk>
    <bk>
      <extLst>
        <ext uri="{3e2802c4-a4d2-4d8b-9148-e3be6c30e623}">
          <xlrd:rvb i="2108"/>
        </ext>
      </extLst>
    </bk>
    <bk>
      <extLst>
        <ext uri="{3e2802c4-a4d2-4d8b-9148-e3be6c30e623}">
          <xlrd:rvb i="2109"/>
        </ext>
      </extLst>
    </bk>
    <bk>
      <extLst>
        <ext uri="{3e2802c4-a4d2-4d8b-9148-e3be6c30e623}">
          <xlrd:rvb i="2110"/>
        </ext>
      </extLst>
    </bk>
    <bk>
      <extLst>
        <ext uri="{3e2802c4-a4d2-4d8b-9148-e3be6c30e623}">
          <xlrd:rvb i="2111"/>
        </ext>
      </extLst>
    </bk>
    <bk>
      <extLst>
        <ext uri="{3e2802c4-a4d2-4d8b-9148-e3be6c30e623}">
          <xlrd:rvb i="2112"/>
        </ext>
      </extLst>
    </bk>
    <bk>
      <extLst>
        <ext uri="{3e2802c4-a4d2-4d8b-9148-e3be6c30e623}">
          <xlrd:rvb i="2113"/>
        </ext>
      </extLst>
    </bk>
    <bk>
      <extLst>
        <ext uri="{3e2802c4-a4d2-4d8b-9148-e3be6c30e623}">
          <xlrd:rvb i="2114"/>
        </ext>
      </extLst>
    </bk>
    <bk>
      <extLst>
        <ext uri="{3e2802c4-a4d2-4d8b-9148-e3be6c30e623}">
          <xlrd:rvb i="2115"/>
        </ext>
      </extLst>
    </bk>
    <bk>
      <extLst>
        <ext uri="{3e2802c4-a4d2-4d8b-9148-e3be6c30e623}">
          <xlrd:rvb i="2116"/>
        </ext>
      </extLst>
    </bk>
    <bk>
      <extLst>
        <ext uri="{3e2802c4-a4d2-4d8b-9148-e3be6c30e623}">
          <xlrd:rvb i="2117"/>
        </ext>
      </extLst>
    </bk>
    <bk>
      <extLst>
        <ext uri="{3e2802c4-a4d2-4d8b-9148-e3be6c30e623}">
          <xlrd:rvb i="2118"/>
        </ext>
      </extLst>
    </bk>
    <bk>
      <extLst>
        <ext uri="{3e2802c4-a4d2-4d8b-9148-e3be6c30e623}">
          <xlrd:rvb i="2119"/>
        </ext>
      </extLst>
    </bk>
    <bk>
      <extLst>
        <ext uri="{3e2802c4-a4d2-4d8b-9148-e3be6c30e623}">
          <xlrd:rvb i="2120"/>
        </ext>
      </extLst>
    </bk>
    <bk>
      <extLst>
        <ext uri="{3e2802c4-a4d2-4d8b-9148-e3be6c30e623}">
          <xlrd:rvb i="2121"/>
        </ext>
      </extLst>
    </bk>
    <bk>
      <extLst>
        <ext uri="{3e2802c4-a4d2-4d8b-9148-e3be6c30e623}">
          <xlrd:rvb i="2122"/>
        </ext>
      </extLst>
    </bk>
    <bk>
      <extLst>
        <ext uri="{3e2802c4-a4d2-4d8b-9148-e3be6c30e623}">
          <xlrd:rvb i="2123"/>
        </ext>
      </extLst>
    </bk>
    <bk>
      <extLst>
        <ext uri="{3e2802c4-a4d2-4d8b-9148-e3be6c30e623}">
          <xlrd:rvb i="2124"/>
        </ext>
      </extLst>
    </bk>
    <bk>
      <extLst>
        <ext uri="{3e2802c4-a4d2-4d8b-9148-e3be6c30e623}">
          <xlrd:rvb i="2125"/>
        </ext>
      </extLst>
    </bk>
    <bk>
      <extLst>
        <ext uri="{3e2802c4-a4d2-4d8b-9148-e3be6c30e623}">
          <xlrd:rvb i="2126"/>
        </ext>
      </extLst>
    </bk>
    <bk>
      <extLst>
        <ext uri="{3e2802c4-a4d2-4d8b-9148-e3be6c30e623}">
          <xlrd:rvb i="2127"/>
        </ext>
      </extLst>
    </bk>
    <bk>
      <extLst>
        <ext uri="{3e2802c4-a4d2-4d8b-9148-e3be6c30e623}">
          <xlrd:rvb i="2128"/>
        </ext>
      </extLst>
    </bk>
    <bk>
      <extLst>
        <ext uri="{3e2802c4-a4d2-4d8b-9148-e3be6c30e623}">
          <xlrd:rvb i="2129"/>
        </ext>
      </extLst>
    </bk>
    <bk>
      <extLst>
        <ext uri="{3e2802c4-a4d2-4d8b-9148-e3be6c30e623}">
          <xlrd:rvb i="2130"/>
        </ext>
      </extLst>
    </bk>
    <bk>
      <extLst>
        <ext uri="{3e2802c4-a4d2-4d8b-9148-e3be6c30e623}">
          <xlrd:rvb i="2131"/>
        </ext>
      </extLst>
    </bk>
    <bk>
      <extLst>
        <ext uri="{3e2802c4-a4d2-4d8b-9148-e3be6c30e623}">
          <xlrd:rvb i="2132"/>
        </ext>
      </extLst>
    </bk>
    <bk>
      <extLst>
        <ext uri="{3e2802c4-a4d2-4d8b-9148-e3be6c30e623}">
          <xlrd:rvb i="2133"/>
        </ext>
      </extLst>
    </bk>
    <bk>
      <extLst>
        <ext uri="{3e2802c4-a4d2-4d8b-9148-e3be6c30e623}">
          <xlrd:rvb i="2134"/>
        </ext>
      </extLst>
    </bk>
    <bk>
      <extLst>
        <ext uri="{3e2802c4-a4d2-4d8b-9148-e3be6c30e623}">
          <xlrd:rvb i="2135"/>
        </ext>
      </extLst>
    </bk>
    <bk>
      <extLst>
        <ext uri="{3e2802c4-a4d2-4d8b-9148-e3be6c30e623}">
          <xlrd:rvb i="2136"/>
        </ext>
      </extLst>
    </bk>
    <bk>
      <extLst>
        <ext uri="{3e2802c4-a4d2-4d8b-9148-e3be6c30e623}">
          <xlrd:rvb i="2137"/>
        </ext>
      </extLst>
    </bk>
    <bk>
      <extLst>
        <ext uri="{3e2802c4-a4d2-4d8b-9148-e3be6c30e623}">
          <xlrd:rvb i="2138"/>
        </ext>
      </extLst>
    </bk>
    <bk>
      <extLst>
        <ext uri="{3e2802c4-a4d2-4d8b-9148-e3be6c30e623}">
          <xlrd:rvb i="2139"/>
        </ext>
      </extLst>
    </bk>
    <bk>
      <extLst>
        <ext uri="{3e2802c4-a4d2-4d8b-9148-e3be6c30e623}">
          <xlrd:rvb i="2140"/>
        </ext>
      </extLst>
    </bk>
    <bk>
      <extLst>
        <ext uri="{3e2802c4-a4d2-4d8b-9148-e3be6c30e623}">
          <xlrd:rvb i="2141"/>
        </ext>
      </extLst>
    </bk>
    <bk>
      <extLst>
        <ext uri="{3e2802c4-a4d2-4d8b-9148-e3be6c30e623}">
          <xlrd:rvb i="2142"/>
        </ext>
      </extLst>
    </bk>
    <bk>
      <extLst>
        <ext uri="{3e2802c4-a4d2-4d8b-9148-e3be6c30e623}">
          <xlrd:rvb i="2143"/>
        </ext>
      </extLst>
    </bk>
    <bk>
      <extLst>
        <ext uri="{3e2802c4-a4d2-4d8b-9148-e3be6c30e623}">
          <xlrd:rvb i="2144"/>
        </ext>
      </extLst>
    </bk>
    <bk>
      <extLst>
        <ext uri="{3e2802c4-a4d2-4d8b-9148-e3be6c30e623}">
          <xlrd:rvb i="2145"/>
        </ext>
      </extLst>
    </bk>
    <bk>
      <extLst>
        <ext uri="{3e2802c4-a4d2-4d8b-9148-e3be6c30e623}">
          <xlrd:rvb i="2146"/>
        </ext>
      </extLst>
    </bk>
    <bk>
      <extLst>
        <ext uri="{3e2802c4-a4d2-4d8b-9148-e3be6c30e623}">
          <xlrd:rvb i="2147"/>
        </ext>
      </extLst>
    </bk>
    <bk>
      <extLst>
        <ext uri="{3e2802c4-a4d2-4d8b-9148-e3be6c30e623}">
          <xlrd:rvb i="2148"/>
        </ext>
      </extLst>
    </bk>
    <bk>
      <extLst>
        <ext uri="{3e2802c4-a4d2-4d8b-9148-e3be6c30e623}">
          <xlrd:rvb i="2149"/>
        </ext>
      </extLst>
    </bk>
    <bk>
      <extLst>
        <ext uri="{3e2802c4-a4d2-4d8b-9148-e3be6c30e623}">
          <xlrd:rvb i="2150"/>
        </ext>
      </extLst>
    </bk>
    <bk>
      <extLst>
        <ext uri="{3e2802c4-a4d2-4d8b-9148-e3be6c30e623}">
          <xlrd:rvb i="2151"/>
        </ext>
      </extLst>
    </bk>
    <bk>
      <extLst>
        <ext uri="{3e2802c4-a4d2-4d8b-9148-e3be6c30e623}">
          <xlrd:rvb i="2152"/>
        </ext>
      </extLst>
    </bk>
    <bk>
      <extLst>
        <ext uri="{3e2802c4-a4d2-4d8b-9148-e3be6c30e623}">
          <xlrd:rvb i="2153"/>
        </ext>
      </extLst>
    </bk>
    <bk>
      <extLst>
        <ext uri="{3e2802c4-a4d2-4d8b-9148-e3be6c30e623}">
          <xlrd:rvb i="2154"/>
        </ext>
      </extLst>
    </bk>
    <bk>
      <extLst>
        <ext uri="{3e2802c4-a4d2-4d8b-9148-e3be6c30e623}">
          <xlrd:rvb i="2155"/>
        </ext>
      </extLst>
    </bk>
    <bk>
      <extLst>
        <ext uri="{3e2802c4-a4d2-4d8b-9148-e3be6c30e623}">
          <xlrd:rvb i="2156"/>
        </ext>
      </extLst>
    </bk>
    <bk>
      <extLst>
        <ext uri="{3e2802c4-a4d2-4d8b-9148-e3be6c30e623}">
          <xlrd:rvb i="2157"/>
        </ext>
      </extLst>
    </bk>
    <bk>
      <extLst>
        <ext uri="{3e2802c4-a4d2-4d8b-9148-e3be6c30e623}">
          <xlrd:rvb i="2158"/>
        </ext>
      </extLst>
    </bk>
    <bk>
      <extLst>
        <ext uri="{3e2802c4-a4d2-4d8b-9148-e3be6c30e623}">
          <xlrd:rvb i="2159"/>
        </ext>
      </extLst>
    </bk>
    <bk>
      <extLst>
        <ext uri="{3e2802c4-a4d2-4d8b-9148-e3be6c30e623}">
          <xlrd:rvb i="2160"/>
        </ext>
      </extLst>
    </bk>
    <bk>
      <extLst>
        <ext uri="{3e2802c4-a4d2-4d8b-9148-e3be6c30e623}">
          <xlrd:rvb i="2161"/>
        </ext>
      </extLst>
    </bk>
    <bk>
      <extLst>
        <ext uri="{3e2802c4-a4d2-4d8b-9148-e3be6c30e623}">
          <xlrd:rvb i="2162"/>
        </ext>
      </extLst>
    </bk>
    <bk>
      <extLst>
        <ext uri="{3e2802c4-a4d2-4d8b-9148-e3be6c30e623}">
          <xlrd:rvb i="2163"/>
        </ext>
      </extLst>
    </bk>
    <bk>
      <extLst>
        <ext uri="{3e2802c4-a4d2-4d8b-9148-e3be6c30e623}">
          <xlrd:rvb i="2164"/>
        </ext>
      </extLst>
    </bk>
    <bk>
      <extLst>
        <ext uri="{3e2802c4-a4d2-4d8b-9148-e3be6c30e623}">
          <xlrd:rvb i="2165"/>
        </ext>
      </extLst>
    </bk>
    <bk>
      <extLst>
        <ext uri="{3e2802c4-a4d2-4d8b-9148-e3be6c30e623}">
          <xlrd:rvb i="2166"/>
        </ext>
      </extLst>
    </bk>
    <bk>
      <extLst>
        <ext uri="{3e2802c4-a4d2-4d8b-9148-e3be6c30e623}">
          <xlrd:rvb i="2167"/>
        </ext>
      </extLst>
    </bk>
    <bk>
      <extLst>
        <ext uri="{3e2802c4-a4d2-4d8b-9148-e3be6c30e623}">
          <xlrd:rvb i="2168"/>
        </ext>
      </extLst>
    </bk>
    <bk>
      <extLst>
        <ext uri="{3e2802c4-a4d2-4d8b-9148-e3be6c30e623}">
          <xlrd:rvb i="2169"/>
        </ext>
      </extLst>
    </bk>
    <bk>
      <extLst>
        <ext uri="{3e2802c4-a4d2-4d8b-9148-e3be6c30e623}">
          <xlrd:rvb i="2170"/>
        </ext>
      </extLst>
    </bk>
    <bk>
      <extLst>
        <ext uri="{3e2802c4-a4d2-4d8b-9148-e3be6c30e623}">
          <xlrd:rvb i="2171"/>
        </ext>
      </extLst>
    </bk>
    <bk>
      <extLst>
        <ext uri="{3e2802c4-a4d2-4d8b-9148-e3be6c30e623}">
          <xlrd:rvb i="2172"/>
        </ext>
      </extLst>
    </bk>
    <bk>
      <extLst>
        <ext uri="{3e2802c4-a4d2-4d8b-9148-e3be6c30e623}">
          <xlrd:rvb i="2173"/>
        </ext>
      </extLst>
    </bk>
    <bk>
      <extLst>
        <ext uri="{3e2802c4-a4d2-4d8b-9148-e3be6c30e623}">
          <xlrd:rvb i="2174"/>
        </ext>
      </extLst>
    </bk>
    <bk>
      <extLst>
        <ext uri="{3e2802c4-a4d2-4d8b-9148-e3be6c30e623}">
          <xlrd:rvb i="2175"/>
        </ext>
      </extLst>
    </bk>
    <bk>
      <extLst>
        <ext uri="{3e2802c4-a4d2-4d8b-9148-e3be6c30e623}">
          <xlrd:rvb i="2176"/>
        </ext>
      </extLst>
    </bk>
    <bk>
      <extLst>
        <ext uri="{3e2802c4-a4d2-4d8b-9148-e3be6c30e623}">
          <xlrd:rvb i="2177"/>
        </ext>
      </extLst>
    </bk>
    <bk>
      <extLst>
        <ext uri="{3e2802c4-a4d2-4d8b-9148-e3be6c30e623}">
          <xlrd:rvb i="2178"/>
        </ext>
      </extLst>
    </bk>
    <bk>
      <extLst>
        <ext uri="{3e2802c4-a4d2-4d8b-9148-e3be6c30e623}">
          <xlrd:rvb i="2179"/>
        </ext>
      </extLst>
    </bk>
    <bk>
      <extLst>
        <ext uri="{3e2802c4-a4d2-4d8b-9148-e3be6c30e623}">
          <xlrd:rvb i="2180"/>
        </ext>
      </extLst>
    </bk>
    <bk>
      <extLst>
        <ext uri="{3e2802c4-a4d2-4d8b-9148-e3be6c30e623}">
          <xlrd:rvb i="2181"/>
        </ext>
      </extLst>
    </bk>
    <bk>
      <extLst>
        <ext uri="{3e2802c4-a4d2-4d8b-9148-e3be6c30e623}">
          <xlrd:rvb i="2182"/>
        </ext>
      </extLst>
    </bk>
    <bk>
      <extLst>
        <ext uri="{3e2802c4-a4d2-4d8b-9148-e3be6c30e623}">
          <xlrd:rvb i="2183"/>
        </ext>
      </extLst>
    </bk>
    <bk>
      <extLst>
        <ext uri="{3e2802c4-a4d2-4d8b-9148-e3be6c30e623}">
          <xlrd:rvb i="2184"/>
        </ext>
      </extLst>
    </bk>
    <bk>
      <extLst>
        <ext uri="{3e2802c4-a4d2-4d8b-9148-e3be6c30e623}">
          <xlrd:rvb i="2185"/>
        </ext>
      </extLst>
    </bk>
    <bk>
      <extLst>
        <ext uri="{3e2802c4-a4d2-4d8b-9148-e3be6c30e623}">
          <xlrd:rvb i="2186"/>
        </ext>
      </extLst>
    </bk>
    <bk>
      <extLst>
        <ext uri="{3e2802c4-a4d2-4d8b-9148-e3be6c30e623}">
          <xlrd:rvb i="2187"/>
        </ext>
      </extLst>
    </bk>
    <bk>
      <extLst>
        <ext uri="{3e2802c4-a4d2-4d8b-9148-e3be6c30e623}">
          <xlrd:rvb i="2188"/>
        </ext>
      </extLst>
    </bk>
    <bk>
      <extLst>
        <ext uri="{3e2802c4-a4d2-4d8b-9148-e3be6c30e623}">
          <xlrd:rvb i="2189"/>
        </ext>
      </extLst>
    </bk>
    <bk>
      <extLst>
        <ext uri="{3e2802c4-a4d2-4d8b-9148-e3be6c30e623}">
          <xlrd:rvb i="2190"/>
        </ext>
      </extLst>
    </bk>
    <bk>
      <extLst>
        <ext uri="{3e2802c4-a4d2-4d8b-9148-e3be6c30e623}">
          <xlrd:rvb i="2191"/>
        </ext>
      </extLst>
    </bk>
    <bk>
      <extLst>
        <ext uri="{3e2802c4-a4d2-4d8b-9148-e3be6c30e623}">
          <xlrd:rvb i="2192"/>
        </ext>
      </extLst>
    </bk>
    <bk>
      <extLst>
        <ext uri="{3e2802c4-a4d2-4d8b-9148-e3be6c30e623}">
          <xlrd:rvb i="2193"/>
        </ext>
      </extLst>
    </bk>
    <bk>
      <extLst>
        <ext uri="{3e2802c4-a4d2-4d8b-9148-e3be6c30e623}">
          <xlrd:rvb i="2194"/>
        </ext>
      </extLst>
    </bk>
    <bk>
      <extLst>
        <ext uri="{3e2802c4-a4d2-4d8b-9148-e3be6c30e623}">
          <xlrd:rvb i="2195"/>
        </ext>
      </extLst>
    </bk>
    <bk>
      <extLst>
        <ext uri="{3e2802c4-a4d2-4d8b-9148-e3be6c30e623}">
          <xlrd:rvb i="2196"/>
        </ext>
      </extLst>
    </bk>
    <bk>
      <extLst>
        <ext uri="{3e2802c4-a4d2-4d8b-9148-e3be6c30e623}">
          <xlrd:rvb i="2197"/>
        </ext>
      </extLst>
    </bk>
    <bk>
      <extLst>
        <ext uri="{3e2802c4-a4d2-4d8b-9148-e3be6c30e623}">
          <xlrd:rvb i="2198"/>
        </ext>
      </extLst>
    </bk>
    <bk>
      <extLst>
        <ext uri="{3e2802c4-a4d2-4d8b-9148-e3be6c30e623}">
          <xlrd:rvb i="2199"/>
        </ext>
      </extLst>
    </bk>
    <bk>
      <extLst>
        <ext uri="{3e2802c4-a4d2-4d8b-9148-e3be6c30e623}">
          <xlrd:rvb i="2200"/>
        </ext>
      </extLst>
    </bk>
    <bk>
      <extLst>
        <ext uri="{3e2802c4-a4d2-4d8b-9148-e3be6c30e623}">
          <xlrd:rvb i="2201"/>
        </ext>
      </extLst>
    </bk>
    <bk>
      <extLst>
        <ext uri="{3e2802c4-a4d2-4d8b-9148-e3be6c30e623}">
          <xlrd:rvb i="2202"/>
        </ext>
      </extLst>
    </bk>
    <bk>
      <extLst>
        <ext uri="{3e2802c4-a4d2-4d8b-9148-e3be6c30e623}">
          <xlrd:rvb i="2203"/>
        </ext>
      </extLst>
    </bk>
    <bk>
      <extLst>
        <ext uri="{3e2802c4-a4d2-4d8b-9148-e3be6c30e623}">
          <xlrd:rvb i="2204"/>
        </ext>
      </extLst>
    </bk>
    <bk>
      <extLst>
        <ext uri="{3e2802c4-a4d2-4d8b-9148-e3be6c30e623}">
          <xlrd:rvb i="2205"/>
        </ext>
      </extLst>
    </bk>
    <bk>
      <extLst>
        <ext uri="{3e2802c4-a4d2-4d8b-9148-e3be6c30e623}">
          <xlrd:rvb i="2206"/>
        </ext>
      </extLst>
    </bk>
    <bk>
      <extLst>
        <ext uri="{3e2802c4-a4d2-4d8b-9148-e3be6c30e623}">
          <xlrd:rvb i="2207"/>
        </ext>
      </extLst>
    </bk>
    <bk>
      <extLst>
        <ext uri="{3e2802c4-a4d2-4d8b-9148-e3be6c30e623}">
          <xlrd:rvb i="2208"/>
        </ext>
      </extLst>
    </bk>
    <bk>
      <extLst>
        <ext uri="{3e2802c4-a4d2-4d8b-9148-e3be6c30e623}">
          <xlrd:rvb i="2209"/>
        </ext>
      </extLst>
    </bk>
    <bk>
      <extLst>
        <ext uri="{3e2802c4-a4d2-4d8b-9148-e3be6c30e623}">
          <xlrd:rvb i="2210"/>
        </ext>
      </extLst>
    </bk>
    <bk>
      <extLst>
        <ext uri="{3e2802c4-a4d2-4d8b-9148-e3be6c30e623}">
          <xlrd:rvb i="2211"/>
        </ext>
      </extLst>
    </bk>
    <bk>
      <extLst>
        <ext uri="{3e2802c4-a4d2-4d8b-9148-e3be6c30e623}">
          <xlrd:rvb i="2212"/>
        </ext>
      </extLst>
    </bk>
    <bk>
      <extLst>
        <ext uri="{3e2802c4-a4d2-4d8b-9148-e3be6c30e623}">
          <xlrd:rvb i="2213"/>
        </ext>
      </extLst>
    </bk>
    <bk>
      <extLst>
        <ext uri="{3e2802c4-a4d2-4d8b-9148-e3be6c30e623}">
          <xlrd:rvb i="2214"/>
        </ext>
      </extLst>
    </bk>
    <bk>
      <extLst>
        <ext uri="{3e2802c4-a4d2-4d8b-9148-e3be6c30e623}">
          <xlrd:rvb i="2215"/>
        </ext>
      </extLst>
    </bk>
    <bk>
      <extLst>
        <ext uri="{3e2802c4-a4d2-4d8b-9148-e3be6c30e623}">
          <xlrd:rvb i="2216"/>
        </ext>
      </extLst>
    </bk>
    <bk>
      <extLst>
        <ext uri="{3e2802c4-a4d2-4d8b-9148-e3be6c30e623}">
          <xlrd:rvb i="2217"/>
        </ext>
      </extLst>
    </bk>
    <bk>
      <extLst>
        <ext uri="{3e2802c4-a4d2-4d8b-9148-e3be6c30e623}">
          <xlrd:rvb i="2218"/>
        </ext>
      </extLst>
    </bk>
    <bk>
      <extLst>
        <ext uri="{3e2802c4-a4d2-4d8b-9148-e3be6c30e623}">
          <xlrd:rvb i="2219"/>
        </ext>
      </extLst>
    </bk>
    <bk>
      <extLst>
        <ext uri="{3e2802c4-a4d2-4d8b-9148-e3be6c30e623}">
          <xlrd:rvb i="2220"/>
        </ext>
      </extLst>
    </bk>
    <bk>
      <extLst>
        <ext uri="{3e2802c4-a4d2-4d8b-9148-e3be6c30e623}">
          <xlrd:rvb i="2221"/>
        </ext>
      </extLst>
    </bk>
    <bk>
      <extLst>
        <ext uri="{3e2802c4-a4d2-4d8b-9148-e3be6c30e623}">
          <xlrd:rvb i="2222"/>
        </ext>
      </extLst>
    </bk>
    <bk>
      <extLst>
        <ext uri="{3e2802c4-a4d2-4d8b-9148-e3be6c30e623}">
          <xlrd:rvb i="2223"/>
        </ext>
      </extLst>
    </bk>
    <bk>
      <extLst>
        <ext uri="{3e2802c4-a4d2-4d8b-9148-e3be6c30e623}">
          <xlrd:rvb i="2224"/>
        </ext>
      </extLst>
    </bk>
    <bk>
      <extLst>
        <ext uri="{3e2802c4-a4d2-4d8b-9148-e3be6c30e623}">
          <xlrd:rvb i="2225"/>
        </ext>
      </extLst>
    </bk>
    <bk>
      <extLst>
        <ext uri="{3e2802c4-a4d2-4d8b-9148-e3be6c30e623}">
          <xlrd:rvb i="2226"/>
        </ext>
      </extLst>
    </bk>
    <bk>
      <extLst>
        <ext uri="{3e2802c4-a4d2-4d8b-9148-e3be6c30e623}">
          <xlrd:rvb i="2227"/>
        </ext>
      </extLst>
    </bk>
    <bk>
      <extLst>
        <ext uri="{3e2802c4-a4d2-4d8b-9148-e3be6c30e623}">
          <xlrd:rvb i="2228"/>
        </ext>
      </extLst>
    </bk>
    <bk>
      <extLst>
        <ext uri="{3e2802c4-a4d2-4d8b-9148-e3be6c30e623}">
          <xlrd:rvb i="2229"/>
        </ext>
      </extLst>
    </bk>
    <bk>
      <extLst>
        <ext uri="{3e2802c4-a4d2-4d8b-9148-e3be6c30e623}">
          <xlrd:rvb i="2230"/>
        </ext>
      </extLst>
    </bk>
    <bk>
      <extLst>
        <ext uri="{3e2802c4-a4d2-4d8b-9148-e3be6c30e623}">
          <xlrd:rvb i="2231"/>
        </ext>
      </extLst>
    </bk>
    <bk>
      <extLst>
        <ext uri="{3e2802c4-a4d2-4d8b-9148-e3be6c30e623}">
          <xlrd:rvb i="2232"/>
        </ext>
      </extLst>
    </bk>
    <bk>
      <extLst>
        <ext uri="{3e2802c4-a4d2-4d8b-9148-e3be6c30e623}">
          <xlrd:rvb i="2233"/>
        </ext>
      </extLst>
    </bk>
    <bk>
      <extLst>
        <ext uri="{3e2802c4-a4d2-4d8b-9148-e3be6c30e623}">
          <xlrd:rvb i="2234"/>
        </ext>
      </extLst>
    </bk>
    <bk>
      <extLst>
        <ext uri="{3e2802c4-a4d2-4d8b-9148-e3be6c30e623}">
          <xlrd:rvb i="2235"/>
        </ext>
      </extLst>
    </bk>
    <bk>
      <extLst>
        <ext uri="{3e2802c4-a4d2-4d8b-9148-e3be6c30e623}">
          <xlrd:rvb i="2236"/>
        </ext>
      </extLst>
    </bk>
    <bk>
      <extLst>
        <ext uri="{3e2802c4-a4d2-4d8b-9148-e3be6c30e623}">
          <xlrd:rvb i="2237"/>
        </ext>
      </extLst>
    </bk>
    <bk>
      <extLst>
        <ext uri="{3e2802c4-a4d2-4d8b-9148-e3be6c30e623}">
          <xlrd:rvb i="2238"/>
        </ext>
      </extLst>
    </bk>
    <bk>
      <extLst>
        <ext uri="{3e2802c4-a4d2-4d8b-9148-e3be6c30e623}">
          <xlrd:rvb i="2239"/>
        </ext>
      </extLst>
    </bk>
    <bk>
      <extLst>
        <ext uri="{3e2802c4-a4d2-4d8b-9148-e3be6c30e623}">
          <xlrd:rvb i="2240"/>
        </ext>
      </extLst>
    </bk>
    <bk>
      <extLst>
        <ext uri="{3e2802c4-a4d2-4d8b-9148-e3be6c30e623}">
          <xlrd:rvb i="2241"/>
        </ext>
      </extLst>
    </bk>
    <bk>
      <extLst>
        <ext uri="{3e2802c4-a4d2-4d8b-9148-e3be6c30e623}">
          <xlrd:rvb i="2242"/>
        </ext>
      </extLst>
    </bk>
    <bk>
      <extLst>
        <ext uri="{3e2802c4-a4d2-4d8b-9148-e3be6c30e623}">
          <xlrd:rvb i="2243"/>
        </ext>
      </extLst>
    </bk>
    <bk>
      <extLst>
        <ext uri="{3e2802c4-a4d2-4d8b-9148-e3be6c30e623}">
          <xlrd:rvb i="2244"/>
        </ext>
      </extLst>
    </bk>
    <bk>
      <extLst>
        <ext uri="{3e2802c4-a4d2-4d8b-9148-e3be6c30e623}">
          <xlrd:rvb i="2245"/>
        </ext>
      </extLst>
    </bk>
    <bk>
      <extLst>
        <ext uri="{3e2802c4-a4d2-4d8b-9148-e3be6c30e623}">
          <xlrd:rvb i="2246"/>
        </ext>
      </extLst>
    </bk>
    <bk>
      <extLst>
        <ext uri="{3e2802c4-a4d2-4d8b-9148-e3be6c30e623}">
          <xlrd:rvb i="2247"/>
        </ext>
      </extLst>
    </bk>
    <bk>
      <extLst>
        <ext uri="{3e2802c4-a4d2-4d8b-9148-e3be6c30e623}">
          <xlrd:rvb i="2248"/>
        </ext>
      </extLst>
    </bk>
    <bk>
      <extLst>
        <ext uri="{3e2802c4-a4d2-4d8b-9148-e3be6c30e623}">
          <xlrd:rvb i="2249"/>
        </ext>
      </extLst>
    </bk>
    <bk>
      <extLst>
        <ext uri="{3e2802c4-a4d2-4d8b-9148-e3be6c30e623}">
          <xlrd:rvb i="2250"/>
        </ext>
      </extLst>
    </bk>
    <bk>
      <extLst>
        <ext uri="{3e2802c4-a4d2-4d8b-9148-e3be6c30e623}">
          <xlrd:rvb i="2251"/>
        </ext>
      </extLst>
    </bk>
    <bk>
      <extLst>
        <ext uri="{3e2802c4-a4d2-4d8b-9148-e3be6c30e623}">
          <xlrd:rvb i="2252"/>
        </ext>
      </extLst>
    </bk>
    <bk>
      <extLst>
        <ext uri="{3e2802c4-a4d2-4d8b-9148-e3be6c30e623}">
          <xlrd:rvb i="2253"/>
        </ext>
      </extLst>
    </bk>
    <bk>
      <extLst>
        <ext uri="{3e2802c4-a4d2-4d8b-9148-e3be6c30e623}">
          <xlrd:rvb i="2254"/>
        </ext>
      </extLst>
    </bk>
    <bk>
      <extLst>
        <ext uri="{3e2802c4-a4d2-4d8b-9148-e3be6c30e623}">
          <xlrd:rvb i="2255"/>
        </ext>
      </extLst>
    </bk>
    <bk>
      <extLst>
        <ext uri="{3e2802c4-a4d2-4d8b-9148-e3be6c30e623}">
          <xlrd:rvb i="2256"/>
        </ext>
      </extLst>
    </bk>
    <bk>
      <extLst>
        <ext uri="{3e2802c4-a4d2-4d8b-9148-e3be6c30e623}">
          <xlrd:rvb i="2257"/>
        </ext>
      </extLst>
    </bk>
    <bk>
      <extLst>
        <ext uri="{3e2802c4-a4d2-4d8b-9148-e3be6c30e623}">
          <xlrd:rvb i="2258"/>
        </ext>
      </extLst>
    </bk>
    <bk>
      <extLst>
        <ext uri="{3e2802c4-a4d2-4d8b-9148-e3be6c30e623}">
          <xlrd:rvb i="2259"/>
        </ext>
      </extLst>
    </bk>
    <bk>
      <extLst>
        <ext uri="{3e2802c4-a4d2-4d8b-9148-e3be6c30e623}">
          <xlrd:rvb i="2260"/>
        </ext>
      </extLst>
    </bk>
    <bk>
      <extLst>
        <ext uri="{3e2802c4-a4d2-4d8b-9148-e3be6c30e623}">
          <xlrd:rvb i="2261"/>
        </ext>
      </extLst>
    </bk>
    <bk>
      <extLst>
        <ext uri="{3e2802c4-a4d2-4d8b-9148-e3be6c30e623}">
          <xlrd:rvb i="2262"/>
        </ext>
      </extLst>
    </bk>
    <bk>
      <extLst>
        <ext uri="{3e2802c4-a4d2-4d8b-9148-e3be6c30e623}">
          <xlrd:rvb i="2263"/>
        </ext>
      </extLst>
    </bk>
    <bk>
      <extLst>
        <ext uri="{3e2802c4-a4d2-4d8b-9148-e3be6c30e623}">
          <xlrd:rvb i="2264"/>
        </ext>
      </extLst>
    </bk>
    <bk>
      <extLst>
        <ext uri="{3e2802c4-a4d2-4d8b-9148-e3be6c30e623}">
          <xlrd:rvb i="2265"/>
        </ext>
      </extLst>
    </bk>
    <bk>
      <extLst>
        <ext uri="{3e2802c4-a4d2-4d8b-9148-e3be6c30e623}">
          <xlrd:rvb i="2266"/>
        </ext>
      </extLst>
    </bk>
    <bk>
      <extLst>
        <ext uri="{3e2802c4-a4d2-4d8b-9148-e3be6c30e623}">
          <xlrd:rvb i="2267"/>
        </ext>
      </extLst>
    </bk>
    <bk>
      <extLst>
        <ext uri="{3e2802c4-a4d2-4d8b-9148-e3be6c30e623}">
          <xlrd:rvb i="2268"/>
        </ext>
      </extLst>
    </bk>
    <bk>
      <extLst>
        <ext uri="{3e2802c4-a4d2-4d8b-9148-e3be6c30e623}">
          <xlrd:rvb i="2269"/>
        </ext>
      </extLst>
    </bk>
    <bk>
      <extLst>
        <ext uri="{3e2802c4-a4d2-4d8b-9148-e3be6c30e623}">
          <xlrd:rvb i="2270"/>
        </ext>
      </extLst>
    </bk>
    <bk>
      <extLst>
        <ext uri="{3e2802c4-a4d2-4d8b-9148-e3be6c30e623}">
          <xlrd:rvb i="2271"/>
        </ext>
      </extLst>
    </bk>
    <bk>
      <extLst>
        <ext uri="{3e2802c4-a4d2-4d8b-9148-e3be6c30e623}">
          <xlrd:rvb i="2272"/>
        </ext>
      </extLst>
    </bk>
    <bk>
      <extLst>
        <ext uri="{3e2802c4-a4d2-4d8b-9148-e3be6c30e623}">
          <xlrd:rvb i="2273"/>
        </ext>
      </extLst>
    </bk>
    <bk>
      <extLst>
        <ext uri="{3e2802c4-a4d2-4d8b-9148-e3be6c30e623}">
          <xlrd:rvb i="2274"/>
        </ext>
      </extLst>
    </bk>
    <bk>
      <extLst>
        <ext uri="{3e2802c4-a4d2-4d8b-9148-e3be6c30e623}">
          <xlrd:rvb i="2275"/>
        </ext>
      </extLst>
    </bk>
    <bk>
      <extLst>
        <ext uri="{3e2802c4-a4d2-4d8b-9148-e3be6c30e623}">
          <xlrd:rvb i="2276"/>
        </ext>
      </extLst>
    </bk>
    <bk>
      <extLst>
        <ext uri="{3e2802c4-a4d2-4d8b-9148-e3be6c30e623}">
          <xlrd:rvb i="2277"/>
        </ext>
      </extLst>
    </bk>
    <bk>
      <extLst>
        <ext uri="{3e2802c4-a4d2-4d8b-9148-e3be6c30e623}">
          <xlrd:rvb i="2278"/>
        </ext>
      </extLst>
    </bk>
    <bk>
      <extLst>
        <ext uri="{3e2802c4-a4d2-4d8b-9148-e3be6c30e623}">
          <xlrd:rvb i="2279"/>
        </ext>
      </extLst>
    </bk>
    <bk>
      <extLst>
        <ext uri="{3e2802c4-a4d2-4d8b-9148-e3be6c30e623}">
          <xlrd:rvb i="2280"/>
        </ext>
      </extLst>
    </bk>
    <bk>
      <extLst>
        <ext uri="{3e2802c4-a4d2-4d8b-9148-e3be6c30e623}">
          <xlrd:rvb i="2281"/>
        </ext>
      </extLst>
    </bk>
    <bk>
      <extLst>
        <ext uri="{3e2802c4-a4d2-4d8b-9148-e3be6c30e623}">
          <xlrd:rvb i="2282"/>
        </ext>
      </extLst>
    </bk>
    <bk>
      <extLst>
        <ext uri="{3e2802c4-a4d2-4d8b-9148-e3be6c30e623}">
          <xlrd:rvb i="2283"/>
        </ext>
      </extLst>
    </bk>
    <bk>
      <extLst>
        <ext uri="{3e2802c4-a4d2-4d8b-9148-e3be6c30e623}">
          <xlrd:rvb i="2284"/>
        </ext>
      </extLst>
    </bk>
    <bk>
      <extLst>
        <ext uri="{3e2802c4-a4d2-4d8b-9148-e3be6c30e623}">
          <xlrd:rvb i="2285"/>
        </ext>
      </extLst>
    </bk>
    <bk>
      <extLst>
        <ext uri="{3e2802c4-a4d2-4d8b-9148-e3be6c30e623}">
          <xlrd:rvb i="2286"/>
        </ext>
      </extLst>
    </bk>
    <bk>
      <extLst>
        <ext uri="{3e2802c4-a4d2-4d8b-9148-e3be6c30e623}">
          <xlrd:rvb i="2287"/>
        </ext>
      </extLst>
    </bk>
    <bk>
      <extLst>
        <ext uri="{3e2802c4-a4d2-4d8b-9148-e3be6c30e623}">
          <xlrd:rvb i="2288"/>
        </ext>
      </extLst>
    </bk>
    <bk>
      <extLst>
        <ext uri="{3e2802c4-a4d2-4d8b-9148-e3be6c30e623}">
          <xlrd:rvb i="2289"/>
        </ext>
      </extLst>
    </bk>
    <bk>
      <extLst>
        <ext uri="{3e2802c4-a4d2-4d8b-9148-e3be6c30e623}">
          <xlrd:rvb i="2290"/>
        </ext>
      </extLst>
    </bk>
    <bk>
      <extLst>
        <ext uri="{3e2802c4-a4d2-4d8b-9148-e3be6c30e623}">
          <xlrd:rvb i="2291"/>
        </ext>
      </extLst>
    </bk>
    <bk>
      <extLst>
        <ext uri="{3e2802c4-a4d2-4d8b-9148-e3be6c30e623}">
          <xlrd:rvb i="2292"/>
        </ext>
      </extLst>
    </bk>
    <bk>
      <extLst>
        <ext uri="{3e2802c4-a4d2-4d8b-9148-e3be6c30e623}">
          <xlrd:rvb i="2293"/>
        </ext>
      </extLst>
    </bk>
    <bk>
      <extLst>
        <ext uri="{3e2802c4-a4d2-4d8b-9148-e3be6c30e623}">
          <xlrd:rvb i="2294"/>
        </ext>
      </extLst>
    </bk>
    <bk>
      <extLst>
        <ext uri="{3e2802c4-a4d2-4d8b-9148-e3be6c30e623}">
          <xlrd:rvb i="2295"/>
        </ext>
      </extLst>
    </bk>
    <bk>
      <extLst>
        <ext uri="{3e2802c4-a4d2-4d8b-9148-e3be6c30e623}">
          <xlrd:rvb i="2296"/>
        </ext>
      </extLst>
    </bk>
    <bk>
      <extLst>
        <ext uri="{3e2802c4-a4d2-4d8b-9148-e3be6c30e623}">
          <xlrd:rvb i="2297"/>
        </ext>
      </extLst>
    </bk>
    <bk>
      <extLst>
        <ext uri="{3e2802c4-a4d2-4d8b-9148-e3be6c30e623}">
          <xlrd:rvb i="2298"/>
        </ext>
      </extLst>
    </bk>
    <bk>
      <extLst>
        <ext uri="{3e2802c4-a4d2-4d8b-9148-e3be6c30e623}">
          <xlrd:rvb i="2299"/>
        </ext>
      </extLst>
    </bk>
    <bk>
      <extLst>
        <ext uri="{3e2802c4-a4d2-4d8b-9148-e3be6c30e623}">
          <xlrd:rvb i="2300"/>
        </ext>
      </extLst>
    </bk>
    <bk>
      <extLst>
        <ext uri="{3e2802c4-a4d2-4d8b-9148-e3be6c30e623}">
          <xlrd:rvb i="2301"/>
        </ext>
      </extLst>
    </bk>
    <bk>
      <extLst>
        <ext uri="{3e2802c4-a4d2-4d8b-9148-e3be6c30e623}">
          <xlrd:rvb i="2302"/>
        </ext>
      </extLst>
    </bk>
    <bk>
      <extLst>
        <ext uri="{3e2802c4-a4d2-4d8b-9148-e3be6c30e623}">
          <xlrd:rvb i="2303"/>
        </ext>
      </extLst>
    </bk>
    <bk>
      <extLst>
        <ext uri="{3e2802c4-a4d2-4d8b-9148-e3be6c30e623}">
          <xlrd:rvb i="2304"/>
        </ext>
      </extLst>
    </bk>
    <bk>
      <extLst>
        <ext uri="{3e2802c4-a4d2-4d8b-9148-e3be6c30e623}">
          <xlrd:rvb i="2305"/>
        </ext>
      </extLst>
    </bk>
    <bk>
      <extLst>
        <ext uri="{3e2802c4-a4d2-4d8b-9148-e3be6c30e623}">
          <xlrd:rvb i="2306"/>
        </ext>
      </extLst>
    </bk>
    <bk>
      <extLst>
        <ext uri="{3e2802c4-a4d2-4d8b-9148-e3be6c30e623}">
          <xlrd:rvb i="2307"/>
        </ext>
      </extLst>
    </bk>
    <bk>
      <extLst>
        <ext uri="{3e2802c4-a4d2-4d8b-9148-e3be6c30e623}">
          <xlrd:rvb i="2308"/>
        </ext>
      </extLst>
    </bk>
    <bk>
      <extLst>
        <ext uri="{3e2802c4-a4d2-4d8b-9148-e3be6c30e623}">
          <xlrd:rvb i="2309"/>
        </ext>
      </extLst>
    </bk>
    <bk>
      <extLst>
        <ext uri="{3e2802c4-a4d2-4d8b-9148-e3be6c30e623}">
          <xlrd:rvb i="2310"/>
        </ext>
      </extLst>
    </bk>
    <bk>
      <extLst>
        <ext uri="{3e2802c4-a4d2-4d8b-9148-e3be6c30e623}">
          <xlrd:rvb i="2311"/>
        </ext>
      </extLst>
    </bk>
    <bk>
      <extLst>
        <ext uri="{3e2802c4-a4d2-4d8b-9148-e3be6c30e623}">
          <xlrd:rvb i="2312"/>
        </ext>
      </extLst>
    </bk>
    <bk>
      <extLst>
        <ext uri="{3e2802c4-a4d2-4d8b-9148-e3be6c30e623}">
          <xlrd:rvb i="2313"/>
        </ext>
      </extLst>
    </bk>
    <bk>
      <extLst>
        <ext uri="{3e2802c4-a4d2-4d8b-9148-e3be6c30e623}">
          <xlrd:rvb i="2314"/>
        </ext>
      </extLst>
    </bk>
    <bk>
      <extLst>
        <ext uri="{3e2802c4-a4d2-4d8b-9148-e3be6c30e623}">
          <xlrd:rvb i="2315"/>
        </ext>
      </extLst>
    </bk>
    <bk>
      <extLst>
        <ext uri="{3e2802c4-a4d2-4d8b-9148-e3be6c30e623}">
          <xlrd:rvb i="2316"/>
        </ext>
      </extLst>
    </bk>
    <bk>
      <extLst>
        <ext uri="{3e2802c4-a4d2-4d8b-9148-e3be6c30e623}">
          <xlrd:rvb i="2317"/>
        </ext>
      </extLst>
    </bk>
    <bk>
      <extLst>
        <ext uri="{3e2802c4-a4d2-4d8b-9148-e3be6c30e623}">
          <xlrd:rvb i="2318"/>
        </ext>
      </extLst>
    </bk>
    <bk>
      <extLst>
        <ext uri="{3e2802c4-a4d2-4d8b-9148-e3be6c30e623}">
          <xlrd:rvb i="2319"/>
        </ext>
      </extLst>
    </bk>
    <bk>
      <extLst>
        <ext uri="{3e2802c4-a4d2-4d8b-9148-e3be6c30e623}">
          <xlrd:rvb i="2320"/>
        </ext>
      </extLst>
    </bk>
    <bk>
      <extLst>
        <ext uri="{3e2802c4-a4d2-4d8b-9148-e3be6c30e623}">
          <xlrd:rvb i="2321"/>
        </ext>
      </extLst>
    </bk>
    <bk>
      <extLst>
        <ext uri="{3e2802c4-a4d2-4d8b-9148-e3be6c30e623}">
          <xlrd:rvb i="2322"/>
        </ext>
      </extLst>
    </bk>
    <bk>
      <extLst>
        <ext uri="{3e2802c4-a4d2-4d8b-9148-e3be6c30e623}">
          <xlrd:rvb i="2323"/>
        </ext>
      </extLst>
    </bk>
    <bk>
      <extLst>
        <ext uri="{3e2802c4-a4d2-4d8b-9148-e3be6c30e623}">
          <xlrd:rvb i="2324"/>
        </ext>
      </extLst>
    </bk>
    <bk>
      <extLst>
        <ext uri="{3e2802c4-a4d2-4d8b-9148-e3be6c30e623}">
          <xlrd:rvb i="2325"/>
        </ext>
      </extLst>
    </bk>
    <bk>
      <extLst>
        <ext uri="{3e2802c4-a4d2-4d8b-9148-e3be6c30e623}">
          <xlrd:rvb i="2326"/>
        </ext>
      </extLst>
    </bk>
    <bk>
      <extLst>
        <ext uri="{3e2802c4-a4d2-4d8b-9148-e3be6c30e623}">
          <xlrd:rvb i="2327"/>
        </ext>
      </extLst>
    </bk>
    <bk>
      <extLst>
        <ext uri="{3e2802c4-a4d2-4d8b-9148-e3be6c30e623}">
          <xlrd:rvb i="2328"/>
        </ext>
      </extLst>
    </bk>
    <bk>
      <extLst>
        <ext uri="{3e2802c4-a4d2-4d8b-9148-e3be6c30e623}">
          <xlrd:rvb i="2329"/>
        </ext>
      </extLst>
    </bk>
    <bk>
      <extLst>
        <ext uri="{3e2802c4-a4d2-4d8b-9148-e3be6c30e623}">
          <xlrd:rvb i="2330"/>
        </ext>
      </extLst>
    </bk>
    <bk>
      <extLst>
        <ext uri="{3e2802c4-a4d2-4d8b-9148-e3be6c30e623}">
          <xlrd:rvb i="2331"/>
        </ext>
      </extLst>
    </bk>
    <bk>
      <extLst>
        <ext uri="{3e2802c4-a4d2-4d8b-9148-e3be6c30e623}">
          <xlrd:rvb i="2332"/>
        </ext>
      </extLst>
    </bk>
    <bk>
      <extLst>
        <ext uri="{3e2802c4-a4d2-4d8b-9148-e3be6c30e623}">
          <xlrd:rvb i="2333"/>
        </ext>
      </extLst>
    </bk>
    <bk>
      <extLst>
        <ext uri="{3e2802c4-a4d2-4d8b-9148-e3be6c30e623}">
          <xlrd:rvb i="2334"/>
        </ext>
      </extLst>
    </bk>
    <bk>
      <extLst>
        <ext uri="{3e2802c4-a4d2-4d8b-9148-e3be6c30e623}">
          <xlrd:rvb i="2335"/>
        </ext>
      </extLst>
    </bk>
    <bk>
      <extLst>
        <ext uri="{3e2802c4-a4d2-4d8b-9148-e3be6c30e623}">
          <xlrd:rvb i="2336"/>
        </ext>
      </extLst>
    </bk>
    <bk>
      <extLst>
        <ext uri="{3e2802c4-a4d2-4d8b-9148-e3be6c30e623}">
          <xlrd:rvb i="2337"/>
        </ext>
      </extLst>
    </bk>
    <bk>
      <extLst>
        <ext uri="{3e2802c4-a4d2-4d8b-9148-e3be6c30e623}">
          <xlrd:rvb i="2338"/>
        </ext>
      </extLst>
    </bk>
    <bk>
      <extLst>
        <ext uri="{3e2802c4-a4d2-4d8b-9148-e3be6c30e623}">
          <xlrd:rvb i="2339"/>
        </ext>
      </extLst>
    </bk>
    <bk>
      <extLst>
        <ext uri="{3e2802c4-a4d2-4d8b-9148-e3be6c30e623}">
          <xlrd:rvb i="2340"/>
        </ext>
      </extLst>
    </bk>
    <bk>
      <extLst>
        <ext uri="{3e2802c4-a4d2-4d8b-9148-e3be6c30e623}">
          <xlrd:rvb i="2341"/>
        </ext>
      </extLst>
    </bk>
    <bk>
      <extLst>
        <ext uri="{3e2802c4-a4d2-4d8b-9148-e3be6c30e623}">
          <xlrd:rvb i="2342"/>
        </ext>
      </extLst>
    </bk>
    <bk>
      <extLst>
        <ext uri="{3e2802c4-a4d2-4d8b-9148-e3be6c30e623}">
          <xlrd:rvb i="2343"/>
        </ext>
      </extLst>
    </bk>
    <bk>
      <extLst>
        <ext uri="{3e2802c4-a4d2-4d8b-9148-e3be6c30e623}">
          <xlrd:rvb i="2344"/>
        </ext>
      </extLst>
    </bk>
    <bk>
      <extLst>
        <ext uri="{3e2802c4-a4d2-4d8b-9148-e3be6c30e623}">
          <xlrd:rvb i="2345"/>
        </ext>
      </extLst>
    </bk>
    <bk>
      <extLst>
        <ext uri="{3e2802c4-a4d2-4d8b-9148-e3be6c30e623}">
          <xlrd:rvb i="2346"/>
        </ext>
      </extLst>
    </bk>
    <bk>
      <extLst>
        <ext uri="{3e2802c4-a4d2-4d8b-9148-e3be6c30e623}">
          <xlrd:rvb i="2347"/>
        </ext>
      </extLst>
    </bk>
    <bk>
      <extLst>
        <ext uri="{3e2802c4-a4d2-4d8b-9148-e3be6c30e623}">
          <xlrd:rvb i="2348"/>
        </ext>
      </extLst>
    </bk>
    <bk>
      <extLst>
        <ext uri="{3e2802c4-a4d2-4d8b-9148-e3be6c30e623}">
          <xlrd:rvb i="2349"/>
        </ext>
      </extLst>
    </bk>
    <bk>
      <extLst>
        <ext uri="{3e2802c4-a4d2-4d8b-9148-e3be6c30e623}">
          <xlrd:rvb i="2350"/>
        </ext>
      </extLst>
    </bk>
    <bk>
      <extLst>
        <ext uri="{3e2802c4-a4d2-4d8b-9148-e3be6c30e623}">
          <xlrd:rvb i="2351"/>
        </ext>
      </extLst>
    </bk>
    <bk>
      <extLst>
        <ext uri="{3e2802c4-a4d2-4d8b-9148-e3be6c30e623}">
          <xlrd:rvb i="2352"/>
        </ext>
      </extLst>
    </bk>
    <bk>
      <extLst>
        <ext uri="{3e2802c4-a4d2-4d8b-9148-e3be6c30e623}">
          <xlrd:rvb i="2353"/>
        </ext>
      </extLst>
    </bk>
    <bk>
      <extLst>
        <ext uri="{3e2802c4-a4d2-4d8b-9148-e3be6c30e623}">
          <xlrd:rvb i="2354"/>
        </ext>
      </extLst>
    </bk>
    <bk>
      <extLst>
        <ext uri="{3e2802c4-a4d2-4d8b-9148-e3be6c30e623}">
          <xlrd:rvb i="2355"/>
        </ext>
      </extLst>
    </bk>
    <bk>
      <extLst>
        <ext uri="{3e2802c4-a4d2-4d8b-9148-e3be6c30e623}">
          <xlrd:rvb i="2356"/>
        </ext>
      </extLst>
    </bk>
    <bk>
      <extLst>
        <ext uri="{3e2802c4-a4d2-4d8b-9148-e3be6c30e623}">
          <xlrd:rvb i="2357"/>
        </ext>
      </extLst>
    </bk>
    <bk>
      <extLst>
        <ext uri="{3e2802c4-a4d2-4d8b-9148-e3be6c30e623}">
          <xlrd:rvb i="2358"/>
        </ext>
      </extLst>
    </bk>
    <bk>
      <extLst>
        <ext uri="{3e2802c4-a4d2-4d8b-9148-e3be6c30e623}">
          <xlrd:rvb i="2359"/>
        </ext>
      </extLst>
    </bk>
    <bk>
      <extLst>
        <ext uri="{3e2802c4-a4d2-4d8b-9148-e3be6c30e623}">
          <xlrd:rvb i="2360"/>
        </ext>
      </extLst>
    </bk>
    <bk>
      <extLst>
        <ext uri="{3e2802c4-a4d2-4d8b-9148-e3be6c30e623}">
          <xlrd:rvb i="2361"/>
        </ext>
      </extLst>
    </bk>
    <bk>
      <extLst>
        <ext uri="{3e2802c4-a4d2-4d8b-9148-e3be6c30e623}">
          <xlrd:rvb i="2362"/>
        </ext>
      </extLst>
    </bk>
    <bk>
      <extLst>
        <ext uri="{3e2802c4-a4d2-4d8b-9148-e3be6c30e623}">
          <xlrd:rvb i="2363"/>
        </ext>
      </extLst>
    </bk>
    <bk>
      <extLst>
        <ext uri="{3e2802c4-a4d2-4d8b-9148-e3be6c30e623}">
          <xlrd:rvb i="2364"/>
        </ext>
      </extLst>
    </bk>
    <bk>
      <extLst>
        <ext uri="{3e2802c4-a4d2-4d8b-9148-e3be6c30e623}">
          <xlrd:rvb i="2365"/>
        </ext>
      </extLst>
    </bk>
    <bk>
      <extLst>
        <ext uri="{3e2802c4-a4d2-4d8b-9148-e3be6c30e623}">
          <xlrd:rvb i="2366"/>
        </ext>
      </extLst>
    </bk>
    <bk>
      <extLst>
        <ext uri="{3e2802c4-a4d2-4d8b-9148-e3be6c30e623}">
          <xlrd:rvb i="2367"/>
        </ext>
      </extLst>
    </bk>
    <bk>
      <extLst>
        <ext uri="{3e2802c4-a4d2-4d8b-9148-e3be6c30e623}">
          <xlrd:rvb i="2368"/>
        </ext>
      </extLst>
    </bk>
    <bk>
      <extLst>
        <ext uri="{3e2802c4-a4d2-4d8b-9148-e3be6c30e623}">
          <xlrd:rvb i="2369"/>
        </ext>
      </extLst>
    </bk>
    <bk>
      <extLst>
        <ext uri="{3e2802c4-a4d2-4d8b-9148-e3be6c30e623}">
          <xlrd:rvb i="2370"/>
        </ext>
      </extLst>
    </bk>
    <bk>
      <extLst>
        <ext uri="{3e2802c4-a4d2-4d8b-9148-e3be6c30e623}">
          <xlrd:rvb i="2371"/>
        </ext>
      </extLst>
    </bk>
    <bk>
      <extLst>
        <ext uri="{3e2802c4-a4d2-4d8b-9148-e3be6c30e623}">
          <xlrd:rvb i="2372"/>
        </ext>
      </extLst>
    </bk>
    <bk>
      <extLst>
        <ext uri="{3e2802c4-a4d2-4d8b-9148-e3be6c30e623}">
          <xlrd:rvb i="2373"/>
        </ext>
      </extLst>
    </bk>
    <bk>
      <extLst>
        <ext uri="{3e2802c4-a4d2-4d8b-9148-e3be6c30e623}">
          <xlrd:rvb i="2374"/>
        </ext>
      </extLst>
    </bk>
    <bk>
      <extLst>
        <ext uri="{3e2802c4-a4d2-4d8b-9148-e3be6c30e623}">
          <xlrd:rvb i="2375"/>
        </ext>
      </extLst>
    </bk>
    <bk>
      <extLst>
        <ext uri="{3e2802c4-a4d2-4d8b-9148-e3be6c30e623}">
          <xlrd:rvb i="2376"/>
        </ext>
      </extLst>
    </bk>
    <bk>
      <extLst>
        <ext uri="{3e2802c4-a4d2-4d8b-9148-e3be6c30e623}">
          <xlrd:rvb i="2377"/>
        </ext>
      </extLst>
    </bk>
    <bk>
      <extLst>
        <ext uri="{3e2802c4-a4d2-4d8b-9148-e3be6c30e623}">
          <xlrd:rvb i="2378"/>
        </ext>
      </extLst>
    </bk>
    <bk>
      <extLst>
        <ext uri="{3e2802c4-a4d2-4d8b-9148-e3be6c30e623}">
          <xlrd:rvb i="2379"/>
        </ext>
      </extLst>
    </bk>
    <bk>
      <extLst>
        <ext uri="{3e2802c4-a4d2-4d8b-9148-e3be6c30e623}">
          <xlrd:rvb i="2380"/>
        </ext>
      </extLst>
    </bk>
    <bk>
      <extLst>
        <ext uri="{3e2802c4-a4d2-4d8b-9148-e3be6c30e623}">
          <xlrd:rvb i="2381"/>
        </ext>
      </extLst>
    </bk>
    <bk>
      <extLst>
        <ext uri="{3e2802c4-a4d2-4d8b-9148-e3be6c30e623}">
          <xlrd:rvb i="2382"/>
        </ext>
      </extLst>
    </bk>
    <bk>
      <extLst>
        <ext uri="{3e2802c4-a4d2-4d8b-9148-e3be6c30e623}">
          <xlrd:rvb i="2383"/>
        </ext>
      </extLst>
    </bk>
    <bk>
      <extLst>
        <ext uri="{3e2802c4-a4d2-4d8b-9148-e3be6c30e623}">
          <xlrd:rvb i="2384"/>
        </ext>
      </extLst>
    </bk>
    <bk>
      <extLst>
        <ext uri="{3e2802c4-a4d2-4d8b-9148-e3be6c30e623}">
          <xlrd:rvb i="2385"/>
        </ext>
      </extLst>
    </bk>
    <bk>
      <extLst>
        <ext uri="{3e2802c4-a4d2-4d8b-9148-e3be6c30e623}">
          <xlrd:rvb i="2386"/>
        </ext>
      </extLst>
    </bk>
    <bk>
      <extLst>
        <ext uri="{3e2802c4-a4d2-4d8b-9148-e3be6c30e623}">
          <xlrd:rvb i="2387"/>
        </ext>
      </extLst>
    </bk>
    <bk>
      <extLst>
        <ext uri="{3e2802c4-a4d2-4d8b-9148-e3be6c30e623}">
          <xlrd:rvb i="2388"/>
        </ext>
      </extLst>
    </bk>
    <bk>
      <extLst>
        <ext uri="{3e2802c4-a4d2-4d8b-9148-e3be6c30e623}">
          <xlrd:rvb i="2389"/>
        </ext>
      </extLst>
    </bk>
    <bk>
      <extLst>
        <ext uri="{3e2802c4-a4d2-4d8b-9148-e3be6c30e623}">
          <xlrd:rvb i="2390"/>
        </ext>
      </extLst>
    </bk>
    <bk>
      <extLst>
        <ext uri="{3e2802c4-a4d2-4d8b-9148-e3be6c30e623}">
          <xlrd:rvb i="2391"/>
        </ext>
      </extLst>
    </bk>
    <bk>
      <extLst>
        <ext uri="{3e2802c4-a4d2-4d8b-9148-e3be6c30e623}">
          <xlrd:rvb i="2392"/>
        </ext>
      </extLst>
    </bk>
    <bk>
      <extLst>
        <ext uri="{3e2802c4-a4d2-4d8b-9148-e3be6c30e623}">
          <xlrd:rvb i="2393"/>
        </ext>
      </extLst>
    </bk>
    <bk>
      <extLst>
        <ext uri="{3e2802c4-a4d2-4d8b-9148-e3be6c30e623}">
          <xlrd:rvb i="2394"/>
        </ext>
      </extLst>
    </bk>
    <bk>
      <extLst>
        <ext uri="{3e2802c4-a4d2-4d8b-9148-e3be6c30e623}">
          <xlrd:rvb i="2395"/>
        </ext>
      </extLst>
    </bk>
    <bk>
      <extLst>
        <ext uri="{3e2802c4-a4d2-4d8b-9148-e3be6c30e623}">
          <xlrd:rvb i="2396"/>
        </ext>
      </extLst>
    </bk>
    <bk>
      <extLst>
        <ext uri="{3e2802c4-a4d2-4d8b-9148-e3be6c30e623}">
          <xlrd:rvb i="2397"/>
        </ext>
      </extLst>
    </bk>
    <bk>
      <extLst>
        <ext uri="{3e2802c4-a4d2-4d8b-9148-e3be6c30e623}">
          <xlrd:rvb i="2398"/>
        </ext>
      </extLst>
    </bk>
    <bk>
      <extLst>
        <ext uri="{3e2802c4-a4d2-4d8b-9148-e3be6c30e623}">
          <xlrd:rvb i="2399"/>
        </ext>
      </extLst>
    </bk>
    <bk>
      <extLst>
        <ext uri="{3e2802c4-a4d2-4d8b-9148-e3be6c30e623}">
          <xlrd:rvb i="2400"/>
        </ext>
      </extLst>
    </bk>
    <bk>
      <extLst>
        <ext uri="{3e2802c4-a4d2-4d8b-9148-e3be6c30e623}">
          <xlrd:rvb i="2401"/>
        </ext>
      </extLst>
    </bk>
    <bk>
      <extLst>
        <ext uri="{3e2802c4-a4d2-4d8b-9148-e3be6c30e623}">
          <xlrd:rvb i="2402"/>
        </ext>
      </extLst>
    </bk>
    <bk>
      <extLst>
        <ext uri="{3e2802c4-a4d2-4d8b-9148-e3be6c30e623}">
          <xlrd:rvb i="2403"/>
        </ext>
      </extLst>
    </bk>
    <bk>
      <extLst>
        <ext uri="{3e2802c4-a4d2-4d8b-9148-e3be6c30e623}">
          <xlrd:rvb i="2404"/>
        </ext>
      </extLst>
    </bk>
    <bk>
      <extLst>
        <ext uri="{3e2802c4-a4d2-4d8b-9148-e3be6c30e623}">
          <xlrd:rvb i="2405"/>
        </ext>
      </extLst>
    </bk>
    <bk>
      <extLst>
        <ext uri="{3e2802c4-a4d2-4d8b-9148-e3be6c30e623}">
          <xlrd:rvb i="2406"/>
        </ext>
      </extLst>
    </bk>
    <bk>
      <extLst>
        <ext uri="{3e2802c4-a4d2-4d8b-9148-e3be6c30e623}">
          <xlrd:rvb i="2407"/>
        </ext>
      </extLst>
    </bk>
    <bk>
      <extLst>
        <ext uri="{3e2802c4-a4d2-4d8b-9148-e3be6c30e623}">
          <xlrd:rvb i="2408"/>
        </ext>
      </extLst>
    </bk>
    <bk>
      <extLst>
        <ext uri="{3e2802c4-a4d2-4d8b-9148-e3be6c30e623}">
          <xlrd:rvb i="2409"/>
        </ext>
      </extLst>
    </bk>
    <bk>
      <extLst>
        <ext uri="{3e2802c4-a4d2-4d8b-9148-e3be6c30e623}">
          <xlrd:rvb i="2410"/>
        </ext>
      </extLst>
    </bk>
    <bk>
      <extLst>
        <ext uri="{3e2802c4-a4d2-4d8b-9148-e3be6c30e623}">
          <xlrd:rvb i="2411"/>
        </ext>
      </extLst>
    </bk>
    <bk>
      <extLst>
        <ext uri="{3e2802c4-a4d2-4d8b-9148-e3be6c30e623}">
          <xlrd:rvb i="2412"/>
        </ext>
      </extLst>
    </bk>
    <bk>
      <extLst>
        <ext uri="{3e2802c4-a4d2-4d8b-9148-e3be6c30e623}">
          <xlrd:rvb i="2413"/>
        </ext>
      </extLst>
    </bk>
    <bk>
      <extLst>
        <ext uri="{3e2802c4-a4d2-4d8b-9148-e3be6c30e623}">
          <xlrd:rvb i="2414"/>
        </ext>
      </extLst>
    </bk>
    <bk>
      <extLst>
        <ext uri="{3e2802c4-a4d2-4d8b-9148-e3be6c30e623}">
          <xlrd:rvb i="2415"/>
        </ext>
      </extLst>
    </bk>
    <bk>
      <extLst>
        <ext uri="{3e2802c4-a4d2-4d8b-9148-e3be6c30e623}">
          <xlrd:rvb i="2416"/>
        </ext>
      </extLst>
    </bk>
    <bk>
      <extLst>
        <ext uri="{3e2802c4-a4d2-4d8b-9148-e3be6c30e623}">
          <xlrd:rvb i="2417"/>
        </ext>
      </extLst>
    </bk>
    <bk>
      <extLst>
        <ext uri="{3e2802c4-a4d2-4d8b-9148-e3be6c30e623}">
          <xlrd:rvb i="2418"/>
        </ext>
      </extLst>
    </bk>
    <bk>
      <extLst>
        <ext uri="{3e2802c4-a4d2-4d8b-9148-e3be6c30e623}">
          <xlrd:rvb i="2419"/>
        </ext>
      </extLst>
    </bk>
    <bk>
      <extLst>
        <ext uri="{3e2802c4-a4d2-4d8b-9148-e3be6c30e623}">
          <xlrd:rvb i="2420"/>
        </ext>
      </extLst>
    </bk>
    <bk>
      <extLst>
        <ext uri="{3e2802c4-a4d2-4d8b-9148-e3be6c30e623}">
          <xlrd:rvb i="2421"/>
        </ext>
      </extLst>
    </bk>
    <bk>
      <extLst>
        <ext uri="{3e2802c4-a4d2-4d8b-9148-e3be6c30e623}">
          <xlrd:rvb i="2422"/>
        </ext>
      </extLst>
    </bk>
    <bk>
      <extLst>
        <ext uri="{3e2802c4-a4d2-4d8b-9148-e3be6c30e623}">
          <xlrd:rvb i="2423"/>
        </ext>
      </extLst>
    </bk>
    <bk>
      <extLst>
        <ext uri="{3e2802c4-a4d2-4d8b-9148-e3be6c30e623}">
          <xlrd:rvb i="2424"/>
        </ext>
      </extLst>
    </bk>
    <bk>
      <extLst>
        <ext uri="{3e2802c4-a4d2-4d8b-9148-e3be6c30e623}">
          <xlrd:rvb i="2425"/>
        </ext>
      </extLst>
    </bk>
    <bk>
      <extLst>
        <ext uri="{3e2802c4-a4d2-4d8b-9148-e3be6c30e623}">
          <xlrd:rvb i="2426"/>
        </ext>
      </extLst>
    </bk>
    <bk>
      <extLst>
        <ext uri="{3e2802c4-a4d2-4d8b-9148-e3be6c30e623}">
          <xlrd:rvb i="2427"/>
        </ext>
      </extLst>
    </bk>
    <bk>
      <extLst>
        <ext uri="{3e2802c4-a4d2-4d8b-9148-e3be6c30e623}">
          <xlrd:rvb i="2428"/>
        </ext>
      </extLst>
    </bk>
    <bk>
      <extLst>
        <ext uri="{3e2802c4-a4d2-4d8b-9148-e3be6c30e623}">
          <xlrd:rvb i="2429"/>
        </ext>
      </extLst>
    </bk>
    <bk>
      <extLst>
        <ext uri="{3e2802c4-a4d2-4d8b-9148-e3be6c30e623}">
          <xlrd:rvb i="2430"/>
        </ext>
      </extLst>
    </bk>
    <bk>
      <extLst>
        <ext uri="{3e2802c4-a4d2-4d8b-9148-e3be6c30e623}">
          <xlrd:rvb i="2431"/>
        </ext>
      </extLst>
    </bk>
    <bk>
      <extLst>
        <ext uri="{3e2802c4-a4d2-4d8b-9148-e3be6c30e623}">
          <xlrd:rvb i="2432"/>
        </ext>
      </extLst>
    </bk>
    <bk>
      <extLst>
        <ext uri="{3e2802c4-a4d2-4d8b-9148-e3be6c30e623}">
          <xlrd:rvb i="2433"/>
        </ext>
      </extLst>
    </bk>
    <bk>
      <extLst>
        <ext uri="{3e2802c4-a4d2-4d8b-9148-e3be6c30e623}">
          <xlrd:rvb i="2434"/>
        </ext>
      </extLst>
    </bk>
    <bk>
      <extLst>
        <ext uri="{3e2802c4-a4d2-4d8b-9148-e3be6c30e623}">
          <xlrd:rvb i="2435"/>
        </ext>
      </extLst>
    </bk>
    <bk>
      <extLst>
        <ext uri="{3e2802c4-a4d2-4d8b-9148-e3be6c30e623}">
          <xlrd:rvb i="2436"/>
        </ext>
      </extLst>
    </bk>
    <bk>
      <extLst>
        <ext uri="{3e2802c4-a4d2-4d8b-9148-e3be6c30e623}">
          <xlrd:rvb i="2437"/>
        </ext>
      </extLst>
    </bk>
    <bk>
      <extLst>
        <ext uri="{3e2802c4-a4d2-4d8b-9148-e3be6c30e623}">
          <xlrd:rvb i="2438"/>
        </ext>
      </extLst>
    </bk>
    <bk>
      <extLst>
        <ext uri="{3e2802c4-a4d2-4d8b-9148-e3be6c30e623}">
          <xlrd:rvb i="2439"/>
        </ext>
      </extLst>
    </bk>
    <bk>
      <extLst>
        <ext uri="{3e2802c4-a4d2-4d8b-9148-e3be6c30e623}">
          <xlrd:rvb i="2440"/>
        </ext>
      </extLst>
    </bk>
    <bk>
      <extLst>
        <ext uri="{3e2802c4-a4d2-4d8b-9148-e3be6c30e623}">
          <xlrd:rvb i="2441"/>
        </ext>
      </extLst>
    </bk>
    <bk>
      <extLst>
        <ext uri="{3e2802c4-a4d2-4d8b-9148-e3be6c30e623}">
          <xlrd:rvb i="2442"/>
        </ext>
      </extLst>
    </bk>
    <bk>
      <extLst>
        <ext uri="{3e2802c4-a4d2-4d8b-9148-e3be6c30e623}">
          <xlrd:rvb i="2443"/>
        </ext>
      </extLst>
    </bk>
    <bk>
      <extLst>
        <ext uri="{3e2802c4-a4d2-4d8b-9148-e3be6c30e623}">
          <xlrd:rvb i="2444"/>
        </ext>
      </extLst>
    </bk>
    <bk>
      <extLst>
        <ext uri="{3e2802c4-a4d2-4d8b-9148-e3be6c30e623}">
          <xlrd:rvb i="2445"/>
        </ext>
      </extLst>
    </bk>
    <bk>
      <extLst>
        <ext uri="{3e2802c4-a4d2-4d8b-9148-e3be6c30e623}">
          <xlrd:rvb i="2446"/>
        </ext>
      </extLst>
    </bk>
    <bk>
      <extLst>
        <ext uri="{3e2802c4-a4d2-4d8b-9148-e3be6c30e623}">
          <xlrd:rvb i="2447"/>
        </ext>
      </extLst>
    </bk>
    <bk>
      <extLst>
        <ext uri="{3e2802c4-a4d2-4d8b-9148-e3be6c30e623}">
          <xlrd:rvb i="2448"/>
        </ext>
      </extLst>
    </bk>
    <bk>
      <extLst>
        <ext uri="{3e2802c4-a4d2-4d8b-9148-e3be6c30e623}">
          <xlrd:rvb i="2449"/>
        </ext>
      </extLst>
    </bk>
    <bk>
      <extLst>
        <ext uri="{3e2802c4-a4d2-4d8b-9148-e3be6c30e623}">
          <xlrd:rvb i="2450"/>
        </ext>
      </extLst>
    </bk>
    <bk>
      <extLst>
        <ext uri="{3e2802c4-a4d2-4d8b-9148-e3be6c30e623}">
          <xlrd:rvb i="2451"/>
        </ext>
      </extLst>
    </bk>
    <bk>
      <extLst>
        <ext uri="{3e2802c4-a4d2-4d8b-9148-e3be6c30e623}">
          <xlrd:rvb i="2452"/>
        </ext>
      </extLst>
    </bk>
    <bk>
      <extLst>
        <ext uri="{3e2802c4-a4d2-4d8b-9148-e3be6c30e623}">
          <xlrd:rvb i="2453"/>
        </ext>
      </extLst>
    </bk>
    <bk>
      <extLst>
        <ext uri="{3e2802c4-a4d2-4d8b-9148-e3be6c30e623}">
          <xlrd:rvb i="2454"/>
        </ext>
      </extLst>
    </bk>
    <bk>
      <extLst>
        <ext uri="{3e2802c4-a4d2-4d8b-9148-e3be6c30e623}">
          <xlrd:rvb i="2455"/>
        </ext>
      </extLst>
    </bk>
    <bk>
      <extLst>
        <ext uri="{3e2802c4-a4d2-4d8b-9148-e3be6c30e623}">
          <xlrd:rvb i="2456"/>
        </ext>
      </extLst>
    </bk>
    <bk>
      <extLst>
        <ext uri="{3e2802c4-a4d2-4d8b-9148-e3be6c30e623}">
          <xlrd:rvb i="2457"/>
        </ext>
      </extLst>
    </bk>
    <bk>
      <extLst>
        <ext uri="{3e2802c4-a4d2-4d8b-9148-e3be6c30e623}">
          <xlrd:rvb i="2458"/>
        </ext>
      </extLst>
    </bk>
    <bk>
      <extLst>
        <ext uri="{3e2802c4-a4d2-4d8b-9148-e3be6c30e623}">
          <xlrd:rvb i="2459"/>
        </ext>
      </extLst>
    </bk>
    <bk>
      <extLst>
        <ext uri="{3e2802c4-a4d2-4d8b-9148-e3be6c30e623}">
          <xlrd:rvb i="2460"/>
        </ext>
      </extLst>
    </bk>
    <bk>
      <extLst>
        <ext uri="{3e2802c4-a4d2-4d8b-9148-e3be6c30e623}">
          <xlrd:rvb i="2461"/>
        </ext>
      </extLst>
    </bk>
    <bk>
      <extLst>
        <ext uri="{3e2802c4-a4d2-4d8b-9148-e3be6c30e623}">
          <xlrd:rvb i="2462"/>
        </ext>
      </extLst>
    </bk>
    <bk>
      <extLst>
        <ext uri="{3e2802c4-a4d2-4d8b-9148-e3be6c30e623}">
          <xlrd:rvb i="2463"/>
        </ext>
      </extLst>
    </bk>
    <bk>
      <extLst>
        <ext uri="{3e2802c4-a4d2-4d8b-9148-e3be6c30e623}">
          <xlrd:rvb i="2464"/>
        </ext>
      </extLst>
    </bk>
    <bk>
      <extLst>
        <ext uri="{3e2802c4-a4d2-4d8b-9148-e3be6c30e623}">
          <xlrd:rvb i="2465"/>
        </ext>
      </extLst>
    </bk>
    <bk>
      <extLst>
        <ext uri="{3e2802c4-a4d2-4d8b-9148-e3be6c30e623}">
          <xlrd:rvb i="2466"/>
        </ext>
      </extLst>
    </bk>
    <bk>
      <extLst>
        <ext uri="{3e2802c4-a4d2-4d8b-9148-e3be6c30e623}">
          <xlrd:rvb i="2467"/>
        </ext>
      </extLst>
    </bk>
    <bk>
      <extLst>
        <ext uri="{3e2802c4-a4d2-4d8b-9148-e3be6c30e623}">
          <xlrd:rvb i="2468"/>
        </ext>
      </extLst>
    </bk>
    <bk>
      <extLst>
        <ext uri="{3e2802c4-a4d2-4d8b-9148-e3be6c30e623}">
          <xlrd:rvb i="2469"/>
        </ext>
      </extLst>
    </bk>
    <bk>
      <extLst>
        <ext uri="{3e2802c4-a4d2-4d8b-9148-e3be6c30e623}">
          <xlrd:rvb i="2470"/>
        </ext>
      </extLst>
    </bk>
    <bk>
      <extLst>
        <ext uri="{3e2802c4-a4d2-4d8b-9148-e3be6c30e623}">
          <xlrd:rvb i="2471"/>
        </ext>
      </extLst>
    </bk>
    <bk>
      <extLst>
        <ext uri="{3e2802c4-a4d2-4d8b-9148-e3be6c30e623}">
          <xlrd:rvb i="2472"/>
        </ext>
      </extLst>
    </bk>
    <bk>
      <extLst>
        <ext uri="{3e2802c4-a4d2-4d8b-9148-e3be6c30e623}">
          <xlrd:rvb i="2473"/>
        </ext>
      </extLst>
    </bk>
    <bk>
      <extLst>
        <ext uri="{3e2802c4-a4d2-4d8b-9148-e3be6c30e623}">
          <xlrd:rvb i="2474"/>
        </ext>
      </extLst>
    </bk>
    <bk>
      <extLst>
        <ext uri="{3e2802c4-a4d2-4d8b-9148-e3be6c30e623}">
          <xlrd:rvb i="2475"/>
        </ext>
      </extLst>
    </bk>
    <bk>
      <extLst>
        <ext uri="{3e2802c4-a4d2-4d8b-9148-e3be6c30e623}">
          <xlrd:rvb i="2476"/>
        </ext>
      </extLst>
    </bk>
    <bk>
      <extLst>
        <ext uri="{3e2802c4-a4d2-4d8b-9148-e3be6c30e623}">
          <xlrd:rvb i="2477"/>
        </ext>
      </extLst>
    </bk>
    <bk>
      <extLst>
        <ext uri="{3e2802c4-a4d2-4d8b-9148-e3be6c30e623}">
          <xlrd:rvb i="2478"/>
        </ext>
      </extLst>
    </bk>
    <bk>
      <extLst>
        <ext uri="{3e2802c4-a4d2-4d8b-9148-e3be6c30e623}">
          <xlrd:rvb i="2479"/>
        </ext>
      </extLst>
    </bk>
    <bk>
      <extLst>
        <ext uri="{3e2802c4-a4d2-4d8b-9148-e3be6c30e623}">
          <xlrd:rvb i="2480"/>
        </ext>
      </extLst>
    </bk>
    <bk>
      <extLst>
        <ext uri="{3e2802c4-a4d2-4d8b-9148-e3be6c30e623}">
          <xlrd:rvb i="2481"/>
        </ext>
      </extLst>
    </bk>
    <bk>
      <extLst>
        <ext uri="{3e2802c4-a4d2-4d8b-9148-e3be6c30e623}">
          <xlrd:rvb i="2482"/>
        </ext>
      </extLst>
    </bk>
    <bk>
      <extLst>
        <ext uri="{3e2802c4-a4d2-4d8b-9148-e3be6c30e623}">
          <xlrd:rvb i="2483"/>
        </ext>
      </extLst>
    </bk>
    <bk>
      <extLst>
        <ext uri="{3e2802c4-a4d2-4d8b-9148-e3be6c30e623}">
          <xlrd:rvb i="2484"/>
        </ext>
      </extLst>
    </bk>
    <bk>
      <extLst>
        <ext uri="{3e2802c4-a4d2-4d8b-9148-e3be6c30e623}">
          <xlrd:rvb i="2485"/>
        </ext>
      </extLst>
    </bk>
    <bk>
      <extLst>
        <ext uri="{3e2802c4-a4d2-4d8b-9148-e3be6c30e623}">
          <xlrd:rvb i="2486"/>
        </ext>
      </extLst>
    </bk>
    <bk>
      <extLst>
        <ext uri="{3e2802c4-a4d2-4d8b-9148-e3be6c30e623}">
          <xlrd:rvb i="2487"/>
        </ext>
      </extLst>
    </bk>
    <bk>
      <extLst>
        <ext uri="{3e2802c4-a4d2-4d8b-9148-e3be6c30e623}">
          <xlrd:rvb i="2488"/>
        </ext>
      </extLst>
    </bk>
    <bk>
      <extLst>
        <ext uri="{3e2802c4-a4d2-4d8b-9148-e3be6c30e623}">
          <xlrd:rvb i="2489"/>
        </ext>
      </extLst>
    </bk>
    <bk>
      <extLst>
        <ext uri="{3e2802c4-a4d2-4d8b-9148-e3be6c30e623}">
          <xlrd:rvb i="2490"/>
        </ext>
      </extLst>
    </bk>
    <bk>
      <extLst>
        <ext uri="{3e2802c4-a4d2-4d8b-9148-e3be6c30e623}">
          <xlrd:rvb i="2491"/>
        </ext>
      </extLst>
    </bk>
    <bk>
      <extLst>
        <ext uri="{3e2802c4-a4d2-4d8b-9148-e3be6c30e623}">
          <xlrd:rvb i="2492"/>
        </ext>
      </extLst>
    </bk>
    <bk>
      <extLst>
        <ext uri="{3e2802c4-a4d2-4d8b-9148-e3be6c30e623}">
          <xlrd:rvb i="2493"/>
        </ext>
      </extLst>
    </bk>
    <bk>
      <extLst>
        <ext uri="{3e2802c4-a4d2-4d8b-9148-e3be6c30e623}">
          <xlrd:rvb i="2494"/>
        </ext>
      </extLst>
    </bk>
    <bk>
      <extLst>
        <ext uri="{3e2802c4-a4d2-4d8b-9148-e3be6c30e623}">
          <xlrd:rvb i="2495"/>
        </ext>
      </extLst>
    </bk>
    <bk>
      <extLst>
        <ext uri="{3e2802c4-a4d2-4d8b-9148-e3be6c30e623}">
          <xlrd:rvb i="2496"/>
        </ext>
      </extLst>
    </bk>
    <bk>
      <extLst>
        <ext uri="{3e2802c4-a4d2-4d8b-9148-e3be6c30e623}">
          <xlrd:rvb i="2497"/>
        </ext>
      </extLst>
    </bk>
    <bk>
      <extLst>
        <ext uri="{3e2802c4-a4d2-4d8b-9148-e3be6c30e623}">
          <xlrd:rvb i="2498"/>
        </ext>
      </extLst>
    </bk>
    <bk>
      <extLst>
        <ext uri="{3e2802c4-a4d2-4d8b-9148-e3be6c30e623}">
          <xlrd:rvb i="2499"/>
        </ext>
      </extLst>
    </bk>
    <bk>
      <extLst>
        <ext uri="{3e2802c4-a4d2-4d8b-9148-e3be6c30e623}">
          <xlrd:rvb i="2500"/>
        </ext>
      </extLst>
    </bk>
    <bk>
      <extLst>
        <ext uri="{3e2802c4-a4d2-4d8b-9148-e3be6c30e623}">
          <xlrd:rvb i="2501"/>
        </ext>
      </extLst>
    </bk>
    <bk>
      <extLst>
        <ext uri="{3e2802c4-a4d2-4d8b-9148-e3be6c30e623}">
          <xlrd:rvb i="2502"/>
        </ext>
      </extLst>
    </bk>
    <bk>
      <extLst>
        <ext uri="{3e2802c4-a4d2-4d8b-9148-e3be6c30e623}">
          <xlrd:rvb i="2503"/>
        </ext>
      </extLst>
    </bk>
    <bk>
      <extLst>
        <ext uri="{3e2802c4-a4d2-4d8b-9148-e3be6c30e623}">
          <xlrd:rvb i="2504"/>
        </ext>
      </extLst>
    </bk>
    <bk>
      <extLst>
        <ext uri="{3e2802c4-a4d2-4d8b-9148-e3be6c30e623}">
          <xlrd:rvb i="2505"/>
        </ext>
      </extLst>
    </bk>
    <bk>
      <extLst>
        <ext uri="{3e2802c4-a4d2-4d8b-9148-e3be6c30e623}">
          <xlrd:rvb i="2506"/>
        </ext>
      </extLst>
    </bk>
    <bk>
      <extLst>
        <ext uri="{3e2802c4-a4d2-4d8b-9148-e3be6c30e623}">
          <xlrd:rvb i="2507"/>
        </ext>
      </extLst>
    </bk>
    <bk>
      <extLst>
        <ext uri="{3e2802c4-a4d2-4d8b-9148-e3be6c30e623}">
          <xlrd:rvb i="2508"/>
        </ext>
      </extLst>
    </bk>
    <bk>
      <extLst>
        <ext uri="{3e2802c4-a4d2-4d8b-9148-e3be6c30e623}">
          <xlrd:rvb i="2509"/>
        </ext>
      </extLst>
    </bk>
    <bk>
      <extLst>
        <ext uri="{3e2802c4-a4d2-4d8b-9148-e3be6c30e623}">
          <xlrd:rvb i="2510"/>
        </ext>
      </extLst>
    </bk>
    <bk>
      <extLst>
        <ext uri="{3e2802c4-a4d2-4d8b-9148-e3be6c30e623}">
          <xlrd:rvb i="2511"/>
        </ext>
      </extLst>
    </bk>
    <bk>
      <extLst>
        <ext uri="{3e2802c4-a4d2-4d8b-9148-e3be6c30e623}">
          <xlrd:rvb i="2512"/>
        </ext>
      </extLst>
    </bk>
    <bk>
      <extLst>
        <ext uri="{3e2802c4-a4d2-4d8b-9148-e3be6c30e623}">
          <xlrd:rvb i="2513"/>
        </ext>
      </extLst>
    </bk>
    <bk>
      <extLst>
        <ext uri="{3e2802c4-a4d2-4d8b-9148-e3be6c30e623}">
          <xlrd:rvb i="2514"/>
        </ext>
      </extLst>
    </bk>
    <bk>
      <extLst>
        <ext uri="{3e2802c4-a4d2-4d8b-9148-e3be6c30e623}">
          <xlrd:rvb i="2515"/>
        </ext>
      </extLst>
    </bk>
    <bk>
      <extLst>
        <ext uri="{3e2802c4-a4d2-4d8b-9148-e3be6c30e623}">
          <xlrd:rvb i="2516"/>
        </ext>
      </extLst>
    </bk>
    <bk>
      <extLst>
        <ext uri="{3e2802c4-a4d2-4d8b-9148-e3be6c30e623}">
          <xlrd:rvb i="2517"/>
        </ext>
      </extLst>
    </bk>
    <bk>
      <extLst>
        <ext uri="{3e2802c4-a4d2-4d8b-9148-e3be6c30e623}">
          <xlrd:rvb i="2518"/>
        </ext>
      </extLst>
    </bk>
    <bk>
      <extLst>
        <ext uri="{3e2802c4-a4d2-4d8b-9148-e3be6c30e623}">
          <xlrd:rvb i="2519"/>
        </ext>
      </extLst>
    </bk>
    <bk>
      <extLst>
        <ext uri="{3e2802c4-a4d2-4d8b-9148-e3be6c30e623}">
          <xlrd:rvb i="2520"/>
        </ext>
      </extLst>
    </bk>
    <bk>
      <extLst>
        <ext uri="{3e2802c4-a4d2-4d8b-9148-e3be6c30e623}">
          <xlrd:rvb i="2521"/>
        </ext>
      </extLst>
    </bk>
    <bk>
      <extLst>
        <ext uri="{3e2802c4-a4d2-4d8b-9148-e3be6c30e623}">
          <xlrd:rvb i="2522"/>
        </ext>
      </extLst>
    </bk>
    <bk>
      <extLst>
        <ext uri="{3e2802c4-a4d2-4d8b-9148-e3be6c30e623}">
          <xlrd:rvb i="2523"/>
        </ext>
      </extLst>
    </bk>
    <bk>
      <extLst>
        <ext uri="{3e2802c4-a4d2-4d8b-9148-e3be6c30e623}">
          <xlrd:rvb i="2524"/>
        </ext>
      </extLst>
    </bk>
    <bk>
      <extLst>
        <ext uri="{3e2802c4-a4d2-4d8b-9148-e3be6c30e623}">
          <xlrd:rvb i="2525"/>
        </ext>
      </extLst>
    </bk>
    <bk>
      <extLst>
        <ext uri="{3e2802c4-a4d2-4d8b-9148-e3be6c30e623}">
          <xlrd:rvb i="2526"/>
        </ext>
      </extLst>
    </bk>
    <bk>
      <extLst>
        <ext uri="{3e2802c4-a4d2-4d8b-9148-e3be6c30e623}">
          <xlrd:rvb i="2527"/>
        </ext>
      </extLst>
    </bk>
    <bk>
      <extLst>
        <ext uri="{3e2802c4-a4d2-4d8b-9148-e3be6c30e623}">
          <xlrd:rvb i="2528"/>
        </ext>
      </extLst>
    </bk>
    <bk>
      <extLst>
        <ext uri="{3e2802c4-a4d2-4d8b-9148-e3be6c30e623}">
          <xlrd:rvb i="2529"/>
        </ext>
      </extLst>
    </bk>
    <bk>
      <extLst>
        <ext uri="{3e2802c4-a4d2-4d8b-9148-e3be6c30e623}">
          <xlrd:rvb i="2530"/>
        </ext>
      </extLst>
    </bk>
    <bk>
      <extLst>
        <ext uri="{3e2802c4-a4d2-4d8b-9148-e3be6c30e623}">
          <xlrd:rvb i="2531"/>
        </ext>
      </extLst>
    </bk>
    <bk>
      <extLst>
        <ext uri="{3e2802c4-a4d2-4d8b-9148-e3be6c30e623}">
          <xlrd:rvb i="2532"/>
        </ext>
      </extLst>
    </bk>
    <bk>
      <extLst>
        <ext uri="{3e2802c4-a4d2-4d8b-9148-e3be6c30e623}">
          <xlrd:rvb i="2533"/>
        </ext>
      </extLst>
    </bk>
    <bk>
      <extLst>
        <ext uri="{3e2802c4-a4d2-4d8b-9148-e3be6c30e623}">
          <xlrd:rvb i="2534"/>
        </ext>
      </extLst>
    </bk>
    <bk>
      <extLst>
        <ext uri="{3e2802c4-a4d2-4d8b-9148-e3be6c30e623}">
          <xlrd:rvb i="2535"/>
        </ext>
      </extLst>
    </bk>
    <bk>
      <extLst>
        <ext uri="{3e2802c4-a4d2-4d8b-9148-e3be6c30e623}">
          <xlrd:rvb i="2536"/>
        </ext>
      </extLst>
    </bk>
    <bk>
      <extLst>
        <ext uri="{3e2802c4-a4d2-4d8b-9148-e3be6c30e623}">
          <xlrd:rvb i="2537"/>
        </ext>
      </extLst>
    </bk>
    <bk>
      <extLst>
        <ext uri="{3e2802c4-a4d2-4d8b-9148-e3be6c30e623}">
          <xlrd:rvb i="2538"/>
        </ext>
      </extLst>
    </bk>
    <bk>
      <extLst>
        <ext uri="{3e2802c4-a4d2-4d8b-9148-e3be6c30e623}">
          <xlrd:rvb i="2539"/>
        </ext>
      </extLst>
    </bk>
    <bk>
      <extLst>
        <ext uri="{3e2802c4-a4d2-4d8b-9148-e3be6c30e623}">
          <xlrd:rvb i="2540"/>
        </ext>
      </extLst>
    </bk>
    <bk>
      <extLst>
        <ext uri="{3e2802c4-a4d2-4d8b-9148-e3be6c30e623}">
          <xlrd:rvb i="2541"/>
        </ext>
      </extLst>
    </bk>
    <bk>
      <extLst>
        <ext uri="{3e2802c4-a4d2-4d8b-9148-e3be6c30e623}">
          <xlrd:rvb i="2542"/>
        </ext>
      </extLst>
    </bk>
    <bk>
      <extLst>
        <ext uri="{3e2802c4-a4d2-4d8b-9148-e3be6c30e623}">
          <xlrd:rvb i="2543"/>
        </ext>
      </extLst>
    </bk>
    <bk>
      <extLst>
        <ext uri="{3e2802c4-a4d2-4d8b-9148-e3be6c30e623}">
          <xlrd:rvb i="2544"/>
        </ext>
      </extLst>
    </bk>
    <bk>
      <extLst>
        <ext uri="{3e2802c4-a4d2-4d8b-9148-e3be6c30e623}">
          <xlrd:rvb i="2545"/>
        </ext>
      </extLst>
    </bk>
    <bk>
      <extLst>
        <ext uri="{3e2802c4-a4d2-4d8b-9148-e3be6c30e623}">
          <xlrd:rvb i="2546"/>
        </ext>
      </extLst>
    </bk>
    <bk>
      <extLst>
        <ext uri="{3e2802c4-a4d2-4d8b-9148-e3be6c30e623}">
          <xlrd:rvb i="2547"/>
        </ext>
      </extLst>
    </bk>
    <bk>
      <extLst>
        <ext uri="{3e2802c4-a4d2-4d8b-9148-e3be6c30e623}">
          <xlrd:rvb i="2548"/>
        </ext>
      </extLst>
    </bk>
    <bk>
      <extLst>
        <ext uri="{3e2802c4-a4d2-4d8b-9148-e3be6c30e623}">
          <xlrd:rvb i="2549"/>
        </ext>
      </extLst>
    </bk>
    <bk>
      <extLst>
        <ext uri="{3e2802c4-a4d2-4d8b-9148-e3be6c30e623}">
          <xlrd:rvb i="2550"/>
        </ext>
      </extLst>
    </bk>
    <bk>
      <extLst>
        <ext uri="{3e2802c4-a4d2-4d8b-9148-e3be6c30e623}">
          <xlrd:rvb i="2551"/>
        </ext>
      </extLst>
    </bk>
    <bk>
      <extLst>
        <ext uri="{3e2802c4-a4d2-4d8b-9148-e3be6c30e623}">
          <xlrd:rvb i="2552"/>
        </ext>
      </extLst>
    </bk>
    <bk>
      <extLst>
        <ext uri="{3e2802c4-a4d2-4d8b-9148-e3be6c30e623}">
          <xlrd:rvb i="2553"/>
        </ext>
      </extLst>
    </bk>
    <bk>
      <extLst>
        <ext uri="{3e2802c4-a4d2-4d8b-9148-e3be6c30e623}">
          <xlrd:rvb i="2554"/>
        </ext>
      </extLst>
    </bk>
    <bk>
      <extLst>
        <ext uri="{3e2802c4-a4d2-4d8b-9148-e3be6c30e623}">
          <xlrd:rvb i="2555"/>
        </ext>
      </extLst>
    </bk>
    <bk>
      <extLst>
        <ext uri="{3e2802c4-a4d2-4d8b-9148-e3be6c30e623}">
          <xlrd:rvb i="2556"/>
        </ext>
      </extLst>
    </bk>
    <bk>
      <extLst>
        <ext uri="{3e2802c4-a4d2-4d8b-9148-e3be6c30e623}">
          <xlrd:rvb i="2557"/>
        </ext>
      </extLst>
    </bk>
    <bk>
      <extLst>
        <ext uri="{3e2802c4-a4d2-4d8b-9148-e3be6c30e623}">
          <xlrd:rvb i="2558"/>
        </ext>
      </extLst>
    </bk>
    <bk>
      <extLst>
        <ext uri="{3e2802c4-a4d2-4d8b-9148-e3be6c30e623}">
          <xlrd:rvb i="2559"/>
        </ext>
      </extLst>
    </bk>
    <bk>
      <extLst>
        <ext uri="{3e2802c4-a4d2-4d8b-9148-e3be6c30e623}">
          <xlrd:rvb i="2560"/>
        </ext>
      </extLst>
    </bk>
    <bk>
      <extLst>
        <ext uri="{3e2802c4-a4d2-4d8b-9148-e3be6c30e623}">
          <xlrd:rvb i="2561"/>
        </ext>
      </extLst>
    </bk>
    <bk>
      <extLst>
        <ext uri="{3e2802c4-a4d2-4d8b-9148-e3be6c30e623}">
          <xlrd:rvb i="2562"/>
        </ext>
      </extLst>
    </bk>
    <bk>
      <extLst>
        <ext uri="{3e2802c4-a4d2-4d8b-9148-e3be6c30e623}">
          <xlrd:rvb i="2563"/>
        </ext>
      </extLst>
    </bk>
    <bk>
      <extLst>
        <ext uri="{3e2802c4-a4d2-4d8b-9148-e3be6c30e623}">
          <xlrd:rvb i="2564"/>
        </ext>
      </extLst>
    </bk>
    <bk>
      <extLst>
        <ext uri="{3e2802c4-a4d2-4d8b-9148-e3be6c30e623}">
          <xlrd:rvb i="2565"/>
        </ext>
      </extLst>
    </bk>
    <bk>
      <extLst>
        <ext uri="{3e2802c4-a4d2-4d8b-9148-e3be6c30e623}">
          <xlrd:rvb i="2566"/>
        </ext>
      </extLst>
    </bk>
    <bk>
      <extLst>
        <ext uri="{3e2802c4-a4d2-4d8b-9148-e3be6c30e623}">
          <xlrd:rvb i="2567"/>
        </ext>
      </extLst>
    </bk>
    <bk>
      <extLst>
        <ext uri="{3e2802c4-a4d2-4d8b-9148-e3be6c30e623}">
          <xlrd:rvb i="2568"/>
        </ext>
      </extLst>
    </bk>
    <bk>
      <extLst>
        <ext uri="{3e2802c4-a4d2-4d8b-9148-e3be6c30e623}">
          <xlrd:rvb i="2569"/>
        </ext>
      </extLst>
    </bk>
    <bk>
      <extLst>
        <ext uri="{3e2802c4-a4d2-4d8b-9148-e3be6c30e623}">
          <xlrd:rvb i="2570"/>
        </ext>
      </extLst>
    </bk>
    <bk>
      <extLst>
        <ext uri="{3e2802c4-a4d2-4d8b-9148-e3be6c30e623}">
          <xlrd:rvb i="2571"/>
        </ext>
      </extLst>
    </bk>
    <bk>
      <extLst>
        <ext uri="{3e2802c4-a4d2-4d8b-9148-e3be6c30e623}">
          <xlrd:rvb i="2572"/>
        </ext>
      </extLst>
    </bk>
    <bk>
      <extLst>
        <ext uri="{3e2802c4-a4d2-4d8b-9148-e3be6c30e623}">
          <xlrd:rvb i="2573"/>
        </ext>
      </extLst>
    </bk>
    <bk>
      <extLst>
        <ext uri="{3e2802c4-a4d2-4d8b-9148-e3be6c30e623}">
          <xlrd:rvb i="2574"/>
        </ext>
      </extLst>
    </bk>
    <bk>
      <extLst>
        <ext uri="{3e2802c4-a4d2-4d8b-9148-e3be6c30e623}">
          <xlrd:rvb i="2575"/>
        </ext>
      </extLst>
    </bk>
    <bk>
      <extLst>
        <ext uri="{3e2802c4-a4d2-4d8b-9148-e3be6c30e623}">
          <xlrd:rvb i="2576"/>
        </ext>
      </extLst>
    </bk>
    <bk>
      <extLst>
        <ext uri="{3e2802c4-a4d2-4d8b-9148-e3be6c30e623}">
          <xlrd:rvb i="2577"/>
        </ext>
      </extLst>
    </bk>
    <bk>
      <extLst>
        <ext uri="{3e2802c4-a4d2-4d8b-9148-e3be6c30e623}">
          <xlrd:rvb i="2578"/>
        </ext>
      </extLst>
    </bk>
    <bk>
      <extLst>
        <ext uri="{3e2802c4-a4d2-4d8b-9148-e3be6c30e623}">
          <xlrd:rvb i="2579"/>
        </ext>
      </extLst>
    </bk>
    <bk>
      <extLst>
        <ext uri="{3e2802c4-a4d2-4d8b-9148-e3be6c30e623}">
          <xlrd:rvb i="2580"/>
        </ext>
      </extLst>
    </bk>
    <bk>
      <extLst>
        <ext uri="{3e2802c4-a4d2-4d8b-9148-e3be6c30e623}">
          <xlrd:rvb i="2581"/>
        </ext>
      </extLst>
    </bk>
    <bk>
      <extLst>
        <ext uri="{3e2802c4-a4d2-4d8b-9148-e3be6c30e623}">
          <xlrd:rvb i="2582"/>
        </ext>
      </extLst>
    </bk>
    <bk>
      <extLst>
        <ext uri="{3e2802c4-a4d2-4d8b-9148-e3be6c30e623}">
          <xlrd:rvb i="2583"/>
        </ext>
      </extLst>
    </bk>
    <bk>
      <extLst>
        <ext uri="{3e2802c4-a4d2-4d8b-9148-e3be6c30e623}">
          <xlrd:rvb i="2584"/>
        </ext>
      </extLst>
    </bk>
    <bk>
      <extLst>
        <ext uri="{3e2802c4-a4d2-4d8b-9148-e3be6c30e623}">
          <xlrd:rvb i="2585"/>
        </ext>
      </extLst>
    </bk>
    <bk>
      <extLst>
        <ext uri="{3e2802c4-a4d2-4d8b-9148-e3be6c30e623}">
          <xlrd:rvb i="2586"/>
        </ext>
      </extLst>
    </bk>
    <bk>
      <extLst>
        <ext uri="{3e2802c4-a4d2-4d8b-9148-e3be6c30e623}">
          <xlrd:rvb i="2587"/>
        </ext>
      </extLst>
    </bk>
    <bk>
      <extLst>
        <ext uri="{3e2802c4-a4d2-4d8b-9148-e3be6c30e623}">
          <xlrd:rvb i="2588"/>
        </ext>
      </extLst>
    </bk>
    <bk>
      <extLst>
        <ext uri="{3e2802c4-a4d2-4d8b-9148-e3be6c30e623}">
          <xlrd:rvb i="2589"/>
        </ext>
      </extLst>
    </bk>
    <bk>
      <extLst>
        <ext uri="{3e2802c4-a4d2-4d8b-9148-e3be6c30e623}">
          <xlrd:rvb i="2590"/>
        </ext>
      </extLst>
    </bk>
    <bk>
      <extLst>
        <ext uri="{3e2802c4-a4d2-4d8b-9148-e3be6c30e623}">
          <xlrd:rvb i="2591"/>
        </ext>
      </extLst>
    </bk>
    <bk>
      <extLst>
        <ext uri="{3e2802c4-a4d2-4d8b-9148-e3be6c30e623}">
          <xlrd:rvb i="2592"/>
        </ext>
      </extLst>
    </bk>
    <bk>
      <extLst>
        <ext uri="{3e2802c4-a4d2-4d8b-9148-e3be6c30e623}">
          <xlrd:rvb i="2593"/>
        </ext>
      </extLst>
    </bk>
    <bk>
      <extLst>
        <ext uri="{3e2802c4-a4d2-4d8b-9148-e3be6c30e623}">
          <xlrd:rvb i="2594"/>
        </ext>
      </extLst>
    </bk>
    <bk>
      <extLst>
        <ext uri="{3e2802c4-a4d2-4d8b-9148-e3be6c30e623}">
          <xlrd:rvb i="2595"/>
        </ext>
      </extLst>
    </bk>
    <bk>
      <extLst>
        <ext uri="{3e2802c4-a4d2-4d8b-9148-e3be6c30e623}">
          <xlrd:rvb i="2596"/>
        </ext>
      </extLst>
    </bk>
    <bk>
      <extLst>
        <ext uri="{3e2802c4-a4d2-4d8b-9148-e3be6c30e623}">
          <xlrd:rvb i="2597"/>
        </ext>
      </extLst>
    </bk>
    <bk>
      <extLst>
        <ext uri="{3e2802c4-a4d2-4d8b-9148-e3be6c30e623}">
          <xlrd:rvb i="2598"/>
        </ext>
      </extLst>
    </bk>
    <bk>
      <extLst>
        <ext uri="{3e2802c4-a4d2-4d8b-9148-e3be6c30e623}">
          <xlrd:rvb i="2599"/>
        </ext>
      </extLst>
    </bk>
    <bk>
      <extLst>
        <ext uri="{3e2802c4-a4d2-4d8b-9148-e3be6c30e623}">
          <xlrd:rvb i="2600"/>
        </ext>
      </extLst>
    </bk>
    <bk>
      <extLst>
        <ext uri="{3e2802c4-a4d2-4d8b-9148-e3be6c30e623}">
          <xlrd:rvb i="2601"/>
        </ext>
      </extLst>
    </bk>
    <bk>
      <extLst>
        <ext uri="{3e2802c4-a4d2-4d8b-9148-e3be6c30e623}">
          <xlrd:rvb i="2602"/>
        </ext>
      </extLst>
    </bk>
    <bk>
      <extLst>
        <ext uri="{3e2802c4-a4d2-4d8b-9148-e3be6c30e623}">
          <xlrd:rvb i="2603"/>
        </ext>
      </extLst>
    </bk>
    <bk>
      <extLst>
        <ext uri="{3e2802c4-a4d2-4d8b-9148-e3be6c30e623}">
          <xlrd:rvb i="2604"/>
        </ext>
      </extLst>
    </bk>
    <bk>
      <extLst>
        <ext uri="{3e2802c4-a4d2-4d8b-9148-e3be6c30e623}">
          <xlrd:rvb i="2605"/>
        </ext>
      </extLst>
    </bk>
    <bk>
      <extLst>
        <ext uri="{3e2802c4-a4d2-4d8b-9148-e3be6c30e623}">
          <xlrd:rvb i="2606"/>
        </ext>
      </extLst>
    </bk>
    <bk>
      <extLst>
        <ext uri="{3e2802c4-a4d2-4d8b-9148-e3be6c30e623}">
          <xlrd:rvb i="2607"/>
        </ext>
      </extLst>
    </bk>
    <bk>
      <extLst>
        <ext uri="{3e2802c4-a4d2-4d8b-9148-e3be6c30e623}">
          <xlrd:rvb i="2608"/>
        </ext>
      </extLst>
    </bk>
    <bk>
      <extLst>
        <ext uri="{3e2802c4-a4d2-4d8b-9148-e3be6c30e623}">
          <xlrd:rvb i="2609"/>
        </ext>
      </extLst>
    </bk>
    <bk>
      <extLst>
        <ext uri="{3e2802c4-a4d2-4d8b-9148-e3be6c30e623}">
          <xlrd:rvb i="2610"/>
        </ext>
      </extLst>
    </bk>
    <bk>
      <extLst>
        <ext uri="{3e2802c4-a4d2-4d8b-9148-e3be6c30e623}">
          <xlrd:rvb i="2611"/>
        </ext>
      </extLst>
    </bk>
    <bk>
      <extLst>
        <ext uri="{3e2802c4-a4d2-4d8b-9148-e3be6c30e623}">
          <xlrd:rvb i="2612"/>
        </ext>
      </extLst>
    </bk>
    <bk>
      <extLst>
        <ext uri="{3e2802c4-a4d2-4d8b-9148-e3be6c30e623}">
          <xlrd:rvb i="2613"/>
        </ext>
      </extLst>
    </bk>
    <bk>
      <extLst>
        <ext uri="{3e2802c4-a4d2-4d8b-9148-e3be6c30e623}">
          <xlrd:rvb i="2614"/>
        </ext>
      </extLst>
    </bk>
    <bk>
      <extLst>
        <ext uri="{3e2802c4-a4d2-4d8b-9148-e3be6c30e623}">
          <xlrd:rvb i="2615"/>
        </ext>
      </extLst>
    </bk>
    <bk>
      <extLst>
        <ext uri="{3e2802c4-a4d2-4d8b-9148-e3be6c30e623}">
          <xlrd:rvb i="2616"/>
        </ext>
      </extLst>
    </bk>
    <bk>
      <extLst>
        <ext uri="{3e2802c4-a4d2-4d8b-9148-e3be6c30e623}">
          <xlrd:rvb i="2617"/>
        </ext>
      </extLst>
    </bk>
    <bk>
      <extLst>
        <ext uri="{3e2802c4-a4d2-4d8b-9148-e3be6c30e623}">
          <xlrd:rvb i="2618"/>
        </ext>
      </extLst>
    </bk>
    <bk>
      <extLst>
        <ext uri="{3e2802c4-a4d2-4d8b-9148-e3be6c30e623}">
          <xlrd:rvb i="2619"/>
        </ext>
      </extLst>
    </bk>
    <bk>
      <extLst>
        <ext uri="{3e2802c4-a4d2-4d8b-9148-e3be6c30e623}">
          <xlrd:rvb i="2620"/>
        </ext>
      </extLst>
    </bk>
    <bk>
      <extLst>
        <ext uri="{3e2802c4-a4d2-4d8b-9148-e3be6c30e623}">
          <xlrd:rvb i="2621"/>
        </ext>
      </extLst>
    </bk>
    <bk>
      <extLst>
        <ext uri="{3e2802c4-a4d2-4d8b-9148-e3be6c30e623}">
          <xlrd:rvb i="2622"/>
        </ext>
      </extLst>
    </bk>
    <bk>
      <extLst>
        <ext uri="{3e2802c4-a4d2-4d8b-9148-e3be6c30e623}">
          <xlrd:rvb i="2623"/>
        </ext>
      </extLst>
    </bk>
    <bk>
      <extLst>
        <ext uri="{3e2802c4-a4d2-4d8b-9148-e3be6c30e623}">
          <xlrd:rvb i="2624"/>
        </ext>
      </extLst>
    </bk>
    <bk>
      <extLst>
        <ext uri="{3e2802c4-a4d2-4d8b-9148-e3be6c30e623}">
          <xlrd:rvb i="2625"/>
        </ext>
      </extLst>
    </bk>
    <bk>
      <extLst>
        <ext uri="{3e2802c4-a4d2-4d8b-9148-e3be6c30e623}">
          <xlrd:rvb i="2626"/>
        </ext>
      </extLst>
    </bk>
    <bk>
      <extLst>
        <ext uri="{3e2802c4-a4d2-4d8b-9148-e3be6c30e623}">
          <xlrd:rvb i="2627"/>
        </ext>
      </extLst>
    </bk>
    <bk>
      <extLst>
        <ext uri="{3e2802c4-a4d2-4d8b-9148-e3be6c30e623}">
          <xlrd:rvb i="2628"/>
        </ext>
      </extLst>
    </bk>
    <bk>
      <extLst>
        <ext uri="{3e2802c4-a4d2-4d8b-9148-e3be6c30e623}">
          <xlrd:rvb i="2629"/>
        </ext>
      </extLst>
    </bk>
    <bk>
      <extLst>
        <ext uri="{3e2802c4-a4d2-4d8b-9148-e3be6c30e623}">
          <xlrd:rvb i="2630"/>
        </ext>
      </extLst>
    </bk>
    <bk>
      <extLst>
        <ext uri="{3e2802c4-a4d2-4d8b-9148-e3be6c30e623}">
          <xlrd:rvb i="2631"/>
        </ext>
      </extLst>
    </bk>
    <bk>
      <extLst>
        <ext uri="{3e2802c4-a4d2-4d8b-9148-e3be6c30e623}">
          <xlrd:rvb i="2632"/>
        </ext>
      </extLst>
    </bk>
    <bk>
      <extLst>
        <ext uri="{3e2802c4-a4d2-4d8b-9148-e3be6c30e623}">
          <xlrd:rvb i="2633"/>
        </ext>
      </extLst>
    </bk>
    <bk>
      <extLst>
        <ext uri="{3e2802c4-a4d2-4d8b-9148-e3be6c30e623}">
          <xlrd:rvb i="2634"/>
        </ext>
      </extLst>
    </bk>
    <bk>
      <extLst>
        <ext uri="{3e2802c4-a4d2-4d8b-9148-e3be6c30e623}">
          <xlrd:rvb i="2635"/>
        </ext>
      </extLst>
    </bk>
    <bk>
      <extLst>
        <ext uri="{3e2802c4-a4d2-4d8b-9148-e3be6c30e623}">
          <xlrd:rvb i="2636"/>
        </ext>
      </extLst>
    </bk>
    <bk>
      <extLst>
        <ext uri="{3e2802c4-a4d2-4d8b-9148-e3be6c30e623}">
          <xlrd:rvb i="2637"/>
        </ext>
      </extLst>
    </bk>
    <bk>
      <extLst>
        <ext uri="{3e2802c4-a4d2-4d8b-9148-e3be6c30e623}">
          <xlrd:rvb i="2638"/>
        </ext>
      </extLst>
    </bk>
    <bk>
      <extLst>
        <ext uri="{3e2802c4-a4d2-4d8b-9148-e3be6c30e623}">
          <xlrd:rvb i="2639"/>
        </ext>
      </extLst>
    </bk>
    <bk>
      <extLst>
        <ext uri="{3e2802c4-a4d2-4d8b-9148-e3be6c30e623}">
          <xlrd:rvb i="2640"/>
        </ext>
      </extLst>
    </bk>
    <bk>
      <extLst>
        <ext uri="{3e2802c4-a4d2-4d8b-9148-e3be6c30e623}">
          <xlrd:rvb i="2641"/>
        </ext>
      </extLst>
    </bk>
    <bk>
      <extLst>
        <ext uri="{3e2802c4-a4d2-4d8b-9148-e3be6c30e623}">
          <xlrd:rvb i="2642"/>
        </ext>
      </extLst>
    </bk>
    <bk>
      <extLst>
        <ext uri="{3e2802c4-a4d2-4d8b-9148-e3be6c30e623}">
          <xlrd:rvb i="2643"/>
        </ext>
      </extLst>
    </bk>
    <bk>
      <extLst>
        <ext uri="{3e2802c4-a4d2-4d8b-9148-e3be6c30e623}">
          <xlrd:rvb i="2644"/>
        </ext>
      </extLst>
    </bk>
    <bk>
      <extLst>
        <ext uri="{3e2802c4-a4d2-4d8b-9148-e3be6c30e623}">
          <xlrd:rvb i="2645"/>
        </ext>
      </extLst>
    </bk>
    <bk>
      <extLst>
        <ext uri="{3e2802c4-a4d2-4d8b-9148-e3be6c30e623}">
          <xlrd:rvb i="2646"/>
        </ext>
      </extLst>
    </bk>
    <bk>
      <extLst>
        <ext uri="{3e2802c4-a4d2-4d8b-9148-e3be6c30e623}">
          <xlrd:rvb i="2647"/>
        </ext>
      </extLst>
    </bk>
    <bk>
      <extLst>
        <ext uri="{3e2802c4-a4d2-4d8b-9148-e3be6c30e623}">
          <xlrd:rvb i="2648"/>
        </ext>
      </extLst>
    </bk>
    <bk>
      <extLst>
        <ext uri="{3e2802c4-a4d2-4d8b-9148-e3be6c30e623}">
          <xlrd:rvb i="2649"/>
        </ext>
      </extLst>
    </bk>
    <bk>
      <extLst>
        <ext uri="{3e2802c4-a4d2-4d8b-9148-e3be6c30e623}">
          <xlrd:rvb i="2650"/>
        </ext>
      </extLst>
    </bk>
    <bk>
      <extLst>
        <ext uri="{3e2802c4-a4d2-4d8b-9148-e3be6c30e623}">
          <xlrd:rvb i="2651"/>
        </ext>
      </extLst>
    </bk>
    <bk>
      <extLst>
        <ext uri="{3e2802c4-a4d2-4d8b-9148-e3be6c30e623}">
          <xlrd:rvb i="2652"/>
        </ext>
      </extLst>
    </bk>
    <bk>
      <extLst>
        <ext uri="{3e2802c4-a4d2-4d8b-9148-e3be6c30e623}">
          <xlrd:rvb i="2653"/>
        </ext>
      </extLst>
    </bk>
    <bk>
      <extLst>
        <ext uri="{3e2802c4-a4d2-4d8b-9148-e3be6c30e623}">
          <xlrd:rvb i="2654"/>
        </ext>
      </extLst>
    </bk>
    <bk>
      <extLst>
        <ext uri="{3e2802c4-a4d2-4d8b-9148-e3be6c30e623}">
          <xlrd:rvb i="2655"/>
        </ext>
      </extLst>
    </bk>
    <bk>
      <extLst>
        <ext uri="{3e2802c4-a4d2-4d8b-9148-e3be6c30e623}">
          <xlrd:rvb i="2656"/>
        </ext>
      </extLst>
    </bk>
    <bk>
      <extLst>
        <ext uri="{3e2802c4-a4d2-4d8b-9148-e3be6c30e623}">
          <xlrd:rvb i="2657"/>
        </ext>
      </extLst>
    </bk>
    <bk>
      <extLst>
        <ext uri="{3e2802c4-a4d2-4d8b-9148-e3be6c30e623}">
          <xlrd:rvb i="2658"/>
        </ext>
      </extLst>
    </bk>
    <bk>
      <extLst>
        <ext uri="{3e2802c4-a4d2-4d8b-9148-e3be6c30e623}">
          <xlrd:rvb i="2659"/>
        </ext>
      </extLst>
    </bk>
    <bk>
      <extLst>
        <ext uri="{3e2802c4-a4d2-4d8b-9148-e3be6c30e623}">
          <xlrd:rvb i="2660"/>
        </ext>
      </extLst>
    </bk>
    <bk>
      <extLst>
        <ext uri="{3e2802c4-a4d2-4d8b-9148-e3be6c30e623}">
          <xlrd:rvb i="2661"/>
        </ext>
      </extLst>
    </bk>
    <bk>
      <extLst>
        <ext uri="{3e2802c4-a4d2-4d8b-9148-e3be6c30e623}">
          <xlrd:rvb i="2662"/>
        </ext>
      </extLst>
    </bk>
    <bk>
      <extLst>
        <ext uri="{3e2802c4-a4d2-4d8b-9148-e3be6c30e623}">
          <xlrd:rvb i="2663"/>
        </ext>
      </extLst>
    </bk>
    <bk>
      <extLst>
        <ext uri="{3e2802c4-a4d2-4d8b-9148-e3be6c30e623}">
          <xlrd:rvb i="2664"/>
        </ext>
      </extLst>
    </bk>
    <bk>
      <extLst>
        <ext uri="{3e2802c4-a4d2-4d8b-9148-e3be6c30e623}">
          <xlrd:rvb i="2665"/>
        </ext>
      </extLst>
    </bk>
    <bk>
      <extLst>
        <ext uri="{3e2802c4-a4d2-4d8b-9148-e3be6c30e623}">
          <xlrd:rvb i="2666"/>
        </ext>
      </extLst>
    </bk>
    <bk>
      <extLst>
        <ext uri="{3e2802c4-a4d2-4d8b-9148-e3be6c30e623}">
          <xlrd:rvb i="2667"/>
        </ext>
      </extLst>
    </bk>
    <bk>
      <extLst>
        <ext uri="{3e2802c4-a4d2-4d8b-9148-e3be6c30e623}">
          <xlrd:rvb i="2668"/>
        </ext>
      </extLst>
    </bk>
    <bk>
      <extLst>
        <ext uri="{3e2802c4-a4d2-4d8b-9148-e3be6c30e623}">
          <xlrd:rvb i="2669"/>
        </ext>
      </extLst>
    </bk>
    <bk>
      <extLst>
        <ext uri="{3e2802c4-a4d2-4d8b-9148-e3be6c30e623}">
          <xlrd:rvb i="2670"/>
        </ext>
      </extLst>
    </bk>
    <bk>
      <extLst>
        <ext uri="{3e2802c4-a4d2-4d8b-9148-e3be6c30e623}">
          <xlrd:rvb i="2671"/>
        </ext>
      </extLst>
    </bk>
    <bk>
      <extLst>
        <ext uri="{3e2802c4-a4d2-4d8b-9148-e3be6c30e623}">
          <xlrd:rvb i="2672"/>
        </ext>
      </extLst>
    </bk>
    <bk>
      <extLst>
        <ext uri="{3e2802c4-a4d2-4d8b-9148-e3be6c30e623}">
          <xlrd:rvb i="2673"/>
        </ext>
      </extLst>
    </bk>
    <bk>
      <extLst>
        <ext uri="{3e2802c4-a4d2-4d8b-9148-e3be6c30e623}">
          <xlrd:rvb i="2674"/>
        </ext>
      </extLst>
    </bk>
    <bk>
      <extLst>
        <ext uri="{3e2802c4-a4d2-4d8b-9148-e3be6c30e623}">
          <xlrd:rvb i="2675"/>
        </ext>
      </extLst>
    </bk>
    <bk>
      <extLst>
        <ext uri="{3e2802c4-a4d2-4d8b-9148-e3be6c30e623}">
          <xlrd:rvb i="2676"/>
        </ext>
      </extLst>
    </bk>
    <bk>
      <extLst>
        <ext uri="{3e2802c4-a4d2-4d8b-9148-e3be6c30e623}">
          <xlrd:rvb i="2677"/>
        </ext>
      </extLst>
    </bk>
    <bk>
      <extLst>
        <ext uri="{3e2802c4-a4d2-4d8b-9148-e3be6c30e623}">
          <xlrd:rvb i="2678"/>
        </ext>
      </extLst>
    </bk>
    <bk>
      <extLst>
        <ext uri="{3e2802c4-a4d2-4d8b-9148-e3be6c30e623}">
          <xlrd:rvb i="2679"/>
        </ext>
      </extLst>
    </bk>
    <bk>
      <extLst>
        <ext uri="{3e2802c4-a4d2-4d8b-9148-e3be6c30e623}">
          <xlrd:rvb i="2680"/>
        </ext>
      </extLst>
    </bk>
    <bk>
      <extLst>
        <ext uri="{3e2802c4-a4d2-4d8b-9148-e3be6c30e623}">
          <xlrd:rvb i="2681"/>
        </ext>
      </extLst>
    </bk>
    <bk>
      <extLst>
        <ext uri="{3e2802c4-a4d2-4d8b-9148-e3be6c30e623}">
          <xlrd:rvb i="2682"/>
        </ext>
      </extLst>
    </bk>
    <bk>
      <extLst>
        <ext uri="{3e2802c4-a4d2-4d8b-9148-e3be6c30e623}">
          <xlrd:rvb i="2683"/>
        </ext>
      </extLst>
    </bk>
    <bk>
      <extLst>
        <ext uri="{3e2802c4-a4d2-4d8b-9148-e3be6c30e623}">
          <xlrd:rvb i="2684"/>
        </ext>
      </extLst>
    </bk>
    <bk>
      <extLst>
        <ext uri="{3e2802c4-a4d2-4d8b-9148-e3be6c30e623}">
          <xlrd:rvb i="2685"/>
        </ext>
      </extLst>
    </bk>
    <bk>
      <extLst>
        <ext uri="{3e2802c4-a4d2-4d8b-9148-e3be6c30e623}">
          <xlrd:rvb i="2686"/>
        </ext>
      </extLst>
    </bk>
    <bk>
      <extLst>
        <ext uri="{3e2802c4-a4d2-4d8b-9148-e3be6c30e623}">
          <xlrd:rvb i="2687"/>
        </ext>
      </extLst>
    </bk>
    <bk>
      <extLst>
        <ext uri="{3e2802c4-a4d2-4d8b-9148-e3be6c30e623}">
          <xlrd:rvb i="2688"/>
        </ext>
      </extLst>
    </bk>
    <bk>
      <extLst>
        <ext uri="{3e2802c4-a4d2-4d8b-9148-e3be6c30e623}">
          <xlrd:rvb i="2689"/>
        </ext>
      </extLst>
    </bk>
    <bk>
      <extLst>
        <ext uri="{3e2802c4-a4d2-4d8b-9148-e3be6c30e623}">
          <xlrd:rvb i="2690"/>
        </ext>
      </extLst>
    </bk>
    <bk>
      <extLst>
        <ext uri="{3e2802c4-a4d2-4d8b-9148-e3be6c30e623}">
          <xlrd:rvb i="2691"/>
        </ext>
      </extLst>
    </bk>
    <bk>
      <extLst>
        <ext uri="{3e2802c4-a4d2-4d8b-9148-e3be6c30e623}">
          <xlrd:rvb i="2692"/>
        </ext>
      </extLst>
    </bk>
    <bk>
      <extLst>
        <ext uri="{3e2802c4-a4d2-4d8b-9148-e3be6c30e623}">
          <xlrd:rvb i="2693"/>
        </ext>
      </extLst>
    </bk>
    <bk>
      <extLst>
        <ext uri="{3e2802c4-a4d2-4d8b-9148-e3be6c30e623}">
          <xlrd:rvb i="2694"/>
        </ext>
      </extLst>
    </bk>
    <bk>
      <extLst>
        <ext uri="{3e2802c4-a4d2-4d8b-9148-e3be6c30e623}">
          <xlrd:rvb i="2695"/>
        </ext>
      </extLst>
    </bk>
    <bk>
      <extLst>
        <ext uri="{3e2802c4-a4d2-4d8b-9148-e3be6c30e623}">
          <xlrd:rvb i="2696"/>
        </ext>
      </extLst>
    </bk>
    <bk>
      <extLst>
        <ext uri="{3e2802c4-a4d2-4d8b-9148-e3be6c30e623}">
          <xlrd:rvb i="2697"/>
        </ext>
      </extLst>
    </bk>
    <bk>
      <extLst>
        <ext uri="{3e2802c4-a4d2-4d8b-9148-e3be6c30e623}">
          <xlrd:rvb i="2698"/>
        </ext>
      </extLst>
    </bk>
    <bk>
      <extLst>
        <ext uri="{3e2802c4-a4d2-4d8b-9148-e3be6c30e623}">
          <xlrd:rvb i="2699"/>
        </ext>
      </extLst>
    </bk>
    <bk>
      <extLst>
        <ext uri="{3e2802c4-a4d2-4d8b-9148-e3be6c30e623}">
          <xlrd:rvb i="2700"/>
        </ext>
      </extLst>
    </bk>
    <bk>
      <extLst>
        <ext uri="{3e2802c4-a4d2-4d8b-9148-e3be6c30e623}">
          <xlrd:rvb i="2701"/>
        </ext>
      </extLst>
    </bk>
    <bk>
      <extLst>
        <ext uri="{3e2802c4-a4d2-4d8b-9148-e3be6c30e623}">
          <xlrd:rvb i="2702"/>
        </ext>
      </extLst>
    </bk>
    <bk>
      <extLst>
        <ext uri="{3e2802c4-a4d2-4d8b-9148-e3be6c30e623}">
          <xlrd:rvb i="2703"/>
        </ext>
      </extLst>
    </bk>
    <bk>
      <extLst>
        <ext uri="{3e2802c4-a4d2-4d8b-9148-e3be6c30e623}">
          <xlrd:rvb i="2704"/>
        </ext>
      </extLst>
    </bk>
    <bk>
      <extLst>
        <ext uri="{3e2802c4-a4d2-4d8b-9148-e3be6c30e623}">
          <xlrd:rvb i="2705"/>
        </ext>
      </extLst>
    </bk>
    <bk>
      <extLst>
        <ext uri="{3e2802c4-a4d2-4d8b-9148-e3be6c30e623}">
          <xlrd:rvb i="2706"/>
        </ext>
      </extLst>
    </bk>
    <bk>
      <extLst>
        <ext uri="{3e2802c4-a4d2-4d8b-9148-e3be6c30e623}">
          <xlrd:rvb i="2707"/>
        </ext>
      </extLst>
    </bk>
    <bk>
      <extLst>
        <ext uri="{3e2802c4-a4d2-4d8b-9148-e3be6c30e623}">
          <xlrd:rvb i="2708"/>
        </ext>
      </extLst>
    </bk>
    <bk>
      <extLst>
        <ext uri="{3e2802c4-a4d2-4d8b-9148-e3be6c30e623}">
          <xlrd:rvb i="2709"/>
        </ext>
      </extLst>
    </bk>
    <bk>
      <extLst>
        <ext uri="{3e2802c4-a4d2-4d8b-9148-e3be6c30e623}">
          <xlrd:rvb i="2710"/>
        </ext>
      </extLst>
    </bk>
    <bk>
      <extLst>
        <ext uri="{3e2802c4-a4d2-4d8b-9148-e3be6c30e623}">
          <xlrd:rvb i="2711"/>
        </ext>
      </extLst>
    </bk>
    <bk>
      <extLst>
        <ext uri="{3e2802c4-a4d2-4d8b-9148-e3be6c30e623}">
          <xlrd:rvb i="2712"/>
        </ext>
      </extLst>
    </bk>
    <bk>
      <extLst>
        <ext uri="{3e2802c4-a4d2-4d8b-9148-e3be6c30e623}">
          <xlrd:rvb i="2713"/>
        </ext>
      </extLst>
    </bk>
    <bk>
      <extLst>
        <ext uri="{3e2802c4-a4d2-4d8b-9148-e3be6c30e623}">
          <xlrd:rvb i="2714"/>
        </ext>
      </extLst>
    </bk>
    <bk>
      <extLst>
        <ext uri="{3e2802c4-a4d2-4d8b-9148-e3be6c30e623}">
          <xlrd:rvb i="2715"/>
        </ext>
      </extLst>
    </bk>
    <bk>
      <extLst>
        <ext uri="{3e2802c4-a4d2-4d8b-9148-e3be6c30e623}">
          <xlrd:rvb i="2716"/>
        </ext>
      </extLst>
    </bk>
    <bk>
      <extLst>
        <ext uri="{3e2802c4-a4d2-4d8b-9148-e3be6c30e623}">
          <xlrd:rvb i="2717"/>
        </ext>
      </extLst>
    </bk>
    <bk>
      <extLst>
        <ext uri="{3e2802c4-a4d2-4d8b-9148-e3be6c30e623}">
          <xlrd:rvb i="2718"/>
        </ext>
      </extLst>
    </bk>
    <bk>
      <extLst>
        <ext uri="{3e2802c4-a4d2-4d8b-9148-e3be6c30e623}">
          <xlrd:rvb i="2719"/>
        </ext>
      </extLst>
    </bk>
    <bk>
      <extLst>
        <ext uri="{3e2802c4-a4d2-4d8b-9148-e3be6c30e623}">
          <xlrd:rvb i="2720"/>
        </ext>
      </extLst>
    </bk>
    <bk>
      <extLst>
        <ext uri="{3e2802c4-a4d2-4d8b-9148-e3be6c30e623}">
          <xlrd:rvb i="2721"/>
        </ext>
      </extLst>
    </bk>
    <bk>
      <extLst>
        <ext uri="{3e2802c4-a4d2-4d8b-9148-e3be6c30e623}">
          <xlrd:rvb i="2722"/>
        </ext>
      </extLst>
    </bk>
    <bk>
      <extLst>
        <ext uri="{3e2802c4-a4d2-4d8b-9148-e3be6c30e623}">
          <xlrd:rvb i="2723"/>
        </ext>
      </extLst>
    </bk>
    <bk>
      <extLst>
        <ext uri="{3e2802c4-a4d2-4d8b-9148-e3be6c30e623}">
          <xlrd:rvb i="2724"/>
        </ext>
      </extLst>
    </bk>
    <bk>
      <extLst>
        <ext uri="{3e2802c4-a4d2-4d8b-9148-e3be6c30e623}">
          <xlrd:rvb i="2725"/>
        </ext>
      </extLst>
    </bk>
    <bk>
      <extLst>
        <ext uri="{3e2802c4-a4d2-4d8b-9148-e3be6c30e623}">
          <xlrd:rvb i="2726"/>
        </ext>
      </extLst>
    </bk>
    <bk>
      <extLst>
        <ext uri="{3e2802c4-a4d2-4d8b-9148-e3be6c30e623}">
          <xlrd:rvb i="2727"/>
        </ext>
      </extLst>
    </bk>
    <bk>
      <extLst>
        <ext uri="{3e2802c4-a4d2-4d8b-9148-e3be6c30e623}">
          <xlrd:rvb i="2728"/>
        </ext>
      </extLst>
    </bk>
    <bk>
      <extLst>
        <ext uri="{3e2802c4-a4d2-4d8b-9148-e3be6c30e623}">
          <xlrd:rvb i="2729"/>
        </ext>
      </extLst>
    </bk>
    <bk>
      <extLst>
        <ext uri="{3e2802c4-a4d2-4d8b-9148-e3be6c30e623}">
          <xlrd:rvb i="2730"/>
        </ext>
      </extLst>
    </bk>
    <bk>
      <extLst>
        <ext uri="{3e2802c4-a4d2-4d8b-9148-e3be6c30e623}">
          <xlrd:rvb i="2731"/>
        </ext>
      </extLst>
    </bk>
    <bk>
      <extLst>
        <ext uri="{3e2802c4-a4d2-4d8b-9148-e3be6c30e623}">
          <xlrd:rvb i="2732"/>
        </ext>
      </extLst>
    </bk>
    <bk>
      <extLst>
        <ext uri="{3e2802c4-a4d2-4d8b-9148-e3be6c30e623}">
          <xlrd:rvb i="2733"/>
        </ext>
      </extLst>
    </bk>
    <bk>
      <extLst>
        <ext uri="{3e2802c4-a4d2-4d8b-9148-e3be6c30e623}">
          <xlrd:rvb i="2734"/>
        </ext>
      </extLst>
    </bk>
    <bk>
      <extLst>
        <ext uri="{3e2802c4-a4d2-4d8b-9148-e3be6c30e623}">
          <xlrd:rvb i="2735"/>
        </ext>
      </extLst>
    </bk>
    <bk>
      <extLst>
        <ext uri="{3e2802c4-a4d2-4d8b-9148-e3be6c30e623}">
          <xlrd:rvb i="2736"/>
        </ext>
      </extLst>
    </bk>
    <bk>
      <extLst>
        <ext uri="{3e2802c4-a4d2-4d8b-9148-e3be6c30e623}">
          <xlrd:rvb i="2737"/>
        </ext>
      </extLst>
    </bk>
    <bk>
      <extLst>
        <ext uri="{3e2802c4-a4d2-4d8b-9148-e3be6c30e623}">
          <xlrd:rvb i="2738"/>
        </ext>
      </extLst>
    </bk>
    <bk>
      <extLst>
        <ext uri="{3e2802c4-a4d2-4d8b-9148-e3be6c30e623}">
          <xlrd:rvb i="2739"/>
        </ext>
      </extLst>
    </bk>
    <bk>
      <extLst>
        <ext uri="{3e2802c4-a4d2-4d8b-9148-e3be6c30e623}">
          <xlrd:rvb i="2740"/>
        </ext>
      </extLst>
    </bk>
    <bk>
      <extLst>
        <ext uri="{3e2802c4-a4d2-4d8b-9148-e3be6c30e623}">
          <xlrd:rvb i="2741"/>
        </ext>
      </extLst>
    </bk>
    <bk>
      <extLst>
        <ext uri="{3e2802c4-a4d2-4d8b-9148-e3be6c30e623}">
          <xlrd:rvb i="2742"/>
        </ext>
      </extLst>
    </bk>
    <bk>
      <extLst>
        <ext uri="{3e2802c4-a4d2-4d8b-9148-e3be6c30e623}">
          <xlrd:rvb i="2743"/>
        </ext>
      </extLst>
    </bk>
    <bk>
      <extLst>
        <ext uri="{3e2802c4-a4d2-4d8b-9148-e3be6c30e623}">
          <xlrd:rvb i="2744"/>
        </ext>
      </extLst>
    </bk>
    <bk>
      <extLst>
        <ext uri="{3e2802c4-a4d2-4d8b-9148-e3be6c30e623}">
          <xlrd:rvb i="2745"/>
        </ext>
      </extLst>
    </bk>
    <bk>
      <extLst>
        <ext uri="{3e2802c4-a4d2-4d8b-9148-e3be6c30e623}">
          <xlrd:rvb i="2746"/>
        </ext>
      </extLst>
    </bk>
    <bk>
      <extLst>
        <ext uri="{3e2802c4-a4d2-4d8b-9148-e3be6c30e623}">
          <xlrd:rvb i="2747"/>
        </ext>
      </extLst>
    </bk>
    <bk>
      <extLst>
        <ext uri="{3e2802c4-a4d2-4d8b-9148-e3be6c30e623}">
          <xlrd:rvb i="2748"/>
        </ext>
      </extLst>
    </bk>
    <bk>
      <extLst>
        <ext uri="{3e2802c4-a4d2-4d8b-9148-e3be6c30e623}">
          <xlrd:rvb i="2749"/>
        </ext>
      </extLst>
    </bk>
    <bk>
      <extLst>
        <ext uri="{3e2802c4-a4d2-4d8b-9148-e3be6c30e623}">
          <xlrd:rvb i="2750"/>
        </ext>
      </extLst>
    </bk>
    <bk>
      <extLst>
        <ext uri="{3e2802c4-a4d2-4d8b-9148-e3be6c30e623}">
          <xlrd:rvb i="2751"/>
        </ext>
      </extLst>
    </bk>
    <bk>
      <extLst>
        <ext uri="{3e2802c4-a4d2-4d8b-9148-e3be6c30e623}">
          <xlrd:rvb i="2752"/>
        </ext>
      </extLst>
    </bk>
    <bk>
      <extLst>
        <ext uri="{3e2802c4-a4d2-4d8b-9148-e3be6c30e623}">
          <xlrd:rvb i="2753"/>
        </ext>
      </extLst>
    </bk>
    <bk>
      <extLst>
        <ext uri="{3e2802c4-a4d2-4d8b-9148-e3be6c30e623}">
          <xlrd:rvb i="2754"/>
        </ext>
      </extLst>
    </bk>
    <bk>
      <extLst>
        <ext uri="{3e2802c4-a4d2-4d8b-9148-e3be6c30e623}">
          <xlrd:rvb i="2755"/>
        </ext>
      </extLst>
    </bk>
    <bk>
      <extLst>
        <ext uri="{3e2802c4-a4d2-4d8b-9148-e3be6c30e623}">
          <xlrd:rvb i="2756"/>
        </ext>
      </extLst>
    </bk>
    <bk>
      <extLst>
        <ext uri="{3e2802c4-a4d2-4d8b-9148-e3be6c30e623}">
          <xlrd:rvb i="2757"/>
        </ext>
      </extLst>
    </bk>
    <bk>
      <extLst>
        <ext uri="{3e2802c4-a4d2-4d8b-9148-e3be6c30e623}">
          <xlrd:rvb i="2758"/>
        </ext>
      </extLst>
    </bk>
    <bk>
      <extLst>
        <ext uri="{3e2802c4-a4d2-4d8b-9148-e3be6c30e623}">
          <xlrd:rvb i="2759"/>
        </ext>
      </extLst>
    </bk>
    <bk>
      <extLst>
        <ext uri="{3e2802c4-a4d2-4d8b-9148-e3be6c30e623}">
          <xlrd:rvb i="2760"/>
        </ext>
      </extLst>
    </bk>
    <bk>
      <extLst>
        <ext uri="{3e2802c4-a4d2-4d8b-9148-e3be6c30e623}">
          <xlrd:rvb i="2761"/>
        </ext>
      </extLst>
    </bk>
    <bk>
      <extLst>
        <ext uri="{3e2802c4-a4d2-4d8b-9148-e3be6c30e623}">
          <xlrd:rvb i="2762"/>
        </ext>
      </extLst>
    </bk>
    <bk>
      <extLst>
        <ext uri="{3e2802c4-a4d2-4d8b-9148-e3be6c30e623}">
          <xlrd:rvb i="2763"/>
        </ext>
      </extLst>
    </bk>
    <bk>
      <extLst>
        <ext uri="{3e2802c4-a4d2-4d8b-9148-e3be6c30e623}">
          <xlrd:rvb i="2764"/>
        </ext>
      </extLst>
    </bk>
    <bk>
      <extLst>
        <ext uri="{3e2802c4-a4d2-4d8b-9148-e3be6c30e623}">
          <xlrd:rvb i="2765"/>
        </ext>
      </extLst>
    </bk>
    <bk>
      <extLst>
        <ext uri="{3e2802c4-a4d2-4d8b-9148-e3be6c30e623}">
          <xlrd:rvb i="2766"/>
        </ext>
      </extLst>
    </bk>
    <bk>
      <extLst>
        <ext uri="{3e2802c4-a4d2-4d8b-9148-e3be6c30e623}">
          <xlrd:rvb i="2767"/>
        </ext>
      </extLst>
    </bk>
    <bk>
      <extLst>
        <ext uri="{3e2802c4-a4d2-4d8b-9148-e3be6c30e623}">
          <xlrd:rvb i="2768"/>
        </ext>
      </extLst>
    </bk>
    <bk>
      <extLst>
        <ext uri="{3e2802c4-a4d2-4d8b-9148-e3be6c30e623}">
          <xlrd:rvb i="2769"/>
        </ext>
      </extLst>
    </bk>
    <bk>
      <extLst>
        <ext uri="{3e2802c4-a4d2-4d8b-9148-e3be6c30e623}">
          <xlrd:rvb i="2770"/>
        </ext>
      </extLst>
    </bk>
    <bk>
      <extLst>
        <ext uri="{3e2802c4-a4d2-4d8b-9148-e3be6c30e623}">
          <xlrd:rvb i="2771"/>
        </ext>
      </extLst>
    </bk>
    <bk>
      <extLst>
        <ext uri="{3e2802c4-a4d2-4d8b-9148-e3be6c30e623}">
          <xlrd:rvb i="2772"/>
        </ext>
      </extLst>
    </bk>
    <bk>
      <extLst>
        <ext uri="{3e2802c4-a4d2-4d8b-9148-e3be6c30e623}">
          <xlrd:rvb i="2773"/>
        </ext>
      </extLst>
    </bk>
    <bk>
      <extLst>
        <ext uri="{3e2802c4-a4d2-4d8b-9148-e3be6c30e623}">
          <xlrd:rvb i="2774"/>
        </ext>
      </extLst>
    </bk>
    <bk>
      <extLst>
        <ext uri="{3e2802c4-a4d2-4d8b-9148-e3be6c30e623}">
          <xlrd:rvb i="2775"/>
        </ext>
      </extLst>
    </bk>
    <bk>
      <extLst>
        <ext uri="{3e2802c4-a4d2-4d8b-9148-e3be6c30e623}">
          <xlrd:rvb i="2776"/>
        </ext>
      </extLst>
    </bk>
    <bk>
      <extLst>
        <ext uri="{3e2802c4-a4d2-4d8b-9148-e3be6c30e623}">
          <xlrd:rvb i="2777"/>
        </ext>
      </extLst>
    </bk>
    <bk>
      <extLst>
        <ext uri="{3e2802c4-a4d2-4d8b-9148-e3be6c30e623}">
          <xlrd:rvb i="2778"/>
        </ext>
      </extLst>
    </bk>
    <bk>
      <extLst>
        <ext uri="{3e2802c4-a4d2-4d8b-9148-e3be6c30e623}">
          <xlrd:rvb i="2779"/>
        </ext>
      </extLst>
    </bk>
    <bk>
      <extLst>
        <ext uri="{3e2802c4-a4d2-4d8b-9148-e3be6c30e623}">
          <xlrd:rvb i="2780"/>
        </ext>
      </extLst>
    </bk>
    <bk>
      <extLst>
        <ext uri="{3e2802c4-a4d2-4d8b-9148-e3be6c30e623}">
          <xlrd:rvb i="2781"/>
        </ext>
      </extLst>
    </bk>
    <bk>
      <extLst>
        <ext uri="{3e2802c4-a4d2-4d8b-9148-e3be6c30e623}">
          <xlrd:rvb i="2782"/>
        </ext>
      </extLst>
    </bk>
    <bk>
      <extLst>
        <ext uri="{3e2802c4-a4d2-4d8b-9148-e3be6c30e623}">
          <xlrd:rvb i="2783"/>
        </ext>
      </extLst>
    </bk>
    <bk>
      <extLst>
        <ext uri="{3e2802c4-a4d2-4d8b-9148-e3be6c30e623}">
          <xlrd:rvb i="2784"/>
        </ext>
      </extLst>
    </bk>
    <bk>
      <extLst>
        <ext uri="{3e2802c4-a4d2-4d8b-9148-e3be6c30e623}">
          <xlrd:rvb i="2785"/>
        </ext>
      </extLst>
    </bk>
    <bk>
      <extLst>
        <ext uri="{3e2802c4-a4d2-4d8b-9148-e3be6c30e623}">
          <xlrd:rvb i="2786"/>
        </ext>
      </extLst>
    </bk>
    <bk>
      <extLst>
        <ext uri="{3e2802c4-a4d2-4d8b-9148-e3be6c30e623}">
          <xlrd:rvb i="2787"/>
        </ext>
      </extLst>
    </bk>
    <bk>
      <extLst>
        <ext uri="{3e2802c4-a4d2-4d8b-9148-e3be6c30e623}">
          <xlrd:rvb i="2788"/>
        </ext>
      </extLst>
    </bk>
    <bk>
      <extLst>
        <ext uri="{3e2802c4-a4d2-4d8b-9148-e3be6c30e623}">
          <xlrd:rvb i="2789"/>
        </ext>
      </extLst>
    </bk>
    <bk>
      <extLst>
        <ext uri="{3e2802c4-a4d2-4d8b-9148-e3be6c30e623}">
          <xlrd:rvb i="2790"/>
        </ext>
      </extLst>
    </bk>
    <bk>
      <extLst>
        <ext uri="{3e2802c4-a4d2-4d8b-9148-e3be6c30e623}">
          <xlrd:rvb i="2791"/>
        </ext>
      </extLst>
    </bk>
    <bk>
      <extLst>
        <ext uri="{3e2802c4-a4d2-4d8b-9148-e3be6c30e623}">
          <xlrd:rvb i="2792"/>
        </ext>
      </extLst>
    </bk>
    <bk>
      <extLst>
        <ext uri="{3e2802c4-a4d2-4d8b-9148-e3be6c30e623}">
          <xlrd:rvb i="2793"/>
        </ext>
      </extLst>
    </bk>
    <bk>
      <extLst>
        <ext uri="{3e2802c4-a4d2-4d8b-9148-e3be6c30e623}">
          <xlrd:rvb i="2794"/>
        </ext>
      </extLst>
    </bk>
    <bk>
      <extLst>
        <ext uri="{3e2802c4-a4d2-4d8b-9148-e3be6c30e623}">
          <xlrd:rvb i="2795"/>
        </ext>
      </extLst>
    </bk>
    <bk>
      <extLst>
        <ext uri="{3e2802c4-a4d2-4d8b-9148-e3be6c30e623}">
          <xlrd:rvb i="2796"/>
        </ext>
      </extLst>
    </bk>
    <bk>
      <extLst>
        <ext uri="{3e2802c4-a4d2-4d8b-9148-e3be6c30e623}">
          <xlrd:rvb i="2797"/>
        </ext>
      </extLst>
    </bk>
    <bk>
      <extLst>
        <ext uri="{3e2802c4-a4d2-4d8b-9148-e3be6c30e623}">
          <xlrd:rvb i="2798"/>
        </ext>
      </extLst>
    </bk>
    <bk>
      <extLst>
        <ext uri="{3e2802c4-a4d2-4d8b-9148-e3be6c30e623}">
          <xlrd:rvb i="2799"/>
        </ext>
      </extLst>
    </bk>
    <bk>
      <extLst>
        <ext uri="{3e2802c4-a4d2-4d8b-9148-e3be6c30e623}">
          <xlrd:rvb i="2800"/>
        </ext>
      </extLst>
    </bk>
    <bk>
      <extLst>
        <ext uri="{3e2802c4-a4d2-4d8b-9148-e3be6c30e623}">
          <xlrd:rvb i="2801"/>
        </ext>
      </extLst>
    </bk>
    <bk>
      <extLst>
        <ext uri="{3e2802c4-a4d2-4d8b-9148-e3be6c30e623}">
          <xlrd:rvb i="2802"/>
        </ext>
      </extLst>
    </bk>
    <bk>
      <extLst>
        <ext uri="{3e2802c4-a4d2-4d8b-9148-e3be6c30e623}">
          <xlrd:rvb i="2803"/>
        </ext>
      </extLst>
    </bk>
    <bk>
      <extLst>
        <ext uri="{3e2802c4-a4d2-4d8b-9148-e3be6c30e623}">
          <xlrd:rvb i="2804"/>
        </ext>
      </extLst>
    </bk>
    <bk>
      <extLst>
        <ext uri="{3e2802c4-a4d2-4d8b-9148-e3be6c30e623}">
          <xlrd:rvb i="2805"/>
        </ext>
      </extLst>
    </bk>
    <bk>
      <extLst>
        <ext uri="{3e2802c4-a4d2-4d8b-9148-e3be6c30e623}">
          <xlrd:rvb i="2806"/>
        </ext>
      </extLst>
    </bk>
    <bk>
      <extLst>
        <ext uri="{3e2802c4-a4d2-4d8b-9148-e3be6c30e623}">
          <xlrd:rvb i="2807"/>
        </ext>
      </extLst>
    </bk>
    <bk>
      <extLst>
        <ext uri="{3e2802c4-a4d2-4d8b-9148-e3be6c30e623}">
          <xlrd:rvb i="2808"/>
        </ext>
      </extLst>
    </bk>
    <bk>
      <extLst>
        <ext uri="{3e2802c4-a4d2-4d8b-9148-e3be6c30e623}">
          <xlrd:rvb i="2809"/>
        </ext>
      </extLst>
    </bk>
    <bk>
      <extLst>
        <ext uri="{3e2802c4-a4d2-4d8b-9148-e3be6c30e623}">
          <xlrd:rvb i="2810"/>
        </ext>
      </extLst>
    </bk>
    <bk>
      <extLst>
        <ext uri="{3e2802c4-a4d2-4d8b-9148-e3be6c30e623}">
          <xlrd:rvb i="2811"/>
        </ext>
      </extLst>
    </bk>
    <bk>
      <extLst>
        <ext uri="{3e2802c4-a4d2-4d8b-9148-e3be6c30e623}">
          <xlrd:rvb i="2812"/>
        </ext>
      </extLst>
    </bk>
    <bk>
      <extLst>
        <ext uri="{3e2802c4-a4d2-4d8b-9148-e3be6c30e623}">
          <xlrd:rvb i="2813"/>
        </ext>
      </extLst>
    </bk>
    <bk>
      <extLst>
        <ext uri="{3e2802c4-a4d2-4d8b-9148-e3be6c30e623}">
          <xlrd:rvb i="2814"/>
        </ext>
      </extLst>
    </bk>
    <bk>
      <extLst>
        <ext uri="{3e2802c4-a4d2-4d8b-9148-e3be6c30e623}">
          <xlrd:rvb i="2815"/>
        </ext>
      </extLst>
    </bk>
    <bk>
      <extLst>
        <ext uri="{3e2802c4-a4d2-4d8b-9148-e3be6c30e623}">
          <xlrd:rvb i="2816"/>
        </ext>
      </extLst>
    </bk>
    <bk>
      <extLst>
        <ext uri="{3e2802c4-a4d2-4d8b-9148-e3be6c30e623}">
          <xlrd:rvb i="2817"/>
        </ext>
      </extLst>
    </bk>
    <bk>
      <extLst>
        <ext uri="{3e2802c4-a4d2-4d8b-9148-e3be6c30e623}">
          <xlrd:rvb i="2818"/>
        </ext>
      </extLst>
    </bk>
    <bk>
      <extLst>
        <ext uri="{3e2802c4-a4d2-4d8b-9148-e3be6c30e623}">
          <xlrd:rvb i="2819"/>
        </ext>
      </extLst>
    </bk>
    <bk>
      <extLst>
        <ext uri="{3e2802c4-a4d2-4d8b-9148-e3be6c30e623}">
          <xlrd:rvb i="2820"/>
        </ext>
      </extLst>
    </bk>
    <bk>
      <extLst>
        <ext uri="{3e2802c4-a4d2-4d8b-9148-e3be6c30e623}">
          <xlrd:rvb i="2821"/>
        </ext>
      </extLst>
    </bk>
    <bk>
      <extLst>
        <ext uri="{3e2802c4-a4d2-4d8b-9148-e3be6c30e623}">
          <xlrd:rvb i="2822"/>
        </ext>
      </extLst>
    </bk>
    <bk>
      <extLst>
        <ext uri="{3e2802c4-a4d2-4d8b-9148-e3be6c30e623}">
          <xlrd:rvb i="2823"/>
        </ext>
      </extLst>
    </bk>
    <bk>
      <extLst>
        <ext uri="{3e2802c4-a4d2-4d8b-9148-e3be6c30e623}">
          <xlrd:rvb i="2824"/>
        </ext>
      </extLst>
    </bk>
    <bk>
      <extLst>
        <ext uri="{3e2802c4-a4d2-4d8b-9148-e3be6c30e623}">
          <xlrd:rvb i="2825"/>
        </ext>
      </extLst>
    </bk>
    <bk>
      <extLst>
        <ext uri="{3e2802c4-a4d2-4d8b-9148-e3be6c30e623}">
          <xlrd:rvb i="2826"/>
        </ext>
      </extLst>
    </bk>
    <bk>
      <extLst>
        <ext uri="{3e2802c4-a4d2-4d8b-9148-e3be6c30e623}">
          <xlrd:rvb i="2827"/>
        </ext>
      </extLst>
    </bk>
    <bk>
      <extLst>
        <ext uri="{3e2802c4-a4d2-4d8b-9148-e3be6c30e623}">
          <xlrd:rvb i="2828"/>
        </ext>
      </extLst>
    </bk>
    <bk>
      <extLst>
        <ext uri="{3e2802c4-a4d2-4d8b-9148-e3be6c30e623}">
          <xlrd:rvb i="2829"/>
        </ext>
      </extLst>
    </bk>
    <bk>
      <extLst>
        <ext uri="{3e2802c4-a4d2-4d8b-9148-e3be6c30e623}">
          <xlrd:rvb i="2830"/>
        </ext>
      </extLst>
    </bk>
    <bk>
      <extLst>
        <ext uri="{3e2802c4-a4d2-4d8b-9148-e3be6c30e623}">
          <xlrd:rvb i="2831"/>
        </ext>
      </extLst>
    </bk>
    <bk>
      <extLst>
        <ext uri="{3e2802c4-a4d2-4d8b-9148-e3be6c30e623}">
          <xlrd:rvb i="2832"/>
        </ext>
      </extLst>
    </bk>
    <bk>
      <extLst>
        <ext uri="{3e2802c4-a4d2-4d8b-9148-e3be6c30e623}">
          <xlrd:rvb i="2833"/>
        </ext>
      </extLst>
    </bk>
    <bk>
      <extLst>
        <ext uri="{3e2802c4-a4d2-4d8b-9148-e3be6c30e623}">
          <xlrd:rvb i="2834"/>
        </ext>
      </extLst>
    </bk>
    <bk>
      <extLst>
        <ext uri="{3e2802c4-a4d2-4d8b-9148-e3be6c30e623}">
          <xlrd:rvb i="2835"/>
        </ext>
      </extLst>
    </bk>
    <bk>
      <extLst>
        <ext uri="{3e2802c4-a4d2-4d8b-9148-e3be6c30e623}">
          <xlrd:rvb i="2836"/>
        </ext>
      </extLst>
    </bk>
    <bk>
      <extLst>
        <ext uri="{3e2802c4-a4d2-4d8b-9148-e3be6c30e623}">
          <xlrd:rvb i="2837"/>
        </ext>
      </extLst>
    </bk>
    <bk>
      <extLst>
        <ext uri="{3e2802c4-a4d2-4d8b-9148-e3be6c30e623}">
          <xlrd:rvb i="2838"/>
        </ext>
      </extLst>
    </bk>
    <bk>
      <extLst>
        <ext uri="{3e2802c4-a4d2-4d8b-9148-e3be6c30e623}">
          <xlrd:rvb i="2839"/>
        </ext>
      </extLst>
    </bk>
    <bk>
      <extLst>
        <ext uri="{3e2802c4-a4d2-4d8b-9148-e3be6c30e623}">
          <xlrd:rvb i="2840"/>
        </ext>
      </extLst>
    </bk>
    <bk>
      <extLst>
        <ext uri="{3e2802c4-a4d2-4d8b-9148-e3be6c30e623}">
          <xlrd:rvb i="2841"/>
        </ext>
      </extLst>
    </bk>
    <bk>
      <extLst>
        <ext uri="{3e2802c4-a4d2-4d8b-9148-e3be6c30e623}">
          <xlrd:rvb i="2842"/>
        </ext>
      </extLst>
    </bk>
    <bk>
      <extLst>
        <ext uri="{3e2802c4-a4d2-4d8b-9148-e3be6c30e623}">
          <xlrd:rvb i="2843"/>
        </ext>
      </extLst>
    </bk>
    <bk>
      <extLst>
        <ext uri="{3e2802c4-a4d2-4d8b-9148-e3be6c30e623}">
          <xlrd:rvb i="2844"/>
        </ext>
      </extLst>
    </bk>
    <bk>
      <extLst>
        <ext uri="{3e2802c4-a4d2-4d8b-9148-e3be6c30e623}">
          <xlrd:rvb i="2845"/>
        </ext>
      </extLst>
    </bk>
    <bk>
      <extLst>
        <ext uri="{3e2802c4-a4d2-4d8b-9148-e3be6c30e623}">
          <xlrd:rvb i="2846"/>
        </ext>
      </extLst>
    </bk>
    <bk>
      <extLst>
        <ext uri="{3e2802c4-a4d2-4d8b-9148-e3be6c30e623}">
          <xlrd:rvb i="2847"/>
        </ext>
      </extLst>
    </bk>
    <bk>
      <extLst>
        <ext uri="{3e2802c4-a4d2-4d8b-9148-e3be6c30e623}">
          <xlrd:rvb i="2848"/>
        </ext>
      </extLst>
    </bk>
    <bk>
      <extLst>
        <ext uri="{3e2802c4-a4d2-4d8b-9148-e3be6c30e623}">
          <xlrd:rvb i="2849"/>
        </ext>
      </extLst>
    </bk>
    <bk>
      <extLst>
        <ext uri="{3e2802c4-a4d2-4d8b-9148-e3be6c30e623}">
          <xlrd:rvb i="2850"/>
        </ext>
      </extLst>
    </bk>
    <bk>
      <extLst>
        <ext uri="{3e2802c4-a4d2-4d8b-9148-e3be6c30e623}">
          <xlrd:rvb i="2851"/>
        </ext>
      </extLst>
    </bk>
    <bk>
      <extLst>
        <ext uri="{3e2802c4-a4d2-4d8b-9148-e3be6c30e623}">
          <xlrd:rvb i="2852"/>
        </ext>
      </extLst>
    </bk>
    <bk>
      <extLst>
        <ext uri="{3e2802c4-a4d2-4d8b-9148-e3be6c30e623}">
          <xlrd:rvb i="2853"/>
        </ext>
      </extLst>
    </bk>
    <bk>
      <extLst>
        <ext uri="{3e2802c4-a4d2-4d8b-9148-e3be6c30e623}">
          <xlrd:rvb i="2854"/>
        </ext>
      </extLst>
    </bk>
    <bk>
      <extLst>
        <ext uri="{3e2802c4-a4d2-4d8b-9148-e3be6c30e623}">
          <xlrd:rvb i="2855"/>
        </ext>
      </extLst>
    </bk>
    <bk>
      <extLst>
        <ext uri="{3e2802c4-a4d2-4d8b-9148-e3be6c30e623}">
          <xlrd:rvb i="2856"/>
        </ext>
      </extLst>
    </bk>
    <bk>
      <extLst>
        <ext uri="{3e2802c4-a4d2-4d8b-9148-e3be6c30e623}">
          <xlrd:rvb i="2857"/>
        </ext>
      </extLst>
    </bk>
    <bk>
      <extLst>
        <ext uri="{3e2802c4-a4d2-4d8b-9148-e3be6c30e623}">
          <xlrd:rvb i="2858"/>
        </ext>
      </extLst>
    </bk>
    <bk>
      <extLst>
        <ext uri="{3e2802c4-a4d2-4d8b-9148-e3be6c30e623}">
          <xlrd:rvb i="2859"/>
        </ext>
      </extLst>
    </bk>
    <bk>
      <extLst>
        <ext uri="{3e2802c4-a4d2-4d8b-9148-e3be6c30e623}">
          <xlrd:rvb i="2860"/>
        </ext>
      </extLst>
    </bk>
    <bk>
      <extLst>
        <ext uri="{3e2802c4-a4d2-4d8b-9148-e3be6c30e623}">
          <xlrd:rvb i="2861"/>
        </ext>
      </extLst>
    </bk>
    <bk>
      <extLst>
        <ext uri="{3e2802c4-a4d2-4d8b-9148-e3be6c30e623}">
          <xlrd:rvb i="2862"/>
        </ext>
      </extLst>
    </bk>
    <bk>
      <extLst>
        <ext uri="{3e2802c4-a4d2-4d8b-9148-e3be6c30e623}">
          <xlrd:rvb i="2863"/>
        </ext>
      </extLst>
    </bk>
    <bk>
      <extLst>
        <ext uri="{3e2802c4-a4d2-4d8b-9148-e3be6c30e623}">
          <xlrd:rvb i="2864"/>
        </ext>
      </extLst>
    </bk>
    <bk>
      <extLst>
        <ext uri="{3e2802c4-a4d2-4d8b-9148-e3be6c30e623}">
          <xlrd:rvb i="2865"/>
        </ext>
      </extLst>
    </bk>
    <bk>
      <extLst>
        <ext uri="{3e2802c4-a4d2-4d8b-9148-e3be6c30e623}">
          <xlrd:rvb i="2866"/>
        </ext>
      </extLst>
    </bk>
    <bk>
      <extLst>
        <ext uri="{3e2802c4-a4d2-4d8b-9148-e3be6c30e623}">
          <xlrd:rvb i="2867"/>
        </ext>
      </extLst>
    </bk>
    <bk>
      <extLst>
        <ext uri="{3e2802c4-a4d2-4d8b-9148-e3be6c30e623}">
          <xlrd:rvb i="2868"/>
        </ext>
      </extLst>
    </bk>
    <bk>
      <extLst>
        <ext uri="{3e2802c4-a4d2-4d8b-9148-e3be6c30e623}">
          <xlrd:rvb i="2869"/>
        </ext>
      </extLst>
    </bk>
    <bk>
      <extLst>
        <ext uri="{3e2802c4-a4d2-4d8b-9148-e3be6c30e623}">
          <xlrd:rvb i="2870"/>
        </ext>
      </extLst>
    </bk>
    <bk>
      <extLst>
        <ext uri="{3e2802c4-a4d2-4d8b-9148-e3be6c30e623}">
          <xlrd:rvb i="2871"/>
        </ext>
      </extLst>
    </bk>
    <bk>
      <extLst>
        <ext uri="{3e2802c4-a4d2-4d8b-9148-e3be6c30e623}">
          <xlrd:rvb i="2872"/>
        </ext>
      </extLst>
    </bk>
    <bk>
      <extLst>
        <ext uri="{3e2802c4-a4d2-4d8b-9148-e3be6c30e623}">
          <xlrd:rvb i="2873"/>
        </ext>
      </extLst>
    </bk>
    <bk>
      <extLst>
        <ext uri="{3e2802c4-a4d2-4d8b-9148-e3be6c30e623}">
          <xlrd:rvb i="2874"/>
        </ext>
      </extLst>
    </bk>
    <bk>
      <extLst>
        <ext uri="{3e2802c4-a4d2-4d8b-9148-e3be6c30e623}">
          <xlrd:rvb i="2875"/>
        </ext>
      </extLst>
    </bk>
    <bk>
      <extLst>
        <ext uri="{3e2802c4-a4d2-4d8b-9148-e3be6c30e623}">
          <xlrd:rvb i="2876"/>
        </ext>
      </extLst>
    </bk>
    <bk>
      <extLst>
        <ext uri="{3e2802c4-a4d2-4d8b-9148-e3be6c30e623}">
          <xlrd:rvb i="2877"/>
        </ext>
      </extLst>
    </bk>
    <bk>
      <extLst>
        <ext uri="{3e2802c4-a4d2-4d8b-9148-e3be6c30e623}">
          <xlrd:rvb i="2878"/>
        </ext>
      </extLst>
    </bk>
    <bk>
      <extLst>
        <ext uri="{3e2802c4-a4d2-4d8b-9148-e3be6c30e623}">
          <xlrd:rvb i="2879"/>
        </ext>
      </extLst>
    </bk>
    <bk>
      <extLst>
        <ext uri="{3e2802c4-a4d2-4d8b-9148-e3be6c30e623}">
          <xlrd:rvb i="2880"/>
        </ext>
      </extLst>
    </bk>
    <bk>
      <extLst>
        <ext uri="{3e2802c4-a4d2-4d8b-9148-e3be6c30e623}">
          <xlrd:rvb i="2881"/>
        </ext>
      </extLst>
    </bk>
    <bk>
      <extLst>
        <ext uri="{3e2802c4-a4d2-4d8b-9148-e3be6c30e623}">
          <xlrd:rvb i="2882"/>
        </ext>
      </extLst>
    </bk>
    <bk>
      <extLst>
        <ext uri="{3e2802c4-a4d2-4d8b-9148-e3be6c30e623}">
          <xlrd:rvb i="2883"/>
        </ext>
      </extLst>
    </bk>
    <bk>
      <extLst>
        <ext uri="{3e2802c4-a4d2-4d8b-9148-e3be6c30e623}">
          <xlrd:rvb i="2884"/>
        </ext>
      </extLst>
    </bk>
    <bk>
      <extLst>
        <ext uri="{3e2802c4-a4d2-4d8b-9148-e3be6c30e623}">
          <xlrd:rvb i="2885"/>
        </ext>
      </extLst>
    </bk>
    <bk>
      <extLst>
        <ext uri="{3e2802c4-a4d2-4d8b-9148-e3be6c30e623}">
          <xlrd:rvb i="2886"/>
        </ext>
      </extLst>
    </bk>
    <bk>
      <extLst>
        <ext uri="{3e2802c4-a4d2-4d8b-9148-e3be6c30e623}">
          <xlrd:rvb i="2887"/>
        </ext>
      </extLst>
    </bk>
    <bk>
      <extLst>
        <ext uri="{3e2802c4-a4d2-4d8b-9148-e3be6c30e623}">
          <xlrd:rvb i="2888"/>
        </ext>
      </extLst>
    </bk>
    <bk>
      <extLst>
        <ext uri="{3e2802c4-a4d2-4d8b-9148-e3be6c30e623}">
          <xlrd:rvb i="2889"/>
        </ext>
      </extLst>
    </bk>
    <bk>
      <extLst>
        <ext uri="{3e2802c4-a4d2-4d8b-9148-e3be6c30e623}">
          <xlrd:rvb i="2890"/>
        </ext>
      </extLst>
    </bk>
    <bk>
      <extLst>
        <ext uri="{3e2802c4-a4d2-4d8b-9148-e3be6c30e623}">
          <xlrd:rvb i="2891"/>
        </ext>
      </extLst>
    </bk>
    <bk>
      <extLst>
        <ext uri="{3e2802c4-a4d2-4d8b-9148-e3be6c30e623}">
          <xlrd:rvb i="2892"/>
        </ext>
      </extLst>
    </bk>
    <bk>
      <extLst>
        <ext uri="{3e2802c4-a4d2-4d8b-9148-e3be6c30e623}">
          <xlrd:rvb i="2893"/>
        </ext>
      </extLst>
    </bk>
    <bk>
      <extLst>
        <ext uri="{3e2802c4-a4d2-4d8b-9148-e3be6c30e623}">
          <xlrd:rvb i="2894"/>
        </ext>
      </extLst>
    </bk>
    <bk>
      <extLst>
        <ext uri="{3e2802c4-a4d2-4d8b-9148-e3be6c30e623}">
          <xlrd:rvb i="2895"/>
        </ext>
      </extLst>
    </bk>
    <bk>
      <extLst>
        <ext uri="{3e2802c4-a4d2-4d8b-9148-e3be6c30e623}">
          <xlrd:rvb i="2896"/>
        </ext>
      </extLst>
    </bk>
    <bk>
      <extLst>
        <ext uri="{3e2802c4-a4d2-4d8b-9148-e3be6c30e623}">
          <xlrd:rvb i="2897"/>
        </ext>
      </extLst>
    </bk>
    <bk>
      <extLst>
        <ext uri="{3e2802c4-a4d2-4d8b-9148-e3be6c30e623}">
          <xlrd:rvb i="2898"/>
        </ext>
      </extLst>
    </bk>
    <bk>
      <extLst>
        <ext uri="{3e2802c4-a4d2-4d8b-9148-e3be6c30e623}">
          <xlrd:rvb i="2899"/>
        </ext>
      </extLst>
    </bk>
    <bk>
      <extLst>
        <ext uri="{3e2802c4-a4d2-4d8b-9148-e3be6c30e623}">
          <xlrd:rvb i="2900"/>
        </ext>
      </extLst>
    </bk>
    <bk>
      <extLst>
        <ext uri="{3e2802c4-a4d2-4d8b-9148-e3be6c30e623}">
          <xlrd:rvb i="2901"/>
        </ext>
      </extLst>
    </bk>
    <bk>
      <extLst>
        <ext uri="{3e2802c4-a4d2-4d8b-9148-e3be6c30e623}">
          <xlrd:rvb i="2902"/>
        </ext>
      </extLst>
    </bk>
    <bk>
      <extLst>
        <ext uri="{3e2802c4-a4d2-4d8b-9148-e3be6c30e623}">
          <xlrd:rvb i="2903"/>
        </ext>
      </extLst>
    </bk>
    <bk>
      <extLst>
        <ext uri="{3e2802c4-a4d2-4d8b-9148-e3be6c30e623}">
          <xlrd:rvb i="2904"/>
        </ext>
      </extLst>
    </bk>
    <bk>
      <extLst>
        <ext uri="{3e2802c4-a4d2-4d8b-9148-e3be6c30e623}">
          <xlrd:rvb i="2905"/>
        </ext>
      </extLst>
    </bk>
    <bk>
      <extLst>
        <ext uri="{3e2802c4-a4d2-4d8b-9148-e3be6c30e623}">
          <xlrd:rvb i="2906"/>
        </ext>
      </extLst>
    </bk>
    <bk>
      <extLst>
        <ext uri="{3e2802c4-a4d2-4d8b-9148-e3be6c30e623}">
          <xlrd:rvb i="2907"/>
        </ext>
      </extLst>
    </bk>
    <bk>
      <extLst>
        <ext uri="{3e2802c4-a4d2-4d8b-9148-e3be6c30e623}">
          <xlrd:rvb i="2908"/>
        </ext>
      </extLst>
    </bk>
    <bk>
      <extLst>
        <ext uri="{3e2802c4-a4d2-4d8b-9148-e3be6c30e623}">
          <xlrd:rvb i="2909"/>
        </ext>
      </extLst>
    </bk>
    <bk>
      <extLst>
        <ext uri="{3e2802c4-a4d2-4d8b-9148-e3be6c30e623}">
          <xlrd:rvb i="2910"/>
        </ext>
      </extLst>
    </bk>
    <bk>
      <extLst>
        <ext uri="{3e2802c4-a4d2-4d8b-9148-e3be6c30e623}">
          <xlrd:rvb i="2911"/>
        </ext>
      </extLst>
    </bk>
    <bk>
      <extLst>
        <ext uri="{3e2802c4-a4d2-4d8b-9148-e3be6c30e623}">
          <xlrd:rvb i="2912"/>
        </ext>
      </extLst>
    </bk>
    <bk>
      <extLst>
        <ext uri="{3e2802c4-a4d2-4d8b-9148-e3be6c30e623}">
          <xlrd:rvb i="2913"/>
        </ext>
      </extLst>
    </bk>
    <bk>
      <extLst>
        <ext uri="{3e2802c4-a4d2-4d8b-9148-e3be6c30e623}">
          <xlrd:rvb i="2914"/>
        </ext>
      </extLst>
    </bk>
    <bk>
      <extLst>
        <ext uri="{3e2802c4-a4d2-4d8b-9148-e3be6c30e623}">
          <xlrd:rvb i="2915"/>
        </ext>
      </extLst>
    </bk>
    <bk>
      <extLst>
        <ext uri="{3e2802c4-a4d2-4d8b-9148-e3be6c30e623}">
          <xlrd:rvb i="2916"/>
        </ext>
      </extLst>
    </bk>
    <bk>
      <extLst>
        <ext uri="{3e2802c4-a4d2-4d8b-9148-e3be6c30e623}">
          <xlrd:rvb i="2917"/>
        </ext>
      </extLst>
    </bk>
    <bk>
      <extLst>
        <ext uri="{3e2802c4-a4d2-4d8b-9148-e3be6c30e623}">
          <xlrd:rvb i="2918"/>
        </ext>
      </extLst>
    </bk>
    <bk>
      <extLst>
        <ext uri="{3e2802c4-a4d2-4d8b-9148-e3be6c30e623}">
          <xlrd:rvb i="2919"/>
        </ext>
      </extLst>
    </bk>
    <bk>
      <extLst>
        <ext uri="{3e2802c4-a4d2-4d8b-9148-e3be6c30e623}">
          <xlrd:rvb i="2920"/>
        </ext>
      </extLst>
    </bk>
    <bk>
      <extLst>
        <ext uri="{3e2802c4-a4d2-4d8b-9148-e3be6c30e623}">
          <xlrd:rvb i="2921"/>
        </ext>
      </extLst>
    </bk>
    <bk>
      <extLst>
        <ext uri="{3e2802c4-a4d2-4d8b-9148-e3be6c30e623}">
          <xlrd:rvb i="2922"/>
        </ext>
      </extLst>
    </bk>
    <bk>
      <extLst>
        <ext uri="{3e2802c4-a4d2-4d8b-9148-e3be6c30e623}">
          <xlrd:rvb i="2923"/>
        </ext>
      </extLst>
    </bk>
    <bk>
      <extLst>
        <ext uri="{3e2802c4-a4d2-4d8b-9148-e3be6c30e623}">
          <xlrd:rvb i="2924"/>
        </ext>
      </extLst>
    </bk>
    <bk>
      <extLst>
        <ext uri="{3e2802c4-a4d2-4d8b-9148-e3be6c30e623}">
          <xlrd:rvb i="2925"/>
        </ext>
      </extLst>
    </bk>
    <bk>
      <extLst>
        <ext uri="{3e2802c4-a4d2-4d8b-9148-e3be6c30e623}">
          <xlrd:rvb i="2926"/>
        </ext>
      </extLst>
    </bk>
    <bk>
      <extLst>
        <ext uri="{3e2802c4-a4d2-4d8b-9148-e3be6c30e623}">
          <xlrd:rvb i="2927"/>
        </ext>
      </extLst>
    </bk>
    <bk>
      <extLst>
        <ext uri="{3e2802c4-a4d2-4d8b-9148-e3be6c30e623}">
          <xlrd:rvb i="2928"/>
        </ext>
      </extLst>
    </bk>
    <bk>
      <extLst>
        <ext uri="{3e2802c4-a4d2-4d8b-9148-e3be6c30e623}">
          <xlrd:rvb i="2929"/>
        </ext>
      </extLst>
    </bk>
    <bk>
      <extLst>
        <ext uri="{3e2802c4-a4d2-4d8b-9148-e3be6c30e623}">
          <xlrd:rvb i="2930"/>
        </ext>
      </extLst>
    </bk>
    <bk>
      <extLst>
        <ext uri="{3e2802c4-a4d2-4d8b-9148-e3be6c30e623}">
          <xlrd:rvb i="2931"/>
        </ext>
      </extLst>
    </bk>
    <bk>
      <extLst>
        <ext uri="{3e2802c4-a4d2-4d8b-9148-e3be6c30e623}">
          <xlrd:rvb i="2932"/>
        </ext>
      </extLst>
    </bk>
    <bk>
      <extLst>
        <ext uri="{3e2802c4-a4d2-4d8b-9148-e3be6c30e623}">
          <xlrd:rvb i="2933"/>
        </ext>
      </extLst>
    </bk>
    <bk>
      <extLst>
        <ext uri="{3e2802c4-a4d2-4d8b-9148-e3be6c30e623}">
          <xlrd:rvb i="2934"/>
        </ext>
      </extLst>
    </bk>
    <bk>
      <extLst>
        <ext uri="{3e2802c4-a4d2-4d8b-9148-e3be6c30e623}">
          <xlrd:rvb i="2935"/>
        </ext>
      </extLst>
    </bk>
    <bk>
      <extLst>
        <ext uri="{3e2802c4-a4d2-4d8b-9148-e3be6c30e623}">
          <xlrd:rvb i="2936"/>
        </ext>
      </extLst>
    </bk>
    <bk>
      <extLst>
        <ext uri="{3e2802c4-a4d2-4d8b-9148-e3be6c30e623}">
          <xlrd:rvb i="2937"/>
        </ext>
      </extLst>
    </bk>
    <bk>
      <extLst>
        <ext uri="{3e2802c4-a4d2-4d8b-9148-e3be6c30e623}">
          <xlrd:rvb i="2938"/>
        </ext>
      </extLst>
    </bk>
    <bk>
      <extLst>
        <ext uri="{3e2802c4-a4d2-4d8b-9148-e3be6c30e623}">
          <xlrd:rvb i="2939"/>
        </ext>
      </extLst>
    </bk>
    <bk>
      <extLst>
        <ext uri="{3e2802c4-a4d2-4d8b-9148-e3be6c30e623}">
          <xlrd:rvb i="2940"/>
        </ext>
      </extLst>
    </bk>
    <bk>
      <extLst>
        <ext uri="{3e2802c4-a4d2-4d8b-9148-e3be6c30e623}">
          <xlrd:rvb i="2941"/>
        </ext>
      </extLst>
    </bk>
    <bk>
      <extLst>
        <ext uri="{3e2802c4-a4d2-4d8b-9148-e3be6c30e623}">
          <xlrd:rvb i="2942"/>
        </ext>
      </extLst>
    </bk>
    <bk>
      <extLst>
        <ext uri="{3e2802c4-a4d2-4d8b-9148-e3be6c30e623}">
          <xlrd:rvb i="2943"/>
        </ext>
      </extLst>
    </bk>
    <bk>
      <extLst>
        <ext uri="{3e2802c4-a4d2-4d8b-9148-e3be6c30e623}">
          <xlrd:rvb i="2944"/>
        </ext>
      </extLst>
    </bk>
    <bk>
      <extLst>
        <ext uri="{3e2802c4-a4d2-4d8b-9148-e3be6c30e623}">
          <xlrd:rvb i="2945"/>
        </ext>
      </extLst>
    </bk>
    <bk>
      <extLst>
        <ext uri="{3e2802c4-a4d2-4d8b-9148-e3be6c30e623}">
          <xlrd:rvb i="2946"/>
        </ext>
      </extLst>
    </bk>
    <bk>
      <extLst>
        <ext uri="{3e2802c4-a4d2-4d8b-9148-e3be6c30e623}">
          <xlrd:rvb i="2947"/>
        </ext>
      </extLst>
    </bk>
    <bk>
      <extLst>
        <ext uri="{3e2802c4-a4d2-4d8b-9148-e3be6c30e623}">
          <xlrd:rvb i="2948"/>
        </ext>
      </extLst>
    </bk>
    <bk>
      <extLst>
        <ext uri="{3e2802c4-a4d2-4d8b-9148-e3be6c30e623}">
          <xlrd:rvb i="2949"/>
        </ext>
      </extLst>
    </bk>
    <bk>
      <extLst>
        <ext uri="{3e2802c4-a4d2-4d8b-9148-e3be6c30e623}">
          <xlrd:rvb i="2950"/>
        </ext>
      </extLst>
    </bk>
    <bk>
      <extLst>
        <ext uri="{3e2802c4-a4d2-4d8b-9148-e3be6c30e623}">
          <xlrd:rvb i="2951"/>
        </ext>
      </extLst>
    </bk>
    <bk>
      <extLst>
        <ext uri="{3e2802c4-a4d2-4d8b-9148-e3be6c30e623}">
          <xlrd:rvb i="2952"/>
        </ext>
      </extLst>
    </bk>
    <bk>
      <extLst>
        <ext uri="{3e2802c4-a4d2-4d8b-9148-e3be6c30e623}">
          <xlrd:rvb i="2953"/>
        </ext>
      </extLst>
    </bk>
    <bk>
      <extLst>
        <ext uri="{3e2802c4-a4d2-4d8b-9148-e3be6c30e623}">
          <xlrd:rvb i="2954"/>
        </ext>
      </extLst>
    </bk>
    <bk>
      <extLst>
        <ext uri="{3e2802c4-a4d2-4d8b-9148-e3be6c30e623}">
          <xlrd:rvb i="2955"/>
        </ext>
      </extLst>
    </bk>
    <bk>
      <extLst>
        <ext uri="{3e2802c4-a4d2-4d8b-9148-e3be6c30e623}">
          <xlrd:rvb i="2956"/>
        </ext>
      </extLst>
    </bk>
    <bk>
      <extLst>
        <ext uri="{3e2802c4-a4d2-4d8b-9148-e3be6c30e623}">
          <xlrd:rvb i="2957"/>
        </ext>
      </extLst>
    </bk>
    <bk>
      <extLst>
        <ext uri="{3e2802c4-a4d2-4d8b-9148-e3be6c30e623}">
          <xlrd:rvb i="2958"/>
        </ext>
      </extLst>
    </bk>
    <bk>
      <extLst>
        <ext uri="{3e2802c4-a4d2-4d8b-9148-e3be6c30e623}">
          <xlrd:rvb i="2959"/>
        </ext>
      </extLst>
    </bk>
    <bk>
      <extLst>
        <ext uri="{3e2802c4-a4d2-4d8b-9148-e3be6c30e623}">
          <xlrd:rvb i="2960"/>
        </ext>
      </extLst>
    </bk>
    <bk>
      <extLst>
        <ext uri="{3e2802c4-a4d2-4d8b-9148-e3be6c30e623}">
          <xlrd:rvb i="2961"/>
        </ext>
      </extLst>
    </bk>
    <bk>
      <extLst>
        <ext uri="{3e2802c4-a4d2-4d8b-9148-e3be6c30e623}">
          <xlrd:rvb i="2962"/>
        </ext>
      </extLst>
    </bk>
    <bk>
      <extLst>
        <ext uri="{3e2802c4-a4d2-4d8b-9148-e3be6c30e623}">
          <xlrd:rvb i="2963"/>
        </ext>
      </extLst>
    </bk>
    <bk>
      <extLst>
        <ext uri="{3e2802c4-a4d2-4d8b-9148-e3be6c30e623}">
          <xlrd:rvb i="2964"/>
        </ext>
      </extLst>
    </bk>
    <bk>
      <extLst>
        <ext uri="{3e2802c4-a4d2-4d8b-9148-e3be6c30e623}">
          <xlrd:rvb i="2965"/>
        </ext>
      </extLst>
    </bk>
    <bk>
      <extLst>
        <ext uri="{3e2802c4-a4d2-4d8b-9148-e3be6c30e623}">
          <xlrd:rvb i="2966"/>
        </ext>
      </extLst>
    </bk>
    <bk>
      <extLst>
        <ext uri="{3e2802c4-a4d2-4d8b-9148-e3be6c30e623}">
          <xlrd:rvb i="2967"/>
        </ext>
      </extLst>
    </bk>
    <bk>
      <extLst>
        <ext uri="{3e2802c4-a4d2-4d8b-9148-e3be6c30e623}">
          <xlrd:rvb i="2968"/>
        </ext>
      </extLst>
    </bk>
    <bk>
      <extLst>
        <ext uri="{3e2802c4-a4d2-4d8b-9148-e3be6c30e623}">
          <xlrd:rvb i="2969"/>
        </ext>
      </extLst>
    </bk>
    <bk>
      <extLst>
        <ext uri="{3e2802c4-a4d2-4d8b-9148-e3be6c30e623}">
          <xlrd:rvb i="2970"/>
        </ext>
      </extLst>
    </bk>
    <bk>
      <extLst>
        <ext uri="{3e2802c4-a4d2-4d8b-9148-e3be6c30e623}">
          <xlrd:rvb i="2971"/>
        </ext>
      </extLst>
    </bk>
    <bk>
      <extLst>
        <ext uri="{3e2802c4-a4d2-4d8b-9148-e3be6c30e623}">
          <xlrd:rvb i="2972"/>
        </ext>
      </extLst>
    </bk>
    <bk>
      <extLst>
        <ext uri="{3e2802c4-a4d2-4d8b-9148-e3be6c30e623}">
          <xlrd:rvb i="2973"/>
        </ext>
      </extLst>
    </bk>
    <bk>
      <extLst>
        <ext uri="{3e2802c4-a4d2-4d8b-9148-e3be6c30e623}">
          <xlrd:rvb i="2974"/>
        </ext>
      </extLst>
    </bk>
    <bk>
      <extLst>
        <ext uri="{3e2802c4-a4d2-4d8b-9148-e3be6c30e623}">
          <xlrd:rvb i="2975"/>
        </ext>
      </extLst>
    </bk>
    <bk>
      <extLst>
        <ext uri="{3e2802c4-a4d2-4d8b-9148-e3be6c30e623}">
          <xlrd:rvb i="2976"/>
        </ext>
      </extLst>
    </bk>
    <bk>
      <extLst>
        <ext uri="{3e2802c4-a4d2-4d8b-9148-e3be6c30e623}">
          <xlrd:rvb i="2977"/>
        </ext>
      </extLst>
    </bk>
    <bk>
      <extLst>
        <ext uri="{3e2802c4-a4d2-4d8b-9148-e3be6c30e623}">
          <xlrd:rvb i="2978"/>
        </ext>
      </extLst>
    </bk>
    <bk>
      <extLst>
        <ext uri="{3e2802c4-a4d2-4d8b-9148-e3be6c30e623}">
          <xlrd:rvb i="2979"/>
        </ext>
      </extLst>
    </bk>
    <bk>
      <extLst>
        <ext uri="{3e2802c4-a4d2-4d8b-9148-e3be6c30e623}">
          <xlrd:rvb i="2980"/>
        </ext>
      </extLst>
    </bk>
    <bk>
      <extLst>
        <ext uri="{3e2802c4-a4d2-4d8b-9148-e3be6c30e623}">
          <xlrd:rvb i="2981"/>
        </ext>
      </extLst>
    </bk>
    <bk>
      <extLst>
        <ext uri="{3e2802c4-a4d2-4d8b-9148-e3be6c30e623}">
          <xlrd:rvb i="2982"/>
        </ext>
      </extLst>
    </bk>
    <bk>
      <extLst>
        <ext uri="{3e2802c4-a4d2-4d8b-9148-e3be6c30e623}">
          <xlrd:rvb i="2983"/>
        </ext>
      </extLst>
    </bk>
    <bk>
      <extLst>
        <ext uri="{3e2802c4-a4d2-4d8b-9148-e3be6c30e623}">
          <xlrd:rvb i="2984"/>
        </ext>
      </extLst>
    </bk>
    <bk>
      <extLst>
        <ext uri="{3e2802c4-a4d2-4d8b-9148-e3be6c30e623}">
          <xlrd:rvb i="2985"/>
        </ext>
      </extLst>
    </bk>
    <bk>
      <extLst>
        <ext uri="{3e2802c4-a4d2-4d8b-9148-e3be6c30e623}">
          <xlrd:rvb i="2986"/>
        </ext>
      </extLst>
    </bk>
    <bk>
      <extLst>
        <ext uri="{3e2802c4-a4d2-4d8b-9148-e3be6c30e623}">
          <xlrd:rvb i="2987"/>
        </ext>
      </extLst>
    </bk>
    <bk>
      <extLst>
        <ext uri="{3e2802c4-a4d2-4d8b-9148-e3be6c30e623}">
          <xlrd:rvb i="2988"/>
        </ext>
      </extLst>
    </bk>
    <bk>
      <extLst>
        <ext uri="{3e2802c4-a4d2-4d8b-9148-e3be6c30e623}">
          <xlrd:rvb i="2989"/>
        </ext>
      </extLst>
    </bk>
    <bk>
      <extLst>
        <ext uri="{3e2802c4-a4d2-4d8b-9148-e3be6c30e623}">
          <xlrd:rvb i="2990"/>
        </ext>
      </extLst>
    </bk>
    <bk>
      <extLst>
        <ext uri="{3e2802c4-a4d2-4d8b-9148-e3be6c30e623}">
          <xlrd:rvb i="2991"/>
        </ext>
      </extLst>
    </bk>
    <bk>
      <extLst>
        <ext uri="{3e2802c4-a4d2-4d8b-9148-e3be6c30e623}">
          <xlrd:rvb i="2992"/>
        </ext>
      </extLst>
    </bk>
    <bk>
      <extLst>
        <ext uri="{3e2802c4-a4d2-4d8b-9148-e3be6c30e623}">
          <xlrd:rvb i="2993"/>
        </ext>
      </extLst>
    </bk>
    <bk>
      <extLst>
        <ext uri="{3e2802c4-a4d2-4d8b-9148-e3be6c30e623}">
          <xlrd:rvb i="2994"/>
        </ext>
      </extLst>
    </bk>
    <bk>
      <extLst>
        <ext uri="{3e2802c4-a4d2-4d8b-9148-e3be6c30e623}">
          <xlrd:rvb i="2995"/>
        </ext>
      </extLst>
    </bk>
    <bk>
      <extLst>
        <ext uri="{3e2802c4-a4d2-4d8b-9148-e3be6c30e623}">
          <xlrd:rvb i="2996"/>
        </ext>
      </extLst>
    </bk>
    <bk>
      <extLst>
        <ext uri="{3e2802c4-a4d2-4d8b-9148-e3be6c30e623}">
          <xlrd:rvb i="2997"/>
        </ext>
      </extLst>
    </bk>
    <bk>
      <extLst>
        <ext uri="{3e2802c4-a4d2-4d8b-9148-e3be6c30e623}">
          <xlrd:rvb i="2998"/>
        </ext>
      </extLst>
    </bk>
    <bk>
      <extLst>
        <ext uri="{3e2802c4-a4d2-4d8b-9148-e3be6c30e623}">
          <xlrd:rvb i="2999"/>
        </ext>
      </extLst>
    </bk>
    <bk>
      <extLst>
        <ext uri="{3e2802c4-a4d2-4d8b-9148-e3be6c30e623}">
          <xlrd:rvb i="3000"/>
        </ext>
      </extLst>
    </bk>
    <bk>
      <extLst>
        <ext uri="{3e2802c4-a4d2-4d8b-9148-e3be6c30e623}">
          <xlrd:rvb i="3001"/>
        </ext>
      </extLst>
    </bk>
    <bk>
      <extLst>
        <ext uri="{3e2802c4-a4d2-4d8b-9148-e3be6c30e623}">
          <xlrd:rvb i="3002"/>
        </ext>
      </extLst>
    </bk>
    <bk>
      <extLst>
        <ext uri="{3e2802c4-a4d2-4d8b-9148-e3be6c30e623}">
          <xlrd:rvb i="3003"/>
        </ext>
      </extLst>
    </bk>
    <bk>
      <extLst>
        <ext uri="{3e2802c4-a4d2-4d8b-9148-e3be6c30e623}">
          <xlrd:rvb i="3004"/>
        </ext>
      </extLst>
    </bk>
    <bk>
      <extLst>
        <ext uri="{3e2802c4-a4d2-4d8b-9148-e3be6c30e623}">
          <xlrd:rvb i="3005"/>
        </ext>
      </extLst>
    </bk>
    <bk>
      <extLst>
        <ext uri="{3e2802c4-a4d2-4d8b-9148-e3be6c30e623}">
          <xlrd:rvb i="3006"/>
        </ext>
      </extLst>
    </bk>
    <bk>
      <extLst>
        <ext uri="{3e2802c4-a4d2-4d8b-9148-e3be6c30e623}">
          <xlrd:rvb i="3007"/>
        </ext>
      </extLst>
    </bk>
    <bk>
      <extLst>
        <ext uri="{3e2802c4-a4d2-4d8b-9148-e3be6c30e623}">
          <xlrd:rvb i="3008"/>
        </ext>
      </extLst>
    </bk>
    <bk>
      <extLst>
        <ext uri="{3e2802c4-a4d2-4d8b-9148-e3be6c30e623}">
          <xlrd:rvb i="3009"/>
        </ext>
      </extLst>
    </bk>
    <bk>
      <extLst>
        <ext uri="{3e2802c4-a4d2-4d8b-9148-e3be6c30e623}">
          <xlrd:rvb i="3010"/>
        </ext>
      </extLst>
    </bk>
    <bk>
      <extLst>
        <ext uri="{3e2802c4-a4d2-4d8b-9148-e3be6c30e623}">
          <xlrd:rvb i="3011"/>
        </ext>
      </extLst>
    </bk>
    <bk>
      <extLst>
        <ext uri="{3e2802c4-a4d2-4d8b-9148-e3be6c30e623}">
          <xlrd:rvb i="3012"/>
        </ext>
      </extLst>
    </bk>
    <bk>
      <extLst>
        <ext uri="{3e2802c4-a4d2-4d8b-9148-e3be6c30e623}">
          <xlrd:rvb i="3013"/>
        </ext>
      </extLst>
    </bk>
    <bk>
      <extLst>
        <ext uri="{3e2802c4-a4d2-4d8b-9148-e3be6c30e623}">
          <xlrd:rvb i="3014"/>
        </ext>
      </extLst>
    </bk>
    <bk>
      <extLst>
        <ext uri="{3e2802c4-a4d2-4d8b-9148-e3be6c30e623}">
          <xlrd:rvb i="3015"/>
        </ext>
      </extLst>
    </bk>
    <bk>
      <extLst>
        <ext uri="{3e2802c4-a4d2-4d8b-9148-e3be6c30e623}">
          <xlrd:rvb i="3016"/>
        </ext>
      </extLst>
    </bk>
    <bk>
      <extLst>
        <ext uri="{3e2802c4-a4d2-4d8b-9148-e3be6c30e623}">
          <xlrd:rvb i="3017"/>
        </ext>
      </extLst>
    </bk>
    <bk>
      <extLst>
        <ext uri="{3e2802c4-a4d2-4d8b-9148-e3be6c30e623}">
          <xlrd:rvb i="3018"/>
        </ext>
      </extLst>
    </bk>
    <bk>
      <extLst>
        <ext uri="{3e2802c4-a4d2-4d8b-9148-e3be6c30e623}">
          <xlrd:rvb i="3019"/>
        </ext>
      </extLst>
    </bk>
    <bk>
      <extLst>
        <ext uri="{3e2802c4-a4d2-4d8b-9148-e3be6c30e623}">
          <xlrd:rvb i="3020"/>
        </ext>
      </extLst>
    </bk>
    <bk>
      <extLst>
        <ext uri="{3e2802c4-a4d2-4d8b-9148-e3be6c30e623}">
          <xlrd:rvb i="3021"/>
        </ext>
      </extLst>
    </bk>
    <bk>
      <extLst>
        <ext uri="{3e2802c4-a4d2-4d8b-9148-e3be6c30e623}">
          <xlrd:rvb i="3022"/>
        </ext>
      </extLst>
    </bk>
    <bk>
      <extLst>
        <ext uri="{3e2802c4-a4d2-4d8b-9148-e3be6c30e623}">
          <xlrd:rvb i="3023"/>
        </ext>
      </extLst>
    </bk>
    <bk>
      <extLst>
        <ext uri="{3e2802c4-a4d2-4d8b-9148-e3be6c30e623}">
          <xlrd:rvb i="3024"/>
        </ext>
      </extLst>
    </bk>
    <bk>
      <extLst>
        <ext uri="{3e2802c4-a4d2-4d8b-9148-e3be6c30e623}">
          <xlrd:rvb i="3025"/>
        </ext>
      </extLst>
    </bk>
    <bk>
      <extLst>
        <ext uri="{3e2802c4-a4d2-4d8b-9148-e3be6c30e623}">
          <xlrd:rvb i="3026"/>
        </ext>
      </extLst>
    </bk>
    <bk>
      <extLst>
        <ext uri="{3e2802c4-a4d2-4d8b-9148-e3be6c30e623}">
          <xlrd:rvb i="3027"/>
        </ext>
      </extLst>
    </bk>
    <bk>
      <extLst>
        <ext uri="{3e2802c4-a4d2-4d8b-9148-e3be6c30e623}">
          <xlrd:rvb i="3028"/>
        </ext>
      </extLst>
    </bk>
    <bk>
      <extLst>
        <ext uri="{3e2802c4-a4d2-4d8b-9148-e3be6c30e623}">
          <xlrd:rvb i="3029"/>
        </ext>
      </extLst>
    </bk>
    <bk>
      <extLst>
        <ext uri="{3e2802c4-a4d2-4d8b-9148-e3be6c30e623}">
          <xlrd:rvb i="3030"/>
        </ext>
      </extLst>
    </bk>
    <bk>
      <extLst>
        <ext uri="{3e2802c4-a4d2-4d8b-9148-e3be6c30e623}">
          <xlrd:rvb i="3031"/>
        </ext>
      </extLst>
    </bk>
    <bk>
      <extLst>
        <ext uri="{3e2802c4-a4d2-4d8b-9148-e3be6c30e623}">
          <xlrd:rvb i="3032"/>
        </ext>
      </extLst>
    </bk>
    <bk>
      <extLst>
        <ext uri="{3e2802c4-a4d2-4d8b-9148-e3be6c30e623}">
          <xlrd:rvb i="3033"/>
        </ext>
      </extLst>
    </bk>
    <bk>
      <extLst>
        <ext uri="{3e2802c4-a4d2-4d8b-9148-e3be6c30e623}">
          <xlrd:rvb i="3034"/>
        </ext>
      </extLst>
    </bk>
    <bk>
      <extLst>
        <ext uri="{3e2802c4-a4d2-4d8b-9148-e3be6c30e623}">
          <xlrd:rvb i="3035"/>
        </ext>
      </extLst>
    </bk>
    <bk>
      <extLst>
        <ext uri="{3e2802c4-a4d2-4d8b-9148-e3be6c30e623}">
          <xlrd:rvb i="3036"/>
        </ext>
      </extLst>
    </bk>
    <bk>
      <extLst>
        <ext uri="{3e2802c4-a4d2-4d8b-9148-e3be6c30e623}">
          <xlrd:rvb i="3037"/>
        </ext>
      </extLst>
    </bk>
    <bk>
      <extLst>
        <ext uri="{3e2802c4-a4d2-4d8b-9148-e3be6c30e623}">
          <xlrd:rvb i="3038"/>
        </ext>
      </extLst>
    </bk>
    <bk>
      <extLst>
        <ext uri="{3e2802c4-a4d2-4d8b-9148-e3be6c30e623}">
          <xlrd:rvb i="3039"/>
        </ext>
      </extLst>
    </bk>
    <bk>
      <extLst>
        <ext uri="{3e2802c4-a4d2-4d8b-9148-e3be6c30e623}">
          <xlrd:rvb i="3040"/>
        </ext>
      </extLst>
    </bk>
    <bk>
      <extLst>
        <ext uri="{3e2802c4-a4d2-4d8b-9148-e3be6c30e623}">
          <xlrd:rvb i="3041"/>
        </ext>
      </extLst>
    </bk>
    <bk>
      <extLst>
        <ext uri="{3e2802c4-a4d2-4d8b-9148-e3be6c30e623}">
          <xlrd:rvb i="3042"/>
        </ext>
      </extLst>
    </bk>
    <bk>
      <extLst>
        <ext uri="{3e2802c4-a4d2-4d8b-9148-e3be6c30e623}">
          <xlrd:rvb i="3043"/>
        </ext>
      </extLst>
    </bk>
    <bk>
      <extLst>
        <ext uri="{3e2802c4-a4d2-4d8b-9148-e3be6c30e623}">
          <xlrd:rvb i="3044"/>
        </ext>
      </extLst>
    </bk>
    <bk>
      <extLst>
        <ext uri="{3e2802c4-a4d2-4d8b-9148-e3be6c30e623}">
          <xlrd:rvb i="3045"/>
        </ext>
      </extLst>
    </bk>
    <bk>
      <extLst>
        <ext uri="{3e2802c4-a4d2-4d8b-9148-e3be6c30e623}">
          <xlrd:rvb i="3046"/>
        </ext>
      </extLst>
    </bk>
    <bk>
      <extLst>
        <ext uri="{3e2802c4-a4d2-4d8b-9148-e3be6c30e623}">
          <xlrd:rvb i="3047"/>
        </ext>
      </extLst>
    </bk>
    <bk>
      <extLst>
        <ext uri="{3e2802c4-a4d2-4d8b-9148-e3be6c30e623}">
          <xlrd:rvb i="3048"/>
        </ext>
      </extLst>
    </bk>
    <bk>
      <extLst>
        <ext uri="{3e2802c4-a4d2-4d8b-9148-e3be6c30e623}">
          <xlrd:rvb i="3049"/>
        </ext>
      </extLst>
    </bk>
    <bk>
      <extLst>
        <ext uri="{3e2802c4-a4d2-4d8b-9148-e3be6c30e623}">
          <xlrd:rvb i="3050"/>
        </ext>
      </extLst>
    </bk>
    <bk>
      <extLst>
        <ext uri="{3e2802c4-a4d2-4d8b-9148-e3be6c30e623}">
          <xlrd:rvb i="3051"/>
        </ext>
      </extLst>
    </bk>
    <bk>
      <extLst>
        <ext uri="{3e2802c4-a4d2-4d8b-9148-e3be6c30e623}">
          <xlrd:rvb i="3052"/>
        </ext>
      </extLst>
    </bk>
    <bk>
      <extLst>
        <ext uri="{3e2802c4-a4d2-4d8b-9148-e3be6c30e623}">
          <xlrd:rvb i="3053"/>
        </ext>
      </extLst>
    </bk>
    <bk>
      <extLst>
        <ext uri="{3e2802c4-a4d2-4d8b-9148-e3be6c30e623}">
          <xlrd:rvb i="3054"/>
        </ext>
      </extLst>
    </bk>
    <bk>
      <extLst>
        <ext uri="{3e2802c4-a4d2-4d8b-9148-e3be6c30e623}">
          <xlrd:rvb i="3055"/>
        </ext>
      </extLst>
    </bk>
    <bk>
      <extLst>
        <ext uri="{3e2802c4-a4d2-4d8b-9148-e3be6c30e623}">
          <xlrd:rvb i="3056"/>
        </ext>
      </extLst>
    </bk>
    <bk>
      <extLst>
        <ext uri="{3e2802c4-a4d2-4d8b-9148-e3be6c30e623}">
          <xlrd:rvb i="3057"/>
        </ext>
      </extLst>
    </bk>
    <bk>
      <extLst>
        <ext uri="{3e2802c4-a4d2-4d8b-9148-e3be6c30e623}">
          <xlrd:rvb i="3058"/>
        </ext>
      </extLst>
    </bk>
    <bk>
      <extLst>
        <ext uri="{3e2802c4-a4d2-4d8b-9148-e3be6c30e623}">
          <xlrd:rvb i="3059"/>
        </ext>
      </extLst>
    </bk>
    <bk>
      <extLst>
        <ext uri="{3e2802c4-a4d2-4d8b-9148-e3be6c30e623}">
          <xlrd:rvb i="3060"/>
        </ext>
      </extLst>
    </bk>
    <bk>
      <extLst>
        <ext uri="{3e2802c4-a4d2-4d8b-9148-e3be6c30e623}">
          <xlrd:rvb i="3061"/>
        </ext>
      </extLst>
    </bk>
    <bk>
      <extLst>
        <ext uri="{3e2802c4-a4d2-4d8b-9148-e3be6c30e623}">
          <xlrd:rvb i="3062"/>
        </ext>
      </extLst>
    </bk>
    <bk>
      <extLst>
        <ext uri="{3e2802c4-a4d2-4d8b-9148-e3be6c30e623}">
          <xlrd:rvb i="3063"/>
        </ext>
      </extLst>
    </bk>
    <bk>
      <extLst>
        <ext uri="{3e2802c4-a4d2-4d8b-9148-e3be6c30e623}">
          <xlrd:rvb i="3064"/>
        </ext>
      </extLst>
    </bk>
    <bk>
      <extLst>
        <ext uri="{3e2802c4-a4d2-4d8b-9148-e3be6c30e623}">
          <xlrd:rvb i="3065"/>
        </ext>
      </extLst>
    </bk>
    <bk>
      <extLst>
        <ext uri="{3e2802c4-a4d2-4d8b-9148-e3be6c30e623}">
          <xlrd:rvb i="3066"/>
        </ext>
      </extLst>
    </bk>
    <bk>
      <extLst>
        <ext uri="{3e2802c4-a4d2-4d8b-9148-e3be6c30e623}">
          <xlrd:rvb i="3067"/>
        </ext>
      </extLst>
    </bk>
    <bk>
      <extLst>
        <ext uri="{3e2802c4-a4d2-4d8b-9148-e3be6c30e623}">
          <xlrd:rvb i="3068"/>
        </ext>
      </extLst>
    </bk>
    <bk>
      <extLst>
        <ext uri="{3e2802c4-a4d2-4d8b-9148-e3be6c30e623}">
          <xlrd:rvb i="3069"/>
        </ext>
      </extLst>
    </bk>
    <bk>
      <extLst>
        <ext uri="{3e2802c4-a4d2-4d8b-9148-e3be6c30e623}">
          <xlrd:rvb i="3070"/>
        </ext>
      </extLst>
    </bk>
    <bk>
      <extLst>
        <ext uri="{3e2802c4-a4d2-4d8b-9148-e3be6c30e623}">
          <xlrd:rvb i="3071"/>
        </ext>
      </extLst>
    </bk>
    <bk>
      <extLst>
        <ext uri="{3e2802c4-a4d2-4d8b-9148-e3be6c30e623}">
          <xlrd:rvb i="3072"/>
        </ext>
      </extLst>
    </bk>
    <bk>
      <extLst>
        <ext uri="{3e2802c4-a4d2-4d8b-9148-e3be6c30e623}">
          <xlrd:rvb i="3073"/>
        </ext>
      </extLst>
    </bk>
    <bk>
      <extLst>
        <ext uri="{3e2802c4-a4d2-4d8b-9148-e3be6c30e623}">
          <xlrd:rvb i="3074"/>
        </ext>
      </extLst>
    </bk>
    <bk>
      <extLst>
        <ext uri="{3e2802c4-a4d2-4d8b-9148-e3be6c30e623}">
          <xlrd:rvb i="3075"/>
        </ext>
      </extLst>
    </bk>
    <bk>
      <extLst>
        <ext uri="{3e2802c4-a4d2-4d8b-9148-e3be6c30e623}">
          <xlrd:rvb i="3076"/>
        </ext>
      </extLst>
    </bk>
    <bk>
      <extLst>
        <ext uri="{3e2802c4-a4d2-4d8b-9148-e3be6c30e623}">
          <xlrd:rvb i="3077"/>
        </ext>
      </extLst>
    </bk>
    <bk>
      <extLst>
        <ext uri="{3e2802c4-a4d2-4d8b-9148-e3be6c30e623}">
          <xlrd:rvb i="3078"/>
        </ext>
      </extLst>
    </bk>
    <bk>
      <extLst>
        <ext uri="{3e2802c4-a4d2-4d8b-9148-e3be6c30e623}">
          <xlrd:rvb i="3079"/>
        </ext>
      </extLst>
    </bk>
    <bk>
      <extLst>
        <ext uri="{3e2802c4-a4d2-4d8b-9148-e3be6c30e623}">
          <xlrd:rvb i="3080"/>
        </ext>
      </extLst>
    </bk>
    <bk>
      <extLst>
        <ext uri="{3e2802c4-a4d2-4d8b-9148-e3be6c30e623}">
          <xlrd:rvb i="3081"/>
        </ext>
      </extLst>
    </bk>
    <bk>
      <extLst>
        <ext uri="{3e2802c4-a4d2-4d8b-9148-e3be6c30e623}">
          <xlrd:rvb i="3082"/>
        </ext>
      </extLst>
    </bk>
    <bk>
      <extLst>
        <ext uri="{3e2802c4-a4d2-4d8b-9148-e3be6c30e623}">
          <xlrd:rvb i="3083"/>
        </ext>
      </extLst>
    </bk>
    <bk>
      <extLst>
        <ext uri="{3e2802c4-a4d2-4d8b-9148-e3be6c30e623}">
          <xlrd:rvb i="3084"/>
        </ext>
      </extLst>
    </bk>
    <bk>
      <extLst>
        <ext uri="{3e2802c4-a4d2-4d8b-9148-e3be6c30e623}">
          <xlrd:rvb i="3085"/>
        </ext>
      </extLst>
    </bk>
    <bk>
      <extLst>
        <ext uri="{3e2802c4-a4d2-4d8b-9148-e3be6c30e623}">
          <xlrd:rvb i="3086"/>
        </ext>
      </extLst>
    </bk>
    <bk>
      <extLst>
        <ext uri="{3e2802c4-a4d2-4d8b-9148-e3be6c30e623}">
          <xlrd:rvb i="3087"/>
        </ext>
      </extLst>
    </bk>
    <bk>
      <extLst>
        <ext uri="{3e2802c4-a4d2-4d8b-9148-e3be6c30e623}">
          <xlrd:rvb i="3088"/>
        </ext>
      </extLst>
    </bk>
    <bk>
      <extLst>
        <ext uri="{3e2802c4-a4d2-4d8b-9148-e3be6c30e623}">
          <xlrd:rvb i="3089"/>
        </ext>
      </extLst>
    </bk>
    <bk>
      <extLst>
        <ext uri="{3e2802c4-a4d2-4d8b-9148-e3be6c30e623}">
          <xlrd:rvb i="3090"/>
        </ext>
      </extLst>
    </bk>
    <bk>
      <extLst>
        <ext uri="{3e2802c4-a4d2-4d8b-9148-e3be6c30e623}">
          <xlrd:rvb i="3091"/>
        </ext>
      </extLst>
    </bk>
    <bk>
      <extLst>
        <ext uri="{3e2802c4-a4d2-4d8b-9148-e3be6c30e623}">
          <xlrd:rvb i="3092"/>
        </ext>
      </extLst>
    </bk>
    <bk>
      <extLst>
        <ext uri="{3e2802c4-a4d2-4d8b-9148-e3be6c30e623}">
          <xlrd:rvb i="3093"/>
        </ext>
      </extLst>
    </bk>
    <bk>
      <extLst>
        <ext uri="{3e2802c4-a4d2-4d8b-9148-e3be6c30e623}">
          <xlrd:rvb i="3094"/>
        </ext>
      </extLst>
    </bk>
    <bk>
      <extLst>
        <ext uri="{3e2802c4-a4d2-4d8b-9148-e3be6c30e623}">
          <xlrd:rvb i="3095"/>
        </ext>
      </extLst>
    </bk>
    <bk>
      <extLst>
        <ext uri="{3e2802c4-a4d2-4d8b-9148-e3be6c30e623}">
          <xlrd:rvb i="3096"/>
        </ext>
      </extLst>
    </bk>
    <bk>
      <extLst>
        <ext uri="{3e2802c4-a4d2-4d8b-9148-e3be6c30e623}">
          <xlrd:rvb i="3097"/>
        </ext>
      </extLst>
    </bk>
    <bk>
      <extLst>
        <ext uri="{3e2802c4-a4d2-4d8b-9148-e3be6c30e623}">
          <xlrd:rvb i="3098"/>
        </ext>
      </extLst>
    </bk>
    <bk>
      <extLst>
        <ext uri="{3e2802c4-a4d2-4d8b-9148-e3be6c30e623}">
          <xlrd:rvb i="3099"/>
        </ext>
      </extLst>
    </bk>
    <bk>
      <extLst>
        <ext uri="{3e2802c4-a4d2-4d8b-9148-e3be6c30e623}">
          <xlrd:rvb i="3100"/>
        </ext>
      </extLst>
    </bk>
    <bk>
      <extLst>
        <ext uri="{3e2802c4-a4d2-4d8b-9148-e3be6c30e623}">
          <xlrd:rvb i="3101"/>
        </ext>
      </extLst>
    </bk>
    <bk>
      <extLst>
        <ext uri="{3e2802c4-a4d2-4d8b-9148-e3be6c30e623}">
          <xlrd:rvb i="3102"/>
        </ext>
      </extLst>
    </bk>
    <bk>
      <extLst>
        <ext uri="{3e2802c4-a4d2-4d8b-9148-e3be6c30e623}">
          <xlrd:rvb i="3103"/>
        </ext>
      </extLst>
    </bk>
    <bk>
      <extLst>
        <ext uri="{3e2802c4-a4d2-4d8b-9148-e3be6c30e623}">
          <xlrd:rvb i="3104"/>
        </ext>
      </extLst>
    </bk>
    <bk>
      <extLst>
        <ext uri="{3e2802c4-a4d2-4d8b-9148-e3be6c30e623}">
          <xlrd:rvb i="3105"/>
        </ext>
      </extLst>
    </bk>
    <bk>
      <extLst>
        <ext uri="{3e2802c4-a4d2-4d8b-9148-e3be6c30e623}">
          <xlrd:rvb i="3106"/>
        </ext>
      </extLst>
    </bk>
    <bk>
      <extLst>
        <ext uri="{3e2802c4-a4d2-4d8b-9148-e3be6c30e623}">
          <xlrd:rvb i="3107"/>
        </ext>
      </extLst>
    </bk>
    <bk>
      <extLst>
        <ext uri="{3e2802c4-a4d2-4d8b-9148-e3be6c30e623}">
          <xlrd:rvb i="3108"/>
        </ext>
      </extLst>
    </bk>
    <bk>
      <extLst>
        <ext uri="{3e2802c4-a4d2-4d8b-9148-e3be6c30e623}">
          <xlrd:rvb i="3109"/>
        </ext>
      </extLst>
    </bk>
    <bk>
      <extLst>
        <ext uri="{3e2802c4-a4d2-4d8b-9148-e3be6c30e623}">
          <xlrd:rvb i="3110"/>
        </ext>
      </extLst>
    </bk>
    <bk>
      <extLst>
        <ext uri="{3e2802c4-a4d2-4d8b-9148-e3be6c30e623}">
          <xlrd:rvb i="3111"/>
        </ext>
      </extLst>
    </bk>
    <bk>
      <extLst>
        <ext uri="{3e2802c4-a4d2-4d8b-9148-e3be6c30e623}">
          <xlrd:rvb i="3112"/>
        </ext>
      </extLst>
    </bk>
    <bk>
      <extLst>
        <ext uri="{3e2802c4-a4d2-4d8b-9148-e3be6c30e623}">
          <xlrd:rvb i="3113"/>
        </ext>
      </extLst>
    </bk>
    <bk>
      <extLst>
        <ext uri="{3e2802c4-a4d2-4d8b-9148-e3be6c30e623}">
          <xlrd:rvb i="3114"/>
        </ext>
      </extLst>
    </bk>
    <bk>
      <extLst>
        <ext uri="{3e2802c4-a4d2-4d8b-9148-e3be6c30e623}">
          <xlrd:rvb i="3115"/>
        </ext>
      </extLst>
    </bk>
    <bk>
      <extLst>
        <ext uri="{3e2802c4-a4d2-4d8b-9148-e3be6c30e623}">
          <xlrd:rvb i="3116"/>
        </ext>
      </extLst>
    </bk>
    <bk>
      <extLst>
        <ext uri="{3e2802c4-a4d2-4d8b-9148-e3be6c30e623}">
          <xlrd:rvb i="3117"/>
        </ext>
      </extLst>
    </bk>
    <bk>
      <extLst>
        <ext uri="{3e2802c4-a4d2-4d8b-9148-e3be6c30e623}">
          <xlrd:rvb i="3118"/>
        </ext>
      </extLst>
    </bk>
    <bk>
      <extLst>
        <ext uri="{3e2802c4-a4d2-4d8b-9148-e3be6c30e623}">
          <xlrd:rvb i="3119"/>
        </ext>
      </extLst>
    </bk>
    <bk>
      <extLst>
        <ext uri="{3e2802c4-a4d2-4d8b-9148-e3be6c30e623}">
          <xlrd:rvb i="3120"/>
        </ext>
      </extLst>
    </bk>
    <bk>
      <extLst>
        <ext uri="{3e2802c4-a4d2-4d8b-9148-e3be6c30e623}">
          <xlrd:rvb i="3121"/>
        </ext>
      </extLst>
    </bk>
    <bk>
      <extLst>
        <ext uri="{3e2802c4-a4d2-4d8b-9148-e3be6c30e623}">
          <xlrd:rvb i="3122"/>
        </ext>
      </extLst>
    </bk>
    <bk>
      <extLst>
        <ext uri="{3e2802c4-a4d2-4d8b-9148-e3be6c30e623}">
          <xlrd:rvb i="3123"/>
        </ext>
      </extLst>
    </bk>
    <bk>
      <extLst>
        <ext uri="{3e2802c4-a4d2-4d8b-9148-e3be6c30e623}">
          <xlrd:rvb i="3124"/>
        </ext>
      </extLst>
    </bk>
    <bk>
      <extLst>
        <ext uri="{3e2802c4-a4d2-4d8b-9148-e3be6c30e623}">
          <xlrd:rvb i="3125"/>
        </ext>
      </extLst>
    </bk>
    <bk>
      <extLst>
        <ext uri="{3e2802c4-a4d2-4d8b-9148-e3be6c30e623}">
          <xlrd:rvb i="3126"/>
        </ext>
      </extLst>
    </bk>
    <bk>
      <extLst>
        <ext uri="{3e2802c4-a4d2-4d8b-9148-e3be6c30e623}">
          <xlrd:rvb i="3127"/>
        </ext>
      </extLst>
    </bk>
    <bk>
      <extLst>
        <ext uri="{3e2802c4-a4d2-4d8b-9148-e3be6c30e623}">
          <xlrd:rvb i="3128"/>
        </ext>
      </extLst>
    </bk>
    <bk>
      <extLst>
        <ext uri="{3e2802c4-a4d2-4d8b-9148-e3be6c30e623}">
          <xlrd:rvb i="3129"/>
        </ext>
      </extLst>
    </bk>
    <bk>
      <extLst>
        <ext uri="{3e2802c4-a4d2-4d8b-9148-e3be6c30e623}">
          <xlrd:rvb i="3130"/>
        </ext>
      </extLst>
    </bk>
    <bk>
      <extLst>
        <ext uri="{3e2802c4-a4d2-4d8b-9148-e3be6c30e623}">
          <xlrd:rvb i="3131"/>
        </ext>
      </extLst>
    </bk>
    <bk>
      <extLst>
        <ext uri="{3e2802c4-a4d2-4d8b-9148-e3be6c30e623}">
          <xlrd:rvb i="3132"/>
        </ext>
      </extLst>
    </bk>
    <bk>
      <extLst>
        <ext uri="{3e2802c4-a4d2-4d8b-9148-e3be6c30e623}">
          <xlrd:rvb i="3133"/>
        </ext>
      </extLst>
    </bk>
    <bk>
      <extLst>
        <ext uri="{3e2802c4-a4d2-4d8b-9148-e3be6c30e623}">
          <xlrd:rvb i="3134"/>
        </ext>
      </extLst>
    </bk>
    <bk>
      <extLst>
        <ext uri="{3e2802c4-a4d2-4d8b-9148-e3be6c30e623}">
          <xlrd:rvb i="3135"/>
        </ext>
      </extLst>
    </bk>
    <bk>
      <extLst>
        <ext uri="{3e2802c4-a4d2-4d8b-9148-e3be6c30e623}">
          <xlrd:rvb i="3136"/>
        </ext>
      </extLst>
    </bk>
    <bk>
      <extLst>
        <ext uri="{3e2802c4-a4d2-4d8b-9148-e3be6c30e623}">
          <xlrd:rvb i="3137"/>
        </ext>
      </extLst>
    </bk>
    <bk>
      <extLst>
        <ext uri="{3e2802c4-a4d2-4d8b-9148-e3be6c30e623}">
          <xlrd:rvb i="3138"/>
        </ext>
      </extLst>
    </bk>
    <bk>
      <extLst>
        <ext uri="{3e2802c4-a4d2-4d8b-9148-e3be6c30e623}">
          <xlrd:rvb i="3139"/>
        </ext>
      </extLst>
    </bk>
    <bk>
      <extLst>
        <ext uri="{3e2802c4-a4d2-4d8b-9148-e3be6c30e623}">
          <xlrd:rvb i="3140"/>
        </ext>
      </extLst>
    </bk>
    <bk>
      <extLst>
        <ext uri="{3e2802c4-a4d2-4d8b-9148-e3be6c30e623}">
          <xlrd:rvb i="3141"/>
        </ext>
      </extLst>
    </bk>
    <bk>
      <extLst>
        <ext uri="{3e2802c4-a4d2-4d8b-9148-e3be6c30e623}">
          <xlrd:rvb i="3142"/>
        </ext>
      </extLst>
    </bk>
    <bk>
      <extLst>
        <ext uri="{3e2802c4-a4d2-4d8b-9148-e3be6c30e623}">
          <xlrd:rvb i="3143"/>
        </ext>
      </extLst>
    </bk>
    <bk>
      <extLst>
        <ext uri="{3e2802c4-a4d2-4d8b-9148-e3be6c30e623}">
          <xlrd:rvb i="3144"/>
        </ext>
      </extLst>
    </bk>
    <bk>
      <extLst>
        <ext uri="{3e2802c4-a4d2-4d8b-9148-e3be6c30e623}">
          <xlrd:rvb i="3145"/>
        </ext>
      </extLst>
    </bk>
    <bk>
      <extLst>
        <ext uri="{3e2802c4-a4d2-4d8b-9148-e3be6c30e623}">
          <xlrd:rvb i="3146"/>
        </ext>
      </extLst>
    </bk>
    <bk>
      <extLst>
        <ext uri="{3e2802c4-a4d2-4d8b-9148-e3be6c30e623}">
          <xlrd:rvb i="3147"/>
        </ext>
      </extLst>
    </bk>
    <bk>
      <extLst>
        <ext uri="{3e2802c4-a4d2-4d8b-9148-e3be6c30e623}">
          <xlrd:rvb i="3148"/>
        </ext>
      </extLst>
    </bk>
    <bk>
      <extLst>
        <ext uri="{3e2802c4-a4d2-4d8b-9148-e3be6c30e623}">
          <xlrd:rvb i="3149"/>
        </ext>
      </extLst>
    </bk>
    <bk>
      <extLst>
        <ext uri="{3e2802c4-a4d2-4d8b-9148-e3be6c30e623}">
          <xlrd:rvb i="3150"/>
        </ext>
      </extLst>
    </bk>
    <bk>
      <extLst>
        <ext uri="{3e2802c4-a4d2-4d8b-9148-e3be6c30e623}">
          <xlrd:rvb i="3151"/>
        </ext>
      </extLst>
    </bk>
    <bk>
      <extLst>
        <ext uri="{3e2802c4-a4d2-4d8b-9148-e3be6c30e623}">
          <xlrd:rvb i="3152"/>
        </ext>
      </extLst>
    </bk>
    <bk>
      <extLst>
        <ext uri="{3e2802c4-a4d2-4d8b-9148-e3be6c30e623}">
          <xlrd:rvb i="3153"/>
        </ext>
      </extLst>
    </bk>
    <bk>
      <extLst>
        <ext uri="{3e2802c4-a4d2-4d8b-9148-e3be6c30e623}">
          <xlrd:rvb i="3154"/>
        </ext>
      </extLst>
    </bk>
    <bk>
      <extLst>
        <ext uri="{3e2802c4-a4d2-4d8b-9148-e3be6c30e623}">
          <xlrd:rvb i="3155"/>
        </ext>
      </extLst>
    </bk>
    <bk>
      <extLst>
        <ext uri="{3e2802c4-a4d2-4d8b-9148-e3be6c30e623}">
          <xlrd:rvb i="3156"/>
        </ext>
      </extLst>
    </bk>
    <bk>
      <extLst>
        <ext uri="{3e2802c4-a4d2-4d8b-9148-e3be6c30e623}">
          <xlrd:rvb i="3157"/>
        </ext>
      </extLst>
    </bk>
    <bk>
      <extLst>
        <ext uri="{3e2802c4-a4d2-4d8b-9148-e3be6c30e623}">
          <xlrd:rvb i="3158"/>
        </ext>
      </extLst>
    </bk>
    <bk>
      <extLst>
        <ext uri="{3e2802c4-a4d2-4d8b-9148-e3be6c30e623}">
          <xlrd:rvb i="3159"/>
        </ext>
      </extLst>
    </bk>
    <bk>
      <extLst>
        <ext uri="{3e2802c4-a4d2-4d8b-9148-e3be6c30e623}">
          <xlrd:rvb i="3160"/>
        </ext>
      </extLst>
    </bk>
    <bk>
      <extLst>
        <ext uri="{3e2802c4-a4d2-4d8b-9148-e3be6c30e623}">
          <xlrd:rvb i="3161"/>
        </ext>
      </extLst>
    </bk>
    <bk>
      <extLst>
        <ext uri="{3e2802c4-a4d2-4d8b-9148-e3be6c30e623}">
          <xlrd:rvb i="3162"/>
        </ext>
      </extLst>
    </bk>
    <bk>
      <extLst>
        <ext uri="{3e2802c4-a4d2-4d8b-9148-e3be6c30e623}">
          <xlrd:rvb i="3163"/>
        </ext>
      </extLst>
    </bk>
    <bk>
      <extLst>
        <ext uri="{3e2802c4-a4d2-4d8b-9148-e3be6c30e623}">
          <xlrd:rvb i="3164"/>
        </ext>
      </extLst>
    </bk>
    <bk>
      <extLst>
        <ext uri="{3e2802c4-a4d2-4d8b-9148-e3be6c30e623}">
          <xlrd:rvb i="3165"/>
        </ext>
      </extLst>
    </bk>
    <bk>
      <extLst>
        <ext uri="{3e2802c4-a4d2-4d8b-9148-e3be6c30e623}">
          <xlrd:rvb i="3166"/>
        </ext>
      </extLst>
    </bk>
    <bk>
      <extLst>
        <ext uri="{3e2802c4-a4d2-4d8b-9148-e3be6c30e623}">
          <xlrd:rvb i="3167"/>
        </ext>
      </extLst>
    </bk>
    <bk>
      <extLst>
        <ext uri="{3e2802c4-a4d2-4d8b-9148-e3be6c30e623}">
          <xlrd:rvb i="3168"/>
        </ext>
      </extLst>
    </bk>
    <bk>
      <extLst>
        <ext uri="{3e2802c4-a4d2-4d8b-9148-e3be6c30e623}">
          <xlrd:rvb i="3169"/>
        </ext>
      </extLst>
    </bk>
    <bk>
      <extLst>
        <ext uri="{3e2802c4-a4d2-4d8b-9148-e3be6c30e623}">
          <xlrd:rvb i="3170"/>
        </ext>
      </extLst>
    </bk>
    <bk>
      <extLst>
        <ext uri="{3e2802c4-a4d2-4d8b-9148-e3be6c30e623}">
          <xlrd:rvb i="3171"/>
        </ext>
      </extLst>
    </bk>
    <bk>
      <extLst>
        <ext uri="{3e2802c4-a4d2-4d8b-9148-e3be6c30e623}">
          <xlrd:rvb i="3172"/>
        </ext>
      </extLst>
    </bk>
    <bk>
      <extLst>
        <ext uri="{3e2802c4-a4d2-4d8b-9148-e3be6c30e623}">
          <xlrd:rvb i="3173"/>
        </ext>
      </extLst>
    </bk>
    <bk>
      <extLst>
        <ext uri="{3e2802c4-a4d2-4d8b-9148-e3be6c30e623}">
          <xlrd:rvb i="3174"/>
        </ext>
      </extLst>
    </bk>
    <bk>
      <extLst>
        <ext uri="{3e2802c4-a4d2-4d8b-9148-e3be6c30e623}">
          <xlrd:rvb i="3175"/>
        </ext>
      </extLst>
    </bk>
    <bk>
      <extLst>
        <ext uri="{3e2802c4-a4d2-4d8b-9148-e3be6c30e623}">
          <xlrd:rvb i="3176"/>
        </ext>
      </extLst>
    </bk>
    <bk>
      <extLst>
        <ext uri="{3e2802c4-a4d2-4d8b-9148-e3be6c30e623}">
          <xlrd:rvb i="3177"/>
        </ext>
      </extLst>
    </bk>
    <bk>
      <extLst>
        <ext uri="{3e2802c4-a4d2-4d8b-9148-e3be6c30e623}">
          <xlrd:rvb i="3178"/>
        </ext>
      </extLst>
    </bk>
    <bk>
      <extLst>
        <ext uri="{3e2802c4-a4d2-4d8b-9148-e3be6c30e623}">
          <xlrd:rvb i="3179"/>
        </ext>
      </extLst>
    </bk>
    <bk>
      <extLst>
        <ext uri="{3e2802c4-a4d2-4d8b-9148-e3be6c30e623}">
          <xlrd:rvb i="3180"/>
        </ext>
      </extLst>
    </bk>
    <bk>
      <extLst>
        <ext uri="{3e2802c4-a4d2-4d8b-9148-e3be6c30e623}">
          <xlrd:rvb i="3181"/>
        </ext>
      </extLst>
    </bk>
    <bk>
      <extLst>
        <ext uri="{3e2802c4-a4d2-4d8b-9148-e3be6c30e623}">
          <xlrd:rvb i="3182"/>
        </ext>
      </extLst>
    </bk>
    <bk>
      <extLst>
        <ext uri="{3e2802c4-a4d2-4d8b-9148-e3be6c30e623}">
          <xlrd:rvb i="3183"/>
        </ext>
      </extLst>
    </bk>
    <bk>
      <extLst>
        <ext uri="{3e2802c4-a4d2-4d8b-9148-e3be6c30e623}">
          <xlrd:rvb i="3184"/>
        </ext>
      </extLst>
    </bk>
    <bk>
      <extLst>
        <ext uri="{3e2802c4-a4d2-4d8b-9148-e3be6c30e623}">
          <xlrd:rvb i="3185"/>
        </ext>
      </extLst>
    </bk>
    <bk>
      <extLst>
        <ext uri="{3e2802c4-a4d2-4d8b-9148-e3be6c30e623}">
          <xlrd:rvb i="3186"/>
        </ext>
      </extLst>
    </bk>
    <bk>
      <extLst>
        <ext uri="{3e2802c4-a4d2-4d8b-9148-e3be6c30e623}">
          <xlrd:rvb i="3187"/>
        </ext>
      </extLst>
    </bk>
    <bk>
      <extLst>
        <ext uri="{3e2802c4-a4d2-4d8b-9148-e3be6c30e623}">
          <xlrd:rvb i="3188"/>
        </ext>
      </extLst>
    </bk>
    <bk>
      <extLst>
        <ext uri="{3e2802c4-a4d2-4d8b-9148-e3be6c30e623}">
          <xlrd:rvb i="3189"/>
        </ext>
      </extLst>
    </bk>
    <bk>
      <extLst>
        <ext uri="{3e2802c4-a4d2-4d8b-9148-e3be6c30e623}">
          <xlrd:rvb i="3190"/>
        </ext>
      </extLst>
    </bk>
    <bk>
      <extLst>
        <ext uri="{3e2802c4-a4d2-4d8b-9148-e3be6c30e623}">
          <xlrd:rvb i="3191"/>
        </ext>
      </extLst>
    </bk>
    <bk>
      <extLst>
        <ext uri="{3e2802c4-a4d2-4d8b-9148-e3be6c30e623}">
          <xlrd:rvb i="3192"/>
        </ext>
      </extLst>
    </bk>
    <bk>
      <extLst>
        <ext uri="{3e2802c4-a4d2-4d8b-9148-e3be6c30e623}">
          <xlrd:rvb i="3193"/>
        </ext>
      </extLst>
    </bk>
    <bk>
      <extLst>
        <ext uri="{3e2802c4-a4d2-4d8b-9148-e3be6c30e623}">
          <xlrd:rvb i="3194"/>
        </ext>
      </extLst>
    </bk>
    <bk>
      <extLst>
        <ext uri="{3e2802c4-a4d2-4d8b-9148-e3be6c30e623}">
          <xlrd:rvb i="3195"/>
        </ext>
      </extLst>
    </bk>
    <bk>
      <extLst>
        <ext uri="{3e2802c4-a4d2-4d8b-9148-e3be6c30e623}">
          <xlrd:rvb i="3196"/>
        </ext>
      </extLst>
    </bk>
    <bk>
      <extLst>
        <ext uri="{3e2802c4-a4d2-4d8b-9148-e3be6c30e623}">
          <xlrd:rvb i="3197"/>
        </ext>
      </extLst>
    </bk>
    <bk>
      <extLst>
        <ext uri="{3e2802c4-a4d2-4d8b-9148-e3be6c30e623}">
          <xlrd:rvb i="3198"/>
        </ext>
      </extLst>
    </bk>
    <bk>
      <extLst>
        <ext uri="{3e2802c4-a4d2-4d8b-9148-e3be6c30e623}">
          <xlrd:rvb i="3199"/>
        </ext>
      </extLst>
    </bk>
    <bk>
      <extLst>
        <ext uri="{3e2802c4-a4d2-4d8b-9148-e3be6c30e623}">
          <xlrd:rvb i="3200"/>
        </ext>
      </extLst>
    </bk>
    <bk>
      <extLst>
        <ext uri="{3e2802c4-a4d2-4d8b-9148-e3be6c30e623}">
          <xlrd:rvb i="3201"/>
        </ext>
      </extLst>
    </bk>
    <bk>
      <extLst>
        <ext uri="{3e2802c4-a4d2-4d8b-9148-e3be6c30e623}">
          <xlrd:rvb i="3202"/>
        </ext>
      </extLst>
    </bk>
    <bk>
      <extLst>
        <ext uri="{3e2802c4-a4d2-4d8b-9148-e3be6c30e623}">
          <xlrd:rvb i="3203"/>
        </ext>
      </extLst>
    </bk>
    <bk>
      <extLst>
        <ext uri="{3e2802c4-a4d2-4d8b-9148-e3be6c30e623}">
          <xlrd:rvb i="3204"/>
        </ext>
      </extLst>
    </bk>
    <bk>
      <extLst>
        <ext uri="{3e2802c4-a4d2-4d8b-9148-e3be6c30e623}">
          <xlrd:rvb i="3205"/>
        </ext>
      </extLst>
    </bk>
    <bk>
      <extLst>
        <ext uri="{3e2802c4-a4d2-4d8b-9148-e3be6c30e623}">
          <xlrd:rvb i="3206"/>
        </ext>
      </extLst>
    </bk>
    <bk>
      <extLst>
        <ext uri="{3e2802c4-a4d2-4d8b-9148-e3be6c30e623}">
          <xlrd:rvb i="3207"/>
        </ext>
      </extLst>
    </bk>
    <bk>
      <extLst>
        <ext uri="{3e2802c4-a4d2-4d8b-9148-e3be6c30e623}">
          <xlrd:rvb i="3208"/>
        </ext>
      </extLst>
    </bk>
    <bk>
      <extLst>
        <ext uri="{3e2802c4-a4d2-4d8b-9148-e3be6c30e623}">
          <xlrd:rvb i="3209"/>
        </ext>
      </extLst>
    </bk>
    <bk>
      <extLst>
        <ext uri="{3e2802c4-a4d2-4d8b-9148-e3be6c30e623}">
          <xlrd:rvb i="3210"/>
        </ext>
      </extLst>
    </bk>
    <bk>
      <extLst>
        <ext uri="{3e2802c4-a4d2-4d8b-9148-e3be6c30e623}">
          <xlrd:rvb i="3211"/>
        </ext>
      </extLst>
    </bk>
    <bk>
      <extLst>
        <ext uri="{3e2802c4-a4d2-4d8b-9148-e3be6c30e623}">
          <xlrd:rvb i="3212"/>
        </ext>
      </extLst>
    </bk>
    <bk>
      <extLst>
        <ext uri="{3e2802c4-a4d2-4d8b-9148-e3be6c30e623}">
          <xlrd:rvb i="3213"/>
        </ext>
      </extLst>
    </bk>
    <bk>
      <extLst>
        <ext uri="{3e2802c4-a4d2-4d8b-9148-e3be6c30e623}">
          <xlrd:rvb i="3214"/>
        </ext>
      </extLst>
    </bk>
    <bk>
      <extLst>
        <ext uri="{3e2802c4-a4d2-4d8b-9148-e3be6c30e623}">
          <xlrd:rvb i="3215"/>
        </ext>
      </extLst>
    </bk>
    <bk>
      <extLst>
        <ext uri="{3e2802c4-a4d2-4d8b-9148-e3be6c30e623}">
          <xlrd:rvb i="3216"/>
        </ext>
      </extLst>
    </bk>
    <bk>
      <extLst>
        <ext uri="{3e2802c4-a4d2-4d8b-9148-e3be6c30e623}">
          <xlrd:rvb i="3217"/>
        </ext>
      </extLst>
    </bk>
    <bk>
      <extLst>
        <ext uri="{3e2802c4-a4d2-4d8b-9148-e3be6c30e623}">
          <xlrd:rvb i="3218"/>
        </ext>
      </extLst>
    </bk>
    <bk>
      <extLst>
        <ext uri="{3e2802c4-a4d2-4d8b-9148-e3be6c30e623}">
          <xlrd:rvb i="3219"/>
        </ext>
      </extLst>
    </bk>
    <bk>
      <extLst>
        <ext uri="{3e2802c4-a4d2-4d8b-9148-e3be6c30e623}">
          <xlrd:rvb i="3220"/>
        </ext>
      </extLst>
    </bk>
    <bk>
      <extLst>
        <ext uri="{3e2802c4-a4d2-4d8b-9148-e3be6c30e623}">
          <xlrd:rvb i="3221"/>
        </ext>
      </extLst>
    </bk>
    <bk>
      <extLst>
        <ext uri="{3e2802c4-a4d2-4d8b-9148-e3be6c30e623}">
          <xlrd:rvb i="3222"/>
        </ext>
      </extLst>
    </bk>
    <bk>
      <extLst>
        <ext uri="{3e2802c4-a4d2-4d8b-9148-e3be6c30e623}">
          <xlrd:rvb i="3223"/>
        </ext>
      </extLst>
    </bk>
    <bk>
      <extLst>
        <ext uri="{3e2802c4-a4d2-4d8b-9148-e3be6c30e623}">
          <xlrd:rvb i="3224"/>
        </ext>
      </extLst>
    </bk>
    <bk>
      <extLst>
        <ext uri="{3e2802c4-a4d2-4d8b-9148-e3be6c30e623}">
          <xlrd:rvb i="3225"/>
        </ext>
      </extLst>
    </bk>
    <bk>
      <extLst>
        <ext uri="{3e2802c4-a4d2-4d8b-9148-e3be6c30e623}">
          <xlrd:rvb i="3226"/>
        </ext>
      </extLst>
    </bk>
    <bk>
      <extLst>
        <ext uri="{3e2802c4-a4d2-4d8b-9148-e3be6c30e623}">
          <xlrd:rvb i="3227"/>
        </ext>
      </extLst>
    </bk>
    <bk>
      <extLst>
        <ext uri="{3e2802c4-a4d2-4d8b-9148-e3be6c30e623}">
          <xlrd:rvb i="3228"/>
        </ext>
      </extLst>
    </bk>
    <bk>
      <extLst>
        <ext uri="{3e2802c4-a4d2-4d8b-9148-e3be6c30e623}">
          <xlrd:rvb i="3229"/>
        </ext>
      </extLst>
    </bk>
    <bk>
      <extLst>
        <ext uri="{3e2802c4-a4d2-4d8b-9148-e3be6c30e623}">
          <xlrd:rvb i="3230"/>
        </ext>
      </extLst>
    </bk>
    <bk>
      <extLst>
        <ext uri="{3e2802c4-a4d2-4d8b-9148-e3be6c30e623}">
          <xlrd:rvb i="3231"/>
        </ext>
      </extLst>
    </bk>
    <bk>
      <extLst>
        <ext uri="{3e2802c4-a4d2-4d8b-9148-e3be6c30e623}">
          <xlrd:rvb i="3232"/>
        </ext>
      </extLst>
    </bk>
    <bk>
      <extLst>
        <ext uri="{3e2802c4-a4d2-4d8b-9148-e3be6c30e623}">
          <xlrd:rvb i="3233"/>
        </ext>
      </extLst>
    </bk>
    <bk>
      <extLst>
        <ext uri="{3e2802c4-a4d2-4d8b-9148-e3be6c30e623}">
          <xlrd:rvb i="3234"/>
        </ext>
      </extLst>
    </bk>
    <bk>
      <extLst>
        <ext uri="{3e2802c4-a4d2-4d8b-9148-e3be6c30e623}">
          <xlrd:rvb i="3235"/>
        </ext>
      </extLst>
    </bk>
    <bk>
      <extLst>
        <ext uri="{3e2802c4-a4d2-4d8b-9148-e3be6c30e623}">
          <xlrd:rvb i="3236"/>
        </ext>
      </extLst>
    </bk>
    <bk>
      <extLst>
        <ext uri="{3e2802c4-a4d2-4d8b-9148-e3be6c30e623}">
          <xlrd:rvb i="3237"/>
        </ext>
      </extLst>
    </bk>
    <bk>
      <extLst>
        <ext uri="{3e2802c4-a4d2-4d8b-9148-e3be6c30e623}">
          <xlrd:rvb i="3238"/>
        </ext>
      </extLst>
    </bk>
    <bk>
      <extLst>
        <ext uri="{3e2802c4-a4d2-4d8b-9148-e3be6c30e623}">
          <xlrd:rvb i="3239"/>
        </ext>
      </extLst>
    </bk>
    <bk>
      <extLst>
        <ext uri="{3e2802c4-a4d2-4d8b-9148-e3be6c30e623}">
          <xlrd:rvb i="3240"/>
        </ext>
      </extLst>
    </bk>
    <bk>
      <extLst>
        <ext uri="{3e2802c4-a4d2-4d8b-9148-e3be6c30e623}">
          <xlrd:rvb i="3241"/>
        </ext>
      </extLst>
    </bk>
    <bk>
      <extLst>
        <ext uri="{3e2802c4-a4d2-4d8b-9148-e3be6c30e623}">
          <xlrd:rvb i="3242"/>
        </ext>
      </extLst>
    </bk>
    <bk>
      <extLst>
        <ext uri="{3e2802c4-a4d2-4d8b-9148-e3be6c30e623}">
          <xlrd:rvb i="3243"/>
        </ext>
      </extLst>
    </bk>
    <bk>
      <extLst>
        <ext uri="{3e2802c4-a4d2-4d8b-9148-e3be6c30e623}">
          <xlrd:rvb i="3244"/>
        </ext>
      </extLst>
    </bk>
    <bk>
      <extLst>
        <ext uri="{3e2802c4-a4d2-4d8b-9148-e3be6c30e623}">
          <xlrd:rvb i="3245"/>
        </ext>
      </extLst>
    </bk>
    <bk>
      <extLst>
        <ext uri="{3e2802c4-a4d2-4d8b-9148-e3be6c30e623}">
          <xlrd:rvb i="3246"/>
        </ext>
      </extLst>
    </bk>
    <bk>
      <extLst>
        <ext uri="{3e2802c4-a4d2-4d8b-9148-e3be6c30e623}">
          <xlrd:rvb i="3247"/>
        </ext>
      </extLst>
    </bk>
    <bk>
      <extLst>
        <ext uri="{3e2802c4-a4d2-4d8b-9148-e3be6c30e623}">
          <xlrd:rvb i="3248"/>
        </ext>
      </extLst>
    </bk>
    <bk>
      <extLst>
        <ext uri="{3e2802c4-a4d2-4d8b-9148-e3be6c30e623}">
          <xlrd:rvb i="3249"/>
        </ext>
      </extLst>
    </bk>
    <bk>
      <extLst>
        <ext uri="{3e2802c4-a4d2-4d8b-9148-e3be6c30e623}">
          <xlrd:rvb i="3250"/>
        </ext>
      </extLst>
    </bk>
    <bk>
      <extLst>
        <ext uri="{3e2802c4-a4d2-4d8b-9148-e3be6c30e623}">
          <xlrd:rvb i="3251"/>
        </ext>
      </extLst>
    </bk>
    <bk>
      <extLst>
        <ext uri="{3e2802c4-a4d2-4d8b-9148-e3be6c30e623}">
          <xlrd:rvb i="3252"/>
        </ext>
      </extLst>
    </bk>
    <bk>
      <extLst>
        <ext uri="{3e2802c4-a4d2-4d8b-9148-e3be6c30e623}">
          <xlrd:rvb i="3253"/>
        </ext>
      </extLst>
    </bk>
    <bk>
      <extLst>
        <ext uri="{3e2802c4-a4d2-4d8b-9148-e3be6c30e623}">
          <xlrd:rvb i="3254"/>
        </ext>
      </extLst>
    </bk>
    <bk>
      <extLst>
        <ext uri="{3e2802c4-a4d2-4d8b-9148-e3be6c30e623}">
          <xlrd:rvb i="3255"/>
        </ext>
      </extLst>
    </bk>
    <bk>
      <extLst>
        <ext uri="{3e2802c4-a4d2-4d8b-9148-e3be6c30e623}">
          <xlrd:rvb i="3256"/>
        </ext>
      </extLst>
    </bk>
    <bk>
      <extLst>
        <ext uri="{3e2802c4-a4d2-4d8b-9148-e3be6c30e623}">
          <xlrd:rvb i="3257"/>
        </ext>
      </extLst>
    </bk>
    <bk>
      <extLst>
        <ext uri="{3e2802c4-a4d2-4d8b-9148-e3be6c30e623}">
          <xlrd:rvb i="3258"/>
        </ext>
      </extLst>
    </bk>
    <bk>
      <extLst>
        <ext uri="{3e2802c4-a4d2-4d8b-9148-e3be6c30e623}">
          <xlrd:rvb i="3259"/>
        </ext>
      </extLst>
    </bk>
    <bk>
      <extLst>
        <ext uri="{3e2802c4-a4d2-4d8b-9148-e3be6c30e623}">
          <xlrd:rvb i="3260"/>
        </ext>
      </extLst>
    </bk>
    <bk>
      <extLst>
        <ext uri="{3e2802c4-a4d2-4d8b-9148-e3be6c30e623}">
          <xlrd:rvb i="3261"/>
        </ext>
      </extLst>
    </bk>
    <bk>
      <extLst>
        <ext uri="{3e2802c4-a4d2-4d8b-9148-e3be6c30e623}">
          <xlrd:rvb i="3262"/>
        </ext>
      </extLst>
    </bk>
    <bk>
      <extLst>
        <ext uri="{3e2802c4-a4d2-4d8b-9148-e3be6c30e623}">
          <xlrd:rvb i="3263"/>
        </ext>
      </extLst>
    </bk>
    <bk>
      <extLst>
        <ext uri="{3e2802c4-a4d2-4d8b-9148-e3be6c30e623}">
          <xlrd:rvb i="3264"/>
        </ext>
      </extLst>
    </bk>
    <bk>
      <extLst>
        <ext uri="{3e2802c4-a4d2-4d8b-9148-e3be6c30e623}">
          <xlrd:rvb i="3265"/>
        </ext>
      </extLst>
    </bk>
    <bk>
      <extLst>
        <ext uri="{3e2802c4-a4d2-4d8b-9148-e3be6c30e623}">
          <xlrd:rvb i="3266"/>
        </ext>
      </extLst>
    </bk>
    <bk>
      <extLst>
        <ext uri="{3e2802c4-a4d2-4d8b-9148-e3be6c30e623}">
          <xlrd:rvb i="3267"/>
        </ext>
      </extLst>
    </bk>
    <bk>
      <extLst>
        <ext uri="{3e2802c4-a4d2-4d8b-9148-e3be6c30e623}">
          <xlrd:rvb i="3268"/>
        </ext>
      </extLst>
    </bk>
    <bk>
      <extLst>
        <ext uri="{3e2802c4-a4d2-4d8b-9148-e3be6c30e623}">
          <xlrd:rvb i="3269"/>
        </ext>
      </extLst>
    </bk>
    <bk>
      <extLst>
        <ext uri="{3e2802c4-a4d2-4d8b-9148-e3be6c30e623}">
          <xlrd:rvb i="3270"/>
        </ext>
      </extLst>
    </bk>
    <bk>
      <extLst>
        <ext uri="{3e2802c4-a4d2-4d8b-9148-e3be6c30e623}">
          <xlrd:rvb i="3271"/>
        </ext>
      </extLst>
    </bk>
    <bk>
      <extLst>
        <ext uri="{3e2802c4-a4d2-4d8b-9148-e3be6c30e623}">
          <xlrd:rvb i="3272"/>
        </ext>
      </extLst>
    </bk>
    <bk>
      <extLst>
        <ext uri="{3e2802c4-a4d2-4d8b-9148-e3be6c30e623}">
          <xlrd:rvb i="3273"/>
        </ext>
      </extLst>
    </bk>
    <bk>
      <extLst>
        <ext uri="{3e2802c4-a4d2-4d8b-9148-e3be6c30e623}">
          <xlrd:rvb i="3274"/>
        </ext>
      </extLst>
    </bk>
    <bk>
      <extLst>
        <ext uri="{3e2802c4-a4d2-4d8b-9148-e3be6c30e623}">
          <xlrd:rvb i="3275"/>
        </ext>
      </extLst>
    </bk>
    <bk>
      <extLst>
        <ext uri="{3e2802c4-a4d2-4d8b-9148-e3be6c30e623}">
          <xlrd:rvb i="3276"/>
        </ext>
      </extLst>
    </bk>
    <bk>
      <extLst>
        <ext uri="{3e2802c4-a4d2-4d8b-9148-e3be6c30e623}">
          <xlrd:rvb i="3277"/>
        </ext>
      </extLst>
    </bk>
    <bk>
      <extLst>
        <ext uri="{3e2802c4-a4d2-4d8b-9148-e3be6c30e623}">
          <xlrd:rvb i="3278"/>
        </ext>
      </extLst>
    </bk>
    <bk>
      <extLst>
        <ext uri="{3e2802c4-a4d2-4d8b-9148-e3be6c30e623}">
          <xlrd:rvb i="3279"/>
        </ext>
      </extLst>
    </bk>
    <bk>
      <extLst>
        <ext uri="{3e2802c4-a4d2-4d8b-9148-e3be6c30e623}">
          <xlrd:rvb i="3280"/>
        </ext>
      </extLst>
    </bk>
    <bk>
      <extLst>
        <ext uri="{3e2802c4-a4d2-4d8b-9148-e3be6c30e623}">
          <xlrd:rvb i="3281"/>
        </ext>
      </extLst>
    </bk>
    <bk>
      <extLst>
        <ext uri="{3e2802c4-a4d2-4d8b-9148-e3be6c30e623}">
          <xlrd:rvb i="3282"/>
        </ext>
      </extLst>
    </bk>
    <bk>
      <extLst>
        <ext uri="{3e2802c4-a4d2-4d8b-9148-e3be6c30e623}">
          <xlrd:rvb i="3283"/>
        </ext>
      </extLst>
    </bk>
    <bk>
      <extLst>
        <ext uri="{3e2802c4-a4d2-4d8b-9148-e3be6c30e623}">
          <xlrd:rvb i="3284"/>
        </ext>
      </extLst>
    </bk>
    <bk>
      <extLst>
        <ext uri="{3e2802c4-a4d2-4d8b-9148-e3be6c30e623}">
          <xlrd:rvb i="3285"/>
        </ext>
      </extLst>
    </bk>
    <bk>
      <extLst>
        <ext uri="{3e2802c4-a4d2-4d8b-9148-e3be6c30e623}">
          <xlrd:rvb i="3286"/>
        </ext>
      </extLst>
    </bk>
    <bk>
      <extLst>
        <ext uri="{3e2802c4-a4d2-4d8b-9148-e3be6c30e623}">
          <xlrd:rvb i="3287"/>
        </ext>
      </extLst>
    </bk>
    <bk>
      <extLst>
        <ext uri="{3e2802c4-a4d2-4d8b-9148-e3be6c30e623}">
          <xlrd:rvb i="3288"/>
        </ext>
      </extLst>
    </bk>
    <bk>
      <extLst>
        <ext uri="{3e2802c4-a4d2-4d8b-9148-e3be6c30e623}">
          <xlrd:rvb i="3289"/>
        </ext>
      </extLst>
    </bk>
    <bk>
      <extLst>
        <ext uri="{3e2802c4-a4d2-4d8b-9148-e3be6c30e623}">
          <xlrd:rvb i="3290"/>
        </ext>
      </extLst>
    </bk>
    <bk>
      <extLst>
        <ext uri="{3e2802c4-a4d2-4d8b-9148-e3be6c30e623}">
          <xlrd:rvb i="3291"/>
        </ext>
      </extLst>
    </bk>
    <bk>
      <extLst>
        <ext uri="{3e2802c4-a4d2-4d8b-9148-e3be6c30e623}">
          <xlrd:rvb i="3292"/>
        </ext>
      </extLst>
    </bk>
    <bk>
      <extLst>
        <ext uri="{3e2802c4-a4d2-4d8b-9148-e3be6c30e623}">
          <xlrd:rvb i="3293"/>
        </ext>
      </extLst>
    </bk>
    <bk>
      <extLst>
        <ext uri="{3e2802c4-a4d2-4d8b-9148-e3be6c30e623}">
          <xlrd:rvb i="3294"/>
        </ext>
      </extLst>
    </bk>
    <bk>
      <extLst>
        <ext uri="{3e2802c4-a4d2-4d8b-9148-e3be6c30e623}">
          <xlrd:rvb i="3295"/>
        </ext>
      </extLst>
    </bk>
    <bk>
      <extLst>
        <ext uri="{3e2802c4-a4d2-4d8b-9148-e3be6c30e623}">
          <xlrd:rvb i="3296"/>
        </ext>
      </extLst>
    </bk>
    <bk>
      <extLst>
        <ext uri="{3e2802c4-a4d2-4d8b-9148-e3be6c30e623}">
          <xlrd:rvb i="3297"/>
        </ext>
      </extLst>
    </bk>
    <bk>
      <extLst>
        <ext uri="{3e2802c4-a4d2-4d8b-9148-e3be6c30e623}">
          <xlrd:rvb i="3298"/>
        </ext>
      </extLst>
    </bk>
    <bk>
      <extLst>
        <ext uri="{3e2802c4-a4d2-4d8b-9148-e3be6c30e623}">
          <xlrd:rvb i="3299"/>
        </ext>
      </extLst>
    </bk>
    <bk>
      <extLst>
        <ext uri="{3e2802c4-a4d2-4d8b-9148-e3be6c30e623}">
          <xlrd:rvb i="3300"/>
        </ext>
      </extLst>
    </bk>
    <bk>
      <extLst>
        <ext uri="{3e2802c4-a4d2-4d8b-9148-e3be6c30e623}">
          <xlrd:rvb i="3301"/>
        </ext>
      </extLst>
    </bk>
    <bk>
      <extLst>
        <ext uri="{3e2802c4-a4d2-4d8b-9148-e3be6c30e623}">
          <xlrd:rvb i="3302"/>
        </ext>
      </extLst>
    </bk>
    <bk>
      <extLst>
        <ext uri="{3e2802c4-a4d2-4d8b-9148-e3be6c30e623}">
          <xlrd:rvb i="3303"/>
        </ext>
      </extLst>
    </bk>
    <bk>
      <extLst>
        <ext uri="{3e2802c4-a4d2-4d8b-9148-e3be6c30e623}">
          <xlrd:rvb i="3304"/>
        </ext>
      </extLst>
    </bk>
    <bk>
      <extLst>
        <ext uri="{3e2802c4-a4d2-4d8b-9148-e3be6c30e623}">
          <xlrd:rvb i="3305"/>
        </ext>
      </extLst>
    </bk>
    <bk>
      <extLst>
        <ext uri="{3e2802c4-a4d2-4d8b-9148-e3be6c30e623}">
          <xlrd:rvb i="3306"/>
        </ext>
      </extLst>
    </bk>
    <bk>
      <extLst>
        <ext uri="{3e2802c4-a4d2-4d8b-9148-e3be6c30e623}">
          <xlrd:rvb i="3307"/>
        </ext>
      </extLst>
    </bk>
    <bk>
      <extLst>
        <ext uri="{3e2802c4-a4d2-4d8b-9148-e3be6c30e623}">
          <xlrd:rvb i="3308"/>
        </ext>
      </extLst>
    </bk>
    <bk>
      <extLst>
        <ext uri="{3e2802c4-a4d2-4d8b-9148-e3be6c30e623}">
          <xlrd:rvb i="3309"/>
        </ext>
      </extLst>
    </bk>
    <bk>
      <extLst>
        <ext uri="{3e2802c4-a4d2-4d8b-9148-e3be6c30e623}">
          <xlrd:rvb i="3310"/>
        </ext>
      </extLst>
    </bk>
    <bk>
      <extLst>
        <ext uri="{3e2802c4-a4d2-4d8b-9148-e3be6c30e623}">
          <xlrd:rvb i="3311"/>
        </ext>
      </extLst>
    </bk>
    <bk>
      <extLst>
        <ext uri="{3e2802c4-a4d2-4d8b-9148-e3be6c30e623}">
          <xlrd:rvb i="3312"/>
        </ext>
      </extLst>
    </bk>
    <bk>
      <extLst>
        <ext uri="{3e2802c4-a4d2-4d8b-9148-e3be6c30e623}">
          <xlrd:rvb i="3313"/>
        </ext>
      </extLst>
    </bk>
    <bk>
      <extLst>
        <ext uri="{3e2802c4-a4d2-4d8b-9148-e3be6c30e623}">
          <xlrd:rvb i="3314"/>
        </ext>
      </extLst>
    </bk>
    <bk>
      <extLst>
        <ext uri="{3e2802c4-a4d2-4d8b-9148-e3be6c30e623}">
          <xlrd:rvb i="3315"/>
        </ext>
      </extLst>
    </bk>
    <bk>
      <extLst>
        <ext uri="{3e2802c4-a4d2-4d8b-9148-e3be6c30e623}">
          <xlrd:rvb i="3316"/>
        </ext>
      </extLst>
    </bk>
    <bk>
      <extLst>
        <ext uri="{3e2802c4-a4d2-4d8b-9148-e3be6c30e623}">
          <xlrd:rvb i="3317"/>
        </ext>
      </extLst>
    </bk>
    <bk>
      <extLst>
        <ext uri="{3e2802c4-a4d2-4d8b-9148-e3be6c30e623}">
          <xlrd:rvb i="3318"/>
        </ext>
      </extLst>
    </bk>
    <bk>
      <extLst>
        <ext uri="{3e2802c4-a4d2-4d8b-9148-e3be6c30e623}">
          <xlrd:rvb i="3319"/>
        </ext>
      </extLst>
    </bk>
    <bk>
      <extLst>
        <ext uri="{3e2802c4-a4d2-4d8b-9148-e3be6c30e623}">
          <xlrd:rvb i="3320"/>
        </ext>
      </extLst>
    </bk>
    <bk>
      <extLst>
        <ext uri="{3e2802c4-a4d2-4d8b-9148-e3be6c30e623}">
          <xlrd:rvb i="3321"/>
        </ext>
      </extLst>
    </bk>
    <bk>
      <extLst>
        <ext uri="{3e2802c4-a4d2-4d8b-9148-e3be6c30e623}">
          <xlrd:rvb i="3322"/>
        </ext>
      </extLst>
    </bk>
    <bk>
      <extLst>
        <ext uri="{3e2802c4-a4d2-4d8b-9148-e3be6c30e623}">
          <xlrd:rvb i="3323"/>
        </ext>
      </extLst>
    </bk>
    <bk>
      <extLst>
        <ext uri="{3e2802c4-a4d2-4d8b-9148-e3be6c30e623}">
          <xlrd:rvb i="3324"/>
        </ext>
      </extLst>
    </bk>
    <bk>
      <extLst>
        <ext uri="{3e2802c4-a4d2-4d8b-9148-e3be6c30e623}">
          <xlrd:rvb i="3325"/>
        </ext>
      </extLst>
    </bk>
    <bk>
      <extLst>
        <ext uri="{3e2802c4-a4d2-4d8b-9148-e3be6c30e623}">
          <xlrd:rvb i="3326"/>
        </ext>
      </extLst>
    </bk>
    <bk>
      <extLst>
        <ext uri="{3e2802c4-a4d2-4d8b-9148-e3be6c30e623}">
          <xlrd:rvb i="3327"/>
        </ext>
      </extLst>
    </bk>
    <bk>
      <extLst>
        <ext uri="{3e2802c4-a4d2-4d8b-9148-e3be6c30e623}">
          <xlrd:rvb i="3328"/>
        </ext>
      </extLst>
    </bk>
    <bk>
      <extLst>
        <ext uri="{3e2802c4-a4d2-4d8b-9148-e3be6c30e623}">
          <xlrd:rvb i="3329"/>
        </ext>
      </extLst>
    </bk>
    <bk>
      <extLst>
        <ext uri="{3e2802c4-a4d2-4d8b-9148-e3be6c30e623}">
          <xlrd:rvb i="3330"/>
        </ext>
      </extLst>
    </bk>
    <bk>
      <extLst>
        <ext uri="{3e2802c4-a4d2-4d8b-9148-e3be6c30e623}">
          <xlrd:rvb i="3331"/>
        </ext>
      </extLst>
    </bk>
    <bk>
      <extLst>
        <ext uri="{3e2802c4-a4d2-4d8b-9148-e3be6c30e623}">
          <xlrd:rvb i="3332"/>
        </ext>
      </extLst>
    </bk>
    <bk>
      <extLst>
        <ext uri="{3e2802c4-a4d2-4d8b-9148-e3be6c30e623}">
          <xlrd:rvb i="3333"/>
        </ext>
      </extLst>
    </bk>
    <bk>
      <extLst>
        <ext uri="{3e2802c4-a4d2-4d8b-9148-e3be6c30e623}">
          <xlrd:rvb i="3334"/>
        </ext>
      </extLst>
    </bk>
    <bk>
      <extLst>
        <ext uri="{3e2802c4-a4d2-4d8b-9148-e3be6c30e623}">
          <xlrd:rvb i="3335"/>
        </ext>
      </extLst>
    </bk>
    <bk>
      <extLst>
        <ext uri="{3e2802c4-a4d2-4d8b-9148-e3be6c30e623}">
          <xlrd:rvb i="3336"/>
        </ext>
      </extLst>
    </bk>
    <bk>
      <extLst>
        <ext uri="{3e2802c4-a4d2-4d8b-9148-e3be6c30e623}">
          <xlrd:rvb i="3337"/>
        </ext>
      </extLst>
    </bk>
    <bk>
      <extLst>
        <ext uri="{3e2802c4-a4d2-4d8b-9148-e3be6c30e623}">
          <xlrd:rvb i="3338"/>
        </ext>
      </extLst>
    </bk>
    <bk>
      <extLst>
        <ext uri="{3e2802c4-a4d2-4d8b-9148-e3be6c30e623}">
          <xlrd:rvb i="3339"/>
        </ext>
      </extLst>
    </bk>
    <bk>
      <extLst>
        <ext uri="{3e2802c4-a4d2-4d8b-9148-e3be6c30e623}">
          <xlrd:rvb i="3340"/>
        </ext>
      </extLst>
    </bk>
    <bk>
      <extLst>
        <ext uri="{3e2802c4-a4d2-4d8b-9148-e3be6c30e623}">
          <xlrd:rvb i="3341"/>
        </ext>
      </extLst>
    </bk>
    <bk>
      <extLst>
        <ext uri="{3e2802c4-a4d2-4d8b-9148-e3be6c30e623}">
          <xlrd:rvb i="3342"/>
        </ext>
      </extLst>
    </bk>
    <bk>
      <extLst>
        <ext uri="{3e2802c4-a4d2-4d8b-9148-e3be6c30e623}">
          <xlrd:rvb i="3343"/>
        </ext>
      </extLst>
    </bk>
    <bk>
      <extLst>
        <ext uri="{3e2802c4-a4d2-4d8b-9148-e3be6c30e623}">
          <xlrd:rvb i="3344"/>
        </ext>
      </extLst>
    </bk>
    <bk>
      <extLst>
        <ext uri="{3e2802c4-a4d2-4d8b-9148-e3be6c30e623}">
          <xlrd:rvb i="3345"/>
        </ext>
      </extLst>
    </bk>
    <bk>
      <extLst>
        <ext uri="{3e2802c4-a4d2-4d8b-9148-e3be6c30e623}">
          <xlrd:rvb i="3346"/>
        </ext>
      </extLst>
    </bk>
    <bk>
      <extLst>
        <ext uri="{3e2802c4-a4d2-4d8b-9148-e3be6c30e623}">
          <xlrd:rvb i="3347"/>
        </ext>
      </extLst>
    </bk>
    <bk>
      <extLst>
        <ext uri="{3e2802c4-a4d2-4d8b-9148-e3be6c30e623}">
          <xlrd:rvb i="3348"/>
        </ext>
      </extLst>
    </bk>
    <bk>
      <extLst>
        <ext uri="{3e2802c4-a4d2-4d8b-9148-e3be6c30e623}">
          <xlrd:rvb i="3349"/>
        </ext>
      </extLst>
    </bk>
    <bk>
      <extLst>
        <ext uri="{3e2802c4-a4d2-4d8b-9148-e3be6c30e623}">
          <xlrd:rvb i="3350"/>
        </ext>
      </extLst>
    </bk>
    <bk>
      <extLst>
        <ext uri="{3e2802c4-a4d2-4d8b-9148-e3be6c30e623}">
          <xlrd:rvb i="3351"/>
        </ext>
      </extLst>
    </bk>
    <bk>
      <extLst>
        <ext uri="{3e2802c4-a4d2-4d8b-9148-e3be6c30e623}">
          <xlrd:rvb i="3352"/>
        </ext>
      </extLst>
    </bk>
    <bk>
      <extLst>
        <ext uri="{3e2802c4-a4d2-4d8b-9148-e3be6c30e623}">
          <xlrd:rvb i="3353"/>
        </ext>
      </extLst>
    </bk>
    <bk>
      <extLst>
        <ext uri="{3e2802c4-a4d2-4d8b-9148-e3be6c30e623}">
          <xlrd:rvb i="3354"/>
        </ext>
      </extLst>
    </bk>
    <bk>
      <extLst>
        <ext uri="{3e2802c4-a4d2-4d8b-9148-e3be6c30e623}">
          <xlrd:rvb i="3355"/>
        </ext>
      </extLst>
    </bk>
    <bk>
      <extLst>
        <ext uri="{3e2802c4-a4d2-4d8b-9148-e3be6c30e623}">
          <xlrd:rvb i="3356"/>
        </ext>
      </extLst>
    </bk>
    <bk>
      <extLst>
        <ext uri="{3e2802c4-a4d2-4d8b-9148-e3be6c30e623}">
          <xlrd:rvb i="3357"/>
        </ext>
      </extLst>
    </bk>
    <bk>
      <extLst>
        <ext uri="{3e2802c4-a4d2-4d8b-9148-e3be6c30e623}">
          <xlrd:rvb i="3358"/>
        </ext>
      </extLst>
    </bk>
    <bk>
      <extLst>
        <ext uri="{3e2802c4-a4d2-4d8b-9148-e3be6c30e623}">
          <xlrd:rvb i="3359"/>
        </ext>
      </extLst>
    </bk>
    <bk>
      <extLst>
        <ext uri="{3e2802c4-a4d2-4d8b-9148-e3be6c30e623}">
          <xlrd:rvb i="3360"/>
        </ext>
      </extLst>
    </bk>
    <bk>
      <extLst>
        <ext uri="{3e2802c4-a4d2-4d8b-9148-e3be6c30e623}">
          <xlrd:rvb i="3361"/>
        </ext>
      </extLst>
    </bk>
    <bk>
      <extLst>
        <ext uri="{3e2802c4-a4d2-4d8b-9148-e3be6c30e623}">
          <xlrd:rvb i="3362"/>
        </ext>
      </extLst>
    </bk>
    <bk>
      <extLst>
        <ext uri="{3e2802c4-a4d2-4d8b-9148-e3be6c30e623}">
          <xlrd:rvb i="3363"/>
        </ext>
      </extLst>
    </bk>
    <bk>
      <extLst>
        <ext uri="{3e2802c4-a4d2-4d8b-9148-e3be6c30e623}">
          <xlrd:rvb i="3364"/>
        </ext>
      </extLst>
    </bk>
    <bk>
      <extLst>
        <ext uri="{3e2802c4-a4d2-4d8b-9148-e3be6c30e623}">
          <xlrd:rvb i="3365"/>
        </ext>
      </extLst>
    </bk>
    <bk>
      <extLst>
        <ext uri="{3e2802c4-a4d2-4d8b-9148-e3be6c30e623}">
          <xlrd:rvb i="3366"/>
        </ext>
      </extLst>
    </bk>
    <bk>
      <extLst>
        <ext uri="{3e2802c4-a4d2-4d8b-9148-e3be6c30e623}">
          <xlrd:rvb i="3367"/>
        </ext>
      </extLst>
    </bk>
    <bk>
      <extLst>
        <ext uri="{3e2802c4-a4d2-4d8b-9148-e3be6c30e623}">
          <xlrd:rvb i="3368"/>
        </ext>
      </extLst>
    </bk>
    <bk>
      <extLst>
        <ext uri="{3e2802c4-a4d2-4d8b-9148-e3be6c30e623}">
          <xlrd:rvb i="3369"/>
        </ext>
      </extLst>
    </bk>
    <bk>
      <extLst>
        <ext uri="{3e2802c4-a4d2-4d8b-9148-e3be6c30e623}">
          <xlrd:rvb i="3370"/>
        </ext>
      </extLst>
    </bk>
    <bk>
      <extLst>
        <ext uri="{3e2802c4-a4d2-4d8b-9148-e3be6c30e623}">
          <xlrd:rvb i="3371"/>
        </ext>
      </extLst>
    </bk>
    <bk>
      <extLst>
        <ext uri="{3e2802c4-a4d2-4d8b-9148-e3be6c30e623}">
          <xlrd:rvb i="3372"/>
        </ext>
      </extLst>
    </bk>
    <bk>
      <extLst>
        <ext uri="{3e2802c4-a4d2-4d8b-9148-e3be6c30e623}">
          <xlrd:rvb i="3373"/>
        </ext>
      </extLst>
    </bk>
    <bk>
      <extLst>
        <ext uri="{3e2802c4-a4d2-4d8b-9148-e3be6c30e623}">
          <xlrd:rvb i="3374"/>
        </ext>
      </extLst>
    </bk>
    <bk>
      <extLst>
        <ext uri="{3e2802c4-a4d2-4d8b-9148-e3be6c30e623}">
          <xlrd:rvb i="3375"/>
        </ext>
      </extLst>
    </bk>
    <bk>
      <extLst>
        <ext uri="{3e2802c4-a4d2-4d8b-9148-e3be6c30e623}">
          <xlrd:rvb i="3376"/>
        </ext>
      </extLst>
    </bk>
    <bk>
      <extLst>
        <ext uri="{3e2802c4-a4d2-4d8b-9148-e3be6c30e623}">
          <xlrd:rvb i="3377"/>
        </ext>
      </extLst>
    </bk>
    <bk>
      <extLst>
        <ext uri="{3e2802c4-a4d2-4d8b-9148-e3be6c30e623}">
          <xlrd:rvb i="3378"/>
        </ext>
      </extLst>
    </bk>
    <bk>
      <extLst>
        <ext uri="{3e2802c4-a4d2-4d8b-9148-e3be6c30e623}">
          <xlrd:rvb i="3379"/>
        </ext>
      </extLst>
    </bk>
    <bk>
      <extLst>
        <ext uri="{3e2802c4-a4d2-4d8b-9148-e3be6c30e623}">
          <xlrd:rvb i="3380"/>
        </ext>
      </extLst>
    </bk>
    <bk>
      <extLst>
        <ext uri="{3e2802c4-a4d2-4d8b-9148-e3be6c30e623}">
          <xlrd:rvb i="3381"/>
        </ext>
      </extLst>
    </bk>
    <bk>
      <extLst>
        <ext uri="{3e2802c4-a4d2-4d8b-9148-e3be6c30e623}">
          <xlrd:rvb i="3382"/>
        </ext>
      </extLst>
    </bk>
    <bk>
      <extLst>
        <ext uri="{3e2802c4-a4d2-4d8b-9148-e3be6c30e623}">
          <xlrd:rvb i="3383"/>
        </ext>
      </extLst>
    </bk>
    <bk>
      <extLst>
        <ext uri="{3e2802c4-a4d2-4d8b-9148-e3be6c30e623}">
          <xlrd:rvb i="3384"/>
        </ext>
      </extLst>
    </bk>
    <bk>
      <extLst>
        <ext uri="{3e2802c4-a4d2-4d8b-9148-e3be6c30e623}">
          <xlrd:rvb i="3385"/>
        </ext>
      </extLst>
    </bk>
    <bk>
      <extLst>
        <ext uri="{3e2802c4-a4d2-4d8b-9148-e3be6c30e623}">
          <xlrd:rvb i="3386"/>
        </ext>
      </extLst>
    </bk>
    <bk>
      <extLst>
        <ext uri="{3e2802c4-a4d2-4d8b-9148-e3be6c30e623}">
          <xlrd:rvb i="3387"/>
        </ext>
      </extLst>
    </bk>
    <bk>
      <extLst>
        <ext uri="{3e2802c4-a4d2-4d8b-9148-e3be6c30e623}">
          <xlrd:rvb i="3388"/>
        </ext>
      </extLst>
    </bk>
    <bk>
      <extLst>
        <ext uri="{3e2802c4-a4d2-4d8b-9148-e3be6c30e623}">
          <xlrd:rvb i="3389"/>
        </ext>
      </extLst>
    </bk>
    <bk>
      <extLst>
        <ext uri="{3e2802c4-a4d2-4d8b-9148-e3be6c30e623}">
          <xlrd:rvb i="3390"/>
        </ext>
      </extLst>
    </bk>
    <bk>
      <extLst>
        <ext uri="{3e2802c4-a4d2-4d8b-9148-e3be6c30e623}">
          <xlrd:rvb i="3391"/>
        </ext>
      </extLst>
    </bk>
    <bk>
      <extLst>
        <ext uri="{3e2802c4-a4d2-4d8b-9148-e3be6c30e623}">
          <xlrd:rvb i="3392"/>
        </ext>
      </extLst>
    </bk>
    <bk>
      <extLst>
        <ext uri="{3e2802c4-a4d2-4d8b-9148-e3be6c30e623}">
          <xlrd:rvb i="3393"/>
        </ext>
      </extLst>
    </bk>
    <bk>
      <extLst>
        <ext uri="{3e2802c4-a4d2-4d8b-9148-e3be6c30e623}">
          <xlrd:rvb i="3394"/>
        </ext>
      </extLst>
    </bk>
    <bk>
      <extLst>
        <ext uri="{3e2802c4-a4d2-4d8b-9148-e3be6c30e623}">
          <xlrd:rvb i="3395"/>
        </ext>
      </extLst>
    </bk>
    <bk>
      <extLst>
        <ext uri="{3e2802c4-a4d2-4d8b-9148-e3be6c30e623}">
          <xlrd:rvb i="3396"/>
        </ext>
      </extLst>
    </bk>
    <bk>
      <extLst>
        <ext uri="{3e2802c4-a4d2-4d8b-9148-e3be6c30e623}">
          <xlrd:rvb i="3397"/>
        </ext>
      </extLst>
    </bk>
    <bk>
      <extLst>
        <ext uri="{3e2802c4-a4d2-4d8b-9148-e3be6c30e623}">
          <xlrd:rvb i="3398"/>
        </ext>
      </extLst>
    </bk>
    <bk>
      <extLst>
        <ext uri="{3e2802c4-a4d2-4d8b-9148-e3be6c30e623}">
          <xlrd:rvb i="3399"/>
        </ext>
      </extLst>
    </bk>
    <bk>
      <extLst>
        <ext uri="{3e2802c4-a4d2-4d8b-9148-e3be6c30e623}">
          <xlrd:rvb i="3400"/>
        </ext>
      </extLst>
    </bk>
    <bk>
      <extLst>
        <ext uri="{3e2802c4-a4d2-4d8b-9148-e3be6c30e623}">
          <xlrd:rvb i="3401"/>
        </ext>
      </extLst>
    </bk>
    <bk>
      <extLst>
        <ext uri="{3e2802c4-a4d2-4d8b-9148-e3be6c30e623}">
          <xlrd:rvb i="3402"/>
        </ext>
      </extLst>
    </bk>
    <bk>
      <extLst>
        <ext uri="{3e2802c4-a4d2-4d8b-9148-e3be6c30e623}">
          <xlrd:rvb i="3403"/>
        </ext>
      </extLst>
    </bk>
    <bk>
      <extLst>
        <ext uri="{3e2802c4-a4d2-4d8b-9148-e3be6c30e623}">
          <xlrd:rvb i="3404"/>
        </ext>
      </extLst>
    </bk>
    <bk>
      <extLst>
        <ext uri="{3e2802c4-a4d2-4d8b-9148-e3be6c30e623}">
          <xlrd:rvb i="3405"/>
        </ext>
      </extLst>
    </bk>
    <bk>
      <extLst>
        <ext uri="{3e2802c4-a4d2-4d8b-9148-e3be6c30e623}">
          <xlrd:rvb i="3406"/>
        </ext>
      </extLst>
    </bk>
    <bk>
      <extLst>
        <ext uri="{3e2802c4-a4d2-4d8b-9148-e3be6c30e623}">
          <xlrd:rvb i="3407"/>
        </ext>
      </extLst>
    </bk>
    <bk>
      <extLst>
        <ext uri="{3e2802c4-a4d2-4d8b-9148-e3be6c30e623}">
          <xlrd:rvb i="3408"/>
        </ext>
      </extLst>
    </bk>
    <bk>
      <extLst>
        <ext uri="{3e2802c4-a4d2-4d8b-9148-e3be6c30e623}">
          <xlrd:rvb i="3409"/>
        </ext>
      </extLst>
    </bk>
    <bk>
      <extLst>
        <ext uri="{3e2802c4-a4d2-4d8b-9148-e3be6c30e623}">
          <xlrd:rvb i="3410"/>
        </ext>
      </extLst>
    </bk>
    <bk>
      <extLst>
        <ext uri="{3e2802c4-a4d2-4d8b-9148-e3be6c30e623}">
          <xlrd:rvb i="3411"/>
        </ext>
      </extLst>
    </bk>
    <bk>
      <extLst>
        <ext uri="{3e2802c4-a4d2-4d8b-9148-e3be6c30e623}">
          <xlrd:rvb i="3412"/>
        </ext>
      </extLst>
    </bk>
    <bk>
      <extLst>
        <ext uri="{3e2802c4-a4d2-4d8b-9148-e3be6c30e623}">
          <xlrd:rvb i="3413"/>
        </ext>
      </extLst>
    </bk>
    <bk>
      <extLst>
        <ext uri="{3e2802c4-a4d2-4d8b-9148-e3be6c30e623}">
          <xlrd:rvb i="3414"/>
        </ext>
      </extLst>
    </bk>
    <bk>
      <extLst>
        <ext uri="{3e2802c4-a4d2-4d8b-9148-e3be6c30e623}">
          <xlrd:rvb i="3415"/>
        </ext>
      </extLst>
    </bk>
    <bk>
      <extLst>
        <ext uri="{3e2802c4-a4d2-4d8b-9148-e3be6c30e623}">
          <xlrd:rvb i="3416"/>
        </ext>
      </extLst>
    </bk>
    <bk>
      <extLst>
        <ext uri="{3e2802c4-a4d2-4d8b-9148-e3be6c30e623}">
          <xlrd:rvb i="3417"/>
        </ext>
      </extLst>
    </bk>
    <bk>
      <extLst>
        <ext uri="{3e2802c4-a4d2-4d8b-9148-e3be6c30e623}">
          <xlrd:rvb i="3418"/>
        </ext>
      </extLst>
    </bk>
    <bk>
      <extLst>
        <ext uri="{3e2802c4-a4d2-4d8b-9148-e3be6c30e623}">
          <xlrd:rvb i="3419"/>
        </ext>
      </extLst>
    </bk>
    <bk>
      <extLst>
        <ext uri="{3e2802c4-a4d2-4d8b-9148-e3be6c30e623}">
          <xlrd:rvb i="3420"/>
        </ext>
      </extLst>
    </bk>
    <bk>
      <extLst>
        <ext uri="{3e2802c4-a4d2-4d8b-9148-e3be6c30e623}">
          <xlrd:rvb i="3421"/>
        </ext>
      </extLst>
    </bk>
    <bk>
      <extLst>
        <ext uri="{3e2802c4-a4d2-4d8b-9148-e3be6c30e623}">
          <xlrd:rvb i="3422"/>
        </ext>
      </extLst>
    </bk>
    <bk>
      <extLst>
        <ext uri="{3e2802c4-a4d2-4d8b-9148-e3be6c30e623}">
          <xlrd:rvb i="3423"/>
        </ext>
      </extLst>
    </bk>
    <bk>
      <extLst>
        <ext uri="{3e2802c4-a4d2-4d8b-9148-e3be6c30e623}">
          <xlrd:rvb i="3424"/>
        </ext>
      </extLst>
    </bk>
    <bk>
      <extLst>
        <ext uri="{3e2802c4-a4d2-4d8b-9148-e3be6c30e623}">
          <xlrd:rvb i="3425"/>
        </ext>
      </extLst>
    </bk>
    <bk>
      <extLst>
        <ext uri="{3e2802c4-a4d2-4d8b-9148-e3be6c30e623}">
          <xlrd:rvb i="3426"/>
        </ext>
      </extLst>
    </bk>
    <bk>
      <extLst>
        <ext uri="{3e2802c4-a4d2-4d8b-9148-e3be6c30e623}">
          <xlrd:rvb i="3427"/>
        </ext>
      </extLst>
    </bk>
    <bk>
      <extLst>
        <ext uri="{3e2802c4-a4d2-4d8b-9148-e3be6c30e623}">
          <xlrd:rvb i="3428"/>
        </ext>
      </extLst>
    </bk>
    <bk>
      <extLst>
        <ext uri="{3e2802c4-a4d2-4d8b-9148-e3be6c30e623}">
          <xlrd:rvb i="3429"/>
        </ext>
      </extLst>
    </bk>
    <bk>
      <extLst>
        <ext uri="{3e2802c4-a4d2-4d8b-9148-e3be6c30e623}">
          <xlrd:rvb i="3430"/>
        </ext>
      </extLst>
    </bk>
    <bk>
      <extLst>
        <ext uri="{3e2802c4-a4d2-4d8b-9148-e3be6c30e623}">
          <xlrd:rvb i="3431"/>
        </ext>
      </extLst>
    </bk>
    <bk>
      <extLst>
        <ext uri="{3e2802c4-a4d2-4d8b-9148-e3be6c30e623}">
          <xlrd:rvb i="3432"/>
        </ext>
      </extLst>
    </bk>
    <bk>
      <extLst>
        <ext uri="{3e2802c4-a4d2-4d8b-9148-e3be6c30e623}">
          <xlrd:rvb i="3433"/>
        </ext>
      </extLst>
    </bk>
    <bk>
      <extLst>
        <ext uri="{3e2802c4-a4d2-4d8b-9148-e3be6c30e623}">
          <xlrd:rvb i="3434"/>
        </ext>
      </extLst>
    </bk>
    <bk>
      <extLst>
        <ext uri="{3e2802c4-a4d2-4d8b-9148-e3be6c30e623}">
          <xlrd:rvb i="3435"/>
        </ext>
      </extLst>
    </bk>
    <bk>
      <extLst>
        <ext uri="{3e2802c4-a4d2-4d8b-9148-e3be6c30e623}">
          <xlrd:rvb i="3436"/>
        </ext>
      </extLst>
    </bk>
    <bk>
      <extLst>
        <ext uri="{3e2802c4-a4d2-4d8b-9148-e3be6c30e623}">
          <xlrd:rvb i="3437"/>
        </ext>
      </extLst>
    </bk>
    <bk>
      <extLst>
        <ext uri="{3e2802c4-a4d2-4d8b-9148-e3be6c30e623}">
          <xlrd:rvb i="3438"/>
        </ext>
      </extLst>
    </bk>
    <bk>
      <extLst>
        <ext uri="{3e2802c4-a4d2-4d8b-9148-e3be6c30e623}">
          <xlrd:rvb i="3439"/>
        </ext>
      </extLst>
    </bk>
    <bk>
      <extLst>
        <ext uri="{3e2802c4-a4d2-4d8b-9148-e3be6c30e623}">
          <xlrd:rvb i="3440"/>
        </ext>
      </extLst>
    </bk>
    <bk>
      <extLst>
        <ext uri="{3e2802c4-a4d2-4d8b-9148-e3be6c30e623}">
          <xlrd:rvb i="3441"/>
        </ext>
      </extLst>
    </bk>
    <bk>
      <extLst>
        <ext uri="{3e2802c4-a4d2-4d8b-9148-e3be6c30e623}">
          <xlrd:rvb i="3442"/>
        </ext>
      </extLst>
    </bk>
    <bk>
      <extLst>
        <ext uri="{3e2802c4-a4d2-4d8b-9148-e3be6c30e623}">
          <xlrd:rvb i="3443"/>
        </ext>
      </extLst>
    </bk>
    <bk>
      <extLst>
        <ext uri="{3e2802c4-a4d2-4d8b-9148-e3be6c30e623}">
          <xlrd:rvb i="3444"/>
        </ext>
      </extLst>
    </bk>
    <bk>
      <extLst>
        <ext uri="{3e2802c4-a4d2-4d8b-9148-e3be6c30e623}">
          <xlrd:rvb i="3445"/>
        </ext>
      </extLst>
    </bk>
    <bk>
      <extLst>
        <ext uri="{3e2802c4-a4d2-4d8b-9148-e3be6c30e623}">
          <xlrd:rvb i="3446"/>
        </ext>
      </extLst>
    </bk>
    <bk>
      <extLst>
        <ext uri="{3e2802c4-a4d2-4d8b-9148-e3be6c30e623}">
          <xlrd:rvb i="3447"/>
        </ext>
      </extLst>
    </bk>
    <bk>
      <extLst>
        <ext uri="{3e2802c4-a4d2-4d8b-9148-e3be6c30e623}">
          <xlrd:rvb i="3448"/>
        </ext>
      </extLst>
    </bk>
    <bk>
      <extLst>
        <ext uri="{3e2802c4-a4d2-4d8b-9148-e3be6c30e623}">
          <xlrd:rvb i="3449"/>
        </ext>
      </extLst>
    </bk>
    <bk>
      <extLst>
        <ext uri="{3e2802c4-a4d2-4d8b-9148-e3be6c30e623}">
          <xlrd:rvb i="3450"/>
        </ext>
      </extLst>
    </bk>
    <bk>
      <extLst>
        <ext uri="{3e2802c4-a4d2-4d8b-9148-e3be6c30e623}">
          <xlrd:rvb i="3451"/>
        </ext>
      </extLst>
    </bk>
    <bk>
      <extLst>
        <ext uri="{3e2802c4-a4d2-4d8b-9148-e3be6c30e623}">
          <xlrd:rvb i="3452"/>
        </ext>
      </extLst>
    </bk>
    <bk>
      <extLst>
        <ext uri="{3e2802c4-a4d2-4d8b-9148-e3be6c30e623}">
          <xlrd:rvb i="3453"/>
        </ext>
      </extLst>
    </bk>
    <bk>
      <extLst>
        <ext uri="{3e2802c4-a4d2-4d8b-9148-e3be6c30e623}">
          <xlrd:rvb i="3454"/>
        </ext>
      </extLst>
    </bk>
    <bk>
      <extLst>
        <ext uri="{3e2802c4-a4d2-4d8b-9148-e3be6c30e623}">
          <xlrd:rvb i="3455"/>
        </ext>
      </extLst>
    </bk>
    <bk>
      <extLst>
        <ext uri="{3e2802c4-a4d2-4d8b-9148-e3be6c30e623}">
          <xlrd:rvb i="3456"/>
        </ext>
      </extLst>
    </bk>
    <bk>
      <extLst>
        <ext uri="{3e2802c4-a4d2-4d8b-9148-e3be6c30e623}">
          <xlrd:rvb i="3457"/>
        </ext>
      </extLst>
    </bk>
    <bk>
      <extLst>
        <ext uri="{3e2802c4-a4d2-4d8b-9148-e3be6c30e623}">
          <xlrd:rvb i="3458"/>
        </ext>
      </extLst>
    </bk>
    <bk>
      <extLst>
        <ext uri="{3e2802c4-a4d2-4d8b-9148-e3be6c30e623}">
          <xlrd:rvb i="3459"/>
        </ext>
      </extLst>
    </bk>
    <bk>
      <extLst>
        <ext uri="{3e2802c4-a4d2-4d8b-9148-e3be6c30e623}">
          <xlrd:rvb i="3460"/>
        </ext>
      </extLst>
    </bk>
    <bk>
      <extLst>
        <ext uri="{3e2802c4-a4d2-4d8b-9148-e3be6c30e623}">
          <xlrd:rvb i="3461"/>
        </ext>
      </extLst>
    </bk>
    <bk>
      <extLst>
        <ext uri="{3e2802c4-a4d2-4d8b-9148-e3be6c30e623}">
          <xlrd:rvb i="3462"/>
        </ext>
      </extLst>
    </bk>
    <bk>
      <extLst>
        <ext uri="{3e2802c4-a4d2-4d8b-9148-e3be6c30e623}">
          <xlrd:rvb i="3463"/>
        </ext>
      </extLst>
    </bk>
    <bk>
      <extLst>
        <ext uri="{3e2802c4-a4d2-4d8b-9148-e3be6c30e623}">
          <xlrd:rvb i="3464"/>
        </ext>
      </extLst>
    </bk>
    <bk>
      <extLst>
        <ext uri="{3e2802c4-a4d2-4d8b-9148-e3be6c30e623}">
          <xlrd:rvb i="3465"/>
        </ext>
      </extLst>
    </bk>
    <bk>
      <extLst>
        <ext uri="{3e2802c4-a4d2-4d8b-9148-e3be6c30e623}">
          <xlrd:rvb i="3466"/>
        </ext>
      </extLst>
    </bk>
    <bk>
      <extLst>
        <ext uri="{3e2802c4-a4d2-4d8b-9148-e3be6c30e623}">
          <xlrd:rvb i="3467"/>
        </ext>
      </extLst>
    </bk>
    <bk>
      <extLst>
        <ext uri="{3e2802c4-a4d2-4d8b-9148-e3be6c30e623}">
          <xlrd:rvb i="3468"/>
        </ext>
      </extLst>
    </bk>
    <bk>
      <extLst>
        <ext uri="{3e2802c4-a4d2-4d8b-9148-e3be6c30e623}">
          <xlrd:rvb i="3469"/>
        </ext>
      </extLst>
    </bk>
    <bk>
      <extLst>
        <ext uri="{3e2802c4-a4d2-4d8b-9148-e3be6c30e623}">
          <xlrd:rvb i="3470"/>
        </ext>
      </extLst>
    </bk>
    <bk>
      <extLst>
        <ext uri="{3e2802c4-a4d2-4d8b-9148-e3be6c30e623}">
          <xlrd:rvb i="3471"/>
        </ext>
      </extLst>
    </bk>
    <bk>
      <extLst>
        <ext uri="{3e2802c4-a4d2-4d8b-9148-e3be6c30e623}">
          <xlrd:rvb i="3472"/>
        </ext>
      </extLst>
    </bk>
    <bk>
      <extLst>
        <ext uri="{3e2802c4-a4d2-4d8b-9148-e3be6c30e623}">
          <xlrd:rvb i="3473"/>
        </ext>
      </extLst>
    </bk>
    <bk>
      <extLst>
        <ext uri="{3e2802c4-a4d2-4d8b-9148-e3be6c30e623}">
          <xlrd:rvb i="3474"/>
        </ext>
      </extLst>
    </bk>
    <bk>
      <extLst>
        <ext uri="{3e2802c4-a4d2-4d8b-9148-e3be6c30e623}">
          <xlrd:rvb i="3475"/>
        </ext>
      </extLst>
    </bk>
    <bk>
      <extLst>
        <ext uri="{3e2802c4-a4d2-4d8b-9148-e3be6c30e623}">
          <xlrd:rvb i="3476"/>
        </ext>
      </extLst>
    </bk>
    <bk>
      <extLst>
        <ext uri="{3e2802c4-a4d2-4d8b-9148-e3be6c30e623}">
          <xlrd:rvb i="3477"/>
        </ext>
      </extLst>
    </bk>
    <bk>
      <extLst>
        <ext uri="{3e2802c4-a4d2-4d8b-9148-e3be6c30e623}">
          <xlrd:rvb i="3478"/>
        </ext>
      </extLst>
    </bk>
    <bk>
      <extLst>
        <ext uri="{3e2802c4-a4d2-4d8b-9148-e3be6c30e623}">
          <xlrd:rvb i="3479"/>
        </ext>
      </extLst>
    </bk>
    <bk>
      <extLst>
        <ext uri="{3e2802c4-a4d2-4d8b-9148-e3be6c30e623}">
          <xlrd:rvb i="3480"/>
        </ext>
      </extLst>
    </bk>
    <bk>
      <extLst>
        <ext uri="{3e2802c4-a4d2-4d8b-9148-e3be6c30e623}">
          <xlrd:rvb i="3481"/>
        </ext>
      </extLst>
    </bk>
    <bk>
      <extLst>
        <ext uri="{3e2802c4-a4d2-4d8b-9148-e3be6c30e623}">
          <xlrd:rvb i="3482"/>
        </ext>
      </extLst>
    </bk>
    <bk>
      <extLst>
        <ext uri="{3e2802c4-a4d2-4d8b-9148-e3be6c30e623}">
          <xlrd:rvb i="3483"/>
        </ext>
      </extLst>
    </bk>
    <bk>
      <extLst>
        <ext uri="{3e2802c4-a4d2-4d8b-9148-e3be6c30e623}">
          <xlrd:rvb i="3484"/>
        </ext>
      </extLst>
    </bk>
    <bk>
      <extLst>
        <ext uri="{3e2802c4-a4d2-4d8b-9148-e3be6c30e623}">
          <xlrd:rvb i="3485"/>
        </ext>
      </extLst>
    </bk>
    <bk>
      <extLst>
        <ext uri="{3e2802c4-a4d2-4d8b-9148-e3be6c30e623}">
          <xlrd:rvb i="3486"/>
        </ext>
      </extLst>
    </bk>
    <bk>
      <extLst>
        <ext uri="{3e2802c4-a4d2-4d8b-9148-e3be6c30e623}">
          <xlrd:rvb i="3487"/>
        </ext>
      </extLst>
    </bk>
    <bk>
      <extLst>
        <ext uri="{3e2802c4-a4d2-4d8b-9148-e3be6c30e623}">
          <xlrd:rvb i="3488"/>
        </ext>
      </extLst>
    </bk>
    <bk>
      <extLst>
        <ext uri="{3e2802c4-a4d2-4d8b-9148-e3be6c30e623}">
          <xlrd:rvb i="3489"/>
        </ext>
      </extLst>
    </bk>
    <bk>
      <extLst>
        <ext uri="{3e2802c4-a4d2-4d8b-9148-e3be6c30e623}">
          <xlrd:rvb i="3490"/>
        </ext>
      </extLst>
    </bk>
    <bk>
      <extLst>
        <ext uri="{3e2802c4-a4d2-4d8b-9148-e3be6c30e623}">
          <xlrd:rvb i="3491"/>
        </ext>
      </extLst>
    </bk>
    <bk>
      <extLst>
        <ext uri="{3e2802c4-a4d2-4d8b-9148-e3be6c30e623}">
          <xlrd:rvb i="3492"/>
        </ext>
      </extLst>
    </bk>
    <bk>
      <extLst>
        <ext uri="{3e2802c4-a4d2-4d8b-9148-e3be6c30e623}">
          <xlrd:rvb i="3493"/>
        </ext>
      </extLst>
    </bk>
    <bk>
      <extLst>
        <ext uri="{3e2802c4-a4d2-4d8b-9148-e3be6c30e623}">
          <xlrd:rvb i="3494"/>
        </ext>
      </extLst>
    </bk>
    <bk>
      <extLst>
        <ext uri="{3e2802c4-a4d2-4d8b-9148-e3be6c30e623}">
          <xlrd:rvb i="3495"/>
        </ext>
      </extLst>
    </bk>
    <bk>
      <extLst>
        <ext uri="{3e2802c4-a4d2-4d8b-9148-e3be6c30e623}">
          <xlrd:rvb i="3496"/>
        </ext>
      </extLst>
    </bk>
    <bk>
      <extLst>
        <ext uri="{3e2802c4-a4d2-4d8b-9148-e3be6c30e623}">
          <xlrd:rvb i="3497"/>
        </ext>
      </extLst>
    </bk>
    <bk>
      <extLst>
        <ext uri="{3e2802c4-a4d2-4d8b-9148-e3be6c30e623}">
          <xlrd:rvb i="3498"/>
        </ext>
      </extLst>
    </bk>
    <bk>
      <extLst>
        <ext uri="{3e2802c4-a4d2-4d8b-9148-e3be6c30e623}">
          <xlrd:rvb i="3499"/>
        </ext>
      </extLst>
    </bk>
    <bk>
      <extLst>
        <ext uri="{3e2802c4-a4d2-4d8b-9148-e3be6c30e623}">
          <xlrd:rvb i="3500"/>
        </ext>
      </extLst>
    </bk>
    <bk>
      <extLst>
        <ext uri="{3e2802c4-a4d2-4d8b-9148-e3be6c30e623}">
          <xlrd:rvb i="3501"/>
        </ext>
      </extLst>
    </bk>
    <bk>
      <extLst>
        <ext uri="{3e2802c4-a4d2-4d8b-9148-e3be6c30e623}">
          <xlrd:rvb i="3502"/>
        </ext>
      </extLst>
    </bk>
    <bk>
      <extLst>
        <ext uri="{3e2802c4-a4d2-4d8b-9148-e3be6c30e623}">
          <xlrd:rvb i="3503"/>
        </ext>
      </extLst>
    </bk>
    <bk>
      <extLst>
        <ext uri="{3e2802c4-a4d2-4d8b-9148-e3be6c30e623}">
          <xlrd:rvb i="3504"/>
        </ext>
      </extLst>
    </bk>
    <bk>
      <extLst>
        <ext uri="{3e2802c4-a4d2-4d8b-9148-e3be6c30e623}">
          <xlrd:rvb i="3505"/>
        </ext>
      </extLst>
    </bk>
    <bk>
      <extLst>
        <ext uri="{3e2802c4-a4d2-4d8b-9148-e3be6c30e623}">
          <xlrd:rvb i="3506"/>
        </ext>
      </extLst>
    </bk>
    <bk>
      <extLst>
        <ext uri="{3e2802c4-a4d2-4d8b-9148-e3be6c30e623}">
          <xlrd:rvb i="3507"/>
        </ext>
      </extLst>
    </bk>
    <bk>
      <extLst>
        <ext uri="{3e2802c4-a4d2-4d8b-9148-e3be6c30e623}">
          <xlrd:rvb i="3508"/>
        </ext>
      </extLst>
    </bk>
    <bk>
      <extLst>
        <ext uri="{3e2802c4-a4d2-4d8b-9148-e3be6c30e623}">
          <xlrd:rvb i="3509"/>
        </ext>
      </extLst>
    </bk>
    <bk>
      <extLst>
        <ext uri="{3e2802c4-a4d2-4d8b-9148-e3be6c30e623}">
          <xlrd:rvb i="3510"/>
        </ext>
      </extLst>
    </bk>
    <bk>
      <extLst>
        <ext uri="{3e2802c4-a4d2-4d8b-9148-e3be6c30e623}">
          <xlrd:rvb i="3511"/>
        </ext>
      </extLst>
    </bk>
    <bk>
      <extLst>
        <ext uri="{3e2802c4-a4d2-4d8b-9148-e3be6c30e623}">
          <xlrd:rvb i="3512"/>
        </ext>
      </extLst>
    </bk>
    <bk>
      <extLst>
        <ext uri="{3e2802c4-a4d2-4d8b-9148-e3be6c30e623}">
          <xlrd:rvb i="3513"/>
        </ext>
      </extLst>
    </bk>
    <bk>
      <extLst>
        <ext uri="{3e2802c4-a4d2-4d8b-9148-e3be6c30e623}">
          <xlrd:rvb i="3514"/>
        </ext>
      </extLst>
    </bk>
    <bk>
      <extLst>
        <ext uri="{3e2802c4-a4d2-4d8b-9148-e3be6c30e623}">
          <xlrd:rvb i="3515"/>
        </ext>
      </extLst>
    </bk>
    <bk>
      <extLst>
        <ext uri="{3e2802c4-a4d2-4d8b-9148-e3be6c30e623}">
          <xlrd:rvb i="3516"/>
        </ext>
      </extLst>
    </bk>
    <bk>
      <extLst>
        <ext uri="{3e2802c4-a4d2-4d8b-9148-e3be6c30e623}">
          <xlrd:rvb i="3517"/>
        </ext>
      </extLst>
    </bk>
    <bk>
      <extLst>
        <ext uri="{3e2802c4-a4d2-4d8b-9148-e3be6c30e623}">
          <xlrd:rvb i="3518"/>
        </ext>
      </extLst>
    </bk>
    <bk>
      <extLst>
        <ext uri="{3e2802c4-a4d2-4d8b-9148-e3be6c30e623}">
          <xlrd:rvb i="3519"/>
        </ext>
      </extLst>
    </bk>
    <bk>
      <extLst>
        <ext uri="{3e2802c4-a4d2-4d8b-9148-e3be6c30e623}">
          <xlrd:rvb i="3520"/>
        </ext>
      </extLst>
    </bk>
    <bk>
      <extLst>
        <ext uri="{3e2802c4-a4d2-4d8b-9148-e3be6c30e623}">
          <xlrd:rvb i="3521"/>
        </ext>
      </extLst>
    </bk>
    <bk>
      <extLst>
        <ext uri="{3e2802c4-a4d2-4d8b-9148-e3be6c30e623}">
          <xlrd:rvb i="3522"/>
        </ext>
      </extLst>
    </bk>
    <bk>
      <extLst>
        <ext uri="{3e2802c4-a4d2-4d8b-9148-e3be6c30e623}">
          <xlrd:rvb i="3523"/>
        </ext>
      </extLst>
    </bk>
    <bk>
      <extLst>
        <ext uri="{3e2802c4-a4d2-4d8b-9148-e3be6c30e623}">
          <xlrd:rvb i="3524"/>
        </ext>
      </extLst>
    </bk>
    <bk>
      <extLst>
        <ext uri="{3e2802c4-a4d2-4d8b-9148-e3be6c30e623}">
          <xlrd:rvb i="3525"/>
        </ext>
      </extLst>
    </bk>
    <bk>
      <extLst>
        <ext uri="{3e2802c4-a4d2-4d8b-9148-e3be6c30e623}">
          <xlrd:rvb i="3526"/>
        </ext>
      </extLst>
    </bk>
    <bk>
      <extLst>
        <ext uri="{3e2802c4-a4d2-4d8b-9148-e3be6c30e623}">
          <xlrd:rvb i="3527"/>
        </ext>
      </extLst>
    </bk>
    <bk>
      <extLst>
        <ext uri="{3e2802c4-a4d2-4d8b-9148-e3be6c30e623}">
          <xlrd:rvb i="3528"/>
        </ext>
      </extLst>
    </bk>
    <bk>
      <extLst>
        <ext uri="{3e2802c4-a4d2-4d8b-9148-e3be6c30e623}">
          <xlrd:rvb i="3529"/>
        </ext>
      </extLst>
    </bk>
    <bk>
      <extLst>
        <ext uri="{3e2802c4-a4d2-4d8b-9148-e3be6c30e623}">
          <xlrd:rvb i="3530"/>
        </ext>
      </extLst>
    </bk>
    <bk>
      <extLst>
        <ext uri="{3e2802c4-a4d2-4d8b-9148-e3be6c30e623}">
          <xlrd:rvb i="3531"/>
        </ext>
      </extLst>
    </bk>
    <bk>
      <extLst>
        <ext uri="{3e2802c4-a4d2-4d8b-9148-e3be6c30e623}">
          <xlrd:rvb i="3532"/>
        </ext>
      </extLst>
    </bk>
    <bk>
      <extLst>
        <ext uri="{3e2802c4-a4d2-4d8b-9148-e3be6c30e623}">
          <xlrd:rvb i="3533"/>
        </ext>
      </extLst>
    </bk>
    <bk>
      <extLst>
        <ext uri="{3e2802c4-a4d2-4d8b-9148-e3be6c30e623}">
          <xlrd:rvb i="3534"/>
        </ext>
      </extLst>
    </bk>
    <bk>
      <extLst>
        <ext uri="{3e2802c4-a4d2-4d8b-9148-e3be6c30e623}">
          <xlrd:rvb i="3535"/>
        </ext>
      </extLst>
    </bk>
    <bk>
      <extLst>
        <ext uri="{3e2802c4-a4d2-4d8b-9148-e3be6c30e623}">
          <xlrd:rvb i="3536"/>
        </ext>
      </extLst>
    </bk>
    <bk>
      <extLst>
        <ext uri="{3e2802c4-a4d2-4d8b-9148-e3be6c30e623}">
          <xlrd:rvb i="3537"/>
        </ext>
      </extLst>
    </bk>
    <bk>
      <extLst>
        <ext uri="{3e2802c4-a4d2-4d8b-9148-e3be6c30e623}">
          <xlrd:rvb i="3538"/>
        </ext>
      </extLst>
    </bk>
    <bk>
      <extLst>
        <ext uri="{3e2802c4-a4d2-4d8b-9148-e3be6c30e623}">
          <xlrd:rvb i="3539"/>
        </ext>
      </extLst>
    </bk>
    <bk>
      <extLst>
        <ext uri="{3e2802c4-a4d2-4d8b-9148-e3be6c30e623}">
          <xlrd:rvb i="3540"/>
        </ext>
      </extLst>
    </bk>
    <bk>
      <extLst>
        <ext uri="{3e2802c4-a4d2-4d8b-9148-e3be6c30e623}">
          <xlrd:rvb i="3541"/>
        </ext>
      </extLst>
    </bk>
    <bk>
      <extLst>
        <ext uri="{3e2802c4-a4d2-4d8b-9148-e3be6c30e623}">
          <xlrd:rvb i="3542"/>
        </ext>
      </extLst>
    </bk>
    <bk>
      <extLst>
        <ext uri="{3e2802c4-a4d2-4d8b-9148-e3be6c30e623}">
          <xlrd:rvb i="3543"/>
        </ext>
      </extLst>
    </bk>
    <bk>
      <extLst>
        <ext uri="{3e2802c4-a4d2-4d8b-9148-e3be6c30e623}">
          <xlrd:rvb i="3544"/>
        </ext>
      </extLst>
    </bk>
    <bk>
      <extLst>
        <ext uri="{3e2802c4-a4d2-4d8b-9148-e3be6c30e623}">
          <xlrd:rvb i="3545"/>
        </ext>
      </extLst>
    </bk>
    <bk>
      <extLst>
        <ext uri="{3e2802c4-a4d2-4d8b-9148-e3be6c30e623}">
          <xlrd:rvb i="3546"/>
        </ext>
      </extLst>
    </bk>
    <bk>
      <extLst>
        <ext uri="{3e2802c4-a4d2-4d8b-9148-e3be6c30e623}">
          <xlrd:rvb i="3547"/>
        </ext>
      </extLst>
    </bk>
    <bk>
      <extLst>
        <ext uri="{3e2802c4-a4d2-4d8b-9148-e3be6c30e623}">
          <xlrd:rvb i="3548"/>
        </ext>
      </extLst>
    </bk>
    <bk>
      <extLst>
        <ext uri="{3e2802c4-a4d2-4d8b-9148-e3be6c30e623}">
          <xlrd:rvb i="3549"/>
        </ext>
      </extLst>
    </bk>
    <bk>
      <extLst>
        <ext uri="{3e2802c4-a4d2-4d8b-9148-e3be6c30e623}">
          <xlrd:rvb i="3550"/>
        </ext>
      </extLst>
    </bk>
    <bk>
      <extLst>
        <ext uri="{3e2802c4-a4d2-4d8b-9148-e3be6c30e623}">
          <xlrd:rvb i="3551"/>
        </ext>
      </extLst>
    </bk>
    <bk>
      <extLst>
        <ext uri="{3e2802c4-a4d2-4d8b-9148-e3be6c30e623}">
          <xlrd:rvb i="3552"/>
        </ext>
      </extLst>
    </bk>
    <bk>
      <extLst>
        <ext uri="{3e2802c4-a4d2-4d8b-9148-e3be6c30e623}">
          <xlrd:rvb i="3553"/>
        </ext>
      </extLst>
    </bk>
    <bk>
      <extLst>
        <ext uri="{3e2802c4-a4d2-4d8b-9148-e3be6c30e623}">
          <xlrd:rvb i="3554"/>
        </ext>
      </extLst>
    </bk>
    <bk>
      <extLst>
        <ext uri="{3e2802c4-a4d2-4d8b-9148-e3be6c30e623}">
          <xlrd:rvb i="3555"/>
        </ext>
      </extLst>
    </bk>
    <bk>
      <extLst>
        <ext uri="{3e2802c4-a4d2-4d8b-9148-e3be6c30e623}">
          <xlrd:rvb i="3556"/>
        </ext>
      </extLst>
    </bk>
    <bk>
      <extLst>
        <ext uri="{3e2802c4-a4d2-4d8b-9148-e3be6c30e623}">
          <xlrd:rvb i="3557"/>
        </ext>
      </extLst>
    </bk>
    <bk>
      <extLst>
        <ext uri="{3e2802c4-a4d2-4d8b-9148-e3be6c30e623}">
          <xlrd:rvb i="3558"/>
        </ext>
      </extLst>
    </bk>
    <bk>
      <extLst>
        <ext uri="{3e2802c4-a4d2-4d8b-9148-e3be6c30e623}">
          <xlrd:rvb i="3559"/>
        </ext>
      </extLst>
    </bk>
    <bk>
      <extLst>
        <ext uri="{3e2802c4-a4d2-4d8b-9148-e3be6c30e623}">
          <xlrd:rvb i="3560"/>
        </ext>
      </extLst>
    </bk>
    <bk>
      <extLst>
        <ext uri="{3e2802c4-a4d2-4d8b-9148-e3be6c30e623}">
          <xlrd:rvb i="3561"/>
        </ext>
      </extLst>
    </bk>
    <bk>
      <extLst>
        <ext uri="{3e2802c4-a4d2-4d8b-9148-e3be6c30e623}">
          <xlrd:rvb i="3562"/>
        </ext>
      </extLst>
    </bk>
    <bk>
      <extLst>
        <ext uri="{3e2802c4-a4d2-4d8b-9148-e3be6c30e623}">
          <xlrd:rvb i="3563"/>
        </ext>
      </extLst>
    </bk>
    <bk>
      <extLst>
        <ext uri="{3e2802c4-a4d2-4d8b-9148-e3be6c30e623}">
          <xlrd:rvb i="3564"/>
        </ext>
      </extLst>
    </bk>
    <bk>
      <extLst>
        <ext uri="{3e2802c4-a4d2-4d8b-9148-e3be6c30e623}">
          <xlrd:rvb i="3565"/>
        </ext>
      </extLst>
    </bk>
    <bk>
      <extLst>
        <ext uri="{3e2802c4-a4d2-4d8b-9148-e3be6c30e623}">
          <xlrd:rvb i="3566"/>
        </ext>
      </extLst>
    </bk>
    <bk>
      <extLst>
        <ext uri="{3e2802c4-a4d2-4d8b-9148-e3be6c30e623}">
          <xlrd:rvb i="3567"/>
        </ext>
      </extLst>
    </bk>
    <bk>
      <extLst>
        <ext uri="{3e2802c4-a4d2-4d8b-9148-e3be6c30e623}">
          <xlrd:rvb i="3568"/>
        </ext>
      </extLst>
    </bk>
    <bk>
      <extLst>
        <ext uri="{3e2802c4-a4d2-4d8b-9148-e3be6c30e623}">
          <xlrd:rvb i="3569"/>
        </ext>
      </extLst>
    </bk>
    <bk>
      <extLst>
        <ext uri="{3e2802c4-a4d2-4d8b-9148-e3be6c30e623}">
          <xlrd:rvb i="3570"/>
        </ext>
      </extLst>
    </bk>
    <bk>
      <extLst>
        <ext uri="{3e2802c4-a4d2-4d8b-9148-e3be6c30e623}">
          <xlrd:rvb i="3571"/>
        </ext>
      </extLst>
    </bk>
    <bk>
      <extLst>
        <ext uri="{3e2802c4-a4d2-4d8b-9148-e3be6c30e623}">
          <xlrd:rvb i="3572"/>
        </ext>
      </extLst>
    </bk>
    <bk>
      <extLst>
        <ext uri="{3e2802c4-a4d2-4d8b-9148-e3be6c30e623}">
          <xlrd:rvb i="3573"/>
        </ext>
      </extLst>
    </bk>
    <bk>
      <extLst>
        <ext uri="{3e2802c4-a4d2-4d8b-9148-e3be6c30e623}">
          <xlrd:rvb i="3574"/>
        </ext>
      </extLst>
    </bk>
    <bk>
      <extLst>
        <ext uri="{3e2802c4-a4d2-4d8b-9148-e3be6c30e623}">
          <xlrd:rvb i="3575"/>
        </ext>
      </extLst>
    </bk>
    <bk>
      <extLst>
        <ext uri="{3e2802c4-a4d2-4d8b-9148-e3be6c30e623}">
          <xlrd:rvb i="3576"/>
        </ext>
      </extLst>
    </bk>
    <bk>
      <extLst>
        <ext uri="{3e2802c4-a4d2-4d8b-9148-e3be6c30e623}">
          <xlrd:rvb i="3577"/>
        </ext>
      </extLst>
    </bk>
    <bk>
      <extLst>
        <ext uri="{3e2802c4-a4d2-4d8b-9148-e3be6c30e623}">
          <xlrd:rvb i="3578"/>
        </ext>
      </extLst>
    </bk>
    <bk>
      <extLst>
        <ext uri="{3e2802c4-a4d2-4d8b-9148-e3be6c30e623}">
          <xlrd:rvb i="3579"/>
        </ext>
      </extLst>
    </bk>
    <bk>
      <extLst>
        <ext uri="{3e2802c4-a4d2-4d8b-9148-e3be6c30e623}">
          <xlrd:rvb i="3580"/>
        </ext>
      </extLst>
    </bk>
    <bk>
      <extLst>
        <ext uri="{3e2802c4-a4d2-4d8b-9148-e3be6c30e623}">
          <xlrd:rvb i="3581"/>
        </ext>
      </extLst>
    </bk>
    <bk>
      <extLst>
        <ext uri="{3e2802c4-a4d2-4d8b-9148-e3be6c30e623}">
          <xlrd:rvb i="3582"/>
        </ext>
      </extLst>
    </bk>
    <bk>
      <extLst>
        <ext uri="{3e2802c4-a4d2-4d8b-9148-e3be6c30e623}">
          <xlrd:rvb i="3583"/>
        </ext>
      </extLst>
    </bk>
    <bk>
      <extLst>
        <ext uri="{3e2802c4-a4d2-4d8b-9148-e3be6c30e623}">
          <xlrd:rvb i="3584"/>
        </ext>
      </extLst>
    </bk>
    <bk>
      <extLst>
        <ext uri="{3e2802c4-a4d2-4d8b-9148-e3be6c30e623}">
          <xlrd:rvb i="3585"/>
        </ext>
      </extLst>
    </bk>
    <bk>
      <extLst>
        <ext uri="{3e2802c4-a4d2-4d8b-9148-e3be6c30e623}">
          <xlrd:rvb i="3586"/>
        </ext>
      </extLst>
    </bk>
    <bk>
      <extLst>
        <ext uri="{3e2802c4-a4d2-4d8b-9148-e3be6c30e623}">
          <xlrd:rvb i="3587"/>
        </ext>
      </extLst>
    </bk>
    <bk>
      <extLst>
        <ext uri="{3e2802c4-a4d2-4d8b-9148-e3be6c30e623}">
          <xlrd:rvb i="3588"/>
        </ext>
      </extLst>
    </bk>
    <bk>
      <extLst>
        <ext uri="{3e2802c4-a4d2-4d8b-9148-e3be6c30e623}">
          <xlrd:rvb i="3589"/>
        </ext>
      </extLst>
    </bk>
    <bk>
      <extLst>
        <ext uri="{3e2802c4-a4d2-4d8b-9148-e3be6c30e623}">
          <xlrd:rvb i="3590"/>
        </ext>
      </extLst>
    </bk>
    <bk>
      <extLst>
        <ext uri="{3e2802c4-a4d2-4d8b-9148-e3be6c30e623}">
          <xlrd:rvb i="3591"/>
        </ext>
      </extLst>
    </bk>
    <bk>
      <extLst>
        <ext uri="{3e2802c4-a4d2-4d8b-9148-e3be6c30e623}">
          <xlrd:rvb i="3592"/>
        </ext>
      </extLst>
    </bk>
    <bk>
      <extLst>
        <ext uri="{3e2802c4-a4d2-4d8b-9148-e3be6c30e623}">
          <xlrd:rvb i="3593"/>
        </ext>
      </extLst>
    </bk>
    <bk>
      <extLst>
        <ext uri="{3e2802c4-a4d2-4d8b-9148-e3be6c30e623}">
          <xlrd:rvb i="3594"/>
        </ext>
      </extLst>
    </bk>
    <bk>
      <extLst>
        <ext uri="{3e2802c4-a4d2-4d8b-9148-e3be6c30e623}">
          <xlrd:rvb i="3595"/>
        </ext>
      </extLst>
    </bk>
    <bk>
      <extLst>
        <ext uri="{3e2802c4-a4d2-4d8b-9148-e3be6c30e623}">
          <xlrd:rvb i="3596"/>
        </ext>
      </extLst>
    </bk>
    <bk>
      <extLst>
        <ext uri="{3e2802c4-a4d2-4d8b-9148-e3be6c30e623}">
          <xlrd:rvb i="3597"/>
        </ext>
      </extLst>
    </bk>
    <bk>
      <extLst>
        <ext uri="{3e2802c4-a4d2-4d8b-9148-e3be6c30e623}">
          <xlrd:rvb i="3598"/>
        </ext>
      </extLst>
    </bk>
    <bk>
      <extLst>
        <ext uri="{3e2802c4-a4d2-4d8b-9148-e3be6c30e623}">
          <xlrd:rvb i="3599"/>
        </ext>
      </extLst>
    </bk>
    <bk>
      <extLst>
        <ext uri="{3e2802c4-a4d2-4d8b-9148-e3be6c30e623}">
          <xlrd:rvb i="3600"/>
        </ext>
      </extLst>
    </bk>
    <bk>
      <extLst>
        <ext uri="{3e2802c4-a4d2-4d8b-9148-e3be6c30e623}">
          <xlrd:rvb i="3601"/>
        </ext>
      </extLst>
    </bk>
    <bk>
      <extLst>
        <ext uri="{3e2802c4-a4d2-4d8b-9148-e3be6c30e623}">
          <xlrd:rvb i="3602"/>
        </ext>
      </extLst>
    </bk>
    <bk>
      <extLst>
        <ext uri="{3e2802c4-a4d2-4d8b-9148-e3be6c30e623}">
          <xlrd:rvb i="3603"/>
        </ext>
      </extLst>
    </bk>
    <bk>
      <extLst>
        <ext uri="{3e2802c4-a4d2-4d8b-9148-e3be6c30e623}">
          <xlrd:rvb i="3604"/>
        </ext>
      </extLst>
    </bk>
    <bk>
      <extLst>
        <ext uri="{3e2802c4-a4d2-4d8b-9148-e3be6c30e623}">
          <xlrd:rvb i="3605"/>
        </ext>
      </extLst>
    </bk>
    <bk>
      <extLst>
        <ext uri="{3e2802c4-a4d2-4d8b-9148-e3be6c30e623}">
          <xlrd:rvb i="3606"/>
        </ext>
      </extLst>
    </bk>
    <bk>
      <extLst>
        <ext uri="{3e2802c4-a4d2-4d8b-9148-e3be6c30e623}">
          <xlrd:rvb i="3607"/>
        </ext>
      </extLst>
    </bk>
    <bk>
      <extLst>
        <ext uri="{3e2802c4-a4d2-4d8b-9148-e3be6c30e623}">
          <xlrd:rvb i="3608"/>
        </ext>
      </extLst>
    </bk>
    <bk>
      <extLst>
        <ext uri="{3e2802c4-a4d2-4d8b-9148-e3be6c30e623}">
          <xlrd:rvb i="3609"/>
        </ext>
      </extLst>
    </bk>
    <bk>
      <extLst>
        <ext uri="{3e2802c4-a4d2-4d8b-9148-e3be6c30e623}">
          <xlrd:rvb i="3610"/>
        </ext>
      </extLst>
    </bk>
    <bk>
      <extLst>
        <ext uri="{3e2802c4-a4d2-4d8b-9148-e3be6c30e623}">
          <xlrd:rvb i="3611"/>
        </ext>
      </extLst>
    </bk>
    <bk>
      <extLst>
        <ext uri="{3e2802c4-a4d2-4d8b-9148-e3be6c30e623}">
          <xlrd:rvb i="3612"/>
        </ext>
      </extLst>
    </bk>
    <bk>
      <extLst>
        <ext uri="{3e2802c4-a4d2-4d8b-9148-e3be6c30e623}">
          <xlrd:rvb i="3613"/>
        </ext>
      </extLst>
    </bk>
    <bk>
      <extLst>
        <ext uri="{3e2802c4-a4d2-4d8b-9148-e3be6c30e623}">
          <xlrd:rvb i="3614"/>
        </ext>
      </extLst>
    </bk>
    <bk>
      <extLst>
        <ext uri="{3e2802c4-a4d2-4d8b-9148-e3be6c30e623}">
          <xlrd:rvb i="3615"/>
        </ext>
      </extLst>
    </bk>
    <bk>
      <extLst>
        <ext uri="{3e2802c4-a4d2-4d8b-9148-e3be6c30e623}">
          <xlrd:rvb i="3616"/>
        </ext>
      </extLst>
    </bk>
    <bk>
      <extLst>
        <ext uri="{3e2802c4-a4d2-4d8b-9148-e3be6c30e623}">
          <xlrd:rvb i="3617"/>
        </ext>
      </extLst>
    </bk>
    <bk>
      <extLst>
        <ext uri="{3e2802c4-a4d2-4d8b-9148-e3be6c30e623}">
          <xlrd:rvb i="3618"/>
        </ext>
      </extLst>
    </bk>
    <bk>
      <extLst>
        <ext uri="{3e2802c4-a4d2-4d8b-9148-e3be6c30e623}">
          <xlrd:rvb i="3619"/>
        </ext>
      </extLst>
    </bk>
    <bk>
      <extLst>
        <ext uri="{3e2802c4-a4d2-4d8b-9148-e3be6c30e623}">
          <xlrd:rvb i="3620"/>
        </ext>
      </extLst>
    </bk>
    <bk>
      <extLst>
        <ext uri="{3e2802c4-a4d2-4d8b-9148-e3be6c30e623}">
          <xlrd:rvb i="3621"/>
        </ext>
      </extLst>
    </bk>
    <bk>
      <extLst>
        <ext uri="{3e2802c4-a4d2-4d8b-9148-e3be6c30e623}">
          <xlrd:rvb i="3622"/>
        </ext>
      </extLst>
    </bk>
    <bk>
      <extLst>
        <ext uri="{3e2802c4-a4d2-4d8b-9148-e3be6c30e623}">
          <xlrd:rvb i="3623"/>
        </ext>
      </extLst>
    </bk>
    <bk>
      <extLst>
        <ext uri="{3e2802c4-a4d2-4d8b-9148-e3be6c30e623}">
          <xlrd:rvb i="3624"/>
        </ext>
      </extLst>
    </bk>
    <bk>
      <extLst>
        <ext uri="{3e2802c4-a4d2-4d8b-9148-e3be6c30e623}">
          <xlrd:rvb i="3625"/>
        </ext>
      </extLst>
    </bk>
    <bk>
      <extLst>
        <ext uri="{3e2802c4-a4d2-4d8b-9148-e3be6c30e623}">
          <xlrd:rvb i="3626"/>
        </ext>
      </extLst>
    </bk>
    <bk>
      <extLst>
        <ext uri="{3e2802c4-a4d2-4d8b-9148-e3be6c30e623}">
          <xlrd:rvb i="3627"/>
        </ext>
      </extLst>
    </bk>
    <bk>
      <extLst>
        <ext uri="{3e2802c4-a4d2-4d8b-9148-e3be6c30e623}">
          <xlrd:rvb i="3628"/>
        </ext>
      </extLst>
    </bk>
    <bk>
      <extLst>
        <ext uri="{3e2802c4-a4d2-4d8b-9148-e3be6c30e623}">
          <xlrd:rvb i="3629"/>
        </ext>
      </extLst>
    </bk>
    <bk>
      <extLst>
        <ext uri="{3e2802c4-a4d2-4d8b-9148-e3be6c30e623}">
          <xlrd:rvb i="3630"/>
        </ext>
      </extLst>
    </bk>
    <bk>
      <extLst>
        <ext uri="{3e2802c4-a4d2-4d8b-9148-e3be6c30e623}">
          <xlrd:rvb i="3631"/>
        </ext>
      </extLst>
    </bk>
    <bk>
      <extLst>
        <ext uri="{3e2802c4-a4d2-4d8b-9148-e3be6c30e623}">
          <xlrd:rvb i="3632"/>
        </ext>
      </extLst>
    </bk>
    <bk>
      <extLst>
        <ext uri="{3e2802c4-a4d2-4d8b-9148-e3be6c30e623}">
          <xlrd:rvb i="3633"/>
        </ext>
      </extLst>
    </bk>
    <bk>
      <extLst>
        <ext uri="{3e2802c4-a4d2-4d8b-9148-e3be6c30e623}">
          <xlrd:rvb i="3634"/>
        </ext>
      </extLst>
    </bk>
    <bk>
      <extLst>
        <ext uri="{3e2802c4-a4d2-4d8b-9148-e3be6c30e623}">
          <xlrd:rvb i="3635"/>
        </ext>
      </extLst>
    </bk>
    <bk>
      <extLst>
        <ext uri="{3e2802c4-a4d2-4d8b-9148-e3be6c30e623}">
          <xlrd:rvb i="3636"/>
        </ext>
      </extLst>
    </bk>
    <bk>
      <extLst>
        <ext uri="{3e2802c4-a4d2-4d8b-9148-e3be6c30e623}">
          <xlrd:rvb i="3637"/>
        </ext>
      </extLst>
    </bk>
    <bk>
      <extLst>
        <ext uri="{3e2802c4-a4d2-4d8b-9148-e3be6c30e623}">
          <xlrd:rvb i="3638"/>
        </ext>
      </extLst>
    </bk>
    <bk>
      <extLst>
        <ext uri="{3e2802c4-a4d2-4d8b-9148-e3be6c30e623}">
          <xlrd:rvb i="3639"/>
        </ext>
      </extLst>
    </bk>
    <bk>
      <extLst>
        <ext uri="{3e2802c4-a4d2-4d8b-9148-e3be6c30e623}">
          <xlrd:rvb i="3640"/>
        </ext>
      </extLst>
    </bk>
    <bk>
      <extLst>
        <ext uri="{3e2802c4-a4d2-4d8b-9148-e3be6c30e623}">
          <xlrd:rvb i="3641"/>
        </ext>
      </extLst>
    </bk>
    <bk>
      <extLst>
        <ext uri="{3e2802c4-a4d2-4d8b-9148-e3be6c30e623}">
          <xlrd:rvb i="3642"/>
        </ext>
      </extLst>
    </bk>
    <bk>
      <extLst>
        <ext uri="{3e2802c4-a4d2-4d8b-9148-e3be6c30e623}">
          <xlrd:rvb i="3643"/>
        </ext>
      </extLst>
    </bk>
    <bk>
      <extLst>
        <ext uri="{3e2802c4-a4d2-4d8b-9148-e3be6c30e623}">
          <xlrd:rvb i="3644"/>
        </ext>
      </extLst>
    </bk>
    <bk>
      <extLst>
        <ext uri="{3e2802c4-a4d2-4d8b-9148-e3be6c30e623}">
          <xlrd:rvb i="3645"/>
        </ext>
      </extLst>
    </bk>
    <bk>
      <extLst>
        <ext uri="{3e2802c4-a4d2-4d8b-9148-e3be6c30e623}">
          <xlrd:rvb i="3646"/>
        </ext>
      </extLst>
    </bk>
    <bk>
      <extLst>
        <ext uri="{3e2802c4-a4d2-4d8b-9148-e3be6c30e623}">
          <xlrd:rvb i="3647"/>
        </ext>
      </extLst>
    </bk>
    <bk>
      <extLst>
        <ext uri="{3e2802c4-a4d2-4d8b-9148-e3be6c30e623}">
          <xlrd:rvb i="3648"/>
        </ext>
      </extLst>
    </bk>
    <bk>
      <extLst>
        <ext uri="{3e2802c4-a4d2-4d8b-9148-e3be6c30e623}">
          <xlrd:rvb i="3649"/>
        </ext>
      </extLst>
    </bk>
    <bk>
      <extLst>
        <ext uri="{3e2802c4-a4d2-4d8b-9148-e3be6c30e623}">
          <xlrd:rvb i="3650"/>
        </ext>
      </extLst>
    </bk>
    <bk>
      <extLst>
        <ext uri="{3e2802c4-a4d2-4d8b-9148-e3be6c30e623}">
          <xlrd:rvb i="3651"/>
        </ext>
      </extLst>
    </bk>
    <bk>
      <extLst>
        <ext uri="{3e2802c4-a4d2-4d8b-9148-e3be6c30e623}">
          <xlrd:rvb i="3652"/>
        </ext>
      </extLst>
    </bk>
    <bk>
      <extLst>
        <ext uri="{3e2802c4-a4d2-4d8b-9148-e3be6c30e623}">
          <xlrd:rvb i="3653"/>
        </ext>
      </extLst>
    </bk>
    <bk>
      <extLst>
        <ext uri="{3e2802c4-a4d2-4d8b-9148-e3be6c30e623}">
          <xlrd:rvb i="3654"/>
        </ext>
      </extLst>
    </bk>
    <bk>
      <extLst>
        <ext uri="{3e2802c4-a4d2-4d8b-9148-e3be6c30e623}">
          <xlrd:rvb i="3655"/>
        </ext>
      </extLst>
    </bk>
    <bk>
      <extLst>
        <ext uri="{3e2802c4-a4d2-4d8b-9148-e3be6c30e623}">
          <xlrd:rvb i="3656"/>
        </ext>
      </extLst>
    </bk>
    <bk>
      <extLst>
        <ext uri="{3e2802c4-a4d2-4d8b-9148-e3be6c30e623}">
          <xlrd:rvb i="3657"/>
        </ext>
      </extLst>
    </bk>
    <bk>
      <extLst>
        <ext uri="{3e2802c4-a4d2-4d8b-9148-e3be6c30e623}">
          <xlrd:rvb i="3658"/>
        </ext>
      </extLst>
    </bk>
    <bk>
      <extLst>
        <ext uri="{3e2802c4-a4d2-4d8b-9148-e3be6c30e623}">
          <xlrd:rvb i="3659"/>
        </ext>
      </extLst>
    </bk>
    <bk>
      <extLst>
        <ext uri="{3e2802c4-a4d2-4d8b-9148-e3be6c30e623}">
          <xlrd:rvb i="3660"/>
        </ext>
      </extLst>
    </bk>
    <bk>
      <extLst>
        <ext uri="{3e2802c4-a4d2-4d8b-9148-e3be6c30e623}">
          <xlrd:rvb i="3661"/>
        </ext>
      </extLst>
    </bk>
    <bk>
      <extLst>
        <ext uri="{3e2802c4-a4d2-4d8b-9148-e3be6c30e623}">
          <xlrd:rvb i="3662"/>
        </ext>
      </extLst>
    </bk>
    <bk>
      <extLst>
        <ext uri="{3e2802c4-a4d2-4d8b-9148-e3be6c30e623}">
          <xlrd:rvb i="3663"/>
        </ext>
      </extLst>
    </bk>
    <bk>
      <extLst>
        <ext uri="{3e2802c4-a4d2-4d8b-9148-e3be6c30e623}">
          <xlrd:rvb i="3664"/>
        </ext>
      </extLst>
    </bk>
    <bk>
      <extLst>
        <ext uri="{3e2802c4-a4d2-4d8b-9148-e3be6c30e623}">
          <xlrd:rvb i="3665"/>
        </ext>
      </extLst>
    </bk>
    <bk>
      <extLst>
        <ext uri="{3e2802c4-a4d2-4d8b-9148-e3be6c30e623}">
          <xlrd:rvb i="3666"/>
        </ext>
      </extLst>
    </bk>
    <bk>
      <extLst>
        <ext uri="{3e2802c4-a4d2-4d8b-9148-e3be6c30e623}">
          <xlrd:rvb i="3667"/>
        </ext>
      </extLst>
    </bk>
    <bk>
      <extLst>
        <ext uri="{3e2802c4-a4d2-4d8b-9148-e3be6c30e623}">
          <xlrd:rvb i="3668"/>
        </ext>
      </extLst>
    </bk>
    <bk>
      <extLst>
        <ext uri="{3e2802c4-a4d2-4d8b-9148-e3be6c30e623}">
          <xlrd:rvb i="3669"/>
        </ext>
      </extLst>
    </bk>
    <bk>
      <extLst>
        <ext uri="{3e2802c4-a4d2-4d8b-9148-e3be6c30e623}">
          <xlrd:rvb i="3670"/>
        </ext>
      </extLst>
    </bk>
    <bk>
      <extLst>
        <ext uri="{3e2802c4-a4d2-4d8b-9148-e3be6c30e623}">
          <xlrd:rvb i="3671"/>
        </ext>
      </extLst>
    </bk>
    <bk>
      <extLst>
        <ext uri="{3e2802c4-a4d2-4d8b-9148-e3be6c30e623}">
          <xlrd:rvb i="3672"/>
        </ext>
      </extLst>
    </bk>
    <bk>
      <extLst>
        <ext uri="{3e2802c4-a4d2-4d8b-9148-e3be6c30e623}">
          <xlrd:rvb i="3673"/>
        </ext>
      </extLst>
    </bk>
    <bk>
      <extLst>
        <ext uri="{3e2802c4-a4d2-4d8b-9148-e3be6c30e623}">
          <xlrd:rvb i="3674"/>
        </ext>
      </extLst>
    </bk>
    <bk>
      <extLst>
        <ext uri="{3e2802c4-a4d2-4d8b-9148-e3be6c30e623}">
          <xlrd:rvb i="3675"/>
        </ext>
      </extLst>
    </bk>
    <bk>
      <extLst>
        <ext uri="{3e2802c4-a4d2-4d8b-9148-e3be6c30e623}">
          <xlrd:rvb i="3676"/>
        </ext>
      </extLst>
    </bk>
    <bk>
      <extLst>
        <ext uri="{3e2802c4-a4d2-4d8b-9148-e3be6c30e623}">
          <xlrd:rvb i="3677"/>
        </ext>
      </extLst>
    </bk>
    <bk>
      <extLst>
        <ext uri="{3e2802c4-a4d2-4d8b-9148-e3be6c30e623}">
          <xlrd:rvb i="3678"/>
        </ext>
      </extLst>
    </bk>
    <bk>
      <extLst>
        <ext uri="{3e2802c4-a4d2-4d8b-9148-e3be6c30e623}">
          <xlrd:rvb i="3679"/>
        </ext>
      </extLst>
    </bk>
    <bk>
      <extLst>
        <ext uri="{3e2802c4-a4d2-4d8b-9148-e3be6c30e623}">
          <xlrd:rvb i="3680"/>
        </ext>
      </extLst>
    </bk>
    <bk>
      <extLst>
        <ext uri="{3e2802c4-a4d2-4d8b-9148-e3be6c30e623}">
          <xlrd:rvb i="3681"/>
        </ext>
      </extLst>
    </bk>
    <bk>
      <extLst>
        <ext uri="{3e2802c4-a4d2-4d8b-9148-e3be6c30e623}">
          <xlrd:rvb i="3682"/>
        </ext>
      </extLst>
    </bk>
    <bk>
      <extLst>
        <ext uri="{3e2802c4-a4d2-4d8b-9148-e3be6c30e623}">
          <xlrd:rvb i="3683"/>
        </ext>
      </extLst>
    </bk>
    <bk>
      <extLst>
        <ext uri="{3e2802c4-a4d2-4d8b-9148-e3be6c30e623}">
          <xlrd:rvb i="3684"/>
        </ext>
      </extLst>
    </bk>
    <bk>
      <extLst>
        <ext uri="{3e2802c4-a4d2-4d8b-9148-e3be6c30e623}">
          <xlrd:rvb i="3685"/>
        </ext>
      </extLst>
    </bk>
    <bk>
      <extLst>
        <ext uri="{3e2802c4-a4d2-4d8b-9148-e3be6c30e623}">
          <xlrd:rvb i="3686"/>
        </ext>
      </extLst>
    </bk>
    <bk>
      <extLst>
        <ext uri="{3e2802c4-a4d2-4d8b-9148-e3be6c30e623}">
          <xlrd:rvb i="3687"/>
        </ext>
      </extLst>
    </bk>
    <bk>
      <extLst>
        <ext uri="{3e2802c4-a4d2-4d8b-9148-e3be6c30e623}">
          <xlrd:rvb i="3688"/>
        </ext>
      </extLst>
    </bk>
    <bk>
      <extLst>
        <ext uri="{3e2802c4-a4d2-4d8b-9148-e3be6c30e623}">
          <xlrd:rvb i="3689"/>
        </ext>
      </extLst>
    </bk>
    <bk>
      <extLst>
        <ext uri="{3e2802c4-a4d2-4d8b-9148-e3be6c30e623}">
          <xlrd:rvb i="3690"/>
        </ext>
      </extLst>
    </bk>
    <bk>
      <extLst>
        <ext uri="{3e2802c4-a4d2-4d8b-9148-e3be6c30e623}">
          <xlrd:rvb i="3691"/>
        </ext>
      </extLst>
    </bk>
    <bk>
      <extLst>
        <ext uri="{3e2802c4-a4d2-4d8b-9148-e3be6c30e623}">
          <xlrd:rvb i="3692"/>
        </ext>
      </extLst>
    </bk>
    <bk>
      <extLst>
        <ext uri="{3e2802c4-a4d2-4d8b-9148-e3be6c30e623}">
          <xlrd:rvb i="3693"/>
        </ext>
      </extLst>
    </bk>
    <bk>
      <extLst>
        <ext uri="{3e2802c4-a4d2-4d8b-9148-e3be6c30e623}">
          <xlrd:rvb i="3694"/>
        </ext>
      </extLst>
    </bk>
    <bk>
      <extLst>
        <ext uri="{3e2802c4-a4d2-4d8b-9148-e3be6c30e623}">
          <xlrd:rvb i="3695"/>
        </ext>
      </extLst>
    </bk>
    <bk>
      <extLst>
        <ext uri="{3e2802c4-a4d2-4d8b-9148-e3be6c30e623}">
          <xlrd:rvb i="3696"/>
        </ext>
      </extLst>
    </bk>
    <bk>
      <extLst>
        <ext uri="{3e2802c4-a4d2-4d8b-9148-e3be6c30e623}">
          <xlrd:rvb i="3697"/>
        </ext>
      </extLst>
    </bk>
    <bk>
      <extLst>
        <ext uri="{3e2802c4-a4d2-4d8b-9148-e3be6c30e623}">
          <xlrd:rvb i="3698"/>
        </ext>
      </extLst>
    </bk>
    <bk>
      <extLst>
        <ext uri="{3e2802c4-a4d2-4d8b-9148-e3be6c30e623}">
          <xlrd:rvb i="3699"/>
        </ext>
      </extLst>
    </bk>
    <bk>
      <extLst>
        <ext uri="{3e2802c4-a4d2-4d8b-9148-e3be6c30e623}">
          <xlrd:rvb i="3700"/>
        </ext>
      </extLst>
    </bk>
    <bk>
      <extLst>
        <ext uri="{3e2802c4-a4d2-4d8b-9148-e3be6c30e623}">
          <xlrd:rvb i="3701"/>
        </ext>
      </extLst>
    </bk>
    <bk>
      <extLst>
        <ext uri="{3e2802c4-a4d2-4d8b-9148-e3be6c30e623}">
          <xlrd:rvb i="3702"/>
        </ext>
      </extLst>
    </bk>
    <bk>
      <extLst>
        <ext uri="{3e2802c4-a4d2-4d8b-9148-e3be6c30e623}">
          <xlrd:rvb i="3703"/>
        </ext>
      </extLst>
    </bk>
    <bk>
      <extLst>
        <ext uri="{3e2802c4-a4d2-4d8b-9148-e3be6c30e623}">
          <xlrd:rvb i="3704"/>
        </ext>
      </extLst>
    </bk>
    <bk>
      <extLst>
        <ext uri="{3e2802c4-a4d2-4d8b-9148-e3be6c30e623}">
          <xlrd:rvb i="3705"/>
        </ext>
      </extLst>
    </bk>
    <bk>
      <extLst>
        <ext uri="{3e2802c4-a4d2-4d8b-9148-e3be6c30e623}">
          <xlrd:rvb i="3706"/>
        </ext>
      </extLst>
    </bk>
    <bk>
      <extLst>
        <ext uri="{3e2802c4-a4d2-4d8b-9148-e3be6c30e623}">
          <xlrd:rvb i="3707"/>
        </ext>
      </extLst>
    </bk>
    <bk>
      <extLst>
        <ext uri="{3e2802c4-a4d2-4d8b-9148-e3be6c30e623}">
          <xlrd:rvb i="3708"/>
        </ext>
      </extLst>
    </bk>
    <bk>
      <extLst>
        <ext uri="{3e2802c4-a4d2-4d8b-9148-e3be6c30e623}">
          <xlrd:rvb i="3709"/>
        </ext>
      </extLst>
    </bk>
    <bk>
      <extLst>
        <ext uri="{3e2802c4-a4d2-4d8b-9148-e3be6c30e623}">
          <xlrd:rvb i="3710"/>
        </ext>
      </extLst>
    </bk>
    <bk>
      <extLst>
        <ext uri="{3e2802c4-a4d2-4d8b-9148-e3be6c30e623}">
          <xlrd:rvb i="3711"/>
        </ext>
      </extLst>
    </bk>
    <bk>
      <extLst>
        <ext uri="{3e2802c4-a4d2-4d8b-9148-e3be6c30e623}">
          <xlrd:rvb i="3712"/>
        </ext>
      </extLst>
    </bk>
    <bk>
      <extLst>
        <ext uri="{3e2802c4-a4d2-4d8b-9148-e3be6c30e623}">
          <xlrd:rvb i="3713"/>
        </ext>
      </extLst>
    </bk>
    <bk>
      <extLst>
        <ext uri="{3e2802c4-a4d2-4d8b-9148-e3be6c30e623}">
          <xlrd:rvb i="3714"/>
        </ext>
      </extLst>
    </bk>
    <bk>
      <extLst>
        <ext uri="{3e2802c4-a4d2-4d8b-9148-e3be6c30e623}">
          <xlrd:rvb i="3715"/>
        </ext>
      </extLst>
    </bk>
    <bk>
      <extLst>
        <ext uri="{3e2802c4-a4d2-4d8b-9148-e3be6c30e623}">
          <xlrd:rvb i="3716"/>
        </ext>
      </extLst>
    </bk>
    <bk>
      <extLst>
        <ext uri="{3e2802c4-a4d2-4d8b-9148-e3be6c30e623}">
          <xlrd:rvb i="3717"/>
        </ext>
      </extLst>
    </bk>
    <bk>
      <extLst>
        <ext uri="{3e2802c4-a4d2-4d8b-9148-e3be6c30e623}">
          <xlrd:rvb i="3718"/>
        </ext>
      </extLst>
    </bk>
    <bk>
      <extLst>
        <ext uri="{3e2802c4-a4d2-4d8b-9148-e3be6c30e623}">
          <xlrd:rvb i="3719"/>
        </ext>
      </extLst>
    </bk>
    <bk>
      <extLst>
        <ext uri="{3e2802c4-a4d2-4d8b-9148-e3be6c30e623}">
          <xlrd:rvb i="3720"/>
        </ext>
      </extLst>
    </bk>
    <bk>
      <extLst>
        <ext uri="{3e2802c4-a4d2-4d8b-9148-e3be6c30e623}">
          <xlrd:rvb i="3721"/>
        </ext>
      </extLst>
    </bk>
    <bk>
      <extLst>
        <ext uri="{3e2802c4-a4d2-4d8b-9148-e3be6c30e623}">
          <xlrd:rvb i="3722"/>
        </ext>
      </extLst>
    </bk>
    <bk>
      <extLst>
        <ext uri="{3e2802c4-a4d2-4d8b-9148-e3be6c30e623}">
          <xlrd:rvb i="3723"/>
        </ext>
      </extLst>
    </bk>
    <bk>
      <extLst>
        <ext uri="{3e2802c4-a4d2-4d8b-9148-e3be6c30e623}">
          <xlrd:rvb i="3724"/>
        </ext>
      </extLst>
    </bk>
    <bk>
      <extLst>
        <ext uri="{3e2802c4-a4d2-4d8b-9148-e3be6c30e623}">
          <xlrd:rvb i="3725"/>
        </ext>
      </extLst>
    </bk>
    <bk>
      <extLst>
        <ext uri="{3e2802c4-a4d2-4d8b-9148-e3be6c30e623}">
          <xlrd:rvb i="3726"/>
        </ext>
      </extLst>
    </bk>
    <bk>
      <extLst>
        <ext uri="{3e2802c4-a4d2-4d8b-9148-e3be6c30e623}">
          <xlrd:rvb i="3727"/>
        </ext>
      </extLst>
    </bk>
    <bk>
      <extLst>
        <ext uri="{3e2802c4-a4d2-4d8b-9148-e3be6c30e623}">
          <xlrd:rvb i="3728"/>
        </ext>
      </extLst>
    </bk>
    <bk>
      <extLst>
        <ext uri="{3e2802c4-a4d2-4d8b-9148-e3be6c30e623}">
          <xlrd:rvb i="3729"/>
        </ext>
      </extLst>
    </bk>
    <bk>
      <extLst>
        <ext uri="{3e2802c4-a4d2-4d8b-9148-e3be6c30e623}">
          <xlrd:rvb i="3730"/>
        </ext>
      </extLst>
    </bk>
    <bk>
      <extLst>
        <ext uri="{3e2802c4-a4d2-4d8b-9148-e3be6c30e623}">
          <xlrd:rvb i="3731"/>
        </ext>
      </extLst>
    </bk>
    <bk>
      <extLst>
        <ext uri="{3e2802c4-a4d2-4d8b-9148-e3be6c30e623}">
          <xlrd:rvb i="3732"/>
        </ext>
      </extLst>
    </bk>
    <bk>
      <extLst>
        <ext uri="{3e2802c4-a4d2-4d8b-9148-e3be6c30e623}">
          <xlrd:rvb i="3733"/>
        </ext>
      </extLst>
    </bk>
    <bk>
      <extLst>
        <ext uri="{3e2802c4-a4d2-4d8b-9148-e3be6c30e623}">
          <xlrd:rvb i="3734"/>
        </ext>
      </extLst>
    </bk>
    <bk>
      <extLst>
        <ext uri="{3e2802c4-a4d2-4d8b-9148-e3be6c30e623}">
          <xlrd:rvb i="3735"/>
        </ext>
      </extLst>
    </bk>
    <bk>
      <extLst>
        <ext uri="{3e2802c4-a4d2-4d8b-9148-e3be6c30e623}">
          <xlrd:rvb i="3736"/>
        </ext>
      </extLst>
    </bk>
    <bk>
      <extLst>
        <ext uri="{3e2802c4-a4d2-4d8b-9148-e3be6c30e623}">
          <xlrd:rvb i="3737"/>
        </ext>
      </extLst>
    </bk>
    <bk>
      <extLst>
        <ext uri="{3e2802c4-a4d2-4d8b-9148-e3be6c30e623}">
          <xlrd:rvb i="3738"/>
        </ext>
      </extLst>
    </bk>
    <bk>
      <extLst>
        <ext uri="{3e2802c4-a4d2-4d8b-9148-e3be6c30e623}">
          <xlrd:rvb i="3739"/>
        </ext>
      </extLst>
    </bk>
    <bk>
      <extLst>
        <ext uri="{3e2802c4-a4d2-4d8b-9148-e3be6c30e623}">
          <xlrd:rvb i="3740"/>
        </ext>
      </extLst>
    </bk>
    <bk>
      <extLst>
        <ext uri="{3e2802c4-a4d2-4d8b-9148-e3be6c30e623}">
          <xlrd:rvb i="3741"/>
        </ext>
      </extLst>
    </bk>
    <bk>
      <extLst>
        <ext uri="{3e2802c4-a4d2-4d8b-9148-e3be6c30e623}">
          <xlrd:rvb i="3742"/>
        </ext>
      </extLst>
    </bk>
    <bk>
      <extLst>
        <ext uri="{3e2802c4-a4d2-4d8b-9148-e3be6c30e623}">
          <xlrd:rvb i="3743"/>
        </ext>
      </extLst>
    </bk>
    <bk>
      <extLst>
        <ext uri="{3e2802c4-a4d2-4d8b-9148-e3be6c30e623}">
          <xlrd:rvb i="3744"/>
        </ext>
      </extLst>
    </bk>
    <bk>
      <extLst>
        <ext uri="{3e2802c4-a4d2-4d8b-9148-e3be6c30e623}">
          <xlrd:rvb i="3745"/>
        </ext>
      </extLst>
    </bk>
    <bk>
      <extLst>
        <ext uri="{3e2802c4-a4d2-4d8b-9148-e3be6c30e623}">
          <xlrd:rvb i="3746"/>
        </ext>
      </extLst>
    </bk>
    <bk>
      <extLst>
        <ext uri="{3e2802c4-a4d2-4d8b-9148-e3be6c30e623}">
          <xlrd:rvb i="3747"/>
        </ext>
      </extLst>
    </bk>
    <bk>
      <extLst>
        <ext uri="{3e2802c4-a4d2-4d8b-9148-e3be6c30e623}">
          <xlrd:rvb i="3748"/>
        </ext>
      </extLst>
    </bk>
    <bk>
      <extLst>
        <ext uri="{3e2802c4-a4d2-4d8b-9148-e3be6c30e623}">
          <xlrd:rvb i="3749"/>
        </ext>
      </extLst>
    </bk>
    <bk>
      <extLst>
        <ext uri="{3e2802c4-a4d2-4d8b-9148-e3be6c30e623}">
          <xlrd:rvb i="3750"/>
        </ext>
      </extLst>
    </bk>
    <bk>
      <extLst>
        <ext uri="{3e2802c4-a4d2-4d8b-9148-e3be6c30e623}">
          <xlrd:rvb i="3751"/>
        </ext>
      </extLst>
    </bk>
    <bk>
      <extLst>
        <ext uri="{3e2802c4-a4d2-4d8b-9148-e3be6c30e623}">
          <xlrd:rvb i="3752"/>
        </ext>
      </extLst>
    </bk>
    <bk>
      <extLst>
        <ext uri="{3e2802c4-a4d2-4d8b-9148-e3be6c30e623}">
          <xlrd:rvb i="3753"/>
        </ext>
      </extLst>
    </bk>
    <bk>
      <extLst>
        <ext uri="{3e2802c4-a4d2-4d8b-9148-e3be6c30e623}">
          <xlrd:rvb i="3754"/>
        </ext>
      </extLst>
    </bk>
    <bk>
      <extLst>
        <ext uri="{3e2802c4-a4d2-4d8b-9148-e3be6c30e623}">
          <xlrd:rvb i="3755"/>
        </ext>
      </extLst>
    </bk>
    <bk>
      <extLst>
        <ext uri="{3e2802c4-a4d2-4d8b-9148-e3be6c30e623}">
          <xlrd:rvb i="3756"/>
        </ext>
      </extLst>
    </bk>
    <bk>
      <extLst>
        <ext uri="{3e2802c4-a4d2-4d8b-9148-e3be6c30e623}">
          <xlrd:rvb i="3757"/>
        </ext>
      </extLst>
    </bk>
    <bk>
      <extLst>
        <ext uri="{3e2802c4-a4d2-4d8b-9148-e3be6c30e623}">
          <xlrd:rvb i="3758"/>
        </ext>
      </extLst>
    </bk>
    <bk>
      <extLst>
        <ext uri="{3e2802c4-a4d2-4d8b-9148-e3be6c30e623}">
          <xlrd:rvb i="3759"/>
        </ext>
      </extLst>
    </bk>
    <bk>
      <extLst>
        <ext uri="{3e2802c4-a4d2-4d8b-9148-e3be6c30e623}">
          <xlrd:rvb i="3760"/>
        </ext>
      </extLst>
    </bk>
    <bk>
      <extLst>
        <ext uri="{3e2802c4-a4d2-4d8b-9148-e3be6c30e623}">
          <xlrd:rvb i="3761"/>
        </ext>
      </extLst>
    </bk>
    <bk>
      <extLst>
        <ext uri="{3e2802c4-a4d2-4d8b-9148-e3be6c30e623}">
          <xlrd:rvb i="3762"/>
        </ext>
      </extLst>
    </bk>
    <bk>
      <extLst>
        <ext uri="{3e2802c4-a4d2-4d8b-9148-e3be6c30e623}">
          <xlrd:rvb i="3763"/>
        </ext>
      </extLst>
    </bk>
    <bk>
      <extLst>
        <ext uri="{3e2802c4-a4d2-4d8b-9148-e3be6c30e623}">
          <xlrd:rvb i="3764"/>
        </ext>
      </extLst>
    </bk>
    <bk>
      <extLst>
        <ext uri="{3e2802c4-a4d2-4d8b-9148-e3be6c30e623}">
          <xlrd:rvb i="3765"/>
        </ext>
      </extLst>
    </bk>
    <bk>
      <extLst>
        <ext uri="{3e2802c4-a4d2-4d8b-9148-e3be6c30e623}">
          <xlrd:rvb i="3766"/>
        </ext>
      </extLst>
    </bk>
    <bk>
      <extLst>
        <ext uri="{3e2802c4-a4d2-4d8b-9148-e3be6c30e623}">
          <xlrd:rvb i="3767"/>
        </ext>
      </extLst>
    </bk>
    <bk>
      <extLst>
        <ext uri="{3e2802c4-a4d2-4d8b-9148-e3be6c30e623}">
          <xlrd:rvb i="3768"/>
        </ext>
      </extLst>
    </bk>
    <bk>
      <extLst>
        <ext uri="{3e2802c4-a4d2-4d8b-9148-e3be6c30e623}">
          <xlrd:rvb i="3769"/>
        </ext>
      </extLst>
    </bk>
    <bk>
      <extLst>
        <ext uri="{3e2802c4-a4d2-4d8b-9148-e3be6c30e623}">
          <xlrd:rvb i="3770"/>
        </ext>
      </extLst>
    </bk>
    <bk>
      <extLst>
        <ext uri="{3e2802c4-a4d2-4d8b-9148-e3be6c30e623}">
          <xlrd:rvb i="3771"/>
        </ext>
      </extLst>
    </bk>
    <bk>
      <extLst>
        <ext uri="{3e2802c4-a4d2-4d8b-9148-e3be6c30e623}">
          <xlrd:rvb i="3772"/>
        </ext>
      </extLst>
    </bk>
    <bk>
      <extLst>
        <ext uri="{3e2802c4-a4d2-4d8b-9148-e3be6c30e623}">
          <xlrd:rvb i="3773"/>
        </ext>
      </extLst>
    </bk>
    <bk>
      <extLst>
        <ext uri="{3e2802c4-a4d2-4d8b-9148-e3be6c30e623}">
          <xlrd:rvb i="3774"/>
        </ext>
      </extLst>
    </bk>
    <bk>
      <extLst>
        <ext uri="{3e2802c4-a4d2-4d8b-9148-e3be6c30e623}">
          <xlrd:rvb i="3775"/>
        </ext>
      </extLst>
    </bk>
    <bk>
      <extLst>
        <ext uri="{3e2802c4-a4d2-4d8b-9148-e3be6c30e623}">
          <xlrd:rvb i="3776"/>
        </ext>
      </extLst>
    </bk>
    <bk>
      <extLst>
        <ext uri="{3e2802c4-a4d2-4d8b-9148-e3be6c30e623}">
          <xlrd:rvb i="3777"/>
        </ext>
      </extLst>
    </bk>
    <bk>
      <extLst>
        <ext uri="{3e2802c4-a4d2-4d8b-9148-e3be6c30e623}">
          <xlrd:rvb i="3778"/>
        </ext>
      </extLst>
    </bk>
    <bk>
      <extLst>
        <ext uri="{3e2802c4-a4d2-4d8b-9148-e3be6c30e623}">
          <xlrd:rvb i="3779"/>
        </ext>
      </extLst>
    </bk>
    <bk>
      <extLst>
        <ext uri="{3e2802c4-a4d2-4d8b-9148-e3be6c30e623}">
          <xlrd:rvb i="3780"/>
        </ext>
      </extLst>
    </bk>
    <bk>
      <extLst>
        <ext uri="{3e2802c4-a4d2-4d8b-9148-e3be6c30e623}">
          <xlrd:rvb i="3781"/>
        </ext>
      </extLst>
    </bk>
    <bk>
      <extLst>
        <ext uri="{3e2802c4-a4d2-4d8b-9148-e3be6c30e623}">
          <xlrd:rvb i="3782"/>
        </ext>
      </extLst>
    </bk>
    <bk>
      <extLst>
        <ext uri="{3e2802c4-a4d2-4d8b-9148-e3be6c30e623}">
          <xlrd:rvb i="3783"/>
        </ext>
      </extLst>
    </bk>
    <bk>
      <extLst>
        <ext uri="{3e2802c4-a4d2-4d8b-9148-e3be6c30e623}">
          <xlrd:rvb i="3784"/>
        </ext>
      </extLst>
    </bk>
    <bk>
      <extLst>
        <ext uri="{3e2802c4-a4d2-4d8b-9148-e3be6c30e623}">
          <xlrd:rvb i="3785"/>
        </ext>
      </extLst>
    </bk>
    <bk>
      <extLst>
        <ext uri="{3e2802c4-a4d2-4d8b-9148-e3be6c30e623}">
          <xlrd:rvb i="3786"/>
        </ext>
      </extLst>
    </bk>
    <bk>
      <extLst>
        <ext uri="{3e2802c4-a4d2-4d8b-9148-e3be6c30e623}">
          <xlrd:rvb i="3787"/>
        </ext>
      </extLst>
    </bk>
    <bk>
      <extLst>
        <ext uri="{3e2802c4-a4d2-4d8b-9148-e3be6c30e623}">
          <xlrd:rvb i="3788"/>
        </ext>
      </extLst>
    </bk>
    <bk>
      <extLst>
        <ext uri="{3e2802c4-a4d2-4d8b-9148-e3be6c30e623}">
          <xlrd:rvb i="3789"/>
        </ext>
      </extLst>
    </bk>
    <bk>
      <extLst>
        <ext uri="{3e2802c4-a4d2-4d8b-9148-e3be6c30e623}">
          <xlrd:rvb i="3790"/>
        </ext>
      </extLst>
    </bk>
    <bk>
      <extLst>
        <ext uri="{3e2802c4-a4d2-4d8b-9148-e3be6c30e623}">
          <xlrd:rvb i="3791"/>
        </ext>
      </extLst>
    </bk>
    <bk>
      <extLst>
        <ext uri="{3e2802c4-a4d2-4d8b-9148-e3be6c30e623}">
          <xlrd:rvb i="3792"/>
        </ext>
      </extLst>
    </bk>
    <bk>
      <extLst>
        <ext uri="{3e2802c4-a4d2-4d8b-9148-e3be6c30e623}">
          <xlrd:rvb i="3793"/>
        </ext>
      </extLst>
    </bk>
    <bk>
      <extLst>
        <ext uri="{3e2802c4-a4d2-4d8b-9148-e3be6c30e623}">
          <xlrd:rvb i="3794"/>
        </ext>
      </extLst>
    </bk>
    <bk>
      <extLst>
        <ext uri="{3e2802c4-a4d2-4d8b-9148-e3be6c30e623}">
          <xlrd:rvb i="3795"/>
        </ext>
      </extLst>
    </bk>
    <bk>
      <extLst>
        <ext uri="{3e2802c4-a4d2-4d8b-9148-e3be6c30e623}">
          <xlrd:rvb i="3796"/>
        </ext>
      </extLst>
    </bk>
    <bk>
      <extLst>
        <ext uri="{3e2802c4-a4d2-4d8b-9148-e3be6c30e623}">
          <xlrd:rvb i="3797"/>
        </ext>
      </extLst>
    </bk>
    <bk>
      <extLst>
        <ext uri="{3e2802c4-a4d2-4d8b-9148-e3be6c30e623}">
          <xlrd:rvb i="3798"/>
        </ext>
      </extLst>
    </bk>
    <bk>
      <extLst>
        <ext uri="{3e2802c4-a4d2-4d8b-9148-e3be6c30e623}">
          <xlrd:rvb i="3799"/>
        </ext>
      </extLst>
    </bk>
    <bk>
      <extLst>
        <ext uri="{3e2802c4-a4d2-4d8b-9148-e3be6c30e623}">
          <xlrd:rvb i="3800"/>
        </ext>
      </extLst>
    </bk>
    <bk>
      <extLst>
        <ext uri="{3e2802c4-a4d2-4d8b-9148-e3be6c30e623}">
          <xlrd:rvb i="3801"/>
        </ext>
      </extLst>
    </bk>
    <bk>
      <extLst>
        <ext uri="{3e2802c4-a4d2-4d8b-9148-e3be6c30e623}">
          <xlrd:rvb i="3802"/>
        </ext>
      </extLst>
    </bk>
    <bk>
      <extLst>
        <ext uri="{3e2802c4-a4d2-4d8b-9148-e3be6c30e623}">
          <xlrd:rvb i="3803"/>
        </ext>
      </extLst>
    </bk>
    <bk>
      <extLst>
        <ext uri="{3e2802c4-a4d2-4d8b-9148-e3be6c30e623}">
          <xlrd:rvb i="3804"/>
        </ext>
      </extLst>
    </bk>
    <bk>
      <extLst>
        <ext uri="{3e2802c4-a4d2-4d8b-9148-e3be6c30e623}">
          <xlrd:rvb i="3805"/>
        </ext>
      </extLst>
    </bk>
    <bk>
      <extLst>
        <ext uri="{3e2802c4-a4d2-4d8b-9148-e3be6c30e623}">
          <xlrd:rvb i="3806"/>
        </ext>
      </extLst>
    </bk>
    <bk>
      <extLst>
        <ext uri="{3e2802c4-a4d2-4d8b-9148-e3be6c30e623}">
          <xlrd:rvb i="3807"/>
        </ext>
      </extLst>
    </bk>
    <bk>
      <extLst>
        <ext uri="{3e2802c4-a4d2-4d8b-9148-e3be6c30e623}">
          <xlrd:rvb i="3808"/>
        </ext>
      </extLst>
    </bk>
    <bk>
      <extLst>
        <ext uri="{3e2802c4-a4d2-4d8b-9148-e3be6c30e623}">
          <xlrd:rvb i="3809"/>
        </ext>
      </extLst>
    </bk>
    <bk>
      <extLst>
        <ext uri="{3e2802c4-a4d2-4d8b-9148-e3be6c30e623}">
          <xlrd:rvb i="3810"/>
        </ext>
      </extLst>
    </bk>
    <bk>
      <extLst>
        <ext uri="{3e2802c4-a4d2-4d8b-9148-e3be6c30e623}">
          <xlrd:rvb i="3811"/>
        </ext>
      </extLst>
    </bk>
    <bk>
      <extLst>
        <ext uri="{3e2802c4-a4d2-4d8b-9148-e3be6c30e623}">
          <xlrd:rvb i="3812"/>
        </ext>
      </extLst>
    </bk>
    <bk>
      <extLst>
        <ext uri="{3e2802c4-a4d2-4d8b-9148-e3be6c30e623}">
          <xlrd:rvb i="3813"/>
        </ext>
      </extLst>
    </bk>
    <bk>
      <extLst>
        <ext uri="{3e2802c4-a4d2-4d8b-9148-e3be6c30e623}">
          <xlrd:rvb i="3814"/>
        </ext>
      </extLst>
    </bk>
    <bk>
      <extLst>
        <ext uri="{3e2802c4-a4d2-4d8b-9148-e3be6c30e623}">
          <xlrd:rvb i="3815"/>
        </ext>
      </extLst>
    </bk>
    <bk>
      <extLst>
        <ext uri="{3e2802c4-a4d2-4d8b-9148-e3be6c30e623}">
          <xlrd:rvb i="3816"/>
        </ext>
      </extLst>
    </bk>
    <bk>
      <extLst>
        <ext uri="{3e2802c4-a4d2-4d8b-9148-e3be6c30e623}">
          <xlrd:rvb i="3817"/>
        </ext>
      </extLst>
    </bk>
    <bk>
      <extLst>
        <ext uri="{3e2802c4-a4d2-4d8b-9148-e3be6c30e623}">
          <xlrd:rvb i="3818"/>
        </ext>
      </extLst>
    </bk>
    <bk>
      <extLst>
        <ext uri="{3e2802c4-a4d2-4d8b-9148-e3be6c30e623}">
          <xlrd:rvb i="3819"/>
        </ext>
      </extLst>
    </bk>
    <bk>
      <extLst>
        <ext uri="{3e2802c4-a4d2-4d8b-9148-e3be6c30e623}">
          <xlrd:rvb i="3820"/>
        </ext>
      </extLst>
    </bk>
    <bk>
      <extLst>
        <ext uri="{3e2802c4-a4d2-4d8b-9148-e3be6c30e623}">
          <xlrd:rvb i="3821"/>
        </ext>
      </extLst>
    </bk>
    <bk>
      <extLst>
        <ext uri="{3e2802c4-a4d2-4d8b-9148-e3be6c30e623}">
          <xlrd:rvb i="3822"/>
        </ext>
      </extLst>
    </bk>
    <bk>
      <extLst>
        <ext uri="{3e2802c4-a4d2-4d8b-9148-e3be6c30e623}">
          <xlrd:rvb i="3823"/>
        </ext>
      </extLst>
    </bk>
    <bk>
      <extLst>
        <ext uri="{3e2802c4-a4d2-4d8b-9148-e3be6c30e623}">
          <xlrd:rvb i="3824"/>
        </ext>
      </extLst>
    </bk>
    <bk>
      <extLst>
        <ext uri="{3e2802c4-a4d2-4d8b-9148-e3be6c30e623}">
          <xlrd:rvb i="3825"/>
        </ext>
      </extLst>
    </bk>
    <bk>
      <extLst>
        <ext uri="{3e2802c4-a4d2-4d8b-9148-e3be6c30e623}">
          <xlrd:rvb i="3826"/>
        </ext>
      </extLst>
    </bk>
    <bk>
      <extLst>
        <ext uri="{3e2802c4-a4d2-4d8b-9148-e3be6c30e623}">
          <xlrd:rvb i="3827"/>
        </ext>
      </extLst>
    </bk>
    <bk>
      <extLst>
        <ext uri="{3e2802c4-a4d2-4d8b-9148-e3be6c30e623}">
          <xlrd:rvb i="3828"/>
        </ext>
      </extLst>
    </bk>
    <bk>
      <extLst>
        <ext uri="{3e2802c4-a4d2-4d8b-9148-e3be6c30e623}">
          <xlrd:rvb i="3829"/>
        </ext>
      </extLst>
    </bk>
    <bk>
      <extLst>
        <ext uri="{3e2802c4-a4d2-4d8b-9148-e3be6c30e623}">
          <xlrd:rvb i="3830"/>
        </ext>
      </extLst>
    </bk>
    <bk>
      <extLst>
        <ext uri="{3e2802c4-a4d2-4d8b-9148-e3be6c30e623}">
          <xlrd:rvb i="3831"/>
        </ext>
      </extLst>
    </bk>
    <bk>
      <extLst>
        <ext uri="{3e2802c4-a4d2-4d8b-9148-e3be6c30e623}">
          <xlrd:rvb i="3832"/>
        </ext>
      </extLst>
    </bk>
    <bk>
      <extLst>
        <ext uri="{3e2802c4-a4d2-4d8b-9148-e3be6c30e623}">
          <xlrd:rvb i="3833"/>
        </ext>
      </extLst>
    </bk>
    <bk>
      <extLst>
        <ext uri="{3e2802c4-a4d2-4d8b-9148-e3be6c30e623}">
          <xlrd:rvb i="3834"/>
        </ext>
      </extLst>
    </bk>
    <bk>
      <extLst>
        <ext uri="{3e2802c4-a4d2-4d8b-9148-e3be6c30e623}">
          <xlrd:rvb i="3835"/>
        </ext>
      </extLst>
    </bk>
    <bk>
      <extLst>
        <ext uri="{3e2802c4-a4d2-4d8b-9148-e3be6c30e623}">
          <xlrd:rvb i="3836"/>
        </ext>
      </extLst>
    </bk>
    <bk>
      <extLst>
        <ext uri="{3e2802c4-a4d2-4d8b-9148-e3be6c30e623}">
          <xlrd:rvb i="3837"/>
        </ext>
      </extLst>
    </bk>
    <bk>
      <extLst>
        <ext uri="{3e2802c4-a4d2-4d8b-9148-e3be6c30e623}">
          <xlrd:rvb i="3838"/>
        </ext>
      </extLst>
    </bk>
    <bk>
      <extLst>
        <ext uri="{3e2802c4-a4d2-4d8b-9148-e3be6c30e623}">
          <xlrd:rvb i="3839"/>
        </ext>
      </extLst>
    </bk>
    <bk>
      <extLst>
        <ext uri="{3e2802c4-a4d2-4d8b-9148-e3be6c30e623}">
          <xlrd:rvb i="3840"/>
        </ext>
      </extLst>
    </bk>
    <bk>
      <extLst>
        <ext uri="{3e2802c4-a4d2-4d8b-9148-e3be6c30e623}">
          <xlrd:rvb i="3841"/>
        </ext>
      </extLst>
    </bk>
    <bk>
      <extLst>
        <ext uri="{3e2802c4-a4d2-4d8b-9148-e3be6c30e623}">
          <xlrd:rvb i="3842"/>
        </ext>
      </extLst>
    </bk>
    <bk>
      <extLst>
        <ext uri="{3e2802c4-a4d2-4d8b-9148-e3be6c30e623}">
          <xlrd:rvb i="3843"/>
        </ext>
      </extLst>
    </bk>
    <bk>
      <extLst>
        <ext uri="{3e2802c4-a4d2-4d8b-9148-e3be6c30e623}">
          <xlrd:rvb i="3844"/>
        </ext>
      </extLst>
    </bk>
    <bk>
      <extLst>
        <ext uri="{3e2802c4-a4d2-4d8b-9148-e3be6c30e623}">
          <xlrd:rvb i="3845"/>
        </ext>
      </extLst>
    </bk>
    <bk>
      <extLst>
        <ext uri="{3e2802c4-a4d2-4d8b-9148-e3be6c30e623}">
          <xlrd:rvb i="3846"/>
        </ext>
      </extLst>
    </bk>
    <bk>
      <extLst>
        <ext uri="{3e2802c4-a4d2-4d8b-9148-e3be6c30e623}">
          <xlrd:rvb i="3847"/>
        </ext>
      </extLst>
    </bk>
    <bk>
      <extLst>
        <ext uri="{3e2802c4-a4d2-4d8b-9148-e3be6c30e623}">
          <xlrd:rvb i="3848"/>
        </ext>
      </extLst>
    </bk>
    <bk>
      <extLst>
        <ext uri="{3e2802c4-a4d2-4d8b-9148-e3be6c30e623}">
          <xlrd:rvb i="3849"/>
        </ext>
      </extLst>
    </bk>
    <bk>
      <extLst>
        <ext uri="{3e2802c4-a4d2-4d8b-9148-e3be6c30e623}">
          <xlrd:rvb i="3850"/>
        </ext>
      </extLst>
    </bk>
    <bk>
      <extLst>
        <ext uri="{3e2802c4-a4d2-4d8b-9148-e3be6c30e623}">
          <xlrd:rvb i="3851"/>
        </ext>
      </extLst>
    </bk>
    <bk>
      <extLst>
        <ext uri="{3e2802c4-a4d2-4d8b-9148-e3be6c30e623}">
          <xlrd:rvb i="3852"/>
        </ext>
      </extLst>
    </bk>
    <bk>
      <extLst>
        <ext uri="{3e2802c4-a4d2-4d8b-9148-e3be6c30e623}">
          <xlrd:rvb i="3853"/>
        </ext>
      </extLst>
    </bk>
    <bk>
      <extLst>
        <ext uri="{3e2802c4-a4d2-4d8b-9148-e3be6c30e623}">
          <xlrd:rvb i="3854"/>
        </ext>
      </extLst>
    </bk>
    <bk>
      <extLst>
        <ext uri="{3e2802c4-a4d2-4d8b-9148-e3be6c30e623}">
          <xlrd:rvb i="3855"/>
        </ext>
      </extLst>
    </bk>
    <bk>
      <extLst>
        <ext uri="{3e2802c4-a4d2-4d8b-9148-e3be6c30e623}">
          <xlrd:rvb i="3856"/>
        </ext>
      </extLst>
    </bk>
    <bk>
      <extLst>
        <ext uri="{3e2802c4-a4d2-4d8b-9148-e3be6c30e623}">
          <xlrd:rvb i="3857"/>
        </ext>
      </extLst>
    </bk>
    <bk>
      <extLst>
        <ext uri="{3e2802c4-a4d2-4d8b-9148-e3be6c30e623}">
          <xlrd:rvb i="3858"/>
        </ext>
      </extLst>
    </bk>
    <bk>
      <extLst>
        <ext uri="{3e2802c4-a4d2-4d8b-9148-e3be6c30e623}">
          <xlrd:rvb i="3859"/>
        </ext>
      </extLst>
    </bk>
    <bk>
      <extLst>
        <ext uri="{3e2802c4-a4d2-4d8b-9148-e3be6c30e623}">
          <xlrd:rvb i="3860"/>
        </ext>
      </extLst>
    </bk>
    <bk>
      <extLst>
        <ext uri="{3e2802c4-a4d2-4d8b-9148-e3be6c30e623}">
          <xlrd:rvb i="3861"/>
        </ext>
      </extLst>
    </bk>
    <bk>
      <extLst>
        <ext uri="{3e2802c4-a4d2-4d8b-9148-e3be6c30e623}">
          <xlrd:rvb i="3862"/>
        </ext>
      </extLst>
    </bk>
    <bk>
      <extLst>
        <ext uri="{3e2802c4-a4d2-4d8b-9148-e3be6c30e623}">
          <xlrd:rvb i="3863"/>
        </ext>
      </extLst>
    </bk>
    <bk>
      <extLst>
        <ext uri="{3e2802c4-a4d2-4d8b-9148-e3be6c30e623}">
          <xlrd:rvb i="3864"/>
        </ext>
      </extLst>
    </bk>
    <bk>
      <extLst>
        <ext uri="{3e2802c4-a4d2-4d8b-9148-e3be6c30e623}">
          <xlrd:rvb i="3865"/>
        </ext>
      </extLst>
    </bk>
    <bk>
      <extLst>
        <ext uri="{3e2802c4-a4d2-4d8b-9148-e3be6c30e623}">
          <xlrd:rvb i="3866"/>
        </ext>
      </extLst>
    </bk>
    <bk>
      <extLst>
        <ext uri="{3e2802c4-a4d2-4d8b-9148-e3be6c30e623}">
          <xlrd:rvb i="3867"/>
        </ext>
      </extLst>
    </bk>
    <bk>
      <extLst>
        <ext uri="{3e2802c4-a4d2-4d8b-9148-e3be6c30e623}">
          <xlrd:rvb i="3868"/>
        </ext>
      </extLst>
    </bk>
    <bk>
      <extLst>
        <ext uri="{3e2802c4-a4d2-4d8b-9148-e3be6c30e623}">
          <xlrd:rvb i="3869"/>
        </ext>
      </extLst>
    </bk>
    <bk>
      <extLst>
        <ext uri="{3e2802c4-a4d2-4d8b-9148-e3be6c30e623}">
          <xlrd:rvb i="3870"/>
        </ext>
      </extLst>
    </bk>
    <bk>
      <extLst>
        <ext uri="{3e2802c4-a4d2-4d8b-9148-e3be6c30e623}">
          <xlrd:rvb i="3871"/>
        </ext>
      </extLst>
    </bk>
    <bk>
      <extLst>
        <ext uri="{3e2802c4-a4d2-4d8b-9148-e3be6c30e623}">
          <xlrd:rvb i="3872"/>
        </ext>
      </extLst>
    </bk>
    <bk>
      <extLst>
        <ext uri="{3e2802c4-a4d2-4d8b-9148-e3be6c30e623}">
          <xlrd:rvb i="3873"/>
        </ext>
      </extLst>
    </bk>
    <bk>
      <extLst>
        <ext uri="{3e2802c4-a4d2-4d8b-9148-e3be6c30e623}">
          <xlrd:rvb i="3874"/>
        </ext>
      </extLst>
    </bk>
    <bk>
      <extLst>
        <ext uri="{3e2802c4-a4d2-4d8b-9148-e3be6c30e623}">
          <xlrd:rvb i="3875"/>
        </ext>
      </extLst>
    </bk>
    <bk>
      <extLst>
        <ext uri="{3e2802c4-a4d2-4d8b-9148-e3be6c30e623}">
          <xlrd:rvb i="3876"/>
        </ext>
      </extLst>
    </bk>
    <bk>
      <extLst>
        <ext uri="{3e2802c4-a4d2-4d8b-9148-e3be6c30e623}">
          <xlrd:rvb i="3877"/>
        </ext>
      </extLst>
    </bk>
    <bk>
      <extLst>
        <ext uri="{3e2802c4-a4d2-4d8b-9148-e3be6c30e623}">
          <xlrd:rvb i="3878"/>
        </ext>
      </extLst>
    </bk>
    <bk>
      <extLst>
        <ext uri="{3e2802c4-a4d2-4d8b-9148-e3be6c30e623}">
          <xlrd:rvb i="3879"/>
        </ext>
      </extLst>
    </bk>
    <bk>
      <extLst>
        <ext uri="{3e2802c4-a4d2-4d8b-9148-e3be6c30e623}">
          <xlrd:rvb i="3880"/>
        </ext>
      </extLst>
    </bk>
    <bk>
      <extLst>
        <ext uri="{3e2802c4-a4d2-4d8b-9148-e3be6c30e623}">
          <xlrd:rvb i="3881"/>
        </ext>
      </extLst>
    </bk>
    <bk>
      <extLst>
        <ext uri="{3e2802c4-a4d2-4d8b-9148-e3be6c30e623}">
          <xlrd:rvb i="3882"/>
        </ext>
      </extLst>
    </bk>
    <bk>
      <extLst>
        <ext uri="{3e2802c4-a4d2-4d8b-9148-e3be6c30e623}">
          <xlrd:rvb i="3883"/>
        </ext>
      </extLst>
    </bk>
    <bk>
      <extLst>
        <ext uri="{3e2802c4-a4d2-4d8b-9148-e3be6c30e623}">
          <xlrd:rvb i="3884"/>
        </ext>
      </extLst>
    </bk>
    <bk>
      <extLst>
        <ext uri="{3e2802c4-a4d2-4d8b-9148-e3be6c30e623}">
          <xlrd:rvb i="3885"/>
        </ext>
      </extLst>
    </bk>
    <bk>
      <extLst>
        <ext uri="{3e2802c4-a4d2-4d8b-9148-e3be6c30e623}">
          <xlrd:rvb i="3886"/>
        </ext>
      </extLst>
    </bk>
    <bk>
      <extLst>
        <ext uri="{3e2802c4-a4d2-4d8b-9148-e3be6c30e623}">
          <xlrd:rvb i="3887"/>
        </ext>
      </extLst>
    </bk>
    <bk>
      <extLst>
        <ext uri="{3e2802c4-a4d2-4d8b-9148-e3be6c30e623}">
          <xlrd:rvb i="3888"/>
        </ext>
      </extLst>
    </bk>
    <bk>
      <extLst>
        <ext uri="{3e2802c4-a4d2-4d8b-9148-e3be6c30e623}">
          <xlrd:rvb i="3889"/>
        </ext>
      </extLst>
    </bk>
    <bk>
      <extLst>
        <ext uri="{3e2802c4-a4d2-4d8b-9148-e3be6c30e623}">
          <xlrd:rvb i="3890"/>
        </ext>
      </extLst>
    </bk>
    <bk>
      <extLst>
        <ext uri="{3e2802c4-a4d2-4d8b-9148-e3be6c30e623}">
          <xlrd:rvb i="3891"/>
        </ext>
      </extLst>
    </bk>
    <bk>
      <extLst>
        <ext uri="{3e2802c4-a4d2-4d8b-9148-e3be6c30e623}">
          <xlrd:rvb i="3892"/>
        </ext>
      </extLst>
    </bk>
    <bk>
      <extLst>
        <ext uri="{3e2802c4-a4d2-4d8b-9148-e3be6c30e623}">
          <xlrd:rvb i="3893"/>
        </ext>
      </extLst>
    </bk>
    <bk>
      <extLst>
        <ext uri="{3e2802c4-a4d2-4d8b-9148-e3be6c30e623}">
          <xlrd:rvb i="3894"/>
        </ext>
      </extLst>
    </bk>
    <bk>
      <extLst>
        <ext uri="{3e2802c4-a4d2-4d8b-9148-e3be6c30e623}">
          <xlrd:rvb i="3895"/>
        </ext>
      </extLst>
    </bk>
    <bk>
      <extLst>
        <ext uri="{3e2802c4-a4d2-4d8b-9148-e3be6c30e623}">
          <xlrd:rvb i="3896"/>
        </ext>
      </extLst>
    </bk>
    <bk>
      <extLst>
        <ext uri="{3e2802c4-a4d2-4d8b-9148-e3be6c30e623}">
          <xlrd:rvb i="3897"/>
        </ext>
      </extLst>
    </bk>
    <bk>
      <extLst>
        <ext uri="{3e2802c4-a4d2-4d8b-9148-e3be6c30e623}">
          <xlrd:rvb i="3898"/>
        </ext>
      </extLst>
    </bk>
    <bk>
      <extLst>
        <ext uri="{3e2802c4-a4d2-4d8b-9148-e3be6c30e623}">
          <xlrd:rvb i="3899"/>
        </ext>
      </extLst>
    </bk>
    <bk>
      <extLst>
        <ext uri="{3e2802c4-a4d2-4d8b-9148-e3be6c30e623}">
          <xlrd:rvb i="3900"/>
        </ext>
      </extLst>
    </bk>
    <bk>
      <extLst>
        <ext uri="{3e2802c4-a4d2-4d8b-9148-e3be6c30e623}">
          <xlrd:rvb i="3901"/>
        </ext>
      </extLst>
    </bk>
    <bk>
      <extLst>
        <ext uri="{3e2802c4-a4d2-4d8b-9148-e3be6c30e623}">
          <xlrd:rvb i="3902"/>
        </ext>
      </extLst>
    </bk>
    <bk>
      <extLst>
        <ext uri="{3e2802c4-a4d2-4d8b-9148-e3be6c30e623}">
          <xlrd:rvb i="3903"/>
        </ext>
      </extLst>
    </bk>
    <bk>
      <extLst>
        <ext uri="{3e2802c4-a4d2-4d8b-9148-e3be6c30e623}">
          <xlrd:rvb i="3904"/>
        </ext>
      </extLst>
    </bk>
    <bk>
      <extLst>
        <ext uri="{3e2802c4-a4d2-4d8b-9148-e3be6c30e623}">
          <xlrd:rvb i="3905"/>
        </ext>
      </extLst>
    </bk>
    <bk>
      <extLst>
        <ext uri="{3e2802c4-a4d2-4d8b-9148-e3be6c30e623}">
          <xlrd:rvb i="3906"/>
        </ext>
      </extLst>
    </bk>
    <bk>
      <extLst>
        <ext uri="{3e2802c4-a4d2-4d8b-9148-e3be6c30e623}">
          <xlrd:rvb i="3907"/>
        </ext>
      </extLst>
    </bk>
    <bk>
      <extLst>
        <ext uri="{3e2802c4-a4d2-4d8b-9148-e3be6c30e623}">
          <xlrd:rvb i="3908"/>
        </ext>
      </extLst>
    </bk>
    <bk>
      <extLst>
        <ext uri="{3e2802c4-a4d2-4d8b-9148-e3be6c30e623}">
          <xlrd:rvb i="3909"/>
        </ext>
      </extLst>
    </bk>
    <bk>
      <extLst>
        <ext uri="{3e2802c4-a4d2-4d8b-9148-e3be6c30e623}">
          <xlrd:rvb i="3910"/>
        </ext>
      </extLst>
    </bk>
    <bk>
      <extLst>
        <ext uri="{3e2802c4-a4d2-4d8b-9148-e3be6c30e623}">
          <xlrd:rvb i="3911"/>
        </ext>
      </extLst>
    </bk>
    <bk>
      <extLst>
        <ext uri="{3e2802c4-a4d2-4d8b-9148-e3be6c30e623}">
          <xlrd:rvb i="3912"/>
        </ext>
      </extLst>
    </bk>
    <bk>
      <extLst>
        <ext uri="{3e2802c4-a4d2-4d8b-9148-e3be6c30e623}">
          <xlrd:rvb i="3913"/>
        </ext>
      </extLst>
    </bk>
    <bk>
      <extLst>
        <ext uri="{3e2802c4-a4d2-4d8b-9148-e3be6c30e623}">
          <xlrd:rvb i="3914"/>
        </ext>
      </extLst>
    </bk>
    <bk>
      <extLst>
        <ext uri="{3e2802c4-a4d2-4d8b-9148-e3be6c30e623}">
          <xlrd:rvb i="3915"/>
        </ext>
      </extLst>
    </bk>
    <bk>
      <extLst>
        <ext uri="{3e2802c4-a4d2-4d8b-9148-e3be6c30e623}">
          <xlrd:rvb i="3916"/>
        </ext>
      </extLst>
    </bk>
    <bk>
      <extLst>
        <ext uri="{3e2802c4-a4d2-4d8b-9148-e3be6c30e623}">
          <xlrd:rvb i="3917"/>
        </ext>
      </extLst>
    </bk>
    <bk>
      <extLst>
        <ext uri="{3e2802c4-a4d2-4d8b-9148-e3be6c30e623}">
          <xlrd:rvb i="3918"/>
        </ext>
      </extLst>
    </bk>
    <bk>
      <extLst>
        <ext uri="{3e2802c4-a4d2-4d8b-9148-e3be6c30e623}">
          <xlrd:rvb i="3919"/>
        </ext>
      </extLst>
    </bk>
    <bk>
      <extLst>
        <ext uri="{3e2802c4-a4d2-4d8b-9148-e3be6c30e623}">
          <xlrd:rvb i="3920"/>
        </ext>
      </extLst>
    </bk>
    <bk>
      <extLst>
        <ext uri="{3e2802c4-a4d2-4d8b-9148-e3be6c30e623}">
          <xlrd:rvb i="3921"/>
        </ext>
      </extLst>
    </bk>
    <bk>
      <extLst>
        <ext uri="{3e2802c4-a4d2-4d8b-9148-e3be6c30e623}">
          <xlrd:rvb i="3922"/>
        </ext>
      </extLst>
    </bk>
    <bk>
      <extLst>
        <ext uri="{3e2802c4-a4d2-4d8b-9148-e3be6c30e623}">
          <xlrd:rvb i="3923"/>
        </ext>
      </extLst>
    </bk>
    <bk>
      <extLst>
        <ext uri="{3e2802c4-a4d2-4d8b-9148-e3be6c30e623}">
          <xlrd:rvb i="3924"/>
        </ext>
      </extLst>
    </bk>
    <bk>
      <extLst>
        <ext uri="{3e2802c4-a4d2-4d8b-9148-e3be6c30e623}">
          <xlrd:rvb i="3925"/>
        </ext>
      </extLst>
    </bk>
    <bk>
      <extLst>
        <ext uri="{3e2802c4-a4d2-4d8b-9148-e3be6c30e623}">
          <xlrd:rvb i="3926"/>
        </ext>
      </extLst>
    </bk>
    <bk>
      <extLst>
        <ext uri="{3e2802c4-a4d2-4d8b-9148-e3be6c30e623}">
          <xlrd:rvb i="3927"/>
        </ext>
      </extLst>
    </bk>
    <bk>
      <extLst>
        <ext uri="{3e2802c4-a4d2-4d8b-9148-e3be6c30e623}">
          <xlrd:rvb i="3928"/>
        </ext>
      </extLst>
    </bk>
    <bk>
      <extLst>
        <ext uri="{3e2802c4-a4d2-4d8b-9148-e3be6c30e623}">
          <xlrd:rvb i="3929"/>
        </ext>
      </extLst>
    </bk>
    <bk>
      <extLst>
        <ext uri="{3e2802c4-a4d2-4d8b-9148-e3be6c30e623}">
          <xlrd:rvb i="3930"/>
        </ext>
      </extLst>
    </bk>
    <bk>
      <extLst>
        <ext uri="{3e2802c4-a4d2-4d8b-9148-e3be6c30e623}">
          <xlrd:rvb i="3931"/>
        </ext>
      </extLst>
    </bk>
    <bk>
      <extLst>
        <ext uri="{3e2802c4-a4d2-4d8b-9148-e3be6c30e623}">
          <xlrd:rvb i="3932"/>
        </ext>
      </extLst>
    </bk>
    <bk>
      <extLst>
        <ext uri="{3e2802c4-a4d2-4d8b-9148-e3be6c30e623}">
          <xlrd:rvb i="3933"/>
        </ext>
      </extLst>
    </bk>
    <bk>
      <extLst>
        <ext uri="{3e2802c4-a4d2-4d8b-9148-e3be6c30e623}">
          <xlrd:rvb i="3934"/>
        </ext>
      </extLst>
    </bk>
    <bk>
      <extLst>
        <ext uri="{3e2802c4-a4d2-4d8b-9148-e3be6c30e623}">
          <xlrd:rvb i="3935"/>
        </ext>
      </extLst>
    </bk>
    <bk>
      <extLst>
        <ext uri="{3e2802c4-a4d2-4d8b-9148-e3be6c30e623}">
          <xlrd:rvb i="3936"/>
        </ext>
      </extLst>
    </bk>
    <bk>
      <extLst>
        <ext uri="{3e2802c4-a4d2-4d8b-9148-e3be6c30e623}">
          <xlrd:rvb i="3937"/>
        </ext>
      </extLst>
    </bk>
    <bk>
      <extLst>
        <ext uri="{3e2802c4-a4d2-4d8b-9148-e3be6c30e623}">
          <xlrd:rvb i="3938"/>
        </ext>
      </extLst>
    </bk>
    <bk>
      <extLst>
        <ext uri="{3e2802c4-a4d2-4d8b-9148-e3be6c30e623}">
          <xlrd:rvb i="3939"/>
        </ext>
      </extLst>
    </bk>
    <bk>
      <extLst>
        <ext uri="{3e2802c4-a4d2-4d8b-9148-e3be6c30e623}">
          <xlrd:rvb i="3940"/>
        </ext>
      </extLst>
    </bk>
    <bk>
      <extLst>
        <ext uri="{3e2802c4-a4d2-4d8b-9148-e3be6c30e623}">
          <xlrd:rvb i="3941"/>
        </ext>
      </extLst>
    </bk>
    <bk>
      <extLst>
        <ext uri="{3e2802c4-a4d2-4d8b-9148-e3be6c30e623}">
          <xlrd:rvb i="3942"/>
        </ext>
      </extLst>
    </bk>
    <bk>
      <extLst>
        <ext uri="{3e2802c4-a4d2-4d8b-9148-e3be6c30e623}">
          <xlrd:rvb i="3943"/>
        </ext>
      </extLst>
    </bk>
    <bk>
      <extLst>
        <ext uri="{3e2802c4-a4d2-4d8b-9148-e3be6c30e623}">
          <xlrd:rvb i="3944"/>
        </ext>
      </extLst>
    </bk>
    <bk>
      <extLst>
        <ext uri="{3e2802c4-a4d2-4d8b-9148-e3be6c30e623}">
          <xlrd:rvb i="3945"/>
        </ext>
      </extLst>
    </bk>
    <bk>
      <extLst>
        <ext uri="{3e2802c4-a4d2-4d8b-9148-e3be6c30e623}">
          <xlrd:rvb i="3946"/>
        </ext>
      </extLst>
    </bk>
    <bk>
      <extLst>
        <ext uri="{3e2802c4-a4d2-4d8b-9148-e3be6c30e623}">
          <xlrd:rvb i="3947"/>
        </ext>
      </extLst>
    </bk>
    <bk>
      <extLst>
        <ext uri="{3e2802c4-a4d2-4d8b-9148-e3be6c30e623}">
          <xlrd:rvb i="3948"/>
        </ext>
      </extLst>
    </bk>
    <bk>
      <extLst>
        <ext uri="{3e2802c4-a4d2-4d8b-9148-e3be6c30e623}">
          <xlrd:rvb i="3949"/>
        </ext>
      </extLst>
    </bk>
    <bk>
      <extLst>
        <ext uri="{3e2802c4-a4d2-4d8b-9148-e3be6c30e623}">
          <xlrd:rvb i="3950"/>
        </ext>
      </extLst>
    </bk>
    <bk>
      <extLst>
        <ext uri="{3e2802c4-a4d2-4d8b-9148-e3be6c30e623}">
          <xlrd:rvb i="3951"/>
        </ext>
      </extLst>
    </bk>
    <bk>
      <extLst>
        <ext uri="{3e2802c4-a4d2-4d8b-9148-e3be6c30e623}">
          <xlrd:rvb i="3952"/>
        </ext>
      </extLst>
    </bk>
    <bk>
      <extLst>
        <ext uri="{3e2802c4-a4d2-4d8b-9148-e3be6c30e623}">
          <xlrd:rvb i="3953"/>
        </ext>
      </extLst>
    </bk>
    <bk>
      <extLst>
        <ext uri="{3e2802c4-a4d2-4d8b-9148-e3be6c30e623}">
          <xlrd:rvb i="3954"/>
        </ext>
      </extLst>
    </bk>
    <bk>
      <extLst>
        <ext uri="{3e2802c4-a4d2-4d8b-9148-e3be6c30e623}">
          <xlrd:rvb i="3955"/>
        </ext>
      </extLst>
    </bk>
    <bk>
      <extLst>
        <ext uri="{3e2802c4-a4d2-4d8b-9148-e3be6c30e623}">
          <xlrd:rvb i="3956"/>
        </ext>
      </extLst>
    </bk>
    <bk>
      <extLst>
        <ext uri="{3e2802c4-a4d2-4d8b-9148-e3be6c30e623}">
          <xlrd:rvb i="3957"/>
        </ext>
      </extLst>
    </bk>
    <bk>
      <extLst>
        <ext uri="{3e2802c4-a4d2-4d8b-9148-e3be6c30e623}">
          <xlrd:rvb i="3958"/>
        </ext>
      </extLst>
    </bk>
    <bk>
      <extLst>
        <ext uri="{3e2802c4-a4d2-4d8b-9148-e3be6c30e623}">
          <xlrd:rvb i="3959"/>
        </ext>
      </extLst>
    </bk>
    <bk>
      <extLst>
        <ext uri="{3e2802c4-a4d2-4d8b-9148-e3be6c30e623}">
          <xlrd:rvb i="3960"/>
        </ext>
      </extLst>
    </bk>
    <bk>
      <extLst>
        <ext uri="{3e2802c4-a4d2-4d8b-9148-e3be6c30e623}">
          <xlrd:rvb i="3961"/>
        </ext>
      </extLst>
    </bk>
    <bk>
      <extLst>
        <ext uri="{3e2802c4-a4d2-4d8b-9148-e3be6c30e623}">
          <xlrd:rvb i="3962"/>
        </ext>
      </extLst>
    </bk>
    <bk>
      <extLst>
        <ext uri="{3e2802c4-a4d2-4d8b-9148-e3be6c30e623}">
          <xlrd:rvb i="3963"/>
        </ext>
      </extLst>
    </bk>
    <bk>
      <extLst>
        <ext uri="{3e2802c4-a4d2-4d8b-9148-e3be6c30e623}">
          <xlrd:rvb i="3964"/>
        </ext>
      </extLst>
    </bk>
    <bk>
      <extLst>
        <ext uri="{3e2802c4-a4d2-4d8b-9148-e3be6c30e623}">
          <xlrd:rvb i="3965"/>
        </ext>
      </extLst>
    </bk>
    <bk>
      <extLst>
        <ext uri="{3e2802c4-a4d2-4d8b-9148-e3be6c30e623}">
          <xlrd:rvb i="3966"/>
        </ext>
      </extLst>
    </bk>
    <bk>
      <extLst>
        <ext uri="{3e2802c4-a4d2-4d8b-9148-e3be6c30e623}">
          <xlrd:rvb i="3967"/>
        </ext>
      </extLst>
    </bk>
    <bk>
      <extLst>
        <ext uri="{3e2802c4-a4d2-4d8b-9148-e3be6c30e623}">
          <xlrd:rvb i="3968"/>
        </ext>
      </extLst>
    </bk>
    <bk>
      <extLst>
        <ext uri="{3e2802c4-a4d2-4d8b-9148-e3be6c30e623}">
          <xlrd:rvb i="3969"/>
        </ext>
      </extLst>
    </bk>
    <bk>
      <extLst>
        <ext uri="{3e2802c4-a4d2-4d8b-9148-e3be6c30e623}">
          <xlrd:rvb i="3970"/>
        </ext>
      </extLst>
    </bk>
    <bk>
      <extLst>
        <ext uri="{3e2802c4-a4d2-4d8b-9148-e3be6c30e623}">
          <xlrd:rvb i="3971"/>
        </ext>
      </extLst>
    </bk>
    <bk>
      <extLst>
        <ext uri="{3e2802c4-a4d2-4d8b-9148-e3be6c30e623}">
          <xlrd:rvb i="3972"/>
        </ext>
      </extLst>
    </bk>
    <bk>
      <extLst>
        <ext uri="{3e2802c4-a4d2-4d8b-9148-e3be6c30e623}">
          <xlrd:rvb i="3973"/>
        </ext>
      </extLst>
    </bk>
    <bk>
      <extLst>
        <ext uri="{3e2802c4-a4d2-4d8b-9148-e3be6c30e623}">
          <xlrd:rvb i="3974"/>
        </ext>
      </extLst>
    </bk>
    <bk>
      <extLst>
        <ext uri="{3e2802c4-a4d2-4d8b-9148-e3be6c30e623}">
          <xlrd:rvb i="3975"/>
        </ext>
      </extLst>
    </bk>
    <bk>
      <extLst>
        <ext uri="{3e2802c4-a4d2-4d8b-9148-e3be6c30e623}">
          <xlrd:rvb i="3976"/>
        </ext>
      </extLst>
    </bk>
    <bk>
      <extLst>
        <ext uri="{3e2802c4-a4d2-4d8b-9148-e3be6c30e623}">
          <xlrd:rvb i="3977"/>
        </ext>
      </extLst>
    </bk>
    <bk>
      <extLst>
        <ext uri="{3e2802c4-a4d2-4d8b-9148-e3be6c30e623}">
          <xlrd:rvb i="3978"/>
        </ext>
      </extLst>
    </bk>
    <bk>
      <extLst>
        <ext uri="{3e2802c4-a4d2-4d8b-9148-e3be6c30e623}">
          <xlrd:rvb i="3979"/>
        </ext>
      </extLst>
    </bk>
    <bk>
      <extLst>
        <ext uri="{3e2802c4-a4d2-4d8b-9148-e3be6c30e623}">
          <xlrd:rvb i="3980"/>
        </ext>
      </extLst>
    </bk>
    <bk>
      <extLst>
        <ext uri="{3e2802c4-a4d2-4d8b-9148-e3be6c30e623}">
          <xlrd:rvb i="3981"/>
        </ext>
      </extLst>
    </bk>
    <bk>
      <extLst>
        <ext uri="{3e2802c4-a4d2-4d8b-9148-e3be6c30e623}">
          <xlrd:rvb i="3982"/>
        </ext>
      </extLst>
    </bk>
    <bk>
      <extLst>
        <ext uri="{3e2802c4-a4d2-4d8b-9148-e3be6c30e623}">
          <xlrd:rvb i="3983"/>
        </ext>
      </extLst>
    </bk>
    <bk>
      <extLst>
        <ext uri="{3e2802c4-a4d2-4d8b-9148-e3be6c30e623}">
          <xlrd:rvb i="3984"/>
        </ext>
      </extLst>
    </bk>
    <bk>
      <extLst>
        <ext uri="{3e2802c4-a4d2-4d8b-9148-e3be6c30e623}">
          <xlrd:rvb i="3985"/>
        </ext>
      </extLst>
    </bk>
    <bk>
      <extLst>
        <ext uri="{3e2802c4-a4d2-4d8b-9148-e3be6c30e623}">
          <xlrd:rvb i="3986"/>
        </ext>
      </extLst>
    </bk>
    <bk>
      <extLst>
        <ext uri="{3e2802c4-a4d2-4d8b-9148-e3be6c30e623}">
          <xlrd:rvb i="3987"/>
        </ext>
      </extLst>
    </bk>
    <bk>
      <extLst>
        <ext uri="{3e2802c4-a4d2-4d8b-9148-e3be6c30e623}">
          <xlrd:rvb i="3988"/>
        </ext>
      </extLst>
    </bk>
    <bk>
      <extLst>
        <ext uri="{3e2802c4-a4d2-4d8b-9148-e3be6c30e623}">
          <xlrd:rvb i="3989"/>
        </ext>
      </extLst>
    </bk>
    <bk>
      <extLst>
        <ext uri="{3e2802c4-a4d2-4d8b-9148-e3be6c30e623}">
          <xlrd:rvb i="3990"/>
        </ext>
      </extLst>
    </bk>
    <bk>
      <extLst>
        <ext uri="{3e2802c4-a4d2-4d8b-9148-e3be6c30e623}">
          <xlrd:rvb i="3991"/>
        </ext>
      </extLst>
    </bk>
    <bk>
      <extLst>
        <ext uri="{3e2802c4-a4d2-4d8b-9148-e3be6c30e623}">
          <xlrd:rvb i="3992"/>
        </ext>
      </extLst>
    </bk>
    <bk>
      <extLst>
        <ext uri="{3e2802c4-a4d2-4d8b-9148-e3be6c30e623}">
          <xlrd:rvb i="3993"/>
        </ext>
      </extLst>
    </bk>
    <bk>
      <extLst>
        <ext uri="{3e2802c4-a4d2-4d8b-9148-e3be6c30e623}">
          <xlrd:rvb i="3994"/>
        </ext>
      </extLst>
    </bk>
    <bk>
      <extLst>
        <ext uri="{3e2802c4-a4d2-4d8b-9148-e3be6c30e623}">
          <xlrd:rvb i="3995"/>
        </ext>
      </extLst>
    </bk>
    <bk>
      <extLst>
        <ext uri="{3e2802c4-a4d2-4d8b-9148-e3be6c30e623}">
          <xlrd:rvb i="3996"/>
        </ext>
      </extLst>
    </bk>
    <bk>
      <extLst>
        <ext uri="{3e2802c4-a4d2-4d8b-9148-e3be6c30e623}">
          <xlrd:rvb i="3997"/>
        </ext>
      </extLst>
    </bk>
    <bk>
      <extLst>
        <ext uri="{3e2802c4-a4d2-4d8b-9148-e3be6c30e623}">
          <xlrd:rvb i="3998"/>
        </ext>
      </extLst>
    </bk>
    <bk>
      <extLst>
        <ext uri="{3e2802c4-a4d2-4d8b-9148-e3be6c30e623}">
          <xlrd:rvb i="3999"/>
        </ext>
      </extLst>
    </bk>
    <bk>
      <extLst>
        <ext uri="{3e2802c4-a4d2-4d8b-9148-e3be6c30e623}">
          <xlrd:rvb i="4000"/>
        </ext>
      </extLst>
    </bk>
    <bk>
      <extLst>
        <ext uri="{3e2802c4-a4d2-4d8b-9148-e3be6c30e623}">
          <xlrd:rvb i="4001"/>
        </ext>
      </extLst>
    </bk>
    <bk>
      <extLst>
        <ext uri="{3e2802c4-a4d2-4d8b-9148-e3be6c30e623}">
          <xlrd:rvb i="4002"/>
        </ext>
      </extLst>
    </bk>
    <bk>
      <extLst>
        <ext uri="{3e2802c4-a4d2-4d8b-9148-e3be6c30e623}">
          <xlrd:rvb i="4003"/>
        </ext>
      </extLst>
    </bk>
    <bk>
      <extLst>
        <ext uri="{3e2802c4-a4d2-4d8b-9148-e3be6c30e623}">
          <xlrd:rvb i="4004"/>
        </ext>
      </extLst>
    </bk>
    <bk>
      <extLst>
        <ext uri="{3e2802c4-a4d2-4d8b-9148-e3be6c30e623}">
          <xlrd:rvb i="4005"/>
        </ext>
      </extLst>
    </bk>
    <bk>
      <extLst>
        <ext uri="{3e2802c4-a4d2-4d8b-9148-e3be6c30e623}">
          <xlrd:rvb i="4006"/>
        </ext>
      </extLst>
    </bk>
    <bk>
      <extLst>
        <ext uri="{3e2802c4-a4d2-4d8b-9148-e3be6c30e623}">
          <xlrd:rvb i="4007"/>
        </ext>
      </extLst>
    </bk>
    <bk>
      <extLst>
        <ext uri="{3e2802c4-a4d2-4d8b-9148-e3be6c30e623}">
          <xlrd:rvb i="4008"/>
        </ext>
      </extLst>
    </bk>
    <bk>
      <extLst>
        <ext uri="{3e2802c4-a4d2-4d8b-9148-e3be6c30e623}">
          <xlrd:rvb i="4009"/>
        </ext>
      </extLst>
    </bk>
    <bk>
      <extLst>
        <ext uri="{3e2802c4-a4d2-4d8b-9148-e3be6c30e623}">
          <xlrd:rvb i="4010"/>
        </ext>
      </extLst>
    </bk>
    <bk>
      <extLst>
        <ext uri="{3e2802c4-a4d2-4d8b-9148-e3be6c30e623}">
          <xlrd:rvb i="4011"/>
        </ext>
      </extLst>
    </bk>
    <bk>
      <extLst>
        <ext uri="{3e2802c4-a4d2-4d8b-9148-e3be6c30e623}">
          <xlrd:rvb i="4012"/>
        </ext>
      </extLst>
    </bk>
    <bk>
      <extLst>
        <ext uri="{3e2802c4-a4d2-4d8b-9148-e3be6c30e623}">
          <xlrd:rvb i="4013"/>
        </ext>
      </extLst>
    </bk>
    <bk>
      <extLst>
        <ext uri="{3e2802c4-a4d2-4d8b-9148-e3be6c30e623}">
          <xlrd:rvb i="4014"/>
        </ext>
      </extLst>
    </bk>
    <bk>
      <extLst>
        <ext uri="{3e2802c4-a4d2-4d8b-9148-e3be6c30e623}">
          <xlrd:rvb i="4015"/>
        </ext>
      </extLst>
    </bk>
    <bk>
      <extLst>
        <ext uri="{3e2802c4-a4d2-4d8b-9148-e3be6c30e623}">
          <xlrd:rvb i="4016"/>
        </ext>
      </extLst>
    </bk>
    <bk>
      <extLst>
        <ext uri="{3e2802c4-a4d2-4d8b-9148-e3be6c30e623}">
          <xlrd:rvb i="4017"/>
        </ext>
      </extLst>
    </bk>
    <bk>
      <extLst>
        <ext uri="{3e2802c4-a4d2-4d8b-9148-e3be6c30e623}">
          <xlrd:rvb i="4018"/>
        </ext>
      </extLst>
    </bk>
    <bk>
      <extLst>
        <ext uri="{3e2802c4-a4d2-4d8b-9148-e3be6c30e623}">
          <xlrd:rvb i="4019"/>
        </ext>
      </extLst>
    </bk>
    <bk>
      <extLst>
        <ext uri="{3e2802c4-a4d2-4d8b-9148-e3be6c30e623}">
          <xlrd:rvb i="4020"/>
        </ext>
      </extLst>
    </bk>
    <bk>
      <extLst>
        <ext uri="{3e2802c4-a4d2-4d8b-9148-e3be6c30e623}">
          <xlrd:rvb i="4021"/>
        </ext>
      </extLst>
    </bk>
    <bk>
      <extLst>
        <ext uri="{3e2802c4-a4d2-4d8b-9148-e3be6c30e623}">
          <xlrd:rvb i="4022"/>
        </ext>
      </extLst>
    </bk>
    <bk>
      <extLst>
        <ext uri="{3e2802c4-a4d2-4d8b-9148-e3be6c30e623}">
          <xlrd:rvb i="4023"/>
        </ext>
      </extLst>
    </bk>
    <bk>
      <extLst>
        <ext uri="{3e2802c4-a4d2-4d8b-9148-e3be6c30e623}">
          <xlrd:rvb i="4024"/>
        </ext>
      </extLst>
    </bk>
    <bk>
      <extLst>
        <ext uri="{3e2802c4-a4d2-4d8b-9148-e3be6c30e623}">
          <xlrd:rvb i="4025"/>
        </ext>
      </extLst>
    </bk>
    <bk>
      <extLst>
        <ext uri="{3e2802c4-a4d2-4d8b-9148-e3be6c30e623}">
          <xlrd:rvb i="4026"/>
        </ext>
      </extLst>
    </bk>
    <bk>
      <extLst>
        <ext uri="{3e2802c4-a4d2-4d8b-9148-e3be6c30e623}">
          <xlrd:rvb i="4027"/>
        </ext>
      </extLst>
    </bk>
    <bk>
      <extLst>
        <ext uri="{3e2802c4-a4d2-4d8b-9148-e3be6c30e623}">
          <xlrd:rvb i="4028"/>
        </ext>
      </extLst>
    </bk>
    <bk>
      <extLst>
        <ext uri="{3e2802c4-a4d2-4d8b-9148-e3be6c30e623}">
          <xlrd:rvb i="4029"/>
        </ext>
      </extLst>
    </bk>
    <bk>
      <extLst>
        <ext uri="{3e2802c4-a4d2-4d8b-9148-e3be6c30e623}">
          <xlrd:rvb i="4030"/>
        </ext>
      </extLst>
    </bk>
    <bk>
      <extLst>
        <ext uri="{3e2802c4-a4d2-4d8b-9148-e3be6c30e623}">
          <xlrd:rvb i="4031"/>
        </ext>
      </extLst>
    </bk>
    <bk>
      <extLst>
        <ext uri="{3e2802c4-a4d2-4d8b-9148-e3be6c30e623}">
          <xlrd:rvb i="4032"/>
        </ext>
      </extLst>
    </bk>
    <bk>
      <extLst>
        <ext uri="{3e2802c4-a4d2-4d8b-9148-e3be6c30e623}">
          <xlrd:rvb i="4033"/>
        </ext>
      </extLst>
    </bk>
    <bk>
      <extLst>
        <ext uri="{3e2802c4-a4d2-4d8b-9148-e3be6c30e623}">
          <xlrd:rvb i="4034"/>
        </ext>
      </extLst>
    </bk>
    <bk>
      <extLst>
        <ext uri="{3e2802c4-a4d2-4d8b-9148-e3be6c30e623}">
          <xlrd:rvb i="4035"/>
        </ext>
      </extLst>
    </bk>
    <bk>
      <extLst>
        <ext uri="{3e2802c4-a4d2-4d8b-9148-e3be6c30e623}">
          <xlrd:rvb i="4036"/>
        </ext>
      </extLst>
    </bk>
    <bk>
      <extLst>
        <ext uri="{3e2802c4-a4d2-4d8b-9148-e3be6c30e623}">
          <xlrd:rvb i="4037"/>
        </ext>
      </extLst>
    </bk>
    <bk>
      <extLst>
        <ext uri="{3e2802c4-a4d2-4d8b-9148-e3be6c30e623}">
          <xlrd:rvb i="4038"/>
        </ext>
      </extLst>
    </bk>
    <bk>
      <extLst>
        <ext uri="{3e2802c4-a4d2-4d8b-9148-e3be6c30e623}">
          <xlrd:rvb i="4039"/>
        </ext>
      </extLst>
    </bk>
    <bk>
      <extLst>
        <ext uri="{3e2802c4-a4d2-4d8b-9148-e3be6c30e623}">
          <xlrd:rvb i="4040"/>
        </ext>
      </extLst>
    </bk>
    <bk>
      <extLst>
        <ext uri="{3e2802c4-a4d2-4d8b-9148-e3be6c30e623}">
          <xlrd:rvb i="4041"/>
        </ext>
      </extLst>
    </bk>
    <bk>
      <extLst>
        <ext uri="{3e2802c4-a4d2-4d8b-9148-e3be6c30e623}">
          <xlrd:rvb i="4042"/>
        </ext>
      </extLst>
    </bk>
    <bk>
      <extLst>
        <ext uri="{3e2802c4-a4d2-4d8b-9148-e3be6c30e623}">
          <xlrd:rvb i="4043"/>
        </ext>
      </extLst>
    </bk>
    <bk>
      <extLst>
        <ext uri="{3e2802c4-a4d2-4d8b-9148-e3be6c30e623}">
          <xlrd:rvb i="4044"/>
        </ext>
      </extLst>
    </bk>
    <bk>
      <extLst>
        <ext uri="{3e2802c4-a4d2-4d8b-9148-e3be6c30e623}">
          <xlrd:rvb i="4045"/>
        </ext>
      </extLst>
    </bk>
    <bk>
      <extLst>
        <ext uri="{3e2802c4-a4d2-4d8b-9148-e3be6c30e623}">
          <xlrd:rvb i="4046"/>
        </ext>
      </extLst>
    </bk>
    <bk>
      <extLst>
        <ext uri="{3e2802c4-a4d2-4d8b-9148-e3be6c30e623}">
          <xlrd:rvb i="4047"/>
        </ext>
      </extLst>
    </bk>
    <bk>
      <extLst>
        <ext uri="{3e2802c4-a4d2-4d8b-9148-e3be6c30e623}">
          <xlrd:rvb i="4048"/>
        </ext>
      </extLst>
    </bk>
    <bk>
      <extLst>
        <ext uri="{3e2802c4-a4d2-4d8b-9148-e3be6c30e623}">
          <xlrd:rvb i="4049"/>
        </ext>
      </extLst>
    </bk>
    <bk>
      <extLst>
        <ext uri="{3e2802c4-a4d2-4d8b-9148-e3be6c30e623}">
          <xlrd:rvb i="4050"/>
        </ext>
      </extLst>
    </bk>
    <bk>
      <extLst>
        <ext uri="{3e2802c4-a4d2-4d8b-9148-e3be6c30e623}">
          <xlrd:rvb i="4051"/>
        </ext>
      </extLst>
    </bk>
    <bk>
      <extLst>
        <ext uri="{3e2802c4-a4d2-4d8b-9148-e3be6c30e623}">
          <xlrd:rvb i="4052"/>
        </ext>
      </extLst>
    </bk>
    <bk>
      <extLst>
        <ext uri="{3e2802c4-a4d2-4d8b-9148-e3be6c30e623}">
          <xlrd:rvb i="4053"/>
        </ext>
      </extLst>
    </bk>
    <bk>
      <extLst>
        <ext uri="{3e2802c4-a4d2-4d8b-9148-e3be6c30e623}">
          <xlrd:rvb i="4054"/>
        </ext>
      </extLst>
    </bk>
    <bk>
      <extLst>
        <ext uri="{3e2802c4-a4d2-4d8b-9148-e3be6c30e623}">
          <xlrd:rvb i="4055"/>
        </ext>
      </extLst>
    </bk>
    <bk>
      <extLst>
        <ext uri="{3e2802c4-a4d2-4d8b-9148-e3be6c30e623}">
          <xlrd:rvb i="4056"/>
        </ext>
      </extLst>
    </bk>
    <bk>
      <extLst>
        <ext uri="{3e2802c4-a4d2-4d8b-9148-e3be6c30e623}">
          <xlrd:rvb i="4057"/>
        </ext>
      </extLst>
    </bk>
    <bk>
      <extLst>
        <ext uri="{3e2802c4-a4d2-4d8b-9148-e3be6c30e623}">
          <xlrd:rvb i="4058"/>
        </ext>
      </extLst>
    </bk>
    <bk>
      <extLst>
        <ext uri="{3e2802c4-a4d2-4d8b-9148-e3be6c30e623}">
          <xlrd:rvb i="4059"/>
        </ext>
      </extLst>
    </bk>
    <bk>
      <extLst>
        <ext uri="{3e2802c4-a4d2-4d8b-9148-e3be6c30e623}">
          <xlrd:rvb i="4060"/>
        </ext>
      </extLst>
    </bk>
    <bk>
      <extLst>
        <ext uri="{3e2802c4-a4d2-4d8b-9148-e3be6c30e623}">
          <xlrd:rvb i="4061"/>
        </ext>
      </extLst>
    </bk>
    <bk>
      <extLst>
        <ext uri="{3e2802c4-a4d2-4d8b-9148-e3be6c30e623}">
          <xlrd:rvb i="4062"/>
        </ext>
      </extLst>
    </bk>
    <bk>
      <extLst>
        <ext uri="{3e2802c4-a4d2-4d8b-9148-e3be6c30e623}">
          <xlrd:rvb i="4063"/>
        </ext>
      </extLst>
    </bk>
    <bk>
      <extLst>
        <ext uri="{3e2802c4-a4d2-4d8b-9148-e3be6c30e623}">
          <xlrd:rvb i="4064"/>
        </ext>
      </extLst>
    </bk>
    <bk>
      <extLst>
        <ext uri="{3e2802c4-a4d2-4d8b-9148-e3be6c30e623}">
          <xlrd:rvb i="4065"/>
        </ext>
      </extLst>
    </bk>
    <bk>
      <extLst>
        <ext uri="{3e2802c4-a4d2-4d8b-9148-e3be6c30e623}">
          <xlrd:rvb i="4066"/>
        </ext>
      </extLst>
    </bk>
    <bk>
      <extLst>
        <ext uri="{3e2802c4-a4d2-4d8b-9148-e3be6c30e623}">
          <xlrd:rvb i="4067"/>
        </ext>
      </extLst>
    </bk>
    <bk>
      <extLst>
        <ext uri="{3e2802c4-a4d2-4d8b-9148-e3be6c30e623}">
          <xlrd:rvb i="4068"/>
        </ext>
      </extLst>
    </bk>
    <bk>
      <extLst>
        <ext uri="{3e2802c4-a4d2-4d8b-9148-e3be6c30e623}">
          <xlrd:rvb i="4069"/>
        </ext>
      </extLst>
    </bk>
    <bk>
      <extLst>
        <ext uri="{3e2802c4-a4d2-4d8b-9148-e3be6c30e623}">
          <xlrd:rvb i="4070"/>
        </ext>
      </extLst>
    </bk>
    <bk>
      <extLst>
        <ext uri="{3e2802c4-a4d2-4d8b-9148-e3be6c30e623}">
          <xlrd:rvb i="4071"/>
        </ext>
      </extLst>
    </bk>
    <bk>
      <extLst>
        <ext uri="{3e2802c4-a4d2-4d8b-9148-e3be6c30e623}">
          <xlrd:rvb i="4072"/>
        </ext>
      </extLst>
    </bk>
    <bk>
      <extLst>
        <ext uri="{3e2802c4-a4d2-4d8b-9148-e3be6c30e623}">
          <xlrd:rvb i="4073"/>
        </ext>
      </extLst>
    </bk>
    <bk>
      <extLst>
        <ext uri="{3e2802c4-a4d2-4d8b-9148-e3be6c30e623}">
          <xlrd:rvb i="4074"/>
        </ext>
      </extLst>
    </bk>
    <bk>
      <extLst>
        <ext uri="{3e2802c4-a4d2-4d8b-9148-e3be6c30e623}">
          <xlrd:rvb i="4075"/>
        </ext>
      </extLst>
    </bk>
    <bk>
      <extLst>
        <ext uri="{3e2802c4-a4d2-4d8b-9148-e3be6c30e623}">
          <xlrd:rvb i="4076"/>
        </ext>
      </extLst>
    </bk>
    <bk>
      <extLst>
        <ext uri="{3e2802c4-a4d2-4d8b-9148-e3be6c30e623}">
          <xlrd:rvb i="4077"/>
        </ext>
      </extLst>
    </bk>
    <bk>
      <extLst>
        <ext uri="{3e2802c4-a4d2-4d8b-9148-e3be6c30e623}">
          <xlrd:rvb i="4078"/>
        </ext>
      </extLst>
    </bk>
    <bk>
      <extLst>
        <ext uri="{3e2802c4-a4d2-4d8b-9148-e3be6c30e623}">
          <xlrd:rvb i="4079"/>
        </ext>
      </extLst>
    </bk>
    <bk>
      <extLst>
        <ext uri="{3e2802c4-a4d2-4d8b-9148-e3be6c30e623}">
          <xlrd:rvb i="4080"/>
        </ext>
      </extLst>
    </bk>
    <bk>
      <extLst>
        <ext uri="{3e2802c4-a4d2-4d8b-9148-e3be6c30e623}">
          <xlrd:rvb i="4081"/>
        </ext>
      </extLst>
    </bk>
    <bk>
      <extLst>
        <ext uri="{3e2802c4-a4d2-4d8b-9148-e3be6c30e623}">
          <xlrd:rvb i="4082"/>
        </ext>
      </extLst>
    </bk>
    <bk>
      <extLst>
        <ext uri="{3e2802c4-a4d2-4d8b-9148-e3be6c30e623}">
          <xlrd:rvb i="4083"/>
        </ext>
      </extLst>
    </bk>
    <bk>
      <extLst>
        <ext uri="{3e2802c4-a4d2-4d8b-9148-e3be6c30e623}">
          <xlrd:rvb i="4084"/>
        </ext>
      </extLst>
    </bk>
    <bk>
      <extLst>
        <ext uri="{3e2802c4-a4d2-4d8b-9148-e3be6c30e623}">
          <xlrd:rvb i="4085"/>
        </ext>
      </extLst>
    </bk>
    <bk>
      <extLst>
        <ext uri="{3e2802c4-a4d2-4d8b-9148-e3be6c30e623}">
          <xlrd:rvb i="4086"/>
        </ext>
      </extLst>
    </bk>
    <bk>
      <extLst>
        <ext uri="{3e2802c4-a4d2-4d8b-9148-e3be6c30e623}">
          <xlrd:rvb i="4087"/>
        </ext>
      </extLst>
    </bk>
    <bk>
      <extLst>
        <ext uri="{3e2802c4-a4d2-4d8b-9148-e3be6c30e623}">
          <xlrd:rvb i="4088"/>
        </ext>
      </extLst>
    </bk>
    <bk>
      <extLst>
        <ext uri="{3e2802c4-a4d2-4d8b-9148-e3be6c30e623}">
          <xlrd:rvb i="4089"/>
        </ext>
      </extLst>
    </bk>
    <bk>
      <extLst>
        <ext uri="{3e2802c4-a4d2-4d8b-9148-e3be6c30e623}">
          <xlrd:rvb i="4090"/>
        </ext>
      </extLst>
    </bk>
    <bk>
      <extLst>
        <ext uri="{3e2802c4-a4d2-4d8b-9148-e3be6c30e623}">
          <xlrd:rvb i="4091"/>
        </ext>
      </extLst>
    </bk>
    <bk>
      <extLst>
        <ext uri="{3e2802c4-a4d2-4d8b-9148-e3be6c30e623}">
          <xlrd:rvb i="4092"/>
        </ext>
      </extLst>
    </bk>
    <bk>
      <extLst>
        <ext uri="{3e2802c4-a4d2-4d8b-9148-e3be6c30e623}">
          <xlrd:rvb i="4093"/>
        </ext>
      </extLst>
    </bk>
    <bk>
      <extLst>
        <ext uri="{3e2802c4-a4d2-4d8b-9148-e3be6c30e623}">
          <xlrd:rvb i="4094"/>
        </ext>
      </extLst>
    </bk>
    <bk>
      <extLst>
        <ext uri="{3e2802c4-a4d2-4d8b-9148-e3be6c30e623}">
          <xlrd:rvb i="4095"/>
        </ext>
      </extLst>
    </bk>
    <bk>
      <extLst>
        <ext uri="{3e2802c4-a4d2-4d8b-9148-e3be6c30e623}">
          <xlrd:rvb i="4096"/>
        </ext>
      </extLst>
    </bk>
    <bk>
      <extLst>
        <ext uri="{3e2802c4-a4d2-4d8b-9148-e3be6c30e623}">
          <xlrd:rvb i="4097"/>
        </ext>
      </extLst>
    </bk>
    <bk>
      <extLst>
        <ext uri="{3e2802c4-a4d2-4d8b-9148-e3be6c30e623}">
          <xlrd:rvb i="4098"/>
        </ext>
      </extLst>
    </bk>
    <bk>
      <extLst>
        <ext uri="{3e2802c4-a4d2-4d8b-9148-e3be6c30e623}">
          <xlrd:rvb i="4099"/>
        </ext>
      </extLst>
    </bk>
    <bk>
      <extLst>
        <ext uri="{3e2802c4-a4d2-4d8b-9148-e3be6c30e623}">
          <xlrd:rvb i="4100"/>
        </ext>
      </extLst>
    </bk>
    <bk>
      <extLst>
        <ext uri="{3e2802c4-a4d2-4d8b-9148-e3be6c30e623}">
          <xlrd:rvb i="4101"/>
        </ext>
      </extLst>
    </bk>
    <bk>
      <extLst>
        <ext uri="{3e2802c4-a4d2-4d8b-9148-e3be6c30e623}">
          <xlrd:rvb i="4102"/>
        </ext>
      </extLst>
    </bk>
    <bk>
      <extLst>
        <ext uri="{3e2802c4-a4d2-4d8b-9148-e3be6c30e623}">
          <xlrd:rvb i="4103"/>
        </ext>
      </extLst>
    </bk>
    <bk>
      <extLst>
        <ext uri="{3e2802c4-a4d2-4d8b-9148-e3be6c30e623}">
          <xlrd:rvb i="4104"/>
        </ext>
      </extLst>
    </bk>
    <bk>
      <extLst>
        <ext uri="{3e2802c4-a4d2-4d8b-9148-e3be6c30e623}">
          <xlrd:rvb i="4105"/>
        </ext>
      </extLst>
    </bk>
    <bk>
      <extLst>
        <ext uri="{3e2802c4-a4d2-4d8b-9148-e3be6c30e623}">
          <xlrd:rvb i="4106"/>
        </ext>
      </extLst>
    </bk>
    <bk>
      <extLst>
        <ext uri="{3e2802c4-a4d2-4d8b-9148-e3be6c30e623}">
          <xlrd:rvb i="4107"/>
        </ext>
      </extLst>
    </bk>
    <bk>
      <extLst>
        <ext uri="{3e2802c4-a4d2-4d8b-9148-e3be6c30e623}">
          <xlrd:rvb i="4108"/>
        </ext>
      </extLst>
    </bk>
    <bk>
      <extLst>
        <ext uri="{3e2802c4-a4d2-4d8b-9148-e3be6c30e623}">
          <xlrd:rvb i="4109"/>
        </ext>
      </extLst>
    </bk>
    <bk>
      <extLst>
        <ext uri="{3e2802c4-a4d2-4d8b-9148-e3be6c30e623}">
          <xlrd:rvb i="4110"/>
        </ext>
      </extLst>
    </bk>
    <bk>
      <extLst>
        <ext uri="{3e2802c4-a4d2-4d8b-9148-e3be6c30e623}">
          <xlrd:rvb i="4111"/>
        </ext>
      </extLst>
    </bk>
    <bk>
      <extLst>
        <ext uri="{3e2802c4-a4d2-4d8b-9148-e3be6c30e623}">
          <xlrd:rvb i="4112"/>
        </ext>
      </extLst>
    </bk>
    <bk>
      <extLst>
        <ext uri="{3e2802c4-a4d2-4d8b-9148-e3be6c30e623}">
          <xlrd:rvb i="4113"/>
        </ext>
      </extLst>
    </bk>
    <bk>
      <extLst>
        <ext uri="{3e2802c4-a4d2-4d8b-9148-e3be6c30e623}">
          <xlrd:rvb i="4114"/>
        </ext>
      </extLst>
    </bk>
    <bk>
      <extLst>
        <ext uri="{3e2802c4-a4d2-4d8b-9148-e3be6c30e623}">
          <xlrd:rvb i="4115"/>
        </ext>
      </extLst>
    </bk>
    <bk>
      <extLst>
        <ext uri="{3e2802c4-a4d2-4d8b-9148-e3be6c30e623}">
          <xlrd:rvb i="4116"/>
        </ext>
      </extLst>
    </bk>
    <bk>
      <extLst>
        <ext uri="{3e2802c4-a4d2-4d8b-9148-e3be6c30e623}">
          <xlrd:rvb i="4117"/>
        </ext>
      </extLst>
    </bk>
    <bk>
      <extLst>
        <ext uri="{3e2802c4-a4d2-4d8b-9148-e3be6c30e623}">
          <xlrd:rvb i="4118"/>
        </ext>
      </extLst>
    </bk>
    <bk>
      <extLst>
        <ext uri="{3e2802c4-a4d2-4d8b-9148-e3be6c30e623}">
          <xlrd:rvb i="4119"/>
        </ext>
      </extLst>
    </bk>
    <bk>
      <extLst>
        <ext uri="{3e2802c4-a4d2-4d8b-9148-e3be6c30e623}">
          <xlrd:rvb i="4120"/>
        </ext>
      </extLst>
    </bk>
    <bk>
      <extLst>
        <ext uri="{3e2802c4-a4d2-4d8b-9148-e3be6c30e623}">
          <xlrd:rvb i="4121"/>
        </ext>
      </extLst>
    </bk>
    <bk>
      <extLst>
        <ext uri="{3e2802c4-a4d2-4d8b-9148-e3be6c30e623}">
          <xlrd:rvb i="4122"/>
        </ext>
      </extLst>
    </bk>
    <bk>
      <extLst>
        <ext uri="{3e2802c4-a4d2-4d8b-9148-e3be6c30e623}">
          <xlrd:rvb i="4123"/>
        </ext>
      </extLst>
    </bk>
    <bk>
      <extLst>
        <ext uri="{3e2802c4-a4d2-4d8b-9148-e3be6c30e623}">
          <xlrd:rvb i="4124"/>
        </ext>
      </extLst>
    </bk>
    <bk>
      <extLst>
        <ext uri="{3e2802c4-a4d2-4d8b-9148-e3be6c30e623}">
          <xlrd:rvb i="4125"/>
        </ext>
      </extLst>
    </bk>
    <bk>
      <extLst>
        <ext uri="{3e2802c4-a4d2-4d8b-9148-e3be6c30e623}">
          <xlrd:rvb i="4126"/>
        </ext>
      </extLst>
    </bk>
    <bk>
      <extLst>
        <ext uri="{3e2802c4-a4d2-4d8b-9148-e3be6c30e623}">
          <xlrd:rvb i="4127"/>
        </ext>
      </extLst>
    </bk>
    <bk>
      <extLst>
        <ext uri="{3e2802c4-a4d2-4d8b-9148-e3be6c30e623}">
          <xlrd:rvb i="4128"/>
        </ext>
      </extLst>
    </bk>
    <bk>
      <extLst>
        <ext uri="{3e2802c4-a4d2-4d8b-9148-e3be6c30e623}">
          <xlrd:rvb i="4129"/>
        </ext>
      </extLst>
    </bk>
    <bk>
      <extLst>
        <ext uri="{3e2802c4-a4d2-4d8b-9148-e3be6c30e623}">
          <xlrd:rvb i="4130"/>
        </ext>
      </extLst>
    </bk>
    <bk>
      <extLst>
        <ext uri="{3e2802c4-a4d2-4d8b-9148-e3be6c30e623}">
          <xlrd:rvb i="4131"/>
        </ext>
      </extLst>
    </bk>
    <bk>
      <extLst>
        <ext uri="{3e2802c4-a4d2-4d8b-9148-e3be6c30e623}">
          <xlrd:rvb i="4132"/>
        </ext>
      </extLst>
    </bk>
    <bk>
      <extLst>
        <ext uri="{3e2802c4-a4d2-4d8b-9148-e3be6c30e623}">
          <xlrd:rvb i="4133"/>
        </ext>
      </extLst>
    </bk>
    <bk>
      <extLst>
        <ext uri="{3e2802c4-a4d2-4d8b-9148-e3be6c30e623}">
          <xlrd:rvb i="4134"/>
        </ext>
      </extLst>
    </bk>
    <bk>
      <extLst>
        <ext uri="{3e2802c4-a4d2-4d8b-9148-e3be6c30e623}">
          <xlrd:rvb i="4135"/>
        </ext>
      </extLst>
    </bk>
    <bk>
      <extLst>
        <ext uri="{3e2802c4-a4d2-4d8b-9148-e3be6c30e623}">
          <xlrd:rvb i="4136"/>
        </ext>
      </extLst>
    </bk>
    <bk>
      <extLst>
        <ext uri="{3e2802c4-a4d2-4d8b-9148-e3be6c30e623}">
          <xlrd:rvb i="4137"/>
        </ext>
      </extLst>
    </bk>
    <bk>
      <extLst>
        <ext uri="{3e2802c4-a4d2-4d8b-9148-e3be6c30e623}">
          <xlrd:rvb i="4138"/>
        </ext>
      </extLst>
    </bk>
    <bk>
      <extLst>
        <ext uri="{3e2802c4-a4d2-4d8b-9148-e3be6c30e623}">
          <xlrd:rvb i="4139"/>
        </ext>
      </extLst>
    </bk>
    <bk>
      <extLst>
        <ext uri="{3e2802c4-a4d2-4d8b-9148-e3be6c30e623}">
          <xlrd:rvb i="4140"/>
        </ext>
      </extLst>
    </bk>
    <bk>
      <extLst>
        <ext uri="{3e2802c4-a4d2-4d8b-9148-e3be6c30e623}">
          <xlrd:rvb i="4141"/>
        </ext>
      </extLst>
    </bk>
    <bk>
      <extLst>
        <ext uri="{3e2802c4-a4d2-4d8b-9148-e3be6c30e623}">
          <xlrd:rvb i="4142"/>
        </ext>
      </extLst>
    </bk>
    <bk>
      <extLst>
        <ext uri="{3e2802c4-a4d2-4d8b-9148-e3be6c30e623}">
          <xlrd:rvb i="4143"/>
        </ext>
      </extLst>
    </bk>
    <bk>
      <extLst>
        <ext uri="{3e2802c4-a4d2-4d8b-9148-e3be6c30e623}">
          <xlrd:rvb i="4144"/>
        </ext>
      </extLst>
    </bk>
    <bk>
      <extLst>
        <ext uri="{3e2802c4-a4d2-4d8b-9148-e3be6c30e623}">
          <xlrd:rvb i="4145"/>
        </ext>
      </extLst>
    </bk>
    <bk>
      <extLst>
        <ext uri="{3e2802c4-a4d2-4d8b-9148-e3be6c30e623}">
          <xlrd:rvb i="4146"/>
        </ext>
      </extLst>
    </bk>
    <bk>
      <extLst>
        <ext uri="{3e2802c4-a4d2-4d8b-9148-e3be6c30e623}">
          <xlrd:rvb i="4147"/>
        </ext>
      </extLst>
    </bk>
    <bk>
      <extLst>
        <ext uri="{3e2802c4-a4d2-4d8b-9148-e3be6c30e623}">
          <xlrd:rvb i="4148"/>
        </ext>
      </extLst>
    </bk>
    <bk>
      <extLst>
        <ext uri="{3e2802c4-a4d2-4d8b-9148-e3be6c30e623}">
          <xlrd:rvb i="4149"/>
        </ext>
      </extLst>
    </bk>
    <bk>
      <extLst>
        <ext uri="{3e2802c4-a4d2-4d8b-9148-e3be6c30e623}">
          <xlrd:rvb i="4150"/>
        </ext>
      </extLst>
    </bk>
    <bk>
      <extLst>
        <ext uri="{3e2802c4-a4d2-4d8b-9148-e3be6c30e623}">
          <xlrd:rvb i="4151"/>
        </ext>
      </extLst>
    </bk>
    <bk>
      <extLst>
        <ext uri="{3e2802c4-a4d2-4d8b-9148-e3be6c30e623}">
          <xlrd:rvb i="4152"/>
        </ext>
      </extLst>
    </bk>
    <bk>
      <extLst>
        <ext uri="{3e2802c4-a4d2-4d8b-9148-e3be6c30e623}">
          <xlrd:rvb i="4153"/>
        </ext>
      </extLst>
    </bk>
    <bk>
      <extLst>
        <ext uri="{3e2802c4-a4d2-4d8b-9148-e3be6c30e623}">
          <xlrd:rvb i="4154"/>
        </ext>
      </extLst>
    </bk>
    <bk>
      <extLst>
        <ext uri="{3e2802c4-a4d2-4d8b-9148-e3be6c30e623}">
          <xlrd:rvb i="4155"/>
        </ext>
      </extLst>
    </bk>
    <bk>
      <extLst>
        <ext uri="{3e2802c4-a4d2-4d8b-9148-e3be6c30e623}">
          <xlrd:rvb i="4156"/>
        </ext>
      </extLst>
    </bk>
    <bk>
      <extLst>
        <ext uri="{3e2802c4-a4d2-4d8b-9148-e3be6c30e623}">
          <xlrd:rvb i="4157"/>
        </ext>
      </extLst>
    </bk>
    <bk>
      <extLst>
        <ext uri="{3e2802c4-a4d2-4d8b-9148-e3be6c30e623}">
          <xlrd:rvb i="4158"/>
        </ext>
      </extLst>
    </bk>
    <bk>
      <extLst>
        <ext uri="{3e2802c4-a4d2-4d8b-9148-e3be6c30e623}">
          <xlrd:rvb i="4159"/>
        </ext>
      </extLst>
    </bk>
    <bk>
      <extLst>
        <ext uri="{3e2802c4-a4d2-4d8b-9148-e3be6c30e623}">
          <xlrd:rvb i="4160"/>
        </ext>
      </extLst>
    </bk>
    <bk>
      <extLst>
        <ext uri="{3e2802c4-a4d2-4d8b-9148-e3be6c30e623}">
          <xlrd:rvb i="4161"/>
        </ext>
      </extLst>
    </bk>
    <bk>
      <extLst>
        <ext uri="{3e2802c4-a4d2-4d8b-9148-e3be6c30e623}">
          <xlrd:rvb i="4162"/>
        </ext>
      </extLst>
    </bk>
    <bk>
      <extLst>
        <ext uri="{3e2802c4-a4d2-4d8b-9148-e3be6c30e623}">
          <xlrd:rvb i="4163"/>
        </ext>
      </extLst>
    </bk>
    <bk>
      <extLst>
        <ext uri="{3e2802c4-a4d2-4d8b-9148-e3be6c30e623}">
          <xlrd:rvb i="4164"/>
        </ext>
      </extLst>
    </bk>
    <bk>
      <extLst>
        <ext uri="{3e2802c4-a4d2-4d8b-9148-e3be6c30e623}">
          <xlrd:rvb i="4165"/>
        </ext>
      </extLst>
    </bk>
    <bk>
      <extLst>
        <ext uri="{3e2802c4-a4d2-4d8b-9148-e3be6c30e623}">
          <xlrd:rvb i="4166"/>
        </ext>
      </extLst>
    </bk>
    <bk>
      <extLst>
        <ext uri="{3e2802c4-a4d2-4d8b-9148-e3be6c30e623}">
          <xlrd:rvb i="4167"/>
        </ext>
      </extLst>
    </bk>
    <bk>
      <extLst>
        <ext uri="{3e2802c4-a4d2-4d8b-9148-e3be6c30e623}">
          <xlrd:rvb i="4168"/>
        </ext>
      </extLst>
    </bk>
    <bk>
      <extLst>
        <ext uri="{3e2802c4-a4d2-4d8b-9148-e3be6c30e623}">
          <xlrd:rvb i="4169"/>
        </ext>
      </extLst>
    </bk>
    <bk>
      <extLst>
        <ext uri="{3e2802c4-a4d2-4d8b-9148-e3be6c30e623}">
          <xlrd:rvb i="4170"/>
        </ext>
      </extLst>
    </bk>
    <bk>
      <extLst>
        <ext uri="{3e2802c4-a4d2-4d8b-9148-e3be6c30e623}">
          <xlrd:rvb i="4171"/>
        </ext>
      </extLst>
    </bk>
    <bk>
      <extLst>
        <ext uri="{3e2802c4-a4d2-4d8b-9148-e3be6c30e623}">
          <xlrd:rvb i="4172"/>
        </ext>
      </extLst>
    </bk>
    <bk>
      <extLst>
        <ext uri="{3e2802c4-a4d2-4d8b-9148-e3be6c30e623}">
          <xlrd:rvb i="4173"/>
        </ext>
      </extLst>
    </bk>
    <bk>
      <extLst>
        <ext uri="{3e2802c4-a4d2-4d8b-9148-e3be6c30e623}">
          <xlrd:rvb i="4174"/>
        </ext>
      </extLst>
    </bk>
    <bk>
      <extLst>
        <ext uri="{3e2802c4-a4d2-4d8b-9148-e3be6c30e623}">
          <xlrd:rvb i="4175"/>
        </ext>
      </extLst>
    </bk>
    <bk>
      <extLst>
        <ext uri="{3e2802c4-a4d2-4d8b-9148-e3be6c30e623}">
          <xlrd:rvb i="4176"/>
        </ext>
      </extLst>
    </bk>
    <bk>
      <extLst>
        <ext uri="{3e2802c4-a4d2-4d8b-9148-e3be6c30e623}">
          <xlrd:rvb i="4177"/>
        </ext>
      </extLst>
    </bk>
    <bk>
      <extLst>
        <ext uri="{3e2802c4-a4d2-4d8b-9148-e3be6c30e623}">
          <xlrd:rvb i="4178"/>
        </ext>
      </extLst>
    </bk>
    <bk>
      <extLst>
        <ext uri="{3e2802c4-a4d2-4d8b-9148-e3be6c30e623}">
          <xlrd:rvb i="4179"/>
        </ext>
      </extLst>
    </bk>
    <bk>
      <extLst>
        <ext uri="{3e2802c4-a4d2-4d8b-9148-e3be6c30e623}">
          <xlrd:rvb i="4180"/>
        </ext>
      </extLst>
    </bk>
    <bk>
      <extLst>
        <ext uri="{3e2802c4-a4d2-4d8b-9148-e3be6c30e623}">
          <xlrd:rvb i="4181"/>
        </ext>
      </extLst>
    </bk>
    <bk>
      <extLst>
        <ext uri="{3e2802c4-a4d2-4d8b-9148-e3be6c30e623}">
          <xlrd:rvb i="4182"/>
        </ext>
      </extLst>
    </bk>
    <bk>
      <extLst>
        <ext uri="{3e2802c4-a4d2-4d8b-9148-e3be6c30e623}">
          <xlrd:rvb i="4183"/>
        </ext>
      </extLst>
    </bk>
    <bk>
      <extLst>
        <ext uri="{3e2802c4-a4d2-4d8b-9148-e3be6c30e623}">
          <xlrd:rvb i="4184"/>
        </ext>
      </extLst>
    </bk>
    <bk>
      <extLst>
        <ext uri="{3e2802c4-a4d2-4d8b-9148-e3be6c30e623}">
          <xlrd:rvb i="4185"/>
        </ext>
      </extLst>
    </bk>
    <bk>
      <extLst>
        <ext uri="{3e2802c4-a4d2-4d8b-9148-e3be6c30e623}">
          <xlrd:rvb i="4186"/>
        </ext>
      </extLst>
    </bk>
    <bk>
      <extLst>
        <ext uri="{3e2802c4-a4d2-4d8b-9148-e3be6c30e623}">
          <xlrd:rvb i="4187"/>
        </ext>
      </extLst>
    </bk>
    <bk>
      <extLst>
        <ext uri="{3e2802c4-a4d2-4d8b-9148-e3be6c30e623}">
          <xlrd:rvb i="4188"/>
        </ext>
      </extLst>
    </bk>
    <bk>
      <extLst>
        <ext uri="{3e2802c4-a4d2-4d8b-9148-e3be6c30e623}">
          <xlrd:rvb i="4189"/>
        </ext>
      </extLst>
    </bk>
    <bk>
      <extLst>
        <ext uri="{3e2802c4-a4d2-4d8b-9148-e3be6c30e623}">
          <xlrd:rvb i="4190"/>
        </ext>
      </extLst>
    </bk>
    <bk>
      <extLst>
        <ext uri="{3e2802c4-a4d2-4d8b-9148-e3be6c30e623}">
          <xlrd:rvb i="4191"/>
        </ext>
      </extLst>
    </bk>
    <bk>
      <extLst>
        <ext uri="{3e2802c4-a4d2-4d8b-9148-e3be6c30e623}">
          <xlrd:rvb i="4192"/>
        </ext>
      </extLst>
    </bk>
    <bk>
      <extLst>
        <ext uri="{3e2802c4-a4d2-4d8b-9148-e3be6c30e623}">
          <xlrd:rvb i="4193"/>
        </ext>
      </extLst>
    </bk>
    <bk>
      <extLst>
        <ext uri="{3e2802c4-a4d2-4d8b-9148-e3be6c30e623}">
          <xlrd:rvb i="4194"/>
        </ext>
      </extLst>
    </bk>
    <bk>
      <extLst>
        <ext uri="{3e2802c4-a4d2-4d8b-9148-e3be6c30e623}">
          <xlrd:rvb i="4195"/>
        </ext>
      </extLst>
    </bk>
    <bk>
      <extLst>
        <ext uri="{3e2802c4-a4d2-4d8b-9148-e3be6c30e623}">
          <xlrd:rvb i="4196"/>
        </ext>
      </extLst>
    </bk>
    <bk>
      <extLst>
        <ext uri="{3e2802c4-a4d2-4d8b-9148-e3be6c30e623}">
          <xlrd:rvb i="4197"/>
        </ext>
      </extLst>
    </bk>
    <bk>
      <extLst>
        <ext uri="{3e2802c4-a4d2-4d8b-9148-e3be6c30e623}">
          <xlrd:rvb i="4198"/>
        </ext>
      </extLst>
    </bk>
    <bk>
      <extLst>
        <ext uri="{3e2802c4-a4d2-4d8b-9148-e3be6c30e623}">
          <xlrd:rvb i="4199"/>
        </ext>
      </extLst>
    </bk>
    <bk>
      <extLst>
        <ext uri="{3e2802c4-a4d2-4d8b-9148-e3be6c30e623}">
          <xlrd:rvb i="4200"/>
        </ext>
      </extLst>
    </bk>
    <bk>
      <extLst>
        <ext uri="{3e2802c4-a4d2-4d8b-9148-e3be6c30e623}">
          <xlrd:rvb i="4201"/>
        </ext>
      </extLst>
    </bk>
    <bk>
      <extLst>
        <ext uri="{3e2802c4-a4d2-4d8b-9148-e3be6c30e623}">
          <xlrd:rvb i="4202"/>
        </ext>
      </extLst>
    </bk>
    <bk>
      <extLst>
        <ext uri="{3e2802c4-a4d2-4d8b-9148-e3be6c30e623}">
          <xlrd:rvb i="4203"/>
        </ext>
      </extLst>
    </bk>
    <bk>
      <extLst>
        <ext uri="{3e2802c4-a4d2-4d8b-9148-e3be6c30e623}">
          <xlrd:rvb i="4204"/>
        </ext>
      </extLst>
    </bk>
    <bk>
      <extLst>
        <ext uri="{3e2802c4-a4d2-4d8b-9148-e3be6c30e623}">
          <xlrd:rvb i="4205"/>
        </ext>
      </extLst>
    </bk>
    <bk>
      <extLst>
        <ext uri="{3e2802c4-a4d2-4d8b-9148-e3be6c30e623}">
          <xlrd:rvb i="4206"/>
        </ext>
      </extLst>
    </bk>
    <bk>
      <extLst>
        <ext uri="{3e2802c4-a4d2-4d8b-9148-e3be6c30e623}">
          <xlrd:rvb i="4207"/>
        </ext>
      </extLst>
    </bk>
    <bk>
      <extLst>
        <ext uri="{3e2802c4-a4d2-4d8b-9148-e3be6c30e623}">
          <xlrd:rvb i="4208"/>
        </ext>
      </extLst>
    </bk>
    <bk>
      <extLst>
        <ext uri="{3e2802c4-a4d2-4d8b-9148-e3be6c30e623}">
          <xlrd:rvb i="4209"/>
        </ext>
      </extLst>
    </bk>
    <bk>
      <extLst>
        <ext uri="{3e2802c4-a4d2-4d8b-9148-e3be6c30e623}">
          <xlrd:rvb i="4210"/>
        </ext>
      </extLst>
    </bk>
    <bk>
      <extLst>
        <ext uri="{3e2802c4-a4d2-4d8b-9148-e3be6c30e623}">
          <xlrd:rvb i="4211"/>
        </ext>
      </extLst>
    </bk>
    <bk>
      <extLst>
        <ext uri="{3e2802c4-a4d2-4d8b-9148-e3be6c30e623}">
          <xlrd:rvb i="4212"/>
        </ext>
      </extLst>
    </bk>
    <bk>
      <extLst>
        <ext uri="{3e2802c4-a4d2-4d8b-9148-e3be6c30e623}">
          <xlrd:rvb i="4213"/>
        </ext>
      </extLst>
    </bk>
    <bk>
      <extLst>
        <ext uri="{3e2802c4-a4d2-4d8b-9148-e3be6c30e623}">
          <xlrd:rvb i="4214"/>
        </ext>
      </extLst>
    </bk>
    <bk>
      <extLst>
        <ext uri="{3e2802c4-a4d2-4d8b-9148-e3be6c30e623}">
          <xlrd:rvb i="4215"/>
        </ext>
      </extLst>
    </bk>
    <bk>
      <extLst>
        <ext uri="{3e2802c4-a4d2-4d8b-9148-e3be6c30e623}">
          <xlrd:rvb i="4216"/>
        </ext>
      </extLst>
    </bk>
    <bk>
      <extLst>
        <ext uri="{3e2802c4-a4d2-4d8b-9148-e3be6c30e623}">
          <xlrd:rvb i="4217"/>
        </ext>
      </extLst>
    </bk>
    <bk>
      <extLst>
        <ext uri="{3e2802c4-a4d2-4d8b-9148-e3be6c30e623}">
          <xlrd:rvb i="4218"/>
        </ext>
      </extLst>
    </bk>
    <bk>
      <extLst>
        <ext uri="{3e2802c4-a4d2-4d8b-9148-e3be6c30e623}">
          <xlrd:rvb i="4219"/>
        </ext>
      </extLst>
    </bk>
    <bk>
      <extLst>
        <ext uri="{3e2802c4-a4d2-4d8b-9148-e3be6c30e623}">
          <xlrd:rvb i="4220"/>
        </ext>
      </extLst>
    </bk>
    <bk>
      <extLst>
        <ext uri="{3e2802c4-a4d2-4d8b-9148-e3be6c30e623}">
          <xlrd:rvb i="4221"/>
        </ext>
      </extLst>
    </bk>
    <bk>
      <extLst>
        <ext uri="{3e2802c4-a4d2-4d8b-9148-e3be6c30e623}">
          <xlrd:rvb i="4222"/>
        </ext>
      </extLst>
    </bk>
    <bk>
      <extLst>
        <ext uri="{3e2802c4-a4d2-4d8b-9148-e3be6c30e623}">
          <xlrd:rvb i="4223"/>
        </ext>
      </extLst>
    </bk>
    <bk>
      <extLst>
        <ext uri="{3e2802c4-a4d2-4d8b-9148-e3be6c30e623}">
          <xlrd:rvb i="4224"/>
        </ext>
      </extLst>
    </bk>
    <bk>
      <extLst>
        <ext uri="{3e2802c4-a4d2-4d8b-9148-e3be6c30e623}">
          <xlrd:rvb i="4225"/>
        </ext>
      </extLst>
    </bk>
    <bk>
      <extLst>
        <ext uri="{3e2802c4-a4d2-4d8b-9148-e3be6c30e623}">
          <xlrd:rvb i="4226"/>
        </ext>
      </extLst>
    </bk>
    <bk>
      <extLst>
        <ext uri="{3e2802c4-a4d2-4d8b-9148-e3be6c30e623}">
          <xlrd:rvb i="4227"/>
        </ext>
      </extLst>
    </bk>
    <bk>
      <extLst>
        <ext uri="{3e2802c4-a4d2-4d8b-9148-e3be6c30e623}">
          <xlrd:rvb i="4228"/>
        </ext>
      </extLst>
    </bk>
    <bk>
      <extLst>
        <ext uri="{3e2802c4-a4d2-4d8b-9148-e3be6c30e623}">
          <xlrd:rvb i="4229"/>
        </ext>
      </extLst>
    </bk>
    <bk>
      <extLst>
        <ext uri="{3e2802c4-a4d2-4d8b-9148-e3be6c30e623}">
          <xlrd:rvb i="4230"/>
        </ext>
      </extLst>
    </bk>
    <bk>
      <extLst>
        <ext uri="{3e2802c4-a4d2-4d8b-9148-e3be6c30e623}">
          <xlrd:rvb i="4231"/>
        </ext>
      </extLst>
    </bk>
    <bk>
      <extLst>
        <ext uri="{3e2802c4-a4d2-4d8b-9148-e3be6c30e623}">
          <xlrd:rvb i="4232"/>
        </ext>
      </extLst>
    </bk>
    <bk>
      <extLst>
        <ext uri="{3e2802c4-a4d2-4d8b-9148-e3be6c30e623}">
          <xlrd:rvb i="4233"/>
        </ext>
      </extLst>
    </bk>
    <bk>
      <extLst>
        <ext uri="{3e2802c4-a4d2-4d8b-9148-e3be6c30e623}">
          <xlrd:rvb i="4234"/>
        </ext>
      </extLst>
    </bk>
    <bk>
      <extLst>
        <ext uri="{3e2802c4-a4d2-4d8b-9148-e3be6c30e623}">
          <xlrd:rvb i="4235"/>
        </ext>
      </extLst>
    </bk>
    <bk>
      <extLst>
        <ext uri="{3e2802c4-a4d2-4d8b-9148-e3be6c30e623}">
          <xlrd:rvb i="4236"/>
        </ext>
      </extLst>
    </bk>
    <bk>
      <extLst>
        <ext uri="{3e2802c4-a4d2-4d8b-9148-e3be6c30e623}">
          <xlrd:rvb i="4237"/>
        </ext>
      </extLst>
    </bk>
    <bk>
      <extLst>
        <ext uri="{3e2802c4-a4d2-4d8b-9148-e3be6c30e623}">
          <xlrd:rvb i="4238"/>
        </ext>
      </extLst>
    </bk>
    <bk>
      <extLst>
        <ext uri="{3e2802c4-a4d2-4d8b-9148-e3be6c30e623}">
          <xlrd:rvb i="4239"/>
        </ext>
      </extLst>
    </bk>
    <bk>
      <extLst>
        <ext uri="{3e2802c4-a4d2-4d8b-9148-e3be6c30e623}">
          <xlrd:rvb i="4240"/>
        </ext>
      </extLst>
    </bk>
    <bk>
      <extLst>
        <ext uri="{3e2802c4-a4d2-4d8b-9148-e3be6c30e623}">
          <xlrd:rvb i="4241"/>
        </ext>
      </extLst>
    </bk>
    <bk>
      <extLst>
        <ext uri="{3e2802c4-a4d2-4d8b-9148-e3be6c30e623}">
          <xlrd:rvb i="4242"/>
        </ext>
      </extLst>
    </bk>
    <bk>
      <extLst>
        <ext uri="{3e2802c4-a4d2-4d8b-9148-e3be6c30e623}">
          <xlrd:rvb i="4243"/>
        </ext>
      </extLst>
    </bk>
    <bk>
      <extLst>
        <ext uri="{3e2802c4-a4d2-4d8b-9148-e3be6c30e623}">
          <xlrd:rvb i="4244"/>
        </ext>
      </extLst>
    </bk>
    <bk>
      <extLst>
        <ext uri="{3e2802c4-a4d2-4d8b-9148-e3be6c30e623}">
          <xlrd:rvb i="4245"/>
        </ext>
      </extLst>
    </bk>
    <bk>
      <extLst>
        <ext uri="{3e2802c4-a4d2-4d8b-9148-e3be6c30e623}">
          <xlrd:rvb i="4246"/>
        </ext>
      </extLst>
    </bk>
    <bk>
      <extLst>
        <ext uri="{3e2802c4-a4d2-4d8b-9148-e3be6c30e623}">
          <xlrd:rvb i="4247"/>
        </ext>
      </extLst>
    </bk>
    <bk>
      <extLst>
        <ext uri="{3e2802c4-a4d2-4d8b-9148-e3be6c30e623}">
          <xlrd:rvb i="4248"/>
        </ext>
      </extLst>
    </bk>
    <bk>
      <extLst>
        <ext uri="{3e2802c4-a4d2-4d8b-9148-e3be6c30e623}">
          <xlrd:rvb i="4249"/>
        </ext>
      </extLst>
    </bk>
    <bk>
      <extLst>
        <ext uri="{3e2802c4-a4d2-4d8b-9148-e3be6c30e623}">
          <xlrd:rvb i="4250"/>
        </ext>
      </extLst>
    </bk>
    <bk>
      <extLst>
        <ext uri="{3e2802c4-a4d2-4d8b-9148-e3be6c30e623}">
          <xlrd:rvb i="4251"/>
        </ext>
      </extLst>
    </bk>
    <bk>
      <extLst>
        <ext uri="{3e2802c4-a4d2-4d8b-9148-e3be6c30e623}">
          <xlrd:rvb i="4252"/>
        </ext>
      </extLst>
    </bk>
    <bk>
      <extLst>
        <ext uri="{3e2802c4-a4d2-4d8b-9148-e3be6c30e623}">
          <xlrd:rvb i="4253"/>
        </ext>
      </extLst>
    </bk>
    <bk>
      <extLst>
        <ext uri="{3e2802c4-a4d2-4d8b-9148-e3be6c30e623}">
          <xlrd:rvb i="4254"/>
        </ext>
      </extLst>
    </bk>
    <bk>
      <extLst>
        <ext uri="{3e2802c4-a4d2-4d8b-9148-e3be6c30e623}">
          <xlrd:rvb i="4255"/>
        </ext>
      </extLst>
    </bk>
    <bk>
      <extLst>
        <ext uri="{3e2802c4-a4d2-4d8b-9148-e3be6c30e623}">
          <xlrd:rvb i="4256"/>
        </ext>
      </extLst>
    </bk>
    <bk>
      <extLst>
        <ext uri="{3e2802c4-a4d2-4d8b-9148-e3be6c30e623}">
          <xlrd:rvb i="4257"/>
        </ext>
      </extLst>
    </bk>
    <bk>
      <extLst>
        <ext uri="{3e2802c4-a4d2-4d8b-9148-e3be6c30e623}">
          <xlrd:rvb i="4258"/>
        </ext>
      </extLst>
    </bk>
    <bk>
      <extLst>
        <ext uri="{3e2802c4-a4d2-4d8b-9148-e3be6c30e623}">
          <xlrd:rvb i="4259"/>
        </ext>
      </extLst>
    </bk>
    <bk>
      <extLst>
        <ext uri="{3e2802c4-a4d2-4d8b-9148-e3be6c30e623}">
          <xlrd:rvb i="4260"/>
        </ext>
      </extLst>
    </bk>
    <bk>
      <extLst>
        <ext uri="{3e2802c4-a4d2-4d8b-9148-e3be6c30e623}">
          <xlrd:rvb i="4261"/>
        </ext>
      </extLst>
    </bk>
    <bk>
      <extLst>
        <ext uri="{3e2802c4-a4d2-4d8b-9148-e3be6c30e623}">
          <xlrd:rvb i="4262"/>
        </ext>
      </extLst>
    </bk>
    <bk>
      <extLst>
        <ext uri="{3e2802c4-a4d2-4d8b-9148-e3be6c30e623}">
          <xlrd:rvb i="4263"/>
        </ext>
      </extLst>
    </bk>
    <bk>
      <extLst>
        <ext uri="{3e2802c4-a4d2-4d8b-9148-e3be6c30e623}">
          <xlrd:rvb i="4264"/>
        </ext>
      </extLst>
    </bk>
    <bk>
      <extLst>
        <ext uri="{3e2802c4-a4d2-4d8b-9148-e3be6c30e623}">
          <xlrd:rvb i="4265"/>
        </ext>
      </extLst>
    </bk>
    <bk>
      <extLst>
        <ext uri="{3e2802c4-a4d2-4d8b-9148-e3be6c30e623}">
          <xlrd:rvb i="4266"/>
        </ext>
      </extLst>
    </bk>
    <bk>
      <extLst>
        <ext uri="{3e2802c4-a4d2-4d8b-9148-e3be6c30e623}">
          <xlrd:rvb i="4267"/>
        </ext>
      </extLst>
    </bk>
    <bk>
      <extLst>
        <ext uri="{3e2802c4-a4d2-4d8b-9148-e3be6c30e623}">
          <xlrd:rvb i="4268"/>
        </ext>
      </extLst>
    </bk>
    <bk>
      <extLst>
        <ext uri="{3e2802c4-a4d2-4d8b-9148-e3be6c30e623}">
          <xlrd:rvb i="4269"/>
        </ext>
      </extLst>
    </bk>
    <bk>
      <extLst>
        <ext uri="{3e2802c4-a4d2-4d8b-9148-e3be6c30e623}">
          <xlrd:rvb i="4270"/>
        </ext>
      </extLst>
    </bk>
    <bk>
      <extLst>
        <ext uri="{3e2802c4-a4d2-4d8b-9148-e3be6c30e623}">
          <xlrd:rvb i="4271"/>
        </ext>
      </extLst>
    </bk>
    <bk>
      <extLst>
        <ext uri="{3e2802c4-a4d2-4d8b-9148-e3be6c30e623}">
          <xlrd:rvb i="4272"/>
        </ext>
      </extLst>
    </bk>
    <bk>
      <extLst>
        <ext uri="{3e2802c4-a4d2-4d8b-9148-e3be6c30e623}">
          <xlrd:rvb i="4273"/>
        </ext>
      </extLst>
    </bk>
    <bk>
      <extLst>
        <ext uri="{3e2802c4-a4d2-4d8b-9148-e3be6c30e623}">
          <xlrd:rvb i="4274"/>
        </ext>
      </extLst>
    </bk>
    <bk>
      <extLst>
        <ext uri="{3e2802c4-a4d2-4d8b-9148-e3be6c30e623}">
          <xlrd:rvb i="4275"/>
        </ext>
      </extLst>
    </bk>
    <bk>
      <extLst>
        <ext uri="{3e2802c4-a4d2-4d8b-9148-e3be6c30e623}">
          <xlrd:rvb i="4276"/>
        </ext>
      </extLst>
    </bk>
    <bk>
      <extLst>
        <ext uri="{3e2802c4-a4d2-4d8b-9148-e3be6c30e623}">
          <xlrd:rvb i="4277"/>
        </ext>
      </extLst>
    </bk>
    <bk>
      <extLst>
        <ext uri="{3e2802c4-a4d2-4d8b-9148-e3be6c30e623}">
          <xlrd:rvb i="4278"/>
        </ext>
      </extLst>
    </bk>
    <bk>
      <extLst>
        <ext uri="{3e2802c4-a4d2-4d8b-9148-e3be6c30e623}">
          <xlrd:rvb i="4279"/>
        </ext>
      </extLst>
    </bk>
    <bk>
      <extLst>
        <ext uri="{3e2802c4-a4d2-4d8b-9148-e3be6c30e623}">
          <xlrd:rvb i="4280"/>
        </ext>
      </extLst>
    </bk>
    <bk>
      <extLst>
        <ext uri="{3e2802c4-a4d2-4d8b-9148-e3be6c30e623}">
          <xlrd:rvb i="4281"/>
        </ext>
      </extLst>
    </bk>
    <bk>
      <extLst>
        <ext uri="{3e2802c4-a4d2-4d8b-9148-e3be6c30e623}">
          <xlrd:rvb i="4282"/>
        </ext>
      </extLst>
    </bk>
    <bk>
      <extLst>
        <ext uri="{3e2802c4-a4d2-4d8b-9148-e3be6c30e623}">
          <xlrd:rvb i="4283"/>
        </ext>
      </extLst>
    </bk>
    <bk>
      <extLst>
        <ext uri="{3e2802c4-a4d2-4d8b-9148-e3be6c30e623}">
          <xlrd:rvb i="4284"/>
        </ext>
      </extLst>
    </bk>
    <bk>
      <extLst>
        <ext uri="{3e2802c4-a4d2-4d8b-9148-e3be6c30e623}">
          <xlrd:rvb i="4285"/>
        </ext>
      </extLst>
    </bk>
    <bk>
      <extLst>
        <ext uri="{3e2802c4-a4d2-4d8b-9148-e3be6c30e623}">
          <xlrd:rvb i="4286"/>
        </ext>
      </extLst>
    </bk>
    <bk>
      <extLst>
        <ext uri="{3e2802c4-a4d2-4d8b-9148-e3be6c30e623}">
          <xlrd:rvb i="4287"/>
        </ext>
      </extLst>
    </bk>
    <bk>
      <extLst>
        <ext uri="{3e2802c4-a4d2-4d8b-9148-e3be6c30e623}">
          <xlrd:rvb i="4288"/>
        </ext>
      </extLst>
    </bk>
    <bk>
      <extLst>
        <ext uri="{3e2802c4-a4d2-4d8b-9148-e3be6c30e623}">
          <xlrd:rvb i="4289"/>
        </ext>
      </extLst>
    </bk>
    <bk>
      <extLst>
        <ext uri="{3e2802c4-a4d2-4d8b-9148-e3be6c30e623}">
          <xlrd:rvb i="4290"/>
        </ext>
      </extLst>
    </bk>
    <bk>
      <extLst>
        <ext uri="{3e2802c4-a4d2-4d8b-9148-e3be6c30e623}">
          <xlrd:rvb i="4291"/>
        </ext>
      </extLst>
    </bk>
    <bk>
      <extLst>
        <ext uri="{3e2802c4-a4d2-4d8b-9148-e3be6c30e623}">
          <xlrd:rvb i="4292"/>
        </ext>
      </extLst>
    </bk>
    <bk>
      <extLst>
        <ext uri="{3e2802c4-a4d2-4d8b-9148-e3be6c30e623}">
          <xlrd:rvb i="4293"/>
        </ext>
      </extLst>
    </bk>
    <bk>
      <extLst>
        <ext uri="{3e2802c4-a4d2-4d8b-9148-e3be6c30e623}">
          <xlrd:rvb i="4294"/>
        </ext>
      </extLst>
    </bk>
    <bk>
      <extLst>
        <ext uri="{3e2802c4-a4d2-4d8b-9148-e3be6c30e623}">
          <xlrd:rvb i="4295"/>
        </ext>
      </extLst>
    </bk>
    <bk>
      <extLst>
        <ext uri="{3e2802c4-a4d2-4d8b-9148-e3be6c30e623}">
          <xlrd:rvb i="4296"/>
        </ext>
      </extLst>
    </bk>
    <bk>
      <extLst>
        <ext uri="{3e2802c4-a4d2-4d8b-9148-e3be6c30e623}">
          <xlrd:rvb i="4297"/>
        </ext>
      </extLst>
    </bk>
    <bk>
      <extLst>
        <ext uri="{3e2802c4-a4d2-4d8b-9148-e3be6c30e623}">
          <xlrd:rvb i="4298"/>
        </ext>
      </extLst>
    </bk>
    <bk>
      <extLst>
        <ext uri="{3e2802c4-a4d2-4d8b-9148-e3be6c30e623}">
          <xlrd:rvb i="4299"/>
        </ext>
      </extLst>
    </bk>
    <bk>
      <extLst>
        <ext uri="{3e2802c4-a4d2-4d8b-9148-e3be6c30e623}">
          <xlrd:rvb i="4300"/>
        </ext>
      </extLst>
    </bk>
    <bk>
      <extLst>
        <ext uri="{3e2802c4-a4d2-4d8b-9148-e3be6c30e623}">
          <xlrd:rvb i="4301"/>
        </ext>
      </extLst>
    </bk>
    <bk>
      <extLst>
        <ext uri="{3e2802c4-a4d2-4d8b-9148-e3be6c30e623}">
          <xlrd:rvb i="4302"/>
        </ext>
      </extLst>
    </bk>
    <bk>
      <extLst>
        <ext uri="{3e2802c4-a4d2-4d8b-9148-e3be6c30e623}">
          <xlrd:rvb i="4303"/>
        </ext>
      </extLst>
    </bk>
    <bk>
      <extLst>
        <ext uri="{3e2802c4-a4d2-4d8b-9148-e3be6c30e623}">
          <xlrd:rvb i="4304"/>
        </ext>
      </extLst>
    </bk>
    <bk>
      <extLst>
        <ext uri="{3e2802c4-a4d2-4d8b-9148-e3be6c30e623}">
          <xlrd:rvb i="4305"/>
        </ext>
      </extLst>
    </bk>
    <bk>
      <extLst>
        <ext uri="{3e2802c4-a4d2-4d8b-9148-e3be6c30e623}">
          <xlrd:rvb i="4306"/>
        </ext>
      </extLst>
    </bk>
    <bk>
      <extLst>
        <ext uri="{3e2802c4-a4d2-4d8b-9148-e3be6c30e623}">
          <xlrd:rvb i="4307"/>
        </ext>
      </extLst>
    </bk>
    <bk>
      <extLst>
        <ext uri="{3e2802c4-a4d2-4d8b-9148-e3be6c30e623}">
          <xlrd:rvb i="4308"/>
        </ext>
      </extLst>
    </bk>
    <bk>
      <extLst>
        <ext uri="{3e2802c4-a4d2-4d8b-9148-e3be6c30e623}">
          <xlrd:rvb i="4309"/>
        </ext>
      </extLst>
    </bk>
    <bk>
      <extLst>
        <ext uri="{3e2802c4-a4d2-4d8b-9148-e3be6c30e623}">
          <xlrd:rvb i="4310"/>
        </ext>
      </extLst>
    </bk>
    <bk>
      <extLst>
        <ext uri="{3e2802c4-a4d2-4d8b-9148-e3be6c30e623}">
          <xlrd:rvb i="4311"/>
        </ext>
      </extLst>
    </bk>
    <bk>
      <extLst>
        <ext uri="{3e2802c4-a4d2-4d8b-9148-e3be6c30e623}">
          <xlrd:rvb i="4312"/>
        </ext>
      </extLst>
    </bk>
    <bk>
      <extLst>
        <ext uri="{3e2802c4-a4d2-4d8b-9148-e3be6c30e623}">
          <xlrd:rvb i="4313"/>
        </ext>
      </extLst>
    </bk>
    <bk>
      <extLst>
        <ext uri="{3e2802c4-a4d2-4d8b-9148-e3be6c30e623}">
          <xlrd:rvb i="4314"/>
        </ext>
      </extLst>
    </bk>
    <bk>
      <extLst>
        <ext uri="{3e2802c4-a4d2-4d8b-9148-e3be6c30e623}">
          <xlrd:rvb i="4315"/>
        </ext>
      </extLst>
    </bk>
    <bk>
      <extLst>
        <ext uri="{3e2802c4-a4d2-4d8b-9148-e3be6c30e623}">
          <xlrd:rvb i="4316"/>
        </ext>
      </extLst>
    </bk>
    <bk>
      <extLst>
        <ext uri="{3e2802c4-a4d2-4d8b-9148-e3be6c30e623}">
          <xlrd:rvb i="4317"/>
        </ext>
      </extLst>
    </bk>
    <bk>
      <extLst>
        <ext uri="{3e2802c4-a4d2-4d8b-9148-e3be6c30e623}">
          <xlrd:rvb i="4318"/>
        </ext>
      </extLst>
    </bk>
    <bk>
      <extLst>
        <ext uri="{3e2802c4-a4d2-4d8b-9148-e3be6c30e623}">
          <xlrd:rvb i="4319"/>
        </ext>
      </extLst>
    </bk>
    <bk>
      <extLst>
        <ext uri="{3e2802c4-a4d2-4d8b-9148-e3be6c30e623}">
          <xlrd:rvb i="4320"/>
        </ext>
      </extLst>
    </bk>
    <bk>
      <extLst>
        <ext uri="{3e2802c4-a4d2-4d8b-9148-e3be6c30e623}">
          <xlrd:rvb i="4321"/>
        </ext>
      </extLst>
    </bk>
    <bk>
      <extLst>
        <ext uri="{3e2802c4-a4d2-4d8b-9148-e3be6c30e623}">
          <xlrd:rvb i="4322"/>
        </ext>
      </extLst>
    </bk>
    <bk>
      <extLst>
        <ext uri="{3e2802c4-a4d2-4d8b-9148-e3be6c30e623}">
          <xlrd:rvb i="4323"/>
        </ext>
      </extLst>
    </bk>
    <bk>
      <extLst>
        <ext uri="{3e2802c4-a4d2-4d8b-9148-e3be6c30e623}">
          <xlrd:rvb i="4324"/>
        </ext>
      </extLst>
    </bk>
    <bk>
      <extLst>
        <ext uri="{3e2802c4-a4d2-4d8b-9148-e3be6c30e623}">
          <xlrd:rvb i="4325"/>
        </ext>
      </extLst>
    </bk>
    <bk>
      <extLst>
        <ext uri="{3e2802c4-a4d2-4d8b-9148-e3be6c30e623}">
          <xlrd:rvb i="4326"/>
        </ext>
      </extLst>
    </bk>
    <bk>
      <extLst>
        <ext uri="{3e2802c4-a4d2-4d8b-9148-e3be6c30e623}">
          <xlrd:rvb i="4327"/>
        </ext>
      </extLst>
    </bk>
    <bk>
      <extLst>
        <ext uri="{3e2802c4-a4d2-4d8b-9148-e3be6c30e623}">
          <xlrd:rvb i="4328"/>
        </ext>
      </extLst>
    </bk>
    <bk>
      <extLst>
        <ext uri="{3e2802c4-a4d2-4d8b-9148-e3be6c30e623}">
          <xlrd:rvb i="4329"/>
        </ext>
      </extLst>
    </bk>
    <bk>
      <extLst>
        <ext uri="{3e2802c4-a4d2-4d8b-9148-e3be6c30e623}">
          <xlrd:rvb i="4330"/>
        </ext>
      </extLst>
    </bk>
    <bk>
      <extLst>
        <ext uri="{3e2802c4-a4d2-4d8b-9148-e3be6c30e623}">
          <xlrd:rvb i="4331"/>
        </ext>
      </extLst>
    </bk>
    <bk>
      <extLst>
        <ext uri="{3e2802c4-a4d2-4d8b-9148-e3be6c30e623}">
          <xlrd:rvb i="4332"/>
        </ext>
      </extLst>
    </bk>
    <bk>
      <extLst>
        <ext uri="{3e2802c4-a4d2-4d8b-9148-e3be6c30e623}">
          <xlrd:rvb i="4333"/>
        </ext>
      </extLst>
    </bk>
    <bk>
      <extLst>
        <ext uri="{3e2802c4-a4d2-4d8b-9148-e3be6c30e623}">
          <xlrd:rvb i="4334"/>
        </ext>
      </extLst>
    </bk>
    <bk>
      <extLst>
        <ext uri="{3e2802c4-a4d2-4d8b-9148-e3be6c30e623}">
          <xlrd:rvb i="4335"/>
        </ext>
      </extLst>
    </bk>
    <bk>
      <extLst>
        <ext uri="{3e2802c4-a4d2-4d8b-9148-e3be6c30e623}">
          <xlrd:rvb i="4336"/>
        </ext>
      </extLst>
    </bk>
    <bk>
      <extLst>
        <ext uri="{3e2802c4-a4d2-4d8b-9148-e3be6c30e623}">
          <xlrd:rvb i="4337"/>
        </ext>
      </extLst>
    </bk>
    <bk>
      <extLst>
        <ext uri="{3e2802c4-a4d2-4d8b-9148-e3be6c30e623}">
          <xlrd:rvb i="4338"/>
        </ext>
      </extLst>
    </bk>
    <bk>
      <extLst>
        <ext uri="{3e2802c4-a4d2-4d8b-9148-e3be6c30e623}">
          <xlrd:rvb i="4339"/>
        </ext>
      </extLst>
    </bk>
    <bk>
      <extLst>
        <ext uri="{3e2802c4-a4d2-4d8b-9148-e3be6c30e623}">
          <xlrd:rvb i="4340"/>
        </ext>
      </extLst>
    </bk>
    <bk>
      <extLst>
        <ext uri="{3e2802c4-a4d2-4d8b-9148-e3be6c30e623}">
          <xlrd:rvb i="4341"/>
        </ext>
      </extLst>
    </bk>
    <bk>
      <extLst>
        <ext uri="{3e2802c4-a4d2-4d8b-9148-e3be6c30e623}">
          <xlrd:rvb i="4342"/>
        </ext>
      </extLst>
    </bk>
    <bk>
      <extLst>
        <ext uri="{3e2802c4-a4d2-4d8b-9148-e3be6c30e623}">
          <xlrd:rvb i="4343"/>
        </ext>
      </extLst>
    </bk>
    <bk>
      <extLst>
        <ext uri="{3e2802c4-a4d2-4d8b-9148-e3be6c30e623}">
          <xlrd:rvb i="4344"/>
        </ext>
      </extLst>
    </bk>
    <bk>
      <extLst>
        <ext uri="{3e2802c4-a4d2-4d8b-9148-e3be6c30e623}">
          <xlrd:rvb i="4345"/>
        </ext>
      </extLst>
    </bk>
    <bk>
      <extLst>
        <ext uri="{3e2802c4-a4d2-4d8b-9148-e3be6c30e623}">
          <xlrd:rvb i="4346"/>
        </ext>
      </extLst>
    </bk>
    <bk>
      <extLst>
        <ext uri="{3e2802c4-a4d2-4d8b-9148-e3be6c30e623}">
          <xlrd:rvb i="4347"/>
        </ext>
      </extLst>
    </bk>
    <bk>
      <extLst>
        <ext uri="{3e2802c4-a4d2-4d8b-9148-e3be6c30e623}">
          <xlrd:rvb i="4348"/>
        </ext>
      </extLst>
    </bk>
    <bk>
      <extLst>
        <ext uri="{3e2802c4-a4d2-4d8b-9148-e3be6c30e623}">
          <xlrd:rvb i="4349"/>
        </ext>
      </extLst>
    </bk>
    <bk>
      <extLst>
        <ext uri="{3e2802c4-a4d2-4d8b-9148-e3be6c30e623}">
          <xlrd:rvb i="4350"/>
        </ext>
      </extLst>
    </bk>
    <bk>
      <extLst>
        <ext uri="{3e2802c4-a4d2-4d8b-9148-e3be6c30e623}">
          <xlrd:rvb i="4351"/>
        </ext>
      </extLst>
    </bk>
    <bk>
      <extLst>
        <ext uri="{3e2802c4-a4d2-4d8b-9148-e3be6c30e623}">
          <xlrd:rvb i="4352"/>
        </ext>
      </extLst>
    </bk>
    <bk>
      <extLst>
        <ext uri="{3e2802c4-a4d2-4d8b-9148-e3be6c30e623}">
          <xlrd:rvb i="4353"/>
        </ext>
      </extLst>
    </bk>
    <bk>
      <extLst>
        <ext uri="{3e2802c4-a4d2-4d8b-9148-e3be6c30e623}">
          <xlrd:rvb i="4354"/>
        </ext>
      </extLst>
    </bk>
    <bk>
      <extLst>
        <ext uri="{3e2802c4-a4d2-4d8b-9148-e3be6c30e623}">
          <xlrd:rvb i="4355"/>
        </ext>
      </extLst>
    </bk>
    <bk>
      <extLst>
        <ext uri="{3e2802c4-a4d2-4d8b-9148-e3be6c30e623}">
          <xlrd:rvb i="4356"/>
        </ext>
      </extLst>
    </bk>
    <bk>
      <extLst>
        <ext uri="{3e2802c4-a4d2-4d8b-9148-e3be6c30e623}">
          <xlrd:rvb i="4357"/>
        </ext>
      </extLst>
    </bk>
    <bk>
      <extLst>
        <ext uri="{3e2802c4-a4d2-4d8b-9148-e3be6c30e623}">
          <xlrd:rvb i="4358"/>
        </ext>
      </extLst>
    </bk>
    <bk>
      <extLst>
        <ext uri="{3e2802c4-a4d2-4d8b-9148-e3be6c30e623}">
          <xlrd:rvb i="4359"/>
        </ext>
      </extLst>
    </bk>
    <bk>
      <extLst>
        <ext uri="{3e2802c4-a4d2-4d8b-9148-e3be6c30e623}">
          <xlrd:rvb i="4360"/>
        </ext>
      </extLst>
    </bk>
    <bk>
      <extLst>
        <ext uri="{3e2802c4-a4d2-4d8b-9148-e3be6c30e623}">
          <xlrd:rvb i="4361"/>
        </ext>
      </extLst>
    </bk>
    <bk>
      <extLst>
        <ext uri="{3e2802c4-a4d2-4d8b-9148-e3be6c30e623}">
          <xlrd:rvb i="4362"/>
        </ext>
      </extLst>
    </bk>
    <bk>
      <extLst>
        <ext uri="{3e2802c4-a4d2-4d8b-9148-e3be6c30e623}">
          <xlrd:rvb i="4363"/>
        </ext>
      </extLst>
    </bk>
    <bk>
      <extLst>
        <ext uri="{3e2802c4-a4d2-4d8b-9148-e3be6c30e623}">
          <xlrd:rvb i="4364"/>
        </ext>
      </extLst>
    </bk>
    <bk>
      <extLst>
        <ext uri="{3e2802c4-a4d2-4d8b-9148-e3be6c30e623}">
          <xlrd:rvb i="4365"/>
        </ext>
      </extLst>
    </bk>
    <bk>
      <extLst>
        <ext uri="{3e2802c4-a4d2-4d8b-9148-e3be6c30e623}">
          <xlrd:rvb i="4366"/>
        </ext>
      </extLst>
    </bk>
    <bk>
      <extLst>
        <ext uri="{3e2802c4-a4d2-4d8b-9148-e3be6c30e623}">
          <xlrd:rvb i="4367"/>
        </ext>
      </extLst>
    </bk>
    <bk>
      <extLst>
        <ext uri="{3e2802c4-a4d2-4d8b-9148-e3be6c30e623}">
          <xlrd:rvb i="4368"/>
        </ext>
      </extLst>
    </bk>
    <bk>
      <extLst>
        <ext uri="{3e2802c4-a4d2-4d8b-9148-e3be6c30e623}">
          <xlrd:rvb i="4369"/>
        </ext>
      </extLst>
    </bk>
    <bk>
      <extLst>
        <ext uri="{3e2802c4-a4d2-4d8b-9148-e3be6c30e623}">
          <xlrd:rvb i="4370"/>
        </ext>
      </extLst>
    </bk>
    <bk>
      <extLst>
        <ext uri="{3e2802c4-a4d2-4d8b-9148-e3be6c30e623}">
          <xlrd:rvb i="4371"/>
        </ext>
      </extLst>
    </bk>
    <bk>
      <extLst>
        <ext uri="{3e2802c4-a4d2-4d8b-9148-e3be6c30e623}">
          <xlrd:rvb i="4372"/>
        </ext>
      </extLst>
    </bk>
    <bk>
      <extLst>
        <ext uri="{3e2802c4-a4d2-4d8b-9148-e3be6c30e623}">
          <xlrd:rvb i="4373"/>
        </ext>
      </extLst>
    </bk>
    <bk>
      <extLst>
        <ext uri="{3e2802c4-a4d2-4d8b-9148-e3be6c30e623}">
          <xlrd:rvb i="4374"/>
        </ext>
      </extLst>
    </bk>
    <bk>
      <extLst>
        <ext uri="{3e2802c4-a4d2-4d8b-9148-e3be6c30e623}">
          <xlrd:rvb i="4375"/>
        </ext>
      </extLst>
    </bk>
    <bk>
      <extLst>
        <ext uri="{3e2802c4-a4d2-4d8b-9148-e3be6c30e623}">
          <xlrd:rvb i="4376"/>
        </ext>
      </extLst>
    </bk>
    <bk>
      <extLst>
        <ext uri="{3e2802c4-a4d2-4d8b-9148-e3be6c30e623}">
          <xlrd:rvb i="4377"/>
        </ext>
      </extLst>
    </bk>
    <bk>
      <extLst>
        <ext uri="{3e2802c4-a4d2-4d8b-9148-e3be6c30e623}">
          <xlrd:rvb i="4378"/>
        </ext>
      </extLst>
    </bk>
    <bk>
      <extLst>
        <ext uri="{3e2802c4-a4d2-4d8b-9148-e3be6c30e623}">
          <xlrd:rvb i="4379"/>
        </ext>
      </extLst>
    </bk>
    <bk>
      <extLst>
        <ext uri="{3e2802c4-a4d2-4d8b-9148-e3be6c30e623}">
          <xlrd:rvb i="4380"/>
        </ext>
      </extLst>
    </bk>
    <bk>
      <extLst>
        <ext uri="{3e2802c4-a4d2-4d8b-9148-e3be6c30e623}">
          <xlrd:rvb i="4381"/>
        </ext>
      </extLst>
    </bk>
    <bk>
      <extLst>
        <ext uri="{3e2802c4-a4d2-4d8b-9148-e3be6c30e623}">
          <xlrd:rvb i="4382"/>
        </ext>
      </extLst>
    </bk>
    <bk>
      <extLst>
        <ext uri="{3e2802c4-a4d2-4d8b-9148-e3be6c30e623}">
          <xlrd:rvb i="4383"/>
        </ext>
      </extLst>
    </bk>
    <bk>
      <extLst>
        <ext uri="{3e2802c4-a4d2-4d8b-9148-e3be6c30e623}">
          <xlrd:rvb i="4384"/>
        </ext>
      </extLst>
    </bk>
    <bk>
      <extLst>
        <ext uri="{3e2802c4-a4d2-4d8b-9148-e3be6c30e623}">
          <xlrd:rvb i="4385"/>
        </ext>
      </extLst>
    </bk>
    <bk>
      <extLst>
        <ext uri="{3e2802c4-a4d2-4d8b-9148-e3be6c30e623}">
          <xlrd:rvb i="4386"/>
        </ext>
      </extLst>
    </bk>
    <bk>
      <extLst>
        <ext uri="{3e2802c4-a4d2-4d8b-9148-e3be6c30e623}">
          <xlrd:rvb i="4387"/>
        </ext>
      </extLst>
    </bk>
    <bk>
      <extLst>
        <ext uri="{3e2802c4-a4d2-4d8b-9148-e3be6c30e623}">
          <xlrd:rvb i="4388"/>
        </ext>
      </extLst>
    </bk>
    <bk>
      <extLst>
        <ext uri="{3e2802c4-a4d2-4d8b-9148-e3be6c30e623}">
          <xlrd:rvb i="4389"/>
        </ext>
      </extLst>
    </bk>
    <bk>
      <extLst>
        <ext uri="{3e2802c4-a4d2-4d8b-9148-e3be6c30e623}">
          <xlrd:rvb i="4390"/>
        </ext>
      </extLst>
    </bk>
    <bk>
      <extLst>
        <ext uri="{3e2802c4-a4d2-4d8b-9148-e3be6c30e623}">
          <xlrd:rvb i="4391"/>
        </ext>
      </extLst>
    </bk>
    <bk>
      <extLst>
        <ext uri="{3e2802c4-a4d2-4d8b-9148-e3be6c30e623}">
          <xlrd:rvb i="4392"/>
        </ext>
      </extLst>
    </bk>
    <bk>
      <extLst>
        <ext uri="{3e2802c4-a4d2-4d8b-9148-e3be6c30e623}">
          <xlrd:rvb i="4393"/>
        </ext>
      </extLst>
    </bk>
    <bk>
      <extLst>
        <ext uri="{3e2802c4-a4d2-4d8b-9148-e3be6c30e623}">
          <xlrd:rvb i="4394"/>
        </ext>
      </extLst>
    </bk>
    <bk>
      <extLst>
        <ext uri="{3e2802c4-a4d2-4d8b-9148-e3be6c30e623}">
          <xlrd:rvb i="4395"/>
        </ext>
      </extLst>
    </bk>
    <bk>
      <extLst>
        <ext uri="{3e2802c4-a4d2-4d8b-9148-e3be6c30e623}">
          <xlrd:rvb i="4396"/>
        </ext>
      </extLst>
    </bk>
    <bk>
      <extLst>
        <ext uri="{3e2802c4-a4d2-4d8b-9148-e3be6c30e623}">
          <xlrd:rvb i="4397"/>
        </ext>
      </extLst>
    </bk>
    <bk>
      <extLst>
        <ext uri="{3e2802c4-a4d2-4d8b-9148-e3be6c30e623}">
          <xlrd:rvb i="4398"/>
        </ext>
      </extLst>
    </bk>
    <bk>
      <extLst>
        <ext uri="{3e2802c4-a4d2-4d8b-9148-e3be6c30e623}">
          <xlrd:rvb i="4399"/>
        </ext>
      </extLst>
    </bk>
    <bk>
      <extLst>
        <ext uri="{3e2802c4-a4d2-4d8b-9148-e3be6c30e623}">
          <xlrd:rvb i="4400"/>
        </ext>
      </extLst>
    </bk>
    <bk>
      <extLst>
        <ext uri="{3e2802c4-a4d2-4d8b-9148-e3be6c30e623}">
          <xlrd:rvb i="4401"/>
        </ext>
      </extLst>
    </bk>
    <bk>
      <extLst>
        <ext uri="{3e2802c4-a4d2-4d8b-9148-e3be6c30e623}">
          <xlrd:rvb i="4402"/>
        </ext>
      </extLst>
    </bk>
    <bk>
      <extLst>
        <ext uri="{3e2802c4-a4d2-4d8b-9148-e3be6c30e623}">
          <xlrd:rvb i="4403"/>
        </ext>
      </extLst>
    </bk>
    <bk>
      <extLst>
        <ext uri="{3e2802c4-a4d2-4d8b-9148-e3be6c30e623}">
          <xlrd:rvb i="4404"/>
        </ext>
      </extLst>
    </bk>
    <bk>
      <extLst>
        <ext uri="{3e2802c4-a4d2-4d8b-9148-e3be6c30e623}">
          <xlrd:rvb i="4405"/>
        </ext>
      </extLst>
    </bk>
    <bk>
      <extLst>
        <ext uri="{3e2802c4-a4d2-4d8b-9148-e3be6c30e623}">
          <xlrd:rvb i="4406"/>
        </ext>
      </extLst>
    </bk>
    <bk>
      <extLst>
        <ext uri="{3e2802c4-a4d2-4d8b-9148-e3be6c30e623}">
          <xlrd:rvb i="4407"/>
        </ext>
      </extLst>
    </bk>
    <bk>
      <extLst>
        <ext uri="{3e2802c4-a4d2-4d8b-9148-e3be6c30e623}">
          <xlrd:rvb i="4408"/>
        </ext>
      </extLst>
    </bk>
    <bk>
      <extLst>
        <ext uri="{3e2802c4-a4d2-4d8b-9148-e3be6c30e623}">
          <xlrd:rvb i="4409"/>
        </ext>
      </extLst>
    </bk>
    <bk>
      <extLst>
        <ext uri="{3e2802c4-a4d2-4d8b-9148-e3be6c30e623}">
          <xlrd:rvb i="4410"/>
        </ext>
      </extLst>
    </bk>
    <bk>
      <extLst>
        <ext uri="{3e2802c4-a4d2-4d8b-9148-e3be6c30e623}">
          <xlrd:rvb i="4411"/>
        </ext>
      </extLst>
    </bk>
    <bk>
      <extLst>
        <ext uri="{3e2802c4-a4d2-4d8b-9148-e3be6c30e623}">
          <xlrd:rvb i="4412"/>
        </ext>
      </extLst>
    </bk>
    <bk>
      <extLst>
        <ext uri="{3e2802c4-a4d2-4d8b-9148-e3be6c30e623}">
          <xlrd:rvb i="4413"/>
        </ext>
      </extLst>
    </bk>
    <bk>
      <extLst>
        <ext uri="{3e2802c4-a4d2-4d8b-9148-e3be6c30e623}">
          <xlrd:rvb i="4414"/>
        </ext>
      </extLst>
    </bk>
    <bk>
      <extLst>
        <ext uri="{3e2802c4-a4d2-4d8b-9148-e3be6c30e623}">
          <xlrd:rvb i="4415"/>
        </ext>
      </extLst>
    </bk>
    <bk>
      <extLst>
        <ext uri="{3e2802c4-a4d2-4d8b-9148-e3be6c30e623}">
          <xlrd:rvb i="4416"/>
        </ext>
      </extLst>
    </bk>
    <bk>
      <extLst>
        <ext uri="{3e2802c4-a4d2-4d8b-9148-e3be6c30e623}">
          <xlrd:rvb i="4417"/>
        </ext>
      </extLst>
    </bk>
    <bk>
      <extLst>
        <ext uri="{3e2802c4-a4d2-4d8b-9148-e3be6c30e623}">
          <xlrd:rvb i="4418"/>
        </ext>
      </extLst>
    </bk>
    <bk>
      <extLst>
        <ext uri="{3e2802c4-a4d2-4d8b-9148-e3be6c30e623}">
          <xlrd:rvb i="4419"/>
        </ext>
      </extLst>
    </bk>
    <bk>
      <extLst>
        <ext uri="{3e2802c4-a4d2-4d8b-9148-e3be6c30e623}">
          <xlrd:rvb i="4420"/>
        </ext>
      </extLst>
    </bk>
    <bk>
      <extLst>
        <ext uri="{3e2802c4-a4d2-4d8b-9148-e3be6c30e623}">
          <xlrd:rvb i="4421"/>
        </ext>
      </extLst>
    </bk>
    <bk>
      <extLst>
        <ext uri="{3e2802c4-a4d2-4d8b-9148-e3be6c30e623}">
          <xlrd:rvb i="4422"/>
        </ext>
      </extLst>
    </bk>
    <bk>
      <extLst>
        <ext uri="{3e2802c4-a4d2-4d8b-9148-e3be6c30e623}">
          <xlrd:rvb i="4423"/>
        </ext>
      </extLst>
    </bk>
    <bk>
      <extLst>
        <ext uri="{3e2802c4-a4d2-4d8b-9148-e3be6c30e623}">
          <xlrd:rvb i="4424"/>
        </ext>
      </extLst>
    </bk>
    <bk>
      <extLst>
        <ext uri="{3e2802c4-a4d2-4d8b-9148-e3be6c30e623}">
          <xlrd:rvb i="4425"/>
        </ext>
      </extLst>
    </bk>
    <bk>
      <extLst>
        <ext uri="{3e2802c4-a4d2-4d8b-9148-e3be6c30e623}">
          <xlrd:rvb i="4426"/>
        </ext>
      </extLst>
    </bk>
    <bk>
      <extLst>
        <ext uri="{3e2802c4-a4d2-4d8b-9148-e3be6c30e623}">
          <xlrd:rvb i="4427"/>
        </ext>
      </extLst>
    </bk>
    <bk>
      <extLst>
        <ext uri="{3e2802c4-a4d2-4d8b-9148-e3be6c30e623}">
          <xlrd:rvb i="4428"/>
        </ext>
      </extLst>
    </bk>
    <bk>
      <extLst>
        <ext uri="{3e2802c4-a4d2-4d8b-9148-e3be6c30e623}">
          <xlrd:rvb i="4429"/>
        </ext>
      </extLst>
    </bk>
    <bk>
      <extLst>
        <ext uri="{3e2802c4-a4d2-4d8b-9148-e3be6c30e623}">
          <xlrd:rvb i="4430"/>
        </ext>
      </extLst>
    </bk>
    <bk>
      <extLst>
        <ext uri="{3e2802c4-a4d2-4d8b-9148-e3be6c30e623}">
          <xlrd:rvb i="4431"/>
        </ext>
      </extLst>
    </bk>
    <bk>
      <extLst>
        <ext uri="{3e2802c4-a4d2-4d8b-9148-e3be6c30e623}">
          <xlrd:rvb i="4432"/>
        </ext>
      </extLst>
    </bk>
    <bk>
      <extLst>
        <ext uri="{3e2802c4-a4d2-4d8b-9148-e3be6c30e623}">
          <xlrd:rvb i="4433"/>
        </ext>
      </extLst>
    </bk>
    <bk>
      <extLst>
        <ext uri="{3e2802c4-a4d2-4d8b-9148-e3be6c30e623}">
          <xlrd:rvb i="4434"/>
        </ext>
      </extLst>
    </bk>
    <bk>
      <extLst>
        <ext uri="{3e2802c4-a4d2-4d8b-9148-e3be6c30e623}">
          <xlrd:rvb i="4435"/>
        </ext>
      </extLst>
    </bk>
    <bk>
      <extLst>
        <ext uri="{3e2802c4-a4d2-4d8b-9148-e3be6c30e623}">
          <xlrd:rvb i="4436"/>
        </ext>
      </extLst>
    </bk>
    <bk>
      <extLst>
        <ext uri="{3e2802c4-a4d2-4d8b-9148-e3be6c30e623}">
          <xlrd:rvb i="4437"/>
        </ext>
      </extLst>
    </bk>
    <bk>
      <extLst>
        <ext uri="{3e2802c4-a4d2-4d8b-9148-e3be6c30e623}">
          <xlrd:rvb i="4438"/>
        </ext>
      </extLst>
    </bk>
    <bk>
      <extLst>
        <ext uri="{3e2802c4-a4d2-4d8b-9148-e3be6c30e623}">
          <xlrd:rvb i="4439"/>
        </ext>
      </extLst>
    </bk>
    <bk>
      <extLst>
        <ext uri="{3e2802c4-a4d2-4d8b-9148-e3be6c30e623}">
          <xlrd:rvb i="4440"/>
        </ext>
      </extLst>
    </bk>
    <bk>
      <extLst>
        <ext uri="{3e2802c4-a4d2-4d8b-9148-e3be6c30e623}">
          <xlrd:rvb i="4441"/>
        </ext>
      </extLst>
    </bk>
    <bk>
      <extLst>
        <ext uri="{3e2802c4-a4d2-4d8b-9148-e3be6c30e623}">
          <xlrd:rvb i="4442"/>
        </ext>
      </extLst>
    </bk>
    <bk>
      <extLst>
        <ext uri="{3e2802c4-a4d2-4d8b-9148-e3be6c30e623}">
          <xlrd:rvb i="4443"/>
        </ext>
      </extLst>
    </bk>
    <bk>
      <extLst>
        <ext uri="{3e2802c4-a4d2-4d8b-9148-e3be6c30e623}">
          <xlrd:rvb i="4444"/>
        </ext>
      </extLst>
    </bk>
    <bk>
      <extLst>
        <ext uri="{3e2802c4-a4d2-4d8b-9148-e3be6c30e623}">
          <xlrd:rvb i="4445"/>
        </ext>
      </extLst>
    </bk>
    <bk>
      <extLst>
        <ext uri="{3e2802c4-a4d2-4d8b-9148-e3be6c30e623}">
          <xlrd:rvb i="4446"/>
        </ext>
      </extLst>
    </bk>
    <bk>
      <extLst>
        <ext uri="{3e2802c4-a4d2-4d8b-9148-e3be6c30e623}">
          <xlrd:rvb i="4447"/>
        </ext>
      </extLst>
    </bk>
    <bk>
      <extLst>
        <ext uri="{3e2802c4-a4d2-4d8b-9148-e3be6c30e623}">
          <xlrd:rvb i="4448"/>
        </ext>
      </extLst>
    </bk>
    <bk>
      <extLst>
        <ext uri="{3e2802c4-a4d2-4d8b-9148-e3be6c30e623}">
          <xlrd:rvb i="4449"/>
        </ext>
      </extLst>
    </bk>
    <bk>
      <extLst>
        <ext uri="{3e2802c4-a4d2-4d8b-9148-e3be6c30e623}">
          <xlrd:rvb i="4450"/>
        </ext>
      </extLst>
    </bk>
    <bk>
      <extLst>
        <ext uri="{3e2802c4-a4d2-4d8b-9148-e3be6c30e623}">
          <xlrd:rvb i="4451"/>
        </ext>
      </extLst>
    </bk>
    <bk>
      <extLst>
        <ext uri="{3e2802c4-a4d2-4d8b-9148-e3be6c30e623}">
          <xlrd:rvb i="4452"/>
        </ext>
      </extLst>
    </bk>
    <bk>
      <extLst>
        <ext uri="{3e2802c4-a4d2-4d8b-9148-e3be6c30e623}">
          <xlrd:rvb i="4453"/>
        </ext>
      </extLst>
    </bk>
    <bk>
      <extLst>
        <ext uri="{3e2802c4-a4d2-4d8b-9148-e3be6c30e623}">
          <xlrd:rvb i="4454"/>
        </ext>
      </extLst>
    </bk>
    <bk>
      <extLst>
        <ext uri="{3e2802c4-a4d2-4d8b-9148-e3be6c30e623}">
          <xlrd:rvb i="4455"/>
        </ext>
      </extLst>
    </bk>
    <bk>
      <extLst>
        <ext uri="{3e2802c4-a4d2-4d8b-9148-e3be6c30e623}">
          <xlrd:rvb i="4456"/>
        </ext>
      </extLst>
    </bk>
    <bk>
      <extLst>
        <ext uri="{3e2802c4-a4d2-4d8b-9148-e3be6c30e623}">
          <xlrd:rvb i="4457"/>
        </ext>
      </extLst>
    </bk>
    <bk>
      <extLst>
        <ext uri="{3e2802c4-a4d2-4d8b-9148-e3be6c30e623}">
          <xlrd:rvb i="4458"/>
        </ext>
      </extLst>
    </bk>
    <bk>
      <extLst>
        <ext uri="{3e2802c4-a4d2-4d8b-9148-e3be6c30e623}">
          <xlrd:rvb i="4459"/>
        </ext>
      </extLst>
    </bk>
    <bk>
      <extLst>
        <ext uri="{3e2802c4-a4d2-4d8b-9148-e3be6c30e623}">
          <xlrd:rvb i="4460"/>
        </ext>
      </extLst>
    </bk>
    <bk>
      <extLst>
        <ext uri="{3e2802c4-a4d2-4d8b-9148-e3be6c30e623}">
          <xlrd:rvb i="4461"/>
        </ext>
      </extLst>
    </bk>
    <bk>
      <extLst>
        <ext uri="{3e2802c4-a4d2-4d8b-9148-e3be6c30e623}">
          <xlrd:rvb i="4462"/>
        </ext>
      </extLst>
    </bk>
    <bk>
      <extLst>
        <ext uri="{3e2802c4-a4d2-4d8b-9148-e3be6c30e623}">
          <xlrd:rvb i="4463"/>
        </ext>
      </extLst>
    </bk>
    <bk>
      <extLst>
        <ext uri="{3e2802c4-a4d2-4d8b-9148-e3be6c30e623}">
          <xlrd:rvb i="4464"/>
        </ext>
      </extLst>
    </bk>
    <bk>
      <extLst>
        <ext uri="{3e2802c4-a4d2-4d8b-9148-e3be6c30e623}">
          <xlrd:rvb i="4465"/>
        </ext>
      </extLst>
    </bk>
    <bk>
      <extLst>
        <ext uri="{3e2802c4-a4d2-4d8b-9148-e3be6c30e623}">
          <xlrd:rvb i="4466"/>
        </ext>
      </extLst>
    </bk>
    <bk>
      <extLst>
        <ext uri="{3e2802c4-a4d2-4d8b-9148-e3be6c30e623}">
          <xlrd:rvb i="4467"/>
        </ext>
      </extLst>
    </bk>
    <bk>
      <extLst>
        <ext uri="{3e2802c4-a4d2-4d8b-9148-e3be6c30e623}">
          <xlrd:rvb i="4468"/>
        </ext>
      </extLst>
    </bk>
    <bk>
      <extLst>
        <ext uri="{3e2802c4-a4d2-4d8b-9148-e3be6c30e623}">
          <xlrd:rvb i="4469"/>
        </ext>
      </extLst>
    </bk>
    <bk>
      <extLst>
        <ext uri="{3e2802c4-a4d2-4d8b-9148-e3be6c30e623}">
          <xlrd:rvb i="4470"/>
        </ext>
      </extLst>
    </bk>
    <bk>
      <extLst>
        <ext uri="{3e2802c4-a4d2-4d8b-9148-e3be6c30e623}">
          <xlrd:rvb i="4471"/>
        </ext>
      </extLst>
    </bk>
    <bk>
      <extLst>
        <ext uri="{3e2802c4-a4d2-4d8b-9148-e3be6c30e623}">
          <xlrd:rvb i="4472"/>
        </ext>
      </extLst>
    </bk>
    <bk>
      <extLst>
        <ext uri="{3e2802c4-a4d2-4d8b-9148-e3be6c30e623}">
          <xlrd:rvb i="4473"/>
        </ext>
      </extLst>
    </bk>
    <bk>
      <extLst>
        <ext uri="{3e2802c4-a4d2-4d8b-9148-e3be6c30e623}">
          <xlrd:rvb i="4474"/>
        </ext>
      </extLst>
    </bk>
    <bk>
      <extLst>
        <ext uri="{3e2802c4-a4d2-4d8b-9148-e3be6c30e623}">
          <xlrd:rvb i="4475"/>
        </ext>
      </extLst>
    </bk>
    <bk>
      <extLst>
        <ext uri="{3e2802c4-a4d2-4d8b-9148-e3be6c30e623}">
          <xlrd:rvb i="4476"/>
        </ext>
      </extLst>
    </bk>
    <bk>
      <extLst>
        <ext uri="{3e2802c4-a4d2-4d8b-9148-e3be6c30e623}">
          <xlrd:rvb i="4477"/>
        </ext>
      </extLst>
    </bk>
    <bk>
      <extLst>
        <ext uri="{3e2802c4-a4d2-4d8b-9148-e3be6c30e623}">
          <xlrd:rvb i="4478"/>
        </ext>
      </extLst>
    </bk>
    <bk>
      <extLst>
        <ext uri="{3e2802c4-a4d2-4d8b-9148-e3be6c30e623}">
          <xlrd:rvb i="4479"/>
        </ext>
      </extLst>
    </bk>
    <bk>
      <extLst>
        <ext uri="{3e2802c4-a4d2-4d8b-9148-e3be6c30e623}">
          <xlrd:rvb i="4480"/>
        </ext>
      </extLst>
    </bk>
    <bk>
      <extLst>
        <ext uri="{3e2802c4-a4d2-4d8b-9148-e3be6c30e623}">
          <xlrd:rvb i="4481"/>
        </ext>
      </extLst>
    </bk>
    <bk>
      <extLst>
        <ext uri="{3e2802c4-a4d2-4d8b-9148-e3be6c30e623}">
          <xlrd:rvb i="4482"/>
        </ext>
      </extLst>
    </bk>
    <bk>
      <extLst>
        <ext uri="{3e2802c4-a4d2-4d8b-9148-e3be6c30e623}">
          <xlrd:rvb i="4483"/>
        </ext>
      </extLst>
    </bk>
    <bk>
      <extLst>
        <ext uri="{3e2802c4-a4d2-4d8b-9148-e3be6c30e623}">
          <xlrd:rvb i="4484"/>
        </ext>
      </extLst>
    </bk>
    <bk>
      <extLst>
        <ext uri="{3e2802c4-a4d2-4d8b-9148-e3be6c30e623}">
          <xlrd:rvb i="4485"/>
        </ext>
      </extLst>
    </bk>
    <bk>
      <extLst>
        <ext uri="{3e2802c4-a4d2-4d8b-9148-e3be6c30e623}">
          <xlrd:rvb i="4486"/>
        </ext>
      </extLst>
    </bk>
    <bk>
      <extLst>
        <ext uri="{3e2802c4-a4d2-4d8b-9148-e3be6c30e623}">
          <xlrd:rvb i="4487"/>
        </ext>
      </extLst>
    </bk>
    <bk>
      <extLst>
        <ext uri="{3e2802c4-a4d2-4d8b-9148-e3be6c30e623}">
          <xlrd:rvb i="4488"/>
        </ext>
      </extLst>
    </bk>
    <bk>
      <extLst>
        <ext uri="{3e2802c4-a4d2-4d8b-9148-e3be6c30e623}">
          <xlrd:rvb i="4489"/>
        </ext>
      </extLst>
    </bk>
    <bk>
      <extLst>
        <ext uri="{3e2802c4-a4d2-4d8b-9148-e3be6c30e623}">
          <xlrd:rvb i="4490"/>
        </ext>
      </extLst>
    </bk>
    <bk>
      <extLst>
        <ext uri="{3e2802c4-a4d2-4d8b-9148-e3be6c30e623}">
          <xlrd:rvb i="4491"/>
        </ext>
      </extLst>
    </bk>
    <bk>
      <extLst>
        <ext uri="{3e2802c4-a4d2-4d8b-9148-e3be6c30e623}">
          <xlrd:rvb i="4492"/>
        </ext>
      </extLst>
    </bk>
    <bk>
      <extLst>
        <ext uri="{3e2802c4-a4d2-4d8b-9148-e3be6c30e623}">
          <xlrd:rvb i="4493"/>
        </ext>
      </extLst>
    </bk>
    <bk>
      <extLst>
        <ext uri="{3e2802c4-a4d2-4d8b-9148-e3be6c30e623}">
          <xlrd:rvb i="4494"/>
        </ext>
      </extLst>
    </bk>
    <bk>
      <extLst>
        <ext uri="{3e2802c4-a4d2-4d8b-9148-e3be6c30e623}">
          <xlrd:rvb i="4495"/>
        </ext>
      </extLst>
    </bk>
    <bk>
      <extLst>
        <ext uri="{3e2802c4-a4d2-4d8b-9148-e3be6c30e623}">
          <xlrd:rvb i="4496"/>
        </ext>
      </extLst>
    </bk>
    <bk>
      <extLst>
        <ext uri="{3e2802c4-a4d2-4d8b-9148-e3be6c30e623}">
          <xlrd:rvb i="4497"/>
        </ext>
      </extLst>
    </bk>
    <bk>
      <extLst>
        <ext uri="{3e2802c4-a4d2-4d8b-9148-e3be6c30e623}">
          <xlrd:rvb i="4498"/>
        </ext>
      </extLst>
    </bk>
    <bk>
      <extLst>
        <ext uri="{3e2802c4-a4d2-4d8b-9148-e3be6c30e623}">
          <xlrd:rvb i="4499"/>
        </ext>
      </extLst>
    </bk>
    <bk>
      <extLst>
        <ext uri="{3e2802c4-a4d2-4d8b-9148-e3be6c30e623}">
          <xlrd:rvb i="4500"/>
        </ext>
      </extLst>
    </bk>
    <bk>
      <extLst>
        <ext uri="{3e2802c4-a4d2-4d8b-9148-e3be6c30e623}">
          <xlrd:rvb i="4501"/>
        </ext>
      </extLst>
    </bk>
    <bk>
      <extLst>
        <ext uri="{3e2802c4-a4d2-4d8b-9148-e3be6c30e623}">
          <xlrd:rvb i="4502"/>
        </ext>
      </extLst>
    </bk>
    <bk>
      <extLst>
        <ext uri="{3e2802c4-a4d2-4d8b-9148-e3be6c30e623}">
          <xlrd:rvb i="4503"/>
        </ext>
      </extLst>
    </bk>
    <bk>
      <extLst>
        <ext uri="{3e2802c4-a4d2-4d8b-9148-e3be6c30e623}">
          <xlrd:rvb i="4504"/>
        </ext>
      </extLst>
    </bk>
    <bk>
      <extLst>
        <ext uri="{3e2802c4-a4d2-4d8b-9148-e3be6c30e623}">
          <xlrd:rvb i="4505"/>
        </ext>
      </extLst>
    </bk>
    <bk>
      <extLst>
        <ext uri="{3e2802c4-a4d2-4d8b-9148-e3be6c30e623}">
          <xlrd:rvb i="4506"/>
        </ext>
      </extLst>
    </bk>
    <bk>
      <extLst>
        <ext uri="{3e2802c4-a4d2-4d8b-9148-e3be6c30e623}">
          <xlrd:rvb i="4507"/>
        </ext>
      </extLst>
    </bk>
    <bk>
      <extLst>
        <ext uri="{3e2802c4-a4d2-4d8b-9148-e3be6c30e623}">
          <xlrd:rvb i="4508"/>
        </ext>
      </extLst>
    </bk>
    <bk>
      <extLst>
        <ext uri="{3e2802c4-a4d2-4d8b-9148-e3be6c30e623}">
          <xlrd:rvb i="4509"/>
        </ext>
      </extLst>
    </bk>
    <bk>
      <extLst>
        <ext uri="{3e2802c4-a4d2-4d8b-9148-e3be6c30e623}">
          <xlrd:rvb i="4510"/>
        </ext>
      </extLst>
    </bk>
    <bk>
      <extLst>
        <ext uri="{3e2802c4-a4d2-4d8b-9148-e3be6c30e623}">
          <xlrd:rvb i="4511"/>
        </ext>
      </extLst>
    </bk>
    <bk>
      <extLst>
        <ext uri="{3e2802c4-a4d2-4d8b-9148-e3be6c30e623}">
          <xlrd:rvb i="4512"/>
        </ext>
      </extLst>
    </bk>
    <bk>
      <extLst>
        <ext uri="{3e2802c4-a4d2-4d8b-9148-e3be6c30e623}">
          <xlrd:rvb i="4513"/>
        </ext>
      </extLst>
    </bk>
    <bk>
      <extLst>
        <ext uri="{3e2802c4-a4d2-4d8b-9148-e3be6c30e623}">
          <xlrd:rvb i="4514"/>
        </ext>
      </extLst>
    </bk>
    <bk>
      <extLst>
        <ext uri="{3e2802c4-a4d2-4d8b-9148-e3be6c30e623}">
          <xlrd:rvb i="4515"/>
        </ext>
      </extLst>
    </bk>
    <bk>
      <extLst>
        <ext uri="{3e2802c4-a4d2-4d8b-9148-e3be6c30e623}">
          <xlrd:rvb i="4516"/>
        </ext>
      </extLst>
    </bk>
    <bk>
      <extLst>
        <ext uri="{3e2802c4-a4d2-4d8b-9148-e3be6c30e623}">
          <xlrd:rvb i="4517"/>
        </ext>
      </extLst>
    </bk>
    <bk>
      <extLst>
        <ext uri="{3e2802c4-a4d2-4d8b-9148-e3be6c30e623}">
          <xlrd:rvb i="4518"/>
        </ext>
      </extLst>
    </bk>
    <bk>
      <extLst>
        <ext uri="{3e2802c4-a4d2-4d8b-9148-e3be6c30e623}">
          <xlrd:rvb i="4519"/>
        </ext>
      </extLst>
    </bk>
    <bk>
      <extLst>
        <ext uri="{3e2802c4-a4d2-4d8b-9148-e3be6c30e623}">
          <xlrd:rvb i="4520"/>
        </ext>
      </extLst>
    </bk>
    <bk>
      <extLst>
        <ext uri="{3e2802c4-a4d2-4d8b-9148-e3be6c30e623}">
          <xlrd:rvb i="4521"/>
        </ext>
      </extLst>
    </bk>
    <bk>
      <extLst>
        <ext uri="{3e2802c4-a4d2-4d8b-9148-e3be6c30e623}">
          <xlrd:rvb i="4522"/>
        </ext>
      </extLst>
    </bk>
    <bk>
      <extLst>
        <ext uri="{3e2802c4-a4d2-4d8b-9148-e3be6c30e623}">
          <xlrd:rvb i="4523"/>
        </ext>
      </extLst>
    </bk>
    <bk>
      <extLst>
        <ext uri="{3e2802c4-a4d2-4d8b-9148-e3be6c30e623}">
          <xlrd:rvb i="4524"/>
        </ext>
      </extLst>
    </bk>
    <bk>
      <extLst>
        <ext uri="{3e2802c4-a4d2-4d8b-9148-e3be6c30e623}">
          <xlrd:rvb i="4525"/>
        </ext>
      </extLst>
    </bk>
    <bk>
      <extLst>
        <ext uri="{3e2802c4-a4d2-4d8b-9148-e3be6c30e623}">
          <xlrd:rvb i="4526"/>
        </ext>
      </extLst>
    </bk>
    <bk>
      <extLst>
        <ext uri="{3e2802c4-a4d2-4d8b-9148-e3be6c30e623}">
          <xlrd:rvb i="4527"/>
        </ext>
      </extLst>
    </bk>
    <bk>
      <extLst>
        <ext uri="{3e2802c4-a4d2-4d8b-9148-e3be6c30e623}">
          <xlrd:rvb i="4528"/>
        </ext>
      </extLst>
    </bk>
    <bk>
      <extLst>
        <ext uri="{3e2802c4-a4d2-4d8b-9148-e3be6c30e623}">
          <xlrd:rvb i="4529"/>
        </ext>
      </extLst>
    </bk>
    <bk>
      <extLst>
        <ext uri="{3e2802c4-a4d2-4d8b-9148-e3be6c30e623}">
          <xlrd:rvb i="4530"/>
        </ext>
      </extLst>
    </bk>
    <bk>
      <extLst>
        <ext uri="{3e2802c4-a4d2-4d8b-9148-e3be6c30e623}">
          <xlrd:rvb i="4531"/>
        </ext>
      </extLst>
    </bk>
    <bk>
      <extLst>
        <ext uri="{3e2802c4-a4d2-4d8b-9148-e3be6c30e623}">
          <xlrd:rvb i="4532"/>
        </ext>
      </extLst>
    </bk>
    <bk>
      <extLst>
        <ext uri="{3e2802c4-a4d2-4d8b-9148-e3be6c30e623}">
          <xlrd:rvb i="4533"/>
        </ext>
      </extLst>
    </bk>
    <bk>
      <extLst>
        <ext uri="{3e2802c4-a4d2-4d8b-9148-e3be6c30e623}">
          <xlrd:rvb i="4534"/>
        </ext>
      </extLst>
    </bk>
    <bk>
      <extLst>
        <ext uri="{3e2802c4-a4d2-4d8b-9148-e3be6c30e623}">
          <xlrd:rvb i="4535"/>
        </ext>
      </extLst>
    </bk>
    <bk>
      <extLst>
        <ext uri="{3e2802c4-a4d2-4d8b-9148-e3be6c30e623}">
          <xlrd:rvb i="4536"/>
        </ext>
      </extLst>
    </bk>
    <bk>
      <extLst>
        <ext uri="{3e2802c4-a4d2-4d8b-9148-e3be6c30e623}">
          <xlrd:rvb i="4537"/>
        </ext>
      </extLst>
    </bk>
    <bk>
      <extLst>
        <ext uri="{3e2802c4-a4d2-4d8b-9148-e3be6c30e623}">
          <xlrd:rvb i="4538"/>
        </ext>
      </extLst>
    </bk>
    <bk>
      <extLst>
        <ext uri="{3e2802c4-a4d2-4d8b-9148-e3be6c30e623}">
          <xlrd:rvb i="4539"/>
        </ext>
      </extLst>
    </bk>
    <bk>
      <extLst>
        <ext uri="{3e2802c4-a4d2-4d8b-9148-e3be6c30e623}">
          <xlrd:rvb i="4540"/>
        </ext>
      </extLst>
    </bk>
    <bk>
      <extLst>
        <ext uri="{3e2802c4-a4d2-4d8b-9148-e3be6c30e623}">
          <xlrd:rvb i="4541"/>
        </ext>
      </extLst>
    </bk>
    <bk>
      <extLst>
        <ext uri="{3e2802c4-a4d2-4d8b-9148-e3be6c30e623}">
          <xlrd:rvb i="4542"/>
        </ext>
      </extLst>
    </bk>
    <bk>
      <extLst>
        <ext uri="{3e2802c4-a4d2-4d8b-9148-e3be6c30e623}">
          <xlrd:rvb i="4543"/>
        </ext>
      </extLst>
    </bk>
    <bk>
      <extLst>
        <ext uri="{3e2802c4-a4d2-4d8b-9148-e3be6c30e623}">
          <xlrd:rvb i="4544"/>
        </ext>
      </extLst>
    </bk>
    <bk>
      <extLst>
        <ext uri="{3e2802c4-a4d2-4d8b-9148-e3be6c30e623}">
          <xlrd:rvb i="4545"/>
        </ext>
      </extLst>
    </bk>
    <bk>
      <extLst>
        <ext uri="{3e2802c4-a4d2-4d8b-9148-e3be6c30e623}">
          <xlrd:rvb i="4546"/>
        </ext>
      </extLst>
    </bk>
    <bk>
      <extLst>
        <ext uri="{3e2802c4-a4d2-4d8b-9148-e3be6c30e623}">
          <xlrd:rvb i="4547"/>
        </ext>
      </extLst>
    </bk>
    <bk>
      <extLst>
        <ext uri="{3e2802c4-a4d2-4d8b-9148-e3be6c30e623}">
          <xlrd:rvb i="4548"/>
        </ext>
      </extLst>
    </bk>
    <bk>
      <extLst>
        <ext uri="{3e2802c4-a4d2-4d8b-9148-e3be6c30e623}">
          <xlrd:rvb i="4549"/>
        </ext>
      </extLst>
    </bk>
    <bk>
      <extLst>
        <ext uri="{3e2802c4-a4d2-4d8b-9148-e3be6c30e623}">
          <xlrd:rvb i="4550"/>
        </ext>
      </extLst>
    </bk>
    <bk>
      <extLst>
        <ext uri="{3e2802c4-a4d2-4d8b-9148-e3be6c30e623}">
          <xlrd:rvb i="4551"/>
        </ext>
      </extLst>
    </bk>
    <bk>
      <extLst>
        <ext uri="{3e2802c4-a4d2-4d8b-9148-e3be6c30e623}">
          <xlrd:rvb i="4552"/>
        </ext>
      </extLst>
    </bk>
    <bk>
      <extLst>
        <ext uri="{3e2802c4-a4d2-4d8b-9148-e3be6c30e623}">
          <xlrd:rvb i="4553"/>
        </ext>
      </extLst>
    </bk>
    <bk>
      <extLst>
        <ext uri="{3e2802c4-a4d2-4d8b-9148-e3be6c30e623}">
          <xlrd:rvb i="4554"/>
        </ext>
      </extLst>
    </bk>
    <bk>
      <extLst>
        <ext uri="{3e2802c4-a4d2-4d8b-9148-e3be6c30e623}">
          <xlrd:rvb i="4555"/>
        </ext>
      </extLst>
    </bk>
    <bk>
      <extLst>
        <ext uri="{3e2802c4-a4d2-4d8b-9148-e3be6c30e623}">
          <xlrd:rvb i="4556"/>
        </ext>
      </extLst>
    </bk>
    <bk>
      <extLst>
        <ext uri="{3e2802c4-a4d2-4d8b-9148-e3be6c30e623}">
          <xlrd:rvb i="4557"/>
        </ext>
      </extLst>
    </bk>
    <bk>
      <extLst>
        <ext uri="{3e2802c4-a4d2-4d8b-9148-e3be6c30e623}">
          <xlrd:rvb i="4558"/>
        </ext>
      </extLst>
    </bk>
    <bk>
      <extLst>
        <ext uri="{3e2802c4-a4d2-4d8b-9148-e3be6c30e623}">
          <xlrd:rvb i="4559"/>
        </ext>
      </extLst>
    </bk>
    <bk>
      <extLst>
        <ext uri="{3e2802c4-a4d2-4d8b-9148-e3be6c30e623}">
          <xlrd:rvb i="4560"/>
        </ext>
      </extLst>
    </bk>
    <bk>
      <extLst>
        <ext uri="{3e2802c4-a4d2-4d8b-9148-e3be6c30e623}">
          <xlrd:rvb i="4561"/>
        </ext>
      </extLst>
    </bk>
    <bk>
      <extLst>
        <ext uri="{3e2802c4-a4d2-4d8b-9148-e3be6c30e623}">
          <xlrd:rvb i="4562"/>
        </ext>
      </extLst>
    </bk>
    <bk>
      <extLst>
        <ext uri="{3e2802c4-a4d2-4d8b-9148-e3be6c30e623}">
          <xlrd:rvb i="4563"/>
        </ext>
      </extLst>
    </bk>
    <bk>
      <extLst>
        <ext uri="{3e2802c4-a4d2-4d8b-9148-e3be6c30e623}">
          <xlrd:rvb i="4564"/>
        </ext>
      </extLst>
    </bk>
    <bk>
      <extLst>
        <ext uri="{3e2802c4-a4d2-4d8b-9148-e3be6c30e623}">
          <xlrd:rvb i="4565"/>
        </ext>
      </extLst>
    </bk>
    <bk>
      <extLst>
        <ext uri="{3e2802c4-a4d2-4d8b-9148-e3be6c30e623}">
          <xlrd:rvb i="4566"/>
        </ext>
      </extLst>
    </bk>
    <bk>
      <extLst>
        <ext uri="{3e2802c4-a4d2-4d8b-9148-e3be6c30e623}">
          <xlrd:rvb i="4567"/>
        </ext>
      </extLst>
    </bk>
    <bk>
      <extLst>
        <ext uri="{3e2802c4-a4d2-4d8b-9148-e3be6c30e623}">
          <xlrd:rvb i="4568"/>
        </ext>
      </extLst>
    </bk>
    <bk>
      <extLst>
        <ext uri="{3e2802c4-a4d2-4d8b-9148-e3be6c30e623}">
          <xlrd:rvb i="4569"/>
        </ext>
      </extLst>
    </bk>
    <bk>
      <extLst>
        <ext uri="{3e2802c4-a4d2-4d8b-9148-e3be6c30e623}">
          <xlrd:rvb i="4570"/>
        </ext>
      </extLst>
    </bk>
    <bk>
      <extLst>
        <ext uri="{3e2802c4-a4d2-4d8b-9148-e3be6c30e623}">
          <xlrd:rvb i="4571"/>
        </ext>
      </extLst>
    </bk>
    <bk>
      <extLst>
        <ext uri="{3e2802c4-a4d2-4d8b-9148-e3be6c30e623}">
          <xlrd:rvb i="4572"/>
        </ext>
      </extLst>
    </bk>
    <bk>
      <extLst>
        <ext uri="{3e2802c4-a4d2-4d8b-9148-e3be6c30e623}">
          <xlrd:rvb i="4573"/>
        </ext>
      </extLst>
    </bk>
    <bk>
      <extLst>
        <ext uri="{3e2802c4-a4d2-4d8b-9148-e3be6c30e623}">
          <xlrd:rvb i="4574"/>
        </ext>
      </extLst>
    </bk>
    <bk>
      <extLst>
        <ext uri="{3e2802c4-a4d2-4d8b-9148-e3be6c30e623}">
          <xlrd:rvb i="4575"/>
        </ext>
      </extLst>
    </bk>
    <bk>
      <extLst>
        <ext uri="{3e2802c4-a4d2-4d8b-9148-e3be6c30e623}">
          <xlrd:rvb i="4576"/>
        </ext>
      </extLst>
    </bk>
    <bk>
      <extLst>
        <ext uri="{3e2802c4-a4d2-4d8b-9148-e3be6c30e623}">
          <xlrd:rvb i="4577"/>
        </ext>
      </extLst>
    </bk>
    <bk>
      <extLst>
        <ext uri="{3e2802c4-a4d2-4d8b-9148-e3be6c30e623}">
          <xlrd:rvb i="4578"/>
        </ext>
      </extLst>
    </bk>
    <bk>
      <extLst>
        <ext uri="{3e2802c4-a4d2-4d8b-9148-e3be6c30e623}">
          <xlrd:rvb i="4579"/>
        </ext>
      </extLst>
    </bk>
    <bk>
      <extLst>
        <ext uri="{3e2802c4-a4d2-4d8b-9148-e3be6c30e623}">
          <xlrd:rvb i="4580"/>
        </ext>
      </extLst>
    </bk>
    <bk>
      <extLst>
        <ext uri="{3e2802c4-a4d2-4d8b-9148-e3be6c30e623}">
          <xlrd:rvb i="4581"/>
        </ext>
      </extLst>
    </bk>
    <bk>
      <extLst>
        <ext uri="{3e2802c4-a4d2-4d8b-9148-e3be6c30e623}">
          <xlrd:rvb i="4582"/>
        </ext>
      </extLst>
    </bk>
    <bk>
      <extLst>
        <ext uri="{3e2802c4-a4d2-4d8b-9148-e3be6c30e623}">
          <xlrd:rvb i="4583"/>
        </ext>
      </extLst>
    </bk>
    <bk>
      <extLst>
        <ext uri="{3e2802c4-a4d2-4d8b-9148-e3be6c30e623}">
          <xlrd:rvb i="4584"/>
        </ext>
      </extLst>
    </bk>
    <bk>
      <extLst>
        <ext uri="{3e2802c4-a4d2-4d8b-9148-e3be6c30e623}">
          <xlrd:rvb i="4585"/>
        </ext>
      </extLst>
    </bk>
    <bk>
      <extLst>
        <ext uri="{3e2802c4-a4d2-4d8b-9148-e3be6c30e623}">
          <xlrd:rvb i="4586"/>
        </ext>
      </extLst>
    </bk>
    <bk>
      <extLst>
        <ext uri="{3e2802c4-a4d2-4d8b-9148-e3be6c30e623}">
          <xlrd:rvb i="4587"/>
        </ext>
      </extLst>
    </bk>
    <bk>
      <extLst>
        <ext uri="{3e2802c4-a4d2-4d8b-9148-e3be6c30e623}">
          <xlrd:rvb i="4588"/>
        </ext>
      </extLst>
    </bk>
    <bk>
      <extLst>
        <ext uri="{3e2802c4-a4d2-4d8b-9148-e3be6c30e623}">
          <xlrd:rvb i="4589"/>
        </ext>
      </extLst>
    </bk>
    <bk>
      <extLst>
        <ext uri="{3e2802c4-a4d2-4d8b-9148-e3be6c30e623}">
          <xlrd:rvb i="4590"/>
        </ext>
      </extLst>
    </bk>
    <bk>
      <extLst>
        <ext uri="{3e2802c4-a4d2-4d8b-9148-e3be6c30e623}">
          <xlrd:rvb i="4591"/>
        </ext>
      </extLst>
    </bk>
    <bk>
      <extLst>
        <ext uri="{3e2802c4-a4d2-4d8b-9148-e3be6c30e623}">
          <xlrd:rvb i="4592"/>
        </ext>
      </extLst>
    </bk>
    <bk>
      <extLst>
        <ext uri="{3e2802c4-a4d2-4d8b-9148-e3be6c30e623}">
          <xlrd:rvb i="4593"/>
        </ext>
      </extLst>
    </bk>
    <bk>
      <extLst>
        <ext uri="{3e2802c4-a4d2-4d8b-9148-e3be6c30e623}">
          <xlrd:rvb i="4594"/>
        </ext>
      </extLst>
    </bk>
    <bk>
      <extLst>
        <ext uri="{3e2802c4-a4d2-4d8b-9148-e3be6c30e623}">
          <xlrd:rvb i="4595"/>
        </ext>
      </extLst>
    </bk>
    <bk>
      <extLst>
        <ext uri="{3e2802c4-a4d2-4d8b-9148-e3be6c30e623}">
          <xlrd:rvb i="4596"/>
        </ext>
      </extLst>
    </bk>
    <bk>
      <extLst>
        <ext uri="{3e2802c4-a4d2-4d8b-9148-e3be6c30e623}">
          <xlrd:rvb i="4597"/>
        </ext>
      </extLst>
    </bk>
    <bk>
      <extLst>
        <ext uri="{3e2802c4-a4d2-4d8b-9148-e3be6c30e623}">
          <xlrd:rvb i="4598"/>
        </ext>
      </extLst>
    </bk>
    <bk>
      <extLst>
        <ext uri="{3e2802c4-a4d2-4d8b-9148-e3be6c30e623}">
          <xlrd:rvb i="4599"/>
        </ext>
      </extLst>
    </bk>
    <bk>
      <extLst>
        <ext uri="{3e2802c4-a4d2-4d8b-9148-e3be6c30e623}">
          <xlrd:rvb i="4600"/>
        </ext>
      </extLst>
    </bk>
    <bk>
      <extLst>
        <ext uri="{3e2802c4-a4d2-4d8b-9148-e3be6c30e623}">
          <xlrd:rvb i="4601"/>
        </ext>
      </extLst>
    </bk>
    <bk>
      <extLst>
        <ext uri="{3e2802c4-a4d2-4d8b-9148-e3be6c30e623}">
          <xlrd:rvb i="4602"/>
        </ext>
      </extLst>
    </bk>
    <bk>
      <extLst>
        <ext uri="{3e2802c4-a4d2-4d8b-9148-e3be6c30e623}">
          <xlrd:rvb i="4603"/>
        </ext>
      </extLst>
    </bk>
    <bk>
      <extLst>
        <ext uri="{3e2802c4-a4d2-4d8b-9148-e3be6c30e623}">
          <xlrd:rvb i="4604"/>
        </ext>
      </extLst>
    </bk>
    <bk>
      <extLst>
        <ext uri="{3e2802c4-a4d2-4d8b-9148-e3be6c30e623}">
          <xlrd:rvb i="4605"/>
        </ext>
      </extLst>
    </bk>
    <bk>
      <extLst>
        <ext uri="{3e2802c4-a4d2-4d8b-9148-e3be6c30e623}">
          <xlrd:rvb i="4606"/>
        </ext>
      </extLst>
    </bk>
    <bk>
      <extLst>
        <ext uri="{3e2802c4-a4d2-4d8b-9148-e3be6c30e623}">
          <xlrd:rvb i="4607"/>
        </ext>
      </extLst>
    </bk>
    <bk>
      <extLst>
        <ext uri="{3e2802c4-a4d2-4d8b-9148-e3be6c30e623}">
          <xlrd:rvb i="4608"/>
        </ext>
      </extLst>
    </bk>
    <bk>
      <extLst>
        <ext uri="{3e2802c4-a4d2-4d8b-9148-e3be6c30e623}">
          <xlrd:rvb i="4609"/>
        </ext>
      </extLst>
    </bk>
    <bk>
      <extLst>
        <ext uri="{3e2802c4-a4d2-4d8b-9148-e3be6c30e623}">
          <xlrd:rvb i="4610"/>
        </ext>
      </extLst>
    </bk>
    <bk>
      <extLst>
        <ext uri="{3e2802c4-a4d2-4d8b-9148-e3be6c30e623}">
          <xlrd:rvb i="4611"/>
        </ext>
      </extLst>
    </bk>
    <bk>
      <extLst>
        <ext uri="{3e2802c4-a4d2-4d8b-9148-e3be6c30e623}">
          <xlrd:rvb i="4612"/>
        </ext>
      </extLst>
    </bk>
    <bk>
      <extLst>
        <ext uri="{3e2802c4-a4d2-4d8b-9148-e3be6c30e623}">
          <xlrd:rvb i="4613"/>
        </ext>
      </extLst>
    </bk>
    <bk>
      <extLst>
        <ext uri="{3e2802c4-a4d2-4d8b-9148-e3be6c30e623}">
          <xlrd:rvb i="4614"/>
        </ext>
      </extLst>
    </bk>
    <bk>
      <extLst>
        <ext uri="{3e2802c4-a4d2-4d8b-9148-e3be6c30e623}">
          <xlrd:rvb i="4615"/>
        </ext>
      </extLst>
    </bk>
    <bk>
      <extLst>
        <ext uri="{3e2802c4-a4d2-4d8b-9148-e3be6c30e623}">
          <xlrd:rvb i="4616"/>
        </ext>
      </extLst>
    </bk>
    <bk>
      <extLst>
        <ext uri="{3e2802c4-a4d2-4d8b-9148-e3be6c30e623}">
          <xlrd:rvb i="4617"/>
        </ext>
      </extLst>
    </bk>
    <bk>
      <extLst>
        <ext uri="{3e2802c4-a4d2-4d8b-9148-e3be6c30e623}">
          <xlrd:rvb i="4618"/>
        </ext>
      </extLst>
    </bk>
    <bk>
      <extLst>
        <ext uri="{3e2802c4-a4d2-4d8b-9148-e3be6c30e623}">
          <xlrd:rvb i="4619"/>
        </ext>
      </extLst>
    </bk>
    <bk>
      <extLst>
        <ext uri="{3e2802c4-a4d2-4d8b-9148-e3be6c30e623}">
          <xlrd:rvb i="4620"/>
        </ext>
      </extLst>
    </bk>
    <bk>
      <extLst>
        <ext uri="{3e2802c4-a4d2-4d8b-9148-e3be6c30e623}">
          <xlrd:rvb i="4621"/>
        </ext>
      </extLst>
    </bk>
    <bk>
      <extLst>
        <ext uri="{3e2802c4-a4d2-4d8b-9148-e3be6c30e623}">
          <xlrd:rvb i="4622"/>
        </ext>
      </extLst>
    </bk>
    <bk>
      <extLst>
        <ext uri="{3e2802c4-a4d2-4d8b-9148-e3be6c30e623}">
          <xlrd:rvb i="4623"/>
        </ext>
      </extLst>
    </bk>
    <bk>
      <extLst>
        <ext uri="{3e2802c4-a4d2-4d8b-9148-e3be6c30e623}">
          <xlrd:rvb i="4624"/>
        </ext>
      </extLst>
    </bk>
    <bk>
      <extLst>
        <ext uri="{3e2802c4-a4d2-4d8b-9148-e3be6c30e623}">
          <xlrd:rvb i="4625"/>
        </ext>
      </extLst>
    </bk>
    <bk>
      <extLst>
        <ext uri="{3e2802c4-a4d2-4d8b-9148-e3be6c30e623}">
          <xlrd:rvb i="4626"/>
        </ext>
      </extLst>
    </bk>
    <bk>
      <extLst>
        <ext uri="{3e2802c4-a4d2-4d8b-9148-e3be6c30e623}">
          <xlrd:rvb i="4627"/>
        </ext>
      </extLst>
    </bk>
    <bk>
      <extLst>
        <ext uri="{3e2802c4-a4d2-4d8b-9148-e3be6c30e623}">
          <xlrd:rvb i="4628"/>
        </ext>
      </extLst>
    </bk>
    <bk>
      <extLst>
        <ext uri="{3e2802c4-a4d2-4d8b-9148-e3be6c30e623}">
          <xlrd:rvb i="4629"/>
        </ext>
      </extLst>
    </bk>
    <bk>
      <extLst>
        <ext uri="{3e2802c4-a4d2-4d8b-9148-e3be6c30e623}">
          <xlrd:rvb i="4630"/>
        </ext>
      </extLst>
    </bk>
    <bk>
      <extLst>
        <ext uri="{3e2802c4-a4d2-4d8b-9148-e3be6c30e623}">
          <xlrd:rvb i="4631"/>
        </ext>
      </extLst>
    </bk>
    <bk>
      <extLst>
        <ext uri="{3e2802c4-a4d2-4d8b-9148-e3be6c30e623}">
          <xlrd:rvb i="4632"/>
        </ext>
      </extLst>
    </bk>
    <bk>
      <extLst>
        <ext uri="{3e2802c4-a4d2-4d8b-9148-e3be6c30e623}">
          <xlrd:rvb i="4633"/>
        </ext>
      </extLst>
    </bk>
    <bk>
      <extLst>
        <ext uri="{3e2802c4-a4d2-4d8b-9148-e3be6c30e623}">
          <xlrd:rvb i="4634"/>
        </ext>
      </extLst>
    </bk>
    <bk>
      <extLst>
        <ext uri="{3e2802c4-a4d2-4d8b-9148-e3be6c30e623}">
          <xlrd:rvb i="4635"/>
        </ext>
      </extLst>
    </bk>
    <bk>
      <extLst>
        <ext uri="{3e2802c4-a4d2-4d8b-9148-e3be6c30e623}">
          <xlrd:rvb i="4636"/>
        </ext>
      </extLst>
    </bk>
    <bk>
      <extLst>
        <ext uri="{3e2802c4-a4d2-4d8b-9148-e3be6c30e623}">
          <xlrd:rvb i="4637"/>
        </ext>
      </extLst>
    </bk>
    <bk>
      <extLst>
        <ext uri="{3e2802c4-a4d2-4d8b-9148-e3be6c30e623}">
          <xlrd:rvb i="4638"/>
        </ext>
      </extLst>
    </bk>
    <bk>
      <extLst>
        <ext uri="{3e2802c4-a4d2-4d8b-9148-e3be6c30e623}">
          <xlrd:rvb i="4639"/>
        </ext>
      </extLst>
    </bk>
    <bk>
      <extLst>
        <ext uri="{3e2802c4-a4d2-4d8b-9148-e3be6c30e623}">
          <xlrd:rvb i="4640"/>
        </ext>
      </extLst>
    </bk>
    <bk>
      <extLst>
        <ext uri="{3e2802c4-a4d2-4d8b-9148-e3be6c30e623}">
          <xlrd:rvb i="4641"/>
        </ext>
      </extLst>
    </bk>
    <bk>
      <extLst>
        <ext uri="{3e2802c4-a4d2-4d8b-9148-e3be6c30e623}">
          <xlrd:rvb i="4642"/>
        </ext>
      </extLst>
    </bk>
    <bk>
      <extLst>
        <ext uri="{3e2802c4-a4d2-4d8b-9148-e3be6c30e623}">
          <xlrd:rvb i="4643"/>
        </ext>
      </extLst>
    </bk>
    <bk>
      <extLst>
        <ext uri="{3e2802c4-a4d2-4d8b-9148-e3be6c30e623}">
          <xlrd:rvb i="4644"/>
        </ext>
      </extLst>
    </bk>
    <bk>
      <extLst>
        <ext uri="{3e2802c4-a4d2-4d8b-9148-e3be6c30e623}">
          <xlrd:rvb i="4645"/>
        </ext>
      </extLst>
    </bk>
    <bk>
      <extLst>
        <ext uri="{3e2802c4-a4d2-4d8b-9148-e3be6c30e623}">
          <xlrd:rvb i="4646"/>
        </ext>
      </extLst>
    </bk>
    <bk>
      <extLst>
        <ext uri="{3e2802c4-a4d2-4d8b-9148-e3be6c30e623}">
          <xlrd:rvb i="4647"/>
        </ext>
      </extLst>
    </bk>
    <bk>
      <extLst>
        <ext uri="{3e2802c4-a4d2-4d8b-9148-e3be6c30e623}">
          <xlrd:rvb i="4648"/>
        </ext>
      </extLst>
    </bk>
    <bk>
      <extLst>
        <ext uri="{3e2802c4-a4d2-4d8b-9148-e3be6c30e623}">
          <xlrd:rvb i="4649"/>
        </ext>
      </extLst>
    </bk>
    <bk>
      <extLst>
        <ext uri="{3e2802c4-a4d2-4d8b-9148-e3be6c30e623}">
          <xlrd:rvb i="4650"/>
        </ext>
      </extLst>
    </bk>
    <bk>
      <extLst>
        <ext uri="{3e2802c4-a4d2-4d8b-9148-e3be6c30e623}">
          <xlrd:rvb i="4651"/>
        </ext>
      </extLst>
    </bk>
    <bk>
      <extLst>
        <ext uri="{3e2802c4-a4d2-4d8b-9148-e3be6c30e623}">
          <xlrd:rvb i="4652"/>
        </ext>
      </extLst>
    </bk>
    <bk>
      <extLst>
        <ext uri="{3e2802c4-a4d2-4d8b-9148-e3be6c30e623}">
          <xlrd:rvb i="4653"/>
        </ext>
      </extLst>
    </bk>
    <bk>
      <extLst>
        <ext uri="{3e2802c4-a4d2-4d8b-9148-e3be6c30e623}">
          <xlrd:rvb i="4654"/>
        </ext>
      </extLst>
    </bk>
    <bk>
      <extLst>
        <ext uri="{3e2802c4-a4d2-4d8b-9148-e3be6c30e623}">
          <xlrd:rvb i="4655"/>
        </ext>
      </extLst>
    </bk>
    <bk>
      <extLst>
        <ext uri="{3e2802c4-a4d2-4d8b-9148-e3be6c30e623}">
          <xlrd:rvb i="4656"/>
        </ext>
      </extLst>
    </bk>
    <bk>
      <extLst>
        <ext uri="{3e2802c4-a4d2-4d8b-9148-e3be6c30e623}">
          <xlrd:rvb i="4657"/>
        </ext>
      </extLst>
    </bk>
    <bk>
      <extLst>
        <ext uri="{3e2802c4-a4d2-4d8b-9148-e3be6c30e623}">
          <xlrd:rvb i="4658"/>
        </ext>
      </extLst>
    </bk>
    <bk>
      <extLst>
        <ext uri="{3e2802c4-a4d2-4d8b-9148-e3be6c30e623}">
          <xlrd:rvb i="4659"/>
        </ext>
      </extLst>
    </bk>
    <bk>
      <extLst>
        <ext uri="{3e2802c4-a4d2-4d8b-9148-e3be6c30e623}">
          <xlrd:rvb i="4660"/>
        </ext>
      </extLst>
    </bk>
    <bk>
      <extLst>
        <ext uri="{3e2802c4-a4d2-4d8b-9148-e3be6c30e623}">
          <xlrd:rvb i="4661"/>
        </ext>
      </extLst>
    </bk>
    <bk>
      <extLst>
        <ext uri="{3e2802c4-a4d2-4d8b-9148-e3be6c30e623}">
          <xlrd:rvb i="4662"/>
        </ext>
      </extLst>
    </bk>
    <bk>
      <extLst>
        <ext uri="{3e2802c4-a4d2-4d8b-9148-e3be6c30e623}">
          <xlrd:rvb i="4663"/>
        </ext>
      </extLst>
    </bk>
    <bk>
      <extLst>
        <ext uri="{3e2802c4-a4d2-4d8b-9148-e3be6c30e623}">
          <xlrd:rvb i="4664"/>
        </ext>
      </extLst>
    </bk>
    <bk>
      <extLst>
        <ext uri="{3e2802c4-a4d2-4d8b-9148-e3be6c30e623}">
          <xlrd:rvb i="4665"/>
        </ext>
      </extLst>
    </bk>
    <bk>
      <extLst>
        <ext uri="{3e2802c4-a4d2-4d8b-9148-e3be6c30e623}">
          <xlrd:rvb i="4666"/>
        </ext>
      </extLst>
    </bk>
    <bk>
      <extLst>
        <ext uri="{3e2802c4-a4d2-4d8b-9148-e3be6c30e623}">
          <xlrd:rvb i="4667"/>
        </ext>
      </extLst>
    </bk>
    <bk>
      <extLst>
        <ext uri="{3e2802c4-a4d2-4d8b-9148-e3be6c30e623}">
          <xlrd:rvb i="4668"/>
        </ext>
      </extLst>
    </bk>
    <bk>
      <extLst>
        <ext uri="{3e2802c4-a4d2-4d8b-9148-e3be6c30e623}">
          <xlrd:rvb i="4669"/>
        </ext>
      </extLst>
    </bk>
    <bk>
      <extLst>
        <ext uri="{3e2802c4-a4d2-4d8b-9148-e3be6c30e623}">
          <xlrd:rvb i="4670"/>
        </ext>
      </extLst>
    </bk>
    <bk>
      <extLst>
        <ext uri="{3e2802c4-a4d2-4d8b-9148-e3be6c30e623}">
          <xlrd:rvb i="4671"/>
        </ext>
      </extLst>
    </bk>
    <bk>
      <extLst>
        <ext uri="{3e2802c4-a4d2-4d8b-9148-e3be6c30e623}">
          <xlrd:rvb i="4672"/>
        </ext>
      </extLst>
    </bk>
    <bk>
      <extLst>
        <ext uri="{3e2802c4-a4d2-4d8b-9148-e3be6c30e623}">
          <xlrd:rvb i="4673"/>
        </ext>
      </extLst>
    </bk>
    <bk>
      <extLst>
        <ext uri="{3e2802c4-a4d2-4d8b-9148-e3be6c30e623}">
          <xlrd:rvb i="4674"/>
        </ext>
      </extLst>
    </bk>
    <bk>
      <extLst>
        <ext uri="{3e2802c4-a4d2-4d8b-9148-e3be6c30e623}">
          <xlrd:rvb i="4675"/>
        </ext>
      </extLst>
    </bk>
    <bk>
      <extLst>
        <ext uri="{3e2802c4-a4d2-4d8b-9148-e3be6c30e623}">
          <xlrd:rvb i="4676"/>
        </ext>
      </extLst>
    </bk>
    <bk>
      <extLst>
        <ext uri="{3e2802c4-a4d2-4d8b-9148-e3be6c30e623}">
          <xlrd:rvb i="4677"/>
        </ext>
      </extLst>
    </bk>
    <bk>
      <extLst>
        <ext uri="{3e2802c4-a4d2-4d8b-9148-e3be6c30e623}">
          <xlrd:rvb i="4678"/>
        </ext>
      </extLst>
    </bk>
    <bk>
      <extLst>
        <ext uri="{3e2802c4-a4d2-4d8b-9148-e3be6c30e623}">
          <xlrd:rvb i="4679"/>
        </ext>
      </extLst>
    </bk>
    <bk>
      <extLst>
        <ext uri="{3e2802c4-a4d2-4d8b-9148-e3be6c30e623}">
          <xlrd:rvb i="4680"/>
        </ext>
      </extLst>
    </bk>
    <bk>
      <extLst>
        <ext uri="{3e2802c4-a4d2-4d8b-9148-e3be6c30e623}">
          <xlrd:rvb i="4681"/>
        </ext>
      </extLst>
    </bk>
    <bk>
      <extLst>
        <ext uri="{3e2802c4-a4d2-4d8b-9148-e3be6c30e623}">
          <xlrd:rvb i="4682"/>
        </ext>
      </extLst>
    </bk>
    <bk>
      <extLst>
        <ext uri="{3e2802c4-a4d2-4d8b-9148-e3be6c30e623}">
          <xlrd:rvb i="4683"/>
        </ext>
      </extLst>
    </bk>
    <bk>
      <extLst>
        <ext uri="{3e2802c4-a4d2-4d8b-9148-e3be6c30e623}">
          <xlrd:rvb i="4684"/>
        </ext>
      </extLst>
    </bk>
    <bk>
      <extLst>
        <ext uri="{3e2802c4-a4d2-4d8b-9148-e3be6c30e623}">
          <xlrd:rvb i="4685"/>
        </ext>
      </extLst>
    </bk>
    <bk>
      <extLst>
        <ext uri="{3e2802c4-a4d2-4d8b-9148-e3be6c30e623}">
          <xlrd:rvb i="4686"/>
        </ext>
      </extLst>
    </bk>
    <bk>
      <extLst>
        <ext uri="{3e2802c4-a4d2-4d8b-9148-e3be6c30e623}">
          <xlrd:rvb i="4687"/>
        </ext>
      </extLst>
    </bk>
    <bk>
      <extLst>
        <ext uri="{3e2802c4-a4d2-4d8b-9148-e3be6c30e623}">
          <xlrd:rvb i="4688"/>
        </ext>
      </extLst>
    </bk>
    <bk>
      <extLst>
        <ext uri="{3e2802c4-a4d2-4d8b-9148-e3be6c30e623}">
          <xlrd:rvb i="4689"/>
        </ext>
      </extLst>
    </bk>
    <bk>
      <extLst>
        <ext uri="{3e2802c4-a4d2-4d8b-9148-e3be6c30e623}">
          <xlrd:rvb i="4690"/>
        </ext>
      </extLst>
    </bk>
    <bk>
      <extLst>
        <ext uri="{3e2802c4-a4d2-4d8b-9148-e3be6c30e623}">
          <xlrd:rvb i="4691"/>
        </ext>
      </extLst>
    </bk>
    <bk>
      <extLst>
        <ext uri="{3e2802c4-a4d2-4d8b-9148-e3be6c30e623}">
          <xlrd:rvb i="4692"/>
        </ext>
      </extLst>
    </bk>
    <bk>
      <extLst>
        <ext uri="{3e2802c4-a4d2-4d8b-9148-e3be6c30e623}">
          <xlrd:rvb i="4693"/>
        </ext>
      </extLst>
    </bk>
    <bk>
      <extLst>
        <ext uri="{3e2802c4-a4d2-4d8b-9148-e3be6c30e623}">
          <xlrd:rvb i="4694"/>
        </ext>
      </extLst>
    </bk>
    <bk>
      <extLst>
        <ext uri="{3e2802c4-a4d2-4d8b-9148-e3be6c30e623}">
          <xlrd:rvb i="4695"/>
        </ext>
      </extLst>
    </bk>
    <bk>
      <extLst>
        <ext uri="{3e2802c4-a4d2-4d8b-9148-e3be6c30e623}">
          <xlrd:rvb i="4696"/>
        </ext>
      </extLst>
    </bk>
    <bk>
      <extLst>
        <ext uri="{3e2802c4-a4d2-4d8b-9148-e3be6c30e623}">
          <xlrd:rvb i="4697"/>
        </ext>
      </extLst>
    </bk>
    <bk>
      <extLst>
        <ext uri="{3e2802c4-a4d2-4d8b-9148-e3be6c30e623}">
          <xlrd:rvb i="4698"/>
        </ext>
      </extLst>
    </bk>
    <bk>
      <extLst>
        <ext uri="{3e2802c4-a4d2-4d8b-9148-e3be6c30e623}">
          <xlrd:rvb i="4699"/>
        </ext>
      </extLst>
    </bk>
    <bk>
      <extLst>
        <ext uri="{3e2802c4-a4d2-4d8b-9148-e3be6c30e623}">
          <xlrd:rvb i="4700"/>
        </ext>
      </extLst>
    </bk>
    <bk>
      <extLst>
        <ext uri="{3e2802c4-a4d2-4d8b-9148-e3be6c30e623}">
          <xlrd:rvb i="4701"/>
        </ext>
      </extLst>
    </bk>
    <bk>
      <extLst>
        <ext uri="{3e2802c4-a4d2-4d8b-9148-e3be6c30e623}">
          <xlrd:rvb i="4702"/>
        </ext>
      </extLst>
    </bk>
    <bk>
      <extLst>
        <ext uri="{3e2802c4-a4d2-4d8b-9148-e3be6c30e623}">
          <xlrd:rvb i="4703"/>
        </ext>
      </extLst>
    </bk>
    <bk>
      <extLst>
        <ext uri="{3e2802c4-a4d2-4d8b-9148-e3be6c30e623}">
          <xlrd:rvb i="4704"/>
        </ext>
      </extLst>
    </bk>
    <bk>
      <extLst>
        <ext uri="{3e2802c4-a4d2-4d8b-9148-e3be6c30e623}">
          <xlrd:rvb i="4705"/>
        </ext>
      </extLst>
    </bk>
    <bk>
      <extLst>
        <ext uri="{3e2802c4-a4d2-4d8b-9148-e3be6c30e623}">
          <xlrd:rvb i="4706"/>
        </ext>
      </extLst>
    </bk>
    <bk>
      <extLst>
        <ext uri="{3e2802c4-a4d2-4d8b-9148-e3be6c30e623}">
          <xlrd:rvb i="4707"/>
        </ext>
      </extLst>
    </bk>
    <bk>
      <extLst>
        <ext uri="{3e2802c4-a4d2-4d8b-9148-e3be6c30e623}">
          <xlrd:rvb i="4708"/>
        </ext>
      </extLst>
    </bk>
    <bk>
      <extLst>
        <ext uri="{3e2802c4-a4d2-4d8b-9148-e3be6c30e623}">
          <xlrd:rvb i="4709"/>
        </ext>
      </extLst>
    </bk>
    <bk>
      <extLst>
        <ext uri="{3e2802c4-a4d2-4d8b-9148-e3be6c30e623}">
          <xlrd:rvb i="4710"/>
        </ext>
      </extLst>
    </bk>
    <bk>
      <extLst>
        <ext uri="{3e2802c4-a4d2-4d8b-9148-e3be6c30e623}">
          <xlrd:rvb i="4711"/>
        </ext>
      </extLst>
    </bk>
    <bk>
      <extLst>
        <ext uri="{3e2802c4-a4d2-4d8b-9148-e3be6c30e623}">
          <xlrd:rvb i="4712"/>
        </ext>
      </extLst>
    </bk>
    <bk>
      <extLst>
        <ext uri="{3e2802c4-a4d2-4d8b-9148-e3be6c30e623}">
          <xlrd:rvb i="4713"/>
        </ext>
      </extLst>
    </bk>
    <bk>
      <extLst>
        <ext uri="{3e2802c4-a4d2-4d8b-9148-e3be6c30e623}">
          <xlrd:rvb i="4714"/>
        </ext>
      </extLst>
    </bk>
    <bk>
      <extLst>
        <ext uri="{3e2802c4-a4d2-4d8b-9148-e3be6c30e623}">
          <xlrd:rvb i="4715"/>
        </ext>
      </extLst>
    </bk>
    <bk>
      <extLst>
        <ext uri="{3e2802c4-a4d2-4d8b-9148-e3be6c30e623}">
          <xlrd:rvb i="4716"/>
        </ext>
      </extLst>
    </bk>
    <bk>
      <extLst>
        <ext uri="{3e2802c4-a4d2-4d8b-9148-e3be6c30e623}">
          <xlrd:rvb i="4717"/>
        </ext>
      </extLst>
    </bk>
    <bk>
      <extLst>
        <ext uri="{3e2802c4-a4d2-4d8b-9148-e3be6c30e623}">
          <xlrd:rvb i="4718"/>
        </ext>
      </extLst>
    </bk>
    <bk>
      <extLst>
        <ext uri="{3e2802c4-a4d2-4d8b-9148-e3be6c30e623}">
          <xlrd:rvb i="4719"/>
        </ext>
      </extLst>
    </bk>
    <bk>
      <extLst>
        <ext uri="{3e2802c4-a4d2-4d8b-9148-e3be6c30e623}">
          <xlrd:rvb i="4720"/>
        </ext>
      </extLst>
    </bk>
    <bk>
      <extLst>
        <ext uri="{3e2802c4-a4d2-4d8b-9148-e3be6c30e623}">
          <xlrd:rvb i="4721"/>
        </ext>
      </extLst>
    </bk>
    <bk>
      <extLst>
        <ext uri="{3e2802c4-a4d2-4d8b-9148-e3be6c30e623}">
          <xlrd:rvb i="4722"/>
        </ext>
      </extLst>
    </bk>
    <bk>
      <extLst>
        <ext uri="{3e2802c4-a4d2-4d8b-9148-e3be6c30e623}">
          <xlrd:rvb i="4723"/>
        </ext>
      </extLst>
    </bk>
    <bk>
      <extLst>
        <ext uri="{3e2802c4-a4d2-4d8b-9148-e3be6c30e623}">
          <xlrd:rvb i="4724"/>
        </ext>
      </extLst>
    </bk>
    <bk>
      <extLst>
        <ext uri="{3e2802c4-a4d2-4d8b-9148-e3be6c30e623}">
          <xlrd:rvb i="4725"/>
        </ext>
      </extLst>
    </bk>
    <bk>
      <extLst>
        <ext uri="{3e2802c4-a4d2-4d8b-9148-e3be6c30e623}">
          <xlrd:rvb i="4726"/>
        </ext>
      </extLst>
    </bk>
    <bk>
      <extLst>
        <ext uri="{3e2802c4-a4d2-4d8b-9148-e3be6c30e623}">
          <xlrd:rvb i="4727"/>
        </ext>
      </extLst>
    </bk>
    <bk>
      <extLst>
        <ext uri="{3e2802c4-a4d2-4d8b-9148-e3be6c30e623}">
          <xlrd:rvb i="4728"/>
        </ext>
      </extLst>
    </bk>
    <bk>
      <extLst>
        <ext uri="{3e2802c4-a4d2-4d8b-9148-e3be6c30e623}">
          <xlrd:rvb i="4729"/>
        </ext>
      </extLst>
    </bk>
    <bk>
      <extLst>
        <ext uri="{3e2802c4-a4d2-4d8b-9148-e3be6c30e623}">
          <xlrd:rvb i="4730"/>
        </ext>
      </extLst>
    </bk>
    <bk>
      <extLst>
        <ext uri="{3e2802c4-a4d2-4d8b-9148-e3be6c30e623}">
          <xlrd:rvb i="4731"/>
        </ext>
      </extLst>
    </bk>
    <bk>
      <extLst>
        <ext uri="{3e2802c4-a4d2-4d8b-9148-e3be6c30e623}">
          <xlrd:rvb i="4732"/>
        </ext>
      </extLst>
    </bk>
    <bk>
      <extLst>
        <ext uri="{3e2802c4-a4d2-4d8b-9148-e3be6c30e623}">
          <xlrd:rvb i="4733"/>
        </ext>
      </extLst>
    </bk>
    <bk>
      <extLst>
        <ext uri="{3e2802c4-a4d2-4d8b-9148-e3be6c30e623}">
          <xlrd:rvb i="4734"/>
        </ext>
      </extLst>
    </bk>
    <bk>
      <extLst>
        <ext uri="{3e2802c4-a4d2-4d8b-9148-e3be6c30e623}">
          <xlrd:rvb i="4735"/>
        </ext>
      </extLst>
    </bk>
    <bk>
      <extLst>
        <ext uri="{3e2802c4-a4d2-4d8b-9148-e3be6c30e623}">
          <xlrd:rvb i="4736"/>
        </ext>
      </extLst>
    </bk>
    <bk>
      <extLst>
        <ext uri="{3e2802c4-a4d2-4d8b-9148-e3be6c30e623}">
          <xlrd:rvb i="4737"/>
        </ext>
      </extLst>
    </bk>
    <bk>
      <extLst>
        <ext uri="{3e2802c4-a4d2-4d8b-9148-e3be6c30e623}">
          <xlrd:rvb i="4738"/>
        </ext>
      </extLst>
    </bk>
    <bk>
      <extLst>
        <ext uri="{3e2802c4-a4d2-4d8b-9148-e3be6c30e623}">
          <xlrd:rvb i="4739"/>
        </ext>
      </extLst>
    </bk>
    <bk>
      <extLst>
        <ext uri="{3e2802c4-a4d2-4d8b-9148-e3be6c30e623}">
          <xlrd:rvb i="4740"/>
        </ext>
      </extLst>
    </bk>
    <bk>
      <extLst>
        <ext uri="{3e2802c4-a4d2-4d8b-9148-e3be6c30e623}">
          <xlrd:rvb i="4741"/>
        </ext>
      </extLst>
    </bk>
    <bk>
      <extLst>
        <ext uri="{3e2802c4-a4d2-4d8b-9148-e3be6c30e623}">
          <xlrd:rvb i="4742"/>
        </ext>
      </extLst>
    </bk>
    <bk>
      <extLst>
        <ext uri="{3e2802c4-a4d2-4d8b-9148-e3be6c30e623}">
          <xlrd:rvb i="4743"/>
        </ext>
      </extLst>
    </bk>
    <bk>
      <extLst>
        <ext uri="{3e2802c4-a4d2-4d8b-9148-e3be6c30e623}">
          <xlrd:rvb i="4744"/>
        </ext>
      </extLst>
    </bk>
    <bk>
      <extLst>
        <ext uri="{3e2802c4-a4d2-4d8b-9148-e3be6c30e623}">
          <xlrd:rvb i="4745"/>
        </ext>
      </extLst>
    </bk>
    <bk>
      <extLst>
        <ext uri="{3e2802c4-a4d2-4d8b-9148-e3be6c30e623}">
          <xlrd:rvb i="4746"/>
        </ext>
      </extLst>
    </bk>
    <bk>
      <extLst>
        <ext uri="{3e2802c4-a4d2-4d8b-9148-e3be6c30e623}">
          <xlrd:rvb i="4747"/>
        </ext>
      </extLst>
    </bk>
    <bk>
      <extLst>
        <ext uri="{3e2802c4-a4d2-4d8b-9148-e3be6c30e623}">
          <xlrd:rvb i="4748"/>
        </ext>
      </extLst>
    </bk>
    <bk>
      <extLst>
        <ext uri="{3e2802c4-a4d2-4d8b-9148-e3be6c30e623}">
          <xlrd:rvb i="4749"/>
        </ext>
      </extLst>
    </bk>
    <bk>
      <extLst>
        <ext uri="{3e2802c4-a4d2-4d8b-9148-e3be6c30e623}">
          <xlrd:rvb i="4750"/>
        </ext>
      </extLst>
    </bk>
    <bk>
      <extLst>
        <ext uri="{3e2802c4-a4d2-4d8b-9148-e3be6c30e623}">
          <xlrd:rvb i="4751"/>
        </ext>
      </extLst>
    </bk>
    <bk>
      <extLst>
        <ext uri="{3e2802c4-a4d2-4d8b-9148-e3be6c30e623}">
          <xlrd:rvb i="4752"/>
        </ext>
      </extLst>
    </bk>
    <bk>
      <extLst>
        <ext uri="{3e2802c4-a4d2-4d8b-9148-e3be6c30e623}">
          <xlrd:rvb i="4753"/>
        </ext>
      </extLst>
    </bk>
    <bk>
      <extLst>
        <ext uri="{3e2802c4-a4d2-4d8b-9148-e3be6c30e623}">
          <xlrd:rvb i="4754"/>
        </ext>
      </extLst>
    </bk>
    <bk>
      <extLst>
        <ext uri="{3e2802c4-a4d2-4d8b-9148-e3be6c30e623}">
          <xlrd:rvb i="4755"/>
        </ext>
      </extLst>
    </bk>
    <bk>
      <extLst>
        <ext uri="{3e2802c4-a4d2-4d8b-9148-e3be6c30e623}">
          <xlrd:rvb i="4756"/>
        </ext>
      </extLst>
    </bk>
    <bk>
      <extLst>
        <ext uri="{3e2802c4-a4d2-4d8b-9148-e3be6c30e623}">
          <xlrd:rvb i="4757"/>
        </ext>
      </extLst>
    </bk>
    <bk>
      <extLst>
        <ext uri="{3e2802c4-a4d2-4d8b-9148-e3be6c30e623}">
          <xlrd:rvb i="4758"/>
        </ext>
      </extLst>
    </bk>
    <bk>
      <extLst>
        <ext uri="{3e2802c4-a4d2-4d8b-9148-e3be6c30e623}">
          <xlrd:rvb i="4759"/>
        </ext>
      </extLst>
    </bk>
    <bk>
      <extLst>
        <ext uri="{3e2802c4-a4d2-4d8b-9148-e3be6c30e623}">
          <xlrd:rvb i="4760"/>
        </ext>
      </extLst>
    </bk>
    <bk>
      <extLst>
        <ext uri="{3e2802c4-a4d2-4d8b-9148-e3be6c30e623}">
          <xlrd:rvb i="4761"/>
        </ext>
      </extLst>
    </bk>
    <bk>
      <extLst>
        <ext uri="{3e2802c4-a4d2-4d8b-9148-e3be6c30e623}">
          <xlrd:rvb i="4762"/>
        </ext>
      </extLst>
    </bk>
    <bk>
      <extLst>
        <ext uri="{3e2802c4-a4d2-4d8b-9148-e3be6c30e623}">
          <xlrd:rvb i="4763"/>
        </ext>
      </extLst>
    </bk>
    <bk>
      <extLst>
        <ext uri="{3e2802c4-a4d2-4d8b-9148-e3be6c30e623}">
          <xlrd:rvb i="4764"/>
        </ext>
      </extLst>
    </bk>
    <bk>
      <extLst>
        <ext uri="{3e2802c4-a4d2-4d8b-9148-e3be6c30e623}">
          <xlrd:rvb i="4765"/>
        </ext>
      </extLst>
    </bk>
    <bk>
      <extLst>
        <ext uri="{3e2802c4-a4d2-4d8b-9148-e3be6c30e623}">
          <xlrd:rvb i="4766"/>
        </ext>
      </extLst>
    </bk>
    <bk>
      <extLst>
        <ext uri="{3e2802c4-a4d2-4d8b-9148-e3be6c30e623}">
          <xlrd:rvb i="4767"/>
        </ext>
      </extLst>
    </bk>
    <bk>
      <extLst>
        <ext uri="{3e2802c4-a4d2-4d8b-9148-e3be6c30e623}">
          <xlrd:rvb i="4768"/>
        </ext>
      </extLst>
    </bk>
    <bk>
      <extLst>
        <ext uri="{3e2802c4-a4d2-4d8b-9148-e3be6c30e623}">
          <xlrd:rvb i="4769"/>
        </ext>
      </extLst>
    </bk>
    <bk>
      <extLst>
        <ext uri="{3e2802c4-a4d2-4d8b-9148-e3be6c30e623}">
          <xlrd:rvb i="4770"/>
        </ext>
      </extLst>
    </bk>
    <bk>
      <extLst>
        <ext uri="{3e2802c4-a4d2-4d8b-9148-e3be6c30e623}">
          <xlrd:rvb i="4771"/>
        </ext>
      </extLst>
    </bk>
    <bk>
      <extLst>
        <ext uri="{3e2802c4-a4d2-4d8b-9148-e3be6c30e623}">
          <xlrd:rvb i="4772"/>
        </ext>
      </extLst>
    </bk>
    <bk>
      <extLst>
        <ext uri="{3e2802c4-a4d2-4d8b-9148-e3be6c30e623}">
          <xlrd:rvb i="4773"/>
        </ext>
      </extLst>
    </bk>
    <bk>
      <extLst>
        <ext uri="{3e2802c4-a4d2-4d8b-9148-e3be6c30e623}">
          <xlrd:rvb i="4774"/>
        </ext>
      </extLst>
    </bk>
    <bk>
      <extLst>
        <ext uri="{3e2802c4-a4d2-4d8b-9148-e3be6c30e623}">
          <xlrd:rvb i="4775"/>
        </ext>
      </extLst>
    </bk>
    <bk>
      <extLst>
        <ext uri="{3e2802c4-a4d2-4d8b-9148-e3be6c30e623}">
          <xlrd:rvb i="4776"/>
        </ext>
      </extLst>
    </bk>
    <bk>
      <extLst>
        <ext uri="{3e2802c4-a4d2-4d8b-9148-e3be6c30e623}">
          <xlrd:rvb i="4777"/>
        </ext>
      </extLst>
    </bk>
    <bk>
      <extLst>
        <ext uri="{3e2802c4-a4d2-4d8b-9148-e3be6c30e623}">
          <xlrd:rvb i="4778"/>
        </ext>
      </extLst>
    </bk>
    <bk>
      <extLst>
        <ext uri="{3e2802c4-a4d2-4d8b-9148-e3be6c30e623}">
          <xlrd:rvb i="4779"/>
        </ext>
      </extLst>
    </bk>
    <bk>
      <extLst>
        <ext uri="{3e2802c4-a4d2-4d8b-9148-e3be6c30e623}">
          <xlrd:rvb i="4780"/>
        </ext>
      </extLst>
    </bk>
    <bk>
      <extLst>
        <ext uri="{3e2802c4-a4d2-4d8b-9148-e3be6c30e623}">
          <xlrd:rvb i="4781"/>
        </ext>
      </extLst>
    </bk>
    <bk>
      <extLst>
        <ext uri="{3e2802c4-a4d2-4d8b-9148-e3be6c30e623}">
          <xlrd:rvb i="4782"/>
        </ext>
      </extLst>
    </bk>
    <bk>
      <extLst>
        <ext uri="{3e2802c4-a4d2-4d8b-9148-e3be6c30e623}">
          <xlrd:rvb i="4783"/>
        </ext>
      </extLst>
    </bk>
    <bk>
      <extLst>
        <ext uri="{3e2802c4-a4d2-4d8b-9148-e3be6c30e623}">
          <xlrd:rvb i="4784"/>
        </ext>
      </extLst>
    </bk>
    <bk>
      <extLst>
        <ext uri="{3e2802c4-a4d2-4d8b-9148-e3be6c30e623}">
          <xlrd:rvb i="4785"/>
        </ext>
      </extLst>
    </bk>
    <bk>
      <extLst>
        <ext uri="{3e2802c4-a4d2-4d8b-9148-e3be6c30e623}">
          <xlrd:rvb i="4786"/>
        </ext>
      </extLst>
    </bk>
    <bk>
      <extLst>
        <ext uri="{3e2802c4-a4d2-4d8b-9148-e3be6c30e623}">
          <xlrd:rvb i="4787"/>
        </ext>
      </extLst>
    </bk>
    <bk>
      <extLst>
        <ext uri="{3e2802c4-a4d2-4d8b-9148-e3be6c30e623}">
          <xlrd:rvb i="4788"/>
        </ext>
      </extLst>
    </bk>
    <bk>
      <extLst>
        <ext uri="{3e2802c4-a4d2-4d8b-9148-e3be6c30e623}">
          <xlrd:rvb i="4789"/>
        </ext>
      </extLst>
    </bk>
    <bk>
      <extLst>
        <ext uri="{3e2802c4-a4d2-4d8b-9148-e3be6c30e623}">
          <xlrd:rvb i="4790"/>
        </ext>
      </extLst>
    </bk>
    <bk>
      <extLst>
        <ext uri="{3e2802c4-a4d2-4d8b-9148-e3be6c30e623}">
          <xlrd:rvb i="4791"/>
        </ext>
      </extLst>
    </bk>
    <bk>
      <extLst>
        <ext uri="{3e2802c4-a4d2-4d8b-9148-e3be6c30e623}">
          <xlrd:rvb i="4792"/>
        </ext>
      </extLst>
    </bk>
    <bk>
      <extLst>
        <ext uri="{3e2802c4-a4d2-4d8b-9148-e3be6c30e623}">
          <xlrd:rvb i="4793"/>
        </ext>
      </extLst>
    </bk>
    <bk>
      <extLst>
        <ext uri="{3e2802c4-a4d2-4d8b-9148-e3be6c30e623}">
          <xlrd:rvb i="4794"/>
        </ext>
      </extLst>
    </bk>
    <bk>
      <extLst>
        <ext uri="{3e2802c4-a4d2-4d8b-9148-e3be6c30e623}">
          <xlrd:rvb i="4795"/>
        </ext>
      </extLst>
    </bk>
    <bk>
      <extLst>
        <ext uri="{3e2802c4-a4d2-4d8b-9148-e3be6c30e623}">
          <xlrd:rvb i="4796"/>
        </ext>
      </extLst>
    </bk>
    <bk>
      <extLst>
        <ext uri="{3e2802c4-a4d2-4d8b-9148-e3be6c30e623}">
          <xlrd:rvb i="4797"/>
        </ext>
      </extLst>
    </bk>
    <bk>
      <extLst>
        <ext uri="{3e2802c4-a4d2-4d8b-9148-e3be6c30e623}">
          <xlrd:rvb i="4798"/>
        </ext>
      </extLst>
    </bk>
    <bk>
      <extLst>
        <ext uri="{3e2802c4-a4d2-4d8b-9148-e3be6c30e623}">
          <xlrd:rvb i="4799"/>
        </ext>
      </extLst>
    </bk>
    <bk>
      <extLst>
        <ext uri="{3e2802c4-a4d2-4d8b-9148-e3be6c30e623}">
          <xlrd:rvb i="4800"/>
        </ext>
      </extLst>
    </bk>
    <bk>
      <extLst>
        <ext uri="{3e2802c4-a4d2-4d8b-9148-e3be6c30e623}">
          <xlrd:rvb i="4801"/>
        </ext>
      </extLst>
    </bk>
    <bk>
      <extLst>
        <ext uri="{3e2802c4-a4d2-4d8b-9148-e3be6c30e623}">
          <xlrd:rvb i="4802"/>
        </ext>
      </extLst>
    </bk>
    <bk>
      <extLst>
        <ext uri="{3e2802c4-a4d2-4d8b-9148-e3be6c30e623}">
          <xlrd:rvb i="4803"/>
        </ext>
      </extLst>
    </bk>
    <bk>
      <extLst>
        <ext uri="{3e2802c4-a4d2-4d8b-9148-e3be6c30e623}">
          <xlrd:rvb i="4804"/>
        </ext>
      </extLst>
    </bk>
    <bk>
      <extLst>
        <ext uri="{3e2802c4-a4d2-4d8b-9148-e3be6c30e623}">
          <xlrd:rvb i="4805"/>
        </ext>
      </extLst>
    </bk>
    <bk>
      <extLst>
        <ext uri="{3e2802c4-a4d2-4d8b-9148-e3be6c30e623}">
          <xlrd:rvb i="4806"/>
        </ext>
      </extLst>
    </bk>
    <bk>
      <extLst>
        <ext uri="{3e2802c4-a4d2-4d8b-9148-e3be6c30e623}">
          <xlrd:rvb i="4807"/>
        </ext>
      </extLst>
    </bk>
    <bk>
      <extLst>
        <ext uri="{3e2802c4-a4d2-4d8b-9148-e3be6c30e623}">
          <xlrd:rvb i="4808"/>
        </ext>
      </extLst>
    </bk>
    <bk>
      <extLst>
        <ext uri="{3e2802c4-a4d2-4d8b-9148-e3be6c30e623}">
          <xlrd:rvb i="4809"/>
        </ext>
      </extLst>
    </bk>
    <bk>
      <extLst>
        <ext uri="{3e2802c4-a4d2-4d8b-9148-e3be6c30e623}">
          <xlrd:rvb i="4810"/>
        </ext>
      </extLst>
    </bk>
    <bk>
      <extLst>
        <ext uri="{3e2802c4-a4d2-4d8b-9148-e3be6c30e623}">
          <xlrd:rvb i="4811"/>
        </ext>
      </extLst>
    </bk>
    <bk>
      <extLst>
        <ext uri="{3e2802c4-a4d2-4d8b-9148-e3be6c30e623}">
          <xlrd:rvb i="4812"/>
        </ext>
      </extLst>
    </bk>
    <bk>
      <extLst>
        <ext uri="{3e2802c4-a4d2-4d8b-9148-e3be6c30e623}">
          <xlrd:rvb i="4813"/>
        </ext>
      </extLst>
    </bk>
    <bk>
      <extLst>
        <ext uri="{3e2802c4-a4d2-4d8b-9148-e3be6c30e623}">
          <xlrd:rvb i="4814"/>
        </ext>
      </extLst>
    </bk>
    <bk>
      <extLst>
        <ext uri="{3e2802c4-a4d2-4d8b-9148-e3be6c30e623}">
          <xlrd:rvb i="4815"/>
        </ext>
      </extLst>
    </bk>
    <bk>
      <extLst>
        <ext uri="{3e2802c4-a4d2-4d8b-9148-e3be6c30e623}">
          <xlrd:rvb i="4816"/>
        </ext>
      </extLst>
    </bk>
    <bk>
      <extLst>
        <ext uri="{3e2802c4-a4d2-4d8b-9148-e3be6c30e623}">
          <xlrd:rvb i="4817"/>
        </ext>
      </extLst>
    </bk>
    <bk>
      <extLst>
        <ext uri="{3e2802c4-a4d2-4d8b-9148-e3be6c30e623}">
          <xlrd:rvb i="4818"/>
        </ext>
      </extLst>
    </bk>
    <bk>
      <extLst>
        <ext uri="{3e2802c4-a4d2-4d8b-9148-e3be6c30e623}">
          <xlrd:rvb i="4819"/>
        </ext>
      </extLst>
    </bk>
    <bk>
      <extLst>
        <ext uri="{3e2802c4-a4d2-4d8b-9148-e3be6c30e623}">
          <xlrd:rvb i="4820"/>
        </ext>
      </extLst>
    </bk>
    <bk>
      <extLst>
        <ext uri="{3e2802c4-a4d2-4d8b-9148-e3be6c30e623}">
          <xlrd:rvb i="4821"/>
        </ext>
      </extLst>
    </bk>
    <bk>
      <extLst>
        <ext uri="{3e2802c4-a4d2-4d8b-9148-e3be6c30e623}">
          <xlrd:rvb i="4822"/>
        </ext>
      </extLst>
    </bk>
    <bk>
      <extLst>
        <ext uri="{3e2802c4-a4d2-4d8b-9148-e3be6c30e623}">
          <xlrd:rvb i="4823"/>
        </ext>
      </extLst>
    </bk>
    <bk>
      <extLst>
        <ext uri="{3e2802c4-a4d2-4d8b-9148-e3be6c30e623}">
          <xlrd:rvb i="4824"/>
        </ext>
      </extLst>
    </bk>
    <bk>
      <extLst>
        <ext uri="{3e2802c4-a4d2-4d8b-9148-e3be6c30e623}">
          <xlrd:rvb i="4825"/>
        </ext>
      </extLst>
    </bk>
    <bk>
      <extLst>
        <ext uri="{3e2802c4-a4d2-4d8b-9148-e3be6c30e623}">
          <xlrd:rvb i="4826"/>
        </ext>
      </extLst>
    </bk>
    <bk>
      <extLst>
        <ext uri="{3e2802c4-a4d2-4d8b-9148-e3be6c30e623}">
          <xlrd:rvb i="4827"/>
        </ext>
      </extLst>
    </bk>
    <bk>
      <extLst>
        <ext uri="{3e2802c4-a4d2-4d8b-9148-e3be6c30e623}">
          <xlrd:rvb i="4828"/>
        </ext>
      </extLst>
    </bk>
    <bk>
      <extLst>
        <ext uri="{3e2802c4-a4d2-4d8b-9148-e3be6c30e623}">
          <xlrd:rvb i="4829"/>
        </ext>
      </extLst>
    </bk>
    <bk>
      <extLst>
        <ext uri="{3e2802c4-a4d2-4d8b-9148-e3be6c30e623}">
          <xlrd:rvb i="4830"/>
        </ext>
      </extLst>
    </bk>
    <bk>
      <extLst>
        <ext uri="{3e2802c4-a4d2-4d8b-9148-e3be6c30e623}">
          <xlrd:rvb i="4831"/>
        </ext>
      </extLst>
    </bk>
    <bk>
      <extLst>
        <ext uri="{3e2802c4-a4d2-4d8b-9148-e3be6c30e623}">
          <xlrd:rvb i="4832"/>
        </ext>
      </extLst>
    </bk>
    <bk>
      <extLst>
        <ext uri="{3e2802c4-a4d2-4d8b-9148-e3be6c30e623}">
          <xlrd:rvb i="4833"/>
        </ext>
      </extLst>
    </bk>
    <bk>
      <extLst>
        <ext uri="{3e2802c4-a4d2-4d8b-9148-e3be6c30e623}">
          <xlrd:rvb i="4834"/>
        </ext>
      </extLst>
    </bk>
    <bk>
      <extLst>
        <ext uri="{3e2802c4-a4d2-4d8b-9148-e3be6c30e623}">
          <xlrd:rvb i="4835"/>
        </ext>
      </extLst>
    </bk>
    <bk>
      <extLst>
        <ext uri="{3e2802c4-a4d2-4d8b-9148-e3be6c30e623}">
          <xlrd:rvb i="4836"/>
        </ext>
      </extLst>
    </bk>
    <bk>
      <extLst>
        <ext uri="{3e2802c4-a4d2-4d8b-9148-e3be6c30e623}">
          <xlrd:rvb i="4837"/>
        </ext>
      </extLst>
    </bk>
    <bk>
      <extLst>
        <ext uri="{3e2802c4-a4d2-4d8b-9148-e3be6c30e623}">
          <xlrd:rvb i="4838"/>
        </ext>
      </extLst>
    </bk>
    <bk>
      <extLst>
        <ext uri="{3e2802c4-a4d2-4d8b-9148-e3be6c30e623}">
          <xlrd:rvb i="4839"/>
        </ext>
      </extLst>
    </bk>
    <bk>
      <extLst>
        <ext uri="{3e2802c4-a4d2-4d8b-9148-e3be6c30e623}">
          <xlrd:rvb i="4840"/>
        </ext>
      </extLst>
    </bk>
    <bk>
      <extLst>
        <ext uri="{3e2802c4-a4d2-4d8b-9148-e3be6c30e623}">
          <xlrd:rvb i="4841"/>
        </ext>
      </extLst>
    </bk>
    <bk>
      <extLst>
        <ext uri="{3e2802c4-a4d2-4d8b-9148-e3be6c30e623}">
          <xlrd:rvb i="4842"/>
        </ext>
      </extLst>
    </bk>
    <bk>
      <extLst>
        <ext uri="{3e2802c4-a4d2-4d8b-9148-e3be6c30e623}">
          <xlrd:rvb i="4843"/>
        </ext>
      </extLst>
    </bk>
    <bk>
      <extLst>
        <ext uri="{3e2802c4-a4d2-4d8b-9148-e3be6c30e623}">
          <xlrd:rvb i="4844"/>
        </ext>
      </extLst>
    </bk>
    <bk>
      <extLst>
        <ext uri="{3e2802c4-a4d2-4d8b-9148-e3be6c30e623}">
          <xlrd:rvb i="4845"/>
        </ext>
      </extLst>
    </bk>
    <bk>
      <extLst>
        <ext uri="{3e2802c4-a4d2-4d8b-9148-e3be6c30e623}">
          <xlrd:rvb i="4846"/>
        </ext>
      </extLst>
    </bk>
    <bk>
      <extLst>
        <ext uri="{3e2802c4-a4d2-4d8b-9148-e3be6c30e623}">
          <xlrd:rvb i="4847"/>
        </ext>
      </extLst>
    </bk>
    <bk>
      <extLst>
        <ext uri="{3e2802c4-a4d2-4d8b-9148-e3be6c30e623}">
          <xlrd:rvb i="4848"/>
        </ext>
      </extLst>
    </bk>
    <bk>
      <extLst>
        <ext uri="{3e2802c4-a4d2-4d8b-9148-e3be6c30e623}">
          <xlrd:rvb i="4849"/>
        </ext>
      </extLst>
    </bk>
    <bk>
      <extLst>
        <ext uri="{3e2802c4-a4d2-4d8b-9148-e3be6c30e623}">
          <xlrd:rvb i="4850"/>
        </ext>
      </extLst>
    </bk>
    <bk>
      <extLst>
        <ext uri="{3e2802c4-a4d2-4d8b-9148-e3be6c30e623}">
          <xlrd:rvb i="4851"/>
        </ext>
      </extLst>
    </bk>
    <bk>
      <extLst>
        <ext uri="{3e2802c4-a4d2-4d8b-9148-e3be6c30e623}">
          <xlrd:rvb i="4852"/>
        </ext>
      </extLst>
    </bk>
    <bk>
      <extLst>
        <ext uri="{3e2802c4-a4d2-4d8b-9148-e3be6c30e623}">
          <xlrd:rvb i="4853"/>
        </ext>
      </extLst>
    </bk>
    <bk>
      <extLst>
        <ext uri="{3e2802c4-a4d2-4d8b-9148-e3be6c30e623}">
          <xlrd:rvb i="4854"/>
        </ext>
      </extLst>
    </bk>
    <bk>
      <extLst>
        <ext uri="{3e2802c4-a4d2-4d8b-9148-e3be6c30e623}">
          <xlrd:rvb i="4855"/>
        </ext>
      </extLst>
    </bk>
    <bk>
      <extLst>
        <ext uri="{3e2802c4-a4d2-4d8b-9148-e3be6c30e623}">
          <xlrd:rvb i="4856"/>
        </ext>
      </extLst>
    </bk>
    <bk>
      <extLst>
        <ext uri="{3e2802c4-a4d2-4d8b-9148-e3be6c30e623}">
          <xlrd:rvb i="4857"/>
        </ext>
      </extLst>
    </bk>
    <bk>
      <extLst>
        <ext uri="{3e2802c4-a4d2-4d8b-9148-e3be6c30e623}">
          <xlrd:rvb i="4858"/>
        </ext>
      </extLst>
    </bk>
    <bk>
      <extLst>
        <ext uri="{3e2802c4-a4d2-4d8b-9148-e3be6c30e623}">
          <xlrd:rvb i="4859"/>
        </ext>
      </extLst>
    </bk>
    <bk>
      <extLst>
        <ext uri="{3e2802c4-a4d2-4d8b-9148-e3be6c30e623}">
          <xlrd:rvb i="4860"/>
        </ext>
      </extLst>
    </bk>
    <bk>
      <extLst>
        <ext uri="{3e2802c4-a4d2-4d8b-9148-e3be6c30e623}">
          <xlrd:rvb i="4861"/>
        </ext>
      </extLst>
    </bk>
    <bk>
      <extLst>
        <ext uri="{3e2802c4-a4d2-4d8b-9148-e3be6c30e623}">
          <xlrd:rvb i="4862"/>
        </ext>
      </extLst>
    </bk>
    <bk>
      <extLst>
        <ext uri="{3e2802c4-a4d2-4d8b-9148-e3be6c30e623}">
          <xlrd:rvb i="4863"/>
        </ext>
      </extLst>
    </bk>
    <bk>
      <extLst>
        <ext uri="{3e2802c4-a4d2-4d8b-9148-e3be6c30e623}">
          <xlrd:rvb i="4864"/>
        </ext>
      </extLst>
    </bk>
    <bk>
      <extLst>
        <ext uri="{3e2802c4-a4d2-4d8b-9148-e3be6c30e623}">
          <xlrd:rvb i="4865"/>
        </ext>
      </extLst>
    </bk>
    <bk>
      <extLst>
        <ext uri="{3e2802c4-a4d2-4d8b-9148-e3be6c30e623}">
          <xlrd:rvb i="4866"/>
        </ext>
      </extLst>
    </bk>
    <bk>
      <extLst>
        <ext uri="{3e2802c4-a4d2-4d8b-9148-e3be6c30e623}">
          <xlrd:rvb i="4867"/>
        </ext>
      </extLst>
    </bk>
    <bk>
      <extLst>
        <ext uri="{3e2802c4-a4d2-4d8b-9148-e3be6c30e623}">
          <xlrd:rvb i="4868"/>
        </ext>
      </extLst>
    </bk>
    <bk>
      <extLst>
        <ext uri="{3e2802c4-a4d2-4d8b-9148-e3be6c30e623}">
          <xlrd:rvb i="4869"/>
        </ext>
      </extLst>
    </bk>
    <bk>
      <extLst>
        <ext uri="{3e2802c4-a4d2-4d8b-9148-e3be6c30e623}">
          <xlrd:rvb i="4870"/>
        </ext>
      </extLst>
    </bk>
    <bk>
      <extLst>
        <ext uri="{3e2802c4-a4d2-4d8b-9148-e3be6c30e623}">
          <xlrd:rvb i="4871"/>
        </ext>
      </extLst>
    </bk>
    <bk>
      <extLst>
        <ext uri="{3e2802c4-a4d2-4d8b-9148-e3be6c30e623}">
          <xlrd:rvb i="4872"/>
        </ext>
      </extLst>
    </bk>
    <bk>
      <extLst>
        <ext uri="{3e2802c4-a4d2-4d8b-9148-e3be6c30e623}">
          <xlrd:rvb i="4873"/>
        </ext>
      </extLst>
    </bk>
    <bk>
      <extLst>
        <ext uri="{3e2802c4-a4d2-4d8b-9148-e3be6c30e623}">
          <xlrd:rvb i="4874"/>
        </ext>
      </extLst>
    </bk>
    <bk>
      <extLst>
        <ext uri="{3e2802c4-a4d2-4d8b-9148-e3be6c30e623}">
          <xlrd:rvb i="4875"/>
        </ext>
      </extLst>
    </bk>
    <bk>
      <extLst>
        <ext uri="{3e2802c4-a4d2-4d8b-9148-e3be6c30e623}">
          <xlrd:rvb i="4876"/>
        </ext>
      </extLst>
    </bk>
    <bk>
      <extLst>
        <ext uri="{3e2802c4-a4d2-4d8b-9148-e3be6c30e623}">
          <xlrd:rvb i="4877"/>
        </ext>
      </extLst>
    </bk>
    <bk>
      <extLst>
        <ext uri="{3e2802c4-a4d2-4d8b-9148-e3be6c30e623}">
          <xlrd:rvb i="4878"/>
        </ext>
      </extLst>
    </bk>
    <bk>
      <extLst>
        <ext uri="{3e2802c4-a4d2-4d8b-9148-e3be6c30e623}">
          <xlrd:rvb i="4879"/>
        </ext>
      </extLst>
    </bk>
    <bk>
      <extLst>
        <ext uri="{3e2802c4-a4d2-4d8b-9148-e3be6c30e623}">
          <xlrd:rvb i="4880"/>
        </ext>
      </extLst>
    </bk>
    <bk>
      <extLst>
        <ext uri="{3e2802c4-a4d2-4d8b-9148-e3be6c30e623}">
          <xlrd:rvb i="4881"/>
        </ext>
      </extLst>
    </bk>
    <bk>
      <extLst>
        <ext uri="{3e2802c4-a4d2-4d8b-9148-e3be6c30e623}">
          <xlrd:rvb i="4882"/>
        </ext>
      </extLst>
    </bk>
    <bk>
      <extLst>
        <ext uri="{3e2802c4-a4d2-4d8b-9148-e3be6c30e623}">
          <xlrd:rvb i="4883"/>
        </ext>
      </extLst>
    </bk>
    <bk>
      <extLst>
        <ext uri="{3e2802c4-a4d2-4d8b-9148-e3be6c30e623}">
          <xlrd:rvb i="4884"/>
        </ext>
      </extLst>
    </bk>
    <bk>
      <extLst>
        <ext uri="{3e2802c4-a4d2-4d8b-9148-e3be6c30e623}">
          <xlrd:rvb i="4885"/>
        </ext>
      </extLst>
    </bk>
    <bk>
      <extLst>
        <ext uri="{3e2802c4-a4d2-4d8b-9148-e3be6c30e623}">
          <xlrd:rvb i="4886"/>
        </ext>
      </extLst>
    </bk>
    <bk>
      <extLst>
        <ext uri="{3e2802c4-a4d2-4d8b-9148-e3be6c30e623}">
          <xlrd:rvb i="4887"/>
        </ext>
      </extLst>
    </bk>
    <bk>
      <extLst>
        <ext uri="{3e2802c4-a4d2-4d8b-9148-e3be6c30e623}">
          <xlrd:rvb i="4888"/>
        </ext>
      </extLst>
    </bk>
    <bk>
      <extLst>
        <ext uri="{3e2802c4-a4d2-4d8b-9148-e3be6c30e623}">
          <xlrd:rvb i="4889"/>
        </ext>
      </extLst>
    </bk>
    <bk>
      <extLst>
        <ext uri="{3e2802c4-a4d2-4d8b-9148-e3be6c30e623}">
          <xlrd:rvb i="4890"/>
        </ext>
      </extLst>
    </bk>
    <bk>
      <extLst>
        <ext uri="{3e2802c4-a4d2-4d8b-9148-e3be6c30e623}">
          <xlrd:rvb i="4891"/>
        </ext>
      </extLst>
    </bk>
    <bk>
      <extLst>
        <ext uri="{3e2802c4-a4d2-4d8b-9148-e3be6c30e623}">
          <xlrd:rvb i="4892"/>
        </ext>
      </extLst>
    </bk>
    <bk>
      <extLst>
        <ext uri="{3e2802c4-a4d2-4d8b-9148-e3be6c30e623}">
          <xlrd:rvb i="4893"/>
        </ext>
      </extLst>
    </bk>
    <bk>
      <extLst>
        <ext uri="{3e2802c4-a4d2-4d8b-9148-e3be6c30e623}">
          <xlrd:rvb i="4894"/>
        </ext>
      </extLst>
    </bk>
    <bk>
      <extLst>
        <ext uri="{3e2802c4-a4d2-4d8b-9148-e3be6c30e623}">
          <xlrd:rvb i="4895"/>
        </ext>
      </extLst>
    </bk>
    <bk>
      <extLst>
        <ext uri="{3e2802c4-a4d2-4d8b-9148-e3be6c30e623}">
          <xlrd:rvb i="4896"/>
        </ext>
      </extLst>
    </bk>
    <bk>
      <extLst>
        <ext uri="{3e2802c4-a4d2-4d8b-9148-e3be6c30e623}">
          <xlrd:rvb i="4897"/>
        </ext>
      </extLst>
    </bk>
    <bk>
      <extLst>
        <ext uri="{3e2802c4-a4d2-4d8b-9148-e3be6c30e623}">
          <xlrd:rvb i="4898"/>
        </ext>
      </extLst>
    </bk>
    <bk>
      <extLst>
        <ext uri="{3e2802c4-a4d2-4d8b-9148-e3be6c30e623}">
          <xlrd:rvb i="4899"/>
        </ext>
      </extLst>
    </bk>
    <bk>
      <extLst>
        <ext uri="{3e2802c4-a4d2-4d8b-9148-e3be6c30e623}">
          <xlrd:rvb i="4900"/>
        </ext>
      </extLst>
    </bk>
    <bk>
      <extLst>
        <ext uri="{3e2802c4-a4d2-4d8b-9148-e3be6c30e623}">
          <xlrd:rvb i="4901"/>
        </ext>
      </extLst>
    </bk>
    <bk>
      <extLst>
        <ext uri="{3e2802c4-a4d2-4d8b-9148-e3be6c30e623}">
          <xlrd:rvb i="4902"/>
        </ext>
      </extLst>
    </bk>
    <bk>
      <extLst>
        <ext uri="{3e2802c4-a4d2-4d8b-9148-e3be6c30e623}">
          <xlrd:rvb i="4903"/>
        </ext>
      </extLst>
    </bk>
    <bk>
      <extLst>
        <ext uri="{3e2802c4-a4d2-4d8b-9148-e3be6c30e623}">
          <xlrd:rvb i="4904"/>
        </ext>
      </extLst>
    </bk>
    <bk>
      <extLst>
        <ext uri="{3e2802c4-a4d2-4d8b-9148-e3be6c30e623}">
          <xlrd:rvb i="4905"/>
        </ext>
      </extLst>
    </bk>
    <bk>
      <extLst>
        <ext uri="{3e2802c4-a4d2-4d8b-9148-e3be6c30e623}">
          <xlrd:rvb i="4906"/>
        </ext>
      </extLst>
    </bk>
    <bk>
      <extLst>
        <ext uri="{3e2802c4-a4d2-4d8b-9148-e3be6c30e623}">
          <xlrd:rvb i="4907"/>
        </ext>
      </extLst>
    </bk>
    <bk>
      <extLst>
        <ext uri="{3e2802c4-a4d2-4d8b-9148-e3be6c30e623}">
          <xlrd:rvb i="4908"/>
        </ext>
      </extLst>
    </bk>
    <bk>
      <extLst>
        <ext uri="{3e2802c4-a4d2-4d8b-9148-e3be6c30e623}">
          <xlrd:rvb i="4909"/>
        </ext>
      </extLst>
    </bk>
    <bk>
      <extLst>
        <ext uri="{3e2802c4-a4d2-4d8b-9148-e3be6c30e623}">
          <xlrd:rvb i="4910"/>
        </ext>
      </extLst>
    </bk>
    <bk>
      <extLst>
        <ext uri="{3e2802c4-a4d2-4d8b-9148-e3be6c30e623}">
          <xlrd:rvb i="4911"/>
        </ext>
      </extLst>
    </bk>
    <bk>
      <extLst>
        <ext uri="{3e2802c4-a4d2-4d8b-9148-e3be6c30e623}">
          <xlrd:rvb i="4912"/>
        </ext>
      </extLst>
    </bk>
    <bk>
      <extLst>
        <ext uri="{3e2802c4-a4d2-4d8b-9148-e3be6c30e623}">
          <xlrd:rvb i="4913"/>
        </ext>
      </extLst>
    </bk>
    <bk>
      <extLst>
        <ext uri="{3e2802c4-a4d2-4d8b-9148-e3be6c30e623}">
          <xlrd:rvb i="4914"/>
        </ext>
      </extLst>
    </bk>
    <bk>
      <extLst>
        <ext uri="{3e2802c4-a4d2-4d8b-9148-e3be6c30e623}">
          <xlrd:rvb i="4915"/>
        </ext>
      </extLst>
    </bk>
    <bk>
      <extLst>
        <ext uri="{3e2802c4-a4d2-4d8b-9148-e3be6c30e623}">
          <xlrd:rvb i="4916"/>
        </ext>
      </extLst>
    </bk>
    <bk>
      <extLst>
        <ext uri="{3e2802c4-a4d2-4d8b-9148-e3be6c30e623}">
          <xlrd:rvb i="4917"/>
        </ext>
      </extLst>
    </bk>
    <bk>
      <extLst>
        <ext uri="{3e2802c4-a4d2-4d8b-9148-e3be6c30e623}">
          <xlrd:rvb i="4918"/>
        </ext>
      </extLst>
    </bk>
    <bk>
      <extLst>
        <ext uri="{3e2802c4-a4d2-4d8b-9148-e3be6c30e623}">
          <xlrd:rvb i="4919"/>
        </ext>
      </extLst>
    </bk>
    <bk>
      <extLst>
        <ext uri="{3e2802c4-a4d2-4d8b-9148-e3be6c30e623}">
          <xlrd:rvb i="4920"/>
        </ext>
      </extLst>
    </bk>
    <bk>
      <extLst>
        <ext uri="{3e2802c4-a4d2-4d8b-9148-e3be6c30e623}">
          <xlrd:rvb i="4921"/>
        </ext>
      </extLst>
    </bk>
    <bk>
      <extLst>
        <ext uri="{3e2802c4-a4d2-4d8b-9148-e3be6c30e623}">
          <xlrd:rvb i="4922"/>
        </ext>
      </extLst>
    </bk>
    <bk>
      <extLst>
        <ext uri="{3e2802c4-a4d2-4d8b-9148-e3be6c30e623}">
          <xlrd:rvb i="4923"/>
        </ext>
      </extLst>
    </bk>
    <bk>
      <extLst>
        <ext uri="{3e2802c4-a4d2-4d8b-9148-e3be6c30e623}">
          <xlrd:rvb i="4924"/>
        </ext>
      </extLst>
    </bk>
    <bk>
      <extLst>
        <ext uri="{3e2802c4-a4d2-4d8b-9148-e3be6c30e623}">
          <xlrd:rvb i="4925"/>
        </ext>
      </extLst>
    </bk>
    <bk>
      <extLst>
        <ext uri="{3e2802c4-a4d2-4d8b-9148-e3be6c30e623}">
          <xlrd:rvb i="4926"/>
        </ext>
      </extLst>
    </bk>
    <bk>
      <extLst>
        <ext uri="{3e2802c4-a4d2-4d8b-9148-e3be6c30e623}">
          <xlrd:rvb i="4927"/>
        </ext>
      </extLst>
    </bk>
    <bk>
      <extLst>
        <ext uri="{3e2802c4-a4d2-4d8b-9148-e3be6c30e623}">
          <xlrd:rvb i="4928"/>
        </ext>
      </extLst>
    </bk>
    <bk>
      <extLst>
        <ext uri="{3e2802c4-a4d2-4d8b-9148-e3be6c30e623}">
          <xlrd:rvb i="4929"/>
        </ext>
      </extLst>
    </bk>
    <bk>
      <extLst>
        <ext uri="{3e2802c4-a4d2-4d8b-9148-e3be6c30e623}">
          <xlrd:rvb i="4930"/>
        </ext>
      </extLst>
    </bk>
    <bk>
      <extLst>
        <ext uri="{3e2802c4-a4d2-4d8b-9148-e3be6c30e623}">
          <xlrd:rvb i="4931"/>
        </ext>
      </extLst>
    </bk>
    <bk>
      <extLst>
        <ext uri="{3e2802c4-a4d2-4d8b-9148-e3be6c30e623}">
          <xlrd:rvb i="4932"/>
        </ext>
      </extLst>
    </bk>
    <bk>
      <extLst>
        <ext uri="{3e2802c4-a4d2-4d8b-9148-e3be6c30e623}">
          <xlrd:rvb i="4933"/>
        </ext>
      </extLst>
    </bk>
    <bk>
      <extLst>
        <ext uri="{3e2802c4-a4d2-4d8b-9148-e3be6c30e623}">
          <xlrd:rvb i="4934"/>
        </ext>
      </extLst>
    </bk>
    <bk>
      <extLst>
        <ext uri="{3e2802c4-a4d2-4d8b-9148-e3be6c30e623}">
          <xlrd:rvb i="4935"/>
        </ext>
      </extLst>
    </bk>
    <bk>
      <extLst>
        <ext uri="{3e2802c4-a4d2-4d8b-9148-e3be6c30e623}">
          <xlrd:rvb i="4936"/>
        </ext>
      </extLst>
    </bk>
    <bk>
      <extLst>
        <ext uri="{3e2802c4-a4d2-4d8b-9148-e3be6c30e623}">
          <xlrd:rvb i="4937"/>
        </ext>
      </extLst>
    </bk>
    <bk>
      <extLst>
        <ext uri="{3e2802c4-a4d2-4d8b-9148-e3be6c30e623}">
          <xlrd:rvb i="4938"/>
        </ext>
      </extLst>
    </bk>
    <bk>
      <extLst>
        <ext uri="{3e2802c4-a4d2-4d8b-9148-e3be6c30e623}">
          <xlrd:rvb i="4939"/>
        </ext>
      </extLst>
    </bk>
    <bk>
      <extLst>
        <ext uri="{3e2802c4-a4d2-4d8b-9148-e3be6c30e623}">
          <xlrd:rvb i="4940"/>
        </ext>
      </extLst>
    </bk>
    <bk>
      <extLst>
        <ext uri="{3e2802c4-a4d2-4d8b-9148-e3be6c30e623}">
          <xlrd:rvb i="4941"/>
        </ext>
      </extLst>
    </bk>
    <bk>
      <extLst>
        <ext uri="{3e2802c4-a4d2-4d8b-9148-e3be6c30e623}">
          <xlrd:rvb i="4942"/>
        </ext>
      </extLst>
    </bk>
    <bk>
      <extLst>
        <ext uri="{3e2802c4-a4d2-4d8b-9148-e3be6c30e623}">
          <xlrd:rvb i="4943"/>
        </ext>
      </extLst>
    </bk>
    <bk>
      <extLst>
        <ext uri="{3e2802c4-a4d2-4d8b-9148-e3be6c30e623}">
          <xlrd:rvb i="4944"/>
        </ext>
      </extLst>
    </bk>
    <bk>
      <extLst>
        <ext uri="{3e2802c4-a4d2-4d8b-9148-e3be6c30e623}">
          <xlrd:rvb i="4945"/>
        </ext>
      </extLst>
    </bk>
    <bk>
      <extLst>
        <ext uri="{3e2802c4-a4d2-4d8b-9148-e3be6c30e623}">
          <xlrd:rvb i="4946"/>
        </ext>
      </extLst>
    </bk>
    <bk>
      <extLst>
        <ext uri="{3e2802c4-a4d2-4d8b-9148-e3be6c30e623}">
          <xlrd:rvb i="4947"/>
        </ext>
      </extLst>
    </bk>
    <bk>
      <extLst>
        <ext uri="{3e2802c4-a4d2-4d8b-9148-e3be6c30e623}">
          <xlrd:rvb i="4948"/>
        </ext>
      </extLst>
    </bk>
    <bk>
      <extLst>
        <ext uri="{3e2802c4-a4d2-4d8b-9148-e3be6c30e623}">
          <xlrd:rvb i="4949"/>
        </ext>
      </extLst>
    </bk>
    <bk>
      <extLst>
        <ext uri="{3e2802c4-a4d2-4d8b-9148-e3be6c30e623}">
          <xlrd:rvb i="4950"/>
        </ext>
      </extLst>
    </bk>
    <bk>
      <extLst>
        <ext uri="{3e2802c4-a4d2-4d8b-9148-e3be6c30e623}">
          <xlrd:rvb i="4951"/>
        </ext>
      </extLst>
    </bk>
    <bk>
      <extLst>
        <ext uri="{3e2802c4-a4d2-4d8b-9148-e3be6c30e623}">
          <xlrd:rvb i="4952"/>
        </ext>
      </extLst>
    </bk>
    <bk>
      <extLst>
        <ext uri="{3e2802c4-a4d2-4d8b-9148-e3be6c30e623}">
          <xlrd:rvb i="4953"/>
        </ext>
      </extLst>
    </bk>
    <bk>
      <extLst>
        <ext uri="{3e2802c4-a4d2-4d8b-9148-e3be6c30e623}">
          <xlrd:rvb i="4954"/>
        </ext>
      </extLst>
    </bk>
    <bk>
      <extLst>
        <ext uri="{3e2802c4-a4d2-4d8b-9148-e3be6c30e623}">
          <xlrd:rvb i="4955"/>
        </ext>
      </extLst>
    </bk>
    <bk>
      <extLst>
        <ext uri="{3e2802c4-a4d2-4d8b-9148-e3be6c30e623}">
          <xlrd:rvb i="4956"/>
        </ext>
      </extLst>
    </bk>
    <bk>
      <extLst>
        <ext uri="{3e2802c4-a4d2-4d8b-9148-e3be6c30e623}">
          <xlrd:rvb i="4957"/>
        </ext>
      </extLst>
    </bk>
    <bk>
      <extLst>
        <ext uri="{3e2802c4-a4d2-4d8b-9148-e3be6c30e623}">
          <xlrd:rvb i="4958"/>
        </ext>
      </extLst>
    </bk>
    <bk>
      <extLst>
        <ext uri="{3e2802c4-a4d2-4d8b-9148-e3be6c30e623}">
          <xlrd:rvb i="4959"/>
        </ext>
      </extLst>
    </bk>
    <bk>
      <extLst>
        <ext uri="{3e2802c4-a4d2-4d8b-9148-e3be6c30e623}">
          <xlrd:rvb i="4960"/>
        </ext>
      </extLst>
    </bk>
    <bk>
      <extLst>
        <ext uri="{3e2802c4-a4d2-4d8b-9148-e3be6c30e623}">
          <xlrd:rvb i="4961"/>
        </ext>
      </extLst>
    </bk>
    <bk>
      <extLst>
        <ext uri="{3e2802c4-a4d2-4d8b-9148-e3be6c30e623}">
          <xlrd:rvb i="4962"/>
        </ext>
      </extLst>
    </bk>
    <bk>
      <extLst>
        <ext uri="{3e2802c4-a4d2-4d8b-9148-e3be6c30e623}">
          <xlrd:rvb i="4963"/>
        </ext>
      </extLst>
    </bk>
    <bk>
      <extLst>
        <ext uri="{3e2802c4-a4d2-4d8b-9148-e3be6c30e623}">
          <xlrd:rvb i="4964"/>
        </ext>
      </extLst>
    </bk>
    <bk>
      <extLst>
        <ext uri="{3e2802c4-a4d2-4d8b-9148-e3be6c30e623}">
          <xlrd:rvb i="4965"/>
        </ext>
      </extLst>
    </bk>
    <bk>
      <extLst>
        <ext uri="{3e2802c4-a4d2-4d8b-9148-e3be6c30e623}">
          <xlrd:rvb i="4966"/>
        </ext>
      </extLst>
    </bk>
    <bk>
      <extLst>
        <ext uri="{3e2802c4-a4d2-4d8b-9148-e3be6c30e623}">
          <xlrd:rvb i="4967"/>
        </ext>
      </extLst>
    </bk>
    <bk>
      <extLst>
        <ext uri="{3e2802c4-a4d2-4d8b-9148-e3be6c30e623}">
          <xlrd:rvb i="4968"/>
        </ext>
      </extLst>
    </bk>
    <bk>
      <extLst>
        <ext uri="{3e2802c4-a4d2-4d8b-9148-e3be6c30e623}">
          <xlrd:rvb i="4969"/>
        </ext>
      </extLst>
    </bk>
    <bk>
      <extLst>
        <ext uri="{3e2802c4-a4d2-4d8b-9148-e3be6c30e623}">
          <xlrd:rvb i="4970"/>
        </ext>
      </extLst>
    </bk>
    <bk>
      <extLst>
        <ext uri="{3e2802c4-a4d2-4d8b-9148-e3be6c30e623}">
          <xlrd:rvb i="4971"/>
        </ext>
      </extLst>
    </bk>
    <bk>
      <extLst>
        <ext uri="{3e2802c4-a4d2-4d8b-9148-e3be6c30e623}">
          <xlrd:rvb i="4972"/>
        </ext>
      </extLst>
    </bk>
    <bk>
      <extLst>
        <ext uri="{3e2802c4-a4d2-4d8b-9148-e3be6c30e623}">
          <xlrd:rvb i="4973"/>
        </ext>
      </extLst>
    </bk>
    <bk>
      <extLst>
        <ext uri="{3e2802c4-a4d2-4d8b-9148-e3be6c30e623}">
          <xlrd:rvb i="4974"/>
        </ext>
      </extLst>
    </bk>
    <bk>
      <extLst>
        <ext uri="{3e2802c4-a4d2-4d8b-9148-e3be6c30e623}">
          <xlrd:rvb i="4975"/>
        </ext>
      </extLst>
    </bk>
    <bk>
      <extLst>
        <ext uri="{3e2802c4-a4d2-4d8b-9148-e3be6c30e623}">
          <xlrd:rvb i="4976"/>
        </ext>
      </extLst>
    </bk>
    <bk>
      <extLst>
        <ext uri="{3e2802c4-a4d2-4d8b-9148-e3be6c30e623}">
          <xlrd:rvb i="4977"/>
        </ext>
      </extLst>
    </bk>
    <bk>
      <extLst>
        <ext uri="{3e2802c4-a4d2-4d8b-9148-e3be6c30e623}">
          <xlrd:rvb i="4978"/>
        </ext>
      </extLst>
    </bk>
    <bk>
      <extLst>
        <ext uri="{3e2802c4-a4d2-4d8b-9148-e3be6c30e623}">
          <xlrd:rvb i="4979"/>
        </ext>
      </extLst>
    </bk>
    <bk>
      <extLst>
        <ext uri="{3e2802c4-a4d2-4d8b-9148-e3be6c30e623}">
          <xlrd:rvb i="4980"/>
        </ext>
      </extLst>
    </bk>
    <bk>
      <extLst>
        <ext uri="{3e2802c4-a4d2-4d8b-9148-e3be6c30e623}">
          <xlrd:rvb i="4981"/>
        </ext>
      </extLst>
    </bk>
    <bk>
      <extLst>
        <ext uri="{3e2802c4-a4d2-4d8b-9148-e3be6c30e623}">
          <xlrd:rvb i="4982"/>
        </ext>
      </extLst>
    </bk>
    <bk>
      <extLst>
        <ext uri="{3e2802c4-a4d2-4d8b-9148-e3be6c30e623}">
          <xlrd:rvb i="4983"/>
        </ext>
      </extLst>
    </bk>
    <bk>
      <extLst>
        <ext uri="{3e2802c4-a4d2-4d8b-9148-e3be6c30e623}">
          <xlrd:rvb i="4984"/>
        </ext>
      </extLst>
    </bk>
    <bk>
      <extLst>
        <ext uri="{3e2802c4-a4d2-4d8b-9148-e3be6c30e623}">
          <xlrd:rvb i="4985"/>
        </ext>
      </extLst>
    </bk>
    <bk>
      <extLst>
        <ext uri="{3e2802c4-a4d2-4d8b-9148-e3be6c30e623}">
          <xlrd:rvb i="4986"/>
        </ext>
      </extLst>
    </bk>
    <bk>
      <extLst>
        <ext uri="{3e2802c4-a4d2-4d8b-9148-e3be6c30e623}">
          <xlrd:rvb i="4987"/>
        </ext>
      </extLst>
    </bk>
    <bk>
      <extLst>
        <ext uri="{3e2802c4-a4d2-4d8b-9148-e3be6c30e623}">
          <xlrd:rvb i="4988"/>
        </ext>
      </extLst>
    </bk>
    <bk>
      <extLst>
        <ext uri="{3e2802c4-a4d2-4d8b-9148-e3be6c30e623}">
          <xlrd:rvb i="4989"/>
        </ext>
      </extLst>
    </bk>
    <bk>
      <extLst>
        <ext uri="{3e2802c4-a4d2-4d8b-9148-e3be6c30e623}">
          <xlrd:rvb i="4990"/>
        </ext>
      </extLst>
    </bk>
    <bk>
      <extLst>
        <ext uri="{3e2802c4-a4d2-4d8b-9148-e3be6c30e623}">
          <xlrd:rvb i="4991"/>
        </ext>
      </extLst>
    </bk>
    <bk>
      <extLst>
        <ext uri="{3e2802c4-a4d2-4d8b-9148-e3be6c30e623}">
          <xlrd:rvb i="4992"/>
        </ext>
      </extLst>
    </bk>
    <bk>
      <extLst>
        <ext uri="{3e2802c4-a4d2-4d8b-9148-e3be6c30e623}">
          <xlrd:rvb i="4993"/>
        </ext>
      </extLst>
    </bk>
    <bk>
      <extLst>
        <ext uri="{3e2802c4-a4d2-4d8b-9148-e3be6c30e623}">
          <xlrd:rvb i="4994"/>
        </ext>
      </extLst>
    </bk>
    <bk>
      <extLst>
        <ext uri="{3e2802c4-a4d2-4d8b-9148-e3be6c30e623}">
          <xlrd:rvb i="4995"/>
        </ext>
      </extLst>
    </bk>
    <bk>
      <extLst>
        <ext uri="{3e2802c4-a4d2-4d8b-9148-e3be6c30e623}">
          <xlrd:rvb i="4996"/>
        </ext>
      </extLst>
    </bk>
    <bk>
      <extLst>
        <ext uri="{3e2802c4-a4d2-4d8b-9148-e3be6c30e623}">
          <xlrd:rvb i="4997"/>
        </ext>
      </extLst>
    </bk>
    <bk>
      <extLst>
        <ext uri="{3e2802c4-a4d2-4d8b-9148-e3be6c30e623}">
          <xlrd:rvb i="4998"/>
        </ext>
      </extLst>
    </bk>
    <bk>
      <extLst>
        <ext uri="{3e2802c4-a4d2-4d8b-9148-e3be6c30e623}">
          <xlrd:rvb i="4999"/>
        </ext>
      </extLst>
    </bk>
    <bk>
      <extLst>
        <ext uri="{3e2802c4-a4d2-4d8b-9148-e3be6c30e623}">
          <xlrd:rvb i="5000"/>
        </ext>
      </extLst>
    </bk>
    <bk>
      <extLst>
        <ext uri="{3e2802c4-a4d2-4d8b-9148-e3be6c30e623}">
          <xlrd:rvb i="5001"/>
        </ext>
      </extLst>
    </bk>
    <bk>
      <extLst>
        <ext uri="{3e2802c4-a4d2-4d8b-9148-e3be6c30e623}">
          <xlrd:rvb i="5002"/>
        </ext>
      </extLst>
    </bk>
    <bk>
      <extLst>
        <ext uri="{3e2802c4-a4d2-4d8b-9148-e3be6c30e623}">
          <xlrd:rvb i="5003"/>
        </ext>
      </extLst>
    </bk>
    <bk>
      <extLst>
        <ext uri="{3e2802c4-a4d2-4d8b-9148-e3be6c30e623}">
          <xlrd:rvb i="5004"/>
        </ext>
      </extLst>
    </bk>
    <bk>
      <extLst>
        <ext uri="{3e2802c4-a4d2-4d8b-9148-e3be6c30e623}">
          <xlrd:rvb i="5005"/>
        </ext>
      </extLst>
    </bk>
    <bk>
      <extLst>
        <ext uri="{3e2802c4-a4d2-4d8b-9148-e3be6c30e623}">
          <xlrd:rvb i="5006"/>
        </ext>
      </extLst>
    </bk>
    <bk>
      <extLst>
        <ext uri="{3e2802c4-a4d2-4d8b-9148-e3be6c30e623}">
          <xlrd:rvb i="5007"/>
        </ext>
      </extLst>
    </bk>
    <bk>
      <extLst>
        <ext uri="{3e2802c4-a4d2-4d8b-9148-e3be6c30e623}">
          <xlrd:rvb i="5008"/>
        </ext>
      </extLst>
    </bk>
    <bk>
      <extLst>
        <ext uri="{3e2802c4-a4d2-4d8b-9148-e3be6c30e623}">
          <xlrd:rvb i="5009"/>
        </ext>
      </extLst>
    </bk>
    <bk>
      <extLst>
        <ext uri="{3e2802c4-a4d2-4d8b-9148-e3be6c30e623}">
          <xlrd:rvb i="5010"/>
        </ext>
      </extLst>
    </bk>
    <bk>
      <extLst>
        <ext uri="{3e2802c4-a4d2-4d8b-9148-e3be6c30e623}">
          <xlrd:rvb i="5011"/>
        </ext>
      </extLst>
    </bk>
    <bk>
      <extLst>
        <ext uri="{3e2802c4-a4d2-4d8b-9148-e3be6c30e623}">
          <xlrd:rvb i="5012"/>
        </ext>
      </extLst>
    </bk>
    <bk>
      <extLst>
        <ext uri="{3e2802c4-a4d2-4d8b-9148-e3be6c30e623}">
          <xlrd:rvb i="5013"/>
        </ext>
      </extLst>
    </bk>
    <bk>
      <extLst>
        <ext uri="{3e2802c4-a4d2-4d8b-9148-e3be6c30e623}">
          <xlrd:rvb i="5014"/>
        </ext>
      </extLst>
    </bk>
    <bk>
      <extLst>
        <ext uri="{3e2802c4-a4d2-4d8b-9148-e3be6c30e623}">
          <xlrd:rvb i="5015"/>
        </ext>
      </extLst>
    </bk>
    <bk>
      <extLst>
        <ext uri="{3e2802c4-a4d2-4d8b-9148-e3be6c30e623}">
          <xlrd:rvb i="5016"/>
        </ext>
      </extLst>
    </bk>
    <bk>
      <extLst>
        <ext uri="{3e2802c4-a4d2-4d8b-9148-e3be6c30e623}">
          <xlrd:rvb i="5017"/>
        </ext>
      </extLst>
    </bk>
    <bk>
      <extLst>
        <ext uri="{3e2802c4-a4d2-4d8b-9148-e3be6c30e623}">
          <xlrd:rvb i="5018"/>
        </ext>
      </extLst>
    </bk>
    <bk>
      <extLst>
        <ext uri="{3e2802c4-a4d2-4d8b-9148-e3be6c30e623}">
          <xlrd:rvb i="5019"/>
        </ext>
      </extLst>
    </bk>
    <bk>
      <extLst>
        <ext uri="{3e2802c4-a4d2-4d8b-9148-e3be6c30e623}">
          <xlrd:rvb i="5020"/>
        </ext>
      </extLst>
    </bk>
    <bk>
      <extLst>
        <ext uri="{3e2802c4-a4d2-4d8b-9148-e3be6c30e623}">
          <xlrd:rvb i="5021"/>
        </ext>
      </extLst>
    </bk>
    <bk>
      <extLst>
        <ext uri="{3e2802c4-a4d2-4d8b-9148-e3be6c30e623}">
          <xlrd:rvb i="5022"/>
        </ext>
      </extLst>
    </bk>
    <bk>
      <extLst>
        <ext uri="{3e2802c4-a4d2-4d8b-9148-e3be6c30e623}">
          <xlrd:rvb i="5023"/>
        </ext>
      </extLst>
    </bk>
    <bk>
      <extLst>
        <ext uri="{3e2802c4-a4d2-4d8b-9148-e3be6c30e623}">
          <xlrd:rvb i="5024"/>
        </ext>
      </extLst>
    </bk>
    <bk>
      <extLst>
        <ext uri="{3e2802c4-a4d2-4d8b-9148-e3be6c30e623}">
          <xlrd:rvb i="5025"/>
        </ext>
      </extLst>
    </bk>
    <bk>
      <extLst>
        <ext uri="{3e2802c4-a4d2-4d8b-9148-e3be6c30e623}">
          <xlrd:rvb i="5026"/>
        </ext>
      </extLst>
    </bk>
    <bk>
      <extLst>
        <ext uri="{3e2802c4-a4d2-4d8b-9148-e3be6c30e623}">
          <xlrd:rvb i="5027"/>
        </ext>
      </extLst>
    </bk>
    <bk>
      <extLst>
        <ext uri="{3e2802c4-a4d2-4d8b-9148-e3be6c30e623}">
          <xlrd:rvb i="5028"/>
        </ext>
      </extLst>
    </bk>
    <bk>
      <extLst>
        <ext uri="{3e2802c4-a4d2-4d8b-9148-e3be6c30e623}">
          <xlrd:rvb i="5029"/>
        </ext>
      </extLst>
    </bk>
    <bk>
      <extLst>
        <ext uri="{3e2802c4-a4d2-4d8b-9148-e3be6c30e623}">
          <xlrd:rvb i="5030"/>
        </ext>
      </extLst>
    </bk>
    <bk>
      <extLst>
        <ext uri="{3e2802c4-a4d2-4d8b-9148-e3be6c30e623}">
          <xlrd:rvb i="5031"/>
        </ext>
      </extLst>
    </bk>
    <bk>
      <extLst>
        <ext uri="{3e2802c4-a4d2-4d8b-9148-e3be6c30e623}">
          <xlrd:rvb i="5032"/>
        </ext>
      </extLst>
    </bk>
    <bk>
      <extLst>
        <ext uri="{3e2802c4-a4d2-4d8b-9148-e3be6c30e623}">
          <xlrd:rvb i="5033"/>
        </ext>
      </extLst>
    </bk>
    <bk>
      <extLst>
        <ext uri="{3e2802c4-a4d2-4d8b-9148-e3be6c30e623}">
          <xlrd:rvb i="5034"/>
        </ext>
      </extLst>
    </bk>
    <bk>
      <extLst>
        <ext uri="{3e2802c4-a4d2-4d8b-9148-e3be6c30e623}">
          <xlrd:rvb i="5035"/>
        </ext>
      </extLst>
    </bk>
    <bk>
      <extLst>
        <ext uri="{3e2802c4-a4d2-4d8b-9148-e3be6c30e623}">
          <xlrd:rvb i="5036"/>
        </ext>
      </extLst>
    </bk>
    <bk>
      <extLst>
        <ext uri="{3e2802c4-a4d2-4d8b-9148-e3be6c30e623}">
          <xlrd:rvb i="5037"/>
        </ext>
      </extLst>
    </bk>
    <bk>
      <extLst>
        <ext uri="{3e2802c4-a4d2-4d8b-9148-e3be6c30e623}">
          <xlrd:rvb i="5038"/>
        </ext>
      </extLst>
    </bk>
    <bk>
      <extLst>
        <ext uri="{3e2802c4-a4d2-4d8b-9148-e3be6c30e623}">
          <xlrd:rvb i="5039"/>
        </ext>
      </extLst>
    </bk>
    <bk>
      <extLst>
        <ext uri="{3e2802c4-a4d2-4d8b-9148-e3be6c30e623}">
          <xlrd:rvb i="5040"/>
        </ext>
      </extLst>
    </bk>
    <bk>
      <extLst>
        <ext uri="{3e2802c4-a4d2-4d8b-9148-e3be6c30e623}">
          <xlrd:rvb i="5041"/>
        </ext>
      </extLst>
    </bk>
    <bk>
      <extLst>
        <ext uri="{3e2802c4-a4d2-4d8b-9148-e3be6c30e623}">
          <xlrd:rvb i="5042"/>
        </ext>
      </extLst>
    </bk>
    <bk>
      <extLst>
        <ext uri="{3e2802c4-a4d2-4d8b-9148-e3be6c30e623}">
          <xlrd:rvb i="5043"/>
        </ext>
      </extLst>
    </bk>
    <bk>
      <extLst>
        <ext uri="{3e2802c4-a4d2-4d8b-9148-e3be6c30e623}">
          <xlrd:rvb i="5044"/>
        </ext>
      </extLst>
    </bk>
    <bk>
      <extLst>
        <ext uri="{3e2802c4-a4d2-4d8b-9148-e3be6c30e623}">
          <xlrd:rvb i="5045"/>
        </ext>
      </extLst>
    </bk>
    <bk>
      <extLst>
        <ext uri="{3e2802c4-a4d2-4d8b-9148-e3be6c30e623}">
          <xlrd:rvb i="5046"/>
        </ext>
      </extLst>
    </bk>
    <bk>
      <extLst>
        <ext uri="{3e2802c4-a4d2-4d8b-9148-e3be6c30e623}">
          <xlrd:rvb i="5047"/>
        </ext>
      </extLst>
    </bk>
    <bk>
      <extLst>
        <ext uri="{3e2802c4-a4d2-4d8b-9148-e3be6c30e623}">
          <xlrd:rvb i="5048"/>
        </ext>
      </extLst>
    </bk>
    <bk>
      <extLst>
        <ext uri="{3e2802c4-a4d2-4d8b-9148-e3be6c30e623}">
          <xlrd:rvb i="5049"/>
        </ext>
      </extLst>
    </bk>
    <bk>
      <extLst>
        <ext uri="{3e2802c4-a4d2-4d8b-9148-e3be6c30e623}">
          <xlrd:rvb i="5050"/>
        </ext>
      </extLst>
    </bk>
    <bk>
      <extLst>
        <ext uri="{3e2802c4-a4d2-4d8b-9148-e3be6c30e623}">
          <xlrd:rvb i="5051"/>
        </ext>
      </extLst>
    </bk>
    <bk>
      <extLst>
        <ext uri="{3e2802c4-a4d2-4d8b-9148-e3be6c30e623}">
          <xlrd:rvb i="5052"/>
        </ext>
      </extLst>
    </bk>
    <bk>
      <extLst>
        <ext uri="{3e2802c4-a4d2-4d8b-9148-e3be6c30e623}">
          <xlrd:rvb i="5053"/>
        </ext>
      </extLst>
    </bk>
    <bk>
      <extLst>
        <ext uri="{3e2802c4-a4d2-4d8b-9148-e3be6c30e623}">
          <xlrd:rvb i="5054"/>
        </ext>
      </extLst>
    </bk>
    <bk>
      <extLst>
        <ext uri="{3e2802c4-a4d2-4d8b-9148-e3be6c30e623}">
          <xlrd:rvb i="5055"/>
        </ext>
      </extLst>
    </bk>
    <bk>
      <extLst>
        <ext uri="{3e2802c4-a4d2-4d8b-9148-e3be6c30e623}">
          <xlrd:rvb i="5056"/>
        </ext>
      </extLst>
    </bk>
    <bk>
      <extLst>
        <ext uri="{3e2802c4-a4d2-4d8b-9148-e3be6c30e623}">
          <xlrd:rvb i="5057"/>
        </ext>
      </extLst>
    </bk>
    <bk>
      <extLst>
        <ext uri="{3e2802c4-a4d2-4d8b-9148-e3be6c30e623}">
          <xlrd:rvb i="5058"/>
        </ext>
      </extLst>
    </bk>
    <bk>
      <extLst>
        <ext uri="{3e2802c4-a4d2-4d8b-9148-e3be6c30e623}">
          <xlrd:rvb i="5059"/>
        </ext>
      </extLst>
    </bk>
    <bk>
      <extLst>
        <ext uri="{3e2802c4-a4d2-4d8b-9148-e3be6c30e623}">
          <xlrd:rvb i="5060"/>
        </ext>
      </extLst>
    </bk>
    <bk>
      <extLst>
        <ext uri="{3e2802c4-a4d2-4d8b-9148-e3be6c30e623}">
          <xlrd:rvb i="5061"/>
        </ext>
      </extLst>
    </bk>
    <bk>
      <extLst>
        <ext uri="{3e2802c4-a4d2-4d8b-9148-e3be6c30e623}">
          <xlrd:rvb i="5062"/>
        </ext>
      </extLst>
    </bk>
    <bk>
      <extLst>
        <ext uri="{3e2802c4-a4d2-4d8b-9148-e3be6c30e623}">
          <xlrd:rvb i="5063"/>
        </ext>
      </extLst>
    </bk>
    <bk>
      <extLst>
        <ext uri="{3e2802c4-a4d2-4d8b-9148-e3be6c30e623}">
          <xlrd:rvb i="5064"/>
        </ext>
      </extLst>
    </bk>
    <bk>
      <extLst>
        <ext uri="{3e2802c4-a4d2-4d8b-9148-e3be6c30e623}">
          <xlrd:rvb i="5065"/>
        </ext>
      </extLst>
    </bk>
    <bk>
      <extLst>
        <ext uri="{3e2802c4-a4d2-4d8b-9148-e3be6c30e623}">
          <xlrd:rvb i="5066"/>
        </ext>
      </extLst>
    </bk>
    <bk>
      <extLst>
        <ext uri="{3e2802c4-a4d2-4d8b-9148-e3be6c30e623}">
          <xlrd:rvb i="5067"/>
        </ext>
      </extLst>
    </bk>
    <bk>
      <extLst>
        <ext uri="{3e2802c4-a4d2-4d8b-9148-e3be6c30e623}">
          <xlrd:rvb i="5068"/>
        </ext>
      </extLst>
    </bk>
    <bk>
      <extLst>
        <ext uri="{3e2802c4-a4d2-4d8b-9148-e3be6c30e623}">
          <xlrd:rvb i="5069"/>
        </ext>
      </extLst>
    </bk>
    <bk>
      <extLst>
        <ext uri="{3e2802c4-a4d2-4d8b-9148-e3be6c30e623}">
          <xlrd:rvb i="5070"/>
        </ext>
      </extLst>
    </bk>
    <bk>
      <extLst>
        <ext uri="{3e2802c4-a4d2-4d8b-9148-e3be6c30e623}">
          <xlrd:rvb i="5071"/>
        </ext>
      </extLst>
    </bk>
    <bk>
      <extLst>
        <ext uri="{3e2802c4-a4d2-4d8b-9148-e3be6c30e623}">
          <xlrd:rvb i="5072"/>
        </ext>
      </extLst>
    </bk>
    <bk>
      <extLst>
        <ext uri="{3e2802c4-a4d2-4d8b-9148-e3be6c30e623}">
          <xlrd:rvb i="5073"/>
        </ext>
      </extLst>
    </bk>
    <bk>
      <extLst>
        <ext uri="{3e2802c4-a4d2-4d8b-9148-e3be6c30e623}">
          <xlrd:rvb i="5074"/>
        </ext>
      </extLst>
    </bk>
    <bk>
      <extLst>
        <ext uri="{3e2802c4-a4d2-4d8b-9148-e3be6c30e623}">
          <xlrd:rvb i="5075"/>
        </ext>
      </extLst>
    </bk>
    <bk>
      <extLst>
        <ext uri="{3e2802c4-a4d2-4d8b-9148-e3be6c30e623}">
          <xlrd:rvb i="5076"/>
        </ext>
      </extLst>
    </bk>
    <bk>
      <extLst>
        <ext uri="{3e2802c4-a4d2-4d8b-9148-e3be6c30e623}">
          <xlrd:rvb i="5077"/>
        </ext>
      </extLst>
    </bk>
    <bk>
      <extLst>
        <ext uri="{3e2802c4-a4d2-4d8b-9148-e3be6c30e623}">
          <xlrd:rvb i="5078"/>
        </ext>
      </extLst>
    </bk>
    <bk>
      <extLst>
        <ext uri="{3e2802c4-a4d2-4d8b-9148-e3be6c30e623}">
          <xlrd:rvb i="5079"/>
        </ext>
      </extLst>
    </bk>
    <bk>
      <extLst>
        <ext uri="{3e2802c4-a4d2-4d8b-9148-e3be6c30e623}">
          <xlrd:rvb i="5080"/>
        </ext>
      </extLst>
    </bk>
    <bk>
      <extLst>
        <ext uri="{3e2802c4-a4d2-4d8b-9148-e3be6c30e623}">
          <xlrd:rvb i="5081"/>
        </ext>
      </extLst>
    </bk>
    <bk>
      <extLst>
        <ext uri="{3e2802c4-a4d2-4d8b-9148-e3be6c30e623}">
          <xlrd:rvb i="5082"/>
        </ext>
      </extLst>
    </bk>
    <bk>
      <extLst>
        <ext uri="{3e2802c4-a4d2-4d8b-9148-e3be6c30e623}">
          <xlrd:rvb i="5083"/>
        </ext>
      </extLst>
    </bk>
    <bk>
      <extLst>
        <ext uri="{3e2802c4-a4d2-4d8b-9148-e3be6c30e623}">
          <xlrd:rvb i="5084"/>
        </ext>
      </extLst>
    </bk>
    <bk>
      <extLst>
        <ext uri="{3e2802c4-a4d2-4d8b-9148-e3be6c30e623}">
          <xlrd:rvb i="5085"/>
        </ext>
      </extLst>
    </bk>
    <bk>
      <extLst>
        <ext uri="{3e2802c4-a4d2-4d8b-9148-e3be6c30e623}">
          <xlrd:rvb i="5086"/>
        </ext>
      </extLst>
    </bk>
    <bk>
      <extLst>
        <ext uri="{3e2802c4-a4d2-4d8b-9148-e3be6c30e623}">
          <xlrd:rvb i="5087"/>
        </ext>
      </extLst>
    </bk>
    <bk>
      <extLst>
        <ext uri="{3e2802c4-a4d2-4d8b-9148-e3be6c30e623}">
          <xlrd:rvb i="5088"/>
        </ext>
      </extLst>
    </bk>
    <bk>
      <extLst>
        <ext uri="{3e2802c4-a4d2-4d8b-9148-e3be6c30e623}">
          <xlrd:rvb i="5089"/>
        </ext>
      </extLst>
    </bk>
    <bk>
      <extLst>
        <ext uri="{3e2802c4-a4d2-4d8b-9148-e3be6c30e623}">
          <xlrd:rvb i="5090"/>
        </ext>
      </extLst>
    </bk>
    <bk>
      <extLst>
        <ext uri="{3e2802c4-a4d2-4d8b-9148-e3be6c30e623}">
          <xlrd:rvb i="5091"/>
        </ext>
      </extLst>
    </bk>
    <bk>
      <extLst>
        <ext uri="{3e2802c4-a4d2-4d8b-9148-e3be6c30e623}">
          <xlrd:rvb i="5092"/>
        </ext>
      </extLst>
    </bk>
    <bk>
      <extLst>
        <ext uri="{3e2802c4-a4d2-4d8b-9148-e3be6c30e623}">
          <xlrd:rvb i="5093"/>
        </ext>
      </extLst>
    </bk>
    <bk>
      <extLst>
        <ext uri="{3e2802c4-a4d2-4d8b-9148-e3be6c30e623}">
          <xlrd:rvb i="5094"/>
        </ext>
      </extLst>
    </bk>
    <bk>
      <extLst>
        <ext uri="{3e2802c4-a4d2-4d8b-9148-e3be6c30e623}">
          <xlrd:rvb i="5095"/>
        </ext>
      </extLst>
    </bk>
    <bk>
      <extLst>
        <ext uri="{3e2802c4-a4d2-4d8b-9148-e3be6c30e623}">
          <xlrd:rvb i="5096"/>
        </ext>
      </extLst>
    </bk>
    <bk>
      <extLst>
        <ext uri="{3e2802c4-a4d2-4d8b-9148-e3be6c30e623}">
          <xlrd:rvb i="5097"/>
        </ext>
      </extLst>
    </bk>
    <bk>
      <extLst>
        <ext uri="{3e2802c4-a4d2-4d8b-9148-e3be6c30e623}">
          <xlrd:rvb i="5098"/>
        </ext>
      </extLst>
    </bk>
    <bk>
      <extLst>
        <ext uri="{3e2802c4-a4d2-4d8b-9148-e3be6c30e623}">
          <xlrd:rvb i="5099"/>
        </ext>
      </extLst>
    </bk>
    <bk>
      <extLst>
        <ext uri="{3e2802c4-a4d2-4d8b-9148-e3be6c30e623}">
          <xlrd:rvb i="5100"/>
        </ext>
      </extLst>
    </bk>
    <bk>
      <extLst>
        <ext uri="{3e2802c4-a4d2-4d8b-9148-e3be6c30e623}">
          <xlrd:rvb i="5101"/>
        </ext>
      </extLst>
    </bk>
    <bk>
      <extLst>
        <ext uri="{3e2802c4-a4d2-4d8b-9148-e3be6c30e623}">
          <xlrd:rvb i="5102"/>
        </ext>
      </extLst>
    </bk>
    <bk>
      <extLst>
        <ext uri="{3e2802c4-a4d2-4d8b-9148-e3be6c30e623}">
          <xlrd:rvb i="5103"/>
        </ext>
      </extLst>
    </bk>
    <bk>
      <extLst>
        <ext uri="{3e2802c4-a4d2-4d8b-9148-e3be6c30e623}">
          <xlrd:rvb i="5104"/>
        </ext>
      </extLst>
    </bk>
    <bk>
      <extLst>
        <ext uri="{3e2802c4-a4d2-4d8b-9148-e3be6c30e623}">
          <xlrd:rvb i="5105"/>
        </ext>
      </extLst>
    </bk>
    <bk>
      <extLst>
        <ext uri="{3e2802c4-a4d2-4d8b-9148-e3be6c30e623}">
          <xlrd:rvb i="5106"/>
        </ext>
      </extLst>
    </bk>
    <bk>
      <extLst>
        <ext uri="{3e2802c4-a4d2-4d8b-9148-e3be6c30e623}">
          <xlrd:rvb i="5107"/>
        </ext>
      </extLst>
    </bk>
    <bk>
      <extLst>
        <ext uri="{3e2802c4-a4d2-4d8b-9148-e3be6c30e623}">
          <xlrd:rvb i="5108"/>
        </ext>
      </extLst>
    </bk>
    <bk>
      <extLst>
        <ext uri="{3e2802c4-a4d2-4d8b-9148-e3be6c30e623}">
          <xlrd:rvb i="5109"/>
        </ext>
      </extLst>
    </bk>
    <bk>
      <extLst>
        <ext uri="{3e2802c4-a4d2-4d8b-9148-e3be6c30e623}">
          <xlrd:rvb i="5110"/>
        </ext>
      </extLst>
    </bk>
    <bk>
      <extLst>
        <ext uri="{3e2802c4-a4d2-4d8b-9148-e3be6c30e623}">
          <xlrd:rvb i="5111"/>
        </ext>
      </extLst>
    </bk>
    <bk>
      <extLst>
        <ext uri="{3e2802c4-a4d2-4d8b-9148-e3be6c30e623}">
          <xlrd:rvb i="5112"/>
        </ext>
      </extLst>
    </bk>
    <bk>
      <extLst>
        <ext uri="{3e2802c4-a4d2-4d8b-9148-e3be6c30e623}">
          <xlrd:rvb i="5113"/>
        </ext>
      </extLst>
    </bk>
    <bk>
      <extLst>
        <ext uri="{3e2802c4-a4d2-4d8b-9148-e3be6c30e623}">
          <xlrd:rvb i="5114"/>
        </ext>
      </extLst>
    </bk>
    <bk>
      <extLst>
        <ext uri="{3e2802c4-a4d2-4d8b-9148-e3be6c30e623}">
          <xlrd:rvb i="5115"/>
        </ext>
      </extLst>
    </bk>
    <bk>
      <extLst>
        <ext uri="{3e2802c4-a4d2-4d8b-9148-e3be6c30e623}">
          <xlrd:rvb i="5116"/>
        </ext>
      </extLst>
    </bk>
    <bk>
      <extLst>
        <ext uri="{3e2802c4-a4d2-4d8b-9148-e3be6c30e623}">
          <xlrd:rvb i="5117"/>
        </ext>
      </extLst>
    </bk>
    <bk>
      <extLst>
        <ext uri="{3e2802c4-a4d2-4d8b-9148-e3be6c30e623}">
          <xlrd:rvb i="5118"/>
        </ext>
      </extLst>
    </bk>
    <bk>
      <extLst>
        <ext uri="{3e2802c4-a4d2-4d8b-9148-e3be6c30e623}">
          <xlrd:rvb i="5119"/>
        </ext>
      </extLst>
    </bk>
    <bk>
      <extLst>
        <ext uri="{3e2802c4-a4d2-4d8b-9148-e3be6c30e623}">
          <xlrd:rvb i="5120"/>
        </ext>
      </extLst>
    </bk>
    <bk>
      <extLst>
        <ext uri="{3e2802c4-a4d2-4d8b-9148-e3be6c30e623}">
          <xlrd:rvb i="5121"/>
        </ext>
      </extLst>
    </bk>
    <bk>
      <extLst>
        <ext uri="{3e2802c4-a4d2-4d8b-9148-e3be6c30e623}">
          <xlrd:rvb i="5122"/>
        </ext>
      </extLst>
    </bk>
    <bk>
      <extLst>
        <ext uri="{3e2802c4-a4d2-4d8b-9148-e3be6c30e623}">
          <xlrd:rvb i="5123"/>
        </ext>
      </extLst>
    </bk>
    <bk>
      <extLst>
        <ext uri="{3e2802c4-a4d2-4d8b-9148-e3be6c30e623}">
          <xlrd:rvb i="5124"/>
        </ext>
      </extLst>
    </bk>
    <bk>
      <extLst>
        <ext uri="{3e2802c4-a4d2-4d8b-9148-e3be6c30e623}">
          <xlrd:rvb i="5125"/>
        </ext>
      </extLst>
    </bk>
    <bk>
      <extLst>
        <ext uri="{3e2802c4-a4d2-4d8b-9148-e3be6c30e623}">
          <xlrd:rvb i="5126"/>
        </ext>
      </extLst>
    </bk>
    <bk>
      <extLst>
        <ext uri="{3e2802c4-a4d2-4d8b-9148-e3be6c30e623}">
          <xlrd:rvb i="5127"/>
        </ext>
      </extLst>
    </bk>
    <bk>
      <extLst>
        <ext uri="{3e2802c4-a4d2-4d8b-9148-e3be6c30e623}">
          <xlrd:rvb i="5128"/>
        </ext>
      </extLst>
    </bk>
    <bk>
      <extLst>
        <ext uri="{3e2802c4-a4d2-4d8b-9148-e3be6c30e623}">
          <xlrd:rvb i="5129"/>
        </ext>
      </extLst>
    </bk>
    <bk>
      <extLst>
        <ext uri="{3e2802c4-a4d2-4d8b-9148-e3be6c30e623}">
          <xlrd:rvb i="5130"/>
        </ext>
      </extLst>
    </bk>
    <bk>
      <extLst>
        <ext uri="{3e2802c4-a4d2-4d8b-9148-e3be6c30e623}">
          <xlrd:rvb i="5131"/>
        </ext>
      </extLst>
    </bk>
    <bk>
      <extLst>
        <ext uri="{3e2802c4-a4d2-4d8b-9148-e3be6c30e623}">
          <xlrd:rvb i="5132"/>
        </ext>
      </extLst>
    </bk>
    <bk>
      <extLst>
        <ext uri="{3e2802c4-a4d2-4d8b-9148-e3be6c30e623}">
          <xlrd:rvb i="5133"/>
        </ext>
      </extLst>
    </bk>
    <bk>
      <extLst>
        <ext uri="{3e2802c4-a4d2-4d8b-9148-e3be6c30e623}">
          <xlrd:rvb i="5134"/>
        </ext>
      </extLst>
    </bk>
    <bk>
      <extLst>
        <ext uri="{3e2802c4-a4d2-4d8b-9148-e3be6c30e623}">
          <xlrd:rvb i="5135"/>
        </ext>
      </extLst>
    </bk>
    <bk>
      <extLst>
        <ext uri="{3e2802c4-a4d2-4d8b-9148-e3be6c30e623}">
          <xlrd:rvb i="5136"/>
        </ext>
      </extLst>
    </bk>
    <bk>
      <extLst>
        <ext uri="{3e2802c4-a4d2-4d8b-9148-e3be6c30e623}">
          <xlrd:rvb i="5137"/>
        </ext>
      </extLst>
    </bk>
    <bk>
      <extLst>
        <ext uri="{3e2802c4-a4d2-4d8b-9148-e3be6c30e623}">
          <xlrd:rvb i="5138"/>
        </ext>
      </extLst>
    </bk>
    <bk>
      <extLst>
        <ext uri="{3e2802c4-a4d2-4d8b-9148-e3be6c30e623}">
          <xlrd:rvb i="5139"/>
        </ext>
      </extLst>
    </bk>
    <bk>
      <extLst>
        <ext uri="{3e2802c4-a4d2-4d8b-9148-e3be6c30e623}">
          <xlrd:rvb i="5140"/>
        </ext>
      </extLst>
    </bk>
    <bk>
      <extLst>
        <ext uri="{3e2802c4-a4d2-4d8b-9148-e3be6c30e623}">
          <xlrd:rvb i="5141"/>
        </ext>
      </extLst>
    </bk>
    <bk>
      <extLst>
        <ext uri="{3e2802c4-a4d2-4d8b-9148-e3be6c30e623}">
          <xlrd:rvb i="5142"/>
        </ext>
      </extLst>
    </bk>
    <bk>
      <extLst>
        <ext uri="{3e2802c4-a4d2-4d8b-9148-e3be6c30e623}">
          <xlrd:rvb i="5143"/>
        </ext>
      </extLst>
    </bk>
    <bk>
      <extLst>
        <ext uri="{3e2802c4-a4d2-4d8b-9148-e3be6c30e623}">
          <xlrd:rvb i="5144"/>
        </ext>
      </extLst>
    </bk>
    <bk>
      <extLst>
        <ext uri="{3e2802c4-a4d2-4d8b-9148-e3be6c30e623}">
          <xlrd:rvb i="5145"/>
        </ext>
      </extLst>
    </bk>
    <bk>
      <extLst>
        <ext uri="{3e2802c4-a4d2-4d8b-9148-e3be6c30e623}">
          <xlrd:rvb i="5146"/>
        </ext>
      </extLst>
    </bk>
    <bk>
      <extLst>
        <ext uri="{3e2802c4-a4d2-4d8b-9148-e3be6c30e623}">
          <xlrd:rvb i="5147"/>
        </ext>
      </extLst>
    </bk>
    <bk>
      <extLst>
        <ext uri="{3e2802c4-a4d2-4d8b-9148-e3be6c30e623}">
          <xlrd:rvb i="5148"/>
        </ext>
      </extLst>
    </bk>
    <bk>
      <extLst>
        <ext uri="{3e2802c4-a4d2-4d8b-9148-e3be6c30e623}">
          <xlrd:rvb i="5149"/>
        </ext>
      </extLst>
    </bk>
    <bk>
      <extLst>
        <ext uri="{3e2802c4-a4d2-4d8b-9148-e3be6c30e623}">
          <xlrd:rvb i="5150"/>
        </ext>
      </extLst>
    </bk>
    <bk>
      <extLst>
        <ext uri="{3e2802c4-a4d2-4d8b-9148-e3be6c30e623}">
          <xlrd:rvb i="5151"/>
        </ext>
      </extLst>
    </bk>
    <bk>
      <extLst>
        <ext uri="{3e2802c4-a4d2-4d8b-9148-e3be6c30e623}">
          <xlrd:rvb i="5152"/>
        </ext>
      </extLst>
    </bk>
    <bk>
      <extLst>
        <ext uri="{3e2802c4-a4d2-4d8b-9148-e3be6c30e623}">
          <xlrd:rvb i="5153"/>
        </ext>
      </extLst>
    </bk>
    <bk>
      <extLst>
        <ext uri="{3e2802c4-a4d2-4d8b-9148-e3be6c30e623}">
          <xlrd:rvb i="5154"/>
        </ext>
      </extLst>
    </bk>
    <bk>
      <extLst>
        <ext uri="{3e2802c4-a4d2-4d8b-9148-e3be6c30e623}">
          <xlrd:rvb i="5155"/>
        </ext>
      </extLst>
    </bk>
    <bk>
      <extLst>
        <ext uri="{3e2802c4-a4d2-4d8b-9148-e3be6c30e623}">
          <xlrd:rvb i="5156"/>
        </ext>
      </extLst>
    </bk>
    <bk>
      <extLst>
        <ext uri="{3e2802c4-a4d2-4d8b-9148-e3be6c30e623}">
          <xlrd:rvb i="5157"/>
        </ext>
      </extLst>
    </bk>
    <bk>
      <extLst>
        <ext uri="{3e2802c4-a4d2-4d8b-9148-e3be6c30e623}">
          <xlrd:rvb i="5158"/>
        </ext>
      </extLst>
    </bk>
    <bk>
      <extLst>
        <ext uri="{3e2802c4-a4d2-4d8b-9148-e3be6c30e623}">
          <xlrd:rvb i="5159"/>
        </ext>
      </extLst>
    </bk>
    <bk>
      <extLst>
        <ext uri="{3e2802c4-a4d2-4d8b-9148-e3be6c30e623}">
          <xlrd:rvb i="5160"/>
        </ext>
      </extLst>
    </bk>
    <bk>
      <extLst>
        <ext uri="{3e2802c4-a4d2-4d8b-9148-e3be6c30e623}">
          <xlrd:rvb i="5161"/>
        </ext>
      </extLst>
    </bk>
    <bk>
      <extLst>
        <ext uri="{3e2802c4-a4d2-4d8b-9148-e3be6c30e623}">
          <xlrd:rvb i="5162"/>
        </ext>
      </extLst>
    </bk>
    <bk>
      <extLst>
        <ext uri="{3e2802c4-a4d2-4d8b-9148-e3be6c30e623}">
          <xlrd:rvb i="5163"/>
        </ext>
      </extLst>
    </bk>
    <bk>
      <extLst>
        <ext uri="{3e2802c4-a4d2-4d8b-9148-e3be6c30e623}">
          <xlrd:rvb i="5164"/>
        </ext>
      </extLst>
    </bk>
    <bk>
      <extLst>
        <ext uri="{3e2802c4-a4d2-4d8b-9148-e3be6c30e623}">
          <xlrd:rvb i="5165"/>
        </ext>
      </extLst>
    </bk>
    <bk>
      <extLst>
        <ext uri="{3e2802c4-a4d2-4d8b-9148-e3be6c30e623}">
          <xlrd:rvb i="5166"/>
        </ext>
      </extLst>
    </bk>
    <bk>
      <extLst>
        <ext uri="{3e2802c4-a4d2-4d8b-9148-e3be6c30e623}">
          <xlrd:rvb i="5167"/>
        </ext>
      </extLst>
    </bk>
    <bk>
      <extLst>
        <ext uri="{3e2802c4-a4d2-4d8b-9148-e3be6c30e623}">
          <xlrd:rvb i="5168"/>
        </ext>
      </extLst>
    </bk>
    <bk>
      <extLst>
        <ext uri="{3e2802c4-a4d2-4d8b-9148-e3be6c30e623}">
          <xlrd:rvb i="5169"/>
        </ext>
      </extLst>
    </bk>
    <bk>
      <extLst>
        <ext uri="{3e2802c4-a4d2-4d8b-9148-e3be6c30e623}">
          <xlrd:rvb i="5170"/>
        </ext>
      </extLst>
    </bk>
    <bk>
      <extLst>
        <ext uri="{3e2802c4-a4d2-4d8b-9148-e3be6c30e623}">
          <xlrd:rvb i="5171"/>
        </ext>
      </extLst>
    </bk>
    <bk>
      <extLst>
        <ext uri="{3e2802c4-a4d2-4d8b-9148-e3be6c30e623}">
          <xlrd:rvb i="5172"/>
        </ext>
      </extLst>
    </bk>
    <bk>
      <extLst>
        <ext uri="{3e2802c4-a4d2-4d8b-9148-e3be6c30e623}">
          <xlrd:rvb i="5173"/>
        </ext>
      </extLst>
    </bk>
    <bk>
      <extLst>
        <ext uri="{3e2802c4-a4d2-4d8b-9148-e3be6c30e623}">
          <xlrd:rvb i="5174"/>
        </ext>
      </extLst>
    </bk>
    <bk>
      <extLst>
        <ext uri="{3e2802c4-a4d2-4d8b-9148-e3be6c30e623}">
          <xlrd:rvb i="5175"/>
        </ext>
      </extLst>
    </bk>
    <bk>
      <extLst>
        <ext uri="{3e2802c4-a4d2-4d8b-9148-e3be6c30e623}">
          <xlrd:rvb i="5176"/>
        </ext>
      </extLst>
    </bk>
    <bk>
      <extLst>
        <ext uri="{3e2802c4-a4d2-4d8b-9148-e3be6c30e623}">
          <xlrd:rvb i="5177"/>
        </ext>
      </extLst>
    </bk>
    <bk>
      <extLst>
        <ext uri="{3e2802c4-a4d2-4d8b-9148-e3be6c30e623}">
          <xlrd:rvb i="5178"/>
        </ext>
      </extLst>
    </bk>
    <bk>
      <extLst>
        <ext uri="{3e2802c4-a4d2-4d8b-9148-e3be6c30e623}">
          <xlrd:rvb i="5179"/>
        </ext>
      </extLst>
    </bk>
    <bk>
      <extLst>
        <ext uri="{3e2802c4-a4d2-4d8b-9148-e3be6c30e623}">
          <xlrd:rvb i="5180"/>
        </ext>
      </extLst>
    </bk>
    <bk>
      <extLst>
        <ext uri="{3e2802c4-a4d2-4d8b-9148-e3be6c30e623}">
          <xlrd:rvb i="5181"/>
        </ext>
      </extLst>
    </bk>
    <bk>
      <extLst>
        <ext uri="{3e2802c4-a4d2-4d8b-9148-e3be6c30e623}">
          <xlrd:rvb i="5182"/>
        </ext>
      </extLst>
    </bk>
    <bk>
      <extLst>
        <ext uri="{3e2802c4-a4d2-4d8b-9148-e3be6c30e623}">
          <xlrd:rvb i="5183"/>
        </ext>
      </extLst>
    </bk>
    <bk>
      <extLst>
        <ext uri="{3e2802c4-a4d2-4d8b-9148-e3be6c30e623}">
          <xlrd:rvb i="5184"/>
        </ext>
      </extLst>
    </bk>
    <bk>
      <extLst>
        <ext uri="{3e2802c4-a4d2-4d8b-9148-e3be6c30e623}">
          <xlrd:rvb i="5185"/>
        </ext>
      </extLst>
    </bk>
    <bk>
      <extLst>
        <ext uri="{3e2802c4-a4d2-4d8b-9148-e3be6c30e623}">
          <xlrd:rvb i="5186"/>
        </ext>
      </extLst>
    </bk>
    <bk>
      <extLst>
        <ext uri="{3e2802c4-a4d2-4d8b-9148-e3be6c30e623}">
          <xlrd:rvb i="5187"/>
        </ext>
      </extLst>
    </bk>
    <bk>
      <extLst>
        <ext uri="{3e2802c4-a4d2-4d8b-9148-e3be6c30e623}">
          <xlrd:rvb i="5188"/>
        </ext>
      </extLst>
    </bk>
    <bk>
      <extLst>
        <ext uri="{3e2802c4-a4d2-4d8b-9148-e3be6c30e623}">
          <xlrd:rvb i="5189"/>
        </ext>
      </extLst>
    </bk>
    <bk>
      <extLst>
        <ext uri="{3e2802c4-a4d2-4d8b-9148-e3be6c30e623}">
          <xlrd:rvb i="5190"/>
        </ext>
      </extLst>
    </bk>
    <bk>
      <extLst>
        <ext uri="{3e2802c4-a4d2-4d8b-9148-e3be6c30e623}">
          <xlrd:rvb i="5191"/>
        </ext>
      </extLst>
    </bk>
    <bk>
      <extLst>
        <ext uri="{3e2802c4-a4d2-4d8b-9148-e3be6c30e623}">
          <xlrd:rvb i="5192"/>
        </ext>
      </extLst>
    </bk>
    <bk>
      <extLst>
        <ext uri="{3e2802c4-a4d2-4d8b-9148-e3be6c30e623}">
          <xlrd:rvb i="5193"/>
        </ext>
      </extLst>
    </bk>
    <bk>
      <extLst>
        <ext uri="{3e2802c4-a4d2-4d8b-9148-e3be6c30e623}">
          <xlrd:rvb i="5194"/>
        </ext>
      </extLst>
    </bk>
    <bk>
      <extLst>
        <ext uri="{3e2802c4-a4d2-4d8b-9148-e3be6c30e623}">
          <xlrd:rvb i="5195"/>
        </ext>
      </extLst>
    </bk>
    <bk>
      <extLst>
        <ext uri="{3e2802c4-a4d2-4d8b-9148-e3be6c30e623}">
          <xlrd:rvb i="5196"/>
        </ext>
      </extLst>
    </bk>
    <bk>
      <extLst>
        <ext uri="{3e2802c4-a4d2-4d8b-9148-e3be6c30e623}">
          <xlrd:rvb i="5197"/>
        </ext>
      </extLst>
    </bk>
    <bk>
      <extLst>
        <ext uri="{3e2802c4-a4d2-4d8b-9148-e3be6c30e623}">
          <xlrd:rvb i="5198"/>
        </ext>
      </extLst>
    </bk>
    <bk>
      <extLst>
        <ext uri="{3e2802c4-a4d2-4d8b-9148-e3be6c30e623}">
          <xlrd:rvb i="5199"/>
        </ext>
      </extLst>
    </bk>
    <bk>
      <extLst>
        <ext uri="{3e2802c4-a4d2-4d8b-9148-e3be6c30e623}">
          <xlrd:rvb i="5200"/>
        </ext>
      </extLst>
    </bk>
    <bk>
      <extLst>
        <ext uri="{3e2802c4-a4d2-4d8b-9148-e3be6c30e623}">
          <xlrd:rvb i="5201"/>
        </ext>
      </extLst>
    </bk>
    <bk>
      <extLst>
        <ext uri="{3e2802c4-a4d2-4d8b-9148-e3be6c30e623}">
          <xlrd:rvb i="5202"/>
        </ext>
      </extLst>
    </bk>
    <bk>
      <extLst>
        <ext uri="{3e2802c4-a4d2-4d8b-9148-e3be6c30e623}">
          <xlrd:rvb i="5203"/>
        </ext>
      </extLst>
    </bk>
    <bk>
      <extLst>
        <ext uri="{3e2802c4-a4d2-4d8b-9148-e3be6c30e623}">
          <xlrd:rvb i="5204"/>
        </ext>
      </extLst>
    </bk>
    <bk>
      <extLst>
        <ext uri="{3e2802c4-a4d2-4d8b-9148-e3be6c30e623}">
          <xlrd:rvb i="5205"/>
        </ext>
      </extLst>
    </bk>
    <bk>
      <extLst>
        <ext uri="{3e2802c4-a4d2-4d8b-9148-e3be6c30e623}">
          <xlrd:rvb i="5206"/>
        </ext>
      </extLst>
    </bk>
    <bk>
      <extLst>
        <ext uri="{3e2802c4-a4d2-4d8b-9148-e3be6c30e623}">
          <xlrd:rvb i="5207"/>
        </ext>
      </extLst>
    </bk>
    <bk>
      <extLst>
        <ext uri="{3e2802c4-a4d2-4d8b-9148-e3be6c30e623}">
          <xlrd:rvb i="5208"/>
        </ext>
      </extLst>
    </bk>
    <bk>
      <extLst>
        <ext uri="{3e2802c4-a4d2-4d8b-9148-e3be6c30e623}">
          <xlrd:rvb i="5209"/>
        </ext>
      </extLst>
    </bk>
    <bk>
      <extLst>
        <ext uri="{3e2802c4-a4d2-4d8b-9148-e3be6c30e623}">
          <xlrd:rvb i="5210"/>
        </ext>
      </extLst>
    </bk>
    <bk>
      <extLst>
        <ext uri="{3e2802c4-a4d2-4d8b-9148-e3be6c30e623}">
          <xlrd:rvb i="5211"/>
        </ext>
      </extLst>
    </bk>
    <bk>
      <extLst>
        <ext uri="{3e2802c4-a4d2-4d8b-9148-e3be6c30e623}">
          <xlrd:rvb i="5212"/>
        </ext>
      </extLst>
    </bk>
    <bk>
      <extLst>
        <ext uri="{3e2802c4-a4d2-4d8b-9148-e3be6c30e623}">
          <xlrd:rvb i="5213"/>
        </ext>
      </extLst>
    </bk>
    <bk>
      <extLst>
        <ext uri="{3e2802c4-a4d2-4d8b-9148-e3be6c30e623}">
          <xlrd:rvb i="5214"/>
        </ext>
      </extLst>
    </bk>
    <bk>
      <extLst>
        <ext uri="{3e2802c4-a4d2-4d8b-9148-e3be6c30e623}">
          <xlrd:rvb i="5215"/>
        </ext>
      </extLst>
    </bk>
    <bk>
      <extLst>
        <ext uri="{3e2802c4-a4d2-4d8b-9148-e3be6c30e623}">
          <xlrd:rvb i="5216"/>
        </ext>
      </extLst>
    </bk>
    <bk>
      <extLst>
        <ext uri="{3e2802c4-a4d2-4d8b-9148-e3be6c30e623}">
          <xlrd:rvb i="5217"/>
        </ext>
      </extLst>
    </bk>
    <bk>
      <extLst>
        <ext uri="{3e2802c4-a4d2-4d8b-9148-e3be6c30e623}">
          <xlrd:rvb i="5218"/>
        </ext>
      </extLst>
    </bk>
    <bk>
      <extLst>
        <ext uri="{3e2802c4-a4d2-4d8b-9148-e3be6c30e623}">
          <xlrd:rvb i="5219"/>
        </ext>
      </extLst>
    </bk>
    <bk>
      <extLst>
        <ext uri="{3e2802c4-a4d2-4d8b-9148-e3be6c30e623}">
          <xlrd:rvb i="5220"/>
        </ext>
      </extLst>
    </bk>
    <bk>
      <extLst>
        <ext uri="{3e2802c4-a4d2-4d8b-9148-e3be6c30e623}">
          <xlrd:rvb i="5221"/>
        </ext>
      </extLst>
    </bk>
    <bk>
      <extLst>
        <ext uri="{3e2802c4-a4d2-4d8b-9148-e3be6c30e623}">
          <xlrd:rvb i="5222"/>
        </ext>
      </extLst>
    </bk>
    <bk>
      <extLst>
        <ext uri="{3e2802c4-a4d2-4d8b-9148-e3be6c30e623}">
          <xlrd:rvb i="5223"/>
        </ext>
      </extLst>
    </bk>
    <bk>
      <extLst>
        <ext uri="{3e2802c4-a4d2-4d8b-9148-e3be6c30e623}">
          <xlrd:rvb i="5224"/>
        </ext>
      </extLst>
    </bk>
    <bk>
      <extLst>
        <ext uri="{3e2802c4-a4d2-4d8b-9148-e3be6c30e623}">
          <xlrd:rvb i="5225"/>
        </ext>
      </extLst>
    </bk>
    <bk>
      <extLst>
        <ext uri="{3e2802c4-a4d2-4d8b-9148-e3be6c30e623}">
          <xlrd:rvb i="5226"/>
        </ext>
      </extLst>
    </bk>
    <bk>
      <extLst>
        <ext uri="{3e2802c4-a4d2-4d8b-9148-e3be6c30e623}">
          <xlrd:rvb i="5227"/>
        </ext>
      </extLst>
    </bk>
    <bk>
      <extLst>
        <ext uri="{3e2802c4-a4d2-4d8b-9148-e3be6c30e623}">
          <xlrd:rvb i="5228"/>
        </ext>
      </extLst>
    </bk>
    <bk>
      <extLst>
        <ext uri="{3e2802c4-a4d2-4d8b-9148-e3be6c30e623}">
          <xlrd:rvb i="5229"/>
        </ext>
      </extLst>
    </bk>
    <bk>
      <extLst>
        <ext uri="{3e2802c4-a4d2-4d8b-9148-e3be6c30e623}">
          <xlrd:rvb i="5230"/>
        </ext>
      </extLst>
    </bk>
    <bk>
      <extLst>
        <ext uri="{3e2802c4-a4d2-4d8b-9148-e3be6c30e623}">
          <xlrd:rvb i="5231"/>
        </ext>
      </extLst>
    </bk>
    <bk>
      <extLst>
        <ext uri="{3e2802c4-a4d2-4d8b-9148-e3be6c30e623}">
          <xlrd:rvb i="5232"/>
        </ext>
      </extLst>
    </bk>
    <bk>
      <extLst>
        <ext uri="{3e2802c4-a4d2-4d8b-9148-e3be6c30e623}">
          <xlrd:rvb i="5233"/>
        </ext>
      </extLst>
    </bk>
    <bk>
      <extLst>
        <ext uri="{3e2802c4-a4d2-4d8b-9148-e3be6c30e623}">
          <xlrd:rvb i="5234"/>
        </ext>
      </extLst>
    </bk>
    <bk>
      <extLst>
        <ext uri="{3e2802c4-a4d2-4d8b-9148-e3be6c30e623}">
          <xlrd:rvb i="5235"/>
        </ext>
      </extLst>
    </bk>
    <bk>
      <extLst>
        <ext uri="{3e2802c4-a4d2-4d8b-9148-e3be6c30e623}">
          <xlrd:rvb i="5236"/>
        </ext>
      </extLst>
    </bk>
    <bk>
      <extLst>
        <ext uri="{3e2802c4-a4d2-4d8b-9148-e3be6c30e623}">
          <xlrd:rvb i="5237"/>
        </ext>
      </extLst>
    </bk>
    <bk>
      <extLst>
        <ext uri="{3e2802c4-a4d2-4d8b-9148-e3be6c30e623}">
          <xlrd:rvb i="5238"/>
        </ext>
      </extLst>
    </bk>
    <bk>
      <extLst>
        <ext uri="{3e2802c4-a4d2-4d8b-9148-e3be6c30e623}">
          <xlrd:rvb i="5239"/>
        </ext>
      </extLst>
    </bk>
    <bk>
      <extLst>
        <ext uri="{3e2802c4-a4d2-4d8b-9148-e3be6c30e623}">
          <xlrd:rvb i="5240"/>
        </ext>
      </extLst>
    </bk>
    <bk>
      <extLst>
        <ext uri="{3e2802c4-a4d2-4d8b-9148-e3be6c30e623}">
          <xlrd:rvb i="5241"/>
        </ext>
      </extLst>
    </bk>
    <bk>
      <extLst>
        <ext uri="{3e2802c4-a4d2-4d8b-9148-e3be6c30e623}">
          <xlrd:rvb i="5242"/>
        </ext>
      </extLst>
    </bk>
    <bk>
      <extLst>
        <ext uri="{3e2802c4-a4d2-4d8b-9148-e3be6c30e623}">
          <xlrd:rvb i="5243"/>
        </ext>
      </extLst>
    </bk>
    <bk>
      <extLst>
        <ext uri="{3e2802c4-a4d2-4d8b-9148-e3be6c30e623}">
          <xlrd:rvb i="5244"/>
        </ext>
      </extLst>
    </bk>
    <bk>
      <extLst>
        <ext uri="{3e2802c4-a4d2-4d8b-9148-e3be6c30e623}">
          <xlrd:rvb i="5245"/>
        </ext>
      </extLst>
    </bk>
    <bk>
      <extLst>
        <ext uri="{3e2802c4-a4d2-4d8b-9148-e3be6c30e623}">
          <xlrd:rvb i="5246"/>
        </ext>
      </extLst>
    </bk>
    <bk>
      <extLst>
        <ext uri="{3e2802c4-a4d2-4d8b-9148-e3be6c30e623}">
          <xlrd:rvb i="5247"/>
        </ext>
      </extLst>
    </bk>
    <bk>
      <extLst>
        <ext uri="{3e2802c4-a4d2-4d8b-9148-e3be6c30e623}">
          <xlrd:rvb i="5248"/>
        </ext>
      </extLst>
    </bk>
    <bk>
      <extLst>
        <ext uri="{3e2802c4-a4d2-4d8b-9148-e3be6c30e623}">
          <xlrd:rvb i="5249"/>
        </ext>
      </extLst>
    </bk>
    <bk>
      <extLst>
        <ext uri="{3e2802c4-a4d2-4d8b-9148-e3be6c30e623}">
          <xlrd:rvb i="5250"/>
        </ext>
      </extLst>
    </bk>
    <bk>
      <extLst>
        <ext uri="{3e2802c4-a4d2-4d8b-9148-e3be6c30e623}">
          <xlrd:rvb i="5251"/>
        </ext>
      </extLst>
    </bk>
    <bk>
      <extLst>
        <ext uri="{3e2802c4-a4d2-4d8b-9148-e3be6c30e623}">
          <xlrd:rvb i="5252"/>
        </ext>
      </extLst>
    </bk>
    <bk>
      <extLst>
        <ext uri="{3e2802c4-a4d2-4d8b-9148-e3be6c30e623}">
          <xlrd:rvb i="5253"/>
        </ext>
      </extLst>
    </bk>
    <bk>
      <extLst>
        <ext uri="{3e2802c4-a4d2-4d8b-9148-e3be6c30e623}">
          <xlrd:rvb i="5254"/>
        </ext>
      </extLst>
    </bk>
    <bk>
      <extLst>
        <ext uri="{3e2802c4-a4d2-4d8b-9148-e3be6c30e623}">
          <xlrd:rvb i="5255"/>
        </ext>
      </extLst>
    </bk>
    <bk>
      <extLst>
        <ext uri="{3e2802c4-a4d2-4d8b-9148-e3be6c30e623}">
          <xlrd:rvb i="5256"/>
        </ext>
      </extLst>
    </bk>
    <bk>
      <extLst>
        <ext uri="{3e2802c4-a4d2-4d8b-9148-e3be6c30e623}">
          <xlrd:rvb i="5257"/>
        </ext>
      </extLst>
    </bk>
    <bk>
      <extLst>
        <ext uri="{3e2802c4-a4d2-4d8b-9148-e3be6c30e623}">
          <xlrd:rvb i="5258"/>
        </ext>
      </extLst>
    </bk>
    <bk>
      <extLst>
        <ext uri="{3e2802c4-a4d2-4d8b-9148-e3be6c30e623}">
          <xlrd:rvb i="5259"/>
        </ext>
      </extLst>
    </bk>
    <bk>
      <extLst>
        <ext uri="{3e2802c4-a4d2-4d8b-9148-e3be6c30e623}">
          <xlrd:rvb i="5260"/>
        </ext>
      </extLst>
    </bk>
    <bk>
      <extLst>
        <ext uri="{3e2802c4-a4d2-4d8b-9148-e3be6c30e623}">
          <xlrd:rvb i="5261"/>
        </ext>
      </extLst>
    </bk>
    <bk>
      <extLst>
        <ext uri="{3e2802c4-a4d2-4d8b-9148-e3be6c30e623}">
          <xlrd:rvb i="5262"/>
        </ext>
      </extLst>
    </bk>
    <bk>
      <extLst>
        <ext uri="{3e2802c4-a4d2-4d8b-9148-e3be6c30e623}">
          <xlrd:rvb i="5263"/>
        </ext>
      </extLst>
    </bk>
    <bk>
      <extLst>
        <ext uri="{3e2802c4-a4d2-4d8b-9148-e3be6c30e623}">
          <xlrd:rvb i="5264"/>
        </ext>
      </extLst>
    </bk>
    <bk>
      <extLst>
        <ext uri="{3e2802c4-a4d2-4d8b-9148-e3be6c30e623}">
          <xlrd:rvb i="5265"/>
        </ext>
      </extLst>
    </bk>
    <bk>
      <extLst>
        <ext uri="{3e2802c4-a4d2-4d8b-9148-e3be6c30e623}">
          <xlrd:rvb i="5266"/>
        </ext>
      </extLst>
    </bk>
    <bk>
      <extLst>
        <ext uri="{3e2802c4-a4d2-4d8b-9148-e3be6c30e623}">
          <xlrd:rvb i="5267"/>
        </ext>
      </extLst>
    </bk>
    <bk>
      <extLst>
        <ext uri="{3e2802c4-a4d2-4d8b-9148-e3be6c30e623}">
          <xlrd:rvb i="5268"/>
        </ext>
      </extLst>
    </bk>
    <bk>
      <extLst>
        <ext uri="{3e2802c4-a4d2-4d8b-9148-e3be6c30e623}">
          <xlrd:rvb i="5269"/>
        </ext>
      </extLst>
    </bk>
    <bk>
      <extLst>
        <ext uri="{3e2802c4-a4d2-4d8b-9148-e3be6c30e623}">
          <xlrd:rvb i="5270"/>
        </ext>
      </extLst>
    </bk>
    <bk>
      <extLst>
        <ext uri="{3e2802c4-a4d2-4d8b-9148-e3be6c30e623}">
          <xlrd:rvb i="5271"/>
        </ext>
      </extLst>
    </bk>
    <bk>
      <extLst>
        <ext uri="{3e2802c4-a4d2-4d8b-9148-e3be6c30e623}">
          <xlrd:rvb i="5272"/>
        </ext>
      </extLst>
    </bk>
    <bk>
      <extLst>
        <ext uri="{3e2802c4-a4d2-4d8b-9148-e3be6c30e623}">
          <xlrd:rvb i="5273"/>
        </ext>
      </extLst>
    </bk>
    <bk>
      <extLst>
        <ext uri="{3e2802c4-a4d2-4d8b-9148-e3be6c30e623}">
          <xlrd:rvb i="5274"/>
        </ext>
      </extLst>
    </bk>
    <bk>
      <extLst>
        <ext uri="{3e2802c4-a4d2-4d8b-9148-e3be6c30e623}">
          <xlrd:rvb i="5275"/>
        </ext>
      </extLst>
    </bk>
    <bk>
      <extLst>
        <ext uri="{3e2802c4-a4d2-4d8b-9148-e3be6c30e623}">
          <xlrd:rvb i="5276"/>
        </ext>
      </extLst>
    </bk>
    <bk>
      <extLst>
        <ext uri="{3e2802c4-a4d2-4d8b-9148-e3be6c30e623}">
          <xlrd:rvb i="5277"/>
        </ext>
      </extLst>
    </bk>
    <bk>
      <extLst>
        <ext uri="{3e2802c4-a4d2-4d8b-9148-e3be6c30e623}">
          <xlrd:rvb i="5278"/>
        </ext>
      </extLst>
    </bk>
    <bk>
      <extLst>
        <ext uri="{3e2802c4-a4d2-4d8b-9148-e3be6c30e623}">
          <xlrd:rvb i="5279"/>
        </ext>
      </extLst>
    </bk>
    <bk>
      <extLst>
        <ext uri="{3e2802c4-a4d2-4d8b-9148-e3be6c30e623}">
          <xlrd:rvb i="5280"/>
        </ext>
      </extLst>
    </bk>
    <bk>
      <extLst>
        <ext uri="{3e2802c4-a4d2-4d8b-9148-e3be6c30e623}">
          <xlrd:rvb i="5281"/>
        </ext>
      </extLst>
    </bk>
    <bk>
      <extLst>
        <ext uri="{3e2802c4-a4d2-4d8b-9148-e3be6c30e623}">
          <xlrd:rvb i="5282"/>
        </ext>
      </extLst>
    </bk>
    <bk>
      <extLst>
        <ext uri="{3e2802c4-a4d2-4d8b-9148-e3be6c30e623}">
          <xlrd:rvb i="5283"/>
        </ext>
      </extLst>
    </bk>
    <bk>
      <extLst>
        <ext uri="{3e2802c4-a4d2-4d8b-9148-e3be6c30e623}">
          <xlrd:rvb i="5284"/>
        </ext>
      </extLst>
    </bk>
    <bk>
      <extLst>
        <ext uri="{3e2802c4-a4d2-4d8b-9148-e3be6c30e623}">
          <xlrd:rvb i="5285"/>
        </ext>
      </extLst>
    </bk>
    <bk>
      <extLst>
        <ext uri="{3e2802c4-a4d2-4d8b-9148-e3be6c30e623}">
          <xlrd:rvb i="5286"/>
        </ext>
      </extLst>
    </bk>
    <bk>
      <extLst>
        <ext uri="{3e2802c4-a4d2-4d8b-9148-e3be6c30e623}">
          <xlrd:rvb i="5287"/>
        </ext>
      </extLst>
    </bk>
    <bk>
      <extLst>
        <ext uri="{3e2802c4-a4d2-4d8b-9148-e3be6c30e623}">
          <xlrd:rvb i="5288"/>
        </ext>
      </extLst>
    </bk>
    <bk>
      <extLst>
        <ext uri="{3e2802c4-a4d2-4d8b-9148-e3be6c30e623}">
          <xlrd:rvb i="5289"/>
        </ext>
      </extLst>
    </bk>
    <bk>
      <extLst>
        <ext uri="{3e2802c4-a4d2-4d8b-9148-e3be6c30e623}">
          <xlrd:rvb i="5290"/>
        </ext>
      </extLst>
    </bk>
    <bk>
      <extLst>
        <ext uri="{3e2802c4-a4d2-4d8b-9148-e3be6c30e623}">
          <xlrd:rvb i="5291"/>
        </ext>
      </extLst>
    </bk>
    <bk>
      <extLst>
        <ext uri="{3e2802c4-a4d2-4d8b-9148-e3be6c30e623}">
          <xlrd:rvb i="5292"/>
        </ext>
      </extLst>
    </bk>
    <bk>
      <extLst>
        <ext uri="{3e2802c4-a4d2-4d8b-9148-e3be6c30e623}">
          <xlrd:rvb i="5293"/>
        </ext>
      </extLst>
    </bk>
    <bk>
      <extLst>
        <ext uri="{3e2802c4-a4d2-4d8b-9148-e3be6c30e623}">
          <xlrd:rvb i="5294"/>
        </ext>
      </extLst>
    </bk>
    <bk>
      <extLst>
        <ext uri="{3e2802c4-a4d2-4d8b-9148-e3be6c30e623}">
          <xlrd:rvb i="5295"/>
        </ext>
      </extLst>
    </bk>
    <bk>
      <extLst>
        <ext uri="{3e2802c4-a4d2-4d8b-9148-e3be6c30e623}">
          <xlrd:rvb i="5296"/>
        </ext>
      </extLst>
    </bk>
    <bk>
      <extLst>
        <ext uri="{3e2802c4-a4d2-4d8b-9148-e3be6c30e623}">
          <xlrd:rvb i="5297"/>
        </ext>
      </extLst>
    </bk>
    <bk>
      <extLst>
        <ext uri="{3e2802c4-a4d2-4d8b-9148-e3be6c30e623}">
          <xlrd:rvb i="5298"/>
        </ext>
      </extLst>
    </bk>
    <bk>
      <extLst>
        <ext uri="{3e2802c4-a4d2-4d8b-9148-e3be6c30e623}">
          <xlrd:rvb i="5299"/>
        </ext>
      </extLst>
    </bk>
    <bk>
      <extLst>
        <ext uri="{3e2802c4-a4d2-4d8b-9148-e3be6c30e623}">
          <xlrd:rvb i="5300"/>
        </ext>
      </extLst>
    </bk>
    <bk>
      <extLst>
        <ext uri="{3e2802c4-a4d2-4d8b-9148-e3be6c30e623}">
          <xlrd:rvb i="5301"/>
        </ext>
      </extLst>
    </bk>
    <bk>
      <extLst>
        <ext uri="{3e2802c4-a4d2-4d8b-9148-e3be6c30e623}">
          <xlrd:rvb i="5302"/>
        </ext>
      </extLst>
    </bk>
    <bk>
      <extLst>
        <ext uri="{3e2802c4-a4d2-4d8b-9148-e3be6c30e623}">
          <xlrd:rvb i="5303"/>
        </ext>
      </extLst>
    </bk>
    <bk>
      <extLst>
        <ext uri="{3e2802c4-a4d2-4d8b-9148-e3be6c30e623}">
          <xlrd:rvb i="5304"/>
        </ext>
      </extLst>
    </bk>
    <bk>
      <extLst>
        <ext uri="{3e2802c4-a4d2-4d8b-9148-e3be6c30e623}">
          <xlrd:rvb i="5305"/>
        </ext>
      </extLst>
    </bk>
    <bk>
      <extLst>
        <ext uri="{3e2802c4-a4d2-4d8b-9148-e3be6c30e623}">
          <xlrd:rvb i="5306"/>
        </ext>
      </extLst>
    </bk>
    <bk>
      <extLst>
        <ext uri="{3e2802c4-a4d2-4d8b-9148-e3be6c30e623}">
          <xlrd:rvb i="5307"/>
        </ext>
      </extLst>
    </bk>
    <bk>
      <extLst>
        <ext uri="{3e2802c4-a4d2-4d8b-9148-e3be6c30e623}">
          <xlrd:rvb i="5308"/>
        </ext>
      </extLst>
    </bk>
    <bk>
      <extLst>
        <ext uri="{3e2802c4-a4d2-4d8b-9148-e3be6c30e623}">
          <xlrd:rvb i="5309"/>
        </ext>
      </extLst>
    </bk>
    <bk>
      <extLst>
        <ext uri="{3e2802c4-a4d2-4d8b-9148-e3be6c30e623}">
          <xlrd:rvb i="5310"/>
        </ext>
      </extLst>
    </bk>
    <bk>
      <extLst>
        <ext uri="{3e2802c4-a4d2-4d8b-9148-e3be6c30e623}">
          <xlrd:rvb i="5311"/>
        </ext>
      </extLst>
    </bk>
    <bk>
      <extLst>
        <ext uri="{3e2802c4-a4d2-4d8b-9148-e3be6c30e623}">
          <xlrd:rvb i="5312"/>
        </ext>
      </extLst>
    </bk>
    <bk>
      <extLst>
        <ext uri="{3e2802c4-a4d2-4d8b-9148-e3be6c30e623}">
          <xlrd:rvb i="5313"/>
        </ext>
      </extLst>
    </bk>
    <bk>
      <extLst>
        <ext uri="{3e2802c4-a4d2-4d8b-9148-e3be6c30e623}">
          <xlrd:rvb i="5314"/>
        </ext>
      </extLst>
    </bk>
    <bk>
      <extLst>
        <ext uri="{3e2802c4-a4d2-4d8b-9148-e3be6c30e623}">
          <xlrd:rvb i="5315"/>
        </ext>
      </extLst>
    </bk>
    <bk>
      <extLst>
        <ext uri="{3e2802c4-a4d2-4d8b-9148-e3be6c30e623}">
          <xlrd:rvb i="5316"/>
        </ext>
      </extLst>
    </bk>
    <bk>
      <extLst>
        <ext uri="{3e2802c4-a4d2-4d8b-9148-e3be6c30e623}">
          <xlrd:rvb i="5317"/>
        </ext>
      </extLst>
    </bk>
    <bk>
      <extLst>
        <ext uri="{3e2802c4-a4d2-4d8b-9148-e3be6c30e623}">
          <xlrd:rvb i="5318"/>
        </ext>
      </extLst>
    </bk>
    <bk>
      <extLst>
        <ext uri="{3e2802c4-a4d2-4d8b-9148-e3be6c30e623}">
          <xlrd:rvb i="5319"/>
        </ext>
      </extLst>
    </bk>
    <bk>
      <extLst>
        <ext uri="{3e2802c4-a4d2-4d8b-9148-e3be6c30e623}">
          <xlrd:rvb i="5320"/>
        </ext>
      </extLst>
    </bk>
    <bk>
      <extLst>
        <ext uri="{3e2802c4-a4d2-4d8b-9148-e3be6c30e623}">
          <xlrd:rvb i="5321"/>
        </ext>
      </extLst>
    </bk>
    <bk>
      <extLst>
        <ext uri="{3e2802c4-a4d2-4d8b-9148-e3be6c30e623}">
          <xlrd:rvb i="5322"/>
        </ext>
      </extLst>
    </bk>
    <bk>
      <extLst>
        <ext uri="{3e2802c4-a4d2-4d8b-9148-e3be6c30e623}">
          <xlrd:rvb i="5323"/>
        </ext>
      </extLst>
    </bk>
    <bk>
      <extLst>
        <ext uri="{3e2802c4-a4d2-4d8b-9148-e3be6c30e623}">
          <xlrd:rvb i="5324"/>
        </ext>
      </extLst>
    </bk>
    <bk>
      <extLst>
        <ext uri="{3e2802c4-a4d2-4d8b-9148-e3be6c30e623}">
          <xlrd:rvb i="5325"/>
        </ext>
      </extLst>
    </bk>
    <bk>
      <extLst>
        <ext uri="{3e2802c4-a4d2-4d8b-9148-e3be6c30e623}">
          <xlrd:rvb i="5326"/>
        </ext>
      </extLst>
    </bk>
    <bk>
      <extLst>
        <ext uri="{3e2802c4-a4d2-4d8b-9148-e3be6c30e623}">
          <xlrd:rvb i="5327"/>
        </ext>
      </extLst>
    </bk>
    <bk>
      <extLst>
        <ext uri="{3e2802c4-a4d2-4d8b-9148-e3be6c30e623}">
          <xlrd:rvb i="5328"/>
        </ext>
      </extLst>
    </bk>
    <bk>
      <extLst>
        <ext uri="{3e2802c4-a4d2-4d8b-9148-e3be6c30e623}">
          <xlrd:rvb i="5329"/>
        </ext>
      </extLst>
    </bk>
    <bk>
      <extLst>
        <ext uri="{3e2802c4-a4d2-4d8b-9148-e3be6c30e623}">
          <xlrd:rvb i="5330"/>
        </ext>
      </extLst>
    </bk>
    <bk>
      <extLst>
        <ext uri="{3e2802c4-a4d2-4d8b-9148-e3be6c30e623}">
          <xlrd:rvb i="5331"/>
        </ext>
      </extLst>
    </bk>
    <bk>
      <extLst>
        <ext uri="{3e2802c4-a4d2-4d8b-9148-e3be6c30e623}">
          <xlrd:rvb i="5332"/>
        </ext>
      </extLst>
    </bk>
    <bk>
      <extLst>
        <ext uri="{3e2802c4-a4d2-4d8b-9148-e3be6c30e623}">
          <xlrd:rvb i="5333"/>
        </ext>
      </extLst>
    </bk>
    <bk>
      <extLst>
        <ext uri="{3e2802c4-a4d2-4d8b-9148-e3be6c30e623}">
          <xlrd:rvb i="5334"/>
        </ext>
      </extLst>
    </bk>
    <bk>
      <extLst>
        <ext uri="{3e2802c4-a4d2-4d8b-9148-e3be6c30e623}">
          <xlrd:rvb i="5335"/>
        </ext>
      </extLst>
    </bk>
    <bk>
      <extLst>
        <ext uri="{3e2802c4-a4d2-4d8b-9148-e3be6c30e623}">
          <xlrd:rvb i="5336"/>
        </ext>
      </extLst>
    </bk>
    <bk>
      <extLst>
        <ext uri="{3e2802c4-a4d2-4d8b-9148-e3be6c30e623}">
          <xlrd:rvb i="5337"/>
        </ext>
      </extLst>
    </bk>
    <bk>
      <extLst>
        <ext uri="{3e2802c4-a4d2-4d8b-9148-e3be6c30e623}">
          <xlrd:rvb i="5338"/>
        </ext>
      </extLst>
    </bk>
    <bk>
      <extLst>
        <ext uri="{3e2802c4-a4d2-4d8b-9148-e3be6c30e623}">
          <xlrd:rvb i="5339"/>
        </ext>
      </extLst>
    </bk>
    <bk>
      <extLst>
        <ext uri="{3e2802c4-a4d2-4d8b-9148-e3be6c30e623}">
          <xlrd:rvb i="5340"/>
        </ext>
      </extLst>
    </bk>
    <bk>
      <extLst>
        <ext uri="{3e2802c4-a4d2-4d8b-9148-e3be6c30e623}">
          <xlrd:rvb i="5341"/>
        </ext>
      </extLst>
    </bk>
    <bk>
      <extLst>
        <ext uri="{3e2802c4-a4d2-4d8b-9148-e3be6c30e623}">
          <xlrd:rvb i="5342"/>
        </ext>
      </extLst>
    </bk>
    <bk>
      <extLst>
        <ext uri="{3e2802c4-a4d2-4d8b-9148-e3be6c30e623}">
          <xlrd:rvb i="5343"/>
        </ext>
      </extLst>
    </bk>
    <bk>
      <extLst>
        <ext uri="{3e2802c4-a4d2-4d8b-9148-e3be6c30e623}">
          <xlrd:rvb i="5344"/>
        </ext>
      </extLst>
    </bk>
    <bk>
      <extLst>
        <ext uri="{3e2802c4-a4d2-4d8b-9148-e3be6c30e623}">
          <xlrd:rvb i="5345"/>
        </ext>
      </extLst>
    </bk>
    <bk>
      <extLst>
        <ext uri="{3e2802c4-a4d2-4d8b-9148-e3be6c30e623}">
          <xlrd:rvb i="5346"/>
        </ext>
      </extLst>
    </bk>
    <bk>
      <extLst>
        <ext uri="{3e2802c4-a4d2-4d8b-9148-e3be6c30e623}">
          <xlrd:rvb i="5347"/>
        </ext>
      </extLst>
    </bk>
    <bk>
      <extLst>
        <ext uri="{3e2802c4-a4d2-4d8b-9148-e3be6c30e623}">
          <xlrd:rvb i="5348"/>
        </ext>
      </extLst>
    </bk>
    <bk>
      <extLst>
        <ext uri="{3e2802c4-a4d2-4d8b-9148-e3be6c30e623}">
          <xlrd:rvb i="5349"/>
        </ext>
      </extLst>
    </bk>
    <bk>
      <extLst>
        <ext uri="{3e2802c4-a4d2-4d8b-9148-e3be6c30e623}">
          <xlrd:rvb i="5350"/>
        </ext>
      </extLst>
    </bk>
    <bk>
      <extLst>
        <ext uri="{3e2802c4-a4d2-4d8b-9148-e3be6c30e623}">
          <xlrd:rvb i="5351"/>
        </ext>
      </extLst>
    </bk>
    <bk>
      <extLst>
        <ext uri="{3e2802c4-a4d2-4d8b-9148-e3be6c30e623}">
          <xlrd:rvb i="5352"/>
        </ext>
      </extLst>
    </bk>
    <bk>
      <extLst>
        <ext uri="{3e2802c4-a4d2-4d8b-9148-e3be6c30e623}">
          <xlrd:rvb i="5353"/>
        </ext>
      </extLst>
    </bk>
    <bk>
      <extLst>
        <ext uri="{3e2802c4-a4d2-4d8b-9148-e3be6c30e623}">
          <xlrd:rvb i="5354"/>
        </ext>
      </extLst>
    </bk>
    <bk>
      <extLst>
        <ext uri="{3e2802c4-a4d2-4d8b-9148-e3be6c30e623}">
          <xlrd:rvb i="5355"/>
        </ext>
      </extLst>
    </bk>
    <bk>
      <extLst>
        <ext uri="{3e2802c4-a4d2-4d8b-9148-e3be6c30e623}">
          <xlrd:rvb i="5356"/>
        </ext>
      </extLst>
    </bk>
    <bk>
      <extLst>
        <ext uri="{3e2802c4-a4d2-4d8b-9148-e3be6c30e623}">
          <xlrd:rvb i="5357"/>
        </ext>
      </extLst>
    </bk>
    <bk>
      <extLst>
        <ext uri="{3e2802c4-a4d2-4d8b-9148-e3be6c30e623}">
          <xlrd:rvb i="5358"/>
        </ext>
      </extLst>
    </bk>
    <bk>
      <extLst>
        <ext uri="{3e2802c4-a4d2-4d8b-9148-e3be6c30e623}">
          <xlrd:rvb i="5359"/>
        </ext>
      </extLst>
    </bk>
    <bk>
      <extLst>
        <ext uri="{3e2802c4-a4d2-4d8b-9148-e3be6c30e623}">
          <xlrd:rvb i="5360"/>
        </ext>
      </extLst>
    </bk>
    <bk>
      <extLst>
        <ext uri="{3e2802c4-a4d2-4d8b-9148-e3be6c30e623}">
          <xlrd:rvb i="5361"/>
        </ext>
      </extLst>
    </bk>
    <bk>
      <extLst>
        <ext uri="{3e2802c4-a4d2-4d8b-9148-e3be6c30e623}">
          <xlrd:rvb i="5362"/>
        </ext>
      </extLst>
    </bk>
    <bk>
      <extLst>
        <ext uri="{3e2802c4-a4d2-4d8b-9148-e3be6c30e623}">
          <xlrd:rvb i="5363"/>
        </ext>
      </extLst>
    </bk>
    <bk>
      <extLst>
        <ext uri="{3e2802c4-a4d2-4d8b-9148-e3be6c30e623}">
          <xlrd:rvb i="5364"/>
        </ext>
      </extLst>
    </bk>
    <bk>
      <extLst>
        <ext uri="{3e2802c4-a4d2-4d8b-9148-e3be6c30e623}">
          <xlrd:rvb i="5365"/>
        </ext>
      </extLst>
    </bk>
    <bk>
      <extLst>
        <ext uri="{3e2802c4-a4d2-4d8b-9148-e3be6c30e623}">
          <xlrd:rvb i="5366"/>
        </ext>
      </extLst>
    </bk>
    <bk>
      <extLst>
        <ext uri="{3e2802c4-a4d2-4d8b-9148-e3be6c30e623}">
          <xlrd:rvb i="5367"/>
        </ext>
      </extLst>
    </bk>
    <bk>
      <extLst>
        <ext uri="{3e2802c4-a4d2-4d8b-9148-e3be6c30e623}">
          <xlrd:rvb i="5368"/>
        </ext>
      </extLst>
    </bk>
    <bk>
      <extLst>
        <ext uri="{3e2802c4-a4d2-4d8b-9148-e3be6c30e623}">
          <xlrd:rvb i="5369"/>
        </ext>
      </extLst>
    </bk>
    <bk>
      <extLst>
        <ext uri="{3e2802c4-a4d2-4d8b-9148-e3be6c30e623}">
          <xlrd:rvb i="5370"/>
        </ext>
      </extLst>
    </bk>
    <bk>
      <extLst>
        <ext uri="{3e2802c4-a4d2-4d8b-9148-e3be6c30e623}">
          <xlrd:rvb i="5371"/>
        </ext>
      </extLst>
    </bk>
    <bk>
      <extLst>
        <ext uri="{3e2802c4-a4d2-4d8b-9148-e3be6c30e623}">
          <xlrd:rvb i="5372"/>
        </ext>
      </extLst>
    </bk>
    <bk>
      <extLst>
        <ext uri="{3e2802c4-a4d2-4d8b-9148-e3be6c30e623}">
          <xlrd:rvb i="5373"/>
        </ext>
      </extLst>
    </bk>
    <bk>
      <extLst>
        <ext uri="{3e2802c4-a4d2-4d8b-9148-e3be6c30e623}">
          <xlrd:rvb i="5374"/>
        </ext>
      </extLst>
    </bk>
    <bk>
      <extLst>
        <ext uri="{3e2802c4-a4d2-4d8b-9148-e3be6c30e623}">
          <xlrd:rvb i="5375"/>
        </ext>
      </extLst>
    </bk>
    <bk>
      <extLst>
        <ext uri="{3e2802c4-a4d2-4d8b-9148-e3be6c30e623}">
          <xlrd:rvb i="5376"/>
        </ext>
      </extLst>
    </bk>
    <bk>
      <extLst>
        <ext uri="{3e2802c4-a4d2-4d8b-9148-e3be6c30e623}">
          <xlrd:rvb i="5377"/>
        </ext>
      </extLst>
    </bk>
    <bk>
      <extLst>
        <ext uri="{3e2802c4-a4d2-4d8b-9148-e3be6c30e623}">
          <xlrd:rvb i="5378"/>
        </ext>
      </extLst>
    </bk>
    <bk>
      <extLst>
        <ext uri="{3e2802c4-a4d2-4d8b-9148-e3be6c30e623}">
          <xlrd:rvb i="5379"/>
        </ext>
      </extLst>
    </bk>
    <bk>
      <extLst>
        <ext uri="{3e2802c4-a4d2-4d8b-9148-e3be6c30e623}">
          <xlrd:rvb i="5380"/>
        </ext>
      </extLst>
    </bk>
    <bk>
      <extLst>
        <ext uri="{3e2802c4-a4d2-4d8b-9148-e3be6c30e623}">
          <xlrd:rvb i="5381"/>
        </ext>
      </extLst>
    </bk>
    <bk>
      <extLst>
        <ext uri="{3e2802c4-a4d2-4d8b-9148-e3be6c30e623}">
          <xlrd:rvb i="5382"/>
        </ext>
      </extLst>
    </bk>
    <bk>
      <extLst>
        <ext uri="{3e2802c4-a4d2-4d8b-9148-e3be6c30e623}">
          <xlrd:rvb i="5383"/>
        </ext>
      </extLst>
    </bk>
    <bk>
      <extLst>
        <ext uri="{3e2802c4-a4d2-4d8b-9148-e3be6c30e623}">
          <xlrd:rvb i="5384"/>
        </ext>
      </extLst>
    </bk>
    <bk>
      <extLst>
        <ext uri="{3e2802c4-a4d2-4d8b-9148-e3be6c30e623}">
          <xlrd:rvb i="5385"/>
        </ext>
      </extLst>
    </bk>
    <bk>
      <extLst>
        <ext uri="{3e2802c4-a4d2-4d8b-9148-e3be6c30e623}">
          <xlrd:rvb i="5386"/>
        </ext>
      </extLst>
    </bk>
    <bk>
      <extLst>
        <ext uri="{3e2802c4-a4d2-4d8b-9148-e3be6c30e623}">
          <xlrd:rvb i="5387"/>
        </ext>
      </extLst>
    </bk>
    <bk>
      <extLst>
        <ext uri="{3e2802c4-a4d2-4d8b-9148-e3be6c30e623}">
          <xlrd:rvb i="5388"/>
        </ext>
      </extLst>
    </bk>
    <bk>
      <extLst>
        <ext uri="{3e2802c4-a4d2-4d8b-9148-e3be6c30e623}">
          <xlrd:rvb i="5389"/>
        </ext>
      </extLst>
    </bk>
    <bk>
      <extLst>
        <ext uri="{3e2802c4-a4d2-4d8b-9148-e3be6c30e623}">
          <xlrd:rvb i="5390"/>
        </ext>
      </extLst>
    </bk>
    <bk>
      <extLst>
        <ext uri="{3e2802c4-a4d2-4d8b-9148-e3be6c30e623}">
          <xlrd:rvb i="5391"/>
        </ext>
      </extLst>
    </bk>
    <bk>
      <extLst>
        <ext uri="{3e2802c4-a4d2-4d8b-9148-e3be6c30e623}">
          <xlrd:rvb i="5392"/>
        </ext>
      </extLst>
    </bk>
    <bk>
      <extLst>
        <ext uri="{3e2802c4-a4d2-4d8b-9148-e3be6c30e623}">
          <xlrd:rvb i="5393"/>
        </ext>
      </extLst>
    </bk>
    <bk>
      <extLst>
        <ext uri="{3e2802c4-a4d2-4d8b-9148-e3be6c30e623}">
          <xlrd:rvb i="5394"/>
        </ext>
      </extLst>
    </bk>
    <bk>
      <extLst>
        <ext uri="{3e2802c4-a4d2-4d8b-9148-e3be6c30e623}">
          <xlrd:rvb i="5395"/>
        </ext>
      </extLst>
    </bk>
    <bk>
      <extLst>
        <ext uri="{3e2802c4-a4d2-4d8b-9148-e3be6c30e623}">
          <xlrd:rvb i="5396"/>
        </ext>
      </extLst>
    </bk>
    <bk>
      <extLst>
        <ext uri="{3e2802c4-a4d2-4d8b-9148-e3be6c30e623}">
          <xlrd:rvb i="5397"/>
        </ext>
      </extLst>
    </bk>
    <bk>
      <extLst>
        <ext uri="{3e2802c4-a4d2-4d8b-9148-e3be6c30e623}">
          <xlrd:rvb i="5398"/>
        </ext>
      </extLst>
    </bk>
    <bk>
      <extLst>
        <ext uri="{3e2802c4-a4d2-4d8b-9148-e3be6c30e623}">
          <xlrd:rvb i="5399"/>
        </ext>
      </extLst>
    </bk>
    <bk>
      <extLst>
        <ext uri="{3e2802c4-a4d2-4d8b-9148-e3be6c30e623}">
          <xlrd:rvb i="5400"/>
        </ext>
      </extLst>
    </bk>
    <bk>
      <extLst>
        <ext uri="{3e2802c4-a4d2-4d8b-9148-e3be6c30e623}">
          <xlrd:rvb i="5401"/>
        </ext>
      </extLst>
    </bk>
    <bk>
      <extLst>
        <ext uri="{3e2802c4-a4d2-4d8b-9148-e3be6c30e623}">
          <xlrd:rvb i="5402"/>
        </ext>
      </extLst>
    </bk>
    <bk>
      <extLst>
        <ext uri="{3e2802c4-a4d2-4d8b-9148-e3be6c30e623}">
          <xlrd:rvb i="5403"/>
        </ext>
      </extLst>
    </bk>
    <bk>
      <extLst>
        <ext uri="{3e2802c4-a4d2-4d8b-9148-e3be6c30e623}">
          <xlrd:rvb i="5404"/>
        </ext>
      </extLst>
    </bk>
    <bk>
      <extLst>
        <ext uri="{3e2802c4-a4d2-4d8b-9148-e3be6c30e623}">
          <xlrd:rvb i="5405"/>
        </ext>
      </extLst>
    </bk>
    <bk>
      <extLst>
        <ext uri="{3e2802c4-a4d2-4d8b-9148-e3be6c30e623}">
          <xlrd:rvb i="5406"/>
        </ext>
      </extLst>
    </bk>
    <bk>
      <extLst>
        <ext uri="{3e2802c4-a4d2-4d8b-9148-e3be6c30e623}">
          <xlrd:rvb i="5407"/>
        </ext>
      </extLst>
    </bk>
    <bk>
      <extLst>
        <ext uri="{3e2802c4-a4d2-4d8b-9148-e3be6c30e623}">
          <xlrd:rvb i="5408"/>
        </ext>
      </extLst>
    </bk>
    <bk>
      <extLst>
        <ext uri="{3e2802c4-a4d2-4d8b-9148-e3be6c30e623}">
          <xlrd:rvb i="5409"/>
        </ext>
      </extLst>
    </bk>
    <bk>
      <extLst>
        <ext uri="{3e2802c4-a4d2-4d8b-9148-e3be6c30e623}">
          <xlrd:rvb i="5410"/>
        </ext>
      </extLst>
    </bk>
    <bk>
      <extLst>
        <ext uri="{3e2802c4-a4d2-4d8b-9148-e3be6c30e623}">
          <xlrd:rvb i="5411"/>
        </ext>
      </extLst>
    </bk>
    <bk>
      <extLst>
        <ext uri="{3e2802c4-a4d2-4d8b-9148-e3be6c30e623}">
          <xlrd:rvb i="5412"/>
        </ext>
      </extLst>
    </bk>
    <bk>
      <extLst>
        <ext uri="{3e2802c4-a4d2-4d8b-9148-e3be6c30e623}">
          <xlrd:rvb i="5413"/>
        </ext>
      </extLst>
    </bk>
    <bk>
      <extLst>
        <ext uri="{3e2802c4-a4d2-4d8b-9148-e3be6c30e623}">
          <xlrd:rvb i="5414"/>
        </ext>
      </extLst>
    </bk>
    <bk>
      <extLst>
        <ext uri="{3e2802c4-a4d2-4d8b-9148-e3be6c30e623}">
          <xlrd:rvb i="5415"/>
        </ext>
      </extLst>
    </bk>
    <bk>
      <extLst>
        <ext uri="{3e2802c4-a4d2-4d8b-9148-e3be6c30e623}">
          <xlrd:rvb i="5416"/>
        </ext>
      </extLst>
    </bk>
    <bk>
      <extLst>
        <ext uri="{3e2802c4-a4d2-4d8b-9148-e3be6c30e623}">
          <xlrd:rvb i="5417"/>
        </ext>
      </extLst>
    </bk>
    <bk>
      <extLst>
        <ext uri="{3e2802c4-a4d2-4d8b-9148-e3be6c30e623}">
          <xlrd:rvb i="5418"/>
        </ext>
      </extLst>
    </bk>
    <bk>
      <extLst>
        <ext uri="{3e2802c4-a4d2-4d8b-9148-e3be6c30e623}">
          <xlrd:rvb i="5419"/>
        </ext>
      </extLst>
    </bk>
    <bk>
      <extLst>
        <ext uri="{3e2802c4-a4d2-4d8b-9148-e3be6c30e623}">
          <xlrd:rvb i="5420"/>
        </ext>
      </extLst>
    </bk>
    <bk>
      <extLst>
        <ext uri="{3e2802c4-a4d2-4d8b-9148-e3be6c30e623}">
          <xlrd:rvb i="5421"/>
        </ext>
      </extLst>
    </bk>
    <bk>
      <extLst>
        <ext uri="{3e2802c4-a4d2-4d8b-9148-e3be6c30e623}">
          <xlrd:rvb i="5422"/>
        </ext>
      </extLst>
    </bk>
    <bk>
      <extLst>
        <ext uri="{3e2802c4-a4d2-4d8b-9148-e3be6c30e623}">
          <xlrd:rvb i="5423"/>
        </ext>
      </extLst>
    </bk>
    <bk>
      <extLst>
        <ext uri="{3e2802c4-a4d2-4d8b-9148-e3be6c30e623}">
          <xlrd:rvb i="5424"/>
        </ext>
      </extLst>
    </bk>
    <bk>
      <extLst>
        <ext uri="{3e2802c4-a4d2-4d8b-9148-e3be6c30e623}">
          <xlrd:rvb i="5425"/>
        </ext>
      </extLst>
    </bk>
    <bk>
      <extLst>
        <ext uri="{3e2802c4-a4d2-4d8b-9148-e3be6c30e623}">
          <xlrd:rvb i="5426"/>
        </ext>
      </extLst>
    </bk>
    <bk>
      <extLst>
        <ext uri="{3e2802c4-a4d2-4d8b-9148-e3be6c30e623}">
          <xlrd:rvb i="5427"/>
        </ext>
      </extLst>
    </bk>
    <bk>
      <extLst>
        <ext uri="{3e2802c4-a4d2-4d8b-9148-e3be6c30e623}">
          <xlrd:rvb i="5428"/>
        </ext>
      </extLst>
    </bk>
    <bk>
      <extLst>
        <ext uri="{3e2802c4-a4d2-4d8b-9148-e3be6c30e623}">
          <xlrd:rvb i="5429"/>
        </ext>
      </extLst>
    </bk>
    <bk>
      <extLst>
        <ext uri="{3e2802c4-a4d2-4d8b-9148-e3be6c30e623}">
          <xlrd:rvb i="5430"/>
        </ext>
      </extLst>
    </bk>
    <bk>
      <extLst>
        <ext uri="{3e2802c4-a4d2-4d8b-9148-e3be6c30e623}">
          <xlrd:rvb i="5431"/>
        </ext>
      </extLst>
    </bk>
    <bk>
      <extLst>
        <ext uri="{3e2802c4-a4d2-4d8b-9148-e3be6c30e623}">
          <xlrd:rvb i="5432"/>
        </ext>
      </extLst>
    </bk>
    <bk>
      <extLst>
        <ext uri="{3e2802c4-a4d2-4d8b-9148-e3be6c30e623}">
          <xlrd:rvb i="5433"/>
        </ext>
      </extLst>
    </bk>
    <bk>
      <extLst>
        <ext uri="{3e2802c4-a4d2-4d8b-9148-e3be6c30e623}">
          <xlrd:rvb i="5434"/>
        </ext>
      </extLst>
    </bk>
    <bk>
      <extLst>
        <ext uri="{3e2802c4-a4d2-4d8b-9148-e3be6c30e623}">
          <xlrd:rvb i="5435"/>
        </ext>
      </extLst>
    </bk>
    <bk>
      <extLst>
        <ext uri="{3e2802c4-a4d2-4d8b-9148-e3be6c30e623}">
          <xlrd:rvb i="5436"/>
        </ext>
      </extLst>
    </bk>
    <bk>
      <extLst>
        <ext uri="{3e2802c4-a4d2-4d8b-9148-e3be6c30e623}">
          <xlrd:rvb i="5437"/>
        </ext>
      </extLst>
    </bk>
    <bk>
      <extLst>
        <ext uri="{3e2802c4-a4d2-4d8b-9148-e3be6c30e623}">
          <xlrd:rvb i="5438"/>
        </ext>
      </extLst>
    </bk>
    <bk>
      <extLst>
        <ext uri="{3e2802c4-a4d2-4d8b-9148-e3be6c30e623}">
          <xlrd:rvb i="5439"/>
        </ext>
      </extLst>
    </bk>
    <bk>
      <extLst>
        <ext uri="{3e2802c4-a4d2-4d8b-9148-e3be6c30e623}">
          <xlrd:rvb i="5440"/>
        </ext>
      </extLst>
    </bk>
    <bk>
      <extLst>
        <ext uri="{3e2802c4-a4d2-4d8b-9148-e3be6c30e623}">
          <xlrd:rvb i="5441"/>
        </ext>
      </extLst>
    </bk>
    <bk>
      <extLst>
        <ext uri="{3e2802c4-a4d2-4d8b-9148-e3be6c30e623}">
          <xlrd:rvb i="5442"/>
        </ext>
      </extLst>
    </bk>
    <bk>
      <extLst>
        <ext uri="{3e2802c4-a4d2-4d8b-9148-e3be6c30e623}">
          <xlrd:rvb i="5443"/>
        </ext>
      </extLst>
    </bk>
    <bk>
      <extLst>
        <ext uri="{3e2802c4-a4d2-4d8b-9148-e3be6c30e623}">
          <xlrd:rvb i="5444"/>
        </ext>
      </extLst>
    </bk>
    <bk>
      <extLst>
        <ext uri="{3e2802c4-a4d2-4d8b-9148-e3be6c30e623}">
          <xlrd:rvb i="5445"/>
        </ext>
      </extLst>
    </bk>
    <bk>
      <extLst>
        <ext uri="{3e2802c4-a4d2-4d8b-9148-e3be6c30e623}">
          <xlrd:rvb i="5446"/>
        </ext>
      </extLst>
    </bk>
    <bk>
      <extLst>
        <ext uri="{3e2802c4-a4d2-4d8b-9148-e3be6c30e623}">
          <xlrd:rvb i="5447"/>
        </ext>
      </extLst>
    </bk>
    <bk>
      <extLst>
        <ext uri="{3e2802c4-a4d2-4d8b-9148-e3be6c30e623}">
          <xlrd:rvb i="5448"/>
        </ext>
      </extLst>
    </bk>
    <bk>
      <extLst>
        <ext uri="{3e2802c4-a4d2-4d8b-9148-e3be6c30e623}">
          <xlrd:rvb i="5449"/>
        </ext>
      </extLst>
    </bk>
    <bk>
      <extLst>
        <ext uri="{3e2802c4-a4d2-4d8b-9148-e3be6c30e623}">
          <xlrd:rvb i="5450"/>
        </ext>
      </extLst>
    </bk>
    <bk>
      <extLst>
        <ext uri="{3e2802c4-a4d2-4d8b-9148-e3be6c30e623}">
          <xlrd:rvb i="5451"/>
        </ext>
      </extLst>
    </bk>
    <bk>
      <extLst>
        <ext uri="{3e2802c4-a4d2-4d8b-9148-e3be6c30e623}">
          <xlrd:rvb i="5452"/>
        </ext>
      </extLst>
    </bk>
    <bk>
      <extLst>
        <ext uri="{3e2802c4-a4d2-4d8b-9148-e3be6c30e623}">
          <xlrd:rvb i="5453"/>
        </ext>
      </extLst>
    </bk>
    <bk>
      <extLst>
        <ext uri="{3e2802c4-a4d2-4d8b-9148-e3be6c30e623}">
          <xlrd:rvb i="5454"/>
        </ext>
      </extLst>
    </bk>
    <bk>
      <extLst>
        <ext uri="{3e2802c4-a4d2-4d8b-9148-e3be6c30e623}">
          <xlrd:rvb i="5455"/>
        </ext>
      </extLst>
    </bk>
    <bk>
      <extLst>
        <ext uri="{3e2802c4-a4d2-4d8b-9148-e3be6c30e623}">
          <xlrd:rvb i="5456"/>
        </ext>
      </extLst>
    </bk>
    <bk>
      <extLst>
        <ext uri="{3e2802c4-a4d2-4d8b-9148-e3be6c30e623}">
          <xlrd:rvb i="5457"/>
        </ext>
      </extLst>
    </bk>
    <bk>
      <extLst>
        <ext uri="{3e2802c4-a4d2-4d8b-9148-e3be6c30e623}">
          <xlrd:rvb i="5458"/>
        </ext>
      </extLst>
    </bk>
    <bk>
      <extLst>
        <ext uri="{3e2802c4-a4d2-4d8b-9148-e3be6c30e623}">
          <xlrd:rvb i="5459"/>
        </ext>
      </extLst>
    </bk>
    <bk>
      <extLst>
        <ext uri="{3e2802c4-a4d2-4d8b-9148-e3be6c30e623}">
          <xlrd:rvb i="5460"/>
        </ext>
      </extLst>
    </bk>
    <bk>
      <extLst>
        <ext uri="{3e2802c4-a4d2-4d8b-9148-e3be6c30e623}">
          <xlrd:rvb i="5461"/>
        </ext>
      </extLst>
    </bk>
    <bk>
      <extLst>
        <ext uri="{3e2802c4-a4d2-4d8b-9148-e3be6c30e623}">
          <xlrd:rvb i="5462"/>
        </ext>
      </extLst>
    </bk>
    <bk>
      <extLst>
        <ext uri="{3e2802c4-a4d2-4d8b-9148-e3be6c30e623}">
          <xlrd:rvb i="5463"/>
        </ext>
      </extLst>
    </bk>
    <bk>
      <extLst>
        <ext uri="{3e2802c4-a4d2-4d8b-9148-e3be6c30e623}">
          <xlrd:rvb i="5464"/>
        </ext>
      </extLst>
    </bk>
    <bk>
      <extLst>
        <ext uri="{3e2802c4-a4d2-4d8b-9148-e3be6c30e623}">
          <xlrd:rvb i="5465"/>
        </ext>
      </extLst>
    </bk>
    <bk>
      <extLst>
        <ext uri="{3e2802c4-a4d2-4d8b-9148-e3be6c30e623}">
          <xlrd:rvb i="5466"/>
        </ext>
      </extLst>
    </bk>
    <bk>
      <extLst>
        <ext uri="{3e2802c4-a4d2-4d8b-9148-e3be6c30e623}">
          <xlrd:rvb i="5467"/>
        </ext>
      </extLst>
    </bk>
    <bk>
      <extLst>
        <ext uri="{3e2802c4-a4d2-4d8b-9148-e3be6c30e623}">
          <xlrd:rvb i="5468"/>
        </ext>
      </extLst>
    </bk>
    <bk>
      <extLst>
        <ext uri="{3e2802c4-a4d2-4d8b-9148-e3be6c30e623}">
          <xlrd:rvb i="5469"/>
        </ext>
      </extLst>
    </bk>
    <bk>
      <extLst>
        <ext uri="{3e2802c4-a4d2-4d8b-9148-e3be6c30e623}">
          <xlrd:rvb i="5470"/>
        </ext>
      </extLst>
    </bk>
    <bk>
      <extLst>
        <ext uri="{3e2802c4-a4d2-4d8b-9148-e3be6c30e623}">
          <xlrd:rvb i="5471"/>
        </ext>
      </extLst>
    </bk>
    <bk>
      <extLst>
        <ext uri="{3e2802c4-a4d2-4d8b-9148-e3be6c30e623}">
          <xlrd:rvb i="5472"/>
        </ext>
      </extLst>
    </bk>
    <bk>
      <extLst>
        <ext uri="{3e2802c4-a4d2-4d8b-9148-e3be6c30e623}">
          <xlrd:rvb i="5473"/>
        </ext>
      </extLst>
    </bk>
    <bk>
      <extLst>
        <ext uri="{3e2802c4-a4d2-4d8b-9148-e3be6c30e623}">
          <xlrd:rvb i="5474"/>
        </ext>
      </extLst>
    </bk>
    <bk>
      <extLst>
        <ext uri="{3e2802c4-a4d2-4d8b-9148-e3be6c30e623}">
          <xlrd:rvb i="5475"/>
        </ext>
      </extLst>
    </bk>
    <bk>
      <extLst>
        <ext uri="{3e2802c4-a4d2-4d8b-9148-e3be6c30e623}">
          <xlrd:rvb i="5476"/>
        </ext>
      </extLst>
    </bk>
    <bk>
      <extLst>
        <ext uri="{3e2802c4-a4d2-4d8b-9148-e3be6c30e623}">
          <xlrd:rvb i="5477"/>
        </ext>
      </extLst>
    </bk>
    <bk>
      <extLst>
        <ext uri="{3e2802c4-a4d2-4d8b-9148-e3be6c30e623}">
          <xlrd:rvb i="5478"/>
        </ext>
      </extLst>
    </bk>
    <bk>
      <extLst>
        <ext uri="{3e2802c4-a4d2-4d8b-9148-e3be6c30e623}">
          <xlrd:rvb i="5479"/>
        </ext>
      </extLst>
    </bk>
    <bk>
      <extLst>
        <ext uri="{3e2802c4-a4d2-4d8b-9148-e3be6c30e623}">
          <xlrd:rvb i="5480"/>
        </ext>
      </extLst>
    </bk>
    <bk>
      <extLst>
        <ext uri="{3e2802c4-a4d2-4d8b-9148-e3be6c30e623}">
          <xlrd:rvb i="5481"/>
        </ext>
      </extLst>
    </bk>
    <bk>
      <extLst>
        <ext uri="{3e2802c4-a4d2-4d8b-9148-e3be6c30e623}">
          <xlrd:rvb i="5482"/>
        </ext>
      </extLst>
    </bk>
    <bk>
      <extLst>
        <ext uri="{3e2802c4-a4d2-4d8b-9148-e3be6c30e623}">
          <xlrd:rvb i="5483"/>
        </ext>
      </extLst>
    </bk>
    <bk>
      <extLst>
        <ext uri="{3e2802c4-a4d2-4d8b-9148-e3be6c30e623}">
          <xlrd:rvb i="5484"/>
        </ext>
      </extLst>
    </bk>
    <bk>
      <extLst>
        <ext uri="{3e2802c4-a4d2-4d8b-9148-e3be6c30e623}">
          <xlrd:rvb i="5485"/>
        </ext>
      </extLst>
    </bk>
    <bk>
      <extLst>
        <ext uri="{3e2802c4-a4d2-4d8b-9148-e3be6c30e623}">
          <xlrd:rvb i="5486"/>
        </ext>
      </extLst>
    </bk>
    <bk>
      <extLst>
        <ext uri="{3e2802c4-a4d2-4d8b-9148-e3be6c30e623}">
          <xlrd:rvb i="5487"/>
        </ext>
      </extLst>
    </bk>
    <bk>
      <extLst>
        <ext uri="{3e2802c4-a4d2-4d8b-9148-e3be6c30e623}">
          <xlrd:rvb i="5488"/>
        </ext>
      </extLst>
    </bk>
    <bk>
      <extLst>
        <ext uri="{3e2802c4-a4d2-4d8b-9148-e3be6c30e623}">
          <xlrd:rvb i="5489"/>
        </ext>
      </extLst>
    </bk>
    <bk>
      <extLst>
        <ext uri="{3e2802c4-a4d2-4d8b-9148-e3be6c30e623}">
          <xlrd:rvb i="5490"/>
        </ext>
      </extLst>
    </bk>
    <bk>
      <extLst>
        <ext uri="{3e2802c4-a4d2-4d8b-9148-e3be6c30e623}">
          <xlrd:rvb i="5491"/>
        </ext>
      </extLst>
    </bk>
    <bk>
      <extLst>
        <ext uri="{3e2802c4-a4d2-4d8b-9148-e3be6c30e623}">
          <xlrd:rvb i="5492"/>
        </ext>
      </extLst>
    </bk>
    <bk>
      <extLst>
        <ext uri="{3e2802c4-a4d2-4d8b-9148-e3be6c30e623}">
          <xlrd:rvb i="5493"/>
        </ext>
      </extLst>
    </bk>
    <bk>
      <extLst>
        <ext uri="{3e2802c4-a4d2-4d8b-9148-e3be6c30e623}">
          <xlrd:rvb i="5494"/>
        </ext>
      </extLst>
    </bk>
    <bk>
      <extLst>
        <ext uri="{3e2802c4-a4d2-4d8b-9148-e3be6c30e623}">
          <xlrd:rvb i="5495"/>
        </ext>
      </extLst>
    </bk>
    <bk>
      <extLst>
        <ext uri="{3e2802c4-a4d2-4d8b-9148-e3be6c30e623}">
          <xlrd:rvb i="5496"/>
        </ext>
      </extLst>
    </bk>
    <bk>
      <extLst>
        <ext uri="{3e2802c4-a4d2-4d8b-9148-e3be6c30e623}">
          <xlrd:rvb i="5497"/>
        </ext>
      </extLst>
    </bk>
    <bk>
      <extLst>
        <ext uri="{3e2802c4-a4d2-4d8b-9148-e3be6c30e623}">
          <xlrd:rvb i="5498"/>
        </ext>
      </extLst>
    </bk>
    <bk>
      <extLst>
        <ext uri="{3e2802c4-a4d2-4d8b-9148-e3be6c30e623}">
          <xlrd:rvb i="5499"/>
        </ext>
      </extLst>
    </bk>
    <bk>
      <extLst>
        <ext uri="{3e2802c4-a4d2-4d8b-9148-e3be6c30e623}">
          <xlrd:rvb i="5500"/>
        </ext>
      </extLst>
    </bk>
    <bk>
      <extLst>
        <ext uri="{3e2802c4-a4d2-4d8b-9148-e3be6c30e623}">
          <xlrd:rvb i="5501"/>
        </ext>
      </extLst>
    </bk>
    <bk>
      <extLst>
        <ext uri="{3e2802c4-a4d2-4d8b-9148-e3be6c30e623}">
          <xlrd:rvb i="5502"/>
        </ext>
      </extLst>
    </bk>
    <bk>
      <extLst>
        <ext uri="{3e2802c4-a4d2-4d8b-9148-e3be6c30e623}">
          <xlrd:rvb i="5503"/>
        </ext>
      </extLst>
    </bk>
    <bk>
      <extLst>
        <ext uri="{3e2802c4-a4d2-4d8b-9148-e3be6c30e623}">
          <xlrd:rvb i="5504"/>
        </ext>
      </extLst>
    </bk>
    <bk>
      <extLst>
        <ext uri="{3e2802c4-a4d2-4d8b-9148-e3be6c30e623}">
          <xlrd:rvb i="5505"/>
        </ext>
      </extLst>
    </bk>
    <bk>
      <extLst>
        <ext uri="{3e2802c4-a4d2-4d8b-9148-e3be6c30e623}">
          <xlrd:rvb i="5506"/>
        </ext>
      </extLst>
    </bk>
    <bk>
      <extLst>
        <ext uri="{3e2802c4-a4d2-4d8b-9148-e3be6c30e623}">
          <xlrd:rvb i="5507"/>
        </ext>
      </extLst>
    </bk>
    <bk>
      <extLst>
        <ext uri="{3e2802c4-a4d2-4d8b-9148-e3be6c30e623}">
          <xlrd:rvb i="5508"/>
        </ext>
      </extLst>
    </bk>
    <bk>
      <extLst>
        <ext uri="{3e2802c4-a4d2-4d8b-9148-e3be6c30e623}">
          <xlrd:rvb i="5509"/>
        </ext>
      </extLst>
    </bk>
    <bk>
      <extLst>
        <ext uri="{3e2802c4-a4d2-4d8b-9148-e3be6c30e623}">
          <xlrd:rvb i="5510"/>
        </ext>
      </extLst>
    </bk>
    <bk>
      <extLst>
        <ext uri="{3e2802c4-a4d2-4d8b-9148-e3be6c30e623}">
          <xlrd:rvb i="5511"/>
        </ext>
      </extLst>
    </bk>
    <bk>
      <extLst>
        <ext uri="{3e2802c4-a4d2-4d8b-9148-e3be6c30e623}">
          <xlrd:rvb i="5512"/>
        </ext>
      </extLst>
    </bk>
    <bk>
      <extLst>
        <ext uri="{3e2802c4-a4d2-4d8b-9148-e3be6c30e623}">
          <xlrd:rvb i="5513"/>
        </ext>
      </extLst>
    </bk>
    <bk>
      <extLst>
        <ext uri="{3e2802c4-a4d2-4d8b-9148-e3be6c30e623}">
          <xlrd:rvb i="5514"/>
        </ext>
      </extLst>
    </bk>
    <bk>
      <extLst>
        <ext uri="{3e2802c4-a4d2-4d8b-9148-e3be6c30e623}">
          <xlrd:rvb i="5515"/>
        </ext>
      </extLst>
    </bk>
    <bk>
      <extLst>
        <ext uri="{3e2802c4-a4d2-4d8b-9148-e3be6c30e623}">
          <xlrd:rvb i="5516"/>
        </ext>
      </extLst>
    </bk>
    <bk>
      <extLst>
        <ext uri="{3e2802c4-a4d2-4d8b-9148-e3be6c30e623}">
          <xlrd:rvb i="5517"/>
        </ext>
      </extLst>
    </bk>
    <bk>
      <extLst>
        <ext uri="{3e2802c4-a4d2-4d8b-9148-e3be6c30e623}">
          <xlrd:rvb i="5518"/>
        </ext>
      </extLst>
    </bk>
    <bk>
      <extLst>
        <ext uri="{3e2802c4-a4d2-4d8b-9148-e3be6c30e623}">
          <xlrd:rvb i="5519"/>
        </ext>
      </extLst>
    </bk>
    <bk>
      <extLst>
        <ext uri="{3e2802c4-a4d2-4d8b-9148-e3be6c30e623}">
          <xlrd:rvb i="5520"/>
        </ext>
      </extLst>
    </bk>
    <bk>
      <extLst>
        <ext uri="{3e2802c4-a4d2-4d8b-9148-e3be6c30e623}">
          <xlrd:rvb i="5521"/>
        </ext>
      </extLst>
    </bk>
    <bk>
      <extLst>
        <ext uri="{3e2802c4-a4d2-4d8b-9148-e3be6c30e623}">
          <xlrd:rvb i="5522"/>
        </ext>
      </extLst>
    </bk>
    <bk>
      <extLst>
        <ext uri="{3e2802c4-a4d2-4d8b-9148-e3be6c30e623}">
          <xlrd:rvb i="5523"/>
        </ext>
      </extLst>
    </bk>
    <bk>
      <extLst>
        <ext uri="{3e2802c4-a4d2-4d8b-9148-e3be6c30e623}">
          <xlrd:rvb i="5524"/>
        </ext>
      </extLst>
    </bk>
    <bk>
      <extLst>
        <ext uri="{3e2802c4-a4d2-4d8b-9148-e3be6c30e623}">
          <xlrd:rvb i="5525"/>
        </ext>
      </extLst>
    </bk>
    <bk>
      <extLst>
        <ext uri="{3e2802c4-a4d2-4d8b-9148-e3be6c30e623}">
          <xlrd:rvb i="5526"/>
        </ext>
      </extLst>
    </bk>
    <bk>
      <extLst>
        <ext uri="{3e2802c4-a4d2-4d8b-9148-e3be6c30e623}">
          <xlrd:rvb i="5527"/>
        </ext>
      </extLst>
    </bk>
    <bk>
      <extLst>
        <ext uri="{3e2802c4-a4d2-4d8b-9148-e3be6c30e623}">
          <xlrd:rvb i="5528"/>
        </ext>
      </extLst>
    </bk>
    <bk>
      <extLst>
        <ext uri="{3e2802c4-a4d2-4d8b-9148-e3be6c30e623}">
          <xlrd:rvb i="5529"/>
        </ext>
      </extLst>
    </bk>
    <bk>
      <extLst>
        <ext uri="{3e2802c4-a4d2-4d8b-9148-e3be6c30e623}">
          <xlrd:rvb i="5530"/>
        </ext>
      </extLst>
    </bk>
    <bk>
      <extLst>
        <ext uri="{3e2802c4-a4d2-4d8b-9148-e3be6c30e623}">
          <xlrd:rvb i="5531"/>
        </ext>
      </extLst>
    </bk>
    <bk>
      <extLst>
        <ext uri="{3e2802c4-a4d2-4d8b-9148-e3be6c30e623}">
          <xlrd:rvb i="5532"/>
        </ext>
      </extLst>
    </bk>
    <bk>
      <extLst>
        <ext uri="{3e2802c4-a4d2-4d8b-9148-e3be6c30e623}">
          <xlrd:rvb i="5533"/>
        </ext>
      </extLst>
    </bk>
    <bk>
      <extLst>
        <ext uri="{3e2802c4-a4d2-4d8b-9148-e3be6c30e623}">
          <xlrd:rvb i="5534"/>
        </ext>
      </extLst>
    </bk>
    <bk>
      <extLst>
        <ext uri="{3e2802c4-a4d2-4d8b-9148-e3be6c30e623}">
          <xlrd:rvb i="5535"/>
        </ext>
      </extLst>
    </bk>
    <bk>
      <extLst>
        <ext uri="{3e2802c4-a4d2-4d8b-9148-e3be6c30e623}">
          <xlrd:rvb i="5536"/>
        </ext>
      </extLst>
    </bk>
    <bk>
      <extLst>
        <ext uri="{3e2802c4-a4d2-4d8b-9148-e3be6c30e623}">
          <xlrd:rvb i="5537"/>
        </ext>
      </extLst>
    </bk>
    <bk>
      <extLst>
        <ext uri="{3e2802c4-a4d2-4d8b-9148-e3be6c30e623}">
          <xlrd:rvb i="5538"/>
        </ext>
      </extLst>
    </bk>
    <bk>
      <extLst>
        <ext uri="{3e2802c4-a4d2-4d8b-9148-e3be6c30e623}">
          <xlrd:rvb i="5539"/>
        </ext>
      </extLst>
    </bk>
    <bk>
      <extLst>
        <ext uri="{3e2802c4-a4d2-4d8b-9148-e3be6c30e623}">
          <xlrd:rvb i="5540"/>
        </ext>
      </extLst>
    </bk>
    <bk>
      <extLst>
        <ext uri="{3e2802c4-a4d2-4d8b-9148-e3be6c30e623}">
          <xlrd:rvb i="5541"/>
        </ext>
      </extLst>
    </bk>
    <bk>
      <extLst>
        <ext uri="{3e2802c4-a4d2-4d8b-9148-e3be6c30e623}">
          <xlrd:rvb i="5542"/>
        </ext>
      </extLst>
    </bk>
    <bk>
      <extLst>
        <ext uri="{3e2802c4-a4d2-4d8b-9148-e3be6c30e623}">
          <xlrd:rvb i="5543"/>
        </ext>
      </extLst>
    </bk>
    <bk>
      <extLst>
        <ext uri="{3e2802c4-a4d2-4d8b-9148-e3be6c30e623}">
          <xlrd:rvb i="5544"/>
        </ext>
      </extLst>
    </bk>
    <bk>
      <extLst>
        <ext uri="{3e2802c4-a4d2-4d8b-9148-e3be6c30e623}">
          <xlrd:rvb i="5545"/>
        </ext>
      </extLst>
    </bk>
    <bk>
      <extLst>
        <ext uri="{3e2802c4-a4d2-4d8b-9148-e3be6c30e623}">
          <xlrd:rvb i="5546"/>
        </ext>
      </extLst>
    </bk>
    <bk>
      <extLst>
        <ext uri="{3e2802c4-a4d2-4d8b-9148-e3be6c30e623}">
          <xlrd:rvb i="5547"/>
        </ext>
      </extLst>
    </bk>
    <bk>
      <extLst>
        <ext uri="{3e2802c4-a4d2-4d8b-9148-e3be6c30e623}">
          <xlrd:rvb i="5548"/>
        </ext>
      </extLst>
    </bk>
    <bk>
      <extLst>
        <ext uri="{3e2802c4-a4d2-4d8b-9148-e3be6c30e623}">
          <xlrd:rvb i="5549"/>
        </ext>
      </extLst>
    </bk>
    <bk>
      <extLst>
        <ext uri="{3e2802c4-a4d2-4d8b-9148-e3be6c30e623}">
          <xlrd:rvb i="5550"/>
        </ext>
      </extLst>
    </bk>
    <bk>
      <extLst>
        <ext uri="{3e2802c4-a4d2-4d8b-9148-e3be6c30e623}">
          <xlrd:rvb i="5551"/>
        </ext>
      </extLst>
    </bk>
    <bk>
      <extLst>
        <ext uri="{3e2802c4-a4d2-4d8b-9148-e3be6c30e623}">
          <xlrd:rvb i="5552"/>
        </ext>
      </extLst>
    </bk>
    <bk>
      <extLst>
        <ext uri="{3e2802c4-a4d2-4d8b-9148-e3be6c30e623}">
          <xlrd:rvb i="5553"/>
        </ext>
      </extLst>
    </bk>
    <bk>
      <extLst>
        <ext uri="{3e2802c4-a4d2-4d8b-9148-e3be6c30e623}">
          <xlrd:rvb i="5554"/>
        </ext>
      </extLst>
    </bk>
    <bk>
      <extLst>
        <ext uri="{3e2802c4-a4d2-4d8b-9148-e3be6c30e623}">
          <xlrd:rvb i="5555"/>
        </ext>
      </extLst>
    </bk>
    <bk>
      <extLst>
        <ext uri="{3e2802c4-a4d2-4d8b-9148-e3be6c30e623}">
          <xlrd:rvb i="5556"/>
        </ext>
      </extLst>
    </bk>
    <bk>
      <extLst>
        <ext uri="{3e2802c4-a4d2-4d8b-9148-e3be6c30e623}">
          <xlrd:rvb i="5557"/>
        </ext>
      </extLst>
    </bk>
    <bk>
      <extLst>
        <ext uri="{3e2802c4-a4d2-4d8b-9148-e3be6c30e623}">
          <xlrd:rvb i="5558"/>
        </ext>
      </extLst>
    </bk>
    <bk>
      <extLst>
        <ext uri="{3e2802c4-a4d2-4d8b-9148-e3be6c30e623}">
          <xlrd:rvb i="5559"/>
        </ext>
      </extLst>
    </bk>
    <bk>
      <extLst>
        <ext uri="{3e2802c4-a4d2-4d8b-9148-e3be6c30e623}">
          <xlrd:rvb i="5560"/>
        </ext>
      </extLst>
    </bk>
    <bk>
      <extLst>
        <ext uri="{3e2802c4-a4d2-4d8b-9148-e3be6c30e623}">
          <xlrd:rvb i="5561"/>
        </ext>
      </extLst>
    </bk>
    <bk>
      <extLst>
        <ext uri="{3e2802c4-a4d2-4d8b-9148-e3be6c30e623}">
          <xlrd:rvb i="5562"/>
        </ext>
      </extLst>
    </bk>
    <bk>
      <extLst>
        <ext uri="{3e2802c4-a4d2-4d8b-9148-e3be6c30e623}">
          <xlrd:rvb i="5563"/>
        </ext>
      </extLst>
    </bk>
    <bk>
      <extLst>
        <ext uri="{3e2802c4-a4d2-4d8b-9148-e3be6c30e623}">
          <xlrd:rvb i="5564"/>
        </ext>
      </extLst>
    </bk>
    <bk>
      <extLst>
        <ext uri="{3e2802c4-a4d2-4d8b-9148-e3be6c30e623}">
          <xlrd:rvb i="5565"/>
        </ext>
      </extLst>
    </bk>
    <bk>
      <extLst>
        <ext uri="{3e2802c4-a4d2-4d8b-9148-e3be6c30e623}">
          <xlrd:rvb i="5566"/>
        </ext>
      </extLst>
    </bk>
    <bk>
      <extLst>
        <ext uri="{3e2802c4-a4d2-4d8b-9148-e3be6c30e623}">
          <xlrd:rvb i="5567"/>
        </ext>
      </extLst>
    </bk>
    <bk>
      <extLst>
        <ext uri="{3e2802c4-a4d2-4d8b-9148-e3be6c30e623}">
          <xlrd:rvb i="5568"/>
        </ext>
      </extLst>
    </bk>
    <bk>
      <extLst>
        <ext uri="{3e2802c4-a4d2-4d8b-9148-e3be6c30e623}">
          <xlrd:rvb i="5569"/>
        </ext>
      </extLst>
    </bk>
    <bk>
      <extLst>
        <ext uri="{3e2802c4-a4d2-4d8b-9148-e3be6c30e623}">
          <xlrd:rvb i="5570"/>
        </ext>
      </extLst>
    </bk>
    <bk>
      <extLst>
        <ext uri="{3e2802c4-a4d2-4d8b-9148-e3be6c30e623}">
          <xlrd:rvb i="5571"/>
        </ext>
      </extLst>
    </bk>
    <bk>
      <extLst>
        <ext uri="{3e2802c4-a4d2-4d8b-9148-e3be6c30e623}">
          <xlrd:rvb i="5572"/>
        </ext>
      </extLst>
    </bk>
    <bk>
      <extLst>
        <ext uri="{3e2802c4-a4d2-4d8b-9148-e3be6c30e623}">
          <xlrd:rvb i="5573"/>
        </ext>
      </extLst>
    </bk>
    <bk>
      <extLst>
        <ext uri="{3e2802c4-a4d2-4d8b-9148-e3be6c30e623}">
          <xlrd:rvb i="5574"/>
        </ext>
      </extLst>
    </bk>
    <bk>
      <extLst>
        <ext uri="{3e2802c4-a4d2-4d8b-9148-e3be6c30e623}">
          <xlrd:rvb i="5575"/>
        </ext>
      </extLst>
    </bk>
    <bk>
      <extLst>
        <ext uri="{3e2802c4-a4d2-4d8b-9148-e3be6c30e623}">
          <xlrd:rvb i="5576"/>
        </ext>
      </extLst>
    </bk>
    <bk>
      <extLst>
        <ext uri="{3e2802c4-a4d2-4d8b-9148-e3be6c30e623}">
          <xlrd:rvb i="5577"/>
        </ext>
      </extLst>
    </bk>
    <bk>
      <extLst>
        <ext uri="{3e2802c4-a4d2-4d8b-9148-e3be6c30e623}">
          <xlrd:rvb i="5578"/>
        </ext>
      </extLst>
    </bk>
    <bk>
      <extLst>
        <ext uri="{3e2802c4-a4d2-4d8b-9148-e3be6c30e623}">
          <xlrd:rvb i="5579"/>
        </ext>
      </extLst>
    </bk>
    <bk>
      <extLst>
        <ext uri="{3e2802c4-a4d2-4d8b-9148-e3be6c30e623}">
          <xlrd:rvb i="5580"/>
        </ext>
      </extLst>
    </bk>
    <bk>
      <extLst>
        <ext uri="{3e2802c4-a4d2-4d8b-9148-e3be6c30e623}">
          <xlrd:rvb i="5581"/>
        </ext>
      </extLst>
    </bk>
    <bk>
      <extLst>
        <ext uri="{3e2802c4-a4d2-4d8b-9148-e3be6c30e623}">
          <xlrd:rvb i="5582"/>
        </ext>
      </extLst>
    </bk>
    <bk>
      <extLst>
        <ext uri="{3e2802c4-a4d2-4d8b-9148-e3be6c30e623}">
          <xlrd:rvb i="5583"/>
        </ext>
      </extLst>
    </bk>
    <bk>
      <extLst>
        <ext uri="{3e2802c4-a4d2-4d8b-9148-e3be6c30e623}">
          <xlrd:rvb i="5584"/>
        </ext>
      </extLst>
    </bk>
    <bk>
      <extLst>
        <ext uri="{3e2802c4-a4d2-4d8b-9148-e3be6c30e623}">
          <xlrd:rvb i="5585"/>
        </ext>
      </extLst>
    </bk>
    <bk>
      <extLst>
        <ext uri="{3e2802c4-a4d2-4d8b-9148-e3be6c30e623}">
          <xlrd:rvb i="5586"/>
        </ext>
      </extLst>
    </bk>
    <bk>
      <extLst>
        <ext uri="{3e2802c4-a4d2-4d8b-9148-e3be6c30e623}">
          <xlrd:rvb i="5587"/>
        </ext>
      </extLst>
    </bk>
    <bk>
      <extLst>
        <ext uri="{3e2802c4-a4d2-4d8b-9148-e3be6c30e623}">
          <xlrd:rvb i="5588"/>
        </ext>
      </extLst>
    </bk>
    <bk>
      <extLst>
        <ext uri="{3e2802c4-a4d2-4d8b-9148-e3be6c30e623}">
          <xlrd:rvb i="5589"/>
        </ext>
      </extLst>
    </bk>
    <bk>
      <extLst>
        <ext uri="{3e2802c4-a4d2-4d8b-9148-e3be6c30e623}">
          <xlrd:rvb i="5590"/>
        </ext>
      </extLst>
    </bk>
    <bk>
      <extLst>
        <ext uri="{3e2802c4-a4d2-4d8b-9148-e3be6c30e623}">
          <xlrd:rvb i="5591"/>
        </ext>
      </extLst>
    </bk>
    <bk>
      <extLst>
        <ext uri="{3e2802c4-a4d2-4d8b-9148-e3be6c30e623}">
          <xlrd:rvb i="5592"/>
        </ext>
      </extLst>
    </bk>
    <bk>
      <extLst>
        <ext uri="{3e2802c4-a4d2-4d8b-9148-e3be6c30e623}">
          <xlrd:rvb i="5593"/>
        </ext>
      </extLst>
    </bk>
    <bk>
      <extLst>
        <ext uri="{3e2802c4-a4d2-4d8b-9148-e3be6c30e623}">
          <xlrd:rvb i="5594"/>
        </ext>
      </extLst>
    </bk>
    <bk>
      <extLst>
        <ext uri="{3e2802c4-a4d2-4d8b-9148-e3be6c30e623}">
          <xlrd:rvb i="5595"/>
        </ext>
      </extLst>
    </bk>
    <bk>
      <extLst>
        <ext uri="{3e2802c4-a4d2-4d8b-9148-e3be6c30e623}">
          <xlrd:rvb i="5596"/>
        </ext>
      </extLst>
    </bk>
    <bk>
      <extLst>
        <ext uri="{3e2802c4-a4d2-4d8b-9148-e3be6c30e623}">
          <xlrd:rvb i="5597"/>
        </ext>
      </extLst>
    </bk>
    <bk>
      <extLst>
        <ext uri="{3e2802c4-a4d2-4d8b-9148-e3be6c30e623}">
          <xlrd:rvb i="5598"/>
        </ext>
      </extLst>
    </bk>
    <bk>
      <extLst>
        <ext uri="{3e2802c4-a4d2-4d8b-9148-e3be6c30e623}">
          <xlrd:rvb i="5599"/>
        </ext>
      </extLst>
    </bk>
    <bk>
      <extLst>
        <ext uri="{3e2802c4-a4d2-4d8b-9148-e3be6c30e623}">
          <xlrd:rvb i="5600"/>
        </ext>
      </extLst>
    </bk>
    <bk>
      <extLst>
        <ext uri="{3e2802c4-a4d2-4d8b-9148-e3be6c30e623}">
          <xlrd:rvb i="5601"/>
        </ext>
      </extLst>
    </bk>
    <bk>
      <extLst>
        <ext uri="{3e2802c4-a4d2-4d8b-9148-e3be6c30e623}">
          <xlrd:rvb i="5602"/>
        </ext>
      </extLst>
    </bk>
    <bk>
      <extLst>
        <ext uri="{3e2802c4-a4d2-4d8b-9148-e3be6c30e623}">
          <xlrd:rvb i="5603"/>
        </ext>
      </extLst>
    </bk>
    <bk>
      <extLst>
        <ext uri="{3e2802c4-a4d2-4d8b-9148-e3be6c30e623}">
          <xlrd:rvb i="5604"/>
        </ext>
      </extLst>
    </bk>
    <bk>
      <extLst>
        <ext uri="{3e2802c4-a4d2-4d8b-9148-e3be6c30e623}">
          <xlrd:rvb i="5605"/>
        </ext>
      </extLst>
    </bk>
    <bk>
      <extLst>
        <ext uri="{3e2802c4-a4d2-4d8b-9148-e3be6c30e623}">
          <xlrd:rvb i="5606"/>
        </ext>
      </extLst>
    </bk>
    <bk>
      <extLst>
        <ext uri="{3e2802c4-a4d2-4d8b-9148-e3be6c30e623}">
          <xlrd:rvb i="5607"/>
        </ext>
      </extLst>
    </bk>
    <bk>
      <extLst>
        <ext uri="{3e2802c4-a4d2-4d8b-9148-e3be6c30e623}">
          <xlrd:rvb i="5608"/>
        </ext>
      </extLst>
    </bk>
    <bk>
      <extLst>
        <ext uri="{3e2802c4-a4d2-4d8b-9148-e3be6c30e623}">
          <xlrd:rvb i="5609"/>
        </ext>
      </extLst>
    </bk>
    <bk>
      <extLst>
        <ext uri="{3e2802c4-a4d2-4d8b-9148-e3be6c30e623}">
          <xlrd:rvb i="5610"/>
        </ext>
      </extLst>
    </bk>
    <bk>
      <extLst>
        <ext uri="{3e2802c4-a4d2-4d8b-9148-e3be6c30e623}">
          <xlrd:rvb i="5611"/>
        </ext>
      </extLst>
    </bk>
    <bk>
      <extLst>
        <ext uri="{3e2802c4-a4d2-4d8b-9148-e3be6c30e623}">
          <xlrd:rvb i="5612"/>
        </ext>
      </extLst>
    </bk>
    <bk>
      <extLst>
        <ext uri="{3e2802c4-a4d2-4d8b-9148-e3be6c30e623}">
          <xlrd:rvb i="5613"/>
        </ext>
      </extLst>
    </bk>
    <bk>
      <extLst>
        <ext uri="{3e2802c4-a4d2-4d8b-9148-e3be6c30e623}">
          <xlrd:rvb i="5614"/>
        </ext>
      </extLst>
    </bk>
    <bk>
      <extLst>
        <ext uri="{3e2802c4-a4d2-4d8b-9148-e3be6c30e623}">
          <xlrd:rvb i="5615"/>
        </ext>
      </extLst>
    </bk>
    <bk>
      <extLst>
        <ext uri="{3e2802c4-a4d2-4d8b-9148-e3be6c30e623}">
          <xlrd:rvb i="5616"/>
        </ext>
      </extLst>
    </bk>
    <bk>
      <extLst>
        <ext uri="{3e2802c4-a4d2-4d8b-9148-e3be6c30e623}">
          <xlrd:rvb i="5617"/>
        </ext>
      </extLst>
    </bk>
    <bk>
      <extLst>
        <ext uri="{3e2802c4-a4d2-4d8b-9148-e3be6c30e623}">
          <xlrd:rvb i="5618"/>
        </ext>
      </extLst>
    </bk>
    <bk>
      <extLst>
        <ext uri="{3e2802c4-a4d2-4d8b-9148-e3be6c30e623}">
          <xlrd:rvb i="5619"/>
        </ext>
      </extLst>
    </bk>
    <bk>
      <extLst>
        <ext uri="{3e2802c4-a4d2-4d8b-9148-e3be6c30e623}">
          <xlrd:rvb i="5620"/>
        </ext>
      </extLst>
    </bk>
    <bk>
      <extLst>
        <ext uri="{3e2802c4-a4d2-4d8b-9148-e3be6c30e623}">
          <xlrd:rvb i="5621"/>
        </ext>
      </extLst>
    </bk>
    <bk>
      <extLst>
        <ext uri="{3e2802c4-a4d2-4d8b-9148-e3be6c30e623}">
          <xlrd:rvb i="5622"/>
        </ext>
      </extLst>
    </bk>
    <bk>
      <extLst>
        <ext uri="{3e2802c4-a4d2-4d8b-9148-e3be6c30e623}">
          <xlrd:rvb i="5623"/>
        </ext>
      </extLst>
    </bk>
    <bk>
      <extLst>
        <ext uri="{3e2802c4-a4d2-4d8b-9148-e3be6c30e623}">
          <xlrd:rvb i="5624"/>
        </ext>
      </extLst>
    </bk>
    <bk>
      <extLst>
        <ext uri="{3e2802c4-a4d2-4d8b-9148-e3be6c30e623}">
          <xlrd:rvb i="5625"/>
        </ext>
      </extLst>
    </bk>
    <bk>
      <extLst>
        <ext uri="{3e2802c4-a4d2-4d8b-9148-e3be6c30e623}">
          <xlrd:rvb i="5626"/>
        </ext>
      </extLst>
    </bk>
    <bk>
      <extLst>
        <ext uri="{3e2802c4-a4d2-4d8b-9148-e3be6c30e623}">
          <xlrd:rvb i="5627"/>
        </ext>
      </extLst>
    </bk>
    <bk>
      <extLst>
        <ext uri="{3e2802c4-a4d2-4d8b-9148-e3be6c30e623}">
          <xlrd:rvb i="5628"/>
        </ext>
      </extLst>
    </bk>
    <bk>
      <extLst>
        <ext uri="{3e2802c4-a4d2-4d8b-9148-e3be6c30e623}">
          <xlrd:rvb i="5629"/>
        </ext>
      </extLst>
    </bk>
    <bk>
      <extLst>
        <ext uri="{3e2802c4-a4d2-4d8b-9148-e3be6c30e623}">
          <xlrd:rvb i="5630"/>
        </ext>
      </extLst>
    </bk>
    <bk>
      <extLst>
        <ext uri="{3e2802c4-a4d2-4d8b-9148-e3be6c30e623}">
          <xlrd:rvb i="5631"/>
        </ext>
      </extLst>
    </bk>
    <bk>
      <extLst>
        <ext uri="{3e2802c4-a4d2-4d8b-9148-e3be6c30e623}">
          <xlrd:rvb i="5632"/>
        </ext>
      </extLst>
    </bk>
    <bk>
      <extLst>
        <ext uri="{3e2802c4-a4d2-4d8b-9148-e3be6c30e623}">
          <xlrd:rvb i="5633"/>
        </ext>
      </extLst>
    </bk>
    <bk>
      <extLst>
        <ext uri="{3e2802c4-a4d2-4d8b-9148-e3be6c30e623}">
          <xlrd:rvb i="5634"/>
        </ext>
      </extLst>
    </bk>
    <bk>
      <extLst>
        <ext uri="{3e2802c4-a4d2-4d8b-9148-e3be6c30e623}">
          <xlrd:rvb i="5635"/>
        </ext>
      </extLst>
    </bk>
    <bk>
      <extLst>
        <ext uri="{3e2802c4-a4d2-4d8b-9148-e3be6c30e623}">
          <xlrd:rvb i="5636"/>
        </ext>
      </extLst>
    </bk>
    <bk>
      <extLst>
        <ext uri="{3e2802c4-a4d2-4d8b-9148-e3be6c30e623}">
          <xlrd:rvb i="5637"/>
        </ext>
      </extLst>
    </bk>
    <bk>
      <extLst>
        <ext uri="{3e2802c4-a4d2-4d8b-9148-e3be6c30e623}">
          <xlrd:rvb i="5638"/>
        </ext>
      </extLst>
    </bk>
    <bk>
      <extLst>
        <ext uri="{3e2802c4-a4d2-4d8b-9148-e3be6c30e623}">
          <xlrd:rvb i="5639"/>
        </ext>
      </extLst>
    </bk>
    <bk>
      <extLst>
        <ext uri="{3e2802c4-a4d2-4d8b-9148-e3be6c30e623}">
          <xlrd:rvb i="5640"/>
        </ext>
      </extLst>
    </bk>
    <bk>
      <extLst>
        <ext uri="{3e2802c4-a4d2-4d8b-9148-e3be6c30e623}">
          <xlrd:rvb i="5641"/>
        </ext>
      </extLst>
    </bk>
    <bk>
      <extLst>
        <ext uri="{3e2802c4-a4d2-4d8b-9148-e3be6c30e623}">
          <xlrd:rvb i="5642"/>
        </ext>
      </extLst>
    </bk>
    <bk>
      <extLst>
        <ext uri="{3e2802c4-a4d2-4d8b-9148-e3be6c30e623}">
          <xlrd:rvb i="5643"/>
        </ext>
      </extLst>
    </bk>
    <bk>
      <extLst>
        <ext uri="{3e2802c4-a4d2-4d8b-9148-e3be6c30e623}">
          <xlrd:rvb i="5644"/>
        </ext>
      </extLst>
    </bk>
    <bk>
      <extLst>
        <ext uri="{3e2802c4-a4d2-4d8b-9148-e3be6c30e623}">
          <xlrd:rvb i="5645"/>
        </ext>
      </extLst>
    </bk>
    <bk>
      <extLst>
        <ext uri="{3e2802c4-a4d2-4d8b-9148-e3be6c30e623}">
          <xlrd:rvb i="5646"/>
        </ext>
      </extLst>
    </bk>
    <bk>
      <extLst>
        <ext uri="{3e2802c4-a4d2-4d8b-9148-e3be6c30e623}">
          <xlrd:rvb i="5647"/>
        </ext>
      </extLst>
    </bk>
    <bk>
      <extLst>
        <ext uri="{3e2802c4-a4d2-4d8b-9148-e3be6c30e623}">
          <xlrd:rvb i="5648"/>
        </ext>
      </extLst>
    </bk>
    <bk>
      <extLst>
        <ext uri="{3e2802c4-a4d2-4d8b-9148-e3be6c30e623}">
          <xlrd:rvb i="5649"/>
        </ext>
      </extLst>
    </bk>
    <bk>
      <extLst>
        <ext uri="{3e2802c4-a4d2-4d8b-9148-e3be6c30e623}">
          <xlrd:rvb i="5650"/>
        </ext>
      </extLst>
    </bk>
    <bk>
      <extLst>
        <ext uri="{3e2802c4-a4d2-4d8b-9148-e3be6c30e623}">
          <xlrd:rvb i="5651"/>
        </ext>
      </extLst>
    </bk>
    <bk>
      <extLst>
        <ext uri="{3e2802c4-a4d2-4d8b-9148-e3be6c30e623}">
          <xlrd:rvb i="5652"/>
        </ext>
      </extLst>
    </bk>
    <bk>
      <extLst>
        <ext uri="{3e2802c4-a4d2-4d8b-9148-e3be6c30e623}">
          <xlrd:rvb i="5653"/>
        </ext>
      </extLst>
    </bk>
    <bk>
      <extLst>
        <ext uri="{3e2802c4-a4d2-4d8b-9148-e3be6c30e623}">
          <xlrd:rvb i="5654"/>
        </ext>
      </extLst>
    </bk>
    <bk>
      <extLst>
        <ext uri="{3e2802c4-a4d2-4d8b-9148-e3be6c30e623}">
          <xlrd:rvb i="5655"/>
        </ext>
      </extLst>
    </bk>
    <bk>
      <extLst>
        <ext uri="{3e2802c4-a4d2-4d8b-9148-e3be6c30e623}">
          <xlrd:rvb i="5656"/>
        </ext>
      </extLst>
    </bk>
    <bk>
      <extLst>
        <ext uri="{3e2802c4-a4d2-4d8b-9148-e3be6c30e623}">
          <xlrd:rvb i="5657"/>
        </ext>
      </extLst>
    </bk>
    <bk>
      <extLst>
        <ext uri="{3e2802c4-a4d2-4d8b-9148-e3be6c30e623}">
          <xlrd:rvb i="5658"/>
        </ext>
      </extLst>
    </bk>
    <bk>
      <extLst>
        <ext uri="{3e2802c4-a4d2-4d8b-9148-e3be6c30e623}">
          <xlrd:rvb i="5659"/>
        </ext>
      </extLst>
    </bk>
    <bk>
      <extLst>
        <ext uri="{3e2802c4-a4d2-4d8b-9148-e3be6c30e623}">
          <xlrd:rvb i="5660"/>
        </ext>
      </extLst>
    </bk>
    <bk>
      <extLst>
        <ext uri="{3e2802c4-a4d2-4d8b-9148-e3be6c30e623}">
          <xlrd:rvb i="5661"/>
        </ext>
      </extLst>
    </bk>
    <bk>
      <extLst>
        <ext uri="{3e2802c4-a4d2-4d8b-9148-e3be6c30e623}">
          <xlrd:rvb i="5662"/>
        </ext>
      </extLst>
    </bk>
    <bk>
      <extLst>
        <ext uri="{3e2802c4-a4d2-4d8b-9148-e3be6c30e623}">
          <xlrd:rvb i="5663"/>
        </ext>
      </extLst>
    </bk>
    <bk>
      <extLst>
        <ext uri="{3e2802c4-a4d2-4d8b-9148-e3be6c30e623}">
          <xlrd:rvb i="5664"/>
        </ext>
      </extLst>
    </bk>
    <bk>
      <extLst>
        <ext uri="{3e2802c4-a4d2-4d8b-9148-e3be6c30e623}">
          <xlrd:rvb i="5665"/>
        </ext>
      </extLst>
    </bk>
    <bk>
      <extLst>
        <ext uri="{3e2802c4-a4d2-4d8b-9148-e3be6c30e623}">
          <xlrd:rvb i="5666"/>
        </ext>
      </extLst>
    </bk>
    <bk>
      <extLst>
        <ext uri="{3e2802c4-a4d2-4d8b-9148-e3be6c30e623}">
          <xlrd:rvb i="5667"/>
        </ext>
      </extLst>
    </bk>
    <bk>
      <extLst>
        <ext uri="{3e2802c4-a4d2-4d8b-9148-e3be6c30e623}">
          <xlrd:rvb i="5668"/>
        </ext>
      </extLst>
    </bk>
    <bk>
      <extLst>
        <ext uri="{3e2802c4-a4d2-4d8b-9148-e3be6c30e623}">
          <xlrd:rvb i="5669"/>
        </ext>
      </extLst>
    </bk>
    <bk>
      <extLst>
        <ext uri="{3e2802c4-a4d2-4d8b-9148-e3be6c30e623}">
          <xlrd:rvb i="5670"/>
        </ext>
      </extLst>
    </bk>
    <bk>
      <extLst>
        <ext uri="{3e2802c4-a4d2-4d8b-9148-e3be6c30e623}">
          <xlrd:rvb i="5671"/>
        </ext>
      </extLst>
    </bk>
    <bk>
      <extLst>
        <ext uri="{3e2802c4-a4d2-4d8b-9148-e3be6c30e623}">
          <xlrd:rvb i="5672"/>
        </ext>
      </extLst>
    </bk>
    <bk>
      <extLst>
        <ext uri="{3e2802c4-a4d2-4d8b-9148-e3be6c30e623}">
          <xlrd:rvb i="5673"/>
        </ext>
      </extLst>
    </bk>
    <bk>
      <extLst>
        <ext uri="{3e2802c4-a4d2-4d8b-9148-e3be6c30e623}">
          <xlrd:rvb i="5674"/>
        </ext>
      </extLst>
    </bk>
    <bk>
      <extLst>
        <ext uri="{3e2802c4-a4d2-4d8b-9148-e3be6c30e623}">
          <xlrd:rvb i="5675"/>
        </ext>
      </extLst>
    </bk>
    <bk>
      <extLst>
        <ext uri="{3e2802c4-a4d2-4d8b-9148-e3be6c30e623}">
          <xlrd:rvb i="5676"/>
        </ext>
      </extLst>
    </bk>
    <bk>
      <extLst>
        <ext uri="{3e2802c4-a4d2-4d8b-9148-e3be6c30e623}">
          <xlrd:rvb i="5677"/>
        </ext>
      </extLst>
    </bk>
    <bk>
      <extLst>
        <ext uri="{3e2802c4-a4d2-4d8b-9148-e3be6c30e623}">
          <xlrd:rvb i="5678"/>
        </ext>
      </extLst>
    </bk>
    <bk>
      <extLst>
        <ext uri="{3e2802c4-a4d2-4d8b-9148-e3be6c30e623}">
          <xlrd:rvb i="5679"/>
        </ext>
      </extLst>
    </bk>
    <bk>
      <extLst>
        <ext uri="{3e2802c4-a4d2-4d8b-9148-e3be6c30e623}">
          <xlrd:rvb i="5680"/>
        </ext>
      </extLst>
    </bk>
    <bk>
      <extLst>
        <ext uri="{3e2802c4-a4d2-4d8b-9148-e3be6c30e623}">
          <xlrd:rvb i="5681"/>
        </ext>
      </extLst>
    </bk>
    <bk>
      <extLst>
        <ext uri="{3e2802c4-a4d2-4d8b-9148-e3be6c30e623}">
          <xlrd:rvb i="5682"/>
        </ext>
      </extLst>
    </bk>
    <bk>
      <extLst>
        <ext uri="{3e2802c4-a4d2-4d8b-9148-e3be6c30e623}">
          <xlrd:rvb i="5683"/>
        </ext>
      </extLst>
    </bk>
    <bk>
      <extLst>
        <ext uri="{3e2802c4-a4d2-4d8b-9148-e3be6c30e623}">
          <xlrd:rvb i="5684"/>
        </ext>
      </extLst>
    </bk>
    <bk>
      <extLst>
        <ext uri="{3e2802c4-a4d2-4d8b-9148-e3be6c30e623}">
          <xlrd:rvb i="5685"/>
        </ext>
      </extLst>
    </bk>
    <bk>
      <extLst>
        <ext uri="{3e2802c4-a4d2-4d8b-9148-e3be6c30e623}">
          <xlrd:rvb i="5686"/>
        </ext>
      </extLst>
    </bk>
    <bk>
      <extLst>
        <ext uri="{3e2802c4-a4d2-4d8b-9148-e3be6c30e623}">
          <xlrd:rvb i="5687"/>
        </ext>
      </extLst>
    </bk>
    <bk>
      <extLst>
        <ext uri="{3e2802c4-a4d2-4d8b-9148-e3be6c30e623}">
          <xlrd:rvb i="5688"/>
        </ext>
      </extLst>
    </bk>
    <bk>
      <extLst>
        <ext uri="{3e2802c4-a4d2-4d8b-9148-e3be6c30e623}">
          <xlrd:rvb i="5689"/>
        </ext>
      </extLst>
    </bk>
    <bk>
      <extLst>
        <ext uri="{3e2802c4-a4d2-4d8b-9148-e3be6c30e623}">
          <xlrd:rvb i="5690"/>
        </ext>
      </extLst>
    </bk>
    <bk>
      <extLst>
        <ext uri="{3e2802c4-a4d2-4d8b-9148-e3be6c30e623}">
          <xlrd:rvb i="5691"/>
        </ext>
      </extLst>
    </bk>
    <bk>
      <extLst>
        <ext uri="{3e2802c4-a4d2-4d8b-9148-e3be6c30e623}">
          <xlrd:rvb i="5692"/>
        </ext>
      </extLst>
    </bk>
    <bk>
      <extLst>
        <ext uri="{3e2802c4-a4d2-4d8b-9148-e3be6c30e623}">
          <xlrd:rvb i="5693"/>
        </ext>
      </extLst>
    </bk>
    <bk>
      <extLst>
        <ext uri="{3e2802c4-a4d2-4d8b-9148-e3be6c30e623}">
          <xlrd:rvb i="5694"/>
        </ext>
      </extLst>
    </bk>
    <bk>
      <extLst>
        <ext uri="{3e2802c4-a4d2-4d8b-9148-e3be6c30e623}">
          <xlrd:rvb i="5695"/>
        </ext>
      </extLst>
    </bk>
    <bk>
      <extLst>
        <ext uri="{3e2802c4-a4d2-4d8b-9148-e3be6c30e623}">
          <xlrd:rvb i="5696"/>
        </ext>
      </extLst>
    </bk>
    <bk>
      <extLst>
        <ext uri="{3e2802c4-a4d2-4d8b-9148-e3be6c30e623}">
          <xlrd:rvb i="5697"/>
        </ext>
      </extLst>
    </bk>
    <bk>
      <extLst>
        <ext uri="{3e2802c4-a4d2-4d8b-9148-e3be6c30e623}">
          <xlrd:rvb i="5698"/>
        </ext>
      </extLst>
    </bk>
    <bk>
      <extLst>
        <ext uri="{3e2802c4-a4d2-4d8b-9148-e3be6c30e623}">
          <xlrd:rvb i="5699"/>
        </ext>
      </extLst>
    </bk>
    <bk>
      <extLst>
        <ext uri="{3e2802c4-a4d2-4d8b-9148-e3be6c30e623}">
          <xlrd:rvb i="5700"/>
        </ext>
      </extLst>
    </bk>
    <bk>
      <extLst>
        <ext uri="{3e2802c4-a4d2-4d8b-9148-e3be6c30e623}">
          <xlrd:rvb i="5701"/>
        </ext>
      </extLst>
    </bk>
    <bk>
      <extLst>
        <ext uri="{3e2802c4-a4d2-4d8b-9148-e3be6c30e623}">
          <xlrd:rvb i="5702"/>
        </ext>
      </extLst>
    </bk>
    <bk>
      <extLst>
        <ext uri="{3e2802c4-a4d2-4d8b-9148-e3be6c30e623}">
          <xlrd:rvb i="5703"/>
        </ext>
      </extLst>
    </bk>
    <bk>
      <extLst>
        <ext uri="{3e2802c4-a4d2-4d8b-9148-e3be6c30e623}">
          <xlrd:rvb i="5704"/>
        </ext>
      </extLst>
    </bk>
    <bk>
      <extLst>
        <ext uri="{3e2802c4-a4d2-4d8b-9148-e3be6c30e623}">
          <xlrd:rvb i="5705"/>
        </ext>
      </extLst>
    </bk>
    <bk>
      <extLst>
        <ext uri="{3e2802c4-a4d2-4d8b-9148-e3be6c30e623}">
          <xlrd:rvb i="5706"/>
        </ext>
      </extLst>
    </bk>
    <bk>
      <extLst>
        <ext uri="{3e2802c4-a4d2-4d8b-9148-e3be6c30e623}">
          <xlrd:rvb i="5707"/>
        </ext>
      </extLst>
    </bk>
    <bk>
      <extLst>
        <ext uri="{3e2802c4-a4d2-4d8b-9148-e3be6c30e623}">
          <xlrd:rvb i="5708"/>
        </ext>
      </extLst>
    </bk>
    <bk>
      <extLst>
        <ext uri="{3e2802c4-a4d2-4d8b-9148-e3be6c30e623}">
          <xlrd:rvb i="5709"/>
        </ext>
      </extLst>
    </bk>
    <bk>
      <extLst>
        <ext uri="{3e2802c4-a4d2-4d8b-9148-e3be6c30e623}">
          <xlrd:rvb i="5710"/>
        </ext>
      </extLst>
    </bk>
    <bk>
      <extLst>
        <ext uri="{3e2802c4-a4d2-4d8b-9148-e3be6c30e623}">
          <xlrd:rvb i="5711"/>
        </ext>
      </extLst>
    </bk>
    <bk>
      <extLst>
        <ext uri="{3e2802c4-a4d2-4d8b-9148-e3be6c30e623}">
          <xlrd:rvb i="5712"/>
        </ext>
      </extLst>
    </bk>
    <bk>
      <extLst>
        <ext uri="{3e2802c4-a4d2-4d8b-9148-e3be6c30e623}">
          <xlrd:rvb i="5713"/>
        </ext>
      </extLst>
    </bk>
    <bk>
      <extLst>
        <ext uri="{3e2802c4-a4d2-4d8b-9148-e3be6c30e623}">
          <xlrd:rvb i="5714"/>
        </ext>
      </extLst>
    </bk>
    <bk>
      <extLst>
        <ext uri="{3e2802c4-a4d2-4d8b-9148-e3be6c30e623}">
          <xlrd:rvb i="5715"/>
        </ext>
      </extLst>
    </bk>
    <bk>
      <extLst>
        <ext uri="{3e2802c4-a4d2-4d8b-9148-e3be6c30e623}">
          <xlrd:rvb i="5716"/>
        </ext>
      </extLst>
    </bk>
    <bk>
      <extLst>
        <ext uri="{3e2802c4-a4d2-4d8b-9148-e3be6c30e623}">
          <xlrd:rvb i="5717"/>
        </ext>
      </extLst>
    </bk>
    <bk>
      <extLst>
        <ext uri="{3e2802c4-a4d2-4d8b-9148-e3be6c30e623}">
          <xlrd:rvb i="5718"/>
        </ext>
      </extLst>
    </bk>
    <bk>
      <extLst>
        <ext uri="{3e2802c4-a4d2-4d8b-9148-e3be6c30e623}">
          <xlrd:rvb i="5719"/>
        </ext>
      </extLst>
    </bk>
    <bk>
      <extLst>
        <ext uri="{3e2802c4-a4d2-4d8b-9148-e3be6c30e623}">
          <xlrd:rvb i="5720"/>
        </ext>
      </extLst>
    </bk>
    <bk>
      <extLst>
        <ext uri="{3e2802c4-a4d2-4d8b-9148-e3be6c30e623}">
          <xlrd:rvb i="5721"/>
        </ext>
      </extLst>
    </bk>
    <bk>
      <extLst>
        <ext uri="{3e2802c4-a4d2-4d8b-9148-e3be6c30e623}">
          <xlrd:rvb i="5722"/>
        </ext>
      </extLst>
    </bk>
    <bk>
      <extLst>
        <ext uri="{3e2802c4-a4d2-4d8b-9148-e3be6c30e623}">
          <xlrd:rvb i="5723"/>
        </ext>
      </extLst>
    </bk>
    <bk>
      <extLst>
        <ext uri="{3e2802c4-a4d2-4d8b-9148-e3be6c30e623}">
          <xlrd:rvb i="5724"/>
        </ext>
      </extLst>
    </bk>
    <bk>
      <extLst>
        <ext uri="{3e2802c4-a4d2-4d8b-9148-e3be6c30e623}">
          <xlrd:rvb i="5725"/>
        </ext>
      </extLst>
    </bk>
    <bk>
      <extLst>
        <ext uri="{3e2802c4-a4d2-4d8b-9148-e3be6c30e623}">
          <xlrd:rvb i="5726"/>
        </ext>
      </extLst>
    </bk>
    <bk>
      <extLst>
        <ext uri="{3e2802c4-a4d2-4d8b-9148-e3be6c30e623}">
          <xlrd:rvb i="5727"/>
        </ext>
      </extLst>
    </bk>
    <bk>
      <extLst>
        <ext uri="{3e2802c4-a4d2-4d8b-9148-e3be6c30e623}">
          <xlrd:rvb i="5728"/>
        </ext>
      </extLst>
    </bk>
    <bk>
      <extLst>
        <ext uri="{3e2802c4-a4d2-4d8b-9148-e3be6c30e623}">
          <xlrd:rvb i="5729"/>
        </ext>
      </extLst>
    </bk>
    <bk>
      <extLst>
        <ext uri="{3e2802c4-a4d2-4d8b-9148-e3be6c30e623}">
          <xlrd:rvb i="5730"/>
        </ext>
      </extLst>
    </bk>
    <bk>
      <extLst>
        <ext uri="{3e2802c4-a4d2-4d8b-9148-e3be6c30e623}">
          <xlrd:rvb i="5731"/>
        </ext>
      </extLst>
    </bk>
    <bk>
      <extLst>
        <ext uri="{3e2802c4-a4d2-4d8b-9148-e3be6c30e623}">
          <xlrd:rvb i="5732"/>
        </ext>
      </extLst>
    </bk>
    <bk>
      <extLst>
        <ext uri="{3e2802c4-a4d2-4d8b-9148-e3be6c30e623}">
          <xlrd:rvb i="5733"/>
        </ext>
      </extLst>
    </bk>
    <bk>
      <extLst>
        <ext uri="{3e2802c4-a4d2-4d8b-9148-e3be6c30e623}">
          <xlrd:rvb i="5734"/>
        </ext>
      </extLst>
    </bk>
    <bk>
      <extLst>
        <ext uri="{3e2802c4-a4d2-4d8b-9148-e3be6c30e623}">
          <xlrd:rvb i="5735"/>
        </ext>
      </extLst>
    </bk>
    <bk>
      <extLst>
        <ext uri="{3e2802c4-a4d2-4d8b-9148-e3be6c30e623}">
          <xlrd:rvb i="5736"/>
        </ext>
      </extLst>
    </bk>
    <bk>
      <extLst>
        <ext uri="{3e2802c4-a4d2-4d8b-9148-e3be6c30e623}">
          <xlrd:rvb i="5737"/>
        </ext>
      </extLst>
    </bk>
    <bk>
      <extLst>
        <ext uri="{3e2802c4-a4d2-4d8b-9148-e3be6c30e623}">
          <xlrd:rvb i="5738"/>
        </ext>
      </extLst>
    </bk>
    <bk>
      <extLst>
        <ext uri="{3e2802c4-a4d2-4d8b-9148-e3be6c30e623}">
          <xlrd:rvb i="5739"/>
        </ext>
      </extLst>
    </bk>
    <bk>
      <extLst>
        <ext uri="{3e2802c4-a4d2-4d8b-9148-e3be6c30e623}">
          <xlrd:rvb i="5740"/>
        </ext>
      </extLst>
    </bk>
    <bk>
      <extLst>
        <ext uri="{3e2802c4-a4d2-4d8b-9148-e3be6c30e623}">
          <xlrd:rvb i="5741"/>
        </ext>
      </extLst>
    </bk>
    <bk>
      <extLst>
        <ext uri="{3e2802c4-a4d2-4d8b-9148-e3be6c30e623}">
          <xlrd:rvb i="5742"/>
        </ext>
      </extLst>
    </bk>
    <bk>
      <extLst>
        <ext uri="{3e2802c4-a4d2-4d8b-9148-e3be6c30e623}">
          <xlrd:rvb i="5743"/>
        </ext>
      </extLst>
    </bk>
    <bk>
      <extLst>
        <ext uri="{3e2802c4-a4d2-4d8b-9148-e3be6c30e623}">
          <xlrd:rvb i="5744"/>
        </ext>
      </extLst>
    </bk>
    <bk>
      <extLst>
        <ext uri="{3e2802c4-a4d2-4d8b-9148-e3be6c30e623}">
          <xlrd:rvb i="5745"/>
        </ext>
      </extLst>
    </bk>
    <bk>
      <extLst>
        <ext uri="{3e2802c4-a4d2-4d8b-9148-e3be6c30e623}">
          <xlrd:rvb i="5746"/>
        </ext>
      </extLst>
    </bk>
    <bk>
      <extLst>
        <ext uri="{3e2802c4-a4d2-4d8b-9148-e3be6c30e623}">
          <xlrd:rvb i="5747"/>
        </ext>
      </extLst>
    </bk>
    <bk>
      <extLst>
        <ext uri="{3e2802c4-a4d2-4d8b-9148-e3be6c30e623}">
          <xlrd:rvb i="5748"/>
        </ext>
      </extLst>
    </bk>
    <bk>
      <extLst>
        <ext uri="{3e2802c4-a4d2-4d8b-9148-e3be6c30e623}">
          <xlrd:rvb i="5749"/>
        </ext>
      </extLst>
    </bk>
    <bk>
      <extLst>
        <ext uri="{3e2802c4-a4d2-4d8b-9148-e3be6c30e623}">
          <xlrd:rvb i="5750"/>
        </ext>
      </extLst>
    </bk>
    <bk>
      <extLst>
        <ext uri="{3e2802c4-a4d2-4d8b-9148-e3be6c30e623}">
          <xlrd:rvb i="5751"/>
        </ext>
      </extLst>
    </bk>
    <bk>
      <extLst>
        <ext uri="{3e2802c4-a4d2-4d8b-9148-e3be6c30e623}">
          <xlrd:rvb i="5752"/>
        </ext>
      </extLst>
    </bk>
    <bk>
      <extLst>
        <ext uri="{3e2802c4-a4d2-4d8b-9148-e3be6c30e623}">
          <xlrd:rvb i="5753"/>
        </ext>
      </extLst>
    </bk>
    <bk>
      <extLst>
        <ext uri="{3e2802c4-a4d2-4d8b-9148-e3be6c30e623}">
          <xlrd:rvb i="5754"/>
        </ext>
      </extLst>
    </bk>
    <bk>
      <extLst>
        <ext uri="{3e2802c4-a4d2-4d8b-9148-e3be6c30e623}">
          <xlrd:rvb i="5755"/>
        </ext>
      </extLst>
    </bk>
    <bk>
      <extLst>
        <ext uri="{3e2802c4-a4d2-4d8b-9148-e3be6c30e623}">
          <xlrd:rvb i="5756"/>
        </ext>
      </extLst>
    </bk>
    <bk>
      <extLst>
        <ext uri="{3e2802c4-a4d2-4d8b-9148-e3be6c30e623}">
          <xlrd:rvb i="5757"/>
        </ext>
      </extLst>
    </bk>
    <bk>
      <extLst>
        <ext uri="{3e2802c4-a4d2-4d8b-9148-e3be6c30e623}">
          <xlrd:rvb i="5758"/>
        </ext>
      </extLst>
    </bk>
    <bk>
      <extLst>
        <ext uri="{3e2802c4-a4d2-4d8b-9148-e3be6c30e623}">
          <xlrd:rvb i="5759"/>
        </ext>
      </extLst>
    </bk>
    <bk>
      <extLst>
        <ext uri="{3e2802c4-a4d2-4d8b-9148-e3be6c30e623}">
          <xlrd:rvb i="5760"/>
        </ext>
      </extLst>
    </bk>
    <bk>
      <extLst>
        <ext uri="{3e2802c4-a4d2-4d8b-9148-e3be6c30e623}">
          <xlrd:rvb i="5761"/>
        </ext>
      </extLst>
    </bk>
    <bk>
      <extLst>
        <ext uri="{3e2802c4-a4d2-4d8b-9148-e3be6c30e623}">
          <xlrd:rvb i="5762"/>
        </ext>
      </extLst>
    </bk>
    <bk>
      <extLst>
        <ext uri="{3e2802c4-a4d2-4d8b-9148-e3be6c30e623}">
          <xlrd:rvb i="5763"/>
        </ext>
      </extLst>
    </bk>
    <bk>
      <extLst>
        <ext uri="{3e2802c4-a4d2-4d8b-9148-e3be6c30e623}">
          <xlrd:rvb i="5764"/>
        </ext>
      </extLst>
    </bk>
    <bk>
      <extLst>
        <ext uri="{3e2802c4-a4d2-4d8b-9148-e3be6c30e623}">
          <xlrd:rvb i="5765"/>
        </ext>
      </extLst>
    </bk>
    <bk>
      <extLst>
        <ext uri="{3e2802c4-a4d2-4d8b-9148-e3be6c30e623}">
          <xlrd:rvb i="5766"/>
        </ext>
      </extLst>
    </bk>
    <bk>
      <extLst>
        <ext uri="{3e2802c4-a4d2-4d8b-9148-e3be6c30e623}">
          <xlrd:rvb i="5767"/>
        </ext>
      </extLst>
    </bk>
    <bk>
      <extLst>
        <ext uri="{3e2802c4-a4d2-4d8b-9148-e3be6c30e623}">
          <xlrd:rvb i="5768"/>
        </ext>
      </extLst>
    </bk>
    <bk>
      <extLst>
        <ext uri="{3e2802c4-a4d2-4d8b-9148-e3be6c30e623}">
          <xlrd:rvb i="5769"/>
        </ext>
      </extLst>
    </bk>
    <bk>
      <extLst>
        <ext uri="{3e2802c4-a4d2-4d8b-9148-e3be6c30e623}">
          <xlrd:rvb i="5770"/>
        </ext>
      </extLst>
    </bk>
    <bk>
      <extLst>
        <ext uri="{3e2802c4-a4d2-4d8b-9148-e3be6c30e623}">
          <xlrd:rvb i="5771"/>
        </ext>
      </extLst>
    </bk>
    <bk>
      <extLst>
        <ext uri="{3e2802c4-a4d2-4d8b-9148-e3be6c30e623}">
          <xlrd:rvb i="5772"/>
        </ext>
      </extLst>
    </bk>
    <bk>
      <extLst>
        <ext uri="{3e2802c4-a4d2-4d8b-9148-e3be6c30e623}">
          <xlrd:rvb i="5773"/>
        </ext>
      </extLst>
    </bk>
    <bk>
      <extLst>
        <ext uri="{3e2802c4-a4d2-4d8b-9148-e3be6c30e623}">
          <xlrd:rvb i="5774"/>
        </ext>
      </extLst>
    </bk>
    <bk>
      <extLst>
        <ext uri="{3e2802c4-a4d2-4d8b-9148-e3be6c30e623}">
          <xlrd:rvb i="5775"/>
        </ext>
      </extLst>
    </bk>
    <bk>
      <extLst>
        <ext uri="{3e2802c4-a4d2-4d8b-9148-e3be6c30e623}">
          <xlrd:rvb i="5776"/>
        </ext>
      </extLst>
    </bk>
    <bk>
      <extLst>
        <ext uri="{3e2802c4-a4d2-4d8b-9148-e3be6c30e623}">
          <xlrd:rvb i="5777"/>
        </ext>
      </extLst>
    </bk>
    <bk>
      <extLst>
        <ext uri="{3e2802c4-a4d2-4d8b-9148-e3be6c30e623}">
          <xlrd:rvb i="5778"/>
        </ext>
      </extLst>
    </bk>
    <bk>
      <extLst>
        <ext uri="{3e2802c4-a4d2-4d8b-9148-e3be6c30e623}">
          <xlrd:rvb i="5779"/>
        </ext>
      </extLst>
    </bk>
    <bk>
      <extLst>
        <ext uri="{3e2802c4-a4d2-4d8b-9148-e3be6c30e623}">
          <xlrd:rvb i="5780"/>
        </ext>
      </extLst>
    </bk>
    <bk>
      <extLst>
        <ext uri="{3e2802c4-a4d2-4d8b-9148-e3be6c30e623}">
          <xlrd:rvb i="5781"/>
        </ext>
      </extLst>
    </bk>
    <bk>
      <extLst>
        <ext uri="{3e2802c4-a4d2-4d8b-9148-e3be6c30e623}">
          <xlrd:rvb i="5782"/>
        </ext>
      </extLst>
    </bk>
    <bk>
      <extLst>
        <ext uri="{3e2802c4-a4d2-4d8b-9148-e3be6c30e623}">
          <xlrd:rvb i="5783"/>
        </ext>
      </extLst>
    </bk>
    <bk>
      <extLst>
        <ext uri="{3e2802c4-a4d2-4d8b-9148-e3be6c30e623}">
          <xlrd:rvb i="5784"/>
        </ext>
      </extLst>
    </bk>
    <bk>
      <extLst>
        <ext uri="{3e2802c4-a4d2-4d8b-9148-e3be6c30e623}">
          <xlrd:rvb i="5785"/>
        </ext>
      </extLst>
    </bk>
    <bk>
      <extLst>
        <ext uri="{3e2802c4-a4d2-4d8b-9148-e3be6c30e623}">
          <xlrd:rvb i="5786"/>
        </ext>
      </extLst>
    </bk>
    <bk>
      <extLst>
        <ext uri="{3e2802c4-a4d2-4d8b-9148-e3be6c30e623}">
          <xlrd:rvb i="5787"/>
        </ext>
      </extLst>
    </bk>
    <bk>
      <extLst>
        <ext uri="{3e2802c4-a4d2-4d8b-9148-e3be6c30e623}">
          <xlrd:rvb i="5788"/>
        </ext>
      </extLst>
    </bk>
    <bk>
      <extLst>
        <ext uri="{3e2802c4-a4d2-4d8b-9148-e3be6c30e623}">
          <xlrd:rvb i="5789"/>
        </ext>
      </extLst>
    </bk>
    <bk>
      <extLst>
        <ext uri="{3e2802c4-a4d2-4d8b-9148-e3be6c30e623}">
          <xlrd:rvb i="5790"/>
        </ext>
      </extLst>
    </bk>
    <bk>
      <extLst>
        <ext uri="{3e2802c4-a4d2-4d8b-9148-e3be6c30e623}">
          <xlrd:rvb i="5791"/>
        </ext>
      </extLst>
    </bk>
    <bk>
      <extLst>
        <ext uri="{3e2802c4-a4d2-4d8b-9148-e3be6c30e623}">
          <xlrd:rvb i="5792"/>
        </ext>
      </extLst>
    </bk>
    <bk>
      <extLst>
        <ext uri="{3e2802c4-a4d2-4d8b-9148-e3be6c30e623}">
          <xlrd:rvb i="5793"/>
        </ext>
      </extLst>
    </bk>
    <bk>
      <extLst>
        <ext uri="{3e2802c4-a4d2-4d8b-9148-e3be6c30e623}">
          <xlrd:rvb i="5794"/>
        </ext>
      </extLst>
    </bk>
    <bk>
      <extLst>
        <ext uri="{3e2802c4-a4d2-4d8b-9148-e3be6c30e623}">
          <xlrd:rvb i="5795"/>
        </ext>
      </extLst>
    </bk>
    <bk>
      <extLst>
        <ext uri="{3e2802c4-a4d2-4d8b-9148-e3be6c30e623}">
          <xlrd:rvb i="5796"/>
        </ext>
      </extLst>
    </bk>
    <bk>
      <extLst>
        <ext uri="{3e2802c4-a4d2-4d8b-9148-e3be6c30e623}">
          <xlrd:rvb i="5797"/>
        </ext>
      </extLst>
    </bk>
    <bk>
      <extLst>
        <ext uri="{3e2802c4-a4d2-4d8b-9148-e3be6c30e623}">
          <xlrd:rvb i="5798"/>
        </ext>
      </extLst>
    </bk>
    <bk>
      <extLst>
        <ext uri="{3e2802c4-a4d2-4d8b-9148-e3be6c30e623}">
          <xlrd:rvb i="5799"/>
        </ext>
      </extLst>
    </bk>
    <bk>
      <extLst>
        <ext uri="{3e2802c4-a4d2-4d8b-9148-e3be6c30e623}">
          <xlrd:rvb i="5800"/>
        </ext>
      </extLst>
    </bk>
    <bk>
      <extLst>
        <ext uri="{3e2802c4-a4d2-4d8b-9148-e3be6c30e623}">
          <xlrd:rvb i="5801"/>
        </ext>
      </extLst>
    </bk>
    <bk>
      <extLst>
        <ext uri="{3e2802c4-a4d2-4d8b-9148-e3be6c30e623}">
          <xlrd:rvb i="5802"/>
        </ext>
      </extLst>
    </bk>
    <bk>
      <extLst>
        <ext uri="{3e2802c4-a4d2-4d8b-9148-e3be6c30e623}">
          <xlrd:rvb i="5803"/>
        </ext>
      </extLst>
    </bk>
    <bk>
      <extLst>
        <ext uri="{3e2802c4-a4d2-4d8b-9148-e3be6c30e623}">
          <xlrd:rvb i="5804"/>
        </ext>
      </extLst>
    </bk>
    <bk>
      <extLst>
        <ext uri="{3e2802c4-a4d2-4d8b-9148-e3be6c30e623}">
          <xlrd:rvb i="5805"/>
        </ext>
      </extLst>
    </bk>
    <bk>
      <extLst>
        <ext uri="{3e2802c4-a4d2-4d8b-9148-e3be6c30e623}">
          <xlrd:rvb i="5806"/>
        </ext>
      </extLst>
    </bk>
    <bk>
      <extLst>
        <ext uri="{3e2802c4-a4d2-4d8b-9148-e3be6c30e623}">
          <xlrd:rvb i="5807"/>
        </ext>
      </extLst>
    </bk>
    <bk>
      <extLst>
        <ext uri="{3e2802c4-a4d2-4d8b-9148-e3be6c30e623}">
          <xlrd:rvb i="5808"/>
        </ext>
      </extLst>
    </bk>
    <bk>
      <extLst>
        <ext uri="{3e2802c4-a4d2-4d8b-9148-e3be6c30e623}">
          <xlrd:rvb i="5809"/>
        </ext>
      </extLst>
    </bk>
    <bk>
      <extLst>
        <ext uri="{3e2802c4-a4d2-4d8b-9148-e3be6c30e623}">
          <xlrd:rvb i="5810"/>
        </ext>
      </extLst>
    </bk>
    <bk>
      <extLst>
        <ext uri="{3e2802c4-a4d2-4d8b-9148-e3be6c30e623}">
          <xlrd:rvb i="5811"/>
        </ext>
      </extLst>
    </bk>
    <bk>
      <extLst>
        <ext uri="{3e2802c4-a4d2-4d8b-9148-e3be6c30e623}">
          <xlrd:rvb i="5812"/>
        </ext>
      </extLst>
    </bk>
    <bk>
      <extLst>
        <ext uri="{3e2802c4-a4d2-4d8b-9148-e3be6c30e623}">
          <xlrd:rvb i="5813"/>
        </ext>
      </extLst>
    </bk>
    <bk>
      <extLst>
        <ext uri="{3e2802c4-a4d2-4d8b-9148-e3be6c30e623}">
          <xlrd:rvb i="5814"/>
        </ext>
      </extLst>
    </bk>
    <bk>
      <extLst>
        <ext uri="{3e2802c4-a4d2-4d8b-9148-e3be6c30e623}">
          <xlrd:rvb i="5815"/>
        </ext>
      </extLst>
    </bk>
    <bk>
      <extLst>
        <ext uri="{3e2802c4-a4d2-4d8b-9148-e3be6c30e623}">
          <xlrd:rvb i="5816"/>
        </ext>
      </extLst>
    </bk>
    <bk>
      <extLst>
        <ext uri="{3e2802c4-a4d2-4d8b-9148-e3be6c30e623}">
          <xlrd:rvb i="5817"/>
        </ext>
      </extLst>
    </bk>
    <bk>
      <extLst>
        <ext uri="{3e2802c4-a4d2-4d8b-9148-e3be6c30e623}">
          <xlrd:rvb i="5818"/>
        </ext>
      </extLst>
    </bk>
    <bk>
      <extLst>
        <ext uri="{3e2802c4-a4d2-4d8b-9148-e3be6c30e623}">
          <xlrd:rvb i="5819"/>
        </ext>
      </extLst>
    </bk>
    <bk>
      <extLst>
        <ext uri="{3e2802c4-a4d2-4d8b-9148-e3be6c30e623}">
          <xlrd:rvb i="5820"/>
        </ext>
      </extLst>
    </bk>
    <bk>
      <extLst>
        <ext uri="{3e2802c4-a4d2-4d8b-9148-e3be6c30e623}">
          <xlrd:rvb i="5821"/>
        </ext>
      </extLst>
    </bk>
    <bk>
      <extLst>
        <ext uri="{3e2802c4-a4d2-4d8b-9148-e3be6c30e623}">
          <xlrd:rvb i="5822"/>
        </ext>
      </extLst>
    </bk>
    <bk>
      <extLst>
        <ext uri="{3e2802c4-a4d2-4d8b-9148-e3be6c30e623}">
          <xlrd:rvb i="5823"/>
        </ext>
      </extLst>
    </bk>
    <bk>
      <extLst>
        <ext uri="{3e2802c4-a4d2-4d8b-9148-e3be6c30e623}">
          <xlrd:rvb i="5824"/>
        </ext>
      </extLst>
    </bk>
    <bk>
      <extLst>
        <ext uri="{3e2802c4-a4d2-4d8b-9148-e3be6c30e623}">
          <xlrd:rvb i="5825"/>
        </ext>
      </extLst>
    </bk>
    <bk>
      <extLst>
        <ext uri="{3e2802c4-a4d2-4d8b-9148-e3be6c30e623}">
          <xlrd:rvb i="5826"/>
        </ext>
      </extLst>
    </bk>
    <bk>
      <extLst>
        <ext uri="{3e2802c4-a4d2-4d8b-9148-e3be6c30e623}">
          <xlrd:rvb i="5827"/>
        </ext>
      </extLst>
    </bk>
    <bk>
      <extLst>
        <ext uri="{3e2802c4-a4d2-4d8b-9148-e3be6c30e623}">
          <xlrd:rvb i="5828"/>
        </ext>
      </extLst>
    </bk>
    <bk>
      <extLst>
        <ext uri="{3e2802c4-a4d2-4d8b-9148-e3be6c30e623}">
          <xlrd:rvb i="5829"/>
        </ext>
      </extLst>
    </bk>
    <bk>
      <extLst>
        <ext uri="{3e2802c4-a4d2-4d8b-9148-e3be6c30e623}">
          <xlrd:rvb i="5830"/>
        </ext>
      </extLst>
    </bk>
    <bk>
      <extLst>
        <ext uri="{3e2802c4-a4d2-4d8b-9148-e3be6c30e623}">
          <xlrd:rvb i="5831"/>
        </ext>
      </extLst>
    </bk>
    <bk>
      <extLst>
        <ext uri="{3e2802c4-a4d2-4d8b-9148-e3be6c30e623}">
          <xlrd:rvb i="5832"/>
        </ext>
      </extLst>
    </bk>
    <bk>
      <extLst>
        <ext uri="{3e2802c4-a4d2-4d8b-9148-e3be6c30e623}">
          <xlrd:rvb i="5833"/>
        </ext>
      </extLst>
    </bk>
    <bk>
      <extLst>
        <ext uri="{3e2802c4-a4d2-4d8b-9148-e3be6c30e623}">
          <xlrd:rvb i="5834"/>
        </ext>
      </extLst>
    </bk>
    <bk>
      <extLst>
        <ext uri="{3e2802c4-a4d2-4d8b-9148-e3be6c30e623}">
          <xlrd:rvb i="5835"/>
        </ext>
      </extLst>
    </bk>
    <bk>
      <extLst>
        <ext uri="{3e2802c4-a4d2-4d8b-9148-e3be6c30e623}">
          <xlrd:rvb i="5836"/>
        </ext>
      </extLst>
    </bk>
    <bk>
      <extLst>
        <ext uri="{3e2802c4-a4d2-4d8b-9148-e3be6c30e623}">
          <xlrd:rvb i="5837"/>
        </ext>
      </extLst>
    </bk>
    <bk>
      <extLst>
        <ext uri="{3e2802c4-a4d2-4d8b-9148-e3be6c30e623}">
          <xlrd:rvb i="5838"/>
        </ext>
      </extLst>
    </bk>
    <bk>
      <extLst>
        <ext uri="{3e2802c4-a4d2-4d8b-9148-e3be6c30e623}">
          <xlrd:rvb i="5839"/>
        </ext>
      </extLst>
    </bk>
    <bk>
      <extLst>
        <ext uri="{3e2802c4-a4d2-4d8b-9148-e3be6c30e623}">
          <xlrd:rvb i="5840"/>
        </ext>
      </extLst>
    </bk>
    <bk>
      <extLst>
        <ext uri="{3e2802c4-a4d2-4d8b-9148-e3be6c30e623}">
          <xlrd:rvb i="5841"/>
        </ext>
      </extLst>
    </bk>
    <bk>
      <extLst>
        <ext uri="{3e2802c4-a4d2-4d8b-9148-e3be6c30e623}">
          <xlrd:rvb i="5842"/>
        </ext>
      </extLst>
    </bk>
    <bk>
      <extLst>
        <ext uri="{3e2802c4-a4d2-4d8b-9148-e3be6c30e623}">
          <xlrd:rvb i="5843"/>
        </ext>
      </extLst>
    </bk>
    <bk>
      <extLst>
        <ext uri="{3e2802c4-a4d2-4d8b-9148-e3be6c30e623}">
          <xlrd:rvb i="5844"/>
        </ext>
      </extLst>
    </bk>
    <bk>
      <extLst>
        <ext uri="{3e2802c4-a4d2-4d8b-9148-e3be6c30e623}">
          <xlrd:rvb i="5845"/>
        </ext>
      </extLst>
    </bk>
    <bk>
      <extLst>
        <ext uri="{3e2802c4-a4d2-4d8b-9148-e3be6c30e623}">
          <xlrd:rvb i="5846"/>
        </ext>
      </extLst>
    </bk>
    <bk>
      <extLst>
        <ext uri="{3e2802c4-a4d2-4d8b-9148-e3be6c30e623}">
          <xlrd:rvb i="5847"/>
        </ext>
      </extLst>
    </bk>
    <bk>
      <extLst>
        <ext uri="{3e2802c4-a4d2-4d8b-9148-e3be6c30e623}">
          <xlrd:rvb i="5848"/>
        </ext>
      </extLst>
    </bk>
    <bk>
      <extLst>
        <ext uri="{3e2802c4-a4d2-4d8b-9148-e3be6c30e623}">
          <xlrd:rvb i="5849"/>
        </ext>
      </extLst>
    </bk>
    <bk>
      <extLst>
        <ext uri="{3e2802c4-a4d2-4d8b-9148-e3be6c30e623}">
          <xlrd:rvb i="5850"/>
        </ext>
      </extLst>
    </bk>
    <bk>
      <extLst>
        <ext uri="{3e2802c4-a4d2-4d8b-9148-e3be6c30e623}">
          <xlrd:rvb i="5851"/>
        </ext>
      </extLst>
    </bk>
    <bk>
      <extLst>
        <ext uri="{3e2802c4-a4d2-4d8b-9148-e3be6c30e623}">
          <xlrd:rvb i="5852"/>
        </ext>
      </extLst>
    </bk>
    <bk>
      <extLst>
        <ext uri="{3e2802c4-a4d2-4d8b-9148-e3be6c30e623}">
          <xlrd:rvb i="5853"/>
        </ext>
      </extLst>
    </bk>
    <bk>
      <extLst>
        <ext uri="{3e2802c4-a4d2-4d8b-9148-e3be6c30e623}">
          <xlrd:rvb i="5854"/>
        </ext>
      </extLst>
    </bk>
    <bk>
      <extLst>
        <ext uri="{3e2802c4-a4d2-4d8b-9148-e3be6c30e623}">
          <xlrd:rvb i="5855"/>
        </ext>
      </extLst>
    </bk>
    <bk>
      <extLst>
        <ext uri="{3e2802c4-a4d2-4d8b-9148-e3be6c30e623}">
          <xlrd:rvb i="5856"/>
        </ext>
      </extLst>
    </bk>
    <bk>
      <extLst>
        <ext uri="{3e2802c4-a4d2-4d8b-9148-e3be6c30e623}">
          <xlrd:rvb i="5857"/>
        </ext>
      </extLst>
    </bk>
    <bk>
      <extLst>
        <ext uri="{3e2802c4-a4d2-4d8b-9148-e3be6c30e623}">
          <xlrd:rvb i="5858"/>
        </ext>
      </extLst>
    </bk>
    <bk>
      <extLst>
        <ext uri="{3e2802c4-a4d2-4d8b-9148-e3be6c30e623}">
          <xlrd:rvb i="5859"/>
        </ext>
      </extLst>
    </bk>
    <bk>
      <extLst>
        <ext uri="{3e2802c4-a4d2-4d8b-9148-e3be6c30e623}">
          <xlrd:rvb i="5860"/>
        </ext>
      </extLst>
    </bk>
    <bk>
      <extLst>
        <ext uri="{3e2802c4-a4d2-4d8b-9148-e3be6c30e623}">
          <xlrd:rvb i="5861"/>
        </ext>
      </extLst>
    </bk>
    <bk>
      <extLst>
        <ext uri="{3e2802c4-a4d2-4d8b-9148-e3be6c30e623}">
          <xlrd:rvb i="5862"/>
        </ext>
      </extLst>
    </bk>
    <bk>
      <extLst>
        <ext uri="{3e2802c4-a4d2-4d8b-9148-e3be6c30e623}">
          <xlrd:rvb i="5863"/>
        </ext>
      </extLst>
    </bk>
    <bk>
      <extLst>
        <ext uri="{3e2802c4-a4d2-4d8b-9148-e3be6c30e623}">
          <xlrd:rvb i="5864"/>
        </ext>
      </extLst>
    </bk>
    <bk>
      <extLst>
        <ext uri="{3e2802c4-a4d2-4d8b-9148-e3be6c30e623}">
          <xlrd:rvb i="5865"/>
        </ext>
      </extLst>
    </bk>
    <bk>
      <extLst>
        <ext uri="{3e2802c4-a4d2-4d8b-9148-e3be6c30e623}">
          <xlrd:rvb i="5866"/>
        </ext>
      </extLst>
    </bk>
    <bk>
      <extLst>
        <ext uri="{3e2802c4-a4d2-4d8b-9148-e3be6c30e623}">
          <xlrd:rvb i="5867"/>
        </ext>
      </extLst>
    </bk>
    <bk>
      <extLst>
        <ext uri="{3e2802c4-a4d2-4d8b-9148-e3be6c30e623}">
          <xlrd:rvb i="5868"/>
        </ext>
      </extLst>
    </bk>
    <bk>
      <extLst>
        <ext uri="{3e2802c4-a4d2-4d8b-9148-e3be6c30e623}">
          <xlrd:rvb i="5869"/>
        </ext>
      </extLst>
    </bk>
    <bk>
      <extLst>
        <ext uri="{3e2802c4-a4d2-4d8b-9148-e3be6c30e623}">
          <xlrd:rvb i="5870"/>
        </ext>
      </extLst>
    </bk>
    <bk>
      <extLst>
        <ext uri="{3e2802c4-a4d2-4d8b-9148-e3be6c30e623}">
          <xlrd:rvb i="5871"/>
        </ext>
      </extLst>
    </bk>
    <bk>
      <extLst>
        <ext uri="{3e2802c4-a4d2-4d8b-9148-e3be6c30e623}">
          <xlrd:rvb i="5872"/>
        </ext>
      </extLst>
    </bk>
    <bk>
      <extLst>
        <ext uri="{3e2802c4-a4d2-4d8b-9148-e3be6c30e623}">
          <xlrd:rvb i="5873"/>
        </ext>
      </extLst>
    </bk>
    <bk>
      <extLst>
        <ext uri="{3e2802c4-a4d2-4d8b-9148-e3be6c30e623}">
          <xlrd:rvb i="5874"/>
        </ext>
      </extLst>
    </bk>
    <bk>
      <extLst>
        <ext uri="{3e2802c4-a4d2-4d8b-9148-e3be6c30e623}">
          <xlrd:rvb i="5875"/>
        </ext>
      </extLst>
    </bk>
    <bk>
      <extLst>
        <ext uri="{3e2802c4-a4d2-4d8b-9148-e3be6c30e623}">
          <xlrd:rvb i="5876"/>
        </ext>
      </extLst>
    </bk>
    <bk>
      <extLst>
        <ext uri="{3e2802c4-a4d2-4d8b-9148-e3be6c30e623}">
          <xlrd:rvb i="5877"/>
        </ext>
      </extLst>
    </bk>
    <bk>
      <extLst>
        <ext uri="{3e2802c4-a4d2-4d8b-9148-e3be6c30e623}">
          <xlrd:rvb i="5878"/>
        </ext>
      </extLst>
    </bk>
    <bk>
      <extLst>
        <ext uri="{3e2802c4-a4d2-4d8b-9148-e3be6c30e623}">
          <xlrd:rvb i="5879"/>
        </ext>
      </extLst>
    </bk>
    <bk>
      <extLst>
        <ext uri="{3e2802c4-a4d2-4d8b-9148-e3be6c30e623}">
          <xlrd:rvb i="5880"/>
        </ext>
      </extLst>
    </bk>
    <bk>
      <extLst>
        <ext uri="{3e2802c4-a4d2-4d8b-9148-e3be6c30e623}">
          <xlrd:rvb i="5881"/>
        </ext>
      </extLst>
    </bk>
    <bk>
      <extLst>
        <ext uri="{3e2802c4-a4d2-4d8b-9148-e3be6c30e623}">
          <xlrd:rvb i="5882"/>
        </ext>
      </extLst>
    </bk>
    <bk>
      <extLst>
        <ext uri="{3e2802c4-a4d2-4d8b-9148-e3be6c30e623}">
          <xlrd:rvb i="5883"/>
        </ext>
      </extLst>
    </bk>
    <bk>
      <extLst>
        <ext uri="{3e2802c4-a4d2-4d8b-9148-e3be6c30e623}">
          <xlrd:rvb i="5884"/>
        </ext>
      </extLst>
    </bk>
    <bk>
      <extLst>
        <ext uri="{3e2802c4-a4d2-4d8b-9148-e3be6c30e623}">
          <xlrd:rvb i="5885"/>
        </ext>
      </extLst>
    </bk>
    <bk>
      <extLst>
        <ext uri="{3e2802c4-a4d2-4d8b-9148-e3be6c30e623}">
          <xlrd:rvb i="5886"/>
        </ext>
      </extLst>
    </bk>
    <bk>
      <extLst>
        <ext uri="{3e2802c4-a4d2-4d8b-9148-e3be6c30e623}">
          <xlrd:rvb i="5887"/>
        </ext>
      </extLst>
    </bk>
    <bk>
      <extLst>
        <ext uri="{3e2802c4-a4d2-4d8b-9148-e3be6c30e623}">
          <xlrd:rvb i="5888"/>
        </ext>
      </extLst>
    </bk>
    <bk>
      <extLst>
        <ext uri="{3e2802c4-a4d2-4d8b-9148-e3be6c30e623}">
          <xlrd:rvb i="5889"/>
        </ext>
      </extLst>
    </bk>
    <bk>
      <extLst>
        <ext uri="{3e2802c4-a4d2-4d8b-9148-e3be6c30e623}">
          <xlrd:rvb i="5890"/>
        </ext>
      </extLst>
    </bk>
    <bk>
      <extLst>
        <ext uri="{3e2802c4-a4d2-4d8b-9148-e3be6c30e623}">
          <xlrd:rvb i="5891"/>
        </ext>
      </extLst>
    </bk>
    <bk>
      <extLst>
        <ext uri="{3e2802c4-a4d2-4d8b-9148-e3be6c30e623}">
          <xlrd:rvb i="5892"/>
        </ext>
      </extLst>
    </bk>
    <bk>
      <extLst>
        <ext uri="{3e2802c4-a4d2-4d8b-9148-e3be6c30e623}">
          <xlrd:rvb i="5893"/>
        </ext>
      </extLst>
    </bk>
    <bk>
      <extLst>
        <ext uri="{3e2802c4-a4d2-4d8b-9148-e3be6c30e623}">
          <xlrd:rvb i="5894"/>
        </ext>
      </extLst>
    </bk>
    <bk>
      <extLst>
        <ext uri="{3e2802c4-a4d2-4d8b-9148-e3be6c30e623}">
          <xlrd:rvb i="5895"/>
        </ext>
      </extLst>
    </bk>
    <bk>
      <extLst>
        <ext uri="{3e2802c4-a4d2-4d8b-9148-e3be6c30e623}">
          <xlrd:rvb i="5896"/>
        </ext>
      </extLst>
    </bk>
    <bk>
      <extLst>
        <ext uri="{3e2802c4-a4d2-4d8b-9148-e3be6c30e623}">
          <xlrd:rvb i="5897"/>
        </ext>
      </extLst>
    </bk>
    <bk>
      <extLst>
        <ext uri="{3e2802c4-a4d2-4d8b-9148-e3be6c30e623}">
          <xlrd:rvb i="5898"/>
        </ext>
      </extLst>
    </bk>
    <bk>
      <extLst>
        <ext uri="{3e2802c4-a4d2-4d8b-9148-e3be6c30e623}">
          <xlrd:rvb i="5899"/>
        </ext>
      </extLst>
    </bk>
    <bk>
      <extLst>
        <ext uri="{3e2802c4-a4d2-4d8b-9148-e3be6c30e623}">
          <xlrd:rvb i="5900"/>
        </ext>
      </extLst>
    </bk>
    <bk>
      <extLst>
        <ext uri="{3e2802c4-a4d2-4d8b-9148-e3be6c30e623}">
          <xlrd:rvb i="5901"/>
        </ext>
      </extLst>
    </bk>
    <bk>
      <extLst>
        <ext uri="{3e2802c4-a4d2-4d8b-9148-e3be6c30e623}">
          <xlrd:rvb i="5902"/>
        </ext>
      </extLst>
    </bk>
    <bk>
      <extLst>
        <ext uri="{3e2802c4-a4d2-4d8b-9148-e3be6c30e623}">
          <xlrd:rvb i="5903"/>
        </ext>
      </extLst>
    </bk>
    <bk>
      <extLst>
        <ext uri="{3e2802c4-a4d2-4d8b-9148-e3be6c30e623}">
          <xlrd:rvb i="5904"/>
        </ext>
      </extLst>
    </bk>
    <bk>
      <extLst>
        <ext uri="{3e2802c4-a4d2-4d8b-9148-e3be6c30e623}">
          <xlrd:rvb i="5905"/>
        </ext>
      </extLst>
    </bk>
    <bk>
      <extLst>
        <ext uri="{3e2802c4-a4d2-4d8b-9148-e3be6c30e623}">
          <xlrd:rvb i="5906"/>
        </ext>
      </extLst>
    </bk>
    <bk>
      <extLst>
        <ext uri="{3e2802c4-a4d2-4d8b-9148-e3be6c30e623}">
          <xlrd:rvb i="5907"/>
        </ext>
      </extLst>
    </bk>
    <bk>
      <extLst>
        <ext uri="{3e2802c4-a4d2-4d8b-9148-e3be6c30e623}">
          <xlrd:rvb i="5908"/>
        </ext>
      </extLst>
    </bk>
    <bk>
      <extLst>
        <ext uri="{3e2802c4-a4d2-4d8b-9148-e3be6c30e623}">
          <xlrd:rvb i="5909"/>
        </ext>
      </extLst>
    </bk>
    <bk>
      <extLst>
        <ext uri="{3e2802c4-a4d2-4d8b-9148-e3be6c30e623}">
          <xlrd:rvb i="5910"/>
        </ext>
      </extLst>
    </bk>
    <bk>
      <extLst>
        <ext uri="{3e2802c4-a4d2-4d8b-9148-e3be6c30e623}">
          <xlrd:rvb i="5911"/>
        </ext>
      </extLst>
    </bk>
    <bk>
      <extLst>
        <ext uri="{3e2802c4-a4d2-4d8b-9148-e3be6c30e623}">
          <xlrd:rvb i="5912"/>
        </ext>
      </extLst>
    </bk>
    <bk>
      <extLst>
        <ext uri="{3e2802c4-a4d2-4d8b-9148-e3be6c30e623}">
          <xlrd:rvb i="5913"/>
        </ext>
      </extLst>
    </bk>
    <bk>
      <extLst>
        <ext uri="{3e2802c4-a4d2-4d8b-9148-e3be6c30e623}">
          <xlrd:rvb i="5914"/>
        </ext>
      </extLst>
    </bk>
    <bk>
      <extLst>
        <ext uri="{3e2802c4-a4d2-4d8b-9148-e3be6c30e623}">
          <xlrd:rvb i="5915"/>
        </ext>
      </extLst>
    </bk>
    <bk>
      <extLst>
        <ext uri="{3e2802c4-a4d2-4d8b-9148-e3be6c30e623}">
          <xlrd:rvb i="5916"/>
        </ext>
      </extLst>
    </bk>
    <bk>
      <extLst>
        <ext uri="{3e2802c4-a4d2-4d8b-9148-e3be6c30e623}">
          <xlrd:rvb i="5917"/>
        </ext>
      </extLst>
    </bk>
    <bk>
      <extLst>
        <ext uri="{3e2802c4-a4d2-4d8b-9148-e3be6c30e623}">
          <xlrd:rvb i="5918"/>
        </ext>
      </extLst>
    </bk>
    <bk>
      <extLst>
        <ext uri="{3e2802c4-a4d2-4d8b-9148-e3be6c30e623}">
          <xlrd:rvb i="5919"/>
        </ext>
      </extLst>
    </bk>
    <bk>
      <extLst>
        <ext uri="{3e2802c4-a4d2-4d8b-9148-e3be6c30e623}">
          <xlrd:rvb i="5920"/>
        </ext>
      </extLst>
    </bk>
    <bk>
      <extLst>
        <ext uri="{3e2802c4-a4d2-4d8b-9148-e3be6c30e623}">
          <xlrd:rvb i="5921"/>
        </ext>
      </extLst>
    </bk>
    <bk>
      <extLst>
        <ext uri="{3e2802c4-a4d2-4d8b-9148-e3be6c30e623}">
          <xlrd:rvb i="5922"/>
        </ext>
      </extLst>
    </bk>
    <bk>
      <extLst>
        <ext uri="{3e2802c4-a4d2-4d8b-9148-e3be6c30e623}">
          <xlrd:rvb i="5923"/>
        </ext>
      </extLst>
    </bk>
    <bk>
      <extLst>
        <ext uri="{3e2802c4-a4d2-4d8b-9148-e3be6c30e623}">
          <xlrd:rvb i="5924"/>
        </ext>
      </extLst>
    </bk>
    <bk>
      <extLst>
        <ext uri="{3e2802c4-a4d2-4d8b-9148-e3be6c30e623}">
          <xlrd:rvb i="5925"/>
        </ext>
      </extLst>
    </bk>
    <bk>
      <extLst>
        <ext uri="{3e2802c4-a4d2-4d8b-9148-e3be6c30e623}">
          <xlrd:rvb i="5926"/>
        </ext>
      </extLst>
    </bk>
    <bk>
      <extLst>
        <ext uri="{3e2802c4-a4d2-4d8b-9148-e3be6c30e623}">
          <xlrd:rvb i="5927"/>
        </ext>
      </extLst>
    </bk>
    <bk>
      <extLst>
        <ext uri="{3e2802c4-a4d2-4d8b-9148-e3be6c30e623}">
          <xlrd:rvb i="5928"/>
        </ext>
      </extLst>
    </bk>
    <bk>
      <extLst>
        <ext uri="{3e2802c4-a4d2-4d8b-9148-e3be6c30e623}">
          <xlrd:rvb i="5929"/>
        </ext>
      </extLst>
    </bk>
    <bk>
      <extLst>
        <ext uri="{3e2802c4-a4d2-4d8b-9148-e3be6c30e623}">
          <xlrd:rvb i="5930"/>
        </ext>
      </extLst>
    </bk>
    <bk>
      <extLst>
        <ext uri="{3e2802c4-a4d2-4d8b-9148-e3be6c30e623}">
          <xlrd:rvb i="5931"/>
        </ext>
      </extLst>
    </bk>
    <bk>
      <extLst>
        <ext uri="{3e2802c4-a4d2-4d8b-9148-e3be6c30e623}">
          <xlrd:rvb i="5932"/>
        </ext>
      </extLst>
    </bk>
    <bk>
      <extLst>
        <ext uri="{3e2802c4-a4d2-4d8b-9148-e3be6c30e623}">
          <xlrd:rvb i="5933"/>
        </ext>
      </extLst>
    </bk>
    <bk>
      <extLst>
        <ext uri="{3e2802c4-a4d2-4d8b-9148-e3be6c30e623}">
          <xlrd:rvb i="5934"/>
        </ext>
      </extLst>
    </bk>
    <bk>
      <extLst>
        <ext uri="{3e2802c4-a4d2-4d8b-9148-e3be6c30e623}">
          <xlrd:rvb i="5935"/>
        </ext>
      </extLst>
    </bk>
    <bk>
      <extLst>
        <ext uri="{3e2802c4-a4d2-4d8b-9148-e3be6c30e623}">
          <xlrd:rvb i="5936"/>
        </ext>
      </extLst>
    </bk>
    <bk>
      <extLst>
        <ext uri="{3e2802c4-a4d2-4d8b-9148-e3be6c30e623}">
          <xlrd:rvb i="5937"/>
        </ext>
      </extLst>
    </bk>
    <bk>
      <extLst>
        <ext uri="{3e2802c4-a4d2-4d8b-9148-e3be6c30e623}">
          <xlrd:rvb i="5938"/>
        </ext>
      </extLst>
    </bk>
    <bk>
      <extLst>
        <ext uri="{3e2802c4-a4d2-4d8b-9148-e3be6c30e623}">
          <xlrd:rvb i="5939"/>
        </ext>
      </extLst>
    </bk>
    <bk>
      <extLst>
        <ext uri="{3e2802c4-a4d2-4d8b-9148-e3be6c30e623}">
          <xlrd:rvb i="5940"/>
        </ext>
      </extLst>
    </bk>
    <bk>
      <extLst>
        <ext uri="{3e2802c4-a4d2-4d8b-9148-e3be6c30e623}">
          <xlrd:rvb i="5941"/>
        </ext>
      </extLst>
    </bk>
    <bk>
      <extLst>
        <ext uri="{3e2802c4-a4d2-4d8b-9148-e3be6c30e623}">
          <xlrd:rvb i="5942"/>
        </ext>
      </extLst>
    </bk>
    <bk>
      <extLst>
        <ext uri="{3e2802c4-a4d2-4d8b-9148-e3be6c30e623}">
          <xlrd:rvb i="5943"/>
        </ext>
      </extLst>
    </bk>
    <bk>
      <extLst>
        <ext uri="{3e2802c4-a4d2-4d8b-9148-e3be6c30e623}">
          <xlrd:rvb i="5944"/>
        </ext>
      </extLst>
    </bk>
    <bk>
      <extLst>
        <ext uri="{3e2802c4-a4d2-4d8b-9148-e3be6c30e623}">
          <xlrd:rvb i="5945"/>
        </ext>
      </extLst>
    </bk>
    <bk>
      <extLst>
        <ext uri="{3e2802c4-a4d2-4d8b-9148-e3be6c30e623}">
          <xlrd:rvb i="5946"/>
        </ext>
      </extLst>
    </bk>
    <bk>
      <extLst>
        <ext uri="{3e2802c4-a4d2-4d8b-9148-e3be6c30e623}">
          <xlrd:rvb i="5947"/>
        </ext>
      </extLst>
    </bk>
    <bk>
      <extLst>
        <ext uri="{3e2802c4-a4d2-4d8b-9148-e3be6c30e623}">
          <xlrd:rvb i="5948"/>
        </ext>
      </extLst>
    </bk>
    <bk>
      <extLst>
        <ext uri="{3e2802c4-a4d2-4d8b-9148-e3be6c30e623}">
          <xlrd:rvb i="5949"/>
        </ext>
      </extLst>
    </bk>
    <bk>
      <extLst>
        <ext uri="{3e2802c4-a4d2-4d8b-9148-e3be6c30e623}">
          <xlrd:rvb i="5950"/>
        </ext>
      </extLst>
    </bk>
    <bk>
      <extLst>
        <ext uri="{3e2802c4-a4d2-4d8b-9148-e3be6c30e623}">
          <xlrd:rvb i="5951"/>
        </ext>
      </extLst>
    </bk>
    <bk>
      <extLst>
        <ext uri="{3e2802c4-a4d2-4d8b-9148-e3be6c30e623}">
          <xlrd:rvb i="5952"/>
        </ext>
      </extLst>
    </bk>
    <bk>
      <extLst>
        <ext uri="{3e2802c4-a4d2-4d8b-9148-e3be6c30e623}">
          <xlrd:rvb i="5953"/>
        </ext>
      </extLst>
    </bk>
    <bk>
      <extLst>
        <ext uri="{3e2802c4-a4d2-4d8b-9148-e3be6c30e623}">
          <xlrd:rvb i="5954"/>
        </ext>
      </extLst>
    </bk>
    <bk>
      <extLst>
        <ext uri="{3e2802c4-a4d2-4d8b-9148-e3be6c30e623}">
          <xlrd:rvb i="5955"/>
        </ext>
      </extLst>
    </bk>
    <bk>
      <extLst>
        <ext uri="{3e2802c4-a4d2-4d8b-9148-e3be6c30e623}">
          <xlrd:rvb i="5956"/>
        </ext>
      </extLst>
    </bk>
    <bk>
      <extLst>
        <ext uri="{3e2802c4-a4d2-4d8b-9148-e3be6c30e623}">
          <xlrd:rvb i="5957"/>
        </ext>
      </extLst>
    </bk>
    <bk>
      <extLst>
        <ext uri="{3e2802c4-a4d2-4d8b-9148-e3be6c30e623}">
          <xlrd:rvb i="5958"/>
        </ext>
      </extLst>
    </bk>
    <bk>
      <extLst>
        <ext uri="{3e2802c4-a4d2-4d8b-9148-e3be6c30e623}">
          <xlrd:rvb i="5959"/>
        </ext>
      </extLst>
    </bk>
    <bk>
      <extLst>
        <ext uri="{3e2802c4-a4d2-4d8b-9148-e3be6c30e623}">
          <xlrd:rvb i="5960"/>
        </ext>
      </extLst>
    </bk>
    <bk>
      <extLst>
        <ext uri="{3e2802c4-a4d2-4d8b-9148-e3be6c30e623}">
          <xlrd:rvb i="5961"/>
        </ext>
      </extLst>
    </bk>
    <bk>
      <extLst>
        <ext uri="{3e2802c4-a4d2-4d8b-9148-e3be6c30e623}">
          <xlrd:rvb i="5962"/>
        </ext>
      </extLst>
    </bk>
    <bk>
      <extLst>
        <ext uri="{3e2802c4-a4d2-4d8b-9148-e3be6c30e623}">
          <xlrd:rvb i="5963"/>
        </ext>
      </extLst>
    </bk>
    <bk>
      <extLst>
        <ext uri="{3e2802c4-a4d2-4d8b-9148-e3be6c30e623}">
          <xlrd:rvb i="5964"/>
        </ext>
      </extLst>
    </bk>
    <bk>
      <extLst>
        <ext uri="{3e2802c4-a4d2-4d8b-9148-e3be6c30e623}">
          <xlrd:rvb i="5965"/>
        </ext>
      </extLst>
    </bk>
    <bk>
      <extLst>
        <ext uri="{3e2802c4-a4d2-4d8b-9148-e3be6c30e623}">
          <xlrd:rvb i="5966"/>
        </ext>
      </extLst>
    </bk>
    <bk>
      <extLst>
        <ext uri="{3e2802c4-a4d2-4d8b-9148-e3be6c30e623}">
          <xlrd:rvb i="5967"/>
        </ext>
      </extLst>
    </bk>
    <bk>
      <extLst>
        <ext uri="{3e2802c4-a4d2-4d8b-9148-e3be6c30e623}">
          <xlrd:rvb i="5968"/>
        </ext>
      </extLst>
    </bk>
    <bk>
      <extLst>
        <ext uri="{3e2802c4-a4d2-4d8b-9148-e3be6c30e623}">
          <xlrd:rvb i="5969"/>
        </ext>
      </extLst>
    </bk>
    <bk>
      <extLst>
        <ext uri="{3e2802c4-a4d2-4d8b-9148-e3be6c30e623}">
          <xlrd:rvb i="5970"/>
        </ext>
      </extLst>
    </bk>
    <bk>
      <extLst>
        <ext uri="{3e2802c4-a4d2-4d8b-9148-e3be6c30e623}">
          <xlrd:rvb i="5971"/>
        </ext>
      </extLst>
    </bk>
    <bk>
      <extLst>
        <ext uri="{3e2802c4-a4d2-4d8b-9148-e3be6c30e623}">
          <xlrd:rvb i="5972"/>
        </ext>
      </extLst>
    </bk>
    <bk>
      <extLst>
        <ext uri="{3e2802c4-a4d2-4d8b-9148-e3be6c30e623}">
          <xlrd:rvb i="5973"/>
        </ext>
      </extLst>
    </bk>
    <bk>
      <extLst>
        <ext uri="{3e2802c4-a4d2-4d8b-9148-e3be6c30e623}">
          <xlrd:rvb i="5974"/>
        </ext>
      </extLst>
    </bk>
    <bk>
      <extLst>
        <ext uri="{3e2802c4-a4d2-4d8b-9148-e3be6c30e623}">
          <xlrd:rvb i="5975"/>
        </ext>
      </extLst>
    </bk>
    <bk>
      <extLst>
        <ext uri="{3e2802c4-a4d2-4d8b-9148-e3be6c30e623}">
          <xlrd:rvb i="5976"/>
        </ext>
      </extLst>
    </bk>
    <bk>
      <extLst>
        <ext uri="{3e2802c4-a4d2-4d8b-9148-e3be6c30e623}">
          <xlrd:rvb i="5977"/>
        </ext>
      </extLst>
    </bk>
    <bk>
      <extLst>
        <ext uri="{3e2802c4-a4d2-4d8b-9148-e3be6c30e623}">
          <xlrd:rvb i="5978"/>
        </ext>
      </extLst>
    </bk>
    <bk>
      <extLst>
        <ext uri="{3e2802c4-a4d2-4d8b-9148-e3be6c30e623}">
          <xlrd:rvb i="5979"/>
        </ext>
      </extLst>
    </bk>
    <bk>
      <extLst>
        <ext uri="{3e2802c4-a4d2-4d8b-9148-e3be6c30e623}">
          <xlrd:rvb i="5980"/>
        </ext>
      </extLst>
    </bk>
    <bk>
      <extLst>
        <ext uri="{3e2802c4-a4d2-4d8b-9148-e3be6c30e623}">
          <xlrd:rvb i="5981"/>
        </ext>
      </extLst>
    </bk>
    <bk>
      <extLst>
        <ext uri="{3e2802c4-a4d2-4d8b-9148-e3be6c30e623}">
          <xlrd:rvb i="5982"/>
        </ext>
      </extLst>
    </bk>
    <bk>
      <extLst>
        <ext uri="{3e2802c4-a4d2-4d8b-9148-e3be6c30e623}">
          <xlrd:rvb i="5983"/>
        </ext>
      </extLst>
    </bk>
    <bk>
      <extLst>
        <ext uri="{3e2802c4-a4d2-4d8b-9148-e3be6c30e623}">
          <xlrd:rvb i="5984"/>
        </ext>
      </extLst>
    </bk>
    <bk>
      <extLst>
        <ext uri="{3e2802c4-a4d2-4d8b-9148-e3be6c30e623}">
          <xlrd:rvb i="5985"/>
        </ext>
      </extLst>
    </bk>
    <bk>
      <extLst>
        <ext uri="{3e2802c4-a4d2-4d8b-9148-e3be6c30e623}">
          <xlrd:rvb i="5986"/>
        </ext>
      </extLst>
    </bk>
    <bk>
      <extLst>
        <ext uri="{3e2802c4-a4d2-4d8b-9148-e3be6c30e623}">
          <xlrd:rvb i="5987"/>
        </ext>
      </extLst>
    </bk>
    <bk>
      <extLst>
        <ext uri="{3e2802c4-a4d2-4d8b-9148-e3be6c30e623}">
          <xlrd:rvb i="5988"/>
        </ext>
      </extLst>
    </bk>
    <bk>
      <extLst>
        <ext uri="{3e2802c4-a4d2-4d8b-9148-e3be6c30e623}">
          <xlrd:rvb i="5989"/>
        </ext>
      </extLst>
    </bk>
    <bk>
      <extLst>
        <ext uri="{3e2802c4-a4d2-4d8b-9148-e3be6c30e623}">
          <xlrd:rvb i="5990"/>
        </ext>
      </extLst>
    </bk>
    <bk>
      <extLst>
        <ext uri="{3e2802c4-a4d2-4d8b-9148-e3be6c30e623}">
          <xlrd:rvb i="5991"/>
        </ext>
      </extLst>
    </bk>
    <bk>
      <extLst>
        <ext uri="{3e2802c4-a4d2-4d8b-9148-e3be6c30e623}">
          <xlrd:rvb i="5992"/>
        </ext>
      </extLst>
    </bk>
    <bk>
      <extLst>
        <ext uri="{3e2802c4-a4d2-4d8b-9148-e3be6c30e623}">
          <xlrd:rvb i="5993"/>
        </ext>
      </extLst>
    </bk>
    <bk>
      <extLst>
        <ext uri="{3e2802c4-a4d2-4d8b-9148-e3be6c30e623}">
          <xlrd:rvb i="5994"/>
        </ext>
      </extLst>
    </bk>
    <bk>
      <extLst>
        <ext uri="{3e2802c4-a4d2-4d8b-9148-e3be6c30e623}">
          <xlrd:rvb i="5995"/>
        </ext>
      </extLst>
    </bk>
    <bk>
      <extLst>
        <ext uri="{3e2802c4-a4d2-4d8b-9148-e3be6c30e623}">
          <xlrd:rvb i="5996"/>
        </ext>
      </extLst>
    </bk>
    <bk>
      <extLst>
        <ext uri="{3e2802c4-a4d2-4d8b-9148-e3be6c30e623}">
          <xlrd:rvb i="5997"/>
        </ext>
      </extLst>
    </bk>
    <bk>
      <extLst>
        <ext uri="{3e2802c4-a4d2-4d8b-9148-e3be6c30e623}">
          <xlrd:rvb i="5998"/>
        </ext>
      </extLst>
    </bk>
    <bk>
      <extLst>
        <ext uri="{3e2802c4-a4d2-4d8b-9148-e3be6c30e623}">
          <xlrd:rvb i="5999"/>
        </ext>
      </extLst>
    </bk>
    <bk>
      <extLst>
        <ext uri="{3e2802c4-a4d2-4d8b-9148-e3be6c30e623}">
          <xlrd:rvb i="6000"/>
        </ext>
      </extLst>
    </bk>
    <bk>
      <extLst>
        <ext uri="{3e2802c4-a4d2-4d8b-9148-e3be6c30e623}">
          <xlrd:rvb i="6001"/>
        </ext>
      </extLst>
    </bk>
    <bk>
      <extLst>
        <ext uri="{3e2802c4-a4d2-4d8b-9148-e3be6c30e623}">
          <xlrd:rvb i="6002"/>
        </ext>
      </extLst>
    </bk>
    <bk>
      <extLst>
        <ext uri="{3e2802c4-a4d2-4d8b-9148-e3be6c30e623}">
          <xlrd:rvb i="6003"/>
        </ext>
      </extLst>
    </bk>
    <bk>
      <extLst>
        <ext uri="{3e2802c4-a4d2-4d8b-9148-e3be6c30e623}">
          <xlrd:rvb i="6004"/>
        </ext>
      </extLst>
    </bk>
    <bk>
      <extLst>
        <ext uri="{3e2802c4-a4d2-4d8b-9148-e3be6c30e623}">
          <xlrd:rvb i="6005"/>
        </ext>
      </extLst>
    </bk>
    <bk>
      <extLst>
        <ext uri="{3e2802c4-a4d2-4d8b-9148-e3be6c30e623}">
          <xlrd:rvb i="6006"/>
        </ext>
      </extLst>
    </bk>
    <bk>
      <extLst>
        <ext uri="{3e2802c4-a4d2-4d8b-9148-e3be6c30e623}">
          <xlrd:rvb i="6007"/>
        </ext>
      </extLst>
    </bk>
    <bk>
      <extLst>
        <ext uri="{3e2802c4-a4d2-4d8b-9148-e3be6c30e623}">
          <xlrd:rvb i="6008"/>
        </ext>
      </extLst>
    </bk>
    <bk>
      <extLst>
        <ext uri="{3e2802c4-a4d2-4d8b-9148-e3be6c30e623}">
          <xlrd:rvb i="6009"/>
        </ext>
      </extLst>
    </bk>
    <bk>
      <extLst>
        <ext uri="{3e2802c4-a4d2-4d8b-9148-e3be6c30e623}">
          <xlrd:rvb i="6010"/>
        </ext>
      </extLst>
    </bk>
    <bk>
      <extLst>
        <ext uri="{3e2802c4-a4d2-4d8b-9148-e3be6c30e623}">
          <xlrd:rvb i="6011"/>
        </ext>
      </extLst>
    </bk>
    <bk>
      <extLst>
        <ext uri="{3e2802c4-a4d2-4d8b-9148-e3be6c30e623}">
          <xlrd:rvb i="6012"/>
        </ext>
      </extLst>
    </bk>
    <bk>
      <extLst>
        <ext uri="{3e2802c4-a4d2-4d8b-9148-e3be6c30e623}">
          <xlrd:rvb i="6013"/>
        </ext>
      </extLst>
    </bk>
    <bk>
      <extLst>
        <ext uri="{3e2802c4-a4d2-4d8b-9148-e3be6c30e623}">
          <xlrd:rvb i="6014"/>
        </ext>
      </extLst>
    </bk>
    <bk>
      <extLst>
        <ext uri="{3e2802c4-a4d2-4d8b-9148-e3be6c30e623}">
          <xlrd:rvb i="6015"/>
        </ext>
      </extLst>
    </bk>
    <bk>
      <extLst>
        <ext uri="{3e2802c4-a4d2-4d8b-9148-e3be6c30e623}">
          <xlrd:rvb i="6016"/>
        </ext>
      </extLst>
    </bk>
    <bk>
      <extLst>
        <ext uri="{3e2802c4-a4d2-4d8b-9148-e3be6c30e623}">
          <xlrd:rvb i="6017"/>
        </ext>
      </extLst>
    </bk>
    <bk>
      <extLst>
        <ext uri="{3e2802c4-a4d2-4d8b-9148-e3be6c30e623}">
          <xlrd:rvb i="6018"/>
        </ext>
      </extLst>
    </bk>
    <bk>
      <extLst>
        <ext uri="{3e2802c4-a4d2-4d8b-9148-e3be6c30e623}">
          <xlrd:rvb i="6019"/>
        </ext>
      </extLst>
    </bk>
    <bk>
      <extLst>
        <ext uri="{3e2802c4-a4d2-4d8b-9148-e3be6c30e623}">
          <xlrd:rvb i="6020"/>
        </ext>
      </extLst>
    </bk>
    <bk>
      <extLst>
        <ext uri="{3e2802c4-a4d2-4d8b-9148-e3be6c30e623}">
          <xlrd:rvb i="6021"/>
        </ext>
      </extLst>
    </bk>
    <bk>
      <extLst>
        <ext uri="{3e2802c4-a4d2-4d8b-9148-e3be6c30e623}">
          <xlrd:rvb i="6022"/>
        </ext>
      </extLst>
    </bk>
    <bk>
      <extLst>
        <ext uri="{3e2802c4-a4d2-4d8b-9148-e3be6c30e623}">
          <xlrd:rvb i="6023"/>
        </ext>
      </extLst>
    </bk>
    <bk>
      <extLst>
        <ext uri="{3e2802c4-a4d2-4d8b-9148-e3be6c30e623}">
          <xlrd:rvb i="6024"/>
        </ext>
      </extLst>
    </bk>
    <bk>
      <extLst>
        <ext uri="{3e2802c4-a4d2-4d8b-9148-e3be6c30e623}">
          <xlrd:rvb i="6025"/>
        </ext>
      </extLst>
    </bk>
    <bk>
      <extLst>
        <ext uri="{3e2802c4-a4d2-4d8b-9148-e3be6c30e623}">
          <xlrd:rvb i="6026"/>
        </ext>
      </extLst>
    </bk>
    <bk>
      <extLst>
        <ext uri="{3e2802c4-a4d2-4d8b-9148-e3be6c30e623}">
          <xlrd:rvb i="6027"/>
        </ext>
      </extLst>
    </bk>
    <bk>
      <extLst>
        <ext uri="{3e2802c4-a4d2-4d8b-9148-e3be6c30e623}">
          <xlrd:rvb i="6028"/>
        </ext>
      </extLst>
    </bk>
    <bk>
      <extLst>
        <ext uri="{3e2802c4-a4d2-4d8b-9148-e3be6c30e623}">
          <xlrd:rvb i="6029"/>
        </ext>
      </extLst>
    </bk>
    <bk>
      <extLst>
        <ext uri="{3e2802c4-a4d2-4d8b-9148-e3be6c30e623}">
          <xlrd:rvb i="6030"/>
        </ext>
      </extLst>
    </bk>
    <bk>
      <extLst>
        <ext uri="{3e2802c4-a4d2-4d8b-9148-e3be6c30e623}">
          <xlrd:rvb i="6031"/>
        </ext>
      </extLst>
    </bk>
    <bk>
      <extLst>
        <ext uri="{3e2802c4-a4d2-4d8b-9148-e3be6c30e623}">
          <xlrd:rvb i="6032"/>
        </ext>
      </extLst>
    </bk>
    <bk>
      <extLst>
        <ext uri="{3e2802c4-a4d2-4d8b-9148-e3be6c30e623}">
          <xlrd:rvb i="6033"/>
        </ext>
      </extLst>
    </bk>
    <bk>
      <extLst>
        <ext uri="{3e2802c4-a4d2-4d8b-9148-e3be6c30e623}">
          <xlrd:rvb i="6034"/>
        </ext>
      </extLst>
    </bk>
    <bk>
      <extLst>
        <ext uri="{3e2802c4-a4d2-4d8b-9148-e3be6c30e623}">
          <xlrd:rvb i="6035"/>
        </ext>
      </extLst>
    </bk>
    <bk>
      <extLst>
        <ext uri="{3e2802c4-a4d2-4d8b-9148-e3be6c30e623}">
          <xlrd:rvb i="6036"/>
        </ext>
      </extLst>
    </bk>
    <bk>
      <extLst>
        <ext uri="{3e2802c4-a4d2-4d8b-9148-e3be6c30e623}">
          <xlrd:rvb i="6037"/>
        </ext>
      </extLst>
    </bk>
    <bk>
      <extLst>
        <ext uri="{3e2802c4-a4d2-4d8b-9148-e3be6c30e623}">
          <xlrd:rvb i="6038"/>
        </ext>
      </extLst>
    </bk>
    <bk>
      <extLst>
        <ext uri="{3e2802c4-a4d2-4d8b-9148-e3be6c30e623}">
          <xlrd:rvb i="6039"/>
        </ext>
      </extLst>
    </bk>
    <bk>
      <extLst>
        <ext uri="{3e2802c4-a4d2-4d8b-9148-e3be6c30e623}">
          <xlrd:rvb i="6040"/>
        </ext>
      </extLst>
    </bk>
    <bk>
      <extLst>
        <ext uri="{3e2802c4-a4d2-4d8b-9148-e3be6c30e623}">
          <xlrd:rvb i="6041"/>
        </ext>
      </extLst>
    </bk>
    <bk>
      <extLst>
        <ext uri="{3e2802c4-a4d2-4d8b-9148-e3be6c30e623}">
          <xlrd:rvb i="6042"/>
        </ext>
      </extLst>
    </bk>
    <bk>
      <extLst>
        <ext uri="{3e2802c4-a4d2-4d8b-9148-e3be6c30e623}">
          <xlrd:rvb i="6043"/>
        </ext>
      </extLst>
    </bk>
    <bk>
      <extLst>
        <ext uri="{3e2802c4-a4d2-4d8b-9148-e3be6c30e623}">
          <xlrd:rvb i="6044"/>
        </ext>
      </extLst>
    </bk>
    <bk>
      <extLst>
        <ext uri="{3e2802c4-a4d2-4d8b-9148-e3be6c30e623}">
          <xlrd:rvb i="6045"/>
        </ext>
      </extLst>
    </bk>
    <bk>
      <extLst>
        <ext uri="{3e2802c4-a4d2-4d8b-9148-e3be6c30e623}">
          <xlrd:rvb i="6046"/>
        </ext>
      </extLst>
    </bk>
    <bk>
      <extLst>
        <ext uri="{3e2802c4-a4d2-4d8b-9148-e3be6c30e623}">
          <xlrd:rvb i="6047"/>
        </ext>
      </extLst>
    </bk>
    <bk>
      <extLst>
        <ext uri="{3e2802c4-a4d2-4d8b-9148-e3be6c30e623}">
          <xlrd:rvb i="6048"/>
        </ext>
      </extLst>
    </bk>
    <bk>
      <extLst>
        <ext uri="{3e2802c4-a4d2-4d8b-9148-e3be6c30e623}">
          <xlrd:rvb i="6049"/>
        </ext>
      </extLst>
    </bk>
    <bk>
      <extLst>
        <ext uri="{3e2802c4-a4d2-4d8b-9148-e3be6c30e623}">
          <xlrd:rvb i="6050"/>
        </ext>
      </extLst>
    </bk>
    <bk>
      <extLst>
        <ext uri="{3e2802c4-a4d2-4d8b-9148-e3be6c30e623}">
          <xlrd:rvb i="6051"/>
        </ext>
      </extLst>
    </bk>
    <bk>
      <extLst>
        <ext uri="{3e2802c4-a4d2-4d8b-9148-e3be6c30e623}">
          <xlrd:rvb i="6052"/>
        </ext>
      </extLst>
    </bk>
    <bk>
      <extLst>
        <ext uri="{3e2802c4-a4d2-4d8b-9148-e3be6c30e623}">
          <xlrd:rvb i="6053"/>
        </ext>
      </extLst>
    </bk>
    <bk>
      <extLst>
        <ext uri="{3e2802c4-a4d2-4d8b-9148-e3be6c30e623}">
          <xlrd:rvb i="6054"/>
        </ext>
      </extLst>
    </bk>
    <bk>
      <extLst>
        <ext uri="{3e2802c4-a4d2-4d8b-9148-e3be6c30e623}">
          <xlrd:rvb i="6055"/>
        </ext>
      </extLst>
    </bk>
    <bk>
      <extLst>
        <ext uri="{3e2802c4-a4d2-4d8b-9148-e3be6c30e623}">
          <xlrd:rvb i="6056"/>
        </ext>
      </extLst>
    </bk>
    <bk>
      <extLst>
        <ext uri="{3e2802c4-a4d2-4d8b-9148-e3be6c30e623}">
          <xlrd:rvb i="6057"/>
        </ext>
      </extLst>
    </bk>
    <bk>
      <extLst>
        <ext uri="{3e2802c4-a4d2-4d8b-9148-e3be6c30e623}">
          <xlrd:rvb i="6058"/>
        </ext>
      </extLst>
    </bk>
    <bk>
      <extLst>
        <ext uri="{3e2802c4-a4d2-4d8b-9148-e3be6c30e623}">
          <xlrd:rvb i="6059"/>
        </ext>
      </extLst>
    </bk>
    <bk>
      <extLst>
        <ext uri="{3e2802c4-a4d2-4d8b-9148-e3be6c30e623}">
          <xlrd:rvb i="6060"/>
        </ext>
      </extLst>
    </bk>
    <bk>
      <extLst>
        <ext uri="{3e2802c4-a4d2-4d8b-9148-e3be6c30e623}">
          <xlrd:rvb i="6061"/>
        </ext>
      </extLst>
    </bk>
    <bk>
      <extLst>
        <ext uri="{3e2802c4-a4d2-4d8b-9148-e3be6c30e623}">
          <xlrd:rvb i="6062"/>
        </ext>
      </extLst>
    </bk>
    <bk>
      <extLst>
        <ext uri="{3e2802c4-a4d2-4d8b-9148-e3be6c30e623}">
          <xlrd:rvb i="6063"/>
        </ext>
      </extLst>
    </bk>
    <bk>
      <extLst>
        <ext uri="{3e2802c4-a4d2-4d8b-9148-e3be6c30e623}">
          <xlrd:rvb i="6064"/>
        </ext>
      </extLst>
    </bk>
    <bk>
      <extLst>
        <ext uri="{3e2802c4-a4d2-4d8b-9148-e3be6c30e623}">
          <xlrd:rvb i="6065"/>
        </ext>
      </extLst>
    </bk>
    <bk>
      <extLst>
        <ext uri="{3e2802c4-a4d2-4d8b-9148-e3be6c30e623}">
          <xlrd:rvb i="6066"/>
        </ext>
      </extLst>
    </bk>
    <bk>
      <extLst>
        <ext uri="{3e2802c4-a4d2-4d8b-9148-e3be6c30e623}">
          <xlrd:rvb i="6067"/>
        </ext>
      </extLst>
    </bk>
    <bk>
      <extLst>
        <ext uri="{3e2802c4-a4d2-4d8b-9148-e3be6c30e623}">
          <xlrd:rvb i="6068"/>
        </ext>
      </extLst>
    </bk>
    <bk>
      <extLst>
        <ext uri="{3e2802c4-a4d2-4d8b-9148-e3be6c30e623}">
          <xlrd:rvb i="6069"/>
        </ext>
      </extLst>
    </bk>
    <bk>
      <extLst>
        <ext uri="{3e2802c4-a4d2-4d8b-9148-e3be6c30e623}">
          <xlrd:rvb i="6070"/>
        </ext>
      </extLst>
    </bk>
    <bk>
      <extLst>
        <ext uri="{3e2802c4-a4d2-4d8b-9148-e3be6c30e623}">
          <xlrd:rvb i="6071"/>
        </ext>
      </extLst>
    </bk>
    <bk>
      <extLst>
        <ext uri="{3e2802c4-a4d2-4d8b-9148-e3be6c30e623}">
          <xlrd:rvb i="6072"/>
        </ext>
      </extLst>
    </bk>
    <bk>
      <extLst>
        <ext uri="{3e2802c4-a4d2-4d8b-9148-e3be6c30e623}">
          <xlrd:rvb i="6073"/>
        </ext>
      </extLst>
    </bk>
    <bk>
      <extLst>
        <ext uri="{3e2802c4-a4d2-4d8b-9148-e3be6c30e623}">
          <xlrd:rvb i="6074"/>
        </ext>
      </extLst>
    </bk>
    <bk>
      <extLst>
        <ext uri="{3e2802c4-a4d2-4d8b-9148-e3be6c30e623}">
          <xlrd:rvb i="6075"/>
        </ext>
      </extLst>
    </bk>
    <bk>
      <extLst>
        <ext uri="{3e2802c4-a4d2-4d8b-9148-e3be6c30e623}">
          <xlrd:rvb i="6076"/>
        </ext>
      </extLst>
    </bk>
    <bk>
      <extLst>
        <ext uri="{3e2802c4-a4d2-4d8b-9148-e3be6c30e623}">
          <xlrd:rvb i="6077"/>
        </ext>
      </extLst>
    </bk>
    <bk>
      <extLst>
        <ext uri="{3e2802c4-a4d2-4d8b-9148-e3be6c30e623}">
          <xlrd:rvb i="6078"/>
        </ext>
      </extLst>
    </bk>
    <bk>
      <extLst>
        <ext uri="{3e2802c4-a4d2-4d8b-9148-e3be6c30e623}">
          <xlrd:rvb i="6079"/>
        </ext>
      </extLst>
    </bk>
    <bk>
      <extLst>
        <ext uri="{3e2802c4-a4d2-4d8b-9148-e3be6c30e623}">
          <xlrd:rvb i="6080"/>
        </ext>
      </extLst>
    </bk>
    <bk>
      <extLst>
        <ext uri="{3e2802c4-a4d2-4d8b-9148-e3be6c30e623}">
          <xlrd:rvb i="6081"/>
        </ext>
      </extLst>
    </bk>
    <bk>
      <extLst>
        <ext uri="{3e2802c4-a4d2-4d8b-9148-e3be6c30e623}">
          <xlrd:rvb i="6082"/>
        </ext>
      </extLst>
    </bk>
    <bk>
      <extLst>
        <ext uri="{3e2802c4-a4d2-4d8b-9148-e3be6c30e623}">
          <xlrd:rvb i="6083"/>
        </ext>
      </extLst>
    </bk>
    <bk>
      <extLst>
        <ext uri="{3e2802c4-a4d2-4d8b-9148-e3be6c30e623}">
          <xlrd:rvb i="6084"/>
        </ext>
      </extLst>
    </bk>
    <bk>
      <extLst>
        <ext uri="{3e2802c4-a4d2-4d8b-9148-e3be6c30e623}">
          <xlrd:rvb i="6085"/>
        </ext>
      </extLst>
    </bk>
    <bk>
      <extLst>
        <ext uri="{3e2802c4-a4d2-4d8b-9148-e3be6c30e623}">
          <xlrd:rvb i="6086"/>
        </ext>
      </extLst>
    </bk>
    <bk>
      <extLst>
        <ext uri="{3e2802c4-a4d2-4d8b-9148-e3be6c30e623}">
          <xlrd:rvb i="6087"/>
        </ext>
      </extLst>
    </bk>
    <bk>
      <extLst>
        <ext uri="{3e2802c4-a4d2-4d8b-9148-e3be6c30e623}">
          <xlrd:rvb i="6088"/>
        </ext>
      </extLst>
    </bk>
    <bk>
      <extLst>
        <ext uri="{3e2802c4-a4d2-4d8b-9148-e3be6c30e623}">
          <xlrd:rvb i="6089"/>
        </ext>
      </extLst>
    </bk>
    <bk>
      <extLst>
        <ext uri="{3e2802c4-a4d2-4d8b-9148-e3be6c30e623}">
          <xlrd:rvb i="6090"/>
        </ext>
      </extLst>
    </bk>
    <bk>
      <extLst>
        <ext uri="{3e2802c4-a4d2-4d8b-9148-e3be6c30e623}">
          <xlrd:rvb i="6091"/>
        </ext>
      </extLst>
    </bk>
    <bk>
      <extLst>
        <ext uri="{3e2802c4-a4d2-4d8b-9148-e3be6c30e623}">
          <xlrd:rvb i="6092"/>
        </ext>
      </extLst>
    </bk>
    <bk>
      <extLst>
        <ext uri="{3e2802c4-a4d2-4d8b-9148-e3be6c30e623}">
          <xlrd:rvb i="6093"/>
        </ext>
      </extLst>
    </bk>
    <bk>
      <extLst>
        <ext uri="{3e2802c4-a4d2-4d8b-9148-e3be6c30e623}">
          <xlrd:rvb i="6094"/>
        </ext>
      </extLst>
    </bk>
    <bk>
      <extLst>
        <ext uri="{3e2802c4-a4d2-4d8b-9148-e3be6c30e623}">
          <xlrd:rvb i="6095"/>
        </ext>
      </extLst>
    </bk>
    <bk>
      <extLst>
        <ext uri="{3e2802c4-a4d2-4d8b-9148-e3be6c30e623}">
          <xlrd:rvb i="6096"/>
        </ext>
      </extLst>
    </bk>
    <bk>
      <extLst>
        <ext uri="{3e2802c4-a4d2-4d8b-9148-e3be6c30e623}">
          <xlrd:rvb i="6097"/>
        </ext>
      </extLst>
    </bk>
    <bk>
      <extLst>
        <ext uri="{3e2802c4-a4d2-4d8b-9148-e3be6c30e623}">
          <xlrd:rvb i="6098"/>
        </ext>
      </extLst>
    </bk>
    <bk>
      <extLst>
        <ext uri="{3e2802c4-a4d2-4d8b-9148-e3be6c30e623}">
          <xlrd:rvb i="6099"/>
        </ext>
      </extLst>
    </bk>
    <bk>
      <extLst>
        <ext uri="{3e2802c4-a4d2-4d8b-9148-e3be6c30e623}">
          <xlrd:rvb i="6100"/>
        </ext>
      </extLst>
    </bk>
    <bk>
      <extLst>
        <ext uri="{3e2802c4-a4d2-4d8b-9148-e3be6c30e623}">
          <xlrd:rvb i="6101"/>
        </ext>
      </extLst>
    </bk>
    <bk>
      <extLst>
        <ext uri="{3e2802c4-a4d2-4d8b-9148-e3be6c30e623}">
          <xlrd:rvb i="6102"/>
        </ext>
      </extLst>
    </bk>
    <bk>
      <extLst>
        <ext uri="{3e2802c4-a4d2-4d8b-9148-e3be6c30e623}">
          <xlrd:rvb i="6103"/>
        </ext>
      </extLst>
    </bk>
    <bk>
      <extLst>
        <ext uri="{3e2802c4-a4d2-4d8b-9148-e3be6c30e623}">
          <xlrd:rvb i="6104"/>
        </ext>
      </extLst>
    </bk>
    <bk>
      <extLst>
        <ext uri="{3e2802c4-a4d2-4d8b-9148-e3be6c30e623}">
          <xlrd:rvb i="6105"/>
        </ext>
      </extLst>
    </bk>
    <bk>
      <extLst>
        <ext uri="{3e2802c4-a4d2-4d8b-9148-e3be6c30e623}">
          <xlrd:rvb i="6106"/>
        </ext>
      </extLst>
    </bk>
    <bk>
      <extLst>
        <ext uri="{3e2802c4-a4d2-4d8b-9148-e3be6c30e623}">
          <xlrd:rvb i="6107"/>
        </ext>
      </extLst>
    </bk>
    <bk>
      <extLst>
        <ext uri="{3e2802c4-a4d2-4d8b-9148-e3be6c30e623}">
          <xlrd:rvb i="6108"/>
        </ext>
      </extLst>
    </bk>
    <bk>
      <extLst>
        <ext uri="{3e2802c4-a4d2-4d8b-9148-e3be6c30e623}">
          <xlrd:rvb i="6109"/>
        </ext>
      </extLst>
    </bk>
    <bk>
      <extLst>
        <ext uri="{3e2802c4-a4d2-4d8b-9148-e3be6c30e623}">
          <xlrd:rvb i="6110"/>
        </ext>
      </extLst>
    </bk>
    <bk>
      <extLst>
        <ext uri="{3e2802c4-a4d2-4d8b-9148-e3be6c30e623}">
          <xlrd:rvb i="6111"/>
        </ext>
      </extLst>
    </bk>
    <bk>
      <extLst>
        <ext uri="{3e2802c4-a4d2-4d8b-9148-e3be6c30e623}">
          <xlrd:rvb i="6112"/>
        </ext>
      </extLst>
    </bk>
    <bk>
      <extLst>
        <ext uri="{3e2802c4-a4d2-4d8b-9148-e3be6c30e623}">
          <xlrd:rvb i="6113"/>
        </ext>
      </extLst>
    </bk>
    <bk>
      <extLst>
        <ext uri="{3e2802c4-a4d2-4d8b-9148-e3be6c30e623}">
          <xlrd:rvb i="6114"/>
        </ext>
      </extLst>
    </bk>
    <bk>
      <extLst>
        <ext uri="{3e2802c4-a4d2-4d8b-9148-e3be6c30e623}">
          <xlrd:rvb i="6115"/>
        </ext>
      </extLst>
    </bk>
    <bk>
      <extLst>
        <ext uri="{3e2802c4-a4d2-4d8b-9148-e3be6c30e623}">
          <xlrd:rvb i="6116"/>
        </ext>
      </extLst>
    </bk>
    <bk>
      <extLst>
        <ext uri="{3e2802c4-a4d2-4d8b-9148-e3be6c30e623}">
          <xlrd:rvb i="6117"/>
        </ext>
      </extLst>
    </bk>
    <bk>
      <extLst>
        <ext uri="{3e2802c4-a4d2-4d8b-9148-e3be6c30e623}">
          <xlrd:rvb i="6118"/>
        </ext>
      </extLst>
    </bk>
    <bk>
      <extLst>
        <ext uri="{3e2802c4-a4d2-4d8b-9148-e3be6c30e623}">
          <xlrd:rvb i="6119"/>
        </ext>
      </extLst>
    </bk>
    <bk>
      <extLst>
        <ext uri="{3e2802c4-a4d2-4d8b-9148-e3be6c30e623}">
          <xlrd:rvb i="6120"/>
        </ext>
      </extLst>
    </bk>
    <bk>
      <extLst>
        <ext uri="{3e2802c4-a4d2-4d8b-9148-e3be6c30e623}">
          <xlrd:rvb i="6121"/>
        </ext>
      </extLst>
    </bk>
    <bk>
      <extLst>
        <ext uri="{3e2802c4-a4d2-4d8b-9148-e3be6c30e623}">
          <xlrd:rvb i="6122"/>
        </ext>
      </extLst>
    </bk>
    <bk>
      <extLst>
        <ext uri="{3e2802c4-a4d2-4d8b-9148-e3be6c30e623}">
          <xlrd:rvb i="6123"/>
        </ext>
      </extLst>
    </bk>
    <bk>
      <extLst>
        <ext uri="{3e2802c4-a4d2-4d8b-9148-e3be6c30e623}">
          <xlrd:rvb i="6124"/>
        </ext>
      </extLst>
    </bk>
    <bk>
      <extLst>
        <ext uri="{3e2802c4-a4d2-4d8b-9148-e3be6c30e623}">
          <xlrd:rvb i="6125"/>
        </ext>
      </extLst>
    </bk>
    <bk>
      <extLst>
        <ext uri="{3e2802c4-a4d2-4d8b-9148-e3be6c30e623}">
          <xlrd:rvb i="6126"/>
        </ext>
      </extLst>
    </bk>
    <bk>
      <extLst>
        <ext uri="{3e2802c4-a4d2-4d8b-9148-e3be6c30e623}">
          <xlrd:rvb i="6127"/>
        </ext>
      </extLst>
    </bk>
    <bk>
      <extLst>
        <ext uri="{3e2802c4-a4d2-4d8b-9148-e3be6c30e623}">
          <xlrd:rvb i="6128"/>
        </ext>
      </extLst>
    </bk>
    <bk>
      <extLst>
        <ext uri="{3e2802c4-a4d2-4d8b-9148-e3be6c30e623}">
          <xlrd:rvb i="6129"/>
        </ext>
      </extLst>
    </bk>
    <bk>
      <extLst>
        <ext uri="{3e2802c4-a4d2-4d8b-9148-e3be6c30e623}">
          <xlrd:rvb i="6130"/>
        </ext>
      </extLst>
    </bk>
    <bk>
      <extLst>
        <ext uri="{3e2802c4-a4d2-4d8b-9148-e3be6c30e623}">
          <xlrd:rvb i="6131"/>
        </ext>
      </extLst>
    </bk>
    <bk>
      <extLst>
        <ext uri="{3e2802c4-a4d2-4d8b-9148-e3be6c30e623}">
          <xlrd:rvb i="6132"/>
        </ext>
      </extLst>
    </bk>
    <bk>
      <extLst>
        <ext uri="{3e2802c4-a4d2-4d8b-9148-e3be6c30e623}">
          <xlrd:rvb i="6133"/>
        </ext>
      </extLst>
    </bk>
    <bk>
      <extLst>
        <ext uri="{3e2802c4-a4d2-4d8b-9148-e3be6c30e623}">
          <xlrd:rvb i="6134"/>
        </ext>
      </extLst>
    </bk>
    <bk>
      <extLst>
        <ext uri="{3e2802c4-a4d2-4d8b-9148-e3be6c30e623}">
          <xlrd:rvb i="6135"/>
        </ext>
      </extLst>
    </bk>
    <bk>
      <extLst>
        <ext uri="{3e2802c4-a4d2-4d8b-9148-e3be6c30e623}">
          <xlrd:rvb i="6136"/>
        </ext>
      </extLst>
    </bk>
    <bk>
      <extLst>
        <ext uri="{3e2802c4-a4d2-4d8b-9148-e3be6c30e623}">
          <xlrd:rvb i="6137"/>
        </ext>
      </extLst>
    </bk>
    <bk>
      <extLst>
        <ext uri="{3e2802c4-a4d2-4d8b-9148-e3be6c30e623}">
          <xlrd:rvb i="6138"/>
        </ext>
      </extLst>
    </bk>
    <bk>
      <extLst>
        <ext uri="{3e2802c4-a4d2-4d8b-9148-e3be6c30e623}">
          <xlrd:rvb i="6139"/>
        </ext>
      </extLst>
    </bk>
    <bk>
      <extLst>
        <ext uri="{3e2802c4-a4d2-4d8b-9148-e3be6c30e623}">
          <xlrd:rvb i="6140"/>
        </ext>
      </extLst>
    </bk>
    <bk>
      <extLst>
        <ext uri="{3e2802c4-a4d2-4d8b-9148-e3be6c30e623}">
          <xlrd:rvb i="6141"/>
        </ext>
      </extLst>
    </bk>
    <bk>
      <extLst>
        <ext uri="{3e2802c4-a4d2-4d8b-9148-e3be6c30e623}">
          <xlrd:rvb i="6142"/>
        </ext>
      </extLst>
    </bk>
    <bk>
      <extLst>
        <ext uri="{3e2802c4-a4d2-4d8b-9148-e3be6c30e623}">
          <xlrd:rvb i="6143"/>
        </ext>
      </extLst>
    </bk>
    <bk>
      <extLst>
        <ext uri="{3e2802c4-a4d2-4d8b-9148-e3be6c30e623}">
          <xlrd:rvb i="6144"/>
        </ext>
      </extLst>
    </bk>
    <bk>
      <extLst>
        <ext uri="{3e2802c4-a4d2-4d8b-9148-e3be6c30e623}">
          <xlrd:rvb i="6145"/>
        </ext>
      </extLst>
    </bk>
    <bk>
      <extLst>
        <ext uri="{3e2802c4-a4d2-4d8b-9148-e3be6c30e623}">
          <xlrd:rvb i="6146"/>
        </ext>
      </extLst>
    </bk>
    <bk>
      <extLst>
        <ext uri="{3e2802c4-a4d2-4d8b-9148-e3be6c30e623}">
          <xlrd:rvb i="6147"/>
        </ext>
      </extLst>
    </bk>
    <bk>
      <extLst>
        <ext uri="{3e2802c4-a4d2-4d8b-9148-e3be6c30e623}">
          <xlrd:rvb i="6148"/>
        </ext>
      </extLst>
    </bk>
    <bk>
      <extLst>
        <ext uri="{3e2802c4-a4d2-4d8b-9148-e3be6c30e623}">
          <xlrd:rvb i="6149"/>
        </ext>
      </extLst>
    </bk>
    <bk>
      <extLst>
        <ext uri="{3e2802c4-a4d2-4d8b-9148-e3be6c30e623}">
          <xlrd:rvb i="6150"/>
        </ext>
      </extLst>
    </bk>
    <bk>
      <extLst>
        <ext uri="{3e2802c4-a4d2-4d8b-9148-e3be6c30e623}">
          <xlrd:rvb i="6151"/>
        </ext>
      </extLst>
    </bk>
    <bk>
      <extLst>
        <ext uri="{3e2802c4-a4d2-4d8b-9148-e3be6c30e623}">
          <xlrd:rvb i="6152"/>
        </ext>
      </extLst>
    </bk>
    <bk>
      <extLst>
        <ext uri="{3e2802c4-a4d2-4d8b-9148-e3be6c30e623}">
          <xlrd:rvb i="6153"/>
        </ext>
      </extLst>
    </bk>
    <bk>
      <extLst>
        <ext uri="{3e2802c4-a4d2-4d8b-9148-e3be6c30e623}">
          <xlrd:rvb i="6154"/>
        </ext>
      </extLst>
    </bk>
    <bk>
      <extLst>
        <ext uri="{3e2802c4-a4d2-4d8b-9148-e3be6c30e623}">
          <xlrd:rvb i="6155"/>
        </ext>
      </extLst>
    </bk>
    <bk>
      <extLst>
        <ext uri="{3e2802c4-a4d2-4d8b-9148-e3be6c30e623}">
          <xlrd:rvb i="6156"/>
        </ext>
      </extLst>
    </bk>
    <bk>
      <extLst>
        <ext uri="{3e2802c4-a4d2-4d8b-9148-e3be6c30e623}">
          <xlrd:rvb i="6157"/>
        </ext>
      </extLst>
    </bk>
    <bk>
      <extLst>
        <ext uri="{3e2802c4-a4d2-4d8b-9148-e3be6c30e623}">
          <xlrd:rvb i="6158"/>
        </ext>
      </extLst>
    </bk>
    <bk>
      <extLst>
        <ext uri="{3e2802c4-a4d2-4d8b-9148-e3be6c30e623}">
          <xlrd:rvb i="6159"/>
        </ext>
      </extLst>
    </bk>
    <bk>
      <extLst>
        <ext uri="{3e2802c4-a4d2-4d8b-9148-e3be6c30e623}">
          <xlrd:rvb i="6160"/>
        </ext>
      </extLst>
    </bk>
    <bk>
      <extLst>
        <ext uri="{3e2802c4-a4d2-4d8b-9148-e3be6c30e623}">
          <xlrd:rvb i="6161"/>
        </ext>
      </extLst>
    </bk>
    <bk>
      <extLst>
        <ext uri="{3e2802c4-a4d2-4d8b-9148-e3be6c30e623}">
          <xlrd:rvb i="6162"/>
        </ext>
      </extLst>
    </bk>
    <bk>
      <extLst>
        <ext uri="{3e2802c4-a4d2-4d8b-9148-e3be6c30e623}">
          <xlrd:rvb i="6163"/>
        </ext>
      </extLst>
    </bk>
    <bk>
      <extLst>
        <ext uri="{3e2802c4-a4d2-4d8b-9148-e3be6c30e623}">
          <xlrd:rvb i="6164"/>
        </ext>
      </extLst>
    </bk>
    <bk>
      <extLst>
        <ext uri="{3e2802c4-a4d2-4d8b-9148-e3be6c30e623}">
          <xlrd:rvb i="6165"/>
        </ext>
      </extLst>
    </bk>
    <bk>
      <extLst>
        <ext uri="{3e2802c4-a4d2-4d8b-9148-e3be6c30e623}">
          <xlrd:rvb i="6166"/>
        </ext>
      </extLst>
    </bk>
    <bk>
      <extLst>
        <ext uri="{3e2802c4-a4d2-4d8b-9148-e3be6c30e623}">
          <xlrd:rvb i="6167"/>
        </ext>
      </extLst>
    </bk>
    <bk>
      <extLst>
        <ext uri="{3e2802c4-a4d2-4d8b-9148-e3be6c30e623}">
          <xlrd:rvb i="6168"/>
        </ext>
      </extLst>
    </bk>
    <bk>
      <extLst>
        <ext uri="{3e2802c4-a4d2-4d8b-9148-e3be6c30e623}">
          <xlrd:rvb i="6169"/>
        </ext>
      </extLst>
    </bk>
    <bk>
      <extLst>
        <ext uri="{3e2802c4-a4d2-4d8b-9148-e3be6c30e623}">
          <xlrd:rvb i="6170"/>
        </ext>
      </extLst>
    </bk>
    <bk>
      <extLst>
        <ext uri="{3e2802c4-a4d2-4d8b-9148-e3be6c30e623}">
          <xlrd:rvb i="6171"/>
        </ext>
      </extLst>
    </bk>
    <bk>
      <extLst>
        <ext uri="{3e2802c4-a4d2-4d8b-9148-e3be6c30e623}">
          <xlrd:rvb i="6172"/>
        </ext>
      </extLst>
    </bk>
    <bk>
      <extLst>
        <ext uri="{3e2802c4-a4d2-4d8b-9148-e3be6c30e623}">
          <xlrd:rvb i="6173"/>
        </ext>
      </extLst>
    </bk>
    <bk>
      <extLst>
        <ext uri="{3e2802c4-a4d2-4d8b-9148-e3be6c30e623}">
          <xlrd:rvb i="6174"/>
        </ext>
      </extLst>
    </bk>
    <bk>
      <extLst>
        <ext uri="{3e2802c4-a4d2-4d8b-9148-e3be6c30e623}">
          <xlrd:rvb i="6175"/>
        </ext>
      </extLst>
    </bk>
    <bk>
      <extLst>
        <ext uri="{3e2802c4-a4d2-4d8b-9148-e3be6c30e623}">
          <xlrd:rvb i="6176"/>
        </ext>
      </extLst>
    </bk>
    <bk>
      <extLst>
        <ext uri="{3e2802c4-a4d2-4d8b-9148-e3be6c30e623}">
          <xlrd:rvb i="6177"/>
        </ext>
      </extLst>
    </bk>
    <bk>
      <extLst>
        <ext uri="{3e2802c4-a4d2-4d8b-9148-e3be6c30e623}">
          <xlrd:rvb i="6178"/>
        </ext>
      </extLst>
    </bk>
    <bk>
      <extLst>
        <ext uri="{3e2802c4-a4d2-4d8b-9148-e3be6c30e623}">
          <xlrd:rvb i="6179"/>
        </ext>
      </extLst>
    </bk>
    <bk>
      <extLst>
        <ext uri="{3e2802c4-a4d2-4d8b-9148-e3be6c30e623}">
          <xlrd:rvb i="6180"/>
        </ext>
      </extLst>
    </bk>
    <bk>
      <extLst>
        <ext uri="{3e2802c4-a4d2-4d8b-9148-e3be6c30e623}">
          <xlrd:rvb i="6181"/>
        </ext>
      </extLst>
    </bk>
    <bk>
      <extLst>
        <ext uri="{3e2802c4-a4d2-4d8b-9148-e3be6c30e623}">
          <xlrd:rvb i="6182"/>
        </ext>
      </extLst>
    </bk>
    <bk>
      <extLst>
        <ext uri="{3e2802c4-a4d2-4d8b-9148-e3be6c30e623}">
          <xlrd:rvb i="6183"/>
        </ext>
      </extLst>
    </bk>
    <bk>
      <extLst>
        <ext uri="{3e2802c4-a4d2-4d8b-9148-e3be6c30e623}">
          <xlrd:rvb i="6184"/>
        </ext>
      </extLst>
    </bk>
    <bk>
      <extLst>
        <ext uri="{3e2802c4-a4d2-4d8b-9148-e3be6c30e623}">
          <xlrd:rvb i="6185"/>
        </ext>
      </extLst>
    </bk>
    <bk>
      <extLst>
        <ext uri="{3e2802c4-a4d2-4d8b-9148-e3be6c30e623}">
          <xlrd:rvb i="6186"/>
        </ext>
      </extLst>
    </bk>
    <bk>
      <extLst>
        <ext uri="{3e2802c4-a4d2-4d8b-9148-e3be6c30e623}">
          <xlrd:rvb i="6187"/>
        </ext>
      </extLst>
    </bk>
    <bk>
      <extLst>
        <ext uri="{3e2802c4-a4d2-4d8b-9148-e3be6c30e623}">
          <xlrd:rvb i="6188"/>
        </ext>
      </extLst>
    </bk>
    <bk>
      <extLst>
        <ext uri="{3e2802c4-a4d2-4d8b-9148-e3be6c30e623}">
          <xlrd:rvb i="6189"/>
        </ext>
      </extLst>
    </bk>
    <bk>
      <extLst>
        <ext uri="{3e2802c4-a4d2-4d8b-9148-e3be6c30e623}">
          <xlrd:rvb i="6190"/>
        </ext>
      </extLst>
    </bk>
    <bk>
      <extLst>
        <ext uri="{3e2802c4-a4d2-4d8b-9148-e3be6c30e623}">
          <xlrd:rvb i="6191"/>
        </ext>
      </extLst>
    </bk>
    <bk>
      <extLst>
        <ext uri="{3e2802c4-a4d2-4d8b-9148-e3be6c30e623}">
          <xlrd:rvb i="6192"/>
        </ext>
      </extLst>
    </bk>
    <bk>
      <extLst>
        <ext uri="{3e2802c4-a4d2-4d8b-9148-e3be6c30e623}">
          <xlrd:rvb i="6193"/>
        </ext>
      </extLst>
    </bk>
    <bk>
      <extLst>
        <ext uri="{3e2802c4-a4d2-4d8b-9148-e3be6c30e623}">
          <xlrd:rvb i="6194"/>
        </ext>
      </extLst>
    </bk>
    <bk>
      <extLst>
        <ext uri="{3e2802c4-a4d2-4d8b-9148-e3be6c30e623}">
          <xlrd:rvb i="6195"/>
        </ext>
      </extLst>
    </bk>
    <bk>
      <extLst>
        <ext uri="{3e2802c4-a4d2-4d8b-9148-e3be6c30e623}">
          <xlrd:rvb i="6196"/>
        </ext>
      </extLst>
    </bk>
    <bk>
      <extLst>
        <ext uri="{3e2802c4-a4d2-4d8b-9148-e3be6c30e623}">
          <xlrd:rvb i="6197"/>
        </ext>
      </extLst>
    </bk>
    <bk>
      <extLst>
        <ext uri="{3e2802c4-a4d2-4d8b-9148-e3be6c30e623}">
          <xlrd:rvb i="6198"/>
        </ext>
      </extLst>
    </bk>
    <bk>
      <extLst>
        <ext uri="{3e2802c4-a4d2-4d8b-9148-e3be6c30e623}">
          <xlrd:rvb i="6199"/>
        </ext>
      </extLst>
    </bk>
    <bk>
      <extLst>
        <ext uri="{3e2802c4-a4d2-4d8b-9148-e3be6c30e623}">
          <xlrd:rvb i="6200"/>
        </ext>
      </extLst>
    </bk>
    <bk>
      <extLst>
        <ext uri="{3e2802c4-a4d2-4d8b-9148-e3be6c30e623}">
          <xlrd:rvb i="6201"/>
        </ext>
      </extLst>
    </bk>
    <bk>
      <extLst>
        <ext uri="{3e2802c4-a4d2-4d8b-9148-e3be6c30e623}">
          <xlrd:rvb i="6202"/>
        </ext>
      </extLst>
    </bk>
    <bk>
      <extLst>
        <ext uri="{3e2802c4-a4d2-4d8b-9148-e3be6c30e623}">
          <xlrd:rvb i="6203"/>
        </ext>
      </extLst>
    </bk>
    <bk>
      <extLst>
        <ext uri="{3e2802c4-a4d2-4d8b-9148-e3be6c30e623}">
          <xlrd:rvb i="6204"/>
        </ext>
      </extLst>
    </bk>
    <bk>
      <extLst>
        <ext uri="{3e2802c4-a4d2-4d8b-9148-e3be6c30e623}">
          <xlrd:rvb i="6205"/>
        </ext>
      </extLst>
    </bk>
    <bk>
      <extLst>
        <ext uri="{3e2802c4-a4d2-4d8b-9148-e3be6c30e623}">
          <xlrd:rvb i="6206"/>
        </ext>
      </extLst>
    </bk>
    <bk>
      <extLst>
        <ext uri="{3e2802c4-a4d2-4d8b-9148-e3be6c30e623}">
          <xlrd:rvb i="6207"/>
        </ext>
      </extLst>
    </bk>
    <bk>
      <extLst>
        <ext uri="{3e2802c4-a4d2-4d8b-9148-e3be6c30e623}">
          <xlrd:rvb i="6208"/>
        </ext>
      </extLst>
    </bk>
    <bk>
      <extLst>
        <ext uri="{3e2802c4-a4d2-4d8b-9148-e3be6c30e623}">
          <xlrd:rvb i="6209"/>
        </ext>
      </extLst>
    </bk>
    <bk>
      <extLst>
        <ext uri="{3e2802c4-a4d2-4d8b-9148-e3be6c30e623}">
          <xlrd:rvb i="6210"/>
        </ext>
      </extLst>
    </bk>
    <bk>
      <extLst>
        <ext uri="{3e2802c4-a4d2-4d8b-9148-e3be6c30e623}">
          <xlrd:rvb i="6211"/>
        </ext>
      </extLst>
    </bk>
    <bk>
      <extLst>
        <ext uri="{3e2802c4-a4d2-4d8b-9148-e3be6c30e623}">
          <xlrd:rvb i="6212"/>
        </ext>
      </extLst>
    </bk>
    <bk>
      <extLst>
        <ext uri="{3e2802c4-a4d2-4d8b-9148-e3be6c30e623}">
          <xlrd:rvb i="6213"/>
        </ext>
      </extLst>
    </bk>
    <bk>
      <extLst>
        <ext uri="{3e2802c4-a4d2-4d8b-9148-e3be6c30e623}">
          <xlrd:rvb i="6214"/>
        </ext>
      </extLst>
    </bk>
    <bk>
      <extLst>
        <ext uri="{3e2802c4-a4d2-4d8b-9148-e3be6c30e623}">
          <xlrd:rvb i="6215"/>
        </ext>
      </extLst>
    </bk>
    <bk>
      <extLst>
        <ext uri="{3e2802c4-a4d2-4d8b-9148-e3be6c30e623}">
          <xlrd:rvb i="6216"/>
        </ext>
      </extLst>
    </bk>
    <bk>
      <extLst>
        <ext uri="{3e2802c4-a4d2-4d8b-9148-e3be6c30e623}">
          <xlrd:rvb i="6217"/>
        </ext>
      </extLst>
    </bk>
    <bk>
      <extLst>
        <ext uri="{3e2802c4-a4d2-4d8b-9148-e3be6c30e623}">
          <xlrd:rvb i="6218"/>
        </ext>
      </extLst>
    </bk>
    <bk>
      <extLst>
        <ext uri="{3e2802c4-a4d2-4d8b-9148-e3be6c30e623}">
          <xlrd:rvb i="6219"/>
        </ext>
      </extLst>
    </bk>
    <bk>
      <extLst>
        <ext uri="{3e2802c4-a4d2-4d8b-9148-e3be6c30e623}">
          <xlrd:rvb i="6220"/>
        </ext>
      </extLst>
    </bk>
    <bk>
      <extLst>
        <ext uri="{3e2802c4-a4d2-4d8b-9148-e3be6c30e623}">
          <xlrd:rvb i="6221"/>
        </ext>
      </extLst>
    </bk>
    <bk>
      <extLst>
        <ext uri="{3e2802c4-a4d2-4d8b-9148-e3be6c30e623}">
          <xlrd:rvb i="6222"/>
        </ext>
      </extLst>
    </bk>
    <bk>
      <extLst>
        <ext uri="{3e2802c4-a4d2-4d8b-9148-e3be6c30e623}">
          <xlrd:rvb i="6223"/>
        </ext>
      </extLst>
    </bk>
    <bk>
      <extLst>
        <ext uri="{3e2802c4-a4d2-4d8b-9148-e3be6c30e623}">
          <xlrd:rvb i="6224"/>
        </ext>
      </extLst>
    </bk>
    <bk>
      <extLst>
        <ext uri="{3e2802c4-a4d2-4d8b-9148-e3be6c30e623}">
          <xlrd:rvb i="6225"/>
        </ext>
      </extLst>
    </bk>
    <bk>
      <extLst>
        <ext uri="{3e2802c4-a4d2-4d8b-9148-e3be6c30e623}">
          <xlrd:rvb i="6226"/>
        </ext>
      </extLst>
    </bk>
    <bk>
      <extLst>
        <ext uri="{3e2802c4-a4d2-4d8b-9148-e3be6c30e623}">
          <xlrd:rvb i="6227"/>
        </ext>
      </extLst>
    </bk>
    <bk>
      <extLst>
        <ext uri="{3e2802c4-a4d2-4d8b-9148-e3be6c30e623}">
          <xlrd:rvb i="6228"/>
        </ext>
      </extLst>
    </bk>
    <bk>
      <extLst>
        <ext uri="{3e2802c4-a4d2-4d8b-9148-e3be6c30e623}">
          <xlrd:rvb i="6229"/>
        </ext>
      </extLst>
    </bk>
    <bk>
      <extLst>
        <ext uri="{3e2802c4-a4d2-4d8b-9148-e3be6c30e623}">
          <xlrd:rvb i="6230"/>
        </ext>
      </extLst>
    </bk>
    <bk>
      <extLst>
        <ext uri="{3e2802c4-a4d2-4d8b-9148-e3be6c30e623}">
          <xlrd:rvb i="6231"/>
        </ext>
      </extLst>
    </bk>
    <bk>
      <extLst>
        <ext uri="{3e2802c4-a4d2-4d8b-9148-e3be6c30e623}">
          <xlrd:rvb i="6232"/>
        </ext>
      </extLst>
    </bk>
    <bk>
      <extLst>
        <ext uri="{3e2802c4-a4d2-4d8b-9148-e3be6c30e623}">
          <xlrd:rvb i="6233"/>
        </ext>
      </extLst>
    </bk>
    <bk>
      <extLst>
        <ext uri="{3e2802c4-a4d2-4d8b-9148-e3be6c30e623}">
          <xlrd:rvb i="6234"/>
        </ext>
      </extLst>
    </bk>
    <bk>
      <extLst>
        <ext uri="{3e2802c4-a4d2-4d8b-9148-e3be6c30e623}">
          <xlrd:rvb i="6235"/>
        </ext>
      </extLst>
    </bk>
    <bk>
      <extLst>
        <ext uri="{3e2802c4-a4d2-4d8b-9148-e3be6c30e623}">
          <xlrd:rvb i="6236"/>
        </ext>
      </extLst>
    </bk>
    <bk>
      <extLst>
        <ext uri="{3e2802c4-a4d2-4d8b-9148-e3be6c30e623}">
          <xlrd:rvb i="6237"/>
        </ext>
      </extLst>
    </bk>
    <bk>
      <extLst>
        <ext uri="{3e2802c4-a4d2-4d8b-9148-e3be6c30e623}">
          <xlrd:rvb i="6238"/>
        </ext>
      </extLst>
    </bk>
    <bk>
      <extLst>
        <ext uri="{3e2802c4-a4d2-4d8b-9148-e3be6c30e623}">
          <xlrd:rvb i="6239"/>
        </ext>
      </extLst>
    </bk>
    <bk>
      <extLst>
        <ext uri="{3e2802c4-a4d2-4d8b-9148-e3be6c30e623}">
          <xlrd:rvb i="6240"/>
        </ext>
      </extLst>
    </bk>
    <bk>
      <extLst>
        <ext uri="{3e2802c4-a4d2-4d8b-9148-e3be6c30e623}">
          <xlrd:rvb i="6241"/>
        </ext>
      </extLst>
    </bk>
    <bk>
      <extLst>
        <ext uri="{3e2802c4-a4d2-4d8b-9148-e3be6c30e623}">
          <xlrd:rvb i="6242"/>
        </ext>
      </extLst>
    </bk>
    <bk>
      <extLst>
        <ext uri="{3e2802c4-a4d2-4d8b-9148-e3be6c30e623}">
          <xlrd:rvb i="6243"/>
        </ext>
      </extLst>
    </bk>
    <bk>
      <extLst>
        <ext uri="{3e2802c4-a4d2-4d8b-9148-e3be6c30e623}">
          <xlrd:rvb i="6244"/>
        </ext>
      </extLst>
    </bk>
    <bk>
      <extLst>
        <ext uri="{3e2802c4-a4d2-4d8b-9148-e3be6c30e623}">
          <xlrd:rvb i="6245"/>
        </ext>
      </extLst>
    </bk>
    <bk>
      <extLst>
        <ext uri="{3e2802c4-a4d2-4d8b-9148-e3be6c30e623}">
          <xlrd:rvb i="6246"/>
        </ext>
      </extLst>
    </bk>
    <bk>
      <extLst>
        <ext uri="{3e2802c4-a4d2-4d8b-9148-e3be6c30e623}">
          <xlrd:rvb i="6247"/>
        </ext>
      </extLst>
    </bk>
    <bk>
      <extLst>
        <ext uri="{3e2802c4-a4d2-4d8b-9148-e3be6c30e623}">
          <xlrd:rvb i="6248"/>
        </ext>
      </extLst>
    </bk>
    <bk>
      <extLst>
        <ext uri="{3e2802c4-a4d2-4d8b-9148-e3be6c30e623}">
          <xlrd:rvb i="6249"/>
        </ext>
      </extLst>
    </bk>
    <bk>
      <extLst>
        <ext uri="{3e2802c4-a4d2-4d8b-9148-e3be6c30e623}">
          <xlrd:rvb i="6250"/>
        </ext>
      </extLst>
    </bk>
    <bk>
      <extLst>
        <ext uri="{3e2802c4-a4d2-4d8b-9148-e3be6c30e623}">
          <xlrd:rvb i="6251"/>
        </ext>
      </extLst>
    </bk>
    <bk>
      <extLst>
        <ext uri="{3e2802c4-a4d2-4d8b-9148-e3be6c30e623}">
          <xlrd:rvb i="6252"/>
        </ext>
      </extLst>
    </bk>
    <bk>
      <extLst>
        <ext uri="{3e2802c4-a4d2-4d8b-9148-e3be6c30e623}">
          <xlrd:rvb i="6253"/>
        </ext>
      </extLst>
    </bk>
    <bk>
      <extLst>
        <ext uri="{3e2802c4-a4d2-4d8b-9148-e3be6c30e623}">
          <xlrd:rvb i="6254"/>
        </ext>
      </extLst>
    </bk>
    <bk>
      <extLst>
        <ext uri="{3e2802c4-a4d2-4d8b-9148-e3be6c30e623}">
          <xlrd:rvb i="6255"/>
        </ext>
      </extLst>
    </bk>
    <bk>
      <extLst>
        <ext uri="{3e2802c4-a4d2-4d8b-9148-e3be6c30e623}">
          <xlrd:rvb i="6256"/>
        </ext>
      </extLst>
    </bk>
    <bk>
      <extLst>
        <ext uri="{3e2802c4-a4d2-4d8b-9148-e3be6c30e623}">
          <xlrd:rvb i="6257"/>
        </ext>
      </extLst>
    </bk>
    <bk>
      <extLst>
        <ext uri="{3e2802c4-a4d2-4d8b-9148-e3be6c30e623}">
          <xlrd:rvb i="6258"/>
        </ext>
      </extLst>
    </bk>
    <bk>
      <extLst>
        <ext uri="{3e2802c4-a4d2-4d8b-9148-e3be6c30e623}">
          <xlrd:rvb i="6259"/>
        </ext>
      </extLst>
    </bk>
    <bk>
      <extLst>
        <ext uri="{3e2802c4-a4d2-4d8b-9148-e3be6c30e623}">
          <xlrd:rvb i="6260"/>
        </ext>
      </extLst>
    </bk>
    <bk>
      <extLst>
        <ext uri="{3e2802c4-a4d2-4d8b-9148-e3be6c30e623}">
          <xlrd:rvb i="6261"/>
        </ext>
      </extLst>
    </bk>
    <bk>
      <extLst>
        <ext uri="{3e2802c4-a4d2-4d8b-9148-e3be6c30e623}">
          <xlrd:rvb i="6262"/>
        </ext>
      </extLst>
    </bk>
    <bk>
      <extLst>
        <ext uri="{3e2802c4-a4d2-4d8b-9148-e3be6c30e623}">
          <xlrd:rvb i="6263"/>
        </ext>
      </extLst>
    </bk>
    <bk>
      <extLst>
        <ext uri="{3e2802c4-a4d2-4d8b-9148-e3be6c30e623}">
          <xlrd:rvb i="6264"/>
        </ext>
      </extLst>
    </bk>
    <bk>
      <extLst>
        <ext uri="{3e2802c4-a4d2-4d8b-9148-e3be6c30e623}">
          <xlrd:rvb i="6265"/>
        </ext>
      </extLst>
    </bk>
    <bk>
      <extLst>
        <ext uri="{3e2802c4-a4d2-4d8b-9148-e3be6c30e623}">
          <xlrd:rvb i="6266"/>
        </ext>
      </extLst>
    </bk>
    <bk>
      <extLst>
        <ext uri="{3e2802c4-a4d2-4d8b-9148-e3be6c30e623}">
          <xlrd:rvb i="6267"/>
        </ext>
      </extLst>
    </bk>
    <bk>
      <extLst>
        <ext uri="{3e2802c4-a4d2-4d8b-9148-e3be6c30e623}">
          <xlrd:rvb i="6268"/>
        </ext>
      </extLst>
    </bk>
    <bk>
      <extLst>
        <ext uri="{3e2802c4-a4d2-4d8b-9148-e3be6c30e623}">
          <xlrd:rvb i="6269"/>
        </ext>
      </extLst>
    </bk>
    <bk>
      <extLst>
        <ext uri="{3e2802c4-a4d2-4d8b-9148-e3be6c30e623}">
          <xlrd:rvb i="6270"/>
        </ext>
      </extLst>
    </bk>
    <bk>
      <extLst>
        <ext uri="{3e2802c4-a4d2-4d8b-9148-e3be6c30e623}">
          <xlrd:rvb i="6271"/>
        </ext>
      </extLst>
    </bk>
    <bk>
      <extLst>
        <ext uri="{3e2802c4-a4d2-4d8b-9148-e3be6c30e623}">
          <xlrd:rvb i="6272"/>
        </ext>
      </extLst>
    </bk>
    <bk>
      <extLst>
        <ext uri="{3e2802c4-a4d2-4d8b-9148-e3be6c30e623}">
          <xlrd:rvb i="6273"/>
        </ext>
      </extLst>
    </bk>
    <bk>
      <extLst>
        <ext uri="{3e2802c4-a4d2-4d8b-9148-e3be6c30e623}">
          <xlrd:rvb i="6274"/>
        </ext>
      </extLst>
    </bk>
    <bk>
      <extLst>
        <ext uri="{3e2802c4-a4d2-4d8b-9148-e3be6c30e623}">
          <xlrd:rvb i="6275"/>
        </ext>
      </extLst>
    </bk>
    <bk>
      <extLst>
        <ext uri="{3e2802c4-a4d2-4d8b-9148-e3be6c30e623}">
          <xlrd:rvb i="6276"/>
        </ext>
      </extLst>
    </bk>
    <bk>
      <extLst>
        <ext uri="{3e2802c4-a4d2-4d8b-9148-e3be6c30e623}">
          <xlrd:rvb i="6277"/>
        </ext>
      </extLst>
    </bk>
    <bk>
      <extLst>
        <ext uri="{3e2802c4-a4d2-4d8b-9148-e3be6c30e623}">
          <xlrd:rvb i="6278"/>
        </ext>
      </extLst>
    </bk>
    <bk>
      <extLst>
        <ext uri="{3e2802c4-a4d2-4d8b-9148-e3be6c30e623}">
          <xlrd:rvb i="6279"/>
        </ext>
      </extLst>
    </bk>
    <bk>
      <extLst>
        <ext uri="{3e2802c4-a4d2-4d8b-9148-e3be6c30e623}">
          <xlrd:rvb i="6280"/>
        </ext>
      </extLst>
    </bk>
    <bk>
      <extLst>
        <ext uri="{3e2802c4-a4d2-4d8b-9148-e3be6c30e623}">
          <xlrd:rvb i="6281"/>
        </ext>
      </extLst>
    </bk>
    <bk>
      <extLst>
        <ext uri="{3e2802c4-a4d2-4d8b-9148-e3be6c30e623}">
          <xlrd:rvb i="6282"/>
        </ext>
      </extLst>
    </bk>
    <bk>
      <extLst>
        <ext uri="{3e2802c4-a4d2-4d8b-9148-e3be6c30e623}">
          <xlrd:rvb i="6283"/>
        </ext>
      </extLst>
    </bk>
    <bk>
      <extLst>
        <ext uri="{3e2802c4-a4d2-4d8b-9148-e3be6c30e623}">
          <xlrd:rvb i="6284"/>
        </ext>
      </extLst>
    </bk>
    <bk>
      <extLst>
        <ext uri="{3e2802c4-a4d2-4d8b-9148-e3be6c30e623}">
          <xlrd:rvb i="6285"/>
        </ext>
      </extLst>
    </bk>
    <bk>
      <extLst>
        <ext uri="{3e2802c4-a4d2-4d8b-9148-e3be6c30e623}">
          <xlrd:rvb i="6286"/>
        </ext>
      </extLst>
    </bk>
    <bk>
      <extLst>
        <ext uri="{3e2802c4-a4d2-4d8b-9148-e3be6c30e623}">
          <xlrd:rvb i="6287"/>
        </ext>
      </extLst>
    </bk>
    <bk>
      <extLst>
        <ext uri="{3e2802c4-a4d2-4d8b-9148-e3be6c30e623}">
          <xlrd:rvb i="6288"/>
        </ext>
      </extLst>
    </bk>
    <bk>
      <extLst>
        <ext uri="{3e2802c4-a4d2-4d8b-9148-e3be6c30e623}">
          <xlrd:rvb i="6289"/>
        </ext>
      </extLst>
    </bk>
    <bk>
      <extLst>
        <ext uri="{3e2802c4-a4d2-4d8b-9148-e3be6c30e623}">
          <xlrd:rvb i="6290"/>
        </ext>
      </extLst>
    </bk>
    <bk>
      <extLst>
        <ext uri="{3e2802c4-a4d2-4d8b-9148-e3be6c30e623}">
          <xlrd:rvb i="6291"/>
        </ext>
      </extLst>
    </bk>
    <bk>
      <extLst>
        <ext uri="{3e2802c4-a4d2-4d8b-9148-e3be6c30e623}">
          <xlrd:rvb i="6292"/>
        </ext>
      </extLst>
    </bk>
    <bk>
      <extLst>
        <ext uri="{3e2802c4-a4d2-4d8b-9148-e3be6c30e623}">
          <xlrd:rvb i="6293"/>
        </ext>
      </extLst>
    </bk>
    <bk>
      <extLst>
        <ext uri="{3e2802c4-a4d2-4d8b-9148-e3be6c30e623}">
          <xlrd:rvb i="6294"/>
        </ext>
      </extLst>
    </bk>
    <bk>
      <extLst>
        <ext uri="{3e2802c4-a4d2-4d8b-9148-e3be6c30e623}">
          <xlrd:rvb i="6295"/>
        </ext>
      </extLst>
    </bk>
    <bk>
      <extLst>
        <ext uri="{3e2802c4-a4d2-4d8b-9148-e3be6c30e623}">
          <xlrd:rvb i="6296"/>
        </ext>
      </extLst>
    </bk>
    <bk>
      <extLst>
        <ext uri="{3e2802c4-a4d2-4d8b-9148-e3be6c30e623}">
          <xlrd:rvb i="6297"/>
        </ext>
      </extLst>
    </bk>
    <bk>
      <extLst>
        <ext uri="{3e2802c4-a4d2-4d8b-9148-e3be6c30e623}">
          <xlrd:rvb i="6298"/>
        </ext>
      </extLst>
    </bk>
    <bk>
      <extLst>
        <ext uri="{3e2802c4-a4d2-4d8b-9148-e3be6c30e623}">
          <xlrd:rvb i="6299"/>
        </ext>
      </extLst>
    </bk>
    <bk>
      <extLst>
        <ext uri="{3e2802c4-a4d2-4d8b-9148-e3be6c30e623}">
          <xlrd:rvb i="6300"/>
        </ext>
      </extLst>
    </bk>
    <bk>
      <extLst>
        <ext uri="{3e2802c4-a4d2-4d8b-9148-e3be6c30e623}">
          <xlrd:rvb i="6301"/>
        </ext>
      </extLst>
    </bk>
    <bk>
      <extLst>
        <ext uri="{3e2802c4-a4d2-4d8b-9148-e3be6c30e623}">
          <xlrd:rvb i="6302"/>
        </ext>
      </extLst>
    </bk>
    <bk>
      <extLst>
        <ext uri="{3e2802c4-a4d2-4d8b-9148-e3be6c30e623}">
          <xlrd:rvb i="6303"/>
        </ext>
      </extLst>
    </bk>
    <bk>
      <extLst>
        <ext uri="{3e2802c4-a4d2-4d8b-9148-e3be6c30e623}">
          <xlrd:rvb i="6304"/>
        </ext>
      </extLst>
    </bk>
    <bk>
      <extLst>
        <ext uri="{3e2802c4-a4d2-4d8b-9148-e3be6c30e623}">
          <xlrd:rvb i="6305"/>
        </ext>
      </extLst>
    </bk>
    <bk>
      <extLst>
        <ext uri="{3e2802c4-a4d2-4d8b-9148-e3be6c30e623}">
          <xlrd:rvb i="6306"/>
        </ext>
      </extLst>
    </bk>
    <bk>
      <extLst>
        <ext uri="{3e2802c4-a4d2-4d8b-9148-e3be6c30e623}">
          <xlrd:rvb i="6307"/>
        </ext>
      </extLst>
    </bk>
    <bk>
      <extLst>
        <ext uri="{3e2802c4-a4d2-4d8b-9148-e3be6c30e623}">
          <xlrd:rvb i="6308"/>
        </ext>
      </extLst>
    </bk>
    <bk>
      <extLst>
        <ext uri="{3e2802c4-a4d2-4d8b-9148-e3be6c30e623}">
          <xlrd:rvb i="6309"/>
        </ext>
      </extLst>
    </bk>
    <bk>
      <extLst>
        <ext uri="{3e2802c4-a4d2-4d8b-9148-e3be6c30e623}">
          <xlrd:rvb i="6310"/>
        </ext>
      </extLst>
    </bk>
    <bk>
      <extLst>
        <ext uri="{3e2802c4-a4d2-4d8b-9148-e3be6c30e623}">
          <xlrd:rvb i="6311"/>
        </ext>
      </extLst>
    </bk>
    <bk>
      <extLst>
        <ext uri="{3e2802c4-a4d2-4d8b-9148-e3be6c30e623}">
          <xlrd:rvb i="6312"/>
        </ext>
      </extLst>
    </bk>
    <bk>
      <extLst>
        <ext uri="{3e2802c4-a4d2-4d8b-9148-e3be6c30e623}">
          <xlrd:rvb i="6313"/>
        </ext>
      </extLst>
    </bk>
    <bk>
      <extLst>
        <ext uri="{3e2802c4-a4d2-4d8b-9148-e3be6c30e623}">
          <xlrd:rvb i="6314"/>
        </ext>
      </extLst>
    </bk>
    <bk>
      <extLst>
        <ext uri="{3e2802c4-a4d2-4d8b-9148-e3be6c30e623}">
          <xlrd:rvb i="6315"/>
        </ext>
      </extLst>
    </bk>
    <bk>
      <extLst>
        <ext uri="{3e2802c4-a4d2-4d8b-9148-e3be6c30e623}">
          <xlrd:rvb i="6316"/>
        </ext>
      </extLst>
    </bk>
    <bk>
      <extLst>
        <ext uri="{3e2802c4-a4d2-4d8b-9148-e3be6c30e623}">
          <xlrd:rvb i="6317"/>
        </ext>
      </extLst>
    </bk>
    <bk>
      <extLst>
        <ext uri="{3e2802c4-a4d2-4d8b-9148-e3be6c30e623}">
          <xlrd:rvb i="6318"/>
        </ext>
      </extLst>
    </bk>
    <bk>
      <extLst>
        <ext uri="{3e2802c4-a4d2-4d8b-9148-e3be6c30e623}">
          <xlrd:rvb i="6319"/>
        </ext>
      </extLst>
    </bk>
    <bk>
      <extLst>
        <ext uri="{3e2802c4-a4d2-4d8b-9148-e3be6c30e623}">
          <xlrd:rvb i="6320"/>
        </ext>
      </extLst>
    </bk>
    <bk>
      <extLst>
        <ext uri="{3e2802c4-a4d2-4d8b-9148-e3be6c30e623}">
          <xlrd:rvb i="6321"/>
        </ext>
      </extLst>
    </bk>
    <bk>
      <extLst>
        <ext uri="{3e2802c4-a4d2-4d8b-9148-e3be6c30e623}">
          <xlrd:rvb i="6322"/>
        </ext>
      </extLst>
    </bk>
    <bk>
      <extLst>
        <ext uri="{3e2802c4-a4d2-4d8b-9148-e3be6c30e623}">
          <xlrd:rvb i="6323"/>
        </ext>
      </extLst>
    </bk>
    <bk>
      <extLst>
        <ext uri="{3e2802c4-a4d2-4d8b-9148-e3be6c30e623}">
          <xlrd:rvb i="6324"/>
        </ext>
      </extLst>
    </bk>
    <bk>
      <extLst>
        <ext uri="{3e2802c4-a4d2-4d8b-9148-e3be6c30e623}">
          <xlrd:rvb i="6325"/>
        </ext>
      </extLst>
    </bk>
    <bk>
      <extLst>
        <ext uri="{3e2802c4-a4d2-4d8b-9148-e3be6c30e623}">
          <xlrd:rvb i="6326"/>
        </ext>
      </extLst>
    </bk>
    <bk>
      <extLst>
        <ext uri="{3e2802c4-a4d2-4d8b-9148-e3be6c30e623}">
          <xlrd:rvb i="6327"/>
        </ext>
      </extLst>
    </bk>
    <bk>
      <extLst>
        <ext uri="{3e2802c4-a4d2-4d8b-9148-e3be6c30e623}">
          <xlrd:rvb i="6328"/>
        </ext>
      </extLst>
    </bk>
    <bk>
      <extLst>
        <ext uri="{3e2802c4-a4d2-4d8b-9148-e3be6c30e623}">
          <xlrd:rvb i="6329"/>
        </ext>
      </extLst>
    </bk>
    <bk>
      <extLst>
        <ext uri="{3e2802c4-a4d2-4d8b-9148-e3be6c30e623}">
          <xlrd:rvb i="6330"/>
        </ext>
      </extLst>
    </bk>
    <bk>
      <extLst>
        <ext uri="{3e2802c4-a4d2-4d8b-9148-e3be6c30e623}">
          <xlrd:rvb i="6331"/>
        </ext>
      </extLst>
    </bk>
    <bk>
      <extLst>
        <ext uri="{3e2802c4-a4d2-4d8b-9148-e3be6c30e623}">
          <xlrd:rvb i="6332"/>
        </ext>
      </extLst>
    </bk>
    <bk>
      <extLst>
        <ext uri="{3e2802c4-a4d2-4d8b-9148-e3be6c30e623}">
          <xlrd:rvb i="6333"/>
        </ext>
      </extLst>
    </bk>
    <bk>
      <extLst>
        <ext uri="{3e2802c4-a4d2-4d8b-9148-e3be6c30e623}">
          <xlrd:rvb i="6334"/>
        </ext>
      </extLst>
    </bk>
    <bk>
      <extLst>
        <ext uri="{3e2802c4-a4d2-4d8b-9148-e3be6c30e623}">
          <xlrd:rvb i="6335"/>
        </ext>
      </extLst>
    </bk>
    <bk>
      <extLst>
        <ext uri="{3e2802c4-a4d2-4d8b-9148-e3be6c30e623}">
          <xlrd:rvb i="6336"/>
        </ext>
      </extLst>
    </bk>
    <bk>
      <extLst>
        <ext uri="{3e2802c4-a4d2-4d8b-9148-e3be6c30e623}">
          <xlrd:rvb i="6337"/>
        </ext>
      </extLst>
    </bk>
    <bk>
      <extLst>
        <ext uri="{3e2802c4-a4d2-4d8b-9148-e3be6c30e623}">
          <xlrd:rvb i="6338"/>
        </ext>
      </extLst>
    </bk>
    <bk>
      <extLst>
        <ext uri="{3e2802c4-a4d2-4d8b-9148-e3be6c30e623}">
          <xlrd:rvb i="6339"/>
        </ext>
      </extLst>
    </bk>
    <bk>
      <extLst>
        <ext uri="{3e2802c4-a4d2-4d8b-9148-e3be6c30e623}">
          <xlrd:rvb i="6340"/>
        </ext>
      </extLst>
    </bk>
    <bk>
      <extLst>
        <ext uri="{3e2802c4-a4d2-4d8b-9148-e3be6c30e623}">
          <xlrd:rvb i="6341"/>
        </ext>
      </extLst>
    </bk>
    <bk>
      <extLst>
        <ext uri="{3e2802c4-a4d2-4d8b-9148-e3be6c30e623}">
          <xlrd:rvb i="6342"/>
        </ext>
      </extLst>
    </bk>
    <bk>
      <extLst>
        <ext uri="{3e2802c4-a4d2-4d8b-9148-e3be6c30e623}">
          <xlrd:rvb i="6343"/>
        </ext>
      </extLst>
    </bk>
    <bk>
      <extLst>
        <ext uri="{3e2802c4-a4d2-4d8b-9148-e3be6c30e623}">
          <xlrd:rvb i="6344"/>
        </ext>
      </extLst>
    </bk>
    <bk>
      <extLst>
        <ext uri="{3e2802c4-a4d2-4d8b-9148-e3be6c30e623}">
          <xlrd:rvb i="6345"/>
        </ext>
      </extLst>
    </bk>
    <bk>
      <extLst>
        <ext uri="{3e2802c4-a4d2-4d8b-9148-e3be6c30e623}">
          <xlrd:rvb i="6346"/>
        </ext>
      </extLst>
    </bk>
    <bk>
      <extLst>
        <ext uri="{3e2802c4-a4d2-4d8b-9148-e3be6c30e623}">
          <xlrd:rvb i="6347"/>
        </ext>
      </extLst>
    </bk>
    <bk>
      <extLst>
        <ext uri="{3e2802c4-a4d2-4d8b-9148-e3be6c30e623}">
          <xlrd:rvb i="6348"/>
        </ext>
      </extLst>
    </bk>
    <bk>
      <extLst>
        <ext uri="{3e2802c4-a4d2-4d8b-9148-e3be6c30e623}">
          <xlrd:rvb i="6349"/>
        </ext>
      </extLst>
    </bk>
    <bk>
      <extLst>
        <ext uri="{3e2802c4-a4d2-4d8b-9148-e3be6c30e623}">
          <xlrd:rvb i="6350"/>
        </ext>
      </extLst>
    </bk>
    <bk>
      <extLst>
        <ext uri="{3e2802c4-a4d2-4d8b-9148-e3be6c30e623}">
          <xlrd:rvb i="6351"/>
        </ext>
      </extLst>
    </bk>
    <bk>
      <extLst>
        <ext uri="{3e2802c4-a4d2-4d8b-9148-e3be6c30e623}">
          <xlrd:rvb i="6352"/>
        </ext>
      </extLst>
    </bk>
    <bk>
      <extLst>
        <ext uri="{3e2802c4-a4d2-4d8b-9148-e3be6c30e623}">
          <xlrd:rvb i="6353"/>
        </ext>
      </extLst>
    </bk>
    <bk>
      <extLst>
        <ext uri="{3e2802c4-a4d2-4d8b-9148-e3be6c30e623}">
          <xlrd:rvb i="6354"/>
        </ext>
      </extLst>
    </bk>
    <bk>
      <extLst>
        <ext uri="{3e2802c4-a4d2-4d8b-9148-e3be6c30e623}">
          <xlrd:rvb i="6355"/>
        </ext>
      </extLst>
    </bk>
    <bk>
      <extLst>
        <ext uri="{3e2802c4-a4d2-4d8b-9148-e3be6c30e623}">
          <xlrd:rvb i="6356"/>
        </ext>
      </extLst>
    </bk>
    <bk>
      <extLst>
        <ext uri="{3e2802c4-a4d2-4d8b-9148-e3be6c30e623}">
          <xlrd:rvb i="6357"/>
        </ext>
      </extLst>
    </bk>
    <bk>
      <extLst>
        <ext uri="{3e2802c4-a4d2-4d8b-9148-e3be6c30e623}">
          <xlrd:rvb i="6358"/>
        </ext>
      </extLst>
    </bk>
    <bk>
      <extLst>
        <ext uri="{3e2802c4-a4d2-4d8b-9148-e3be6c30e623}">
          <xlrd:rvb i="6359"/>
        </ext>
      </extLst>
    </bk>
    <bk>
      <extLst>
        <ext uri="{3e2802c4-a4d2-4d8b-9148-e3be6c30e623}">
          <xlrd:rvb i="6360"/>
        </ext>
      </extLst>
    </bk>
    <bk>
      <extLst>
        <ext uri="{3e2802c4-a4d2-4d8b-9148-e3be6c30e623}">
          <xlrd:rvb i="6361"/>
        </ext>
      </extLst>
    </bk>
    <bk>
      <extLst>
        <ext uri="{3e2802c4-a4d2-4d8b-9148-e3be6c30e623}">
          <xlrd:rvb i="6362"/>
        </ext>
      </extLst>
    </bk>
    <bk>
      <extLst>
        <ext uri="{3e2802c4-a4d2-4d8b-9148-e3be6c30e623}">
          <xlrd:rvb i="6363"/>
        </ext>
      </extLst>
    </bk>
    <bk>
      <extLst>
        <ext uri="{3e2802c4-a4d2-4d8b-9148-e3be6c30e623}">
          <xlrd:rvb i="6364"/>
        </ext>
      </extLst>
    </bk>
    <bk>
      <extLst>
        <ext uri="{3e2802c4-a4d2-4d8b-9148-e3be6c30e623}">
          <xlrd:rvb i="6365"/>
        </ext>
      </extLst>
    </bk>
    <bk>
      <extLst>
        <ext uri="{3e2802c4-a4d2-4d8b-9148-e3be6c30e623}">
          <xlrd:rvb i="6366"/>
        </ext>
      </extLst>
    </bk>
    <bk>
      <extLst>
        <ext uri="{3e2802c4-a4d2-4d8b-9148-e3be6c30e623}">
          <xlrd:rvb i="6367"/>
        </ext>
      </extLst>
    </bk>
    <bk>
      <extLst>
        <ext uri="{3e2802c4-a4d2-4d8b-9148-e3be6c30e623}">
          <xlrd:rvb i="6368"/>
        </ext>
      </extLst>
    </bk>
    <bk>
      <extLst>
        <ext uri="{3e2802c4-a4d2-4d8b-9148-e3be6c30e623}">
          <xlrd:rvb i="6369"/>
        </ext>
      </extLst>
    </bk>
    <bk>
      <extLst>
        <ext uri="{3e2802c4-a4d2-4d8b-9148-e3be6c30e623}">
          <xlrd:rvb i="6370"/>
        </ext>
      </extLst>
    </bk>
    <bk>
      <extLst>
        <ext uri="{3e2802c4-a4d2-4d8b-9148-e3be6c30e623}">
          <xlrd:rvb i="6371"/>
        </ext>
      </extLst>
    </bk>
    <bk>
      <extLst>
        <ext uri="{3e2802c4-a4d2-4d8b-9148-e3be6c30e623}">
          <xlrd:rvb i="6372"/>
        </ext>
      </extLst>
    </bk>
    <bk>
      <extLst>
        <ext uri="{3e2802c4-a4d2-4d8b-9148-e3be6c30e623}">
          <xlrd:rvb i="6373"/>
        </ext>
      </extLst>
    </bk>
    <bk>
      <extLst>
        <ext uri="{3e2802c4-a4d2-4d8b-9148-e3be6c30e623}">
          <xlrd:rvb i="6374"/>
        </ext>
      </extLst>
    </bk>
    <bk>
      <extLst>
        <ext uri="{3e2802c4-a4d2-4d8b-9148-e3be6c30e623}">
          <xlrd:rvb i="6375"/>
        </ext>
      </extLst>
    </bk>
    <bk>
      <extLst>
        <ext uri="{3e2802c4-a4d2-4d8b-9148-e3be6c30e623}">
          <xlrd:rvb i="6376"/>
        </ext>
      </extLst>
    </bk>
    <bk>
      <extLst>
        <ext uri="{3e2802c4-a4d2-4d8b-9148-e3be6c30e623}">
          <xlrd:rvb i="6377"/>
        </ext>
      </extLst>
    </bk>
    <bk>
      <extLst>
        <ext uri="{3e2802c4-a4d2-4d8b-9148-e3be6c30e623}">
          <xlrd:rvb i="6378"/>
        </ext>
      </extLst>
    </bk>
    <bk>
      <extLst>
        <ext uri="{3e2802c4-a4d2-4d8b-9148-e3be6c30e623}">
          <xlrd:rvb i="6379"/>
        </ext>
      </extLst>
    </bk>
    <bk>
      <extLst>
        <ext uri="{3e2802c4-a4d2-4d8b-9148-e3be6c30e623}">
          <xlrd:rvb i="6380"/>
        </ext>
      </extLst>
    </bk>
    <bk>
      <extLst>
        <ext uri="{3e2802c4-a4d2-4d8b-9148-e3be6c30e623}">
          <xlrd:rvb i="6381"/>
        </ext>
      </extLst>
    </bk>
    <bk>
      <extLst>
        <ext uri="{3e2802c4-a4d2-4d8b-9148-e3be6c30e623}">
          <xlrd:rvb i="6382"/>
        </ext>
      </extLst>
    </bk>
    <bk>
      <extLst>
        <ext uri="{3e2802c4-a4d2-4d8b-9148-e3be6c30e623}">
          <xlrd:rvb i="6383"/>
        </ext>
      </extLst>
    </bk>
    <bk>
      <extLst>
        <ext uri="{3e2802c4-a4d2-4d8b-9148-e3be6c30e623}">
          <xlrd:rvb i="6384"/>
        </ext>
      </extLst>
    </bk>
    <bk>
      <extLst>
        <ext uri="{3e2802c4-a4d2-4d8b-9148-e3be6c30e623}">
          <xlrd:rvb i="6385"/>
        </ext>
      </extLst>
    </bk>
    <bk>
      <extLst>
        <ext uri="{3e2802c4-a4d2-4d8b-9148-e3be6c30e623}">
          <xlrd:rvb i="6386"/>
        </ext>
      </extLst>
    </bk>
    <bk>
      <extLst>
        <ext uri="{3e2802c4-a4d2-4d8b-9148-e3be6c30e623}">
          <xlrd:rvb i="6387"/>
        </ext>
      </extLst>
    </bk>
    <bk>
      <extLst>
        <ext uri="{3e2802c4-a4d2-4d8b-9148-e3be6c30e623}">
          <xlrd:rvb i="6388"/>
        </ext>
      </extLst>
    </bk>
    <bk>
      <extLst>
        <ext uri="{3e2802c4-a4d2-4d8b-9148-e3be6c30e623}">
          <xlrd:rvb i="6389"/>
        </ext>
      </extLst>
    </bk>
    <bk>
      <extLst>
        <ext uri="{3e2802c4-a4d2-4d8b-9148-e3be6c30e623}">
          <xlrd:rvb i="6390"/>
        </ext>
      </extLst>
    </bk>
    <bk>
      <extLst>
        <ext uri="{3e2802c4-a4d2-4d8b-9148-e3be6c30e623}">
          <xlrd:rvb i="6391"/>
        </ext>
      </extLst>
    </bk>
    <bk>
      <extLst>
        <ext uri="{3e2802c4-a4d2-4d8b-9148-e3be6c30e623}">
          <xlrd:rvb i="6392"/>
        </ext>
      </extLst>
    </bk>
    <bk>
      <extLst>
        <ext uri="{3e2802c4-a4d2-4d8b-9148-e3be6c30e623}">
          <xlrd:rvb i="6393"/>
        </ext>
      </extLst>
    </bk>
    <bk>
      <extLst>
        <ext uri="{3e2802c4-a4d2-4d8b-9148-e3be6c30e623}">
          <xlrd:rvb i="6394"/>
        </ext>
      </extLst>
    </bk>
    <bk>
      <extLst>
        <ext uri="{3e2802c4-a4d2-4d8b-9148-e3be6c30e623}">
          <xlrd:rvb i="6395"/>
        </ext>
      </extLst>
    </bk>
    <bk>
      <extLst>
        <ext uri="{3e2802c4-a4d2-4d8b-9148-e3be6c30e623}">
          <xlrd:rvb i="6396"/>
        </ext>
      </extLst>
    </bk>
    <bk>
      <extLst>
        <ext uri="{3e2802c4-a4d2-4d8b-9148-e3be6c30e623}">
          <xlrd:rvb i="6397"/>
        </ext>
      </extLst>
    </bk>
    <bk>
      <extLst>
        <ext uri="{3e2802c4-a4d2-4d8b-9148-e3be6c30e623}">
          <xlrd:rvb i="6398"/>
        </ext>
      </extLst>
    </bk>
    <bk>
      <extLst>
        <ext uri="{3e2802c4-a4d2-4d8b-9148-e3be6c30e623}">
          <xlrd:rvb i="6399"/>
        </ext>
      </extLst>
    </bk>
    <bk>
      <extLst>
        <ext uri="{3e2802c4-a4d2-4d8b-9148-e3be6c30e623}">
          <xlrd:rvb i="6400"/>
        </ext>
      </extLst>
    </bk>
    <bk>
      <extLst>
        <ext uri="{3e2802c4-a4d2-4d8b-9148-e3be6c30e623}">
          <xlrd:rvb i="6401"/>
        </ext>
      </extLst>
    </bk>
    <bk>
      <extLst>
        <ext uri="{3e2802c4-a4d2-4d8b-9148-e3be6c30e623}">
          <xlrd:rvb i="6402"/>
        </ext>
      </extLst>
    </bk>
    <bk>
      <extLst>
        <ext uri="{3e2802c4-a4d2-4d8b-9148-e3be6c30e623}">
          <xlrd:rvb i="6403"/>
        </ext>
      </extLst>
    </bk>
    <bk>
      <extLst>
        <ext uri="{3e2802c4-a4d2-4d8b-9148-e3be6c30e623}">
          <xlrd:rvb i="6404"/>
        </ext>
      </extLst>
    </bk>
    <bk>
      <extLst>
        <ext uri="{3e2802c4-a4d2-4d8b-9148-e3be6c30e623}">
          <xlrd:rvb i="6405"/>
        </ext>
      </extLst>
    </bk>
    <bk>
      <extLst>
        <ext uri="{3e2802c4-a4d2-4d8b-9148-e3be6c30e623}">
          <xlrd:rvb i="6406"/>
        </ext>
      </extLst>
    </bk>
    <bk>
      <extLst>
        <ext uri="{3e2802c4-a4d2-4d8b-9148-e3be6c30e623}">
          <xlrd:rvb i="6407"/>
        </ext>
      </extLst>
    </bk>
    <bk>
      <extLst>
        <ext uri="{3e2802c4-a4d2-4d8b-9148-e3be6c30e623}">
          <xlrd:rvb i="6408"/>
        </ext>
      </extLst>
    </bk>
    <bk>
      <extLst>
        <ext uri="{3e2802c4-a4d2-4d8b-9148-e3be6c30e623}">
          <xlrd:rvb i="6409"/>
        </ext>
      </extLst>
    </bk>
    <bk>
      <extLst>
        <ext uri="{3e2802c4-a4d2-4d8b-9148-e3be6c30e623}">
          <xlrd:rvb i="6410"/>
        </ext>
      </extLst>
    </bk>
    <bk>
      <extLst>
        <ext uri="{3e2802c4-a4d2-4d8b-9148-e3be6c30e623}">
          <xlrd:rvb i="6411"/>
        </ext>
      </extLst>
    </bk>
    <bk>
      <extLst>
        <ext uri="{3e2802c4-a4d2-4d8b-9148-e3be6c30e623}">
          <xlrd:rvb i="6412"/>
        </ext>
      </extLst>
    </bk>
    <bk>
      <extLst>
        <ext uri="{3e2802c4-a4d2-4d8b-9148-e3be6c30e623}">
          <xlrd:rvb i="6413"/>
        </ext>
      </extLst>
    </bk>
    <bk>
      <extLst>
        <ext uri="{3e2802c4-a4d2-4d8b-9148-e3be6c30e623}">
          <xlrd:rvb i="6414"/>
        </ext>
      </extLst>
    </bk>
    <bk>
      <extLst>
        <ext uri="{3e2802c4-a4d2-4d8b-9148-e3be6c30e623}">
          <xlrd:rvb i="6415"/>
        </ext>
      </extLst>
    </bk>
    <bk>
      <extLst>
        <ext uri="{3e2802c4-a4d2-4d8b-9148-e3be6c30e623}">
          <xlrd:rvb i="6416"/>
        </ext>
      </extLst>
    </bk>
    <bk>
      <extLst>
        <ext uri="{3e2802c4-a4d2-4d8b-9148-e3be6c30e623}">
          <xlrd:rvb i="6417"/>
        </ext>
      </extLst>
    </bk>
    <bk>
      <extLst>
        <ext uri="{3e2802c4-a4d2-4d8b-9148-e3be6c30e623}">
          <xlrd:rvb i="6418"/>
        </ext>
      </extLst>
    </bk>
    <bk>
      <extLst>
        <ext uri="{3e2802c4-a4d2-4d8b-9148-e3be6c30e623}">
          <xlrd:rvb i="6419"/>
        </ext>
      </extLst>
    </bk>
    <bk>
      <extLst>
        <ext uri="{3e2802c4-a4d2-4d8b-9148-e3be6c30e623}">
          <xlrd:rvb i="6420"/>
        </ext>
      </extLst>
    </bk>
    <bk>
      <extLst>
        <ext uri="{3e2802c4-a4d2-4d8b-9148-e3be6c30e623}">
          <xlrd:rvb i="6421"/>
        </ext>
      </extLst>
    </bk>
    <bk>
      <extLst>
        <ext uri="{3e2802c4-a4d2-4d8b-9148-e3be6c30e623}">
          <xlrd:rvb i="6422"/>
        </ext>
      </extLst>
    </bk>
    <bk>
      <extLst>
        <ext uri="{3e2802c4-a4d2-4d8b-9148-e3be6c30e623}">
          <xlrd:rvb i="6423"/>
        </ext>
      </extLst>
    </bk>
    <bk>
      <extLst>
        <ext uri="{3e2802c4-a4d2-4d8b-9148-e3be6c30e623}">
          <xlrd:rvb i="6424"/>
        </ext>
      </extLst>
    </bk>
    <bk>
      <extLst>
        <ext uri="{3e2802c4-a4d2-4d8b-9148-e3be6c30e623}">
          <xlrd:rvb i="6425"/>
        </ext>
      </extLst>
    </bk>
    <bk>
      <extLst>
        <ext uri="{3e2802c4-a4d2-4d8b-9148-e3be6c30e623}">
          <xlrd:rvb i="6426"/>
        </ext>
      </extLst>
    </bk>
    <bk>
      <extLst>
        <ext uri="{3e2802c4-a4d2-4d8b-9148-e3be6c30e623}">
          <xlrd:rvb i="6427"/>
        </ext>
      </extLst>
    </bk>
    <bk>
      <extLst>
        <ext uri="{3e2802c4-a4d2-4d8b-9148-e3be6c30e623}">
          <xlrd:rvb i="6428"/>
        </ext>
      </extLst>
    </bk>
    <bk>
      <extLst>
        <ext uri="{3e2802c4-a4d2-4d8b-9148-e3be6c30e623}">
          <xlrd:rvb i="6429"/>
        </ext>
      </extLst>
    </bk>
    <bk>
      <extLst>
        <ext uri="{3e2802c4-a4d2-4d8b-9148-e3be6c30e623}">
          <xlrd:rvb i="6430"/>
        </ext>
      </extLst>
    </bk>
    <bk>
      <extLst>
        <ext uri="{3e2802c4-a4d2-4d8b-9148-e3be6c30e623}">
          <xlrd:rvb i="6431"/>
        </ext>
      </extLst>
    </bk>
    <bk>
      <extLst>
        <ext uri="{3e2802c4-a4d2-4d8b-9148-e3be6c30e623}">
          <xlrd:rvb i="6432"/>
        </ext>
      </extLst>
    </bk>
    <bk>
      <extLst>
        <ext uri="{3e2802c4-a4d2-4d8b-9148-e3be6c30e623}">
          <xlrd:rvb i="6433"/>
        </ext>
      </extLst>
    </bk>
    <bk>
      <extLst>
        <ext uri="{3e2802c4-a4d2-4d8b-9148-e3be6c30e623}">
          <xlrd:rvb i="6434"/>
        </ext>
      </extLst>
    </bk>
    <bk>
      <extLst>
        <ext uri="{3e2802c4-a4d2-4d8b-9148-e3be6c30e623}">
          <xlrd:rvb i="6435"/>
        </ext>
      </extLst>
    </bk>
    <bk>
      <extLst>
        <ext uri="{3e2802c4-a4d2-4d8b-9148-e3be6c30e623}">
          <xlrd:rvb i="6436"/>
        </ext>
      </extLst>
    </bk>
    <bk>
      <extLst>
        <ext uri="{3e2802c4-a4d2-4d8b-9148-e3be6c30e623}">
          <xlrd:rvb i="6437"/>
        </ext>
      </extLst>
    </bk>
    <bk>
      <extLst>
        <ext uri="{3e2802c4-a4d2-4d8b-9148-e3be6c30e623}">
          <xlrd:rvb i="6438"/>
        </ext>
      </extLst>
    </bk>
    <bk>
      <extLst>
        <ext uri="{3e2802c4-a4d2-4d8b-9148-e3be6c30e623}">
          <xlrd:rvb i="6439"/>
        </ext>
      </extLst>
    </bk>
    <bk>
      <extLst>
        <ext uri="{3e2802c4-a4d2-4d8b-9148-e3be6c30e623}">
          <xlrd:rvb i="6440"/>
        </ext>
      </extLst>
    </bk>
    <bk>
      <extLst>
        <ext uri="{3e2802c4-a4d2-4d8b-9148-e3be6c30e623}">
          <xlrd:rvb i="6441"/>
        </ext>
      </extLst>
    </bk>
    <bk>
      <extLst>
        <ext uri="{3e2802c4-a4d2-4d8b-9148-e3be6c30e623}">
          <xlrd:rvb i="6442"/>
        </ext>
      </extLst>
    </bk>
    <bk>
      <extLst>
        <ext uri="{3e2802c4-a4d2-4d8b-9148-e3be6c30e623}">
          <xlrd:rvb i="6443"/>
        </ext>
      </extLst>
    </bk>
    <bk>
      <extLst>
        <ext uri="{3e2802c4-a4d2-4d8b-9148-e3be6c30e623}">
          <xlrd:rvb i="6444"/>
        </ext>
      </extLst>
    </bk>
    <bk>
      <extLst>
        <ext uri="{3e2802c4-a4d2-4d8b-9148-e3be6c30e623}">
          <xlrd:rvb i="6445"/>
        </ext>
      </extLst>
    </bk>
    <bk>
      <extLst>
        <ext uri="{3e2802c4-a4d2-4d8b-9148-e3be6c30e623}">
          <xlrd:rvb i="6446"/>
        </ext>
      </extLst>
    </bk>
    <bk>
      <extLst>
        <ext uri="{3e2802c4-a4d2-4d8b-9148-e3be6c30e623}">
          <xlrd:rvb i="6447"/>
        </ext>
      </extLst>
    </bk>
    <bk>
      <extLst>
        <ext uri="{3e2802c4-a4d2-4d8b-9148-e3be6c30e623}">
          <xlrd:rvb i="6448"/>
        </ext>
      </extLst>
    </bk>
    <bk>
      <extLst>
        <ext uri="{3e2802c4-a4d2-4d8b-9148-e3be6c30e623}">
          <xlrd:rvb i="6449"/>
        </ext>
      </extLst>
    </bk>
    <bk>
      <extLst>
        <ext uri="{3e2802c4-a4d2-4d8b-9148-e3be6c30e623}">
          <xlrd:rvb i="6450"/>
        </ext>
      </extLst>
    </bk>
    <bk>
      <extLst>
        <ext uri="{3e2802c4-a4d2-4d8b-9148-e3be6c30e623}">
          <xlrd:rvb i="6451"/>
        </ext>
      </extLst>
    </bk>
    <bk>
      <extLst>
        <ext uri="{3e2802c4-a4d2-4d8b-9148-e3be6c30e623}">
          <xlrd:rvb i="6452"/>
        </ext>
      </extLst>
    </bk>
    <bk>
      <extLst>
        <ext uri="{3e2802c4-a4d2-4d8b-9148-e3be6c30e623}">
          <xlrd:rvb i="6453"/>
        </ext>
      </extLst>
    </bk>
    <bk>
      <extLst>
        <ext uri="{3e2802c4-a4d2-4d8b-9148-e3be6c30e623}">
          <xlrd:rvb i="6454"/>
        </ext>
      </extLst>
    </bk>
    <bk>
      <extLst>
        <ext uri="{3e2802c4-a4d2-4d8b-9148-e3be6c30e623}">
          <xlrd:rvb i="6455"/>
        </ext>
      </extLst>
    </bk>
    <bk>
      <extLst>
        <ext uri="{3e2802c4-a4d2-4d8b-9148-e3be6c30e623}">
          <xlrd:rvb i="6456"/>
        </ext>
      </extLst>
    </bk>
    <bk>
      <extLst>
        <ext uri="{3e2802c4-a4d2-4d8b-9148-e3be6c30e623}">
          <xlrd:rvb i="6457"/>
        </ext>
      </extLst>
    </bk>
    <bk>
      <extLst>
        <ext uri="{3e2802c4-a4d2-4d8b-9148-e3be6c30e623}">
          <xlrd:rvb i="6458"/>
        </ext>
      </extLst>
    </bk>
    <bk>
      <extLst>
        <ext uri="{3e2802c4-a4d2-4d8b-9148-e3be6c30e623}">
          <xlrd:rvb i="6459"/>
        </ext>
      </extLst>
    </bk>
    <bk>
      <extLst>
        <ext uri="{3e2802c4-a4d2-4d8b-9148-e3be6c30e623}">
          <xlrd:rvb i="6460"/>
        </ext>
      </extLst>
    </bk>
    <bk>
      <extLst>
        <ext uri="{3e2802c4-a4d2-4d8b-9148-e3be6c30e623}">
          <xlrd:rvb i="6461"/>
        </ext>
      </extLst>
    </bk>
    <bk>
      <extLst>
        <ext uri="{3e2802c4-a4d2-4d8b-9148-e3be6c30e623}">
          <xlrd:rvb i="6462"/>
        </ext>
      </extLst>
    </bk>
    <bk>
      <extLst>
        <ext uri="{3e2802c4-a4d2-4d8b-9148-e3be6c30e623}">
          <xlrd:rvb i="6463"/>
        </ext>
      </extLst>
    </bk>
    <bk>
      <extLst>
        <ext uri="{3e2802c4-a4d2-4d8b-9148-e3be6c30e623}">
          <xlrd:rvb i="6464"/>
        </ext>
      </extLst>
    </bk>
    <bk>
      <extLst>
        <ext uri="{3e2802c4-a4d2-4d8b-9148-e3be6c30e623}">
          <xlrd:rvb i="6465"/>
        </ext>
      </extLst>
    </bk>
    <bk>
      <extLst>
        <ext uri="{3e2802c4-a4d2-4d8b-9148-e3be6c30e623}">
          <xlrd:rvb i="6466"/>
        </ext>
      </extLst>
    </bk>
    <bk>
      <extLst>
        <ext uri="{3e2802c4-a4d2-4d8b-9148-e3be6c30e623}">
          <xlrd:rvb i="6467"/>
        </ext>
      </extLst>
    </bk>
    <bk>
      <extLst>
        <ext uri="{3e2802c4-a4d2-4d8b-9148-e3be6c30e623}">
          <xlrd:rvb i="6468"/>
        </ext>
      </extLst>
    </bk>
    <bk>
      <extLst>
        <ext uri="{3e2802c4-a4d2-4d8b-9148-e3be6c30e623}">
          <xlrd:rvb i="6469"/>
        </ext>
      </extLst>
    </bk>
    <bk>
      <extLst>
        <ext uri="{3e2802c4-a4d2-4d8b-9148-e3be6c30e623}">
          <xlrd:rvb i="6470"/>
        </ext>
      </extLst>
    </bk>
    <bk>
      <extLst>
        <ext uri="{3e2802c4-a4d2-4d8b-9148-e3be6c30e623}">
          <xlrd:rvb i="6471"/>
        </ext>
      </extLst>
    </bk>
    <bk>
      <extLst>
        <ext uri="{3e2802c4-a4d2-4d8b-9148-e3be6c30e623}">
          <xlrd:rvb i="6472"/>
        </ext>
      </extLst>
    </bk>
    <bk>
      <extLst>
        <ext uri="{3e2802c4-a4d2-4d8b-9148-e3be6c30e623}">
          <xlrd:rvb i="6473"/>
        </ext>
      </extLst>
    </bk>
    <bk>
      <extLst>
        <ext uri="{3e2802c4-a4d2-4d8b-9148-e3be6c30e623}">
          <xlrd:rvb i="6474"/>
        </ext>
      </extLst>
    </bk>
    <bk>
      <extLst>
        <ext uri="{3e2802c4-a4d2-4d8b-9148-e3be6c30e623}">
          <xlrd:rvb i="6475"/>
        </ext>
      </extLst>
    </bk>
    <bk>
      <extLst>
        <ext uri="{3e2802c4-a4d2-4d8b-9148-e3be6c30e623}">
          <xlrd:rvb i="6476"/>
        </ext>
      </extLst>
    </bk>
    <bk>
      <extLst>
        <ext uri="{3e2802c4-a4d2-4d8b-9148-e3be6c30e623}">
          <xlrd:rvb i="6477"/>
        </ext>
      </extLst>
    </bk>
    <bk>
      <extLst>
        <ext uri="{3e2802c4-a4d2-4d8b-9148-e3be6c30e623}">
          <xlrd:rvb i="6478"/>
        </ext>
      </extLst>
    </bk>
    <bk>
      <extLst>
        <ext uri="{3e2802c4-a4d2-4d8b-9148-e3be6c30e623}">
          <xlrd:rvb i="6479"/>
        </ext>
      </extLst>
    </bk>
    <bk>
      <extLst>
        <ext uri="{3e2802c4-a4d2-4d8b-9148-e3be6c30e623}">
          <xlrd:rvb i="6480"/>
        </ext>
      </extLst>
    </bk>
    <bk>
      <extLst>
        <ext uri="{3e2802c4-a4d2-4d8b-9148-e3be6c30e623}">
          <xlrd:rvb i="6481"/>
        </ext>
      </extLst>
    </bk>
    <bk>
      <extLst>
        <ext uri="{3e2802c4-a4d2-4d8b-9148-e3be6c30e623}">
          <xlrd:rvb i="6482"/>
        </ext>
      </extLst>
    </bk>
    <bk>
      <extLst>
        <ext uri="{3e2802c4-a4d2-4d8b-9148-e3be6c30e623}">
          <xlrd:rvb i="6483"/>
        </ext>
      </extLst>
    </bk>
    <bk>
      <extLst>
        <ext uri="{3e2802c4-a4d2-4d8b-9148-e3be6c30e623}">
          <xlrd:rvb i="6484"/>
        </ext>
      </extLst>
    </bk>
    <bk>
      <extLst>
        <ext uri="{3e2802c4-a4d2-4d8b-9148-e3be6c30e623}">
          <xlrd:rvb i="6485"/>
        </ext>
      </extLst>
    </bk>
    <bk>
      <extLst>
        <ext uri="{3e2802c4-a4d2-4d8b-9148-e3be6c30e623}">
          <xlrd:rvb i="6486"/>
        </ext>
      </extLst>
    </bk>
    <bk>
      <extLst>
        <ext uri="{3e2802c4-a4d2-4d8b-9148-e3be6c30e623}">
          <xlrd:rvb i="6487"/>
        </ext>
      </extLst>
    </bk>
    <bk>
      <extLst>
        <ext uri="{3e2802c4-a4d2-4d8b-9148-e3be6c30e623}">
          <xlrd:rvb i="6488"/>
        </ext>
      </extLst>
    </bk>
    <bk>
      <extLst>
        <ext uri="{3e2802c4-a4d2-4d8b-9148-e3be6c30e623}">
          <xlrd:rvb i="6489"/>
        </ext>
      </extLst>
    </bk>
    <bk>
      <extLst>
        <ext uri="{3e2802c4-a4d2-4d8b-9148-e3be6c30e623}">
          <xlrd:rvb i="6490"/>
        </ext>
      </extLst>
    </bk>
    <bk>
      <extLst>
        <ext uri="{3e2802c4-a4d2-4d8b-9148-e3be6c30e623}">
          <xlrd:rvb i="6491"/>
        </ext>
      </extLst>
    </bk>
    <bk>
      <extLst>
        <ext uri="{3e2802c4-a4d2-4d8b-9148-e3be6c30e623}">
          <xlrd:rvb i="6492"/>
        </ext>
      </extLst>
    </bk>
    <bk>
      <extLst>
        <ext uri="{3e2802c4-a4d2-4d8b-9148-e3be6c30e623}">
          <xlrd:rvb i="6493"/>
        </ext>
      </extLst>
    </bk>
    <bk>
      <extLst>
        <ext uri="{3e2802c4-a4d2-4d8b-9148-e3be6c30e623}">
          <xlrd:rvb i="6494"/>
        </ext>
      </extLst>
    </bk>
    <bk>
      <extLst>
        <ext uri="{3e2802c4-a4d2-4d8b-9148-e3be6c30e623}">
          <xlrd:rvb i="6495"/>
        </ext>
      </extLst>
    </bk>
    <bk>
      <extLst>
        <ext uri="{3e2802c4-a4d2-4d8b-9148-e3be6c30e623}">
          <xlrd:rvb i="6496"/>
        </ext>
      </extLst>
    </bk>
    <bk>
      <extLst>
        <ext uri="{3e2802c4-a4d2-4d8b-9148-e3be6c30e623}">
          <xlrd:rvb i="6497"/>
        </ext>
      </extLst>
    </bk>
    <bk>
      <extLst>
        <ext uri="{3e2802c4-a4d2-4d8b-9148-e3be6c30e623}">
          <xlrd:rvb i="6498"/>
        </ext>
      </extLst>
    </bk>
    <bk>
      <extLst>
        <ext uri="{3e2802c4-a4d2-4d8b-9148-e3be6c30e623}">
          <xlrd:rvb i="6499"/>
        </ext>
      </extLst>
    </bk>
    <bk>
      <extLst>
        <ext uri="{3e2802c4-a4d2-4d8b-9148-e3be6c30e623}">
          <xlrd:rvb i="6500"/>
        </ext>
      </extLst>
    </bk>
    <bk>
      <extLst>
        <ext uri="{3e2802c4-a4d2-4d8b-9148-e3be6c30e623}">
          <xlrd:rvb i="6501"/>
        </ext>
      </extLst>
    </bk>
    <bk>
      <extLst>
        <ext uri="{3e2802c4-a4d2-4d8b-9148-e3be6c30e623}">
          <xlrd:rvb i="6502"/>
        </ext>
      </extLst>
    </bk>
    <bk>
      <extLst>
        <ext uri="{3e2802c4-a4d2-4d8b-9148-e3be6c30e623}">
          <xlrd:rvb i="6503"/>
        </ext>
      </extLst>
    </bk>
    <bk>
      <extLst>
        <ext uri="{3e2802c4-a4d2-4d8b-9148-e3be6c30e623}">
          <xlrd:rvb i="6504"/>
        </ext>
      </extLst>
    </bk>
    <bk>
      <extLst>
        <ext uri="{3e2802c4-a4d2-4d8b-9148-e3be6c30e623}">
          <xlrd:rvb i="6505"/>
        </ext>
      </extLst>
    </bk>
    <bk>
      <extLst>
        <ext uri="{3e2802c4-a4d2-4d8b-9148-e3be6c30e623}">
          <xlrd:rvb i="6506"/>
        </ext>
      </extLst>
    </bk>
    <bk>
      <extLst>
        <ext uri="{3e2802c4-a4d2-4d8b-9148-e3be6c30e623}">
          <xlrd:rvb i="6507"/>
        </ext>
      </extLst>
    </bk>
    <bk>
      <extLst>
        <ext uri="{3e2802c4-a4d2-4d8b-9148-e3be6c30e623}">
          <xlrd:rvb i="6508"/>
        </ext>
      </extLst>
    </bk>
    <bk>
      <extLst>
        <ext uri="{3e2802c4-a4d2-4d8b-9148-e3be6c30e623}">
          <xlrd:rvb i="6509"/>
        </ext>
      </extLst>
    </bk>
    <bk>
      <extLst>
        <ext uri="{3e2802c4-a4d2-4d8b-9148-e3be6c30e623}">
          <xlrd:rvb i="6510"/>
        </ext>
      </extLst>
    </bk>
    <bk>
      <extLst>
        <ext uri="{3e2802c4-a4d2-4d8b-9148-e3be6c30e623}">
          <xlrd:rvb i="6511"/>
        </ext>
      </extLst>
    </bk>
    <bk>
      <extLst>
        <ext uri="{3e2802c4-a4d2-4d8b-9148-e3be6c30e623}">
          <xlrd:rvb i="6512"/>
        </ext>
      </extLst>
    </bk>
    <bk>
      <extLst>
        <ext uri="{3e2802c4-a4d2-4d8b-9148-e3be6c30e623}">
          <xlrd:rvb i="6513"/>
        </ext>
      </extLst>
    </bk>
    <bk>
      <extLst>
        <ext uri="{3e2802c4-a4d2-4d8b-9148-e3be6c30e623}">
          <xlrd:rvb i="6514"/>
        </ext>
      </extLst>
    </bk>
    <bk>
      <extLst>
        <ext uri="{3e2802c4-a4d2-4d8b-9148-e3be6c30e623}">
          <xlrd:rvb i="6515"/>
        </ext>
      </extLst>
    </bk>
    <bk>
      <extLst>
        <ext uri="{3e2802c4-a4d2-4d8b-9148-e3be6c30e623}">
          <xlrd:rvb i="6516"/>
        </ext>
      </extLst>
    </bk>
    <bk>
      <extLst>
        <ext uri="{3e2802c4-a4d2-4d8b-9148-e3be6c30e623}">
          <xlrd:rvb i="6517"/>
        </ext>
      </extLst>
    </bk>
    <bk>
      <extLst>
        <ext uri="{3e2802c4-a4d2-4d8b-9148-e3be6c30e623}">
          <xlrd:rvb i="6518"/>
        </ext>
      </extLst>
    </bk>
    <bk>
      <extLst>
        <ext uri="{3e2802c4-a4d2-4d8b-9148-e3be6c30e623}">
          <xlrd:rvb i="6519"/>
        </ext>
      </extLst>
    </bk>
    <bk>
      <extLst>
        <ext uri="{3e2802c4-a4d2-4d8b-9148-e3be6c30e623}">
          <xlrd:rvb i="6520"/>
        </ext>
      </extLst>
    </bk>
    <bk>
      <extLst>
        <ext uri="{3e2802c4-a4d2-4d8b-9148-e3be6c30e623}">
          <xlrd:rvb i="6521"/>
        </ext>
      </extLst>
    </bk>
    <bk>
      <extLst>
        <ext uri="{3e2802c4-a4d2-4d8b-9148-e3be6c30e623}">
          <xlrd:rvb i="6522"/>
        </ext>
      </extLst>
    </bk>
    <bk>
      <extLst>
        <ext uri="{3e2802c4-a4d2-4d8b-9148-e3be6c30e623}">
          <xlrd:rvb i="6523"/>
        </ext>
      </extLst>
    </bk>
    <bk>
      <extLst>
        <ext uri="{3e2802c4-a4d2-4d8b-9148-e3be6c30e623}">
          <xlrd:rvb i="6524"/>
        </ext>
      </extLst>
    </bk>
    <bk>
      <extLst>
        <ext uri="{3e2802c4-a4d2-4d8b-9148-e3be6c30e623}">
          <xlrd:rvb i="6525"/>
        </ext>
      </extLst>
    </bk>
    <bk>
      <extLst>
        <ext uri="{3e2802c4-a4d2-4d8b-9148-e3be6c30e623}">
          <xlrd:rvb i="6526"/>
        </ext>
      </extLst>
    </bk>
    <bk>
      <extLst>
        <ext uri="{3e2802c4-a4d2-4d8b-9148-e3be6c30e623}">
          <xlrd:rvb i="6527"/>
        </ext>
      </extLst>
    </bk>
    <bk>
      <extLst>
        <ext uri="{3e2802c4-a4d2-4d8b-9148-e3be6c30e623}">
          <xlrd:rvb i="6528"/>
        </ext>
      </extLst>
    </bk>
    <bk>
      <extLst>
        <ext uri="{3e2802c4-a4d2-4d8b-9148-e3be6c30e623}">
          <xlrd:rvb i="6529"/>
        </ext>
      </extLst>
    </bk>
    <bk>
      <extLst>
        <ext uri="{3e2802c4-a4d2-4d8b-9148-e3be6c30e623}">
          <xlrd:rvb i="6530"/>
        </ext>
      </extLst>
    </bk>
    <bk>
      <extLst>
        <ext uri="{3e2802c4-a4d2-4d8b-9148-e3be6c30e623}">
          <xlrd:rvb i="6531"/>
        </ext>
      </extLst>
    </bk>
    <bk>
      <extLst>
        <ext uri="{3e2802c4-a4d2-4d8b-9148-e3be6c30e623}">
          <xlrd:rvb i="6532"/>
        </ext>
      </extLst>
    </bk>
    <bk>
      <extLst>
        <ext uri="{3e2802c4-a4d2-4d8b-9148-e3be6c30e623}">
          <xlrd:rvb i="6533"/>
        </ext>
      </extLst>
    </bk>
    <bk>
      <extLst>
        <ext uri="{3e2802c4-a4d2-4d8b-9148-e3be6c30e623}">
          <xlrd:rvb i="6534"/>
        </ext>
      </extLst>
    </bk>
    <bk>
      <extLst>
        <ext uri="{3e2802c4-a4d2-4d8b-9148-e3be6c30e623}">
          <xlrd:rvb i="6535"/>
        </ext>
      </extLst>
    </bk>
    <bk>
      <extLst>
        <ext uri="{3e2802c4-a4d2-4d8b-9148-e3be6c30e623}">
          <xlrd:rvb i="6536"/>
        </ext>
      </extLst>
    </bk>
    <bk>
      <extLst>
        <ext uri="{3e2802c4-a4d2-4d8b-9148-e3be6c30e623}">
          <xlrd:rvb i="6537"/>
        </ext>
      </extLst>
    </bk>
    <bk>
      <extLst>
        <ext uri="{3e2802c4-a4d2-4d8b-9148-e3be6c30e623}">
          <xlrd:rvb i="6538"/>
        </ext>
      </extLst>
    </bk>
    <bk>
      <extLst>
        <ext uri="{3e2802c4-a4d2-4d8b-9148-e3be6c30e623}">
          <xlrd:rvb i="6539"/>
        </ext>
      </extLst>
    </bk>
    <bk>
      <extLst>
        <ext uri="{3e2802c4-a4d2-4d8b-9148-e3be6c30e623}">
          <xlrd:rvb i="6540"/>
        </ext>
      </extLst>
    </bk>
    <bk>
      <extLst>
        <ext uri="{3e2802c4-a4d2-4d8b-9148-e3be6c30e623}">
          <xlrd:rvb i="6541"/>
        </ext>
      </extLst>
    </bk>
    <bk>
      <extLst>
        <ext uri="{3e2802c4-a4d2-4d8b-9148-e3be6c30e623}">
          <xlrd:rvb i="6542"/>
        </ext>
      </extLst>
    </bk>
    <bk>
      <extLst>
        <ext uri="{3e2802c4-a4d2-4d8b-9148-e3be6c30e623}">
          <xlrd:rvb i="6543"/>
        </ext>
      </extLst>
    </bk>
    <bk>
      <extLst>
        <ext uri="{3e2802c4-a4d2-4d8b-9148-e3be6c30e623}">
          <xlrd:rvb i="6544"/>
        </ext>
      </extLst>
    </bk>
    <bk>
      <extLst>
        <ext uri="{3e2802c4-a4d2-4d8b-9148-e3be6c30e623}">
          <xlrd:rvb i="6545"/>
        </ext>
      </extLst>
    </bk>
    <bk>
      <extLst>
        <ext uri="{3e2802c4-a4d2-4d8b-9148-e3be6c30e623}">
          <xlrd:rvb i="6546"/>
        </ext>
      </extLst>
    </bk>
    <bk>
      <extLst>
        <ext uri="{3e2802c4-a4d2-4d8b-9148-e3be6c30e623}">
          <xlrd:rvb i="6547"/>
        </ext>
      </extLst>
    </bk>
    <bk>
      <extLst>
        <ext uri="{3e2802c4-a4d2-4d8b-9148-e3be6c30e623}">
          <xlrd:rvb i="6548"/>
        </ext>
      </extLst>
    </bk>
    <bk>
      <extLst>
        <ext uri="{3e2802c4-a4d2-4d8b-9148-e3be6c30e623}">
          <xlrd:rvb i="6549"/>
        </ext>
      </extLst>
    </bk>
    <bk>
      <extLst>
        <ext uri="{3e2802c4-a4d2-4d8b-9148-e3be6c30e623}">
          <xlrd:rvb i="6550"/>
        </ext>
      </extLst>
    </bk>
    <bk>
      <extLst>
        <ext uri="{3e2802c4-a4d2-4d8b-9148-e3be6c30e623}">
          <xlrd:rvb i="6551"/>
        </ext>
      </extLst>
    </bk>
    <bk>
      <extLst>
        <ext uri="{3e2802c4-a4d2-4d8b-9148-e3be6c30e623}">
          <xlrd:rvb i="6552"/>
        </ext>
      </extLst>
    </bk>
    <bk>
      <extLst>
        <ext uri="{3e2802c4-a4d2-4d8b-9148-e3be6c30e623}">
          <xlrd:rvb i="6553"/>
        </ext>
      </extLst>
    </bk>
    <bk>
      <extLst>
        <ext uri="{3e2802c4-a4d2-4d8b-9148-e3be6c30e623}">
          <xlrd:rvb i="6554"/>
        </ext>
      </extLst>
    </bk>
    <bk>
      <extLst>
        <ext uri="{3e2802c4-a4d2-4d8b-9148-e3be6c30e623}">
          <xlrd:rvb i="6555"/>
        </ext>
      </extLst>
    </bk>
    <bk>
      <extLst>
        <ext uri="{3e2802c4-a4d2-4d8b-9148-e3be6c30e623}">
          <xlrd:rvb i="6556"/>
        </ext>
      </extLst>
    </bk>
    <bk>
      <extLst>
        <ext uri="{3e2802c4-a4d2-4d8b-9148-e3be6c30e623}">
          <xlrd:rvb i="6557"/>
        </ext>
      </extLst>
    </bk>
    <bk>
      <extLst>
        <ext uri="{3e2802c4-a4d2-4d8b-9148-e3be6c30e623}">
          <xlrd:rvb i="6558"/>
        </ext>
      </extLst>
    </bk>
    <bk>
      <extLst>
        <ext uri="{3e2802c4-a4d2-4d8b-9148-e3be6c30e623}">
          <xlrd:rvb i="6559"/>
        </ext>
      </extLst>
    </bk>
    <bk>
      <extLst>
        <ext uri="{3e2802c4-a4d2-4d8b-9148-e3be6c30e623}">
          <xlrd:rvb i="6560"/>
        </ext>
      </extLst>
    </bk>
    <bk>
      <extLst>
        <ext uri="{3e2802c4-a4d2-4d8b-9148-e3be6c30e623}">
          <xlrd:rvb i="6561"/>
        </ext>
      </extLst>
    </bk>
    <bk>
      <extLst>
        <ext uri="{3e2802c4-a4d2-4d8b-9148-e3be6c30e623}">
          <xlrd:rvb i="6562"/>
        </ext>
      </extLst>
    </bk>
    <bk>
      <extLst>
        <ext uri="{3e2802c4-a4d2-4d8b-9148-e3be6c30e623}">
          <xlrd:rvb i="6563"/>
        </ext>
      </extLst>
    </bk>
    <bk>
      <extLst>
        <ext uri="{3e2802c4-a4d2-4d8b-9148-e3be6c30e623}">
          <xlrd:rvb i="6564"/>
        </ext>
      </extLst>
    </bk>
    <bk>
      <extLst>
        <ext uri="{3e2802c4-a4d2-4d8b-9148-e3be6c30e623}">
          <xlrd:rvb i="6565"/>
        </ext>
      </extLst>
    </bk>
    <bk>
      <extLst>
        <ext uri="{3e2802c4-a4d2-4d8b-9148-e3be6c30e623}">
          <xlrd:rvb i="6566"/>
        </ext>
      </extLst>
    </bk>
    <bk>
      <extLst>
        <ext uri="{3e2802c4-a4d2-4d8b-9148-e3be6c30e623}">
          <xlrd:rvb i="6567"/>
        </ext>
      </extLst>
    </bk>
    <bk>
      <extLst>
        <ext uri="{3e2802c4-a4d2-4d8b-9148-e3be6c30e623}">
          <xlrd:rvb i="6568"/>
        </ext>
      </extLst>
    </bk>
    <bk>
      <extLst>
        <ext uri="{3e2802c4-a4d2-4d8b-9148-e3be6c30e623}">
          <xlrd:rvb i="6569"/>
        </ext>
      </extLst>
    </bk>
    <bk>
      <extLst>
        <ext uri="{3e2802c4-a4d2-4d8b-9148-e3be6c30e623}">
          <xlrd:rvb i="6570"/>
        </ext>
      </extLst>
    </bk>
    <bk>
      <extLst>
        <ext uri="{3e2802c4-a4d2-4d8b-9148-e3be6c30e623}">
          <xlrd:rvb i="6571"/>
        </ext>
      </extLst>
    </bk>
    <bk>
      <extLst>
        <ext uri="{3e2802c4-a4d2-4d8b-9148-e3be6c30e623}">
          <xlrd:rvb i="6572"/>
        </ext>
      </extLst>
    </bk>
    <bk>
      <extLst>
        <ext uri="{3e2802c4-a4d2-4d8b-9148-e3be6c30e623}">
          <xlrd:rvb i="6573"/>
        </ext>
      </extLst>
    </bk>
    <bk>
      <extLst>
        <ext uri="{3e2802c4-a4d2-4d8b-9148-e3be6c30e623}">
          <xlrd:rvb i="6574"/>
        </ext>
      </extLst>
    </bk>
    <bk>
      <extLst>
        <ext uri="{3e2802c4-a4d2-4d8b-9148-e3be6c30e623}">
          <xlrd:rvb i="6575"/>
        </ext>
      </extLst>
    </bk>
    <bk>
      <extLst>
        <ext uri="{3e2802c4-a4d2-4d8b-9148-e3be6c30e623}">
          <xlrd:rvb i="6576"/>
        </ext>
      </extLst>
    </bk>
    <bk>
      <extLst>
        <ext uri="{3e2802c4-a4d2-4d8b-9148-e3be6c30e623}">
          <xlrd:rvb i="6577"/>
        </ext>
      </extLst>
    </bk>
    <bk>
      <extLst>
        <ext uri="{3e2802c4-a4d2-4d8b-9148-e3be6c30e623}">
          <xlrd:rvb i="6578"/>
        </ext>
      </extLst>
    </bk>
    <bk>
      <extLst>
        <ext uri="{3e2802c4-a4d2-4d8b-9148-e3be6c30e623}">
          <xlrd:rvb i="6579"/>
        </ext>
      </extLst>
    </bk>
    <bk>
      <extLst>
        <ext uri="{3e2802c4-a4d2-4d8b-9148-e3be6c30e623}">
          <xlrd:rvb i="6580"/>
        </ext>
      </extLst>
    </bk>
    <bk>
      <extLst>
        <ext uri="{3e2802c4-a4d2-4d8b-9148-e3be6c30e623}">
          <xlrd:rvb i="6581"/>
        </ext>
      </extLst>
    </bk>
    <bk>
      <extLst>
        <ext uri="{3e2802c4-a4d2-4d8b-9148-e3be6c30e623}">
          <xlrd:rvb i="6582"/>
        </ext>
      </extLst>
    </bk>
    <bk>
      <extLst>
        <ext uri="{3e2802c4-a4d2-4d8b-9148-e3be6c30e623}">
          <xlrd:rvb i="6583"/>
        </ext>
      </extLst>
    </bk>
    <bk>
      <extLst>
        <ext uri="{3e2802c4-a4d2-4d8b-9148-e3be6c30e623}">
          <xlrd:rvb i="6584"/>
        </ext>
      </extLst>
    </bk>
    <bk>
      <extLst>
        <ext uri="{3e2802c4-a4d2-4d8b-9148-e3be6c30e623}">
          <xlrd:rvb i="6585"/>
        </ext>
      </extLst>
    </bk>
    <bk>
      <extLst>
        <ext uri="{3e2802c4-a4d2-4d8b-9148-e3be6c30e623}">
          <xlrd:rvb i="6586"/>
        </ext>
      </extLst>
    </bk>
    <bk>
      <extLst>
        <ext uri="{3e2802c4-a4d2-4d8b-9148-e3be6c30e623}">
          <xlrd:rvb i="6587"/>
        </ext>
      </extLst>
    </bk>
    <bk>
      <extLst>
        <ext uri="{3e2802c4-a4d2-4d8b-9148-e3be6c30e623}">
          <xlrd:rvb i="6588"/>
        </ext>
      </extLst>
    </bk>
    <bk>
      <extLst>
        <ext uri="{3e2802c4-a4d2-4d8b-9148-e3be6c30e623}">
          <xlrd:rvb i="6589"/>
        </ext>
      </extLst>
    </bk>
    <bk>
      <extLst>
        <ext uri="{3e2802c4-a4d2-4d8b-9148-e3be6c30e623}">
          <xlrd:rvb i="6590"/>
        </ext>
      </extLst>
    </bk>
    <bk>
      <extLst>
        <ext uri="{3e2802c4-a4d2-4d8b-9148-e3be6c30e623}">
          <xlrd:rvb i="6591"/>
        </ext>
      </extLst>
    </bk>
    <bk>
      <extLst>
        <ext uri="{3e2802c4-a4d2-4d8b-9148-e3be6c30e623}">
          <xlrd:rvb i="6592"/>
        </ext>
      </extLst>
    </bk>
    <bk>
      <extLst>
        <ext uri="{3e2802c4-a4d2-4d8b-9148-e3be6c30e623}">
          <xlrd:rvb i="6593"/>
        </ext>
      </extLst>
    </bk>
    <bk>
      <extLst>
        <ext uri="{3e2802c4-a4d2-4d8b-9148-e3be6c30e623}">
          <xlrd:rvb i="6594"/>
        </ext>
      </extLst>
    </bk>
    <bk>
      <extLst>
        <ext uri="{3e2802c4-a4d2-4d8b-9148-e3be6c30e623}">
          <xlrd:rvb i="6595"/>
        </ext>
      </extLst>
    </bk>
    <bk>
      <extLst>
        <ext uri="{3e2802c4-a4d2-4d8b-9148-e3be6c30e623}">
          <xlrd:rvb i="6596"/>
        </ext>
      </extLst>
    </bk>
    <bk>
      <extLst>
        <ext uri="{3e2802c4-a4d2-4d8b-9148-e3be6c30e623}">
          <xlrd:rvb i="6597"/>
        </ext>
      </extLst>
    </bk>
    <bk>
      <extLst>
        <ext uri="{3e2802c4-a4d2-4d8b-9148-e3be6c30e623}">
          <xlrd:rvb i="6598"/>
        </ext>
      </extLst>
    </bk>
    <bk>
      <extLst>
        <ext uri="{3e2802c4-a4d2-4d8b-9148-e3be6c30e623}">
          <xlrd:rvb i="6599"/>
        </ext>
      </extLst>
    </bk>
    <bk>
      <extLst>
        <ext uri="{3e2802c4-a4d2-4d8b-9148-e3be6c30e623}">
          <xlrd:rvb i="6600"/>
        </ext>
      </extLst>
    </bk>
    <bk>
      <extLst>
        <ext uri="{3e2802c4-a4d2-4d8b-9148-e3be6c30e623}">
          <xlrd:rvb i="6601"/>
        </ext>
      </extLst>
    </bk>
    <bk>
      <extLst>
        <ext uri="{3e2802c4-a4d2-4d8b-9148-e3be6c30e623}">
          <xlrd:rvb i="6602"/>
        </ext>
      </extLst>
    </bk>
    <bk>
      <extLst>
        <ext uri="{3e2802c4-a4d2-4d8b-9148-e3be6c30e623}">
          <xlrd:rvb i="6603"/>
        </ext>
      </extLst>
    </bk>
    <bk>
      <extLst>
        <ext uri="{3e2802c4-a4d2-4d8b-9148-e3be6c30e623}">
          <xlrd:rvb i="6604"/>
        </ext>
      </extLst>
    </bk>
    <bk>
      <extLst>
        <ext uri="{3e2802c4-a4d2-4d8b-9148-e3be6c30e623}">
          <xlrd:rvb i="6605"/>
        </ext>
      </extLst>
    </bk>
    <bk>
      <extLst>
        <ext uri="{3e2802c4-a4d2-4d8b-9148-e3be6c30e623}">
          <xlrd:rvb i="6606"/>
        </ext>
      </extLst>
    </bk>
    <bk>
      <extLst>
        <ext uri="{3e2802c4-a4d2-4d8b-9148-e3be6c30e623}">
          <xlrd:rvb i="6607"/>
        </ext>
      </extLst>
    </bk>
    <bk>
      <extLst>
        <ext uri="{3e2802c4-a4d2-4d8b-9148-e3be6c30e623}">
          <xlrd:rvb i="6608"/>
        </ext>
      </extLst>
    </bk>
    <bk>
      <extLst>
        <ext uri="{3e2802c4-a4d2-4d8b-9148-e3be6c30e623}">
          <xlrd:rvb i="6609"/>
        </ext>
      </extLst>
    </bk>
    <bk>
      <extLst>
        <ext uri="{3e2802c4-a4d2-4d8b-9148-e3be6c30e623}">
          <xlrd:rvb i="6610"/>
        </ext>
      </extLst>
    </bk>
    <bk>
      <extLst>
        <ext uri="{3e2802c4-a4d2-4d8b-9148-e3be6c30e623}">
          <xlrd:rvb i="6611"/>
        </ext>
      </extLst>
    </bk>
    <bk>
      <extLst>
        <ext uri="{3e2802c4-a4d2-4d8b-9148-e3be6c30e623}">
          <xlrd:rvb i="6612"/>
        </ext>
      </extLst>
    </bk>
    <bk>
      <extLst>
        <ext uri="{3e2802c4-a4d2-4d8b-9148-e3be6c30e623}">
          <xlrd:rvb i="6613"/>
        </ext>
      </extLst>
    </bk>
    <bk>
      <extLst>
        <ext uri="{3e2802c4-a4d2-4d8b-9148-e3be6c30e623}">
          <xlrd:rvb i="6614"/>
        </ext>
      </extLst>
    </bk>
    <bk>
      <extLst>
        <ext uri="{3e2802c4-a4d2-4d8b-9148-e3be6c30e623}">
          <xlrd:rvb i="6615"/>
        </ext>
      </extLst>
    </bk>
    <bk>
      <extLst>
        <ext uri="{3e2802c4-a4d2-4d8b-9148-e3be6c30e623}">
          <xlrd:rvb i="6616"/>
        </ext>
      </extLst>
    </bk>
    <bk>
      <extLst>
        <ext uri="{3e2802c4-a4d2-4d8b-9148-e3be6c30e623}">
          <xlrd:rvb i="6617"/>
        </ext>
      </extLst>
    </bk>
    <bk>
      <extLst>
        <ext uri="{3e2802c4-a4d2-4d8b-9148-e3be6c30e623}">
          <xlrd:rvb i="6618"/>
        </ext>
      </extLst>
    </bk>
    <bk>
      <extLst>
        <ext uri="{3e2802c4-a4d2-4d8b-9148-e3be6c30e623}">
          <xlrd:rvb i="6619"/>
        </ext>
      </extLst>
    </bk>
    <bk>
      <extLst>
        <ext uri="{3e2802c4-a4d2-4d8b-9148-e3be6c30e623}">
          <xlrd:rvb i="6620"/>
        </ext>
      </extLst>
    </bk>
    <bk>
      <extLst>
        <ext uri="{3e2802c4-a4d2-4d8b-9148-e3be6c30e623}">
          <xlrd:rvb i="6621"/>
        </ext>
      </extLst>
    </bk>
    <bk>
      <extLst>
        <ext uri="{3e2802c4-a4d2-4d8b-9148-e3be6c30e623}">
          <xlrd:rvb i="6622"/>
        </ext>
      </extLst>
    </bk>
    <bk>
      <extLst>
        <ext uri="{3e2802c4-a4d2-4d8b-9148-e3be6c30e623}">
          <xlrd:rvb i="6623"/>
        </ext>
      </extLst>
    </bk>
    <bk>
      <extLst>
        <ext uri="{3e2802c4-a4d2-4d8b-9148-e3be6c30e623}">
          <xlrd:rvb i="6624"/>
        </ext>
      </extLst>
    </bk>
    <bk>
      <extLst>
        <ext uri="{3e2802c4-a4d2-4d8b-9148-e3be6c30e623}">
          <xlrd:rvb i="6625"/>
        </ext>
      </extLst>
    </bk>
    <bk>
      <extLst>
        <ext uri="{3e2802c4-a4d2-4d8b-9148-e3be6c30e623}">
          <xlrd:rvb i="6626"/>
        </ext>
      </extLst>
    </bk>
    <bk>
      <extLst>
        <ext uri="{3e2802c4-a4d2-4d8b-9148-e3be6c30e623}">
          <xlrd:rvb i="6627"/>
        </ext>
      </extLst>
    </bk>
    <bk>
      <extLst>
        <ext uri="{3e2802c4-a4d2-4d8b-9148-e3be6c30e623}">
          <xlrd:rvb i="6628"/>
        </ext>
      </extLst>
    </bk>
    <bk>
      <extLst>
        <ext uri="{3e2802c4-a4d2-4d8b-9148-e3be6c30e623}">
          <xlrd:rvb i="6629"/>
        </ext>
      </extLst>
    </bk>
    <bk>
      <extLst>
        <ext uri="{3e2802c4-a4d2-4d8b-9148-e3be6c30e623}">
          <xlrd:rvb i="6630"/>
        </ext>
      </extLst>
    </bk>
    <bk>
      <extLst>
        <ext uri="{3e2802c4-a4d2-4d8b-9148-e3be6c30e623}">
          <xlrd:rvb i="6631"/>
        </ext>
      </extLst>
    </bk>
    <bk>
      <extLst>
        <ext uri="{3e2802c4-a4d2-4d8b-9148-e3be6c30e623}">
          <xlrd:rvb i="6632"/>
        </ext>
      </extLst>
    </bk>
    <bk>
      <extLst>
        <ext uri="{3e2802c4-a4d2-4d8b-9148-e3be6c30e623}">
          <xlrd:rvb i="6633"/>
        </ext>
      </extLst>
    </bk>
    <bk>
      <extLst>
        <ext uri="{3e2802c4-a4d2-4d8b-9148-e3be6c30e623}">
          <xlrd:rvb i="6634"/>
        </ext>
      </extLst>
    </bk>
    <bk>
      <extLst>
        <ext uri="{3e2802c4-a4d2-4d8b-9148-e3be6c30e623}">
          <xlrd:rvb i="6635"/>
        </ext>
      </extLst>
    </bk>
    <bk>
      <extLst>
        <ext uri="{3e2802c4-a4d2-4d8b-9148-e3be6c30e623}">
          <xlrd:rvb i="6636"/>
        </ext>
      </extLst>
    </bk>
    <bk>
      <extLst>
        <ext uri="{3e2802c4-a4d2-4d8b-9148-e3be6c30e623}">
          <xlrd:rvb i="6637"/>
        </ext>
      </extLst>
    </bk>
    <bk>
      <extLst>
        <ext uri="{3e2802c4-a4d2-4d8b-9148-e3be6c30e623}">
          <xlrd:rvb i="6638"/>
        </ext>
      </extLst>
    </bk>
    <bk>
      <extLst>
        <ext uri="{3e2802c4-a4d2-4d8b-9148-e3be6c30e623}">
          <xlrd:rvb i="6639"/>
        </ext>
      </extLst>
    </bk>
    <bk>
      <extLst>
        <ext uri="{3e2802c4-a4d2-4d8b-9148-e3be6c30e623}">
          <xlrd:rvb i="6640"/>
        </ext>
      </extLst>
    </bk>
    <bk>
      <extLst>
        <ext uri="{3e2802c4-a4d2-4d8b-9148-e3be6c30e623}">
          <xlrd:rvb i="6641"/>
        </ext>
      </extLst>
    </bk>
    <bk>
      <extLst>
        <ext uri="{3e2802c4-a4d2-4d8b-9148-e3be6c30e623}">
          <xlrd:rvb i="6642"/>
        </ext>
      </extLst>
    </bk>
    <bk>
      <extLst>
        <ext uri="{3e2802c4-a4d2-4d8b-9148-e3be6c30e623}">
          <xlrd:rvb i="6643"/>
        </ext>
      </extLst>
    </bk>
    <bk>
      <extLst>
        <ext uri="{3e2802c4-a4d2-4d8b-9148-e3be6c30e623}">
          <xlrd:rvb i="6644"/>
        </ext>
      </extLst>
    </bk>
    <bk>
      <extLst>
        <ext uri="{3e2802c4-a4d2-4d8b-9148-e3be6c30e623}">
          <xlrd:rvb i="6645"/>
        </ext>
      </extLst>
    </bk>
    <bk>
      <extLst>
        <ext uri="{3e2802c4-a4d2-4d8b-9148-e3be6c30e623}">
          <xlrd:rvb i="6646"/>
        </ext>
      </extLst>
    </bk>
    <bk>
      <extLst>
        <ext uri="{3e2802c4-a4d2-4d8b-9148-e3be6c30e623}">
          <xlrd:rvb i="6647"/>
        </ext>
      </extLst>
    </bk>
    <bk>
      <extLst>
        <ext uri="{3e2802c4-a4d2-4d8b-9148-e3be6c30e623}">
          <xlrd:rvb i="6648"/>
        </ext>
      </extLst>
    </bk>
    <bk>
      <extLst>
        <ext uri="{3e2802c4-a4d2-4d8b-9148-e3be6c30e623}">
          <xlrd:rvb i="6649"/>
        </ext>
      </extLst>
    </bk>
    <bk>
      <extLst>
        <ext uri="{3e2802c4-a4d2-4d8b-9148-e3be6c30e623}">
          <xlrd:rvb i="6650"/>
        </ext>
      </extLst>
    </bk>
    <bk>
      <extLst>
        <ext uri="{3e2802c4-a4d2-4d8b-9148-e3be6c30e623}">
          <xlrd:rvb i="6651"/>
        </ext>
      </extLst>
    </bk>
    <bk>
      <extLst>
        <ext uri="{3e2802c4-a4d2-4d8b-9148-e3be6c30e623}">
          <xlrd:rvb i="6652"/>
        </ext>
      </extLst>
    </bk>
    <bk>
      <extLst>
        <ext uri="{3e2802c4-a4d2-4d8b-9148-e3be6c30e623}">
          <xlrd:rvb i="6653"/>
        </ext>
      </extLst>
    </bk>
    <bk>
      <extLst>
        <ext uri="{3e2802c4-a4d2-4d8b-9148-e3be6c30e623}">
          <xlrd:rvb i="6654"/>
        </ext>
      </extLst>
    </bk>
    <bk>
      <extLst>
        <ext uri="{3e2802c4-a4d2-4d8b-9148-e3be6c30e623}">
          <xlrd:rvb i="6655"/>
        </ext>
      </extLst>
    </bk>
    <bk>
      <extLst>
        <ext uri="{3e2802c4-a4d2-4d8b-9148-e3be6c30e623}">
          <xlrd:rvb i="6656"/>
        </ext>
      </extLst>
    </bk>
    <bk>
      <extLst>
        <ext uri="{3e2802c4-a4d2-4d8b-9148-e3be6c30e623}">
          <xlrd:rvb i="6657"/>
        </ext>
      </extLst>
    </bk>
    <bk>
      <extLst>
        <ext uri="{3e2802c4-a4d2-4d8b-9148-e3be6c30e623}">
          <xlrd:rvb i="6658"/>
        </ext>
      </extLst>
    </bk>
    <bk>
      <extLst>
        <ext uri="{3e2802c4-a4d2-4d8b-9148-e3be6c30e623}">
          <xlrd:rvb i="6659"/>
        </ext>
      </extLst>
    </bk>
    <bk>
      <extLst>
        <ext uri="{3e2802c4-a4d2-4d8b-9148-e3be6c30e623}">
          <xlrd:rvb i="6660"/>
        </ext>
      </extLst>
    </bk>
    <bk>
      <extLst>
        <ext uri="{3e2802c4-a4d2-4d8b-9148-e3be6c30e623}">
          <xlrd:rvb i="6661"/>
        </ext>
      </extLst>
    </bk>
    <bk>
      <extLst>
        <ext uri="{3e2802c4-a4d2-4d8b-9148-e3be6c30e623}">
          <xlrd:rvb i="6662"/>
        </ext>
      </extLst>
    </bk>
    <bk>
      <extLst>
        <ext uri="{3e2802c4-a4d2-4d8b-9148-e3be6c30e623}">
          <xlrd:rvb i="6663"/>
        </ext>
      </extLst>
    </bk>
    <bk>
      <extLst>
        <ext uri="{3e2802c4-a4d2-4d8b-9148-e3be6c30e623}">
          <xlrd:rvb i="6664"/>
        </ext>
      </extLst>
    </bk>
    <bk>
      <extLst>
        <ext uri="{3e2802c4-a4d2-4d8b-9148-e3be6c30e623}">
          <xlrd:rvb i="6665"/>
        </ext>
      </extLst>
    </bk>
    <bk>
      <extLst>
        <ext uri="{3e2802c4-a4d2-4d8b-9148-e3be6c30e623}">
          <xlrd:rvb i="6666"/>
        </ext>
      </extLst>
    </bk>
    <bk>
      <extLst>
        <ext uri="{3e2802c4-a4d2-4d8b-9148-e3be6c30e623}">
          <xlrd:rvb i="6667"/>
        </ext>
      </extLst>
    </bk>
    <bk>
      <extLst>
        <ext uri="{3e2802c4-a4d2-4d8b-9148-e3be6c30e623}">
          <xlrd:rvb i="6668"/>
        </ext>
      </extLst>
    </bk>
    <bk>
      <extLst>
        <ext uri="{3e2802c4-a4d2-4d8b-9148-e3be6c30e623}">
          <xlrd:rvb i="6669"/>
        </ext>
      </extLst>
    </bk>
    <bk>
      <extLst>
        <ext uri="{3e2802c4-a4d2-4d8b-9148-e3be6c30e623}">
          <xlrd:rvb i="6670"/>
        </ext>
      </extLst>
    </bk>
    <bk>
      <extLst>
        <ext uri="{3e2802c4-a4d2-4d8b-9148-e3be6c30e623}">
          <xlrd:rvb i="6671"/>
        </ext>
      </extLst>
    </bk>
    <bk>
      <extLst>
        <ext uri="{3e2802c4-a4d2-4d8b-9148-e3be6c30e623}">
          <xlrd:rvb i="6672"/>
        </ext>
      </extLst>
    </bk>
    <bk>
      <extLst>
        <ext uri="{3e2802c4-a4d2-4d8b-9148-e3be6c30e623}">
          <xlrd:rvb i="6673"/>
        </ext>
      </extLst>
    </bk>
    <bk>
      <extLst>
        <ext uri="{3e2802c4-a4d2-4d8b-9148-e3be6c30e623}">
          <xlrd:rvb i="6674"/>
        </ext>
      </extLst>
    </bk>
    <bk>
      <extLst>
        <ext uri="{3e2802c4-a4d2-4d8b-9148-e3be6c30e623}">
          <xlrd:rvb i="6675"/>
        </ext>
      </extLst>
    </bk>
    <bk>
      <extLst>
        <ext uri="{3e2802c4-a4d2-4d8b-9148-e3be6c30e623}">
          <xlrd:rvb i="6676"/>
        </ext>
      </extLst>
    </bk>
    <bk>
      <extLst>
        <ext uri="{3e2802c4-a4d2-4d8b-9148-e3be6c30e623}">
          <xlrd:rvb i="6677"/>
        </ext>
      </extLst>
    </bk>
    <bk>
      <extLst>
        <ext uri="{3e2802c4-a4d2-4d8b-9148-e3be6c30e623}">
          <xlrd:rvb i="6678"/>
        </ext>
      </extLst>
    </bk>
    <bk>
      <extLst>
        <ext uri="{3e2802c4-a4d2-4d8b-9148-e3be6c30e623}">
          <xlrd:rvb i="6679"/>
        </ext>
      </extLst>
    </bk>
    <bk>
      <extLst>
        <ext uri="{3e2802c4-a4d2-4d8b-9148-e3be6c30e623}">
          <xlrd:rvb i="6680"/>
        </ext>
      </extLst>
    </bk>
    <bk>
      <extLst>
        <ext uri="{3e2802c4-a4d2-4d8b-9148-e3be6c30e623}">
          <xlrd:rvb i="6681"/>
        </ext>
      </extLst>
    </bk>
    <bk>
      <extLst>
        <ext uri="{3e2802c4-a4d2-4d8b-9148-e3be6c30e623}">
          <xlrd:rvb i="6682"/>
        </ext>
      </extLst>
    </bk>
    <bk>
      <extLst>
        <ext uri="{3e2802c4-a4d2-4d8b-9148-e3be6c30e623}">
          <xlrd:rvb i="6683"/>
        </ext>
      </extLst>
    </bk>
    <bk>
      <extLst>
        <ext uri="{3e2802c4-a4d2-4d8b-9148-e3be6c30e623}">
          <xlrd:rvb i="6684"/>
        </ext>
      </extLst>
    </bk>
    <bk>
      <extLst>
        <ext uri="{3e2802c4-a4d2-4d8b-9148-e3be6c30e623}">
          <xlrd:rvb i="6685"/>
        </ext>
      </extLst>
    </bk>
    <bk>
      <extLst>
        <ext uri="{3e2802c4-a4d2-4d8b-9148-e3be6c30e623}">
          <xlrd:rvb i="6686"/>
        </ext>
      </extLst>
    </bk>
    <bk>
      <extLst>
        <ext uri="{3e2802c4-a4d2-4d8b-9148-e3be6c30e623}">
          <xlrd:rvb i="6687"/>
        </ext>
      </extLst>
    </bk>
    <bk>
      <extLst>
        <ext uri="{3e2802c4-a4d2-4d8b-9148-e3be6c30e623}">
          <xlrd:rvb i="6688"/>
        </ext>
      </extLst>
    </bk>
    <bk>
      <extLst>
        <ext uri="{3e2802c4-a4d2-4d8b-9148-e3be6c30e623}">
          <xlrd:rvb i="6689"/>
        </ext>
      </extLst>
    </bk>
    <bk>
      <extLst>
        <ext uri="{3e2802c4-a4d2-4d8b-9148-e3be6c30e623}">
          <xlrd:rvb i="6690"/>
        </ext>
      </extLst>
    </bk>
    <bk>
      <extLst>
        <ext uri="{3e2802c4-a4d2-4d8b-9148-e3be6c30e623}">
          <xlrd:rvb i="6691"/>
        </ext>
      </extLst>
    </bk>
    <bk>
      <extLst>
        <ext uri="{3e2802c4-a4d2-4d8b-9148-e3be6c30e623}">
          <xlrd:rvb i="6692"/>
        </ext>
      </extLst>
    </bk>
    <bk>
      <extLst>
        <ext uri="{3e2802c4-a4d2-4d8b-9148-e3be6c30e623}">
          <xlrd:rvb i="6693"/>
        </ext>
      </extLst>
    </bk>
    <bk>
      <extLst>
        <ext uri="{3e2802c4-a4d2-4d8b-9148-e3be6c30e623}">
          <xlrd:rvb i="6694"/>
        </ext>
      </extLst>
    </bk>
    <bk>
      <extLst>
        <ext uri="{3e2802c4-a4d2-4d8b-9148-e3be6c30e623}">
          <xlrd:rvb i="6695"/>
        </ext>
      </extLst>
    </bk>
    <bk>
      <extLst>
        <ext uri="{3e2802c4-a4d2-4d8b-9148-e3be6c30e623}">
          <xlrd:rvb i="6696"/>
        </ext>
      </extLst>
    </bk>
    <bk>
      <extLst>
        <ext uri="{3e2802c4-a4d2-4d8b-9148-e3be6c30e623}">
          <xlrd:rvb i="6697"/>
        </ext>
      </extLst>
    </bk>
    <bk>
      <extLst>
        <ext uri="{3e2802c4-a4d2-4d8b-9148-e3be6c30e623}">
          <xlrd:rvb i="6698"/>
        </ext>
      </extLst>
    </bk>
    <bk>
      <extLst>
        <ext uri="{3e2802c4-a4d2-4d8b-9148-e3be6c30e623}">
          <xlrd:rvb i="6699"/>
        </ext>
      </extLst>
    </bk>
    <bk>
      <extLst>
        <ext uri="{3e2802c4-a4d2-4d8b-9148-e3be6c30e623}">
          <xlrd:rvb i="6700"/>
        </ext>
      </extLst>
    </bk>
    <bk>
      <extLst>
        <ext uri="{3e2802c4-a4d2-4d8b-9148-e3be6c30e623}">
          <xlrd:rvb i="6701"/>
        </ext>
      </extLst>
    </bk>
    <bk>
      <extLst>
        <ext uri="{3e2802c4-a4d2-4d8b-9148-e3be6c30e623}">
          <xlrd:rvb i="6702"/>
        </ext>
      </extLst>
    </bk>
    <bk>
      <extLst>
        <ext uri="{3e2802c4-a4d2-4d8b-9148-e3be6c30e623}">
          <xlrd:rvb i="6703"/>
        </ext>
      </extLst>
    </bk>
    <bk>
      <extLst>
        <ext uri="{3e2802c4-a4d2-4d8b-9148-e3be6c30e623}">
          <xlrd:rvb i="6704"/>
        </ext>
      </extLst>
    </bk>
    <bk>
      <extLst>
        <ext uri="{3e2802c4-a4d2-4d8b-9148-e3be6c30e623}">
          <xlrd:rvb i="6705"/>
        </ext>
      </extLst>
    </bk>
    <bk>
      <extLst>
        <ext uri="{3e2802c4-a4d2-4d8b-9148-e3be6c30e623}">
          <xlrd:rvb i="6706"/>
        </ext>
      </extLst>
    </bk>
    <bk>
      <extLst>
        <ext uri="{3e2802c4-a4d2-4d8b-9148-e3be6c30e623}">
          <xlrd:rvb i="6707"/>
        </ext>
      </extLst>
    </bk>
    <bk>
      <extLst>
        <ext uri="{3e2802c4-a4d2-4d8b-9148-e3be6c30e623}">
          <xlrd:rvb i="6708"/>
        </ext>
      </extLst>
    </bk>
    <bk>
      <extLst>
        <ext uri="{3e2802c4-a4d2-4d8b-9148-e3be6c30e623}">
          <xlrd:rvb i="6709"/>
        </ext>
      </extLst>
    </bk>
    <bk>
      <extLst>
        <ext uri="{3e2802c4-a4d2-4d8b-9148-e3be6c30e623}">
          <xlrd:rvb i="6710"/>
        </ext>
      </extLst>
    </bk>
    <bk>
      <extLst>
        <ext uri="{3e2802c4-a4d2-4d8b-9148-e3be6c30e623}">
          <xlrd:rvb i="6711"/>
        </ext>
      </extLst>
    </bk>
    <bk>
      <extLst>
        <ext uri="{3e2802c4-a4d2-4d8b-9148-e3be6c30e623}">
          <xlrd:rvb i="6712"/>
        </ext>
      </extLst>
    </bk>
    <bk>
      <extLst>
        <ext uri="{3e2802c4-a4d2-4d8b-9148-e3be6c30e623}">
          <xlrd:rvb i="6713"/>
        </ext>
      </extLst>
    </bk>
    <bk>
      <extLst>
        <ext uri="{3e2802c4-a4d2-4d8b-9148-e3be6c30e623}">
          <xlrd:rvb i="6714"/>
        </ext>
      </extLst>
    </bk>
    <bk>
      <extLst>
        <ext uri="{3e2802c4-a4d2-4d8b-9148-e3be6c30e623}">
          <xlrd:rvb i="6715"/>
        </ext>
      </extLst>
    </bk>
    <bk>
      <extLst>
        <ext uri="{3e2802c4-a4d2-4d8b-9148-e3be6c30e623}">
          <xlrd:rvb i="6716"/>
        </ext>
      </extLst>
    </bk>
    <bk>
      <extLst>
        <ext uri="{3e2802c4-a4d2-4d8b-9148-e3be6c30e623}">
          <xlrd:rvb i="6717"/>
        </ext>
      </extLst>
    </bk>
    <bk>
      <extLst>
        <ext uri="{3e2802c4-a4d2-4d8b-9148-e3be6c30e623}">
          <xlrd:rvb i="6718"/>
        </ext>
      </extLst>
    </bk>
    <bk>
      <extLst>
        <ext uri="{3e2802c4-a4d2-4d8b-9148-e3be6c30e623}">
          <xlrd:rvb i="6719"/>
        </ext>
      </extLst>
    </bk>
    <bk>
      <extLst>
        <ext uri="{3e2802c4-a4d2-4d8b-9148-e3be6c30e623}">
          <xlrd:rvb i="6720"/>
        </ext>
      </extLst>
    </bk>
    <bk>
      <extLst>
        <ext uri="{3e2802c4-a4d2-4d8b-9148-e3be6c30e623}">
          <xlrd:rvb i="6721"/>
        </ext>
      </extLst>
    </bk>
    <bk>
      <extLst>
        <ext uri="{3e2802c4-a4d2-4d8b-9148-e3be6c30e623}">
          <xlrd:rvb i="6722"/>
        </ext>
      </extLst>
    </bk>
    <bk>
      <extLst>
        <ext uri="{3e2802c4-a4d2-4d8b-9148-e3be6c30e623}">
          <xlrd:rvb i="6723"/>
        </ext>
      </extLst>
    </bk>
    <bk>
      <extLst>
        <ext uri="{3e2802c4-a4d2-4d8b-9148-e3be6c30e623}">
          <xlrd:rvb i="6724"/>
        </ext>
      </extLst>
    </bk>
    <bk>
      <extLst>
        <ext uri="{3e2802c4-a4d2-4d8b-9148-e3be6c30e623}">
          <xlrd:rvb i="6725"/>
        </ext>
      </extLst>
    </bk>
    <bk>
      <extLst>
        <ext uri="{3e2802c4-a4d2-4d8b-9148-e3be6c30e623}">
          <xlrd:rvb i="6726"/>
        </ext>
      </extLst>
    </bk>
    <bk>
      <extLst>
        <ext uri="{3e2802c4-a4d2-4d8b-9148-e3be6c30e623}">
          <xlrd:rvb i="6727"/>
        </ext>
      </extLst>
    </bk>
    <bk>
      <extLst>
        <ext uri="{3e2802c4-a4d2-4d8b-9148-e3be6c30e623}">
          <xlrd:rvb i="6728"/>
        </ext>
      </extLst>
    </bk>
    <bk>
      <extLst>
        <ext uri="{3e2802c4-a4d2-4d8b-9148-e3be6c30e623}">
          <xlrd:rvb i="6729"/>
        </ext>
      </extLst>
    </bk>
    <bk>
      <extLst>
        <ext uri="{3e2802c4-a4d2-4d8b-9148-e3be6c30e623}">
          <xlrd:rvb i="6730"/>
        </ext>
      </extLst>
    </bk>
    <bk>
      <extLst>
        <ext uri="{3e2802c4-a4d2-4d8b-9148-e3be6c30e623}">
          <xlrd:rvb i="6731"/>
        </ext>
      </extLst>
    </bk>
    <bk>
      <extLst>
        <ext uri="{3e2802c4-a4d2-4d8b-9148-e3be6c30e623}">
          <xlrd:rvb i="6732"/>
        </ext>
      </extLst>
    </bk>
    <bk>
      <extLst>
        <ext uri="{3e2802c4-a4d2-4d8b-9148-e3be6c30e623}">
          <xlrd:rvb i="6733"/>
        </ext>
      </extLst>
    </bk>
    <bk>
      <extLst>
        <ext uri="{3e2802c4-a4d2-4d8b-9148-e3be6c30e623}">
          <xlrd:rvb i="6734"/>
        </ext>
      </extLst>
    </bk>
    <bk>
      <extLst>
        <ext uri="{3e2802c4-a4d2-4d8b-9148-e3be6c30e623}">
          <xlrd:rvb i="6735"/>
        </ext>
      </extLst>
    </bk>
    <bk>
      <extLst>
        <ext uri="{3e2802c4-a4d2-4d8b-9148-e3be6c30e623}">
          <xlrd:rvb i="6736"/>
        </ext>
      </extLst>
    </bk>
    <bk>
      <extLst>
        <ext uri="{3e2802c4-a4d2-4d8b-9148-e3be6c30e623}">
          <xlrd:rvb i="6737"/>
        </ext>
      </extLst>
    </bk>
    <bk>
      <extLst>
        <ext uri="{3e2802c4-a4d2-4d8b-9148-e3be6c30e623}">
          <xlrd:rvb i="6738"/>
        </ext>
      </extLst>
    </bk>
    <bk>
      <extLst>
        <ext uri="{3e2802c4-a4d2-4d8b-9148-e3be6c30e623}">
          <xlrd:rvb i="6739"/>
        </ext>
      </extLst>
    </bk>
    <bk>
      <extLst>
        <ext uri="{3e2802c4-a4d2-4d8b-9148-e3be6c30e623}">
          <xlrd:rvb i="6740"/>
        </ext>
      </extLst>
    </bk>
    <bk>
      <extLst>
        <ext uri="{3e2802c4-a4d2-4d8b-9148-e3be6c30e623}">
          <xlrd:rvb i="6741"/>
        </ext>
      </extLst>
    </bk>
    <bk>
      <extLst>
        <ext uri="{3e2802c4-a4d2-4d8b-9148-e3be6c30e623}">
          <xlrd:rvb i="6742"/>
        </ext>
      </extLst>
    </bk>
    <bk>
      <extLst>
        <ext uri="{3e2802c4-a4d2-4d8b-9148-e3be6c30e623}">
          <xlrd:rvb i="6743"/>
        </ext>
      </extLst>
    </bk>
    <bk>
      <extLst>
        <ext uri="{3e2802c4-a4d2-4d8b-9148-e3be6c30e623}">
          <xlrd:rvb i="6744"/>
        </ext>
      </extLst>
    </bk>
    <bk>
      <extLst>
        <ext uri="{3e2802c4-a4d2-4d8b-9148-e3be6c30e623}">
          <xlrd:rvb i="6745"/>
        </ext>
      </extLst>
    </bk>
    <bk>
      <extLst>
        <ext uri="{3e2802c4-a4d2-4d8b-9148-e3be6c30e623}">
          <xlrd:rvb i="6746"/>
        </ext>
      </extLst>
    </bk>
    <bk>
      <extLst>
        <ext uri="{3e2802c4-a4d2-4d8b-9148-e3be6c30e623}">
          <xlrd:rvb i="6747"/>
        </ext>
      </extLst>
    </bk>
    <bk>
      <extLst>
        <ext uri="{3e2802c4-a4d2-4d8b-9148-e3be6c30e623}">
          <xlrd:rvb i="6748"/>
        </ext>
      </extLst>
    </bk>
    <bk>
      <extLst>
        <ext uri="{3e2802c4-a4d2-4d8b-9148-e3be6c30e623}">
          <xlrd:rvb i="6749"/>
        </ext>
      </extLst>
    </bk>
    <bk>
      <extLst>
        <ext uri="{3e2802c4-a4d2-4d8b-9148-e3be6c30e623}">
          <xlrd:rvb i="6750"/>
        </ext>
      </extLst>
    </bk>
    <bk>
      <extLst>
        <ext uri="{3e2802c4-a4d2-4d8b-9148-e3be6c30e623}">
          <xlrd:rvb i="6751"/>
        </ext>
      </extLst>
    </bk>
    <bk>
      <extLst>
        <ext uri="{3e2802c4-a4d2-4d8b-9148-e3be6c30e623}">
          <xlrd:rvb i="6752"/>
        </ext>
      </extLst>
    </bk>
    <bk>
      <extLst>
        <ext uri="{3e2802c4-a4d2-4d8b-9148-e3be6c30e623}">
          <xlrd:rvb i="6753"/>
        </ext>
      </extLst>
    </bk>
    <bk>
      <extLst>
        <ext uri="{3e2802c4-a4d2-4d8b-9148-e3be6c30e623}">
          <xlrd:rvb i="6754"/>
        </ext>
      </extLst>
    </bk>
    <bk>
      <extLst>
        <ext uri="{3e2802c4-a4d2-4d8b-9148-e3be6c30e623}">
          <xlrd:rvb i="6755"/>
        </ext>
      </extLst>
    </bk>
    <bk>
      <extLst>
        <ext uri="{3e2802c4-a4d2-4d8b-9148-e3be6c30e623}">
          <xlrd:rvb i="6756"/>
        </ext>
      </extLst>
    </bk>
    <bk>
      <extLst>
        <ext uri="{3e2802c4-a4d2-4d8b-9148-e3be6c30e623}">
          <xlrd:rvb i="6757"/>
        </ext>
      </extLst>
    </bk>
    <bk>
      <extLst>
        <ext uri="{3e2802c4-a4d2-4d8b-9148-e3be6c30e623}">
          <xlrd:rvb i="6758"/>
        </ext>
      </extLst>
    </bk>
    <bk>
      <extLst>
        <ext uri="{3e2802c4-a4d2-4d8b-9148-e3be6c30e623}">
          <xlrd:rvb i="6759"/>
        </ext>
      </extLst>
    </bk>
    <bk>
      <extLst>
        <ext uri="{3e2802c4-a4d2-4d8b-9148-e3be6c30e623}">
          <xlrd:rvb i="6760"/>
        </ext>
      </extLst>
    </bk>
    <bk>
      <extLst>
        <ext uri="{3e2802c4-a4d2-4d8b-9148-e3be6c30e623}">
          <xlrd:rvb i="6761"/>
        </ext>
      </extLst>
    </bk>
    <bk>
      <extLst>
        <ext uri="{3e2802c4-a4d2-4d8b-9148-e3be6c30e623}">
          <xlrd:rvb i="6762"/>
        </ext>
      </extLst>
    </bk>
    <bk>
      <extLst>
        <ext uri="{3e2802c4-a4d2-4d8b-9148-e3be6c30e623}">
          <xlrd:rvb i="6763"/>
        </ext>
      </extLst>
    </bk>
    <bk>
      <extLst>
        <ext uri="{3e2802c4-a4d2-4d8b-9148-e3be6c30e623}">
          <xlrd:rvb i="6764"/>
        </ext>
      </extLst>
    </bk>
    <bk>
      <extLst>
        <ext uri="{3e2802c4-a4d2-4d8b-9148-e3be6c30e623}">
          <xlrd:rvb i="6765"/>
        </ext>
      </extLst>
    </bk>
    <bk>
      <extLst>
        <ext uri="{3e2802c4-a4d2-4d8b-9148-e3be6c30e623}">
          <xlrd:rvb i="6766"/>
        </ext>
      </extLst>
    </bk>
    <bk>
      <extLst>
        <ext uri="{3e2802c4-a4d2-4d8b-9148-e3be6c30e623}">
          <xlrd:rvb i="6767"/>
        </ext>
      </extLst>
    </bk>
    <bk>
      <extLst>
        <ext uri="{3e2802c4-a4d2-4d8b-9148-e3be6c30e623}">
          <xlrd:rvb i="6768"/>
        </ext>
      </extLst>
    </bk>
    <bk>
      <extLst>
        <ext uri="{3e2802c4-a4d2-4d8b-9148-e3be6c30e623}">
          <xlrd:rvb i="6769"/>
        </ext>
      </extLst>
    </bk>
    <bk>
      <extLst>
        <ext uri="{3e2802c4-a4d2-4d8b-9148-e3be6c30e623}">
          <xlrd:rvb i="6770"/>
        </ext>
      </extLst>
    </bk>
    <bk>
      <extLst>
        <ext uri="{3e2802c4-a4d2-4d8b-9148-e3be6c30e623}">
          <xlrd:rvb i="6771"/>
        </ext>
      </extLst>
    </bk>
    <bk>
      <extLst>
        <ext uri="{3e2802c4-a4d2-4d8b-9148-e3be6c30e623}">
          <xlrd:rvb i="6772"/>
        </ext>
      </extLst>
    </bk>
    <bk>
      <extLst>
        <ext uri="{3e2802c4-a4d2-4d8b-9148-e3be6c30e623}">
          <xlrd:rvb i="6773"/>
        </ext>
      </extLst>
    </bk>
    <bk>
      <extLst>
        <ext uri="{3e2802c4-a4d2-4d8b-9148-e3be6c30e623}">
          <xlrd:rvb i="6774"/>
        </ext>
      </extLst>
    </bk>
    <bk>
      <extLst>
        <ext uri="{3e2802c4-a4d2-4d8b-9148-e3be6c30e623}">
          <xlrd:rvb i="6775"/>
        </ext>
      </extLst>
    </bk>
    <bk>
      <extLst>
        <ext uri="{3e2802c4-a4d2-4d8b-9148-e3be6c30e623}">
          <xlrd:rvb i="6776"/>
        </ext>
      </extLst>
    </bk>
    <bk>
      <extLst>
        <ext uri="{3e2802c4-a4d2-4d8b-9148-e3be6c30e623}">
          <xlrd:rvb i="6777"/>
        </ext>
      </extLst>
    </bk>
    <bk>
      <extLst>
        <ext uri="{3e2802c4-a4d2-4d8b-9148-e3be6c30e623}">
          <xlrd:rvb i="6778"/>
        </ext>
      </extLst>
    </bk>
    <bk>
      <extLst>
        <ext uri="{3e2802c4-a4d2-4d8b-9148-e3be6c30e623}">
          <xlrd:rvb i="6779"/>
        </ext>
      </extLst>
    </bk>
    <bk>
      <extLst>
        <ext uri="{3e2802c4-a4d2-4d8b-9148-e3be6c30e623}">
          <xlrd:rvb i="6780"/>
        </ext>
      </extLst>
    </bk>
    <bk>
      <extLst>
        <ext uri="{3e2802c4-a4d2-4d8b-9148-e3be6c30e623}">
          <xlrd:rvb i="6781"/>
        </ext>
      </extLst>
    </bk>
    <bk>
      <extLst>
        <ext uri="{3e2802c4-a4d2-4d8b-9148-e3be6c30e623}">
          <xlrd:rvb i="6782"/>
        </ext>
      </extLst>
    </bk>
    <bk>
      <extLst>
        <ext uri="{3e2802c4-a4d2-4d8b-9148-e3be6c30e623}">
          <xlrd:rvb i="6783"/>
        </ext>
      </extLst>
    </bk>
    <bk>
      <extLst>
        <ext uri="{3e2802c4-a4d2-4d8b-9148-e3be6c30e623}">
          <xlrd:rvb i="6784"/>
        </ext>
      </extLst>
    </bk>
    <bk>
      <extLst>
        <ext uri="{3e2802c4-a4d2-4d8b-9148-e3be6c30e623}">
          <xlrd:rvb i="6785"/>
        </ext>
      </extLst>
    </bk>
    <bk>
      <extLst>
        <ext uri="{3e2802c4-a4d2-4d8b-9148-e3be6c30e623}">
          <xlrd:rvb i="6786"/>
        </ext>
      </extLst>
    </bk>
    <bk>
      <extLst>
        <ext uri="{3e2802c4-a4d2-4d8b-9148-e3be6c30e623}">
          <xlrd:rvb i="6787"/>
        </ext>
      </extLst>
    </bk>
    <bk>
      <extLst>
        <ext uri="{3e2802c4-a4d2-4d8b-9148-e3be6c30e623}">
          <xlrd:rvb i="6788"/>
        </ext>
      </extLst>
    </bk>
    <bk>
      <extLst>
        <ext uri="{3e2802c4-a4d2-4d8b-9148-e3be6c30e623}">
          <xlrd:rvb i="6789"/>
        </ext>
      </extLst>
    </bk>
    <bk>
      <extLst>
        <ext uri="{3e2802c4-a4d2-4d8b-9148-e3be6c30e623}">
          <xlrd:rvb i="6790"/>
        </ext>
      </extLst>
    </bk>
    <bk>
      <extLst>
        <ext uri="{3e2802c4-a4d2-4d8b-9148-e3be6c30e623}">
          <xlrd:rvb i="6791"/>
        </ext>
      </extLst>
    </bk>
    <bk>
      <extLst>
        <ext uri="{3e2802c4-a4d2-4d8b-9148-e3be6c30e623}">
          <xlrd:rvb i="6792"/>
        </ext>
      </extLst>
    </bk>
    <bk>
      <extLst>
        <ext uri="{3e2802c4-a4d2-4d8b-9148-e3be6c30e623}">
          <xlrd:rvb i="6793"/>
        </ext>
      </extLst>
    </bk>
    <bk>
      <extLst>
        <ext uri="{3e2802c4-a4d2-4d8b-9148-e3be6c30e623}">
          <xlrd:rvb i="6794"/>
        </ext>
      </extLst>
    </bk>
    <bk>
      <extLst>
        <ext uri="{3e2802c4-a4d2-4d8b-9148-e3be6c30e623}">
          <xlrd:rvb i="6795"/>
        </ext>
      </extLst>
    </bk>
    <bk>
      <extLst>
        <ext uri="{3e2802c4-a4d2-4d8b-9148-e3be6c30e623}">
          <xlrd:rvb i="6796"/>
        </ext>
      </extLst>
    </bk>
    <bk>
      <extLst>
        <ext uri="{3e2802c4-a4d2-4d8b-9148-e3be6c30e623}">
          <xlrd:rvb i="6797"/>
        </ext>
      </extLst>
    </bk>
    <bk>
      <extLst>
        <ext uri="{3e2802c4-a4d2-4d8b-9148-e3be6c30e623}">
          <xlrd:rvb i="6798"/>
        </ext>
      </extLst>
    </bk>
    <bk>
      <extLst>
        <ext uri="{3e2802c4-a4d2-4d8b-9148-e3be6c30e623}">
          <xlrd:rvb i="6799"/>
        </ext>
      </extLst>
    </bk>
    <bk>
      <extLst>
        <ext uri="{3e2802c4-a4d2-4d8b-9148-e3be6c30e623}">
          <xlrd:rvb i="6800"/>
        </ext>
      </extLst>
    </bk>
    <bk>
      <extLst>
        <ext uri="{3e2802c4-a4d2-4d8b-9148-e3be6c30e623}">
          <xlrd:rvb i="6801"/>
        </ext>
      </extLst>
    </bk>
    <bk>
      <extLst>
        <ext uri="{3e2802c4-a4d2-4d8b-9148-e3be6c30e623}">
          <xlrd:rvb i="6802"/>
        </ext>
      </extLst>
    </bk>
    <bk>
      <extLst>
        <ext uri="{3e2802c4-a4d2-4d8b-9148-e3be6c30e623}">
          <xlrd:rvb i="6803"/>
        </ext>
      </extLst>
    </bk>
    <bk>
      <extLst>
        <ext uri="{3e2802c4-a4d2-4d8b-9148-e3be6c30e623}">
          <xlrd:rvb i="6804"/>
        </ext>
      </extLst>
    </bk>
    <bk>
      <extLst>
        <ext uri="{3e2802c4-a4d2-4d8b-9148-e3be6c30e623}">
          <xlrd:rvb i="6805"/>
        </ext>
      </extLst>
    </bk>
    <bk>
      <extLst>
        <ext uri="{3e2802c4-a4d2-4d8b-9148-e3be6c30e623}">
          <xlrd:rvb i="6806"/>
        </ext>
      </extLst>
    </bk>
    <bk>
      <extLst>
        <ext uri="{3e2802c4-a4d2-4d8b-9148-e3be6c30e623}">
          <xlrd:rvb i="6807"/>
        </ext>
      </extLst>
    </bk>
    <bk>
      <extLst>
        <ext uri="{3e2802c4-a4d2-4d8b-9148-e3be6c30e623}">
          <xlrd:rvb i="6808"/>
        </ext>
      </extLst>
    </bk>
    <bk>
      <extLst>
        <ext uri="{3e2802c4-a4d2-4d8b-9148-e3be6c30e623}">
          <xlrd:rvb i="6809"/>
        </ext>
      </extLst>
    </bk>
    <bk>
      <extLst>
        <ext uri="{3e2802c4-a4d2-4d8b-9148-e3be6c30e623}">
          <xlrd:rvb i="6810"/>
        </ext>
      </extLst>
    </bk>
    <bk>
      <extLst>
        <ext uri="{3e2802c4-a4d2-4d8b-9148-e3be6c30e623}">
          <xlrd:rvb i="6811"/>
        </ext>
      </extLst>
    </bk>
    <bk>
      <extLst>
        <ext uri="{3e2802c4-a4d2-4d8b-9148-e3be6c30e623}">
          <xlrd:rvb i="6812"/>
        </ext>
      </extLst>
    </bk>
    <bk>
      <extLst>
        <ext uri="{3e2802c4-a4d2-4d8b-9148-e3be6c30e623}">
          <xlrd:rvb i="6813"/>
        </ext>
      </extLst>
    </bk>
    <bk>
      <extLst>
        <ext uri="{3e2802c4-a4d2-4d8b-9148-e3be6c30e623}">
          <xlrd:rvb i="6814"/>
        </ext>
      </extLst>
    </bk>
    <bk>
      <extLst>
        <ext uri="{3e2802c4-a4d2-4d8b-9148-e3be6c30e623}">
          <xlrd:rvb i="6815"/>
        </ext>
      </extLst>
    </bk>
    <bk>
      <extLst>
        <ext uri="{3e2802c4-a4d2-4d8b-9148-e3be6c30e623}">
          <xlrd:rvb i="6816"/>
        </ext>
      </extLst>
    </bk>
    <bk>
      <extLst>
        <ext uri="{3e2802c4-a4d2-4d8b-9148-e3be6c30e623}">
          <xlrd:rvb i="6817"/>
        </ext>
      </extLst>
    </bk>
    <bk>
      <extLst>
        <ext uri="{3e2802c4-a4d2-4d8b-9148-e3be6c30e623}">
          <xlrd:rvb i="6818"/>
        </ext>
      </extLst>
    </bk>
    <bk>
      <extLst>
        <ext uri="{3e2802c4-a4d2-4d8b-9148-e3be6c30e623}">
          <xlrd:rvb i="6819"/>
        </ext>
      </extLst>
    </bk>
    <bk>
      <extLst>
        <ext uri="{3e2802c4-a4d2-4d8b-9148-e3be6c30e623}">
          <xlrd:rvb i="6820"/>
        </ext>
      </extLst>
    </bk>
    <bk>
      <extLst>
        <ext uri="{3e2802c4-a4d2-4d8b-9148-e3be6c30e623}">
          <xlrd:rvb i="6821"/>
        </ext>
      </extLst>
    </bk>
    <bk>
      <extLst>
        <ext uri="{3e2802c4-a4d2-4d8b-9148-e3be6c30e623}">
          <xlrd:rvb i="6822"/>
        </ext>
      </extLst>
    </bk>
    <bk>
      <extLst>
        <ext uri="{3e2802c4-a4d2-4d8b-9148-e3be6c30e623}">
          <xlrd:rvb i="6823"/>
        </ext>
      </extLst>
    </bk>
    <bk>
      <extLst>
        <ext uri="{3e2802c4-a4d2-4d8b-9148-e3be6c30e623}">
          <xlrd:rvb i="6824"/>
        </ext>
      </extLst>
    </bk>
    <bk>
      <extLst>
        <ext uri="{3e2802c4-a4d2-4d8b-9148-e3be6c30e623}">
          <xlrd:rvb i="6825"/>
        </ext>
      </extLst>
    </bk>
    <bk>
      <extLst>
        <ext uri="{3e2802c4-a4d2-4d8b-9148-e3be6c30e623}">
          <xlrd:rvb i="6826"/>
        </ext>
      </extLst>
    </bk>
    <bk>
      <extLst>
        <ext uri="{3e2802c4-a4d2-4d8b-9148-e3be6c30e623}">
          <xlrd:rvb i="6827"/>
        </ext>
      </extLst>
    </bk>
    <bk>
      <extLst>
        <ext uri="{3e2802c4-a4d2-4d8b-9148-e3be6c30e623}">
          <xlrd:rvb i="6828"/>
        </ext>
      </extLst>
    </bk>
    <bk>
      <extLst>
        <ext uri="{3e2802c4-a4d2-4d8b-9148-e3be6c30e623}">
          <xlrd:rvb i="6829"/>
        </ext>
      </extLst>
    </bk>
    <bk>
      <extLst>
        <ext uri="{3e2802c4-a4d2-4d8b-9148-e3be6c30e623}">
          <xlrd:rvb i="6830"/>
        </ext>
      </extLst>
    </bk>
    <bk>
      <extLst>
        <ext uri="{3e2802c4-a4d2-4d8b-9148-e3be6c30e623}">
          <xlrd:rvb i="6831"/>
        </ext>
      </extLst>
    </bk>
    <bk>
      <extLst>
        <ext uri="{3e2802c4-a4d2-4d8b-9148-e3be6c30e623}">
          <xlrd:rvb i="6832"/>
        </ext>
      </extLst>
    </bk>
    <bk>
      <extLst>
        <ext uri="{3e2802c4-a4d2-4d8b-9148-e3be6c30e623}">
          <xlrd:rvb i="6833"/>
        </ext>
      </extLst>
    </bk>
    <bk>
      <extLst>
        <ext uri="{3e2802c4-a4d2-4d8b-9148-e3be6c30e623}">
          <xlrd:rvb i="6834"/>
        </ext>
      </extLst>
    </bk>
    <bk>
      <extLst>
        <ext uri="{3e2802c4-a4d2-4d8b-9148-e3be6c30e623}">
          <xlrd:rvb i="6835"/>
        </ext>
      </extLst>
    </bk>
    <bk>
      <extLst>
        <ext uri="{3e2802c4-a4d2-4d8b-9148-e3be6c30e623}">
          <xlrd:rvb i="6836"/>
        </ext>
      </extLst>
    </bk>
    <bk>
      <extLst>
        <ext uri="{3e2802c4-a4d2-4d8b-9148-e3be6c30e623}">
          <xlrd:rvb i="6837"/>
        </ext>
      </extLst>
    </bk>
    <bk>
      <extLst>
        <ext uri="{3e2802c4-a4d2-4d8b-9148-e3be6c30e623}">
          <xlrd:rvb i="6838"/>
        </ext>
      </extLst>
    </bk>
    <bk>
      <extLst>
        <ext uri="{3e2802c4-a4d2-4d8b-9148-e3be6c30e623}">
          <xlrd:rvb i="6839"/>
        </ext>
      </extLst>
    </bk>
    <bk>
      <extLst>
        <ext uri="{3e2802c4-a4d2-4d8b-9148-e3be6c30e623}">
          <xlrd:rvb i="6840"/>
        </ext>
      </extLst>
    </bk>
    <bk>
      <extLst>
        <ext uri="{3e2802c4-a4d2-4d8b-9148-e3be6c30e623}">
          <xlrd:rvb i="6841"/>
        </ext>
      </extLst>
    </bk>
    <bk>
      <extLst>
        <ext uri="{3e2802c4-a4d2-4d8b-9148-e3be6c30e623}">
          <xlrd:rvb i="6842"/>
        </ext>
      </extLst>
    </bk>
    <bk>
      <extLst>
        <ext uri="{3e2802c4-a4d2-4d8b-9148-e3be6c30e623}">
          <xlrd:rvb i="6843"/>
        </ext>
      </extLst>
    </bk>
    <bk>
      <extLst>
        <ext uri="{3e2802c4-a4d2-4d8b-9148-e3be6c30e623}">
          <xlrd:rvb i="6844"/>
        </ext>
      </extLst>
    </bk>
    <bk>
      <extLst>
        <ext uri="{3e2802c4-a4d2-4d8b-9148-e3be6c30e623}">
          <xlrd:rvb i="6845"/>
        </ext>
      </extLst>
    </bk>
    <bk>
      <extLst>
        <ext uri="{3e2802c4-a4d2-4d8b-9148-e3be6c30e623}">
          <xlrd:rvb i="6846"/>
        </ext>
      </extLst>
    </bk>
    <bk>
      <extLst>
        <ext uri="{3e2802c4-a4d2-4d8b-9148-e3be6c30e623}">
          <xlrd:rvb i="6847"/>
        </ext>
      </extLst>
    </bk>
    <bk>
      <extLst>
        <ext uri="{3e2802c4-a4d2-4d8b-9148-e3be6c30e623}">
          <xlrd:rvb i="6848"/>
        </ext>
      </extLst>
    </bk>
    <bk>
      <extLst>
        <ext uri="{3e2802c4-a4d2-4d8b-9148-e3be6c30e623}">
          <xlrd:rvb i="6849"/>
        </ext>
      </extLst>
    </bk>
    <bk>
      <extLst>
        <ext uri="{3e2802c4-a4d2-4d8b-9148-e3be6c30e623}">
          <xlrd:rvb i="6850"/>
        </ext>
      </extLst>
    </bk>
    <bk>
      <extLst>
        <ext uri="{3e2802c4-a4d2-4d8b-9148-e3be6c30e623}">
          <xlrd:rvb i="6851"/>
        </ext>
      </extLst>
    </bk>
    <bk>
      <extLst>
        <ext uri="{3e2802c4-a4d2-4d8b-9148-e3be6c30e623}">
          <xlrd:rvb i="6852"/>
        </ext>
      </extLst>
    </bk>
    <bk>
      <extLst>
        <ext uri="{3e2802c4-a4d2-4d8b-9148-e3be6c30e623}">
          <xlrd:rvb i="6853"/>
        </ext>
      </extLst>
    </bk>
    <bk>
      <extLst>
        <ext uri="{3e2802c4-a4d2-4d8b-9148-e3be6c30e623}">
          <xlrd:rvb i="6854"/>
        </ext>
      </extLst>
    </bk>
    <bk>
      <extLst>
        <ext uri="{3e2802c4-a4d2-4d8b-9148-e3be6c30e623}">
          <xlrd:rvb i="6855"/>
        </ext>
      </extLst>
    </bk>
    <bk>
      <extLst>
        <ext uri="{3e2802c4-a4d2-4d8b-9148-e3be6c30e623}">
          <xlrd:rvb i="6856"/>
        </ext>
      </extLst>
    </bk>
    <bk>
      <extLst>
        <ext uri="{3e2802c4-a4d2-4d8b-9148-e3be6c30e623}">
          <xlrd:rvb i="6857"/>
        </ext>
      </extLst>
    </bk>
    <bk>
      <extLst>
        <ext uri="{3e2802c4-a4d2-4d8b-9148-e3be6c30e623}">
          <xlrd:rvb i="6858"/>
        </ext>
      </extLst>
    </bk>
    <bk>
      <extLst>
        <ext uri="{3e2802c4-a4d2-4d8b-9148-e3be6c30e623}">
          <xlrd:rvb i="6859"/>
        </ext>
      </extLst>
    </bk>
    <bk>
      <extLst>
        <ext uri="{3e2802c4-a4d2-4d8b-9148-e3be6c30e623}">
          <xlrd:rvb i="6860"/>
        </ext>
      </extLst>
    </bk>
    <bk>
      <extLst>
        <ext uri="{3e2802c4-a4d2-4d8b-9148-e3be6c30e623}">
          <xlrd:rvb i="6861"/>
        </ext>
      </extLst>
    </bk>
    <bk>
      <extLst>
        <ext uri="{3e2802c4-a4d2-4d8b-9148-e3be6c30e623}">
          <xlrd:rvb i="6862"/>
        </ext>
      </extLst>
    </bk>
    <bk>
      <extLst>
        <ext uri="{3e2802c4-a4d2-4d8b-9148-e3be6c30e623}">
          <xlrd:rvb i="6863"/>
        </ext>
      </extLst>
    </bk>
    <bk>
      <extLst>
        <ext uri="{3e2802c4-a4d2-4d8b-9148-e3be6c30e623}">
          <xlrd:rvb i="6864"/>
        </ext>
      </extLst>
    </bk>
    <bk>
      <extLst>
        <ext uri="{3e2802c4-a4d2-4d8b-9148-e3be6c30e623}">
          <xlrd:rvb i="6865"/>
        </ext>
      </extLst>
    </bk>
    <bk>
      <extLst>
        <ext uri="{3e2802c4-a4d2-4d8b-9148-e3be6c30e623}">
          <xlrd:rvb i="6866"/>
        </ext>
      </extLst>
    </bk>
    <bk>
      <extLst>
        <ext uri="{3e2802c4-a4d2-4d8b-9148-e3be6c30e623}">
          <xlrd:rvb i="6867"/>
        </ext>
      </extLst>
    </bk>
    <bk>
      <extLst>
        <ext uri="{3e2802c4-a4d2-4d8b-9148-e3be6c30e623}">
          <xlrd:rvb i="6868"/>
        </ext>
      </extLst>
    </bk>
    <bk>
      <extLst>
        <ext uri="{3e2802c4-a4d2-4d8b-9148-e3be6c30e623}">
          <xlrd:rvb i="6869"/>
        </ext>
      </extLst>
    </bk>
    <bk>
      <extLst>
        <ext uri="{3e2802c4-a4d2-4d8b-9148-e3be6c30e623}">
          <xlrd:rvb i="6870"/>
        </ext>
      </extLst>
    </bk>
    <bk>
      <extLst>
        <ext uri="{3e2802c4-a4d2-4d8b-9148-e3be6c30e623}">
          <xlrd:rvb i="6871"/>
        </ext>
      </extLst>
    </bk>
    <bk>
      <extLst>
        <ext uri="{3e2802c4-a4d2-4d8b-9148-e3be6c30e623}">
          <xlrd:rvb i="6872"/>
        </ext>
      </extLst>
    </bk>
    <bk>
      <extLst>
        <ext uri="{3e2802c4-a4d2-4d8b-9148-e3be6c30e623}">
          <xlrd:rvb i="6873"/>
        </ext>
      </extLst>
    </bk>
    <bk>
      <extLst>
        <ext uri="{3e2802c4-a4d2-4d8b-9148-e3be6c30e623}">
          <xlrd:rvb i="6874"/>
        </ext>
      </extLst>
    </bk>
    <bk>
      <extLst>
        <ext uri="{3e2802c4-a4d2-4d8b-9148-e3be6c30e623}">
          <xlrd:rvb i="6875"/>
        </ext>
      </extLst>
    </bk>
    <bk>
      <extLst>
        <ext uri="{3e2802c4-a4d2-4d8b-9148-e3be6c30e623}">
          <xlrd:rvb i="6876"/>
        </ext>
      </extLst>
    </bk>
    <bk>
      <extLst>
        <ext uri="{3e2802c4-a4d2-4d8b-9148-e3be6c30e623}">
          <xlrd:rvb i="6877"/>
        </ext>
      </extLst>
    </bk>
    <bk>
      <extLst>
        <ext uri="{3e2802c4-a4d2-4d8b-9148-e3be6c30e623}">
          <xlrd:rvb i="6878"/>
        </ext>
      </extLst>
    </bk>
    <bk>
      <extLst>
        <ext uri="{3e2802c4-a4d2-4d8b-9148-e3be6c30e623}">
          <xlrd:rvb i="6879"/>
        </ext>
      </extLst>
    </bk>
    <bk>
      <extLst>
        <ext uri="{3e2802c4-a4d2-4d8b-9148-e3be6c30e623}">
          <xlrd:rvb i="6880"/>
        </ext>
      </extLst>
    </bk>
    <bk>
      <extLst>
        <ext uri="{3e2802c4-a4d2-4d8b-9148-e3be6c30e623}">
          <xlrd:rvb i="6881"/>
        </ext>
      </extLst>
    </bk>
    <bk>
      <extLst>
        <ext uri="{3e2802c4-a4d2-4d8b-9148-e3be6c30e623}">
          <xlrd:rvb i="6882"/>
        </ext>
      </extLst>
    </bk>
    <bk>
      <extLst>
        <ext uri="{3e2802c4-a4d2-4d8b-9148-e3be6c30e623}">
          <xlrd:rvb i="6883"/>
        </ext>
      </extLst>
    </bk>
    <bk>
      <extLst>
        <ext uri="{3e2802c4-a4d2-4d8b-9148-e3be6c30e623}">
          <xlrd:rvb i="6884"/>
        </ext>
      </extLst>
    </bk>
    <bk>
      <extLst>
        <ext uri="{3e2802c4-a4d2-4d8b-9148-e3be6c30e623}">
          <xlrd:rvb i="6885"/>
        </ext>
      </extLst>
    </bk>
    <bk>
      <extLst>
        <ext uri="{3e2802c4-a4d2-4d8b-9148-e3be6c30e623}">
          <xlrd:rvb i="6886"/>
        </ext>
      </extLst>
    </bk>
    <bk>
      <extLst>
        <ext uri="{3e2802c4-a4d2-4d8b-9148-e3be6c30e623}">
          <xlrd:rvb i="6887"/>
        </ext>
      </extLst>
    </bk>
    <bk>
      <extLst>
        <ext uri="{3e2802c4-a4d2-4d8b-9148-e3be6c30e623}">
          <xlrd:rvb i="6888"/>
        </ext>
      </extLst>
    </bk>
    <bk>
      <extLst>
        <ext uri="{3e2802c4-a4d2-4d8b-9148-e3be6c30e623}">
          <xlrd:rvb i="6889"/>
        </ext>
      </extLst>
    </bk>
    <bk>
      <extLst>
        <ext uri="{3e2802c4-a4d2-4d8b-9148-e3be6c30e623}">
          <xlrd:rvb i="6890"/>
        </ext>
      </extLst>
    </bk>
    <bk>
      <extLst>
        <ext uri="{3e2802c4-a4d2-4d8b-9148-e3be6c30e623}">
          <xlrd:rvb i="6891"/>
        </ext>
      </extLst>
    </bk>
    <bk>
      <extLst>
        <ext uri="{3e2802c4-a4d2-4d8b-9148-e3be6c30e623}">
          <xlrd:rvb i="6892"/>
        </ext>
      </extLst>
    </bk>
    <bk>
      <extLst>
        <ext uri="{3e2802c4-a4d2-4d8b-9148-e3be6c30e623}">
          <xlrd:rvb i="6893"/>
        </ext>
      </extLst>
    </bk>
    <bk>
      <extLst>
        <ext uri="{3e2802c4-a4d2-4d8b-9148-e3be6c30e623}">
          <xlrd:rvb i="6894"/>
        </ext>
      </extLst>
    </bk>
    <bk>
      <extLst>
        <ext uri="{3e2802c4-a4d2-4d8b-9148-e3be6c30e623}">
          <xlrd:rvb i="6895"/>
        </ext>
      </extLst>
    </bk>
    <bk>
      <extLst>
        <ext uri="{3e2802c4-a4d2-4d8b-9148-e3be6c30e623}">
          <xlrd:rvb i="6896"/>
        </ext>
      </extLst>
    </bk>
    <bk>
      <extLst>
        <ext uri="{3e2802c4-a4d2-4d8b-9148-e3be6c30e623}">
          <xlrd:rvb i="6897"/>
        </ext>
      </extLst>
    </bk>
    <bk>
      <extLst>
        <ext uri="{3e2802c4-a4d2-4d8b-9148-e3be6c30e623}">
          <xlrd:rvb i="6898"/>
        </ext>
      </extLst>
    </bk>
    <bk>
      <extLst>
        <ext uri="{3e2802c4-a4d2-4d8b-9148-e3be6c30e623}">
          <xlrd:rvb i="6899"/>
        </ext>
      </extLst>
    </bk>
    <bk>
      <extLst>
        <ext uri="{3e2802c4-a4d2-4d8b-9148-e3be6c30e623}">
          <xlrd:rvb i="6900"/>
        </ext>
      </extLst>
    </bk>
    <bk>
      <extLst>
        <ext uri="{3e2802c4-a4d2-4d8b-9148-e3be6c30e623}">
          <xlrd:rvb i="6901"/>
        </ext>
      </extLst>
    </bk>
    <bk>
      <extLst>
        <ext uri="{3e2802c4-a4d2-4d8b-9148-e3be6c30e623}">
          <xlrd:rvb i="6902"/>
        </ext>
      </extLst>
    </bk>
    <bk>
      <extLst>
        <ext uri="{3e2802c4-a4d2-4d8b-9148-e3be6c30e623}">
          <xlrd:rvb i="6903"/>
        </ext>
      </extLst>
    </bk>
    <bk>
      <extLst>
        <ext uri="{3e2802c4-a4d2-4d8b-9148-e3be6c30e623}">
          <xlrd:rvb i="6904"/>
        </ext>
      </extLst>
    </bk>
    <bk>
      <extLst>
        <ext uri="{3e2802c4-a4d2-4d8b-9148-e3be6c30e623}">
          <xlrd:rvb i="6905"/>
        </ext>
      </extLst>
    </bk>
    <bk>
      <extLst>
        <ext uri="{3e2802c4-a4d2-4d8b-9148-e3be6c30e623}">
          <xlrd:rvb i="6906"/>
        </ext>
      </extLst>
    </bk>
    <bk>
      <extLst>
        <ext uri="{3e2802c4-a4d2-4d8b-9148-e3be6c30e623}">
          <xlrd:rvb i="6907"/>
        </ext>
      </extLst>
    </bk>
    <bk>
      <extLst>
        <ext uri="{3e2802c4-a4d2-4d8b-9148-e3be6c30e623}">
          <xlrd:rvb i="6908"/>
        </ext>
      </extLst>
    </bk>
    <bk>
      <extLst>
        <ext uri="{3e2802c4-a4d2-4d8b-9148-e3be6c30e623}">
          <xlrd:rvb i="6909"/>
        </ext>
      </extLst>
    </bk>
    <bk>
      <extLst>
        <ext uri="{3e2802c4-a4d2-4d8b-9148-e3be6c30e623}">
          <xlrd:rvb i="6910"/>
        </ext>
      </extLst>
    </bk>
    <bk>
      <extLst>
        <ext uri="{3e2802c4-a4d2-4d8b-9148-e3be6c30e623}">
          <xlrd:rvb i="6911"/>
        </ext>
      </extLst>
    </bk>
    <bk>
      <extLst>
        <ext uri="{3e2802c4-a4d2-4d8b-9148-e3be6c30e623}">
          <xlrd:rvb i="6912"/>
        </ext>
      </extLst>
    </bk>
    <bk>
      <extLst>
        <ext uri="{3e2802c4-a4d2-4d8b-9148-e3be6c30e623}">
          <xlrd:rvb i="6913"/>
        </ext>
      </extLst>
    </bk>
    <bk>
      <extLst>
        <ext uri="{3e2802c4-a4d2-4d8b-9148-e3be6c30e623}">
          <xlrd:rvb i="6914"/>
        </ext>
      </extLst>
    </bk>
    <bk>
      <extLst>
        <ext uri="{3e2802c4-a4d2-4d8b-9148-e3be6c30e623}">
          <xlrd:rvb i="6915"/>
        </ext>
      </extLst>
    </bk>
    <bk>
      <extLst>
        <ext uri="{3e2802c4-a4d2-4d8b-9148-e3be6c30e623}">
          <xlrd:rvb i="6916"/>
        </ext>
      </extLst>
    </bk>
    <bk>
      <extLst>
        <ext uri="{3e2802c4-a4d2-4d8b-9148-e3be6c30e623}">
          <xlrd:rvb i="6917"/>
        </ext>
      </extLst>
    </bk>
    <bk>
      <extLst>
        <ext uri="{3e2802c4-a4d2-4d8b-9148-e3be6c30e623}">
          <xlrd:rvb i="6918"/>
        </ext>
      </extLst>
    </bk>
    <bk>
      <extLst>
        <ext uri="{3e2802c4-a4d2-4d8b-9148-e3be6c30e623}">
          <xlrd:rvb i="6919"/>
        </ext>
      </extLst>
    </bk>
    <bk>
      <extLst>
        <ext uri="{3e2802c4-a4d2-4d8b-9148-e3be6c30e623}">
          <xlrd:rvb i="6920"/>
        </ext>
      </extLst>
    </bk>
    <bk>
      <extLst>
        <ext uri="{3e2802c4-a4d2-4d8b-9148-e3be6c30e623}">
          <xlrd:rvb i="6921"/>
        </ext>
      </extLst>
    </bk>
    <bk>
      <extLst>
        <ext uri="{3e2802c4-a4d2-4d8b-9148-e3be6c30e623}">
          <xlrd:rvb i="6922"/>
        </ext>
      </extLst>
    </bk>
    <bk>
      <extLst>
        <ext uri="{3e2802c4-a4d2-4d8b-9148-e3be6c30e623}">
          <xlrd:rvb i="6923"/>
        </ext>
      </extLst>
    </bk>
    <bk>
      <extLst>
        <ext uri="{3e2802c4-a4d2-4d8b-9148-e3be6c30e623}">
          <xlrd:rvb i="6924"/>
        </ext>
      </extLst>
    </bk>
    <bk>
      <extLst>
        <ext uri="{3e2802c4-a4d2-4d8b-9148-e3be6c30e623}">
          <xlrd:rvb i="6925"/>
        </ext>
      </extLst>
    </bk>
    <bk>
      <extLst>
        <ext uri="{3e2802c4-a4d2-4d8b-9148-e3be6c30e623}">
          <xlrd:rvb i="6926"/>
        </ext>
      </extLst>
    </bk>
    <bk>
      <extLst>
        <ext uri="{3e2802c4-a4d2-4d8b-9148-e3be6c30e623}">
          <xlrd:rvb i="6927"/>
        </ext>
      </extLst>
    </bk>
    <bk>
      <extLst>
        <ext uri="{3e2802c4-a4d2-4d8b-9148-e3be6c30e623}">
          <xlrd:rvb i="6928"/>
        </ext>
      </extLst>
    </bk>
    <bk>
      <extLst>
        <ext uri="{3e2802c4-a4d2-4d8b-9148-e3be6c30e623}">
          <xlrd:rvb i="6929"/>
        </ext>
      </extLst>
    </bk>
    <bk>
      <extLst>
        <ext uri="{3e2802c4-a4d2-4d8b-9148-e3be6c30e623}">
          <xlrd:rvb i="6930"/>
        </ext>
      </extLst>
    </bk>
    <bk>
      <extLst>
        <ext uri="{3e2802c4-a4d2-4d8b-9148-e3be6c30e623}">
          <xlrd:rvb i="6931"/>
        </ext>
      </extLst>
    </bk>
    <bk>
      <extLst>
        <ext uri="{3e2802c4-a4d2-4d8b-9148-e3be6c30e623}">
          <xlrd:rvb i="6932"/>
        </ext>
      </extLst>
    </bk>
    <bk>
      <extLst>
        <ext uri="{3e2802c4-a4d2-4d8b-9148-e3be6c30e623}">
          <xlrd:rvb i="6933"/>
        </ext>
      </extLst>
    </bk>
    <bk>
      <extLst>
        <ext uri="{3e2802c4-a4d2-4d8b-9148-e3be6c30e623}">
          <xlrd:rvb i="6934"/>
        </ext>
      </extLst>
    </bk>
    <bk>
      <extLst>
        <ext uri="{3e2802c4-a4d2-4d8b-9148-e3be6c30e623}">
          <xlrd:rvb i="6935"/>
        </ext>
      </extLst>
    </bk>
    <bk>
      <extLst>
        <ext uri="{3e2802c4-a4d2-4d8b-9148-e3be6c30e623}">
          <xlrd:rvb i="6936"/>
        </ext>
      </extLst>
    </bk>
    <bk>
      <extLst>
        <ext uri="{3e2802c4-a4d2-4d8b-9148-e3be6c30e623}">
          <xlrd:rvb i="6937"/>
        </ext>
      </extLst>
    </bk>
    <bk>
      <extLst>
        <ext uri="{3e2802c4-a4d2-4d8b-9148-e3be6c30e623}">
          <xlrd:rvb i="6938"/>
        </ext>
      </extLst>
    </bk>
    <bk>
      <extLst>
        <ext uri="{3e2802c4-a4d2-4d8b-9148-e3be6c30e623}">
          <xlrd:rvb i="6939"/>
        </ext>
      </extLst>
    </bk>
    <bk>
      <extLst>
        <ext uri="{3e2802c4-a4d2-4d8b-9148-e3be6c30e623}">
          <xlrd:rvb i="6940"/>
        </ext>
      </extLst>
    </bk>
    <bk>
      <extLst>
        <ext uri="{3e2802c4-a4d2-4d8b-9148-e3be6c30e623}">
          <xlrd:rvb i="6941"/>
        </ext>
      </extLst>
    </bk>
    <bk>
      <extLst>
        <ext uri="{3e2802c4-a4d2-4d8b-9148-e3be6c30e623}">
          <xlrd:rvb i="6942"/>
        </ext>
      </extLst>
    </bk>
    <bk>
      <extLst>
        <ext uri="{3e2802c4-a4d2-4d8b-9148-e3be6c30e623}">
          <xlrd:rvb i="6943"/>
        </ext>
      </extLst>
    </bk>
    <bk>
      <extLst>
        <ext uri="{3e2802c4-a4d2-4d8b-9148-e3be6c30e623}">
          <xlrd:rvb i="6944"/>
        </ext>
      </extLst>
    </bk>
    <bk>
      <extLst>
        <ext uri="{3e2802c4-a4d2-4d8b-9148-e3be6c30e623}">
          <xlrd:rvb i="6945"/>
        </ext>
      </extLst>
    </bk>
    <bk>
      <extLst>
        <ext uri="{3e2802c4-a4d2-4d8b-9148-e3be6c30e623}">
          <xlrd:rvb i="6946"/>
        </ext>
      </extLst>
    </bk>
    <bk>
      <extLst>
        <ext uri="{3e2802c4-a4d2-4d8b-9148-e3be6c30e623}">
          <xlrd:rvb i="6947"/>
        </ext>
      </extLst>
    </bk>
    <bk>
      <extLst>
        <ext uri="{3e2802c4-a4d2-4d8b-9148-e3be6c30e623}">
          <xlrd:rvb i="6948"/>
        </ext>
      </extLst>
    </bk>
    <bk>
      <extLst>
        <ext uri="{3e2802c4-a4d2-4d8b-9148-e3be6c30e623}">
          <xlrd:rvb i="6949"/>
        </ext>
      </extLst>
    </bk>
    <bk>
      <extLst>
        <ext uri="{3e2802c4-a4d2-4d8b-9148-e3be6c30e623}">
          <xlrd:rvb i="6950"/>
        </ext>
      </extLst>
    </bk>
    <bk>
      <extLst>
        <ext uri="{3e2802c4-a4d2-4d8b-9148-e3be6c30e623}">
          <xlrd:rvb i="6951"/>
        </ext>
      </extLst>
    </bk>
    <bk>
      <extLst>
        <ext uri="{3e2802c4-a4d2-4d8b-9148-e3be6c30e623}">
          <xlrd:rvb i="6952"/>
        </ext>
      </extLst>
    </bk>
    <bk>
      <extLst>
        <ext uri="{3e2802c4-a4d2-4d8b-9148-e3be6c30e623}">
          <xlrd:rvb i="6953"/>
        </ext>
      </extLst>
    </bk>
    <bk>
      <extLst>
        <ext uri="{3e2802c4-a4d2-4d8b-9148-e3be6c30e623}">
          <xlrd:rvb i="6954"/>
        </ext>
      </extLst>
    </bk>
    <bk>
      <extLst>
        <ext uri="{3e2802c4-a4d2-4d8b-9148-e3be6c30e623}">
          <xlrd:rvb i="6955"/>
        </ext>
      </extLst>
    </bk>
    <bk>
      <extLst>
        <ext uri="{3e2802c4-a4d2-4d8b-9148-e3be6c30e623}">
          <xlrd:rvb i="6956"/>
        </ext>
      </extLst>
    </bk>
    <bk>
      <extLst>
        <ext uri="{3e2802c4-a4d2-4d8b-9148-e3be6c30e623}">
          <xlrd:rvb i="6957"/>
        </ext>
      </extLst>
    </bk>
    <bk>
      <extLst>
        <ext uri="{3e2802c4-a4d2-4d8b-9148-e3be6c30e623}">
          <xlrd:rvb i="6958"/>
        </ext>
      </extLst>
    </bk>
    <bk>
      <extLst>
        <ext uri="{3e2802c4-a4d2-4d8b-9148-e3be6c30e623}">
          <xlrd:rvb i="6959"/>
        </ext>
      </extLst>
    </bk>
    <bk>
      <extLst>
        <ext uri="{3e2802c4-a4d2-4d8b-9148-e3be6c30e623}">
          <xlrd:rvb i="6960"/>
        </ext>
      </extLst>
    </bk>
    <bk>
      <extLst>
        <ext uri="{3e2802c4-a4d2-4d8b-9148-e3be6c30e623}">
          <xlrd:rvb i="6961"/>
        </ext>
      </extLst>
    </bk>
    <bk>
      <extLst>
        <ext uri="{3e2802c4-a4d2-4d8b-9148-e3be6c30e623}">
          <xlrd:rvb i="6962"/>
        </ext>
      </extLst>
    </bk>
    <bk>
      <extLst>
        <ext uri="{3e2802c4-a4d2-4d8b-9148-e3be6c30e623}">
          <xlrd:rvb i="6963"/>
        </ext>
      </extLst>
    </bk>
    <bk>
      <extLst>
        <ext uri="{3e2802c4-a4d2-4d8b-9148-e3be6c30e623}">
          <xlrd:rvb i="6964"/>
        </ext>
      </extLst>
    </bk>
    <bk>
      <extLst>
        <ext uri="{3e2802c4-a4d2-4d8b-9148-e3be6c30e623}">
          <xlrd:rvb i="6965"/>
        </ext>
      </extLst>
    </bk>
    <bk>
      <extLst>
        <ext uri="{3e2802c4-a4d2-4d8b-9148-e3be6c30e623}">
          <xlrd:rvb i="6966"/>
        </ext>
      </extLst>
    </bk>
    <bk>
      <extLst>
        <ext uri="{3e2802c4-a4d2-4d8b-9148-e3be6c30e623}">
          <xlrd:rvb i="6967"/>
        </ext>
      </extLst>
    </bk>
    <bk>
      <extLst>
        <ext uri="{3e2802c4-a4d2-4d8b-9148-e3be6c30e623}">
          <xlrd:rvb i="6968"/>
        </ext>
      </extLst>
    </bk>
    <bk>
      <extLst>
        <ext uri="{3e2802c4-a4d2-4d8b-9148-e3be6c30e623}">
          <xlrd:rvb i="6969"/>
        </ext>
      </extLst>
    </bk>
    <bk>
      <extLst>
        <ext uri="{3e2802c4-a4d2-4d8b-9148-e3be6c30e623}">
          <xlrd:rvb i="6970"/>
        </ext>
      </extLst>
    </bk>
    <bk>
      <extLst>
        <ext uri="{3e2802c4-a4d2-4d8b-9148-e3be6c30e623}">
          <xlrd:rvb i="6971"/>
        </ext>
      </extLst>
    </bk>
    <bk>
      <extLst>
        <ext uri="{3e2802c4-a4d2-4d8b-9148-e3be6c30e623}">
          <xlrd:rvb i="6972"/>
        </ext>
      </extLst>
    </bk>
    <bk>
      <extLst>
        <ext uri="{3e2802c4-a4d2-4d8b-9148-e3be6c30e623}">
          <xlrd:rvb i="6973"/>
        </ext>
      </extLst>
    </bk>
    <bk>
      <extLst>
        <ext uri="{3e2802c4-a4d2-4d8b-9148-e3be6c30e623}">
          <xlrd:rvb i="6974"/>
        </ext>
      </extLst>
    </bk>
    <bk>
      <extLst>
        <ext uri="{3e2802c4-a4d2-4d8b-9148-e3be6c30e623}">
          <xlrd:rvb i="6975"/>
        </ext>
      </extLst>
    </bk>
    <bk>
      <extLst>
        <ext uri="{3e2802c4-a4d2-4d8b-9148-e3be6c30e623}">
          <xlrd:rvb i="6976"/>
        </ext>
      </extLst>
    </bk>
    <bk>
      <extLst>
        <ext uri="{3e2802c4-a4d2-4d8b-9148-e3be6c30e623}">
          <xlrd:rvb i="6977"/>
        </ext>
      </extLst>
    </bk>
    <bk>
      <extLst>
        <ext uri="{3e2802c4-a4d2-4d8b-9148-e3be6c30e623}">
          <xlrd:rvb i="6978"/>
        </ext>
      </extLst>
    </bk>
    <bk>
      <extLst>
        <ext uri="{3e2802c4-a4d2-4d8b-9148-e3be6c30e623}">
          <xlrd:rvb i="6979"/>
        </ext>
      </extLst>
    </bk>
    <bk>
      <extLst>
        <ext uri="{3e2802c4-a4d2-4d8b-9148-e3be6c30e623}">
          <xlrd:rvb i="6980"/>
        </ext>
      </extLst>
    </bk>
    <bk>
      <extLst>
        <ext uri="{3e2802c4-a4d2-4d8b-9148-e3be6c30e623}">
          <xlrd:rvb i="6981"/>
        </ext>
      </extLst>
    </bk>
    <bk>
      <extLst>
        <ext uri="{3e2802c4-a4d2-4d8b-9148-e3be6c30e623}">
          <xlrd:rvb i="6982"/>
        </ext>
      </extLst>
    </bk>
    <bk>
      <extLst>
        <ext uri="{3e2802c4-a4d2-4d8b-9148-e3be6c30e623}">
          <xlrd:rvb i="6983"/>
        </ext>
      </extLst>
    </bk>
    <bk>
      <extLst>
        <ext uri="{3e2802c4-a4d2-4d8b-9148-e3be6c30e623}">
          <xlrd:rvb i="6984"/>
        </ext>
      </extLst>
    </bk>
    <bk>
      <extLst>
        <ext uri="{3e2802c4-a4d2-4d8b-9148-e3be6c30e623}">
          <xlrd:rvb i="6985"/>
        </ext>
      </extLst>
    </bk>
    <bk>
      <extLst>
        <ext uri="{3e2802c4-a4d2-4d8b-9148-e3be6c30e623}">
          <xlrd:rvb i="6986"/>
        </ext>
      </extLst>
    </bk>
    <bk>
      <extLst>
        <ext uri="{3e2802c4-a4d2-4d8b-9148-e3be6c30e623}">
          <xlrd:rvb i="6987"/>
        </ext>
      </extLst>
    </bk>
    <bk>
      <extLst>
        <ext uri="{3e2802c4-a4d2-4d8b-9148-e3be6c30e623}">
          <xlrd:rvb i="6988"/>
        </ext>
      </extLst>
    </bk>
    <bk>
      <extLst>
        <ext uri="{3e2802c4-a4d2-4d8b-9148-e3be6c30e623}">
          <xlrd:rvb i="6989"/>
        </ext>
      </extLst>
    </bk>
    <bk>
      <extLst>
        <ext uri="{3e2802c4-a4d2-4d8b-9148-e3be6c30e623}">
          <xlrd:rvb i="6990"/>
        </ext>
      </extLst>
    </bk>
    <bk>
      <extLst>
        <ext uri="{3e2802c4-a4d2-4d8b-9148-e3be6c30e623}">
          <xlrd:rvb i="6991"/>
        </ext>
      </extLst>
    </bk>
    <bk>
      <extLst>
        <ext uri="{3e2802c4-a4d2-4d8b-9148-e3be6c30e623}">
          <xlrd:rvb i="6992"/>
        </ext>
      </extLst>
    </bk>
    <bk>
      <extLst>
        <ext uri="{3e2802c4-a4d2-4d8b-9148-e3be6c30e623}">
          <xlrd:rvb i="6993"/>
        </ext>
      </extLst>
    </bk>
    <bk>
      <extLst>
        <ext uri="{3e2802c4-a4d2-4d8b-9148-e3be6c30e623}">
          <xlrd:rvb i="6994"/>
        </ext>
      </extLst>
    </bk>
    <bk>
      <extLst>
        <ext uri="{3e2802c4-a4d2-4d8b-9148-e3be6c30e623}">
          <xlrd:rvb i="6995"/>
        </ext>
      </extLst>
    </bk>
    <bk>
      <extLst>
        <ext uri="{3e2802c4-a4d2-4d8b-9148-e3be6c30e623}">
          <xlrd:rvb i="6996"/>
        </ext>
      </extLst>
    </bk>
    <bk>
      <extLst>
        <ext uri="{3e2802c4-a4d2-4d8b-9148-e3be6c30e623}">
          <xlrd:rvb i="6997"/>
        </ext>
      </extLst>
    </bk>
    <bk>
      <extLst>
        <ext uri="{3e2802c4-a4d2-4d8b-9148-e3be6c30e623}">
          <xlrd:rvb i="6998"/>
        </ext>
      </extLst>
    </bk>
    <bk>
      <extLst>
        <ext uri="{3e2802c4-a4d2-4d8b-9148-e3be6c30e623}">
          <xlrd:rvb i="6999"/>
        </ext>
      </extLst>
    </bk>
    <bk>
      <extLst>
        <ext uri="{3e2802c4-a4d2-4d8b-9148-e3be6c30e623}">
          <xlrd:rvb i="7000"/>
        </ext>
      </extLst>
    </bk>
    <bk>
      <extLst>
        <ext uri="{3e2802c4-a4d2-4d8b-9148-e3be6c30e623}">
          <xlrd:rvb i="7001"/>
        </ext>
      </extLst>
    </bk>
    <bk>
      <extLst>
        <ext uri="{3e2802c4-a4d2-4d8b-9148-e3be6c30e623}">
          <xlrd:rvb i="7002"/>
        </ext>
      </extLst>
    </bk>
    <bk>
      <extLst>
        <ext uri="{3e2802c4-a4d2-4d8b-9148-e3be6c30e623}">
          <xlrd:rvb i="7003"/>
        </ext>
      </extLst>
    </bk>
    <bk>
      <extLst>
        <ext uri="{3e2802c4-a4d2-4d8b-9148-e3be6c30e623}">
          <xlrd:rvb i="7004"/>
        </ext>
      </extLst>
    </bk>
    <bk>
      <extLst>
        <ext uri="{3e2802c4-a4d2-4d8b-9148-e3be6c30e623}">
          <xlrd:rvb i="7005"/>
        </ext>
      </extLst>
    </bk>
    <bk>
      <extLst>
        <ext uri="{3e2802c4-a4d2-4d8b-9148-e3be6c30e623}">
          <xlrd:rvb i="7006"/>
        </ext>
      </extLst>
    </bk>
    <bk>
      <extLst>
        <ext uri="{3e2802c4-a4d2-4d8b-9148-e3be6c30e623}">
          <xlrd:rvb i="7007"/>
        </ext>
      </extLst>
    </bk>
    <bk>
      <extLst>
        <ext uri="{3e2802c4-a4d2-4d8b-9148-e3be6c30e623}">
          <xlrd:rvb i="7008"/>
        </ext>
      </extLst>
    </bk>
    <bk>
      <extLst>
        <ext uri="{3e2802c4-a4d2-4d8b-9148-e3be6c30e623}">
          <xlrd:rvb i="7009"/>
        </ext>
      </extLst>
    </bk>
    <bk>
      <extLst>
        <ext uri="{3e2802c4-a4d2-4d8b-9148-e3be6c30e623}">
          <xlrd:rvb i="7010"/>
        </ext>
      </extLst>
    </bk>
    <bk>
      <extLst>
        <ext uri="{3e2802c4-a4d2-4d8b-9148-e3be6c30e623}">
          <xlrd:rvb i="7011"/>
        </ext>
      </extLst>
    </bk>
    <bk>
      <extLst>
        <ext uri="{3e2802c4-a4d2-4d8b-9148-e3be6c30e623}">
          <xlrd:rvb i="7012"/>
        </ext>
      </extLst>
    </bk>
    <bk>
      <extLst>
        <ext uri="{3e2802c4-a4d2-4d8b-9148-e3be6c30e623}">
          <xlrd:rvb i="7013"/>
        </ext>
      </extLst>
    </bk>
    <bk>
      <extLst>
        <ext uri="{3e2802c4-a4d2-4d8b-9148-e3be6c30e623}">
          <xlrd:rvb i="7014"/>
        </ext>
      </extLst>
    </bk>
    <bk>
      <extLst>
        <ext uri="{3e2802c4-a4d2-4d8b-9148-e3be6c30e623}">
          <xlrd:rvb i="7015"/>
        </ext>
      </extLst>
    </bk>
    <bk>
      <extLst>
        <ext uri="{3e2802c4-a4d2-4d8b-9148-e3be6c30e623}">
          <xlrd:rvb i="7016"/>
        </ext>
      </extLst>
    </bk>
    <bk>
      <extLst>
        <ext uri="{3e2802c4-a4d2-4d8b-9148-e3be6c30e623}">
          <xlrd:rvb i="7017"/>
        </ext>
      </extLst>
    </bk>
    <bk>
      <extLst>
        <ext uri="{3e2802c4-a4d2-4d8b-9148-e3be6c30e623}">
          <xlrd:rvb i="7018"/>
        </ext>
      </extLst>
    </bk>
    <bk>
      <extLst>
        <ext uri="{3e2802c4-a4d2-4d8b-9148-e3be6c30e623}">
          <xlrd:rvb i="7019"/>
        </ext>
      </extLst>
    </bk>
    <bk>
      <extLst>
        <ext uri="{3e2802c4-a4d2-4d8b-9148-e3be6c30e623}">
          <xlrd:rvb i="7020"/>
        </ext>
      </extLst>
    </bk>
    <bk>
      <extLst>
        <ext uri="{3e2802c4-a4d2-4d8b-9148-e3be6c30e623}">
          <xlrd:rvb i="7021"/>
        </ext>
      </extLst>
    </bk>
    <bk>
      <extLst>
        <ext uri="{3e2802c4-a4d2-4d8b-9148-e3be6c30e623}">
          <xlrd:rvb i="7022"/>
        </ext>
      </extLst>
    </bk>
    <bk>
      <extLst>
        <ext uri="{3e2802c4-a4d2-4d8b-9148-e3be6c30e623}">
          <xlrd:rvb i="7023"/>
        </ext>
      </extLst>
    </bk>
    <bk>
      <extLst>
        <ext uri="{3e2802c4-a4d2-4d8b-9148-e3be6c30e623}">
          <xlrd:rvb i="7024"/>
        </ext>
      </extLst>
    </bk>
    <bk>
      <extLst>
        <ext uri="{3e2802c4-a4d2-4d8b-9148-e3be6c30e623}">
          <xlrd:rvb i="7025"/>
        </ext>
      </extLst>
    </bk>
    <bk>
      <extLst>
        <ext uri="{3e2802c4-a4d2-4d8b-9148-e3be6c30e623}">
          <xlrd:rvb i="7026"/>
        </ext>
      </extLst>
    </bk>
    <bk>
      <extLst>
        <ext uri="{3e2802c4-a4d2-4d8b-9148-e3be6c30e623}">
          <xlrd:rvb i="7027"/>
        </ext>
      </extLst>
    </bk>
    <bk>
      <extLst>
        <ext uri="{3e2802c4-a4d2-4d8b-9148-e3be6c30e623}">
          <xlrd:rvb i="7028"/>
        </ext>
      </extLst>
    </bk>
    <bk>
      <extLst>
        <ext uri="{3e2802c4-a4d2-4d8b-9148-e3be6c30e623}">
          <xlrd:rvb i="7029"/>
        </ext>
      </extLst>
    </bk>
    <bk>
      <extLst>
        <ext uri="{3e2802c4-a4d2-4d8b-9148-e3be6c30e623}">
          <xlrd:rvb i="7030"/>
        </ext>
      </extLst>
    </bk>
    <bk>
      <extLst>
        <ext uri="{3e2802c4-a4d2-4d8b-9148-e3be6c30e623}">
          <xlrd:rvb i="7031"/>
        </ext>
      </extLst>
    </bk>
    <bk>
      <extLst>
        <ext uri="{3e2802c4-a4d2-4d8b-9148-e3be6c30e623}">
          <xlrd:rvb i="7032"/>
        </ext>
      </extLst>
    </bk>
    <bk>
      <extLst>
        <ext uri="{3e2802c4-a4d2-4d8b-9148-e3be6c30e623}">
          <xlrd:rvb i="7033"/>
        </ext>
      </extLst>
    </bk>
    <bk>
      <extLst>
        <ext uri="{3e2802c4-a4d2-4d8b-9148-e3be6c30e623}">
          <xlrd:rvb i="7034"/>
        </ext>
      </extLst>
    </bk>
    <bk>
      <extLst>
        <ext uri="{3e2802c4-a4d2-4d8b-9148-e3be6c30e623}">
          <xlrd:rvb i="7035"/>
        </ext>
      </extLst>
    </bk>
    <bk>
      <extLst>
        <ext uri="{3e2802c4-a4d2-4d8b-9148-e3be6c30e623}">
          <xlrd:rvb i="7036"/>
        </ext>
      </extLst>
    </bk>
    <bk>
      <extLst>
        <ext uri="{3e2802c4-a4d2-4d8b-9148-e3be6c30e623}">
          <xlrd:rvb i="7037"/>
        </ext>
      </extLst>
    </bk>
    <bk>
      <extLst>
        <ext uri="{3e2802c4-a4d2-4d8b-9148-e3be6c30e623}">
          <xlrd:rvb i="7038"/>
        </ext>
      </extLst>
    </bk>
    <bk>
      <extLst>
        <ext uri="{3e2802c4-a4d2-4d8b-9148-e3be6c30e623}">
          <xlrd:rvb i="7039"/>
        </ext>
      </extLst>
    </bk>
    <bk>
      <extLst>
        <ext uri="{3e2802c4-a4d2-4d8b-9148-e3be6c30e623}">
          <xlrd:rvb i="7040"/>
        </ext>
      </extLst>
    </bk>
    <bk>
      <extLst>
        <ext uri="{3e2802c4-a4d2-4d8b-9148-e3be6c30e623}">
          <xlrd:rvb i="7041"/>
        </ext>
      </extLst>
    </bk>
    <bk>
      <extLst>
        <ext uri="{3e2802c4-a4d2-4d8b-9148-e3be6c30e623}">
          <xlrd:rvb i="7042"/>
        </ext>
      </extLst>
    </bk>
    <bk>
      <extLst>
        <ext uri="{3e2802c4-a4d2-4d8b-9148-e3be6c30e623}">
          <xlrd:rvb i="7043"/>
        </ext>
      </extLst>
    </bk>
    <bk>
      <extLst>
        <ext uri="{3e2802c4-a4d2-4d8b-9148-e3be6c30e623}">
          <xlrd:rvb i="7044"/>
        </ext>
      </extLst>
    </bk>
    <bk>
      <extLst>
        <ext uri="{3e2802c4-a4d2-4d8b-9148-e3be6c30e623}">
          <xlrd:rvb i="7045"/>
        </ext>
      </extLst>
    </bk>
    <bk>
      <extLst>
        <ext uri="{3e2802c4-a4d2-4d8b-9148-e3be6c30e623}">
          <xlrd:rvb i="7046"/>
        </ext>
      </extLst>
    </bk>
    <bk>
      <extLst>
        <ext uri="{3e2802c4-a4d2-4d8b-9148-e3be6c30e623}">
          <xlrd:rvb i="7047"/>
        </ext>
      </extLst>
    </bk>
    <bk>
      <extLst>
        <ext uri="{3e2802c4-a4d2-4d8b-9148-e3be6c30e623}">
          <xlrd:rvb i="7048"/>
        </ext>
      </extLst>
    </bk>
    <bk>
      <extLst>
        <ext uri="{3e2802c4-a4d2-4d8b-9148-e3be6c30e623}">
          <xlrd:rvb i="7049"/>
        </ext>
      </extLst>
    </bk>
    <bk>
      <extLst>
        <ext uri="{3e2802c4-a4d2-4d8b-9148-e3be6c30e623}">
          <xlrd:rvb i="7050"/>
        </ext>
      </extLst>
    </bk>
    <bk>
      <extLst>
        <ext uri="{3e2802c4-a4d2-4d8b-9148-e3be6c30e623}">
          <xlrd:rvb i="7051"/>
        </ext>
      </extLst>
    </bk>
    <bk>
      <extLst>
        <ext uri="{3e2802c4-a4d2-4d8b-9148-e3be6c30e623}">
          <xlrd:rvb i="7052"/>
        </ext>
      </extLst>
    </bk>
    <bk>
      <extLst>
        <ext uri="{3e2802c4-a4d2-4d8b-9148-e3be6c30e623}">
          <xlrd:rvb i="7053"/>
        </ext>
      </extLst>
    </bk>
    <bk>
      <extLst>
        <ext uri="{3e2802c4-a4d2-4d8b-9148-e3be6c30e623}">
          <xlrd:rvb i="7054"/>
        </ext>
      </extLst>
    </bk>
    <bk>
      <extLst>
        <ext uri="{3e2802c4-a4d2-4d8b-9148-e3be6c30e623}">
          <xlrd:rvb i="7055"/>
        </ext>
      </extLst>
    </bk>
    <bk>
      <extLst>
        <ext uri="{3e2802c4-a4d2-4d8b-9148-e3be6c30e623}">
          <xlrd:rvb i="7056"/>
        </ext>
      </extLst>
    </bk>
    <bk>
      <extLst>
        <ext uri="{3e2802c4-a4d2-4d8b-9148-e3be6c30e623}">
          <xlrd:rvb i="7057"/>
        </ext>
      </extLst>
    </bk>
    <bk>
      <extLst>
        <ext uri="{3e2802c4-a4d2-4d8b-9148-e3be6c30e623}">
          <xlrd:rvb i="7058"/>
        </ext>
      </extLst>
    </bk>
    <bk>
      <extLst>
        <ext uri="{3e2802c4-a4d2-4d8b-9148-e3be6c30e623}">
          <xlrd:rvb i="7059"/>
        </ext>
      </extLst>
    </bk>
    <bk>
      <extLst>
        <ext uri="{3e2802c4-a4d2-4d8b-9148-e3be6c30e623}">
          <xlrd:rvb i="7060"/>
        </ext>
      </extLst>
    </bk>
    <bk>
      <extLst>
        <ext uri="{3e2802c4-a4d2-4d8b-9148-e3be6c30e623}">
          <xlrd:rvb i="7061"/>
        </ext>
      </extLst>
    </bk>
    <bk>
      <extLst>
        <ext uri="{3e2802c4-a4d2-4d8b-9148-e3be6c30e623}">
          <xlrd:rvb i="7062"/>
        </ext>
      </extLst>
    </bk>
    <bk>
      <extLst>
        <ext uri="{3e2802c4-a4d2-4d8b-9148-e3be6c30e623}">
          <xlrd:rvb i="7063"/>
        </ext>
      </extLst>
    </bk>
    <bk>
      <extLst>
        <ext uri="{3e2802c4-a4d2-4d8b-9148-e3be6c30e623}">
          <xlrd:rvb i="7064"/>
        </ext>
      </extLst>
    </bk>
    <bk>
      <extLst>
        <ext uri="{3e2802c4-a4d2-4d8b-9148-e3be6c30e623}">
          <xlrd:rvb i="7065"/>
        </ext>
      </extLst>
    </bk>
    <bk>
      <extLst>
        <ext uri="{3e2802c4-a4d2-4d8b-9148-e3be6c30e623}">
          <xlrd:rvb i="7066"/>
        </ext>
      </extLst>
    </bk>
    <bk>
      <extLst>
        <ext uri="{3e2802c4-a4d2-4d8b-9148-e3be6c30e623}">
          <xlrd:rvb i="7067"/>
        </ext>
      </extLst>
    </bk>
    <bk>
      <extLst>
        <ext uri="{3e2802c4-a4d2-4d8b-9148-e3be6c30e623}">
          <xlrd:rvb i="7068"/>
        </ext>
      </extLst>
    </bk>
    <bk>
      <extLst>
        <ext uri="{3e2802c4-a4d2-4d8b-9148-e3be6c30e623}">
          <xlrd:rvb i="7069"/>
        </ext>
      </extLst>
    </bk>
    <bk>
      <extLst>
        <ext uri="{3e2802c4-a4d2-4d8b-9148-e3be6c30e623}">
          <xlrd:rvb i="7070"/>
        </ext>
      </extLst>
    </bk>
    <bk>
      <extLst>
        <ext uri="{3e2802c4-a4d2-4d8b-9148-e3be6c30e623}">
          <xlrd:rvb i="7071"/>
        </ext>
      </extLst>
    </bk>
    <bk>
      <extLst>
        <ext uri="{3e2802c4-a4d2-4d8b-9148-e3be6c30e623}">
          <xlrd:rvb i="7072"/>
        </ext>
      </extLst>
    </bk>
    <bk>
      <extLst>
        <ext uri="{3e2802c4-a4d2-4d8b-9148-e3be6c30e623}">
          <xlrd:rvb i="7073"/>
        </ext>
      </extLst>
    </bk>
    <bk>
      <extLst>
        <ext uri="{3e2802c4-a4d2-4d8b-9148-e3be6c30e623}">
          <xlrd:rvb i="7074"/>
        </ext>
      </extLst>
    </bk>
    <bk>
      <extLst>
        <ext uri="{3e2802c4-a4d2-4d8b-9148-e3be6c30e623}">
          <xlrd:rvb i="7075"/>
        </ext>
      </extLst>
    </bk>
    <bk>
      <extLst>
        <ext uri="{3e2802c4-a4d2-4d8b-9148-e3be6c30e623}">
          <xlrd:rvb i="7076"/>
        </ext>
      </extLst>
    </bk>
    <bk>
      <extLst>
        <ext uri="{3e2802c4-a4d2-4d8b-9148-e3be6c30e623}">
          <xlrd:rvb i="7077"/>
        </ext>
      </extLst>
    </bk>
    <bk>
      <extLst>
        <ext uri="{3e2802c4-a4d2-4d8b-9148-e3be6c30e623}">
          <xlrd:rvb i="7078"/>
        </ext>
      </extLst>
    </bk>
    <bk>
      <extLst>
        <ext uri="{3e2802c4-a4d2-4d8b-9148-e3be6c30e623}">
          <xlrd:rvb i="7079"/>
        </ext>
      </extLst>
    </bk>
    <bk>
      <extLst>
        <ext uri="{3e2802c4-a4d2-4d8b-9148-e3be6c30e623}">
          <xlrd:rvb i="7080"/>
        </ext>
      </extLst>
    </bk>
    <bk>
      <extLst>
        <ext uri="{3e2802c4-a4d2-4d8b-9148-e3be6c30e623}">
          <xlrd:rvb i="7081"/>
        </ext>
      </extLst>
    </bk>
    <bk>
      <extLst>
        <ext uri="{3e2802c4-a4d2-4d8b-9148-e3be6c30e623}">
          <xlrd:rvb i="7082"/>
        </ext>
      </extLst>
    </bk>
    <bk>
      <extLst>
        <ext uri="{3e2802c4-a4d2-4d8b-9148-e3be6c30e623}">
          <xlrd:rvb i="7083"/>
        </ext>
      </extLst>
    </bk>
    <bk>
      <extLst>
        <ext uri="{3e2802c4-a4d2-4d8b-9148-e3be6c30e623}">
          <xlrd:rvb i="7084"/>
        </ext>
      </extLst>
    </bk>
    <bk>
      <extLst>
        <ext uri="{3e2802c4-a4d2-4d8b-9148-e3be6c30e623}">
          <xlrd:rvb i="7085"/>
        </ext>
      </extLst>
    </bk>
    <bk>
      <extLst>
        <ext uri="{3e2802c4-a4d2-4d8b-9148-e3be6c30e623}">
          <xlrd:rvb i="7086"/>
        </ext>
      </extLst>
    </bk>
    <bk>
      <extLst>
        <ext uri="{3e2802c4-a4d2-4d8b-9148-e3be6c30e623}">
          <xlrd:rvb i="7087"/>
        </ext>
      </extLst>
    </bk>
    <bk>
      <extLst>
        <ext uri="{3e2802c4-a4d2-4d8b-9148-e3be6c30e623}">
          <xlrd:rvb i="7088"/>
        </ext>
      </extLst>
    </bk>
    <bk>
      <extLst>
        <ext uri="{3e2802c4-a4d2-4d8b-9148-e3be6c30e623}">
          <xlrd:rvb i="7089"/>
        </ext>
      </extLst>
    </bk>
    <bk>
      <extLst>
        <ext uri="{3e2802c4-a4d2-4d8b-9148-e3be6c30e623}">
          <xlrd:rvb i="7090"/>
        </ext>
      </extLst>
    </bk>
    <bk>
      <extLst>
        <ext uri="{3e2802c4-a4d2-4d8b-9148-e3be6c30e623}">
          <xlrd:rvb i="7091"/>
        </ext>
      </extLst>
    </bk>
    <bk>
      <extLst>
        <ext uri="{3e2802c4-a4d2-4d8b-9148-e3be6c30e623}">
          <xlrd:rvb i="7092"/>
        </ext>
      </extLst>
    </bk>
    <bk>
      <extLst>
        <ext uri="{3e2802c4-a4d2-4d8b-9148-e3be6c30e623}">
          <xlrd:rvb i="7093"/>
        </ext>
      </extLst>
    </bk>
    <bk>
      <extLst>
        <ext uri="{3e2802c4-a4d2-4d8b-9148-e3be6c30e623}">
          <xlrd:rvb i="7094"/>
        </ext>
      </extLst>
    </bk>
    <bk>
      <extLst>
        <ext uri="{3e2802c4-a4d2-4d8b-9148-e3be6c30e623}">
          <xlrd:rvb i="7095"/>
        </ext>
      </extLst>
    </bk>
    <bk>
      <extLst>
        <ext uri="{3e2802c4-a4d2-4d8b-9148-e3be6c30e623}">
          <xlrd:rvb i="7096"/>
        </ext>
      </extLst>
    </bk>
    <bk>
      <extLst>
        <ext uri="{3e2802c4-a4d2-4d8b-9148-e3be6c30e623}">
          <xlrd:rvb i="7097"/>
        </ext>
      </extLst>
    </bk>
    <bk>
      <extLst>
        <ext uri="{3e2802c4-a4d2-4d8b-9148-e3be6c30e623}">
          <xlrd:rvb i="7098"/>
        </ext>
      </extLst>
    </bk>
    <bk>
      <extLst>
        <ext uri="{3e2802c4-a4d2-4d8b-9148-e3be6c30e623}">
          <xlrd:rvb i="7099"/>
        </ext>
      </extLst>
    </bk>
    <bk>
      <extLst>
        <ext uri="{3e2802c4-a4d2-4d8b-9148-e3be6c30e623}">
          <xlrd:rvb i="7100"/>
        </ext>
      </extLst>
    </bk>
    <bk>
      <extLst>
        <ext uri="{3e2802c4-a4d2-4d8b-9148-e3be6c30e623}">
          <xlrd:rvb i="7101"/>
        </ext>
      </extLst>
    </bk>
    <bk>
      <extLst>
        <ext uri="{3e2802c4-a4d2-4d8b-9148-e3be6c30e623}">
          <xlrd:rvb i="7102"/>
        </ext>
      </extLst>
    </bk>
    <bk>
      <extLst>
        <ext uri="{3e2802c4-a4d2-4d8b-9148-e3be6c30e623}">
          <xlrd:rvb i="7103"/>
        </ext>
      </extLst>
    </bk>
    <bk>
      <extLst>
        <ext uri="{3e2802c4-a4d2-4d8b-9148-e3be6c30e623}">
          <xlrd:rvb i="7104"/>
        </ext>
      </extLst>
    </bk>
    <bk>
      <extLst>
        <ext uri="{3e2802c4-a4d2-4d8b-9148-e3be6c30e623}">
          <xlrd:rvb i="7105"/>
        </ext>
      </extLst>
    </bk>
    <bk>
      <extLst>
        <ext uri="{3e2802c4-a4d2-4d8b-9148-e3be6c30e623}">
          <xlrd:rvb i="7106"/>
        </ext>
      </extLst>
    </bk>
    <bk>
      <extLst>
        <ext uri="{3e2802c4-a4d2-4d8b-9148-e3be6c30e623}">
          <xlrd:rvb i="7107"/>
        </ext>
      </extLst>
    </bk>
    <bk>
      <extLst>
        <ext uri="{3e2802c4-a4d2-4d8b-9148-e3be6c30e623}">
          <xlrd:rvb i="7108"/>
        </ext>
      </extLst>
    </bk>
    <bk>
      <extLst>
        <ext uri="{3e2802c4-a4d2-4d8b-9148-e3be6c30e623}">
          <xlrd:rvb i="7109"/>
        </ext>
      </extLst>
    </bk>
    <bk>
      <extLst>
        <ext uri="{3e2802c4-a4d2-4d8b-9148-e3be6c30e623}">
          <xlrd:rvb i="7110"/>
        </ext>
      </extLst>
    </bk>
    <bk>
      <extLst>
        <ext uri="{3e2802c4-a4d2-4d8b-9148-e3be6c30e623}">
          <xlrd:rvb i="7111"/>
        </ext>
      </extLst>
    </bk>
    <bk>
      <extLst>
        <ext uri="{3e2802c4-a4d2-4d8b-9148-e3be6c30e623}">
          <xlrd:rvb i="7112"/>
        </ext>
      </extLst>
    </bk>
    <bk>
      <extLst>
        <ext uri="{3e2802c4-a4d2-4d8b-9148-e3be6c30e623}">
          <xlrd:rvb i="7113"/>
        </ext>
      </extLst>
    </bk>
    <bk>
      <extLst>
        <ext uri="{3e2802c4-a4d2-4d8b-9148-e3be6c30e623}">
          <xlrd:rvb i="7114"/>
        </ext>
      </extLst>
    </bk>
    <bk>
      <extLst>
        <ext uri="{3e2802c4-a4d2-4d8b-9148-e3be6c30e623}">
          <xlrd:rvb i="7115"/>
        </ext>
      </extLst>
    </bk>
    <bk>
      <extLst>
        <ext uri="{3e2802c4-a4d2-4d8b-9148-e3be6c30e623}">
          <xlrd:rvb i="7116"/>
        </ext>
      </extLst>
    </bk>
    <bk>
      <extLst>
        <ext uri="{3e2802c4-a4d2-4d8b-9148-e3be6c30e623}">
          <xlrd:rvb i="7117"/>
        </ext>
      </extLst>
    </bk>
    <bk>
      <extLst>
        <ext uri="{3e2802c4-a4d2-4d8b-9148-e3be6c30e623}">
          <xlrd:rvb i="7118"/>
        </ext>
      </extLst>
    </bk>
    <bk>
      <extLst>
        <ext uri="{3e2802c4-a4d2-4d8b-9148-e3be6c30e623}">
          <xlrd:rvb i="7119"/>
        </ext>
      </extLst>
    </bk>
    <bk>
      <extLst>
        <ext uri="{3e2802c4-a4d2-4d8b-9148-e3be6c30e623}">
          <xlrd:rvb i="7120"/>
        </ext>
      </extLst>
    </bk>
    <bk>
      <extLst>
        <ext uri="{3e2802c4-a4d2-4d8b-9148-e3be6c30e623}">
          <xlrd:rvb i="7121"/>
        </ext>
      </extLst>
    </bk>
    <bk>
      <extLst>
        <ext uri="{3e2802c4-a4d2-4d8b-9148-e3be6c30e623}">
          <xlrd:rvb i="7122"/>
        </ext>
      </extLst>
    </bk>
    <bk>
      <extLst>
        <ext uri="{3e2802c4-a4d2-4d8b-9148-e3be6c30e623}">
          <xlrd:rvb i="7123"/>
        </ext>
      </extLst>
    </bk>
    <bk>
      <extLst>
        <ext uri="{3e2802c4-a4d2-4d8b-9148-e3be6c30e623}">
          <xlrd:rvb i="7124"/>
        </ext>
      </extLst>
    </bk>
    <bk>
      <extLst>
        <ext uri="{3e2802c4-a4d2-4d8b-9148-e3be6c30e623}">
          <xlrd:rvb i="7125"/>
        </ext>
      </extLst>
    </bk>
    <bk>
      <extLst>
        <ext uri="{3e2802c4-a4d2-4d8b-9148-e3be6c30e623}">
          <xlrd:rvb i="7126"/>
        </ext>
      </extLst>
    </bk>
    <bk>
      <extLst>
        <ext uri="{3e2802c4-a4d2-4d8b-9148-e3be6c30e623}">
          <xlrd:rvb i="7127"/>
        </ext>
      </extLst>
    </bk>
    <bk>
      <extLst>
        <ext uri="{3e2802c4-a4d2-4d8b-9148-e3be6c30e623}">
          <xlrd:rvb i="7128"/>
        </ext>
      </extLst>
    </bk>
    <bk>
      <extLst>
        <ext uri="{3e2802c4-a4d2-4d8b-9148-e3be6c30e623}">
          <xlrd:rvb i="7129"/>
        </ext>
      </extLst>
    </bk>
    <bk>
      <extLst>
        <ext uri="{3e2802c4-a4d2-4d8b-9148-e3be6c30e623}">
          <xlrd:rvb i="7130"/>
        </ext>
      </extLst>
    </bk>
    <bk>
      <extLst>
        <ext uri="{3e2802c4-a4d2-4d8b-9148-e3be6c30e623}">
          <xlrd:rvb i="7131"/>
        </ext>
      </extLst>
    </bk>
    <bk>
      <extLst>
        <ext uri="{3e2802c4-a4d2-4d8b-9148-e3be6c30e623}">
          <xlrd:rvb i="7132"/>
        </ext>
      </extLst>
    </bk>
    <bk>
      <extLst>
        <ext uri="{3e2802c4-a4d2-4d8b-9148-e3be6c30e623}">
          <xlrd:rvb i="7133"/>
        </ext>
      </extLst>
    </bk>
    <bk>
      <extLst>
        <ext uri="{3e2802c4-a4d2-4d8b-9148-e3be6c30e623}">
          <xlrd:rvb i="7134"/>
        </ext>
      </extLst>
    </bk>
    <bk>
      <extLst>
        <ext uri="{3e2802c4-a4d2-4d8b-9148-e3be6c30e623}">
          <xlrd:rvb i="7135"/>
        </ext>
      </extLst>
    </bk>
    <bk>
      <extLst>
        <ext uri="{3e2802c4-a4d2-4d8b-9148-e3be6c30e623}">
          <xlrd:rvb i="7136"/>
        </ext>
      </extLst>
    </bk>
    <bk>
      <extLst>
        <ext uri="{3e2802c4-a4d2-4d8b-9148-e3be6c30e623}">
          <xlrd:rvb i="7137"/>
        </ext>
      </extLst>
    </bk>
    <bk>
      <extLst>
        <ext uri="{3e2802c4-a4d2-4d8b-9148-e3be6c30e623}">
          <xlrd:rvb i="7138"/>
        </ext>
      </extLst>
    </bk>
    <bk>
      <extLst>
        <ext uri="{3e2802c4-a4d2-4d8b-9148-e3be6c30e623}">
          <xlrd:rvb i="7139"/>
        </ext>
      </extLst>
    </bk>
    <bk>
      <extLst>
        <ext uri="{3e2802c4-a4d2-4d8b-9148-e3be6c30e623}">
          <xlrd:rvb i="7140"/>
        </ext>
      </extLst>
    </bk>
    <bk>
      <extLst>
        <ext uri="{3e2802c4-a4d2-4d8b-9148-e3be6c30e623}">
          <xlrd:rvb i="7141"/>
        </ext>
      </extLst>
    </bk>
    <bk>
      <extLst>
        <ext uri="{3e2802c4-a4d2-4d8b-9148-e3be6c30e623}">
          <xlrd:rvb i="7142"/>
        </ext>
      </extLst>
    </bk>
    <bk>
      <extLst>
        <ext uri="{3e2802c4-a4d2-4d8b-9148-e3be6c30e623}">
          <xlrd:rvb i="7143"/>
        </ext>
      </extLst>
    </bk>
    <bk>
      <extLst>
        <ext uri="{3e2802c4-a4d2-4d8b-9148-e3be6c30e623}">
          <xlrd:rvb i="7144"/>
        </ext>
      </extLst>
    </bk>
    <bk>
      <extLst>
        <ext uri="{3e2802c4-a4d2-4d8b-9148-e3be6c30e623}">
          <xlrd:rvb i="7145"/>
        </ext>
      </extLst>
    </bk>
    <bk>
      <extLst>
        <ext uri="{3e2802c4-a4d2-4d8b-9148-e3be6c30e623}">
          <xlrd:rvb i="7146"/>
        </ext>
      </extLst>
    </bk>
    <bk>
      <extLst>
        <ext uri="{3e2802c4-a4d2-4d8b-9148-e3be6c30e623}">
          <xlrd:rvb i="7147"/>
        </ext>
      </extLst>
    </bk>
    <bk>
      <extLst>
        <ext uri="{3e2802c4-a4d2-4d8b-9148-e3be6c30e623}">
          <xlrd:rvb i="7148"/>
        </ext>
      </extLst>
    </bk>
    <bk>
      <extLst>
        <ext uri="{3e2802c4-a4d2-4d8b-9148-e3be6c30e623}">
          <xlrd:rvb i="7149"/>
        </ext>
      </extLst>
    </bk>
    <bk>
      <extLst>
        <ext uri="{3e2802c4-a4d2-4d8b-9148-e3be6c30e623}">
          <xlrd:rvb i="7150"/>
        </ext>
      </extLst>
    </bk>
    <bk>
      <extLst>
        <ext uri="{3e2802c4-a4d2-4d8b-9148-e3be6c30e623}">
          <xlrd:rvb i="7151"/>
        </ext>
      </extLst>
    </bk>
    <bk>
      <extLst>
        <ext uri="{3e2802c4-a4d2-4d8b-9148-e3be6c30e623}">
          <xlrd:rvb i="7152"/>
        </ext>
      </extLst>
    </bk>
    <bk>
      <extLst>
        <ext uri="{3e2802c4-a4d2-4d8b-9148-e3be6c30e623}">
          <xlrd:rvb i="7153"/>
        </ext>
      </extLst>
    </bk>
    <bk>
      <extLst>
        <ext uri="{3e2802c4-a4d2-4d8b-9148-e3be6c30e623}">
          <xlrd:rvb i="7154"/>
        </ext>
      </extLst>
    </bk>
    <bk>
      <extLst>
        <ext uri="{3e2802c4-a4d2-4d8b-9148-e3be6c30e623}">
          <xlrd:rvb i="7155"/>
        </ext>
      </extLst>
    </bk>
    <bk>
      <extLst>
        <ext uri="{3e2802c4-a4d2-4d8b-9148-e3be6c30e623}">
          <xlrd:rvb i="7156"/>
        </ext>
      </extLst>
    </bk>
    <bk>
      <extLst>
        <ext uri="{3e2802c4-a4d2-4d8b-9148-e3be6c30e623}">
          <xlrd:rvb i="7157"/>
        </ext>
      </extLst>
    </bk>
    <bk>
      <extLst>
        <ext uri="{3e2802c4-a4d2-4d8b-9148-e3be6c30e623}">
          <xlrd:rvb i="7158"/>
        </ext>
      </extLst>
    </bk>
    <bk>
      <extLst>
        <ext uri="{3e2802c4-a4d2-4d8b-9148-e3be6c30e623}">
          <xlrd:rvb i="7159"/>
        </ext>
      </extLst>
    </bk>
    <bk>
      <extLst>
        <ext uri="{3e2802c4-a4d2-4d8b-9148-e3be6c30e623}">
          <xlrd:rvb i="7160"/>
        </ext>
      </extLst>
    </bk>
    <bk>
      <extLst>
        <ext uri="{3e2802c4-a4d2-4d8b-9148-e3be6c30e623}">
          <xlrd:rvb i="7161"/>
        </ext>
      </extLst>
    </bk>
    <bk>
      <extLst>
        <ext uri="{3e2802c4-a4d2-4d8b-9148-e3be6c30e623}">
          <xlrd:rvb i="7162"/>
        </ext>
      </extLst>
    </bk>
    <bk>
      <extLst>
        <ext uri="{3e2802c4-a4d2-4d8b-9148-e3be6c30e623}">
          <xlrd:rvb i="7163"/>
        </ext>
      </extLst>
    </bk>
    <bk>
      <extLst>
        <ext uri="{3e2802c4-a4d2-4d8b-9148-e3be6c30e623}">
          <xlrd:rvb i="7164"/>
        </ext>
      </extLst>
    </bk>
    <bk>
      <extLst>
        <ext uri="{3e2802c4-a4d2-4d8b-9148-e3be6c30e623}">
          <xlrd:rvb i="7165"/>
        </ext>
      </extLst>
    </bk>
    <bk>
      <extLst>
        <ext uri="{3e2802c4-a4d2-4d8b-9148-e3be6c30e623}">
          <xlrd:rvb i="7166"/>
        </ext>
      </extLst>
    </bk>
    <bk>
      <extLst>
        <ext uri="{3e2802c4-a4d2-4d8b-9148-e3be6c30e623}">
          <xlrd:rvb i="7167"/>
        </ext>
      </extLst>
    </bk>
    <bk>
      <extLst>
        <ext uri="{3e2802c4-a4d2-4d8b-9148-e3be6c30e623}">
          <xlrd:rvb i="7168"/>
        </ext>
      </extLst>
    </bk>
    <bk>
      <extLst>
        <ext uri="{3e2802c4-a4d2-4d8b-9148-e3be6c30e623}">
          <xlrd:rvb i="7169"/>
        </ext>
      </extLst>
    </bk>
    <bk>
      <extLst>
        <ext uri="{3e2802c4-a4d2-4d8b-9148-e3be6c30e623}">
          <xlrd:rvb i="7170"/>
        </ext>
      </extLst>
    </bk>
    <bk>
      <extLst>
        <ext uri="{3e2802c4-a4d2-4d8b-9148-e3be6c30e623}">
          <xlrd:rvb i="7171"/>
        </ext>
      </extLst>
    </bk>
    <bk>
      <extLst>
        <ext uri="{3e2802c4-a4d2-4d8b-9148-e3be6c30e623}">
          <xlrd:rvb i="7172"/>
        </ext>
      </extLst>
    </bk>
    <bk>
      <extLst>
        <ext uri="{3e2802c4-a4d2-4d8b-9148-e3be6c30e623}">
          <xlrd:rvb i="7173"/>
        </ext>
      </extLst>
    </bk>
    <bk>
      <extLst>
        <ext uri="{3e2802c4-a4d2-4d8b-9148-e3be6c30e623}">
          <xlrd:rvb i="7174"/>
        </ext>
      </extLst>
    </bk>
    <bk>
      <extLst>
        <ext uri="{3e2802c4-a4d2-4d8b-9148-e3be6c30e623}">
          <xlrd:rvb i="7175"/>
        </ext>
      </extLst>
    </bk>
    <bk>
      <extLst>
        <ext uri="{3e2802c4-a4d2-4d8b-9148-e3be6c30e623}">
          <xlrd:rvb i="7176"/>
        </ext>
      </extLst>
    </bk>
    <bk>
      <extLst>
        <ext uri="{3e2802c4-a4d2-4d8b-9148-e3be6c30e623}">
          <xlrd:rvb i="7177"/>
        </ext>
      </extLst>
    </bk>
    <bk>
      <extLst>
        <ext uri="{3e2802c4-a4d2-4d8b-9148-e3be6c30e623}">
          <xlrd:rvb i="7178"/>
        </ext>
      </extLst>
    </bk>
    <bk>
      <extLst>
        <ext uri="{3e2802c4-a4d2-4d8b-9148-e3be6c30e623}">
          <xlrd:rvb i="7179"/>
        </ext>
      </extLst>
    </bk>
    <bk>
      <extLst>
        <ext uri="{3e2802c4-a4d2-4d8b-9148-e3be6c30e623}">
          <xlrd:rvb i="7180"/>
        </ext>
      </extLst>
    </bk>
    <bk>
      <extLst>
        <ext uri="{3e2802c4-a4d2-4d8b-9148-e3be6c30e623}">
          <xlrd:rvb i="7181"/>
        </ext>
      </extLst>
    </bk>
    <bk>
      <extLst>
        <ext uri="{3e2802c4-a4d2-4d8b-9148-e3be6c30e623}">
          <xlrd:rvb i="7182"/>
        </ext>
      </extLst>
    </bk>
    <bk>
      <extLst>
        <ext uri="{3e2802c4-a4d2-4d8b-9148-e3be6c30e623}">
          <xlrd:rvb i="7183"/>
        </ext>
      </extLst>
    </bk>
    <bk>
      <extLst>
        <ext uri="{3e2802c4-a4d2-4d8b-9148-e3be6c30e623}">
          <xlrd:rvb i="7184"/>
        </ext>
      </extLst>
    </bk>
    <bk>
      <extLst>
        <ext uri="{3e2802c4-a4d2-4d8b-9148-e3be6c30e623}">
          <xlrd:rvb i="7185"/>
        </ext>
      </extLst>
    </bk>
    <bk>
      <extLst>
        <ext uri="{3e2802c4-a4d2-4d8b-9148-e3be6c30e623}">
          <xlrd:rvb i="7186"/>
        </ext>
      </extLst>
    </bk>
    <bk>
      <extLst>
        <ext uri="{3e2802c4-a4d2-4d8b-9148-e3be6c30e623}">
          <xlrd:rvb i="7187"/>
        </ext>
      </extLst>
    </bk>
    <bk>
      <extLst>
        <ext uri="{3e2802c4-a4d2-4d8b-9148-e3be6c30e623}">
          <xlrd:rvb i="7188"/>
        </ext>
      </extLst>
    </bk>
    <bk>
      <extLst>
        <ext uri="{3e2802c4-a4d2-4d8b-9148-e3be6c30e623}">
          <xlrd:rvb i="7189"/>
        </ext>
      </extLst>
    </bk>
    <bk>
      <extLst>
        <ext uri="{3e2802c4-a4d2-4d8b-9148-e3be6c30e623}">
          <xlrd:rvb i="7190"/>
        </ext>
      </extLst>
    </bk>
    <bk>
      <extLst>
        <ext uri="{3e2802c4-a4d2-4d8b-9148-e3be6c30e623}">
          <xlrd:rvb i="7191"/>
        </ext>
      </extLst>
    </bk>
    <bk>
      <extLst>
        <ext uri="{3e2802c4-a4d2-4d8b-9148-e3be6c30e623}">
          <xlrd:rvb i="7192"/>
        </ext>
      </extLst>
    </bk>
    <bk>
      <extLst>
        <ext uri="{3e2802c4-a4d2-4d8b-9148-e3be6c30e623}">
          <xlrd:rvb i="7193"/>
        </ext>
      </extLst>
    </bk>
    <bk>
      <extLst>
        <ext uri="{3e2802c4-a4d2-4d8b-9148-e3be6c30e623}">
          <xlrd:rvb i="7194"/>
        </ext>
      </extLst>
    </bk>
    <bk>
      <extLst>
        <ext uri="{3e2802c4-a4d2-4d8b-9148-e3be6c30e623}">
          <xlrd:rvb i="7195"/>
        </ext>
      </extLst>
    </bk>
    <bk>
      <extLst>
        <ext uri="{3e2802c4-a4d2-4d8b-9148-e3be6c30e623}">
          <xlrd:rvb i="7196"/>
        </ext>
      </extLst>
    </bk>
    <bk>
      <extLst>
        <ext uri="{3e2802c4-a4d2-4d8b-9148-e3be6c30e623}">
          <xlrd:rvb i="7197"/>
        </ext>
      </extLst>
    </bk>
    <bk>
      <extLst>
        <ext uri="{3e2802c4-a4d2-4d8b-9148-e3be6c30e623}">
          <xlrd:rvb i="7198"/>
        </ext>
      </extLst>
    </bk>
    <bk>
      <extLst>
        <ext uri="{3e2802c4-a4d2-4d8b-9148-e3be6c30e623}">
          <xlrd:rvb i="7199"/>
        </ext>
      </extLst>
    </bk>
    <bk>
      <extLst>
        <ext uri="{3e2802c4-a4d2-4d8b-9148-e3be6c30e623}">
          <xlrd:rvb i="7200"/>
        </ext>
      </extLst>
    </bk>
    <bk>
      <extLst>
        <ext uri="{3e2802c4-a4d2-4d8b-9148-e3be6c30e623}">
          <xlrd:rvb i="7201"/>
        </ext>
      </extLst>
    </bk>
    <bk>
      <extLst>
        <ext uri="{3e2802c4-a4d2-4d8b-9148-e3be6c30e623}">
          <xlrd:rvb i="7202"/>
        </ext>
      </extLst>
    </bk>
    <bk>
      <extLst>
        <ext uri="{3e2802c4-a4d2-4d8b-9148-e3be6c30e623}">
          <xlrd:rvb i="7203"/>
        </ext>
      </extLst>
    </bk>
    <bk>
      <extLst>
        <ext uri="{3e2802c4-a4d2-4d8b-9148-e3be6c30e623}">
          <xlrd:rvb i="7204"/>
        </ext>
      </extLst>
    </bk>
    <bk>
      <extLst>
        <ext uri="{3e2802c4-a4d2-4d8b-9148-e3be6c30e623}">
          <xlrd:rvb i="7205"/>
        </ext>
      </extLst>
    </bk>
    <bk>
      <extLst>
        <ext uri="{3e2802c4-a4d2-4d8b-9148-e3be6c30e623}">
          <xlrd:rvb i="7206"/>
        </ext>
      </extLst>
    </bk>
    <bk>
      <extLst>
        <ext uri="{3e2802c4-a4d2-4d8b-9148-e3be6c30e623}">
          <xlrd:rvb i="7207"/>
        </ext>
      </extLst>
    </bk>
    <bk>
      <extLst>
        <ext uri="{3e2802c4-a4d2-4d8b-9148-e3be6c30e623}">
          <xlrd:rvb i="7208"/>
        </ext>
      </extLst>
    </bk>
    <bk>
      <extLst>
        <ext uri="{3e2802c4-a4d2-4d8b-9148-e3be6c30e623}">
          <xlrd:rvb i="7209"/>
        </ext>
      </extLst>
    </bk>
    <bk>
      <extLst>
        <ext uri="{3e2802c4-a4d2-4d8b-9148-e3be6c30e623}">
          <xlrd:rvb i="7210"/>
        </ext>
      </extLst>
    </bk>
    <bk>
      <extLst>
        <ext uri="{3e2802c4-a4d2-4d8b-9148-e3be6c30e623}">
          <xlrd:rvb i="7211"/>
        </ext>
      </extLst>
    </bk>
    <bk>
      <extLst>
        <ext uri="{3e2802c4-a4d2-4d8b-9148-e3be6c30e623}">
          <xlrd:rvb i="7212"/>
        </ext>
      </extLst>
    </bk>
    <bk>
      <extLst>
        <ext uri="{3e2802c4-a4d2-4d8b-9148-e3be6c30e623}">
          <xlrd:rvb i="7213"/>
        </ext>
      </extLst>
    </bk>
    <bk>
      <extLst>
        <ext uri="{3e2802c4-a4d2-4d8b-9148-e3be6c30e623}">
          <xlrd:rvb i="7214"/>
        </ext>
      </extLst>
    </bk>
    <bk>
      <extLst>
        <ext uri="{3e2802c4-a4d2-4d8b-9148-e3be6c30e623}">
          <xlrd:rvb i="7215"/>
        </ext>
      </extLst>
    </bk>
    <bk>
      <extLst>
        <ext uri="{3e2802c4-a4d2-4d8b-9148-e3be6c30e623}">
          <xlrd:rvb i="7216"/>
        </ext>
      </extLst>
    </bk>
    <bk>
      <extLst>
        <ext uri="{3e2802c4-a4d2-4d8b-9148-e3be6c30e623}">
          <xlrd:rvb i="7217"/>
        </ext>
      </extLst>
    </bk>
    <bk>
      <extLst>
        <ext uri="{3e2802c4-a4d2-4d8b-9148-e3be6c30e623}">
          <xlrd:rvb i="7218"/>
        </ext>
      </extLst>
    </bk>
    <bk>
      <extLst>
        <ext uri="{3e2802c4-a4d2-4d8b-9148-e3be6c30e623}">
          <xlrd:rvb i="7219"/>
        </ext>
      </extLst>
    </bk>
    <bk>
      <extLst>
        <ext uri="{3e2802c4-a4d2-4d8b-9148-e3be6c30e623}">
          <xlrd:rvb i="7220"/>
        </ext>
      </extLst>
    </bk>
    <bk>
      <extLst>
        <ext uri="{3e2802c4-a4d2-4d8b-9148-e3be6c30e623}">
          <xlrd:rvb i="7221"/>
        </ext>
      </extLst>
    </bk>
    <bk>
      <extLst>
        <ext uri="{3e2802c4-a4d2-4d8b-9148-e3be6c30e623}">
          <xlrd:rvb i="7222"/>
        </ext>
      </extLst>
    </bk>
    <bk>
      <extLst>
        <ext uri="{3e2802c4-a4d2-4d8b-9148-e3be6c30e623}">
          <xlrd:rvb i="7223"/>
        </ext>
      </extLst>
    </bk>
    <bk>
      <extLst>
        <ext uri="{3e2802c4-a4d2-4d8b-9148-e3be6c30e623}">
          <xlrd:rvb i="7224"/>
        </ext>
      </extLst>
    </bk>
    <bk>
      <extLst>
        <ext uri="{3e2802c4-a4d2-4d8b-9148-e3be6c30e623}">
          <xlrd:rvb i="7225"/>
        </ext>
      </extLst>
    </bk>
    <bk>
      <extLst>
        <ext uri="{3e2802c4-a4d2-4d8b-9148-e3be6c30e623}">
          <xlrd:rvb i="7226"/>
        </ext>
      </extLst>
    </bk>
    <bk>
      <extLst>
        <ext uri="{3e2802c4-a4d2-4d8b-9148-e3be6c30e623}">
          <xlrd:rvb i="7227"/>
        </ext>
      </extLst>
    </bk>
    <bk>
      <extLst>
        <ext uri="{3e2802c4-a4d2-4d8b-9148-e3be6c30e623}">
          <xlrd:rvb i="7228"/>
        </ext>
      </extLst>
    </bk>
    <bk>
      <extLst>
        <ext uri="{3e2802c4-a4d2-4d8b-9148-e3be6c30e623}">
          <xlrd:rvb i="7229"/>
        </ext>
      </extLst>
    </bk>
    <bk>
      <extLst>
        <ext uri="{3e2802c4-a4d2-4d8b-9148-e3be6c30e623}">
          <xlrd:rvb i="7230"/>
        </ext>
      </extLst>
    </bk>
    <bk>
      <extLst>
        <ext uri="{3e2802c4-a4d2-4d8b-9148-e3be6c30e623}">
          <xlrd:rvb i="7231"/>
        </ext>
      </extLst>
    </bk>
    <bk>
      <extLst>
        <ext uri="{3e2802c4-a4d2-4d8b-9148-e3be6c30e623}">
          <xlrd:rvb i="7232"/>
        </ext>
      </extLst>
    </bk>
    <bk>
      <extLst>
        <ext uri="{3e2802c4-a4d2-4d8b-9148-e3be6c30e623}">
          <xlrd:rvb i="7233"/>
        </ext>
      </extLst>
    </bk>
    <bk>
      <extLst>
        <ext uri="{3e2802c4-a4d2-4d8b-9148-e3be6c30e623}">
          <xlrd:rvb i="7234"/>
        </ext>
      </extLst>
    </bk>
    <bk>
      <extLst>
        <ext uri="{3e2802c4-a4d2-4d8b-9148-e3be6c30e623}">
          <xlrd:rvb i="7235"/>
        </ext>
      </extLst>
    </bk>
    <bk>
      <extLst>
        <ext uri="{3e2802c4-a4d2-4d8b-9148-e3be6c30e623}">
          <xlrd:rvb i="7236"/>
        </ext>
      </extLst>
    </bk>
    <bk>
      <extLst>
        <ext uri="{3e2802c4-a4d2-4d8b-9148-e3be6c30e623}">
          <xlrd:rvb i="7237"/>
        </ext>
      </extLst>
    </bk>
    <bk>
      <extLst>
        <ext uri="{3e2802c4-a4d2-4d8b-9148-e3be6c30e623}">
          <xlrd:rvb i="7238"/>
        </ext>
      </extLst>
    </bk>
    <bk>
      <extLst>
        <ext uri="{3e2802c4-a4d2-4d8b-9148-e3be6c30e623}">
          <xlrd:rvb i="7239"/>
        </ext>
      </extLst>
    </bk>
    <bk>
      <extLst>
        <ext uri="{3e2802c4-a4d2-4d8b-9148-e3be6c30e623}">
          <xlrd:rvb i="7240"/>
        </ext>
      </extLst>
    </bk>
    <bk>
      <extLst>
        <ext uri="{3e2802c4-a4d2-4d8b-9148-e3be6c30e623}">
          <xlrd:rvb i="7241"/>
        </ext>
      </extLst>
    </bk>
    <bk>
      <extLst>
        <ext uri="{3e2802c4-a4d2-4d8b-9148-e3be6c30e623}">
          <xlrd:rvb i="7242"/>
        </ext>
      </extLst>
    </bk>
    <bk>
      <extLst>
        <ext uri="{3e2802c4-a4d2-4d8b-9148-e3be6c30e623}">
          <xlrd:rvb i="7243"/>
        </ext>
      </extLst>
    </bk>
    <bk>
      <extLst>
        <ext uri="{3e2802c4-a4d2-4d8b-9148-e3be6c30e623}">
          <xlrd:rvb i="7244"/>
        </ext>
      </extLst>
    </bk>
    <bk>
      <extLst>
        <ext uri="{3e2802c4-a4d2-4d8b-9148-e3be6c30e623}">
          <xlrd:rvb i="7245"/>
        </ext>
      </extLst>
    </bk>
    <bk>
      <extLst>
        <ext uri="{3e2802c4-a4d2-4d8b-9148-e3be6c30e623}">
          <xlrd:rvb i="7246"/>
        </ext>
      </extLst>
    </bk>
    <bk>
      <extLst>
        <ext uri="{3e2802c4-a4d2-4d8b-9148-e3be6c30e623}">
          <xlrd:rvb i="7247"/>
        </ext>
      </extLst>
    </bk>
    <bk>
      <extLst>
        <ext uri="{3e2802c4-a4d2-4d8b-9148-e3be6c30e623}">
          <xlrd:rvb i="7248"/>
        </ext>
      </extLst>
    </bk>
    <bk>
      <extLst>
        <ext uri="{3e2802c4-a4d2-4d8b-9148-e3be6c30e623}">
          <xlrd:rvb i="7249"/>
        </ext>
      </extLst>
    </bk>
    <bk>
      <extLst>
        <ext uri="{3e2802c4-a4d2-4d8b-9148-e3be6c30e623}">
          <xlrd:rvb i="7250"/>
        </ext>
      </extLst>
    </bk>
    <bk>
      <extLst>
        <ext uri="{3e2802c4-a4d2-4d8b-9148-e3be6c30e623}">
          <xlrd:rvb i="7251"/>
        </ext>
      </extLst>
    </bk>
    <bk>
      <extLst>
        <ext uri="{3e2802c4-a4d2-4d8b-9148-e3be6c30e623}">
          <xlrd:rvb i="7252"/>
        </ext>
      </extLst>
    </bk>
    <bk>
      <extLst>
        <ext uri="{3e2802c4-a4d2-4d8b-9148-e3be6c30e623}">
          <xlrd:rvb i="7253"/>
        </ext>
      </extLst>
    </bk>
    <bk>
      <extLst>
        <ext uri="{3e2802c4-a4d2-4d8b-9148-e3be6c30e623}">
          <xlrd:rvb i="7254"/>
        </ext>
      </extLst>
    </bk>
    <bk>
      <extLst>
        <ext uri="{3e2802c4-a4d2-4d8b-9148-e3be6c30e623}">
          <xlrd:rvb i="7255"/>
        </ext>
      </extLst>
    </bk>
    <bk>
      <extLst>
        <ext uri="{3e2802c4-a4d2-4d8b-9148-e3be6c30e623}">
          <xlrd:rvb i="7256"/>
        </ext>
      </extLst>
    </bk>
    <bk>
      <extLst>
        <ext uri="{3e2802c4-a4d2-4d8b-9148-e3be6c30e623}">
          <xlrd:rvb i="7257"/>
        </ext>
      </extLst>
    </bk>
    <bk>
      <extLst>
        <ext uri="{3e2802c4-a4d2-4d8b-9148-e3be6c30e623}">
          <xlrd:rvb i="7258"/>
        </ext>
      </extLst>
    </bk>
    <bk>
      <extLst>
        <ext uri="{3e2802c4-a4d2-4d8b-9148-e3be6c30e623}">
          <xlrd:rvb i="7259"/>
        </ext>
      </extLst>
    </bk>
    <bk>
      <extLst>
        <ext uri="{3e2802c4-a4d2-4d8b-9148-e3be6c30e623}">
          <xlrd:rvb i="7260"/>
        </ext>
      </extLst>
    </bk>
    <bk>
      <extLst>
        <ext uri="{3e2802c4-a4d2-4d8b-9148-e3be6c30e623}">
          <xlrd:rvb i="7261"/>
        </ext>
      </extLst>
    </bk>
    <bk>
      <extLst>
        <ext uri="{3e2802c4-a4d2-4d8b-9148-e3be6c30e623}">
          <xlrd:rvb i="7262"/>
        </ext>
      </extLst>
    </bk>
    <bk>
      <extLst>
        <ext uri="{3e2802c4-a4d2-4d8b-9148-e3be6c30e623}">
          <xlrd:rvb i="7263"/>
        </ext>
      </extLst>
    </bk>
    <bk>
      <extLst>
        <ext uri="{3e2802c4-a4d2-4d8b-9148-e3be6c30e623}">
          <xlrd:rvb i="7264"/>
        </ext>
      </extLst>
    </bk>
    <bk>
      <extLst>
        <ext uri="{3e2802c4-a4d2-4d8b-9148-e3be6c30e623}">
          <xlrd:rvb i="7265"/>
        </ext>
      </extLst>
    </bk>
    <bk>
      <extLst>
        <ext uri="{3e2802c4-a4d2-4d8b-9148-e3be6c30e623}">
          <xlrd:rvb i="7266"/>
        </ext>
      </extLst>
    </bk>
    <bk>
      <extLst>
        <ext uri="{3e2802c4-a4d2-4d8b-9148-e3be6c30e623}">
          <xlrd:rvb i="7267"/>
        </ext>
      </extLst>
    </bk>
    <bk>
      <extLst>
        <ext uri="{3e2802c4-a4d2-4d8b-9148-e3be6c30e623}">
          <xlrd:rvb i="7268"/>
        </ext>
      </extLst>
    </bk>
    <bk>
      <extLst>
        <ext uri="{3e2802c4-a4d2-4d8b-9148-e3be6c30e623}">
          <xlrd:rvb i="7269"/>
        </ext>
      </extLst>
    </bk>
    <bk>
      <extLst>
        <ext uri="{3e2802c4-a4d2-4d8b-9148-e3be6c30e623}">
          <xlrd:rvb i="7270"/>
        </ext>
      </extLst>
    </bk>
    <bk>
      <extLst>
        <ext uri="{3e2802c4-a4d2-4d8b-9148-e3be6c30e623}">
          <xlrd:rvb i="7271"/>
        </ext>
      </extLst>
    </bk>
    <bk>
      <extLst>
        <ext uri="{3e2802c4-a4d2-4d8b-9148-e3be6c30e623}">
          <xlrd:rvb i="7272"/>
        </ext>
      </extLst>
    </bk>
    <bk>
      <extLst>
        <ext uri="{3e2802c4-a4d2-4d8b-9148-e3be6c30e623}">
          <xlrd:rvb i="7273"/>
        </ext>
      </extLst>
    </bk>
    <bk>
      <extLst>
        <ext uri="{3e2802c4-a4d2-4d8b-9148-e3be6c30e623}">
          <xlrd:rvb i="7274"/>
        </ext>
      </extLst>
    </bk>
    <bk>
      <extLst>
        <ext uri="{3e2802c4-a4d2-4d8b-9148-e3be6c30e623}">
          <xlrd:rvb i="7275"/>
        </ext>
      </extLst>
    </bk>
    <bk>
      <extLst>
        <ext uri="{3e2802c4-a4d2-4d8b-9148-e3be6c30e623}">
          <xlrd:rvb i="7276"/>
        </ext>
      </extLst>
    </bk>
    <bk>
      <extLst>
        <ext uri="{3e2802c4-a4d2-4d8b-9148-e3be6c30e623}">
          <xlrd:rvb i="7277"/>
        </ext>
      </extLst>
    </bk>
    <bk>
      <extLst>
        <ext uri="{3e2802c4-a4d2-4d8b-9148-e3be6c30e623}">
          <xlrd:rvb i="7278"/>
        </ext>
      </extLst>
    </bk>
    <bk>
      <extLst>
        <ext uri="{3e2802c4-a4d2-4d8b-9148-e3be6c30e623}">
          <xlrd:rvb i="7279"/>
        </ext>
      </extLst>
    </bk>
    <bk>
      <extLst>
        <ext uri="{3e2802c4-a4d2-4d8b-9148-e3be6c30e623}">
          <xlrd:rvb i="7280"/>
        </ext>
      </extLst>
    </bk>
    <bk>
      <extLst>
        <ext uri="{3e2802c4-a4d2-4d8b-9148-e3be6c30e623}">
          <xlrd:rvb i="7281"/>
        </ext>
      </extLst>
    </bk>
    <bk>
      <extLst>
        <ext uri="{3e2802c4-a4d2-4d8b-9148-e3be6c30e623}">
          <xlrd:rvb i="7282"/>
        </ext>
      </extLst>
    </bk>
    <bk>
      <extLst>
        <ext uri="{3e2802c4-a4d2-4d8b-9148-e3be6c30e623}">
          <xlrd:rvb i="7283"/>
        </ext>
      </extLst>
    </bk>
    <bk>
      <extLst>
        <ext uri="{3e2802c4-a4d2-4d8b-9148-e3be6c30e623}">
          <xlrd:rvb i="7284"/>
        </ext>
      </extLst>
    </bk>
    <bk>
      <extLst>
        <ext uri="{3e2802c4-a4d2-4d8b-9148-e3be6c30e623}">
          <xlrd:rvb i="7285"/>
        </ext>
      </extLst>
    </bk>
    <bk>
      <extLst>
        <ext uri="{3e2802c4-a4d2-4d8b-9148-e3be6c30e623}">
          <xlrd:rvb i="7286"/>
        </ext>
      </extLst>
    </bk>
    <bk>
      <extLst>
        <ext uri="{3e2802c4-a4d2-4d8b-9148-e3be6c30e623}">
          <xlrd:rvb i="7287"/>
        </ext>
      </extLst>
    </bk>
    <bk>
      <extLst>
        <ext uri="{3e2802c4-a4d2-4d8b-9148-e3be6c30e623}">
          <xlrd:rvb i="7288"/>
        </ext>
      </extLst>
    </bk>
    <bk>
      <extLst>
        <ext uri="{3e2802c4-a4d2-4d8b-9148-e3be6c30e623}">
          <xlrd:rvb i="7289"/>
        </ext>
      </extLst>
    </bk>
    <bk>
      <extLst>
        <ext uri="{3e2802c4-a4d2-4d8b-9148-e3be6c30e623}">
          <xlrd:rvb i="7290"/>
        </ext>
      </extLst>
    </bk>
    <bk>
      <extLst>
        <ext uri="{3e2802c4-a4d2-4d8b-9148-e3be6c30e623}">
          <xlrd:rvb i="7291"/>
        </ext>
      </extLst>
    </bk>
    <bk>
      <extLst>
        <ext uri="{3e2802c4-a4d2-4d8b-9148-e3be6c30e623}">
          <xlrd:rvb i="7292"/>
        </ext>
      </extLst>
    </bk>
    <bk>
      <extLst>
        <ext uri="{3e2802c4-a4d2-4d8b-9148-e3be6c30e623}">
          <xlrd:rvb i="7293"/>
        </ext>
      </extLst>
    </bk>
    <bk>
      <extLst>
        <ext uri="{3e2802c4-a4d2-4d8b-9148-e3be6c30e623}">
          <xlrd:rvb i="7294"/>
        </ext>
      </extLst>
    </bk>
    <bk>
      <extLst>
        <ext uri="{3e2802c4-a4d2-4d8b-9148-e3be6c30e623}">
          <xlrd:rvb i="7295"/>
        </ext>
      </extLst>
    </bk>
    <bk>
      <extLst>
        <ext uri="{3e2802c4-a4d2-4d8b-9148-e3be6c30e623}">
          <xlrd:rvb i="7296"/>
        </ext>
      </extLst>
    </bk>
    <bk>
      <extLst>
        <ext uri="{3e2802c4-a4d2-4d8b-9148-e3be6c30e623}">
          <xlrd:rvb i="7297"/>
        </ext>
      </extLst>
    </bk>
    <bk>
      <extLst>
        <ext uri="{3e2802c4-a4d2-4d8b-9148-e3be6c30e623}">
          <xlrd:rvb i="7298"/>
        </ext>
      </extLst>
    </bk>
    <bk>
      <extLst>
        <ext uri="{3e2802c4-a4d2-4d8b-9148-e3be6c30e623}">
          <xlrd:rvb i="7299"/>
        </ext>
      </extLst>
    </bk>
    <bk>
      <extLst>
        <ext uri="{3e2802c4-a4d2-4d8b-9148-e3be6c30e623}">
          <xlrd:rvb i="7300"/>
        </ext>
      </extLst>
    </bk>
    <bk>
      <extLst>
        <ext uri="{3e2802c4-a4d2-4d8b-9148-e3be6c30e623}">
          <xlrd:rvb i="7301"/>
        </ext>
      </extLst>
    </bk>
    <bk>
      <extLst>
        <ext uri="{3e2802c4-a4d2-4d8b-9148-e3be6c30e623}">
          <xlrd:rvb i="7302"/>
        </ext>
      </extLst>
    </bk>
    <bk>
      <extLst>
        <ext uri="{3e2802c4-a4d2-4d8b-9148-e3be6c30e623}">
          <xlrd:rvb i="7303"/>
        </ext>
      </extLst>
    </bk>
    <bk>
      <extLst>
        <ext uri="{3e2802c4-a4d2-4d8b-9148-e3be6c30e623}">
          <xlrd:rvb i="7304"/>
        </ext>
      </extLst>
    </bk>
    <bk>
      <extLst>
        <ext uri="{3e2802c4-a4d2-4d8b-9148-e3be6c30e623}">
          <xlrd:rvb i="7305"/>
        </ext>
      </extLst>
    </bk>
    <bk>
      <extLst>
        <ext uri="{3e2802c4-a4d2-4d8b-9148-e3be6c30e623}">
          <xlrd:rvb i="7306"/>
        </ext>
      </extLst>
    </bk>
    <bk>
      <extLst>
        <ext uri="{3e2802c4-a4d2-4d8b-9148-e3be6c30e623}">
          <xlrd:rvb i="7307"/>
        </ext>
      </extLst>
    </bk>
    <bk>
      <extLst>
        <ext uri="{3e2802c4-a4d2-4d8b-9148-e3be6c30e623}">
          <xlrd:rvb i="7308"/>
        </ext>
      </extLst>
    </bk>
    <bk>
      <extLst>
        <ext uri="{3e2802c4-a4d2-4d8b-9148-e3be6c30e623}">
          <xlrd:rvb i="7309"/>
        </ext>
      </extLst>
    </bk>
    <bk>
      <extLst>
        <ext uri="{3e2802c4-a4d2-4d8b-9148-e3be6c30e623}">
          <xlrd:rvb i="7310"/>
        </ext>
      </extLst>
    </bk>
    <bk>
      <extLst>
        <ext uri="{3e2802c4-a4d2-4d8b-9148-e3be6c30e623}">
          <xlrd:rvb i="7311"/>
        </ext>
      </extLst>
    </bk>
    <bk>
      <extLst>
        <ext uri="{3e2802c4-a4d2-4d8b-9148-e3be6c30e623}">
          <xlrd:rvb i="7312"/>
        </ext>
      </extLst>
    </bk>
    <bk>
      <extLst>
        <ext uri="{3e2802c4-a4d2-4d8b-9148-e3be6c30e623}">
          <xlrd:rvb i="7313"/>
        </ext>
      </extLst>
    </bk>
    <bk>
      <extLst>
        <ext uri="{3e2802c4-a4d2-4d8b-9148-e3be6c30e623}">
          <xlrd:rvb i="7314"/>
        </ext>
      </extLst>
    </bk>
    <bk>
      <extLst>
        <ext uri="{3e2802c4-a4d2-4d8b-9148-e3be6c30e623}">
          <xlrd:rvb i="7315"/>
        </ext>
      </extLst>
    </bk>
    <bk>
      <extLst>
        <ext uri="{3e2802c4-a4d2-4d8b-9148-e3be6c30e623}">
          <xlrd:rvb i="7316"/>
        </ext>
      </extLst>
    </bk>
    <bk>
      <extLst>
        <ext uri="{3e2802c4-a4d2-4d8b-9148-e3be6c30e623}">
          <xlrd:rvb i="7317"/>
        </ext>
      </extLst>
    </bk>
    <bk>
      <extLst>
        <ext uri="{3e2802c4-a4d2-4d8b-9148-e3be6c30e623}">
          <xlrd:rvb i="7318"/>
        </ext>
      </extLst>
    </bk>
    <bk>
      <extLst>
        <ext uri="{3e2802c4-a4d2-4d8b-9148-e3be6c30e623}">
          <xlrd:rvb i="7319"/>
        </ext>
      </extLst>
    </bk>
    <bk>
      <extLst>
        <ext uri="{3e2802c4-a4d2-4d8b-9148-e3be6c30e623}">
          <xlrd:rvb i="7320"/>
        </ext>
      </extLst>
    </bk>
    <bk>
      <extLst>
        <ext uri="{3e2802c4-a4d2-4d8b-9148-e3be6c30e623}">
          <xlrd:rvb i="7321"/>
        </ext>
      </extLst>
    </bk>
    <bk>
      <extLst>
        <ext uri="{3e2802c4-a4d2-4d8b-9148-e3be6c30e623}">
          <xlrd:rvb i="7322"/>
        </ext>
      </extLst>
    </bk>
    <bk>
      <extLst>
        <ext uri="{3e2802c4-a4d2-4d8b-9148-e3be6c30e623}">
          <xlrd:rvb i="7323"/>
        </ext>
      </extLst>
    </bk>
    <bk>
      <extLst>
        <ext uri="{3e2802c4-a4d2-4d8b-9148-e3be6c30e623}">
          <xlrd:rvb i="7324"/>
        </ext>
      </extLst>
    </bk>
    <bk>
      <extLst>
        <ext uri="{3e2802c4-a4d2-4d8b-9148-e3be6c30e623}">
          <xlrd:rvb i="7325"/>
        </ext>
      </extLst>
    </bk>
    <bk>
      <extLst>
        <ext uri="{3e2802c4-a4d2-4d8b-9148-e3be6c30e623}">
          <xlrd:rvb i="7326"/>
        </ext>
      </extLst>
    </bk>
    <bk>
      <extLst>
        <ext uri="{3e2802c4-a4d2-4d8b-9148-e3be6c30e623}">
          <xlrd:rvb i="7327"/>
        </ext>
      </extLst>
    </bk>
    <bk>
      <extLst>
        <ext uri="{3e2802c4-a4d2-4d8b-9148-e3be6c30e623}">
          <xlrd:rvb i="7328"/>
        </ext>
      </extLst>
    </bk>
    <bk>
      <extLst>
        <ext uri="{3e2802c4-a4d2-4d8b-9148-e3be6c30e623}">
          <xlrd:rvb i="7329"/>
        </ext>
      </extLst>
    </bk>
    <bk>
      <extLst>
        <ext uri="{3e2802c4-a4d2-4d8b-9148-e3be6c30e623}">
          <xlrd:rvb i="7330"/>
        </ext>
      </extLst>
    </bk>
    <bk>
      <extLst>
        <ext uri="{3e2802c4-a4d2-4d8b-9148-e3be6c30e623}">
          <xlrd:rvb i="7331"/>
        </ext>
      </extLst>
    </bk>
    <bk>
      <extLst>
        <ext uri="{3e2802c4-a4d2-4d8b-9148-e3be6c30e623}">
          <xlrd:rvb i="7332"/>
        </ext>
      </extLst>
    </bk>
    <bk>
      <extLst>
        <ext uri="{3e2802c4-a4d2-4d8b-9148-e3be6c30e623}">
          <xlrd:rvb i="7333"/>
        </ext>
      </extLst>
    </bk>
    <bk>
      <extLst>
        <ext uri="{3e2802c4-a4d2-4d8b-9148-e3be6c30e623}">
          <xlrd:rvb i="7334"/>
        </ext>
      </extLst>
    </bk>
    <bk>
      <extLst>
        <ext uri="{3e2802c4-a4d2-4d8b-9148-e3be6c30e623}">
          <xlrd:rvb i="7335"/>
        </ext>
      </extLst>
    </bk>
    <bk>
      <extLst>
        <ext uri="{3e2802c4-a4d2-4d8b-9148-e3be6c30e623}">
          <xlrd:rvb i="7336"/>
        </ext>
      </extLst>
    </bk>
    <bk>
      <extLst>
        <ext uri="{3e2802c4-a4d2-4d8b-9148-e3be6c30e623}">
          <xlrd:rvb i="7337"/>
        </ext>
      </extLst>
    </bk>
    <bk>
      <extLst>
        <ext uri="{3e2802c4-a4d2-4d8b-9148-e3be6c30e623}">
          <xlrd:rvb i="7338"/>
        </ext>
      </extLst>
    </bk>
    <bk>
      <extLst>
        <ext uri="{3e2802c4-a4d2-4d8b-9148-e3be6c30e623}">
          <xlrd:rvb i="7339"/>
        </ext>
      </extLst>
    </bk>
    <bk>
      <extLst>
        <ext uri="{3e2802c4-a4d2-4d8b-9148-e3be6c30e623}">
          <xlrd:rvb i="7340"/>
        </ext>
      </extLst>
    </bk>
    <bk>
      <extLst>
        <ext uri="{3e2802c4-a4d2-4d8b-9148-e3be6c30e623}">
          <xlrd:rvb i="7341"/>
        </ext>
      </extLst>
    </bk>
    <bk>
      <extLst>
        <ext uri="{3e2802c4-a4d2-4d8b-9148-e3be6c30e623}">
          <xlrd:rvb i="7342"/>
        </ext>
      </extLst>
    </bk>
    <bk>
      <extLst>
        <ext uri="{3e2802c4-a4d2-4d8b-9148-e3be6c30e623}">
          <xlrd:rvb i="7343"/>
        </ext>
      </extLst>
    </bk>
    <bk>
      <extLst>
        <ext uri="{3e2802c4-a4d2-4d8b-9148-e3be6c30e623}">
          <xlrd:rvb i="7344"/>
        </ext>
      </extLst>
    </bk>
    <bk>
      <extLst>
        <ext uri="{3e2802c4-a4d2-4d8b-9148-e3be6c30e623}">
          <xlrd:rvb i="7345"/>
        </ext>
      </extLst>
    </bk>
    <bk>
      <extLst>
        <ext uri="{3e2802c4-a4d2-4d8b-9148-e3be6c30e623}">
          <xlrd:rvb i="7346"/>
        </ext>
      </extLst>
    </bk>
    <bk>
      <extLst>
        <ext uri="{3e2802c4-a4d2-4d8b-9148-e3be6c30e623}">
          <xlrd:rvb i="7347"/>
        </ext>
      </extLst>
    </bk>
    <bk>
      <extLst>
        <ext uri="{3e2802c4-a4d2-4d8b-9148-e3be6c30e623}">
          <xlrd:rvb i="7348"/>
        </ext>
      </extLst>
    </bk>
    <bk>
      <extLst>
        <ext uri="{3e2802c4-a4d2-4d8b-9148-e3be6c30e623}">
          <xlrd:rvb i="7349"/>
        </ext>
      </extLst>
    </bk>
    <bk>
      <extLst>
        <ext uri="{3e2802c4-a4d2-4d8b-9148-e3be6c30e623}">
          <xlrd:rvb i="7350"/>
        </ext>
      </extLst>
    </bk>
    <bk>
      <extLst>
        <ext uri="{3e2802c4-a4d2-4d8b-9148-e3be6c30e623}">
          <xlrd:rvb i="7351"/>
        </ext>
      </extLst>
    </bk>
    <bk>
      <extLst>
        <ext uri="{3e2802c4-a4d2-4d8b-9148-e3be6c30e623}">
          <xlrd:rvb i="7352"/>
        </ext>
      </extLst>
    </bk>
    <bk>
      <extLst>
        <ext uri="{3e2802c4-a4d2-4d8b-9148-e3be6c30e623}">
          <xlrd:rvb i="7353"/>
        </ext>
      </extLst>
    </bk>
    <bk>
      <extLst>
        <ext uri="{3e2802c4-a4d2-4d8b-9148-e3be6c30e623}">
          <xlrd:rvb i="7354"/>
        </ext>
      </extLst>
    </bk>
    <bk>
      <extLst>
        <ext uri="{3e2802c4-a4d2-4d8b-9148-e3be6c30e623}">
          <xlrd:rvb i="7355"/>
        </ext>
      </extLst>
    </bk>
    <bk>
      <extLst>
        <ext uri="{3e2802c4-a4d2-4d8b-9148-e3be6c30e623}">
          <xlrd:rvb i="7356"/>
        </ext>
      </extLst>
    </bk>
    <bk>
      <extLst>
        <ext uri="{3e2802c4-a4d2-4d8b-9148-e3be6c30e623}">
          <xlrd:rvb i="7357"/>
        </ext>
      </extLst>
    </bk>
    <bk>
      <extLst>
        <ext uri="{3e2802c4-a4d2-4d8b-9148-e3be6c30e623}">
          <xlrd:rvb i="7358"/>
        </ext>
      </extLst>
    </bk>
    <bk>
      <extLst>
        <ext uri="{3e2802c4-a4d2-4d8b-9148-e3be6c30e623}">
          <xlrd:rvb i="7359"/>
        </ext>
      </extLst>
    </bk>
    <bk>
      <extLst>
        <ext uri="{3e2802c4-a4d2-4d8b-9148-e3be6c30e623}">
          <xlrd:rvb i="7360"/>
        </ext>
      </extLst>
    </bk>
    <bk>
      <extLst>
        <ext uri="{3e2802c4-a4d2-4d8b-9148-e3be6c30e623}">
          <xlrd:rvb i="7361"/>
        </ext>
      </extLst>
    </bk>
    <bk>
      <extLst>
        <ext uri="{3e2802c4-a4d2-4d8b-9148-e3be6c30e623}">
          <xlrd:rvb i="7362"/>
        </ext>
      </extLst>
    </bk>
    <bk>
      <extLst>
        <ext uri="{3e2802c4-a4d2-4d8b-9148-e3be6c30e623}">
          <xlrd:rvb i="7363"/>
        </ext>
      </extLst>
    </bk>
    <bk>
      <extLst>
        <ext uri="{3e2802c4-a4d2-4d8b-9148-e3be6c30e623}">
          <xlrd:rvb i="7364"/>
        </ext>
      </extLst>
    </bk>
    <bk>
      <extLst>
        <ext uri="{3e2802c4-a4d2-4d8b-9148-e3be6c30e623}">
          <xlrd:rvb i="7365"/>
        </ext>
      </extLst>
    </bk>
    <bk>
      <extLst>
        <ext uri="{3e2802c4-a4d2-4d8b-9148-e3be6c30e623}">
          <xlrd:rvb i="7366"/>
        </ext>
      </extLst>
    </bk>
    <bk>
      <extLst>
        <ext uri="{3e2802c4-a4d2-4d8b-9148-e3be6c30e623}">
          <xlrd:rvb i="7367"/>
        </ext>
      </extLst>
    </bk>
    <bk>
      <extLst>
        <ext uri="{3e2802c4-a4d2-4d8b-9148-e3be6c30e623}">
          <xlrd:rvb i="7368"/>
        </ext>
      </extLst>
    </bk>
    <bk>
      <extLst>
        <ext uri="{3e2802c4-a4d2-4d8b-9148-e3be6c30e623}">
          <xlrd:rvb i="7369"/>
        </ext>
      </extLst>
    </bk>
    <bk>
      <extLst>
        <ext uri="{3e2802c4-a4d2-4d8b-9148-e3be6c30e623}">
          <xlrd:rvb i="7370"/>
        </ext>
      </extLst>
    </bk>
    <bk>
      <extLst>
        <ext uri="{3e2802c4-a4d2-4d8b-9148-e3be6c30e623}">
          <xlrd:rvb i="7371"/>
        </ext>
      </extLst>
    </bk>
    <bk>
      <extLst>
        <ext uri="{3e2802c4-a4d2-4d8b-9148-e3be6c30e623}">
          <xlrd:rvb i="7372"/>
        </ext>
      </extLst>
    </bk>
    <bk>
      <extLst>
        <ext uri="{3e2802c4-a4d2-4d8b-9148-e3be6c30e623}">
          <xlrd:rvb i="7373"/>
        </ext>
      </extLst>
    </bk>
    <bk>
      <extLst>
        <ext uri="{3e2802c4-a4d2-4d8b-9148-e3be6c30e623}">
          <xlrd:rvb i="7374"/>
        </ext>
      </extLst>
    </bk>
    <bk>
      <extLst>
        <ext uri="{3e2802c4-a4d2-4d8b-9148-e3be6c30e623}">
          <xlrd:rvb i="7375"/>
        </ext>
      </extLst>
    </bk>
    <bk>
      <extLst>
        <ext uri="{3e2802c4-a4d2-4d8b-9148-e3be6c30e623}">
          <xlrd:rvb i="7376"/>
        </ext>
      </extLst>
    </bk>
    <bk>
      <extLst>
        <ext uri="{3e2802c4-a4d2-4d8b-9148-e3be6c30e623}">
          <xlrd:rvb i="7377"/>
        </ext>
      </extLst>
    </bk>
    <bk>
      <extLst>
        <ext uri="{3e2802c4-a4d2-4d8b-9148-e3be6c30e623}">
          <xlrd:rvb i="7378"/>
        </ext>
      </extLst>
    </bk>
    <bk>
      <extLst>
        <ext uri="{3e2802c4-a4d2-4d8b-9148-e3be6c30e623}">
          <xlrd:rvb i="7379"/>
        </ext>
      </extLst>
    </bk>
    <bk>
      <extLst>
        <ext uri="{3e2802c4-a4d2-4d8b-9148-e3be6c30e623}">
          <xlrd:rvb i="7380"/>
        </ext>
      </extLst>
    </bk>
    <bk>
      <extLst>
        <ext uri="{3e2802c4-a4d2-4d8b-9148-e3be6c30e623}">
          <xlrd:rvb i="7381"/>
        </ext>
      </extLst>
    </bk>
    <bk>
      <extLst>
        <ext uri="{3e2802c4-a4d2-4d8b-9148-e3be6c30e623}">
          <xlrd:rvb i="7382"/>
        </ext>
      </extLst>
    </bk>
    <bk>
      <extLst>
        <ext uri="{3e2802c4-a4d2-4d8b-9148-e3be6c30e623}">
          <xlrd:rvb i="7383"/>
        </ext>
      </extLst>
    </bk>
    <bk>
      <extLst>
        <ext uri="{3e2802c4-a4d2-4d8b-9148-e3be6c30e623}">
          <xlrd:rvb i="7384"/>
        </ext>
      </extLst>
    </bk>
    <bk>
      <extLst>
        <ext uri="{3e2802c4-a4d2-4d8b-9148-e3be6c30e623}">
          <xlrd:rvb i="7385"/>
        </ext>
      </extLst>
    </bk>
    <bk>
      <extLst>
        <ext uri="{3e2802c4-a4d2-4d8b-9148-e3be6c30e623}">
          <xlrd:rvb i="7386"/>
        </ext>
      </extLst>
    </bk>
    <bk>
      <extLst>
        <ext uri="{3e2802c4-a4d2-4d8b-9148-e3be6c30e623}">
          <xlrd:rvb i="7387"/>
        </ext>
      </extLst>
    </bk>
    <bk>
      <extLst>
        <ext uri="{3e2802c4-a4d2-4d8b-9148-e3be6c30e623}">
          <xlrd:rvb i="7388"/>
        </ext>
      </extLst>
    </bk>
    <bk>
      <extLst>
        <ext uri="{3e2802c4-a4d2-4d8b-9148-e3be6c30e623}">
          <xlrd:rvb i="7389"/>
        </ext>
      </extLst>
    </bk>
    <bk>
      <extLst>
        <ext uri="{3e2802c4-a4d2-4d8b-9148-e3be6c30e623}">
          <xlrd:rvb i="7390"/>
        </ext>
      </extLst>
    </bk>
    <bk>
      <extLst>
        <ext uri="{3e2802c4-a4d2-4d8b-9148-e3be6c30e623}">
          <xlrd:rvb i="7391"/>
        </ext>
      </extLst>
    </bk>
    <bk>
      <extLst>
        <ext uri="{3e2802c4-a4d2-4d8b-9148-e3be6c30e623}">
          <xlrd:rvb i="7392"/>
        </ext>
      </extLst>
    </bk>
    <bk>
      <extLst>
        <ext uri="{3e2802c4-a4d2-4d8b-9148-e3be6c30e623}">
          <xlrd:rvb i="7393"/>
        </ext>
      </extLst>
    </bk>
    <bk>
      <extLst>
        <ext uri="{3e2802c4-a4d2-4d8b-9148-e3be6c30e623}">
          <xlrd:rvb i="7394"/>
        </ext>
      </extLst>
    </bk>
    <bk>
      <extLst>
        <ext uri="{3e2802c4-a4d2-4d8b-9148-e3be6c30e623}">
          <xlrd:rvb i="7395"/>
        </ext>
      </extLst>
    </bk>
    <bk>
      <extLst>
        <ext uri="{3e2802c4-a4d2-4d8b-9148-e3be6c30e623}">
          <xlrd:rvb i="7396"/>
        </ext>
      </extLst>
    </bk>
    <bk>
      <extLst>
        <ext uri="{3e2802c4-a4d2-4d8b-9148-e3be6c30e623}">
          <xlrd:rvb i="7397"/>
        </ext>
      </extLst>
    </bk>
    <bk>
      <extLst>
        <ext uri="{3e2802c4-a4d2-4d8b-9148-e3be6c30e623}">
          <xlrd:rvb i="7398"/>
        </ext>
      </extLst>
    </bk>
    <bk>
      <extLst>
        <ext uri="{3e2802c4-a4d2-4d8b-9148-e3be6c30e623}">
          <xlrd:rvb i="7399"/>
        </ext>
      </extLst>
    </bk>
    <bk>
      <extLst>
        <ext uri="{3e2802c4-a4d2-4d8b-9148-e3be6c30e623}">
          <xlrd:rvb i="7400"/>
        </ext>
      </extLst>
    </bk>
    <bk>
      <extLst>
        <ext uri="{3e2802c4-a4d2-4d8b-9148-e3be6c30e623}">
          <xlrd:rvb i="7401"/>
        </ext>
      </extLst>
    </bk>
    <bk>
      <extLst>
        <ext uri="{3e2802c4-a4d2-4d8b-9148-e3be6c30e623}">
          <xlrd:rvb i="7402"/>
        </ext>
      </extLst>
    </bk>
    <bk>
      <extLst>
        <ext uri="{3e2802c4-a4d2-4d8b-9148-e3be6c30e623}">
          <xlrd:rvb i="7403"/>
        </ext>
      </extLst>
    </bk>
    <bk>
      <extLst>
        <ext uri="{3e2802c4-a4d2-4d8b-9148-e3be6c30e623}">
          <xlrd:rvb i="7404"/>
        </ext>
      </extLst>
    </bk>
    <bk>
      <extLst>
        <ext uri="{3e2802c4-a4d2-4d8b-9148-e3be6c30e623}">
          <xlrd:rvb i="7405"/>
        </ext>
      </extLst>
    </bk>
    <bk>
      <extLst>
        <ext uri="{3e2802c4-a4d2-4d8b-9148-e3be6c30e623}">
          <xlrd:rvb i="7406"/>
        </ext>
      </extLst>
    </bk>
    <bk>
      <extLst>
        <ext uri="{3e2802c4-a4d2-4d8b-9148-e3be6c30e623}">
          <xlrd:rvb i="7407"/>
        </ext>
      </extLst>
    </bk>
    <bk>
      <extLst>
        <ext uri="{3e2802c4-a4d2-4d8b-9148-e3be6c30e623}">
          <xlrd:rvb i="7408"/>
        </ext>
      </extLst>
    </bk>
    <bk>
      <extLst>
        <ext uri="{3e2802c4-a4d2-4d8b-9148-e3be6c30e623}">
          <xlrd:rvb i="7409"/>
        </ext>
      </extLst>
    </bk>
    <bk>
      <extLst>
        <ext uri="{3e2802c4-a4d2-4d8b-9148-e3be6c30e623}">
          <xlrd:rvb i="7410"/>
        </ext>
      </extLst>
    </bk>
    <bk>
      <extLst>
        <ext uri="{3e2802c4-a4d2-4d8b-9148-e3be6c30e623}">
          <xlrd:rvb i="7411"/>
        </ext>
      </extLst>
    </bk>
    <bk>
      <extLst>
        <ext uri="{3e2802c4-a4d2-4d8b-9148-e3be6c30e623}">
          <xlrd:rvb i="7412"/>
        </ext>
      </extLst>
    </bk>
    <bk>
      <extLst>
        <ext uri="{3e2802c4-a4d2-4d8b-9148-e3be6c30e623}">
          <xlrd:rvb i="7413"/>
        </ext>
      </extLst>
    </bk>
    <bk>
      <extLst>
        <ext uri="{3e2802c4-a4d2-4d8b-9148-e3be6c30e623}">
          <xlrd:rvb i="7414"/>
        </ext>
      </extLst>
    </bk>
    <bk>
      <extLst>
        <ext uri="{3e2802c4-a4d2-4d8b-9148-e3be6c30e623}">
          <xlrd:rvb i="7415"/>
        </ext>
      </extLst>
    </bk>
    <bk>
      <extLst>
        <ext uri="{3e2802c4-a4d2-4d8b-9148-e3be6c30e623}">
          <xlrd:rvb i="7416"/>
        </ext>
      </extLst>
    </bk>
    <bk>
      <extLst>
        <ext uri="{3e2802c4-a4d2-4d8b-9148-e3be6c30e623}">
          <xlrd:rvb i="7417"/>
        </ext>
      </extLst>
    </bk>
    <bk>
      <extLst>
        <ext uri="{3e2802c4-a4d2-4d8b-9148-e3be6c30e623}">
          <xlrd:rvb i="7418"/>
        </ext>
      </extLst>
    </bk>
    <bk>
      <extLst>
        <ext uri="{3e2802c4-a4d2-4d8b-9148-e3be6c30e623}">
          <xlrd:rvb i="7419"/>
        </ext>
      </extLst>
    </bk>
    <bk>
      <extLst>
        <ext uri="{3e2802c4-a4d2-4d8b-9148-e3be6c30e623}">
          <xlrd:rvb i="7420"/>
        </ext>
      </extLst>
    </bk>
    <bk>
      <extLst>
        <ext uri="{3e2802c4-a4d2-4d8b-9148-e3be6c30e623}">
          <xlrd:rvb i="7421"/>
        </ext>
      </extLst>
    </bk>
    <bk>
      <extLst>
        <ext uri="{3e2802c4-a4d2-4d8b-9148-e3be6c30e623}">
          <xlrd:rvb i="7422"/>
        </ext>
      </extLst>
    </bk>
    <bk>
      <extLst>
        <ext uri="{3e2802c4-a4d2-4d8b-9148-e3be6c30e623}">
          <xlrd:rvb i="7423"/>
        </ext>
      </extLst>
    </bk>
    <bk>
      <extLst>
        <ext uri="{3e2802c4-a4d2-4d8b-9148-e3be6c30e623}">
          <xlrd:rvb i="7424"/>
        </ext>
      </extLst>
    </bk>
    <bk>
      <extLst>
        <ext uri="{3e2802c4-a4d2-4d8b-9148-e3be6c30e623}">
          <xlrd:rvb i="7425"/>
        </ext>
      </extLst>
    </bk>
    <bk>
      <extLst>
        <ext uri="{3e2802c4-a4d2-4d8b-9148-e3be6c30e623}">
          <xlrd:rvb i="7426"/>
        </ext>
      </extLst>
    </bk>
    <bk>
      <extLst>
        <ext uri="{3e2802c4-a4d2-4d8b-9148-e3be6c30e623}">
          <xlrd:rvb i="7427"/>
        </ext>
      </extLst>
    </bk>
    <bk>
      <extLst>
        <ext uri="{3e2802c4-a4d2-4d8b-9148-e3be6c30e623}">
          <xlrd:rvb i="7428"/>
        </ext>
      </extLst>
    </bk>
    <bk>
      <extLst>
        <ext uri="{3e2802c4-a4d2-4d8b-9148-e3be6c30e623}">
          <xlrd:rvb i="7429"/>
        </ext>
      </extLst>
    </bk>
    <bk>
      <extLst>
        <ext uri="{3e2802c4-a4d2-4d8b-9148-e3be6c30e623}">
          <xlrd:rvb i="7430"/>
        </ext>
      </extLst>
    </bk>
    <bk>
      <extLst>
        <ext uri="{3e2802c4-a4d2-4d8b-9148-e3be6c30e623}">
          <xlrd:rvb i="7431"/>
        </ext>
      </extLst>
    </bk>
    <bk>
      <extLst>
        <ext uri="{3e2802c4-a4d2-4d8b-9148-e3be6c30e623}">
          <xlrd:rvb i="7432"/>
        </ext>
      </extLst>
    </bk>
    <bk>
      <extLst>
        <ext uri="{3e2802c4-a4d2-4d8b-9148-e3be6c30e623}">
          <xlrd:rvb i="7433"/>
        </ext>
      </extLst>
    </bk>
    <bk>
      <extLst>
        <ext uri="{3e2802c4-a4d2-4d8b-9148-e3be6c30e623}">
          <xlrd:rvb i="7434"/>
        </ext>
      </extLst>
    </bk>
    <bk>
      <extLst>
        <ext uri="{3e2802c4-a4d2-4d8b-9148-e3be6c30e623}">
          <xlrd:rvb i="7435"/>
        </ext>
      </extLst>
    </bk>
    <bk>
      <extLst>
        <ext uri="{3e2802c4-a4d2-4d8b-9148-e3be6c30e623}">
          <xlrd:rvb i="7436"/>
        </ext>
      </extLst>
    </bk>
    <bk>
      <extLst>
        <ext uri="{3e2802c4-a4d2-4d8b-9148-e3be6c30e623}">
          <xlrd:rvb i="7437"/>
        </ext>
      </extLst>
    </bk>
    <bk>
      <extLst>
        <ext uri="{3e2802c4-a4d2-4d8b-9148-e3be6c30e623}">
          <xlrd:rvb i="7438"/>
        </ext>
      </extLst>
    </bk>
    <bk>
      <extLst>
        <ext uri="{3e2802c4-a4d2-4d8b-9148-e3be6c30e623}">
          <xlrd:rvb i="7439"/>
        </ext>
      </extLst>
    </bk>
    <bk>
      <extLst>
        <ext uri="{3e2802c4-a4d2-4d8b-9148-e3be6c30e623}">
          <xlrd:rvb i="7440"/>
        </ext>
      </extLst>
    </bk>
    <bk>
      <extLst>
        <ext uri="{3e2802c4-a4d2-4d8b-9148-e3be6c30e623}">
          <xlrd:rvb i="7441"/>
        </ext>
      </extLst>
    </bk>
    <bk>
      <extLst>
        <ext uri="{3e2802c4-a4d2-4d8b-9148-e3be6c30e623}">
          <xlrd:rvb i="7442"/>
        </ext>
      </extLst>
    </bk>
    <bk>
      <extLst>
        <ext uri="{3e2802c4-a4d2-4d8b-9148-e3be6c30e623}">
          <xlrd:rvb i="7443"/>
        </ext>
      </extLst>
    </bk>
    <bk>
      <extLst>
        <ext uri="{3e2802c4-a4d2-4d8b-9148-e3be6c30e623}">
          <xlrd:rvb i="7444"/>
        </ext>
      </extLst>
    </bk>
    <bk>
      <extLst>
        <ext uri="{3e2802c4-a4d2-4d8b-9148-e3be6c30e623}">
          <xlrd:rvb i="7445"/>
        </ext>
      </extLst>
    </bk>
    <bk>
      <extLst>
        <ext uri="{3e2802c4-a4d2-4d8b-9148-e3be6c30e623}">
          <xlrd:rvb i="7446"/>
        </ext>
      </extLst>
    </bk>
    <bk>
      <extLst>
        <ext uri="{3e2802c4-a4d2-4d8b-9148-e3be6c30e623}">
          <xlrd:rvb i="7447"/>
        </ext>
      </extLst>
    </bk>
    <bk>
      <extLst>
        <ext uri="{3e2802c4-a4d2-4d8b-9148-e3be6c30e623}">
          <xlrd:rvb i="7448"/>
        </ext>
      </extLst>
    </bk>
    <bk>
      <extLst>
        <ext uri="{3e2802c4-a4d2-4d8b-9148-e3be6c30e623}">
          <xlrd:rvb i="7449"/>
        </ext>
      </extLst>
    </bk>
    <bk>
      <extLst>
        <ext uri="{3e2802c4-a4d2-4d8b-9148-e3be6c30e623}">
          <xlrd:rvb i="7450"/>
        </ext>
      </extLst>
    </bk>
    <bk>
      <extLst>
        <ext uri="{3e2802c4-a4d2-4d8b-9148-e3be6c30e623}">
          <xlrd:rvb i="7451"/>
        </ext>
      </extLst>
    </bk>
    <bk>
      <extLst>
        <ext uri="{3e2802c4-a4d2-4d8b-9148-e3be6c30e623}">
          <xlrd:rvb i="7452"/>
        </ext>
      </extLst>
    </bk>
    <bk>
      <extLst>
        <ext uri="{3e2802c4-a4d2-4d8b-9148-e3be6c30e623}">
          <xlrd:rvb i="7453"/>
        </ext>
      </extLst>
    </bk>
    <bk>
      <extLst>
        <ext uri="{3e2802c4-a4d2-4d8b-9148-e3be6c30e623}">
          <xlrd:rvb i="7454"/>
        </ext>
      </extLst>
    </bk>
    <bk>
      <extLst>
        <ext uri="{3e2802c4-a4d2-4d8b-9148-e3be6c30e623}">
          <xlrd:rvb i="7455"/>
        </ext>
      </extLst>
    </bk>
    <bk>
      <extLst>
        <ext uri="{3e2802c4-a4d2-4d8b-9148-e3be6c30e623}">
          <xlrd:rvb i="7456"/>
        </ext>
      </extLst>
    </bk>
    <bk>
      <extLst>
        <ext uri="{3e2802c4-a4d2-4d8b-9148-e3be6c30e623}">
          <xlrd:rvb i="7457"/>
        </ext>
      </extLst>
    </bk>
    <bk>
      <extLst>
        <ext uri="{3e2802c4-a4d2-4d8b-9148-e3be6c30e623}">
          <xlrd:rvb i="7458"/>
        </ext>
      </extLst>
    </bk>
    <bk>
      <extLst>
        <ext uri="{3e2802c4-a4d2-4d8b-9148-e3be6c30e623}">
          <xlrd:rvb i="7459"/>
        </ext>
      </extLst>
    </bk>
    <bk>
      <extLst>
        <ext uri="{3e2802c4-a4d2-4d8b-9148-e3be6c30e623}">
          <xlrd:rvb i="7460"/>
        </ext>
      </extLst>
    </bk>
    <bk>
      <extLst>
        <ext uri="{3e2802c4-a4d2-4d8b-9148-e3be6c30e623}">
          <xlrd:rvb i="7461"/>
        </ext>
      </extLst>
    </bk>
    <bk>
      <extLst>
        <ext uri="{3e2802c4-a4d2-4d8b-9148-e3be6c30e623}">
          <xlrd:rvb i="7462"/>
        </ext>
      </extLst>
    </bk>
    <bk>
      <extLst>
        <ext uri="{3e2802c4-a4d2-4d8b-9148-e3be6c30e623}">
          <xlrd:rvb i="7463"/>
        </ext>
      </extLst>
    </bk>
    <bk>
      <extLst>
        <ext uri="{3e2802c4-a4d2-4d8b-9148-e3be6c30e623}">
          <xlrd:rvb i="7464"/>
        </ext>
      </extLst>
    </bk>
    <bk>
      <extLst>
        <ext uri="{3e2802c4-a4d2-4d8b-9148-e3be6c30e623}">
          <xlrd:rvb i="7465"/>
        </ext>
      </extLst>
    </bk>
    <bk>
      <extLst>
        <ext uri="{3e2802c4-a4d2-4d8b-9148-e3be6c30e623}">
          <xlrd:rvb i="7466"/>
        </ext>
      </extLst>
    </bk>
    <bk>
      <extLst>
        <ext uri="{3e2802c4-a4d2-4d8b-9148-e3be6c30e623}">
          <xlrd:rvb i="7467"/>
        </ext>
      </extLst>
    </bk>
    <bk>
      <extLst>
        <ext uri="{3e2802c4-a4d2-4d8b-9148-e3be6c30e623}">
          <xlrd:rvb i="7468"/>
        </ext>
      </extLst>
    </bk>
    <bk>
      <extLst>
        <ext uri="{3e2802c4-a4d2-4d8b-9148-e3be6c30e623}">
          <xlrd:rvb i="7469"/>
        </ext>
      </extLst>
    </bk>
    <bk>
      <extLst>
        <ext uri="{3e2802c4-a4d2-4d8b-9148-e3be6c30e623}">
          <xlrd:rvb i="7470"/>
        </ext>
      </extLst>
    </bk>
    <bk>
      <extLst>
        <ext uri="{3e2802c4-a4d2-4d8b-9148-e3be6c30e623}">
          <xlrd:rvb i="7471"/>
        </ext>
      </extLst>
    </bk>
    <bk>
      <extLst>
        <ext uri="{3e2802c4-a4d2-4d8b-9148-e3be6c30e623}">
          <xlrd:rvb i="7472"/>
        </ext>
      </extLst>
    </bk>
    <bk>
      <extLst>
        <ext uri="{3e2802c4-a4d2-4d8b-9148-e3be6c30e623}">
          <xlrd:rvb i="7473"/>
        </ext>
      </extLst>
    </bk>
    <bk>
      <extLst>
        <ext uri="{3e2802c4-a4d2-4d8b-9148-e3be6c30e623}">
          <xlrd:rvb i="7474"/>
        </ext>
      </extLst>
    </bk>
    <bk>
      <extLst>
        <ext uri="{3e2802c4-a4d2-4d8b-9148-e3be6c30e623}">
          <xlrd:rvb i="7475"/>
        </ext>
      </extLst>
    </bk>
    <bk>
      <extLst>
        <ext uri="{3e2802c4-a4d2-4d8b-9148-e3be6c30e623}">
          <xlrd:rvb i="7476"/>
        </ext>
      </extLst>
    </bk>
    <bk>
      <extLst>
        <ext uri="{3e2802c4-a4d2-4d8b-9148-e3be6c30e623}">
          <xlrd:rvb i="7477"/>
        </ext>
      </extLst>
    </bk>
    <bk>
      <extLst>
        <ext uri="{3e2802c4-a4d2-4d8b-9148-e3be6c30e623}">
          <xlrd:rvb i="7478"/>
        </ext>
      </extLst>
    </bk>
    <bk>
      <extLst>
        <ext uri="{3e2802c4-a4d2-4d8b-9148-e3be6c30e623}">
          <xlrd:rvb i="7479"/>
        </ext>
      </extLst>
    </bk>
    <bk>
      <extLst>
        <ext uri="{3e2802c4-a4d2-4d8b-9148-e3be6c30e623}">
          <xlrd:rvb i="7480"/>
        </ext>
      </extLst>
    </bk>
    <bk>
      <extLst>
        <ext uri="{3e2802c4-a4d2-4d8b-9148-e3be6c30e623}">
          <xlrd:rvb i="7481"/>
        </ext>
      </extLst>
    </bk>
    <bk>
      <extLst>
        <ext uri="{3e2802c4-a4d2-4d8b-9148-e3be6c30e623}">
          <xlrd:rvb i="7482"/>
        </ext>
      </extLst>
    </bk>
    <bk>
      <extLst>
        <ext uri="{3e2802c4-a4d2-4d8b-9148-e3be6c30e623}">
          <xlrd:rvb i="7483"/>
        </ext>
      </extLst>
    </bk>
    <bk>
      <extLst>
        <ext uri="{3e2802c4-a4d2-4d8b-9148-e3be6c30e623}">
          <xlrd:rvb i="7484"/>
        </ext>
      </extLst>
    </bk>
    <bk>
      <extLst>
        <ext uri="{3e2802c4-a4d2-4d8b-9148-e3be6c30e623}">
          <xlrd:rvb i="7485"/>
        </ext>
      </extLst>
    </bk>
    <bk>
      <extLst>
        <ext uri="{3e2802c4-a4d2-4d8b-9148-e3be6c30e623}">
          <xlrd:rvb i="7486"/>
        </ext>
      </extLst>
    </bk>
    <bk>
      <extLst>
        <ext uri="{3e2802c4-a4d2-4d8b-9148-e3be6c30e623}">
          <xlrd:rvb i="7487"/>
        </ext>
      </extLst>
    </bk>
    <bk>
      <extLst>
        <ext uri="{3e2802c4-a4d2-4d8b-9148-e3be6c30e623}">
          <xlrd:rvb i="7488"/>
        </ext>
      </extLst>
    </bk>
    <bk>
      <extLst>
        <ext uri="{3e2802c4-a4d2-4d8b-9148-e3be6c30e623}">
          <xlrd:rvb i="7489"/>
        </ext>
      </extLst>
    </bk>
    <bk>
      <extLst>
        <ext uri="{3e2802c4-a4d2-4d8b-9148-e3be6c30e623}">
          <xlrd:rvb i="7490"/>
        </ext>
      </extLst>
    </bk>
    <bk>
      <extLst>
        <ext uri="{3e2802c4-a4d2-4d8b-9148-e3be6c30e623}">
          <xlrd:rvb i="7491"/>
        </ext>
      </extLst>
    </bk>
    <bk>
      <extLst>
        <ext uri="{3e2802c4-a4d2-4d8b-9148-e3be6c30e623}">
          <xlrd:rvb i="7492"/>
        </ext>
      </extLst>
    </bk>
    <bk>
      <extLst>
        <ext uri="{3e2802c4-a4d2-4d8b-9148-e3be6c30e623}">
          <xlrd:rvb i="7493"/>
        </ext>
      </extLst>
    </bk>
    <bk>
      <extLst>
        <ext uri="{3e2802c4-a4d2-4d8b-9148-e3be6c30e623}">
          <xlrd:rvb i="7494"/>
        </ext>
      </extLst>
    </bk>
    <bk>
      <extLst>
        <ext uri="{3e2802c4-a4d2-4d8b-9148-e3be6c30e623}">
          <xlrd:rvb i="7495"/>
        </ext>
      </extLst>
    </bk>
    <bk>
      <extLst>
        <ext uri="{3e2802c4-a4d2-4d8b-9148-e3be6c30e623}">
          <xlrd:rvb i="7496"/>
        </ext>
      </extLst>
    </bk>
    <bk>
      <extLst>
        <ext uri="{3e2802c4-a4d2-4d8b-9148-e3be6c30e623}">
          <xlrd:rvb i="7497"/>
        </ext>
      </extLst>
    </bk>
    <bk>
      <extLst>
        <ext uri="{3e2802c4-a4d2-4d8b-9148-e3be6c30e623}">
          <xlrd:rvb i="7498"/>
        </ext>
      </extLst>
    </bk>
    <bk>
      <extLst>
        <ext uri="{3e2802c4-a4d2-4d8b-9148-e3be6c30e623}">
          <xlrd:rvb i="7499"/>
        </ext>
      </extLst>
    </bk>
    <bk>
      <extLst>
        <ext uri="{3e2802c4-a4d2-4d8b-9148-e3be6c30e623}">
          <xlrd:rvb i="7500"/>
        </ext>
      </extLst>
    </bk>
    <bk>
      <extLst>
        <ext uri="{3e2802c4-a4d2-4d8b-9148-e3be6c30e623}">
          <xlrd:rvb i="7501"/>
        </ext>
      </extLst>
    </bk>
    <bk>
      <extLst>
        <ext uri="{3e2802c4-a4d2-4d8b-9148-e3be6c30e623}">
          <xlrd:rvb i="7502"/>
        </ext>
      </extLst>
    </bk>
    <bk>
      <extLst>
        <ext uri="{3e2802c4-a4d2-4d8b-9148-e3be6c30e623}">
          <xlrd:rvb i="7503"/>
        </ext>
      </extLst>
    </bk>
    <bk>
      <extLst>
        <ext uri="{3e2802c4-a4d2-4d8b-9148-e3be6c30e623}">
          <xlrd:rvb i="7504"/>
        </ext>
      </extLst>
    </bk>
    <bk>
      <extLst>
        <ext uri="{3e2802c4-a4d2-4d8b-9148-e3be6c30e623}">
          <xlrd:rvb i="7505"/>
        </ext>
      </extLst>
    </bk>
    <bk>
      <extLst>
        <ext uri="{3e2802c4-a4d2-4d8b-9148-e3be6c30e623}">
          <xlrd:rvb i="7506"/>
        </ext>
      </extLst>
    </bk>
    <bk>
      <extLst>
        <ext uri="{3e2802c4-a4d2-4d8b-9148-e3be6c30e623}">
          <xlrd:rvb i="7507"/>
        </ext>
      </extLst>
    </bk>
    <bk>
      <extLst>
        <ext uri="{3e2802c4-a4d2-4d8b-9148-e3be6c30e623}">
          <xlrd:rvb i="7508"/>
        </ext>
      </extLst>
    </bk>
    <bk>
      <extLst>
        <ext uri="{3e2802c4-a4d2-4d8b-9148-e3be6c30e623}">
          <xlrd:rvb i="7509"/>
        </ext>
      </extLst>
    </bk>
    <bk>
      <extLst>
        <ext uri="{3e2802c4-a4d2-4d8b-9148-e3be6c30e623}">
          <xlrd:rvb i="7510"/>
        </ext>
      </extLst>
    </bk>
    <bk>
      <extLst>
        <ext uri="{3e2802c4-a4d2-4d8b-9148-e3be6c30e623}">
          <xlrd:rvb i="7511"/>
        </ext>
      </extLst>
    </bk>
    <bk>
      <extLst>
        <ext uri="{3e2802c4-a4d2-4d8b-9148-e3be6c30e623}">
          <xlrd:rvb i="7512"/>
        </ext>
      </extLst>
    </bk>
    <bk>
      <extLst>
        <ext uri="{3e2802c4-a4d2-4d8b-9148-e3be6c30e623}">
          <xlrd:rvb i="7513"/>
        </ext>
      </extLst>
    </bk>
    <bk>
      <extLst>
        <ext uri="{3e2802c4-a4d2-4d8b-9148-e3be6c30e623}">
          <xlrd:rvb i="7514"/>
        </ext>
      </extLst>
    </bk>
    <bk>
      <extLst>
        <ext uri="{3e2802c4-a4d2-4d8b-9148-e3be6c30e623}">
          <xlrd:rvb i="7515"/>
        </ext>
      </extLst>
    </bk>
    <bk>
      <extLst>
        <ext uri="{3e2802c4-a4d2-4d8b-9148-e3be6c30e623}">
          <xlrd:rvb i="7516"/>
        </ext>
      </extLst>
    </bk>
    <bk>
      <extLst>
        <ext uri="{3e2802c4-a4d2-4d8b-9148-e3be6c30e623}">
          <xlrd:rvb i="7517"/>
        </ext>
      </extLst>
    </bk>
    <bk>
      <extLst>
        <ext uri="{3e2802c4-a4d2-4d8b-9148-e3be6c30e623}">
          <xlrd:rvb i="7518"/>
        </ext>
      </extLst>
    </bk>
    <bk>
      <extLst>
        <ext uri="{3e2802c4-a4d2-4d8b-9148-e3be6c30e623}">
          <xlrd:rvb i="7519"/>
        </ext>
      </extLst>
    </bk>
    <bk>
      <extLst>
        <ext uri="{3e2802c4-a4d2-4d8b-9148-e3be6c30e623}">
          <xlrd:rvb i="7520"/>
        </ext>
      </extLst>
    </bk>
    <bk>
      <extLst>
        <ext uri="{3e2802c4-a4d2-4d8b-9148-e3be6c30e623}">
          <xlrd:rvb i="7521"/>
        </ext>
      </extLst>
    </bk>
    <bk>
      <extLst>
        <ext uri="{3e2802c4-a4d2-4d8b-9148-e3be6c30e623}">
          <xlrd:rvb i="7522"/>
        </ext>
      </extLst>
    </bk>
    <bk>
      <extLst>
        <ext uri="{3e2802c4-a4d2-4d8b-9148-e3be6c30e623}">
          <xlrd:rvb i="7523"/>
        </ext>
      </extLst>
    </bk>
    <bk>
      <extLst>
        <ext uri="{3e2802c4-a4d2-4d8b-9148-e3be6c30e623}">
          <xlrd:rvb i="7524"/>
        </ext>
      </extLst>
    </bk>
    <bk>
      <extLst>
        <ext uri="{3e2802c4-a4d2-4d8b-9148-e3be6c30e623}">
          <xlrd:rvb i="7525"/>
        </ext>
      </extLst>
    </bk>
    <bk>
      <extLst>
        <ext uri="{3e2802c4-a4d2-4d8b-9148-e3be6c30e623}">
          <xlrd:rvb i="7526"/>
        </ext>
      </extLst>
    </bk>
    <bk>
      <extLst>
        <ext uri="{3e2802c4-a4d2-4d8b-9148-e3be6c30e623}">
          <xlrd:rvb i="7527"/>
        </ext>
      </extLst>
    </bk>
    <bk>
      <extLst>
        <ext uri="{3e2802c4-a4d2-4d8b-9148-e3be6c30e623}">
          <xlrd:rvb i="7528"/>
        </ext>
      </extLst>
    </bk>
    <bk>
      <extLst>
        <ext uri="{3e2802c4-a4d2-4d8b-9148-e3be6c30e623}">
          <xlrd:rvb i="7529"/>
        </ext>
      </extLst>
    </bk>
    <bk>
      <extLst>
        <ext uri="{3e2802c4-a4d2-4d8b-9148-e3be6c30e623}">
          <xlrd:rvb i="7530"/>
        </ext>
      </extLst>
    </bk>
    <bk>
      <extLst>
        <ext uri="{3e2802c4-a4d2-4d8b-9148-e3be6c30e623}">
          <xlrd:rvb i="7531"/>
        </ext>
      </extLst>
    </bk>
    <bk>
      <extLst>
        <ext uri="{3e2802c4-a4d2-4d8b-9148-e3be6c30e623}">
          <xlrd:rvb i="7532"/>
        </ext>
      </extLst>
    </bk>
    <bk>
      <extLst>
        <ext uri="{3e2802c4-a4d2-4d8b-9148-e3be6c30e623}">
          <xlrd:rvb i="7533"/>
        </ext>
      </extLst>
    </bk>
    <bk>
      <extLst>
        <ext uri="{3e2802c4-a4d2-4d8b-9148-e3be6c30e623}">
          <xlrd:rvb i="7534"/>
        </ext>
      </extLst>
    </bk>
    <bk>
      <extLst>
        <ext uri="{3e2802c4-a4d2-4d8b-9148-e3be6c30e623}">
          <xlrd:rvb i="7535"/>
        </ext>
      </extLst>
    </bk>
    <bk>
      <extLst>
        <ext uri="{3e2802c4-a4d2-4d8b-9148-e3be6c30e623}">
          <xlrd:rvb i="7536"/>
        </ext>
      </extLst>
    </bk>
    <bk>
      <extLst>
        <ext uri="{3e2802c4-a4d2-4d8b-9148-e3be6c30e623}">
          <xlrd:rvb i="7537"/>
        </ext>
      </extLst>
    </bk>
    <bk>
      <extLst>
        <ext uri="{3e2802c4-a4d2-4d8b-9148-e3be6c30e623}">
          <xlrd:rvb i="7538"/>
        </ext>
      </extLst>
    </bk>
    <bk>
      <extLst>
        <ext uri="{3e2802c4-a4d2-4d8b-9148-e3be6c30e623}">
          <xlrd:rvb i="7539"/>
        </ext>
      </extLst>
    </bk>
    <bk>
      <extLst>
        <ext uri="{3e2802c4-a4d2-4d8b-9148-e3be6c30e623}">
          <xlrd:rvb i="7540"/>
        </ext>
      </extLst>
    </bk>
    <bk>
      <extLst>
        <ext uri="{3e2802c4-a4d2-4d8b-9148-e3be6c30e623}">
          <xlrd:rvb i="7541"/>
        </ext>
      </extLst>
    </bk>
    <bk>
      <extLst>
        <ext uri="{3e2802c4-a4d2-4d8b-9148-e3be6c30e623}">
          <xlrd:rvb i="7542"/>
        </ext>
      </extLst>
    </bk>
    <bk>
      <extLst>
        <ext uri="{3e2802c4-a4d2-4d8b-9148-e3be6c30e623}">
          <xlrd:rvb i="7543"/>
        </ext>
      </extLst>
    </bk>
    <bk>
      <extLst>
        <ext uri="{3e2802c4-a4d2-4d8b-9148-e3be6c30e623}">
          <xlrd:rvb i="7544"/>
        </ext>
      </extLst>
    </bk>
    <bk>
      <extLst>
        <ext uri="{3e2802c4-a4d2-4d8b-9148-e3be6c30e623}">
          <xlrd:rvb i="7545"/>
        </ext>
      </extLst>
    </bk>
    <bk>
      <extLst>
        <ext uri="{3e2802c4-a4d2-4d8b-9148-e3be6c30e623}">
          <xlrd:rvb i="7546"/>
        </ext>
      </extLst>
    </bk>
    <bk>
      <extLst>
        <ext uri="{3e2802c4-a4d2-4d8b-9148-e3be6c30e623}">
          <xlrd:rvb i="7547"/>
        </ext>
      </extLst>
    </bk>
    <bk>
      <extLst>
        <ext uri="{3e2802c4-a4d2-4d8b-9148-e3be6c30e623}">
          <xlrd:rvb i="7548"/>
        </ext>
      </extLst>
    </bk>
    <bk>
      <extLst>
        <ext uri="{3e2802c4-a4d2-4d8b-9148-e3be6c30e623}">
          <xlrd:rvb i="7549"/>
        </ext>
      </extLst>
    </bk>
    <bk>
      <extLst>
        <ext uri="{3e2802c4-a4d2-4d8b-9148-e3be6c30e623}">
          <xlrd:rvb i="7550"/>
        </ext>
      </extLst>
    </bk>
    <bk>
      <extLst>
        <ext uri="{3e2802c4-a4d2-4d8b-9148-e3be6c30e623}">
          <xlrd:rvb i="7551"/>
        </ext>
      </extLst>
    </bk>
    <bk>
      <extLst>
        <ext uri="{3e2802c4-a4d2-4d8b-9148-e3be6c30e623}">
          <xlrd:rvb i="7552"/>
        </ext>
      </extLst>
    </bk>
    <bk>
      <extLst>
        <ext uri="{3e2802c4-a4d2-4d8b-9148-e3be6c30e623}">
          <xlrd:rvb i="7553"/>
        </ext>
      </extLst>
    </bk>
    <bk>
      <extLst>
        <ext uri="{3e2802c4-a4d2-4d8b-9148-e3be6c30e623}">
          <xlrd:rvb i="7554"/>
        </ext>
      </extLst>
    </bk>
    <bk>
      <extLst>
        <ext uri="{3e2802c4-a4d2-4d8b-9148-e3be6c30e623}">
          <xlrd:rvb i="7555"/>
        </ext>
      </extLst>
    </bk>
    <bk>
      <extLst>
        <ext uri="{3e2802c4-a4d2-4d8b-9148-e3be6c30e623}">
          <xlrd:rvb i="7556"/>
        </ext>
      </extLst>
    </bk>
    <bk>
      <extLst>
        <ext uri="{3e2802c4-a4d2-4d8b-9148-e3be6c30e623}">
          <xlrd:rvb i="7557"/>
        </ext>
      </extLst>
    </bk>
    <bk>
      <extLst>
        <ext uri="{3e2802c4-a4d2-4d8b-9148-e3be6c30e623}">
          <xlrd:rvb i="7558"/>
        </ext>
      </extLst>
    </bk>
    <bk>
      <extLst>
        <ext uri="{3e2802c4-a4d2-4d8b-9148-e3be6c30e623}">
          <xlrd:rvb i="7559"/>
        </ext>
      </extLst>
    </bk>
    <bk>
      <extLst>
        <ext uri="{3e2802c4-a4d2-4d8b-9148-e3be6c30e623}">
          <xlrd:rvb i="7560"/>
        </ext>
      </extLst>
    </bk>
    <bk>
      <extLst>
        <ext uri="{3e2802c4-a4d2-4d8b-9148-e3be6c30e623}">
          <xlrd:rvb i="7561"/>
        </ext>
      </extLst>
    </bk>
    <bk>
      <extLst>
        <ext uri="{3e2802c4-a4d2-4d8b-9148-e3be6c30e623}">
          <xlrd:rvb i="7562"/>
        </ext>
      </extLst>
    </bk>
    <bk>
      <extLst>
        <ext uri="{3e2802c4-a4d2-4d8b-9148-e3be6c30e623}">
          <xlrd:rvb i="7563"/>
        </ext>
      </extLst>
    </bk>
    <bk>
      <extLst>
        <ext uri="{3e2802c4-a4d2-4d8b-9148-e3be6c30e623}">
          <xlrd:rvb i="7564"/>
        </ext>
      </extLst>
    </bk>
    <bk>
      <extLst>
        <ext uri="{3e2802c4-a4d2-4d8b-9148-e3be6c30e623}">
          <xlrd:rvb i="7565"/>
        </ext>
      </extLst>
    </bk>
    <bk>
      <extLst>
        <ext uri="{3e2802c4-a4d2-4d8b-9148-e3be6c30e623}">
          <xlrd:rvb i="7566"/>
        </ext>
      </extLst>
    </bk>
    <bk>
      <extLst>
        <ext uri="{3e2802c4-a4d2-4d8b-9148-e3be6c30e623}">
          <xlrd:rvb i="7567"/>
        </ext>
      </extLst>
    </bk>
    <bk>
      <extLst>
        <ext uri="{3e2802c4-a4d2-4d8b-9148-e3be6c30e623}">
          <xlrd:rvb i="7568"/>
        </ext>
      </extLst>
    </bk>
    <bk>
      <extLst>
        <ext uri="{3e2802c4-a4d2-4d8b-9148-e3be6c30e623}">
          <xlrd:rvb i="7569"/>
        </ext>
      </extLst>
    </bk>
    <bk>
      <extLst>
        <ext uri="{3e2802c4-a4d2-4d8b-9148-e3be6c30e623}">
          <xlrd:rvb i="7570"/>
        </ext>
      </extLst>
    </bk>
    <bk>
      <extLst>
        <ext uri="{3e2802c4-a4d2-4d8b-9148-e3be6c30e623}">
          <xlrd:rvb i="7571"/>
        </ext>
      </extLst>
    </bk>
    <bk>
      <extLst>
        <ext uri="{3e2802c4-a4d2-4d8b-9148-e3be6c30e623}">
          <xlrd:rvb i="7572"/>
        </ext>
      </extLst>
    </bk>
    <bk>
      <extLst>
        <ext uri="{3e2802c4-a4d2-4d8b-9148-e3be6c30e623}">
          <xlrd:rvb i="7573"/>
        </ext>
      </extLst>
    </bk>
    <bk>
      <extLst>
        <ext uri="{3e2802c4-a4d2-4d8b-9148-e3be6c30e623}">
          <xlrd:rvb i="7574"/>
        </ext>
      </extLst>
    </bk>
    <bk>
      <extLst>
        <ext uri="{3e2802c4-a4d2-4d8b-9148-e3be6c30e623}">
          <xlrd:rvb i="7575"/>
        </ext>
      </extLst>
    </bk>
    <bk>
      <extLst>
        <ext uri="{3e2802c4-a4d2-4d8b-9148-e3be6c30e623}">
          <xlrd:rvb i="7576"/>
        </ext>
      </extLst>
    </bk>
    <bk>
      <extLst>
        <ext uri="{3e2802c4-a4d2-4d8b-9148-e3be6c30e623}">
          <xlrd:rvb i="7577"/>
        </ext>
      </extLst>
    </bk>
    <bk>
      <extLst>
        <ext uri="{3e2802c4-a4d2-4d8b-9148-e3be6c30e623}">
          <xlrd:rvb i="7578"/>
        </ext>
      </extLst>
    </bk>
    <bk>
      <extLst>
        <ext uri="{3e2802c4-a4d2-4d8b-9148-e3be6c30e623}">
          <xlrd:rvb i="7579"/>
        </ext>
      </extLst>
    </bk>
    <bk>
      <extLst>
        <ext uri="{3e2802c4-a4d2-4d8b-9148-e3be6c30e623}">
          <xlrd:rvb i="7580"/>
        </ext>
      </extLst>
    </bk>
    <bk>
      <extLst>
        <ext uri="{3e2802c4-a4d2-4d8b-9148-e3be6c30e623}">
          <xlrd:rvb i="7581"/>
        </ext>
      </extLst>
    </bk>
    <bk>
      <extLst>
        <ext uri="{3e2802c4-a4d2-4d8b-9148-e3be6c30e623}">
          <xlrd:rvb i="7582"/>
        </ext>
      </extLst>
    </bk>
    <bk>
      <extLst>
        <ext uri="{3e2802c4-a4d2-4d8b-9148-e3be6c30e623}">
          <xlrd:rvb i="7583"/>
        </ext>
      </extLst>
    </bk>
    <bk>
      <extLst>
        <ext uri="{3e2802c4-a4d2-4d8b-9148-e3be6c30e623}">
          <xlrd:rvb i="7584"/>
        </ext>
      </extLst>
    </bk>
    <bk>
      <extLst>
        <ext uri="{3e2802c4-a4d2-4d8b-9148-e3be6c30e623}">
          <xlrd:rvb i="7585"/>
        </ext>
      </extLst>
    </bk>
    <bk>
      <extLst>
        <ext uri="{3e2802c4-a4d2-4d8b-9148-e3be6c30e623}">
          <xlrd:rvb i="7586"/>
        </ext>
      </extLst>
    </bk>
    <bk>
      <extLst>
        <ext uri="{3e2802c4-a4d2-4d8b-9148-e3be6c30e623}">
          <xlrd:rvb i="7587"/>
        </ext>
      </extLst>
    </bk>
    <bk>
      <extLst>
        <ext uri="{3e2802c4-a4d2-4d8b-9148-e3be6c30e623}">
          <xlrd:rvb i="7588"/>
        </ext>
      </extLst>
    </bk>
    <bk>
      <extLst>
        <ext uri="{3e2802c4-a4d2-4d8b-9148-e3be6c30e623}">
          <xlrd:rvb i="7589"/>
        </ext>
      </extLst>
    </bk>
    <bk>
      <extLst>
        <ext uri="{3e2802c4-a4d2-4d8b-9148-e3be6c30e623}">
          <xlrd:rvb i="7590"/>
        </ext>
      </extLst>
    </bk>
    <bk>
      <extLst>
        <ext uri="{3e2802c4-a4d2-4d8b-9148-e3be6c30e623}">
          <xlrd:rvb i="7591"/>
        </ext>
      </extLst>
    </bk>
    <bk>
      <extLst>
        <ext uri="{3e2802c4-a4d2-4d8b-9148-e3be6c30e623}">
          <xlrd:rvb i="7592"/>
        </ext>
      </extLst>
    </bk>
    <bk>
      <extLst>
        <ext uri="{3e2802c4-a4d2-4d8b-9148-e3be6c30e623}">
          <xlrd:rvb i="7593"/>
        </ext>
      </extLst>
    </bk>
    <bk>
      <extLst>
        <ext uri="{3e2802c4-a4d2-4d8b-9148-e3be6c30e623}">
          <xlrd:rvb i="7594"/>
        </ext>
      </extLst>
    </bk>
    <bk>
      <extLst>
        <ext uri="{3e2802c4-a4d2-4d8b-9148-e3be6c30e623}">
          <xlrd:rvb i="7595"/>
        </ext>
      </extLst>
    </bk>
    <bk>
      <extLst>
        <ext uri="{3e2802c4-a4d2-4d8b-9148-e3be6c30e623}">
          <xlrd:rvb i="7596"/>
        </ext>
      </extLst>
    </bk>
    <bk>
      <extLst>
        <ext uri="{3e2802c4-a4d2-4d8b-9148-e3be6c30e623}">
          <xlrd:rvb i="7597"/>
        </ext>
      </extLst>
    </bk>
    <bk>
      <extLst>
        <ext uri="{3e2802c4-a4d2-4d8b-9148-e3be6c30e623}">
          <xlrd:rvb i="7598"/>
        </ext>
      </extLst>
    </bk>
    <bk>
      <extLst>
        <ext uri="{3e2802c4-a4d2-4d8b-9148-e3be6c30e623}">
          <xlrd:rvb i="7599"/>
        </ext>
      </extLst>
    </bk>
    <bk>
      <extLst>
        <ext uri="{3e2802c4-a4d2-4d8b-9148-e3be6c30e623}">
          <xlrd:rvb i="7600"/>
        </ext>
      </extLst>
    </bk>
    <bk>
      <extLst>
        <ext uri="{3e2802c4-a4d2-4d8b-9148-e3be6c30e623}">
          <xlrd:rvb i="7601"/>
        </ext>
      </extLst>
    </bk>
    <bk>
      <extLst>
        <ext uri="{3e2802c4-a4d2-4d8b-9148-e3be6c30e623}">
          <xlrd:rvb i="7602"/>
        </ext>
      </extLst>
    </bk>
    <bk>
      <extLst>
        <ext uri="{3e2802c4-a4d2-4d8b-9148-e3be6c30e623}">
          <xlrd:rvb i="7603"/>
        </ext>
      </extLst>
    </bk>
    <bk>
      <extLst>
        <ext uri="{3e2802c4-a4d2-4d8b-9148-e3be6c30e623}">
          <xlrd:rvb i="7604"/>
        </ext>
      </extLst>
    </bk>
    <bk>
      <extLst>
        <ext uri="{3e2802c4-a4d2-4d8b-9148-e3be6c30e623}">
          <xlrd:rvb i="7605"/>
        </ext>
      </extLst>
    </bk>
    <bk>
      <extLst>
        <ext uri="{3e2802c4-a4d2-4d8b-9148-e3be6c30e623}">
          <xlrd:rvb i="7606"/>
        </ext>
      </extLst>
    </bk>
    <bk>
      <extLst>
        <ext uri="{3e2802c4-a4d2-4d8b-9148-e3be6c30e623}">
          <xlrd:rvb i="7607"/>
        </ext>
      </extLst>
    </bk>
    <bk>
      <extLst>
        <ext uri="{3e2802c4-a4d2-4d8b-9148-e3be6c30e623}">
          <xlrd:rvb i="7608"/>
        </ext>
      </extLst>
    </bk>
    <bk>
      <extLst>
        <ext uri="{3e2802c4-a4d2-4d8b-9148-e3be6c30e623}">
          <xlrd:rvb i="7609"/>
        </ext>
      </extLst>
    </bk>
    <bk>
      <extLst>
        <ext uri="{3e2802c4-a4d2-4d8b-9148-e3be6c30e623}">
          <xlrd:rvb i="7610"/>
        </ext>
      </extLst>
    </bk>
    <bk>
      <extLst>
        <ext uri="{3e2802c4-a4d2-4d8b-9148-e3be6c30e623}">
          <xlrd:rvb i="7611"/>
        </ext>
      </extLst>
    </bk>
    <bk>
      <extLst>
        <ext uri="{3e2802c4-a4d2-4d8b-9148-e3be6c30e623}">
          <xlrd:rvb i="7612"/>
        </ext>
      </extLst>
    </bk>
    <bk>
      <extLst>
        <ext uri="{3e2802c4-a4d2-4d8b-9148-e3be6c30e623}">
          <xlrd:rvb i="7613"/>
        </ext>
      </extLst>
    </bk>
    <bk>
      <extLst>
        <ext uri="{3e2802c4-a4d2-4d8b-9148-e3be6c30e623}">
          <xlrd:rvb i="7614"/>
        </ext>
      </extLst>
    </bk>
    <bk>
      <extLst>
        <ext uri="{3e2802c4-a4d2-4d8b-9148-e3be6c30e623}">
          <xlrd:rvb i="7615"/>
        </ext>
      </extLst>
    </bk>
    <bk>
      <extLst>
        <ext uri="{3e2802c4-a4d2-4d8b-9148-e3be6c30e623}">
          <xlrd:rvb i="7616"/>
        </ext>
      </extLst>
    </bk>
    <bk>
      <extLst>
        <ext uri="{3e2802c4-a4d2-4d8b-9148-e3be6c30e623}">
          <xlrd:rvb i="7617"/>
        </ext>
      </extLst>
    </bk>
    <bk>
      <extLst>
        <ext uri="{3e2802c4-a4d2-4d8b-9148-e3be6c30e623}">
          <xlrd:rvb i="7618"/>
        </ext>
      </extLst>
    </bk>
    <bk>
      <extLst>
        <ext uri="{3e2802c4-a4d2-4d8b-9148-e3be6c30e623}">
          <xlrd:rvb i="7619"/>
        </ext>
      </extLst>
    </bk>
    <bk>
      <extLst>
        <ext uri="{3e2802c4-a4d2-4d8b-9148-e3be6c30e623}">
          <xlrd:rvb i="7620"/>
        </ext>
      </extLst>
    </bk>
    <bk>
      <extLst>
        <ext uri="{3e2802c4-a4d2-4d8b-9148-e3be6c30e623}">
          <xlrd:rvb i="7621"/>
        </ext>
      </extLst>
    </bk>
    <bk>
      <extLst>
        <ext uri="{3e2802c4-a4d2-4d8b-9148-e3be6c30e623}">
          <xlrd:rvb i="7622"/>
        </ext>
      </extLst>
    </bk>
    <bk>
      <extLst>
        <ext uri="{3e2802c4-a4d2-4d8b-9148-e3be6c30e623}">
          <xlrd:rvb i="7623"/>
        </ext>
      </extLst>
    </bk>
    <bk>
      <extLst>
        <ext uri="{3e2802c4-a4d2-4d8b-9148-e3be6c30e623}">
          <xlrd:rvb i="7624"/>
        </ext>
      </extLst>
    </bk>
    <bk>
      <extLst>
        <ext uri="{3e2802c4-a4d2-4d8b-9148-e3be6c30e623}">
          <xlrd:rvb i="7625"/>
        </ext>
      </extLst>
    </bk>
    <bk>
      <extLst>
        <ext uri="{3e2802c4-a4d2-4d8b-9148-e3be6c30e623}">
          <xlrd:rvb i="7626"/>
        </ext>
      </extLst>
    </bk>
    <bk>
      <extLst>
        <ext uri="{3e2802c4-a4d2-4d8b-9148-e3be6c30e623}">
          <xlrd:rvb i="7627"/>
        </ext>
      </extLst>
    </bk>
    <bk>
      <extLst>
        <ext uri="{3e2802c4-a4d2-4d8b-9148-e3be6c30e623}">
          <xlrd:rvb i="7628"/>
        </ext>
      </extLst>
    </bk>
    <bk>
      <extLst>
        <ext uri="{3e2802c4-a4d2-4d8b-9148-e3be6c30e623}">
          <xlrd:rvb i="7629"/>
        </ext>
      </extLst>
    </bk>
    <bk>
      <extLst>
        <ext uri="{3e2802c4-a4d2-4d8b-9148-e3be6c30e623}">
          <xlrd:rvb i="7630"/>
        </ext>
      </extLst>
    </bk>
    <bk>
      <extLst>
        <ext uri="{3e2802c4-a4d2-4d8b-9148-e3be6c30e623}">
          <xlrd:rvb i="7631"/>
        </ext>
      </extLst>
    </bk>
    <bk>
      <extLst>
        <ext uri="{3e2802c4-a4d2-4d8b-9148-e3be6c30e623}">
          <xlrd:rvb i="7632"/>
        </ext>
      </extLst>
    </bk>
    <bk>
      <extLst>
        <ext uri="{3e2802c4-a4d2-4d8b-9148-e3be6c30e623}">
          <xlrd:rvb i="7633"/>
        </ext>
      </extLst>
    </bk>
    <bk>
      <extLst>
        <ext uri="{3e2802c4-a4d2-4d8b-9148-e3be6c30e623}">
          <xlrd:rvb i="7634"/>
        </ext>
      </extLst>
    </bk>
    <bk>
      <extLst>
        <ext uri="{3e2802c4-a4d2-4d8b-9148-e3be6c30e623}">
          <xlrd:rvb i="7635"/>
        </ext>
      </extLst>
    </bk>
    <bk>
      <extLst>
        <ext uri="{3e2802c4-a4d2-4d8b-9148-e3be6c30e623}">
          <xlrd:rvb i="7636"/>
        </ext>
      </extLst>
    </bk>
    <bk>
      <extLst>
        <ext uri="{3e2802c4-a4d2-4d8b-9148-e3be6c30e623}">
          <xlrd:rvb i="7637"/>
        </ext>
      </extLst>
    </bk>
    <bk>
      <extLst>
        <ext uri="{3e2802c4-a4d2-4d8b-9148-e3be6c30e623}">
          <xlrd:rvb i="7638"/>
        </ext>
      </extLst>
    </bk>
    <bk>
      <extLst>
        <ext uri="{3e2802c4-a4d2-4d8b-9148-e3be6c30e623}">
          <xlrd:rvb i="7639"/>
        </ext>
      </extLst>
    </bk>
    <bk>
      <extLst>
        <ext uri="{3e2802c4-a4d2-4d8b-9148-e3be6c30e623}">
          <xlrd:rvb i="7640"/>
        </ext>
      </extLst>
    </bk>
    <bk>
      <extLst>
        <ext uri="{3e2802c4-a4d2-4d8b-9148-e3be6c30e623}">
          <xlrd:rvb i="7641"/>
        </ext>
      </extLst>
    </bk>
    <bk>
      <extLst>
        <ext uri="{3e2802c4-a4d2-4d8b-9148-e3be6c30e623}">
          <xlrd:rvb i="7642"/>
        </ext>
      </extLst>
    </bk>
    <bk>
      <extLst>
        <ext uri="{3e2802c4-a4d2-4d8b-9148-e3be6c30e623}">
          <xlrd:rvb i="7643"/>
        </ext>
      </extLst>
    </bk>
    <bk>
      <extLst>
        <ext uri="{3e2802c4-a4d2-4d8b-9148-e3be6c30e623}">
          <xlrd:rvb i="7644"/>
        </ext>
      </extLst>
    </bk>
    <bk>
      <extLst>
        <ext uri="{3e2802c4-a4d2-4d8b-9148-e3be6c30e623}">
          <xlrd:rvb i="7645"/>
        </ext>
      </extLst>
    </bk>
    <bk>
      <extLst>
        <ext uri="{3e2802c4-a4d2-4d8b-9148-e3be6c30e623}">
          <xlrd:rvb i="7646"/>
        </ext>
      </extLst>
    </bk>
    <bk>
      <extLst>
        <ext uri="{3e2802c4-a4d2-4d8b-9148-e3be6c30e623}">
          <xlrd:rvb i="7647"/>
        </ext>
      </extLst>
    </bk>
    <bk>
      <extLst>
        <ext uri="{3e2802c4-a4d2-4d8b-9148-e3be6c30e623}">
          <xlrd:rvb i="7648"/>
        </ext>
      </extLst>
    </bk>
    <bk>
      <extLst>
        <ext uri="{3e2802c4-a4d2-4d8b-9148-e3be6c30e623}">
          <xlrd:rvb i="7649"/>
        </ext>
      </extLst>
    </bk>
    <bk>
      <extLst>
        <ext uri="{3e2802c4-a4d2-4d8b-9148-e3be6c30e623}">
          <xlrd:rvb i="7650"/>
        </ext>
      </extLst>
    </bk>
    <bk>
      <extLst>
        <ext uri="{3e2802c4-a4d2-4d8b-9148-e3be6c30e623}">
          <xlrd:rvb i="7651"/>
        </ext>
      </extLst>
    </bk>
    <bk>
      <extLst>
        <ext uri="{3e2802c4-a4d2-4d8b-9148-e3be6c30e623}">
          <xlrd:rvb i="7652"/>
        </ext>
      </extLst>
    </bk>
    <bk>
      <extLst>
        <ext uri="{3e2802c4-a4d2-4d8b-9148-e3be6c30e623}">
          <xlrd:rvb i="7653"/>
        </ext>
      </extLst>
    </bk>
    <bk>
      <extLst>
        <ext uri="{3e2802c4-a4d2-4d8b-9148-e3be6c30e623}">
          <xlrd:rvb i="7654"/>
        </ext>
      </extLst>
    </bk>
    <bk>
      <extLst>
        <ext uri="{3e2802c4-a4d2-4d8b-9148-e3be6c30e623}">
          <xlrd:rvb i="7655"/>
        </ext>
      </extLst>
    </bk>
    <bk>
      <extLst>
        <ext uri="{3e2802c4-a4d2-4d8b-9148-e3be6c30e623}">
          <xlrd:rvb i="7656"/>
        </ext>
      </extLst>
    </bk>
    <bk>
      <extLst>
        <ext uri="{3e2802c4-a4d2-4d8b-9148-e3be6c30e623}">
          <xlrd:rvb i="7657"/>
        </ext>
      </extLst>
    </bk>
    <bk>
      <extLst>
        <ext uri="{3e2802c4-a4d2-4d8b-9148-e3be6c30e623}">
          <xlrd:rvb i="7658"/>
        </ext>
      </extLst>
    </bk>
    <bk>
      <extLst>
        <ext uri="{3e2802c4-a4d2-4d8b-9148-e3be6c30e623}">
          <xlrd:rvb i="7659"/>
        </ext>
      </extLst>
    </bk>
    <bk>
      <extLst>
        <ext uri="{3e2802c4-a4d2-4d8b-9148-e3be6c30e623}">
          <xlrd:rvb i="7660"/>
        </ext>
      </extLst>
    </bk>
    <bk>
      <extLst>
        <ext uri="{3e2802c4-a4d2-4d8b-9148-e3be6c30e623}">
          <xlrd:rvb i="7661"/>
        </ext>
      </extLst>
    </bk>
    <bk>
      <extLst>
        <ext uri="{3e2802c4-a4d2-4d8b-9148-e3be6c30e623}">
          <xlrd:rvb i="7662"/>
        </ext>
      </extLst>
    </bk>
    <bk>
      <extLst>
        <ext uri="{3e2802c4-a4d2-4d8b-9148-e3be6c30e623}">
          <xlrd:rvb i="7663"/>
        </ext>
      </extLst>
    </bk>
    <bk>
      <extLst>
        <ext uri="{3e2802c4-a4d2-4d8b-9148-e3be6c30e623}">
          <xlrd:rvb i="7664"/>
        </ext>
      </extLst>
    </bk>
    <bk>
      <extLst>
        <ext uri="{3e2802c4-a4d2-4d8b-9148-e3be6c30e623}">
          <xlrd:rvb i="7665"/>
        </ext>
      </extLst>
    </bk>
    <bk>
      <extLst>
        <ext uri="{3e2802c4-a4d2-4d8b-9148-e3be6c30e623}">
          <xlrd:rvb i="7666"/>
        </ext>
      </extLst>
    </bk>
    <bk>
      <extLst>
        <ext uri="{3e2802c4-a4d2-4d8b-9148-e3be6c30e623}">
          <xlrd:rvb i="7667"/>
        </ext>
      </extLst>
    </bk>
    <bk>
      <extLst>
        <ext uri="{3e2802c4-a4d2-4d8b-9148-e3be6c30e623}">
          <xlrd:rvb i="7668"/>
        </ext>
      </extLst>
    </bk>
    <bk>
      <extLst>
        <ext uri="{3e2802c4-a4d2-4d8b-9148-e3be6c30e623}">
          <xlrd:rvb i="7669"/>
        </ext>
      </extLst>
    </bk>
    <bk>
      <extLst>
        <ext uri="{3e2802c4-a4d2-4d8b-9148-e3be6c30e623}">
          <xlrd:rvb i="7670"/>
        </ext>
      </extLst>
    </bk>
    <bk>
      <extLst>
        <ext uri="{3e2802c4-a4d2-4d8b-9148-e3be6c30e623}">
          <xlrd:rvb i="7671"/>
        </ext>
      </extLst>
    </bk>
    <bk>
      <extLst>
        <ext uri="{3e2802c4-a4d2-4d8b-9148-e3be6c30e623}">
          <xlrd:rvb i="7672"/>
        </ext>
      </extLst>
    </bk>
    <bk>
      <extLst>
        <ext uri="{3e2802c4-a4d2-4d8b-9148-e3be6c30e623}">
          <xlrd:rvb i="7673"/>
        </ext>
      </extLst>
    </bk>
    <bk>
      <extLst>
        <ext uri="{3e2802c4-a4d2-4d8b-9148-e3be6c30e623}">
          <xlrd:rvb i="7674"/>
        </ext>
      </extLst>
    </bk>
    <bk>
      <extLst>
        <ext uri="{3e2802c4-a4d2-4d8b-9148-e3be6c30e623}">
          <xlrd:rvb i="7675"/>
        </ext>
      </extLst>
    </bk>
    <bk>
      <extLst>
        <ext uri="{3e2802c4-a4d2-4d8b-9148-e3be6c30e623}">
          <xlrd:rvb i="7676"/>
        </ext>
      </extLst>
    </bk>
    <bk>
      <extLst>
        <ext uri="{3e2802c4-a4d2-4d8b-9148-e3be6c30e623}">
          <xlrd:rvb i="7677"/>
        </ext>
      </extLst>
    </bk>
    <bk>
      <extLst>
        <ext uri="{3e2802c4-a4d2-4d8b-9148-e3be6c30e623}">
          <xlrd:rvb i="7678"/>
        </ext>
      </extLst>
    </bk>
    <bk>
      <extLst>
        <ext uri="{3e2802c4-a4d2-4d8b-9148-e3be6c30e623}">
          <xlrd:rvb i="7679"/>
        </ext>
      </extLst>
    </bk>
    <bk>
      <extLst>
        <ext uri="{3e2802c4-a4d2-4d8b-9148-e3be6c30e623}">
          <xlrd:rvb i="7680"/>
        </ext>
      </extLst>
    </bk>
    <bk>
      <extLst>
        <ext uri="{3e2802c4-a4d2-4d8b-9148-e3be6c30e623}">
          <xlrd:rvb i="7681"/>
        </ext>
      </extLst>
    </bk>
    <bk>
      <extLst>
        <ext uri="{3e2802c4-a4d2-4d8b-9148-e3be6c30e623}">
          <xlrd:rvb i="7682"/>
        </ext>
      </extLst>
    </bk>
    <bk>
      <extLst>
        <ext uri="{3e2802c4-a4d2-4d8b-9148-e3be6c30e623}">
          <xlrd:rvb i="7683"/>
        </ext>
      </extLst>
    </bk>
    <bk>
      <extLst>
        <ext uri="{3e2802c4-a4d2-4d8b-9148-e3be6c30e623}">
          <xlrd:rvb i="7684"/>
        </ext>
      </extLst>
    </bk>
    <bk>
      <extLst>
        <ext uri="{3e2802c4-a4d2-4d8b-9148-e3be6c30e623}">
          <xlrd:rvb i="7685"/>
        </ext>
      </extLst>
    </bk>
    <bk>
      <extLst>
        <ext uri="{3e2802c4-a4d2-4d8b-9148-e3be6c30e623}">
          <xlrd:rvb i="7686"/>
        </ext>
      </extLst>
    </bk>
    <bk>
      <extLst>
        <ext uri="{3e2802c4-a4d2-4d8b-9148-e3be6c30e623}">
          <xlrd:rvb i="7687"/>
        </ext>
      </extLst>
    </bk>
    <bk>
      <extLst>
        <ext uri="{3e2802c4-a4d2-4d8b-9148-e3be6c30e623}">
          <xlrd:rvb i="7688"/>
        </ext>
      </extLst>
    </bk>
    <bk>
      <extLst>
        <ext uri="{3e2802c4-a4d2-4d8b-9148-e3be6c30e623}">
          <xlrd:rvb i="7689"/>
        </ext>
      </extLst>
    </bk>
    <bk>
      <extLst>
        <ext uri="{3e2802c4-a4d2-4d8b-9148-e3be6c30e623}">
          <xlrd:rvb i="7690"/>
        </ext>
      </extLst>
    </bk>
    <bk>
      <extLst>
        <ext uri="{3e2802c4-a4d2-4d8b-9148-e3be6c30e623}">
          <xlrd:rvb i="7691"/>
        </ext>
      </extLst>
    </bk>
    <bk>
      <extLst>
        <ext uri="{3e2802c4-a4d2-4d8b-9148-e3be6c30e623}">
          <xlrd:rvb i="7692"/>
        </ext>
      </extLst>
    </bk>
    <bk>
      <extLst>
        <ext uri="{3e2802c4-a4d2-4d8b-9148-e3be6c30e623}">
          <xlrd:rvb i="7693"/>
        </ext>
      </extLst>
    </bk>
    <bk>
      <extLst>
        <ext uri="{3e2802c4-a4d2-4d8b-9148-e3be6c30e623}">
          <xlrd:rvb i="7694"/>
        </ext>
      </extLst>
    </bk>
    <bk>
      <extLst>
        <ext uri="{3e2802c4-a4d2-4d8b-9148-e3be6c30e623}">
          <xlrd:rvb i="7695"/>
        </ext>
      </extLst>
    </bk>
    <bk>
      <extLst>
        <ext uri="{3e2802c4-a4d2-4d8b-9148-e3be6c30e623}">
          <xlrd:rvb i="7696"/>
        </ext>
      </extLst>
    </bk>
    <bk>
      <extLst>
        <ext uri="{3e2802c4-a4d2-4d8b-9148-e3be6c30e623}">
          <xlrd:rvb i="7697"/>
        </ext>
      </extLst>
    </bk>
    <bk>
      <extLst>
        <ext uri="{3e2802c4-a4d2-4d8b-9148-e3be6c30e623}">
          <xlrd:rvb i="7698"/>
        </ext>
      </extLst>
    </bk>
    <bk>
      <extLst>
        <ext uri="{3e2802c4-a4d2-4d8b-9148-e3be6c30e623}">
          <xlrd:rvb i="7699"/>
        </ext>
      </extLst>
    </bk>
    <bk>
      <extLst>
        <ext uri="{3e2802c4-a4d2-4d8b-9148-e3be6c30e623}">
          <xlrd:rvb i="7700"/>
        </ext>
      </extLst>
    </bk>
    <bk>
      <extLst>
        <ext uri="{3e2802c4-a4d2-4d8b-9148-e3be6c30e623}">
          <xlrd:rvb i="7701"/>
        </ext>
      </extLst>
    </bk>
    <bk>
      <extLst>
        <ext uri="{3e2802c4-a4d2-4d8b-9148-e3be6c30e623}">
          <xlrd:rvb i="7702"/>
        </ext>
      </extLst>
    </bk>
    <bk>
      <extLst>
        <ext uri="{3e2802c4-a4d2-4d8b-9148-e3be6c30e623}">
          <xlrd:rvb i="7703"/>
        </ext>
      </extLst>
    </bk>
    <bk>
      <extLst>
        <ext uri="{3e2802c4-a4d2-4d8b-9148-e3be6c30e623}">
          <xlrd:rvb i="7704"/>
        </ext>
      </extLst>
    </bk>
    <bk>
      <extLst>
        <ext uri="{3e2802c4-a4d2-4d8b-9148-e3be6c30e623}">
          <xlrd:rvb i="7705"/>
        </ext>
      </extLst>
    </bk>
    <bk>
      <extLst>
        <ext uri="{3e2802c4-a4d2-4d8b-9148-e3be6c30e623}">
          <xlrd:rvb i="7706"/>
        </ext>
      </extLst>
    </bk>
    <bk>
      <extLst>
        <ext uri="{3e2802c4-a4d2-4d8b-9148-e3be6c30e623}">
          <xlrd:rvb i="7707"/>
        </ext>
      </extLst>
    </bk>
    <bk>
      <extLst>
        <ext uri="{3e2802c4-a4d2-4d8b-9148-e3be6c30e623}">
          <xlrd:rvb i="7708"/>
        </ext>
      </extLst>
    </bk>
    <bk>
      <extLst>
        <ext uri="{3e2802c4-a4d2-4d8b-9148-e3be6c30e623}">
          <xlrd:rvb i="7709"/>
        </ext>
      </extLst>
    </bk>
    <bk>
      <extLst>
        <ext uri="{3e2802c4-a4d2-4d8b-9148-e3be6c30e623}">
          <xlrd:rvb i="7710"/>
        </ext>
      </extLst>
    </bk>
    <bk>
      <extLst>
        <ext uri="{3e2802c4-a4d2-4d8b-9148-e3be6c30e623}">
          <xlrd:rvb i="7711"/>
        </ext>
      </extLst>
    </bk>
    <bk>
      <extLst>
        <ext uri="{3e2802c4-a4d2-4d8b-9148-e3be6c30e623}">
          <xlrd:rvb i="7712"/>
        </ext>
      </extLst>
    </bk>
    <bk>
      <extLst>
        <ext uri="{3e2802c4-a4d2-4d8b-9148-e3be6c30e623}">
          <xlrd:rvb i="7713"/>
        </ext>
      </extLst>
    </bk>
    <bk>
      <extLst>
        <ext uri="{3e2802c4-a4d2-4d8b-9148-e3be6c30e623}">
          <xlrd:rvb i="7714"/>
        </ext>
      </extLst>
    </bk>
    <bk>
      <extLst>
        <ext uri="{3e2802c4-a4d2-4d8b-9148-e3be6c30e623}">
          <xlrd:rvb i="7715"/>
        </ext>
      </extLst>
    </bk>
    <bk>
      <extLst>
        <ext uri="{3e2802c4-a4d2-4d8b-9148-e3be6c30e623}">
          <xlrd:rvb i="7716"/>
        </ext>
      </extLst>
    </bk>
    <bk>
      <extLst>
        <ext uri="{3e2802c4-a4d2-4d8b-9148-e3be6c30e623}">
          <xlrd:rvb i="7717"/>
        </ext>
      </extLst>
    </bk>
    <bk>
      <extLst>
        <ext uri="{3e2802c4-a4d2-4d8b-9148-e3be6c30e623}">
          <xlrd:rvb i="7718"/>
        </ext>
      </extLst>
    </bk>
    <bk>
      <extLst>
        <ext uri="{3e2802c4-a4d2-4d8b-9148-e3be6c30e623}">
          <xlrd:rvb i="7719"/>
        </ext>
      </extLst>
    </bk>
    <bk>
      <extLst>
        <ext uri="{3e2802c4-a4d2-4d8b-9148-e3be6c30e623}">
          <xlrd:rvb i="7720"/>
        </ext>
      </extLst>
    </bk>
    <bk>
      <extLst>
        <ext uri="{3e2802c4-a4d2-4d8b-9148-e3be6c30e623}">
          <xlrd:rvb i="7721"/>
        </ext>
      </extLst>
    </bk>
    <bk>
      <extLst>
        <ext uri="{3e2802c4-a4d2-4d8b-9148-e3be6c30e623}">
          <xlrd:rvb i="7722"/>
        </ext>
      </extLst>
    </bk>
    <bk>
      <extLst>
        <ext uri="{3e2802c4-a4d2-4d8b-9148-e3be6c30e623}">
          <xlrd:rvb i="7723"/>
        </ext>
      </extLst>
    </bk>
    <bk>
      <extLst>
        <ext uri="{3e2802c4-a4d2-4d8b-9148-e3be6c30e623}">
          <xlrd:rvb i="7724"/>
        </ext>
      </extLst>
    </bk>
    <bk>
      <extLst>
        <ext uri="{3e2802c4-a4d2-4d8b-9148-e3be6c30e623}">
          <xlrd:rvb i="7725"/>
        </ext>
      </extLst>
    </bk>
    <bk>
      <extLst>
        <ext uri="{3e2802c4-a4d2-4d8b-9148-e3be6c30e623}">
          <xlrd:rvb i="7726"/>
        </ext>
      </extLst>
    </bk>
    <bk>
      <extLst>
        <ext uri="{3e2802c4-a4d2-4d8b-9148-e3be6c30e623}">
          <xlrd:rvb i="7727"/>
        </ext>
      </extLst>
    </bk>
    <bk>
      <extLst>
        <ext uri="{3e2802c4-a4d2-4d8b-9148-e3be6c30e623}">
          <xlrd:rvb i="7728"/>
        </ext>
      </extLst>
    </bk>
    <bk>
      <extLst>
        <ext uri="{3e2802c4-a4d2-4d8b-9148-e3be6c30e623}">
          <xlrd:rvb i="7729"/>
        </ext>
      </extLst>
    </bk>
    <bk>
      <extLst>
        <ext uri="{3e2802c4-a4d2-4d8b-9148-e3be6c30e623}">
          <xlrd:rvb i="7730"/>
        </ext>
      </extLst>
    </bk>
    <bk>
      <extLst>
        <ext uri="{3e2802c4-a4d2-4d8b-9148-e3be6c30e623}">
          <xlrd:rvb i="7731"/>
        </ext>
      </extLst>
    </bk>
    <bk>
      <extLst>
        <ext uri="{3e2802c4-a4d2-4d8b-9148-e3be6c30e623}">
          <xlrd:rvb i="7732"/>
        </ext>
      </extLst>
    </bk>
    <bk>
      <extLst>
        <ext uri="{3e2802c4-a4d2-4d8b-9148-e3be6c30e623}">
          <xlrd:rvb i="7733"/>
        </ext>
      </extLst>
    </bk>
    <bk>
      <extLst>
        <ext uri="{3e2802c4-a4d2-4d8b-9148-e3be6c30e623}">
          <xlrd:rvb i="7734"/>
        </ext>
      </extLst>
    </bk>
    <bk>
      <extLst>
        <ext uri="{3e2802c4-a4d2-4d8b-9148-e3be6c30e623}">
          <xlrd:rvb i="7735"/>
        </ext>
      </extLst>
    </bk>
    <bk>
      <extLst>
        <ext uri="{3e2802c4-a4d2-4d8b-9148-e3be6c30e623}">
          <xlrd:rvb i="7736"/>
        </ext>
      </extLst>
    </bk>
    <bk>
      <extLst>
        <ext uri="{3e2802c4-a4d2-4d8b-9148-e3be6c30e623}">
          <xlrd:rvb i="7737"/>
        </ext>
      </extLst>
    </bk>
    <bk>
      <extLst>
        <ext uri="{3e2802c4-a4d2-4d8b-9148-e3be6c30e623}">
          <xlrd:rvb i="7738"/>
        </ext>
      </extLst>
    </bk>
    <bk>
      <extLst>
        <ext uri="{3e2802c4-a4d2-4d8b-9148-e3be6c30e623}">
          <xlrd:rvb i="7739"/>
        </ext>
      </extLst>
    </bk>
    <bk>
      <extLst>
        <ext uri="{3e2802c4-a4d2-4d8b-9148-e3be6c30e623}">
          <xlrd:rvb i="7740"/>
        </ext>
      </extLst>
    </bk>
    <bk>
      <extLst>
        <ext uri="{3e2802c4-a4d2-4d8b-9148-e3be6c30e623}">
          <xlrd:rvb i="7741"/>
        </ext>
      </extLst>
    </bk>
    <bk>
      <extLst>
        <ext uri="{3e2802c4-a4d2-4d8b-9148-e3be6c30e623}">
          <xlrd:rvb i="7742"/>
        </ext>
      </extLst>
    </bk>
    <bk>
      <extLst>
        <ext uri="{3e2802c4-a4d2-4d8b-9148-e3be6c30e623}">
          <xlrd:rvb i="7743"/>
        </ext>
      </extLst>
    </bk>
    <bk>
      <extLst>
        <ext uri="{3e2802c4-a4d2-4d8b-9148-e3be6c30e623}">
          <xlrd:rvb i="7744"/>
        </ext>
      </extLst>
    </bk>
    <bk>
      <extLst>
        <ext uri="{3e2802c4-a4d2-4d8b-9148-e3be6c30e623}">
          <xlrd:rvb i="7745"/>
        </ext>
      </extLst>
    </bk>
    <bk>
      <extLst>
        <ext uri="{3e2802c4-a4d2-4d8b-9148-e3be6c30e623}">
          <xlrd:rvb i="7746"/>
        </ext>
      </extLst>
    </bk>
    <bk>
      <extLst>
        <ext uri="{3e2802c4-a4d2-4d8b-9148-e3be6c30e623}">
          <xlrd:rvb i="7747"/>
        </ext>
      </extLst>
    </bk>
    <bk>
      <extLst>
        <ext uri="{3e2802c4-a4d2-4d8b-9148-e3be6c30e623}">
          <xlrd:rvb i="7748"/>
        </ext>
      </extLst>
    </bk>
    <bk>
      <extLst>
        <ext uri="{3e2802c4-a4d2-4d8b-9148-e3be6c30e623}">
          <xlrd:rvb i="7749"/>
        </ext>
      </extLst>
    </bk>
    <bk>
      <extLst>
        <ext uri="{3e2802c4-a4d2-4d8b-9148-e3be6c30e623}">
          <xlrd:rvb i="7750"/>
        </ext>
      </extLst>
    </bk>
    <bk>
      <extLst>
        <ext uri="{3e2802c4-a4d2-4d8b-9148-e3be6c30e623}">
          <xlrd:rvb i="7751"/>
        </ext>
      </extLst>
    </bk>
    <bk>
      <extLst>
        <ext uri="{3e2802c4-a4d2-4d8b-9148-e3be6c30e623}">
          <xlrd:rvb i="7752"/>
        </ext>
      </extLst>
    </bk>
    <bk>
      <extLst>
        <ext uri="{3e2802c4-a4d2-4d8b-9148-e3be6c30e623}">
          <xlrd:rvb i="7753"/>
        </ext>
      </extLst>
    </bk>
    <bk>
      <extLst>
        <ext uri="{3e2802c4-a4d2-4d8b-9148-e3be6c30e623}">
          <xlrd:rvb i="7754"/>
        </ext>
      </extLst>
    </bk>
    <bk>
      <extLst>
        <ext uri="{3e2802c4-a4d2-4d8b-9148-e3be6c30e623}">
          <xlrd:rvb i="7755"/>
        </ext>
      </extLst>
    </bk>
    <bk>
      <extLst>
        <ext uri="{3e2802c4-a4d2-4d8b-9148-e3be6c30e623}">
          <xlrd:rvb i="7756"/>
        </ext>
      </extLst>
    </bk>
    <bk>
      <extLst>
        <ext uri="{3e2802c4-a4d2-4d8b-9148-e3be6c30e623}">
          <xlrd:rvb i="7757"/>
        </ext>
      </extLst>
    </bk>
    <bk>
      <extLst>
        <ext uri="{3e2802c4-a4d2-4d8b-9148-e3be6c30e623}">
          <xlrd:rvb i="7758"/>
        </ext>
      </extLst>
    </bk>
    <bk>
      <extLst>
        <ext uri="{3e2802c4-a4d2-4d8b-9148-e3be6c30e623}">
          <xlrd:rvb i="7759"/>
        </ext>
      </extLst>
    </bk>
    <bk>
      <extLst>
        <ext uri="{3e2802c4-a4d2-4d8b-9148-e3be6c30e623}">
          <xlrd:rvb i="7760"/>
        </ext>
      </extLst>
    </bk>
    <bk>
      <extLst>
        <ext uri="{3e2802c4-a4d2-4d8b-9148-e3be6c30e623}">
          <xlrd:rvb i="7761"/>
        </ext>
      </extLst>
    </bk>
    <bk>
      <extLst>
        <ext uri="{3e2802c4-a4d2-4d8b-9148-e3be6c30e623}">
          <xlrd:rvb i="7762"/>
        </ext>
      </extLst>
    </bk>
    <bk>
      <extLst>
        <ext uri="{3e2802c4-a4d2-4d8b-9148-e3be6c30e623}">
          <xlrd:rvb i="7763"/>
        </ext>
      </extLst>
    </bk>
    <bk>
      <extLst>
        <ext uri="{3e2802c4-a4d2-4d8b-9148-e3be6c30e623}">
          <xlrd:rvb i="7764"/>
        </ext>
      </extLst>
    </bk>
    <bk>
      <extLst>
        <ext uri="{3e2802c4-a4d2-4d8b-9148-e3be6c30e623}">
          <xlrd:rvb i="7765"/>
        </ext>
      </extLst>
    </bk>
    <bk>
      <extLst>
        <ext uri="{3e2802c4-a4d2-4d8b-9148-e3be6c30e623}">
          <xlrd:rvb i="7766"/>
        </ext>
      </extLst>
    </bk>
    <bk>
      <extLst>
        <ext uri="{3e2802c4-a4d2-4d8b-9148-e3be6c30e623}">
          <xlrd:rvb i="7767"/>
        </ext>
      </extLst>
    </bk>
    <bk>
      <extLst>
        <ext uri="{3e2802c4-a4d2-4d8b-9148-e3be6c30e623}">
          <xlrd:rvb i="7768"/>
        </ext>
      </extLst>
    </bk>
    <bk>
      <extLst>
        <ext uri="{3e2802c4-a4d2-4d8b-9148-e3be6c30e623}">
          <xlrd:rvb i="7769"/>
        </ext>
      </extLst>
    </bk>
    <bk>
      <extLst>
        <ext uri="{3e2802c4-a4d2-4d8b-9148-e3be6c30e623}">
          <xlrd:rvb i="7770"/>
        </ext>
      </extLst>
    </bk>
    <bk>
      <extLst>
        <ext uri="{3e2802c4-a4d2-4d8b-9148-e3be6c30e623}">
          <xlrd:rvb i="7771"/>
        </ext>
      </extLst>
    </bk>
    <bk>
      <extLst>
        <ext uri="{3e2802c4-a4d2-4d8b-9148-e3be6c30e623}">
          <xlrd:rvb i="7772"/>
        </ext>
      </extLst>
    </bk>
    <bk>
      <extLst>
        <ext uri="{3e2802c4-a4d2-4d8b-9148-e3be6c30e623}">
          <xlrd:rvb i="7773"/>
        </ext>
      </extLst>
    </bk>
    <bk>
      <extLst>
        <ext uri="{3e2802c4-a4d2-4d8b-9148-e3be6c30e623}">
          <xlrd:rvb i="7774"/>
        </ext>
      </extLst>
    </bk>
    <bk>
      <extLst>
        <ext uri="{3e2802c4-a4d2-4d8b-9148-e3be6c30e623}">
          <xlrd:rvb i="7775"/>
        </ext>
      </extLst>
    </bk>
    <bk>
      <extLst>
        <ext uri="{3e2802c4-a4d2-4d8b-9148-e3be6c30e623}">
          <xlrd:rvb i="7776"/>
        </ext>
      </extLst>
    </bk>
    <bk>
      <extLst>
        <ext uri="{3e2802c4-a4d2-4d8b-9148-e3be6c30e623}">
          <xlrd:rvb i="7777"/>
        </ext>
      </extLst>
    </bk>
    <bk>
      <extLst>
        <ext uri="{3e2802c4-a4d2-4d8b-9148-e3be6c30e623}">
          <xlrd:rvb i="7778"/>
        </ext>
      </extLst>
    </bk>
    <bk>
      <extLst>
        <ext uri="{3e2802c4-a4d2-4d8b-9148-e3be6c30e623}">
          <xlrd:rvb i="7779"/>
        </ext>
      </extLst>
    </bk>
    <bk>
      <extLst>
        <ext uri="{3e2802c4-a4d2-4d8b-9148-e3be6c30e623}">
          <xlrd:rvb i="7780"/>
        </ext>
      </extLst>
    </bk>
    <bk>
      <extLst>
        <ext uri="{3e2802c4-a4d2-4d8b-9148-e3be6c30e623}">
          <xlrd:rvb i="7781"/>
        </ext>
      </extLst>
    </bk>
    <bk>
      <extLst>
        <ext uri="{3e2802c4-a4d2-4d8b-9148-e3be6c30e623}">
          <xlrd:rvb i="7782"/>
        </ext>
      </extLst>
    </bk>
    <bk>
      <extLst>
        <ext uri="{3e2802c4-a4d2-4d8b-9148-e3be6c30e623}">
          <xlrd:rvb i="7783"/>
        </ext>
      </extLst>
    </bk>
    <bk>
      <extLst>
        <ext uri="{3e2802c4-a4d2-4d8b-9148-e3be6c30e623}">
          <xlrd:rvb i="7784"/>
        </ext>
      </extLst>
    </bk>
    <bk>
      <extLst>
        <ext uri="{3e2802c4-a4d2-4d8b-9148-e3be6c30e623}">
          <xlrd:rvb i="7785"/>
        </ext>
      </extLst>
    </bk>
    <bk>
      <extLst>
        <ext uri="{3e2802c4-a4d2-4d8b-9148-e3be6c30e623}">
          <xlrd:rvb i="7786"/>
        </ext>
      </extLst>
    </bk>
    <bk>
      <extLst>
        <ext uri="{3e2802c4-a4d2-4d8b-9148-e3be6c30e623}">
          <xlrd:rvb i="7787"/>
        </ext>
      </extLst>
    </bk>
    <bk>
      <extLst>
        <ext uri="{3e2802c4-a4d2-4d8b-9148-e3be6c30e623}">
          <xlrd:rvb i="7788"/>
        </ext>
      </extLst>
    </bk>
    <bk>
      <extLst>
        <ext uri="{3e2802c4-a4d2-4d8b-9148-e3be6c30e623}">
          <xlrd:rvb i="7789"/>
        </ext>
      </extLst>
    </bk>
    <bk>
      <extLst>
        <ext uri="{3e2802c4-a4d2-4d8b-9148-e3be6c30e623}">
          <xlrd:rvb i="7790"/>
        </ext>
      </extLst>
    </bk>
    <bk>
      <extLst>
        <ext uri="{3e2802c4-a4d2-4d8b-9148-e3be6c30e623}">
          <xlrd:rvb i="7791"/>
        </ext>
      </extLst>
    </bk>
    <bk>
      <extLst>
        <ext uri="{3e2802c4-a4d2-4d8b-9148-e3be6c30e623}">
          <xlrd:rvb i="7792"/>
        </ext>
      </extLst>
    </bk>
    <bk>
      <extLst>
        <ext uri="{3e2802c4-a4d2-4d8b-9148-e3be6c30e623}">
          <xlrd:rvb i="7793"/>
        </ext>
      </extLst>
    </bk>
    <bk>
      <extLst>
        <ext uri="{3e2802c4-a4d2-4d8b-9148-e3be6c30e623}">
          <xlrd:rvb i="7794"/>
        </ext>
      </extLst>
    </bk>
    <bk>
      <extLst>
        <ext uri="{3e2802c4-a4d2-4d8b-9148-e3be6c30e623}">
          <xlrd:rvb i="7795"/>
        </ext>
      </extLst>
    </bk>
    <bk>
      <extLst>
        <ext uri="{3e2802c4-a4d2-4d8b-9148-e3be6c30e623}">
          <xlrd:rvb i="7796"/>
        </ext>
      </extLst>
    </bk>
    <bk>
      <extLst>
        <ext uri="{3e2802c4-a4d2-4d8b-9148-e3be6c30e623}">
          <xlrd:rvb i="7797"/>
        </ext>
      </extLst>
    </bk>
    <bk>
      <extLst>
        <ext uri="{3e2802c4-a4d2-4d8b-9148-e3be6c30e623}">
          <xlrd:rvb i="7798"/>
        </ext>
      </extLst>
    </bk>
    <bk>
      <extLst>
        <ext uri="{3e2802c4-a4d2-4d8b-9148-e3be6c30e623}">
          <xlrd:rvb i="7799"/>
        </ext>
      </extLst>
    </bk>
    <bk>
      <extLst>
        <ext uri="{3e2802c4-a4d2-4d8b-9148-e3be6c30e623}">
          <xlrd:rvb i="7800"/>
        </ext>
      </extLst>
    </bk>
    <bk>
      <extLst>
        <ext uri="{3e2802c4-a4d2-4d8b-9148-e3be6c30e623}">
          <xlrd:rvb i="7801"/>
        </ext>
      </extLst>
    </bk>
    <bk>
      <extLst>
        <ext uri="{3e2802c4-a4d2-4d8b-9148-e3be6c30e623}">
          <xlrd:rvb i="7802"/>
        </ext>
      </extLst>
    </bk>
    <bk>
      <extLst>
        <ext uri="{3e2802c4-a4d2-4d8b-9148-e3be6c30e623}">
          <xlrd:rvb i="7803"/>
        </ext>
      </extLst>
    </bk>
    <bk>
      <extLst>
        <ext uri="{3e2802c4-a4d2-4d8b-9148-e3be6c30e623}">
          <xlrd:rvb i="7804"/>
        </ext>
      </extLst>
    </bk>
    <bk>
      <extLst>
        <ext uri="{3e2802c4-a4d2-4d8b-9148-e3be6c30e623}">
          <xlrd:rvb i="7805"/>
        </ext>
      </extLst>
    </bk>
    <bk>
      <extLst>
        <ext uri="{3e2802c4-a4d2-4d8b-9148-e3be6c30e623}">
          <xlrd:rvb i="7806"/>
        </ext>
      </extLst>
    </bk>
    <bk>
      <extLst>
        <ext uri="{3e2802c4-a4d2-4d8b-9148-e3be6c30e623}">
          <xlrd:rvb i="7807"/>
        </ext>
      </extLst>
    </bk>
    <bk>
      <extLst>
        <ext uri="{3e2802c4-a4d2-4d8b-9148-e3be6c30e623}">
          <xlrd:rvb i="7808"/>
        </ext>
      </extLst>
    </bk>
    <bk>
      <extLst>
        <ext uri="{3e2802c4-a4d2-4d8b-9148-e3be6c30e623}">
          <xlrd:rvb i="7809"/>
        </ext>
      </extLst>
    </bk>
    <bk>
      <extLst>
        <ext uri="{3e2802c4-a4d2-4d8b-9148-e3be6c30e623}">
          <xlrd:rvb i="7810"/>
        </ext>
      </extLst>
    </bk>
    <bk>
      <extLst>
        <ext uri="{3e2802c4-a4d2-4d8b-9148-e3be6c30e623}">
          <xlrd:rvb i="7811"/>
        </ext>
      </extLst>
    </bk>
    <bk>
      <extLst>
        <ext uri="{3e2802c4-a4d2-4d8b-9148-e3be6c30e623}">
          <xlrd:rvb i="7812"/>
        </ext>
      </extLst>
    </bk>
    <bk>
      <extLst>
        <ext uri="{3e2802c4-a4d2-4d8b-9148-e3be6c30e623}">
          <xlrd:rvb i="7813"/>
        </ext>
      </extLst>
    </bk>
    <bk>
      <extLst>
        <ext uri="{3e2802c4-a4d2-4d8b-9148-e3be6c30e623}">
          <xlrd:rvb i="7814"/>
        </ext>
      </extLst>
    </bk>
    <bk>
      <extLst>
        <ext uri="{3e2802c4-a4d2-4d8b-9148-e3be6c30e623}">
          <xlrd:rvb i="7815"/>
        </ext>
      </extLst>
    </bk>
    <bk>
      <extLst>
        <ext uri="{3e2802c4-a4d2-4d8b-9148-e3be6c30e623}">
          <xlrd:rvb i="7816"/>
        </ext>
      </extLst>
    </bk>
    <bk>
      <extLst>
        <ext uri="{3e2802c4-a4d2-4d8b-9148-e3be6c30e623}">
          <xlrd:rvb i="7817"/>
        </ext>
      </extLst>
    </bk>
    <bk>
      <extLst>
        <ext uri="{3e2802c4-a4d2-4d8b-9148-e3be6c30e623}">
          <xlrd:rvb i="7818"/>
        </ext>
      </extLst>
    </bk>
    <bk>
      <extLst>
        <ext uri="{3e2802c4-a4d2-4d8b-9148-e3be6c30e623}">
          <xlrd:rvb i="7819"/>
        </ext>
      </extLst>
    </bk>
    <bk>
      <extLst>
        <ext uri="{3e2802c4-a4d2-4d8b-9148-e3be6c30e623}">
          <xlrd:rvb i="7820"/>
        </ext>
      </extLst>
    </bk>
    <bk>
      <extLst>
        <ext uri="{3e2802c4-a4d2-4d8b-9148-e3be6c30e623}">
          <xlrd:rvb i="7821"/>
        </ext>
      </extLst>
    </bk>
    <bk>
      <extLst>
        <ext uri="{3e2802c4-a4d2-4d8b-9148-e3be6c30e623}">
          <xlrd:rvb i="7822"/>
        </ext>
      </extLst>
    </bk>
    <bk>
      <extLst>
        <ext uri="{3e2802c4-a4d2-4d8b-9148-e3be6c30e623}">
          <xlrd:rvb i="7823"/>
        </ext>
      </extLst>
    </bk>
    <bk>
      <extLst>
        <ext uri="{3e2802c4-a4d2-4d8b-9148-e3be6c30e623}">
          <xlrd:rvb i="7824"/>
        </ext>
      </extLst>
    </bk>
    <bk>
      <extLst>
        <ext uri="{3e2802c4-a4d2-4d8b-9148-e3be6c30e623}">
          <xlrd:rvb i="7825"/>
        </ext>
      </extLst>
    </bk>
    <bk>
      <extLst>
        <ext uri="{3e2802c4-a4d2-4d8b-9148-e3be6c30e623}">
          <xlrd:rvb i="7826"/>
        </ext>
      </extLst>
    </bk>
    <bk>
      <extLst>
        <ext uri="{3e2802c4-a4d2-4d8b-9148-e3be6c30e623}">
          <xlrd:rvb i="7827"/>
        </ext>
      </extLst>
    </bk>
    <bk>
      <extLst>
        <ext uri="{3e2802c4-a4d2-4d8b-9148-e3be6c30e623}">
          <xlrd:rvb i="7828"/>
        </ext>
      </extLst>
    </bk>
    <bk>
      <extLst>
        <ext uri="{3e2802c4-a4d2-4d8b-9148-e3be6c30e623}">
          <xlrd:rvb i="7829"/>
        </ext>
      </extLst>
    </bk>
    <bk>
      <extLst>
        <ext uri="{3e2802c4-a4d2-4d8b-9148-e3be6c30e623}">
          <xlrd:rvb i="7830"/>
        </ext>
      </extLst>
    </bk>
    <bk>
      <extLst>
        <ext uri="{3e2802c4-a4d2-4d8b-9148-e3be6c30e623}">
          <xlrd:rvb i="7831"/>
        </ext>
      </extLst>
    </bk>
    <bk>
      <extLst>
        <ext uri="{3e2802c4-a4d2-4d8b-9148-e3be6c30e623}">
          <xlrd:rvb i="7832"/>
        </ext>
      </extLst>
    </bk>
    <bk>
      <extLst>
        <ext uri="{3e2802c4-a4d2-4d8b-9148-e3be6c30e623}">
          <xlrd:rvb i="7833"/>
        </ext>
      </extLst>
    </bk>
    <bk>
      <extLst>
        <ext uri="{3e2802c4-a4d2-4d8b-9148-e3be6c30e623}">
          <xlrd:rvb i="7834"/>
        </ext>
      </extLst>
    </bk>
    <bk>
      <extLst>
        <ext uri="{3e2802c4-a4d2-4d8b-9148-e3be6c30e623}">
          <xlrd:rvb i="7835"/>
        </ext>
      </extLst>
    </bk>
    <bk>
      <extLst>
        <ext uri="{3e2802c4-a4d2-4d8b-9148-e3be6c30e623}">
          <xlrd:rvb i="7836"/>
        </ext>
      </extLst>
    </bk>
    <bk>
      <extLst>
        <ext uri="{3e2802c4-a4d2-4d8b-9148-e3be6c30e623}">
          <xlrd:rvb i="7837"/>
        </ext>
      </extLst>
    </bk>
    <bk>
      <extLst>
        <ext uri="{3e2802c4-a4d2-4d8b-9148-e3be6c30e623}">
          <xlrd:rvb i="7838"/>
        </ext>
      </extLst>
    </bk>
    <bk>
      <extLst>
        <ext uri="{3e2802c4-a4d2-4d8b-9148-e3be6c30e623}">
          <xlrd:rvb i="7839"/>
        </ext>
      </extLst>
    </bk>
    <bk>
      <extLst>
        <ext uri="{3e2802c4-a4d2-4d8b-9148-e3be6c30e623}">
          <xlrd:rvb i="7840"/>
        </ext>
      </extLst>
    </bk>
    <bk>
      <extLst>
        <ext uri="{3e2802c4-a4d2-4d8b-9148-e3be6c30e623}">
          <xlrd:rvb i="7841"/>
        </ext>
      </extLst>
    </bk>
    <bk>
      <extLst>
        <ext uri="{3e2802c4-a4d2-4d8b-9148-e3be6c30e623}">
          <xlrd:rvb i="7842"/>
        </ext>
      </extLst>
    </bk>
    <bk>
      <extLst>
        <ext uri="{3e2802c4-a4d2-4d8b-9148-e3be6c30e623}">
          <xlrd:rvb i="7843"/>
        </ext>
      </extLst>
    </bk>
    <bk>
      <extLst>
        <ext uri="{3e2802c4-a4d2-4d8b-9148-e3be6c30e623}">
          <xlrd:rvb i="7844"/>
        </ext>
      </extLst>
    </bk>
    <bk>
      <extLst>
        <ext uri="{3e2802c4-a4d2-4d8b-9148-e3be6c30e623}">
          <xlrd:rvb i="7845"/>
        </ext>
      </extLst>
    </bk>
    <bk>
      <extLst>
        <ext uri="{3e2802c4-a4d2-4d8b-9148-e3be6c30e623}">
          <xlrd:rvb i="7846"/>
        </ext>
      </extLst>
    </bk>
    <bk>
      <extLst>
        <ext uri="{3e2802c4-a4d2-4d8b-9148-e3be6c30e623}">
          <xlrd:rvb i="7847"/>
        </ext>
      </extLst>
    </bk>
    <bk>
      <extLst>
        <ext uri="{3e2802c4-a4d2-4d8b-9148-e3be6c30e623}">
          <xlrd:rvb i="7848"/>
        </ext>
      </extLst>
    </bk>
    <bk>
      <extLst>
        <ext uri="{3e2802c4-a4d2-4d8b-9148-e3be6c30e623}">
          <xlrd:rvb i="7849"/>
        </ext>
      </extLst>
    </bk>
    <bk>
      <extLst>
        <ext uri="{3e2802c4-a4d2-4d8b-9148-e3be6c30e623}">
          <xlrd:rvb i="7850"/>
        </ext>
      </extLst>
    </bk>
    <bk>
      <extLst>
        <ext uri="{3e2802c4-a4d2-4d8b-9148-e3be6c30e623}">
          <xlrd:rvb i="7851"/>
        </ext>
      </extLst>
    </bk>
    <bk>
      <extLst>
        <ext uri="{3e2802c4-a4d2-4d8b-9148-e3be6c30e623}">
          <xlrd:rvb i="7852"/>
        </ext>
      </extLst>
    </bk>
    <bk>
      <extLst>
        <ext uri="{3e2802c4-a4d2-4d8b-9148-e3be6c30e623}">
          <xlrd:rvb i="7853"/>
        </ext>
      </extLst>
    </bk>
    <bk>
      <extLst>
        <ext uri="{3e2802c4-a4d2-4d8b-9148-e3be6c30e623}">
          <xlrd:rvb i="7854"/>
        </ext>
      </extLst>
    </bk>
    <bk>
      <extLst>
        <ext uri="{3e2802c4-a4d2-4d8b-9148-e3be6c30e623}">
          <xlrd:rvb i="7855"/>
        </ext>
      </extLst>
    </bk>
    <bk>
      <extLst>
        <ext uri="{3e2802c4-a4d2-4d8b-9148-e3be6c30e623}">
          <xlrd:rvb i="7856"/>
        </ext>
      </extLst>
    </bk>
    <bk>
      <extLst>
        <ext uri="{3e2802c4-a4d2-4d8b-9148-e3be6c30e623}">
          <xlrd:rvb i="7857"/>
        </ext>
      </extLst>
    </bk>
    <bk>
      <extLst>
        <ext uri="{3e2802c4-a4d2-4d8b-9148-e3be6c30e623}">
          <xlrd:rvb i="7858"/>
        </ext>
      </extLst>
    </bk>
    <bk>
      <extLst>
        <ext uri="{3e2802c4-a4d2-4d8b-9148-e3be6c30e623}">
          <xlrd:rvb i="7859"/>
        </ext>
      </extLst>
    </bk>
    <bk>
      <extLst>
        <ext uri="{3e2802c4-a4d2-4d8b-9148-e3be6c30e623}">
          <xlrd:rvb i="7860"/>
        </ext>
      </extLst>
    </bk>
    <bk>
      <extLst>
        <ext uri="{3e2802c4-a4d2-4d8b-9148-e3be6c30e623}">
          <xlrd:rvb i="7861"/>
        </ext>
      </extLst>
    </bk>
    <bk>
      <extLst>
        <ext uri="{3e2802c4-a4d2-4d8b-9148-e3be6c30e623}">
          <xlrd:rvb i="7862"/>
        </ext>
      </extLst>
    </bk>
    <bk>
      <extLst>
        <ext uri="{3e2802c4-a4d2-4d8b-9148-e3be6c30e623}">
          <xlrd:rvb i="7863"/>
        </ext>
      </extLst>
    </bk>
    <bk>
      <extLst>
        <ext uri="{3e2802c4-a4d2-4d8b-9148-e3be6c30e623}">
          <xlrd:rvb i="7864"/>
        </ext>
      </extLst>
    </bk>
    <bk>
      <extLst>
        <ext uri="{3e2802c4-a4d2-4d8b-9148-e3be6c30e623}">
          <xlrd:rvb i="7865"/>
        </ext>
      </extLst>
    </bk>
    <bk>
      <extLst>
        <ext uri="{3e2802c4-a4d2-4d8b-9148-e3be6c30e623}">
          <xlrd:rvb i="7866"/>
        </ext>
      </extLst>
    </bk>
    <bk>
      <extLst>
        <ext uri="{3e2802c4-a4d2-4d8b-9148-e3be6c30e623}">
          <xlrd:rvb i="7867"/>
        </ext>
      </extLst>
    </bk>
    <bk>
      <extLst>
        <ext uri="{3e2802c4-a4d2-4d8b-9148-e3be6c30e623}">
          <xlrd:rvb i="7868"/>
        </ext>
      </extLst>
    </bk>
    <bk>
      <extLst>
        <ext uri="{3e2802c4-a4d2-4d8b-9148-e3be6c30e623}">
          <xlrd:rvb i="7869"/>
        </ext>
      </extLst>
    </bk>
    <bk>
      <extLst>
        <ext uri="{3e2802c4-a4d2-4d8b-9148-e3be6c30e623}">
          <xlrd:rvb i="7870"/>
        </ext>
      </extLst>
    </bk>
    <bk>
      <extLst>
        <ext uri="{3e2802c4-a4d2-4d8b-9148-e3be6c30e623}">
          <xlrd:rvb i="7871"/>
        </ext>
      </extLst>
    </bk>
    <bk>
      <extLst>
        <ext uri="{3e2802c4-a4d2-4d8b-9148-e3be6c30e623}">
          <xlrd:rvb i="7872"/>
        </ext>
      </extLst>
    </bk>
    <bk>
      <extLst>
        <ext uri="{3e2802c4-a4d2-4d8b-9148-e3be6c30e623}">
          <xlrd:rvb i="7873"/>
        </ext>
      </extLst>
    </bk>
    <bk>
      <extLst>
        <ext uri="{3e2802c4-a4d2-4d8b-9148-e3be6c30e623}">
          <xlrd:rvb i="7874"/>
        </ext>
      </extLst>
    </bk>
    <bk>
      <extLst>
        <ext uri="{3e2802c4-a4d2-4d8b-9148-e3be6c30e623}">
          <xlrd:rvb i="7875"/>
        </ext>
      </extLst>
    </bk>
    <bk>
      <extLst>
        <ext uri="{3e2802c4-a4d2-4d8b-9148-e3be6c30e623}">
          <xlrd:rvb i="7876"/>
        </ext>
      </extLst>
    </bk>
    <bk>
      <extLst>
        <ext uri="{3e2802c4-a4d2-4d8b-9148-e3be6c30e623}">
          <xlrd:rvb i="7877"/>
        </ext>
      </extLst>
    </bk>
    <bk>
      <extLst>
        <ext uri="{3e2802c4-a4d2-4d8b-9148-e3be6c30e623}">
          <xlrd:rvb i="7878"/>
        </ext>
      </extLst>
    </bk>
    <bk>
      <extLst>
        <ext uri="{3e2802c4-a4d2-4d8b-9148-e3be6c30e623}">
          <xlrd:rvb i="7879"/>
        </ext>
      </extLst>
    </bk>
    <bk>
      <extLst>
        <ext uri="{3e2802c4-a4d2-4d8b-9148-e3be6c30e623}">
          <xlrd:rvb i="7880"/>
        </ext>
      </extLst>
    </bk>
    <bk>
      <extLst>
        <ext uri="{3e2802c4-a4d2-4d8b-9148-e3be6c30e623}">
          <xlrd:rvb i="7881"/>
        </ext>
      </extLst>
    </bk>
    <bk>
      <extLst>
        <ext uri="{3e2802c4-a4d2-4d8b-9148-e3be6c30e623}">
          <xlrd:rvb i="7882"/>
        </ext>
      </extLst>
    </bk>
    <bk>
      <extLst>
        <ext uri="{3e2802c4-a4d2-4d8b-9148-e3be6c30e623}">
          <xlrd:rvb i="7883"/>
        </ext>
      </extLst>
    </bk>
    <bk>
      <extLst>
        <ext uri="{3e2802c4-a4d2-4d8b-9148-e3be6c30e623}">
          <xlrd:rvb i="7884"/>
        </ext>
      </extLst>
    </bk>
    <bk>
      <extLst>
        <ext uri="{3e2802c4-a4d2-4d8b-9148-e3be6c30e623}">
          <xlrd:rvb i="7885"/>
        </ext>
      </extLst>
    </bk>
    <bk>
      <extLst>
        <ext uri="{3e2802c4-a4d2-4d8b-9148-e3be6c30e623}">
          <xlrd:rvb i="7886"/>
        </ext>
      </extLst>
    </bk>
    <bk>
      <extLst>
        <ext uri="{3e2802c4-a4d2-4d8b-9148-e3be6c30e623}">
          <xlrd:rvb i="7887"/>
        </ext>
      </extLst>
    </bk>
    <bk>
      <extLst>
        <ext uri="{3e2802c4-a4d2-4d8b-9148-e3be6c30e623}">
          <xlrd:rvb i="7888"/>
        </ext>
      </extLst>
    </bk>
    <bk>
      <extLst>
        <ext uri="{3e2802c4-a4d2-4d8b-9148-e3be6c30e623}">
          <xlrd:rvb i="7889"/>
        </ext>
      </extLst>
    </bk>
    <bk>
      <extLst>
        <ext uri="{3e2802c4-a4d2-4d8b-9148-e3be6c30e623}">
          <xlrd:rvb i="7890"/>
        </ext>
      </extLst>
    </bk>
    <bk>
      <extLst>
        <ext uri="{3e2802c4-a4d2-4d8b-9148-e3be6c30e623}">
          <xlrd:rvb i="7891"/>
        </ext>
      </extLst>
    </bk>
    <bk>
      <extLst>
        <ext uri="{3e2802c4-a4d2-4d8b-9148-e3be6c30e623}">
          <xlrd:rvb i="7892"/>
        </ext>
      </extLst>
    </bk>
    <bk>
      <extLst>
        <ext uri="{3e2802c4-a4d2-4d8b-9148-e3be6c30e623}">
          <xlrd:rvb i="7893"/>
        </ext>
      </extLst>
    </bk>
    <bk>
      <extLst>
        <ext uri="{3e2802c4-a4d2-4d8b-9148-e3be6c30e623}">
          <xlrd:rvb i="7894"/>
        </ext>
      </extLst>
    </bk>
    <bk>
      <extLst>
        <ext uri="{3e2802c4-a4d2-4d8b-9148-e3be6c30e623}">
          <xlrd:rvb i="7895"/>
        </ext>
      </extLst>
    </bk>
    <bk>
      <extLst>
        <ext uri="{3e2802c4-a4d2-4d8b-9148-e3be6c30e623}">
          <xlrd:rvb i="7896"/>
        </ext>
      </extLst>
    </bk>
    <bk>
      <extLst>
        <ext uri="{3e2802c4-a4d2-4d8b-9148-e3be6c30e623}">
          <xlrd:rvb i="7897"/>
        </ext>
      </extLst>
    </bk>
    <bk>
      <extLst>
        <ext uri="{3e2802c4-a4d2-4d8b-9148-e3be6c30e623}">
          <xlrd:rvb i="7898"/>
        </ext>
      </extLst>
    </bk>
    <bk>
      <extLst>
        <ext uri="{3e2802c4-a4d2-4d8b-9148-e3be6c30e623}">
          <xlrd:rvb i="7899"/>
        </ext>
      </extLst>
    </bk>
    <bk>
      <extLst>
        <ext uri="{3e2802c4-a4d2-4d8b-9148-e3be6c30e623}">
          <xlrd:rvb i="7900"/>
        </ext>
      </extLst>
    </bk>
    <bk>
      <extLst>
        <ext uri="{3e2802c4-a4d2-4d8b-9148-e3be6c30e623}">
          <xlrd:rvb i="7901"/>
        </ext>
      </extLst>
    </bk>
    <bk>
      <extLst>
        <ext uri="{3e2802c4-a4d2-4d8b-9148-e3be6c30e623}">
          <xlrd:rvb i="7902"/>
        </ext>
      </extLst>
    </bk>
    <bk>
      <extLst>
        <ext uri="{3e2802c4-a4d2-4d8b-9148-e3be6c30e623}">
          <xlrd:rvb i="7903"/>
        </ext>
      </extLst>
    </bk>
    <bk>
      <extLst>
        <ext uri="{3e2802c4-a4d2-4d8b-9148-e3be6c30e623}">
          <xlrd:rvb i="7904"/>
        </ext>
      </extLst>
    </bk>
    <bk>
      <extLst>
        <ext uri="{3e2802c4-a4d2-4d8b-9148-e3be6c30e623}">
          <xlrd:rvb i="7905"/>
        </ext>
      </extLst>
    </bk>
    <bk>
      <extLst>
        <ext uri="{3e2802c4-a4d2-4d8b-9148-e3be6c30e623}">
          <xlrd:rvb i="7906"/>
        </ext>
      </extLst>
    </bk>
    <bk>
      <extLst>
        <ext uri="{3e2802c4-a4d2-4d8b-9148-e3be6c30e623}">
          <xlrd:rvb i="7907"/>
        </ext>
      </extLst>
    </bk>
    <bk>
      <extLst>
        <ext uri="{3e2802c4-a4d2-4d8b-9148-e3be6c30e623}">
          <xlrd:rvb i="7908"/>
        </ext>
      </extLst>
    </bk>
    <bk>
      <extLst>
        <ext uri="{3e2802c4-a4d2-4d8b-9148-e3be6c30e623}">
          <xlrd:rvb i="7909"/>
        </ext>
      </extLst>
    </bk>
    <bk>
      <extLst>
        <ext uri="{3e2802c4-a4d2-4d8b-9148-e3be6c30e623}">
          <xlrd:rvb i="7910"/>
        </ext>
      </extLst>
    </bk>
    <bk>
      <extLst>
        <ext uri="{3e2802c4-a4d2-4d8b-9148-e3be6c30e623}">
          <xlrd:rvb i="7911"/>
        </ext>
      </extLst>
    </bk>
    <bk>
      <extLst>
        <ext uri="{3e2802c4-a4d2-4d8b-9148-e3be6c30e623}">
          <xlrd:rvb i="7912"/>
        </ext>
      </extLst>
    </bk>
    <bk>
      <extLst>
        <ext uri="{3e2802c4-a4d2-4d8b-9148-e3be6c30e623}">
          <xlrd:rvb i="7913"/>
        </ext>
      </extLst>
    </bk>
    <bk>
      <extLst>
        <ext uri="{3e2802c4-a4d2-4d8b-9148-e3be6c30e623}">
          <xlrd:rvb i="7914"/>
        </ext>
      </extLst>
    </bk>
    <bk>
      <extLst>
        <ext uri="{3e2802c4-a4d2-4d8b-9148-e3be6c30e623}">
          <xlrd:rvb i="7915"/>
        </ext>
      </extLst>
    </bk>
    <bk>
      <extLst>
        <ext uri="{3e2802c4-a4d2-4d8b-9148-e3be6c30e623}">
          <xlrd:rvb i="7916"/>
        </ext>
      </extLst>
    </bk>
    <bk>
      <extLst>
        <ext uri="{3e2802c4-a4d2-4d8b-9148-e3be6c30e623}">
          <xlrd:rvb i="7917"/>
        </ext>
      </extLst>
    </bk>
    <bk>
      <extLst>
        <ext uri="{3e2802c4-a4d2-4d8b-9148-e3be6c30e623}">
          <xlrd:rvb i="7918"/>
        </ext>
      </extLst>
    </bk>
    <bk>
      <extLst>
        <ext uri="{3e2802c4-a4d2-4d8b-9148-e3be6c30e623}">
          <xlrd:rvb i="7919"/>
        </ext>
      </extLst>
    </bk>
    <bk>
      <extLst>
        <ext uri="{3e2802c4-a4d2-4d8b-9148-e3be6c30e623}">
          <xlrd:rvb i="7920"/>
        </ext>
      </extLst>
    </bk>
    <bk>
      <extLst>
        <ext uri="{3e2802c4-a4d2-4d8b-9148-e3be6c30e623}">
          <xlrd:rvb i="7921"/>
        </ext>
      </extLst>
    </bk>
    <bk>
      <extLst>
        <ext uri="{3e2802c4-a4d2-4d8b-9148-e3be6c30e623}">
          <xlrd:rvb i="7922"/>
        </ext>
      </extLst>
    </bk>
    <bk>
      <extLst>
        <ext uri="{3e2802c4-a4d2-4d8b-9148-e3be6c30e623}">
          <xlrd:rvb i="7923"/>
        </ext>
      </extLst>
    </bk>
    <bk>
      <extLst>
        <ext uri="{3e2802c4-a4d2-4d8b-9148-e3be6c30e623}">
          <xlrd:rvb i="7924"/>
        </ext>
      </extLst>
    </bk>
    <bk>
      <extLst>
        <ext uri="{3e2802c4-a4d2-4d8b-9148-e3be6c30e623}">
          <xlrd:rvb i="7925"/>
        </ext>
      </extLst>
    </bk>
    <bk>
      <extLst>
        <ext uri="{3e2802c4-a4d2-4d8b-9148-e3be6c30e623}">
          <xlrd:rvb i="7926"/>
        </ext>
      </extLst>
    </bk>
    <bk>
      <extLst>
        <ext uri="{3e2802c4-a4d2-4d8b-9148-e3be6c30e623}">
          <xlrd:rvb i="7927"/>
        </ext>
      </extLst>
    </bk>
    <bk>
      <extLst>
        <ext uri="{3e2802c4-a4d2-4d8b-9148-e3be6c30e623}">
          <xlrd:rvb i="7928"/>
        </ext>
      </extLst>
    </bk>
    <bk>
      <extLst>
        <ext uri="{3e2802c4-a4d2-4d8b-9148-e3be6c30e623}">
          <xlrd:rvb i="7929"/>
        </ext>
      </extLst>
    </bk>
    <bk>
      <extLst>
        <ext uri="{3e2802c4-a4d2-4d8b-9148-e3be6c30e623}">
          <xlrd:rvb i="7930"/>
        </ext>
      </extLst>
    </bk>
    <bk>
      <extLst>
        <ext uri="{3e2802c4-a4d2-4d8b-9148-e3be6c30e623}">
          <xlrd:rvb i="7931"/>
        </ext>
      </extLst>
    </bk>
    <bk>
      <extLst>
        <ext uri="{3e2802c4-a4d2-4d8b-9148-e3be6c30e623}">
          <xlrd:rvb i="7932"/>
        </ext>
      </extLst>
    </bk>
    <bk>
      <extLst>
        <ext uri="{3e2802c4-a4d2-4d8b-9148-e3be6c30e623}">
          <xlrd:rvb i="7933"/>
        </ext>
      </extLst>
    </bk>
    <bk>
      <extLst>
        <ext uri="{3e2802c4-a4d2-4d8b-9148-e3be6c30e623}">
          <xlrd:rvb i="7934"/>
        </ext>
      </extLst>
    </bk>
    <bk>
      <extLst>
        <ext uri="{3e2802c4-a4d2-4d8b-9148-e3be6c30e623}">
          <xlrd:rvb i="7935"/>
        </ext>
      </extLst>
    </bk>
    <bk>
      <extLst>
        <ext uri="{3e2802c4-a4d2-4d8b-9148-e3be6c30e623}">
          <xlrd:rvb i="7936"/>
        </ext>
      </extLst>
    </bk>
    <bk>
      <extLst>
        <ext uri="{3e2802c4-a4d2-4d8b-9148-e3be6c30e623}">
          <xlrd:rvb i="7937"/>
        </ext>
      </extLst>
    </bk>
    <bk>
      <extLst>
        <ext uri="{3e2802c4-a4d2-4d8b-9148-e3be6c30e623}">
          <xlrd:rvb i="7938"/>
        </ext>
      </extLst>
    </bk>
    <bk>
      <extLst>
        <ext uri="{3e2802c4-a4d2-4d8b-9148-e3be6c30e623}">
          <xlrd:rvb i="7939"/>
        </ext>
      </extLst>
    </bk>
    <bk>
      <extLst>
        <ext uri="{3e2802c4-a4d2-4d8b-9148-e3be6c30e623}">
          <xlrd:rvb i="7940"/>
        </ext>
      </extLst>
    </bk>
    <bk>
      <extLst>
        <ext uri="{3e2802c4-a4d2-4d8b-9148-e3be6c30e623}">
          <xlrd:rvb i="7941"/>
        </ext>
      </extLst>
    </bk>
    <bk>
      <extLst>
        <ext uri="{3e2802c4-a4d2-4d8b-9148-e3be6c30e623}">
          <xlrd:rvb i="7942"/>
        </ext>
      </extLst>
    </bk>
    <bk>
      <extLst>
        <ext uri="{3e2802c4-a4d2-4d8b-9148-e3be6c30e623}">
          <xlrd:rvb i="7943"/>
        </ext>
      </extLst>
    </bk>
    <bk>
      <extLst>
        <ext uri="{3e2802c4-a4d2-4d8b-9148-e3be6c30e623}">
          <xlrd:rvb i="7944"/>
        </ext>
      </extLst>
    </bk>
    <bk>
      <extLst>
        <ext uri="{3e2802c4-a4d2-4d8b-9148-e3be6c30e623}">
          <xlrd:rvb i="7945"/>
        </ext>
      </extLst>
    </bk>
    <bk>
      <extLst>
        <ext uri="{3e2802c4-a4d2-4d8b-9148-e3be6c30e623}">
          <xlrd:rvb i="7946"/>
        </ext>
      </extLst>
    </bk>
    <bk>
      <extLst>
        <ext uri="{3e2802c4-a4d2-4d8b-9148-e3be6c30e623}">
          <xlrd:rvb i="7947"/>
        </ext>
      </extLst>
    </bk>
    <bk>
      <extLst>
        <ext uri="{3e2802c4-a4d2-4d8b-9148-e3be6c30e623}">
          <xlrd:rvb i="7948"/>
        </ext>
      </extLst>
    </bk>
    <bk>
      <extLst>
        <ext uri="{3e2802c4-a4d2-4d8b-9148-e3be6c30e623}">
          <xlrd:rvb i="7949"/>
        </ext>
      </extLst>
    </bk>
    <bk>
      <extLst>
        <ext uri="{3e2802c4-a4d2-4d8b-9148-e3be6c30e623}">
          <xlrd:rvb i="7950"/>
        </ext>
      </extLst>
    </bk>
    <bk>
      <extLst>
        <ext uri="{3e2802c4-a4d2-4d8b-9148-e3be6c30e623}">
          <xlrd:rvb i="7951"/>
        </ext>
      </extLst>
    </bk>
    <bk>
      <extLst>
        <ext uri="{3e2802c4-a4d2-4d8b-9148-e3be6c30e623}">
          <xlrd:rvb i="7952"/>
        </ext>
      </extLst>
    </bk>
    <bk>
      <extLst>
        <ext uri="{3e2802c4-a4d2-4d8b-9148-e3be6c30e623}">
          <xlrd:rvb i="7953"/>
        </ext>
      </extLst>
    </bk>
    <bk>
      <extLst>
        <ext uri="{3e2802c4-a4d2-4d8b-9148-e3be6c30e623}">
          <xlrd:rvb i="7954"/>
        </ext>
      </extLst>
    </bk>
    <bk>
      <extLst>
        <ext uri="{3e2802c4-a4d2-4d8b-9148-e3be6c30e623}">
          <xlrd:rvb i="7955"/>
        </ext>
      </extLst>
    </bk>
    <bk>
      <extLst>
        <ext uri="{3e2802c4-a4d2-4d8b-9148-e3be6c30e623}">
          <xlrd:rvb i="7956"/>
        </ext>
      </extLst>
    </bk>
    <bk>
      <extLst>
        <ext uri="{3e2802c4-a4d2-4d8b-9148-e3be6c30e623}">
          <xlrd:rvb i="7957"/>
        </ext>
      </extLst>
    </bk>
    <bk>
      <extLst>
        <ext uri="{3e2802c4-a4d2-4d8b-9148-e3be6c30e623}">
          <xlrd:rvb i="7958"/>
        </ext>
      </extLst>
    </bk>
    <bk>
      <extLst>
        <ext uri="{3e2802c4-a4d2-4d8b-9148-e3be6c30e623}">
          <xlrd:rvb i="7959"/>
        </ext>
      </extLst>
    </bk>
    <bk>
      <extLst>
        <ext uri="{3e2802c4-a4d2-4d8b-9148-e3be6c30e623}">
          <xlrd:rvb i="7960"/>
        </ext>
      </extLst>
    </bk>
    <bk>
      <extLst>
        <ext uri="{3e2802c4-a4d2-4d8b-9148-e3be6c30e623}">
          <xlrd:rvb i="7961"/>
        </ext>
      </extLst>
    </bk>
    <bk>
      <extLst>
        <ext uri="{3e2802c4-a4d2-4d8b-9148-e3be6c30e623}">
          <xlrd:rvb i="7962"/>
        </ext>
      </extLst>
    </bk>
    <bk>
      <extLst>
        <ext uri="{3e2802c4-a4d2-4d8b-9148-e3be6c30e623}">
          <xlrd:rvb i="7963"/>
        </ext>
      </extLst>
    </bk>
    <bk>
      <extLst>
        <ext uri="{3e2802c4-a4d2-4d8b-9148-e3be6c30e623}">
          <xlrd:rvb i="7964"/>
        </ext>
      </extLst>
    </bk>
    <bk>
      <extLst>
        <ext uri="{3e2802c4-a4d2-4d8b-9148-e3be6c30e623}">
          <xlrd:rvb i="7965"/>
        </ext>
      </extLst>
    </bk>
    <bk>
      <extLst>
        <ext uri="{3e2802c4-a4d2-4d8b-9148-e3be6c30e623}">
          <xlrd:rvb i="7966"/>
        </ext>
      </extLst>
    </bk>
    <bk>
      <extLst>
        <ext uri="{3e2802c4-a4d2-4d8b-9148-e3be6c30e623}">
          <xlrd:rvb i="7967"/>
        </ext>
      </extLst>
    </bk>
    <bk>
      <extLst>
        <ext uri="{3e2802c4-a4d2-4d8b-9148-e3be6c30e623}">
          <xlrd:rvb i="7968"/>
        </ext>
      </extLst>
    </bk>
    <bk>
      <extLst>
        <ext uri="{3e2802c4-a4d2-4d8b-9148-e3be6c30e623}">
          <xlrd:rvb i="7969"/>
        </ext>
      </extLst>
    </bk>
    <bk>
      <extLst>
        <ext uri="{3e2802c4-a4d2-4d8b-9148-e3be6c30e623}">
          <xlrd:rvb i="7970"/>
        </ext>
      </extLst>
    </bk>
    <bk>
      <extLst>
        <ext uri="{3e2802c4-a4d2-4d8b-9148-e3be6c30e623}">
          <xlrd:rvb i="7971"/>
        </ext>
      </extLst>
    </bk>
    <bk>
      <extLst>
        <ext uri="{3e2802c4-a4d2-4d8b-9148-e3be6c30e623}">
          <xlrd:rvb i="7972"/>
        </ext>
      </extLst>
    </bk>
    <bk>
      <extLst>
        <ext uri="{3e2802c4-a4d2-4d8b-9148-e3be6c30e623}">
          <xlrd:rvb i="7973"/>
        </ext>
      </extLst>
    </bk>
    <bk>
      <extLst>
        <ext uri="{3e2802c4-a4d2-4d8b-9148-e3be6c30e623}">
          <xlrd:rvb i="7974"/>
        </ext>
      </extLst>
    </bk>
    <bk>
      <extLst>
        <ext uri="{3e2802c4-a4d2-4d8b-9148-e3be6c30e623}">
          <xlrd:rvb i="7975"/>
        </ext>
      </extLst>
    </bk>
    <bk>
      <extLst>
        <ext uri="{3e2802c4-a4d2-4d8b-9148-e3be6c30e623}">
          <xlrd:rvb i="7976"/>
        </ext>
      </extLst>
    </bk>
    <bk>
      <extLst>
        <ext uri="{3e2802c4-a4d2-4d8b-9148-e3be6c30e623}">
          <xlrd:rvb i="7977"/>
        </ext>
      </extLst>
    </bk>
    <bk>
      <extLst>
        <ext uri="{3e2802c4-a4d2-4d8b-9148-e3be6c30e623}">
          <xlrd:rvb i="7978"/>
        </ext>
      </extLst>
    </bk>
    <bk>
      <extLst>
        <ext uri="{3e2802c4-a4d2-4d8b-9148-e3be6c30e623}">
          <xlrd:rvb i="7979"/>
        </ext>
      </extLst>
    </bk>
    <bk>
      <extLst>
        <ext uri="{3e2802c4-a4d2-4d8b-9148-e3be6c30e623}">
          <xlrd:rvb i="7980"/>
        </ext>
      </extLst>
    </bk>
    <bk>
      <extLst>
        <ext uri="{3e2802c4-a4d2-4d8b-9148-e3be6c30e623}">
          <xlrd:rvb i="7981"/>
        </ext>
      </extLst>
    </bk>
    <bk>
      <extLst>
        <ext uri="{3e2802c4-a4d2-4d8b-9148-e3be6c30e623}">
          <xlrd:rvb i="7982"/>
        </ext>
      </extLst>
    </bk>
    <bk>
      <extLst>
        <ext uri="{3e2802c4-a4d2-4d8b-9148-e3be6c30e623}">
          <xlrd:rvb i="7983"/>
        </ext>
      </extLst>
    </bk>
    <bk>
      <extLst>
        <ext uri="{3e2802c4-a4d2-4d8b-9148-e3be6c30e623}">
          <xlrd:rvb i="7984"/>
        </ext>
      </extLst>
    </bk>
    <bk>
      <extLst>
        <ext uri="{3e2802c4-a4d2-4d8b-9148-e3be6c30e623}">
          <xlrd:rvb i="7985"/>
        </ext>
      </extLst>
    </bk>
    <bk>
      <extLst>
        <ext uri="{3e2802c4-a4d2-4d8b-9148-e3be6c30e623}">
          <xlrd:rvb i="7986"/>
        </ext>
      </extLst>
    </bk>
    <bk>
      <extLst>
        <ext uri="{3e2802c4-a4d2-4d8b-9148-e3be6c30e623}">
          <xlrd:rvb i="7987"/>
        </ext>
      </extLst>
    </bk>
    <bk>
      <extLst>
        <ext uri="{3e2802c4-a4d2-4d8b-9148-e3be6c30e623}">
          <xlrd:rvb i="7988"/>
        </ext>
      </extLst>
    </bk>
    <bk>
      <extLst>
        <ext uri="{3e2802c4-a4d2-4d8b-9148-e3be6c30e623}">
          <xlrd:rvb i="7989"/>
        </ext>
      </extLst>
    </bk>
    <bk>
      <extLst>
        <ext uri="{3e2802c4-a4d2-4d8b-9148-e3be6c30e623}">
          <xlrd:rvb i="7990"/>
        </ext>
      </extLst>
    </bk>
    <bk>
      <extLst>
        <ext uri="{3e2802c4-a4d2-4d8b-9148-e3be6c30e623}">
          <xlrd:rvb i="7991"/>
        </ext>
      </extLst>
    </bk>
    <bk>
      <extLst>
        <ext uri="{3e2802c4-a4d2-4d8b-9148-e3be6c30e623}">
          <xlrd:rvb i="7992"/>
        </ext>
      </extLst>
    </bk>
    <bk>
      <extLst>
        <ext uri="{3e2802c4-a4d2-4d8b-9148-e3be6c30e623}">
          <xlrd:rvb i="7993"/>
        </ext>
      </extLst>
    </bk>
    <bk>
      <extLst>
        <ext uri="{3e2802c4-a4d2-4d8b-9148-e3be6c30e623}">
          <xlrd:rvb i="7994"/>
        </ext>
      </extLst>
    </bk>
    <bk>
      <extLst>
        <ext uri="{3e2802c4-a4d2-4d8b-9148-e3be6c30e623}">
          <xlrd:rvb i="7995"/>
        </ext>
      </extLst>
    </bk>
    <bk>
      <extLst>
        <ext uri="{3e2802c4-a4d2-4d8b-9148-e3be6c30e623}">
          <xlrd:rvb i="7996"/>
        </ext>
      </extLst>
    </bk>
    <bk>
      <extLst>
        <ext uri="{3e2802c4-a4d2-4d8b-9148-e3be6c30e623}">
          <xlrd:rvb i="7997"/>
        </ext>
      </extLst>
    </bk>
    <bk>
      <extLst>
        <ext uri="{3e2802c4-a4d2-4d8b-9148-e3be6c30e623}">
          <xlrd:rvb i="7998"/>
        </ext>
      </extLst>
    </bk>
    <bk>
      <extLst>
        <ext uri="{3e2802c4-a4d2-4d8b-9148-e3be6c30e623}">
          <xlrd:rvb i="7999"/>
        </ext>
      </extLst>
    </bk>
    <bk>
      <extLst>
        <ext uri="{3e2802c4-a4d2-4d8b-9148-e3be6c30e623}">
          <xlrd:rvb i="8000"/>
        </ext>
      </extLst>
    </bk>
    <bk>
      <extLst>
        <ext uri="{3e2802c4-a4d2-4d8b-9148-e3be6c30e623}">
          <xlrd:rvb i="8001"/>
        </ext>
      </extLst>
    </bk>
    <bk>
      <extLst>
        <ext uri="{3e2802c4-a4d2-4d8b-9148-e3be6c30e623}">
          <xlrd:rvb i="8002"/>
        </ext>
      </extLst>
    </bk>
    <bk>
      <extLst>
        <ext uri="{3e2802c4-a4d2-4d8b-9148-e3be6c30e623}">
          <xlrd:rvb i="8003"/>
        </ext>
      </extLst>
    </bk>
    <bk>
      <extLst>
        <ext uri="{3e2802c4-a4d2-4d8b-9148-e3be6c30e623}">
          <xlrd:rvb i="8004"/>
        </ext>
      </extLst>
    </bk>
    <bk>
      <extLst>
        <ext uri="{3e2802c4-a4d2-4d8b-9148-e3be6c30e623}">
          <xlrd:rvb i="8005"/>
        </ext>
      </extLst>
    </bk>
    <bk>
      <extLst>
        <ext uri="{3e2802c4-a4d2-4d8b-9148-e3be6c30e623}">
          <xlrd:rvb i="8006"/>
        </ext>
      </extLst>
    </bk>
    <bk>
      <extLst>
        <ext uri="{3e2802c4-a4d2-4d8b-9148-e3be6c30e623}">
          <xlrd:rvb i="8007"/>
        </ext>
      </extLst>
    </bk>
    <bk>
      <extLst>
        <ext uri="{3e2802c4-a4d2-4d8b-9148-e3be6c30e623}">
          <xlrd:rvb i="8008"/>
        </ext>
      </extLst>
    </bk>
    <bk>
      <extLst>
        <ext uri="{3e2802c4-a4d2-4d8b-9148-e3be6c30e623}">
          <xlrd:rvb i="8009"/>
        </ext>
      </extLst>
    </bk>
    <bk>
      <extLst>
        <ext uri="{3e2802c4-a4d2-4d8b-9148-e3be6c30e623}">
          <xlrd:rvb i="8010"/>
        </ext>
      </extLst>
    </bk>
    <bk>
      <extLst>
        <ext uri="{3e2802c4-a4d2-4d8b-9148-e3be6c30e623}">
          <xlrd:rvb i="8011"/>
        </ext>
      </extLst>
    </bk>
    <bk>
      <extLst>
        <ext uri="{3e2802c4-a4d2-4d8b-9148-e3be6c30e623}">
          <xlrd:rvb i="8012"/>
        </ext>
      </extLst>
    </bk>
    <bk>
      <extLst>
        <ext uri="{3e2802c4-a4d2-4d8b-9148-e3be6c30e623}">
          <xlrd:rvb i="8013"/>
        </ext>
      </extLst>
    </bk>
    <bk>
      <extLst>
        <ext uri="{3e2802c4-a4d2-4d8b-9148-e3be6c30e623}">
          <xlrd:rvb i="8014"/>
        </ext>
      </extLst>
    </bk>
    <bk>
      <extLst>
        <ext uri="{3e2802c4-a4d2-4d8b-9148-e3be6c30e623}">
          <xlrd:rvb i="8015"/>
        </ext>
      </extLst>
    </bk>
    <bk>
      <extLst>
        <ext uri="{3e2802c4-a4d2-4d8b-9148-e3be6c30e623}">
          <xlrd:rvb i="8016"/>
        </ext>
      </extLst>
    </bk>
    <bk>
      <extLst>
        <ext uri="{3e2802c4-a4d2-4d8b-9148-e3be6c30e623}">
          <xlrd:rvb i="8017"/>
        </ext>
      </extLst>
    </bk>
    <bk>
      <extLst>
        <ext uri="{3e2802c4-a4d2-4d8b-9148-e3be6c30e623}">
          <xlrd:rvb i="8018"/>
        </ext>
      </extLst>
    </bk>
    <bk>
      <extLst>
        <ext uri="{3e2802c4-a4d2-4d8b-9148-e3be6c30e623}">
          <xlrd:rvb i="8019"/>
        </ext>
      </extLst>
    </bk>
    <bk>
      <extLst>
        <ext uri="{3e2802c4-a4d2-4d8b-9148-e3be6c30e623}">
          <xlrd:rvb i="8020"/>
        </ext>
      </extLst>
    </bk>
    <bk>
      <extLst>
        <ext uri="{3e2802c4-a4d2-4d8b-9148-e3be6c30e623}">
          <xlrd:rvb i="8021"/>
        </ext>
      </extLst>
    </bk>
    <bk>
      <extLst>
        <ext uri="{3e2802c4-a4d2-4d8b-9148-e3be6c30e623}">
          <xlrd:rvb i="8022"/>
        </ext>
      </extLst>
    </bk>
    <bk>
      <extLst>
        <ext uri="{3e2802c4-a4d2-4d8b-9148-e3be6c30e623}">
          <xlrd:rvb i="8023"/>
        </ext>
      </extLst>
    </bk>
    <bk>
      <extLst>
        <ext uri="{3e2802c4-a4d2-4d8b-9148-e3be6c30e623}">
          <xlrd:rvb i="8024"/>
        </ext>
      </extLst>
    </bk>
    <bk>
      <extLst>
        <ext uri="{3e2802c4-a4d2-4d8b-9148-e3be6c30e623}">
          <xlrd:rvb i="8025"/>
        </ext>
      </extLst>
    </bk>
    <bk>
      <extLst>
        <ext uri="{3e2802c4-a4d2-4d8b-9148-e3be6c30e623}">
          <xlrd:rvb i="8026"/>
        </ext>
      </extLst>
    </bk>
    <bk>
      <extLst>
        <ext uri="{3e2802c4-a4d2-4d8b-9148-e3be6c30e623}">
          <xlrd:rvb i="8027"/>
        </ext>
      </extLst>
    </bk>
    <bk>
      <extLst>
        <ext uri="{3e2802c4-a4d2-4d8b-9148-e3be6c30e623}">
          <xlrd:rvb i="8028"/>
        </ext>
      </extLst>
    </bk>
    <bk>
      <extLst>
        <ext uri="{3e2802c4-a4d2-4d8b-9148-e3be6c30e623}">
          <xlrd:rvb i="8029"/>
        </ext>
      </extLst>
    </bk>
    <bk>
      <extLst>
        <ext uri="{3e2802c4-a4d2-4d8b-9148-e3be6c30e623}">
          <xlrd:rvb i="8030"/>
        </ext>
      </extLst>
    </bk>
    <bk>
      <extLst>
        <ext uri="{3e2802c4-a4d2-4d8b-9148-e3be6c30e623}">
          <xlrd:rvb i="8031"/>
        </ext>
      </extLst>
    </bk>
    <bk>
      <extLst>
        <ext uri="{3e2802c4-a4d2-4d8b-9148-e3be6c30e623}">
          <xlrd:rvb i="8032"/>
        </ext>
      </extLst>
    </bk>
    <bk>
      <extLst>
        <ext uri="{3e2802c4-a4d2-4d8b-9148-e3be6c30e623}">
          <xlrd:rvb i="8033"/>
        </ext>
      </extLst>
    </bk>
    <bk>
      <extLst>
        <ext uri="{3e2802c4-a4d2-4d8b-9148-e3be6c30e623}">
          <xlrd:rvb i="8034"/>
        </ext>
      </extLst>
    </bk>
    <bk>
      <extLst>
        <ext uri="{3e2802c4-a4d2-4d8b-9148-e3be6c30e623}">
          <xlrd:rvb i="8035"/>
        </ext>
      </extLst>
    </bk>
    <bk>
      <extLst>
        <ext uri="{3e2802c4-a4d2-4d8b-9148-e3be6c30e623}">
          <xlrd:rvb i="8036"/>
        </ext>
      </extLst>
    </bk>
    <bk>
      <extLst>
        <ext uri="{3e2802c4-a4d2-4d8b-9148-e3be6c30e623}">
          <xlrd:rvb i="8037"/>
        </ext>
      </extLst>
    </bk>
    <bk>
      <extLst>
        <ext uri="{3e2802c4-a4d2-4d8b-9148-e3be6c30e623}">
          <xlrd:rvb i="8038"/>
        </ext>
      </extLst>
    </bk>
    <bk>
      <extLst>
        <ext uri="{3e2802c4-a4d2-4d8b-9148-e3be6c30e623}">
          <xlrd:rvb i="8039"/>
        </ext>
      </extLst>
    </bk>
    <bk>
      <extLst>
        <ext uri="{3e2802c4-a4d2-4d8b-9148-e3be6c30e623}">
          <xlrd:rvb i="8040"/>
        </ext>
      </extLst>
    </bk>
    <bk>
      <extLst>
        <ext uri="{3e2802c4-a4d2-4d8b-9148-e3be6c30e623}">
          <xlrd:rvb i="8041"/>
        </ext>
      </extLst>
    </bk>
    <bk>
      <extLst>
        <ext uri="{3e2802c4-a4d2-4d8b-9148-e3be6c30e623}">
          <xlrd:rvb i="8042"/>
        </ext>
      </extLst>
    </bk>
    <bk>
      <extLst>
        <ext uri="{3e2802c4-a4d2-4d8b-9148-e3be6c30e623}">
          <xlrd:rvb i="8043"/>
        </ext>
      </extLst>
    </bk>
    <bk>
      <extLst>
        <ext uri="{3e2802c4-a4d2-4d8b-9148-e3be6c30e623}">
          <xlrd:rvb i="8044"/>
        </ext>
      </extLst>
    </bk>
    <bk>
      <extLst>
        <ext uri="{3e2802c4-a4d2-4d8b-9148-e3be6c30e623}">
          <xlrd:rvb i="8045"/>
        </ext>
      </extLst>
    </bk>
    <bk>
      <extLst>
        <ext uri="{3e2802c4-a4d2-4d8b-9148-e3be6c30e623}">
          <xlrd:rvb i="8046"/>
        </ext>
      </extLst>
    </bk>
    <bk>
      <extLst>
        <ext uri="{3e2802c4-a4d2-4d8b-9148-e3be6c30e623}">
          <xlrd:rvb i="8047"/>
        </ext>
      </extLst>
    </bk>
    <bk>
      <extLst>
        <ext uri="{3e2802c4-a4d2-4d8b-9148-e3be6c30e623}">
          <xlrd:rvb i="8048"/>
        </ext>
      </extLst>
    </bk>
    <bk>
      <extLst>
        <ext uri="{3e2802c4-a4d2-4d8b-9148-e3be6c30e623}">
          <xlrd:rvb i="8049"/>
        </ext>
      </extLst>
    </bk>
    <bk>
      <extLst>
        <ext uri="{3e2802c4-a4d2-4d8b-9148-e3be6c30e623}">
          <xlrd:rvb i="8050"/>
        </ext>
      </extLst>
    </bk>
    <bk>
      <extLst>
        <ext uri="{3e2802c4-a4d2-4d8b-9148-e3be6c30e623}">
          <xlrd:rvb i="8051"/>
        </ext>
      </extLst>
    </bk>
    <bk>
      <extLst>
        <ext uri="{3e2802c4-a4d2-4d8b-9148-e3be6c30e623}">
          <xlrd:rvb i="8052"/>
        </ext>
      </extLst>
    </bk>
    <bk>
      <extLst>
        <ext uri="{3e2802c4-a4d2-4d8b-9148-e3be6c30e623}">
          <xlrd:rvb i="8053"/>
        </ext>
      </extLst>
    </bk>
    <bk>
      <extLst>
        <ext uri="{3e2802c4-a4d2-4d8b-9148-e3be6c30e623}">
          <xlrd:rvb i="8054"/>
        </ext>
      </extLst>
    </bk>
    <bk>
      <extLst>
        <ext uri="{3e2802c4-a4d2-4d8b-9148-e3be6c30e623}">
          <xlrd:rvb i="8055"/>
        </ext>
      </extLst>
    </bk>
    <bk>
      <extLst>
        <ext uri="{3e2802c4-a4d2-4d8b-9148-e3be6c30e623}">
          <xlrd:rvb i="8056"/>
        </ext>
      </extLst>
    </bk>
    <bk>
      <extLst>
        <ext uri="{3e2802c4-a4d2-4d8b-9148-e3be6c30e623}">
          <xlrd:rvb i="8057"/>
        </ext>
      </extLst>
    </bk>
    <bk>
      <extLst>
        <ext uri="{3e2802c4-a4d2-4d8b-9148-e3be6c30e623}">
          <xlrd:rvb i="8058"/>
        </ext>
      </extLst>
    </bk>
    <bk>
      <extLst>
        <ext uri="{3e2802c4-a4d2-4d8b-9148-e3be6c30e623}">
          <xlrd:rvb i="8059"/>
        </ext>
      </extLst>
    </bk>
    <bk>
      <extLst>
        <ext uri="{3e2802c4-a4d2-4d8b-9148-e3be6c30e623}">
          <xlrd:rvb i="8060"/>
        </ext>
      </extLst>
    </bk>
    <bk>
      <extLst>
        <ext uri="{3e2802c4-a4d2-4d8b-9148-e3be6c30e623}">
          <xlrd:rvb i="8061"/>
        </ext>
      </extLst>
    </bk>
    <bk>
      <extLst>
        <ext uri="{3e2802c4-a4d2-4d8b-9148-e3be6c30e623}">
          <xlrd:rvb i="8062"/>
        </ext>
      </extLst>
    </bk>
    <bk>
      <extLst>
        <ext uri="{3e2802c4-a4d2-4d8b-9148-e3be6c30e623}">
          <xlrd:rvb i="8063"/>
        </ext>
      </extLst>
    </bk>
    <bk>
      <extLst>
        <ext uri="{3e2802c4-a4d2-4d8b-9148-e3be6c30e623}">
          <xlrd:rvb i="8064"/>
        </ext>
      </extLst>
    </bk>
    <bk>
      <extLst>
        <ext uri="{3e2802c4-a4d2-4d8b-9148-e3be6c30e623}">
          <xlrd:rvb i="8065"/>
        </ext>
      </extLst>
    </bk>
    <bk>
      <extLst>
        <ext uri="{3e2802c4-a4d2-4d8b-9148-e3be6c30e623}">
          <xlrd:rvb i="8066"/>
        </ext>
      </extLst>
    </bk>
    <bk>
      <extLst>
        <ext uri="{3e2802c4-a4d2-4d8b-9148-e3be6c30e623}">
          <xlrd:rvb i="8067"/>
        </ext>
      </extLst>
    </bk>
    <bk>
      <extLst>
        <ext uri="{3e2802c4-a4d2-4d8b-9148-e3be6c30e623}">
          <xlrd:rvb i="8068"/>
        </ext>
      </extLst>
    </bk>
    <bk>
      <extLst>
        <ext uri="{3e2802c4-a4d2-4d8b-9148-e3be6c30e623}">
          <xlrd:rvb i="8069"/>
        </ext>
      </extLst>
    </bk>
    <bk>
      <extLst>
        <ext uri="{3e2802c4-a4d2-4d8b-9148-e3be6c30e623}">
          <xlrd:rvb i="8070"/>
        </ext>
      </extLst>
    </bk>
    <bk>
      <extLst>
        <ext uri="{3e2802c4-a4d2-4d8b-9148-e3be6c30e623}">
          <xlrd:rvb i="8071"/>
        </ext>
      </extLst>
    </bk>
    <bk>
      <extLst>
        <ext uri="{3e2802c4-a4d2-4d8b-9148-e3be6c30e623}">
          <xlrd:rvb i="8072"/>
        </ext>
      </extLst>
    </bk>
    <bk>
      <extLst>
        <ext uri="{3e2802c4-a4d2-4d8b-9148-e3be6c30e623}">
          <xlrd:rvb i="8073"/>
        </ext>
      </extLst>
    </bk>
    <bk>
      <extLst>
        <ext uri="{3e2802c4-a4d2-4d8b-9148-e3be6c30e623}">
          <xlrd:rvb i="8074"/>
        </ext>
      </extLst>
    </bk>
    <bk>
      <extLst>
        <ext uri="{3e2802c4-a4d2-4d8b-9148-e3be6c30e623}">
          <xlrd:rvb i="8075"/>
        </ext>
      </extLst>
    </bk>
    <bk>
      <extLst>
        <ext uri="{3e2802c4-a4d2-4d8b-9148-e3be6c30e623}">
          <xlrd:rvb i="8076"/>
        </ext>
      </extLst>
    </bk>
    <bk>
      <extLst>
        <ext uri="{3e2802c4-a4d2-4d8b-9148-e3be6c30e623}">
          <xlrd:rvb i="8077"/>
        </ext>
      </extLst>
    </bk>
    <bk>
      <extLst>
        <ext uri="{3e2802c4-a4d2-4d8b-9148-e3be6c30e623}">
          <xlrd:rvb i="8078"/>
        </ext>
      </extLst>
    </bk>
    <bk>
      <extLst>
        <ext uri="{3e2802c4-a4d2-4d8b-9148-e3be6c30e623}">
          <xlrd:rvb i="8079"/>
        </ext>
      </extLst>
    </bk>
    <bk>
      <extLst>
        <ext uri="{3e2802c4-a4d2-4d8b-9148-e3be6c30e623}">
          <xlrd:rvb i="8080"/>
        </ext>
      </extLst>
    </bk>
    <bk>
      <extLst>
        <ext uri="{3e2802c4-a4d2-4d8b-9148-e3be6c30e623}">
          <xlrd:rvb i="8081"/>
        </ext>
      </extLst>
    </bk>
    <bk>
      <extLst>
        <ext uri="{3e2802c4-a4d2-4d8b-9148-e3be6c30e623}">
          <xlrd:rvb i="8082"/>
        </ext>
      </extLst>
    </bk>
    <bk>
      <extLst>
        <ext uri="{3e2802c4-a4d2-4d8b-9148-e3be6c30e623}">
          <xlrd:rvb i="8083"/>
        </ext>
      </extLst>
    </bk>
    <bk>
      <extLst>
        <ext uri="{3e2802c4-a4d2-4d8b-9148-e3be6c30e623}">
          <xlrd:rvb i="8084"/>
        </ext>
      </extLst>
    </bk>
    <bk>
      <extLst>
        <ext uri="{3e2802c4-a4d2-4d8b-9148-e3be6c30e623}">
          <xlrd:rvb i="8085"/>
        </ext>
      </extLst>
    </bk>
    <bk>
      <extLst>
        <ext uri="{3e2802c4-a4d2-4d8b-9148-e3be6c30e623}">
          <xlrd:rvb i="8086"/>
        </ext>
      </extLst>
    </bk>
    <bk>
      <extLst>
        <ext uri="{3e2802c4-a4d2-4d8b-9148-e3be6c30e623}">
          <xlrd:rvb i="8087"/>
        </ext>
      </extLst>
    </bk>
    <bk>
      <extLst>
        <ext uri="{3e2802c4-a4d2-4d8b-9148-e3be6c30e623}">
          <xlrd:rvb i="8088"/>
        </ext>
      </extLst>
    </bk>
    <bk>
      <extLst>
        <ext uri="{3e2802c4-a4d2-4d8b-9148-e3be6c30e623}">
          <xlrd:rvb i="8089"/>
        </ext>
      </extLst>
    </bk>
    <bk>
      <extLst>
        <ext uri="{3e2802c4-a4d2-4d8b-9148-e3be6c30e623}">
          <xlrd:rvb i="8090"/>
        </ext>
      </extLst>
    </bk>
    <bk>
      <extLst>
        <ext uri="{3e2802c4-a4d2-4d8b-9148-e3be6c30e623}">
          <xlrd:rvb i="8091"/>
        </ext>
      </extLst>
    </bk>
    <bk>
      <extLst>
        <ext uri="{3e2802c4-a4d2-4d8b-9148-e3be6c30e623}">
          <xlrd:rvb i="8092"/>
        </ext>
      </extLst>
    </bk>
    <bk>
      <extLst>
        <ext uri="{3e2802c4-a4d2-4d8b-9148-e3be6c30e623}">
          <xlrd:rvb i="8093"/>
        </ext>
      </extLst>
    </bk>
    <bk>
      <extLst>
        <ext uri="{3e2802c4-a4d2-4d8b-9148-e3be6c30e623}">
          <xlrd:rvb i="8094"/>
        </ext>
      </extLst>
    </bk>
    <bk>
      <extLst>
        <ext uri="{3e2802c4-a4d2-4d8b-9148-e3be6c30e623}">
          <xlrd:rvb i="8095"/>
        </ext>
      </extLst>
    </bk>
    <bk>
      <extLst>
        <ext uri="{3e2802c4-a4d2-4d8b-9148-e3be6c30e623}">
          <xlrd:rvb i="8096"/>
        </ext>
      </extLst>
    </bk>
    <bk>
      <extLst>
        <ext uri="{3e2802c4-a4d2-4d8b-9148-e3be6c30e623}">
          <xlrd:rvb i="8097"/>
        </ext>
      </extLst>
    </bk>
    <bk>
      <extLst>
        <ext uri="{3e2802c4-a4d2-4d8b-9148-e3be6c30e623}">
          <xlrd:rvb i="8098"/>
        </ext>
      </extLst>
    </bk>
    <bk>
      <extLst>
        <ext uri="{3e2802c4-a4d2-4d8b-9148-e3be6c30e623}">
          <xlrd:rvb i="8099"/>
        </ext>
      </extLst>
    </bk>
    <bk>
      <extLst>
        <ext uri="{3e2802c4-a4d2-4d8b-9148-e3be6c30e623}">
          <xlrd:rvb i="8100"/>
        </ext>
      </extLst>
    </bk>
    <bk>
      <extLst>
        <ext uri="{3e2802c4-a4d2-4d8b-9148-e3be6c30e623}">
          <xlrd:rvb i="8101"/>
        </ext>
      </extLst>
    </bk>
    <bk>
      <extLst>
        <ext uri="{3e2802c4-a4d2-4d8b-9148-e3be6c30e623}">
          <xlrd:rvb i="8102"/>
        </ext>
      </extLst>
    </bk>
    <bk>
      <extLst>
        <ext uri="{3e2802c4-a4d2-4d8b-9148-e3be6c30e623}">
          <xlrd:rvb i="8103"/>
        </ext>
      </extLst>
    </bk>
    <bk>
      <extLst>
        <ext uri="{3e2802c4-a4d2-4d8b-9148-e3be6c30e623}">
          <xlrd:rvb i="8104"/>
        </ext>
      </extLst>
    </bk>
    <bk>
      <extLst>
        <ext uri="{3e2802c4-a4d2-4d8b-9148-e3be6c30e623}">
          <xlrd:rvb i="8105"/>
        </ext>
      </extLst>
    </bk>
    <bk>
      <extLst>
        <ext uri="{3e2802c4-a4d2-4d8b-9148-e3be6c30e623}">
          <xlrd:rvb i="8106"/>
        </ext>
      </extLst>
    </bk>
    <bk>
      <extLst>
        <ext uri="{3e2802c4-a4d2-4d8b-9148-e3be6c30e623}">
          <xlrd:rvb i="8107"/>
        </ext>
      </extLst>
    </bk>
    <bk>
      <extLst>
        <ext uri="{3e2802c4-a4d2-4d8b-9148-e3be6c30e623}">
          <xlrd:rvb i="8108"/>
        </ext>
      </extLst>
    </bk>
    <bk>
      <extLst>
        <ext uri="{3e2802c4-a4d2-4d8b-9148-e3be6c30e623}">
          <xlrd:rvb i="8109"/>
        </ext>
      </extLst>
    </bk>
    <bk>
      <extLst>
        <ext uri="{3e2802c4-a4d2-4d8b-9148-e3be6c30e623}">
          <xlrd:rvb i="8110"/>
        </ext>
      </extLst>
    </bk>
    <bk>
      <extLst>
        <ext uri="{3e2802c4-a4d2-4d8b-9148-e3be6c30e623}">
          <xlrd:rvb i="8111"/>
        </ext>
      </extLst>
    </bk>
    <bk>
      <extLst>
        <ext uri="{3e2802c4-a4d2-4d8b-9148-e3be6c30e623}">
          <xlrd:rvb i="8112"/>
        </ext>
      </extLst>
    </bk>
    <bk>
      <extLst>
        <ext uri="{3e2802c4-a4d2-4d8b-9148-e3be6c30e623}">
          <xlrd:rvb i="8113"/>
        </ext>
      </extLst>
    </bk>
    <bk>
      <extLst>
        <ext uri="{3e2802c4-a4d2-4d8b-9148-e3be6c30e623}">
          <xlrd:rvb i="8114"/>
        </ext>
      </extLst>
    </bk>
    <bk>
      <extLst>
        <ext uri="{3e2802c4-a4d2-4d8b-9148-e3be6c30e623}">
          <xlrd:rvb i="8115"/>
        </ext>
      </extLst>
    </bk>
    <bk>
      <extLst>
        <ext uri="{3e2802c4-a4d2-4d8b-9148-e3be6c30e623}">
          <xlrd:rvb i="8116"/>
        </ext>
      </extLst>
    </bk>
    <bk>
      <extLst>
        <ext uri="{3e2802c4-a4d2-4d8b-9148-e3be6c30e623}">
          <xlrd:rvb i="8117"/>
        </ext>
      </extLst>
    </bk>
    <bk>
      <extLst>
        <ext uri="{3e2802c4-a4d2-4d8b-9148-e3be6c30e623}">
          <xlrd:rvb i="8118"/>
        </ext>
      </extLst>
    </bk>
    <bk>
      <extLst>
        <ext uri="{3e2802c4-a4d2-4d8b-9148-e3be6c30e623}">
          <xlrd:rvb i="8119"/>
        </ext>
      </extLst>
    </bk>
    <bk>
      <extLst>
        <ext uri="{3e2802c4-a4d2-4d8b-9148-e3be6c30e623}">
          <xlrd:rvb i="8120"/>
        </ext>
      </extLst>
    </bk>
    <bk>
      <extLst>
        <ext uri="{3e2802c4-a4d2-4d8b-9148-e3be6c30e623}">
          <xlrd:rvb i="8121"/>
        </ext>
      </extLst>
    </bk>
    <bk>
      <extLst>
        <ext uri="{3e2802c4-a4d2-4d8b-9148-e3be6c30e623}">
          <xlrd:rvb i="8122"/>
        </ext>
      </extLst>
    </bk>
    <bk>
      <extLst>
        <ext uri="{3e2802c4-a4d2-4d8b-9148-e3be6c30e623}">
          <xlrd:rvb i="8123"/>
        </ext>
      </extLst>
    </bk>
    <bk>
      <extLst>
        <ext uri="{3e2802c4-a4d2-4d8b-9148-e3be6c30e623}">
          <xlrd:rvb i="8124"/>
        </ext>
      </extLst>
    </bk>
    <bk>
      <extLst>
        <ext uri="{3e2802c4-a4d2-4d8b-9148-e3be6c30e623}">
          <xlrd:rvb i="8125"/>
        </ext>
      </extLst>
    </bk>
    <bk>
      <extLst>
        <ext uri="{3e2802c4-a4d2-4d8b-9148-e3be6c30e623}">
          <xlrd:rvb i="8126"/>
        </ext>
      </extLst>
    </bk>
    <bk>
      <extLst>
        <ext uri="{3e2802c4-a4d2-4d8b-9148-e3be6c30e623}">
          <xlrd:rvb i="8127"/>
        </ext>
      </extLst>
    </bk>
    <bk>
      <extLst>
        <ext uri="{3e2802c4-a4d2-4d8b-9148-e3be6c30e623}">
          <xlrd:rvb i="8128"/>
        </ext>
      </extLst>
    </bk>
    <bk>
      <extLst>
        <ext uri="{3e2802c4-a4d2-4d8b-9148-e3be6c30e623}">
          <xlrd:rvb i="8129"/>
        </ext>
      </extLst>
    </bk>
    <bk>
      <extLst>
        <ext uri="{3e2802c4-a4d2-4d8b-9148-e3be6c30e623}">
          <xlrd:rvb i="8130"/>
        </ext>
      </extLst>
    </bk>
    <bk>
      <extLst>
        <ext uri="{3e2802c4-a4d2-4d8b-9148-e3be6c30e623}">
          <xlrd:rvb i="8131"/>
        </ext>
      </extLst>
    </bk>
    <bk>
      <extLst>
        <ext uri="{3e2802c4-a4d2-4d8b-9148-e3be6c30e623}">
          <xlrd:rvb i="8132"/>
        </ext>
      </extLst>
    </bk>
    <bk>
      <extLst>
        <ext uri="{3e2802c4-a4d2-4d8b-9148-e3be6c30e623}">
          <xlrd:rvb i="8133"/>
        </ext>
      </extLst>
    </bk>
    <bk>
      <extLst>
        <ext uri="{3e2802c4-a4d2-4d8b-9148-e3be6c30e623}">
          <xlrd:rvb i="8134"/>
        </ext>
      </extLst>
    </bk>
    <bk>
      <extLst>
        <ext uri="{3e2802c4-a4d2-4d8b-9148-e3be6c30e623}">
          <xlrd:rvb i="8135"/>
        </ext>
      </extLst>
    </bk>
    <bk>
      <extLst>
        <ext uri="{3e2802c4-a4d2-4d8b-9148-e3be6c30e623}">
          <xlrd:rvb i="8136"/>
        </ext>
      </extLst>
    </bk>
    <bk>
      <extLst>
        <ext uri="{3e2802c4-a4d2-4d8b-9148-e3be6c30e623}">
          <xlrd:rvb i="8137"/>
        </ext>
      </extLst>
    </bk>
    <bk>
      <extLst>
        <ext uri="{3e2802c4-a4d2-4d8b-9148-e3be6c30e623}">
          <xlrd:rvb i="8138"/>
        </ext>
      </extLst>
    </bk>
    <bk>
      <extLst>
        <ext uri="{3e2802c4-a4d2-4d8b-9148-e3be6c30e623}">
          <xlrd:rvb i="8139"/>
        </ext>
      </extLst>
    </bk>
    <bk>
      <extLst>
        <ext uri="{3e2802c4-a4d2-4d8b-9148-e3be6c30e623}">
          <xlrd:rvb i="8140"/>
        </ext>
      </extLst>
    </bk>
    <bk>
      <extLst>
        <ext uri="{3e2802c4-a4d2-4d8b-9148-e3be6c30e623}">
          <xlrd:rvb i="8141"/>
        </ext>
      </extLst>
    </bk>
    <bk>
      <extLst>
        <ext uri="{3e2802c4-a4d2-4d8b-9148-e3be6c30e623}">
          <xlrd:rvb i="8142"/>
        </ext>
      </extLst>
    </bk>
    <bk>
      <extLst>
        <ext uri="{3e2802c4-a4d2-4d8b-9148-e3be6c30e623}">
          <xlrd:rvb i="8143"/>
        </ext>
      </extLst>
    </bk>
    <bk>
      <extLst>
        <ext uri="{3e2802c4-a4d2-4d8b-9148-e3be6c30e623}">
          <xlrd:rvb i="8144"/>
        </ext>
      </extLst>
    </bk>
    <bk>
      <extLst>
        <ext uri="{3e2802c4-a4d2-4d8b-9148-e3be6c30e623}">
          <xlrd:rvb i="8145"/>
        </ext>
      </extLst>
    </bk>
    <bk>
      <extLst>
        <ext uri="{3e2802c4-a4d2-4d8b-9148-e3be6c30e623}">
          <xlrd:rvb i="8146"/>
        </ext>
      </extLst>
    </bk>
    <bk>
      <extLst>
        <ext uri="{3e2802c4-a4d2-4d8b-9148-e3be6c30e623}">
          <xlrd:rvb i="8147"/>
        </ext>
      </extLst>
    </bk>
    <bk>
      <extLst>
        <ext uri="{3e2802c4-a4d2-4d8b-9148-e3be6c30e623}">
          <xlrd:rvb i="8148"/>
        </ext>
      </extLst>
    </bk>
    <bk>
      <extLst>
        <ext uri="{3e2802c4-a4d2-4d8b-9148-e3be6c30e623}">
          <xlrd:rvb i="8149"/>
        </ext>
      </extLst>
    </bk>
    <bk>
      <extLst>
        <ext uri="{3e2802c4-a4d2-4d8b-9148-e3be6c30e623}">
          <xlrd:rvb i="8150"/>
        </ext>
      </extLst>
    </bk>
    <bk>
      <extLst>
        <ext uri="{3e2802c4-a4d2-4d8b-9148-e3be6c30e623}">
          <xlrd:rvb i="8151"/>
        </ext>
      </extLst>
    </bk>
    <bk>
      <extLst>
        <ext uri="{3e2802c4-a4d2-4d8b-9148-e3be6c30e623}">
          <xlrd:rvb i="8152"/>
        </ext>
      </extLst>
    </bk>
    <bk>
      <extLst>
        <ext uri="{3e2802c4-a4d2-4d8b-9148-e3be6c30e623}">
          <xlrd:rvb i="8153"/>
        </ext>
      </extLst>
    </bk>
    <bk>
      <extLst>
        <ext uri="{3e2802c4-a4d2-4d8b-9148-e3be6c30e623}">
          <xlrd:rvb i="8154"/>
        </ext>
      </extLst>
    </bk>
    <bk>
      <extLst>
        <ext uri="{3e2802c4-a4d2-4d8b-9148-e3be6c30e623}">
          <xlrd:rvb i="8155"/>
        </ext>
      </extLst>
    </bk>
    <bk>
      <extLst>
        <ext uri="{3e2802c4-a4d2-4d8b-9148-e3be6c30e623}">
          <xlrd:rvb i="8156"/>
        </ext>
      </extLst>
    </bk>
    <bk>
      <extLst>
        <ext uri="{3e2802c4-a4d2-4d8b-9148-e3be6c30e623}">
          <xlrd:rvb i="8157"/>
        </ext>
      </extLst>
    </bk>
    <bk>
      <extLst>
        <ext uri="{3e2802c4-a4d2-4d8b-9148-e3be6c30e623}">
          <xlrd:rvb i="8158"/>
        </ext>
      </extLst>
    </bk>
    <bk>
      <extLst>
        <ext uri="{3e2802c4-a4d2-4d8b-9148-e3be6c30e623}">
          <xlrd:rvb i="8159"/>
        </ext>
      </extLst>
    </bk>
    <bk>
      <extLst>
        <ext uri="{3e2802c4-a4d2-4d8b-9148-e3be6c30e623}">
          <xlrd:rvb i="8160"/>
        </ext>
      </extLst>
    </bk>
    <bk>
      <extLst>
        <ext uri="{3e2802c4-a4d2-4d8b-9148-e3be6c30e623}">
          <xlrd:rvb i="8161"/>
        </ext>
      </extLst>
    </bk>
    <bk>
      <extLst>
        <ext uri="{3e2802c4-a4d2-4d8b-9148-e3be6c30e623}">
          <xlrd:rvb i="8162"/>
        </ext>
      </extLst>
    </bk>
    <bk>
      <extLst>
        <ext uri="{3e2802c4-a4d2-4d8b-9148-e3be6c30e623}">
          <xlrd:rvb i="8163"/>
        </ext>
      </extLst>
    </bk>
    <bk>
      <extLst>
        <ext uri="{3e2802c4-a4d2-4d8b-9148-e3be6c30e623}">
          <xlrd:rvb i="8164"/>
        </ext>
      </extLst>
    </bk>
    <bk>
      <extLst>
        <ext uri="{3e2802c4-a4d2-4d8b-9148-e3be6c30e623}">
          <xlrd:rvb i="8165"/>
        </ext>
      </extLst>
    </bk>
    <bk>
      <extLst>
        <ext uri="{3e2802c4-a4d2-4d8b-9148-e3be6c30e623}">
          <xlrd:rvb i="8166"/>
        </ext>
      </extLst>
    </bk>
    <bk>
      <extLst>
        <ext uri="{3e2802c4-a4d2-4d8b-9148-e3be6c30e623}">
          <xlrd:rvb i="8167"/>
        </ext>
      </extLst>
    </bk>
    <bk>
      <extLst>
        <ext uri="{3e2802c4-a4d2-4d8b-9148-e3be6c30e623}">
          <xlrd:rvb i="8168"/>
        </ext>
      </extLst>
    </bk>
    <bk>
      <extLst>
        <ext uri="{3e2802c4-a4d2-4d8b-9148-e3be6c30e623}">
          <xlrd:rvb i="8169"/>
        </ext>
      </extLst>
    </bk>
    <bk>
      <extLst>
        <ext uri="{3e2802c4-a4d2-4d8b-9148-e3be6c30e623}">
          <xlrd:rvb i="8170"/>
        </ext>
      </extLst>
    </bk>
    <bk>
      <extLst>
        <ext uri="{3e2802c4-a4d2-4d8b-9148-e3be6c30e623}">
          <xlrd:rvb i="8171"/>
        </ext>
      </extLst>
    </bk>
    <bk>
      <extLst>
        <ext uri="{3e2802c4-a4d2-4d8b-9148-e3be6c30e623}">
          <xlrd:rvb i="8172"/>
        </ext>
      </extLst>
    </bk>
    <bk>
      <extLst>
        <ext uri="{3e2802c4-a4d2-4d8b-9148-e3be6c30e623}">
          <xlrd:rvb i="8173"/>
        </ext>
      </extLst>
    </bk>
    <bk>
      <extLst>
        <ext uri="{3e2802c4-a4d2-4d8b-9148-e3be6c30e623}">
          <xlrd:rvb i="8174"/>
        </ext>
      </extLst>
    </bk>
    <bk>
      <extLst>
        <ext uri="{3e2802c4-a4d2-4d8b-9148-e3be6c30e623}">
          <xlrd:rvb i="8175"/>
        </ext>
      </extLst>
    </bk>
    <bk>
      <extLst>
        <ext uri="{3e2802c4-a4d2-4d8b-9148-e3be6c30e623}">
          <xlrd:rvb i="8176"/>
        </ext>
      </extLst>
    </bk>
    <bk>
      <extLst>
        <ext uri="{3e2802c4-a4d2-4d8b-9148-e3be6c30e623}">
          <xlrd:rvb i="8177"/>
        </ext>
      </extLst>
    </bk>
    <bk>
      <extLst>
        <ext uri="{3e2802c4-a4d2-4d8b-9148-e3be6c30e623}">
          <xlrd:rvb i="8178"/>
        </ext>
      </extLst>
    </bk>
    <bk>
      <extLst>
        <ext uri="{3e2802c4-a4d2-4d8b-9148-e3be6c30e623}">
          <xlrd:rvb i="8179"/>
        </ext>
      </extLst>
    </bk>
    <bk>
      <extLst>
        <ext uri="{3e2802c4-a4d2-4d8b-9148-e3be6c30e623}">
          <xlrd:rvb i="8180"/>
        </ext>
      </extLst>
    </bk>
    <bk>
      <extLst>
        <ext uri="{3e2802c4-a4d2-4d8b-9148-e3be6c30e623}">
          <xlrd:rvb i="8181"/>
        </ext>
      </extLst>
    </bk>
    <bk>
      <extLst>
        <ext uri="{3e2802c4-a4d2-4d8b-9148-e3be6c30e623}">
          <xlrd:rvb i="8182"/>
        </ext>
      </extLst>
    </bk>
    <bk>
      <extLst>
        <ext uri="{3e2802c4-a4d2-4d8b-9148-e3be6c30e623}">
          <xlrd:rvb i="8183"/>
        </ext>
      </extLst>
    </bk>
    <bk>
      <extLst>
        <ext uri="{3e2802c4-a4d2-4d8b-9148-e3be6c30e623}">
          <xlrd:rvb i="8184"/>
        </ext>
      </extLst>
    </bk>
    <bk>
      <extLst>
        <ext uri="{3e2802c4-a4d2-4d8b-9148-e3be6c30e623}">
          <xlrd:rvb i="8185"/>
        </ext>
      </extLst>
    </bk>
    <bk>
      <extLst>
        <ext uri="{3e2802c4-a4d2-4d8b-9148-e3be6c30e623}">
          <xlrd:rvb i="8186"/>
        </ext>
      </extLst>
    </bk>
    <bk>
      <extLst>
        <ext uri="{3e2802c4-a4d2-4d8b-9148-e3be6c30e623}">
          <xlrd:rvb i="8187"/>
        </ext>
      </extLst>
    </bk>
    <bk>
      <extLst>
        <ext uri="{3e2802c4-a4d2-4d8b-9148-e3be6c30e623}">
          <xlrd:rvb i="8188"/>
        </ext>
      </extLst>
    </bk>
    <bk>
      <extLst>
        <ext uri="{3e2802c4-a4d2-4d8b-9148-e3be6c30e623}">
          <xlrd:rvb i="8189"/>
        </ext>
      </extLst>
    </bk>
    <bk>
      <extLst>
        <ext uri="{3e2802c4-a4d2-4d8b-9148-e3be6c30e623}">
          <xlrd:rvb i="8190"/>
        </ext>
      </extLst>
    </bk>
    <bk>
      <extLst>
        <ext uri="{3e2802c4-a4d2-4d8b-9148-e3be6c30e623}">
          <xlrd:rvb i="8191"/>
        </ext>
      </extLst>
    </bk>
    <bk>
      <extLst>
        <ext uri="{3e2802c4-a4d2-4d8b-9148-e3be6c30e623}">
          <xlrd:rvb i="8192"/>
        </ext>
      </extLst>
    </bk>
    <bk>
      <extLst>
        <ext uri="{3e2802c4-a4d2-4d8b-9148-e3be6c30e623}">
          <xlrd:rvb i="8193"/>
        </ext>
      </extLst>
    </bk>
    <bk>
      <extLst>
        <ext uri="{3e2802c4-a4d2-4d8b-9148-e3be6c30e623}">
          <xlrd:rvb i="8194"/>
        </ext>
      </extLst>
    </bk>
    <bk>
      <extLst>
        <ext uri="{3e2802c4-a4d2-4d8b-9148-e3be6c30e623}">
          <xlrd:rvb i="8195"/>
        </ext>
      </extLst>
    </bk>
    <bk>
      <extLst>
        <ext uri="{3e2802c4-a4d2-4d8b-9148-e3be6c30e623}">
          <xlrd:rvb i="8196"/>
        </ext>
      </extLst>
    </bk>
    <bk>
      <extLst>
        <ext uri="{3e2802c4-a4d2-4d8b-9148-e3be6c30e623}">
          <xlrd:rvb i="8197"/>
        </ext>
      </extLst>
    </bk>
    <bk>
      <extLst>
        <ext uri="{3e2802c4-a4d2-4d8b-9148-e3be6c30e623}">
          <xlrd:rvb i="8198"/>
        </ext>
      </extLst>
    </bk>
    <bk>
      <extLst>
        <ext uri="{3e2802c4-a4d2-4d8b-9148-e3be6c30e623}">
          <xlrd:rvb i="8199"/>
        </ext>
      </extLst>
    </bk>
    <bk>
      <extLst>
        <ext uri="{3e2802c4-a4d2-4d8b-9148-e3be6c30e623}">
          <xlrd:rvb i="8200"/>
        </ext>
      </extLst>
    </bk>
    <bk>
      <extLst>
        <ext uri="{3e2802c4-a4d2-4d8b-9148-e3be6c30e623}">
          <xlrd:rvb i="8201"/>
        </ext>
      </extLst>
    </bk>
    <bk>
      <extLst>
        <ext uri="{3e2802c4-a4d2-4d8b-9148-e3be6c30e623}">
          <xlrd:rvb i="8202"/>
        </ext>
      </extLst>
    </bk>
    <bk>
      <extLst>
        <ext uri="{3e2802c4-a4d2-4d8b-9148-e3be6c30e623}">
          <xlrd:rvb i="8203"/>
        </ext>
      </extLst>
    </bk>
    <bk>
      <extLst>
        <ext uri="{3e2802c4-a4d2-4d8b-9148-e3be6c30e623}">
          <xlrd:rvb i="8204"/>
        </ext>
      </extLst>
    </bk>
    <bk>
      <extLst>
        <ext uri="{3e2802c4-a4d2-4d8b-9148-e3be6c30e623}">
          <xlrd:rvb i="8205"/>
        </ext>
      </extLst>
    </bk>
    <bk>
      <extLst>
        <ext uri="{3e2802c4-a4d2-4d8b-9148-e3be6c30e623}">
          <xlrd:rvb i="8206"/>
        </ext>
      </extLst>
    </bk>
    <bk>
      <extLst>
        <ext uri="{3e2802c4-a4d2-4d8b-9148-e3be6c30e623}">
          <xlrd:rvb i="8207"/>
        </ext>
      </extLst>
    </bk>
    <bk>
      <extLst>
        <ext uri="{3e2802c4-a4d2-4d8b-9148-e3be6c30e623}">
          <xlrd:rvb i="8208"/>
        </ext>
      </extLst>
    </bk>
    <bk>
      <extLst>
        <ext uri="{3e2802c4-a4d2-4d8b-9148-e3be6c30e623}">
          <xlrd:rvb i="8209"/>
        </ext>
      </extLst>
    </bk>
    <bk>
      <extLst>
        <ext uri="{3e2802c4-a4d2-4d8b-9148-e3be6c30e623}">
          <xlrd:rvb i="8210"/>
        </ext>
      </extLst>
    </bk>
    <bk>
      <extLst>
        <ext uri="{3e2802c4-a4d2-4d8b-9148-e3be6c30e623}">
          <xlrd:rvb i="8211"/>
        </ext>
      </extLst>
    </bk>
    <bk>
      <extLst>
        <ext uri="{3e2802c4-a4d2-4d8b-9148-e3be6c30e623}">
          <xlrd:rvb i="8212"/>
        </ext>
      </extLst>
    </bk>
    <bk>
      <extLst>
        <ext uri="{3e2802c4-a4d2-4d8b-9148-e3be6c30e623}">
          <xlrd:rvb i="8213"/>
        </ext>
      </extLst>
    </bk>
    <bk>
      <extLst>
        <ext uri="{3e2802c4-a4d2-4d8b-9148-e3be6c30e623}">
          <xlrd:rvb i="8214"/>
        </ext>
      </extLst>
    </bk>
    <bk>
      <extLst>
        <ext uri="{3e2802c4-a4d2-4d8b-9148-e3be6c30e623}">
          <xlrd:rvb i="8215"/>
        </ext>
      </extLst>
    </bk>
    <bk>
      <extLst>
        <ext uri="{3e2802c4-a4d2-4d8b-9148-e3be6c30e623}">
          <xlrd:rvb i="8216"/>
        </ext>
      </extLst>
    </bk>
    <bk>
      <extLst>
        <ext uri="{3e2802c4-a4d2-4d8b-9148-e3be6c30e623}">
          <xlrd:rvb i="8217"/>
        </ext>
      </extLst>
    </bk>
    <bk>
      <extLst>
        <ext uri="{3e2802c4-a4d2-4d8b-9148-e3be6c30e623}">
          <xlrd:rvb i="8218"/>
        </ext>
      </extLst>
    </bk>
    <bk>
      <extLst>
        <ext uri="{3e2802c4-a4d2-4d8b-9148-e3be6c30e623}">
          <xlrd:rvb i="8219"/>
        </ext>
      </extLst>
    </bk>
    <bk>
      <extLst>
        <ext uri="{3e2802c4-a4d2-4d8b-9148-e3be6c30e623}">
          <xlrd:rvb i="8220"/>
        </ext>
      </extLst>
    </bk>
    <bk>
      <extLst>
        <ext uri="{3e2802c4-a4d2-4d8b-9148-e3be6c30e623}">
          <xlrd:rvb i="8221"/>
        </ext>
      </extLst>
    </bk>
    <bk>
      <extLst>
        <ext uri="{3e2802c4-a4d2-4d8b-9148-e3be6c30e623}">
          <xlrd:rvb i="8222"/>
        </ext>
      </extLst>
    </bk>
    <bk>
      <extLst>
        <ext uri="{3e2802c4-a4d2-4d8b-9148-e3be6c30e623}">
          <xlrd:rvb i="8223"/>
        </ext>
      </extLst>
    </bk>
    <bk>
      <extLst>
        <ext uri="{3e2802c4-a4d2-4d8b-9148-e3be6c30e623}">
          <xlrd:rvb i="8224"/>
        </ext>
      </extLst>
    </bk>
    <bk>
      <extLst>
        <ext uri="{3e2802c4-a4d2-4d8b-9148-e3be6c30e623}">
          <xlrd:rvb i="8225"/>
        </ext>
      </extLst>
    </bk>
    <bk>
      <extLst>
        <ext uri="{3e2802c4-a4d2-4d8b-9148-e3be6c30e623}">
          <xlrd:rvb i="8226"/>
        </ext>
      </extLst>
    </bk>
    <bk>
      <extLst>
        <ext uri="{3e2802c4-a4d2-4d8b-9148-e3be6c30e623}">
          <xlrd:rvb i="8227"/>
        </ext>
      </extLst>
    </bk>
    <bk>
      <extLst>
        <ext uri="{3e2802c4-a4d2-4d8b-9148-e3be6c30e623}">
          <xlrd:rvb i="8228"/>
        </ext>
      </extLst>
    </bk>
    <bk>
      <extLst>
        <ext uri="{3e2802c4-a4d2-4d8b-9148-e3be6c30e623}">
          <xlrd:rvb i="8229"/>
        </ext>
      </extLst>
    </bk>
    <bk>
      <extLst>
        <ext uri="{3e2802c4-a4d2-4d8b-9148-e3be6c30e623}">
          <xlrd:rvb i="8230"/>
        </ext>
      </extLst>
    </bk>
    <bk>
      <extLst>
        <ext uri="{3e2802c4-a4d2-4d8b-9148-e3be6c30e623}">
          <xlrd:rvb i="8231"/>
        </ext>
      </extLst>
    </bk>
    <bk>
      <extLst>
        <ext uri="{3e2802c4-a4d2-4d8b-9148-e3be6c30e623}">
          <xlrd:rvb i="8232"/>
        </ext>
      </extLst>
    </bk>
    <bk>
      <extLst>
        <ext uri="{3e2802c4-a4d2-4d8b-9148-e3be6c30e623}">
          <xlrd:rvb i="8233"/>
        </ext>
      </extLst>
    </bk>
    <bk>
      <extLst>
        <ext uri="{3e2802c4-a4d2-4d8b-9148-e3be6c30e623}">
          <xlrd:rvb i="8234"/>
        </ext>
      </extLst>
    </bk>
    <bk>
      <extLst>
        <ext uri="{3e2802c4-a4d2-4d8b-9148-e3be6c30e623}">
          <xlrd:rvb i="8235"/>
        </ext>
      </extLst>
    </bk>
    <bk>
      <extLst>
        <ext uri="{3e2802c4-a4d2-4d8b-9148-e3be6c30e623}">
          <xlrd:rvb i="8236"/>
        </ext>
      </extLst>
    </bk>
    <bk>
      <extLst>
        <ext uri="{3e2802c4-a4d2-4d8b-9148-e3be6c30e623}">
          <xlrd:rvb i="8237"/>
        </ext>
      </extLst>
    </bk>
    <bk>
      <extLst>
        <ext uri="{3e2802c4-a4d2-4d8b-9148-e3be6c30e623}">
          <xlrd:rvb i="8238"/>
        </ext>
      </extLst>
    </bk>
    <bk>
      <extLst>
        <ext uri="{3e2802c4-a4d2-4d8b-9148-e3be6c30e623}">
          <xlrd:rvb i="8239"/>
        </ext>
      </extLst>
    </bk>
    <bk>
      <extLst>
        <ext uri="{3e2802c4-a4d2-4d8b-9148-e3be6c30e623}">
          <xlrd:rvb i="8240"/>
        </ext>
      </extLst>
    </bk>
    <bk>
      <extLst>
        <ext uri="{3e2802c4-a4d2-4d8b-9148-e3be6c30e623}">
          <xlrd:rvb i="8241"/>
        </ext>
      </extLst>
    </bk>
    <bk>
      <extLst>
        <ext uri="{3e2802c4-a4d2-4d8b-9148-e3be6c30e623}">
          <xlrd:rvb i="8242"/>
        </ext>
      </extLst>
    </bk>
    <bk>
      <extLst>
        <ext uri="{3e2802c4-a4d2-4d8b-9148-e3be6c30e623}">
          <xlrd:rvb i="8243"/>
        </ext>
      </extLst>
    </bk>
    <bk>
      <extLst>
        <ext uri="{3e2802c4-a4d2-4d8b-9148-e3be6c30e623}">
          <xlrd:rvb i="8244"/>
        </ext>
      </extLst>
    </bk>
    <bk>
      <extLst>
        <ext uri="{3e2802c4-a4d2-4d8b-9148-e3be6c30e623}">
          <xlrd:rvb i="8245"/>
        </ext>
      </extLst>
    </bk>
    <bk>
      <extLst>
        <ext uri="{3e2802c4-a4d2-4d8b-9148-e3be6c30e623}">
          <xlrd:rvb i="8246"/>
        </ext>
      </extLst>
    </bk>
    <bk>
      <extLst>
        <ext uri="{3e2802c4-a4d2-4d8b-9148-e3be6c30e623}">
          <xlrd:rvb i="8247"/>
        </ext>
      </extLst>
    </bk>
    <bk>
      <extLst>
        <ext uri="{3e2802c4-a4d2-4d8b-9148-e3be6c30e623}">
          <xlrd:rvb i="8248"/>
        </ext>
      </extLst>
    </bk>
    <bk>
      <extLst>
        <ext uri="{3e2802c4-a4d2-4d8b-9148-e3be6c30e623}">
          <xlrd:rvb i="8249"/>
        </ext>
      </extLst>
    </bk>
    <bk>
      <extLst>
        <ext uri="{3e2802c4-a4d2-4d8b-9148-e3be6c30e623}">
          <xlrd:rvb i="8250"/>
        </ext>
      </extLst>
    </bk>
    <bk>
      <extLst>
        <ext uri="{3e2802c4-a4d2-4d8b-9148-e3be6c30e623}">
          <xlrd:rvb i="8251"/>
        </ext>
      </extLst>
    </bk>
    <bk>
      <extLst>
        <ext uri="{3e2802c4-a4d2-4d8b-9148-e3be6c30e623}">
          <xlrd:rvb i="8252"/>
        </ext>
      </extLst>
    </bk>
    <bk>
      <extLst>
        <ext uri="{3e2802c4-a4d2-4d8b-9148-e3be6c30e623}">
          <xlrd:rvb i="8253"/>
        </ext>
      </extLst>
    </bk>
    <bk>
      <extLst>
        <ext uri="{3e2802c4-a4d2-4d8b-9148-e3be6c30e623}">
          <xlrd:rvb i="8254"/>
        </ext>
      </extLst>
    </bk>
    <bk>
      <extLst>
        <ext uri="{3e2802c4-a4d2-4d8b-9148-e3be6c30e623}">
          <xlrd:rvb i="8255"/>
        </ext>
      </extLst>
    </bk>
    <bk>
      <extLst>
        <ext uri="{3e2802c4-a4d2-4d8b-9148-e3be6c30e623}">
          <xlrd:rvb i="8256"/>
        </ext>
      </extLst>
    </bk>
    <bk>
      <extLst>
        <ext uri="{3e2802c4-a4d2-4d8b-9148-e3be6c30e623}">
          <xlrd:rvb i="8257"/>
        </ext>
      </extLst>
    </bk>
    <bk>
      <extLst>
        <ext uri="{3e2802c4-a4d2-4d8b-9148-e3be6c30e623}">
          <xlrd:rvb i="8258"/>
        </ext>
      </extLst>
    </bk>
    <bk>
      <extLst>
        <ext uri="{3e2802c4-a4d2-4d8b-9148-e3be6c30e623}">
          <xlrd:rvb i="8259"/>
        </ext>
      </extLst>
    </bk>
    <bk>
      <extLst>
        <ext uri="{3e2802c4-a4d2-4d8b-9148-e3be6c30e623}">
          <xlrd:rvb i="8260"/>
        </ext>
      </extLst>
    </bk>
    <bk>
      <extLst>
        <ext uri="{3e2802c4-a4d2-4d8b-9148-e3be6c30e623}">
          <xlrd:rvb i="8261"/>
        </ext>
      </extLst>
    </bk>
    <bk>
      <extLst>
        <ext uri="{3e2802c4-a4d2-4d8b-9148-e3be6c30e623}">
          <xlrd:rvb i="8262"/>
        </ext>
      </extLst>
    </bk>
    <bk>
      <extLst>
        <ext uri="{3e2802c4-a4d2-4d8b-9148-e3be6c30e623}">
          <xlrd:rvb i="8263"/>
        </ext>
      </extLst>
    </bk>
    <bk>
      <extLst>
        <ext uri="{3e2802c4-a4d2-4d8b-9148-e3be6c30e623}">
          <xlrd:rvb i="8264"/>
        </ext>
      </extLst>
    </bk>
    <bk>
      <extLst>
        <ext uri="{3e2802c4-a4d2-4d8b-9148-e3be6c30e623}">
          <xlrd:rvb i="8265"/>
        </ext>
      </extLst>
    </bk>
    <bk>
      <extLst>
        <ext uri="{3e2802c4-a4d2-4d8b-9148-e3be6c30e623}">
          <xlrd:rvb i="8266"/>
        </ext>
      </extLst>
    </bk>
    <bk>
      <extLst>
        <ext uri="{3e2802c4-a4d2-4d8b-9148-e3be6c30e623}">
          <xlrd:rvb i="8267"/>
        </ext>
      </extLst>
    </bk>
    <bk>
      <extLst>
        <ext uri="{3e2802c4-a4d2-4d8b-9148-e3be6c30e623}">
          <xlrd:rvb i="8268"/>
        </ext>
      </extLst>
    </bk>
    <bk>
      <extLst>
        <ext uri="{3e2802c4-a4d2-4d8b-9148-e3be6c30e623}">
          <xlrd:rvb i="8269"/>
        </ext>
      </extLst>
    </bk>
    <bk>
      <extLst>
        <ext uri="{3e2802c4-a4d2-4d8b-9148-e3be6c30e623}">
          <xlrd:rvb i="8270"/>
        </ext>
      </extLst>
    </bk>
    <bk>
      <extLst>
        <ext uri="{3e2802c4-a4d2-4d8b-9148-e3be6c30e623}">
          <xlrd:rvb i="8271"/>
        </ext>
      </extLst>
    </bk>
    <bk>
      <extLst>
        <ext uri="{3e2802c4-a4d2-4d8b-9148-e3be6c30e623}">
          <xlrd:rvb i="8272"/>
        </ext>
      </extLst>
    </bk>
    <bk>
      <extLst>
        <ext uri="{3e2802c4-a4d2-4d8b-9148-e3be6c30e623}">
          <xlrd:rvb i="8273"/>
        </ext>
      </extLst>
    </bk>
    <bk>
      <extLst>
        <ext uri="{3e2802c4-a4d2-4d8b-9148-e3be6c30e623}">
          <xlrd:rvb i="8274"/>
        </ext>
      </extLst>
    </bk>
    <bk>
      <extLst>
        <ext uri="{3e2802c4-a4d2-4d8b-9148-e3be6c30e623}">
          <xlrd:rvb i="8275"/>
        </ext>
      </extLst>
    </bk>
    <bk>
      <extLst>
        <ext uri="{3e2802c4-a4d2-4d8b-9148-e3be6c30e623}">
          <xlrd:rvb i="8276"/>
        </ext>
      </extLst>
    </bk>
    <bk>
      <extLst>
        <ext uri="{3e2802c4-a4d2-4d8b-9148-e3be6c30e623}">
          <xlrd:rvb i="8277"/>
        </ext>
      </extLst>
    </bk>
    <bk>
      <extLst>
        <ext uri="{3e2802c4-a4d2-4d8b-9148-e3be6c30e623}">
          <xlrd:rvb i="8278"/>
        </ext>
      </extLst>
    </bk>
    <bk>
      <extLst>
        <ext uri="{3e2802c4-a4d2-4d8b-9148-e3be6c30e623}">
          <xlrd:rvb i="8279"/>
        </ext>
      </extLst>
    </bk>
    <bk>
      <extLst>
        <ext uri="{3e2802c4-a4d2-4d8b-9148-e3be6c30e623}">
          <xlrd:rvb i="8280"/>
        </ext>
      </extLst>
    </bk>
    <bk>
      <extLst>
        <ext uri="{3e2802c4-a4d2-4d8b-9148-e3be6c30e623}">
          <xlrd:rvb i="8281"/>
        </ext>
      </extLst>
    </bk>
    <bk>
      <extLst>
        <ext uri="{3e2802c4-a4d2-4d8b-9148-e3be6c30e623}">
          <xlrd:rvb i="8282"/>
        </ext>
      </extLst>
    </bk>
    <bk>
      <extLst>
        <ext uri="{3e2802c4-a4d2-4d8b-9148-e3be6c30e623}">
          <xlrd:rvb i="8283"/>
        </ext>
      </extLst>
    </bk>
    <bk>
      <extLst>
        <ext uri="{3e2802c4-a4d2-4d8b-9148-e3be6c30e623}">
          <xlrd:rvb i="8284"/>
        </ext>
      </extLst>
    </bk>
    <bk>
      <extLst>
        <ext uri="{3e2802c4-a4d2-4d8b-9148-e3be6c30e623}">
          <xlrd:rvb i="8285"/>
        </ext>
      </extLst>
    </bk>
    <bk>
      <extLst>
        <ext uri="{3e2802c4-a4d2-4d8b-9148-e3be6c30e623}">
          <xlrd:rvb i="8286"/>
        </ext>
      </extLst>
    </bk>
    <bk>
      <extLst>
        <ext uri="{3e2802c4-a4d2-4d8b-9148-e3be6c30e623}">
          <xlrd:rvb i="8287"/>
        </ext>
      </extLst>
    </bk>
    <bk>
      <extLst>
        <ext uri="{3e2802c4-a4d2-4d8b-9148-e3be6c30e623}">
          <xlrd:rvb i="8288"/>
        </ext>
      </extLst>
    </bk>
    <bk>
      <extLst>
        <ext uri="{3e2802c4-a4d2-4d8b-9148-e3be6c30e623}">
          <xlrd:rvb i="8289"/>
        </ext>
      </extLst>
    </bk>
    <bk>
      <extLst>
        <ext uri="{3e2802c4-a4d2-4d8b-9148-e3be6c30e623}">
          <xlrd:rvb i="8290"/>
        </ext>
      </extLst>
    </bk>
    <bk>
      <extLst>
        <ext uri="{3e2802c4-a4d2-4d8b-9148-e3be6c30e623}">
          <xlrd:rvb i="8291"/>
        </ext>
      </extLst>
    </bk>
    <bk>
      <extLst>
        <ext uri="{3e2802c4-a4d2-4d8b-9148-e3be6c30e623}">
          <xlrd:rvb i="8292"/>
        </ext>
      </extLst>
    </bk>
    <bk>
      <extLst>
        <ext uri="{3e2802c4-a4d2-4d8b-9148-e3be6c30e623}">
          <xlrd:rvb i="8293"/>
        </ext>
      </extLst>
    </bk>
    <bk>
      <extLst>
        <ext uri="{3e2802c4-a4d2-4d8b-9148-e3be6c30e623}">
          <xlrd:rvb i="8294"/>
        </ext>
      </extLst>
    </bk>
    <bk>
      <extLst>
        <ext uri="{3e2802c4-a4d2-4d8b-9148-e3be6c30e623}">
          <xlrd:rvb i="8295"/>
        </ext>
      </extLst>
    </bk>
    <bk>
      <extLst>
        <ext uri="{3e2802c4-a4d2-4d8b-9148-e3be6c30e623}">
          <xlrd:rvb i="8296"/>
        </ext>
      </extLst>
    </bk>
    <bk>
      <extLst>
        <ext uri="{3e2802c4-a4d2-4d8b-9148-e3be6c30e623}">
          <xlrd:rvb i="8297"/>
        </ext>
      </extLst>
    </bk>
    <bk>
      <extLst>
        <ext uri="{3e2802c4-a4d2-4d8b-9148-e3be6c30e623}">
          <xlrd:rvb i="8298"/>
        </ext>
      </extLst>
    </bk>
    <bk>
      <extLst>
        <ext uri="{3e2802c4-a4d2-4d8b-9148-e3be6c30e623}">
          <xlrd:rvb i="8299"/>
        </ext>
      </extLst>
    </bk>
    <bk>
      <extLst>
        <ext uri="{3e2802c4-a4d2-4d8b-9148-e3be6c30e623}">
          <xlrd:rvb i="8300"/>
        </ext>
      </extLst>
    </bk>
    <bk>
      <extLst>
        <ext uri="{3e2802c4-a4d2-4d8b-9148-e3be6c30e623}">
          <xlrd:rvb i="8301"/>
        </ext>
      </extLst>
    </bk>
    <bk>
      <extLst>
        <ext uri="{3e2802c4-a4d2-4d8b-9148-e3be6c30e623}">
          <xlrd:rvb i="8302"/>
        </ext>
      </extLst>
    </bk>
    <bk>
      <extLst>
        <ext uri="{3e2802c4-a4d2-4d8b-9148-e3be6c30e623}">
          <xlrd:rvb i="8303"/>
        </ext>
      </extLst>
    </bk>
    <bk>
      <extLst>
        <ext uri="{3e2802c4-a4d2-4d8b-9148-e3be6c30e623}">
          <xlrd:rvb i="8304"/>
        </ext>
      </extLst>
    </bk>
    <bk>
      <extLst>
        <ext uri="{3e2802c4-a4d2-4d8b-9148-e3be6c30e623}">
          <xlrd:rvb i="8305"/>
        </ext>
      </extLst>
    </bk>
    <bk>
      <extLst>
        <ext uri="{3e2802c4-a4d2-4d8b-9148-e3be6c30e623}">
          <xlrd:rvb i="8306"/>
        </ext>
      </extLst>
    </bk>
    <bk>
      <extLst>
        <ext uri="{3e2802c4-a4d2-4d8b-9148-e3be6c30e623}">
          <xlrd:rvb i="8307"/>
        </ext>
      </extLst>
    </bk>
    <bk>
      <extLst>
        <ext uri="{3e2802c4-a4d2-4d8b-9148-e3be6c30e623}">
          <xlrd:rvb i="8308"/>
        </ext>
      </extLst>
    </bk>
    <bk>
      <extLst>
        <ext uri="{3e2802c4-a4d2-4d8b-9148-e3be6c30e623}">
          <xlrd:rvb i="8309"/>
        </ext>
      </extLst>
    </bk>
    <bk>
      <extLst>
        <ext uri="{3e2802c4-a4d2-4d8b-9148-e3be6c30e623}">
          <xlrd:rvb i="8310"/>
        </ext>
      </extLst>
    </bk>
    <bk>
      <extLst>
        <ext uri="{3e2802c4-a4d2-4d8b-9148-e3be6c30e623}">
          <xlrd:rvb i="8311"/>
        </ext>
      </extLst>
    </bk>
    <bk>
      <extLst>
        <ext uri="{3e2802c4-a4d2-4d8b-9148-e3be6c30e623}">
          <xlrd:rvb i="8312"/>
        </ext>
      </extLst>
    </bk>
    <bk>
      <extLst>
        <ext uri="{3e2802c4-a4d2-4d8b-9148-e3be6c30e623}">
          <xlrd:rvb i="8313"/>
        </ext>
      </extLst>
    </bk>
    <bk>
      <extLst>
        <ext uri="{3e2802c4-a4d2-4d8b-9148-e3be6c30e623}">
          <xlrd:rvb i="8314"/>
        </ext>
      </extLst>
    </bk>
    <bk>
      <extLst>
        <ext uri="{3e2802c4-a4d2-4d8b-9148-e3be6c30e623}">
          <xlrd:rvb i="8315"/>
        </ext>
      </extLst>
    </bk>
    <bk>
      <extLst>
        <ext uri="{3e2802c4-a4d2-4d8b-9148-e3be6c30e623}">
          <xlrd:rvb i="8316"/>
        </ext>
      </extLst>
    </bk>
    <bk>
      <extLst>
        <ext uri="{3e2802c4-a4d2-4d8b-9148-e3be6c30e623}">
          <xlrd:rvb i="8317"/>
        </ext>
      </extLst>
    </bk>
    <bk>
      <extLst>
        <ext uri="{3e2802c4-a4d2-4d8b-9148-e3be6c30e623}">
          <xlrd:rvb i="8318"/>
        </ext>
      </extLst>
    </bk>
    <bk>
      <extLst>
        <ext uri="{3e2802c4-a4d2-4d8b-9148-e3be6c30e623}">
          <xlrd:rvb i="8319"/>
        </ext>
      </extLst>
    </bk>
    <bk>
      <extLst>
        <ext uri="{3e2802c4-a4d2-4d8b-9148-e3be6c30e623}">
          <xlrd:rvb i="8320"/>
        </ext>
      </extLst>
    </bk>
    <bk>
      <extLst>
        <ext uri="{3e2802c4-a4d2-4d8b-9148-e3be6c30e623}">
          <xlrd:rvb i="8321"/>
        </ext>
      </extLst>
    </bk>
    <bk>
      <extLst>
        <ext uri="{3e2802c4-a4d2-4d8b-9148-e3be6c30e623}">
          <xlrd:rvb i="8322"/>
        </ext>
      </extLst>
    </bk>
    <bk>
      <extLst>
        <ext uri="{3e2802c4-a4d2-4d8b-9148-e3be6c30e623}">
          <xlrd:rvb i="8323"/>
        </ext>
      </extLst>
    </bk>
    <bk>
      <extLst>
        <ext uri="{3e2802c4-a4d2-4d8b-9148-e3be6c30e623}">
          <xlrd:rvb i="8324"/>
        </ext>
      </extLst>
    </bk>
    <bk>
      <extLst>
        <ext uri="{3e2802c4-a4d2-4d8b-9148-e3be6c30e623}">
          <xlrd:rvb i="8325"/>
        </ext>
      </extLst>
    </bk>
    <bk>
      <extLst>
        <ext uri="{3e2802c4-a4d2-4d8b-9148-e3be6c30e623}">
          <xlrd:rvb i="8326"/>
        </ext>
      </extLst>
    </bk>
    <bk>
      <extLst>
        <ext uri="{3e2802c4-a4d2-4d8b-9148-e3be6c30e623}">
          <xlrd:rvb i="8327"/>
        </ext>
      </extLst>
    </bk>
    <bk>
      <extLst>
        <ext uri="{3e2802c4-a4d2-4d8b-9148-e3be6c30e623}">
          <xlrd:rvb i="8328"/>
        </ext>
      </extLst>
    </bk>
    <bk>
      <extLst>
        <ext uri="{3e2802c4-a4d2-4d8b-9148-e3be6c30e623}">
          <xlrd:rvb i="8329"/>
        </ext>
      </extLst>
    </bk>
    <bk>
      <extLst>
        <ext uri="{3e2802c4-a4d2-4d8b-9148-e3be6c30e623}">
          <xlrd:rvb i="8330"/>
        </ext>
      </extLst>
    </bk>
    <bk>
      <extLst>
        <ext uri="{3e2802c4-a4d2-4d8b-9148-e3be6c30e623}">
          <xlrd:rvb i="8331"/>
        </ext>
      </extLst>
    </bk>
    <bk>
      <extLst>
        <ext uri="{3e2802c4-a4d2-4d8b-9148-e3be6c30e623}">
          <xlrd:rvb i="8332"/>
        </ext>
      </extLst>
    </bk>
    <bk>
      <extLst>
        <ext uri="{3e2802c4-a4d2-4d8b-9148-e3be6c30e623}">
          <xlrd:rvb i="8333"/>
        </ext>
      </extLst>
    </bk>
    <bk>
      <extLst>
        <ext uri="{3e2802c4-a4d2-4d8b-9148-e3be6c30e623}">
          <xlrd:rvb i="8334"/>
        </ext>
      </extLst>
    </bk>
    <bk>
      <extLst>
        <ext uri="{3e2802c4-a4d2-4d8b-9148-e3be6c30e623}">
          <xlrd:rvb i="8335"/>
        </ext>
      </extLst>
    </bk>
    <bk>
      <extLst>
        <ext uri="{3e2802c4-a4d2-4d8b-9148-e3be6c30e623}">
          <xlrd:rvb i="8336"/>
        </ext>
      </extLst>
    </bk>
    <bk>
      <extLst>
        <ext uri="{3e2802c4-a4d2-4d8b-9148-e3be6c30e623}">
          <xlrd:rvb i="8337"/>
        </ext>
      </extLst>
    </bk>
    <bk>
      <extLst>
        <ext uri="{3e2802c4-a4d2-4d8b-9148-e3be6c30e623}">
          <xlrd:rvb i="8338"/>
        </ext>
      </extLst>
    </bk>
    <bk>
      <extLst>
        <ext uri="{3e2802c4-a4d2-4d8b-9148-e3be6c30e623}">
          <xlrd:rvb i="8339"/>
        </ext>
      </extLst>
    </bk>
    <bk>
      <extLst>
        <ext uri="{3e2802c4-a4d2-4d8b-9148-e3be6c30e623}">
          <xlrd:rvb i="8340"/>
        </ext>
      </extLst>
    </bk>
    <bk>
      <extLst>
        <ext uri="{3e2802c4-a4d2-4d8b-9148-e3be6c30e623}">
          <xlrd:rvb i="8341"/>
        </ext>
      </extLst>
    </bk>
    <bk>
      <extLst>
        <ext uri="{3e2802c4-a4d2-4d8b-9148-e3be6c30e623}">
          <xlrd:rvb i="8342"/>
        </ext>
      </extLst>
    </bk>
    <bk>
      <extLst>
        <ext uri="{3e2802c4-a4d2-4d8b-9148-e3be6c30e623}">
          <xlrd:rvb i="8343"/>
        </ext>
      </extLst>
    </bk>
    <bk>
      <extLst>
        <ext uri="{3e2802c4-a4d2-4d8b-9148-e3be6c30e623}">
          <xlrd:rvb i="8344"/>
        </ext>
      </extLst>
    </bk>
    <bk>
      <extLst>
        <ext uri="{3e2802c4-a4d2-4d8b-9148-e3be6c30e623}">
          <xlrd:rvb i="8345"/>
        </ext>
      </extLst>
    </bk>
    <bk>
      <extLst>
        <ext uri="{3e2802c4-a4d2-4d8b-9148-e3be6c30e623}">
          <xlrd:rvb i="8346"/>
        </ext>
      </extLst>
    </bk>
    <bk>
      <extLst>
        <ext uri="{3e2802c4-a4d2-4d8b-9148-e3be6c30e623}">
          <xlrd:rvb i="8347"/>
        </ext>
      </extLst>
    </bk>
    <bk>
      <extLst>
        <ext uri="{3e2802c4-a4d2-4d8b-9148-e3be6c30e623}">
          <xlrd:rvb i="8348"/>
        </ext>
      </extLst>
    </bk>
    <bk>
      <extLst>
        <ext uri="{3e2802c4-a4d2-4d8b-9148-e3be6c30e623}">
          <xlrd:rvb i="8349"/>
        </ext>
      </extLst>
    </bk>
    <bk>
      <extLst>
        <ext uri="{3e2802c4-a4d2-4d8b-9148-e3be6c30e623}">
          <xlrd:rvb i="8350"/>
        </ext>
      </extLst>
    </bk>
    <bk>
      <extLst>
        <ext uri="{3e2802c4-a4d2-4d8b-9148-e3be6c30e623}">
          <xlrd:rvb i="8351"/>
        </ext>
      </extLst>
    </bk>
    <bk>
      <extLst>
        <ext uri="{3e2802c4-a4d2-4d8b-9148-e3be6c30e623}">
          <xlrd:rvb i="8352"/>
        </ext>
      </extLst>
    </bk>
    <bk>
      <extLst>
        <ext uri="{3e2802c4-a4d2-4d8b-9148-e3be6c30e623}">
          <xlrd:rvb i="8353"/>
        </ext>
      </extLst>
    </bk>
    <bk>
      <extLst>
        <ext uri="{3e2802c4-a4d2-4d8b-9148-e3be6c30e623}">
          <xlrd:rvb i="8354"/>
        </ext>
      </extLst>
    </bk>
    <bk>
      <extLst>
        <ext uri="{3e2802c4-a4d2-4d8b-9148-e3be6c30e623}">
          <xlrd:rvb i="8355"/>
        </ext>
      </extLst>
    </bk>
    <bk>
      <extLst>
        <ext uri="{3e2802c4-a4d2-4d8b-9148-e3be6c30e623}">
          <xlrd:rvb i="8356"/>
        </ext>
      </extLst>
    </bk>
    <bk>
      <extLst>
        <ext uri="{3e2802c4-a4d2-4d8b-9148-e3be6c30e623}">
          <xlrd:rvb i="8357"/>
        </ext>
      </extLst>
    </bk>
    <bk>
      <extLst>
        <ext uri="{3e2802c4-a4d2-4d8b-9148-e3be6c30e623}">
          <xlrd:rvb i="8358"/>
        </ext>
      </extLst>
    </bk>
    <bk>
      <extLst>
        <ext uri="{3e2802c4-a4d2-4d8b-9148-e3be6c30e623}">
          <xlrd:rvb i="8359"/>
        </ext>
      </extLst>
    </bk>
    <bk>
      <extLst>
        <ext uri="{3e2802c4-a4d2-4d8b-9148-e3be6c30e623}">
          <xlrd:rvb i="8360"/>
        </ext>
      </extLst>
    </bk>
    <bk>
      <extLst>
        <ext uri="{3e2802c4-a4d2-4d8b-9148-e3be6c30e623}">
          <xlrd:rvb i="8361"/>
        </ext>
      </extLst>
    </bk>
    <bk>
      <extLst>
        <ext uri="{3e2802c4-a4d2-4d8b-9148-e3be6c30e623}">
          <xlrd:rvb i="8362"/>
        </ext>
      </extLst>
    </bk>
    <bk>
      <extLst>
        <ext uri="{3e2802c4-a4d2-4d8b-9148-e3be6c30e623}">
          <xlrd:rvb i="8363"/>
        </ext>
      </extLst>
    </bk>
    <bk>
      <extLst>
        <ext uri="{3e2802c4-a4d2-4d8b-9148-e3be6c30e623}">
          <xlrd:rvb i="8364"/>
        </ext>
      </extLst>
    </bk>
    <bk>
      <extLst>
        <ext uri="{3e2802c4-a4d2-4d8b-9148-e3be6c30e623}">
          <xlrd:rvb i="8365"/>
        </ext>
      </extLst>
    </bk>
    <bk>
      <extLst>
        <ext uri="{3e2802c4-a4d2-4d8b-9148-e3be6c30e623}">
          <xlrd:rvb i="8366"/>
        </ext>
      </extLst>
    </bk>
    <bk>
      <extLst>
        <ext uri="{3e2802c4-a4d2-4d8b-9148-e3be6c30e623}">
          <xlrd:rvb i="8367"/>
        </ext>
      </extLst>
    </bk>
    <bk>
      <extLst>
        <ext uri="{3e2802c4-a4d2-4d8b-9148-e3be6c30e623}">
          <xlrd:rvb i="8368"/>
        </ext>
      </extLst>
    </bk>
    <bk>
      <extLst>
        <ext uri="{3e2802c4-a4d2-4d8b-9148-e3be6c30e623}">
          <xlrd:rvb i="8369"/>
        </ext>
      </extLst>
    </bk>
    <bk>
      <extLst>
        <ext uri="{3e2802c4-a4d2-4d8b-9148-e3be6c30e623}">
          <xlrd:rvb i="8370"/>
        </ext>
      </extLst>
    </bk>
    <bk>
      <extLst>
        <ext uri="{3e2802c4-a4d2-4d8b-9148-e3be6c30e623}">
          <xlrd:rvb i="8371"/>
        </ext>
      </extLst>
    </bk>
    <bk>
      <extLst>
        <ext uri="{3e2802c4-a4d2-4d8b-9148-e3be6c30e623}">
          <xlrd:rvb i="8372"/>
        </ext>
      </extLst>
    </bk>
    <bk>
      <extLst>
        <ext uri="{3e2802c4-a4d2-4d8b-9148-e3be6c30e623}">
          <xlrd:rvb i="8373"/>
        </ext>
      </extLst>
    </bk>
    <bk>
      <extLst>
        <ext uri="{3e2802c4-a4d2-4d8b-9148-e3be6c30e623}">
          <xlrd:rvb i="8374"/>
        </ext>
      </extLst>
    </bk>
    <bk>
      <extLst>
        <ext uri="{3e2802c4-a4d2-4d8b-9148-e3be6c30e623}">
          <xlrd:rvb i="8375"/>
        </ext>
      </extLst>
    </bk>
    <bk>
      <extLst>
        <ext uri="{3e2802c4-a4d2-4d8b-9148-e3be6c30e623}">
          <xlrd:rvb i="8376"/>
        </ext>
      </extLst>
    </bk>
    <bk>
      <extLst>
        <ext uri="{3e2802c4-a4d2-4d8b-9148-e3be6c30e623}">
          <xlrd:rvb i="8377"/>
        </ext>
      </extLst>
    </bk>
    <bk>
      <extLst>
        <ext uri="{3e2802c4-a4d2-4d8b-9148-e3be6c30e623}">
          <xlrd:rvb i="8378"/>
        </ext>
      </extLst>
    </bk>
    <bk>
      <extLst>
        <ext uri="{3e2802c4-a4d2-4d8b-9148-e3be6c30e623}">
          <xlrd:rvb i="8379"/>
        </ext>
      </extLst>
    </bk>
    <bk>
      <extLst>
        <ext uri="{3e2802c4-a4d2-4d8b-9148-e3be6c30e623}">
          <xlrd:rvb i="8380"/>
        </ext>
      </extLst>
    </bk>
    <bk>
      <extLst>
        <ext uri="{3e2802c4-a4d2-4d8b-9148-e3be6c30e623}">
          <xlrd:rvb i="8381"/>
        </ext>
      </extLst>
    </bk>
    <bk>
      <extLst>
        <ext uri="{3e2802c4-a4d2-4d8b-9148-e3be6c30e623}">
          <xlrd:rvb i="8382"/>
        </ext>
      </extLst>
    </bk>
    <bk>
      <extLst>
        <ext uri="{3e2802c4-a4d2-4d8b-9148-e3be6c30e623}">
          <xlrd:rvb i="8383"/>
        </ext>
      </extLst>
    </bk>
    <bk>
      <extLst>
        <ext uri="{3e2802c4-a4d2-4d8b-9148-e3be6c30e623}">
          <xlrd:rvb i="8384"/>
        </ext>
      </extLst>
    </bk>
    <bk>
      <extLst>
        <ext uri="{3e2802c4-a4d2-4d8b-9148-e3be6c30e623}">
          <xlrd:rvb i="8385"/>
        </ext>
      </extLst>
    </bk>
    <bk>
      <extLst>
        <ext uri="{3e2802c4-a4d2-4d8b-9148-e3be6c30e623}">
          <xlrd:rvb i="8386"/>
        </ext>
      </extLst>
    </bk>
    <bk>
      <extLst>
        <ext uri="{3e2802c4-a4d2-4d8b-9148-e3be6c30e623}">
          <xlrd:rvb i="8387"/>
        </ext>
      </extLst>
    </bk>
    <bk>
      <extLst>
        <ext uri="{3e2802c4-a4d2-4d8b-9148-e3be6c30e623}">
          <xlrd:rvb i="8388"/>
        </ext>
      </extLst>
    </bk>
    <bk>
      <extLst>
        <ext uri="{3e2802c4-a4d2-4d8b-9148-e3be6c30e623}">
          <xlrd:rvb i="8389"/>
        </ext>
      </extLst>
    </bk>
    <bk>
      <extLst>
        <ext uri="{3e2802c4-a4d2-4d8b-9148-e3be6c30e623}">
          <xlrd:rvb i="8390"/>
        </ext>
      </extLst>
    </bk>
    <bk>
      <extLst>
        <ext uri="{3e2802c4-a4d2-4d8b-9148-e3be6c30e623}">
          <xlrd:rvb i="8391"/>
        </ext>
      </extLst>
    </bk>
    <bk>
      <extLst>
        <ext uri="{3e2802c4-a4d2-4d8b-9148-e3be6c30e623}">
          <xlrd:rvb i="8392"/>
        </ext>
      </extLst>
    </bk>
    <bk>
      <extLst>
        <ext uri="{3e2802c4-a4d2-4d8b-9148-e3be6c30e623}">
          <xlrd:rvb i="8393"/>
        </ext>
      </extLst>
    </bk>
    <bk>
      <extLst>
        <ext uri="{3e2802c4-a4d2-4d8b-9148-e3be6c30e623}">
          <xlrd:rvb i="8394"/>
        </ext>
      </extLst>
    </bk>
    <bk>
      <extLst>
        <ext uri="{3e2802c4-a4d2-4d8b-9148-e3be6c30e623}">
          <xlrd:rvb i="8395"/>
        </ext>
      </extLst>
    </bk>
    <bk>
      <extLst>
        <ext uri="{3e2802c4-a4d2-4d8b-9148-e3be6c30e623}">
          <xlrd:rvb i="8396"/>
        </ext>
      </extLst>
    </bk>
    <bk>
      <extLst>
        <ext uri="{3e2802c4-a4d2-4d8b-9148-e3be6c30e623}">
          <xlrd:rvb i="8397"/>
        </ext>
      </extLst>
    </bk>
    <bk>
      <extLst>
        <ext uri="{3e2802c4-a4d2-4d8b-9148-e3be6c30e623}">
          <xlrd:rvb i="8398"/>
        </ext>
      </extLst>
    </bk>
    <bk>
      <extLst>
        <ext uri="{3e2802c4-a4d2-4d8b-9148-e3be6c30e623}">
          <xlrd:rvb i="8399"/>
        </ext>
      </extLst>
    </bk>
    <bk>
      <extLst>
        <ext uri="{3e2802c4-a4d2-4d8b-9148-e3be6c30e623}">
          <xlrd:rvb i="8400"/>
        </ext>
      </extLst>
    </bk>
    <bk>
      <extLst>
        <ext uri="{3e2802c4-a4d2-4d8b-9148-e3be6c30e623}">
          <xlrd:rvb i="8401"/>
        </ext>
      </extLst>
    </bk>
    <bk>
      <extLst>
        <ext uri="{3e2802c4-a4d2-4d8b-9148-e3be6c30e623}">
          <xlrd:rvb i="8402"/>
        </ext>
      </extLst>
    </bk>
    <bk>
      <extLst>
        <ext uri="{3e2802c4-a4d2-4d8b-9148-e3be6c30e623}">
          <xlrd:rvb i="8403"/>
        </ext>
      </extLst>
    </bk>
    <bk>
      <extLst>
        <ext uri="{3e2802c4-a4d2-4d8b-9148-e3be6c30e623}">
          <xlrd:rvb i="8404"/>
        </ext>
      </extLst>
    </bk>
    <bk>
      <extLst>
        <ext uri="{3e2802c4-a4d2-4d8b-9148-e3be6c30e623}">
          <xlrd:rvb i="8405"/>
        </ext>
      </extLst>
    </bk>
    <bk>
      <extLst>
        <ext uri="{3e2802c4-a4d2-4d8b-9148-e3be6c30e623}">
          <xlrd:rvb i="8406"/>
        </ext>
      </extLst>
    </bk>
    <bk>
      <extLst>
        <ext uri="{3e2802c4-a4d2-4d8b-9148-e3be6c30e623}">
          <xlrd:rvb i="8407"/>
        </ext>
      </extLst>
    </bk>
    <bk>
      <extLst>
        <ext uri="{3e2802c4-a4d2-4d8b-9148-e3be6c30e623}">
          <xlrd:rvb i="8408"/>
        </ext>
      </extLst>
    </bk>
    <bk>
      <extLst>
        <ext uri="{3e2802c4-a4d2-4d8b-9148-e3be6c30e623}">
          <xlrd:rvb i="8409"/>
        </ext>
      </extLst>
    </bk>
    <bk>
      <extLst>
        <ext uri="{3e2802c4-a4d2-4d8b-9148-e3be6c30e623}">
          <xlrd:rvb i="8410"/>
        </ext>
      </extLst>
    </bk>
    <bk>
      <extLst>
        <ext uri="{3e2802c4-a4d2-4d8b-9148-e3be6c30e623}">
          <xlrd:rvb i="8411"/>
        </ext>
      </extLst>
    </bk>
    <bk>
      <extLst>
        <ext uri="{3e2802c4-a4d2-4d8b-9148-e3be6c30e623}">
          <xlrd:rvb i="8412"/>
        </ext>
      </extLst>
    </bk>
    <bk>
      <extLst>
        <ext uri="{3e2802c4-a4d2-4d8b-9148-e3be6c30e623}">
          <xlrd:rvb i="8413"/>
        </ext>
      </extLst>
    </bk>
    <bk>
      <extLst>
        <ext uri="{3e2802c4-a4d2-4d8b-9148-e3be6c30e623}">
          <xlrd:rvb i="8414"/>
        </ext>
      </extLst>
    </bk>
    <bk>
      <extLst>
        <ext uri="{3e2802c4-a4d2-4d8b-9148-e3be6c30e623}">
          <xlrd:rvb i="8415"/>
        </ext>
      </extLst>
    </bk>
    <bk>
      <extLst>
        <ext uri="{3e2802c4-a4d2-4d8b-9148-e3be6c30e623}">
          <xlrd:rvb i="8416"/>
        </ext>
      </extLst>
    </bk>
    <bk>
      <extLst>
        <ext uri="{3e2802c4-a4d2-4d8b-9148-e3be6c30e623}">
          <xlrd:rvb i="8417"/>
        </ext>
      </extLst>
    </bk>
    <bk>
      <extLst>
        <ext uri="{3e2802c4-a4d2-4d8b-9148-e3be6c30e623}">
          <xlrd:rvb i="8418"/>
        </ext>
      </extLst>
    </bk>
    <bk>
      <extLst>
        <ext uri="{3e2802c4-a4d2-4d8b-9148-e3be6c30e623}">
          <xlrd:rvb i="8419"/>
        </ext>
      </extLst>
    </bk>
    <bk>
      <extLst>
        <ext uri="{3e2802c4-a4d2-4d8b-9148-e3be6c30e623}">
          <xlrd:rvb i="8420"/>
        </ext>
      </extLst>
    </bk>
    <bk>
      <extLst>
        <ext uri="{3e2802c4-a4d2-4d8b-9148-e3be6c30e623}">
          <xlrd:rvb i="8421"/>
        </ext>
      </extLst>
    </bk>
    <bk>
      <extLst>
        <ext uri="{3e2802c4-a4d2-4d8b-9148-e3be6c30e623}">
          <xlrd:rvb i="8422"/>
        </ext>
      </extLst>
    </bk>
    <bk>
      <extLst>
        <ext uri="{3e2802c4-a4d2-4d8b-9148-e3be6c30e623}">
          <xlrd:rvb i="8423"/>
        </ext>
      </extLst>
    </bk>
    <bk>
      <extLst>
        <ext uri="{3e2802c4-a4d2-4d8b-9148-e3be6c30e623}">
          <xlrd:rvb i="8424"/>
        </ext>
      </extLst>
    </bk>
    <bk>
      <extLst>
        <ext uri="{3e2802c4-a4d2-4d8b-9148-e3be6c30e623}">
          <xlrd:rvb i="8425"/>
        </ext>
      </extLst>
    </bk>
    <bk>
      <extLst>
        <ext uri="{3e2802c4-a4d2-4d8b-9148-e3be6c30e623}">
          <xlrd:rvb i="8426"/>
        </ext>
      </extLst>
    </bk>
    <bk>
      <extLst>
        <ext uri="{3e2802c4-a4d2-4d8b-9148-e3be6c30e623}">
          <xlrd:rvb i="8427"/>
        </ext>
      </extLst>
    </bk>
    <bk>
      <extLst>
        <ext uri="{3e2802c4-a4d2-4d8b-9148-e3be6c30e623}">
          <xlrd:rvb i="8428"/>
        </ext>
      </extLst>
    </bk>
    <bk>
      <extLst>
        <ext uri="{3e2802c4-a4d2-4d8b-9148-e3be6c30e623}">
          <xlrd:rvb i="8429"/>
        </ext>
      </extLst>
    </bk>
    <bk>
      <extLst>
        <ext uri="{3e2802c4-a4d2-4d8b-9148-e3be6c30e623}">
          <xlrd:rvb i="8430"/>
        </ext>
      </extLst>
    </bk>
    <bk>
      <extLst>
        <ext uri="{3e2802c4-a4d2-4d8b-9148-e3be6c30e623}">
          <xlrd:rvb i="8431"/>
        </ext>
      </extLst>
    </bk>
    <bk>
      <extLst>
        <ext uri="{3e2802c4-a4d2-4d8b-9148-e3be6c30e623}">
          <xlrd:rvb i="8432"/>
        </ext>
      </extLst>
    </bk>
    <bk>
      <extLst>
        <ext uri="{3e2802c4-a4d2-4d8b-9148-e3be6c30e623}">
          <xlrd:rvb i="8433"/>
        </ext>
      </extLst>
    </bk>
    <bk>
      <extLst>
        <ext uri="{3e2802c4-a4d2-4d8b-9148-e3be6c30e623}">
          <xlrd:rvb i="8434"/>
        </ext>
      </extLst>
    </bk>
    <bk>
      <extLst>
        <ext uri="{3e2802c4-a4d2-4d8b-9148-e3be6c30e623}">
          <xlrd:rvb i="8435"/>
        </ext>
      </extLst>
    </bk>
    <bk>
      <extLst>
        <ext uri="{3e2802c4-a4d2-4d8b-9148-e3be6c30e623}">
          <xlrd:rvb i="8436"/>
        </ext>
      </extLst>
    </bk>
    <bk>
      <extLst>
        <ext uri="{3e2802c4-a4d2-4d8b-9148-e3be6c30e623}">
          <xlrd:rvb i="8437"/>
        </ext>
      </extLst>
    </bk>
    <bk>
      <extLst>
        <ext uri="{3e2802c4-a4d2-4d8b-9148-e3be6c30e623}">
          <xlrd:rvb i="8438"/>
        </ext>
      </extLst>
    </bk>
    <bk>
      <extLst>
        <ext uri="{3e2802c4-a4d2-4d8b-9148-e3be6c30e623}">
          <xlrd:rvb i="8439"/>
        </ext>
      </extLst>
    </bk>
    <bk>
      <extLst>
        <ext uri="{3e2802c4-a4d2-4d8b-9148-e3be6c30e623}">
          <xlrd:rvb i="8440"/>
        </ext>
      </extLst>
    </bk>
    <bk>
      <extLst>
        <ext uri="{3e2802c4-a4d2-4d8b-9148-e3be6c30e623}">
          <xlrd:rvb i="8441"/>
        </ext>
      </extLst>
    </bk>
    <bk>
      <extLst>
        <ext uri="{3e2802c4-a4d2-4d8b-9148-e3be6c30e623}">
          <xlrd:rvb i="8442"/>
        </ext>
      </extLst>
    </bk>
    <bk>
      <extLst>
        <ext uri="{3e2802c4-a4d2-4d8b-9148-e3be6c30e623}">
          <xlrd:rvb i="8443"/>
        </ext>
      </extLst>
    </bk>
    <bk>
      <extLst>
        <ext uri="{3e2802c4-a4d2-4d8b-9148-e3be6c30e623}">
          <xlrd:rvb i="8444"/>
        </ext>
      </extLst>
    </bk>
    <bk>
      <extLst>
        <ext uri="{3e2802c4-a4d2-4d8b-9148-e3be6c30e623}">
          <xlrd:rvb i="8445"/>
        </ext>
      </extLst>
    </bk>
    <bk>
      <extLst>
        <ext uri="{3e2802c4-a4d2-4d8b-9148-e3be6c30e623}">
          <xlrd:rvb i="8446"/>
        </ext>
      </extLst>
    </bk>
    <bk>
      <extLst>
        <ext uri="{3e2802c4-a4d2-4d8b-9148-e3be6c30e623}">
          <xlrd:rvb i="8447"/>
        </ext>
      </extLst>
    </bk>
    <bk>
      <extLst>
        <ext uri="{3e2802c4-a4d2-4d8b-9148-e3be6c30e623}">
          <xlrd:rvb i="8448"/>
        </ext>
      </extLst>
    </bk>
    <bk>
      <extLst>
        <ext uri="{3e2802c4-a4d2-4d8b-9148-e3be6c30e623}">
          <xlrd:rvb i="8449"/>
        </ext>
      </extLst>
    </bk>
    <bk>
      <extLst>
        <ext uri="{3e2802c4-a4d2-4d8b-9148-e3be6c30e623}">
          <xlrd:rvb i="8450"/>
        </ext>
      </extLst>
    </bk>
    <bk>
      <extLst>
        <ext uri="{3e2802c4-a4d2-4d8b-9148-e3be6c30e623}">
          <xlrd:rvb i="8451"/>
        </ext>
      </extLst>
    </bk>
    <bk>
      <extLst>
        <ext uri="{3e2802c4-a4d2-4d8b-9148-e3be6c30e623}">
          <xlrd:rvb i="8452"/>
        </ext>
      </extLst>
    </bk>
    <bk>
      <extLst>
        <ext uri="{3e2802c4-a4d2-4d8b-9148-e3be6c30e623}">
          <xlrd:rvb i="8453"/>
        </ext>
      </extLst>
    </bk>
    <bk>
      <extLst>
        <ext uri="{3e2802c4-a4d2-4d8b-9148-e3be6c30e623}">
          <xlrd:rvb i="8454"/>
        </ext>
      </extLst>
    </bk>
    <bk>
      <extLst>
        <ext uri="{3e2802c4-a4d2-4d8b-9148-e3be6c30e623}">
          <xlrd:rvb i="8455"/>
        </ext>
      </extLst>
    </bk>
    <bk>
      <extLst>
        <ext uri="{3e2802c4-a4d2-4d8b-9148-e3be6c30e623}">
          <xlrd:rvb i="8456"/>
        </ext>
      </extLst>
    </bk>
    <bk>
      <extLst>
        <ext uri="{3e2802c4-a4d2-4d8b-9148-e3be6c30e623}">
          <xlrd:rvb i="8457"/>
        </ext>
      </extLst>
    </bk>
    <bk>
      <extLst>
        <ext uri="{3e2802c4-a4d2-4d8b-9148-e3be6c30e623}">
          <xlrd:rvb i="8458"/>
        </ext>
      </extLst>
    </bk>
    <bk>
      <extLst>
        <ext uri="{3e2802c4-a4d2-4d8b-9148-e3be6c30e623}">
          <xlrd:rvb i="8459"/>
        </ext>
      </extLst>
    </bk>
    <bk>
      <extLst>
        <ext uri="{3e2802c4-a4d2-4d8b-9148-e3be6c30e623}">
          <xlrd:rvb i="8460"/>
        </ext>
      </extLst>
    </bk>
    <bk>
      <extLst>
        <ext uri="{3e2802c4-a4d2-4d8b-9148-e3be6c30e623}">
          <xlrd:rvb i="8461"/>
        </ext>
      </extLst>
    </bk>
    <bk>
      <extLst>
        <ext uri="{3e2802c4-a4d2-4d8b-9148-e3be6c30e623}">
          <xlrd:rvb i="8462"/>
        </ext>
      </extLst>
    </bk>
    <bk>
      <extLst>
        <ext uri="{3e2802c4-a4d2-4d8b-9148-e3be6c30e623}">
          <xlrd:rvb i="8463"/>
        </ext>
      </extLst>
    </bk>
    <bk>
      <extLst>
        <ext uri="{3e2802c4-a4d2-4d8b-9148-e3be6c30e623}">
          <xlrd:rvb i="8464"/>
        </ext>
      </extLst>
    </bk>
    <bk>
      <extLst>
        <ext uri="{3e2802c4-a4d2-4d8b-9148-e3be6c30e623}">
          <xlrd:rvb i="8465"/>
        </ext>
      </extLst>
    </bk>
    <bk>
      <extLst>
        <ext uri="{3e2802c4-a4d2-4d8b-9148-e3be6c30e623}">
          <xlrd:rvb i="8466"/>
        </ext>
      </extLst>
    </bk>
    <bk>
      <extLst>
        <ext uri="{3e2802c4-a4d2-4d8b-9148-e3be6c30e623}">
          <xlrd:rvb i="8467"/>
        </ext>
      </extLst>
    </bk>
    <bk>
      <extLst>
        <ext uri="{3e2802c4-a4d2-4d8b-9148-e3be6c30e623}">
          <xlrd:rvb i="8468"/>
        </ext>
      </extLst>
    </bk>
    <bk>
      <extLst>
        <ext uri="{3e2802c4-a4d2-4d8b-9148-e3be6c30e623}">
          <xlrd:rvb i="8469"/>
        </ext>
      </extLst>
    </bk>
    <bk>
      <extLst>
        <ext uri="{3e2802c4-a4d2-4d8b-9148-e3be6c30e623}">
          <xlrd:rvb i="8470"/>
        </ext>
      </extLst>
    </bk>
    <bk>
      <extLst>
        <ext uri="{3e2802c4-a4d2-4d8b-9148-e3be6c30e623}">
          <xlrd:rvb i="8471"/>
        </ext>
      </extLst>
    </bk>
    <bk>
      <extLst>
        <ext uri="{3e2802c4-a4d2-4d8b-9148-e3be6c30e623}">
          <xlrd:rvb i="8472"/>
        </ext>
      </extLst>
    </bk>
    <bk>
      <extLst>
        <ext uri="{3e2802c4-a4d2-4d8b-9148-e3be6c30e623}">
          <xlrd:rvb i="8473"/>
        </ext>
      </extLst>
    </bk>
    <bk>
      <extLst>
        <ext uri="{3e2802c4-a4d2-4d8b-9148-e3be6c30e623}">
          <xlrd:rvb i="8474"/>
        </ext>
      </extLst>
    </bk>
    <bk>
      <extLst>
        <ext uri="{3e2802c4-a4d2-4d8b-9148-e3be6c30e623}">
          <xlrd:rvb i="8475"/>
        </ext>
      </extLst>
    </bk>
    <bk>
      <extLst>
        <ext uri="{3e2802c4-a4d2-4d8b-9148-e3be6c30e623}">
          <xlrd:rvb i="8476"/>
        </ext>
      </extLst>
    </bk>
    <bk>
      <extLst>
        <ext uri="{3e2802c4-a4d2-4d8b-9148-e3be6c30e623}">
          <xlrd:rvb i="8477"/>
        </ext>
      </extLst>
    </bk>
    <bk>
      <extLst>
        <ext uri="{3e2802c4-a4d2-4d8b-9148-e3be6c30e623}">
          <xlrd:rvb i="8478"/>
        </ext>
      </extLst>
    </bk>
    <bk>
      <extLst>
        <ext uri="{3e2802c4-a4d2-4d8b-9148-e3be6c30e623}">
          <xlrd:rvb i="8479"/>
        </ext>
      </extLst>
    </bk>
    <bk>
      <extLst>
        <ext uri="{3e2802c4-a4d2-4d8b-9148-e3be6c30e623}">
          <xlrd:rvb i="8480"/>
        </ext>
      </extLst>
    </bk>
    <bk>
      <extLst>
        <ext uri="{3e2802c4-a4d2-4d8b-9148-e3be6c30e623}">
          <xlrd:rvb i="8481"/>
        </ext>
      </extLst>
    </bk>
    <bk>
      <extLst>
        <ext uri="{3e2802c4-a4d2-4d8b-9148-e3be6c30e623}">
          <xlrd:rvb i="8482"/>
        </ext>
      </extLst>
    </bk>
    <bk>
      <extLst>
        <ext uri="{3e2802c4-a4d2-4d8b-9148-e3be6c30e623}">
          <xlrd:rvb i="8483"/>
        </ext>
      </extLst>
    </bk>
    <bk>
      <extLst>
        <ext uri="{3e2802c4-a4d2-4d8b-9148-e3be6c30e623}">
          <xlrd:rvb i="8484"/>
        </ext>
      </extLst>
    </bk>
    <bk>
      <extLst>
        <ext uri="{3e2802c4-a4d2-4d8b-9148-e3be6c30e623}">
          <xlrd:rvb i="8485"/>
        </ext>
      </extLst>
    </bk>
    <bk>
      <extLst>
        <ext uri="{3e2802c4-a4d2-4d8b-9148-e3be6c30e623}">
          <xlrd:rvb i="8486"/>
        </ext>
      </extLst>
    </bk>
    <bk>
      <extLst>
        <ext uri="{3e2802c4-a4d2-4d8b-9148-e3be6c30e623}">
          <xlrd:rvb i="8487"/>
        </ext>
      </extLst>
    </bk>
    <bk>
      <extLst>
        <ext uri="{3e2802c4-a4d2-4d8b-9148-e3be6c30e623}">
          <xlrd:rvb i="8488"/>
        </ext>
      </extLst>
    </bk>
    <bk>
      <extLst>
        <ext uri="{3e2802c4-a4d2-4d8b-9148-e3be6c30e623}">
          <xlrd:rvb i="8489"/>
        </ext>
      </extLst>
    </bk>
    <bk>
      <extLst>
        <ext uri="{3e2802c4-a4d2-4d8b-9148-e3be6c30e623}">
          <xlrd:rvb i="8490"/>
        </ext>
      </extLst>
    </bk>
    <bk>
      <extLst>
        <ext uri="{3e2802c4-a4d2-4d8b-9148-e3be6c30e623}">
          <xlrd:rvb i="8491"/>
        </ext>
      </extLst>
    </bk>
    <bk>
      <extLst>
        <ext uri="{3e2802c4-a4d2-4d8b-9148-e3be6c30e623}">
          <xlrd:rvb i="8492"/>
        </ext>
      </extLst>
    </bk>
    <bk>
      <extLst>
        <ext uri="{3e2802c4-a4d2-4d8b-9148-e3be6c30e623}">
          <xlrd:rvb i="8493"/>
        </ext>
      </extLst>
    </bk>
    <bk>
      <extLst>
        <ext uri="{3e2802c4-a4d2-4d8b-9148-e3be6c30e623}">
          <xlrd:rvb i="8494"/>
        </ext>
      </extLst>
    </bk>
    <bk>
      <extLst>
        <ext uri="{3e2802c4-a4d2-4d8b-9148-e3be6c30e623}">
          <xlrd:rvb i="8495"/>
        </ext>
      </extLst>
    </bk>
    <bk>
      <extLst>
        <ext uri="{3e2802c4-a4d2-4d8b-9148-e3be6c30e623}">
          <xlrd:rvb i="8496"/>
        </ext>
      </extLst>
    </bk>
    <bk>
      <extLst>
        <ext uri="{3e2802c4-a4d2-4d8b-9148-e3be6c30e623}">
          <xlrd:rvb i="8497"/>
        </ext>
      </extLst>
    </bk>
    <bk>
      <extLst>
        <ext uri="{3e2802c4-a4d2-4d8b-9148-e3be6c30e623}">
          <xlrd:rvb i="8498"/>
        </ext>
      </extLst>
    </bk>
    <bk>
      <extLst>
        <ext uri="{3e2802c4-a4d2-4d8b-9148-e3be6c30e623}">
          <xlrd:rvb i="8499"/>
        </ext>
      </extLst>
    </bk>
    <bk>
      <extLst>
        <ext uri="{3e2802c4-a4d2-4d8b-9148-e3be6c30e623}">
          <xlrd:rvb i="8500"/>
        </ext>
      </extLst>
    </bk>
    <bk>
      <extLst>
        <ext uri="{3e2802c4-a4d2-4d8b-9148-e3be6c30e623}">
          <xlrd:rvb i="8501"/>
        </ext>
      </extLst>
    </bk>
    <bk>
      <extLst>
        <ext uri="{3e2802c4-a4d2-4d8b-9148-e3be6c30e623}">
          <xlrd:rvb i="8502"/>
        </ext>
      </extLst>
    </bk>
    <bk>
      <extLst>
        <ext uri="{3e2802c4-a4d2-4d8b-9148-e3be6c30e623}">
          <xlrd:rvb i="8503"/>
        </ext>
      </extLst>
    </bk>
    <bk>
      <extLst>
        <ext uri="{3e2802c4-a4d2-4d8b-9148-e3be6c30e623}">
          <xlrd:rvb i="8504"/>
        </ext>
      </extLst>
    </bk>
    <bk>
      <extLst>
        <ext uri="{3e2802c4-a4d2-4d8b-9148-e3be6c30e623}">
          <xlrd:rvb i="8505"/>
        </ext>
      </extLst>
    </bk>
    <bk>
      <extLst>
        <ext uri="{3e2802c4-a4d2-4d8b-9148-e3be6c30e623}">
          <xlrd:rvb i="8506"/>
        </ext>
      </extLst>
    </bk>
    <bk>
      <extLst>
        <ext uri="{3e2802c4-a4d2-4d8b-9148-e3be6c30e623}">
          <xlrd:rvb i="8507"/>
        </ext>
      </extLst>
    </bk>
    <bk>
      <extLst>
        <ext uri="{3e2802c4-a4d2-4d8b-9148-e3be6c30e623}">
          <xlrd:rvb i="8508"/>
        </ext>
      </extLst>
    </bk>
    <bk>
      <extLst>
        <ext uri="{3e2802c4-a4d2-4d8b-9148-e3be6c30e623}">
          <xlrd:rvb i="8509"/>
        </ext>
      </extLst>
    </bk>
    <bk>
      <extLst>
        <ext uri="{3e2802c4-a4d2-4d8b-9148-e3be6c30e623}">
          <xlrd:rvb i="8510"/>
        </ext>
      </extLst>
    </bk>
    <bk>
      <extLst>
        <ext uri="{3e2802c4-a4d2-4d8b-9148-e3be6c30e623}">
          <xlrd:rvb i="8511"/>
        </ext>
      </extLst>
    </bk>
    <bk>
      <extLst>
        <ext uri="{3e2802c4-a4d2-4d8b-9148-e3be6c30e623}">
          <xlrd:rvb i="8512"/>
        </ext>
      </extLst>
    </bk>
    <bk>
      <extLst>
        <ext uri="{3e2802c4-a4d2-4d8b-9148-e3be6c30e623}">
          <xlrd:rvb i="8513"/>
        </ext>
      </extLst>
    </bk>
    <bk>
      <extLst>
        <ext uri="{3e2802c4-a4d2-4d8b-9148-e3be6c30e623}">
          <xlrd:rvb i="8514"/>
        </ext>
      </extLst>
    </bk>
    <bk>
      <extLst>
        <ext uri="{3e2802c4-a4d2-4d8b-9148-e3be6c30e623}">
          <xlrd:rvb i="8515"/>
        </ext>
      </extLst>
    </bk>
    <bk>
      <extLst>
        <ext uri="{3e2802c4-a4d2-4d8b-9148-e3be6c30e623}">
          <xlrd:rvb i="8516"/>
        </ext>
      </extLst>
    </bk>
    <bk>
      <extLst>
        <ext uri="{3e2802c4-a4d2-4d8b-9148-e3be6c30e623}">
          <xlrd:rvb i="8517"/>
        </ext>
      </extLst>
    </bk>
    <bk>
      <extLst>
        <ext uri="{3e2802c4-a4d2-4d8b-9148-e3be6c30e623}">
          <xlrd:rvb i="8518"/>
        </ext>
      </extLst>
    </bk>
    <bk>
      <extLst>
        <ext uri="{3e2802c4-a4d2-4d8b-9148-e3be6c30e623}">
          <xlrd:rvb i="8519"/>
        </ext>
      </extLst>
    </bk>
    <bk>
      <extLst>
        <ext uri="{3e2802c4-a4d2-4d8b-9148-e3be6c30e623}">
          <xlrd:rvb i="8520"/>
        </ext>
      </extLst>
    </bk>
    <bk>
      <extLst>
        <ext uri="{3e2802c4-a4d2-4d8b-9148-e3be6c30e623}">
          <xlrd:rvb i="8521"/>
        </ext>
      </extLst>
    </bk>
    <bk>
      <extLst>
        <ext uri="{3e2802c4-a4d2-4d8b-9148-e3be6c30e623}">
          <xlrd:rvb i="8522"/>
        </ext>
      </extLst>
    </bk>
    <bk>
      <extLst>
        <ext uri="{3e2802c4-a4d2-4d8b-9148-e3be6c30e623}">
          <xlrd:rvb i="8523"/>
        </ext>
      </extLst>
    </bk>
    <bk>
      <extLst>
        <ext uri="{3e2802c4-a4d2-4d8b-9148-e3be6c30e623}">
          <xlrd:rvb i="8524"/>
        </ext>
      </extLst>
    </bk>
    <bk>
      <extLst>
        <ext uri="{3e2802c4-a4d2-4d8b-9148-e3be6c30e623}">
          <xlrd:rvb i="8525"/>
        </ext>
      </extLst>
    </bk>
    <bk>
      <extLst>
        <ext uri="{3e2802c4-a4d2-4d8b-9148-e3be6c30e623}">
          <xlrd:rvb i="8526"/>
        </ext>
      </extLst>
    </bk>
    <bk>
      <extLst>
        <ext uri="{3e2802c4-a4d2-4d8b-9148-e3be6c30e623}">
          <xlrd:rvb i="8527"/>
        </ext>
      </extLst>
    </bk>
    <bk>
      <extLst>
        <ext uri="{3e2802c4-a4d2-4d8b-9148-e3be6c30e623}">
          <xlrd:rvb i="8528"/>
        </ext>
      </extLst>
    </bk>
    <bk>
      <extLst>
        <ext uri="{3e2802c4-a4d2-4d8b-9148-e3be6c30e623}">
          <xlrd:rvb i="8529"/>
        </ext>
      </extLst>
    </bk>
    <bk>
      <extLst>
        <ext uri="{3e2802c4-a4d2-4d8b-9148-e3be6c30e623}">
          <xlrd:rvb i="8530"/>
        </ext>
      </extLst>
    </bk>
    <bk>
      <extLst>
        <ext uri="{3e2802c4-a4d2-4d8b-9148-e3be6c30e623}">
          <xlrd:rvb i="8531"/>
        </ext>
      </extLst>
    </bk>
    <bk>
      <extLst>
        <ext uri="{3e2802c4-a4d2-4d8b-9148-e3be6c30e623}">
          <xlrd:rvb i="8532"/>
        </ext>
      </extLst>
    </bk>
    <bk>
      <extLst>
        <ext uri="{3e2802c4-a4d2-4d8b-9148-e3be6c30e623}">
          <xlrd:rvb i="8533"/>
        </ext>
      </extLst>
    </bk>
    <bk>
      <extLst>
        <ext uri="{3e2802c4-a4d2-4d8b-9148-e3be6c30e623}">
          <xlrd:rvb i="8534"/>
        </ext>
      </extLst>
    </bk>
    <bk>
      <extLst>
        <ext uri="{3e2802c4-a4d2-4d8b-9148-e3be6c30e623}">
          <xlrd:rvb i="8535"/>
        </ext>
      </extLst>
    </bk>
    <bk>
      <extLst>
        <ext uri="{3e2802c4-a4d2-4d8b-9148-e3be6c30e623}">
          <xlrd:rvb i="8536"/>
        </ext>
      </extLst>
    </bk>
    <bk>
      <extLst>
        <ext uri="{3e2802c4-a4d2-4d8b-9148-e3be6c30e623}">
          <xlrd:rvb i="8537"/>
        </ext>
      </extLst>
    </bk>
    <bk>
      <extLst>
        <ext uri="{3e2802c4-a4d2-4d8b-9148-e3be6c30e623}">
          <xlrd:rvb i="8538"/>
        </ext>
      </extLst>
    </bk>
    <bk>
      <extLst>
        <ext uri="{3e2802c4-a4d2-4d8b-9148-e3be6c30e623}">
          <xlrd:rvb i="8539"/>
        </ext>
      </extLst>
    </bk>
    <bk>
      <extLst>
        <ext uri="{3e2802c4-a4d2-4d8b-9148-e3be6c30e623}">
          <xlrd:rvb i="8540"/>
        </ext>
      </extLst>
    </bk>
    <bk>
      <extLst>
        <ext uri="{3e2802c4-a4d2-4d8b-9148-e3be6c30e623}">
          <xlrd:rvb i="8541"/>
        </ext>
      </extLst>
    </bk>
    <bk>
      <extLst>
        <ext uri="{3e2802c4-a4d2-4d8b-9148-e3be6c30e623}">
          <xlrd:rvb i="8542"/>
        </ext>
      </extLst>
    </bk>
    <bk>
      <extLst>
        <ext uri="{3e2802c4-a4d2-4d8b-9148-e3be6c30e623}">
          <xlrd:rvb i="8543"/>
        </ext>
      </extLst>
    </bk>
    <bk>
      <extLst>
        <ext uri="{3e2802c4-a4d2-4d8b-9148-e3be6c30e623}">
          <xlrd:rvb i="8544"/>
        </ext>
      </extLst>
    </bk>
    <bk>
      <extLst>
        <ext uri="{3e2802c4-a4d2-4d8b-9148-e3be6c30e623}">
          <xlrd:rvb i="8545"/>
        </ext>
      </extLst>
    </bk>
    <bk>
      <extLst>
        <ext uri="{3e2802c4-a4d2-4d8b-9148-e3be6c30e623}">
          <xlrd:rvb i="8546"/>
        </ext>
      </extLst>
    </bk>
    <bk>
      <extLst>
        <ext uri="{3e2802c4-a4d2-4d8b-9148-e3be6c30e623}">
          <xlrd:rvb i="8547"/>
        </ext>
      </extLst>
    </bk>
    <bk>
      <extLst>
        <ext uri="{3e2802c4-a4d2-4d8b-9148-e3be6c30e623}">
          <xlrd:rvb i="8548"/>
        </ext>
      </extLst>
    </bk>
    <bk>
      <extLst>
        <ext uri="{3e2802c4-a4d2-4d8b-9148-e3be6c30e623}">
          <xlrd:rvb i="8549"/>
        </ext>
      </extLst>
    </bk>
    <bk>
      <extLst>
        <ext uri="{3e2802c4-a4d2-4d8b-9148-e3be6c30e623}">
          <xlrd:rvb i="8550"/>
        </ext>
      </extLst>
    </bk>
    <bk>
      <extLst>
        <ext uri="{3e2802c4-a4d2-4d8b-9148-e3be6c30e623}">
          <xlrd:rvb i="8551"/>
        </ext>
      </extLst>
    </bk>
    <bk>
      <extLst>
        <ext uri="{3e2802c4-a4d2-4d8b-9148-e3be6c30e623}">
          <xlrd:rvb i="8552"/>
        </ext>
      </extLst>
    </bk>
    <bk>
      <extLst>
        <ext uri="{3e2802c4-a4d2-4d8b-9148-e3be6c30e623}">
          <xlrd:rvb i="8553"/>
        </ext>
      </extLst>
    </bk>
    <bk>
      <extLst>
        <ext uri="{3e2802c4-a4d2-4d8b-9148-e3be6c30e623}">
          <xlrd:rvb i="8554"/>
        </ext>
      </extLst>
    </bk>
    <bk>
      <extLst>
        <ext uri="{3e2802c4-a4d2-4d8b-9148-e3be6c30e623}">
          <xlrd:rvb i="8555"/>
        </ext>
      </extLst>
    </bk>
    <bk>
      <extLst>
        <ext uri="{3e2802c4-a4d2-4d8b-9148-e3be6c30e623}">
          <xlrd:rvb i="8556"/>
        </ext>
      </extLst>
    </bk>
    <bk>
      <extLst>
        <ext uri="{3e2802c4-a4d2-4d8b-9148-e3be6c30e623}">
          <xlrd:rvb i="8557"/>
        </ext>
      </extLst>
    </bk>
    <bk>
      <extLst>
        <ext uri="{3e2802c4-a4d2-4d8b-9148-e3be6c30e623}">
          <xlrd:rvb i="8558"/>
        </ext>
      </extLst>
    </bk>
    <bk>
      <extLst>
        <ext uri="{3e2802c4-a4d2-4d8b-9148-e3be6c30e623}">
          <xlrd:rvb i="8559"/>
        </ext>
      </extLst>
    </bk>
    <bk>
      <extLst>
        <ext uri="{3e2802c4-a4d2-4d8b-9148-e3be6c30e623}">
          <xlrd:rvb i="8560"/>
        </ext>
      </extLst>
    </bk>
    <bk>
      <extLst>
        <ext uri="{3e2802c4-a4d2-4d8b-9148-e3be6c30e623}">
          <xlrd:rvb i="8561"/>
        </ext>
      </extLst>
    </bk>
    <bk>
      <extLst>
        <ext uri="{3e2802c4-a4d2-4d8b-9148-e3be6c30e623}">
          <xlrd:rvb i="8562"/>
        </ext>
      </extLst>
    </bk>
    <bk>
      <extLst>
        <ext uri="{3e2802c4-a4d2-4d8b-9148-e3be6c30e623}">
          <xlrd:rvb i="8563"/>
        </ext>
      </extLst>
    </bk>
    <bk>
      <extLst>
        <ext uri="{3e2802c4-a4d2-4d8b-9148-e3be6c30e623}">
          <xlrd:rvb i="8564"/>
        </ext>
      </extLst>
    </bk>
    <bk>
      <extLst>
        <ext uri="{3e2802c4-a4d2-4d8b-9148-e3be6c30e623}">
          <xlrd:rvb i="8565"/>
        </ext>
      </extLst>
    </bk>
    <bk>
      <extLst>
        <ext uri="{3e2802c4-a4d2-4d8b-9148-e3be6c30e623}">
          <xlrd:rvb i="8566"/>
        </ext>
      </extLst>
    </bk>
    <bk>
      <extLst>
        <ext uri="{3e2802c4-a4d2-4d8b-9148-e3be6c30e623}">
          <xlrd:rvb i="8567"/>
        </ext>
      </extLst>
    </bk>
    <bk>
      <extLst>
        <ext uri="{3e2802c4-a4d2-4d8b-9148-e3be6c30e623}">
          <xlrd:rvb i="8568"/>
        </ext>
      </extLst>
    </bk>
    <bk>
      <extLst>
        <ext uri="{3e2802c4-a4d2-4d8b-9148-e3be6c30e623}">
          <xlrd:rvb i="8569"/>
        </ext>
      </extLst>
    </bk>
    <bk>
      <extLst>
        <ext uri="{3e2802c4-a4d2-4d8b-9148-e3be6c30e623}">
          <xlrd:rvb i="8570"/>
        </ext>
      </extLst>
    </bk>
    <bk>
      <extLst>
        <ext uri="{3e2802c4-a4d2-4d8b-9148-e3be6c30e623}">
          <xlrd:rvb i="8571"/>
        </ext>
      </extLst>
    </bk>
    <bk>
      <extLst>
        <ext uri="{3e2802c4-a4d2-4d8b-9148-e3be6c30e623}">
          <xlrd:rvb i="8572"/>
        </ext>
      </extLst>
    </bk>
    <bk>
      <extLst>
        <ext uri="{3e2802c4-a4d2-4d8b-9148-e3be6c30e623}">
          <xlrd:rvb i="8573"/>
        </ext>
      </extLst>
    </bk>
    <bk>
      <extLst>
        <ext uri="{3e2802c4-a4d2-4d8b-9148-e3be6c30e623}">
          <xlrd:rvb i="8574"/>
        </ext>
      </extLst>
    </bk>
    <bk>
      <extLst>
        <ext uri="{3e2802c4-a4d2-4d8b-9148-e3be6c30e623}">
          <xlrd:rvb i="8575"/>
        </ext>
      </extLst>
    </bk>
    <bk>
      <extLst>
        <ext uri="{3e2802c4-a4d2-4d8b-9148-e3be6c30e623}">
          <xlrd:rvb i="8576"/>
        </ext>
      </extLst>
    </bk>
    <bk>
      <extLst>
        <ext uri="{3e2802c4-a4d2-4d8b-9148-e3be6c30e623}">
          <xlrd:rvb i="8577"/>
        </ext>
      </extLst>
    </bk>
    <bk>
      <extLst>
        <ext uri="{3e2802c4-a4d2-4d8b-9148-e3be6c30e623}">
          <xlrd:rvb i="8578"/>
        </ext>
      </extLst>
    </bk>
    <bk>
      <extLst>
        <ext uri="{3e2802c4-a4d2-4d8b-9148-e3be6c30e623}">
          <xlrd:rvb i="8579"/>
        </ext>
      </extLst>
    </bk>
    <bk>
      <extLst>
        <ext uri="{3e2802c4-a4d2-4d8b-9148-e3be6c30e623}">
          <xlrd:rvb i="8580"/>
        </ext>
      </extLst>
    </bk>
    <bk>
      <extLst>
        <ext uri="{3e2802c4-a4d2-4d8b-9148-e3be6c30e623}">
          <xlrd:rvb i="8581"/>
        </ext>
      </extLst>
    </bk>
    <bk>
      <extLst>
        <ext uri="{3e2802c4-a4d2-4d8b-9148-e3be6c30e623}">
          <xlrd:rvb i="8582"/>
        </ext>
      </extLst>
    </bk>
    <bk>
      <extLst>
        <ext uri="{3e2802c4-a4d2-4d8b-9148-e3be6c30e623}">
          <xlrd:rvb i="8583"/>
        </ext>
      </extLst>
    </bk>
    <bk>
      <extLst>
        <ext uri="{3e2802c4-a4d2-4d8b-9148-e3be6c30e623}">
          <xlrd:rvb i="8584"/>
        </ext>
      </extLst>
    </bk>
    <bk>
      <extLst>
        <ext uri="{3e2802c4-a4d2-4d8b-9148-e3be6c30e623}">
          <xlrd:rvb i="8585"/>
        </ext>
      </extLst>
    </bk>
    <bk>
      <extLst>
        <ext uri="{3e2802c4-a4d2-4d8b-9148-e3be6c30e623}">
          <xlrd:rvb i="8586"/>
        </ext>
      </extLst>
    </bk>
    <bk>
      <extLst>
        <ext uri="{3e2802c4-a4d2-4d8b-9148-e3be6c30e623}">
          <xlrd:rvb i="8587"/>
        </ext>
      </extLst>
    </bk>
    <bk>
      <extLst>
        <ext uri="{3e2802c4-a4d2-4d8b-9148-e3be6c30e623}">
          <xlrd:rvb i="8588"/>
        </ext>
      </extLst>
    </bk>
    <bk>
      <extLst>
        <ext uri="{3e2802c4-a4d2-4d8b-9148-e3be6c30e623}">
          <xlrd:rvb i="8589"/>
        </ext>
      </extLst>
    </bk>
    <bk>
      <extLst>
        <ext uri="{3e2802c4-a4d2-4d8b-9148-e3be6c30e623}">
          <xlrd:rvb i="8590"/>
        </ext>
      </extLst>
    </bk>
    <bk>
      <extLst>
        <ext uri="{3e2802c4-a4d2-4d8b-9148-e3be6c30e623}">
          <xlrd:rvb i="8591"/>
        </ext>
      </extLst>
    </bk>
    <bk>
      <extLst>
        <ext uri="{3e2802c4-a4d2-4d8b-9148-e3be6c30e623}">
          <xlrd:rvb i="8592"/>
        </ext>
      </extLst>
    </bk>
    <bk>
      <extLst>
        <ext uri="{3e2802c4-a4d2-4d8b-9148-e3be6c30e623}">
          <xlrd:rvb i="8593"/>
        </ext>
      </extLst>
    </bk>
    <bk>
      <extLst>
        <ext uri="{3e2802c4-a4d2-4d8b-9148-e3be6c30e623}">
          <xlrd:rvb i="8594"/>
        </ext>
      </extLst>
    </bk>
    <bk>
      <extLst>
        <ext uri="{3e2802c4-a4d2-4d8b-9148-e3be6c30e623}">
          <xlrd:rvb i="8595"/>
        </ext>
      </extLst>
    </bk>
    <bk>
      <extLst>
        <ext uri="{3e2802c4-a4d2-4d8b-9148-e3be6c30e623}">
          <xlrd:rvb i="8596"/>
        </ext>
      </extLst>
    </bk>
    <bk>
      <extLst>
        <ext uri="{3e2802c4-a4d2-4d8b-9148-e3be6c30e623}">
          <xlrd:rvb i="8597"/>
        </ext>
      </extLst>
    </bk>
    <bk>
      <extLst>
        <ext uri="{3e2802c4-a4d2-4d8b-9148-e3be6c30e623}">
          <xlrd:rvb i="8598"/>
        </ext>
      </extLst>
    </bk>
    <bk>
      <extLst>
        <ext uri="{3e2802c4-a4d2-4d8b-9148-e3be6c30e623}">
          <xlrd:rvb i="8599"/>
        </ext>
      </extLst>
    </bk>
    <bk>
      <extLst>
        <ext uri="{3e2802c4-a4d2-4d8b-9148-e3be6c30e623}">
          <xlrd:rvb i="8600"/>
        </ext>
      </extLst>
    </bk>
    <bk>
      <extLst>
        <ext uri="{3e2802c4-a4d2-4d8b-9148-e3be6c30e623}">
          <xlrd:rvb i="8601"/>
        </ext>
      </extLst>
    </bk>
    <bk>
      <extLst>
        <ext uri="{3e2802c4-a4d2-4d8b-9148-e3be6c30e623}">
          <xlrd:rvb i="8602"/>
        </ext>
      </extLst>
    </bk>
    <bk>
      <extLst>
        <ext uri="{3e2802c4-a4d2-4d8b-9148-e3be6c30e623}">
          <xlrd:rvb i="8603"/>
        </ext>
      </extLst>
    </bk>
    <bk>
      <extLst>
        <ext uri="{3e2802c4-a4d2-4d8b-9148-e3be6c30e623}">
          <xlrd:rvb i="8604"/>
        </ext>
      </extLst>
    </bk>
    <bk>
      <extLst>
        <ext uri="{3e2802c4-a4d2-4d8b-9148-e3be6c30e623}">
          <xlrd:rvb i="8605"/>
        </ext>
      </extLst>
    </bk>
    <bk>
      <extLst>
        <ext uri="{3e2802c4-a4d2-4d8b-9148-e3be6c30e623}">
          <xlrd:rvb i="8606"/>
        </ext>
      </extLst>
    </bk>
    <bk>
      <extLst>
        <ext uri="{3e2802c4-a4d2-4d8b-9148-e3be6c30e623}">
          <xlrd:rvb i="8607"/>
        </ext>
      </extLst>
    </bk>
    <bk>
      <extLst>
        <ext uri="{3e2802c4-a4d2-4d8b-9148-e3be6c30e623}">
          <xlrd:rvb i="8608"/>
        </ext>
      </extLst>
    </bk>
    <bk>
      <extLst>
        <ext uri="{3e2802c4-a4d2-4d8b-9148-e3be6c30e623}">
          <xlrd:rvb i="8609"/>
        </ext>
      </extLst>
    </bk>
    <bk>
      <extLst>
        <ext uri="{3e2802c4-a4d2-4d8b-9148-e3be6c30e623}">
          <xlrd:rvb i="8610"/>
        </ext>
      </extLst>
    </bk>
    <bk>
      <extLst>
        <ext uri="{3e2802c4-a4d2-4d8b-9148-e3be6c30e623}">
          <xlrd:rvb i="8611"/>
        </ext>
      </extLst>
    </bk>
    <bk>
      <extLst>
        <ext uri="{3e2802c4-a4d2-4d8b-9148-e3be6c30e623}">
          <xlrd:rvb i="8612"/>
        </ext>
      </extLst>
    </bk>
    <bk>
      <extLst>
        <ext uri="{3e2802c4-a4d2-4d8b-9148-e3be6c30e623}">
          <xlrd:rvb i="8613"/>
        </ext>
      </extLst>
    </bk>
    <bk>
      <extLst>
        <ext uri="{3e2802c4-a4d2-4d8b-9148-e3be6c30e623}">
          <xlrd:rvb i="8614"/>
        </ext>
      </extLst>
    </bk>
    <bk>
      <extLst>
        <ext uri="{3e2802c4-a4d2-4d8b-9148-e3be6c30e623}">
          <xlrd:rvb i="8615"/>
        </ext>
      </extLst>
    </bk>
    <bk>
      <extLst>
        <ext uri="{3e2802c4-a4d2-4d8b-9148-e3be6c30e623}">
          <xlrd:rvb i="8616"/>
        </ext>
      </extLst>
    </bk>
    <bk>
      <extLst>
        <ext uri="{3e2802c4-a4d2-4d8b-9148-e3be6c30e623}">
          <xlrd:rvb i="8617"/>
        </ext>
      </extLst>
    </bk>
    <bk>
      <extLst>
        <ext uri="{3e2802c4-a4d2-4d8b-9148-e3be6c30e623}">
          <xlrd:rvb i="8618"/>
        </ext>
      </extLst>
    </bk>
    <bk>
      <extLst>
        <ext uri="{3e2802c4-a4d2-4d8b-9148-e3be6c30e623}">
          <xlrd:rvb i="8619"/>
        </ext>
      </extLst>
    </bk>
    <bk>
      <extLst>
        <ext uri="{3e2802c4-a4d2-4d8b-9148-e3be6c30e623}">
          <xlrd:rvb i="8620"/>
        </ext>
      </extLst>
    </bk>
    <bk>
      <extLst>
        <ext uri="{3e2802c4-a4d2-4d8b-9148-e3be6c30e623}">
          <xlrd:rvb i="8621"/>
        </ext>
      </extLst>
    </bk>
    <bk>
      <extLst>
        <ext uri="{3e2802c4-a4d2-4d8b-9148-e3be6c30e623}">
          <xlrd:rvb i="8622"/>
        </ext>
      </extLst>
    </bk>
    <bk>
      <extLst>
        <ext uri="{3e2802c4-a4d2-4d8b-9148-e3be6c30e623}">
          <xlrd:rvb i="8623"/>
        </ext>
      </extLst>
    </bk>
    <bk>
      <extLst>
        <ext uri="{3e2802c4-a4d2-4d8b-9148-e3be6c30e623}">
          <xlrd:rvb i="8624"/>
        </ext>
      </extLst>
    </bk>
    <bk>
      <extLst>
        <ext uri="{3e2802c4-a4d2-4d8b-9148-e3be6c30e623}">
          <xlrd:rvb i="8625"/>
        </ext>
      </extLst>
    </bk>
    <bk>
      <extLst>
        <ext uri="{3e2802c4-a4d2-4d8b-9148-e3be6c30e623}">
          <xlrd:rvb i="8626"/>
        </ext>
      </extLst>
    </bk>
    <bk>
      <extLst>
        <ext uri="{3e2802c4-a4d2-4d8b-9148-e3be6c30e623}">
          <xlrd:rvb i="8627"/>
        </ext>
      </extLst>
    </bk>
    <bk>
      <extLst>
        <ext uri="{3e2802c4-a4d2-4d8b-9148-e3be6c30e623}">
          <xlrd:rvb i="8628"/>
        </ext>
      </extLst>
    </bk>
    <bk>
      <extLst>
        <ext uri="{3e2802c4-a4d2-4d8b-9148-e3be6c30e623}">
          <xlrd:rvb i="8629"/>
        </ext>
      </extLst>
    </bk>
    <bk>
      <extLst>
        <ext uri="{3e2802c4-a4d2-4d8b-9148-e3be6c30e623}">
          <xlrd:rvb i="8630"/>
        </ext>
      </extLst>
    </bk>
    <bk>
      <extLst>
        <ext uri="{3e2802c4-a4d2-4d8b-9148-e3be6c30e623}">
          <xlrd:rvb i="8631"/>
        </ext>
      </extLst>
    </bk>
    <bk>
      <extLst>
        <ext uri="{3e2802c4-a4d2-4d8b-9148-e3be6c30e623}">
          <xlrd:rvb i="8632"/>
        </ext>
      </extLst>
    </bk>
    <bk>
      <extLst>
        <ext uri="{3e2802c4-a4d2-4d8b-9148-e3be6c30e623}">
          <xlrd:rvb i="8633"/>
        </ext>
      </extLst>
    </bk>
    <bk>
      <extLst>
        <ext uri="{3e2802c4-a4d2-4d8b-9148-e3be6c30e623}">
          <xlrd:rvb i="8634"/>
        </ext>
      </extLst>
    </bk>
    <bk>
      <extLst>
        <ext uri="{3e2802c4-a4d2-4d8b-9148-e3be6c30e623}">
          <xlrd:rvb i="8635"/>
        </ext>
      </extLst>
    </bk>
    <bk>
      <extLst>
        <ext uri="{3e2802c4-a4d2-4d8b-9148-e3be6c30e623}">
          <xlrd:rvb i="8636"/>
        </ext>
      </extLst>
    </bk>
    <bk>
      <extLst>
        <ext uri="{3e2802c4-a4d2-4d8b-9148-e3be6c30e623}">
          <xlrd:rvb i="8637"/>
        </ext>
      </extLst>
    </bk>
    <bk>
      <extLst>
        <ext uri="{3e2802c4-a4d2-4d8b-9148-e3be6c30e623}">
          <xlrd:rvb i="8638"/>
        </ext>
      </extLst>
    </bk>
    <bk>
      <extLst>
        <ext uri="{3e2802c4-a4d2-4d8b-9148-e3be6c30e623}">
          <xlrd:rvb i="8639"/>
        </ext>
      </extLst>
    </bk>
    <bk>
      <extLst>
        <ext uri="{3e2802c4-a4d2-4d8b-9148-e3be6c30e623}">
          <xlrd:rvb i="8640"/>
        </ext>
      </extLst>
    </bk>
    <bk>
      <extLst>
        <ext uri="{3e2802c4-a4d2-4d8b-9148-e3be6c30e623}">
          <xlrd:rvb i="8641"/>
        </ext>
      </extLst>
    </bk>
    <bk>
      <extLst>
        <ext uri="{3e2802c4-a4d2-4d8b-9148-e3be6c30e623}">
          <xlrd:rvb i="8642"/>
        </ext>
      </extLst>
    </bk>
    <bk>
      <extLst>
        <ext uri="{3e2802c4-a4d2-4d8b-9148-e3be6c30e623}">
          <xlrd:rvb i="8643"/>
        </ext>
      </extLst>
    </bk>
    <bk>
      <extLst>
        <ext uri="{3e2802c4-a4d2-4d8b-9148-e3be6c30e623}">
          <xlrd:rvb i="8644"/>
        </ext>
      </extLst>
    </bk>
    <bk>
      <extLst>
        <ext uri="{3e2802c4-a4d2-4d8b-9148-e3be6c30e623}">
          <xlrd:rvb i="8645"/>
        </ext>
      </extLst>
    </bk>
    <bk>
      <extLst>
        <ext uri="{3e2802c4-a4d2-4d8b-9148-e3be6c30e623}">
          <xlrd:rvb i="8646"/>
        </ext>
      </extLst>
    </bk>
    <bk>
      <extLst>
        <ext uri="{3e2802c4-a4d2-4d8b-9148-e3be6c30e623}">
          <xlrd:rvb i="8647"/>
        </ext>
      </extLst>
    </bk>
    <bk>
      <extLst>
        <ext uri="{3e2802c4-a4d2-4d8b-9148-e3be6c30e623}">
          <xlrd:rvb i="8648"/>
        </ext>
      </extLst>
    </bk>
    <bk>
      <extLst>
        <ext uri="{3e2802c4-a4d2-4d8b-9148-e3be6c30e623}">
          <xlrd:rvb i="8649"/>
        </ext>
      </extLst>
    </bk>
    <bk>
      <extLst>
        <ext uri="{3e2802c4-a4d2-4d8b-9148-e3be6c30e623}">
          <xlrd:rvb i="8650"/>
        </ext>
      </extLst>
    </bk>
    <bk>
      <extLst>
        <ext uri="{3e2802c4-a4d2-4d8b-9148-e3be6c30e623}">
          <xlrd:rvb i="8651"/>
        </ext>
      </extLst>
    </bk>
    <bk>
      <extLst>
        <ext uri="{3e2802c4-a4d2-4d8b-9148-e3be6c30e623}">
          <xlrd:rvb i="8652"/>
        </ext>
      </extLst>
    </bk>
    <bk>
      <extLst>
        <ext uri="{3e2802c4-a4d2-4d8b-9148-e3be6c30e623}">
          <xlrd:rvb i="8653"/>
        </ext>
      </extLst>
    </bk>
    <bk>
      <extLst>
        <ext uri="{3e2802c4-a4d2-4d8b-9148-e3be6c30e623}">
          <xlrd:rvb i="8654"/>
        </ext>
      </extLst>
    </bk>
    <bk>
      <extLst>
        <ext uri="{3e2802c4-a4d2-4d8b-9148-e3be6c30e623}">
          <xlrd:rvb i="8655"/>
        </ext>
      </extLst>
    </bk>
    <bk>
      <extLst>
        <ext uri="{3e2802c4-a4d2-4d8b-9148-e3be6c30e623}">
          <xlrd:rvb i="8656"/>
        </ext>
      </extLst>
    </bk>
    <bk>
      <extLst>
        <ext uri="{3e2802c4-a4d2-4d8b-9148-e3be6c30e623}">
          <xlrd:rvb i="8657"/>
        </ext>
      </extLst>
    </bk>
    <bk>
      <extLst>
        <ext uri="{3e2802c4-a4d2-4d8b-9148-e3be6c30e623}">
          <xlrd:rvb i="8658"/>
        </ext>
      </extLst>
    </bk>
    <bk>
      <extLst>
        <ext uri="{3e2802c4-a4d2-4d8b-9148-e3be6c30e623}">
          <xlrd:rvb i="8659"/>
        </ext>
      </extLst>
    </bk>
    <bk>
      <extLst>
        <ext uri="{3e2802c4-a4d2-4d8b-9148-e3be6c30e623}">
          <xlrd:rvb i="8660"/>
        </ext>
      </extLst>
    </bk>
    <bk>
      <extLst>
        <ext uri="{3e2802c4-a4d2-4d8b-9148-e3be6c30e623}">
          <xlrd:rvb i="8661"/>
        </ext>
      </extLst>
    </bk>
    <bk>
      <extLst>
        <ext uri="{3e2802c4-a4d2-4d8b-9148-e3be6c30e623}">
          <xlrd:rvb i="8662"/>
        </ext>
      </extLst>
    </bk>
    <bk>
      <extLst>
        <ext uri="{3e2802c4-a4d2-4d8b-9148-e3be6c30e623}">
          <xlrd:rvb i="8663"/>
        </ext>
      </extLst>
    </bk>
    <bk>
      <extLst>
        <ext uri="{3e2802c4-a4d2-4d8b-9148-e3be6c30e623}">
          <xlrd:rvb i="8664"/>
        </ext>
      </extLst>
    </bk>
    <bk>
      <extLst>
        <ext uri="{3e2802c4-a4d2-4d8b-9148-e3be6c30e623}">
          <xlrd:rvb i="8665"/>
        </ext>
      </extLst>
    </bk>
    <bk>
      <extLst>
        <ext uri="{3e2802c4-a4d2-4d8b-9148-e3be6c30e623}">
          <xlrd:rvb i="8666"/>
        </ext>
      </extLst>
    </bk>
    <bk>
      <extLst>
        <ext uri="{3e2802c4-a4d2-4d8b-9148-e3be6c30e623}">
          <xlrd:rvb i="8667"/>
        </ext>
      </extLst>
    </bk>
    <bk>
      <extLst>
        <ext uri="{3e2802c4-a4d2-4d8b-9148-e3be6c30e623}">
          <xlrd:rvb i="8668"/>
        </ext>
      </extLst>
    </bk>
    <bk>
      <extLst>
        <ext uri="{3e2802c4-a4d2-4d8b-9148-e3be6c30e623}">
          <xlrd:rvb i="8669"/>
        </ext>
      </extLst>
    </bk>
    <bk>
      <extLst>
        <ext uri="{3e2802c4-a4d2-4d8b-9148-e3be6c30e623}">
          <xlrd:rvb i="8670"/>
        </ext>
      </extLst>
    </bk>
    <bk>
      <extLst>
        <ext uri="{3e2802c4-a4d2-4d8b-9148-e3be6c30e623}">
          <xlrd:rvb i="8671"/>
        </ext>
      </extLst>
    </bk>
    <bk>
      <extLst>
        <ext uri="{3e2802c4-a4d2-4d8b-9148-e3be6c30e623}">
          <xlrd:rvb i="8672"/>
        </ext>
      </extLst>
    </bk>
    <bk>
      <extLst>
        <ext uri="{3e2802c4-a4d2-4d8b-9148-e3be6c30e623}">
          <xlrd:rvb i="8673"/>
        </ext>
      </extLst>
    </bk>
    <bk>
      <extLst>
        <ext uri="{3e2802c4-a4d2-4d8b-9148-e3be6c30e623}">
          <xlrd:rvb i="8674"/>
        </ext>
      </extLst>
    </bk>
    <bk>
      <extLst>
        <ext uri="{3e2802c4-a4d2-4d8b-9148-e3be6c30e623}">
          <xlrd:rvb i="8675"/>
        </ext>
      </extLst>
    </bk>
    <bk>
      <extLst>
        <ext uri="{3e2802c4-a4d2-4d8b-9148-e3be6c30e623}">
          <xlrd:rvb i="8676"/>
        </ext>
      </extLst>
    </bk>
    <bk>
      <extLst>
        <ext uri="{3e2802c4-a4d2-4d8b-9148-e3be6c30e623}">
          <xlrd:rvb i="8677"/>
        </ext>
      </extLst>
    </bk>
    <bk>
      <extLst>
        <ext uri="{3e2802c4-a4d2-4d8b-9148-e3be6c30e623}">
          <xlrd:rvb i="8678"/>
        </ext>
      </extLst>
    </bk>
    <bk>
      <extLst>
        <ext uri="{3e2802c4-a4d2-4d8b-9148-e3be6c30e623}">
          <xlrd:rvb i="8679"/>
        </ext>
      </extLst>
    </bk>
    <bk>
      <extLst>
        <ext uri="{3e2802c4-a4d2-4d8b-9148-e3be6c30e623}">
          <xlrd:rvb i="8680"/>
        </ext>
      </extLst>
    </bk>
    <bk>
      <extLst>
        <ext uri="{3e2802c4-a4d2-4d8b-9148-e3be6c30e623}">
          <xlrd:rvb i="8681"/>
        </ext>
      </extLst>
    </bk>
    <bk>
      <extLst>
        <ext uri="{3e2802c4-a4d2-4d8b-9148-e3be6c30e623}">
          <xlrd:rvb i="8682"/>
        </ext>
      </extLst>
    </bk>
    <bk>
      <extLst>
        <ext uri="{3e2802c4-a4d2-4d8b-9148-e3be6c30e623}">
          <xlrd:rvb i="8683"/>
        </ext>
      </extLst>
    </bk>
    <bk>
      <extLst>
        <ext uri="{3e2802c4-a4d2-4d8b-9148-e3be6c30e623}">
          <xlrd:rvb i="8684"/>
        </ext>
      </extLst>
    </bk>
    <bk>
      <extLst>
        <ext uri="{3e2802c4-a4d2-4d8b-9148-e3be6c30e623}">
          <xlrd:rvb i="8685"/>
        </ext>
      </extLst>
    </bk>
    <bk>
      <extLst>
        <ext uri="{3e2802c4-a4d2-4d8b-9148-e3be6c30e623}">
          <xlrd:rvb i="8686"/>
        </ext>
      </extLst>
    </bk>
    <bk>
      <extLst>
        <ext uri="{3e2802c4-a4d2-4d8b-9148-e3be6c30e623}">
          <xlrd:rvb i="8687"/>
        </ext>
      </extLst>
    </bk>
    <bk>
      <extLst>
        <ext uri="{3e2802c4-a4d2-4d8b-9148-e3be6c30e623}">
          <xlrd:rvb i="8688"/>
        </ext>
      </extLst>
    </bk>
    <bk>
      <extLst>
        <ext uri="{3e2802c4-a4d2-4d8b-9148-e3be6c30e623}">
          <xlrd:rvb i="8689"/>
        </ext>
      </extLst>
    </bk>
    <bk>
      <extLst>
        <ext uri="{3e2802c4-a4d2-4d8b-9148-e3be6c30e623}">
          <xlrd:rvb i="8690"/>
        </ext>
      </extLst>
    </bk>
    <bk>
      <extLst>
        <ext uri="{3e2802c4-a4d2-4d8b-9148-e3be6c30e623}">
          <xlrd:rvb i="8691"/>
        </ext>
      </extLst>
    </bk>
    <bk>
      <extLst>
        <ext uri="{3e2802c4-a4d2-4d8b-9148-e3be6c30e623}">
          <xlrd:rvb i="8692"/>
        </ext>
      </extLst>
    </bk>
    <bk>
      <extLst>
        <ext uri="{3e2802c4-a4d2-4d8b-9148-e3be6c30e623}">
          <xlrd:rvb i="8693"/>
        </ext>
      </extLst>
    </bk>
    <bk>
      <extLst>
        <ext uri="{3e2802c4-a4d2-4d8b-9148-e3be6c30e623}">
          <xlrd:rvb i="8694"/>
        </ext>
      </extLst>
    </bk>
    <bk>
      <extLst>
        <ext uri="{3e2802c4-a4d2-4d8b-9148-e3be6c30e623}">
          <xlrd:rvb i="8695"/>
        </ext>
      </extLst>
    </bk>
    <bk>
      <extLst>
        <ext uri="{3e2802c4-a4d2-4d8b-9148-e3be6c30e623}">
          <xlrd:rvb i="8696"/>
        </ext>
      </extLst>
    </bk>
    <bk>
      <extLst>
        <ext uri="{3e2802c4-a4d2-4d8b-9148-e3be6c30e623}">
          <xlrd:rvb i="8697"/>
        </ext>
      </extLst>
    </bk>
    <bk>
      <extLst>
        <ext uri="{3e2802c4-a4d2-4d8b-9148-e3be6c30e623}">
          <xlrd:rvb i="8698"/>
        </ext>
      </extLst>
    </bk>
    <bk>
      <extLst>
        <ext uri="{3e2802c4-a4d2-4d8b-9148-e3be6c30e623}">
          <xlrd:rvb i="8699"/>
        </ext>
      </extLst>
    </bk>
    <bk>
      <extLst>
        <ext uri="{3e2802c4-a4d2-4d8b-9148-e3be6c30e623}">
          <xlrd:rvb i="8700"/>
        </ext>
      </extLst>
    </bk>
    <bk>
      <extLst>
        <ext uri="{3e2802c4-a4d2-4d8b-9148-e3be6c30e623}">
          <xlrd:rvb i="8701"/>
        </ext>
      </extLst>
    </bk>
    <bk>
      <extLst>
        <ext uri="{3e2802c4-a4d2-4d8b-9148-e3be6c30e623}">
          <xlrd:rvb i="8702"/>
        </ext>
      </extLst>
    </bk>
    <bk>
      <extLst>
        <ext uri="{3e2802c4-a4d2-4d8b-9148-e3be6c30e623}">
          <xlrd:rvb i="8703"/>
        </ext>
      </extLst>
    </bk>
    <bk>
      <extLst>
        <ext uri="{3e2802c4-a4d2-4d8b-9148-e3be6c30e623}">
          <xlrd:rvb i="8704"/>
        </ext>
      </extLst>
    </bk>
    <bk>
      <extLst>
        <ext uri="{3e2802c4-a4d2-4d8b-9148-e3be6c30e623}">
          <xlrd:rvb i="8705"/>
        </ext>
      </extLst>
    </bk>
    <bk>
      <extLst>
        <ext uri="{3e2802c4-a4d2-4d8b-9148-e3be6c30e623}">
          <xlrd:rvb i="8706"/>
        </ext>
      </extLst>
    </bk>
    <bk>
      <extLst>
        <ext uri="{3e2802c4-a4d2-4d8b-9148-e3be6c30e623}">
          <xlrd:rvb i="8707"/>
        </ext>
      </extLst>
    </bk>
    <bk>
      <extLst>
        <ext uri="{3e2802c4-a4d2-4d8b-9148-e3be6c30e623}">
          <xlrd:rvb i="8708"/>
        </ext>
      </extLst>
    </bk>
    <bk>
      <extLst>
        <ext uri="{3e2802c4-a4d2-4d8b-9148-e3be6c30e623}">
          <xlrd:rvb i="8709"/>
        </ext>
      </extLst>
    </bk>
    <bk>
      <extLst>
        <ext uri="{3e2802c4-a4d2-4d8b-9148-e3be6c30e623}">
          <xlrd:rvb i="8710"/>
        </ext>
      </extLst>
    </bk>
    <bk>
      <extLst>
        <ext uri="{3e2802c4-a4d2-4d8b-9148-e3be6c30e623}">
          <xlrd:rvb i="8711"/>
        </ext>
      </extLst>
    </bk>
    <bk>
      <extLst>
        <ext uri="{3e2802c4-a4d2-4d8b-9148-e3be6c30e623}">
          <xlrd:rvb i="8712"/>
        </ext>
      </extLst>
    </bk>
    <bk>
      <extLst>
        <ext uri="{3e2802c4-a4d2-4d8b-9148-e3be6c30e623}">
          <xlrd:rvb i="8713"/>
        </ext>
      </extLst>
    </bk>
    <bk>
      <extLst>
        <ext uri="{3e2802c4-a4d2-4d8b-9148-e3be6c30e623}">
          <xlrd:rvb i="8714"/>
        </ext>
      </extLst>
    </bk>
    <bk>
      <extLst>
        <ext uri="{3e2802c4-a4d2-4d8b-9148-e3be6c30e623}">
          <xlrd:rvb i="8715"/>
        </ext>
      </extLst>
    </bk>
    <bk>
      <extLst>
        <ext uri="{3e2802c4-a4d2-4d8b-9148-e3be6c30e623}">
          <xlrd:rvb i="8716"/>
        </ext>
      </extLst>
    </bk>
    <bk>
      <extLst>
        <ext uri="{3e2802c4-a4d2-4d8b-9148-e3be6c30e623}">
          <xlrd:rvb i="8717"/>
        </ext>
      </extLst>
    </bk>
    <bk>
      <extLst>
        <ext uri="{3e2802c4-a4d2-4d8b-9148-e3be6c30e623}">
          <xlrd:rvb i="8718"/>
        </ext>
      </extLst>
    </bk>
    <bk>
      <extLst>
        <ext uri="{3e2802c4-a4d2-4d8b-9148-e3be6c30e623}">
          <xlrd:rvb i="8719"/>
        </ext>
      </extLst>
    </bk>
    <bk>
      <extLst>
        <ext uri="{3e2802c4-a4d2-4d8b-9148-e3be6c30e623}">
          <xlrd:rvb i="8720"/>
        </ext>
      </extLst>
    </bk>
    <bk>
      <extLst>
        <ext uri="{3e2802c4-a4d2-4d8b-9148-e3be6c30e623}">
          <xlrd:rvb i="8721"/>
        </ext>
      </extLst>
    </bk>
    <bk>
      <extLst>
        <ext uri="{3e2802c4-a4d2-4d8b-9148-e3be6c30e623}">
          <xlrd:rvb i="8722"/>
        </ext>
      </extLst>
    </bk>
    <bk>
      <extLst>
        <ext uri="{3e2802c4-a4d2-4d8b-9148-e3be6c30e623}">
          <xlrd:rvb i="8723"/>
        </ext>
      </extLst>
    </bk>
    <bk>
      <extLst>
        <ext uri="{3e2802c4-a4d2-4d8b-9148-e3be6c30e623}">
          <xlrd:rvb i="8724"/>
        </ext>
      </extLst>
    </bk>
    <bk>
      <extLst>
        <ext uri="{3e2802c4-a4d2-4d8b-9148-e3be6c30e623}">
          <xlrd:rvb i="8725"/>
        </ext>
      </extLst>
    </bk>
    <bk>
      <extLst>
        <ext uri="{3e2802c4-a4d2-4d8b-9148-e3be6c30e623}">
          <xlrd:rvb i="8726"/>
        </ext>
      </extLst>
    </bk>
    <bk>
      <extLst>
        <ext uri="{3e2802c4-a4d2-4d8b-9148-e3be6c30e623}">
          <xlrd:rvb i="8727"/>
        </ext>
      </extLst>
    </bk>
    <bk>
      <extLst>
        <ext uri="{3e2802c4-a4d2-4d8b-9148-e3be6c30e623}">
          <xlrd:rvb i="8728"/>
        </ext>
      </extLst>
    </bk>
    <bk>
      <extLst>
        <ext uri="{3e2802c4-a4d2-4d8b-9148-e3be6c30e623}">
          <xlrd:rvb i="8729"/>
        </ext>
      </extLst>
    </bk>
    <bk>
      <extLst>
        <ext uri="{3e2802c4-a4d2-4d8b-9148-e3be6c30e623}">
          <xlrd:rvb i="8730"/>
        </ext>
      </extLst>
    </bk>
    <bk>
      <extLst>
        <ext uri="{3e2802c4-a4d2-4d8b-9148-e3be6c30e623}">
          <xlrd:rvb i="8731"/>
        </ext>
      </extLst>
    </bk>
    <bk>
      <extLst>
        <ext uri="{3e2802c4-a4d2-4d8b-9148-e3be6c30e623}">
          <xlrd:rvb i="8732"/>
        </ext>
      </extLst>
    </bk>
    <bk>
      <extLst>
        <ext uri="{3e2802c4-a4d2-4d8b-9148-e3be6c30e623}">
          <xlrd:rvb i="8733"/>
        </ext>
      </extLst>
    </bk>
    <bk>
      <extLst>
        <ext uri="{3e2802c4-a4d2-4d8b-9148-e3be6c30e623}">
          <xlrd:rvb i="8734"/>
        </ext>
      </extLst>
    </bk>
    <bk>
      <extLst>
        <ext uri="{3e2802c4-a4d2-4d8b-9148-e3be6c30e623}">
          <xlrd:rvb i="8735"/>
        </ext>
      </extLst>
    </bk>
    <bk>
      <extLst>
        <ext uri="{3e2802c4-a4d2-4d8b-9148-e3be6c30e623}">
          <xlrd:rvb i="8736"/>
        </ext>
      </extLst>
    </bk>
    <bk>
      <extLst>
        <ext uri="{3e2802c4-a4d2-4d8b-9148-e3be6c30e623}">
          <xlrd:rvb i="8737"/>
        </ext>
      </extLst>
    </bk>
    <bk>
      <extLst>
        <ext uri="{3e2802c4-a4d2-4d8b-9148-e3be6c30e623}">
          <xlrd:rvb i="8738"/>
        </ext>
      </extLst>
    </bk>
    <bk>
      <extLst>
        <ext uri="{3e2802c4-a4d2-4d8b-9148-e3be6c30e623}">
          <xlrd:rvb i="8739"/>
        </ext>
      </extLst>
    </bk>
    <bk>
      <extLst>
        <ext uri="{3e2802c4-a4d2-4d8b-9148-e3be6c30e623}">
          <xlrd:rvb i="8740"/>
        </ext>
      </extLst>
    </bk>
    <bk>
      <extLst>
        <ext uri="{3e2802c4-a4d2-4d8b-9148-e3be6c30e623}">
          <xlrd:rvb i="8741"/>
        </ext>
      </extLst>
    </bk>
    <bk>
      <extLst>
        <ext uri="{3e2802c4-a4d2-4d8b-9148-e3be6c30e623}">
          <xlrd:rvb i="8742"/>
        </ext>
      </extLst>
    </bk>
    <bk>
      <extLst>
        <ext uri="{3e2802c4-a4d2-4d8b-9148-e3be6c30e623}">
          <xlrd:rvb i="8743"/>
        </ext>
      </extLst>
    </bk>
    <bk>
      <extLst>
        <ext uri="{3e2802c4-a4d2-4d8b-9148-e3be6c30e623}">
          <xlrd:rvb i="8744"/>
        </ext>
      </extLst>
    </bk>
    <bk>
      <extLst>
        <ext uri="{3e2802c4-a4d2-4d8b-9148-e3be6c30e623}">
          <xlrd:rvb i="8745"/>
        </ext>
      </extLst>
    </bk>
    <bk>
      <extLst>
        <ext uri="{3e2802c4-a4d2-4d8b-9148-e3be6c30e623}">
          <xlrd:rvb i="8746"/>
        </ext>
      </extLst>
    </bk>
    <bk>
      <extLst>
        <ext uri="{3e2802c4-a4d2-4d8b-9148-e3be6c30e623}">
          <xlrd:rvb i="8747"/>
        </ext>
      </extLst>
    </bk>
    <bk>
      <extLst>
        <ext uri="{3e2802c4-a4d2-4d8b-9148-e3be6c30e623}">
          <xlrd:rvb i="8748"/>
        </ext>
      </extLst>
    </bk>
    <bk>
      <extLst>
        <ext uri="{3e2802c4-a4d2-4d8b-9148-e3be6c30e623}">
          <xlrd:rvb i="8749"/>
        </ext>
      </extLst>
    </bk>
    <bk>
      <extLst>
        <ext uri="{3e2802c4-a4d2-4d8b-9148-e3be6c30e623}">
          <xlrd:rvb i="8750"/>
        </ext>
      </extLst>
    </bk>
    <bk>
      <extLst>
        <ext uri="{3e2802c4-a4d2-4d8b-9148-e3be6c30e623}">
          <xlrd:rvb i="8751"/>
        </ext>
      </extLst>
    </bk>
    <bk>
      <extLst>
        <ext uri="{3e2802c4-a4d2-4d8b-9148-e3be6c30e623}">
          <xlrd:rvb i="8752"/>
        </ext>
      </extLst>
    </bk>
    <bk>
      <extLst>
        <ext uri="{3e2802c4-a4d2-4d8b-9148-e3be6c30e623}">
          <xlrd:rvb i="8753"/>
        </ext>
      </extLst>
    </bk>
    <bk>
      <extLst>
        <ext uri="{3e2802c4-a4d2-4d8b-9148-e3be6c30e623}">
          <xlrd:rvb i="8754"/>
        </ext>
      </extLst>
    </bk>
    <bk>
      <extLst>
        <ext uri="{3e2802c4-a4d2-4d8b-9148-e3be6c30e623}">
          <xlrd:rvb i="8755"/>
        </ext>
      </extLst>
    </bk>
    <bk>
      <extLst>
        <ext uri="{3e2802c4-a4d2-4d8b-9148-e3be6c30e623}">
          <xlrd:rvb i="8756"/>
        </ext>
      </extLst>
    </bk>
    <bk>
      <extLst>
        <ext uri="{3e2802c4-a4d2-4d8b-9148-e3be6c30e623}">
          <xlrd:rvb i="8757"/>
        </ext>
      </extLst>
    </bk>
    <bk>
      <extLst>
        <ext uri="{3e2802c4-a4d2-4d8b-9148-e3be6c30e623}">
          <xlrd:rvb i="8758"/>
        </ext>
      </extLst>
    </bk>
    <bk>
      <extLst>
        <ext uri="{3e2802c4-a4d2-4d8b-9148-e3be6c30e623}">
          <xlrd:rvb i="8759"/>
        </ext>
      </extLst>
    </bk>
    <bk>
      <extLst>
        <ext uri="{3e2802c4-a4d2-4d8b-9148-e3be6c30e623}">
          <xlrd:rvb i="8760"/>
        </ext>
      </extLst>
    </bk>
    <bk>
      <extLst>
        <ext uri="{3e2802c4-a4d2-4d8b-9148-e3be6c30e623}">
          <xlrd:rvb i="8761"/>
        </ext>
      </extLst>
    </bk>
    <bk>
      <extLst>
        <ext uri="{3e2802c4-a4d2-4d8b-9148-e3be6c30e623}">
          <xlrd:rvb i="8762"/>
        </ext>
      </extLst>
    </bk>
    <bk>
      <extLst>
        <ext uri="{3e2802c4-a4d2-4d8b-9148-e3be6c30e623}">
          <xlrd:rvb i="8763"/>
        </ext>
      </extLst>
    </bk>
    <bk>
      <extLst>
        <ext uri="{3e2802c4-a4d2-4d8b-9148-e3be6c30e623}">
          <xlrd:rvb i="8764"/>
        </ext>
      </extLst>
    </bk>
    <bk>
      <extLst>
        <ext uri="{3e2802c4-a4d2-4d8b-9148-e3be6c30e623}">
          <xlrd:rvb i="8765"/>
        </ext>
      </extLst>
    </bk>
    <bk>
      <extLst>
        <ext uri="{3e2802c4-a4d2-4d8b-9148-e3be6c30e623}">
          <xlrd:rvb i="8766"/>
        </ext>
      </extLst>
    </bk>
    <bk>
      <extLst>
        <ext uri="{3e2802c4-a4d2-4d8b-9148-e3be6c30e623}">
          <xlrd:rvb i="8767"/>
        </ext>
      </extLst>
    </bk>
    <bk>
      <extLst>
        <ext uri="{3e2802c4-a4d2-4d8b-9148-e3be6c30e623}">
          <xlrd:rvb i="8768"/>
        </ext>
      </extLst>
    </bk>
    <bk>
      <extLst>
        <ext uri="{3e2802c4-a4d2-4d8b-9148-e3be6c30e623}">
          <xlrd:rvb i="8769"/>
        </ext>
      </extLst>
    </bk>
    <bk>
      <extLst>
        <ext uri="{3e2802c4-a4d2-4d8b-9148-e3be6c30e623}">
          <xlrd:rvb i="8770"/>
        </ext>
      </extLst>
    </bk>
    <bk>
      <extLst>
        <ext uri="{3e2802c4-a4d2-4d8b-9148-e3be6c30e623}">
          <xlrd:rvb i="8771"/>
        </ext>
      </extLst>
    </bk>
    <bk>
      <extLst>
        <ext uri="{3e2802c4-a4d2-4d8b-9148-e3be6c30e623}">
          <xlrd:rvb i="8772"/>
        </ext>
      </extLst>
    </bk>
    <bk>
      <extLst>
        <ext uri="{3e2802c4-a4d2-4d8b-9148-e3be6c30e623}">
          <xlrd:rvb i="8773"/>
        </ext>
      </extLst>
    </bk>
    <bk>
      <extLst>
        <ext uri="{3e2802c4-a4d2-4d8b-9148-e3be6c30e623}">
          <xlrd:rvb i="8774"/>
        </ext>
      </extLst>
    </bk>
    <bk>
      <extLst>
        <ext uri="{3e2802c4-a4d2-4d8b-9148-e3be6c30e623}">
          <xlrd:rvb i="8775"/>
        </ext>
      </extLst>
    </bk>
    <bk>
      <extLst>
        <ext uri="{3e2802c4-a4d2-4d8b-9148-e3be6c30e623}">
          <xlrd:rvb i="8776"/>
        </ext>
      </extLst>
    </bk>
    <bk>
      <extLst>
        <ext uri="{3e2802c4-a4d2-4d8b-9148-e3be6c30e623}">
          <xlrd:rvb i="8777"/>
        </ext>
      </extLst>
    </bk>
    <bk>
      <extLst>
        <ext uri="{3e2802c4-a4d2-4d8b-9148-e3be6c30e623}">
          <xlrd:rvb i="8778"/>
        </ext>
      </extLst>
    </bk>
    <bk>
      <extLst>
        <ext uri="{3e2802c4-a4d2-4d8b-9148-e3be6c30e623}">
          <xlrd:rvb i="8779"/>
        </ext>
      </extLst>
    </bk>
    <bk>
      <extLst>
        <ext uri="{3e2802c4-a4d2-4d8b-9148-e3be6c30e623}">
          <xlrd:rvb i="8780"/>
        </ext>
      </extLst>
    </bk>
    <bk>
      <extLst>
        <ext uri="{3e2802c4-a4d2-4d8b-9148-e3be6c30e623}">
          <xlrd:rvb i="8781"/>
        </ext>
      </extLst>
    </bk>
    <bk>
      <extLst>
        <ext uri="{3e2802c4-a4d2-4d8b-9148-e3be6c30e623}">
          <xlrd:rvb i="8782"/>
        </ext>
      </extLst>
    </bk>
    <bk>
      <extLst>
        <ext uri="{3e2802c4-a4d2-4d8b-9148-e3be6c30e623}">
          <xlrd:rvb i="8783"/>
        </ext>
      </extLst>
    </bk>
    <bk>
      <extLst>
        <ext uri="{3e2802c4-a4d2-4d8b-9148-e3be6c30e623}">
          <xlrd:rvb i="8784"/>
        </ext>
      </extLst>
    </bk>
    <bk>
      <extLst>
        <ext uri="{3e2802c4-a4d2-4d8b-9148-e3be6c30e623}">
          <xlrd:rvb i="8785"/>
        </ext>
      </extLst>
    </bk>
    <bk>
      <extLst>
        <ext uri="{3e2802c4-a4d2-4d8b-9148-e3be6c30e623}">
          <xlrd:rvb i="8786"/>
        </ext>
      </extLst>
    </bk>
    <bk>
      <extLst>
        <ext uri="{3e2802c4-a4d2-4d8b-9148-e3be6c30e623}">
          <xlrd:rvb i="8787"/>
        </ext>
      </extLst>
    </bk>
    <bk>
      <extLst>
        <ext uri="{3e2802c4-a4d2-4d8b-9148-e3be6c30e623}">
          <xlrd:rvb i="8788"/>
        </ext>
      </extLst>
    </bk>
    <bk>
      <extLst>
        <ext uri="{3e2802c4-a4d2-4d8b-9148-e3be6c30e623}">
          <xlrd:rvb i="8789"/>
        </ext>
      </extLst>
    </bk>
    <bk>
      <extLst>
        <ext uri="{3e2802c4-a4d2-4d8b-9148-e3be6c30e623}">
          <xlrd:rvb i="8790"/>
        </ext>
      </extLst>
    </bk>
    <bk>
      <extLst>
        <ext uri="{3e2802c4-a4d2-4d8b-9148-e3be6c30e623}">
          <xlrd:rvb i="8791"/>
        </ext>
      </extLst>
    </bk>
    <bk>
      <extLst>
        <ext uri="{3e2802c4-a4d2-4d8b-9148-e3be6c30e623}">
          <xlrd:rvb i="8792"/>
        </ext>
      </extLst>
    </bk>
    <bk>
      <extLst>
        <ext uri="{3e2802c4-a4d2-4d8b-9148-e3be6c30e623}">
          <xlrd:rvb i="8793"/>
        </ext>
      </extLst>
    </bk>
    <bk>
      <extLst>
        <ext uri="{3e2802c4-a4d2-4d8b-9148-e3be6c30e623}">
          <xlrd:rvb i="8794"/>
        </ext>
      </extLst>
    </bk>
    <bk>
      <extLst>
        <ext uri="{3e2802c4-a4d2-4d8b-9148-e3be6c30e623}">
          <xlrd:rvb i="8795"/>
        </ext>
      </extLst>
    </bk>
    <bk>
      <extLst>
        <ext uri="{3e2802c4-a4d2-4d8b-9148-e3be6c30e623}">
          <xlrd:rvb i="8796"/>
        </ext>
      </extLst>
    </bk>
    <bk>
      <extLst>
        <ext uri="{3e2802c4-a4d2-4d8b-9148-e3be6c30e623}">
          <xlrd:rvb i="8797"/>
        </ext>
      </extLst>
    </bk>
    <bk>
      <extLst>
        <ext uri="{3e2802c4-a4d2-4d8b-9148-e3be6c30e623}">
          <xlrd:rvb i="8798"/>
        </ext>
      </extLst>
    </bk>
    <bk>
      <extLst>
        <ext uri="{3e2802c4-a4d2-4d8b-9148-e3be6c30e623}">
          <xlrd:rvb i="8799"/>
        </ext>
      </extLst>
    </bk>
    <bk>
      <extLst>
        <ext uri="{3e2802c4-a4d2-4d8b-9148-e3be6c30e623}">
          <xlrd:rvb i="8800"/>
        </ext>
      </extLst>
    </bk>
    <bk>
      <extLst>
        <ext uri="{3e2802c4-a4d2-4d8b-9148-e3be6c30e623}">
          <xlrd:rvb i="8801"/>
        </ext>
      </extLst>
    </bk>
    <bk>
      <extLst>
        <ext uri="{3e2802c4-a4d2-4d8b-9148-e3be6c30e623}">
          <xlrd:rvb i="8802"/>
        </ext>
      </extLst>
    </bk>
    <bk>
      <extLst>
        <ext uri="{3e2802c4-a4d2-4d8b-9148-e3be6c30e623}">
          <xlrd:rvb i="8803"/>
        </ext>
      </extLst>
    </bk>
    <bk>
      <extLst>
        <ext uri="{3e2802c4-a4d2-4d8b-9148-e3be6c30e623}">
          <xlrd:rvb i="8804"/>
        </ext>
      </extLst>
    </bk>
    <bk>
      <extLst>
        <ext uri="{3e2802c4-a4d2-4d8b-9148-e3be6c30e623}">
          <xlrd:rvb i="8805"/>
        </ext>
      </extLst>
    </bk>
    <bk>
      <extLst>
        <ext uri="{3e2802c4-a4d2-4d8b-9148-e3be6c30e623}">
          <xlrd:rvb i="8806"/>
        </ext>
      </extLst>
    </bk>
    <bk>
      <extLst>
        <ext uri="{3e2802c4-a4d2-4d8b-9148-e3be6c30e623}">
          <xlrd:rvb i="8807"/>
        </ext>
      </extLst>
    </bk>
    <bk>
      <extLst>
        <ext uri="{3e2802c4-a4d2-4d8b-9148-e3be6c30e623}">
          <xlrd:rvb i="8808"/>
        </ext>
      </extLst>
    </bk>
    <bk>
      <extLst>
        <ext uri="{3e2802c4-a4d2-4d8b-9148-e3be6c30e623}">
          <xlrd:rvb i="8809"/>
        </ext>
      </extLst>
    </bk>
    <bk>
      <extLst>
        <ext uri="{3e2802c4-a4d2-4d8b-9148-e3be6c30e623}">
          <xlrd:rvb i="8810"/>
        </ext>
      </extLst>
    </bk>
    <bk>
      <extLst>
        <ext uri="{3e2802c4-a4d2-4d8b-9148-e3be6c30e623}">
          <xlrd:rvb i="8811"/>
        </ext>
      </extLst>
    </bk>
    <bk>
      <extLst>
        <ext uri="{3e2802c4-a4d2-4d8b-9148-e3be6c30e623}">
          <xlrd:rvb i="8812"/>
        </ext>
      </extLst>
    </bk>
    <bk>
      <extLst>
        <ext uri="{3e2802c4-a4d2-4d8b-9148-e3be6c30e623}">
          <xlrd:rvb i="8813"/>
        </ext>
      </extLst>
    </bk>
    <bk>
      <extLst>
        <ext uri="{3e2802c4-a4d2-4d8b-9148-e3be6c30e623}">
          <xlrd:rvb i="8814"/>
        </ext>
      </extLst>
    </bk>
    <bk>
      <extLst>
        <ext uri="{3e2802c4-a4d2-4d8b-9148-e3be6c30e623}">
          <xlrd:rvb i="8815"/>
        </ext>
      </extLst>
    </bk>
    <bk>
      <extLst>
        <ext uri="{3e2802c4-a4d2-4d8b-9148-e3be6c30e623}">
          <xlrd:rvb i="8816"/>
        </ext>
      </extLst>
    </bk>
    <bk>
      <extLst>
        <ext uri="{3e2802c4-a4d2-4d8b-9148-e3be6c30e623}">
          <xlrd:rvb i="8817"/>
        </ext>
      </extLst>
    </bk>
    <bk>
      <extLst>
        <ext uri="{3e2802c4-a4d2-4d8b-9148-e3be6c30e623}">
          <xlrd:rvb i="8818"/>
        </ext>
      </extLst>
    </bk>
    <bk>
      <extLst>
        <ext uri="{3e2802c4-a4d2-4d8b-9148-e3be6c30e623}">
          <xlrd:rvb i="8819"/>
        </ext>
      </extLst>
    </bk>
    <bk>
      <extLst>
        <ext uri="{3e2802c4-a4d2-4d8b-9148-e3be6c30e623}">
          <xlrd:rvb i="8820"/>
        </ext>
      </extLst>
    </bk>
    <bk>
      <extLst>
        <ext uri="{3e2802c4-a4d2-4d8b-9148-e3be6c30e623}">
          <xlrd:rvb i="8821"/>
        </ext>
      </extLst>
    </bk>
    <bk>
      <extLst>
        <ext uri="{3e2802c4-a4d2-4d8b-9148-e3be6c30e623}">
          <xlrd:rvb i="8822"/>
        </ext>
      </extLst>
    </bk>
    <bk>
      <extLst>
        <ext uri="{3e2802c4-a4d2-4d8b-9148-e3be6c30e623}">
          <xlrd:rvb i="8823"/>
        </ext>
      </extLst>
    </bk>
    <bk>
      <extLst>
        <ext uri="{3e2802c4-a4d2-4d8b-9148-e3be6c30e623}">
          <xlrd:rvb i="8824"/>
        </ext>
      </extLst>
    </bk>
    <bk>
      <extLst>
        <ext uri="{3e2802c4-a4d2-4d8b-9148-e3be6c30e623}">
          <xlrd:rvb i="8825"/>
        </ext>
      </extLst>
    </bk>
    <bk>
      <extLst>
        <ext uri="{3e2802c4-a4d2-4d8b-9148-e3be6c30e623}">
          <xlrd:rvb i="8826"/>
        </ext>
      </extLst>
    </bk>
    <bk>
      <extLst>
        <ext uri="{3e2802c4-a4d2-4d8b-9148-e3be6c30e623}">
          <xlrd:rvb i="8827"/>
        </ext>
      </extLst>
    </bk>
    <bk>
      <extLst>
        <ext uri="{3e2802c4-a4d2-4d8b-9148-e3be6c30e623}">
          <xlrd:rvb i="8828"/>
        </ext>
      </extLst>
    </bk>
    <bk>
      <extLst>
        <ext uri="{3e2802c4-a4d2-4d8b-9148-e3be6c30e623}">
          <xlrd:rvb i="8829"/>
        </ext>
      </extLst>
    </bk>
    <bk>
      <extLst>
        <ext uri="{3e2802c4-a4d2-4d8b-9148-e3be6c30e623}">
          <xlrd:rvb i="8830"/>
        </ext>
      </extLst>
    </bk>
    <bk>
      <extLst>
        <ext uri="{3e2802c4-a4d2-4d8b-9148-e3be6c30e623}">
          <xlrd:rvb i="8831"/>
        </ext>
      </extLst>
    </bk>
    <bk>
      <extLst>
        <ext uri="{3e2802c4-a4d2-4d8b-9148-e3be6c30e623}">
          <xlrd:rvb i="8832"/>
        </ext>
      </extLst>
    </bk>
    <bk>
      <extLst>
        <ext uri="{3e2802c4-a4d2-4d8b-9148-e3be6c30e623}">
          <xlrd:rvb i="8833"/>
        </ext>
      </extLst>
    </bk>
    <bk>
      <extLst>
        <ext uri="{3e2802c4-a4d2-4d8b-9148-e3be6c30e623}">
          <xlrd:rvb i="8834"/>
        </ext>
      </extLst>
    </bk>
    <bk>
      <extLst>
        <ext uri="{3e2802c4-a4d2-4d8b-9148-e3be6c30e623}">
          <xlrd:rvb i="8835"/>
        </ext>
      </extLst>
    </bk>
    <bk>
      <extLst>
        <ext uri="{3e2802c4-a4d2-4d8b-9148-e3be6c30e623}">
          <xlrd:rvb i="8836"/>
        </ext>
      </extLst>
    </bk>
    <bk>
      <extLst>
        <ext uri="{3e2802c4-a4d2-4d8b-9148-e3be6c30e623}">
          <xlrd:rvb i="8837"/>
        </ext>
      </extLst>
    </bk>
    <bk>
      <extLst>
        <ext uri="{3e2802c4-a4d2-4d8b-9148-e3be6c30e623}">
          <xlrd:rvb i="8838"/>
        </ext>
      </extLst>
    </bk>
    <bk>
      <extLst>
        <ext uri="{3e2802c4-a4d2-4d8b-9148-e3be6c30e623}">
          <xlrd:rvb i="8839"/>
        </ext>
      </extLst>
    </bk>
    <bk>
      <extLst>
        <ext uri="{3e2802c4-a4d2-4d8b-9148-e3be6c30e623}">
          <xlrd:rvb i="8840"/>
        </ext>
      </extLst>
    </bk>
    <bk>
      <extLst>
        <ext uri="{3e2802c4-a4d2-4d8b-9148-e3be6c30e623}">
          <xlrd:rvb i="8841"/>
        </ext>
      </extLst>
    </bk>
    <bk>
      <extLst>
        <ext uri="{3e2802c4-a4d2-4d8b-9148-e3be6c30e623}">
          <xlrd:rvb i="8842"/>
        </ext>
      </extLst>
    </bk>
    <bk>
      <extLst>
        <ext uri="{3e2802c4-a4d2-4d8b-9148-e3be6c30e623}">
          <xlrd:rvb i="8843"/>
        </ext>
      </extLst>
    </bk>
    <bk>
      <extLst>
        <ext uri="{3e2802c4-a4d2-4d8b-9148-e3be6c30e623}">
          <xlrd:rvb i="8844"/>
        </ext>
      </extLst>
    </bk>
    <bk>
      <extLst>
        <ext uri="{3e2802c4-a4d2-4d8b-9148-e3be6c30e623}">
          <xlrd:rvb i="8845"/>
        </ext>
      </extLst>
    </bk>
    <bk>
      <extLst>
        <ext uri="{3e2802c4-a4d2-4d8b-9148-e3be6c30e623}">
          <xlrd:rvb i="8846"/>
        </ext>
      </extLst>
    </bk>
    <bk>
      <extLst>
        <ext uri="{3e2802c4-a4d2-4d8b-9148-e3be6c30e623}">
          <xlrd:rvb i="8847"/>
        </ext>
      </extLst>
    </bk>
    <bk>
      <extLst>
        <ext uri="{3e2802c4-a4d2-4d8b-9148-e3be6c30e623}">
          <xlrd:rvb i="8848"/>
        </ext>
      </extLst>
    </bk>
    <bk>
      <extLst>
        <ext uri="{3e2802c4-a4d2-4d8b-9148-e3be6c30e623}">
          <xlrd:rvb i="8849"/>
        </ext>
      </extLst>
    </bk>
    <bk>
      <extLst>
        <ext uri="{3e2802c4-a4d2-4d8b-9148-e3be6c30e623}">
          <xlrd:rvb i="8850"/>
        </ext>
      </extLst>
    </bk>
    <bk>
      <extLst>
        <ext uri="{3e2802c4-a4d2-4d8b-9148-e3be6c30e623}">
          <xlrd:rvb i="8851"/>
        </ext>
      </extLst>
    </bk>
    <bk>
      <extLst>
        <ext uri="{3e2802c4-a4d2-4d8b-9148-e3be6c30e623}">
          <xlrd:rvb i="8852"/>
        </ext>
      </extLst>
    </bk>
    <bk>
      <extLst>
        <ext uri="{3e2802c4-a4d2-4d8b-9148-e3be6c30e623}">
          <xlrd:rvb i="8853"/>
        </ext>
      </extLst>
    </bk>
    <bk>
      <extLst>
        <ext uri="{3e2802c4-a4d2-4d8b-9148-e3be6c30e623}">
          <xlrd:rvb i="8854"/>
        </ext>
      </extLst>
    </bk>
    <bk>
      <extLst>
        <ext uri="{3e2802c4-a4d2-4d8b-9148-e3be6c30e623}">
          <xlrd:rvb i="8855"/>
        </ext>
      </extLst>
    </bk>
    <bk>
      <extLst>
        <ext uri="{3e2802c4-a4d2-4d8b-9148-e3be6c30e623}">
          <xlrd:rvb i="8856"/>
        </ext>
      </extLst>
    </bk>
    <bk>
      <extLst>
        <ext uri="{3e2802c4-a4d2-4d8b-9148-e3be6c30e623}">
          <xlrd:rvb i="8857"/>
        </ext>
      </extLst>
    </bk>
    <bk>
      <extLst>
        <ext uri="{3e2802c4-a4d2-4d8b-9148-e3be6c30e623}">
          <xlrd:rvb i="8858"/>
        </ext>
      </extLst>
    </bk>
    <bk>
      <extLst>
        <ext uri="{3e2802c4-a4d2-4d8b-9148-e3be6c30e623}">
          <xlrd:rvb i="8859"/>
        </ext>
      </extLst>
    </bk>
    <bk>
      <extLst>
        <ext uri="{3e2802c4-a4d2-4d8b-9148-e3be6c30e623}">
          <xlrd:rvb i="8860"/>
        </ext>
      </extLst>
    </bk>
    <bk>
      <extLst>
        <ext uri="{3e2802c4-a4d2-4d8b-9148-e3be6c30e623}">
          <xlrd:rvb i="8861"/>
        </ext>
      </extLst>
    </bk>
    <bk>
      <extLst>
        <ext uri="{3e2802c4-a4d2-4d8b-9148-e3be6c30e623}">
          <xlrd:rvb i="8862"/>
        </ext>
      </extLst>
    </bk>
    <bk>
      <extLst>
        <ext uri="{3e2802c4-a4d2-4d8b-9148-e3be6c30e623}">
          <xlrd:rvb i="8863"/>
        </ext>
      </extLst>
    </bk>
    <bk>
      <extLst>
        <ext uri="{3e2802c4-a4d2-4d8b-9148-e3be6c30e623}">
          <xlrd:rvb i="8864"/>
        </ext>
      </extLst>
    </bk>
    <bk>
      <extLst>
        <ext uri="{3e2802c4-a4d2-4d8b-9148-e3be6c30e623}">
          <xlrd:rvb i="8865"/>
        </ext>
      </extLst>
    </bk>
    <bk>
      <extLst>
        <ext uri="{3e2802c4-a4d2-4d8b-9148-e3be6c30e623}">
          <xlrd:rvb i="8866"/>
        </ext>
      </extLst>
    </bk>
    <bk>
      <extLst>
        <ext uri="{3e2802c4-a4d2-4d8b-9148-e3be6c30e623}">
          <xlrd:rvb i="8867"/>
        </ext>
      </extLst>
    </bk>
    <bk>
      <extLst>
        <ext uri="{3e2802c4-a4d2-4d8b-9148-e3be6c30e623}">
          <xlrd:rvb i="8868"/>
        </ext>
      </extLst>
    </bk>
    <bk>
      <extLst>
        <ext uri="{3e2802c4-a4d2-4d8b-9148-e3be6c30e623}">
          <xlrd:rvb i="8869"/>
        </ext>
      </extLst>
    </bk>
    <bk>
      <extLst>
        <ext uri="{3e2802c4-a4d2-4d8b-9148-e3be6c30e623}">
          <xlrd:rvb i="8870"/>
        </ext>
      </extLst>
    </bk>
    <bk>
      <extLst>
        <ext uri="{3e2802c4-a4d2-4d8b-9148-e3be6c30e623}">
          <xlrd:rvb i="8871"/>
        </ext>
      </extLst>
    </bk>
    <bk>
      <extLst>
        <ext uri="{3e2802c4-a4d2-4d8b-9148-e3be6c30e623}">
          <xlrd:rvb i="8872"/>
        </ext>
      </extLst>
    </bk>
    <bk>
      <extLst>
        <ext uri="{3e2802c4-a4d2-4d8b-9148-e3be6c30e623}">
          <xlrd:rvb i="8873"/>
        </ext>
      </extLst>
    </bk>
    <bk>
      <extLst>
        <ext uri="{3e2802c4-a4d2-4d8b-9148-e3be6c30e623}">
          <xlrd:rvb i="8874"/>
        </ext>
      </extLst>
    </bk>
    <bk>
      <extLst>
        <ext uri="{3e2802c4-a4d2-4d8b-9148-e3be6c30e623}">
          <xlrd:rvb i="8875"/>
        </ext>
      </extLst>
    </bk>
    <bk>
      <extLst>
        <ext uri="{3e2802c4-a4d2-4d8b-9148-e3be6c30e623}">
          <xlrd:rvb i="8876"/>
        </ext>
      </extLst>
    </bk>
    <bk>
      <extLst>
        <ext uri="{3e2802c4-a4d2-4d8b-9148-e3be6c30e623}">
          <xlrd:rvb i="8877"/>
        </ext>
      </extLst>
    </bk>
    <bk>
      <extLst>
        <ext uri="{3e2802c4-a4d2-4d8b-9148-e3be6c30e623}">
          <xlrd:rvb i="8878"/>
        </ext>
      </extLst>
    </bk>
    <bk>
      <extLst>
        <ext uri="{3e2802c4-a4d2-4d8b-9148-e3be6c30e623}">
          <xlrd:rvb i="8879"/>
        </ext>
      </extLst>
    </bk>
    <bk>
      <extLst>
        <ext uri="{3e2802c4-a4d2-4d8b-9148-e3be6c30e623}">
          <xlrd:rvb i="8880"/>
        </ext>
      </extLst>
    </bk>
    <bk>
      <extLst>
        <ext uri="{3e2802c4-a4d2-4d8b-9148-e3be6c30e623}">
          <xlrd:rvb i="8881"/>
        </ext>
      </extLst>
    </bk>
    <bk>
      <extLst>
        <ext uri="{3e2802c4-a4d2-4d8b-9148-e3be6c30e623}">
          <xlrd:rvb i="8882"/>
        </ext>
      </extLst>
    </bk>
    <bk>
      <extLst>
        <ext uri="{3e2802c4-a4d2-4d8b-9148-e3be6c30e623}">
          <xlrd:rvb i="8883"/>
        </ext>
      </extLst>
    </bk>
    <bk>
      <extLst>
        <ext uri="{3e2802c4-a4d2-4d8b-9148-e3be6c30e623}">
          <xlrd:rvb i="8884"/>
        </ext>
      </extLst>
    </bk>
    <bk>
      <extLst>
        <ext uri="{3e2802c4-a4d2-4d8b-9148-e3be6c30e623}">
          <xlrd:rvb i="8885"/>
        </ext>
      </extLst>
    </bk>
    <bk>
      <extLst>
        <ext uri="{3e2802c4-a4d2-4d8b-9148-e3be6c30e623}">
          <xlrd:rvb i="8886"/>
        </ext>
      </extLst>
    </bk>
    <bk>
      <extLst>
        <ext uri="{3e2802c4-a4d2-4d8b-9148-e3be6c30e623}">
          <xlrd:rvb i="8887"/>
        </ext>
      </extLst>
    </bk>
    <bk>
      <extLst>
        <ext uri="{3e2802c4-a4d2-4d8b-9148-e3be6c30e623}">
          <xlrd:rvb i="8888"/>
        </ext>
      </extLst>
    </bk>
    <bk>
      <extLst>
        <ext uri="{3e2802c4-a4d2-4d8b-9148-e3be6c30e623}">
          <xlrd:rvb i="8889"/>
        </ext>
      </extLst>
    </bk>
    <bk>
      <extLst>
        <ext uri="{3e2802c4-a4d2-4d8b-9148-e3be6c30e623}">
          <xlrd:rvb i="8890"/>
        </ext>
      </extLst>
    </bk>
    <bk>
      <extLst>
        <ext uri="{3e2802c4-a4d2-4d8b-9148-e3be6c30e623}">
          <xlrd:rvb i="8891"/>
        </ext>
      </extLst>
    </bk>
    <bk>
      <extLst>
        <ext uri="{3e2802c4-a4d2-4d8b-9148-e3be6c30e623}">
          <xlrd:rvb i="8892"/>
        </ext>
      </extLst>
    </bk>
    <bk>
      <extLst>
        <ext uri="{3e2802c4-a4d2-4d8b-9148-e3be6c30e623}">
          <xlrd:rvb i="8893"/>
        </ext>
      </extLst>
    </bk>
    <bk>
      <extLst>
        <ext uri="{3e2802c4-a4d2-4d8b-9148-e3be6c30e623}">
          <xlrd:rvb i="8894"/>
        </ext>
      </extLst>
    </bk>
    <bk>
      <extLst>
        <ext uri="{3e2802c4-a4d2-4d8b-9148-e3be6c30e623}">
          <xlrd:rvb i="8895"/>
        </ext>
      </extLst>
    </bk>
    <bk>
      <extLst>
        <ext uri="{3e2802c4-a4d2-4d8b-9148-e3be6c30e623}">
          <xlrd:rvb i="8896"/>
        </ext>
      </extLst>
    </bk>
    <bk>
      <extLst>
        <ext uri="{3e2802c4-a4d2-4d8b-9148-e3be6c30e623}">
          <xlrd:rvb i="8897"/>
        </ext>
      </extLst>
    </bk>
    <bk>
      <extLst>
        <ext uri="{3e2802c4-a4d2-4d8b-9148-e3be6c30e623}">
          <xlrd:rvb i="8898"/>
        </ext>
      </extLst>
    </bk>
    <bk>
      <extLst>
        <ext uri="{3e2802c4-a4d2-4d8b-9148-e3be6c30e623}">
          <xlrd:rvb i="8899"/>
        </ext>
      </extLst>
    </bk>
    <bk>
      <extLst>
        <ext uri="{3e2802c4-a4d2-4d8b-9148-e3be6c30e623}">
          <xlrd:rvb i="8900"/>
        </ext>
      </extLst>
    </bk>
    <bk>
      <extLst>
        <ext uri="{3e2802c4-a4d2-4d8b-9148-e3be6c30e623}">
          <xlrd:rvb i="8901"/>
        </ext>
      </extLst>
    </bk>
    <bk>
      <extLst>
        <ext uri="{3e2802c4-a4d2-4d8b-9148-e3be6c30e623}">
          <xlrd:rvb i="8902"/>
        </ext>
      </extLst>
    </bk>
    <bk>
      <extLst>
        <ext uri="{3e2802c4-a4d2-4d8b-9148-e3be6c30e623}">
          <xlrd:rvb i="8903"/>
        </ext>
      </extLst>
    </bk>
    <bk>
      <extLst>
        <ext uri="{3e2802c4-a4d2-4d8b-9148-e3be6c30e623}">
          <xlrd:rvb i="8904"/>
        </ext>
      </extLst>
    </bk>
    <bk>
      <extLst>
        <ext uri="{3e2802c4-a4d2-4d8b-9148-e3be6c30e623}">
          <xlrd:rvb i="8905"/>
        </ext>
      </extLst>
    </bk>
    <bk>
      <extLst>
        <ext uri="{3e2802c4-a4d2-4d8b-9148-e3be6c30e623}">
          <xlrd:rvb i="8906"/>
        </ext>
      </extLst>
    </bk>
    <bk>
      <extLst>
        <ext uri="{3e2802c4-a4d2-4d8b-9148-e3be6c30e623}">
          <xlrd:rvb i="8907"/>
        </ext>
      </extLst>
    </bk>
    <bk>
      <extLst>
        <ext uri="{3e2802c4-a4d2-4d8b-9148-e3be6c30e623}">
          <xlrd:rvb i="8908"/>
        </ext>
      </extLst>
    </bk>
    <bk>
      <extLst>
        <ext uri="{3e2802c4-a4d2-4d8b-9148-e3be6c30e623}">
          <xlrd:rvb i="8909"/>
        </ext>
      </extLst>
    </bk>
    <bk>
      <extLst>
        <ext uri="{3e2802c4-a4d2-4d8b-9148-e3be6c30e623}">
          <xlrd:rvb i="8910"/>
        </ext>
      </extLst>
    </bk>
    <bk>
      <extLst>
        <ext uri="{3e2802c4-a4d2-4d8b-9148-e3be6c30e623}">
          <xlrd:rvb i="8911"/>
        </ext>
      </extLst>
    </bk>
    <bk>
      <extLst>
        <ext uri="{3e2802c4-a4d2-4d8b-9148-e3be6c30e623}">
          <xlrd:rvb i="8912"/>
        </ext>
      </extLst>
    </bk>
    <bk>
      <extLst>
        <ext uri="{3e2802c4-a4d2-4d8b-9148-e3be6c30e623}">
          <xlrd:rvb i="8913"/>
        </ext>
      </extLst>
    </bk>
    <bk>
      <extLst>
        <ext uri="{3e2802c4-a4d2-4d8b-9148-e3be6c30e623}">
          <xlrd:rvb i="8914"/>
        </ext>
      </extLst>
    </bk>
    <bk>
      <extLst>
        <ext uri="{3e2802c4-a4d2-4d8b-9148-e3be6c30e623}">
          <xlrd:rvb i="8915"/>
        </ext>
      </extLst>
    </bk>
    <bk>
      <extLst>
        <ext uri="{3e2802c4-a4d2-4d8b-9148-e3be6c30e623}">
          <xlrd:rvb i="8916"/>
        </ext>
      </extLst>
    </bk>
    <bk>
      <extLst>
        <ext uri="{3e2802c4-a4d2-4d8b-9148-e3be6c30e623}">
          <xlrd:rvb i="8917"/>
        </ext>
      </extLst>
    </bk>
    <bk>
      <extLst>
        <ext uri="{3e2802c4-a4d2-4d8b-9148-e3be6c30e623}">
          <xlrd:rvb i="8918"/>
        </ext>
      </extLst>
    </bk>
    <bk>
      <extLst>
        <ext uri="{3e2802c4-a4d2-4d8b-9148-e3be6c30e623}">
          <xlrd:rvb i="8919"/>
        </ext>
      </extLst>
    </bk>
    <bk>
      <extLst>
        <ext uri="{3e2802c4-a4d2-4d8b-9148-e3be6c30e623}">
          <xlrd:rvb i="8920"/>
        </ext>
      </extLst>
    </bk>
    <bk>
      <extLst>
        <ext uri="{3e2802c4-a4d2-4d8b-9148-e3be6c30e623}">
          <xlrd:rvb i="8921"/>
        </ext>
      </extLst>
    </bk>
    <bk>
      <extLst>
        <ext uri="{3e2802c4-a4d2-4d8b-9148-e3be6c30e623}">
          <xlrd:rvb i="8922"/>
        </ext>
      </extLst>
    </bk>
    <bk>
      <extLst>
        <ext uri="{3e2802c4-a4d2-4d8b-9148-e3be6c30e623}">
          <xlrd:rvb i="8923"/>
        </ext>
      </extLst>
    </bk>
    <bk>
      <extLst>
        <ext uri="{3e2802c4-a4d2-4d8b-9148-e3be6c30e623}">
          <xlrd:rvb i="8924"/>
        </ext>
      </extLst>
    </bk>
    <bk>
      <extLst>
        <ext uri="{3e2802c4-a4d2-4d8b-9148-e3be6c30e623}">
          <xlrd:rvb i="8925"/>
        </ext>
      </extLst>
    </bk>
    <bk>
      <extLst>
        <ext uri="{3e2802c4-a4d2-4d8b-9148-e3be6c30e623}">
          <xlrd:rvb i="8926"/>
        </ext>
      </extLst>
    </bk>
    <bk>
      <extLst>
        <ext uri="{3e2802c4-a4d2-4d8b-9148-e3be6c30e623}">
          <xlrd:rvb i="8927"/>
        </ext>
      </extLst>
    </bk>
    <bk>
      <extLst>
        <ext uri="{3e2802c4-a4d2-4d8b-9148-e3be6c30e623}">
          <xlrd:rvb i="8928"/>
        </ext>
      </extLst>
    </bk>
    <bk>
      <extLst>
        <ext uri="{3e2802c4-a4d2-4d8b-9148-e3be6c30e623}">
          <xlrd:rvb i="8929"/>
        </ext>
      </extLst>
    </bk>
    <bk>
      <extLst>
        <ext uri="{3e2802c4-a4d2-4d8b-9148-e3be6c30e623}">
          <xlrd:rvb i="8930"/>
        </ext>
      </extLst>
    </bk>
    <bk>
      <extLst>
        <ext uri="{3e2802c4-a4d2-4d8b-9148-e3be6c30e623}">
          <xlrd:rvb i="8931"/>
        </ext>
      </extLst>
    </bk>
    <bk>
      <extLst>
        <ext uri="{3e2802c4-a4d2-4d8b-9148-e3be6c30e623}">
          <xlrd:rvb i="8932"/>
        </ext>
      </extLst>
    </bk>
    <bk>
      <extLst>
        <ext uri="{3e2802c4-a4d2-4d8b-9148-e3be6c30e623}">
          <xlrd:rvb i="8933"/>
        </ext>
      </extLst>
    </bk>
    <bk>
      <extLst>
        <ext uri="{3e2802c4-a4d2-4d8b-9148-e3be6c30e623}">
          <xlrd:rvb i="8934"/>
        </ext>
      </extLst>
    </bk>
    <bk>
      <extLst>
        <ext uri="{3e2802c4-a4d2-4d8b-9148-e3be6c30e623}">
          <xlrd:rvb i="8935"/>
        </ext>
      </extLst>
    </bk>
    <bk>
      <extLst>
        <ext uri="{3e2802c4-a4d2-4d8b-9148-e3be6c30e623}">
          <xlrd:rvb i="8936"/>
        </ext>
      </extLst>
    </bk>
    <bk>
      <extLst>
        <ext uri="{3e2802c4-a4d2-4d8b-9148-e3be6c30e623}">
          <xlrd:rvb i="8937"/>
        </ext>
      </extLst>
    </bk>
    <bk>
      <extLst>
        <ext uri="{3e2802c4-a4d2-4d8b-9148-e3be6c30e623}">
          <xlrd:rvb i="8938"/>
        </ext>
      </extLst>
    </bk>
    <bk>
      <extLst>
        <ext uri="{3e2802c4-a4d2-4d8b-9148-e3be6c30e623}">
          <xlrd:rvb i="8939"/>
        </ext>
      </extLst>
    </bk>
    <bk>
      <extLst>
        <ext uri="{3e2802c4-a4d2-4d8b-9148-e3be6c30e623}">
          <xlrd:rvb i="8940"/>
        </ext>
      </extLst>
    </bk>
    <bk>
      <extLst>
        <ext uri="{3e2802c4-a4d2-4d8b-9148-e3be6c30e623}">
          <xlrd:rvb i="8941"/>
        </ext>
      </extLst>
    </bk>
    <bk>
      <extLst>
        <ext uri="{3e2802c4-a4d2-4d8b-9148-e3be6c30e623}">
          <xlrd:rvb i="8942"/>
        </ext>
      </extLst>
    </bk>
    <bk>
      <extLst>
        <ext uri="{3e2802c4-a4d2-4d8b-9148-e3be6c30e623}">
          <xlrd:rvb i="8943"/>
        </ext>
      </extLst>
    </bk>
    <bk>
      <extLst>
        <ext uri="{3e2802c4-a4d2-4d8b-9148-e3be6c30e623}">
          <xlrd:rvb i="8944"/>
        </ext>
      </extLst>
    </bk>
    <bk>
      <extLst>
        <ext uri="{3e2802c4-a4d2-4d8b-9148-e3be6c30e623}">
          <xlrd:rvb i="8945"/>
        </ext>
      </extLst>
    </bk>
    <bk>
      <extLst>
        <ext uri="{3e2802c4-a4d2-4d8b-9148-e3be6c30e623}">
          <xlrd:rvb i="8946"/>
        </ext>
      </extLst>
    </bk>
    <bk>
      <extLst>
        <ext uri="{3e2802c4-a4d2-4d8b-9148-e3be6c30e623}">
          <xlrd:rvb i="8947"/>
        </ext>
      </extLst>
    </bk>
    <bk>
      <extLst>
        <ext uri="{3e2802c4-a4d2-4d8b-9148-e3be6c30e623}">
          <xlrd:rvb i="8948"/>
        </ext>
      </extLst>
    </bk>
    <bk>
      <extLst>
        <ext uri="{3e2802c4-a4d2-4d8b-9148-e3be6c30e623}">
          <xlrd:rvb i="8949"/>
        </ext>
      </extLst>
    </bk>
    <bk>
      <extLst>
        <ext uri="{3e2802c4-a4d2-4d8b-9148-e3be6c30e623}">
          <xlrd:rvb i="8950"/>
        </ext>
      </extLst>
    </bk>
    <bk>
      <extLst>
        <ext uri="{3e2802c4-a4d2-4d8b-9148-e3be6c30e623}">
          <xlrd:rvb i="8951"/>
        </ext>
      </extLst>
    </bk>
    <bk>
      <extLst>
        <ext uri="{3e2802c4-a4d2-4d8b-9148-e3be6c30e623}">
          <xlrd:rvb i="8952"/>
        </ext>
      </extLst>
    </bk>
    <bk>
      <extLst>
        <ext uri="{3e2802c4-a4d2-4d8b-9148-e3be6c30e623}">
          <xlrd:rvb i="8953"/>
        </ext>
      </extLst>
    </bk>
    <bk>
      <extLst>
        <ext uri="{3e2802c4-a4d2-4d8b-9148-e3be6c30e623}">
          <xlrd:rvb i="8954"/>
        </ext>
      </extLst>
    </bk>
    <bk>
      <extLst>
        <ext uri="{3e2802c4-a4d2-4d8b-9148-e3be6c30e623}">
          <xlrd:rvb i="8955"/>
        </ext>
      </extLst>
    </bk>
    <bk>
      <extLst>
        <ext uri="{3e2802c4-a4d2-4d8b-9148-e3be6c30e623}">
          <xlrd:rvb i="8956"/>
        </ext>
      </extLst>
    </bk>
    <bk>
      <extLst>
        <ext uri="{3e2802c4-a4d2-4d8b-9148-e3be6c30e623}">
          <xlrd:rvb i="8957"/>
        </ext>
      </extLst>
    </bk>
    <bk>
      <extLst>
        <ext uri="{3e2802c4-a4d2-4d8b-9148-e3be6c30e623}">
          <xlrd:rvb i="8958"/>
        </ext>
      </extLst>
    </bk>
    <bk>
      <extLst>
        <ext uri="{3e2802c4-a4d2-4d8b-9148-e3be6c30e623}">
          <xlrd:rvb i="8959"/>
        </ext>
      </extLst>
    </bk>
    <bk>
      <extLst>
        <ext uri="{3e2802c4-a4d2-4d8b-9148-e3be6c30e623}">
          <xlrd:rvb i="8960"/>
        </ext>
      </extLst>
    </bk>
    <bk>
      <extLst>
        <ext uri="{3e2802c4-a4d2-4d8b-9148-e3be6c30e623}">
          <xlrd:rvb i="8961"/>
        </ext>
      </extLst>
    </bk>
    <bk>
      <extLst>
        <ext uri="{3e2802c4-a4d2-4d8b-9148-e3be6c30e623}">
          <xlrd:rvb i="8962"/>
        </ext>
      </extLst>
    </bk>
    <bk>
      <extLst>
        <ext uri="{3e2802c4-a4d2-4d8b-9148-e3be6c30e623}">
          <xlrd:rvb i="8963"/>
        </ext>
      </extLst>
    </bk>
    <bk>
      <extLst>
        <ext uri="{3e2802c4-a4d2-4d8b-9148-e3be6c30e623}">
          <xlrd:rvb i="8964"/>
        </ext>
      </extLst>
    </bk>
    <bk>
      <extLst>
        <ext uri="{3e2802c4-a4d2-4d8b-9148-e3be6c30e623}">
          <xlrd:rvb i="8965"/>
        </ext>
      </extLst>
    </bk>
    <bk>
      <extLst>
        <ext uri="{3e2802c4-a4d2-4d8b-9148-e3be6c30e623}">
          <xlrd:rvb i="8966"/>
        </ext>
      </extLst>
    </bk>
    <bk>
      <extLst>
        <ext uri="{3e2802c4-a4d2-4d8b-9148-e3be6c30e623}">
          <xlrd:rvb i="8967"/>
        </ext>
      </extLst>
    </bk>
    <bk>
      <extLst>
        <ext uri="{3e2802c4-a4d2-4d8b-9148-e3be6c30e623}">
          <xlrd:rvb i="8968"/>
        </ext>
      </extLst>
    </bk>
    <bk>
      <extLst>
        <ext uri="{3e2802c4-a4d2-4d8b-9148-e3be6c30e623}">
          <xlrd:rvb i="8969"/>
        </ext>
      </extLst>
    </bk>
    <bk>
      <extLst>
        <ext uri="{3e2802c4-a4d2-4d8b-9148-e3be6c30e623}">
          <xlrd:rvb i="8970"/>
        </ext>
      </extLst>
    </bk>
    <bk>
      <extLst>
        <ext uri="{3e2802c4-a4d2-4d8b-9148-e3be6c30e623}">
          <xlrd:rvb i="8971"/>
        </ext>
      </extLst>
    </bk>
    <bk>
      <extLst>
        <ext uri="{3e2802c4-a4d2-4d8b-9148-e3be6c30e623}">
          <xlrd:rvb i="8972"/>
        </ext>
      </extLst>
    </bk>
    <bk>
      <extLst>
        <ext uri="{3e2802c4-a4d2-4d8b-9148-e3be6c30e623}">
          <xlrd:rvb i="8973"/>
        </ext>
      </extLst>
    </bk>
    <bk>
      <extLst>
        <ext uri="{3e2802c4-a4d2-4d8b-9148-e3be6c30e623}">
          <xlrd:rvb i="8974"/>
        </ext>
      </extLst>
    </bk>
    <bk>
      <extLst>
        <ext uri="{3e2802c4-a4d2-4d8b-9148-e3be6c30e623}">
          <xlrd:rvb i="8975"/>
        </ext>
      </extLst>
    </bk>
    <bk>
      <extLst>
        <ext uri="{3e2802c4-a4d2-4d8b-9148-e3be6c30e623}">
          <xlrd:rvb i="8976"/>
        </ext>
      </extLst>
    </bk>
    <bk>
      <extLst>
        <ext uri="{3e2802c4-a4d2-4d8b-9148-e3be6c30e623}">
          <xlrd:rvb i="8977"/>
        </ext>
      </extLst>
    </bk>
    <bk>
      <extLst>
        <ext uri="{3e2802c4-a4d2-4d8b-9148-e3be6c30e623}">
          <xlrd:rvb i="8978"/>
        </ext>
      </extLst>
    </bk>
    <bk>
      <extLst>
        <ext uri="{3e2802c4-a4d2-4d8b-9148-e3be6c30e623}">
          <xlrd:rvb i="8979"/>
        </ext>
      </extLst>
    </bk>
    <bk>
      <extLst>
        <ext uri="{3e2802c4-a4d2-4d8b-9148-e3be6c30e623}">
          <xlrd:rvb i="8980"/>
        </ext>
      </extLst>
    </bk>
    <bk>
      <extLst>
        <ext uri="{3e2802c4-a4d2-4d8b-9148-e3be6c30e623}">
          <xlrd:rvb i="8981"/>
        </ext>
      </extLst>
    </bk>
    <bk>
      <extLst>
        <ext uri="{3e2802c4-a4d2-4d8b-9148-e3be6c30e623}">
          <xlrd:rvb i="8982"/>
        </ext>
      </extLst>
    </bk>
    <bk>
      <extLst>
        <ext uri="{3e2802c4-a4d2-4d8b-9148-e3be6c30e623}">
          <xlrd:rvb i="8983"/>
        </ext>
      </extLst>
    </bk>
    <bk>
      <extLst>
        <ext uri="{3e2802c4-a4d2-4d8b-9148-e3be6c30e623}">
          <xlrd:rvb i="8984"/>
        </ext>
      </extLst>
    </bk>
    <bk>
      <extLst>
        <ext uri="{3e2802c4-a4d2-4d8b-9148-e3be6c30e623}">
          <xlrd:rvb i="8985"/>
        </ext>
      </extLst>
    </bk>
    <bk>
      <extLst>
        <ext uri="{3e2802c4-a4d2-4d8b-9148-e3be6c30e623}">
          <xlrd:rvb i="8986"/>
        </ext>
      </extLst>
    </bk>
    <bk>
      <extLst>
        <ext uri="{3e2802c4-a4d2-4d8b-9148-e3be6c30e623}">
          <xlrd:rvb i="8987"/>
        </ext>
      </extLst>
    </bk>
    <bk>
      <extLst>
        <ext uri="{3e2802c4-a4d2-4d8b-9148-e3be6c30e623}">
          <xlrd:rvb i="8988"/>
        </ext>
      </extLst>
    </bk>
    <bk>
      <extLst>
        <ext uri="{3e2802c4-a4d2-4d8b-9148-e3be6c30e623}">
          <xlrd:rvb i="8989"/>
        </ext>
      </extLst>
    </bk>
    <bk>
      <extLst>
        <ext uri="{3e2802c4-a4d2-4d8b-9148-e3be6c30e623}">
          <xlrd:rvb i="8990"/>
        </ext>
      </extLst>
    </bk>
    <bk>
      <extLst>
        <ext uri="{3e2802c4-a4d2-4d8b-9148-e3be6c30e623}">
          <xlrd:rvb i="8991"/>
        </ext>
      </extLst>
    </bk>
    <bk>
      <extLst>
        <ext uri="{3e2802c4-a4d2-4d8b-9148-e3be6c30e623}">
          <xlrd:rvb i="8992"/>
        </ext>
      </extLst>
    </bk>
    <bk>
      <extLst>
        <ext uri="{3e2802c4-a4d2-4d8b-9148-e3be6c30e623}">
          <xlrd:rvb i="8993"/>
        </ext>
      </extLst>
    </bk>
    <bk>
      <extLst>
        <ext uri="{3e2802c4-a4d2-4d8b-9148-e3be6c30e623}">
          <xlrd:rvb i="8994"/>
        </ext>
      </extLst>
    </bk>
    <bk>
      <extLst>
        <ext uri="{3e2802c4-a4d2-4d8b-9148-e3be6c30e623}">
          <xlrd:rvb i="8995"/>
        </ext>
      </extLst>
    </bk>
    <bk>
      <extLst>
        <ext uri="{3e2802c4-a4d2-4d8b-9148-e3be6c30e623}">
          <xlrd:rvb i="8996"/>
        </ext>
      </extLst>
    </bk>
    <bk>
      <extLst>
        <ext uri="{3e2802c4-a4d2-4d8b-9148-e3be6c30e623}">
          <xlrd:rvb i="8997"/>
        </ext>
      </extLst>
    </bk>
    <bk>
      <extLst>
        <ext uri="{3e2802c4-a4d2-4d8b-9148-e3be6c30e623}">
          <xlrd:rvb i="8998"/>
        </ext>
      </extLst>
    </bk>
    <bk>
      <extLst>
        <ext uri="{3e2802c4-a4d2-4d8b-9148-e3be6c30e623}">
          <xlrd:rvb i="8999"/>
        </ext>
      </extLst>
    </bk>
    <bk>
      <extLst>
        <ext uri="{3e2802c4-a4d2-4d8b-9148-e3be6c30e623}">
          <xlrd:rvb i="9000"/>
        </ext>
      </extLst>
    </bk>
    <bk>
      <extLst>
        <ext uri="{3e2802c4-a4d2-4d8b-9148-e3be6c30e623}">
          <xlrd:rvb i="9001"/>
        </ext>
      </extLst>
    </bk>
    <bk>
      <extLst>
        <ext uri="{3e2802c4-a4d2-4d8b-9148-e3be6c30e623}">
          <xlrd:rvb i="9002"/>
        </ext>
      </extLst>
    </bk>
    <bk>
      <extLst>
        <ext uri="{3e2802c4-a4d2-4d8b-9148-e3be6c30e623}">
          <xlrd:rvb i="9003"/>
        </ext>
      </extLst>
    </bk>
    <bk>
      <extLst>
        <ext uri="{3e2802c4-a4d2-4d8b-9148-e3be6c30e623}">
          <xlrd:rvb i="9004"/>
        </ext>
      </extLst>
    </bk>
    <bk>
      <extLst>
        <ext uri="{3e2802c4-a4d2-4d8b-9148-e3be6c30e623}">
          <xlrd:rvb i="9005"/>
        </ext>
      </extLst>
    </bk>
    <bk>
      <extLst>
        <ext uri="{3e2802c4-a4d2-4d8b-9148-e3be6c30e623}">
          <xlrd:rvb i="9006"/>
        </ext>
      </extLst>
    </bk>
    <bk>
      <extLst>
        <ext uri="{3e2802c4-a4d2-4d8b-9148-e3be6c30e623}">
          <xlrd:rvb i="9007"/>
        </ext>
      </extLst>
    </bk>
    <bk>
      <extLst>
        <ext uri="{3e2802c4-a4d2-4d8b-9148-e3be6c30e623}">
          <xlrd:rvb i="9008"/>
        </ext>
      </extLst>
    </bk>
    <bk>
      <extLst>
        <ext uri="{3e2802c4-a4d2-4d8b-9148-e3be6c30e623}">
          <xlrd:rvb i="9009"/>
        </ext>
      </extLst>
    </bk>
    <bk>
      <extLst>
        <ext uri="{3e2802c4-a4d2-4d8b-9148-e3be6c30e623}">
          <xlrd:rvb i="9010"/>
        </ext>
      </extLst>
    </bk>
    <bk>
      <extLst>
        <ext uri="{3e2802c4-a4d2-4d8b-9148-e3be6c30e623}">
          <xlrd:rvb i="9011"/>
        </ext>
      </extLst>
    </bk>
    <bk>
      <extLst>
        <ext uri="{3e2802c4-a4d2-4d8b-9148-e3be6c30e623}">
          <xlrd:rvb i="9012"/>
        </ext>
      </extLst>
    </bk>
    <bk>
      <extLst>
        <ext uri="{3e2802c4-a4d2-4d8b-9148-e3be6c30e623}">
          <xlrd:rvb i="9013"/>
        </ext>
      </extLst>
    </bk>
    <bk>
      <extLst>
        <ext uri="{3e2802c4-a4d2-4d8b-9148-e3be6c30e623}">
          <xlrd:rvb i="9014"/>
        </ext>
      </extLst>
    </bk>
    <bk>
      <extLst>
        <ext uri="{3e2802c4-a4d2-4d8b-9148-e3be6c30e623}">
          <xlrd:rvb i="9015"/>
        </ext>
      </extLst>
    </bk>
    <bk>
      <extLst>
        <ext uri="{3e2802c4-a4d2-4d8b-9148-e3be6c30e623}">
          <xlrd:rvb i="9016"/>
        </ext>
      </extLst>
    </bk>
    <bk>
      <extLst>
        <ext uri="{3e2802c4-a4d2-4d8b-9148-e3be6c30e623}">
          <xlrd:rvb i="9017"/>
        </ext>
      </extLst>
    </bk>
    <bk>
      <extLst>
        <ext uri="{3e2802c4-a4d2-4d8b-9148-e3be6c30e623}">
          <xlrd:rvb i="9018"/>
        </ext>
      </extLst>
    </bk>
    <bk>
      <extLst>
        <ext uri="{3e2802c4-a4d2-4d8b-9148-e3be6c30e623}">
          <xlrd:rvb i="9019"/>
        </ext>
      </extLst>
    </bk>
    <bk>
      <extLst>
        <ext uri="{3e2802c4-a4d2-4d8b-9148-e3be6c30e623}">
          <xlrd:rvb i="9020"/>
        </ext>
      </extLst>
    </bk>
    <bk>
      <extLst>
        <ext uri="{3e2802c4-a4d2-4d8b-9148-e3be6c30e623}">
          <xlrd:rvb i="9021"/>
        </ext>
      </extLst>
    </bk>
    <bk>
      <extLst>
        <ext uri="{3e2802c4-a4d2-4d8b-9148-e3be6c30e623}">
          <xlrd:rvb i="9022"/>
        </ext>
      </extLst>
    </bk>
    <bk>
      <extLst>
        <ext uri="{3e2802c4-a4d2-4d8b-9148-e3be6c30e623}">
          <xlrd:rvb i="9023"/>
        </ext>
      </extLst>
    </bk>
    <bk>
      <extLst>
        <ext uri="{3e2802c4-a4d2-4d8b-9148-e3be6c30e623}">
          <xlrd:rvb i="9024"/>
        </ext>
      </extLst>
    </bk>
    <bk>
      <extLst>
        <ext uri="{3e2802c4-a4d2-4d8b-9148-e3be6c30e623}">
          <xlrd:rvb i="9025"/>
        </ext>
      </extLst>
    </bk>
    <bk>
      <extLst>
        <ext uri="{3e2802c4-a4d2-4d8b-9148-e3be6c30e623}">
          <xlrd:rvb i="9026"/>
        </ext>
      </extLst>
    </bk>
    <bk>
      <extLst>
        <ext uri="{3e2802c4-a4d2-4d8b-9148-e3be6c30e623}">
          <xlrd:rvb i="9027"/>
        </ext>
      </extLst>
    </bk>
    <bk>
      <extLst>
        <ext uri="{3e2802c4-a4d2-4d8b-9148-e3be6c30e623}">
          <xlrd:rvb i="9028"/>
        </ext>
      </extLst>
    </bk>
    <bk>
      <extLst>
        <ext uri="{3e2802c4-a4d2-4d8b-9148-e3be6c30e623}">
          <xlrd:rvb i="9029"/>
        </ext>
      </extLst>
    </bk>
    <bk>
      <extLst>
        <ext uri="{3e2802c4-a4d2-4d8b-9148-e3be6c30e623}">
          <xlrd:rvb i="9030"/>
        </ext>
      </extLst>
    </bk>
    <bk>
      <extLst>
        <ext uri="{3e2802c4-a4d2-4d8b-9148-e3be6c30e623}">
          <xlrd:rvb i="9031"/>
        </ext>
      </extLst>
    </bk>
    <bk>
      <extLst>
        <ext uri="{3e2802c4-a4d2-4d8b-9148-e3be6c30e623}">
          <xlrd:rvb i="9032"/>
        </ext>
      </extLst>
    </bk>
    <bk>
      <extLst>
        <ext uri="{3e2802c4-a4d2-4d8b-9148-e3be6c30e623}">
          <xlrd:rvb i="9033"/>
        </ext>
      </extLst>
    </bk>
    <bk>
      <extLst>
        <ext uri="{3e2802c4-a4d2-4d8b-9148-e3be6c30e623}">
          <xlrd:rvb i="9034"/>
        </ext>
      </extLst>
    </bk>
    <bk>
      <extLst>
        <ext uri="{3e2802c4-a4d2-4d8b-9148-e3be6c30e623}">
          <xlrd:rvb i="9035"/>
        </ext>
      </extLst>
    </bk>
    <bk>
      <extLst>
        <ext uri="{3e2802c4-a4d2-4d8b-9148-e3be6c30e623}">
          <xlrd:rvb i="9036"/>
        </ext>
      </extLst>
    </bk>
    <bk>
      <extLst>
        <ext uri="{3e2802c4-a4d2-4d8b-9148-e3be6c30e623}">
          <xlrd:rvb i="9037"/>
        </ext>
      </extLst>
    </bk>
    <bk>
      <extLst>
        <ext uri="{3e2802c4-a4d2-4d8b-9148-e3be6c30e623}">
          <xlrd:rvb i="9038"/>
        </ext>
      </extLst>
    </bk>
    <bk>
      <extLst>
        <ext uri="{3e2802c4-a4d2-4d8b-9148-e3be6c30e623}">
          <xlrd:rvb i="9039"/>
        </ext>
      </extLst>
    </bk>
    <bk>
      <extLst>
        <ext uri="{3e2802c4-a4d2-4d8b-9148-e3be6c30e623}">
          <xlrd:rvb i="9040"/>
        </ext>
      </extLst>
    </bk>
    <bk>
      <extLst>
        <ext uri="{3e2802c4-a4d2-4d8b-9148-e3be6c30e623}">
          <xlrd:rvb i="9041"/>
        </ext>
      </extLst>
    </bk>
    <bk>
      <extLst>
        <ext uri="{3e2802c4-a4d2-4d8b-9148-e3be6c30e623}">
          <xlrd:rvb i="9042"/>
        </ext>
      </extLst>
    </bk>
    <bk>
      <extLst>
        <ext uri="{3e2802c4-a4d2-4d8b-9148-e3be6c30e623}">
          <xlrd:rvb i="9043"/>
        </ext>
      </extLst>
    </bk>
    <bk>
      <extLst>
        <ext uri="{3e2802c4-a4d2-4d8b-9148-e3be6c30e623}">
          <xlrd:rvb i="9044"/>
        </ext>
      </extLst>
    </bk>
    <bk>
      <extLst>
        <ext uri="{3e2802c4-a4d2-4d8b-9148-e3be6c30e623}">
          <xlrd:rvb i="9045"/>
        </ext>
      </extLst>
    </bk>
    <bk>
      <extLst>
        <ext uri="{3e2802c4-a4d2-4d8b-9148-e3be6c30e623}">
          <xlrd:rvb i="9046"/>
        </ext>
      </extLst>
    </bk>
    <bk>
      <extLst>
        <ext uri="{3e2802c4-a4d2-4d8b-9148-e3be6c30e623}">
          <xlrd:rvb i="9047"/>
        </ext>
      </extLst>
    </bk>
    <bk>
      <extLst>
        <ext uri="{3e2802c4-a4d2-4d8b-9148-e3be6c30e623}">
          <xlrd:rvb i="9048"/>
        </ext>
      </extLst>
    </bk>
    <bk>
      <extLst>
        <ext uri="{3e2802c4-a4d2-4d8b-9148-e3be6c30e623}">
          <xlrd:rvb i="9049"/>
        </ext>
      </extLst>
    </bk>
    <bk>
      <extLst>
        <ext uri="{3e2802c4-a4d2-4d8b-9148-e3be6c30e623}">
          <xlrd:rvb i="9050"/>
        </ext>
      </extLst>
    </bk>
    <bk>
      <extLst>
        <ext uri="{3e2802c4-a4d2-4d8b-9148-e3be6c30e623}">
          <xlrd:rvb i="9051"/>
        </ext>
      </extLst>
    </bk>
    <bk>
      <extLst>
        <ext uri="{3e2802c4-a4d2-4d8b-9148-e3be6c30e623}">
          <xlrd:rvb i="9052"/>
        </ext>
      </extLst>
    </bk>
    <bk>
      <extLst>
        <ext uri="{3e2802c4-a4d2-4d8b-9148-e3be6c30e623}">
          <xlrd:rvb i="9053"/>
        </ext>
      </extLst>
    </bk>
    <bk>
      <extLst>
        <ext uri="{3e2802c4-a4d2-4d8b-9148-e3be6c30e623}">
          <xlrd:rvb i="9054"/>
        </ext>
      </extLst>
    </bk>
    <bk>
      <extLst>
        <ext uri="{3e2802c4-a4d2-4d8b-9148-e3be6c30e623}">
          <xlrd:rvb i="9055"/>
        </ext>
      </extLst>
    </bk>
    <bk>
      <extLst>
        <ext uri="{3e2802c4-a4d2-4d8b-9148-e3be6c30e623}">
          <xlrd:rvb i="9056"/>
        </ext>
      </extLst>
    </bk>
    <bk>
      <extLst>
        <ext uri="{3e2802c4-a4d2-4d8b-9148-e3be6c30e623}">
          <xlrd:rvb i="9057"/>
        </ext>
      </extLst>
    </bk>
    <bk>
      <extLst>
        <ext uri="{3e2802c4-a4d2-4d8b-9148-e3be6c30e623}">
          <xlrd:rvb i="9058"/>
        </ext>
      </extLst>
    </bk>
    <bk>
      <extLst>
        <ext uri="{3e2802c4-a4d2-4d8b-9148-e3be6c30e623}">
          <xlrd:rvb i="9059"/>
        </ext>
      </extLst>
    </bk>
    <bk>
      <extLst>
        <ext uri="{3e2802c4-a4d2-4d8b-9148-e3be6c30e623}">
          <xlrd:rvb i="9060"/>
        </ext>
      </extLst>
    </bk>
    <bk>
      <extLst>
        <ext uri="{3e2802c4-a4d2-4d8b-9148-e3be6c30e623}">
          <xlrd:rvb i="9061"/>
        </ext>
      </extLst>
    </bk>
    <bk>
      <extLst>
        <ext uri="{3e2802c4-a4d2-4d8b-9148-e3be6c30e623}">
          <xlrd:rvb i="9062"/>
        </ext>
      </extLst>
    </bk>
    <bk>
      <extLst>
        <ext uri="{3e2802c4-a4d2-4d8b-9148-e3be6c30e623}">
          <xlrd:rvb i="9063"/>
        </ext>
      </extLst>
    </bk>
    <bk>
      <extLst>
        <ext uri="{3e2802c4-a4d2-4d8b-9148-e3be6c30e623}">
          <xlrd:rvb i="9064"/>
        </ext>
      </extLst>
    </bk>
    <bk>
      <extLst>
        <ext uri="{3e2802c4-a4d2-4d8b-9148-e3be6c30e623}">
          <xlrd:rvb i="9065"/>
        </ext>
      </extLst>
    </bk>
    <bk>
      <extLst>
        <ext uri="{3e2802c4-a4d2-4d8b-9148-e3be6c30e623}">
          <xlrd:rvb i="9066"/>
        </ext>
      </extLst>
    </bk>
    <bk>
      <extLst>
        <ext uri="{3e2802c4-a4d2-4d8b-9148-e3be6c30e623}">
          <xlrd:rvb i="9067"/>
        </ext>
      </extLst>
    </bk>
    <bk>
      <extLst>
        <ext uri="{3e2802c4-a4d2-4d8b-9148-e3be6c30e623}">
          <xlrd:rvb i="9068"/>
        </ext>
      </extLst>
    </bk>
    <bk>
      <extLst>
        <ext uri="{3e2802c4-a4d2-4d8b-9148-e3be6c30e623}">
          <xlrd:rvb i="9069"/>
        </ext>
      </extLst>
    </bk>
    <bk>
      <extLst>
        <ext uri="{3e2802c4-a4d2-4d8b-9148-e3be6c30e623}">
          <xlrd:rvb i="9070"/>
        </ext>
      </extLst>
    </bk>
    <bk>
      <extLst>
        <ext uri="{3e2802c4-a4d2-4d8b-9148-e3be6c30e623}">
          <xlrd:rvb i="9071"/>
        </ext>
      </extLst>
    </bk>
    <bk>
      <extLst>
        <ext uri="{3e2802c4-a4d2-4d8b-9148-e3be6c30e623}">
          <xlrd:rvb i="9072"/>
        </ext>
      </extLst>
    </bk>
    <bk>
      <extLst>
        <ext uri="{3e2802c4-a4d2-4d8b-9148-e3be6c30e623}">
          <xlrd:rvb i="9073"/>
        </ext>
      </extLst>
    </bk>
    <bk>
      <extLst>
        <ext uri="{3e2802c4-a4d2-4d8b-9148-e3be6c30e623}">
          <xlrd:rvb i="9074"/>
        </ext>
      </extLst>
    </bk>
    <bk>
      <extLst>
        <ext uri="{3e2802c4-a4d2-4d8b-9148-e3be6c30e623}">
          <xlrd:rvb i="9075"/>
        </ext>
      </extLst>
    </bk>
    <bk>
      <extLst>
        <ext uri="{3e2802c4-a4d2-4d8b-9148-e3be6c30e623}">
          <xlrd:rvb i="9076"/>
        </ext>
      </extLst>
    </bk>
    <bk>
      <extLst>
        <ext uri="{3e2802c4-a4d2-4d8b-9148-e3be6c30e623}">
          <xlrd:rvb i="9077"/>
        </ext>
      </extLst>
    </bk>
    <bk>
      <extLst>
        <ext uri="{3e2802c4-a4d2-4d8b-9148-e3be6c30e623}">
          <xlrd:rvb i="9078"/>
        </ext>
      </extLst>
    </bk>
    <bk>
      <extLst>
        <ext uri="{3e2802c4-a4d2-4d8b-9148-e3be6c30e623}">
          <xlrd:rvb i="9079"/>
        </ext>
      </extLst>
    </bk>
    <bk>
      <extLst>
        <ext uri="{3e2802c4-a4d2-4d8b-9148-e3be6c30e623}">
          <xlrd:rvb i="9080"/>
        </ext>
      </extLst>
    </bk>
    <bk>
      <extLst>
        <ext uri="{3e2802c4-a4d2-4d8b-9148-e3be6c30e623}">
          <xlrd:rvb i="9081"/>
        </ext>
      </extLst>
    </bk>
    <bk>
      <extLst>
        <ext uri="{3e2802c4-a4d2-4d8b-9148-e3be6c30e623}">
          <xlrd:rvb i="9082"/>
        </ext>
      </extLst>
    </bk>
    <bk>
      <extLst>
        <ext uri="{3e2802c4-a4d2-4d8b-9148-e3be6c30e623}">
          <xlrd:rvb i="9083"/>
        </ext>
      </extLst>
    </bk>
    <bk>
      <extLst>
        <ext uri="{3e2802c4-a4d2-4d8b-9148-e3be6c30e623}">
          <xlrd:rvb i="9084"/>
        </ext>
      </extLst>
    </bk>
    <bk>
      <extLst>
        <ext uri="{3e2802c4-a4d2-4d8b-9148-e3be6c30e623}">
          <xlrd:rvb i="9085"/>
        </ext>
      </extLst>
    </bk>
    <bk>
      <extLst>
        <ext uri="{3e2802c4-a4d2-4d8b-9148-e3be6c30e623}">
          <xlrd:rvb i="9086"/>
        </ext>
      </extLst>
    </bk>
    <bk>
      <extLst>
        <ext uri="{3e2802c4-a4d2-4d8b-9148-e3be6c30e623}">
          <xlrd:rvb i="9087"/>
        </ext>
      </extLst>
    </bk>
    <bk>
      <extLst>
        <ext uri="{3e2802c4-a4d2-4d8b-9148-e3be6c30e623}">
          <xlrd:rvb i="9088"/>
        </ext>
      </extLst>
    </bk>
    <bk>
      <extLst>
        <ext uri="{3e2802c4-a4d2-4d8b-9148-e3be6c30e623}">
          <xlrd:rvb i="9089"/>
        </ext>
      </extLst>
    </bk>
    <bk>
      <extLst>
        <ext uri="{3e2802c4-a4d2-4d8b-9148-e3be6c30e623}">
          <xlrd:rvb i="9090"/>
        </ext>
      </extLst>
    </bk>
    <bk>
      <extLst>
        <ext uri="{3e2802c4-a4d2-4d8b-9148-e3be6c30e623}">
          <xlrd:rvb i="9091"/>
        </ext>
      </extLst>
    </bk>
    <bk>
      <extLst>
        <ext uri="{3e2802c4-a4d2-4d8b-9148-e3be6c30e623}">
          <xlrd:rvb i="9092"/>
        </ext>
      </extLst>
    </bk>
    <bk>
      <extLst>
        <ext uri="{3e2802c4-a4d2-4d8b-9148-e3be6c30e623}">
          <xlrd:rvb i="9093"/>
        </ext>
      </extLst>
    </bk>
    <bk>
      <extLst>
        <ext uri="{3e2802c4-a4d2-4d8b-9148-e3be6c30e623}">
          <xlrd:rvb i="9094"/>
        </ext>
      </extLst>
    </bk>
    <bk>
      <extLst>
        <ext uri="{3e2802c4-a4d2-4d8b-9148-e3be6c30e623}">
          <xlrd:rvb i="9095"/>
        </ext>
      </extLst>
    </bk>
    <bk>
      <extLst>
        <ext uri="{3e2802c4-a4d2-4d8b-9148-e3be6c30e623}">
          <xlrd:rvb i="9096"/>
        </ext>
      </extLst>
    </bk>
    <bk>
      <extLst>
        <ext uri="{3e2802c4-a4d2-4d8b-9148-e3be6c30e623}">
          <xlrd:rvb i="9097"/>
        </ext>
      </extLst>
    </bk>
    <bk>
      <extLst>
        <ext uri="{3e2802c4-a4d2-4d8b-9148-e3be6c30e623}">
          <xlrd:rvb i="9098"/>
        </ext>
      </extLst>
    </bk>
    <bk>
      <extLst>
        <ext uri="{3e2802c4-a4d2-4d8b-9148-e3be6c30e623}">
          <xlrd:rvb i="9099"/>
        </ext>
      </extLst>
    </bk>
    <bk>
      <extLst>
        <ext uri="{3e2802c4-a4d2-4d8b-9148-e3be6c30e623}">
          <xlrd:rvb i="9100"/>
        </ext>
      </extLst>
    </bk>
    <bk>
      <extLst>
        <ext uri="{3e2802c4-a4d2-4d8b-9148-e3be6c30e623}">
          <xlrd:rvb i="9101"/>
        </ext>
      </extLst>
    </bk>
    <bk>
      <extLst>
        <ext uri="{3e2802c4-a4d2-4d8b-9148-e3be6c30e623}">
          <xlrd:rvb i="9102"/>
        </ext>
      </extLst>
    </bk>
    <bk>
      <extLst>
        <ext uri="{3e2802c4-a4d2-4d8b-9148-e3be6c30e623}">
          <xlrd:rvb i="9103"/>
        </ext>
      </extLst>
    </bk>
    <bk>
      <extLst>
        <ext uri="{3e2802c4-a4d2-4d8b-9148-e3be6c30e623}">
          <xlrd:rvb i="9104"/>
        </ext>
      </extLst>
    </bk>
    <bk>
      <extLst>
        <ext uri="{3e2802c4-a4d2-4d8b-9148-e3be6c30e623}">
          <xlrd:rvb i="9105"/>
        </ext>
      </extLst>
    </bk>
    <bk>
      <extLst>
        <ext uri="{3e2802c4-a4d2-4d8b-9148-e3be6c30e623}">
          <xlrd:rvb i="9106"/>
        </ext>
      </extLst>
    </bk>
    <bk>
      <extLst>
        <ext uri="{3e2802c4-a4d2-4d8b-9148-e3be6c30e623}">
          <xlrd:rvb i="9107"/>
        </ext>
      </extLst>
    </bk>
    <bk>
      <extLst>
        <ext uri="{3e2802c4-a4d2-4d8b-9148-e3be6c30e623}">
          <xlrd:rvb i="9108"/>
        </ext>
      </extLst>
    </bk>
    <bk>
      <extLst>
        <ext uri="{3e2802c4-a4d2-4d8b-9148-e3be6c30e623}">
          <xlrd:rvb i="9109"/>
        </ext>
      </extLst>
    </bk>
    <bk>
      <extLst>
        <ext uri="{3e2802c4-a4d2-4d8b-9148-e3be6c30e623}">
          <xlrd:rvb i="9110"/>
        </ext>
      </extLst>
    </bk>
    <bk>
      <extLst>
        <ext uri="{3e2802c4-a4d2-4d8b-9148-e3be6c30e623}">
          <xlrd:rvb i="9111"/>
        </ext>
      </extLst>
    </bk>
    <bk>
      <extLst>
        <ext uri="{3e2802c4-a4d2-4d8b-9148-e3be6c30e623}">
          <xlrd:rvb i="9112"/>
        </ext>
      </extLst>
    </bk>
    <bk>
      <extLst>
        <ext uri="{3e2802c4-a4d2-4d8b-9148-e3be6c30e623}">
          <xlrd:rvb i="9113"/>
        </ext>
      </extLst>
    </bk>
    <bk>
      <extLst>
        <ext uri="{3e2802c4-a4d2-4d8b-9148-e3be6c30e623}">
          <xlrd:rvb i="9114"/>
        </ext>
      </extLst>
    </bk>
    <bk>
      <extLst>
        <ext uri="{3e2802c4-a4d2-4d8b-9148-e3be6c30e623}">
          <xlrd:rvb i="9115"/>
        </ext>
      </extLst>
    </bk>
    <bk>
      <extLst>
        <ext uri="{3e2802c4-a4d2-4d8b-9148-e3be6c30e623}">
          <xlrd:rvb i="9116"/>
        </ext>
      </extLst>
    </bk>
    <bk>
      <extLst>
        <ext uri="{3e2802c4-a4d2-4d8b-9148-e3be6c30e623}">
          <xlrd:rvb i="9117"/>
        </ext>
      </extLst>
    </bk>
    <bk>
      <extLst>
        <ext uri="{3e2802c4-a4d2-4d8b-9148-e3be6c30e623}">
          <xlrd:rvb i="9118"/>
        </ext>
      </extLst>
    </bk>
    <bk>
      <extLst>
        <ext uri="{3e2802c4-a4d2-4d8b-9148-e3be6c30e623}">
          <xlrd:rvb i="9119"/>
        </ext>
      </extLst>
    </bk>
    <bk>
      <extLst>
        <ext uri="{3e2802c4-a4d2-4d8b-9148-e3be6c30e623}">
          <xlrd:rvb i="9120"/>
        </ext>
      </extLst>
    </bk>
    <bk>
      <extLst>
        <ext uri="{3e2802c4-a4d2-4d8b-9148-e3be6c30e623}">
          <xlrd:rvb i="9121"/>
        </ext>
      </extLst>
    </bk>
    <bk>
      <extLst>
        <ext uri="{3e2802c4-a4d2-4d8b-9148-e3be6c30e623}">
          <xlrd:rvb i="9122"/>
        </ext>
      </extLst>
    </bk>
    <bk>
      <extLst>
        <ext uri="{3e2802c4-a4d2-4d8b-9148-e3be6c30e623}">
          <xlrd:rvb i="9123"/>
        </ext>
      </extLst>
    </bk>
    <bk>
      <extLst>
        <ext uri="{3e2802c4-a4d2-4d8b-9148-e3be6c30e623}">
          <xlrd:rvb i="9124"/>
        </ext>
      </extLst>
    </bk>
    <bk>
      <extLst>
        <ext uri="{3e2802c4-a4d2-4d8b-9148-e3be6c30e623}">
          <xlrd:rvb i="9125"/>
        </ext>
      </extLst>
    </bk>
    <bk>
      <extLst>
        <ext uri="{3e2802c4-a4d2-4d8b-9148-e3be6c30e623}">
          <xlrd:rvb i="9126"/>
        </ext>
      </extLst>
    </bk>
    <bk>
      <extLst>
        <ext uri="{3e2802c4-a4d2-4d8b-9148-e3be6c30e623}">
          <xlrd:rvb i="9127"/>
        </ext>
      </extLst>
    </bk>
    <bk>
      <extLst>
        <ext uri="{3e2802c4-a4d2-4d8b-9148-e3be6c30e623}">
          <xlrd:rvb i="9128"/>
        </ext>
      </extLst>
    </bk>
    <bk>
      <extLst>
        <ext uri="{3e2802c4-a4d2-4d8b-9148-e3be6c30e623}">
          <xlrd:rvb i="9129"/>
        </ext>
      </extLst>
    </bk>
    <bk>
      <extLst>
        <ext uri="{3e2802c4-a4d2-4d8b-9148-e3be6c30e623}">
          <xlrd:rvb i="9130"/>
        </ext>
      </extLst>
    </bk>
    <bk>
      <extLst>
        <ext uri="{3e2802c4-a4d2-4d8b-9148-e3be6c30e623}">
          <xlrd:rvb i="9131"/>
        </ext>
      </extLst>
    </bk>
    <bk>
      <extLst>
        <ext uri="{3e2802c4-a4d2-4d8b-9148-e3be6c30e623}">
          <xlrd:rvb i="9132"/>
        </ext>
      </extLst>
    </bk>
    <bk>
      <extLst>
        <ext uri="{3e2802c4-a4d2-4d8b-9148-e3be6c30e623}">
          <xlrd:rvb i="9133"/>
        </ext>
      </extLst>
    </bk>
    <bk>
      <extLst>
        <ext uri="{3e2802c4-a4d2-4d8b-9148-e3be6c30e623}">
          <xlrd:rvb i="9134"/>
        </ext>
      </extLst>
    </bk>
    <bk>
      <extLst>
        <ext uri="{3e2802c4-a4d2-4d8b-9148-e3be6c30e623}">
          <xlrd:rvb i="9135"/>
        </ext>
      </extLst>
    </bk>
    <bk>
      <extLst>
        <ext uri="{3e2802c4-a4d2-4d8b-9148-e3be6c30e623}">
          <xlrd:rvb i="9136"/>
        </ext>
      </extLst>
    </bk>
    <bk>
      <extLst>
        <ext uri="{3e2802c4-a4d2-4d8b-9148-e3be6c30e623}">
          <xlrd:rvb i="9137"/>
        </ext>
      </extLst>
    </bk>
    <bk>
      <extLst>
        <ext uri="{3e2802c4-a4d2-4d8b-9148-e3be6c30e623}">
          <xlrd:rvb i="9138"/>
        </ext>
      </extLst>
    </bk>
    <bk>
      <extLst>
        <ext uri="{3e2802c4-a4d2-4d8b-9148-e3be6c30e623}">
          <xlrd:rvb i="9139"/>
        </ext>
      </extLst>
    </bk>
    <bk>
      <extLst>
        <ext uri="{3e2802c4-a4d2-4d8b-9148-e3be6c30e623}">
          <xlrd:rvb i="9140"/>
        </ext>
      </extLst>
    </bk>
    <bk>
      <extLst>
        <ext uri="{3e2802c4-a4d2-4d8b-9148-e3be6c30e623}">
          <xlrd:rvb i="9141"/>
        </ext>
      </extLst>
    </bk>
    <bk>
      <extLst>
        <ext uri="{3e2802c4-a4d2-4d8b-9148-e3be6c30e623}">
          <xlrd:rvb i="9142"/>
        </ext>
      </extLst>
    </bk>
    <bk>
      <extLst>
        <ext uri="{3e2802c4-a4d2-4d8b-9148-e3be6c30e623}">
          <xlrd:rvb i="9143"/>
        </ext>
      </extLst>
    </bk>
    <bk>
      <extLst>
        <ext uri="{3e2802c4-a4d2-4d8b-9148-e3be6c30e623}">
          <xlrd:rvb i="9144"/>
        </ext>
      </extLst>
    </bk>
    <bk>
      <extLst>
        <ext uri="{3e2802c4-a4d2-4d8b-9148-e3be6c30e623}">
          <xlrd:rvb i="9145"/>
        </ext>
      </extLst>
    </bk>
    <bk>
      <extLst>
        <ext uri="{3e2802c4-a4d2-4d8b-9148-e3be6c30e623}">
          <xlrd:rvb i="9146"/>
        </ext>
      </extLst>
    </bk>
    <bk>
      <extLst>
        <ext uri="{3e2802c4-a4d2-4d8b-9148-e3be6c30e623}">
          <xlrd:rvb i="9147"/>
        </ext>
      </extLst>
    </bk>
    <bk>
      <extLst>
        <ext uri="{3e2802c4-a4d2-4d8b-9148-e3be6c30e623}">
          <xlrd:rvb i="9148"/>
        </ext>
      </extLst>
    </bk>
    <bk>
      <extLst>
        <ext uri="{3e2802c4-a4d2-4d8b-9148-e3be6c30e623}">
          <xlrd:rvb i="9149"/>
        </ext>
      </extLst>
    </bk>
    <bk>
      <extLst>
        <ext uri="{3e2802c4-a4d2-4d8b-9148-e3be6c30e623}">
          <xlrd:rvb i="9150"/>
        </ext>
      </extLst>
    </bk>
    <bk>
      <extLst>
        <ext uri="{3e2802c4-a4d2-4d8b-9148-e3be6c30e623}">
          <xlrd:rvb i="9151"/>
        </ext>
      </extLst>
    </bk>
    <bk>
      <extLst>
        <ext uri="{3e2802c4-a4d2-4d8b-9148-e3be6c30e623}">
          <xlrd:rvb i="9152"/>
        </ext>
      </extLst>
    </bk>
    <bk>
      <extLst>
        <ext uri="{3e2802c4-a4d2-4d8b-9148-e3be6c30e623}">
          <xlrd:rvb i="9153"/>
        </ext>
      </extLst>
    </bk>
    <bk>
      <extLst>
        <ext uri="{3e2802c4-a4d2-4d8b-9148-e3be6c30e623}">
          <xlrd:rvb i="9154"/>
        </ext>
      </extLst>
    </bk>
    <bk>
      <extLst>
        <ext uri="{3e2802c4-a4d2-4d8b-9148-e3be6c30e623}">
          <xlrd:rvb i="9155"/>
        </ext>
      </extLst>
    </bk>
    <bk>
      <extLst>
        <ext uri="{3e2802c4-a4d2-4d8b-9148-e3be6c30e623}">
          <xlrd:rvb i="9156"/>
        </ext>
      </extLst>
    </bk>
    <bk>
      <extLst>
        <ext uri="{3e2802c4-a4d2-4d8b-9148-e3be6c30e623}">
          <xlrd:rvb i="9157"/>
        </ext>
      </extLst>
    </bk>
    <bk>
      <extLst>
        <ext uri="{3e2802c4-a4d2-4d8b-9148-e3be6c30e623}">
          <xlrd:rvb i="9158"/>
        </ext>
      </extLst>
    </bk>
    <bk>
      <extLst>
        <ext uri="{3e2802c4-a4d2-4d8b-9148-e3be6c30e623}">
          <xlrd:rvb i="9159"/>
        </ext>
      </extLst>
    </bk>
    <bk>
      <extLst>
        <ext uri="{3e2802c4-a4d2-4d8b-9148-e3be6c30e623}">
          <xlrd:rvb i="9160"/>
        </ext>
      </extLst>
    </bk>
    <bk>
      <extLst>
        <ext uri="{3e2802c4-a4d2-4d8b-9148-e3be6c30e623}">
          <xlrd:rvb i="9161"/>
        </ext>
      </extLst>
    </bk>
    <bk>
      <extLst>
        <ext uri="{3e2802c4-a4d2-4d8b-9148-e3be6c30e623}">
          <xlrd:rvb i="9162"/>
        </ext>
      </extLst>
    </bk>
    <bk>
      <extLst>
        <ext uri="{3e2802c4-a4d2-4d8b-9148-e3be6c30e623}">
          <xlrd:rvb i="9163"/>
        </ext>
      </extLst>
    </bk>
    <bk>
      <extLst>
        <ext uri="{3e2802c4-a4d2-4d8b-9148-e3be6c30e623}">
          <xlrd:rvb i="9164"/>
        </ext>
      </extLst>
    </bk>
    <bk>
      <extLst>
        <ext uri="{3e2802c4-a4d2-4d8b-9148-e3be6c30e623}">
          <xlrd:rvb i="9165"/>
        </ext>
      </extLst>
    </bk>
    <bk>
      <extLst>
        <ext uri="{3e2802c4-a4d2-4d8b-9148-e3be6c30e623}">
          <xlrd:rvb i="9166"/>
        </ext>
      </extLst>
    </bk>
    <bk>
      <extLst>
        <ext uri="{3e2802c4-a4d2-4d8b-9148-e3be6c30e623}">
          <xlrd:rvb i="9167"/>
        </ext>
      </extLst>
    </bk>
    <bk>
      <extLst>
        <ext uri="{3e2802c4-a4d2-4d8b-9148-e3be6c30e623}">
          <xlrd:rvb i="9168"/>
        </ext>
      </extLst>
    </bk>
    <bk>
      <extLst>
        <ext uri="{3e2802c4-a4d2-4d8b-9148-e3be6c30e623}">
          <xlrd:rvb i="9169"/>
        </ext>
      </extLst>
    </bk>
    <bk>
      <extLst>
        <ext uri="{3e2802c4-a4d2-4d8b-9148-e3be6c30e623}">
          <xlrd:rvb i="9170"/>
        </ext>
      </extLst>
    </bk>
    <bk>
      <extLst>
        <ext uri="{3e2802c4-a4d2-4d8b-9148-e3be6c30e623}">
          <xlrd:rvb i="9171"/>
        </ext>
      </extLst>
    </bk>
    <bk>
      <extLst>
        <ext uri="{3e2802c4-a4d2-4d8b-9148-e3be6c30e623}">
          <xlrd:rvb i="9172"/>
        </ext>
      </extLst>
    </bk>
    <bk>
      <extLst>
        <ext uri="{3e2802c4-a4d2-4d8b-9148-e3be6c30e623}">
          <xlrd:rvb i="9173"/>
        </ext>
      </extLst>
    </bk>
    <bk>
      <extLst>
        <ext uri="{3e2802c4-a4d2-4d8b-9148-e3be6c30e623}">
          <xlrd:rvb i="9174"/>
        </ext>
      </extLst>
    </bk>
    <bk>
      <extLst>
        <ext uri="{3e2802c4-a4d2-4d8b-9148-e3be6c30e623}">
          <xlrd:rvb i="9175"/>
        </ext>
      </extLst>
    </bk>
    <bk>
      <extLst>
        <ext uri="{3e2802c4-a4d2-4d8b-9148-e3be6c30e623}">
          <xlrd:rvb i="9176"/>
        </ext>
      </extLst>
    </bk>
    <bk>
      <extLst>
        <ext uri="{3e2802c4-a4d2-4d8b-9148-e3be6c30e623}">
          <xlrd:rvb i="9177"/>
        </ext>
      </extLst>
    </bk>
    <bk>
      <extLst>
        <ext uri="{3e2802c4-a4d2-4d8b-9148-e3be6c30e623}">
          <xlrd:rvb i="9178"/>
        </ext>
      </extLst>
    </bk>
    <bk>
      <extLst>
        <ext uri="{3e2802c4-a4d2-4d8b-9148-e3be6c30e623}">
          <xlrd:rvb i="9179"/>
        </ext>
      </extLst>
    </bk>
    <bk>
      <extLst>
        <ext uri="{3e2802c4-a4d2-4d8b-9148-e3be6c30e623}">
          <xlrd:rvb i="9180"/>
        </ext>
      </extLst>
    </bk>
    <bk>
      <extLst>
        <ext uri="{3e2802c4-a4d2-4d8b-9148-e3be6c30e623}">
          <xlrd:rvb i="9181"/>
        </ext>
      </extLst>
    </bk>
    <bk>
      <extLst>
        <ext uri="{3e2802c4-a4d2-4d8b-9148-e3be6c30e623}">
          <xlrd:rvb i="9182"/>
        </ext>
      </extLst>
    </bk>
    <bk>
      <extLst>
        <ext uri="{3e2802c4-a4d2-4d8b-9148-e3be6c30e623}">
          <xlrd:rvb i="9183"/>
        </ext>
      </extLst>
    </bk>
    <bk>
      <extLst>
        <ext uri="{3e2802c4-a4d2-4d8b-9148-e3be6c30e623}">
          <xlrd:rvb i="9184"/>
        </ext>
      </extLst>
    </bk>
    <bk>
      <extLst>
        <ext uri="{3e2802c4-a4d2-4d8b-9148-e3be6c30e623}">
          <xlrd:rvb i="9185"/>
        </ext>
      </extLst>
    </bk>
    <bk>
      <extLst>
        <ext uri="{3e2802c4-a4d2-4d8b-9148-e3be6c30e623}">
          <xlrd:rvb i="9186"/>
        </ext>
      </extLst>
    </bk>
    <bk>
      <extLst>
        <ext uri="{3e2802c4-a4d2-4d8b-9148-e3be6c30e623}">
          <xlrd:rvb i="9187"/>
        </ext>
      </extLst>
    </bk>
    <bk>
      <extLst>
        <ext uri="{3e2802c4-a4d2-4d8b-9148-e3be6c30e623}">
          <xlrd:rvb i="9188"/>
        </ext>
      </extLst>
    </bk>
    <bk>
      <extLst>
        <ext uri="{3e2802c4-a4d2-4d8b-9148-e3be6c30e623}">
          <xlrd:rvb i="9189"/>
        </ext>
      </extLst>
    </bk>
    <bk>
      <extLst>
        <ext uri="{3e2802c4-a4d2-4d8b-9148-e3be6c30e623}">
          <xlrd:rvb i="9190"/>
        </ext>
      </extLst>
    </bk>
    <bk>
      <extLst>
        <ext uri="{3e2802c4-a4d2-4d8b-9148-e3be6c30e623}">
          <xlrd:rvb i="9191"/>
        </ext>
      </extLst>
    </bk>
    <bk>
      <extLst>
        <ext uri="{3e2802c4-a4d2-4d8b-9148-e3be6c30e623}">
          <xlrd:rvb i="9192"/>
        </ext>
      </extLst>
    </bk>
    <bk>
      <extLst>
        <ext uri="{3e2802c4-a4d2-4d8b-9148-e3be6c30e623}">
          <xlrd:rvb i="9193"/>
        </ext>
      </extLst>
    </bk>
    <bk>
      <extLst>
        <ext uri="{3e2802c4-a4d2-4d8b-9148-e3be6c30e623}">
          <xlrd:rvb i="9194"/>
        </ext>
      </extLst>
    </bk>
    <bk>
      <extLst>
        <ext uri="{3e2802c4-a4d2-4d8b-9148-e3be6c30e623}">
          <xlrd:rvb i="9195"/>
        </ext>
      </extLst>
    </bk>
    <bk>
      <extLst>
        <ext uri="{3e2802c4-a4d2-4d8b-9148-e3be6c30e623}">
          <xlrd:rvb i="9196"/>
        </ext>
      </extLst>
    </bk>
    <bk>
      <extLst>
        <ext uri="{3e2802c4-a4d2-4d8b-9148-e3be6c30e623}">
          <xlrd:rvb i="9197"/>
        </ext>
      </extLst>
    </bk>
    <bk>
      <extLst>
        <ext uri="{3e2802c4-a4d2-4d8b-9148-e3be6c30e623}">
          <xlrd:rvb i="9198"/>
        </ext>
      </extLst>
    </bk>
    <bk>
      <extLst>
        <ext uri="{3e2802c4-a4d2-4d8b-9148-e3be6c30e623}">
          <xlrd:rvb i="9199"/>
        </ext>
      </extLst>
    </bk>
    <bk>
      <extLst>
        <ext uri="{3e2802c4-a4d2-4d8b-9148-e3be6c30e623}">
          <xlrd:rvb i="9200"/>
        </ext>
      </extLst>
    </bk>
    <bk>
      <extLst>
        <ext uri="{3e2802c4-a4d2-4d8b-9148-e3be6c30e623}">
          <xlrd:rvb i="9201"/>
        </ext>
      </extLst>
    </bk>
    <bk>
      <extLst>
        <ext uri="{3e2802c4-a4d2-4d8b-9148-e3be6c30e623}">
          <xlrd:rvb i="9202"/>
        </ext>
      </extLst>
    </bk>
    <bk>
      <extLst>
        <ext uri="{3e2802c4-a4d2-4d8b-9148-e3be6c30e623}">
          <xlrd:rvb i="9203"/>
        </ext>
      </extLst>
    </bk>
    <bk>
      <extLst>
        <ext uri="{3e2802c4-a4d2-4d8b-9148-e3be6c30e623}">
          <xlrd:rvb i="9204"/>
        </ext>
      </extLst>
    </bk>
    <bk>
      <extLst>
        <ext uri="{3e2802c4-a4d2-4d8b-9148-e3be6c30e623}">
          <xlrd:rvb i="9205"/>
        </ext>
      </extLst>
    </bk>
    <bk>
      <extLst>
        <ext uri="{3e2802c4-a4d2-4d8b-9148-e3be6c30e623}">
          <xlrd:rvb i="9206"/>
        </ext>
      </extLst>
    </bk>
    <bk>
      <extLst>
        <ext uri="{3e2802c4-a4d2-4d8b-9148-e3be6c30e623}">
          <xlrd:rvb i="9207"/>
        </ext>
      </extLst>
    </bk>
    <bk>
      <extLst>
        <ext uri="{3e2802c4-a4d2-4d8b-9148-e3be6c30e623}">
          <xlrd:rvb i="9208"/>
        </ext>
      </extLst>
    </bk>
    <bk>
      <extLst>
        <ext uri="{3e2802c4-a4d2-4d8b-9148-e3be6c30e623}">
          <xlrd:rvb i="9209"/>
        </ext>
      </extLst>
    </bk>
    <bk>
      <extLst>
        <ext uri="{3e2802c4-a4d2-4d8b-9148-e3be6c30e623}">
          <xlrd:rvb i="9210"/>
        </ext>
      </extLst>
    </bk>
    <bk>
      <extLst>
        <ext uri="{3e2802c4-a4d2-4d8b-9148-e3be6c30e623}">
          <xlrd:rvb i="9211"/>
        </ext>
      </extLst>
    </bk>
    <bk>
      <extLst>
        <ext uri="{3e2802c4-a4d2-4d8b-9148-e3be6c30e623}">
          <xlrd:rvb i="9212"/>
        </ext>
      </extLst>
    </bk>
    <bk>
      <extLst>
        <ext uri="{3e2802c4-a4d2-4d8b-9148-e3be6c30e623}">
          <xlrd:rvb i="9213"/>
        </ext>
      </extLst>
    </bk>
    <bk>
      <extLst>
        <ext uri="{3e2802c4-a4d2-4d8b-9148-e3be6c30e623}">
          <xlrd:rvb i="9214"/>
        </ext>
      </extLst>
    </bk>
    <bk>
      <extLst>
        <ext uri="{3e2802c4-a4d2-4d8b-9148-e3be6c30e623}">
          <xlrd:rvb i="9215"/>
        </ext>
      </extLst>
    </bk>
    <bk>
      <extLst>
        <ext uri="{3e2802c4-a4d2-4d8b-9148-e3be6c30e623}">
          <xlrd:rvb i="9216"/>
        </ext>
      </extLst>
    </bk>
    <bk>
      <extLst>
        <ext uri="{3e2802c4-a4d2-4d8b-9148-e3be6c30e623}">
          <xlrd:rvb i="9217"/>
        </ext>
      </extLst>
    </bk>
    <bk>
      <extLst>
        <ext uri="{3e2802c4-a4d2-4d8b-9148-e3be6c30e623}">
          <xlrd:rvb i="9218"/>
        </ext>
      </extLst>
    </bk>
    <bk>
      <extLst>
        <ext uri="{3e2802c4-a4d2-4d8b-9148-e3be6c30e623}">
          <xlrd:rvb i="9219"/>
        </ext>
      </extLst>
    </bk>
    <bk>
      <extLst>
        <ext uri="{3e2802c4-a4d2-4d8b-9148-e3be6c30e623}">
          <xlrd:rvb i="9220"/>
        </ext>
      </extLst>
    </bk>
    <bk>
      <extLst>
        <ext uri="{3e2802c4-a4d2-4d8b-9148-e3be6c30e623}">
          <xlrd:rvb i="9221"/>
        </ext>
      </extLst>
    </bk>
    <bk>
      <extLst>
        <ext uri="{3e2802c4-a4d2-4d8b-9148-e3be6c30e623}">
          <xlrd:rvb i="9222"/>
        </ext>
      </extLst>
    </bk>
    <bk>
      <extLst>
        <ext uri="{3e2802c4-a4d2-4d8b-9148-e3be6c30e623}">
          <xlrd:rvb i="9223"/>
        </ext>
      </extLst>
    </bk>
    <bk>
      <extLst>
        <ext uri="{3e2802c4-a4d2-4d8b-9148-e3be6c30e623}">
          <xlrd:rvb i="9224"/>
        </ext>
      </extLst>
    </bk>
    <bk>
      <extLst>
        <ext uri="{3e2802c4-a4d2-4d8b-9148-e3be6c30e623}">
          <xlrd:rvb i="9225"/>
        </ext>
      </extLst>
    </bk>
    <bk>
      <extLst>
        <ext uri="{3e2802c4-a4d2-4d8b-9148-e3be6c30e623}">
          <xlrd:rvb i="9226"/>
        </ext>
      </extLst>
    </bk>
    <bk>
      <extLst>
        <ext uri="{3e2802c4-a4d2-4d8b-9148-e3be6c30e623}">
          <xlrd:rvb i="9227"/>
        </ext>
      </extLst>
    </bk>
    <bk>
      <extLst>
        <ext uri="{3e2802c4-a4d2-4d8b-9148-e3be6c30e623}">
          <xlrd:rvb i="9228"/>
        </ext>
      </extLst>
    </bk>
    <bk>
      <extLst>
        <ext uri="{3e2802c4-a4d2-4d8b-9148-e3be6c30e623}">
          <xlrd:rvb i="9229"/>
        </ext>
      </extLst>
    </bk>
    <bk>
      <extLst>
        <ext uri="{3e2802c4-a4d2-4d8b-9148-e3be6c30e623}">
          <xlrd:rvb i="9230"/>
        </ext>
      </extLst>
    </bk>
    <bk>
      <extLst>
        <ext uri="{3e2802c4-a4d2-4d8b-9148-e3be6c30e623}">
          <xlrd:rvb i="9231"/>
        </ext>
      </extLst>
    </bk>
    <bk>
      <extLst>
        <ext uri="{3e2802c4-a4d2-4d8b-9148-e3be6c30e623}">
          <xlrd:rvb i="9232"/>
        </ext>
      </extLst>
    </bk>
    <bk>
      <extLst>
        <ext uri="{3e2802c4-a4d2-4d8b-9148-e3be6c30e623}">
          <xlrd:rvb i="9233"/>
        </ext>
      </extLst>
    </bk>
    <bk>
      <extLst>
        <ext uri="{3e2802c4-a4d2-4d8b-9148-e3be6c30e623}">
          <xlrd:rvb i="9234"/>
        </ext>
      </extLst>
    </bk>
    <bk>
      <extLst>
        <ext uri="{3e2802c4-a4d2-4d8b-9148-e3be6c30e623}">
          <xlrd:rvb i="9235"/>
        </ext>
      </extLst>
    </bk>
    <bk>
      <extLst>
        <ext uri="{3e2802c4-a4d2-4d8b-9148-e3be6c30e623}">
          <xlrd:rvb i="9236"/>
        </ext>
      </extLst>
    </bk>
    <bk>
      <extLst>
        <ext uri="{3e2802c4-a4d2-4d8b-9148-e3be6c30e623}">
          <xlrd:rvb i="9237"/>
        </ext>
      </extLst>
    </bk>
    <bk>
      <extLst>
        <ext uri="{3e2802c4-a4d2-4d8b-9148-e3be6c30e623}">
          <xlrd:rvb i="9238"/>
        </ext>
      </extLst>
    </bk>
    <bk>
      <extLst>
        <ext uri="{3e2802c4-a4d2-4d8b-9148-e3be6c30e623}">
          <xlrd:rvb i="9239"/>
        </ext>
      </extLst>
    </bk>
    <bk>
      <extLst>
        <ext uri="{3e2802c4-a4d2-4d8b-9148-e3be6c30e623}">
          <xlrd:rvb i="9240"/>
        </ext>
      </extLst>
    </bk>
    <bk>
      <extLst>
        <ext uri="{3e2802c4-a4d2-4d8b-9148-e3be6c30e623}">
          <xlrd:rvb i="9241"/>
        </ext>
      </extLst>
    </bk>
    <bk>
      <extLst>
        <ext uri="{3e2802c4-a4d2-4d8b-9148-e3be6c30e623}">
          <xlrd:rvb i="9242"/>
        </ext>
      </extLst>
    </bk>
    <bk>
      <extLst>
        <ext uri="{3e2802c4-a4d2-4d8b-9148-e3be6c30e623}">
          <xlrd:rvb i="9243"/>
        </ext>
      </extLst>
    </bk>
    <bk>
      <extLst>
        <ext uri="{3e2802c4-a4d2-4d8b-9148-e3be6c30e623}">
          <xlrd:rvb i="9244"/>
        </ext>
      </extLst>
    </bk>
    <bk>
      <extLst>
        <ext uri="{3e2802c4-a4d2-4d8b-9148-e3be6c30e623}">
          <xlrd:rvb i="9245"/>
        </ext>
      </extLst>
    </bk>
    <bk>
      <extLst>
        <ext uri="{3e2802c4-a4d2-4d8b-9148-e3be6c30e623}">
          <xlrd:rvb i="9246"/>
        </ext>
      </extLst>
    </bk>
    <bk>
      <extLst>
        <ext uri="{3e2802c4-a4d2-4d8b-9148-e3be6c30e623}">
          <xlrd:rvb i="9247"/>
        </ext>
      </extLst>
    </bk>
    <bk>
      <extLst>
        <ext uri="{3e2802c4-a4d2-4d8b-9148-e3be6c30e623}">
          <xlrd:rvb i="9248"/>
        </ext>
      </extLst>
    </bk>
    <bk>
      <extLst>
        <ext uri="{3e2802c4-a4d2-4d8b-9148-e3be6c30e623}">
          <xlrd:rvb i="9249"/>
        </ext>
      </extLst>
    </bk>
    <bk>
      <extLst>
        <ext uri="{3e2802c4-a4d2-4d8b-9148-e3be6c30e623}">
          <xlrd:rvb i="9250"/>
        </ext>
      </extLst>
    </bk>
    <bk>
      <extLst>
        <ext uri="{3e2802c4-a4d2-4d8b-9148-e3be6c30e623}">
          <xlrd:rvb i="9251"/>
        </ext>
      </extLst>
    </bk>
    <bk>
      <extLst>
        <ext uri="{3e2802c4-a4d2-4d8b-9148-e3be6c30e623}">
          <xlrd:rvb i="9252"/>
        </ext>
      </extLst>
    </bk>
    <bk>
      <extLst>
        <ext uri="{3e2802c4-a4d2-4d8b-9148-e3be6c30e623}">
          <xlrd:rvb i="9253"/>
        </ext>
      </extLst>
    </bk>
    <bk>
      <extLst>
        <ext uri="{3e2802c4-a4d2-4d8b-9148-e3be6c30e623}">
          <xlrd:rvb i="9254"/>
        </ext>
      </extLst>
    </bk>
    <bk>
      <extLst>
        <ext uri="{3e2802c4-a4d2-4d8b-9148-e3be6c30e623}">
          <xlrd:rvb i="9255"/>
        </ext>
      </extLst>
    </bk>
    <bk>
      <extLst>
        <ext uri="{3e2802c4-a4d2-4d8b-9148-e3be6c30e623}">
          <xlrd:rvb i="9256"/>
        </ext>
      </extLst>
    </bk>
    <bk>
      <extLst>
        <ext uri="{3e2802c4-a4d2-4d8b-9148-e3be6c30e623}">
          <xlrd:rvb i="9257"/>
        </ext>
      </extLst>
    </bk>
    <bk>
      <extLst>
        <ext uri="{3e2802c4-a4d2-4d8b-9148-e3be6c30e623}">
          <xlrd:rvb i="9258"/>
        </ext>
      </extLst>
    </bk>
    <bk>
      <extLst>
        <ext uri="{3e2802c4-a4d2-4d8b-9148-e3be6c30e623}">
          <xlrd:rvb i="9259"/>
        </ext>
      </extLst>
    </bk>
    <bk>
      <extLst>
        <ext uri="{3e2802c4-a4d2-4d8b-9148-e3be6c30e623}">
          <xlrd:rvb i="9260"/>
        </ext>
      </extLst>
    </bk>
    <bk>
      <extLst>
        <ext uri="{3e2802c4-a4d2-4d8b-9148-e3be6c30e623}">
          <xlrd:rvb i="9261"/>
        </ext>
      </extLst>
    </bk>
    <bk>
      <extLst>
        <ext uri="{3e2802c4-a4d2-4d8b-9148-e3be6c30e623}">
          <xlrd:rvb i="9262"/>
        </ext>
      </extLst>
    </bk>
    <bk>
      <extLst>
        <ext uri="{3e2802c4-a4d2-4d8b-9148-e3be6c30e623}">
          <xlrd:rvb i="9263"/>
        </ext>
      </extLst>
    </bk>
    <bk>
      <extLst>
        <ext uri="{3e2802c4-a4d2-4d8b-9148-e3be6c30e623}">
          <xlrd:rvb i="9264"/>
        </ext>
      </extLst>
    </bk>
    <bk>
      <extLst>
        <ext uri="{3e2802c4-a4d2-4d8b-9148-e3be6c30e623}">
          <xlrd:rvb i="9265"/>
        </ext>
      </extLst>
    </bk>
    <bk>
      <extLst>
        <ext uri="{3e2802c4-a4d2-4d8b-9148-e3be6c30e623}">
          <xlrd:rvb i="9266"/>
        </ext>
      </extLst>
    </bk>
    <bk>
      <extLst>
        <ext uri="{3e2802c4-a4d2-4d8b-9148-e3be6c30e623}">
          <xlrd:rvb i="9267"/>
        </ext>
      </extLst>
    </bk>
    <bk>
      <extLst>
        <ext uri="{3e2802c4-a4d2-4d8b-9148-e3be6c30e623}">
          <xlrd:rvb i="9268"/>
        </ext>
      </extLst>
    </bk>
    <bk>
      <extLst>
        <ext uri="{3e2802c4-a4d2-4d8b-9148-e3be6c30e623}">
          <xlrd:rvb i="9269"/>
        </ext>
      </extLst>
    </bk>
    <bk>
      <extLst>
        <ext uri="{3e2802c4-a4d2-4d8b-9148-e3be6c30e623}">
          <xlrd:rvb i="9270"/>
        </ext>
      </extLst>
    </bk>
    <bk>
      <extLst>
        <ext uri="{3e2802c4-a4d2-4d8b-9148-e3be6c30e623}">
          <xlrd:rvb i="9271"/>
        </ext>
      </extLst>
    </bk>
    <bk>
      <extLst>
        <ext uri="{3e2802c4-a4d2-4d8b-9148-e3be6c30e623}">
          <xlrd:rvb i="9272"/>
        </ext>
      </extLst>
    </bk>
    <bk>
      <extLst>
        <ext uri="{3e2802c4-a4d2-4d8b-9148-e3be6c30e623}">
          <xlrd:rvb i="9273"/>
        </ext>
      </extLst>
    </bk>
    <bk>
      <extLst>
        <ext uri="{3e2802c4-a4d2-4d8b-9148-e3be6c30e623}">
          <xlrd:rvb i="9274"/>
        </ext>
      </extLst>
    </bk>
    <bk>
      <extLst>
        <ext uri="{3e2802c4-a4d2-4d8b-9148-e3be6c30e623}">
          <xlrd:rvb i="9275"/>
        </ext>
      </extLst>
    </bk>
    <bk>
      <extLst>
        <ext uri="{3e2802c4-a4d2-4d8b-9148-e3be6c30e623}">
          <xlrd:rvb i="9276"/>
        </ext>
      </extLst>
    </bk>
    <bk>
      <extLst>
        <ext uri="{3e2802c4-a4d2-4d8b-9148-e3be6c30e623}">
          <xlrd:rvb i="9277"/>
        </ext>
      </extLst>
    </bk>
    <bk>
      <extLst>
        <ext uri="{3e2802c4-a4d2-4d8b-9148-e3be6c30e623}">
          <xlrd:rvb i="9278"/>
        </ext>
      </extLst>
    </bk>
    <bk>
      <extLst>
        <ext uri="{3e2802c4-a4d2-4d8b-9148-e3be6c30e623}">
          <xlrd:rvb i="9279"/>
        </ext>
      </extLst>
    </bk>
    <bk>
      <extLst>
        <ext uri="{3e2802c4-a4d2-4d8b-9148-e3be6c30e623}">
          <xlrd:rvb i="9280"/>
        </ext>
      </extLst>
    </bk>
    <bk>
      <extLst>
        <ext uri="{3e2802c4-a4d2-4d8b-9148-e3be6c30e623}">
          <xlrd:rvb i="9281"/>
        </ext>
      </extLst>
    </bk>
    <bk>
      <extLst>
        <ext uri="{3e2802c4-a4d2-4d8b-9148-e3be6c30e623}">
          <xlrd:rvb i="9282"/>
        </ext>
      </extLst>
    </bk>
    <bk>
      <extLst>
        <ext uri="{3e2802c4-a4d2-4d8b-9148-e3be6c30e623}">
          <xlrd:rvb i="9283"/>
        </ext>
      </extLst>
    </bk>
    <bk>
      <extLst>
        <ext uri="{3e2802c4-a4d2-4d8b-9148-e3be6c30e623}">
          <xlrd:rvb i="9284"/>
        </ext>
      </extLst>
    </bk>
    <bk>
      <extLst>
        <ext uri="{3e2802c4-a4d2-4d8b-9148-e3be6c30e623}">
          <xlrd:rvb i="9285"/>
        </ext>
      </extLst>
    </bk>
    <bk>
      <extLst>
        <ext uri="{3e2802c4-a4d2-4d8b-9148-e3be6c30e623}">
          <xlrd:rvb i="9286"/>
        </ext>
      </extLst>
    </bk>
    <bk>
      <extLst>
        <ext uri="{3e2802c4-a4d2-4d8b-9148-e3be6c30e623}">
          <xlrd:rvb i="9287"/>
        </ext>
      </extLst>
    </bk>
    <bk>
      <extLst>
        <ext uri="{3e2802c4-a4d2-4d8b-9148-e3be6c30e623}">
          <xlrd:rvb i="9288"/>
        </ext>
      </extLst>
    </bk>
    <bk>
      <extLst>
        <ext uri="{3e2802c4-a4d2-4d8b-9148-e3be6c30e623}">
          <xlrd:rvb i="9289"/>
        </ext>
      </extLst>
    </bk>
    <bk>
      <extLst>
        <ext uri="{3e2802c4-a4d2-4d8b-9148-e3be6c30e623}">
          <xlrd:rvb i="9290"/>
        </ext>
      </extLst>
    </bk>
    <bk>
      <extLst>
        <ext uri="{3e2802c4-a4d2-4d8b-9148-e3be6c30e623}">
          <xlrd:rvb i="9291"/>
        </ext>
      </extLst>
    </bk>
    <bk>
      <extLst>
        <ext uri="{3e2802c4-a4d2-4d8b-9148-e3be6c30e623}">
          <xlrd:rvb i="9292"/>
        </ext>
      </extLst>
    </bk>
    <bk>
      <extLst>
        <ext uri="{3e2802c4-a4d2-4d8b-9148-e3be6c30e623}">
          <xlrd:rvb i="9293"/>
        </ext>
      </extLst>
    </bk>
    <bk>
      <extLst>
        <ext uri="{3e2802c4-a4d2-4d8b-9148-e3be6c30e623}">
          <xlrd:rvb i="9294"/>
        </ext>
      </extLst>
    </bk>
    <bk>
      <extLst>
        <ext uri="{3e2802c4-a4d2-4d8b-9148-e3be6c30e623}">
          <xlrd:rvb i="9295"/>
        </ext>
      </extLst>
    </bk>
    <bk>
      <extLst>
        <ext uri="{3e2802c4-a4d2-4d8b-9148-e3be6c30e623}">
          <xlrd:rvb i="9296"/>
        </ext>
      </extLst>
    </bk>
    <bk>
      <extLst>
        <ext uri="{3e2802c4-a4d2-4d8b-9148-e3be6c30e623}">
          <xlrd:rvb i="9297"/>
        </ext>
      </extLst>
    </bk>
    <bk>
      <extLst>
        <ext uri="{3e2802c4-a4d2-4d8b-9148-e3be6c30e623}">
          <xlrd:rvb i="9298"/>
        </ext>
      </extLst>
    </bk>
    <bk>
      <extLst>
        <ext uri="{3e2802c4-a4d2-4d8b-9148-e3be6c30e623}">
          <xlrd:rvb i="9299"/>
        </ext>
      </extLst>
    </bk>
    <bk>
      <extLst>
        <ext uri="{3e2802c4-a4d2-4d8b-9148-e3be6c30e623}">
          <xlrd:rvb i="9300"/>
        </ext>
      </extLst>
    </bk>
    <bk>
      <extLst>
        <ext uri="{3e2802c4-a4d2-4d8b-9148-e3be6c30e623}">
          <xlrd:rvb i="9301"/>
        </ext>
      </extLst>
    </bk>
    <bk>
      <extLst>
        <ext uri="{3e2802c4-a4d2-4d8b-9148-e3be6c30e623}">
          <xlrd:rvb i="9302"/>
        </ext>
      </extLst>
    </bk>
    <bk>
      <extLst>
        <ext uri="{3e2802c4-a4d2-4d8b-9148-e3be6c30e623}">
          <xlrd:rvb i="9303"/>
        </ext>
      </extLst>
    </bk>
    <bk>
      <extLst>
        <ext uri="{3e2802c4-a4d2-4d8b-9148-e3be6c30e623}">
          <xlrd:rvb i="9304"/>
        </ext>
      </extLst>
    </bk>
    <bk>
      <extLst>
        <ext uri="{3e2802c4-a4d2-4d8b-9148-e3be6c30e623}">
          <xlrd:rvb i="9305"/>
        </ext>
      </extLst>
    </bk>
    <bk>
      <extLst>
        <ext uri="{3e2802c4-a4d2-4d8b-9148-e3be6c30e623}">
          <xlrd:rvb i="9306"/>
        </ext>
      </extLst>
    </bk>
    <bk>
      <extLst>
        <ext uri="{3e2802c4-a4d2-4d8b-9148-e3be6c30e623}">
          <xlrd:rvb i="9307"/>
        </ext>
      </extLst>
    </bk>
    <bk>
      <extLst>
        <ext uri="{3e2802c4-a4d2-4d8b-9148-e3be6c30e623}">
          <xlrd:rvb i="9308"/>
        </ext>
      </extLst>
    </bk>
    <bk>
      <extLst>
        <ext uri="{3e2802c4-a4d2-4d8b-9148-e3be6c30e623}">
          <xlrd:rvb i="9309"/>
        </ext>
      </extLst>
    </bk>
    <bk>
      <extLst>
        <ext uri="{3e2802c4-a4d2-4d8b-9148-e3be6c30e623}">
          <xlrd:rvb i="9310"/>
        </ext>
      </extLst>
    </bk>
    <bk>
      <extLst>
        <ext uri="{3e2802c4-a4d2-4d8b-9148-e3be6c30e623}">
          <xlrd:rvb i="9311"/>
        </ext>
      </extLst>
    </bk>
    <bk>
      <extLst>
        <ext uri="{3e2802c4-a4d2-4d8b-9148-e3be6c30e623}">
          <xlrd:rvb i="9312"/>
        </ext>
      </extLst>
    </bk>
    <bk>
      <extLst>
        <ext uri="{3e2802c4-a4d2-4d8b-9148-e3be6c30e623}">
          <xlrd:rvb i="9313"/>
        </ext>
      </extLst>
    </bk>
    <bk>
      <extLst>
        <ext uri="{3e2802c4-a4d2-4d8b-9148-e3be6c30e623}">
          <xlrd:rvb i="9314"/>
        </ext>
      </extLst>
    </bk>
    <bk>
      <extLst>
        <ext uri="{3e2802c4-a4d2-4d8b-9148-e3be6c30e623}">
          <xlrd:rvb i="9315"/>
        </ext>
      </extLst>
    </bk>
    <bk>
      <extLst>
        <ext uri="{3e2802c4-a4d2-4d8b-9148-e3be6c30e623}">
          <xlrd:rvb i="9316"/>
        </ext>
      </extLst>
    </bk>
    <bk>
      <extLst>
        <ext uri="{3e2802c4-a4d2-4d8b-9148-e3be6c30e623}">
          <xlrd:rvb i="9317"/>
        </ext>
      </extLst>
    </bk>
    <bk>
      <extLst>
        <ext uri="{3e2802c4-a4d2-4d8b-9148-e3be6c30e623}">
          <xlrd:rvb i="9318"/>
        </ext>
      </extLst>
    </bk>
    <bk>
      <extLst>
        <ext uri="{3e2802c4-a4d2-4d8b-9148-e3be6c30e623}">
          <xlrd:rvb i="9319"/>
        </ext>
      </extLst>
    </bk>
    <bk>
      <extLst>
        <ext uri="{3e2802c4-a4d2-4d8b-9148-e3be6c30e623}">
          <xlrd:rvb i="9320"/>
        </ext>
      </extLst>
    </bk>
    <bk>
      <extLst>
        <ext uri="{3e2802c4-a4d2-4d8b-9148-e3be6c30e623}">
          <xlrd:rvb i="9321"/>
        </ext>
      </extLst>
    </bk>
    <bk>
      <extLst>
        <ext uri="{3e2802c4-a4d2-4d8b-9148-e3be6c30e623}">
          <xlrd:rvb i="9322"/>
        </ext>
      </extLst>
    </bk>
    <bk>
      <extLst>
        <ext uri="{3e2802c4-a4d2-4d8b-9148-e3be6c30e623}">
          <xlrd:rvb i="9323"/>
        </ext>
      </extLst>
    </bk>
    <bk>
      <extLst>
        <ext uri="{3e2802c4-a4d2-4d8b-9148-e3be6c30e623}">
          <xlrd:rvb i="9324"/>
        </ext>
      </extLst>
    </bk>
    <bk>
      <extLst>
        <ext uri="{3e2802c4-a4d2-4d8b-9148-e3be6c30e623}">
          <xlrd:rvb i="9325"/>
        </ext>
      </extLst>
    </bk>
    <bk>
      <extLst>
        <ext uri="{3e2802c4-a4d2-4d8b-9148-e3be6c30e623}">
          <xlrd:rvb i="9326"/>
        </ext>
      </extLst>
    </bk>
    <bk>
      <extLst>
        <ext uri="{3e2802c4-a4d2-4d8b-9148-e3be6c30e623}">
          <xlrd:rvb i="9327"/>
        </ext>
      </extLst>
    </bk>
    <bk>
      <extLst>
        <ext uri="{3e2802c4-a4d2-4d8b-9148-e3be6c30e623}">
          <xlrd:rvb i="9328"/>
        </ext>
      </extLst>
    </bk>
    <bk>
      <extLst>
        <ext uri="{3e2802c4-a4d2-4d8b-9148-e3be6c30e623}">
          <xlrd:rvb i="9329"/>
        </ext>
      </extLst>
    </bk>
    <bk>
      <extLst>
        <ext uri="{3e2802c4-a4d2-4d8b-9148-e3be6c30e623}">
          <xlrd:rvb i="9330"/>
        </ext>
      </extLst>
    </bk>
    <bk>
      <extLst>
        <ext uri="{3e2802c4-a4d2-4d8b-9148-e3be6c30e623}">
          <xlrd:rvb i="9331"/>
        </ext>
      </extLst>
    </bk>
    <bk>
      <extLst>
        <ext uri="{3e2802c4-a4d2-4d8b-9148-e3be6c30e623}">
          <xlrd:rvb i="9332"/>
        </ext>
      </extLst>
    </bk>
    <bk>
      <extLst>
        <ext uri="{3e2802c4-a4d2-4d8b-9148-e3be6c30e623}">
          <xlrd:rvb i="9333"/>
        </ext>
      </extLst>
    </bk>
    <bk>
      <extLst>
        <ext uri="{3e2802c4-a4d2-4d8b-9148-e3be6c30e623}">
          <xlrd:rvb i="9334"/>
        </ext>
      </extLst>
    </bk>
    <bk>
      <extLst>
        <ext uri="{3e2802c4-a4d2-4d8b-9148-e3be6c30e623}">
          <xlrd:rvb i="9335"/>
        </ext>
      </extLst>
    </bk>
    <bk>
      <extLst>
        <ext uri="{3e2802c4-a4d2-4d8b-9148-e3be6c30e623}">
          <xlrd:rvb i="9336"/>
        </ext>
      </extLst>
    </bk>
    <bk>
      <extLst>
        <ext uri="{3e2802c4-a4d2-4d8b-9148-e3be6c30e623}">
          <xlrd:rvb i="9337"/>
        </ext>
      </extLst>
    </bk>
    <bk>
      <extLst>
        <ext uri="{3e2802c4-a4d2-4d8b-9148-e3be6c30e623}">
          <xlrd:rvb i="9338"/>
        </ext>
      </extLst>
    </bk>
    <bk>
      <extLst>
        <ext uri="{3e2802c4-a4d2-4d8b-9148-e3be6c30e623}">
          <xlrd:rvb i="9339"/>
        </ext>
      </extLst>
    </bk>
    <bk>
      <extLst>
        <ext uri="{3e2802c4-a4d2-4d8b-9148-e3be6c30e623}">
          <xlrd:rvb i="9340"/>
        </ext>
      </extLst>
    </bk>
    <bk>
      <extLst>
        <ext uri="{3e2802c4-a4d2-4d8b-9148-e3be6c30e623}">
          <xlrd:rvb i="9341"/>
        </ext>
      </extLst>
    </bk>
    <bk>
      <extLst>
        <ext uri="{3e2802c4-a4d2-4d8b-9148-e3be6c30e623}">
          <xlrd:rvb i="9342"/>
        </ext>
      </extLst>
    </bk>
    <bk>
      <extLst>
        <ext uri="{3e2802c4-a4d2-4d8b-9148-e3be6c30e623}">
          <xlrd:rvb i="9343"/>
        </ext>
      </extLst>
    </bk>
    <bk>
      <extLst>
        <ext uri="{3e2802c4-a4d2-4d8b-9148-e3be6c30e623}">
          <xlrd:rvb i="9344"/>
        </ext>
      </extLst>
    </bk>
    <bk>
      <extLst>
        <ext uri="{3e2802c4-a4d2-4d8b-9148-e3be6c30e623}">
          <xlrd:rvb i="9345"/>
        </ext>
      </extLst>
    </bk>
    <bk>
      <extLst>
        <ext uri="{3e2802c4-a4d2-4d8b-9148-e3be6c30e623}">
          <xlrd:rvb i="9346"/>
        </ext>
      </extLst>
    </bk>
    <bk>
      <extLst>
        <ext uri="{3e2802c4-a4d2-4d8b-9148-e3be6c30e623}">
          <xlrd:rvb i="9347"/>
        </ext>
      </extLst>
    </bk>
    <bk>
      <extLst>
        <ext uri="{3e2802c4-a4d2-4d8b-9148-e3be6c30e623}">
          <xlrd:rvb i="9348"/>
        </ext>
      </extLst>
    </bk>
    <bk>
      <extLst>
        <ext uri="{3e2802c4-a4d2-4d8b-9148-e3be6c30e623}">
          <xlrd:rvb i="9349"/>
        </ext>
      </extLst>
    </bk>
    <bk>
      <extLst>
        <ext uri="{3e2802c4-a4d2-4d8b-9148-e3be6c30e623}">
          <xlrd:rvb i="9350"/>
        </ext>
      </extLst>
    </bk>
    <bk>
      <extLst>
        <ext uri="{3e2802c4-a4d2-4d8b-9148-e3be6c30e623}">
          <xlrd:rvb i="9351"/>
        </ext>
      </extLst>
    </bk>
    <bk>
      <extLst>
        <ext uri="{3e2802c4-a4d2-4d8b-9148-e3be6c30e623}">
          <xlrd:rvb i="9352"/>
        </ext>
      </extLst>
    </bk>
    <bk>
      <extLst>
        <ext uri="{3e2802c4-a4d2-4d8b-9148-e3be6c30e623}">
          <xlrd:rvb i="9353"/>
        </ext>
      </extLst>
    </bk>
    <bk>
      <extLst>
        <ext uri="{3e2802c4-a4d2-4d8b-9148-e3be6c30e623}">
          <xlrd:rvb i="9354"/>
        </ext>
      </extLst>
    </bk>
    <bk>
      <extLst>
        <ext uri="{3e2802c4-a4d2-4d8b-9148-e3be6c30e623}">
          <xlrd:rvb i="9355"/>
        </ext>
      </extLst>
    </bk>
    <bk>
      <extLst>
        <ext uri="{3e2802c4-a4d2-4d8b-9148-e3be6c30e623}">
          <xlrd:rvb i="9356"/>
        </ext>
      </extLst>
    </bk>
    <bk>
      <extLst>
        <ext uri="{3e2802c4-a4d2-4d8b-9148-e3be6c30e623}">
          <xlrd:rvb i="9357"/>
        </ext>
      </extLst>
    </bk>
    <bk>
      <extLst>
        <ext uri="{3e2802c4-a4d2-4d8b-9148-e3be6c30e623}">
          <xlrd:rvb i="9358"/>
        </ext>
      </extLst>
    </bk>
    <bk>
      <extLst>
        <ext uri="{3e2802c4-a4d2-4d8b-9148-e3be6c30e623}">
          <xlrd:rvb i="9359"/>
        </ext>
      </extLst>
    </bk>
    <bk>
      <extLst>
        <ext uri="{3e2802c4-a4d2-4d8b-9148-e3be6c30e623}">
          <xlrd:rvb i="9360"/>
        </ext>
      </extLst>
    </bk>
    <bk>
      <extLst>
        <ext uri="{3e2802c4-a4d2-4d8b-9148-e3be6c30e623}">
          <xlrd:rvb i="9361"/>
        </ext>
      </extLst>
    </bk>
    <bk>
      <extLst>
        <ext uri="{3e2802c4-a4d2-4d8b-9148-e3be6c30e623}">
          <xlrd:rvb i="9362"/>
        </ext>
      </extLst>
    </bk>
    <bk>
      <extLst>
        <ext uri="{3e2802c4-a4d2-4d8b-9148-e3be6c30e623}">
          <xlrd:rvb i="9363"/>
        </ext>
      </extLst>
    </bk>
    <bk>
      <extLst>
        <ext uri="{3e2802c4-a4d2-4d8b-9148-e3be6c30e623}">
          <xlrd:rvb i="9364"/>
        </ext>
      </extLst>
    </bk>
    <bk>
      <extLst>
        <ext uri="{3e2802c4-a4d2-4d8b-9148-e3be6c30e623}">
          <xlrd:rvb i="9365"/>
        </ext>
      </extLst>
    </bk>
    <bk>
      <extLst>
        <ext uri="{3e2802c4-a4d2-4d8b-9148-e3be6c30e623}">
          <xlrd:rvb i="9366"/>
        </ext>
      </extLst>
    </bk>
    <bk>
      <extLst>
        <ext uri="{3e2802c4-a4d2-4d8b-9148-e3be6c30e623}">
          <xlrd:rvb i="9367"/>
        </ext>
      </extLst>
    </bk>
    <bk>
      <extLst>
        <ext uri="{3e2802c4-a4d2-4d8b-9148-e3be6c30e623}">
          <xlrd:rvb i="9368"/>
        </ext>
      </extLst>
    </bk>
    <bk>
      <extLst>
        <ext uri="{3e2802c4-a4d2-4d8b-9148-e3be6c30e623}">
          <xlrd:rvb i="9369"/>
        </ext>
      </extLst>
    </bk>
    <bk>
      <extLst>
        <ext uri="{3e2802c4-a4d2-4d8b-9148-e3be6c30e623}">
          <xlrd:rvb i="9370"/>
        </ext>
      </extLst>
    </bk>
    <bk>
      <extLst>
        <ext uri="{3e2802c4-a4d2-4d8b-9148-e3be6c30e623}">
          <xlrd:rvb i="9371"/>
        </ext>
      </extLst>
    </bk>
    <bk>
      <extLst>
        <ext uri="{3e2802c4-a4d2-4d8b-9148-e3be6c30e623}">
          <xlrd:rvb i="9372"/>
        </ext>
      </extLst>
    </bk>
    <bk>
      <extLst>
        <ext uri="{3e2802c4-a4d2-4d8b-9148-e3be6c30e623}">
          <xlrd:rvb i="9373"/>
        </ext>
      </extLst>
    </bk>
    <bk>
      <extLst>
        <ext uri="{3e2802c4-a4d2-4d8b-9148-e3be6c30e623}">
          <xlrd:rvb i="9374"/>
        </ext>
      </extLst>
    </bk>
    <bk>
      <extLst>
        <ext uri="{3e2802c4-a4d2-4d8b-9148-e3be6c30e623}">
          <xlrd:rvb i="9375"/>
        </ext>
      </extLst>
    </bk>
    <bk>
      <extLst>
        <ext uri="{3e2802c4-a4d2-4d8b-9148-e3be6c30e623}">
          <xlrd:rvb i="9376"/>
        </ext>
      </extLst>
    </bk>
    <bk>
      <extLst>
        <ext uri="{3e2802c4-a4d2-4d8b-9148-e3be6c30e623}">
          <xlrd:rvb i="9377"/>
        </ext>
      </extLst>
    </bk>
    <bk>
      <extLst>
        <ext uri="{3e2802c4-a4d2-4d8b-9148-e3be6c30e623}">
          <xlrd:rvb i="9378"/>
        </ext>
      </extLst>
    </bk>
    <bk>
      <extLst>
        <ext uri="{3e2802c4-a4d2-4d8b-9148-e3be6c30e623}">
          <xlrd:rvb i="9379"/>
        </ext>
      </extLst>
    </bk>
    <bk>
      <extLst>
        <ext uri="{3e2802c4-a4d2-4d8b-9148-e3be6c30e623}">
          <xlrd:rvb i="9380"/>
        </ext>
      </extLst>
    </bk>
    <bk>
      <extLst>
        <ext uri="{3e2802c4-a4d2-4d8b-9148-e3be6c30e623}">
          <xlrd:rvb i="9381"/>
        </ext>
      </extLst>
    </bk>
    <bk>
      <extLst>
        <ext uri="{3e2802c4-a4d2-4d8b-9148-e3be6c30e623}">
          <xlrd:rvb i="9382"/>
        </ext>
      </extLst>
    </bk>
    <bk>
      <extLst>
        <ext uri="{3e2802c4-a4d2-4d8b-9148-e3be6c30e623}">
          <xlrd:rvb i="9383"/>
        </ext>
      </extLst>
    </bk>
    <bk>
      <extLst>
        <ext uri="{3e2802c4-a4d2-4d8b-9148-e3be6c30e623}">
          <xlrd:rvb i="9384"/>
        </ext>
      </extLst>
    </bk>
    <bk>
      <extLst>
        <ext uri="{3e2802c4-a4d2-4d8b-9148-e3be6c30e623}">
          <xlrd:rvb i="9385"/>
        </ext>
      </extLst>
    </bk>
    <bk>
      <extLst>
        <ext uri="{3e2802c4-a4d2-4d8b-9148-e3be6c30e623}">
          <xlrd:rvb i="9386"/>
        </ext>
      </extLst>
    </bk>
    <bk>
      <extLst>
        <ext uri="{3e2802c4-a4d2-4d8b-9148-e3be6c30e623}">
          <xlrd:rvb i="9387"/>
        </ext>
      </extLst>
    </bk>
    <bk>
      <extLst>
        <ext uri="{3e2802c4-a4d2-4d8b-9148-e3be6c30e623}">
          <xlrd:rvb i="9388"/>
        </ext>
      </extLst>
    </bk>
    <bk>
      <extLst>
        <ext uri="{3e2802c4-a4d2-4d8b-9148-e3be6c30e623}">
          <xlrd:rvb i="9389"/>
        </ext>
      </extLst>
    </bk>
    <bk>
      <extLst>
        <ext uri="{3e2802c4-a4d2-4d8b-9148-e3be6c30e623}">
          <xlrd:rvb i="9390"/>
        </ext>
      </extLst>
    </bk>
    <bk>
      <extLst>
        <ext uri="{3e2802c4-a4d2-4d8b-9148-e3be6c30e623}">
          <xlrd:rvb i="9391"/>
        </ext>
      </extLst>
    </bk>
    <bk>
      <extLst>
        <ext uri="{3e2802c4-a4d2-4d8b-9148-e3be6c30e623}">
          <xlrd:rvb i="9392"/>
        </ext>
      </extLst>
    </bk>
    <bk>
      <extLst>
        <ext uri="{3e2802c4-a4d2-4d8b-9148-e3be6c30e623}">
          <xlrd:rvb i="9393"/>
        </ext>
      </extLst>
    </bk>
    <bk>
      <extLst>
        <ext uri="{3e2802c4-a4d2-4d8b-9148-e3be6c30e623}">
          <xlrd:rvb i="9394"/>
        </ext>
      </extLst>
    </bk>
    <bk>
      <extLst>
        <ext uri="{3e2802c4-a4d2-4d8b-9148-e3be6c30e623}">
          <xlrd:rvb i="9395"/>
        </ext>
      </extLst>
    </bk>
    <bk>
      <extLst>
        <ext uri="{3e2802c4-a4d2-4d8b-9148-e3be6c30e623}">
          <xlrd:rvb i="9396"/>
        </ext>
      </extLst>
    </bk>
    <bk>
      <extLst>
        <ext uri="{3e2802c4-a4d2-4d8b-9148-e3be6c30e623}">
          <xlrd:rvb i="9397"/>
        </ext>
      </extLst>
    </bk>
    <bk>
      <extLst>
        <ext uri="{3e2802c4-a4d2-4d8b-9148-e3be6c30e623}">
          <xlrd:rvb i="9398"/>
        </ext>
      </extLst>
    </bk>
    <bk>
      <extLst>
        <ext uri="{3e2802c4-a4d2-4d8b-9148-e3be6c30e623}">
          <xlrd:rvb i="9399"/>
        </ext>
      </extLst>
    </bk>
    <bk>
      <extLst>
        <ext uri="{3e2802c4-a4d2-4d8b-9148-e3be6c30e623}">
          <xlrd:rvb i="9400"/>
        </ext>
      </extLst>
    </bk>
    <bk>
      <extLst>
        <ext uri="{3e2802c4-a4d2-4d8b-9148-e3be6c30e623}">
          <xlrd:rvb i="9401"/>
        </ext>
      </extLst>
    </bk>
    <bk>
      <extLst>
        <ext uri="{3e2802c4-a4d2-4d8b-9148-e3be6c30e623}">
          <xlrd:rvb i="9402"/>
        </ext>
      </extLst>
    </bk>
    <bk>
      <extLst>
        <ext uri="{3e2802c4-a4d2-4d8b-9148-e3be6c30e623}">
          <xlrd:rvb i="9403"/>
        </ext>
      </extLst>
    </bk>
    <bk>
      <extLst>
        <ext uri="{3e2802c4-a4d2-4d8b-9148-e3be6c30e623}">
          <xlrd:rvb i="9404"/>
        </ext>
      </extLst>
    </bk>
    <bk>
      <extLst>
        <ext uri="{3e2802c4-a4d2-4d8b-9148-e3be6c30e623}">
          <xlrd:rvb i="9405"/>
        </ext>
      </extLst>
    </bk>
    <bk>
      <extLst>
        <ext uri="{3e2802c4-a4d2-4d8b-9148-e3be6c30e623}">
          <xlrd:rvb i="9406"/>
        </ext>
      </extLst>
    </bk>
    <bk>
      <extLst>
        <ext uri="{3e2802c4-a4d2-4d8b-9148-e3be6c30e623}">
          <xlrd:rvb i="9407"/>
        </ext>
      </extLst>
    </bk>
    <bk>
      <extLst>
        <ext uri="{3e2802c4-a4d2-4d8b-9148-e3be6c30e623}">
          <xlrd:rvb i="9408"/>
        </ext>
      </extLst>
    </bk>
    <bk>
      <extLst>
        <ext uri="{3e2802c4-a4d2-4d8b-9148-e3be6c30e623}">
          <xlrd:rvb i="9409"/>
        </ext>
      </extLst>
    </bk>
    <bk>
      <extLst>
        <ext uri="{3e2802c4-a4d2-4d8b-9148-e3be6c30e623}">
          <xlrd:rvb i="9410"/>
        </ext>
      </extLst>
    </bk>
    <bk>
      <extLst>
        <ext uri="{3e2802c4-a4d2-4d8b-9148-e3be6c30e623}">
          <xlrd:rvb i="9411"/>
        </ext>
      </extLst>
    </bk>
    <bk>
      <extLst>
        <ext uri="{3e2802c4-a4d2-4d8b-9148-e3be6c30e623}">
          <xlrd:rvb i="9412"/>
        </ext>
      </extLst>
    </bk>
    <bk>
      <extLst>
        <ext uri="{3e2802c4-a4d2-4d8b-9148-e3be6c30e623}">
          <xlrd:rvb i="9413"/>
        </ext>
      </extLst>
    </bk>
    <bk>
      <extLst>
        <ext uri="{3e2802c4-a4d2-4d8b-9148-e3be6c30e623}">
          <xlrd:rvb i="9414"/>
        </ext>
      </extLst>
    </bk>
    <bk>
      <extLst>
        <ext uri="{3e2802c4-a4d2-4d8b-9148-e3be6c30e623}">
          <xlrd:rvb i="9415"/>
        </ext>
      </extLst>
    </bk>
    <bk>
      <extLst>
        <ext uri="{3e2802c4-a4d2-4d8b-9148-e3be6c30e623}">
          <xlrd:rvb i="9416"/>
        </ext>
      </extLst>
    </bk>
    <bk>
      <extLst>
        <ext uri="{3e2802c4-a4d2-4d8b-9148-e3be6c30e623}">
          <xlrd:rvb i="9417"/>
        </ext>
      </extLst>
    </bk>
    <bk>
      <extLst>
        <ext uri="{3e2802c4-a4d2-4d8b-9148-e3be6c30e623}">
          <xlrd:rvb i="9418"/>
        </ext>
      </extLst>
    </bk>
    <bk>
      <extLst>
        <ext uri="{3e2802c4-a4d2-4d8b-9148-e3be6c30e623}">
          <xlrd:rvb i="9419"/>
        </ext>
      </extLst>
    </bk>
    <bk>
      <extLst>
        <ext uri="{3e2802c4-a4d2-4d8b-9148-e3be6c30e623}">
          <xlrd:rvb i="9420"/>
        </ext>
      </extLst>
    </bk>
    <bk>
      <extLst>
        <ext uri="{3e2802c4-a4d2-4d8b-9148-e3be6c30e623}">
          <xlrd:rvb i="9421"/>
        </ext>
      </extLst>
    </bk>
    <bk>
      <extLst>
        <ext uri="{3e2802c4-a4d2-4d8b-9148-e3be6c30e623}">
          <xlrd:rvb i="9422"/>
        </ext>
      </extLst>
    </bk>
    <bk>
      <extLst>
        <ext uri="{3e2802c4-a4d2-4d8b-9148-e3be6c30e623}">
          <xlrd:rvb i="9423"/>
        </ext>
      </extLst>
    </bk>
    <bk>
      <extLst>
        <ext uri="{3e2802c4-a4d2-4d8b-9148-e3be6c30e623}">
          <xlrd:rvb i="9424"/>
        </ext>
      </extLst>
    </bk>
    <bk>
      <extLst>
        <ext uri="{3e2802c4-a4d2-4d8b-9148-e3be6c30e623}">
          <xlrd:rvb i="9425"/>
        </ext>
      </extLst>
    </bk>
    <bk>
      <extLst>
        <ext uri="{3e2802c4-a4d2-4d8b-9148-e3be6c30e623}">
          <xlrd:rvb i="9426"/>
        </ext>
      </extLst>
    </bk>
    <bk>
      <extLst>
        <ext uri="{3e2802c4-a4d2-4d8b-9148-e3be6c30e623}">
          <xlrd:rvb i="9427"/>
        </ext>
      </extLst>
    </bk>
    <bk>
      <extLst>
        <ext uri="{3e2802c4-a4d2-4d8b-9148-e3be6c30e623}">
          <xlrd:rvb i="9428"/>
        </ext>
      </extLst>
    </bk>
    <bk>
      <extLst>
        <ext uri="{3e2802c4-a4d2-4d8b-9148-e3be6c30e623}">
          <xlrd:rvb i="9429"/>
        </ext>
      </extLst>
    </bk>
    <bk>
      <extLst>
        <ext uri="{3e2802c4-a4d2-4d8b-9148-e3be6c30e623}">
          <xlrd:rvb i="9430"/>
        </ext>
      </extLst>
    </bk>
    <bk>
      <extLst>
        <ext uri="{3e2802c4-a4d2-4d8b-9148-e3be6c30e623}">
          <xlrd:rvb i="9431"/>
        </ext>
      </extLst>
    </bk>
    <bk>
      <extLst>
        <ext uri="{3e2802c4-a4d2-4d8b-9148-e3be6c30e623}">
          <xlrd:rvb i="9432"/>
        </ext>
      </extLst>
    </bk>
    <bk>
      <extLst>
        <ext uri="{3e2802c4-a4d2-4d8b-9148-e3be6c30e623}">
          <xlrd:rvb i="9433"/>
        </ext>
      </extLst>
    </bk>
    <bk>
      <extLst>
        <ext uri="{3e2802c4-a4d2-4d8b-9148-e3be6c30e623}">
          <xlrd:rvb i="9434"/>
        </ext>
      </extLst>
    </bk>
    <bk>
      <extLst>
        <ext uri="{3e2802c4-a4d2-4d8b-9148-e3be6c30e623}">
          <xlrd:rvb i="9435"/>
        </ext>
      </extLst>
    </bk>
    <bk>
      <extLst>
        <ext uri="{3e2802c4-a4d2-4d8b-9148-e3be6c30e623}">
          <xlrd:rvb i="9436"/>
        </ext>
      </extLst>
    </bk>
    <bk>
      <extLst>
        <ext uri="{3e2802c4-a4d2-4d8b-9148-e3be6c30e623}">
          <xlrd:rvb i="9437"/>
        </ext>
      </extLst>
    </bk>
    <bk>
      <extLst>
        <ext uri="{3e2802c4-a4d2-4d8b-9148-e3be6c30e623}">
          <xlrd:rvb i="9438"/>
        </ext>
      </extLst>
    </bk>
    <bk>
      <extLst>
        <ext uri="{3e2802c4-a4d2-4d8b-9148-e3be6c30e623}">
          <xlrd:rvb i="9439"/>
        </ext>
      </extLst>
    </bk>
    <bk>
      <extLst>
        <ext uri="{3e2802c4-a4d2-4d8b-9148-e3be6c30e623}">
          <xlrd:rvb i="9440"/>
        </ext>
      </extLst>
    </bk>
    <bk>
      <extLst>
        <ext uri="{3e2802c4-a4d2-4d8b-9148-e3be6c30e623}">
          <xlrd:rvb i="9441"/>
        </ext>
      </extLst>
    </bk>
    <bk>
      <extLst>
        <ext uri="{3e2802c4-a4d2-4d8b-9148-e3be6c30e623}">
          <xlrd:rvb i="9442"/>
        </ext>
      </extLst>
    </bk>
    <bk>
      <extLst>
        <ext uri="{3e2802c4-a4d2-4d8b-9148-e3be6c30e623}">
          <xlrd:rvb i="9443"/>
        </ext>
      </extLst>
    </bk>
    <bk>
      <extLst>
        <ext uri="{3e2802c4-a4d2-4d8b-9148-e3be6c30e623}">
          <xlrd:rvb i="9444"/>
        </ext>
      </extLst>
    </bk>
    <bk>
      <extLst>
        <ext uri="{3e2802c4-a4d2-4d8b-9148-e3be6c30e623}">
          <xlrd:rvb i="9445"/>
        </ext>
      </extLst>
    </bk>
    <bk>
      <extLst>
        <ext uri="{3e2802c4-a4d2-4d8b-9148-e3be6c30e623}">
          <xlrd:rvb i="9446"/>
        </ext>
      </extLst>
    </bk>
    <bk>
      <extLst>
        <ext uri="{3e2802c4-a4d2-4d8b-9148-e3be6c30e623}">
          <xlrd:rvb i="9447"/>
        </ext>
      </extLst>
    </bk>
    <bk>
      <extLst>
        <ext uri="{3e2802c4-a4d2-4d8b-9148-e3be6c30e623}">
          <xlrd:rvb i="9448"/>
        </ext>
      </extLst>
    </bk>
    <bk>
      <extLst>
        <ext uri="{3e2802c4-a4d2-4d8b-9148-e3be6c30e623}">
          <xlrd:rvb i="9449"/>
        </ext>
      </extLst>
    </bk>
    <bk>
      <extLst>
        <ext uri="{3e2802c4-a4d2-4d8b-9148-e3be6c30e623}">
          <xlrd:rvb i="9450"/>
        </ext>
      </extLst>
    </bk>
    <bk>
      <extLst>
        <ext uri="{3e2802c4-a4d2-4d8b-9148-e3be6c30e623}">
          <xlrd:rvb i="9451"/>
        </ext>
      </extLst>
    </bk>
    <bk>
      <extLst>
        <ext uri="{3e2802c4-a4d2-4d8b-9148-e3be6c30e623}">
          <xlrd:rvb i="9452"/>
        </ext>
      </extLst>
    </bk>
    <bk>
      <extLst>
        <ext uri="{3e2802c4-a4d2-4d8b-9148-e3be6c30e623}">
          <xlrd:rvb i="9453"/>
        </ext>
      </extLst>
    </bk>
    <bk>
      <extLst>
        <ext uri="{3e2802c4-a4d2-4d8b-9148-e3be6c30e623}">
          <xlrd:rvb i="9454"/>
        </ext>
      </extLst>
    </bk>
    <bk>
      <extLst>
        <ext uri="{3e2802c4-a4d2-4d8b-9148-e3be6c30e623}">
          <xlrd:rvb i="9455"/>
        </ext>
      </extLst>
    </bk>
    <bk>
      <extLst>
        <ext uri="{3e2802c4-a4d2-4d8b-9148-e3be6c30e623}">
          <xlrd:rvb i="9456"/>
        </ext>
      </extLst>
    </bk>
    <bk>
      <extLst>
        <ext uri="{3e2802c4-a4d2-4d8b-9148-e3be6c30e623}">
          <xlrd:rvb i="9457"/>
        </ext>
      </extLst>
    </bk>
    <bk>
      <extLst>
        <ext uri="{3e2802c4-a4d2-4d8b-9148-e3be6c30e623}">
          <xlrd:rvb i="9458"/>
        </ext>
      </extLst>
    </bk>
    <bk>
      <extLst>
        <ext uri="{3e2802c4-a4d2-4d8b-9148-e3be6c30e623}">
          <xlrd:rvb i="9459"/>
        </ext>
      </extLst>
    </bk>
    <bk>
      <extLst>
        <ext uri="{3e2802c4-a4d2-4d8b-9148-e3be6c30e623}">
          <xlrd:rvb i="9460"/>
        </ext>
      </extLst>
    </bk>
    <bk>
      <extLst>
        <ext uri="{3e2802c4-a4d2-4d8b-9148-e3be6c30e623}">
          <xlrd:rvb i="9461"/>
        </ext>
      </extLst>
    </bk>
    <bk>
      <extLst>
        <ext uri="{3e2802c4-a4d2-4d8b-9148-e3be6c30e623}">
          <xlrd:rvb i="9462"/>
        </ext>
      </extLst>
    </bk>
    <bk>
      <extLst>
        <ext uri="{3e2802c4-a4d2-4d8b-9148-e3be6c30e623}">
          <xlrd:rvb i="9463"/>
        </ext>
      </extLst>
    </bk>
    <bk>
      <extLst>
        <ext uri="{3e2802c4-a4d2-4d8b-9148-e3be6c30e623}">
          <xlrd:rvb i="9464"/>
        </ext>
      </extLst>
    </bk>
    <bk>
      <extLst>
        <ext uri="{3e2802c4-a4d2-4d8b-9148-e3be6c30e623}">
          <xlrd:rvb i="9465"/>
        </ext>
      </extLst>
    </bk>
    <bk>
      <extLst>
        <ext uri="{3e2802c4-a4d2-4d8b-9148-e3be6c30e623}">
          <xlrd:rvb i="9466"/>
        </ext>
      </extLst>
    </bk>
    <bk>
      <extLst>
        <ext uri="{3e2802c4-a4d2-4d8b-9148-e3be6c30e623}">
          <xlrd:rvb i="9467"/>
        </ext>
      </extLst>
    </bk>
    <bk>
      <extLst>
        <ext uri="{3e2802c4-a4d2-4d8b-9148-e3be6c30e623}">
          <xlrd:rvb i="9468"/>
        </ext>
      </extLst>
    </bk>
    <bk>
      <extLst>
        <ext uri="{3e2802c4-a4d2-4d8b-9148-e3be6c30e623}">
          <xlrd:rvb i="9469"/>
        </ext>
      </extLst>
    </bk>
    <bk>
      <extLst>
        <ext uri="{3e2802c4-a4d2-4d8b-9148-e3be6c30e623}">
          <xlrd:rvb i="9470"/>
        </ext>
      </extLst>
    </bk>
    <bk>
      <extLst>
        <ext uri="{3e2802c4-a4d2-4d8b-9148-e3be6c30e623}">
          <xlrd:rvb i="9471"/>
        </ext>
      </extLst>
    </bk>
    <bk>
      <extLst>
        <ext uri="{3e2802c4-a4d2-4d8b-9148-e3be6c30e623}">
          <xlrd:rvb i="9472"/>
        </ext>
      </extLst>
    </bk>
    <bk>
      <extLst>
        <ext uri="{3e2802c4-a4d2-4d8b-9148-e3be6c30e623}">
          <xlrd:rvb i="9473"/>
        </ext>
      </extLst>
    </bk>
    <bk>
      <extLst>
        <ext uri="{3e2802c4-a4d2-4d8b-9148-e3be6c30e623}">
          <xlrd:rvb i="9474"/>
        </ext>
      </extLst>
    </bk>
    <bk>
      <extLst>
        <ext uri="{3e2802c4-a4d2-4d8b-9148-e3be6c30e623}">
          <xlrd:rvb i="9475"/>
        </ext>
      </extLst>
    </bk>
    <bk>
      <extLst>
        <ext uri="{3e2802c4-a4d2-4d8b-9148-e3be6c30e623}">
          <xlrd:rvb i="9476"/>
        </ext>
      </extLst>
    </bk>
    <bk>
      <extLst>
        <ext uri="{3e2802c4-a4d2-4d8b-9148-e3be6c30e623}">
          <xlrd:rvb i="9477"/>
        </ext>
      </extLst>
    </bk>
    <bk>
      <extLst>
        <ext uri="{3e2802c4-a4d2-4d8b-9148-e3be6c30e623}">
          <xlrd:rvb i="9478"/>
        </ext>
      </extLst>
    </bk>
    <bk>
      <extLst>
        <ext uri="{3e2802c4-a4d2-4d8b-9148-e3be6c30e623}">
          <xlrd:rvb i="9479"/>
        </ext>
      </extLst>
    </bk>
    <bk>
      <extLst>
        <ext uri="{3e2802c4-a4d2-4d8b-9148-e3be6c30e623}">
          <xlrd:rvb i="9480"/>
        </ext>
      </extLst>
    </bk>
    <bk>
      <extLst>
        <ext uri="{3e2802c4-a4d2-4d8b-9148-e3be6c30e623}">
          <xlrd:rvb i="9481"/>
        </ext>
      </extLst>
    </bk>
    <bk>
      <extLst>
        <ext uri="{3e2802c4-a4d2-4d8b-9148-e3be6c30e623}">
          <xlrd:rvb i="9482"/>
        </ext>
      </extLst>
    </bk>
    <bk>
      <extLst>
        <ext uri="{3e2802c4-a4d2-4d8b-9148-e3be6c30e623}">
          <xlrd:rvb i="9483"/>
        </ext>
      </extLst>
    </bk>
    <bk>
      <extLst>
        <ext uri="{3e2802c4-a4d2-4d8b-9148-e3be6c30e623}">
          <xlrd:rvb i="9484"/>
        </ext>
      </extLst>
    </bk>
    <bk>
      <extLst>
        <ext uri="{3e2802c4-a4d2-4d8b-9148-e3be6c30e623}">
          <xlrd:rvb i="9485"/>
        </ext>
      </extLst>
    </bk>
    <bk>
      <extLst>
        <ext uri="{3e2802c4-a4d2-4d8b-9148-e3be6c30e623}">
          <xlrd:rvb i="9486"/>
        </ext>
      </extLst>
    </bk>
    <bk>
      <extLst>
        <ext uri="{3e2802c4-a4d2-4d8b-9148-e3be6c30e623}">
          <xlrd:rvb i="9487"/>
        </ext>
      </extLst>
    </bk>
    <bk>
      <extLst>
        <ext uri="{3e2802c4-a4d2-4d8b-9148-e3be6c30e623}">
          <xlrd:rvb i="9488"/>
        </ext>
      </extLst>
    </bk>
    <bk>
      <extLst>
        <ext uri="{3e2802c4-a4d2-4d8b-9148-e3be6c30e623}">
          <xlrd:rvb i="9489"/>
        </ext>
      </extLst>
    </bk>
    <bk>
      <extLst>
        <ext uri="{3e2802c4-a4d2-4d8b-9148-e3be6c30e623}">
          <xlrd:rvb i="9490"/>
        </ext>
      </extLst>
    </bk>
    <bk>
      <extLst>
        <ext uri="{3e2802c4-a4d2-4d8b-9148-e3be6c30e623}">
          <xlrd:rvb i="9491"/>
        </ext>
      </extLst>
    </bk>
    <bk>
      <extLst>
        <ext uri="{3e2802c4-a4d2-4d8b-9148-e3be6c30e623}">
          <xlrd:rvb i="9492"/>
        </ext>
      </extLst>
    </bk>
    <bk>
      <extLst>
        <ext uri="{3e2802c4-a4d2-4d8b-9148-e3be6c30e623}">
          <xlrd:rvb i="9493"/>
        </ext>
      </extLst>
    </bk>
    <bk>
      <extLst>
        <ext uri="{3e2802c4-a4d2-4d8b-9148-e3be6c30e623}">
          <xlrd:rvb i="9494"/>
        </ext>
      </extLst>
    </bk>
    <bk>
      <extLst>
        <ext uri="{3e2802c4-a4d2-4d8b-9148-e3be6c30e623}">
          <xlrd:rvb i="9495"/>
        </ext>
      </extLst>
    </bk>
    <bk>
      <extLst>
        <ext uri="{3e2802c4-a4d2-4d8b-9148-e3be6c30e623}">
          <xlrd:rvb i="9496"/>
        </ext>
      </extLst>
    </bk>
    <bk>
      <extLst>
        <ext uri="{3e2802c4-a4d2-4d8b-9148-e3be6c30e623}">
          <xlrd:rvb i="9497"/>
        </ext>
      </extLst>
    </bk>
    <bk>
      <extLst>
        <ext uri="{3e2802c4-a4d2-4d8b-9148-e3be6c30e623}">
          <xlrd:rvb i="9498"/>
        </ext>
      </extLst>
    </bk>
    <bk>
      <extLst>
        <ext uri="{3e2802c4-a4d2-4d8b-9148-e3be6c30e623}">
          <xlrd:rvb i="9499"/>
        </ext>
      </extLst>
    </bk>
    <bk>
      <extLst>
        <ext uri="{3e2802c4-a4d2-4d8b-9148-e3be6c30e623}">
          <xlrd:rvb i="9500"/>
        </ext>
      </extLst>
    </bk>
    <bk>
      <extLst>
        <ext uri="{3e2802c4-a4d2-4d8b-9148-e3be6c30e623}">
          <xlrd:rvb i="9501"/>
        </ext>
      </extLst>
    </bk>
    <bk>
      <extLst>
        <ext uri="{3e2802c4-a4d2-4d8b-9148-e3be6c30e623}">
          <xlrd:rvb i="9502"/>
        </ext>
      </extLst>
    </bk>
    <bk>
      <extLst>
        <ext uri="{3e2802c4-a4d2-4d8b-9148-e3be6c30e623}">
          <xlrd:rvb i="9503"/>
        </ext>
      </extLst>
    </bk>
    <bk>
      <extLst>
        <ext uri="{3e2802c4-a4d2-4d8b-9148-e3be6c30e623}">
          <xlrd:rvb i="9504"/>
        </ext>
      </extLst>
    </bk>
    <bk>
      <extLst>
        <ext uri="{3e2802c4-a4d2-4d8b-9148-e3be6c30e623}">
          <xlrd:rvb i="9505"/>
        </ext>
      </extLst>
    </bk>
    <bk>
      <extLst>
        <ext uri="{3e2802c4-a4d2-4d8b-9148-e3be6c30e623}">
          <xlrd:rvb i="9506"/>
        </ext>
      </extLst>
    </bk>
    <bk>
      <extLst>
        <ext uri="{3e2802c4-a4d2-4d8b-9148-e3be6c30e623}">
          <xlrd:rvb i="9507"/>
        </ext>
      </extLst>
    </bk>
    <bk>
      <extLst>
        <ext uri="{3e2802c4-a4d2-4d8b-9148-e3be6c30e623}">
          <xlrd:rvb i="9508"/>
        </ext>
      </extLst>
    </bk>
    <bk>
      <extLst>
        <ext uri="{3e2802c4-a4d2-4d8b-9148-e3be6c30e623}">
          <xlrd:rvb i="9509"/>
        </ext>
      </extLst>
    </bk>
    <bk>
      <extLst>
        <ext uri="{3e2802c4-a4d2-4d8b-9148-e3be6c30e623}">
          <xlrd:rvb i="9510"/>
        </ext>
      </extLst>
    </bk>
    <bk>
      <extLst>
        <ext uri="{3e2802c4-a4d2-4d8b-9148-e3be6c30e623}">
          <xlrd:rvb i="9511"/>
        </ext>
      </extLst>
    </bk>
    <bk>
      <extLst>
        <ext uri="{3e2802c4-a4d2-4d8b-9148-e3be6c30e623}">
          <xlrd:rvb i="9512"/>
        </ext>
      </extLst>
    </bk>
    <bk>
      <extLst>
        <ext uri="{3e2802c4-a4d2-4d8b-9148-e3be6c30e623}">
          <xlrd:rvb i="9513"/>
        </ext>
      </extLst>
    </bk>
    <bk>
      <extLst>
        <ext uri="{3e2802c4-a4d2-4d8b-9148-e3be6c30e623}">
          <xlrd:rvb i="9514"/>
        </ext>
      </extLst>
    </bk>
    <bk>
      <extLst>
        <ext uri="{3e2802c4-a4d2-4d8b-9148-e3be6c30e623}">
          <xlrd:rvb i="9515"/>
        </ext>
      </extLst>
    </bk>
    <bk>
      <extLst>
        <ext uri="{3e2802c4-a4d2-4d8b-9148-e3be6c30e623}">
          <xlrd:rvb i="9516"/>
        </ext>
      </extLst>
    </bk>
    <bk>
      <extLst>
        <ext uri="{3e2802c4-a4d2-4d8b-9148-e3be6c30e623}">
          <xlrd:rvb i="9517"/>
        </ext>
      </extLst>
    </bk>
    <bk>
      <extLst>
        <ext uri="{3e2802c4-a4d2-4d8b-9148-e3be6c30e623}">
          <xlrd:rvb i="9518"/>
        </ext>
      </extLst>
    </bk>
    <bk>
      <extLst>
        <ext uri="{3e2802c4-a4d2-4d8b-9148-e3be6c30e623}">
          <xlrd:rvb i="9519"/>
        </ext>
      </extLst>
    </bk>
    <bk>
      <extLst>
        <ext uri="{3e2802c4-a4d2-4d8b-9148-e3be6c30e623}">
          <xlrd:rvb i="9520"/>
        </ext>
      </extLst>
    </bk>
    <bk>
      <extLst>
        <ext uri="{3e2802c4-a4d2-4d8b-9148-e3be6c30e623}">
          <xlrd:rvb i="9521"/>
        </ext>
      </extLst>
    </bk>
    <bk>
      <extLst>
        <ext uri="{3e2802c4-a4d2-4d8b-9148-e3be6c30e623}">
          <xlrd:rvb i="9522"/>
        </ext>
      </extLst>
    </bk>
    <bk>
      <extLst>
        <ext uri="{3e2802c4-a4d2-4d8b-9148-e3be6c30e623}">
          <xlrd:rvb i="9523"/>
        </ext>
      </extLst>
    </bk>
    <bk>
      <extLst>
        <ext uri="{3e2802c4-a4d2-4d8b-9148-e3be6c30e623}">
          <xlrd:rvb i="9524"/>
        </ext>
      </extLst>
    </bk>
    <bk>
      <extLst>
        <ext uri="{3e2802c4-a4d2-4d8b-9148-e3be6c30e623}">
          <xlrd:rvb i="9525"/>
        </ext>
      </extLst>
    </bk>
    <bk>
      <extLst>
        <ext uri="{3e2802c4-a4d2-4d8b-9148-e3be6c30e623}">
          <xlrd:rvb i="9526"/>
        </ext>
      </extLst>
    </bk>
    <bk>
      <extLst>
        <ext uri="{3e2802c4-a4d2-4d8b-9148-e3be6c30e623}">
          <xlrd:rvb i="9527"/>
        </ext>
      </extLst>
    </bk>
    <bk>
      <extLst>
        <ext uri="{3e2802c4-a4d2-4d8b-9148-e3be6c30e623}">
          <xlrd:rvb i="9528"/>
        </ext>
      </extLst>
    </bk>
    <bk>
      <extLst>
        <ext uri="{3e2802c4-a4d2-4d8b-9148-e3be6c30e623}">
          <xlrd:rvb i="9529"/>
        </ext>
      </extLst>
    </bk>
    <bk>
      <extLst>
        <ext uri="{3e2802c4-a4d2-4d8b-9148-e3be6c30e623}">
          <xlrd:rvb i="9530"/>
        </ext>
      </extLst>
    </bk>
    <bk>
      <extLst>
        <ext uri="{3e2802c4-a4d2-4d8b-9148-e3be6c30e623}">
          <xlrd:rvb i="9531"/>
        </ext>
      </extLst>
    </bk>
    <bk>
      <extLst>
        <ext uri="{3e2802c4-a4d2-4d8b-9148-e3be6c30e623}">
          <xlrd:rvb i="9532"/>
        </ext>
      </extLst>
    </bk>
    <bk>
      <extLst>
        <ext uri="{3e2802c4-a4d2-4d8b-9148-e3be6c30e623}">
          <xlrd:rvb i="9533"/>
        </ext>
      </extLst>
    </bk>
    <bk>
      <extLst>
        <ext uri="{3e2802c4-a4d2-4d8b-9148-e3be6c30e623}">
          <xlrd:rvb i="9534"/>
        </ext>
      </extLst>
    </bk>
    <bk>
      <extLst>
        <ext uri="{3e2802c4-a4d2-4d8b-9148-e3be6c30e623}">
          <xlrd:rvb i="9535"/>
        </ext>
      </extLst>
    </bk>
    <bk>
      <extLst>
        <ext uri="{3e2802c4-a4d2-4d8b-9148-e3be6c30e623}">
          <xlrd:rvb i="9536"/>
        </ext>
      </extLst>
    </bk>
    <bk>
      <extLst>
        <ext uri="{3e2802c4-a4d2-4d8b-9148-e3be6c30e623}">
          <xlrd:rvb i="9537"/>
        </ext>
      </extLst>
    </bk>
    <bk>
      <extLst>
        <ext uri="{3e2802c4-a4d2-4d8b-9148-e3be6c30e623}">
          <xlrd:rvb i="9538"/>
        </ext>
      </extLst>
    </bk>
    <bk>
      <extLst>
        <ext uri="{3e2802c4-a4d2-4d8b-9148-e3be6c30e623}">
          <xlrd:rvb i="9539"/>
        </ext>
      </extLst>
    </bk>
    <bk>
      <extLst>
        <ext uri="{3e2802c4-a4d2-4d8b-9148-e3be6c30e623}">
          <xlrd:rvb i="9540"/>
        </ext>
      </extLst>
    </bk>
    <bk>
      <extLst>
        <ext uri="{3e2802c4-a4d2-4d8b-9148-e3be6c30e623}">
          <xlrd:rvb i="9541"/>
        </ext>
      </extLst>
    </bk>
    <bk>
      <extLst>
        <ext uri="{3e2802c4-a4d2-4d8b-9148-e3be6c30e623}">
          <xlrd:rvb i="9542"/>
        </ext>
      </extLst>
    </bk>
    <bk>
      <extLst>
        <ext uri="{3e2802c4-a4d2-4d8b-9148-e3be6c30e623}">
          <xlrd:rvb i="9543"/>
        </ext>
      </extLst>
    </bk>
    <bk>
      <extLst>
        <ext uri="{3e2802c4-a4d2-4d8b-9148-e3be6c30e623}">
          <xlrd:rvb i="9544"/>
        </ext>
      </extLst>
    </bk>
    <bk>
      <extLst>
        <ext uri="{3e2802c4-a4d2-4d8b-9148-e3be6c30e623}">
          <xlrd:rvb i="9545"/>
        </ext>
      </extLst>
    </bk>
    <bk>
      <extLst>
        <ext uri="{3e2802c4-a4d2-4d8b-9148-e3be6c30e623}">
          <xlrd:rvb i="9546"/>
        </ext>
      </extLst>
    </bk>
    <bk>
      <extLst>
        <ext uri="{3e2802c4-a4d2-4d8b-9148-e3be6c30e623}">
          <xlrd:rvb i="9547"/>
        </ext>
      </extLst>
    </bk>
    <bk>
      <extLst>
        <ext uri="{3e2802c4-a4d2-4d8b-9148-e3be6c30e623}">
          <xlrd:rvb i="9548"/>
        </ext>
      </extLst>
    </bk>
    <bk>
      <extLst>
        <ext uri="{3e2802c4-a4d2-4d8b-9148-e3be6c30e623}">
          <xlrd:rvb i="9549"/>
        </ext>
      </extLst>
    </bk>
    <bk>
      <extLst>
        <ext uri="{3e2802c4-a4d2-4d8b-9148-e3be6c30e623}">
          <xlrd:rvb i="9550"/>
        </ext>
      </extLst>
    </bk>
    <bk>
      <extLst>
        <ext uri="{3e2802c4-a4d2-4d8b-9148-e3be6c30e623}">
          <xlrd:rvb i="9551"/>
        </ext>
      </extLst>
    </bk>
    <bk>
      <extLst>
        <ext uri="{3e2802c4-a4d2-4d8b-9148-e3be6c30e623}">
          <xlrd:rvb i="9552"/>
        </ext>
      </extLst>
    </bk>
    <bk>
      <extLst>
        <ext uri="{3e2802c4-a4d2-4d8b-9148-e3be6c30e623}">
          <xlrd:rvb i="9553"/>
        </ext>
      </extLst>
    </bk>
    <bk>
      <extLst>
        <ext uri="{3e2802c4-a4d2-4d8b-9148-e3be6c30e623}">
          <xlrd:rvb i="9554"/>
        </ext>
      </extLst>
    </bk>
    <bk>
      <extLst>
        <ext uri="{3e2802c4-a4d2-4d8b-9148-e3be6c30e623}">
          <xlrd:rvb i="9555"/>
        </ext>
      </extLst>
    </bk>
    <bk>
      <extLst>
        <ext uri="{3e2802c4-a4d2-4d8b-9148-e3be6c30e623}">
          <xlrd:rvb i="9556"/>
        </ext>
      </extLst>
    </bk>
    <bk>
      <extLst>
        <ext uri="{3e2802c4-a4d2-4d8b-9148-e3be6c30e623}">
          <xlrd:rvb i="9557"/>
        </ext>
      </extLst>
    </bk>
    <bk>
      <extLst>
        <ext uri="{3e2802c4-a4d2-4d8b-9148-e3be6c30e623}">
          <xlrd:rvb i="9558"/>
        </ext>
      </extLst>
    </bk>
    <bk>
      <extLst>
        <ext uri="{3e2802c4-a4d2-4d8b-9148-e3be6c30e623}">
          <xlrd:rvb i="9559"/>
        </ext>
      </extLst>
    </bk>
    <bk>
      <extLst>
        <ext uri="{3e2802c4-a4d2-4d8b-9148-e3be6c30e623}">
          <xlrd:rvb i="9560"/>
        </ext>
      </extLst>
    </bk>
    <bk>
      <extLst>
        <ext uri="{3e2802c4-a4d2-4d8b-9148-e3be6c30e623}">
          <xlrd:rvb i="9561"/>
        </ext>
      </extLst>
    </bk>
    <bk>
      <extLst>
        <ext uri="{3e2802c4-a4d2-4d8b-9148-e3be6c30e623}">
          <xlrd:rvb i="9562"/>
        </ext>
      </extLst>
    </bk>
    <bk>
      <extLst>
        <ext uri="{3e2802c4-a4d2-4d8b-9148-e3be6c30e623}">
          <xlrd:rvb i="9563"/>
        </ext>
      </extLst>
    </bk>
    <bk>
      <extLst>
        <ext uri="{3e2802c4-a4d2-4d8b-9148-e3be6c30e623}">
          <xlrd:rvb i="9564"/>
        </ext>
      </extLst>
    </bk>
    <bk>
      <extLst>
        <ext uri="{3e2802c4-a4d2-4d8b-9148-e3be6c30e623}">
          <xlrd:rvb i="9565"/>
        </ext>
      </extLst>
    </bk>
    <bk>
      <extLst>
        <ext uri="{3e2802c4-a4d2-4d8b-9148-e3be6c30e623}">
          <xlrd:rvb i="9566"/>
        </ext>
      </extLst>
    </bk>
    <bk>
      <extLst>
        <ext uri="{3e2802c4-a4d2-4d8b-9148-e3be6c30e623}">
          <xlrd:rvb i="9567"/>
        </ext>
      </extLst>
    </bk>
    <bk>
      <extLst>
        <ext uri="{3e2802c4-a4d2-4d8b-9148-e3be6c30e623}">
          <xlrd:rvb i="9568"/>
        </ext>
      </extLst>
    </bk>
    <bk>
      <extLst>
        <ext uri="{3e2802c4-a4d2-4d8b-9148-e3be6c30e623}">
          <xlrd:rvb i="9569"/>
        </ext>
      </extLst>
    </bk>
    <bk>
      <extLst>
        <ext uri="{3e2802c4-a4d2-4d8b-9148-e3be6c30e623}">
          <xlrd:rvb i="9570"/>
        </ext>
      </extLst>
    </bk>
    <bk>
      <extLst>
        <ext uri="{3e2802c4-a4d2-4d8b-9148-e3be6c30e623}">
          <xlrd:rvb i="9571"/>
        </ext>
      </extLst>
    </bk>
    <bk>
      <extLst>
        <ext uri="{3e2802c4-a4d2-4d8b-9148-e3be6c30e623}">
          <xlrd:rvb i="9572"/>
        </ext>
      </extLst>
    </bk>
    <bk>
      <extLst>
        <ext uri="{3e2802c4-a4d2-4d8b-9148-e3be6c30e623}">
          <xlrd:rvb i="9573"/>
        </ext>
      </extLst>
    </bk>
    <bk>
      <extLst>
        <ext uri="{3e2802c4-a4d2-4d8b-9148-e3be6c30e623}">
          <xlrd:rvb i="9574"/>
        </ext>
      </extLst>
    </bk>
    <bk>
      <extLst>
        <ext uri="{3e2802c4-a4d2-4d8b-9148-e3be6c30e623}">
          <xlrd:rvb i="9575"/>
        </ext>
      </extLst>
    </bk>
    <bk>
      <extLst>
        <ext uri="{3e2802c4-a4d2-4d8b-9148-e3be6c30e623}">
          <xlrd:rvb i="9576"/>
        </ext>
      </extLst>
    </bk>
    <bk>
      <extLst>
        <ext uri="{3e2802c4-a4d2-4d8b-9148-e3be6c30e623}">
          <xlrd:rvb i="9577"/>
        </ext>
      </extLst>
    </bk>
    <bk>
      <extLst>
        <ext uri="{3e2802c4-a4d2-4d8b-9148-e3be6c30e623}">
          <xlrd:rvb i="9578"/>
        </ext>
      </extLst>
    </bk>
    <bk>
      <extLst>
        <ext uri="{3e2802c4-a4d2-4d8b-9148-e3be6c30e623}">
          <xlrd:rvb i="9579"/>
        </ext>
      </extLst>
    </bk>
    <bk>
      <extLst>
        <ext uri="{3e2802c4-a4d2-4d8b-9148-e3be6c30e623}">
          <xlrd:rvb i="9580"/>
        </ext>
      </extLst>
    </bk>
    <bk>
      <extLst>
        <ext uri="{3e2802c4-a4d2-4d8b-9148-e3be6c30e623}">
          <xlrd:rvb i="9581"/>
        </ext>
      </extLst>
    </bk>
    <bk>
      <extLst>
        <ext uri="{3e2802c4-a4d2-4d8b-9148-e3be6c30e623}">
          <xlrd:rvb i="9582"/>
        </ext>
      </extLst>
    </bk>
    <bk>
      <extLst>
        <ext uri="{3e2802c4-a4d2-4d8b-9148-e3be6c30e623}">
          <xlrd:rvb i="9583"/>
        </ext>
      </extLst>
    </bk>
    <bk>
      <extLst>
        <ext uri="{3e2802c4-a4d2-4d8b-9148-e3be6c30e623}">
          <xlrd:rvb i="9584"/>
        </ext>
      </extLst>
    </bk>
    <bk>
      <extLst>
        <ext uri="{3e2802c4-a4d2-4d8b-9148-e3be6c30e623}">
          <xlrd:rvb i="9585"/>
        </ext>
      </extLst>
    </bk>
    <bk>
      <extLst>
        <ext uri="{3e2802c4-a4d2-4d8b-9148-e3be6c30e623}">
          <xlrd:rvb i="9586"/>
        </ext>
      </extLst>
    </bk>
    <bk>
      <extLst>
        <ext uri="{3e2802c4-a4d2-4d8b-9148-e3be6c30e623}">
          <xlrd:rvb i="9587"/>
        </ext>
      </extLst>
    </bk>
    <bk>
      <extLst>
        <ext uri="{3e2802c4-a4d2-4d8b-9148-e3be6c30e623}">
          <xlrd:rvb i="9588"/>
        </ext>
      </extLst>
    </bk>
    <bk>
      <extLst>
        <ext uri="{3e2802c4-a4d2-4d8b-9148-e3be6c30e623}">
          <xlrd:rvb i="9589"/>
        </ext>
      </extLst>
    </bk>
    <bk>
      <extLst>
        <ext uri="{3e2802c4-a4d2-4d8b-9148-e3be6c30e623}">
          <xlrd:rvb i="9590"/>
        </ext>
      </extLst>
    </bk>
    <bk>
      <extLst>
        <ext uri="{3e2802c4-a4d2-4d8b-9148-e3be6c30e623}">
          <xlrd:rvb i="9591"/>
        </ext>
      </extLst>
    </bk>
    <bk>
      <extLst>
        <ext uri="{3e2802c4-a4d2-4d8b-9148-e3be6c30e623}">
          <xlrd:rvb i="9592"/>
        </ext>
      </extLst>
    </bk>
    <bk>
      <extLst>
        <ext uri="{3e2802c4-a4d2-4d8b-9148-e3be6c30e623}">
          <xlrd:rvb i="9593"/>
        </ext>
      </extLst>
    </bk>
    <bk>
      <extLst>
        <ext uri="{3e2802c4-a4d2-4d8b-9148-e3be6c30e623}">
          <xlrd:rvb i="9594"/>
        </ext>
      </extLst>
    </bk>
    <bk>
      <extLst>
        <ext uri="{3e2802c4-a4d2-4d8b-9148-e3be6c30e623}">
          <xlrd:rvb i="9595"/>
        </ext>
      </extLst>
    </bk>
    <bk>
      <extLst>
        <ext uri="{3e2802c4-a4d2-4d8b-9148-e3be6c30e623}">
          <xlrd:rvb i="9596"/>
        </ext>
      </extLst>
    </bk>
    <bk>
      <extLst>
        <ext uri="{3e2802c4-a4d2-4d8b-9148-e3be6c30e623}">
          <xlrd:rvb i="9597"/>
        </ext>
      </extLst>
    </bk>
    <bk>
      <extLst>
        <ext uri="{3e2802c4-a4d2-4d8b-9148-e3be6c30e623}">
          <xlrd:rvb i="9598"/>
        </ext>
      </extLst>
    </bk>
    <bk>
      <extLst>
        <ext uri="{3e2802c4-a4d2-4d8b-9148-e3be6c30e623}">
          <xlrd:rvb i="9599"/>
        </ext>
      </extLst>
    </bk>
    <bk>
      <extLst>
        <ext uri="{3e2802c4-a4d2-4d8b-9148-e3be6c30e623}">
          <xlrd:rvb i="9600"/>
        </ext>
      </extLst>
    </bk>
    <bk>
      <extLst>
        <ext uri="{3e2802c4-a4d2-4d8b-9148-e3be6c30e623}">
          <xlrd:rvb i="9601"/>
        </ext>
      </extLst>
    </bk>
    <bk>
      <extLst>
        <ext uri="{3e2802c4-a4d2-4d8b-9148-e3be6c30e623}">
          <xlrd:rvb i="9602"/>
        </ext>
      </extLst>
    </bk>
    <bk>
      <extLst>
        <ext uri="{3e2802c4-a4d2-4d8b-9148-e3be6c30e623}">
          <xlrd:rvb i="9603"/>
        </ext>
      </extLst>
    </bk>
    <bk>
      <extLst>
        <ext uri="{3e2802c4-a4d2-4d8b-9148-e3be6c30e623}">
          <xlrd:rvb i="9604"/>
        </ext>
      </extLst>
    </bk>
    <bk>
      <extLst>
        <ext uri="{3e2802c4-a4d2-4d8b-9148-e3be6c30e623}">
          <xlrd:rvb i="9605"/>
        </ext>
      </extLst>
    </bk>
    <bk>
      <extLst>
        <ext uri="{3e2802c4-a4d2-4d8b-9148-e3be6c30e623}">
          <xlrd:rvb i="9606"/>
        </ext>
      </extLst>
    </bk>
    <bk>
      <extLst>
        <ext uri="{3e2802c4-a4d2-4d8b-9148-e3be6c30e623}">
          <xlrd:rvb i="9607"/>
        </ext>
      </extLst>
    </bk>
    <bk>
      <extLst>
        <ext uri="{3e2802c4-a4d2-4d8b-9148-e3be6c30e623}">
          <xlrd:rvb i="9608"/>
        </ext>
      </extLst>
    </bk>
    <bk>
      <extLst>
        <ext uri="{3e2802c4-a4d2-4d8b-9148-e3be6c30e623}">
          <xlrd:rvb i="9609"/>
        </ext>
      </extLst>
    </bk>
    <bk>
      <extLst>
        <ext uri="{3e2802c4-a4d2-4d8b-9148-e3be6c30e623}">
          <xlrd:rvb i="9610"/>
        </ext>
      </extLst>
    </bk>
    <bk>
      <extLst>
        <ext uri="{3e2802c4-a4d2-4d8b-9148-e3be6c30e623}">
          <xlrd:rvb i="9611"/>
        </ext>
      </extLst>
    </bk>
    <bk>
      <extLst>
        <ext uri="{3e2802c4-a4d2-4d8b-9148-e3be6c30e623}">
          <xlrd:rvb i="9612"/>
        </ext>
      </extLst>
    </bk>
    <bk>
      <extLst>
        <ext uri="{3e2802c4-a4d2-4d8b-9148-e3be6c30e623}">
          <xlrd:rvb i="9613"/>
        </ext>
      </extLst>
    </bk>
    <bk>
      <extLst>
        <ext uri="{3e2802c4-a4d2-4d8b-9148-e3be6c30e623}">
          <xlrd:rvb i="9614"/>
        </ext>
      </extLst>
    </bk>
    <bk>
      <extLst>
        <ext uri="{3e2802c4-a4d2-4d8b-9148-e3be6c30e623}">
          <xlrd:rvb i="9615"/>
        </ext>
      </extLst>
    </bk>
    <bk>
      <extLst>
        <ext uri="{3e2802c4-a4d2-4d8b-9148-e3be6c30e623}">
          <xlrd:rvb i="9616"/>
        </ext>
      </extLst>
    </bk>
    <bk>
      <extLst>
        <ext uri="{3e2802c4-a4d2-4d8b-9148-e3be6c30e623}">
          <xlrd:rvb i="9617"/>
        </ext>
      </extLst>
    </bk>
    <bk>
      <extLst>
        <ext uri="{3e2802c4-a4d2-4d8b-9148-e3be6c30e623}">
          <xlrd:rvb i="9618"/>
        </ext>
      </extLst>
    </bk>
    <bk>
      <extLst>
        <ext uri="{3e2802c4-a4d2-4d8b-9148-e3be6c30e623}">
          <xlrd:rvb i="9619"/>
        </ext>
      </extLst>
    </bk>
    <bk>
      <extLst>
        <ext uri="{3e2802c4-a4d2-4d8b-9148-e3be6c30e623}">
          <xlrd:rvb i="9620"/>
        </ext>
      </extLst>
    </bk>
    <bk>
      <extLst>
        <ext uri="{3e2802c4-a4d2-4d8b-9148-e3be6c30e623}">
          <xlrd:rvb i="9621"/>
        </ext>
      </extLst>
    </bk>
    <bk>
      <extLst>
        <ext uri="{3e2802c4-a4d2-4d8b-9148-e3be6c30e623}">
          <xlrd:rvb i="9622"/>
        </ext>
      </extLst>
    </bk>
    <bk>
      <extLst>
        <ext uri="{3e2802c4-a4d2-4d8b-9148-e3be6c30e623}">
          <xlrd:rvb i="9623"/>
        </ext>
      </extLst>
    </bk>
    <bk>
      <extLst>
        <ext uri="{3e2802c4-a4d2-4d8b-9148-e3be6c30e623}">
          <xlrd:rvb i="9624"/>
        </ext>
      </extLst>
    </bk>
    <bk>
      <extLst>
        <ext uri="{3e2802c4-a4d2-4d8b-9148-e3be6c30e623}">
          <xlrd:rvb i="9625"/>
        </ext>
      </extLst>
    </bk>
    <bk>
      <extLst>
        <ext uri="{3e2802c4-a4d2-4d8b-9148-e3be6c30e623}">
          <xlrd:rvb i="9626"/>
        </ext>
      </extLst>
    </bk>
    <bk>
      <extLst>
        <ext uri="{3e2802c4-a4d2-4d8b-9148-e3be6c30e623}">
          <xlrd:rvb i="9627"/>
        </ext>
      </extLst>
    </bk>
    <bk>
      <extLst>
        <ext uri="{3e2802c4-a4d2-4d8b-9148-e3be6c30e623}">
          <xlrd:rvb i="9628"/>
        </ext>
      </extLst>
    </bk>
    <bk>
      <extLst>
        <ext uri="{3e2802c4-a4d2-4d8b-9148-e3be6c30e623}">
          <xlrd:rvb i="9629"/>
        </ext>
      </extLst>
    </bk>
    <bk>
      <extLst>
        <ext uri="{3e2802c4-a4d2-4d8b-9148-e3be6c30e623}">
          <xlrd:rvb i="9630"/>
        </ext>
      </extLst>
    </bk>
    <bk>
      <extLst>
        <ext uri="{3e2802c4-a4d2-4d8b-9148-e3be6c30e623}">
          <xlrd:rvb i="9631"/>
        </ext>
      </extLst>
    </bk>
    <bk>
      <extLst>
        <ext uri="{3e2802c4-a4d2-4d8b-9148-e3be6c30e623}">
          <xlrd:rvb i="9632"/>
        </ext>
      </extLst>
    </bk>
    <bk>
      <extLst>
        <ext uri="{3e2802c4-a4d2-4d8b-9148-e3be6c30e623}">
          <xlrd:rvb i="9633"/>
        </ext>
      </extLst>
    </bk>
    <bk>
      <extLst>
        <ext uri="{3e2802c4-a4d2-4d8b-9148-e3be6c30e623}">
          <xlrd:rvb i="9634"/>
        </ext>
      </extLst>
    </bk>
    <bk>
      <extLst>
        <ext uri="{3e2802c4-a4d2-4d8b-9148-e3be6c30e623}">
          <xlrd:rvb i="9635"/>
        </ext>
      </extLst>
    </bk>
    <bk>
      <extLst>
        <ext uri="{3e2802c4-a4d2-4d8b-9148-e3be6c30e623}">
          <xlrd:rvb i="9636"/>
        </ext>
      </extLst>
    </bk>
    <bk>
      <extLst>
        <ext uri="{3e2802c4-a4d2-4d8b-9148-e3be6c30e623}">
          <xlrd:rvb i="9637"/>
        </ext>
      </extLst>
    </bk>
    <bk>
      <extLst>
        <ext uri="{3e2802c4-a4d2-4d8b-9148-e3be6c30e623}">
          <xlrd:rvb i="9638"/>
        </ext>
      </extLst>
    </bk>
    <bk>
      <extLst>
        <ext uri="{3e2802c4-a4d2-4d8b-9148-e3be6c30e623}">
          <xlrd:rvb i="9639"/>
        </ext>
      </extLst>
    </bk>
    <bk>
      <extLst>
        <ext uri="{3e2802c4-a4d2-4d8b-9148-e3be6c30e623}">
          <xlrd:rvb i="9640"/>
        </ext>
      </extLst>
    </bk>
    <bk>
      <extLst>
        <ext uri="{3e2802c4-a4d2-4d8b-9148-e3be6c30e623}">
          <xlrd:rvb i="9641"/>
        </ext>
      </extLst>
    </bk>
    <bk>
      <extLst>
        <ext uri="{3e2802c4-a4d2-4d8b-9148-e3be6c30e623}">
          <xlrd:rvb i="9642"/>
        </ext>
      </extLst>
    </bk>
    <bk>
      <extLst>
        <ext uri="{3e2802c4-a4d2-4d8b-9148-e3be6c30e623}">
          <xlrd:rvb i="9643"/>
        </ext>
      </extLst>
    </bk>
    <bk>
      <extLst>
        <ext uri="{3e2802c4-a4d2-4d8b-9148-e3be6c30e623}">
          <xlrd:rvb i="9644"/>
        </ext>
      </extLst>
    </bk>
    <bk>
      <extLst>
        <ext uri="{3e2802c4-a4d2-4d8b-9148-e3be6c30e623}">
          <xlrd:rvb i="9645"/>
        </ext>
      </extLst>
    </bk>
    <bk>
      <extLst>
        <ext uri="{3e2802c4-a4d2-4d8b-9148-e3be6c30e623}">
          <xlrd:rvb i="9646"/>
        </ext>
      </extLst>
    </bk>
    <bk>
      <extLst>
        <ext uri="{3e2802c4-a4d2-4d8b-9148-e3be6c30e623}">
          <xlrd:rvb i="9647"/>
        </ext>
      </extLst>
    </bk>
    <bk>
      <extLst>
        <ext uri="{3e2802c4-a4d2-4d8b-9148-e3be6c30e623}">
          <xlrd:rvb i="9648"/>
        </ext>
      </extLst>
    </bk>
    <bk>
      <extLst>
        <ext uri="{3e2802c4-a4d2-4d8b-9148-e3be6c30e623}">
          <xlrd:rvb i="9649"/>
        </ext>
      </extLst>
    </bk>
    <bk>
      <extLst>
        <ext uri="{3e2802c4-a4d2-4d8b-9148-e3be6c30e623}">
          <xlrd:rvb i="9650"/>
        </ext>
      </extLst>
    </bk>
    <bk>
      <extLst>
        <ext uri="{3e2802c4-a4d2-4d8b-9148-e3be6c30e623}">
          <xlrd:rvb i="9651"/>
        </ext>
      </extLst>
    </bk>
    <bk>
      <extLst>
        <ext uri="{3e2802c4-a4d2-4d8b-9148-e3be6c30e623}">
          <xlrd:rvb i="9652"/>
        </ext>
      </extLst>
    </bk>
    <bk>
      <extLst>
        <ext uri="{3e2802c4-a4d2-4d8b-9148-e3be6c30e623}">
          <xlrd:rvb i="9653"/>
        </ext>
      </extLst>
    </bk>
    <bk>
      <extLst>
        <ext uri="{3e2802c4-a4d2-4d8b-9148-e3be6c30e623}">
          <xlrd:rvb i="9654"/>
        </ext>
      </extLst>
    </bk>
    <bk>
      <extLst>
        <ext uri="{3e2802c4-a4d2-4d8b-9148-e3be6c30e623}">
          <xlrd:rvb i="9655"/>
        </ext>
      </extLst>
    </bk>
    <bk>
      <extLst>
        <ext uri="{3e2802c4-a4d2-4d8b-9148-e3be6c30e623}">
          <xlrd:rvb i="9656"/>
        </ext>
      </extLst>
    </bk>
    <bk>
      <extLst>
        <ext uri="{3e2802c4-a4d2-4d8b-9148-e3be6c30e623}">
          <xlrd:rvb i="9657"/>
        </ext>
      </extLst>
    </bk>
    <bk>
      <extLst>
        <ext uri="{3e2802c4-a4d2-4d8b-9148-e3be6c30e623}">
          <xlrd:rvb i="9658"/>
        </ext>
      </extLst>
    </bk>
    <bk>
      <extLst>
        <ext uri="{3e2802c4-a4d2-4d8b-9148-e3be6c30e623}">
          <xlrd:rvb i="9659"/>
        </ext>
      </extLst>
    </bk>
    <bk>
      <extLst>
        <ext uri="{3e2802c4-a4d2-4d8b-9148-e3be6c30e623}">
          <xlrd:rvb i="9660"/>
        </ext>
      </extLst>
    </bk>
    <bk>
      <extLst>
        <ext uri="{3e2802c4-a4d2-4d8b-9148-e3be6c30e623}">
          <xlrd:rvb i="9661"/>
        </ext>
      </extLst>
    </bk>
    <bk>
      <extLst>
        <ext uri="{3e2802c4-a4d2-4d8b-9148-e3be6c30e623}">
          <xlrd:rvb i="9662"/>
        </ext>
      </extLst>
    </bk>
    <bk>
      <extLst>
        <ext uri="{3e2802c4-a4d2-4d8b-9148-e3be6c30e623}">
          <xlrd:rvb i="9663"/>
        </ext>
      </extLst>
    </bk>
    <bk>
      <extLst>
        <ext uri="{3e2802c4-a4d2-4d8b-9148-e3be6c30e623}">
          <xlrd:rvb i="9664"/>
        </ext>
      </extLst>
    </bk>
    <bk>
      <extLst>
        <ext uri="{3e2802c4-a4d2-4d8b-9148-e3be6c30e623}">
          <xlrd:rvb i="9665"/>
        </ext>
      </extLst>
    </bk>
    <bk>
      <extLst>
        <ext uri="{3e2802c4-a4d2-4d8b-9148-e3be6c30e623}">
          <xlrd:rvb i="9666"/>
        </ext>
      </extLst>
    </bk>
    <bk>
      <extLst>
        <ext uri="{3e2802c4-a4d2-4d8b-9148-e3be6c30e623}">
          <xlrd:rvb i="9667"/>
        </ext>
      </extLst>
    </bk>
    <bk>
      <extLst>
        <ext uri="{3e2802c4-a4d2-4d8b-9148-e3be6c30e623}">
          <xlrd:rvb i="9668"/>
        </ext>
      </extLst>
    </bk>
    <bk>
      <extLst>
        <ext uri="{3e2802c4-a4d2-4d8b-9148-e3be6c30e623}">
          <xlrd:rvb i="9669"/>
        </ext>
      </extLst>
    </bk>
    <bk>
      <extLst>
        <ext uri="{3e2802c4-a4d2-4d8b-9148-e3be6c30e623}">
          <xlrd:rvb i="9670"/>
        </ext>
      </extLst>
    </bk>
    <bk>
      <extLst>
        <ext uri="{3e2802c4-a4d2-4d8b-9148-e3be6c30e623}">
          <xlrd:rvb i="9671"/>
        </ext>
      </extLst>
    </bk>
    <bk>
      <extLst>
        <ext uri="{3e2802c4-a4d2-4d8b-9148-e3be6c30e623}">
          <xlrd:rvb i="9672"/>
        </ext>
      </extLst>
    </bk>
    <bk>
      <extLst>
        <ext uri="{3e2802c4-a4d2-4d8b-9148-e3be6c30e623}">
          <xlrd:rvb i="9673"/>
        </ext>
      </extLst>
    </bk>
    <bk>
      <extLst>
        <ext uri="{3e2802c4-a4d2-4d8b-9148-e3be6c30e623}">
          <xlrd:rvb i="9674"/>
        </ext>
      </extLst>
    </bk>
    <bk>
      <extLst>
        <ext uri="{3e2802c4-a4d2-4d8b-9148-e3be6c30e623}">
          <xlrd:rvb i="9675"/>
        </ext>
      </extLst>
    </bk>
    <bk>
      <extLst>
        <ext uri="{3e2802c4-a4d2-4d8b-9148-e3be6c30e623}">
          <xlrd:rvb i="9676"/>
        </ext>
      </extLst>
    </bk>
    <bk>
      <extLst>
        <ext uri="{3e2802c4-a4d2-4d8b-9148-e3be6c30e623}">
          <xlrd:rvb i="9677"/>
        </ext>
      </extLst>
    </bk>
    <bk>
      <extLst>
        <ext uri="{3e2802c4-a4d2-4d8b-9148-e3be6c30e623}">
          <xlrd:rvb i="9678"/>
        </ext>
      </extLst>
    </bk>
    <bk>
      <extLst>
        <ext uri="{3e2802c4-a4d2-4d8b-9148-e3be6c30e623}">
          <xlrd:rvb i="9679"/>
        </ext>
      </extLst>
    </bk>
    <bk>
      <extLst>
        <ext uri="{3e2802c4-a4d2-4d8b-9148-e3be6c30e623}">
          <xlrd:rvb i="9680"/>
        </ext>
      </extLst>
    </bk>
    <bk>
      <extLst>
        <ext uri="{3e2802c4-a4d2-4d8b-9148-e3be6c30e623}">
          <xlrd:rvb i="9681"/>
        </ext>
      </extLst>
    </bk>
    <bk>
      <extLst>
        <ext uri="{3e2802c4-a4d2-4d8b-9148-e3be6c30e623}">
          <xlrd:rvb i="9682"/>
        </ext>
      </extLst>
    </bk>
    <bk>
      <extLst>
        <ext uri="{3e2802c4-a4d2-4d8b-9148-e3be6c30e623}">
          <xlrd:rvb i="9683"/>
        </ext>
      </extLst>
    </bk>
    <bk>
      <extLst>
        <ext uri="{3e2802c4-a4d2-4d8b-9148-e3be6c30e623}">
          <xlrd:rvb i="9684"/>
        </ext>
      </extLst>
    </bk>
    <bk>
      <extLst>
        <ext uri="{3e2802c4-a4d2-4d8b-9148-e3be6c30e623}">
          <xlrd:rvb i="9685"/>
        </ext>
      </extLst>
    </bk>
    <bk>
      <extLst>
        <ext uri="{3e2802c4-a4d2-4d8b-9148-e3be6c30e623}">
          <xlrd:rvb i="9686"/>
        </ext>
      </extLst>
    </bk>
    <bk>
      <extLst>
        <ext uri="{3e2802c4-a4d2-4d8b-9148-e3be6c30e623}">
          <xlrd:rvb i="9687"/>
        </ext>
      </extLst>
    </bk>
    <bk>
      <extLst>
        <ext uri="{3e2802c4-a4d2-4d8b-9148-e3be6c30e623}">
          <xlrd:rvb i="9688"/>
        </ext>
      </extLst>
    </bk>
    <bk>
      <extLst>
        <ext uri="{3e2802c4-a4d2-4d8b-9148-e3be6c30e623}">
          <xlrd:rvb i="9689"/>
        </ext>
      </extLst>
    </bk>
    <bk>
      <extLst>
        <ext uri="{3e2802c4-a4d2-4d8b-9148-e3be6c30e623}">
          <xlrd:rvb i="9690"/>
        </ext>
      </extLst>
    </bk>
    <bk>
      <extLst>
        <ext uri="{3e2802c4-a4d2-4d8b-9148-e3be6c30e623}">
          <xlrd:rvb i="9691"/>
        </ext>
      </extLst>
    </bk>
    <bk>
      <extLst>
        <ext uri="{3e2802c4-a4d2-4d8b-9148-e3be6c30e623}">
          <xlrd:rvb i="9692"/>
        </ext>
      </extLst>
    </bk>
    <bk>
      <extLst>
        <ext uri="{3e2802c4-a4d2-4d8b-9148-e3be6c30e623}">
          <xlrd:rvb i="9693"/>
        </ext>
      </extLst>
    </bk>
    <bk>
      <extLst>
        <ext uri="{3e2802c4-a4d2-4d8b-9148-e3be6c30e623}">
          <xlrd:rvb i="9694"/>
        </ext>
      </extLst>
    </bk>
    <bk>
      <extLst>
        <ext uri="{3e2802c4-a4d2-4d8b-9148-e3be6c30e623}">
          <xlrd:rvb i="9695"/>
        </ext>
      </extLst>
    </bk>
    <bk>
      <extLst>
        <ext uri="{3e2802c4-a4d2-4d8b-9148-e3be6c30e623}">
          <xlrd:rvb i="9696"/>
        </ext>
      </extLst>
    </bk>
    <bk>
      <extLst>
        <ext uri="{3e2802c4-a4d2-4d8b-9148-e3be6c30e623}">
          <xlrd:rvb i="9697"/>
        </ext>
      </extLst>
    </bk>
    <bk>
      <extLst>
        <ext uri="{3e2802c4-a4d2-4d8b-9148-e3be6c30e623}">
          <xlrd:rvb i="9698"/>
        </ext>
      </extLst>
    </bk>
    <bk>
      <extLst>
        <ext uri="{3e2802c4-a4d2-4d8b-9148-e3be6c30e623}">
          <xlrd:rvb i="9699"/>
        </ext>
      </extLst>
    </bk>
    <bk>
      <extLst>
        <ext uri="{3e2802c4-a4d2-4d8b-9148-e3be6c30e623}">
          <xlrd:rvb i="9700"/>
        </ext>
      </extLst>
    </bk>
    <bk>
      <extLst>
        <ext uri="{3e2802c4-a4d2-4d8b-9148-e3be6c30e623}">
          <xlrd:rvb i="9701"/>
        </ext>
      </extLst>
    </bk>
    <bk>
      <extLst>
        <ext uri="{3e2802c4-a4d2-4d8b-9148-e3be6c30e623}">
          <xlrd:rvb i="9702"/>
        </ext>
      </extLst>
    </bk>
    <bk>
      <extLst>
        <ext uri="{3e2802c4-a4d2-4d8b-9148-e3be6c30e623}">
          <xlrd:rvb i="9703"/>
        </ext>
      </extLst>
    </bk>
    <bk>
      <extLst>
        <ext uri="{3e2802c4-a4d2-4d8b-9148-e3be6c30e623}">
          <xlrd:rvb i="9704"/>
        </ext>
      </extLst>
    </bk>
    <bk>
      <extLst>
        <ext uri="{3e2802c4-a4d2-4d8b-9148-e3be6c30e623}">
          <xlrd:rvb i="9705"/>
        </ext>
      </extLst>
    </bk>
    <bk>
      <extLst>
        <ext uri="{3e2802c4-a4d2-4d8b-9148-e3be6c30e623}">
          <xlrd:rvb i="9706"/>
        </ext>
      </extLst>
    </bk>
    <bk>
      <extLst>
        <ext uri="{3e2802c4-a4d2-4d8b-9148-e3be6c30e623}">
          <xlrd:rvb i="9707"/>
        </ext>
      </extLst>
    </bk>
    <bk>
      <extLst>
        <ext uri="{3e2802c4-a4d2-4d8b-9148-e3be6c30e623}">
          <xlrd:rvb i="9708"/>
        </ext>
      </extLst>
    </bk>
    <bk>
      <extLst>
        <ext uri="{3e2802c4-a4d2-4d8b-9148-e3be6c30e623}">
          <xlrd:rvb i="9709"/>
        </ext>
      </extLst>
    </bk>
    <bk>
      <extLst>
        <ext uri="{3e2802c4-a4d2-4d8b-9148-e3be6c30e623}">
          <xlrd:rvb i="9710"/>
        </ext>
      </extLst>
    </bk>
    <bk>
      <extLst>
        <ext uri="{3e2802c4-a4d2-4d8b-9148-e3be6c30e623}">
          <xlrd:rvb i="9711"/>
        </ext>
      </extLst>
    </bk>
    <bk>
      <extLst>
        <ext uri="{3e2802c4-a4d2-4d8b-9148-e3be6c30e623}">
          <xlrd:rvb i="9712"/>
        </ext>
      </extLst>
    </bk>
    <bk>
      <extLst>
        <ext uri="{3e2802c4-a4d2-4d8b-9148-e3be6c30e623}">
          <xlrd:rvb i="9713"/>
        </ext>
      </extLst>
    </bk>
    <bk>
      <extLst>
        <ext uri="{3e2802c4-a4d2-4d8b-9148-e3be6c30e623}">
          <xlrd:rvb i="9714"/>
        </ext>
      </extLst>
    </bk>
    <bk>
      <extLst>
        <ext uri="{3e2802c4-a4d2-4d8b-9148-e3be6c30e623}">
          <xlrd:rvb i="9715"/>
        </ext>
      </extLst>
    </bk>
    <bk>
      <extLst>
        <ext uri="{3e2802c4-a4d2-4d8b-9148-e3be6c30e623}">
          <xlrd:rvb i="9716"/>
        </ext>
      </extLst>
    </bk>
    <bk>
      <extLst>
        <ext uri="{3e2802c4-a4d2-4d8b-9148-e3be6c30e623}">
          <xlrd:rvb i="9717"/>
        </ext>
      </extLst>
    </bk>
    <bk>
      <extLst>
        <ext uri="{3e2802c4-a4d2-4d8b-9148-e3be6c30e623}">
          <xlrd:rvb i="9718"/>
        </ext>
      </extLst>
    </bk>
    <bk>
      <extLst>
        <ext uri="{3e2802c4-a4d2-4d8b-9148-e3be6c30e623}">
          <xlrd:rvb i="9719"/>
        </ext>
      </extLst>
    </bk>
    <bk>
      <extLst>
        <ext uri="{3e2802c4-a4d2-4d8b-9148-e3be6c30e623}">
          <xlrd:rvb i="9720"/>
        </ext>
      </extLst>
    </bk>
    <bk>
      <extLst>
        <ext uri="{3e2802c4-a4d2-4d8b-9148-e3be6c30e623}">
          <xlrd:rvb i="9721"/>
        </ext>
      </extLst>
    </bk>
    <bk>
      <extLst>
        <ext uri="{3e2802c4-a4d2-4d8b-9148-e3be6c30e623}">
          <xlrd:rvb i="9722"/>
        </ext>
      </extLst>
    </bk>
    <bk>
      <extLst>
        <ext uri="{3e2802c4-a4d2-4d8b-9148-e3be6c30e623}">
          <xlrd:rvb i="9723"/>
        </ext>
      </extLst>
    </bk>
    <bk>
      <extLst>
        <ext uri="{3e2802c4-a4d2-4d8b-9148-e3be6c30e623}">
          <xlrd:rvb i="9724"/>
        </ext>
      </extLst>
    </bk>
    <bk>
      <extLst>
        <ext uri="{3e2802c4-a4d2-4d8b-9148-e3be6c30e623}">
          <xlrd:rvb i="9725"/>
        </ext>
      </extLst>
    </bk>
    <bk>
      <extLst>
        <ext uri="{3e2802c4-a4d2-4d8b-9148-e3be6c30e623}">
          <xlrd:rvb i="9726"/>
        </ext>
      </extLst>
    </bk>
    <bk>
      <extLst>
        <ext uri="{3e2802c4-a4d2-4d8b-9148-e3be6c30e623}">
          <xlrd:rvb i="9727"/>
        </ext>
      </extLst>
    </bk>
    <bk>
      <extLst>
        <ext uri="{3e2802c4-a4d2-4d8b-9148-e3be6c30e623}">
          <xlrd:rvb i="9728"/>
        </ext>
      </extLst>
    </bk>
    <bk>
      <extLst>
        <ext uri="{3e2802c4-a4d2-4d8b-9148-e3be6c30e623}">
          <xlrd:rvb i="9729"/>
        </ext>
      </extLst>
    </bk>
    <bk>
      <extLst>
        <ext uri="{3e2802c4-a4d2-4d8b-9148-e3be6c30e623}">
          <xlrd:rvb i="9730"/>
        </ext>
      </extLst>
    </bk>
    <bk>
      <extLst>
        <ext uri="{3e2802c4-a4d2-4d8b-9148-e3be6c30e623}">
          <xlrd:rvb i="9731"/>
        </ext>
      </extLst>
    </bk>
    <bk>
      <extLst>
        <ext uri="{3e2802c4-a4d2-4d8b-9148-e3be6c30e623}">
          <xlrd:rvb i="9732"/>
        </ext>
      </extLst>
    </bk>
    <bk>
      <extLst>
        <ext uri="{3e2802c4-a4d2-4d8b-9148-e3be6c30e623}">
          <xlrd:rvb i="9733"/>
        </ext>
      </extLst>
    </bk>
    <bk>
      <extLst>
        <ext uri="{3e2802c4-a4d2-4d8b-9148-e3be6c30e623}">
          <xlrd:rvb i="9734"/>
        </ext>
      </extLst>
    </bk>
    <bk>
      <extLst>
        <ext uri="{3e2802c4-a4d2-4d8b-9148-e3be6c30e623}">
          <xlrd:rvb i="9735"/>
        </ext>
      </extLst>
    </bk>
    <bk>
      <extLst>
        <ext uri="{3e2802c4-a4d2-4d8b-9148-e3be6c30e623}">
          <xlrd:rvb i="9736"/>
        </ext>
      </extLst>
    </bk>
    <bk>
      <extLst>
        <ext uri="{3e2802c4-a4d2-4d8b-9148-e3be6c30e623}">
          <xlrd:rvb i="9737"/>
        </ext>
      </extLst>
    </bk>
    <bk>
      <extLst>
        <ext uri="{3e2802c4-a4d2-4d8b-9148-e3be6c30e623}">
          <xlrd:rvb i="9738"/>
        </ext>
      </extLst>
    </bk>
    <bk>
      <extLst>
        <ext uri="{3e2802c4-a4d2-4d8b-9148-e3be6c30e623}">
          <xlrd:rvb i="9739"/>
        </ext>
      </extLst>
    </bk>
    <bk>
      <extLst>
        <ext uri="{3e2802c4-a4d2-4d8b-9148-e3be6c30e623}">
          <xlrd:rvb i="9740"/>
        </ext>
      </extLst>
    </bk>
    <bk>
      <extLst>
        <ext uri="{3e2802c4-a4d2-4d8b-9148-e3be6c30e623}">
          <xlrd:rvb i="9741"/>
        </ext>
      </extLst>
    </bk>
    <bk>
      <extLst>
        <ext uri="{3e2802c4-a4d2-4d8b-9148-e3be6c30e623}">
          <xlrd:rvb i="9742"/>
        </ext>
      </extLst>
    </bk>
    <bk>
      <extLst>
        <ext uri="{3e2802c4-a4d2-4d8b-9148-e3be6c30e623}">
          <xlrd:rvb i="9743"/>
        </ext>
      </extLst>
    </bk>
    <bk>
      <extLst>
        <ext uri="{3e2802c4-a4d2-4d8b-9148-e3be6c30e623}">
          <xlrd:rvb i="9744"/>
        </ext>
      </extLst>
    </bk>
    <bk>
      <extLst>
        <ext uri="{3e2802c4-a4d2-4d8b-9148-e3be6c30e623}">
          <xlrd:rvb i="9745"/>
        </ext>
      </extLst>
    </bk>
    <bk>
      <extLst>
        <ext uri="{3e2802c4-a4d2-4d8b-9148-e3be6c30e623}">
          <xlrd:rvb i="9746"/>
        </ext>
      </extLst>
    </bk>
    <bk>
      <extLst>
        <ext uri="{3e2802c4-a4d2-4d8b-9148-e3be6c30e623}">
          <xlrd:rvb i="9747"/>
        </ext>
      </extLst>
    </bk>
    <bk>
      <extLst>
        <ext uri="{3e2802c4-a4d2-4d8b-9148-e3be6c30e623}">
          <xlrd:rvb i="9748"/>
        </ext>
      </extLst>
    </bk>
    <bk>
      <extLst>
        <ext uri="{3e2802c4-a4d2-4d8b-9148-e3be6c30e623}">
          <xlrd:rvb i="9749"/>
        </ext>
      </extLst>
    </bk>
    <bk>
      <extLst>
        <ext uri="{3e2802c4-a4d2-4d8b-9148-e3be6c30e623}">
          <xlrd:rvb i="9750"/>
        </ext>
      </extLst>
    </bk>
    <bk>
      <extLst>
        <ext uri="{3e2802c4-a4d2-4d8b-9148-e3be6c30e623}">
          <xlrd:rvb i="9751"/>
        </ext>
      </extLst>
    </bk>
    <bk>
      <extLst>
        <ext uri="{3e2802c4-a4d2-4d8b-9148-e3be6c30e623}">
          <xlrd:rvb i="9752"/>
        </ext>
      </extLst>
    </bk>
    <bk>
      <extLst>
        <ext uri="{3e2802c4-a4d2-4d8b-9148-e3be6c30e623}">
          <xlrd:rvb i="9753"/>
        </ext>
      </extLst>
    </bk>
    <bk>
      <extLst>
        <ext uri="{3e2802c4-a4d2-4d8b-9148-e3be6c30e623}">
          <xlrd:rvb i="9754"/>
        </ext>
      </extLst>
    </bk>
    <bk>
      <extLst>
        <ext uri="{3e2802c4-a4d2-4d8b-9148-e3be6c30e623}">
          <xlrd:rvb i="9755"/>
        </ext>
      </extLst>
    </bk>
    <bk>
      <extLst>
        <ext uri="{3e2802c4-a4d2-4d8b-9148-e3be6c30e623}">
          <xlrd:rvb i="9756"/>
        </ext>
      </extLst>
    </bk>
    <bk>
      <extLst>
        <ext uri="{3e2802c4-a4d2-4d8b-9148-e3be6c30e623}">
          <xlrd:rvb i="9757"/>
        </ext>
      </extLst>
    </bk>
    <bk>
      <extLst>
        <ext uri="{3e2802c4-a4d2-4d8b-9148-e3be6c30e623}">
          <xlrd:rvb i="9758"/>
        </ext>
      </extLst>
    </bk>
    <bk>
      <extLst>
        <ext uri="{3e2802c4-a4d2-4d8b-9148-e3be6c30e623}">
          <xlrd:rvb i="9759"/>
        </ext>
      </extLst>
    </bk>
    <bk>
      <extLst>
        <ext uri="{3e2802c4-a4d2-4d8b-9148-e3be6c30e623}">
          <xlrd:rvb i="9760"/>
        </ext>
      </extLst>
    </bk>
    <bk>
      <extLst>
        <ext uri="{3e2802c4-a4d2-4d8b-9148-e3be6c30e623}">
          <xlrd:rvb i="9761"/>
        </ext>
      </extLst>
    </bk>
    <bk>
      <extLst>
        <ext uri="{3e2802c4-a4d2-4d8b-9148-e3be6c30e623}">
          <xlrd:rvb i="9762"/>
        </ext>
      </extLst>
    </bk>
    <bk>
      <extLst>
        <ext uri="{3e2802c4-a4d2-4d8b-9148-e3be6c30e623}">
          <xlrd:rvb i="9763"/>
        </ext>
      </extLst>
    </bk>
    <bk>
      <extLst>
        <ext uri="{3e2802c4-a4d2-4d8b-9148-e3be6c30e623}">
          <xlrd:rvb i="9764"/>
        </ext>
      </extLst>
    </bk>
    <bk>
      <extLst>
        <ext uri="{3e2802c4-a4d2-4d8b-9148-e3be6c30e623}">
          <xlrd:rvb i="9765"/>
        </ext>
      </extLst>
    </bk>
    <bk>
      <extLst>
        <ext uri="{3e2802c4-a4d2-4d8b-9148-e3be6c30e623}">
          <xlrd:rvb i="9766"/>
        </ext>
      </extLst>
    </bk>
    <bk>
      <extLst>
        <ext uri="{3e2802c4-a4d2-4d8b-9148-e3be6c30e623}">
          <xlrd:rvb i="9767"/>
        </ext>
      </extLst>
    </bk>
    <bk>
      <extLst>
        <ext uri="{3e2802c4-a4d2-4d8b-9148-e3be6c30e623}">
          <xlrd:rvb i="9768"/>
        </ext>
      </extLst>
    </bk>
    <bk>
      <extLst>
        <ext uri="{3e2802c4-a4d2-4d8b-9148-e3be6c30e623}">
          <xlrd:rvb i="9769"/>
        </ext>
      </extLst>
    </bk>
    <bk>
      <extLst>
        <ext uri="{3e2802c4-a4d2-4d8b-9148-e3be6c30e623}">
          <xlrd:rvb i="9770"/>
        </ext>
      </extLst>
    </bk>
    <bk>
      <extLst>
        <ext uri="{3e2802c4-a4d2-4d8b-9148-e3be6c30e623}">
          <xlrd:rvb i="9771"/>
        </ext>
      </extLst>
    </bk>
    <bk>
      <extLst>
        <ext uri="{3e2802c4-a4d2-4d8b-9148-e3be6c30e623}">
          <xlrd:rvb i="9772"/>
        </ext>
      </extLst>
    </bk>
    <bk>
      <extLst>
        <ext uri="{3e2802c4-a4d2-4d8b-9148-e3be6c30e623}">
          <xlrd:rvb i="9773"/>
        </ext>
      </extLst>
    </bk>
    <bk>
      <extLst>
        <ext uri="{3e2802c4-a4d2-4d8b-9148-e3be6c30e623}">
          <xlrd:rvb i="9774"/>
        </ext>
      </extLst>
    </bk>
    <bk>
      <extLst>
        <ext uri="{3e2802c4-a4d2-4d8b-9148-e3be6c30e623}">
          <xlrd:rvb i="9775"/>
        </ext>
      </extLst>
    </bk>
    <bk>
      <extLst>
        <ext uri="{3e2802c4-a4d2-4d8b-9148-e3be6c30e623}">
          <xlrd:rvb i="9776"/>
        </ext>
      </extLst>
    </bk>
    <bk>
      <extLst>
        <ext uri="{3e2802c4-a4d2-4d8b-9148-e3be6c30e623}">
          <xlrd:rvb i="9777"/>
        </ext>
      </extLst>
    </bk>
    <bk>
      <extLst>
        <ext uri="{3e2802c4-a4d2-4d8b-9148-e3be6c30e623}">
          <xlrd:rvb i="9778"/>
        </ext>
      </extLst>
    </bk>
    <bk>
      <extLst>
        <ext uri="{3e2802c4-a4d2-4d8b-9148-e3be6c30e623}">
          <xlrd:rvb i="9779"/>
        </ext>
      </extLst>
    </bk>
    <bk>
      <extLst>
        <ext uri="{3e2802c4-a4d2-4d8b-9148-e3be6c30e623}">
          <xlrd:rvb i="9780"/>
        </ext>
      </extLst>
    </bk>
    <bk>
      <extLst>
        <ext uri="{3e2802c4-a4d2-4d8b-9148-e3be6c30e623}">
          <xlrd:rvb i="9781"/>
        </ext>
      </extLst>
    </bk>
    <bk>
      <extLst>
        <ext uri="{3e2802c4-a4d2-4d8b-9148-e3be6c30e623}">
          <xlrd:rvb i="9782"/>
        </ext>
      </extLst>
    </bk>
    <bk>
      <extLst>
        <ext uri="{3e2802c4-a4d2-4d8b-9148-e3be6c30e623}">
          <xlrd:rvb i="9783"/>
        </ext>
      </extLst>
    </bk>
    <bk>
      <extLst>
        <ext uri="{3e2802c4-a4d2-4d8b-9148-e3be6c30e623}">
          <xlrd:rvb i="9784"/>
        </ext>
      </extLst>
    </bk>
    <bk>
      <extLst>
        <ext uri="{3e2802c4-a4d2-4d8b-9148-e3be6c30e623}">
          <xlrd:rvb i="9785"/>
        </ext>
      </extLst>
    </bk>
    <bk>
      <extLst>
        <ext uri="{3e2802c4-a4d2-4d8b-9148-e3be6c30e623}">
          <xlrd:rvb i="9786"/>
        </ext>
      </extLst>
    </bk>
    <bk>
      <extLst>
        <ext uri="{3e2802c4-a4d2-4d8b-9148-e3be6c30e623}">
          <xlrd:rvb i="9787"/>
        </ext>
      </extLst>
    </bk>
    <bk>
      <extLst>
        <ext uri="{3e2802c4-a4d2-4d8b-9148-e3be6c30e623}">
          <xlrd:rvb i="9788"/>
        </ext>
      </extLst>
    </bk>
    <bk>
      <extLst>
        <ext uri="{3e2802c4-a4d2-4d8b-9148-e3be6c30e623}">
          <xlrd:rvb i="9789"/>
        </ext>
      </extLst>
    </bk>
    <bk>
      <extLst>
        <ext uri="{3e2802c4-a4d2-4d8b-9148-e3be6c30e623}">
          <xlrd:rvb i="9790"/>
        </ext>
      </extLst>
    </bk>
    <bk>
      <extLst>
        <ext uri="{3e2802c4-a4d2-4d8b-9148-e3be6c30e623}">
          <xlrd:rvb i="9791"/>
        </ext>
      </extLst>
    </bk>
    <bk>
      <extLst>
        <ext uri="{3e2802c4-a4d2-4d8b-9148-e3be6c30e623}">
          <xlrd:rvb i="9792"/>
        </ext>
      </extLst>
    </bk>
    <bk>
      <extLst>
        <ext uri="{3e2802c4-a4d2-4d8b-9148-e3be6c30e623}">
          <xlrd:rvb i="9793"/>
        </ext>
      </extLst>
    </bk>
    <bk>
      <extLst>
        <ext uri="{3e2802c4-a4d2-4d8b-9148-e3be6c30e623}">
          <xlrd:rvb i="9794"/>
        </ext>
      </extLst>
    </bk>
    <bk>
      <extLst>
        <ext uri="{3e2802c4-a4d2-4d8b-9148-e3be6c30e623}">
          <xlrd:rvb i="9795"/>
        </ext>
      </extLst>
    </bk>
    <bk>
      <extLst>
        <ext uri="{3e2802c4-a4d2-4d8b-9148-e3be6c30e623}">
          <xlrd:rvb i="9796"/>
        </ext>
      </extLst>
    </bk>
    <bk>
      <extLst>
        <ext uri="{3e2802c4-a4d2-4d8b-9148-e3be6c30e623}">
          <xlrd:rvb i="9797"/>
        </ext>
      </extLst>
    </bk>
    <bk>
      <extLst>
        <ext uri="{3e2802c4-a4d2-4d8b-9148-e3be6c30e623}">
          <xlrd:rvb i="9798"/>
        </ext>
      </extLst>
    </bk>
    <bk>
      <extLst>
        <ext uri="{3e2802c4-a4d2-4d8b-9148-e3be6c30e623}">
          <xlrd:rvb i="9799"/>
        </ext>
      </extLst>
    </bk>
    <bk>
      <extLst>
        <ext uri="{3e2802c4-a4d2-4d8b-9148-e3be6c30e623}">
          <xlrd:rvb i="9800"/>
        </ext>
      </extLst>
    </bk>
    <bk>
      <extLst>
        <ext uri="{3e2802c4-a4d2-4d8b-9148-e3be6c30e623}">
          <xlrd:rvb i="9801"/>
        </ext>
      </extLst>
    </bk>
    <bk>
      <extLst>
        <ext uri="{3e2802c4-a4d2-4d8b-9148-e3be6c30e623}">
          <xlrd:rvb i="9802"/>
        </ext>
      </extLst>
    </bk>
    <bk>
      <extLst>
        <ext uri="{3e2802c4-a4d2-4d8b-9148-e3be6c30e623}">
          <xlrd:rvb i="9803"/>
        </ext>
      </extLst>
    </bk>
    <bk>
      <extLst>
        <ext uri="{3e2802c4-a4d2-4d8b-9148-e3be6c30e623}">
          <xlrd:rvb i="9804"/>
        </ext>
      </extLst>
    </bk>
    <bk>
      <extLst>
        <ext uri="{3e2802c4-a4d2-4d8b-9148-e3be6c30e623}">
          <xlrd:rvb i="9805"/>
        </ext>
      </extLst>
    </bk>
    <bk>
      <extLst>
        <ext uri="{3e2802c4-a4d2-4d8b-9148-e3be6c30e623}">
          <xlrd:rvb i="9806"/>
        </ext>
      </extLst>
    </bk>
    <bk>
      <extLst>
        <ext uri="{3e2802c4-a4d2-4d8b-9148-e3be6c30e623}">
          <xlrd:rvb i="9807"/>
        </ext>
      </extLst>
    </bk>
    <bk>
      <extLst>
        <ext uri="{3e2802c4-a4d2-4d8b-9148-e3be6c30e623}">
          <xlrd:rvb i="9808"/>
        </ext>
      </extLst>
    </bk>
    <bk>
      <extLst>
        <ext uri="{3e2802c4-a4d2-4d8b-9148-e3be6c30e623}">
          <xlrd:rvb i="9809"/>
        </ext>
      </extLst>
    </bk>
    <bk>
      <extLst>
        <ext uri="{3e2802c4-a4d2-4d8b-9148-e3be6c30e623}">
          <xlrd:rvb i="9810"/>
        </ext>
      </extLst>
    </bk>
    <bk>
      <extLst>
        <ext uri="{3e2802c4-a4d2-4d8b-9148-e3be6c30e623}">
          <xlrd:rvb i="9811"/>
        </ext>
      </extLst>
    </bk>
    <bk>
      <extLst>
        <ext uri="{3e2802c4-a4d2-4d8b-9148-e3be6c30e623}">
          <xlrd:rvb i="9812"/>
        </ext>
      </extLst>
    </bk>
    <bk>
      <extLst>
        <ext uri="{3e2802c4-a4d2-4d8b-9148-e3be6c30e623}">
          <xlrd:rvb i="9813"/>
        </ext>
      </extLst>
    </bk>
    <bk>
      <extLst>
        <ext uri="{3e2802c4-a4d2-4d8b-9148-e3be6c30e623}">
          <xlrd:rvb i="9814"/>
        </ext>
      </extLst>
    </bk>
    <bk>
      <extLst>
        <ext uri="{3e2802c4-a4d2-4d8b-9148-e3be6c30e623}">
          <xlrd:rvb i="9815"/>
        </ext>
      </extLst>
    </bk>
    <bk>
      <extLst>
        <ext uri="{3e2802c4-a4d2-4d8b-9148-e3be6c30e623}">
          <xlrd:rvb i="9816"/>
        </ext>
      </extLst>
    </bk>
    <bk>
      <extLst>
        <ext uri="{3e2802c4-a4d2-4d8b-9148-e3be6c30e623}">
          <xlrd:rvb i="9817"/>
        </ext>
      </extLst>
    </bk>
    <bk>
      <extLst>
        <ext uri="{3e2802c4-a4d2-4d8b-9148-e3be6c30e623}">
          <xlrd:rvb i="9818"/>
        </ext>
      </extLst>
    </bk>
    <bk>
      <extLst>
        <ext uri="{3e2802c4-a4d2-4d8b-9148-e3be6c30e623}">
          <xlrd:rvb i="9819"/>
        </ext>
      </extLst>
    </bk>
    <bk>
      <extLst>
        <ext uri="{3e2802c4-a4d2-4d8b-9148-e3be6c30e623}">
          <xlrd:rvb i="9820"/>
        </ext>
      </extLst>
    </bk>
    <bk>
      <extLst>
        <ext uri="{3e2802c4-a4d2-4d8b-9148-e3be6c30e623}">
          <xlrd:rvb i="9821"/>
        </ext>
      </extLst>
    </bk>
    <bk>
      <extLst>
        <ext uri="{3e2802c4-a4d2-4d8b-9148-e3be6c30e623}">
          <xlrd:rvb i="9822"/>
        </ext>
      </extLst>
    </bk>
    <bk>
      <extLst>
        <ext uri="{3e2802c4-a4d2-4d8b-9148-e3be6c30e623}">
          <xlrd:rvb i="9823"/>
        </ext>
      </extLst>
    </bk>
    <bk>
      <extLst>
        <ext uri="{3e2802c4-a4d2-4d8b-9148-e3be6c30e623}">
          <xlrd:rvb i="9824"/>
        </ext>
      </extLst>
    </bk>
    <bk>
      <extLst>
        <ext uri="{3e2802c4-a4d2-4d8b-9148-e3be6c30e623}">
          <xlrd:rvb i="9825"/>
        </ext>
      </extLst>
    </bk>
    <bk>
      <extLst>
        <ext uri="{3e2802c4-a4d2-4d8b-9148-e3be6c30e623}">
          <xlrd:rvb i="9826"/>
        </ext>
      </extLst>
    </bk>
    <bk>
      <extLst>
        <ext uri="{3e2802c4-a4d2-4d8b-9148-e3be6c30e623}">
          <xlrd:rvb i="9827"/>
        </ext>
      </extLst>
    </bk>
    <bk>
      <extLst>
        <ext uri="{3e2802c4-a4d2-4d8b-9148-e3be6c30e623}">
          <xlrd:rvb i="9828"/>
        </ext>
      </extLst>
    </bk>
    <bk>
      <extLst>
        <ext uri="{3e2802c4-a4d2-4d8b-9148-e3be6c30e623}">
          <xlrd:rvb i="9829"/>
        </ext>
      </extLst>
    </bk>
    <bk>
      <extLst>
        <ext uri="{3e2802c4-a4d2-4d8b-9148-e3be6c30e623}">
          <xlrd:rvb i="9830"/>
        </ext>
      </extLst>
    </bk>
    <bk>
      <extLst>
        <ext uri="{3e2802c4-a4d2-4d8b-9148-e3be6c30e623}">
          <xlrd:rvb i="9831"/>
        </ext>
      </extLst>
    </bk>
    <bk>
      <extLst>
        <ext uri="{3e2802c4-a4d2-4d8b-9148-e3be6c30e623}">
          <xlrd:rvb i="9832"/>
        </ext>
      </extLst>
    </bk>
    <bk>
      <extLst>
        <ext uri="{3e2802c4-a4d2-4d8b-9148-e3be6c30e623}">
          <xlrd:rvb i="9833"/>
        </ext>
      </extLst>
    </bk>
    <bk>
      <extLst>
        <ext uri="{3e2802c4-a4d2-4d8b-9148-e3be6c30e623}">
          <xlrd:rvb i="9834"/>
        </ext>
      </extLst>
    </bk>
    <bk>
      <extLst>
        <ext uri="{3e2802c4-a4d2-4d8b-9148-e3be6c30e623}">
          <xlrd:rvb i="9835"/>
        </ext>
      </extLst>
    </bk>
    <bk>
      <extLst>
        <ext uri="{3e2802c4-a4d2-4d8b-9148-e3be6c30e623}">
          <xlrd:rvb i="9836"/>
        </ext>
      </extLst>
    </bk>
    <bk>
      <extLst>
        <ext uri="{3e2802c4-a4d2-4d8b-9148-e3be6c30e623}">
          <xlrd:rvb i="9837"/>
        </ext>
      </extLst>
    </bk>
    <bk>
      <extLst>
        <ext uri="{3e2802c4-a4d2-4d8b-9148-e3be6c30e623}">
          <xlrd:rvb i="9838"/>
        </ext>
      </extLst>
    </bk>
    <bk>
      <extLst>
        <ext uri="{3e2802c4-a4d2-4d8b-9148-e3be6c30e623}">
          <xlrd:rvb i="9839"/>
        </ext>
      </extLst>
    </bk>
    <bk>
      <extLst>
        <ext uri="{3e2802c4-a4d2-4d8b-9148-e3be6c30e623}">
          <xlrd:rvb i="9840"/>
        </ext>
      </extLst>
    </bk>
    <bk>
      <extLst>
        <ext uri="{3e2802c4-a4d2-4d8b-9148-e3be6c30e623}">
          <xlrd:rvb i="9841"/>
        </ext>
      </extLst>
    </bk>
    <bk>
      <extLst>
        <ext uri="{3e2802c4-a4d2-4d8b-9148-e3be6c30e623}">
          <xlrd:rvb i="9842"/>
        </ext>
      </extLst>
    </bk>
    <bk>
      <extLst>
        <ext uri="{3e2802c4-a4d2-4d8b-9148-e3be6c30e623}">
          <xlrd:rvb i="9843"/>
        </ext>
      </extLst>
    </bk>
    <bk>
      <extLst>
        <ext uri="{3e2802c4-a4d2-4d8b-9148-e3be6c30e623}">
          <xlrd:rvb i="9844"/>
        </ext>
      </extLst>
    </bk>
    <bk>
      <extLst>
        <ext uri="{3e2802c4-a4d2-4d8b-9148-e3be6c30e623}">
          <xlrd:rvb i="9845"/>
        </ext>
      </extLst>
    </bk>
    <bk>
      <extLst>
        <ext uri="{3e2802c4-a4d2-4d8b-9148-e3be6c30e623}">
          <xlrd:rvb i="9846"/>
        </ext>
      </extLst>
    </bk>
    <bk>
      <extLst>
        <ext uri="{3e2802c4-a4d2-4d8b-9148-e3be6c30e623}">
          <xlrd:rvb i="9847"/>
        </ext>
      </extLst>
    </bk>
    <bk>
      <extLst>
        <ext uri="{3e2802c4-a4d2-4d8b-9148-e3be6c30e623}">
          <xlrd:rvb i="9848"/>
        </ext>
      </extLst>
    </bk>
    <bk>
      <extLst>
        <ext uri="{3e2802c4-a4d2-4d8b-9148-e3be6c30e623}">
          <xlrd:rvb i="9849"/>
        </ext>
      </extLst>
    </bk>
    <bk>
      <extLst>
        <ext uri="{3e2802c4-a4d2-4d8b-9148-e3be6c30e623}">
          <xlrd:rvb i="9850"/>
        </ext>
      </extLst>
    </bk>
    <bk>
      <extLst>
        <ext uri="{3e2802c4-a4d2-4d8b-9148-e3be6c30e623}">
          <xlrd:rvb i="9851"/>
        </ext>
      </extLst>
    </bk>
    <bk>
      <extLst>
        <ext uri="{3e2802c4-a4d2-4d8b-9148-e3be6c30e623}">
          <xlrd:rvb i="9852"/>
        </ext>
      </extLst>
    </bk>
    <bk>
      <extLst>
        <ext uri="{3e2802c4-a4d2-4d8b-9148-e3be6c30e623}">
          <xlrd:rvb i="9853"/>
        </ext>
      </extLst>
    </bk>
    <bk>
      <extLst>
        <ext uri="{3e2802c4-a4d2-4d8b-9148-e3be6c30e623}">
          <xlrd:rvb i="9854"/>
        </ext>
      </extLst>
    </bk>
    <bk>
      <extLst>
        <ext uri="{3e2802c4-a4d2-4d8b-9148-e3be6c30e623}">
          <xlrd:rvb i="9855"/>
        </ext>
      </extLst>
    </bk>
    <bk>
      <extLst>
        <ext uri="{3e2802c4-a4d2-4d8b-9148-e3be6c30e623}">
          <xlrd:rvb i="9856"/>
        </ext>
      </extLst>
    </bk>
    <bk>
      <extLst>
        <ext uri="{3e2802c4-a4d2-4d8b-9148-e3be6c30e623}">
          <xlrd:rvb i="9857"/>
        </ext>
      </extLst>
    </bk>
    <bk>
      <extLst>
        <ext uri="{3e2802c4-a4d2-4d8b-9148-e3be6c30e623}">
          <xlrd:rvb i="9858"/>
        </ext>
      </extLst>
    </bk>
    <bk>
      <extLst>
        <ext uri="{3e2802c4-a4d2-4d8b-9148-e3be6c30e623}">
          <xlrd:rvb i="9859"/>
        </ext>
      </extLst>
    </bk>
    <bk>
      <extLst>
        <ext uri="{3e2802c4-a4d2-4d8b-9148-e3be6c30e623}">
          <xlrd:rvb i="9860"/>
        </ext>
      </extLst>
    </bk>
    <bk>
      <extLst>
        <ext uri="{3e2802c4-a4d2-4d8b-9148-e3be6c30e623}">
          <xlrd:rvb i="9861"/>
        </ext>
      </extLst>
    </bk>
    <bk>
      <extLst>
        <ext uri="{3e2802c4-a4d2-4d8b-9148-e3be6c30e623}">
          <xlrd:rvb i="9862"/>
        </ext>
      </extLst>
    </bk>
    <bk>
      <extLst>
        <ext uri="{3e2802c4-a4d2-4d8b-9148-e3be6c30e623}">
          <xlrd:rvb i="9863"/>
        </ext>
      </extLst>
    </bk>
    <bk>
      <extLst>
        <ext uri="{3e2802c4-a4d2-4d8b-9148-e3be6c30e623}">
          <xlrd:rvb i="9864"/>
        </ext>
      </extLst>
    </bk>
    <bk>
      <extLst>
        <ext uri="{3e2802c4-a4d2-4d8b-9148-e3be6c30e623}">
          <xlrd:rvb i="9865"/>
        </ext>
      </extLst>
    </bk>
    <bk>
      <extLst>
        <ext uri="{3e2802c4-a4d2-4d8b-9148-e3be6c30e623}">
          <xlrd:rvb i="9866"/>
        </ext>
      </extLst>
    </bk>
    <bk>
      <extLst>
        <ext uri="{3e2802c4-a4d2-4d8b-9148-e3be6c30e623}">
          <xlrd:rvb i="9867"/>
        </ext>
      </extLst>
    </bk>
    <bk>
      <extLst>
        <ext uri="{3e2802c4-a4d2-4d8b-9148-e3be6c30e623}">
          <xlrd:rvb i="9868"/>
        </ext>
      </extLst>
    </bk>
    <bk>
      <extLst>
        <ext uri="{3e2802c4-a4d2-4d8b-9148-e3be6c30e623}">
          <xlrd:rvb i="9869"/>
        </ext>
      </extLst>
    </bk>
    <bk>
      <extLst>
        <ext uri="{3e2802c4-a4d2-4d8b-9148-e3be6c30e623}">
          <xlrd:rvb i="9870"/>
        </ext>
      </extLst>
    </bk>
    <bk>
      <extLst>
        <ext uri="{3e2802c4-a4d2-4d8b-9148-e3be6c30e623}">
          <xlrd:rvb i="9871"/>
        </ext>
      </extLst>
    </bk>
    <bk>
      <extLst>
        <ext uri="{3e2802c4-a4d2-4d8b-9148-e3be6c30e623}">
          <xlrd:rvb i="9872"/>
        </ext>
      </extLst>
    </bk>
    <bk>
      <extLst>
        <ext uri="{3e2802c4-a4d2-4d8b-9148-e3be6c30e623}">
          <xlrd:rvb i="9873"/>
        </ext>
      </extLst>
    </bk>
    <bk>
      <extLst>
        <ext uri="{3e2802c4-a4d2-4d8b-9148-e3be6c30e623}">
          <xlrd:rvb i="9874"/>
        </ext>
      </extLst>
    </bk>
    <bk>
      <extLst>
        <ext uri="{3e2802c4-a4d2-4d8b-9148-e3be6c30e623}">
          <xlrd:rvb i="9875"/>
        </ext>
      </extLst>
    </bk>
    <bk>
      <extLst>
        <ext uri="{3e2802c4-a4d2-4d8b-9148-e3be6c30e623}">
          <xlrd:rvb i="9876"/>
        </ext>
      </extLst>
    </bk>
    <bk>
      <extLst>
        <ext uri="{3e2802c4-a4d2-4d8b-9148-e3be6c30e623}">
          <xlrd:rvb i="9877"/>
        </ext>
      </extLst>
    </bk>
    <bk>
      <extLst>
        <ext uri="{3e2802c4-a4d2-4d8b-9148-e3be6c30e623}">
          <xlrd:rvb i="9878"/>
        </ext>
      </extLst>
    </bk>
    <bk>
      <extLst>
        <ext uri="{3e2802c4-a4d2-4d8b-9148-e3be6c30e623}">
          <xlrd:rvb i="9879"/>
        </ext>
      </extLst>
    </bk>
    <bk>
      <extLst>
        <ext uri="{3e2802c4-a4d2-4d8b-9148-e3be6c30e623}">
          <xlrd:rvb i="9880"/>
        </ext>
      </extLst>
    </bk>
    <bk>
      <extLst>
        <ext uri="{3e2802c4-a4d2-4d8b-9148-e3be6c30e623}">
          <xlrd:rvb i="9881"/>
        </ext>
      </extLst>
    </bk>
    <bk>
      <extLst>
        <ext uri="{3e2802c4-a4d2-4d8b-9148-e3be6c30e623}">
          <xlrd:rvb i="9882"/>
        </ext>
      </extLst>
    </bk>
    <bk>
      <extLst>
        <ext uri="{3e2802c4-a4d2-4d8b-9148-e3be6c30e623}">
          <xlrd:rvb i="9883"/>
        </ext>
      </extLst>
    </bk>
    <bk>
      <extLst>
        <ext uri="{3e2802c4-a4d2-4d8b-9148-e3be6c30e623}">
          <xlrd:rvb i="9884"/>
        </ext>
      </extLst>
    </bk>
    <bk>
      <extLst>
        <ext uri="{3e2802c4-a4d2-4d8b-9148-e3be6c30e623}">
          <xlrd:rvb i="9885"/>
        </ext>
      </extLst>
    </bk>
    <bk>
      <extLst>
        <ext uri="{3e2802c4-a4d2-4d8b-9148-e3be6c30e623}">
          <xlrd:rvb i="9886"/>
        </ext>
      </extLst>
    </bk>
    <bk>
      <extLst>
        <ext uri="{3e2802c4-a4d2-4d8b-9148-e3be6c30e623}">
          <xlrd:rvb i="9887"/>
        </ext>
      </extLst>
    </bk>
    <bk>
      <extLst>
        <ext uri="{3e2802c4-a4d2-4d8b-9148-e3be6c30e623}">
          <xlrd:rvb i="9888"/>
        </ext>
      </extLst>
    </bk>
    <bk>
      <extLst>
        <ext uri="{3e2802c4-a4d2-4d8b-9148-e3be6c30e623}">
          <xlrd:rvb i="9889"/>
        </ext>
      </extLst>
    </bk>
    <bk>
      <extLst>
        <ext uri="{3e2802c4-a4d2-4d8b-9148-e3be6c30e623}">
          <xlrd:rvb i="9890"/>
        </ext>
      </extLst>
    </bk>
    <bk>
      <extLst>
        <ext uri="{3e2802c4-a4d2-4d8b-9148-e3be6c30e623}">
          <xlrd:rvb i="9891"/>
        </ext>
      </extLst>
    </bk>
    <bk>
      <extLst>
        <ext uri="{3e2802c4-a4d2-4d8b-9148-e3be6c30e623}">
          <xlrd:rvb i="9892"/>
        </ext>
      </extLst>
    </bk>
    <bk>
      <extLst>
        <ext uri="{3e2802c4-a4d2-4d8b-9148-e3be6c30e623}">
          <xlrd:rvb i="9893"/>
        </ext>
      </extLst>
    </bk>
    <bk>
      <extLst>
        <ext uri="{3e2802c4-a4d2-4d8b-9148-e3be6c30e623}">
          <xlrd:rvb i="9894"/>
        </ext>
      </extLst>
    </bk>
    <bk>
      <extLst>
        <ext uri="{3e2802c4-a4d2-4d8b-9148-e3be6c30e623}">
          <xlrd:rvb i="9895"/>
        </ext>
      </extLst>
    </bk>
    <bk>
      <extLst>
        <ext uri="{3e2802c4-a4d2-4d8b-9148-e3be6c30e623}">
          <xlrd:rvb i="9896"/>
        </ext>
      </extLst>
    </bk>
    <bk>
      <extLst>
        <ext uri="{3e2802c4-a4d2-4d8b-9148-e3be6c30e623}">
          <xlrd:rvb i="9897"/>
        </ext>
      </extLst>
    </bk>
    <bk>
      <extLst>
        <ext uri="{3e2802c4-a4d2-4d8b-9148-e3be6c30e623}">
          <xlrd:rvb i="9898"/>
        </ext>
      </extLst>
    </bk>
    <bk>
      <extLst>
        <ext uri="{3e2802c4-a4d2-4d8b-9148-e3be6c30e623}">
          <xlrd:rvb i="9899"/>
        </ext>
      </extLst>
    </bk>
    <bk>
      <extLst>
        <ext uri="{3e2802c4-a4d2-4d8b-9148-e3be6c30e623}">
          <xlrd:rvb i="9900"/>
        </ext>
      </extLst>
    </bk>
    <bk>
      <extLst>
        <ext uri="{3e2802c4-a4d2-4d8b-9148-e3be6c30e623}">
          <xlrd:rvb i="9901"/>
        </ext>
      </extLst>
    </bk>
    <bk>
      <extLst>
        <ext uri="{3e2802c4-a4d2-4d8b-9148-e3be6c30e623}">
          <xlrd:rvb i="9902"/>
        </ext>
      </extLst>
    </bk>
    <bk>
      <extLst>
        <ext uri="{3e2802c4-a4d2-4d8b-9148-e3be6c30e623}">
          <xlrd:rvb i="9903"/>
        </ext>
      </extLst>
    </bk>
    <bk>
      <extLst>
        <ext uri="{3e2802c4-a4d2-4d8b-9148-e3be6c30e623}">
          <xlrd:rvb i="9904"/>
        </ext>
      </extLst>
    </bk>
    <bk>
      <extLst>
        <ext uri="{3e2802c4-a4d2-4d8b-9148-e3be6c30e623}">
          <xlrd:rvb i="9905"/>
        </ext>
      </extLst>
    </bk>
    <bk>
      <extLst>
        <ext uri="{3e2802c4-a4d2-4d8b-9148-e3be6c30e623}">
          <xlrd:rvb i="9906"/>
        </ext>
      </extLst>
    </bk>
    <bk>
      <extLst>
        <ext uri="{3e2802c4-a4d2-4d8b-9148-e3be6c30e623}">
          <xlrd:rvb i="9907"/>
        </ext>
      </extLst>
    </bk>
    <bk>
      <extLst>
        <ext uri="{3e2802c4-a4d2-4d8b-9148-e3be6c30e623}">
          <xlrd:rvb i="9908"/>
        </ext>
      </extLst>
    </bk>
    <bk>
      <extLst>
        <ext uri="{3e2802c4-a4d2-4d8b-9148-e3be6c30e623}">
          <xlrd:rvb i="9909"/>
        </ext>
      </extLst>
    </bk>
    <bk>
      <extLst>
        <ext uri="{3e2802c4-a4d2-4d8b-9148-e3be6c30e623}">
          <xlrd:rvb i="9910"/>
        </ext>
      </extLst>
    </bk>
    <bk>
      <extLst>
        <ext uri="{3e2802c4-a4d2-4d8b-9148-e3be6c30e623}">
          <xlrd:rvb i="9911"/>
        </ext>
      </extLst>
    </bk>
    <bk>
      <extLst>
        <ext uri="{3e2802c4-a4d2-4d8b-9148-e3be6c30e623}">
          <xlrd:rvb i="9912"/>
        </ext>
      </extLst>
    </bk>
    <bk>
      <extLst>
        <ext uri="{3e2802c4-a4d2-4d8b-9148-e3be6c30e623}">
          <xlrd:rvb i="9913"/>
        </ext>
      </extLst>
    </bk>
    <bk>
      <extLst>
        <ext uri="{3e2802c4-a4d2-4d8b-9148-e3be6c30e623}">
          <xlrd:rvb i="9914"/>
        </ext>
      </extLst>
    </bk>
    <bk>
      <extLst>
        <ext uri="{3e2802c4-a4d2-4d8b-9148-e3be6c30e623}">
          <xlrd:rvb i="9915"/>
        </ext>
      </extLst>
    </bk>
    <bk>
      <extLst>
        <ext uri="{3e2802c4-a4d2-4d8b-9148-e3be6c30e623}">
          <xlrd:rvb i="9916"/>
        </ext>
      </extLst>
    </bk>
    <bk>
      <extLst>
        <ext uri="{3e2802c4-a4d2-4d8b-9148-e3be6c30e623}">
          <xlrd:rvb i="9917"/>
        </ext>
      </extLst>
    </bk>
    <bk>
      <extLst>
        <ext uri="{3e2802c4-a4d2-4d8b-9148-e3be6c30e623}">
          <xlrd:rvb i="9918"/>
        </ext>
      </extLst>
    </bk>
    <bk>
      <extLst>
        <ext uri="{3e2802c4-a4d2-4d8b-9148-e3be6c30e623}">
          <xlrd:rvb i="9919"/>
        </ext>
      </extLst>
    </bk>
    <bk>
      <extLst>
        <ext uri="{3e2802c4-a4d2-4d8b-9148-e3be6c30e623}">
          <xlrd:rvb i="9920"/>
        </ext>
      </extLst>
    </bk>
    <bk>
      <extLst>
        <ext uri="{3e2802c4-a4d2-4d8b-9148-e3be6c30e623}">
          <xlrd:rvb i="9921"/>
        </ext>
      </extLst>
    </bk>
    <bk>
      <extLst>
        <ext uri="{3e2802c4-a4d2-4d8b-9148-e3be6c30e623}">
          <xlrd:rvb i="9922"/>
        </ext>
      </extLst>
    </bk>
    <bk>
      <extLst>
        <ext uri="{3e2802c4-a4d2-4d8b-9148-e3be6c30e623}">
          <xlrd:rvb i="9923"/>
        </ext>
      </extLst>
    </bk>
    <bk>
      <extLst>
        <ext uri="{3e2802c4-a4d2-4d8b-9148-e3be6c30e623}">
          <xlrd:rvb i="9924"/>
        </ext>
      </extLst>
    </bk>
    <bk>
      <extLst>
        <ext uri="{3e2802c4-a4d2-4d8b-9148-e3be6c30e623}">
          <xlrd:rvb i="9925"/>
        </ext>
      </extLst>
    </bk>
    <bk>
      <extLst>
        <ext uri="{3e2802c4-a4d2-4d8b-9148-e3be6c30e623}">
          <xlrd:rvb i="9926"/>
        </ext>
      </extLst>
    </bk>
    <bk>
      <extLst>
        <ext uri="{3e2802c4-a4d2-4d8b-9148-e3be6c30e623}">
          <xlrd:rvb i="9927"/>
        </ext>
      </extLst>
    </bk>
    <bk>
      <extLst>
        <ext uri="{3e2802c4-a4d2-4d8b-9148-e3be6c30e623}">
          <xlrd:rvb i="9928"/>
        </ext>
      </extLst>
    </bk>
    <bk>
      <extLst>
        <ext uri="{3e2802c4-a4d2-4d8b-9148-e3be6c30e623}">
          <xlrd:rvb i="9929"/>
        </ext>
      </extLst>
    </bk>
    <bk>
      <extLst>
        <ext uri="{3e2802c4-a4d2-4d8b-9148-e3be6c30e623}">
          <xlrd:rvb i="9930"/>
        </ext>
      </extLst>
    </bk>
    <bk>
      <extLst>
        <ext uri="{3e2802c4-a4d2-4d8b-9148-e3be6c30e623}">
          <xlrd:rvb i="9931"/>
        </ext>
      </extLst>
    </bk>
    <bk>
      <extLst>
        <ext uri="{3e2802c4-a4d2-4d8b-9148-e3be6c30e623}">
          <xlrd:rvb i="9932"/>
        </ext>
      </extLst>
    </bk>
    <bk>
      <extLst>
        <ext uri="{3e2802c4-a4d2-4d8b-9148-e3be6c30e623}">
          <xlrd:rvb i="9933"/>
        </ext>
      </extLst>
    </bk>
    <bk>
      <extLst>
        <ext uri="{3e2802c4-a4d2-4d8b-9148-e3be6c30e623}">
          <xlrd:rvb i="9934"/>
        </ext>
      </extLst>
    </bk>
    <bk>
      <extLst>
        <ext uri="{3e2802c4-a4d2-4d8b-9148-e3be6c30e623}">
          <xlrd:rvb i="9935"/>
        </ext>
      </extLst>
    </bk>
    <bk>
      <extLst>
        <ext uri="{3e2802c4-a4d2-4d8b-9148-e3be6c30e623}">
          <xlrd:rvb i="9936"/>
        </ext>
      </extLst>
    </bk>
    <bk>
      <extLst>
        <ext uri="{3e2802c4-a4d2-4d8b-9148-e3be6c30e623}">
          <xlrd:rvb i="9937"/>
        </ext>
      </extLst>
    </bk>
    <bk>
      <extLst>
        <ext uri="{3e2802c4-a4d2-4d8b-9148-e3be6c30e623}">
          <xlrd:rvb i="9938"/>
        </ext>
      </extLst>
    </bk>
    <bk>
      <extLst>
        <ext uri="{3e2802c4-a4d2-4d8b-9148-e3be6c30e623}">
          <xlrd:rvb i="9939"/>
        </ext>
      </extLst>
    </bk>
    <bk>
      <extLst>
        <ext uri="{3e2802c4-a4d2-4d8b-9148-e3be6c30e623}">
          <xlrd:rvb i="9940"/>
        </ext>
      </extLst>
    </bk>
    <bk>
      <extLst>
        <ext uri="{3e2802c4-a4d2-4d8b-9148-e3be6c30e623}">
          <xlrd:rvb i="9941"/>
        </ext>
      </extLst>
    </bk>
    <bk>
      <extLst>
        <ext uri="{3e2802c4-a4d2-4d8b-9148-e3be6c30e623}">
          <xlrd:rvb i="9942"/>
        </ext>
      </extLst>
    </bk>
    <bk>
      <extLst>
        <ext uri="{3e2802c4-a4d2-4d8b-9148-e3be6c30e623}">
          <xlrd:rvb i="9943"/>
        </ext>
      </extLst>
    </bk>
    <bk>
      <extLst>
        <ext uri="{3e2802c4-a4d2-4d8b-9148-e3be6c30e623}">
          <xlrd:rvb i="9944"/>
        </ext>
      </extLst>
    </bk>
    <bk>
      <extLst>
        <ext uri="{3e2802c4-a4d2-4d8b-9148-e3be6c30e623}">
          <xlrd:rvb i="9945"/>
        </ext>
      </extLst>
    </bk>
    <bk>
      <extLst>
        <ext uri="{3e2802c4-a4d2-4d8b-9148-e3be6c30e623}">
          <xlrd:rvb i="9946"/>
        </ext>
      </extLst>
    </bk>
    <bk>
      <extLst>
        <ext uri="{3e2802c4-a4d2-4d8b-9148-e3be6c30e623}">
          <xlrd:rvb i="9947"/>
        </ext>
      </extLst>
    </bk>
    <bk>
      <extLst>
        <ext uri="{3e2802c4-a4d2-4d8b-9148-e3be6c30e623}">
          <xlrd:rvb i="9948"/>
        </ext>
      </extLst>
    </bk>
    <bk>
      <extLst>
        <ext uri="{3e2802c4-a4d2-4d8b-9148-e3be6c30e623}">
          <xlrd:rvb i="9949"/>
        </ext>
      </extLst>
    </bk>
    <bk>
      <extLst>
        <ext uri="{3e2802c4-a4d2-4d8b-9148-e3be6c30e623}">
          <xlrd:rvb i="9950"/>
        </ext>
      </extLst>
    </bk>
    <bk>
      <extLst>
        <ext uri="{3e2802c4-a4d2-4d8b-9148-e3be6c30e623}">
          <xlrd:rvb i="9951"/>
        </ext>
      </extLst>
    </bk>
    <bk>
      <extLst>
        <ext uri="{3e2802c4-a4d2-4d8b-9148-e3be6c30e623}">
          <xlrd:rvb i="9952"/>
        </ext>
      </extLst>
    </bk>
    <bk>
      <extLst>
        <ext uri="{3e2802c4-a4d2-4d8b-9148-e3be6c30e623}">
          <xlrd:rvb i="9953"/>
        </ext>
      </extLst>
    </bk>
    <bk>
      <extLst>
        <ext uri="{3e2802c4-a4d2-4d8b-9148-e3be6c30e623}">
          <xlrd:rvb i="9954"/>
        </ext>
      </extLst>
    </bk>
    <bk>
      <extLst>
        <ext uri="{3e2802c4-a4d2-4d8b-9148-e3be6c30e623}">
          <xlrd:rvb i="9955"/>
        </ext>
      </extLst>
    </bk>
    <bk>
      <extLst>
        <ext uri="{3e2802c4-a4d2-4d8b-9148-e3be6c30e623}">
          <xlrd:rvb i="9956"/>
        </ext>
      </extLst>
    </bk>
    <bk>
      <extLst>
        <ext uri="{3e2802c4-a4d2-4d8b-9148-e3be6c30e623}">
          <xlrd:rvb i="9957"/>
        </ext>
      </extLst>
    </bk>
    <bk>
      <extLst>
        <ext uri="{3e2802c4-a4d2-4d8b-9148-e3be6c30e623}">
          <xlrd:rvb i="9958"/>
        </ext>
      </extLst>
    </bk>
    <bk>
      <extLst>
        <ext uri="{3e2802c4-a4d2-4d8b-9148-e3be6c30e623}">
          <xlrd:rvb i="9959"/>
        </ext>
      </extLst>
    </bk>
    <bk>
      <extLst>
        <ext uri="{3e2802c4-a4d2-4d8b-9148-e3be6c30e623}">
          <xlrd:rvb i="9960"/>
        </ext>
      </extLst>
    </bk>
    <bk>
      <extLst>
        <ext uri="{3e2802c4-a4d2-4d8b-9148-e3be6c30e623}">
          <xlrd:rvb i="9961"/>
        </ext>
      </extLst>
    </bk>
    <bk>
      <extLst>
        <ext uri="{3e2802c4-a4d2-4d8b-9148-e3be6c30e623}">
          <xlrd:rvb i="9962"/>
        </ext>
      </extLst>
    </bk>
    <bk>
      <extLst>
        <ext uri="{3e2802c4-a4d2-4d8b-9148-e3be6c30e623}">
          <xlrd:rvb i="9963"/>
        </ext>
      </extLst>
    </bk>
    <bk>
      <extLst>
        <ext uri="{3e2802c4-a4d2-4d8b-9148-e3be6c30e623}">
          <xlrd:rvb i="9964"/>
        </ext>
      </extLst>
    </bk>
    <bk>
      <extLst>
        <ext uri="{3e2802c4-a4d2-4d8b-9148-e3be6c30e623}">
          <xlrd:rvb i="9965"/>
        </ext>
      </extLst>
    </bk>
    <bk>
      <extLst>
        <ext uri="{3e2802c4-a4d2-4d8b-9148-e3be6c30e623}">
          <xlrd:rvb i="9966"/>
        </ext>
      </extLst>
    </bk>
    <bk>
      <extLst>
        <ext uri="{3e2802c4-a4d2-4d8b-9148-e3be6c30e623}">
          <xlrd:rvb i="9967"/>
        </ext>
      </extLst>
    </bk>
    <bk>
      <extLst>
        <ext uri="{3e2802c4-a4d2-4d8b-9148-e3be6c30e623}">
          <xlrd:rvb i="9968"/>
        </ext>
      </extLst>
    </bk>
    <bk>
      <extLst>
        <ext uri="{3e2802c4-a4d2-4d8b-9148-e3be6c30e623}">
          <xlrd:rvb i="9969"/>
        </ext>
      </extLst>
    </bk>
    <bk>
      <extLst>
        <ext uri="{3e2802c4-a4d2-4d8b-9148-e3be6c30e623}">
          <xlrd:rvb i="9970"/>
        </ext>
      </extLst>
    </bk>
    <bk>
      <extLst>
        <ext uri="{3e2802c4-a4d2-4d8b-9148-e3be6c30e623}">
          <xlrd:rvb i="9971"/>
        </ext>
      </extLst>
    </bk>
    <bk>
      <extLst>
        <ext uri="{3e2802c4-a4d2-4d8b-9148-e3be6c30e623}">
          <xlrd:rvb i="9972"/>
        </ext>
      </extLst>
    </bk>
    <bk>
      <extLst>
        <ext uri="{3e2802c4-a4d2-4d8b-9148-e3be6c30e623}">
          <xlrd:rvb i="9973"/>
        </ext>
      </extLst>
    </bk>
    <bk>
      <extLst>
        <ext uri="{3e2802c4-a4d2-4d8b-9148-e3be6c30e623}">
          <xlrd:rvb i="9974"/>
        </ext>
      </extLst>
    </bk>
    <bk>
      <extLst>
        <ext uri="{3e2802c4-a4d2-4d8b-9148-e3be6c30e623}">
          <xlrd:rvb i="9975"/>
        </ext>
      </extLst>
    </bk>
    <bk>
      <extLst>
        <ext uri="{3e2802c4-a4d2-4d8b-9148-e3be6c30e623}">
          <xlrd:rvb i="9976"/>
        </ext>
      </extLst>
    </bk>
    <bk>
      <extLst>
        <ext uri="{3e2802c4-a4d2-4d8b-9148-e3be6c30e623}">
          <xlrd:rvb i="9977"/>
        </ext>
      </extLst>
    </bk>
    <bk>
      <extLst>
        <ext uri="{3e2802c4-a4d2-4d8b-9148-e3be6c30e623}">
          <xlrd:rvb i="9978"/>
        </ext>
      </extLst>
    </bk>
    <bk>
      <extLst>
        <ext uri="{3e2802c4-a4d2-4d8b-9148-e3be6c30e623}">
          <xlrd:rvb i="9979"/>
        </ext>
      </extLst>
    </bk>
    <bk>
      <extLst>
        <ext uri="{3e2802c4-a4d2-4d8b-9148-e3be6c30e623}">
          <xlrd:rvb i="9980"/>
        </ext>
      </extLst>
    </bk>
    <bk>
      <extLst>
        <ext uri="{3e2802c4-a4d2-4d8b-9148-e3be6c30e623}">
          <xlrd:rvb i="9981"/>
        </ext>
      </extLst>
    </bk>
    <bk>
      <extLst>
        <ext uri="{3e2802c4-a4d2-4d8b-9148-e3be6c30e623}">
          <xlrd:rvb i="9982"/>
        </ext>
      </extLst>
    </bk>
    <bk>
      <extLst>
        <ext uri="{3e2802c4-a4d2-4d8b-9148-e3be6c30e623}">
          <xlrd:rvb i="9983"/>
        </ext>
      </extLst>
    </bk>
    <bk>
      <extLst>
        <ext uri="{3e2802c4-a4d2-4d8b-9148-e3be6c30e623}">
          <xlrd:rvb i="9984"/>
        </ext>
      </extLst>
    </bk>
    <bk>
      <extLst>
        <ext uri="{3e2802c4-a4d2-4d8b-9148-e3be6c30e623}">
          <xlrd:rvb i="9985"/>
        </ext>
      </extLst>
    </bk>
    <bk>
      <extLst>
        <ext uri="{3e2802c4-a4d2-4d8b-9148-e3be6c30e623}">
          <xlrd:rvb i="9986"/>
        </ext>
      </extLst>
    </bk>
    <bk>
      <extLst>
        <ext uri="{3e2802c4-a4d2-4d8b-9148-e3be6c30e623}">
          <xlrd:rvb i="9987"/>
        </ext>
      </extLst>
    </bk>
    <bk>
      <extLst>
        <ext uri="{3e2802c4-a4d2-4d8b-9148-e3be6c30e623}">
          <xlrd:rvb i="9988"/>
        </ext>
      </extLst>
    </bk>
    <bk>
      <extLst>
        <ext uri="{3e2802c4-a4d2-4d8b-9148-e3be6c30e623}">
          <xlrd:rvb i="9989"/>
        </ext>
      </extLst>
    </bk>
    <bk>
      <extLst>
        <ext uri="{3e2802c4-a4d2-4d8b-9148-e3be6c30e623}">
          <xlrd:rvb i="9990"/>
        </ext>
      </extLst>
    </bk>
    <bk>
      <extLst>
        <ext uri="{3e2802c4-a4d2-4d8b-9148-e3be6c30e623}">
          <xlrd:rvb i="9991"/>
        </ext>
      </extLst>
    </bk>
    <bk>
      <extLst>
        <ext uri="{3e2802c4-a4d2-4d8b-9148-e3be6c30e623}">
          <xlrd:rvb i="9992"/>
        </ext>
      </extLst>
    </bk>
    <bk>
      <extLst>
        <ext uri="{3e2802c4-a4d2-4d8b-9148-e3be6c30e623}">
          <xlrd:rvb i="9993"/>
        </ext>
      </extLst>
    </bk>
    <bk>
      <extLst>
        <ext uri="{3e2802c4-a4d2-4d8b-9148-e3be6c30e623}">
          <xlrd:rvb i="9994"/>
        </ext>
      </extLst>
    </bk>
    <bk>
      <extLst>
        <ext uri="{3e2802c4-a4d2-4d8b-9148-e3be6c30e623}">
          <xlrd:rvb i="9995"/>
        </ext>
      </extLst>
    </bk>
    <bk>
      <extLst>
        <ext uri="{3e2802c4-a4d2-4d8b-9148-e3be6c30e623}">
          <xlrd:rvb i="9996"/>
        </ext>
      </extLst>
    </bk>
    <bk>
      <extLst>
        <ext uri="{3e2802c4-a4d2-4d8b-9148-e3be6c30e623}">
          <xlrd:rvb i="9997"/>
        </ext>
      </extLst>
    </bk>
    <bk>
      <extLst>
        <ext uri="{3e2802c4-a4d2-4d8b-9148-e3be6c30e623}">
          <xlrd:rvb i="9998"/>
        </ext>
      </extLst>
    </bk>
    <bk>
      <extLst>
        <ext uri="{3e2802c4-a4d2-4d8b-9148-e3be6c30e623}">
          <xlrd:rvb i="9999"/>
        </ext>
      </extLst>
    </bk>
    <bk>
      <extLst>
        <ext uri="{3e2802c4-a4d2-4d8b-9148-e3be6c30e623}">
          <xlrd:rvb i="10000"/>
        </ext>
      </extLst>
    </bk>
    <bk>
      <extLst>
        <ext uri="{3e2802c4-a4d2-4d8b-9148-e3be6c30e623}">
          <xlrd:rvb i="10001"/>
        </ext>
      </extLst>
    </bk>
    <bk>
      <extLst>
        <ext uri="{3e2802c4-a4d2-4d8b-9148-e3be6c30e623}">
          <xlrd:rvb i="10002"/>
        </ext>
      </extLst>
    </bk>
    <bk>
      <extLst>
        <ext uri="{3e2802c4-a4d2-4d8b-9148-e3be6c30e623}">
          <xlrd:rvb i="10003"/>
        </ext>
      </extLst>
    </bk>
    <bk>
      <extLst>
        <ext uri="{3e2802c4-a4d2-4d8b-9148-e3be6c30e623}">
          <xlrd:rvb i="10004"/>
        </ext>
      </extLst>
    </bk>
    <bk>
      <extLst>
        <ext uri="{3e2802c4-a4d2-4d8b-9148-e3be6c30e623}">
          <xlrd:rvb i="10005"/>
        </ext>
      </extLst>
    </bk>
    <bk>
      <extLst>
        <ext uri="{3e2802c4-a4d2-4d8b-9148-e3be6c30e623}">
          <xlrd:rvb i="10006"/>
        </ext>
      </extLst>
    </bk>
    <bk>
      <extLst>
        <ext uri="{3e2802c4-a4d2-4d8b-9148-e3be6c30e623}">
          <xlrd:rvb i="10007"/>
        </ext>
      </extLst>
    </bk>
    <bk>
      <extLst>
        <ext uri="{3e2802c4-a4d2-4d8b-9148-e3be6c30e623}">
          <xlrd:rvb i="10008"/>
        </ext>
      </extLst>
    </bk>
    <bk>
      <extLst>
        <ext uri="{3e2802c4-a4d2-4d8b-9148-e3be6c30e623}">
          <xlrd:rvb i="10009"/>
        </ext>
      </extLst>
    </bk>
    <bk>
      <extLst>
        <ext uri="{3e2802c4-a4d2-4d8b-9148-e3be6c30e623}">
          <xlrd:rvb i="10010"/>
        </ext>
      </extLst>
    </bk>
    <bk>
      <extLst>
        <ext uri="{3e2802c4-a4d2-4d8b-9148-e3be6c30e623}">
          <xlrd:rvb i="10011"/>
        </ext>
      </extLst>
    </bk>
    <bk>
      <extLst>
        <ext uri="{3e2802c4-a4d2-4d8b-9148-e3be6c30e623}">
          <xlrd:rvb i="10012"/>
        </ext>
      </extLst>
    </bk>
    <bk>
      <extLst>
        <ext uri="{3e2802c4-a4d2-4d8b-9148-e3be6c30e623}">
          <xlrd:rvb i="10013"/>
        </ext>
      </extLst>
    </bk>
    <bk>
      <extLst>
        <ext uri="{3e2802c4-a4d2-4d8b-9148-e3be6c30e623}">
          <xlrd:rvb i="10014"/>
        </ext>
      </extLst>
    </bk>
    <bk>
      <extLst>
        <ext uri="{3e2802c4-a4d2-4d8b-9148-e3be6c30e623}">
          <xlrd:rvb i="10015"/>
        </ext>
      </extLst>
    </bk>
    <bk>
      <extLst>
        <ext uri="{3e2802c4-a4d2-4d8b-9148-e3be6c30e623}">
          <xlrd:rvb i="10016"/>
        </ext>
      </extLst>
    </bk>
    <bk>
      <extLst>
        <ext uri="{3e2802c4-a4d2-4d8b-9148-e3be6c30e623}">
          <xlrd:rvb i="10017"/>
        </ext>
      </extLst>
    </bk>
    <bk>
      <extLst>
        <ext uri="{3e2802c4-a4d2-4d8b-9148-e3be6c30e623}">
          <xlrd:rvb i="10018"/>
        </ext>
      </extLst>
    </bk>
    <bk>
      <extLst>
        <ext uri="{3e2802c4-a4d2-4d8b-9148-e3be6c30e623}">
          <xlrd:rvb i="10019"/>
        </ext>
      </extLst>
    </bk>
    <bk>
      <extLst>
        <ext uri="{3e2802c4-a4d2-4d8b-9148-e3be6c30e623}">
          <xlrd:rvb i="10020"/>
        </ext>
      </extLst>
    </bk>
    <bk>
      <extLst>
        <ext uri="{3e2802c4-a4d2-4d8b-9148-e3be6c30e623}">
          <xlrd:rvb i="10021"/>
        </ext>
      </extLst>
    </bk>
    <bk>
      <extLst>
        <ext uri="{3e2802c4-a4d2-4d8b-9148-e3be6c30e623}">
          <xlrd:rvb i="10022"/>
        </ext>
      </extLst>
    </bk>
    <bk>
      <extLst>
        <ext uri="{3e2802c4-a4d2-4d8b-9148-e3be6c30e623}">
          <xlrd:rvb i="10023"/>
        </ext>
      </extLst>
    </bk>
    <bk>
      <extLst>
        <ext uri="{3e2802c4-a4d2-4d8b-9148-e3be6c30e623}">
          <xlrd:rvb i="10024"/>
        </ext>
      </extLst>
    </bk>
    <bk>
      <extLst>
        <ext uri="{3e2802c4-a4d2-4d8b-9148-e3be6c30e623}">
          <xlrd:rvb i="10025"/>
        </ext>
      </extLst>
    </bk>
    <bk>
      <extLst>
        <ext uri="{3e2802c4-a4d2-4d8b-9148-e3be6c30e623}">
          <xlrd:rvb i="10026"/>
        </ext>
      </extLst>
    </bk>
    <bk>
      <extLst>
        <ext uri="{3e2802c4-a4d2-4d8b-9148-e3be6c30e623}">
          <xlrd:rvb i="10027"/>
        </ext>
      </extLst>
    </bk>
    <bk>
      <extLst>
        <ext uri="{3e2802c4-a4d2-4d8b-9148-e3be6c30e623}">
          <xlrd:rvb i="10028"/>
        </ext>
      </extLst>
    </bk>
    <bk>
      <extLst>
        <ext uri="{3e2802c4-a4d2-4d8b-9148-e3be6c30e623}">
          <xlrd:rvb i="10029"/>
        </ext>
      </extLst>
    </bk>
    <bk>
      <extLst>
        <ext uri="{3e2802c4-a4d2-4d8b-9148-e3be6c30e623}">
          <xlrd:rvb i="10030"/>
        </ext>
      </extLst>
    </bk>
    <bk>
      <extLst>
        <ext uri="{3e2802c4-a4d2-4d8b-9148-e3be6c30e623}">
          <xlrd:rvb i="10031"/>
        </ext>
      </extLst>
    </bk>
    <bk>
      <extLst>
        <ext uri="{3e2802c4-a4d2-4d8b-9148-e3be6c30e623}">
          <xlrd:rvb i="10032"/>
        </ext>
      </extLst>
    </bk>
    <bk>
      <extLst>
        <ext uri="{3e2802c4-a4d2-4d8b-9148-e3be6c30e623}">
          <xlrd:rvb i="10033"/>
        </ext>
      </extLst>
    </bk>
    <bk>
      <extLst>
        <ext uri="{3e2802c4-a4d2-4d8b-9148-e3be6c30e623}">
          <xlrd:rvb i="10034"/>
        </ext>
      </extLst>
    </bk>
    <bk>
      <extLst>
        <ext uri="{3e2802c4-a4d2-4d8b-9148-e3be6c30e623}">
          <xlrd:rvb i="10035"/>
        </ext>
      </extLst>
    </bk>
    <bk>
      <extLst>
        <ext uri="{3e2802c4-a4d2-4d8b-9148-e3be6c30e623}">
          <xlrd:rvb i="10036"/>
        </ext>
      </extLst>
    </bk>
    <bk>
      <extLst>
        <ext uri="{3e2802c4-a4d2-4d8b-9148-e3be6c30e623}">
          <xlrd:rvb i="10037"/>
        </ext>
      </extLst>
    </bk>
    <bk>
      <extLst>
        <ext uri="{3e2802c4-a4d2-4d8b-9148-e3be6c30e623}">
          <xlrd:rvb i="10038"/>
        </ext>
      </extLst>
    </bk>
    <bk>
      <extLst>
        <ext uri="{3e2802c4-a4d2-4d8b-9148-e3be6c30e623}">
          <xlrd:rvb i="10039"/>
        </ext>
      </extLst>
    </bk>
    <bk>
      <extLst>
        <ext uri="{3e2802c4-a4d2-4d8b-9148-e3be6c30e623}">
          <xlrd:rvb i="10040"/>
        </ext>
      </extLst>
    </bk>
    <bk>
      <extLst>
        <ext uri="{3e2802c4-a4d2-4d8b-9148-e3be6c30e623}">
          <xlrd:rvb i="10041"/>
        </ext>
      </extLst>
    </bk>
    <bk>
      <extLst>
        <ext uri="{3e2802c4-a4d2-4d8b-9148-e3be6c30e623}">
          <xlrd:rvb i="10042"/>
        </ext>
      </extLst>
    </bk>
    <bk>
      <extLst>
        <ext uri="{3e2802c4-a4d2-4d8b-9148-e3be6c30e623}">
          <xlrd:rvb i="10043"/>
        </ext>
      </extLst>
    </bk>
    <bk>
      <extLst>
        <ext uri="{3e2802c4-a4d2-4d8b-9148-e3be6c30e623}">
          <xlrd:rvb i="10044"/>
        </ext>
      </extLst>
    </bk>
    <bk>
      <extLst>
        <ext uri="{3e2802c4-a4d2-4d8b-9148-e3be6c30e623}">
          <xlrd:rvb i="10045"/>
        </ext>
      </extLst>
    </bk>
    <bk>
      <extLst>
        <ext uri="{3e2802c4-a4d2-4d8b-9148-e3be6c30e623}">
          <xlrd:rvb i="10046"/>
        </ext>
      </extLst>
    </bk>
    <bk>
      <extLst>
        <ext uri="{3e2802c4-a4d2-4d8b-9148-e3be6c30e623}">
          <xlrd:rvb i="10047"/>
        </ext>
      </extLst>
    </bk>
    <bk>
      <extLst>
        <ext uri="{3e2802c4-a4d2-4d8b-9148-e3be6c30e623}">
          <xlrd:rvb i="10048"/>
        </ext>
      </extLst>
    </bk>
    <bk>
      <extLst>
        <ext uri="{3e2802c4-a4d2-4d8b-9148-e3be6c30e623}">
          <xlrd:rvb i="10049"/>
        </ext>
      </extLst>
    </bk>
    <bk>
      <extLst>
        <ext uri="{3e2802c4-a4d2-4d8b-9148-e3be6c30e623}">
          <xlrd:rvb i="10050"/>
        </ext>
      </extLst>
    </bk>
    <bk>
      <extLst>
        <ext uri="{3e2802c4-a4d2-4d8b-9148-e3be6c30e623}">
          <xlrd:rvb i="10051"/>
        </ext>
      </extLst>
    </bk>
    <bk>
      <extLst>
        <ext uri="{3e2802c4-a4d2-4d8b-9148-e3be6c30e623}">
          <xlrd:rvb i="10052"/>
        </ext>
      </extLst>
    </bk>
    <bk>
      <extLst>
        <ext uri="{3e2802c4-a4d2-4d8b-9148-e3be6c30e623}">
          <xlrd:rvb i="10053"/>
        </ext>
      </extLst>
    </bk>
    <bk>
      <extLst>
        <ext uri="{3e2802c4-a4d2-4d8b-9148-e3be6c30e623}">
          <xlrd:rvb i="10054"/>
        </ext>
      </extLst>
    </bk>
    <bk>
      <extLst>
        <ext uri="{3e2802c4-a4d2-4d8b-9148-e3be6c30e623}">
          <xlrd:rvb i="10055"/>
        </ext>
      </extLst>
    </bk>
    <bk>
      <extLst>
        <ext uri="{3e2802c4-a4d2-4d8b-9148-e3be6c30e623}">
          <xlrd:rvb i="10056"/>
        </ext>
      </extLst>
    </bk>
    <bk>
      <extLst>
        <ext uri="{3e2802c4-a4d2-4d8b-9148-e3be6c30e623}">
          <xlrd:rvb i="10057"/>
        </ext>
      </extLst>
    </bk>
    <bk>
      <extLst>
        <ext uri="{3e2802c4-a4d2-4d8b-9148-e3be6c30e623}">
          <xlrd:rvb i="10058"/>
        </ext>
      </extLst>
    </bk>
    <bk>
      <extLst>
        <ext uri="{3e2802c4-a4d2-4d8b-9148-e3be6c30e623}">
          <xlrd:rvb i="10059"/>
        </ext>
      </extLst>
    </bk>
    <bk>
      <extLst>
        <ext uri="{3e2802c4-a4d2-4d8b-9148-e3be6c30e623}">
          <xlrd:rvb i="10060"/>
        </ext>
      </extLst>
    </bk>
    <bk>
      <extLst>
        <ext uri="{3e2802c4-a4d2-4d8b-9148-e3be6c30e623}">
          <xlrd:rvb i="10061"/>
        </ext>
      </extLst>
    </bk>
    <bk>
      <extLst>
        <ext uri="{3e2802c4-a4d2-4d8b-9148-e3be6c30e623}">
          <xlrd:rvb i="10062"/>
        </ext>
      </extLst>
    </bk>
    <bk>
      <extLst>
        <ext uri="{3e2802c4-a4d2-4d8b-9148-e3be6c30e623}">
          <xlrd:rvb i="10063"/>
        </ext>
      </extLst>
    </bk>
    <bk>
      <extLst>
        <ext uri="{3e2802c4-a4d2-4d8b-9148-e3be6c30e623}">
          <xlrd:rvb i="10064"/>
        </ext>
      </extLst>
    </bk>
    <bk>
      <extLst>
        <ext uri="{3e2802c4-a4d2-4d8b-9148-e3be6c30e623}">
          <xlrd:rvb i="10065"/>
        </ext>
      </extLst>
    </bk>
    <bk>
      <extLst>
        <ext uri="{3e2802c4-a4d2-4d8b-9148-e3be6c30e623}">
          <xlrd:rvb i="10066"/>
        </ext>
      </extLst>
    </bk>
    <bk>
      <extLst>
        <ext uri="{3e2802c4-a4d2-4d8b-9148-e3be6c30e623}">
          <xlrd:rvb i="10067"/>
        </ext>
      </extLst>
    </bk>
    <bk>
      <extLst>
        <ext uri="{3e2802c4-a4d2-4d8b-9148-e3be6c30e623}">
          <xlrd:rvb i="10068"/>
        </ext>
      </extLst>
    </bk>
    <bk>
      <extLst>
        <ext uri="{3e2802c4-a4d2-4d8b-9148-e3be6c30e623}">
          <xlrd:rvb i="10069"/>
        </ext>
      </extLst>
    </bk>
    <bk>
      <extLst>
        <ext uri="{3e2802c4-a4d2-4d8b-9148-e3be6c30e623}">
          <xlrd:rvb i="10070"/>
        </ext>
      </extLst>
    </bk>
    <bk>
      <extLst>
        <ext uri="{3e2802c4-a4d2-4d8b-9148-e3be6c30e623}">
          <xlrd:rvb i="10071"/>
        </ext>
      </extLst>
    </bk>
    <bk>
      <extLst>
        <ext uri="{3e2802c4-a4d2-4d8b-9148-e3be6c30e623}">
          <xlrd:rvb i="10072"/>
        </ext>
      </extLst>
    </bk>
    <bk>
      <extLst>
        <ext uri="{3e2802c4-a4d2-4d8b-9148-e3be6c30e623}">
          <xlrd:rvb i="10073"/>
        </ext>
      </extLst>
    </bk>
    <bk>
      <extLst>
        <ext uri="{3e2802c4-a4d2-4d8b-9148-e3be6c30e623}">
          <xlrd:rvb i="10074"/>
        </ext>
      </extLst>
    </bk>
    <bk>
      <extLst>
        <ext uri="{3e2802c4-a4d2-4d8b-9148-e3be6c30e623}">
          <xlrd:rvb i="10075"/>
        </ext>
      </extLst>
    </bk>
    <bk>
      <extLst>
        <ext uri="{3e2802c4-a4d2-4d8b-9148-e3be6c30e623}">
          <xlrd:rvb i="10076"/>
        </ext>
      </extLst>
    </bk>
    <bk>
      <extLst>
        <ext uri="{3e2802c4-a4d2-4d8b-9148-e3be6c30e623}">
          <xlrd:rvb i="10077"/>
        </ext>
      </extLst>
    </bk>
    <bk>
      <extLst>
        <ext uri="{3e2802c4-a4d2-4d8b-9148-e3be6c30e623}">
          <xlrd:rvb i="10078"/>
        </ext>
      </extLst>
    </bk>
    <bk>
      <extLst>
        <ext uri="{3e2802c4-a4d2-4d8b-9148-e3be6c30e623}">
          <xlrd:rvb i="10079"/>
        </ext>
      </extLst>
    </bk>
    <bk>
      <extLst>
        <ext uri="{3e2802c4-a4d2-4d8b-9148-e3be6c30e623}">
          <xlrd:rvb i="10080"/>
        </ext>
      </extLst>
    </bk>
    <bk>
      <extLst>
        <ext uri="{3e2802c4-a4d2-4d8b-9148-e3be6c30e623}">
          <xlrd:rvb i="10081"/>
        </ext>
      </extLst>
    </bk>
    <bk>
      <extLst>
        <ext uri="{3e2802c4-a4d2-4d8b-9148-e3be6c30e623}">
          <xlrd:rvb i="10082"/>
        </ext>
      </extLst>
    </bk>
    <bk>
      <extLst>
        <ext uri="{3e2802c4-a4d2-4d8b-9148-e3be6c30e623}">
          <xlrd:rvb i="10083"/>
        </ext>
      </extLst>
    </bk>
    <bk>
      <extLst>
        <ext uri="{3e2802c4-a4d2-4d8b-9148-e3be6c30e623}">
          <xlrd:rvb i="10084"/>
        </ext>
      </extLst>
    </bk>
    <bk>
      <extLst>
        <ext uri="{3e2802c4-a4d2-4d8b-9148-e3be6c30e623}">
          <xlrd:rvb i="10085"/>
        </ext>
      </extLst>
    </bk>
    <bk>
      <extLst>
        <ext uri="{3e2802c4-a4d2-4d8b-9148-e3be6c30e623}">
          <xlrd:rvb i="10086"/>
        </ext>
      </extLst>
    </bk>
    <bk>
      <extLst>
        <ext uri="{3e2802c4-a4d2-4d8b-9148-e3be6c30e623}">
          <xlrd:rvb i="10087"/>
        </ext>
      </extLst>
    </bk>
    <bk>
      <extLst>
        <ext uri="{3e2802c4-a4d2-4d8b-9148-e3be6c30e623}">
          <xlrd:rvb i="10088"/>
        </ext>
      </extLst>
    </bk>
    <bk>
      <extLst>
        <ext uri="{3e2802c4-a4d2-4d8b-9148-e3be6c30e623}">
          <xlrd:rvb i="10089"/>
        </ext>
      </extLst>
    </bk>
    <bk>
      <extLst>
        <ext uri="{3e2802c4-a4d2-4d8b-9148-e3be6c30e623}">
          <xlrd:rvb i="10090"/>
        </ext>
      </extLst>
    </bk>
    <bk>
      <extLst>
        <ext uri="{3e2802c4-a4d2-4d8b-9148-e3be6c30e623}">
          <xlrd:rvb i="10091"/>
        </ext>
      </extLst>
    </bk>
    <bk>
      <extLst>
        <ext uri="{3e2802c4-a4d2-4d8b-9148-e3be6c30e623}">
          <xlrd:rvb i="10092"/>
        </ext>
      </extLst>
    </bk>
    <bk>
      <extLst>
        <ext uri="{3e2802c4-a4d2-4d8b-9148-e3be6c30e623}">
          <xlrd:rvb i="10093"/>
        </ext>
      </extLst>
    </bk>
    <bk>
      <extLst>
        <ext uri="{3e2802c4-a4d2-4d8b-9148-e3be6c30e623}">
          <xlrd:rvb i="10094"/>
        </ext>
      </extLst>
    </bk>
    <bk>
      <extLst>
        <ext uri="{3e2802c4-a4d2-4d8b-9148-e3be6c30e623}">
          <xlrd:rvb i="10095"/>
        </ext>
      </extLst>
    </bk>
    <bk>
      <extLst>
        <ext uri="{3e2802c4-a4d2-4d8b-9148-e3be6c30e623}">
          <xlrd:rvb i="10096"/>
        </ext>
      </extLst>
    </bk>
    <bk>
      <extLst>
        <ext uri="{3e2802c4-a4d2-4d8b-9148-e3be6c30e623}">
          <xlrd:rvb i="10097"/>
        </ext>
      </extLst>
    </bk>
    <bk>
      <extLst>
        <ext uri="{3e2802c4-a4d2-4d8b-9148-e3be6c30e623}">
          <xlrd:rvb i="10098"/>
        </ext>
      </extLst>
    </bk>
    <bk>
      <extLst>
        <ext uri="{3e2802c4-a4d2-4d8b-9148-e3be6c30e623}">
          <xlrd:rvb i="10099"/>
        </ext>
      </extLst>
    </bk>
    <bk>
      <extLst>
        <ext uri="{3e2802c4-a4d2-4d8b-9148-e3be6c30e623}">
          <xlrd:rvb i="10100"/>
        </ext>
      </extLst>
    </bk>
    <bk>
      <extLst>
        <ext uri="{3e2802c4-a4d2-4d8b-9148-e3be6c30e623}">
          <xlrd:rvb i="10101"/>
        </ext>
      </extLst>
    </bk>
    <bk>
      <extLst>
        <ext uri="{3e2802c4-a4d2-4d8b-9148-e3be6c30e623}">
          <xlrd:rvb i="10102"/>
        </ext>
      </extLst>
    </bk>
    <bk>
      <extLst>
        <ext uri="{3e2802c4-a4d2-4d8b-9148-e3be6c30e623}">
          <xlrd:rvb i="10103"/>
        </ext>
      </extLst>
    </bk>
    <bk>
      <extLst>
        <ext uri="{3e2802c4-a4d2-4d8b-9148-e3be6c30e623}">
          <xlrd:rvb i="10104"/>
        </ext>
      </extLst>
    </bk>
    <bk>
      <extLst>
        <ext uri="{3e2802c4-a4d2-4d8b-9148-e3be6c30e623}">
          <xlrd:rvb i="10105"/>
        </ext>
      </extLst>
    </bk>
    <bk>
      <extLst>
        <ext uri="{3e2802c4-a4d2-4d8b-9148-e3be6c30e623}">
          <xlrd:rvb i="10106"/>
        </ext>
      </extLst>
    </bk>
    <bk>
      <extLst>
        <ext uri="{3e2802c4-a4d2-4d8b-9148-e3be6c30e623}">
          <xlrd:rvb i="10107"/>
        </ext>
      </extLst>
    </bk>
    <bk>
      <extLst>
        <ext uri="{3e2802c4-a4d2-4d8b-9148-e3be6c30e623}">
          <xlrd:rvb i="10108"/>
        </ext>
      </extLst>
    </bk>
    <bk>
      <extLst>
        <ext uri="{3e2802c4-a4d2-4d8b-9148-e3be6c30e623}">
          <xlrd:rvb i="10109"/>
        </ext>
      </extLst>
    </bk>
    <bk>
      <extLst>
        <ext uri="{3e2802c4-a4d2-4d8b-9148-e3be6c30e623}">
          <xlrd:rvb i="10110"/>
        </ext>
      </extLst>
    </bk>
    <bk>
      <extLst>
        <ext uri="{3e2802c4-a4d2-4d8b-9148-e3be6c30e623}">
          <xlrd:rvb i="10111"/>
        </ext>
      </extLst>
    </bk>
    <bk>
      <extLst>
        <ext uri="{3e2802c4-a4d2-4d8b-9148-e3be6c30e623}">
          <xlrd:rvb i="10112"/>
        </ext>
      </extLst>
    </bk>
    <bk>
      <extLst>
        <ext uri="{3e2802c4-a4d2-4d8b-9148-e3be6c30e623}">
          <xlrd:rvb i="10113"/>
        </ext>
      </extLst>
    </bk>
    <bk>
      <extLst>
        <ext uri="{3e2802c4-a4d2-4d8b-9148-e3be6c30e623}">
          <xlrd:rvb i="10114"/>
        </ext>
      </extLst>
    </bk>
    <bk>
      <extLst>
        <ext uri="{3e2802c4-a4d2-4d8b-9148-e3be6c30e623}">
          <xlrd:rvb i="10115"/>
        </ext>
      </extLst>
    </bk>
    <bk>
      <extLst>
        <ext uri="{3e2802c4-a4d2-4d8b-9148-e3be6c30e623}">
          <xlrd:rvb i="10116"/>
        </ext>
      </extLst>
    </bk>
    <bk>
      <extLst>
        <ext uri="{3e2802c4-a4d2-4d8b-9148-e3be6c30e623}">
          <xlrd:rvb i="10117"/>
        </ext>
      </extLst>
    </bk>
    <bk>
      <extLst>
        <ext uri="{3e2802c4-a4d2-4d8b-9148-e3be6c30e623}">
          <xlrd:rvb i="10118"/>
        </ext>
      </extLst>
    </bk>
    <bk>
      <extLst>
        <ext uri="{3e2802c4-a4d2-4d8b-9148-e3be6c30e623}">
          <xlrd:rvb i="10119"/>
        </ext>
      </extLst>
    </bk>
    <bk>
      <extLst>
        <ext uri="{3e2802c4-a4d2-4d8b-9148-e3be6c30e623}">
          <xlrd:rvb i="10120"/>
        </ext>
      </extLst>
    </bk>
    <bk>
      <extLst>
        <ext uri="{3e2802c4-a4d2-4d8b-9148-e3be6c30e623}">
          <xlrd:rvb i="10121"/>
        </ext>
      </extLst>
    </bk>
    <bk>
      <extLst>
        <ext uri="{3e2802c4-a4d2-4d8b-9148-e3be6c30e623}">
          <xlrd:rvb i="10122"/>
        </ext>
      </extLst>
    </bk>
    <bk>
      <extLst>
        <ext uri="{3e2802c4-a4d2-4d8b-9148-e3be6c30e623}">
          <xlrd:rvb i="10123"/>
        </ext>
      </extLst>
    </bk>
    <bk>
      <extLst>
        <ext uri="{3e2802c4-a4d2-4d8b-9148-e3be6c30e623}">
          <xlrd:rvb i="10124"/>
        </ext>
      </extLst>
    </bk>
    <bk>
      <extLst>
        <ext uri="{3e2802c4-a4d2-4d8b-9148-e3be6c30e623}">
          <xlrd:rvb i="10125"/>
        </ext>
      </extLst>
    </bk>
    <bk>
      <extLst>
        <ext uri="{3e2802c4-a4d2-4d8b-9148-e3be6c30e623}">
          <xlrd:rvb i="10126"/>
        </ext>
      </extLst>
    </bk>
    <bk>
      <extLst>
        <ext uri="{3e2802c4-a4d2-4d8b-9148-e3be6c30e623}">
          <xlrd:rvb i="10127"/>
        </ext>
      </extLst>
    </bk>
    <bk>
      <extLst>
        <ext uri="{3e2802c4-a4d2-4d8b-9148-e3be6c30e623}">
          <xlrd:rvb i="10128"/>
        </ext>
      </extLst>
    </bk>
    <bk>
      <extLst>
        <ext uri="{3e2802c4-a4d2-4d8b-9148-e3be6c30e623}">
          <xlrd:rvb i="10129"/>
        </ext>
      </extLst>
    </bk>
    <bk>
      <extLst>
        <ext uri="{3e2802c4-a4d2-4d8b-9148-e3be6c30e623}">
          <xlrd:rvb i="10130"/>
        </ext>
      </extLst>
    </bk>
    <bk>
      <extLst>
        <ext uri="{3e2802c4-a4d2-4d8b-9148-e3be6c30e623}">
          <xlrd:rvb i="10131"/>
        </ext>
      </extLst>
    </bk>
    <bk>
      <extLst>
        <ext uri="{3e2802c4-a4d2-4d8b-9148-e3be6c30e623}">
          <xlrd:rvb i="10132"/>
        </ext>
      </extLst>
    </bk>
    <bk>
      <extLst>
        <ext uri="{3e2802c4-a4d2-4d8b-9148-e3be6c30e623}">
          <xlrd:rvb i="10133"/>
        </ext>
      </extLst>
    </bk>
    <bk>
      <extLst>
        <ext uri="{3e2802c4-a4d2-4d8b-9148-e3be6c30e623}">
          <xlrd:rvb i="10134"/>
        </ext>
      </extLst>
    </bk>
    <bk>
      <extLst>
        <ext uri="{3e2802c4-a4d2-4d8b-9148-e3be6c30e623}">
          <xlrd:rvb i="10135"/>
        </ext>
      </extLst>
    </bk>
    <bk>
      <extLst>
        <ext uri="{3e2802c4-a4d2-4d8b-9148-e3be6c30e623}">
          <xlrd:rvb i="10136"/>
        </ext>
      </extLst>
    </bk>
    <bk>
      <extLst>
        <ext uri="{3e2802c4-a4d2-4d8b-9148-e3be6c30e623}">
          <xlrd:rvb i="10137"/>
        </ext>
      </extLst>
    </bk>
    <bk>
      <extLst>
        <ext uri="{3e2802c4-a4d2-4d8b-9148-e3be6c30e623}">
          <xlrd:rvb i="10138"/>
        </ext>
      </extLst>
    </bk>
    <bk>
      <extLst>
        <ext uri="{3e2802c4-a4d2-4d8b-9148-e3be6c30e623}">
          <xlrd:rvb i="10139"/>
        </ext>
      </extLst>
    </bk>
    <bk>
      <extLst>
        <ext uri="{3e2802c4-a4d2-4d8b-9148-e3be6c30e623}">
          <xlrd:rvb i="10140"/>
        </ext>
      </extLst>
    </bk>
    <bk>
      <extLst>
        <ext uri="{3e2802c4-a4d2-4d8b-9148-e3be6c30e623}">
          <xlrd:rvb i="10141"/>
        </ext>
      </extLst>
    </bk>
    <bk>
      <extLst>
        <ext uri="{3e2802c4-a4d2-4d8b-9148-e3be6c30e623}">
          <xlrd:rvb i="10142"/>
        </ext>
      </extLst>
    </bk>
    <bk>
      <extLst>
        <ext uri="{3e2802c4-a4d2-4d8b-9148-e3be6c30e623}">
          <xlrd:rvb i="10143"/>
        </ext>
      </extLst>
    </bk>
    <bk>
      <extLst>
        <ext uri="{3e2802c4-a4d2-4d8b-9148-e3be6c30e623}">
          <xlrd:rvb i="10144"/>
        </ext>
      </extLst>
    </bk>
    <bk>
      <extLst>
        <ext uri="{3e2802c4-a4d2-4d8b-9148-e3be6c30e623}">
          <xlrd:rvb i="10145"/>
        </ext>
      </extLst>
    </bk>
    <bk>
      <extLst>
        <ext uri="{3e2802c4-a4d2-4d8b-9148-e3be6c30e623}">
          <xlrd:rvb i="10146"/>
        </ext>
      </extLst>
    </bk>
    <bk>
      <extLst>
        <ext uri="{3e2802c4-a4d2-4d8b-9148-e3be6c30e623}">
          <xlrd:rvb i="10147"/>
        </ext>
      </extLst>
    </bk>
    <bk>
      <extLst>
        <ext uri="{3e2802c4-a4d2-4d8b-9148-e3be6c30e623}">
          <xlrd:rvb i="10148"/>
        </ext>
      </extLst>
    </bk>
    <bk>
      <extLst>
        <ext uri="{3e2802c4-a4d2-4d8b-9148-e3be6c30e623}">
          <xlrd:rvb i="10149"/>
        </ext>
      </extLst>
    </bk>
    <bk>
      <extLst>
        <ext uri="{3e2802c4-a4d2-4d8b-9148-e3be6c30e623}">
          <xlrd:rvb i="10150"/>
        </ext>
      </extLst>
    </bk>
    <bk>
      <extLst>
        <ext uri="{3e2802c4-a4d2-4d8b-9148-e3be6c30e623}">
          <xlrd:rvb i="10151"/>
        </ext>
      </extLst>
    </bk>
    <bk>
      <extLst>
        <ext uri="{3e2802c4-a4d2-4d8b-9148-e3be6c30e623}">
          <xlrd:rvb i="10152"/>
        </ext>
      </extLst>
    </bk>
    <bk>
      <extLst>
        <ext uri="{3e2802c4-a4d2-4d8b-9148-e3be6c30e623}">
          <xlrd:rvb i="10153"/>
        </ext>
      </extLst>
    </bk>
    <bk>
      <extLst>
        <ext uri="{3e2802c4-a4d2-4d8b-9148-e3be6c30e623}">
          <xlrd:rvb i="10154"/>
        </ext>
      </extLst>
    </bk>
    <bk>
      <extLst>
        <ext uri="{3e2802c4-a4d2-4d8b-9148-e3be6c30e623}">
          <xlrd:rvb i="10155"/>
        </ext>
      </extLst>
    </bk>
    <bk>
      <extLst>
        <ext uri="{3e2802c4-a4d2-4d8b-9148-e3be6c30e623}">
          <xlrd:rvb i="10156"/>
        </ext>
      </extLst>
    </bk>
    <bk>
      <extLst>
        <ext uri="{3e2802c4-a4d2-4d8b-9148-e3be6c30e623}">
          <xlrd:rvb i="10157"/>
        </ext>
      </extLst>
    </bk>
    <bk>
      <extLst>
        <ext uri="{3e2802c4-a4d2-4d8b-9148-e3be6c30e623}">
          <xlrd:rvb i="10158"/>
        </ext>
      </extLst>
    </bk>
    <bk>
      <extLst>
        <ext uri="{3e2802c4-a4d2-4d8b-9148-e3be6c30e623}">
          <xlrd:rvb i="10159"/>
        </ext>
      </extLst>
    </bk>
    <bk>
      <extLst>
        <ext uri="{3e2802c4-a4d2-4d8b-9148-e3be6c30e623}">
          <xlrd:rvb i="10160"/>
        </ext>
      </extLst>
    </bk>
    <bk>
      <extLst>
        <ext uri="{3e2802c4-a4d2-4d8b-9148-e3be6c30e623}">
          <xlrd:rvb i="10161"/>
        </ext>
      </extLst>
    </bk>
    <bk>
      <extLst>
        <ext uri="{3e2802c4-a4d2-4d8b-9148-e3be6c30e623}">
          <xlrd:rvb i="10162"/>
        </ext>
      </extLst>
    </bk>
    <bk>
      <extLst>
        <ext uri="{3e2802c4-a4d2-4d8b-9148-e3be6c30e623}">
          <xlrd:rvb i="10163"/>
        </ext>
      </extLst>
    </bk>
    <bk>
      <extLst>
        <ext uri="{3e2802c4-a4d2-4d8b-9148-e3be6c30e623}">
          <xlrd:rvb i="10164"/>
        </ext>
      </extLst>
    </bk>
    <bk>
      <extLst>
        <ext uri="{3e2802c4-a4d2-4d8b-9148-e3be6c30e623}">
          <xlrd:rvb i="10165"/>
        </ext>
      </extLst>
    </bk>
    <bk>
      <extLst>
        <ext uri="{3e2802c4-a4d2-4d8b-9148-e3be6c30e623}">
          <xlrd:rvb i="10166"/>
        </ext>
      </extLst>
    </bk>
    <bk>
      <extLst>
        <ext uri="{3e2802c4-a4d2-4d8b-9148-e3be6c30e623}">
          <xlrd:rvb i="10167"/>
        </ext>
      </extLst>
    </bk>
    <bk>
      <extLst>
        <ext uri="{3e2802c4-a4d2-4d8b-9148-e3be6c30e623}">
          <xlrd:rvb i="10168"/>
        </ext>
      </extLst>
    </bk>
    <bk>
      <extLst>
        <ext uri="{3e2802c4-a4d2-4d8b-9148-e3be6c30e623}">
          <xlrd:rvb i="10169"/>
        </ext>
      </extLst>
    </bk>
    <bk>
      <extLst>
        <ext uri="{3e2802c4-a4d2-4d8b-9148-e3be6c30e623}">
          <xlrd:rvb i="10170"/>
        </ext>
      </extLst>
    </bk>
    <bk>
      <extLst>
        <ext uri="{3e2802c4-a4d2-4d8b-9148-e3be6c30e623}">
          <xlrd:rvb i="10171"/>
        </ext>
      </extLst>
    </bk>
    <bk>
      <extLst>
        <ext uri="{3e2802c4-a4d2-4d8b-9148-e3be6c30e623}">
          <xlrd:rvb i="10172"/>
        </ext>
      </extLst>
    </bk>
    <bk>
      <extLst>
        <ext uri="{3e2802c4-a4d2-4d8b-9148-e3be6c30e623}">
          <xlrd:rvb i="10173"/>
        </ext>
      </extLst>
    </bk>
    <bk>
      <extLst>
        <ext uri="{3e2802c4-a4d2-4d8b-9148-e3be6c30e623}">
          <xlrd:rvb i="10174"/>
        </ext>
      </extLst>
    </bk>
    <bk>
      <extLst>
        <ext uri="{3e2802c4-a4d2-4d8b-9148-e3be6c30e623}">
          <xlrd:rvb i="10175"/>
        </ext>
      </extLst>
    </bk>
    <bk>
      <extLst>
        <ext uri="{3e2802c4-a4d2-4d8b-9148-e3be6c30e623}">
          <xlrd:rvb i="10176"/>
        </ext>
      </extLst>
    </bk>
    <bk>
      <extLst>
        <ext uri="{3e2802c4-a4d2-4d8b-9148-e3be6c30e623}">
          <xlrd:rvb i="10177"/>
        </ext>
      </extLst>
    </bk>
    <bk>
      <extLst>
        <ext uri="{3e2802c4-a4d2-4d8b-9148-e3be6c30e623}">
          <xlrd:rvb i="10178"/>
        </ext>
      </extLst>
    </bk>
    <bk>
      <extLst>
        <ext uri="{3e2802c4-a4d2-4d8b-9148-e3be6c30e623}">
          <xlrd:rvb i="10179"/>
        </ext>
      </extLst>
    </bk>
    <bk>
      <extLst>
        <ext uri="{3e2802c4-a4d2-4d8b-9148-e3be6c30e623}">
          <xlrd:rvb i="10180"/>
        </ext>
      </extLst>
    </bk>
    <bk>
      <extLst>
        <ext uri="{3e2802c4-a4d2-4d8b-9148-e3be6c30e623}">
          <xlrd:rvb i="10181"/>
        </ext>
      </extLst>
    </bk>
    <bk>
      <extLst>
        <ext uri="{3e2802c4-a4d2-4d8b-9148-e3be6c30e623}">
          <xlrd:rvb i="10182"/>
        </ext>
      </extLst>
    </bk>
    <bk>
      <extLst>
        <ext uri="{3e2802c4-a4d2-4d8b-9148-e3be6c30e623}">
          <xlrd:rvb i="10183"/>
        </ext>
      </extLst>
    </bk>
    <bk>
      <extLst>
        <ext uri="{3e2802c4-a4d2-4d8b-9148-e3be6c30e623}">
          <xlrd:rvb i="10184"/>
        </ext>
      </extLst>
    </bk>
    <bk>
      <extLst>
        <ext uri="{3e2802c4-a4d2-4d8b-9148-e3be6c30e623}">
          <xlrd:rvb i="10185"/>
        </ext>
      </extLst>
    </bk>
    <bk>
      <extLst>
        <ext uri="{3e2802c4-a4d2-4d8b-9148-e3be6c30e623}">
          <xlrd:rvb i="10186"/>
        </ext>
      </extLst>
    </bk>
    <bk>
      <extLst>
        <ext uri="{3e2802c4-a4d2-4d8b-9148-e3be6c30e623}">
          <xlrd:rvb i="10187"/>
        </ext>
      </extLst>
    </bk>
    <bk>
      <extLst>
        <ext uri="{3e2802c4-a4d2-4d8b-9148-e3be6c30e623}">
          <xlrd:rvb i="10188"/>
        </ext>
      </extLst>
    </bk>
    <bk>
      <extLst>
        <ext uri="{3e2802c4-a4d2-4d8b-9148-e3be6c30e623}">
          <xlrd:rvb i="10189"/>
        </ext>
      </extLst>
    </bk>
    <bk>
      <extLst>
        <ext uri="{3e2802c4-a4d2-4d8b-9148-e3be6c30e623}">
          <xlrd:rvb i="10190"/>
        </ext>
      </extLst>
    </bk>
    <bk>
      <extLst>
        <ext uri="{3e2802c4-a4d2-4d8b-9148-e3be6c30e623}">
          <xlrd:rvb i="10191"/>
        </ext>
      </extLst>
    </bk>
    <bk>
      <extLst>
        <ext uri="{3e2802c4-a4d2-4d8b-9148-e3be6c30e623}">
          <xlrd:rvb i="10192"/>
        </ext>
      </extLst>
    </bk>
    <bk>
      <extLst>
        <ext uri="{3e2802c4-a4d2-4d8b-9148-e3be6c30e623}">
          <xlrd:rvb i="10193"/>
        </ext>
      </extLst>
    </bk>
    <bk>
      <extLst>
        <ext uri="{3e2802c4-a4d2-4d8b-9148-e3be6c30e623}">
          <xlrd:rvb i="10194"/>
        </ext>
      </extLst>
    </bk>
    <bk>
      <extLst>
        <ext uri="{3e2802c4-a4d2-4d8b-9148-e3be6c30e623}">
          <xlrd:rvb i="10195"/>
        </ext>
      </extLst>
    </bk>
    <bk>
      <extLst>
        <ext uri="{3e2802c4-a4d2-4d8b-9148-e3be6c30e623}">
          <xlrd:rvb i="10196"/>
        </ext>
      </extLst>
    </bk>
    <bk>
      <extLst>
        <ext uri="{3e2802c4-a4d2-4d8b-9148-e3be6c30e623}">
          <xlrd:rvb i="10197"/>
        </ext>
      </extLst>
    </bk>
    <bk>
      <extLst>
        <ext uri="{3e2802c4-a4d2-4d8b-9148-e3be6c30e623}">
          <xlrd:rvb i="10198"/>
        </ext>
      </extLst>
    </bk>
    <bk>
      <extLst>
        <ext uri="{3e2802c4-a4d2-4d8b-9148-e3be6c30e623}">
          <xlrd:rvb i="10199"/>
        </ext>
      </extLst>
    </bk>
    <bk>
      <extLst>
        <ext uri="{3e2802c4-a4d2-4d8b-9148-e3be6c30e623}">
          <xlrd:rvb i="10200"/>
        </ext>
      </extLst>
    </bk>
    <bk>
      <extLst>
        <ext uri="{3e2802c4-a4d2-4d8b-9148-e3be6c30e623}">
          <xlrd:rvb i="10201"/>
        </ext>
      </extLst>
    </bk>
    <bk>
      <extLst>
        <ext uri="{3e2802c4-a4d2-4d8b-9148-e3be6c30e623}">
          <xlrd:rvb i="10202"/>
        </ext>
      </extLst>
    </bk>
    <bk>
      <extLst>
        <ext uri="{3e2802c4-a4d2-4d8b-9148-e3be6c30e623}">
          <xlrd:rvb i="10203"/>
        </ext>
      </extLst>
    </bk>
    <bk>
      <extLst>
        <ext uri="{3e2802c4-a4d2-4d8b-9148-e3be6c30e623}">
          <xlrd:rvb i="10204"/>
        </ext>
      </extLst>
    </bk>
    <bk>
      <extLst>
        <ext uri="{3e2802c4-a4d2-4d8b-9148-e3be6c30e623}">
          <xlrd:rvb i="10205"/>
        </ext>
      </extLst>
    </bk>
    <bk>
      <extLst>
        <ext uri="{3e2802c4-a4d2-4d8b-9148-e3be6c30e623}">
          <xlrd:rvb i="10206"/>
        </ext>
      </extLst>
    </bk>
    <bk>
      <extLst>
        <ext uri="{3e2802c4-a4d2-4d8b-9148-e3be6c30e623}">
          <xlrd:rvb i="10207"/>
        </ext>
      </extLst>
    </bk>
    <bk>
      <extLst>
        <ext uri="{3e2802c4-a4d2-4d8b-9148-e3be6c30e623}">
          <xlrd:rvb i="10208"/>
        </ext>
      </extLst>
    </bk>
    <bk>
      <extLst>
        <ext uri="{3e2802c4-a4d2-4d8b-9148-e3be6c30e623}">
          <xlrd:rvb i="10209"/>
        </ext>
      </extLst>
    </bk>
    <bk>
      <extLst>
        <ext uri="{3e2802c4-a4d2-4d8b-9148-e3be6c30e623}">
          <xlrd:rvb i="10210"/>
        </ext>
      </extLst>
    </bk>
    <bk>
      <extLst>
        <ext uri="{3e2802c4-a4d2-4d8b-9148-e3be6c30e623}">
          <xlrd:rvb i="10211"/>
        </ext>
      </extLst>
    </bk>
    <bk>
      <extLst>
        <ext uri="{3e2802c4-a4d2-4d8b-9148-e3be6c30e623}">
          <xlrd:rvb i="10212"/>
        </ext>
      </extLst>
    </bk>
    <bk>
      <extLst>
        <ext uri="{3e2802c4-a4d2-4d8b-9148-e3be6c30e623}">
          <xlrd:rvb i="10213"/>
        </ext>
      </extLst>
    </bk>
    <bk>
      <extLst>
        <ext uri="{3e2802c4-a4d2-4d8b-9148-e3be6c30e623}">
          <xlrd:rvb i="10214"/>
        </ext>
      </extLst>
    </bk>
    <bk>
      <extLst>
        <ext uri="{3e2802c4-a4d2-4d8b-9148-e3be6c30e623}">
          <xlrd:rvb i="10215"/>
        </ext>
      </extLst>
    </bk>
    <bk>
      <extLst>
        <ext uri="{3e2802c4-a4d2-4d8b-9148-e3be6c30e623}">
          <xlrd:rvb i="10216"/>
        </ext>
      </extLst>
    </bk>
    <bk>
      <extLst>
        <ext uri="{3e2802c4-a4d2-4d8b-9148-e3be6c30e623}">
          <xlrd:rvb i="10217"/>
        </ext>
      </extLst>
    </bk>
    <bk>
      <extLst>
        <ext uri="{3e2802c4-a4d2-4d8b-9148-e3be6c30e623}">
          <xlrd:rvb i="10218"/>
        </ext>
      </extLst>
    </bk>
    <bk>
      <extLst>
        <ext uri="{3e2802c4-a4d2-4d8b-9148-e3be6c30e623}">
          <xlrd:rvb i="10219"/>
        </ext>
      </extLst>
    </bk>
    <bk>
      <extLst>
        <ext uri="{3e2802c4-a4d2-4d8b-9148-e3be6c30e623}">
          <xlrd:rvb i="10220"/>
        </ext>
      </extLst>
    </bk>
    <bk>
      <extLst>
        <ext uri="{3e2802c4-a4d2-4d8b-9148-e3be6c30e623}">
          <xlrd:rvb i="10221"/>
        </ext>
      </extLst>
    </bk>
    <bk>
      <extLst>
        <ext uri="{3e2802c4-a4d2-4d8b-9148-e3be6c30e623}">
          <xlrd:rvb i="10222"/>
        </ext>
      </extLst>
    </bk>
    <bk>
      <extLst>
        <ext uri="{3e2802c4-a4d2-4d8b-9148-e3be6c30e623}">
          <xlrd:rvb i="10223"/>
        </ext>
      </extLst>
    </bk>
    <bk>
      <extLst>
        <ext uri="{3e2802c4-a4d2-4d8b-9148-e3be6c30e623}">
          <xlrd:rvb i="10224"/>
        </ext>
      </extLst>
    </bk>
    <bk>
      <extLst>
        <ext uri="{3e2802c4-a4d2-4d8b-9148-e3be6c30e623}">
          <xlrd:rvb i="10225"/>
        </ext>
      </extLst>
    </bk>
    <bk>
      <extLst>
        <ext uri="{3e2802c4-a4d2-4d8b-9148-e3be6c30e623}">
          <xlrd:rvb i="10226"/>
        </ext>
      </extLst>
    </bk>
    <bk>
      <extLst>
        <ext uri="{3e2802c4-a4d2-4d8b-9148-e3be6c30e623}">
          <xlrd:rvb i="10227"/>
        </ext>
      </extLst>
    </bk>
    <bk>
      <extLst>
        <ext uri="{3e2802c4-a4d2-4d8b-9148-e3be6c30e623}">
          <xlrd:rvb i="10228"/>
        </ext>
      </extLst>
    </bk>
    <bk>
      <extLst>
        <ext uri="{3e2802c4-a4d2-4d8b-9148-e3be6c30e623}">
          <xlrd:rvb i="10229"/>
        </ext>
      </extLst>
    </bk>
    <bk>
      <extLst>
        <ext uri="{3e2802c4-a4d2-4d8b-9148-e3be6c30e623}">
          <xlrd:rvb i="10230"/>
        </ext>
      </extLst>
    </bk>
    <bk>
      <extLst>
        <ext uri="{3e2802c4-a4d2-4d8b-9148-e3be6c30e623}">
          <xlrd:rvb i="10231"/>
        </ext>
      </extLst>
    </bk>
    <bk>
      <extLst>
        <ext uri="{3e2802c4-a4d2-4d8b-9148-e3be6c30e623}">
          <xlrd:rvb i="10232"/>
        </ext>
      </extLst>
    </bk>
    <bk>
      <extLst>
        <ext uri="{3e2802c4-a4d2-4d8b-9148-e3be6c30e623}">
          <xlrd:rvb i="10233"/>
        </ext>
      </extLst>
    </bk>
    <bk>
      <extLst>
        <ext uri="{3e2802c4-a4d2-4d8b-9148-e3be6c30e623}">
          <xlrd:rvb i="10234"/>
        </ext>
      </extLst>
    </bk>
    <bk>
      <extLst>
        <ext uri="{3e2802c4-a4d2-4d8b-9148-e3be6c30e623}">
          <xlrd:rvb i="10235"/>
        </ext>
      </extLst>
    </bk>
    <bk>
      <extLst>
        <ext uri="{3e2802c4-a4d2-4d8b-9148-e3be6c30e623}">
          <xlrd:rvb i="10236"/>
        </ext>
      </extLst>
    </bk>
    <bk>
      <extLst>
        <ext uri="{3e2802c4-a4d2-4d8b-9148-e3be6c30e623}">
          <xlrd:rvb i="10237"/>
        </ext>
      </extLst>
    </bk>
    <bk>
      <extLst>
        <ext uri="{3e2802c4-a4d2-4d8b-9148-e3be6c30e623}">
          <xlrd:rvb i="10238"/>
        </ext>
      </extLst>
    </bk>
    <bk>
      <extLst>
        <ext uri="{3e2802c4-a4d2-4d8b-9148-e3be6c30e623}">
          <xlrd:rvb i="10239"/>
        </ext>
      </extLst>
    </bk>
    <bk>
      <extLst>
        <ext uri="{3e2802c4-a4d2-4d8b-9148-e3be6c30e623}">
          <xlrd:rvb i="10240"/>
        </ext>
      </extLst>
    </bk>
    <bk>
      <extLst>
        <ext uri="{3e2802c4-a4d2-4d8b-9148-e3be6c30e623}">
          <xlrd:rvb i="10241"/>
        </ext>
      </extLst>
    </bk>
    <bk>
      <extLst>
        <ext uri="{3e2802c4-a4d2-4d8b-9148-e3be6c30e623}">
          <xlrd:rvb i="10242"/>
        </ext>
      </extLst>
    </bk>
    <bk>
      <extLst>
        <ext uri="{3e2802c4-a4d2-4d8b-9148-e3be6c30e623}">
          <xlrd:rvb i="10243"/>
        </ext>
      </extLst>
    </bk>
    <bk>
      <extLst>
        <ext uri="{3e2802c4-a4d2-4d8b-9148-e3be6c30e623}">
          <xlrd:rvb i="10244"/>
        </ext>
      </extLst>
    </bk>
    <bk>
      <extLst>
        <ext uri="{3e2802c4-a4d2-4d8b-9148-e3be6c30e623}">
          <xlrd:rvb i="10245"/>
        </ext>
      </extLst>
    </bk>
    <bk>
      <extLst>
        <ext uri="{3e2802c4-a4d2-4d8b-9148-e3be6c30e623}">
          <xlrd:rvb i="10246"/>
        </ext>
      </extLst>
    </bk>
    <bk>
      <extLst>
        <ext uri="{3e2802c4-a4d2-4d8b-9148-e3be6c30e623}">
          <xlrd:rvb i="10247"/>
        </ext>
      </extLst>
    </bk>
    <bk>
      <extLst>
        <ext uri="{3e2802c4-a4d2-4d8b-9148-e3be6c30e623}">
          <xlrd:rvb i="10248"/>
        </ext>
      </extLst>
    </bk>
    <bk>
      <extLst>
        <ext uri="{3e2802c4-a4d2-4d8b-9148-e3be6c30e623}">
          <xlrd:rvb i="10249"/>
        </ext>
      </extLst>
    </bk>
    <bk>
      <extLst>
        <ext uri="{3e2802c4-a4d2-4d8b-9148-e3be6c30e623}">
          <xlrd:rvb i="10250"/>
        </ext>
      </extLst>
    </bk>
    <bk>
      <extLst>
        <ext uri="{3e2802c4-a4d2-4d8b-9148-e3be6c30e623}">
          <xlrd:rvb i="10251"/>
        </ext>
      </extLst>
    </bk>
    <bk>
      <extLst>
        <ext uri="{3e2802c4-a4d2-4d8b-9148-e3be6c30e623}">
          <xlrd:rvb i="10252"/>
        </ext>
      </extLst>
    </bk>
    <bk>
      <extLst>
        <ext uri="{3e2802c4-a4d2-4d8b-9148-e3be6c30e623}">
          <xlrd:rvb i="10253"/>
        </ext>
      </extLst>
    </bk>
    <bk>
      <extLst>
        <ext uri="{3e2802c4-a4d2-4d8b-9148-e3be6c30e623}">
          <xlrd:rvb i="10254"/>
        </ext>
      </extLst>
    </bk>
    <bk>
      <extLst>
        <ext uri="{3e2802c4-a4d2-4d8b-9148-e3be6c30e623}">
          <xlrd:rvb i="10255"/>
        </ext>
      </extLst>
    </bk>
    <bk>
      <extLst>
        <ext uri="{3e2802c4-a4d2-4d8b-9148-e3be6c30e623}">
          <xlrd:rvb i="10256"/>
        </ext>
      </extLst>
    </bk>
    <bk>
      <extLst>
        <ext uri="{3e2802c4-a4d2-4d8b-9148-e3be6c30e623}">
          <xlrd:rvb i="10257"/>
        </ext>
      </extLst>
    </bk>
    <bk>
      <extLst>
        <ext uri="{3e2802c4-a4d2-4d8b-9148-e3be6c30e623}">
          <xlrd:rvb i="10258"/>
        </ext>
      </extLst>
    </bk>
    <bk>
      <extLst>
        <ext uri="{3e2802c4-a4d2-4d8b-9148-e3be6c30e623}">
          <xlrd:rvb i="10259"/>
        </ext>
      </extLst>
    </bk>
    <bk>
      <extLst>
        <ext uri="{3e2802c4-a4d2-4d8b-9148-e3be6c30e623}">
          <xlrd:rvb i="10260"/>
        </ext>
      </extLst>
    </bk>
    <bk>
      <extLst>
        <ext uri="{3e2802c4-a4d2-4d8b-9148-e3be6c30e623}">
          <xlrd:rvb i="10261"/>
        </ext>
      </extLst>
    </bk>
    <bk>
      <extLst>
        <ext uri="{3e2802c4-a4d2-4d8b-9148-e3be6c30e623}">
          <xlrd:rvb i="10262"/>
        </ext>
      </extLst>
    </bk>
    <bk>
      <extLst>
        <ext uri="{3e2802c4-a4d2-4d8b-9148-e3be6c30e623}">
          <xlrd:rvb i="10263"/>
        </ext>
      </extLst>
    </bk>
    <bk>
      <extLst>
        <ext uri="{3e2802c4-a4d2-4d8b-9148-e3be6c30e623}">
          <xlrd:rvb i="10264"/>
        </ext>
      </extLst>
    </bk>
    <bk>
      <extLst>
        <ext uri="{3e2802c4-a4d2-4d8b-9148-e3be6c30e623}">
          <xlrd:rvb i="10265"/>
        </ext>
      </extLst>
    </bk>
    <bk>
      <extLst>
        <ext uri="{3e2802c4-a4d2-4d8b-9148-e3be6c30e623}">
          <xlrd:rvb i="10266"/>
        </ext>
      </extLst>
    </bk>
    <bk>
      <extLst>
        <ext uri="{3e2802c4-a4d2-4d8b-9148-e3be6c30e623}">
          <xlrd:rvb i="10267"/>
        </ext>
      </extLst>
    </bk>
    <bk>
      <extLst>
        <ext uri="{3e2802c4-a4d2-4d8b-9148-e3be6c30e623}">
          <xlrd:rvb i="10268"/>
        </ext>
      </extLst>
    </bk>
    <bk>
      <extLst>
        <ext uri="{3e2802c4-a4d2-4d8b-9148-e3be6c30e623}">
          <xlrd:rvb i="10269"/>
        </ext>
      </extLst>
    </bk>
    <bk>
      <extLst>
        <ext uri="{3e2802c4-a4d2-4d8b-9148-e3be6c30e623}">
          <xlrd:rvb i="10270"/>
        </ext>
      </extLst>
    </bk>
    <bk>
      <extLst>
        <ext uri="{3e2802c4-a4d2-4d8b-9148-e3be6c30e623}">
          <xlrd:rvb i="10271"/>
        </ext>
      </extLst>
    </bk>
    <bk>
      <extLst>
        <ext uri="{3e2802c4-a4d2-4d8b-9148-e3be6c30e623}">
          <xlrd:rvb i="10272"/>
        </ext>
      </extLst>
    </bk>
    <bk>
      <extLst>
        <ext uri="{3e2802c4-a4d2-4d8b-9148-e3be6c30e623}">
          <xlrd:rvb i="10273"/>
        </ext>
      </extLst>
    </bk>
    <bk>
      <extLst>
        <ext uri="{3e2802c4-a4d2-4d8b-9148-e3be6c30e623}">
          <xlrd:rvb i="10274"/>
        </ext>
      </extLst>
    </bk>
    <bk>
      <extLst>
        <ext uri="{3e2802c4-a4d2-4d8b-9148-e3be6c30e623}">
          <xlrd:rvb i="10275"/>
        </ext>
      </extLst>
    </bk>
    <bk>
      <extLst>
        <ext uri="{3e2802c4-a4d2-4d8b-9148-e3be6c30e623}">
          <xlrd:rvb i="10276"/>
        </ext>
      </extLst>
    </bk>
    <bk>
      <extLst>
        <ext uri="{3e2802c4-a4d2-4d8b-9148-e3be6c30e623}">
          <xlrd:rvb i="10277"/>
        </ext>
      </extLst>
    </bk>
    <bk>
      <extLst>
        <ext uri="{3e2802c4-a4d2-4d8b-9148-e3be6c30e623}">
          <xlrd:rvb i="10278"/>
        </ext>
      </extLst>
    </bk>
    <bk>
      <extLst>
        <ext uri="{3e2802c4-a4d2-4d8b-9148-e3be6c30e623}">
          <xlrd:rvb i="10279"/>
        </ext>
      </extLst>
    </bk>
    <bk>
      <extLst>
        <ext uri="{3e2802c4-a4d2-4d8b-9148-e3be6c30e623}">
          <xlrd:rvb i="10280"/>
        </ext>
      </extLst>
    </bk>
    <bk>
      <extLst>
        <ext uri="{3e2802c4-a4d2-4d8b-9148-e3be6c30e623}">
          <xlrd:rvb i="10281"/>
        </ext>
      </extLst>
    </bk>
    <bk>
      <extLst>
        <ext uri="{3e2802c4-a4d2-4d8b-9148-e3be6c30e623}">
          <xlrd:rvb i="10282"/>
        </ext>
      </extLst>
    </bk>
    <bk>
      <extLst>
        <ext uri="{3e2802c4-a4d2-4d8b-9148-e3be6c30e623}">
          <xlrd:rvb i="10283"/>
        </ext>
      </extLst>
    </bk>
    <bk>
      <extLst>
        <ext uri="{3e2802c4-a4d2-4d8b-9148-e3be6c30e623}">
          <xlrd:rvb i="10284"/>
        </ext>
      </extLst>
    </bk>
    <bk>
      <extLst>
        <ext uri="{3e2802c4-a4d2-4d8b-9148-e3be6c30e623}">
          <xlrd:rvb i="10285"/>
        </ext>
      </extLst>
    </bk>
    <bk>
      <extLst>
        <ext uri="{3e2802c4-a4d2-4d8b-9148-e3be6c30e623}">
          <xlrd:rvb i="10286"/>
        </ext>
      </extLst>
    </bk>
    <bk>
      <extLst>
        <ext uri="{3e2802c4-a4d2-4d8b-9148-e3be6c30e623}">
          <xlrd:rvb i="10287"/>
        </ext>
      </extLst>
    </bk>
    <bk>
      <extLst>
        <ext uri="{3e2802c4-a4d2-4d8b-9148-e3be6c30e623}">
          <xlrd:rvb i="10288"/>
        </ext>
      </extLst>
    </bk>
    <bk>
      <extLst>
        <ext uri="{3e2802c4-a4d2-4d8b-9148-e3be6c30e623}">
          <xlrd:rvb i="10289"/>
        </ext>
      </extLst>
    </bk>
    <bk>
      <extLst>
        <ext uri="{3e2802c4-a4d2-4d8b-9148-e3be6c30e623}">
          <xlrd:rvb i="10290"/>
        </ext>
      </extLst>
    </bk>
    <bk>
      <extLst>
        <ext uri="{3e2802c4-a4d2-4d8b-9148-e3be6c30e623}">
          <xlrd:rvb i="10291"/>
        </ext>
      </extLst>
    </bk>
    <bk>
      <extLst>
        <ext uri="{3e2802c4-a4d2-4d8b-9148-e3be6c30e623}">
          <xlrd:rvb i="10292"/>
        </ext>
      </extLst>
    </bk>
    <bk>
      <extLst>
        <ext uri="{3e2802c4-a4d2-4d8b-9148-e3be6c30e623}">
          <xlrd:rvb i="10293"/>
        </ext>
      </extLst>
    </bk>
    <bk>
      <extLst>
        <ext uri="{3e2802c4-a4d2-4d8b-9148-e3be6c30e623}">
          <xlrd:rvb i="10294"/>
        </ext>
      </extLst>
    </bk>
    <bk>
      <extLst>
        <ext uri="{3e2802c4-a4d2-4d8b-9148-e3be6c30e623}">
          <xlrd:rvb i="10295"/>
        </ext>
      </extLst>
    </bk>
    <bk>
      <extLst>
        <ext uri="{3e2802c4-a4d2-4d8b-9148-e3be6c30e623}">
          <xlrd:rvb i="10296"/>
        </ext>
      </extLst>
    </bk>
    <bk>
      <extLst>
        <ext uri="{3e2802c4-a4d2-4d8b-9148-e3be6c30e623}">
          <xlrd:rvb i="10297"/>
        </ext>
      </extLst>
    </bk>
    <bk>
      <extLst>
        <ext uri="{3e2802c4-a4d2-4d8b-9148-e3be6c30e623}">
          <xlrd:rvb i="10298"/>
        </ext>
      </extLst>
    </bk>
    <bk>
      <extLst>
        <ext uri="{3e2802c4-a4d2-4d8b-9148-e3be6c30e623}">
          <xlrd:rvb i="10299"/>
        </ext>
      </extLst>
    </bk>
    <bk>
      <extLst>
        <ext uri="{3e2802c4-a4d2-4d8b-9148-e3be6c30e623}">
          <xlrd:rvb i="10300"/>
        </ext>
      </extLst>
    </bk>
    <bk>
      <extLst>
        <ext uri="{3e2802c4-a4d2-4d8b-9148-e3be6c30e623}">
          <xlrd:rvb i="10301"/>
        </ext>
      </extLst>
    </bk>
    <bk>
      <extLst>
        <ext uri="{3e2802c4-a4d2-4d8b-9148-e3be6c30e623}">
          <xlrd:rvb i="10302"/>
        </ext>
      </extLst>
    </bk>
    <bk>
      <extLst>
        <ext uri="{3e2802c4-a4d2-4d8b-9148-e3be6c30e623}">
          <xlrd:rvb i="10303"/>
        </ext>
      </extLst>
    </bk>
    <bk>
      <extLst>
        <ext uri="{3e2802c4-a4d2-4d8b-9148-e3be6c30e623}">
          <xlrd:rvb i="10304"/>
        </ext>
      </extLst>
    </bk>
    <bk>
      <extLst>
        <ext uri="{3e2802c4-a4d2-4d8b-9148-e3be6c30e623}">
          <xlrd:rvb i="10305"/>
        </ext>
      </extLst>
    </bk>
    <bk>
      <extLst>
        <ext uri="{3e2802c4-a4d2-4d8b-9148-e3be6c30e623}">
          <xlrd:rvb i="10306"/>
        </ext>
      </extLst>
    </bk>
    <bk>
      <extLst>
        <ext uri="{3e2802c4-a4d2-4d8b-9148-e3be6c30e623}">
          <xlrd:rvb i="10307"/>
        </ext>
      </extLst>
    </bk>
    <bk>
      <extLst>
        <ext uri="{3e2802c4-a4d2-4d8b-9148-e3be6c30e623}">
          <xlrd:rvb i="10308"/>
        </ext>
      </extLst>
    </bk>
    <bk>
      <extLst>
        <ext uri="{3e2802c4-a4d2-4d8b-9148-e3be6c30e623}">
          <xlrd:rvb i="10309"/>
        </ext>
      </extLst>
    </bk>
    <bk>
      <extLst>
        <ext uri="{3e2802c4-a4d2-4d8b-9148-e3be6c30e623}">
          <xlrd:rvb i="10310"/>
        </ext>
      </extLst>
    </bk>
    <bk>
      <extLst>
        <ext uri="{3e2802c4-a4d2-4d8b-9148-e3be6c30e623}">
          <xlrd:rvb i="10311"/>
        </ext>
      </extLst>
    </bk>
    <bk>
      <extLst>
        <ext uri="{3e2802c4-a4d2-4d8b-9148-e3be6c30e623}">
          <xlrd:rvb i="10312"/>
        </ext>
      </extLst>
    </bk>
    <bk>
      <extLst>
        <ext uri="{3e2802c4-a4d2-4d8b-9148-e3be6c30e623}">
          <xlrd:rvb i="10313"/>
        </ext>
      </extLst>
    </bk>
    <bk>
      <extLst>
        <ext uri="{3e2802c4-a4d2-4d8b-9148-e3be6c30e623}">
          <xlrd:rvb i="10314"/>
        </ext>
      </extLst>
    </bk>
    <bk>
      <extLst>
        <ext uri="{3e2802c4-a4d2-4d8b-9148-e3be6c30e623}">
          <xlrd:rvb i="10315"/>
        </ext>
      </extLst>
    </bk>
    <bk>
      <extLst>
        <ext uri="{3e2802c4-a4d2-4d8b-9148-e3be6c30e623}">
          <xlrd:rvb i="10316"/>
        </ext>
      </extLst>
    </bk>
    <bk>
      <extLst>
        <ext uri="{3e2802c4-a4d2-4d8b-9148-e3be6c30e623}">
          <xlrd:rvb i="10317"/>
        </ext>
      </extLst>
    </bk>
    <bk>
      <extLst>
        <ext uri="{3e2802c4-a4d2-4d8b-9148-e3be6c30e623}">
          <xlrd:rvb i="10318"/>
        </ext>
      </extLst>
    </bk>
    <bk>
      <extLst>
        <ext uri="{3e2802c4-a4d2-4d8b-9148-e3be6c30e623}">
          <xlrd:rvb i="10319"/>
        </ext>
      </extLst>
    </bk>
    <bk>
      <extLst>
        <ext uri="{3e2802c4-a4d2-4d8b-9148-e3be6c30e623}">
          <xlrd:rvb i="10320"/>
        </ext>
      </extLst>
    </bk>
    <bk>
      <extLst>
        <ext uri="{3e2802c4-a4d2-4d8b-9148-e3be6c30e623}">
          <xlrd:rvb i="10321"/>
        </ext>
      </extLst>
    </bk>
    <bk>
      <extLst>
        <ext uri="{3e2802c4-a4d2-4d8b-9148-e3be6c30e623}">
          <xlrd:rvb i="10322"/>
        </ext>
      </extLst>
    </bk>
    <bk>
      <extLst>
        <ext uri="{3e2802c4-a4d2-4d8b-9148-e3be6c30e623}">
          <xlrd:rvb i="10323"/>
        </ext>
      </extLst>
    </bk>
    <bk>
      <extLst>
        <ext uri="{3e2802c4-a4d2-4d8b-9148-e3be6c30e623}">
          <xlrd:rvb i="10324"/>
        </ext>
      </extLst>
    </bk>
    <bk>
      <extLst>
        <ext uri="{3e2802c4-a4d2-4d8b-9148-e3be6c30e623}">
          <xlrd:rvb i="10325"/>
        </ext>
      </extLst>
    </bk>
    <bk>
      <extLst>
        <ext uri="{3e2802c4-a4d2-4d8b-9148-e3be6c30e623}">
          <xlrd:rvb i="10326"/>
        </ext>
      </extLst>
    </bk>
    <bk>
      <extLst>
        <ext uri="{3e2802c4-a4d2-4d8b-9148-e3be6c30e623}">
          <xlrd:rvb i="10327"/>
        </ext>
      </extLst>
    </bk>
    <bk>
      <extLst>
        <ext uri="{3e2802c4-a4d2-4d8b-9148-e3be6c30e623}">
          <xlrd:rvb i="10328"/>
        </ext>
      </extLst>
    </bk>
    <bk>
      <extLst>
        <ext uri="{3e2802c4-a4d2-4d8b-9148-e3be6c30e623}">
          <xlrd:rvb i="10329"/>
        </ext>
      </extLst>
    </bk>
    <bk>
      <extLst>
        <ext uri="{3e2802c4-a4d2-4d8b-9148-e3be6c30e623}">
          <xlrd:rvb i="10330"/>
        </ext>
      </extLst>
    </bk>
    <bk>
      <extLst>
        <ext uri="{3e2802c4-a4d2-4d8b-9148-e3be6c30e623}">
          <xlrd:rvb i="10331"/>
        </ext>
      </extLst>
    </bk>
    <bk>
      <extLst>
        <ext uri="{3e2802c4-a4d2-4d8b-9148-e3be6c30e623}">
          <xlrd:rvb i="10332"/>
        </ext>
      </extLst>
    </bk>
    <bk>
      <extLst>
        <ext uri="{3e2802c4-a4d2-4d8b-9148-e3be6c30e623}">
          <xlrd:rvb i="10333"/>
        </ext>
      </extLst>
    </bk>
    <bk>
      <extLst>
        <ext uri="{3e2802c4-a4d2-4d8b-9148-e3be6c30e623}">
          <xlrd:rvb i="10334"/>
        </ext>
      </extLst>
    </bk>
    <bk>
      <extLst>
        <ext uri="{3e2802c4-a4d2-4d8b-9148-e3be6c30e623}">
          <xlrd:rvb i="10335"/>
        </ext>
      </extLst>
    </bk>
    <bk>
      <extLst>
        <ext uri="{3e2802c4-a4d2-4d8b-9148-e3be6c30e623}">
          <xlrd:rvb i="10336"/>
        </ext>
      </extLst>
    </bk>
    <bk>
      <extLst>
        <ext uri="{3e2802c4-a4d2-4d8b-9148-e3be6c30e623}">
          <xlrd:rvb i="10337"/>
        </ext>
      </extLst>
    </bk>
    <bk>
      <extLst>
        <ext uri="{3e2802c4-a4d2-4d8b-9148-e3be6c30e623}">
          <xlrd:rvb i="10338"/>
        </ext>
      </extLst>
    </bk>
    <bk>
      <extLst>
        <ext uri="{3e2802c4-a4d2-4d8b-9148-e3be6c30e623}">
          <xlrd:rvb i="10339"/>
        </ext>
      </extLst>
    </bk>
    <bk>
      <extLst>
        <ext uri="{3e2802c4-a4d2-4d8b-9148-e3be6c30e623}">
          <xlrd:rvb i="10340"/>
        </ext>
      </extLst>
    </bk>
    <bk>
      <extLst>
        <ext uri="{3e2802c4-a4d2-4d8b-9148-e3be6c30e623}">
          <xlrd:rvb i="10341"/>
        </ext>
      </extLst>
    </bk>
    <bk>
      <extLst>
        <ext uri="{3e2802c4-a4d2-4d8b-9148-e3be6c30e623}">
          <xlrd:rvb i="10342"/>
        </ext>
      </extLst>
    </bk>
    <bk>
      <extLst>
        <ext uri="{3e2802c4-a4d2-4d8b-9148-e3be6c30e623}">
          <xlrd:rvb i="10343"/>
        </ext>
      </extLst>
    </bk>
    <bk>
      <extLst>
        <ext uri="{3e2802c4-a4d2-4d8b-9148-e3be6c30e623}">
          <xlrd:rvb i="10344"/>
        </ext>
      </extLst>
    </bk>
    <bk>
      <extLst>
        <ext uri="{3e2802c4-a4d2-4d8b-9148-e3be6c30e623}">
          <xlrd:rvb i="10345"/>
        </ext>
      </extLst>
    </bk>
    <bk>
      <extLst>
        <ext uri="{3e2802c4-a4d2-4d8b-9148-e3be6c30e623}">
          <xlrd:rvb i="10346"/>
        </ext>
      </extLst>
    </bk>
    <bk>
      <extLst>
        <ext uri="{3e2802c4-a4d2-4d8b-9148-e3be6c30e623}">
          <xlrd:rvb i="10347"/>
        </ext>
      </extLst>
    </bk>
    <bk>
      <extLst>
        <ext uri="{3e2802c4-a4d2-4d8b-9148-e3be6c30e623}">
          <xlrd:rvb i="10348"/>
        </ext>
      </extLst>
    </bk>
    <bk>
      <extLst>
        <ext uri="{3e2802c4-a4d2-4d8b-9148-e3be6c30e623}">
          <xlrd:rvb i="10349"/>
        </ext>
      </extLst>
    </bk>
    <bk>
      <extLst>
        <ext uri="{3e2802c4-a4d2-4d8b-9148-e3be6c30e623}">
          <xlrd:rvb i="10350"/>
        </ext>
      </extLst>
    </bk>
    <bk>
      <extLst>
        <ext uri="{3e2802c4-a4d2-4d8b-9148-e3be6c30e623}">
          <xlrd:rvb i="10351"/>
        </ext>
      </extLst>
    </bk>
    <bk>
      <extLst>
        <ext uri="{3e2802c4-a4d2-4d8b-9148-e3be6c30e623}">
          <xlrd:rvb i="10352"/>
        </ext>
      </extLst>
    </bk>
    <bk>
      <extLst>
        <ext uri="{3e2802c4-a4d2-4d8b-9148-e3be6c30e623}">
          <xlrd:rvb i="10353"/>
        </ext>
      </extLst>
    </bk>
    <bk>
      <extLst>
        <ext uri="{3e2802c4-a4d2-4d8b-9148-e3be6c30e623}">
          <xlrd:rvb i="10354"/>
        </ext>
      </extLst>
    </bk>
    <bk>
      <extLst>
        <ext uri="{3e2802c4-a4d2-4d8b-9148-e3be6c30e623}">
          <xlrd:rvb i="10355"/>
        </ext>
      </extLst>
    </bk>
    <bk>
      <extLst>
        <ext uri="{3e2802c4-a4d2-4d8b-9148-e3be6c30e623}">
          <xlrd:rvb i="10356"/>
        </ext>
      </extLst>
    </bk>
    <bk>
      <extLst>
        <ext uri="{3e2802c4-a4d2-4d8b-9148-e3be6c30e623}">
          <xlrd:rvb i="10357"/>
        </ext>
      </extLst>
    </bk>
    <bk>
      <extLst>
        <ext uri="{3e2802c4-a4d2-4d8b-9148-e3be6c30e623}">
          <xlrd:rvb i="10358"/>
        </ext>
      </extLst>
    </bk>
    <bk>
      <extLst>
        <ext uri="{3e2802c4-a4d2-4d8b-9148-e3be6c30e623}">
          <xlrd:rvb i="10359"/>
        </ext>
      </extLst>
    </bk>
    <bk>
      <extLst>
        <ext uri="{3e2802c4-a4d2-4d8b-9148-e3be6c30e623}">
          <xlrd:rvb i="10360"/>
        </ext>
      </extLst>
    </bk>
    <bk>
      <extLst>
        <ext uri="{3e2802c4-a4d2-4d8b-9148-e3be6c30e623}">
          <xlrd:rvb i="10361"/>
        </ext>
      </extLst>
    </bk>
    <bk>
      <extLst>
        <ext uri="{3e2802c4-a4d2-4d8b-9148-e3be6c30e623}">
          <xlrd:rvb i="10362"/>
        </ext>
      </extLst>
    </bk>
    <bk>
      <extLst>
        <ext uri="{3e2802c4-a4d2-4d8b-9148-e3be6c30e623}">
          <xlrd:rvb i="10363"/>
        </ext>
      </extLst>
    </bk>
    <bk>
      <extLst>
        <ext uri="{3e2802c4-a4d2-4d8b-9148-e3be6c30e623}">
          <xlrd:rvb i="10364"/>
        </ext>
      </extLst>
    </bk>
    <bk>
      <extLst>
        <ext uri="{3e2802c4-a4d2-4d8b-9148-e3be6c30e623}">
          <xlrd:rvb i="10365"/>
        </ext>
      </extLst>
    </bk>
    <bk>
      <extLst>
        <ext uri="{3e2802c4-a4d2-4d8b-9148-e3be6c30e623}">
          <xlrd:rvb i="10366"/>
        </ext>
      </extLst>
    </bk>
    <bk>
      <extLst>
        <ext uri="{3e2802c4-a4d2-4d8b-9148-e3be6c30e623}">
          <xlrd:rvb i="10367"/>
        </ext>
      </extLst>
    </bk>
    <bk>
      <extLst>
        <ext uri="{3e2802c4-a4d2-4d8b-9148-e3be6c30e623}">
          <xlrd:rvb i="10368"/>
        </ext>
      </extLst>
    </bk>
    <bk>
      <extLst>
        <ext uri="{3e2802c4-a4d2-4d8b-9148-e3be6c30e623}">
          <xlrd:rvb i="10369"/>
        </ext>
      </extLst>
    </bk>
    <bk>
      <extLst>
        <ext uri="{3e2802c4-a4d2-4d8b-9148-e3be6c30e623}">
          <xlrd:rvb i="10370"/>
        </ext>
      </extLst>
    </bk>
    <bk>
      <extLst>
        <ext uri="{3e2802c4-a4d2-4d8b-9148-e3be6c30e623}">
          <xlrd:rvb i="10371"/>
        </ext>
      </extLst>
    </bk>
    <bk>
      <extLst>
        <ext uri="{3e2802c4-a4d2-4d8b-9148-e3be6c30e623}">
          <xlrd:rvb i="10372"/>
        </ext>
      </extLst>
    </bk>
    <bk>
      <extLst>
        <ext uri="{3e2802c4-a4d2-4d8b-9148-e3be6c30e623}">
          <xlrd:rvb i="10373"/>
        </ext>
      </extLst>
    </bk>
    <bk>
      <extLst>
        <ext uri="{3e2802c4-a4d2-4d8b-9148-e3be6c30e623}">
          <xlrd:rvb i="10374"/>
        </ext>
      </extLst>
    </bk>
    <bk>
      <extLst>
        <ext uri="{3e2802c4-a4d2-4d8b-9148-e3be6c30e623}">
          <xlrd:rvb i="10375"/>
        </ext>
      </extLst>
    </bk>
    <bk>
      <extLst>
        <ext uri="{3e2802c4-a4d2-4d8b-9148-e3be6c30e623}">
          <xlrd:rvb i="10376"/>
        </ext>
      </extLst>
    </bk>
    <bk>
      <extLst>
        <ext uri="{3e2802c4-a4d2-4d8b-9148-e3be6c30e623}">
          <xlrd:rvb i="10377"/>
        </ext>
      </extLst>
    </bk>
    <bk>
      <extLst>
        <ext uri="{3e2802c4-a4d2-4d8b-9148-e3be6c30e623}">
          <xlrd:rvb i="10378"/>
        </ext>
      </extLst>
    </bk>
    <bk>
      <extLst>
        <ext uri="{3e2802c4-a4d2-4d8b-9148-e3be6c30e623}">
          <xlrd:rvb i="10379"/>
        </ext>
      </extLst>
    </bk>
    <bk>
      <extLst>
        <ext uri="{3e2802c4-a4d2-4d8b-9148-e3be6c30e623}">
          <xlrd:rvb i="10380"/>
        </ext>
      </extLst>
    </bk>
    <bk>
      <extLst>
        <ext uri="{3e2802c4-a4d2-4d8b-9148-e3be6c30e623}">
          <xlrd:rvb i="10381"/>
        </ext>
      </extLst>
    </bk>
    <bk>
      <extLst>
        <ext uri="{3e2802c4-a4d2-4d8b-9148-e3be6c30e623}">
          <xlrd:rvb i="10382"/>
        </ext>
      </extLst>
    </bk>
    <bk>
      <extLst>
        <ext uri="{3e2802c4-a4d2-4d8b-9148-e3be6c30e623}">
          <xlrd:rvb i="10383"/>
        </ext>
      </extLst>
    </bk>
    <bk>
      <extLst>
        <ext uri="{3e2802c4-a4d2-4d8b-9148-e3be6c30e623}">
          <xlrd:rvb i="10384"/>
        </ext>
      </extLst>
    </bk>
    <bk>
      <extLst>
        <ext uri="{3e2802c4-a4d2-4d8b-9148-e3be6c30e623}">
          <xlrd:rvb i="10385"/>
        </ext>
      </extLst>
    </bk>
    <bk>
      <extLst>
        <ext uri="{3e2802c4-a4d2-4d8b-9148-e3be6c30e623}">
          <xlrd:rvb i="10386"/>
        </ext>
      </extLst>
    </bk>
    <bk>
      <extLst>
        <ext uri="{3e2802c4-a4d2-4d8b-9148-e3be6c30e623}">
          <xlrd:rvb i="10387"/>
        </ext>
      </extLst>
    </bk>
    <bk>
      <extLst>
        <ext uri="{3e2802c4-a4d2-4d8b-9148-e3be6c30e623}">
          <xlrd:rvb i="10388"/>
        </ext>
      </extLst>
    </bk>
    <bk>
      <extLst>
        <ext uri="{3e2802c4-a4d2-4d8b-9148-e3be6c30e623}">
          <xlrd:rvb i="10389"/>
        </ext>
      </extLst>
    </bk>
    <bk>
      <extLst>
        <ext uri="{3e2802c4-a4d2-4d8b-9148-e3be6c30e623}">
          <xlrd:rvb i="10390"/>
        </ext>
      </extLst>
    </bk>
    <bk>
      <extLst>
        <ext uri="{3e2802c4-a4d2-4d8b-9148-e3be6c30e623}">
          <xlrd:rvb i="10391"/>
        </ext>
      </extLst>
    </bk>
    <bk>
      <extLst>
        <ext uri="{3e2802c4-a4d2-4d8b-9148-e3be6c30e623}">
          <xlrd:rvb i="10392"/>
        </ext>
      </extLst>
    </bk>
    <bk>
      <extLst>
        <ext uri="{3e2802c4-a4d2-4d8b-9148-e3be6c30e623}">
          <xlrd:rvb i="10393"/>
        </ext>
      </extLst>
    </bk>
    <bk>
      <extLst>
        <ext uri="{3e2802c4-a4d2-4d8b-9148-e3be6c30e623}">
          <xlrd:rvb i="10394"/>
        </ext>
      </extLst>
    </bk>
    <bk>
      <extLst>
        <ext uri="{3e2802c4-a4d2-4d8b-9148-e3be6c30e623}">
          <xlrd:rvb i="10395"/>
        </ext>
      </extLst>
    </bk>
    <bk>
      <extLst>
        <ext uri="{3e2802c4-a4d2-4d8b-9148-e3be6c30e623}">
          <xlrd:rvb i="10396"/>
        </ext>
      </extLst>
    </bk>
    <bk>
      <extLst>
        <ext uri="{3e2802c4-a4d2-4d8b-9148-e3be6c30e623}">
          <xlrd:rvb i="10397"/>
        </ext>
      </extLst>
    </bk>
    <bk>
      <extLst>
        <ext uri="{3e2802c4-a4d2-4d8b-9148-e3be6c30e623}">
          <xlrd:rvb i="10398"/>
        </ext>
      </extLst>
    </bk>
    <bk>
      <extLst>
        <ext uri="{3e2802c4-a4d2-4d8b-9148-e3be6c30e623}">
          <xlrd:rvb i="10399"/>
        </ext>
      </extLst>
    </bk>
    <bk>
      <extLst>
        <ext uri="{3e2802c4-a4d2-4d8b-9148-e3be6c30e623}">
          <xlrd:rvb i="10400"/>
        </ext>
      </extLst>
    </bk>
    <bk>
      <extLst>
        <ext uri="{3e2802c4-a4d2-4d8b-9148-e3be6c30e623}">
          <xlrd:rvb i="10401"/>
        </ext>
      </extLst>
    </bk>
    <bk>
      <extLst>
        <ext uri="{3e2802c4-a4d2-4d8b-9148-e3be6c30e623}">
          <xlrd:rvb i="10402"/>
        </ext>
      </extLst>
    </bk>
    <bk>
      <extLst>
        <ext uri="{3e2802c4-a4d2-4d8b-9148-e3be6c30e623}">
          <xlrd:rvb i="10403"/>
        </ext>
      </extLst>
    </bk>
    <bk>
      <extLst>
        <ext uri="{3e2802c4-a4d2-4d8b-9148-e3be6c30e623}">
          <xlrd:rvb i="10404"/>
        </ext>
      </extLst>
    </bk>
    <bk>
      <extLst>
        <ext uri="{3e2802c4-a4d2-4d8b-9148-e3be6c30e623}">
          <xlrd:rvb i="10405"/>
        </ext>
      </extLst>
    </bk>
    <bk>
      <extLst>
        <ext uri="{3e2802c4-a4d2-4d8b-9148-e3be6c30e623}">
          <xlrd:rvb i="10406"/>
        </ext>
      </extLst>
    </bk>
    <bk>
      <extLst>
        <ext uri="{3e2802c4-a4d2-4d8b-9148-e3be6c30e623}">
          <xlrd:rvb i="10407"/>
        </ext>
      </extLst>
    </bk>
    <bk>
      <extLst>
        <ext uri="{3e2802c4-a4d2-4d8b-9148-e3be6c30e623}">
          <xlrd:rvb i="10408"/>
        </ext>
      </extLst>
    </bk>
    <bk>
      <extLst>
        <ext uri="{3e2802c4-a4d2-4d8b-9148-e3be6c30e623}">
          <xlrd:rvb i="10409"/>
        </ext>
      </extLst>
    </bk>
    <bk>
      <extLst>
        <ext uri="{3e2802c4-a4d2-4d8b-9148-e3be6c30e623}">
          <xlrd:rvb i="10410"/>
        </ext>
      </extLst>
    </bk>
    <bk>
      <extLst>
        <ext uri="{3e2802c4-a4d2-4d8b-9148-e3be6c30e623}">
          <xlrd:rvb i="10411"/>
        </ext>
      </extLst>
    </bk>
    <bk>
      <extLst>
        <ext uri="{3e2802c4-a4d2-4d8b-9148-e3be6c30e623}">
          <xlrd:rvb i="10412"/>
        </ext>
      </extLst>
    </bk>
    <bk>
      <extLst>
        <ext uri="{3e2802c4-a4d2-4d8b-9148-e3be6c30e623}">
          <xlrd:rvb i="10413"/>
        </ext>
      </extLst>
    </bk>
    <bk>
      <extLst>
        <ext uri="{3e2802c4-a4d2-4d8b-9148-e3be6c30e623}">
          <xlrd:rvb i="10414"/>
        </ext>
      </extLst>
    </bk>
    <bk>
      <extLst>
        <ext uri="{3e2802c4-a4d2-4d8b-9148-e3be6c30e623}">
          <xlrd:rvb i="10415"/>
        </ext>
      </extLst>
    </bk>
    <bk>
      <extLst>
        <ext uri="{3e2802c4-a4d2-4d8b-9148-e3be6c30e623}">
          <xlrd:rvb i="10416"/>
        </ext>
      </extLst>
    </bk>
    <bk>
      <extLst>
        <ext uri="{3e2802c4-a4d2-4d8b-9148-e3be6c30e623}">
          <xlrd:rvb i="10417"/>
        </ext>
      </extLst>
    </bk>
    <bk>
      <extLst>
        <ext uri="{3e2802c4-a4d2-4d8b-9148-e3be6c30e623}">
          <xlrd:rvb i="10418"/>
        </ext>
      </extLst>
    </bk>
    <bk>
      <extLst>
        <ext uri="{3e2802c4-a4d2-4d8b-9148-e3be6c30e623}">
          <xlrd:rvb i="10419"/>
        </ext>
      </extLst>
    </bk>
    <bk>
      <extLst>
        <ext uri="{3e2802c4-a4d2-4d8b-9148-e3be6c30e623}">
          <xlrd:rvb i="10420"/>
        </ext>
      </extLst>
    </bk>
    <bk>
      <extLst>
        <ext uri="{3e2802c4-a4d2-4d8b-9148-e3be6c30e623}">
          <xlrd:rvb i="10421"/>
        </ext>
      </extLst>
    </bk>
    <bk>
      <extLst>
        <ext uri="{3e2802c4-a4d2-4d8b-9148-e3be6c30e623}">
          <xlrd:rvb i="10422"/>
        </ext>
      </extLst>
    </bk>
    <bk>
      <extLst>
        <ext uri="{3e2802c4-a4d2-4d8b-9148-e3be6c30e623}">
          <xlrd:rvb i="10423"/>
        </ext>
      </extLst>
    </bk>
    <bk>
      <extLst>
        <ext uri="{3e2802c4-a4d2-4d8b-9148-e3be6c30e623}">
          <xlrd:rvb i="10424"/>
        </ext>
      </extLst>
    </bk>
    <bk>
      <extLst>
        <ext uri="{3e2802c4-a4d2-4d8b-9148-e3be6c30e623}">
          <xlrd:rvb i="10425"/>
        </ext>
      </extLst>
    </bk>
    <bk>
      <extLst>
        <ext uri="{3e2802c4-a4d2-4d8b-9148-e3be6c30e623}">
          <xlrd:rvb i="10426"/>
        </ext>
      </extLst>
    </bk>
    <bk>
      <extLst>
        <ext uri="{3e2802c4-a4d2-4d8b-9148-e3be6c30e623}">
          <xlrd:rvb i="10427"/>
        </ext>
      </extLst>
    </bk>
    <bk>
      <extLst>
        <ext uri="{3e2802c4-a4d2-4d8b-9148-e3be6c30e623}">
          <xlrd:rvb i="10428"/>
        </ext>
      </extLst>
    </bk>
    <bk>
      <extLst>
        <ext uri="{3e2802c4-a4d2-4d8b-9148-e3be6c30e623}">
          <xlrd:rvb i="10429"/>
        </ext>
      </extLst>
    </bk>
    <bk>
      <extLst>
        <ext uri="{3e2802c4-a4d2-4d8b-9148-e3be6c30e623}">
          <xlrd:rvb i="10430"/>
        </ext>
      </extLst>
    </bk>
    <bk>
      <extLst>
        <ext uri="{3e2802c4-a4d2-4d8b-9148-e3be6c30e623}">
          <xlrd:rvb i="10431"/>
        </ext>
      </extLst>
    </bk>
    <bk>
      <extLst>
        <ext uri="{3e2802c4-a4d2-4d8b-9148-e3be6c30e623}">
          <xlrd:rvb i="10432"/>
        </ext>
      </extLst>
    </bk>
    <bk>
      <extLst>
        <ext uri="{3e2802c4-a4d2-4d8b-9148-e3be6c30e623}">
          <xlrd:rvb i="10433"/>
        </ext>
      </extLst>
    </bk>
    <bk>
      <extLst>
        <ext uri="{3e2802c4-a4d2-4d8b-9148-e3be6c30e623}">
          <xlrd:rvb i="10434"/>
        </ext>
      </extLst>
    </bk>
    <bk>
      <extLst>
        <ext uri="{3e2802c4-a4d2-4d8b-9148-e3be6c30e623}">
          <xlrd:rvb i="10435"/>
        </ext>
      </extLst>
    </bk>
    <bk>
      <extLst>
        <ext uri="{3e2802c4-a4d2-4d8b-9148-e3be6c30e623}">
          <xlrd:rvb i="10436"/>
        </ext>
      </extLst>
    </bk>
    <bk>
      <extLst>
        <ext uri="{3e2802c4-a4d2-4d8b-9148-e3be6c30e623}">
          <xlrd:rvb i="10437"/>
        </ext>
      </extLst>
    </bk>
    <bk>
      <extLst>
        <ext uri="{3e2802c4-a4d2-4d8b-9148-e3be6c30e623}">
          <xlrd:rvb i="10438"/>
        </ext>
      </extLst>
    </bk>
    <bk>
      <extLst>
        <ext uri="{3e2802c4-a4d2-4d8b-9148-e3be6c30e623}">
          <xlrd:rvb i="10439"/>
        </ext>
      </extLst>
    </bk>
    <bk>
      <extLst>
        <ext uri="{3e2802c4-a4d2-4d8b-9148-e3be6c30e623}">
          <xlrd:rvb i="10440"/>
        </ext>
      </extLst>
    </bk>
    <bk>
      <extLst>
        <ext uri="{3e2802c4-a4d2-4d8b-9148-e3be6c30e623}">
          <xlrd:rvb i="10441"/>
        </ext>
      </extLst>
    </bk>
    <bk>
      <extLst>
        <ext uri="{3e2802c4-a4d2-4d8b-9148-e3be6c30e623}">
          <xlrd:rvb i="10442"/>
        </ext>
      </extLst>
    </bk>
    <bk>
      <extLst>
        <ext uri="{3e2802c4-a4d2-4d8b-9148-e3be6c30e623}">
          <xlrd:rvb i="10443"/>
        </ext>
      </extLst>
    </bk>
    <bk>
      <extLst>
        <ext uri="{3e2802c4-a4d2-4d8b-9148-e3be6c30e623}">
          <xlrd:rvb i="10444"/>
        </ext>
      </extLst>
    </bk>
    <bk>
      <extLst>
        <ext uri="{3e2802c4-a4d2-4d8b-9148-e3be6c30e623}">
          <xlrd:rvb i="10445"/>
        </ext>
      </extLst>
    </bk>
    <bk>
      <extLst>
        <ext uri="{3e2802c4-a4d2-4d8b-9148-e3be6c30e623}">
          <xlrd:rvb i="10446"/>
        </ext>
      </extLst>
    </bk>
    <bk>
      <extLst>
        <ext uri="{3e2802c4-a4d2-4d8b-9148-e3be6c30e623}">
          <xlrd:rvb i="10447"/>
        </ext>
      </extLst>
    </bk>
    <bk>
      <extLst>
        <ext uri="{3e2802c4-a4d2-4d8b-9148-e3be6c30e623}">
          <xlrd:rvb i="10448"/>
        </ext>
      </extLst>
    </bk>
    <bk>
      <extLst>
        <ext uri="{3e2802c4-a4d2-4d8b-9148-e3be6c30e623}">
          <xlrd:rvb i="10449"/>
        </ext>
      </extLst>
    </bk>
    <bk>
      <extLst>
        <ext uri="{3e2802c4-a4d2-4d8b-9148-e3be6c30e623}">
          <xlrd:rvb i="10450"/>
        </ext>
      </extLst>
    </bk>
    <bk>
      <extLst>
        <ext uri="{3e2802c4-a4d2-4d8b-9148-e3be6c30e623}">
          <xlrd:rvb i="10451"/>
        </ext>
      </extLst>
    </bk>
    <bk>
      <extLst>
        <ext uri="{3e2802c4-a4d2-4d8b-9148-e3be6c30e623}">
          <xlrd:rvb i="10452"/>
        </ext>
      </extLst>
    </bk>
    <bk>
      <extLst>
        <ext uri="{3e2802c4-a4d2-4d8b-9148-e3be6c30e623}">
          <xlrd:rvb i="10453"/>
        </ext>
      </extLst>
    </bk>
    <bk>
      <extLst>
        <ext uri="{3e2802c4-a4d2-4d8b-9148-e3be6c30e623}">
          <xlrd:rvb i="10454"/>
        </ext>
      </extLst>
    </bk>
    <bk>
      <extLst>
        <ext uri="{3e2802c4-a4d2-4d8b-9148-e3be6c30e623}">
          <xlrd:rvb i="10455"/>
        </ext>
      </extLst>
    </bk>
    <bk>
      <extLst>
        <ext uri="{3e2802c4-a4d2-4d8b-9148-e3be6c30e623}">
          <xlrd:rvb i="10456"/>
        </ext>
      </extLst>
    </bk>
    <bk>
      <extLst>
        <ext uri="{3e2802c4-a4d2-4d8b-9148-e3be6c30e623}">
          <xlrd:rvb i="10457"/>
        </ext>
      </extLst>
    </bk>
    <bk>
      <extLst>
        <ext uri="{3e2802c4-a4d2-4d8b-9148-e3be6c30e623}">
          <xlrd:rvb i="10458"/>
        </ext>
      </extLst>
    </bk>
    <bk>
      <extLst>
        <ext uri="{3e2802c4-a4d2-4d8b-9148-e3be6c30e623}">
          <xlrd:rvb i="10459"/>
        </ext>
      </extLst>
    </bk>
    <bk>
      <extLst>
        <ext uri="{3e2802c4-a4d2-4d8b-9148-e3be6c30e623}">
          <xlrd:rvb i="10460"/>
        </ext>
      </extLst>
    </bk>
    <bk>
      <extLst>
        <ext uri="{3e2802c4-a4d2-4d8b-9148-e3be6c30e623}">
          <xlrd:rvb i="10461"/>
        </ext>
      </extLst>
    </bk>
    <bk>
      <extLst>
        <ext uri="{3e2802c4-a4d2-4d8b-9148-e3be6c30e623}">
          <xlrd:rvb i="10462"/>
        </ext>
      </extLst>
    </bk>
    <bk>
      <extLst>
        <ext uri="{3e2802c4-a4d2-4d8b-9148-e3be6c30e623}">
          <xlrd:rvb i="10463"/>
        </ext>
      </extLst>
    </bk>
    <bk>
      <extLst>
        <ext uri="{3e2802c4-a4d2-4d8b-9148-e3be6c30e623}">
          <xlrd:rvb i="10464"/>
        </ext>
      </extLst>
    </bk>
    <bk>
      <extLst>
        <ext uri="{3e2802c4-a4d2-4d8b-9148-e3be6c30e623}">
          <xlrd:rvb i="10465"/>
        </ext>
      </extLst>
    </bk>
    <bk>
      <extLst>
        <ext uri="{3e2802c4-a4d2-4d8b-9148-e3be6c30e623}">
          <xlrd:rvb i="10466"/>
        </ext>
      </extLst>
    </bk>
    <bk>
      <extLst>
        <ext uri="{3e2802c4-a4d2-4d8b-9148-e3be6c30e623}">
          <xlrd:rvb i="10467"/>
        </ext>
      </extLst>
    </bk>
    <bk>
      <extLst>
        <ext uri="{3e2802c4-a4d2-4d8b-9148-e3be6c30e623}">
          <xlrd:rvb i="10468"/>
        </ext>
      </extLst>
    </bk>
    <bk>
      <extLst>
        <ext uri="{3e2802c4-a4d2-4d8b-9148-e3be6c30e623}">
          <xlrd:rvb i="10469"/>
        </ext>
      </extLst>
    </bk>
    <bk>
      <extLst>
        <ext uri="{3e2802c4-a4d2-4d8b-9148-e3be6c30e623}">
          <xlrd:rvb i="10470"/>
        </ext>
      </extLst>
    </bk>
    <bk>
      <extLst>
        <ext uri="{3e2802c4-a4d2-4d8b-9148-e3be6c30e623}">
          <xlrd:rvb i="10471"/>
        </ext>
      </extLst>
    </bk>
    <bk>
      <extLst>
        <ext uri="{3e2802c4-a4d2-4d8b-9148-e3be6c30e623}">
          <xlrd:rvb i="10472"/>
        </ext>
      </extLst>
    </bk>
    <bk>
      <extLst>
        <ext uri="{3e2802c4-a4d2-4d8b-9148-e3be6c30e623}">
          <xlrd:rvb i="10473"/>
        </ext>
      </extLst>
    </bk>
    <bk>
      <extLst>
        <ext uri="{3e2802c4-a4d2-4d8b-9148-e3be6c30e623}">
          <xlrd:rvb i="10474"/>
        </ext>
      </extLst>
    </bk>
    <bk>
      <extLst>
        <ext uri="{3e2802c4-a4d2-4d8b-9148-e3be6c30e623}">
          <xlrd:rvb i="10475"/>
        </ext>
      </extLst>
    </bk>
    <bk>
      <extLst>
        <ext uri="{3e2802c4-a4d2-4d8b-9148-e3be6c30e623}">
          <xlrd:rvb i="10476"/>
        </ext>
      </extLst>
    </bk>
    <bk>
      <extLst>
        <ext uri="{3e2802c4-a4d2-4d8b-9148-e3be6c30e623}">
          <xlrd:rvb i="10477"/>
        </ext>
      </extLst>
    </bk>
    <bk>
      <extLst>
        <ext uri="{3e2802c4-a4d2-4d8b-9148-e3be6c30e623}">
          <xlrd:rvb i="10478"/>
        </ext>
      </extLst>
    </bk>
    <bk>
      <extLst>
        <ext uri="{3e2802c4-a4d2-4d8b-9148-e3be6c30e623}">
          <xlrd:rvb i="10479"/>
        </ext>
      </extLst>
    </bk>
    <bk>
      <extLst>
        <ext uri="{3e2802c4-a4d2-4d8b-9148-e3be6c30e623}">
          <xlrd:rvb i="10480"/>
        </ext>
      </extLst>
    </bk>
    <bk>
      <extLst>
        <ext uri="{3e2802c4-a4d2-4d8b-9148-e3be6c30e623}">
          <xlrd:rvb i="10481"/>
        </ext>
      </extLst>
    </bk>
    <bk>
      <extLst>
        <ext uri="{3e2802c4-a4d2-4d8b-9148-e3be6c30e623}">
          <xlrd:rvb i="10482"/>
        </ext>
      </extLst>
    </bk>
    <bk>
      <extLst>
        <ext uri="{3e2802c4-a4d2-4d8b-9148-e3be6c30e623}">
          <xlrd:rvb i="10483"/>
        </ext>
      </extLst>
    </bk>
    <bk>
      <extLst>
        <ext uri="{3e2802c4-a4d2-4d8b-9148-e3be6c30e623}">
          <xlrd:rvb i="10484"/>
        </ext>
      </extLst>
    </bk>
    <bk>
      <extLst>
        <ext uri="{3e2802c4-a4d2-4d8b-9148-e3be6c30e623}">
          <xlrd:rvb i="10485"/>
        </ext>
      </extLst>
    </bk>
    <bk>
      <extLst>
        <ext uri="{3e2802c4-a4d2-4d8b-9148-e3be6c30e623}">
          <xlrd:rvb i="10486"/>
        </ext>
      </extLst>
    </bk>
    <bk>
      <extLst>
        <ext uri="{3e2802c4-a4d2-4d8b-9148-e3be6c30e623}">
          <xlrd:rvb i="10487"/>
        </ext>
      </extLst>
    </bk>
    <bk>
      <extLst>
        <ext uri="{3e2802c4-a4d2-4d8b-9148-e3be6c30e623}">
          <xlrd:rvb i="10488"/>
        </ext>
      </extLst>
    </bk>
    <bk>
      <extLst>
        <ext uri="{3e2802c4-a4d2-4d8b-9148-e3be6c30e623}">
          <xlrd:rvb i="10489"/>
        </ext>
      </extLst>
    </bk>
    <bk>
      <extLst>
        <ext uri="{3e2802c4-a4d2-4d8b-9148-e3be6c30e623}">
          <xlrd:rvb i="10490"/>
        </ext>
      </extLst>
    </bk>
    <bk>
      <extLst>
        <ext uri="{3e2802c4-a4d2-4d8b-9148-e3be6c30e623}">
          <xlrd:rvb i="10491"/>
        </ext>
      </extLst>
    </bk>
    <bk>
      <extLst>
        <ext uri="{3e2802c4-a4d2-4d8b-9148-e3be6c30e623}">
          <xlrd:rvb i="10492"/>
        </ext>
      </extLst>
    </bk>
    <bk>
      <extLst>
        <ext uri="{3e2802c4-a4d2-4d8b-9148-e3be6c30e623}">
          <xlrd:rvb i="10493"/>
        </ext>
      </extLst>
    </bk>
    <bk>
      <extLst>
        <ext uri="{3e2802c4-a4d2-4d8b-9148-e3be6c30e623}">
          <xlrd:rvb i="10494"/>
        </ext>
      </extLst>
    </bk>
    <bk>
      <extLst>
        <ext uri="{3e2802c4-a4d2-4d8b-9148-e3be6c30e623}">
          <xlrd:rvb i="10495"/>
        </ext>
      </extLst>
    </bk>
    <bk>
      <extLst>
        <ext uri="{3e2802c4-a4d2-4d8b-9148-e3be6c30e623}">
          <xlrd:rvb i="10496"/>
        </ext>
      </extLst>
    </bk>
    <bk>
      <extLst>
        <ext uri="{3e2802c4-a4d2-4d8b-9148-e3be6c30e623}">
          <xlrd:rvb i="10497"/>
        </ext>
      </extLst>
    </bk>
    <bk>
      <extLst>
        <ext uri="{3e2802c4-a4d2-4d8b-9148-e3be6c30e623}">
          <xlrd:rvb i="10498"/>
        </ext>
      </extLst>
    </bk>
    <bk>
      <extLst>
        <ext uri="{3e2802c4-a4d2-4d8b-9148-e3be6c30e623}">
          <xlrd:rvb i="10499"/>
        </ext>
      </extLst>
    </bk>
    <bk>
      <extLst>
        <ext uri="{3e2802c4-a4d2-4d8b-9148-e3be6c30e623}">
          <xlrd:rvb i="10500"/>
        </ext>
      </extLst>
    </bk>
    <bk>
      <extLst>
        <ext uri="{3e2802c4-a4d2-4d8b-9148-e3be6c30e623}">
          <xlrd:rvb i="10501"/>
        </ext>
      </extLst>
    </bk>
    <bk>
      <extLst>
        <ext uri="{3e2802c4-a4d2-4d8b-9148-e3be6c30e623}">
          <xlrd:rvb i="10502"/>
        </ext>
      </extLst>
    </bk>
    <bk>
      <extLst>
        <ext uri="{3e2802c4-a4d2-4d8b-9148-e3be6c30e623}">
          <xlrd:rvb i="10503"/>
        </ext>
      </extLst>
    </bk>
    <bk>
      <extLst>
        <ext uri="{3e2802c4-a4d2-4d8b-9148-e3be6c30e623}">
          <xlrd:rvb i="10504"/>
        </ext>
      </extLst>
    </bk>
    <bk>
      <extLst>
        <ext uri="{3e2802c4-a4d2-4d8b-9148-e3be6c30e623}">
          <xlrd:rvb i="10505"/>
        </ext>
      </extLst>
    </bk>
    <bk>
      <extLst>
        <ext uri="{3e2802c4-a4d2-4d8b-9148-e3be6c30e623}">
          <xlrd:rvb i="10506"/>
        </ext>
      </extLst>
    </bk>
    <bk>
      <extLst>
        <ext uri="{3e2802c4-a4d2-4d8b-9148-e3be6c30e623}">
          <xlrd:rvb i="10507"/>
        </ext>
      </extLst>
    </bk>
    <bk>
      <extLst>
        <ext uri="{3e2802c4-a4d2-4d8b-9148-e3be6c30e623}">
          <xlrd:rvb i="10508"/>
        </ext>
      </extLst>
    </bk>
    <bk>
      <extLst>
        <ext uri="{3e2802c4-a4d2-4d8b-9148-e3be6c30e623}">
          <xlrd:rvb i="10509"/>
        </ext>
      </extLst>
    </bk>
    <bk>
      <extLst>
        <ext uri="{3e2802c4-a4d2-4d8b-9148-e3be6c30e623}">
          <xlrd:rvb i="10510"/>
        </ext>
      </extLst>
    </bk>
    <bk>
      <extLst>
        <ext uri="{3e2802c4-a4d2-4d8b-9148-e3be6c30e623}">
          <xlrd:rvb i="10511"/>
        </ext>
      </extLst>
    </bk>
    <bk>
      <extLst>
        <ext uri="{3e2802c4-a4d2-4d8b-9148-e3be6c30e623}">
          <xlrd:rvb i="10512"/>
        </ext>
      </extLst>
    </bk>
    <bk>
      <extLst>
        <ext uri="{3e2802c4-a4d2-4d8b-9148-e3be6c30e623}">
          <xlrd:rvb i="10513"/>
        </ext>
      </extLst>
    </bk>
    <bk>
      <extLst>
        <ext uri="{3e2802c4-a4d2-4d8b-9148-e3be6c30e623}">
          <xlrd:rvb i="10514"/>
        </ext>
      </extLst>
    </bk>
    <bk>
      <extLst>
        <ext uri="{3e2802c4-a4d2-4d8b-9148-e3be6c30e623}">
          <xlrd:rvb i="10515"/>
        </ext>
      </extLst>
    </bk>
    <bk>
      <extLst>
        <ext uri="{3e2802c4-a4d2-4d8b-9148-e3be6c30e623}">
          <xlrd:rvb i="10516"/>
        </ext>
      </extLst>
    </bk>
    <bk>
      <extLst>
        <ext uri="{3e2802c4-a4d2-4d8b-9148-e3be6c30e623}">
          <xlrd:rvb i="10517"/>
        </ext>
      </extLst>
    </bk>
    <bk>
      <extLst>
        <ext uri="{3e2802c4-a4d2-4d8b-9148-e3be6c30e623}">
          <xlrd:rvb i="10518"/>
        </ext>
      </extLst>
    </bk>
    <bk>
      <extLst>
        <ext uri="{3e2802c4-a4d2-4d8b-9148-e3be6c30e623}">
          <xlrd:rvb i="10519"/>
        </ext>
      </extLst>
    </bk>
    <bk>
      <extLst>
        <ext uri="{3e2802c4-a4d2-4d8b-9148-e3be6c30e623}">
          <xlrd:rvb i="10520"/>
        </ext>
      </extLst>
    </bk>
    <bk>
      <extLst>
        <ext uri="{3e2802c4-a4d2-4d8b-9148-e3be6c30e623}">
          <xlrd:rvb i="10521"/>
        </ext>
      </extLst>
    </bk>
    <bk>
      <extLst>
        <ext uri="{3e2802c4-a4d2-4d8b-9148-e3be6c30e623}">
          <xlrd:rvb i="10522"/>
        </ext>
      </extLst>
    </bk>
    <bk>
      <extLst>
        <ext uri="{3e2802c4-a4d2-4d8b-9148-e3be6c30e623}">
          <xlrd:rvb i="10523"/>
        </ext>
      </extLst>
    </bk>
    <bk>
      <extLst>
        <ext uri="{3e2802c4-a4d2-4d8b-9148-e3be6c30e623}">
          <xlrd:rvb i="10524"/>
        </ext>
      </extLst>
    </bk>
    <bk>
      <extLst>
        <ext uri="{3e2802c4-a4d2-4d8b-9148-e3be6c30e623}">
          <xlrd:rvb i="10525"/>
        </ext>
      </extLst>
    </bk>
    <bk>
      <extLst>
        <ext uri="{3e2802c4-a4d2-4d8b-9148-e3be6c30e623}">
          <xlrd:rvb i="10526"/>
        </ext>
      </extLst>
    </bk>
    <bk>
      <extLst>
        <ext uri="{3e2802c4-a4d2-4d8b-9148-e3be6c30e623}">
          <xlrd:rvb i="10527"/>
        </ext>
      </extLst>
    </bk>
    <bk>
      <extLst>
        <ext uri="{3e2802c4-a4d2-4d8b-9148-e3be6c30e623}">
          <xlrd:rvb i="10528"/>
        </ext>
      </extLst>
    </bk>
    <bk>
      <extLst>
        <ext uri="{3e2802c4-a4d2-4d8b-9148-e3be6c30e623}">
          <xlrd:rvb i="10529"/>
        </ext>
      </extLst>
    </bk>
    <bk>
      <extLst>
        <ext uri="{3e2802c4-a4d2-4d8b-9148-e3be6c30e623}">
          <xlrd:rvb i="10530"/>
        </ext>
      </extLst>
    </bk>
    <bk>
      <extLst>
        <ext uri="{3e2802c4-a4d2-4d8b-9148-e3be6c30e623}">
          <xlrd:rvb i="10531"/>
        </ext>
      </extLst>
    </bk>
    <bk>
      <extLst>
        <ext uri="{3e2802c4-a4d2-4d8b-9148-e3be6c30e623}">
          <xlrd:rvb i="10532"/>
        </ext>
      </extLst>
    </bk>
    <bk>
      <extLst>
        <ext uri="{3e2802c4-a4d2-4d8b-9148-e3be6c30e623}">
          <xlrd:rvb i="10533"/>
        </ext>
      </extLst>
    </bk>
    <bk>
      <extLst>
        <ext uri="{3e2802c4-a4d2-4d8b-9148-e3be6c30e623}">
          <xlrd:rvb i="10534"/>
        </ext>
      </extLst>
    </bk>
    <bk>
      <extLst>
        <ext uri="{3e2802c4-a4d2-4d8b-9148-e3be6c30e623}">
          <xlrd:rvb i="10535"/>
        </ext>
      </extLst>
    </bk>
    <bk>
      <extLst>
        <ext uri="{3e2802c4-a4d2-4d8b-9148-e3be6c30e623}">
          <xlrd:rvb i="10536"/>
        </ext>
      </extLst>
    </bk>
    <bk>
      <extLst>
        <ext uri="{3e2802c4-a4d2-4d8b-9148-e3be6c30e623}">
          <xlrd:rvb i="10537"/>
        </ext>
      </extLst>
    </bk>
    <bk>
      <extLst>
        <ext uri="{3e2802c4-a4d2-4d8b-9148-e3be6c30e623}">
          <xlrd:rvb i="10538"/>
        </ext>
      </extLst>
    </bk>
    <bk>
      <extLst>
        <ext uri="{3e2802c4-a4d2-4d8b-9148-e3be6c30e623}">
          <xlrd:rvb i="10539"/>
        </ext>
      </extLst>
    </bk>
    <bk>
      <extLst>
        <ext uri="{3e2802c4-a4d2-4d8b-9148-e3be6c30e623}">
          <xlrd:rvb i="10540"/>
        </ext>
      </extLst>
    </bk>
    <bk>
      <extLst>
        <ext uri="{3e2802c4-a4d2-4d8b-9148-e3be6c30e623}">
          <xlrd:rvb i="10541"/>
        </ext>
      </extLst>
    </bk>
    <bk>
      <extLst>
        <ext uri="{3e2802c4-a4d2-4d8b-9148-e3be6c30e623}">
          <xlrd:rvb i="10542"/>
        </ext>
      </extLst>
    </bk>
    <bk>
      <extLst>
        <ext uri="{3e2802c4-a4d2-4d8b-9148-e3be6c30e623}">
          <xlrd:rvb i="10543"/>
        </ext>
      </extLst>
    </bk>
    <bk>
      <extLst>
        <ext uri="{3e2802c4-a4d2-4d8b-9148-e3be6c30e623}">
          <xlrd:rvb i="10544"/>
        </ext>
      </extLst>
    </bk>
    <bk>
      <extLst>
        <ext uri="{3e2802c4-a4d2-4d8b-9148-e3be6c30e623}">
          <xlrd:rvb i="10545"/>
        </ext>
      </extLst>
    </bk>
    <bk>
      <extLst>
        <ext uri="{3e2802c4-a4d2-4d8b-9148-e3be6c30e623}">
          <xlrd:rvb i="10546"/>
        </ext>
      </extLst>
    </bk>
    <bk>
      <extLst>
        <ext uri="{3e2802c4-a4d2-4d8b-9148-e3be6c30e623}">
          <xlrd:rvb i="10547"/>
        </ext>
      </extLst>
    </bk>
    <bk>
      <extLst>
        <ext uri="{3e2802c4-a4d2-4d8b-9148-e3be6c30e623}">
          <xlrd:rvb i="10548"/>
        </ext>
      </extLst>
    </bk>
    <bk>
      <extLst>
        <ext uri="{3e2802c4-a4d2-4d8b-9148-e3be6c30e623}">
          <xlrd:rvb i="10549"/>
        </ext>
      </extLst>
    </bk>
    <bk>
      <extLst>
        <ext uri="{3e2802c4-a4d2-4d8b-9148-e3be6c30e623}">
          <xlrd:rvb i="10550"/>
        </ext>
      </extLst>
    </bk>
    <bk>
      <extLst>
        <ext uri="{3e2802c4-a4d2-4d8b-9148-e3be6c30e623}">
          <xlrd:rvb i="10551"/>
        </ext>
      </extLst>
    </bk>
    <bk>
      <extLst>
        <ext uri="{3e2802c4-a4d2-4d8b-9148-e3be6c30e623}">
          <xlrd:rvb i="10552"/>
        </ext>
      </extLst>
    </bk>
    <bk>
      <extLst>
        <ext uri="{3e2802c4-a4d2-4d8b-9148-e3be6c30e623}">
          <xlrd:rvb i="10553"/>
        </ext>
      </extLst>
    </bk>
    <bk>
      <extLst>
        <ext uri="{3e2802c4-a4d2-4d8b-9148-e3be6c30e623}">
          <xlrd:rvb i="10554"/>
        </ext>
      </extLst>
    </bk>
    <bk>
      <extLst>
        <ext uri="{3e2802c4-a4d2-4d8b-9148-e3be6c30e623}">
          <xlrd:rvb i="10555"/>
        </ext>
      </extLst>
    </bk>
    <bk>
      <extLst>
        <ext uri="{3e2802c4-a4d2-4d8b-9148-e3be6c30e623}">
          <xlrd:rvb i="10556"/>
        </ext>
      </extLst>
    </bk>
    <bk>
      <extLst>
        <ext uri="{3e2802c4-a4d2-4d8b-9148-e3be6c30e623}">
          <xlrd:rvb i="10557"/>
        </ext>
      </extLst>
    </bk>
    <bk>
      <extLst>
        <ext uri="{3e2802c4-a4d2-4d8b-9148-e3be6c30e623}">
          <xlrd:rvb i="10558"/>
        </ext>
      </extLst>
    </bk>
    <bk>
      <extLst>
        <ext uri="{3e2802c4-a4d2-4d8b-9148-e3be6c30e623}">
          <xlrd:rvb i="10559"/>
        </ext>
      </extLst>
    </bk>
    <bk>
      <extLst>
        <ext uri="{3e2802c4-a4d2-4d8b-9148-e3be6c30e623}">
          <xlrd:rvb i="10560"/>
        </ext>
      </extLst>
    </bk>
    <bk>
      <extLst>
        <ext uri="{3e2802c4-a4d2-4d8b-9148-e3be6c30e623}">
          <xlrd:rvb i="10561"/>
        </ext>
      </extLst>
    </bk>
    <bk>
      <extLst>
        <ext uri="{3e2802c4-a4d2-4d8b-9148-e3be6c30e623}">
          <xlrd:rvb i="10562"/>
        </ext>
      </extLst>
    </bk>
    <bk>
      <extLst>
        <ext uri="{3e2802c4-a4d2-4d8b-9148-e3be6c30e623}">
          <xlrd:rvb i="10563"/>
        </ext>
      </extLst>
    </bk>
    <bk>
      <extLst>
        <ext uri="{3e2802c4-a4d2-4d8b-9148-e3be6c30e623}">
          <xlrd:rvb i="10564"/>
        </ext>
      </extLst>
    </bk>
    <bk>
      <extLst>
        <ext uri="{3e2802c4-a4d2-4d8b-9148-e3be6c30e623}">
          <xlrd:rvb i="10565"/>
        </ext>
      </extLst>
    </bk>
    <bk>
      <extLst>
        <ext uri="{3e2802c4-a4d2-4d8b-9148-e3be6c30e623}">
          <xlrd:rvb i="10566"/>
        </ext>
      </extLst>
    </bk>
    <bk>
      <extLst>
        <ext uri="{3e2802c4-a4d2-4d8b-9148-e3be6c30e623}">
          <xlrd:rvb i="10567"/>
        </ext>
      </extLst>
    </bk>
    <bk>
      <extLst>
        <ext uri="{3e2802c4-a4d2-4d8b-9148-e3be6c30e623}">
          <xlrd:rvb i="10568"/>
        </ext>
      </extLst>
    </bk>
    <bk>
      <extLst>
        <ext uri="{3e2802c4-a4d2-4d8b-9148-e3be6c30e623}">
          <xlrd:rvb i="10569"/>
        </ext>
      </extLst>
    </bk>
    <bk>
      <extLst>
        <ext uri="{3e2802c4-a4d2-4d8b-9148-e3be6c30e623}">
          <xlrd:rvb i="10570"/>
        </ext>
      </extLst>
    </bk>
    <bk>
      <extLst>
        <ext uri="{3e2802c4-a4d2-4d8b-9148-e3be6c30e623}">
          <xlrd:rvb i="10571"/>
        </ext>
      </extLst>
    </bk>
    <bk>
      <extLst>
        <ext uri="{3e2802c4-a4d2-4d8b-9148-e3be6c30e623}">
          <xlrd:rvb i="10572"/>
        </ext>
      </extLst>
    </bk>
    <bk>
      <extLst>
        <ext uri="{3e2802c4-a4d2-4d8b-9148-e3be6c30e623}">
          <xlrd:rvb i="10573"/>
        </ext>
      </extLst>
    </bk>
    <bk>
      <extLst>
        <ext uri="{3e2802c4-a4d2-4d8b-9148-e3be6c30e623}">
          <xlrd:rvb i="10574"/>
        </ext>
      </extLst>
    </bk>
    <bk>
      <extLst>
        <ext uri="{3e2802c4-a4d2-4d8b-9148-e3be6c30e623}">
          <xlrd:rvb i="10575"/>
        </ext>
      </extLst>
    </bk>
    <bk>
      <extLst>
        <ext uri="{3e2802c4-a4d2-4d8b-9148-e3be6c30e623}">
          <xlrd:rvb i="10576"/>
        </ext>
      </extLst>
    </bk>
    <bk>
      <extLst>
        <ext uri="{3e2802c4-a4d2-4d8b-9148-e3be6c30e623}">
          <xlrd:rvb i="10577"/>
        </ext>
      </extLst>
    </bk>
    <bk>
      <extLst>
        <ext uri="{3e2802c4-a4d2-4d8b-9148-e3be6c30e623}">
          <xlrd:rvb i="10578"/>
        </ext>
      </extLst>
    </bk>
    <bk>
      <extLst>
        <ext uri="{3e2802c4-a4d2-4d8b-9148-e3be6c30e623}">
          <xlrd:rvb i="10579"/>
        </ext>
      </extLst>
    </bk>
    <bk>
      <extLst>
        <ext uri="{3e2802c4-a4d2-4d8b-9148-e3be6c30e623}">
          <xlrd:rvb i="10580"/>
        </ext>
      </extLst>
    </bk>
    <bk>
      <extLst>
        <ext uri="{3e2802c4-a4d2-4d8b-9148-e3be6c30e623}">
          <xlrd:rvb i="10581"/>
        </ext>
      </extLst>
    </bk>
    <bk>
      <extLst>
        <ext uri="{3e2802c4-a4d2-4d8b-9148-e3be6c30e623}">
          <xlrd:rvb i="10582"/>
        </ext>
      </extLst>
    </bk>
    <bk>
      <extLst>
        <ext uri="{3e2802c4-a4d2-4d8b-9148-e3be6c30e623}">
          <xlrd:rvb i="10583"/>
        </ext>
      </extLst>
    </bk>
    <bk>
      <extLst>
        <ext uri="{3e2802c4-a4d2-4d8b-9148-e3be6c30e623}">
          <xlrd:rvb i="10584"/>
        </ext>
      </extLst>
    </bk>
    <bk>
      <extLst>
        <ext uri="{3e2802c4-a4d2-4d8b-9148-e3be6c30e623}">
          <xlrd:rvb i="10585"/>
        </ext>
      </extLst>
    </bk>
    <bk>
      <extLst>
        <ext uri="{3e2802c4-a4d2-4d8b-9148-e3be6c30e623}">
          <xlrd:rvb i="10586"/>
        </ext>
      </extLst>
    </bk>
    <bk>
      <extLst>
        <ext uri="{3e2802c4-a4d2-4d8b-9148-e3be6c30e623}">
          <xlrd:rvb i="10587"/>
        </ext>
      </extLst>
    </bk>
    <bk>
      <extLst>
        <ext uri="{3e2802c4-a4d2-4d8b-9148-e3be6c30e623}">
          <xlrd:rvb i="10588"/>
        </ext>
      </extLst>
    </bk>
    <bk>
      <extLst>
        <ext uri="{3e2802c4-a4d2-4d8b-9148-e3be6c30e623}">
          <xlrd:rvb i="10589"/>
        </ext>
      </extLst>
    </bk>
    <bk>
      <extLst>
        <ext uri="{3e2802c4-a4d2-4d8b-9148-e3be6c30e623}">
          <xlrd:rvb i="10590"/>
        </ext>
      </extLst>
    </bk>
    <bk>
      <extLst>
        <ext uri="{3e2802c4-a4d2-4d8b-9148-e3be6c30e623}">
          <xlrd:rvb i="10591"/>
        </ext>
      </extLst>
    </bk>
    <bk>
      <extLst>
        <ext uri="{3e2802c4-a4d2-4d8b-9148-e3be6c30e623}">
          <xlrd:rvb i="10592"/>
        </ext>
      </extLst>
    </bk>
    <bk>
      <extLst>
        <ext uri="{3e2802c4-a4d2-4d8b-9148-e3be6c30e623}">
          <xlrd:rvb i="10593"/>
        </ext>
      </extLst>
    </bk>
    <bk>
      <extLst>
        <ext uri="{3e2802c4-a4d2-4d8b-9148-e3be6c30e623}">
          <xlrd:rvb i="10594"/>
        </ext>
      </extLst>
    </bk>
    <bk>
      <extLst>
        <ext uri="{3e2802c4-a4d2-4d8b-9148-e3be6c30e623}">
          <xlrd:rvb i="10595"/>
        </ext>
      </extLst>
    </bk>
    <bk>
      <extLst>
        <ext uri="{3e2802c4-a4d2-4d8b-9148-e3be6c30e623}">
          <xlrd:rvb i="10596"/>
        </ext>
      </extLst>
    </bk>
    <bk>
      <extLst>
        <ext uri="{3e2802c4-a4d2-4d8b-9148-e3be6c30e623}">
          <xlrd:rvb i="10597"/>
        </ext>
      </extLst>
    </bk>
    <bk>
      <extLst>
        <ext uri="{3e2802c4-a4d2-4d8b-9148-e3be6c30e623}">
          <xlrd:rvb i="10598"/>
        </ext>
      </extLst>
    </bk>
    <bk>
      <extLst>
        <ext uri="{3e2802c4-a4d2-4d8b-9148-e3be6c30e623}">
          <xlrd:rvb i="10599"/>
        </ext>
      </extLst>
    </bk>
    <bk>
      <extLst>
        <ext uri="{3e2802c4-a4d2-4d8b-9148-e3be6c30e623}">
          <xlrd:rvb i="10600"/>
        </ext>
      </extLst>
    </bk>
    <bk>
      <extLst>
        <ext uri="{3e2802c4-a4d2-4d8b-9148-e3be6c30e623}">
          <xlrd:rvb i="10601"/>
        </ext>
      </extLst>
    </bk>
    <bk>
      <extLst>
        <ext uri="{3e2802c4-a4d2-4d8b-9148-e3be6c30e623}">
          <xlrd:rvb i="10602"/>
        </ext>
      </extLst>
    </bk>
    <bk>
      <extLst>
        <ext uri="{3e2802c4-a4d2-4d8b-9148-e3be6c30e623}">
          <xlrd:rvb i="10603"/>
        </ext>
      </extLst>
    </bk>
    <bk>
      <extLst>
        <ext uri="{3e2802c4-a4d2-4d8b-9148-e3be6c30e623}">
          <xlrd:rvb i="10604"/>
        </ext>
      </extLst>
    </bk>
    <bk>
      <extLst>
        <ext uri="{3e2802c4-a4d2-4d8b-9148-e3be6c30e623}">
          <xlrd:rvb i="10605"/>
        </ext>
      </extLst>
    </bk>
    <bk>
      <extLst>
        <ext uri="{3e2802c4-a4d2-4d8b-9148-e3be6c30e623}">
          <xlrd:rvb i="10606"/>
        </ext>
      </extLst>
    </bk>
    <bk>
      <extLst>
        <ext uri="{3e2802c4-a4d2-4d8b-9148-e3be6c30e623}">
          <xlrd:rvb i="10607"/>
        </ext>
      </extLst>
    </bk>
    <bk>
      <extLst>
        <ext uri="{3e2802c4-a4d2-4d8b-9148-e3be6c30e623}">
          <xlrd:rvb i="10608"/>
        </ext>
      </extLst>
    </bk>
    <bk>
      <extLst>
        <ext uri="{3e2802c4-a4d2-4d8b-9148-e3be6c30e623}">
          <xlrd:rvb i="10609"/>
        </ext>
      </extLst>
    </bk>
    <bk>
      <extLst>
        <ext uri="{3e2802c4-a4d2-4d8b-9148-e3be6c30e623}">
          <xlrd:rvb i="10610"/>
        </ext>
      </extLst>
    </bk>
    <bk>
      <extLst>
        <ext uri="{3e2802c4-a4d2-4d8b-9148-e3be6c30e623}">
          <xlrd:rvb i="10611"/>
        </ext>
      </extLst>
    </bk>
    <bk>
      <extLst>
        <ext uri="{3e2802c4-a4d2-4d8b-9148-e3be6c30e623}">
          <xlrd:rvb i="10612"/>
        </ext>
      </extLst>
    </bk>
    <bk>
      <extLst>
        <ext uri="{3e2802c4-a4d2-4d8b-9148-e3be6c30e623}">
          <xlrd:rvb i="10613"/>
        </ext>
      </extLst>
    </bk>
    <bk>
      <extLst>
        <ext uri="{3e2802c4-a4d2-4d8b-9148-e3be6c30e623}">
          <xlrd:rvb i="10614"/>
        </ext>
      </extLst>
    </bk>
    <bk>
      <extLst>
        <ext uri="{3e2802c4-a4d2-4d8b-9148-e3be6c30e623}">
          <xlrd:rvb i="10615"/>
        </ext>
      </extLst>
    </bk>
    <bk>
      <extLst>
        <ext uri="{3e2802c4-a4d2-4d8b-9148-e3be6c30e623}">
          <xlrd:rvb i="10616"/>
        </ext>
      </extLst>
    </bk>
    <bk>
      <extLst>
        <ext uri="{3e2802c4-a4d2-4d8b-9148-e3be6c30e623}">
          <xlrd:rvb i="10617"/>
        </ext>
      </extLst>
    </bk>
    <bk>
      <extLst>
        <ext uri="{3e2802c4-a4d2-4d8b-9148-e3be6c30e623}">
          <xlrd:rvb i="10618"/>
        </ext>
      </extLst>
    </bk>
    <bk>
      <extLst>
        <ext uri="{3e2802c4-a4d2-4d8b-9148-e3be6c30e623}">
          <xlrd:rvb i="10619"/>
        </ext>
      </extLst>
    </bk>
    <bk>
      <extLst>
        <ext uri="{3e2802c4-a4d2-4d8b-9148-e3be6c30e623}">
          <xlrd:rvb i="10620"/>
        </ext>
      </extLst>
    </bk>
    <bk>
      <extLst>
        <ext uri="{3e2802c4-a4d2-4d8b-9148-e3be6c30e623}">
          <xlrd:rvb i="10621"/>
        </ext>
      </extLst>
    </bk>
    <bk>
      <extLst>
        <ext uri="{3e2802c4-a4d2-4d8b-9148-e3be6c30e623}">
          <xlrd:rvb i="10622"/>
        </ext>
      </extLst>
    </bk>
    <bk>
      <extLst>
        <ext uri="{3e2802c4-a4d2-4d8b-9148-e3be6c30e623}">
          <xlrd:rvb i="10623"/>
        </ext>
      </extLst>
    </bk>
    <bk>
      <extLst>
        <ext uri="{3e2802c4-a4d2-4d8b-9148-e3be6c30e623}">
          <xlrd:rvb i="10624"/>
        </ext>
      </extLst>
    </bk>
    <bk>
      <extLst>
        <ext uri="{3e2802c4-a4d2-4d8b-9148-e3be6c30e623}">
          <xlrd:rvb i="10625"/>
        </ext>
      </extLst>
    </bk>
    <bk>
      <extLst>
        <ext uri="{3e2802c4-a4d2-4d8b-9148-e3be6c30e623}">
          <xlrd:rvb i="10626"/>
        </ext>
      </extLst>
    </bk>
    <bk>
      <extLst>
        <ext uri="{3e2802c4-a4d2-4d8b-9148-e3be6c30e623}">
          <xlrd:rvb i="10627"/>
        </ext>
      </extLst>
    </bk>
    <bk>
      <extLst>
        <ext uri="{3e2802c4-a4d2-4d8b-9148-e3be6c30e623}">
          <xlrd:rvb i="10628"/>
        </ext>
      </extLst>
    </bk>
    <bk>
      <extLst>
        <ext uri="{3e2802c4-a4d2-4d8b-9148-e3be6c30e623}">
          <xlrd:rvb i="10629"/>
        </ext>
      </extLst>
    </bk>
    <bk>
      <extLst>
        <ext uri="{3e2802c4-a4d2-4d8b-9148-e3be6c30e623}">
          <xlrd:rvb i="10630"/>
        </ext>
      </extLst>
    </bk>
    <bk>
      <extLst>
        <ext uri="{3e2802c4-a4d2-4d8b-9148-e3be6c30e623}">
          <xlrd:rvb i="10631"/>
        </ext>
      </extLst>
    </bk>
    <bk>
      <extLst>
        <ext uri="{3e2802c4-a4d2-4d8b-9148-e3be6c30e623}">
          <xlrd:rvb i="10632"/>
        </ext>
      </extLst>
    </bk>
    <bk>
      <extLst>
        <ext uri="{3e2802c4-a4d2-4d8b-9148-e3be6c30e623}">
          <xlrd:rvb i="10633"/>
        </ext>
      </extLst>
    </bk>
    <bk>
      <extLst>
        <ext uri="{3e2802c4-a4d2-4d8b-9148-e3be6c30e623}">
          <xlrd:rvb i="10634"/>
        </ext>
      </extLst>
    </bk>
    <bk>
      <extLst>
        <ext uri="{3e2802c4-a4d2-4d8b-9148-e3be6c30e623}">
          <xlrd:rvb i="10635"/>
        </ext>
      </extLst>
    </bk>
    <bk>
      <extLst>
        <ext uri="{3e2802c4-a4d2-4d8b-9148-e3be6c30e623}">
          <xlrd:rvb i="10636"/>
        </ext>
      </extLst>
    </bk>
    <bk>
      <extLst>
        <ext uri="{3e2802c4-a4d2-4d8b-9148-e3be6c30e623}">
          <xlrd:rvb i="10637"/>
        </ext>
      </extLst>
    </bk>
    <bk>
      <extLst>
        <ext uri="{3e2802c4-a4d2-4d8b-9148-e3be6c30e623}">
          <xlrd:rvb i="10638"/>
        </ext>
      </extLst>
    </bk>
    <bk>
      <extLst>
        <ext uri="{3e2802c4-a4d2-4d8b-9148-e3be6c30e623}">
          <xlrd:rvb i="10639"/>
        </ext>
      </extLst>
    </bk>
    <bk>
      <extLst>
        <ext uri="{3e2802c4-a4d2-4d8b-9148-e3be6c30e623}">
          <xlrd:rvb i="10640"/>
        </ext>
      </extLst>
    </bk>
    <bk>
      <extLst>
        <ext uri="{3e2802c4-a4d2-4d8b-9148-e3be6c30e623}">
          <xlrd:rvb i="10641"/>
        </ext>
      </extLst>
    </bk>
    <bk>
      <extLst>
        <ext uri="{3e2802c4-a4d2-4d8b-9148-e3be6c30e623}">
          <xlrd:rvb i="10642"/>
        </ext>
      </extLst>
    </bk>
    <bk>
      <extLst>
        <ext uri="{3e2802c4-a4d2-4d8b-9148-e3be6c30e623}">
          <xlrd:rvb i="10643"/>
        </ext>
      </extLst>
    </bk>
    <bk>
      <extLst>
        <ext uri="{3e2802c4-a4d2-4d8b-9148-e3be6c30e623}">
          <xlrd:rvb i="10644"/>
        </ext>
      </extLst>
    </bk>
    <bk>
      <extLst>
        <ext uri="{3e2802c4-a4d2-4d8b-9148-e3be6c30e623}">
          <xlrd:rvb i="10645"/>
        </ext>
      </extLst>
    </bk>
    <bk>
      <extLst>
        <ext uri="{3e2802c4-a4d2-4d8b-9148-e3be6c30e623}">
          <xlrd:rvb i="10646"/>
        </ext>
      </extLst>
    </bk>
    <bk>
      <extLst>
        <ext uri="{3e2802c4-a4d2-4d8b-9148-e3be6c30e623}">
          <xlrd:rvb i="10647"/>
        </ext>
      </extLst>
    </bk>
    <bk>
      <extLst>
        <ext uri="{3e2802c4-a4d2-4d8b-9148-e3be6c30e623}">
          <xlrd:rvb i="10648"/>
        </ext>
      </extLst>
    </bk>
    <bk>
      <extLst>
        <ext uri="{3e2802c4-a4d2-4d8b-9148-e3be6c30e623}">
          <xlrd:rvb i="10649"/>
        </ext>
      </extLst>
    </bk>
    <bk>
      <extLst>
        <ext uri="{3e2802c4-a4d2-4d8b-9148-e3be6c30e623}">
          <xlrd:rvb i="10650"/>
        </ext>
      </extLst>
    </bk>
    <bk>
      <extLst>
        <ext uri="{3e2802c4-a4d2-4d8b-9148-e3be6c30e623}">
          <xlrd:rvb i="10651"/>
        </ext>
      </extLst>
    </bk>
    <bk>
      <extLst>
        <ext uri="{3e2802c4-a4d2-4d8b-9148-e3be6c30e623}">
          <xlrd:rvb i="10652"/>
        </ext>
      </extLst>
    </bk>
    <bk>
      <extLst>
        <ext uri="{3e2802c4-a4d2-4d8b-9148-e3be6c30e623}">
          <xlrd:rvb i="10653"/>
        </ext>
      </extLst>
    </bk>
    <bk>
      <extLst>
        <ext uri="{3e2802c4-a4d2-4d8b-9148-e3be6c30e623}">
          <xlrd:rvb i="10654"/>
        </ext>
      </extLst>
    </bk>
    <bk>
      <extLst>
        <ext uri="{3e2802c4-a4d2-4d8b-9148-e3be6c30e623}">
          <xlrd:rvb i="10655"/>
        </ext>
      </extLst>
    </bk>
    <bk>
      <extLst>
        <ext uri="{3e2802c4-a4d2-4d8b-9148-e3be6c30e623}">
          <xlrd:rvb i="10656"/>
        </ext>
      </extLst>
    </bk>
    <bk>
      <extLst>
        <ext uri="{3e2802c4-a4d2-4d8b-9148-e3be6c30e623}">
          <xlrd:rvb i="10657"/>
        </ext>
      </extLst>
    </bk>
    <bk>
      <extLst>
        <ext uri="{3e2802c4-a4d2-4d8b-9148-e3be6c30e623}">
          <xlrd:rvb i="10658"/>
        </ext>
      </extLst>
    </bk>
    <bk>
      <extLst>
        <ext uri="{3e2802c4-a4d2-4d8b-9148-e3be6c30e623}">
          <xlrd:rvb i="10659"/>
        </ext>
      </extLst>
    </bk>
    <bk>
      <extLst>
        <ext uri="{3e2802c4-a4d2-4d8b-9148-e3be6c30e623}">
          <xlrd:rvb i="10660"/>
        </ext>
      </extLst>
    </bk>
    <bk>
      <extLst>
        <ext uri="{3e2802c4-a4d2-4d8b-9148-e3be6c30e623}">
          <xlrd:rvb i="10661"/>
        </ext>
      </extLst>
    </bk>
    <bk>
      <extLst>
        <ext uri="{3e2802c4-a4d2-4d8b-9148-e3be6c30e623}">
          <xlrd:rvb i="10662"/>
        </ext>
      </extLst>
    </bk>
    <bk>
      <extLst>
        <ext uri="{3e2802c4-a4d2-4d8b-9148-e3be6c30e623}">
          <xlrd:rvb i="10663"/>
        </ext>
      </extLst>
    </bk>
    <bk>
      <extLst>
        <ext uri="{3e2802c4-a4d2-4d8b-9148-e3be6c30e623}">
          <xlrd:rvb i="10664"/>
        </ext>
      </extLst>
    </bk>
    <bk>
      <extLst>
        <ext uri="{3e2802c4-a4d2-4d8b-9148-e3be6c30e623}">
          <xlrd:rvb i="10665"/>
        </ext>
      </extLst>
    </bk>
    <bk>
      <extLst>
        <ext uri="{3e2802c4-a4d2-4d8b-9148-e3be6c30e623}">
          <xlrd:rvb i="10666"/>
        </ext>
      </extLst>
    </bk>
    <bk>
      <extLst>
        <ext uri="{3e2802c4-a4d2-4d8b-9148-e3be6c30e623}">
          <xlrd:rvb i="10667"/>
        </ext>
      </extLst>
    </bk>
    <bk>
      <extLst>
        <ext uri="{3e2802c4-a4d2-4d8b-9148-e3be6c30e623}">
          <xlrd:rvb i="10668"/>
        </ext>
      </extLst>
    </bk>
    <bk>
      <extLst>
        <ext uri="{3e2802c4-a4d2-4d8b-9148-e3be6c30e623}">
          <xlrd:rvb i="10669"/>
        </ext>
      </extLst>
    </bk>
    <bk>
      <extLst>
        <ext uri="{3e2802c4-a4d2-4d8b-9148-e3be6c30e623}">
          <xlrd:rvb i="10670"/>
        </ext>
      </extLst>
    </bk>
    <bk>
      <extLst>
        <ext uri="{3e2802c4-a4d2-4d8b-9148-e3be6c30e623}">
          <xlrd:rvb i="10671"/>
        </ext>
      </extLst>
    </bk>
    <bk>
      <extLst>
        <ext uri="{3e2802c4-a4d2-4d8b-9148-e3be6c30e623}">
          <xlrd:rvb i="10672"/>
        </ext>
      </extLst>
    </bk>
    <bk>
      <extLst>
        <ext uri="{3e2802c4-a4d2-4d8b-9148-e3be6c30e623}">
          <xlrd:rvb i="10673"/>
        </ext>
      </extLst>
    </bk>
    <bk>
      <extLst>
        <ext uri="{3e2802c4-a4d2-4d8b-9148-e3be6c30e623}">
          <xlrd:rvb i="10674"/>
        </ext>
      </extLst>
    </bk>
    <bk>
      <extLst>
        <ext uri="{3e2802c4-a4d2-4d8b-9148-e3be6c30e623}">
          <xlrd:rvb i="10675"/>
        </ext>
      </extLst>
    </bk>
    <bk>
      <extLst>
        <ext uri="{3e2802c4-a4d2-4d8b-9148-e3be6c30e623}">
          <xlrd:rvb i="10676"/>
        </ext>
      </extLst>
    </bk>
    <bk>
      <extLst>
        <ext uri="{3e2802c4-a4d2-4d8b-9148-e3be6c30e623}">
          <xlrd:rvb i="10677"/>
        </ext>
      </extLst>
    </bk>
    <bk>
      <extLst>
        <ext uri="{3e2802c4-a4d2-4d8b-9148-e3be6c30e623}">
          <xlrd:rvb i="10678"/>
        </ext>
      </extLst>
    </bk>
    <bk>
      <extLst>
        <ext uri="{3e2802c4-a4d2-4d8b-9148-e3be6c30e623}">
          <xlrd:rvb i="10679"/>
        </ext>
      </extLst>
    </bk>
    <bk>
      <extLst>
        <ext uri="{3e2802c4-a4d2-4d8b-9148-e3be6c30e623}">
          <xlrd:rvb i="10680"/>
        </ext>
      </extLst>
    </bk>
    <bk>
      <extLst>
        <ext uri="{3e2802c4-a4d2-4d8b-9148-e3be6c30e623}">
          <xlrd:rvb i="10681"/>
        </ext>
      </extLst>
    </bk>
    <bk>
      <extLst>
        <ext uri="{3e2802c4-a4d2-4d8b-9148-e3be6c30e623}">
          <xlrd:rvb i="10682"/>
        </ext>
      </extLst>
    </bk>
    <bk>
      <extLst>
        <ext uri="{3e2802c4-a4d2-4d8b-9148-e3be6c30e623}">
          <xlrd:rvb i="10683"/>
        </ext>
      </extLst>
    </bk>
    <bk>
      <extLst>
        <ext uri="{3e2802c4-a4d2-4d8b-9148-e3be6c30e623}">
          <xlrd:rvb i="10684"/>
        </ext>
      </extLst>
    </bk>
    <bk>
      <extLst>
        <ext uri="{3e2802c4-a4d2-4d8b-9148-e3be6c30e623}">
          <xlrd:rvb i="10685"/>
        </ext>
      </extLst>
    </bk>
    <bk>
      <extLst>
        <ext uri="{3e2802c4-a4d2-4d8b-9148-e3be6c30e623}">
          <xlrd:rvb i="10686"/>
        </ext>
      </extLst>
    </bk>
    <bk>
      <extLst>
        <ext uri="{3e2802c4-a4d2-4d8b-9148-e3be6c30e623}">
          <xlrd:rvb i="10687"/>
        </ext>
      </extLst>
    </bk>
    <bk>
      <extLst>
        <ext uri="{3e2802c4-a4d2-4d8b-9148-e3be6c30e623}">
          <xlrd:rvb i="10688"/>
        </ext>
      </extLst>
    </bk>
    <bk>
      <extLst>
        <ext uri="{3e2802c4-a4d2-4d8b-9148-e3be6c30e623}">
          <xlrd:rvb i="10689"/>
        </ext>
      </extLst>
    </bk>
    <bk>
      <extLst>
        <ext uri="{3e2802c4-a4d2-4d8b-9148-e3be6c30e623}">
          <xlrd:rvb i="10690"/>
        </ext>
      </extLst>
    </bk>
    <bk>
      <extLst>
        <ext uri="{3e2802c4-a4d2-4d8b-9148-e3be6c30e623}">
          <xlrd:rvb i="10691"/>
        </ext>
      </extLst>
    </bk>
    <bk>
      <extLst>
        <ext uri="{3e2802c4-a4d2-4d8b-9148-e3be6c30e623}">
          <xlrd:rvb i="10692"/>
        </ext>
      </extLst>
    </bk>
    <bk>
      <extLst>
        <ext uri="{3e2802c4-a4d2-4d8b-9148-e3be6c30e623}">
          <xlrd:rvb i="10693"/>
        </ext>
      </extLst>
    </bk>
    <bk>
      <extLst>
        <ext uri="{3e2802c4-a4d2-4d8b-9148-e3be6c30e623}">
          <xlrd:rvb i="10694"/>
        </ext>
      </extLst>
    </bk>
    <bk>
      <extLst>
        <ext uri="{3e2802c4-a4d2-4d8b-9148-e3be6c30e623}">
          <xlrd:rvb i="10695"/>
        </ext>
      </extLst>
    </bk>
    <bk>
      <extLst>
        <ext uri="{3e2802c4-a4d2-4d8b-9148-e3be6c30e623}">
          <xlrd:rvb i="10696"/>
        </ext>
      </extLst>
    </bk>
    <bk>
      <extLst>
        <ext uri="{3e2802c4-a4d2-4d8b-9148-e3be6c30e623}">
          <xlrd:rvb i="10697"/>
        </ext>
      </extLst>
    </bk>
    <bk>
      <extLst>
        <ext uri="{3e2802c4-a4d2-4d8b-9148-e3be6c30e623}">
          <xlrd:rvb i="10698"/>
        </ext>
      </extLst>
    </bk>
    <bk>
      <extLst>
        <ext uri="{3e2802c4-a4d2-4d8b-9148-e3be6c30e623}">
          <xlrd:rvb i="10699"/>
        </ext>
      </extLst>
    </bk>
    <bk>
      <extLst>
        <ext uri="{3e2802c4-a4d2-4d8b-9148-e3be6c30e623}">
          <xlrd:rvb i="10700"/>
        </ext>
      </extLst>
    </bk>
    <bk>
      <extLst>
        <ext uri="{3e2802c4-a4d2-4d8b-9148-e3be6c30e623}">
          <xlrd:rvb i="10701"/>
        </ext>
      </extLst>
    </bk>
    <bk>
      <extLst>
        <ext uri="{3e2802c4-a4d2-4d8b-9148-e3be6c30e623}">
          <xlrd:rvb i="10702"/>
        </ext>
      </extLst>
    </bk>
    <bk>
      <extLst>
        <ext uri="{3e2802c4-a4d2-4d8b-9148-e3be6c30e623}">
          <xlrd:rvb i="10703"/>
        </ext>
      </extLst>
    </bk>
    <bk>
      <extLst>
        <ext uri="{3e2802c4-a4d2-4d8b-9148-e3be6c30e623}">
          <xlrd:rvb i="10704"/>
        </ext>
      </extLst>
    </bk>
    <bk>
      <extLst>
        <ext uri="{3e2802c4-a4d2-4d8b-9148-e3be6c30e623}">
          <xlrd:rvb i="10705"/>
        </ext>
      </extLst>
    </bk>
    <bk>
      <extLst>
        <ext uri="{3e2802c4-a4d2-4d8b-9148-e3be6c30e623}">
          <xlrd:rvb i="10706"/>
        </ext>
      </extLst>
    </bk>
    <bk>
      <extLst>
        <ext uri="{3e2802c4-a4d2-4d8b-9148-e3be6c30e623}">
          <xlrd:rvb i="10707"/>
        </ext>
      </extLst>
    </bk>
    <bk>
      <extLst>
        <ext uri="{3e2802c4-a4d2-4d8b-9148-e3be6c30e623}">
          <xlrd:rvb i="10708"/>
        </ext>
      </extLst>
    </bk>
    <bk>
      <extLst>
        <ext uri="{3e2802c4-a4d2-4d8b-9148-e3be6c30e623}">
          <xlrd:rvb i="10709"/>
        </ext>
      </extLst>
    </bk>
    <bk>
      <extLst>
        <ext uri="{3e2802c4-a4d2-4d8b-9148-e3be6c30e623}">
          <xlrd:rvb i="10710"/>
        </ext>
      </extLst>
    </bk>
    <bk>
      <extLst>
        <ext uri="{3e2802c4-a4d2-4d8b-9148-e3be6c30e623}">
          <xlrd:rvb i="10711"/>
        </ext>
      </extLst>
    </bk>
    <bk>
      <extLst>
        <ext uri="{3e2802c4-a4d2-4d8b-9148-e3be6c30e623}">
          <xlrd:rvb i="10712"/>
        </ext>
      </extLst>
    </bk>
    <bk>
      <extLst>
        <ext uri="{3e2802c4-a4d2-4d8b-9148-e3be6c30e623}">
          <xlrd:rvb i="10713"/>
        </ext>
      </extLst>
    </bk>
    <bk>
      <extLst>
        <ext uri="{3e2802c4-a4d2-4d8b-9148-e3be6c30e623}">
          <xlrd:rvb i="10714"/>
        </ext>
      </extLst>
    </bk>
    <bk>
      <extLst>
        <ext uri="{3e2802c4-a4d2-4d8b-9148-e3be6c30e623}">
          <xlrd:rvb i="10715"/>
        </ext>
      </extLst>
    </bk>
    <bk>
      <extLst>
        <ext uri="{3e2802c4-a4d2-4d8b-9148-e3be6c30e623}">
          <xlrd:rvb i="10716"/>
        </ext>
      </extLst>
    </bk>
    <bk>
      <extLst>
        <ext uri="{3e2802c4-a4d2-4d8b-9148-e3be6c30e623}">
          <xlrd:rvb i="10717"/>
        </ext>
      </extLst>
    </bk>
    <bk>
      <extLst>
        <ext uri="{3e2802c4-a4d2-4d8b-9148-e3be6c30e623}">
          <xlrd:rvb i="10718"/>
        </ext>
      </extLst>
    </bk>
    <bk>
      <extLst>
        <ext uri="{3e2802c4-a4d2-4d8b-9148-e3be6c30e623}">
          <xlrd:rvb i="10719"/>
        </ext>
      </extLst>
    </bk>
    <bk>
      <extLst>
        <ext uri="{3e2802c4-a4d2-4d8b-9148-e3be6c30e623}">
          <xlrd:rvb i="10720"/>
        </ext>
      </extLst>
    </bk>
    <bk>
      <extLst>
        <ext uri="{3e2802c4-a4d2-4d8b-9148-e3be6c30e623}">
          <xlrd:rvb i="10721"/>
        </ext>
      </extLst>
    </bk>
    <bk>
      <extLst>
        <ext uri="{3e2802c4-a4d2-4d8b-9148-e3be6c30e623}">
          <xlrd:rvb i="10722"/>
        </ext>
      </extLst>
    </bk>
    <bk>
      <extLst>
        <ext uri="{3e2802c4-a4d2-4d8b-9148-e3be6c30e623}">
          <xlrd:rvb i="10723"/>
        </ext>
      </extLst>
    </bk>
    <bk>
      <extLst>
        <ext uri="{3e2802c4-a4d2-4d8b-9148-e3be6c30e623}">
          <xlrd:rvb i="10724"/>
        </ext>
      </extLst>
    </bk>
    <bk>
      <extLst>
        <ext uri="{3e2802c4-a4d2-4d8b-9148-e3be6c30e623}">
          <xlrd:rvb i="10725"/>
        </ext>
      </extLst>
    </bk>
    <bk>
      <extLst>
        <ext uri="{3e2802c4-a4d2-4d8b-9148-e3be6c30e623}">
          <xlrd:rvb i="10726"/>
        </ext>
      </extLst>
    </bk>
    <bk>
      <extLst>
        <ext uri="{3e2802c4-a4d2-4d8b-9148-e3be6c30e623}">
          <xlrd:rvb i="10727"/>
        </ext>
      </extLst>
    </bk>
    <bk>
      <extLst>
        <ext uri="{3e2802c4-a4d2-4d8b-9148-e3be6c30e623}">
          <xlrd:rvb i="10728"/>
        </ext>
      </extLst>
    </bk>
    <bk>
      <extLst>
        <ext uri="{3e2802c4-a4d2-4d8b-9148-e3be6c30e623}">
          <xlrd:rvb i="10729"/>
        </ext>
      </extLst>
    </bk>
    <bk>
      <extLst>
        <ext uri="{3e2802c4-a4d2-4d8b-9148-e3be6c30e623}">
          <xlrd:rvb i="10730"/>
        </ext>
      </extLst>
    </bk>
    <bk>
      <extLst>
        <ext uri="{3e2802c4-a4d2-4d8b-9148-e3be6c30e623}">
          <xlrd:rvb i="10731"/>
        </ext>
      </extLst>
    </bk>
    <bk>
      <extLst>
        <ext uri="{3e2802c4-a4d2-4d8b-9148-e3be6c30e623}">
          <xlrd:rvb i="10732"/>
        </ext>
      </extLst>
    </bk>
    <bk>
      <extLst>
        <ext uri="{3e2802c4-a4d2-4d8b-9148-e3be6c30e623}">
          <xlrd:rvb i="10733"/>
        </ext>
      </extLst>
    </bk>
    <bk>
      <extLst>
        <ext uri="{3e2802c4-a4d2-4d8b-9148-e3be6c30e623}">
          <xlrd:rvb i="10734"/>
        </ext>
      </extLst>
    </bk>
    <bk>
      <extLst>
        <ext uri="{3e2802c4-a4d2-4d8b-9148-e3be6c30e623}">
          <xlrd:rvb i="10735"/>
        </ext>
      </extLst>
    </bk>
    <bk>
      <extLst>
        <ext uri="{3e2802c4-a4d2-4d8b-9148-e3be6c30e623}">
          <xlrd:rvb i="10736"/>
        </ext>
      </extLst>
    </bk>
    <bk>
      <extLst>
        <ext uri="{3e2802c4-a4d2-4d8b-9148-e3be6c30e623}">
          <xlrd:rvb i="10737"/>
        </ext>
      </extLst>
    </bk>
    <bk>
      <extLst>
        <ext uri="{3e2802c4-a4d2-4d8b-9148-e3be6c30e623}">
          <xlrd:rvb i="10738"/>
        </ext>
      </extLst>
    </bk>
    <bk>
      <extLst>
        <ext uri="{3e2802c4-a4d2-4d8b-9148-e3be6c30e623}">
          <xlrd:rvb i="10739"/>
        </ext>
      </extLst>
    </bk>
    <bk>
      <extLst>
        <ext uri="{3e2802c4-a4d2-4d8b-9148-e3be6c30e623}">
          <xlrd:rvb i="10740"/>
        </ext>
      </extLst>
    </bk>
    <bk>
      <extLst>
        <ext uri="{3e2802c4-a4d2-4d8b-9148-e3be6c30e623}">
          <xlrd:rvb i="10741"/>
        </ext>
      </extLst>
    </bk>
    <bk>
      <extLst>
        <ext uri="{3e2802c4-a4d2-4d8b-9148-e3be6c30e623}">
          <xlrd:rvb i="10742"/>
        </ext>
      </extLst>
    </bk>
    <bk>
      <extLst>
        <ext uri="{3e2802c4-a4d2-4d8b-9148-e3be6c30e623}">
          <xlrd:rvb i="10743"/>
        </ext>
      </extLst>
    </bk>
    <bk>
      <extLst>
        <ext uri="{3e2802c4-a4d2-4d8b-9148-e3be6c30e623}">
          <xlrd:rvb i="10744"/>
        </ext>
      </extLst>
    </bk>
    <bk>
      <extLst>
        <ext uri="{3e2802c4-a4d2-4d8b-9148-e3be6c30e623}">
          <xlrd:rvb i="10745"/>
        </ext>
      </extLst>
    </bk>
    <bk>
      <extLst>
        <ext uri="{3e2802c4-a4d2-4d8b-9148-e3be6c30e623}">
          <xlrd:rvb i="10746"/>
        </ext>
      </extLst>
    </bk>
    <bk>
      <extLst>
        <ext uri="{3e2802c4-a4d2-4d8b-9148-e3be6c30e623}">
          <xlrd:rvb i="10747"/>
        </ext>
      </extLst>
    </bk>
    <bk>
      <extLst>
        <ext uri="{3e2802c4-a4d2-4d8b-9148-e3be6c30e623}">
          <xlrd:rvb i="10748"/>
        </ext>
      </extLst>
    </bk>
    <bk>
      <extLst>
        <ext uri="{3e2802c4-a4d2-4d8b-9148-e3be6c30e623}">
          <xlrd:rvb i="10749"/>
        </ext>
      </extLst>
    </bk>
    <bk>
      <extLst>
        <ext uri="{3e2802c4-a4d2-4d8b-9148-e3be6c30e623}">
          <xlrd:rvb i="10750"/>
        </ext>
      </extLst>
    </bk>
    <bk>
      <extLst>
        <ext uri="{3e2802c4-a4d2-4d8b-9148-e3be6c30e623}">
          <xlrd:rvb i="10751"/>
        </ext>
      </extLst>
    </bk>
    <bk>
      <extLst>
        <ext uri="{3e2802c4-a4d2-4d8b-9148-e3be6c30e623}">
          <xlrd:rvb i="10752"/>
        </ext>
      </extLst>
    </bk>
    <bk>
      <extLst>
        <ext uri="{3e2802c4-a4d2-4d8b-9148-e3be6c30e623}">
          <xlrd:rvb i="10753"/>
        </ext>
      </extLst>
    </bk>
    <bk>
      <extLst>
        <ext uri="{3e2802c4-a4d2-4d8b-9148-e3be6c30e623}">
          <xlrd:rvb i="10754"/>
        </ext>
      </extLst>
    </bk>
    <bk>
      <extLst>
        <ext uri="{3e2802c4-a4d2-4d8b-9148-e3be6c30e623}">
          <xlrd:rvb i="10755"/>
        </ext>
      </extLst>
    </bk>
    <bk>
      <extLst>
        <ext uri="{3e2802c4-a4d2-4d8b-9148-e3be6c30e623}">
          <xlrd:rvb i="10756"/>
        </ext>
      </extLst>
    </bk>
    <bk>
      <extLst>
        <ext uri="{3e2802c4-a4d2-4d8b-9148-e3be6c30e623}">
          <xlrd:rvb i="10757"/>
        </ext>
      </extLst>
    </bk>
    <bk>
      <extLst>
        <ext uri="{3e2802c4-a4d2-4d8b-9148-e3be6c30e623}">
          <xlrd:rvb i="10758"/>
        </ext>
      </extLst>
    </bk>
    <bk>
      <extLst>
        <ext uri="{3e2802c4-a4d2-4d8b-9148-e3be6c30e623}">
          <xlrd:rvb i="10759"/>
        </ext>
      </extLst>
    </bk>
    <bk>
      <extLst>
        <ext uri="{3e2802c4-a4d2-4d8b-9148-e3be6c30e623}">
          <xlrd:rvb i="10760"/>
        </ext>
      </extLst>
    </bk>
    <bk>
      <extLst>
        <ext uri="{3e2802c4-a4d2-4d8b-9148-e3be6c30e623}">
          <xlrd:rvb i="10761"/>
        </ext>
      </extLst>
    </bk>
    <bk>
      <extLst>
        <ext uri="{3e2802c4-a4d2-4d8b-9148-e3be6c30e623}">
          <xlrd:rvb i="10762"/>
        </ext>
      </extLst>
    </bk>
    <bk>
      <extLst>
        <ext uri="{3e2802c4-a4d2-4d8b-9148-e3be6c30e623}">
          <xlrd:rvb i="10763"/>
        </ext>
      </extLst>
    </bk>
    <bk>
      <extLst>
        <ext uri="{3e2802c4-a4d2-4d8b-9148-e3be6c30e623}">
          <xlrd:rvb i="10764"/>
        </ext>
      </extLst>
    </bk>
    <bk>
      <extLst>
        <ext uri="{3e2802c4-a4d2-4d8b-9148-e3be6c30e623}">
          <xlrd:rvb i="10765"/>
        </ext>
      </extLst>
    </bk>
    <bk>
      <extLst>
        <ext uri="{3e2802c4-a4d2-4d8b-9148-e3be6c30e623}">
          <xlrd:rvb i="10766"/>
        </ext>
      </extLst>
    </bk>
    <bk>
      <extLst>
        <ext uri="{3e2802c4-a4d2-4d8b-9148-e3be6c30e623}">
          <xlrd:rvb i="10767"/>
        </ext>
      </extLst>
    </bk>
    <bk>
      <extLst>
        <ext uri="{3e2802c4-a4d2-4d8b-9148-e3be6c30e623}">
          <xlrd:rvb i="10768"/>
        </ext>
      </extLst>
    </bk>
    <bk>
      <extLst>
        <ext uri="{3e2802c4-a4d2-4d8b-9148-e3be6c30e623}">
          <xlrd:rvb i="10769"/>
        </ext>
      </extLst>
    </bk>
    <bk>
      <extLst>
        <ext uri="{3e2802c4-a4d2-4d8b-9148-e3be6c30e623}">
          <xlrd:rvb i="10770"/>
        </ext>
      </extLst>
    </bk>
    <bk>
      <extLst>
        <ext uri="{3e2802c4-a4d2-4d8b-9148-e3be6c30e623}">
          <xlrd:rvb i="10771"/>
        </ext>
      </extLst>
    </bk>
    <bk>
      <extLst>
        <ext uri="{3e2802c4-a4d2-4d8b-9148-e3be6c30e623}">
          <xlrd:rvb i="10772"/>
        </ext>
      </extLst>
    </bk>
    <bk>
      <extLst>
        <ext uri="{3e2802c4-a4d2-4d8b-9148-e3be6c30e623}">
          <xlrd:rvb i="10773"/>
        </ext>
      </extLst>
    </bk>
    <bk>
      <extLst>
        <ext uri="{3e2802c4-a4d2-4d8b-9148-e3be6c30e623}">
          <xlrd:rvb i="10774"/>
        </ext>
      </extLst>
    </bk>
    <bk>
      <extLst>
        <ext uri="{3e2802c4-a4d2-4d8b-9148-e3be6c30e623}">
          <xlrd:rvb i="10775"/>
        </ext>
      </extLst>
    </bk>
    <bk>
      <extLst>
        <ext uri="{3e2802c4-a4d2-4d8b-9148-e3be6c30e623}">
          <xlrd:rvb i="10776"/>
        </ext>
      </extLst>
    </bk>
    <bk>
      <extLst>
        <ext uri="{3e2802c4-a4d2-4d8b-9148-e3be6c30e623}">
          <xlrd:rvb i="10777"/>
        </ext>
      </extLst>
    </bk>
    <bk>
      <extLst>
        <ext uri="{3e2802c4-a4d2-4d8b-9148-e3be6c30e623}">
          <xlrd:rvb i="10778"/>
        </ext>
      </extLst>
    </bk>
    <bk>
      <extLst>
        <ext uri="{3e2802c4-a4d2-4d8b-9148-e3be6c30e623}">
          <xlrd:rvb i="10779"/>
        </ext>
      </extLst>
    </bk>
    <bk>
      <extLst>
        <ext uri="{3e2802c4-a4d2-4d8b-9148-e3be6c30e623}">
          <xlrd:rvb i="10780"/>
        </ext>
      </extLst>
    </bk>
    <bk>
      <extLst>
        <ext uri="{3e2802c4-a4d2-4d8b-9148-e3be6c30e623}">
          <xlrd:rvb i="10781"/>
        </ext>
      </extLst>
    </bk>
    <bk>
      <extLst>
        <ext uri="{3e2802c4-a4d2-4d8b-9148-e3be6c30e623}">
          <xlrd:rvb i="10782"/>
        </ext>
      </extLst>
    </bk>
    <bk>
      <extLst>
        <ext uri="{3e2802c4-a4d2-4d8b-9148-e3be6c30e623}">
          <xlrd:rvb i="10783"/>
        </ext>
      </extLst>
    </bk>
    <bk>
      <extLst>
        <ext uri="{3e2802c4-a4d2-4d8b-9148-e3be6c30e623}">
          <xlrd:rvb i="10784"/>
        </ext>
      </extLst>
    </bk>
    <bk>
      <extLst>
        <ext uri="{3e2802c4-a4d2-4d8b-9148-e3be6c30e623}">
          <xlrd:rvb i="10785"/>
        </ext>
      </extLst>
    </bk>
    <bk>
      <extLst>
        <ext uri="{3e2802c4-a4d2-4d8b-9148-e3be6c30e623}">
          <xlrd:rvb i="10786"/>
        </ext>
      </extLst>
    </bk>
    <bk>
      <extLst>
        <ext uri="{3e2802c4-a4d2-4d8b-9148-e3be6c30e623}">
          <xlrd:rvb i="10787"/>
        </ext>
      </extLst>
    </bk>
    <bk>
      <extLst>
        <ext uri="{3e2802c4-a4d2-4d8b-9148-e3be6c30e623}">
          <xlrd:rvb i="10788"/>
        </ext>
      </extLst>
    </bk>
    <bk>
      <extLst>
        <ext uri="{3e2802c4-a4d2-4d8b-9148-e3be6c30e623}">
          <xlrd:rvb i="10789"/>
        </ext>
      </extLst>
    </bk>
    <bk>
      <extLst>
        <ext uri="{3e2802c4-a4d2-4d8b-9148-e3be6c30e623}">
          <xlrd:rvb i="10790"/>
        </ext>
      </extLst>
    </bk>
    <bk>
      <extLst>
        <ext uri="{3e2802c4-a4d2-4d8b-9148-e3be6c30e623}">
          <xlrd:rvb i="10791"/>
        </ext>
      </extLst>
    </bk>
    <bk>
      <extLst>
        <ext uri="{3e2802c4-a4d2-4d8b-9148-e3be6c30e623}">
          <xlrd:rvb i="10792"/>
        </ext>
      </extLst>
    </bk>
    <bk>
      <extLst>
        <ext uri="{3e2802c4-a4d2-4d8b-9148-e3be6c30e623}">
          <xlrd:rvb i="10793"/>
        </ext>
      </extLst>
    </bk>
    <bk>
      <extLst>
        <ext uri="{3e2802c4-a4d2-4d8b-9148-e3be6c30e623}">
          <xlrd:rvb i="10794"/>
        </ext>
      </extLst>
    </bk>
    <bk>
      <extLst>
        <ext uri="{3e2802c4-a4d2-4d8b-9148-e3be6c30e623}">
          <xlrd:rvb i="10795"/>
        </ext>
      </extLst>
    </bk>
    <bk>
      <extLst>
        <ext uri="{3e2802c4-a4d2-4d8b-9148-e3be6c30e623}">
          <xlrd:rvb i="10796"/>
        </ext>
      </extLst>
    </bk>
    <bk>
      <extLst>
        <ext uri="{3e2802c4-a4d2-4d8b-9148-e3be6c30e623}">
          <xlrd:rvb i="10797"/>
        </ext>
      </extLst>
    </bk>
    <bk>
      <extLst>
        <ext uri="{3e2802c4-a4d2-4d8b-9148-e3be6c30e623}">
          <xlrd:rvb i="10798"/>
        </ext>
      </extLst>
    </bk>
    <bk>
      <extLst>
        <ext uri="{3e2802c4-a4d2-4d8b-9148-e3be6c30e623}">
          <xlrd:rvb i="10799"/>
        </ext>
      </extLst>
    </bk>
    <bk>
      <extLst>
        <ext uri="{3e2802c4-a4d2-4d8b-9148-e3be6c30e623}">
          <xlrd:rvb i="10800"/>
        </ext>
      </extLst>
    </bk>
    <bk>
      <extLst>
        <ext uri="{3e2802c4-a4d2-4d8b-9148-e3be6c30e623}">
          <xlrd:rvb i="10801"/>
        </ext>
      </extLst>
    </bk>
    <bk>
      <extLst>
        <ext uri="{3e2802c4-a4d2-4d8b-9148-e3be6c30e623}">
          <xlrd:rvb i="10802"/>
        </ext>
      </extLst>
    </bk>
    <bk>
      <extLst>
        <ext uri="{3e2802c4-a4d2-4d8b-9148-e3be6c30e623}">
          <xlrd:rvb i="10803"/>
        </ext>
      </extLst>
    </bk>
    <bk>
      <extLst>
        <ext uri="{3e2802c4-a4d2-4d8b-9148-e3be6c30e623}">
          <xlrd:rvb i="10804"/>
        </ext>
      </extLst>
    </bk>
    <bk>
      <extLst>
        <ext uri="{3e2802c4-a4d2-4d8b-9148-e3be6c30e623}">
          <xlrd:rvb i="10805"/>
        </ext>
      </extLst>
    </bk>
    <bk>
      <extLst>
        <ext uri="{3e2802c4-a4d2-4d8b-9148-e3be6c30e623}">
          <xlrd:rvb i="10806"/>
        </ext>
      </extLst>
    </bk>
    <bk>
      <extLst>
        <ext uri="{3e2802c4-a4d2-4d8b-9148-e3be6c30e623}">
          <xlrd:rvb i="10807"/>
        </ext>
      </extLst>
    </bk>
    <bk>
      <extLst>
        <ext uri="{3e2802c4-a4d2-4d8b-9148-e3be6c30e623}">
          <xlrd:rvb i="10808"/>
        </ext>
      </extLst>
    </bk>
    <bk>
      <extLst>
        <ext uri="{3e2802c4-a4d2-4d8b-9148-e3be6c30e623}">
          <xlrd:rvb i="10809"/>
        </ext>
      </extLst>
    </bk>
    <bk>
      <extLst>
        <ext uri="{3e2802c4-a4d2-4d8b-9148-e3be6c30e623}">
          <xlrd:rvb i="10810"/>
        </ext>
      </extLst>
    </bk>
    <bk>
      <extLst>
        <ext uri="{3e2802c4-a4d2-4d8b-9148-e3be6c30e623}">
          <xlrd:rvb i="10811"/>
        </ext>
      </extLst>
    </bk>
    <bk>
      <extLst>
        <ext uri="{3e2802c4-a4d2-4d8b-9148-e3be6c30e623}">
          <xlrd:rvb i="10812"/>
        </ext>
      </extLst>
    </bk>
    <bk>
      <extLst>
        <ext uri="{3e2802c4-a4d2-4d8b-9148-e3be6c30e623}">
          <xlrd:rvb i="10813"/>
        </ext>
      </extLst>
    </bk>
    <bk>
      <extLst>
        <ext uri="{3e2802c4-a4d2-4d8b-9148-e3be6c30e623}">
          <xlrd:rvb i="10814"/>
        </ext>
      </extLst>
    </bk>
    <bk>
      <extLst>
        <ext uri="{3e2802c4-a4d2-4d8b-9148-e3be6c30e623}">
          <xlrd:rvb i="10815"/>
        </ext>
      </extLst>
    </bk>
    <bk>
      <extLst>
        <ext uri="{3e2802c4-a4d2-4d8b-9148-e3be6c30e623}">
          <xlrd:rvb i="10816"/>
        </ext>
      </extLst>
    </bk>
    <bk>
      <extLst>
        <ext uri="{3e2802c4-a4d2-4d8b-9148-e3be6c30e623}">
          <xlrd:rvb i="10817"/>
        </ext>
      </extLst>
    </bk>
    <bk>
      <extLst>
        <ext uri="{3e2802c4-a4d2-4d8b-9148-e3be6c30e623}">
          <xlrd:rvb i="10818"/>
        </ext>
      </extLst>
    </bk>
    <bk>
      <extLst>
        <ext uri="{3e2802c4-a4d2-4d8b-9148-e3be6c30e623}">
          <xlrd:rvb i="10819"/>
        </ext>
      </extLst>
    </bk>
    <bk>
      <extLst>
        <ext uri="{3e2802c4-a4d2-4d8b-9148-e3be6c30e623}">
          <xlrd:rvb i="10820"/>
        </ext>
      </extLst>
    </bk>
    <bk>
      <extLst>
        <ext uri="{3e2802c4-a4d2-4d8b-9148-e3be6c30e623}">
          <xlrd:rvb i="10821"/>
        </ext>
      </extLst>
    </bk>
    <bk>
      <extLst>
        <ext uri="{3e2802c4-a4d2-4d8b-9148-e3be6c30e623}">
          <xlrd:rvb i="10822"/>
        </ext>
      </extLst>
    </bk>
    <bk>
      <extLst>
        <ext uri="{3e2802c4-a4d2-4d8b-9148-e3be6c30e623}">
          <xlrd:rvb i="10823"/>
        </ext>
      </extLst>
    </bk>
    <bk>
      <extLst>
        <ext uri="{3e2802c4-a4d2-4d8b-9148-e3be6c30e623}">
          <xlrd:rvb i="10824"/>
        </ext>
      </extLst>
    </bk>
    <bk>
      <extLst>
        <ext uri="{3e2802c4-a4d2-4d8b-9148-e3be6c30e623}">
          <xlrd:rvb i="10825"/>
        </ext>
      </extLst>
    </bk>
    <bk>
      <extLst>
        <ext uri="{3e2802c4-a4d2-4d8b-9148-e3be6c30e623}">
          <xlrd:rvb i="10826"/>
        </ext>
      </extLst>
    </bk>
    <bk>
      <extLst>
        <ext uri="{3e2802c4-a4d2-4d8b-9148-e3be6c30e623}">
          <xlrd:rvb i="10827"/>
        </ext>
      </extLst>
    </bk>
    <bk>
      <extLst>
        <ext uri="{3e2802c4-a4d2-4d8b-9148-e3be6c30e623}">
          <xlrd:rvb i="10828"/>
        </ext>
      </extLst>
    </bk>
    <bk>
      <extLst>
        <ext uri="{3e2802c4-a4d2-4d8b-9148-e3be6c30e623}">
          <xlrd:rvb i="10829"/>
        </ext>
      </extLst>
    </bk>
    <bk>
      <extLst>
        <ext uri="{3e2802c4-a4d2-4d8b-9148-e3be6c30e623}">
          <xlrd:rvb i="10830"/>
        </ext>
      </extLst>
    </bk>
    <bk>
      <extLst>
        <ext uri="{3e2802c4-a4d2-4d8b-9148-e3be6c30e623}">
          <xlrd:rvb i="10831"/>
        </ext>
      </extLst>
    </bk>
    <bk>
      <extLst>
        <ext uri="{3e2802c4-a4d2-4d8b-9148-e3be6c30e623}">
          <xlrd:rvb i="10832"/>
        </ext>
      </extLst>
    </bk>
    <bk>
      <extLst>
        <ext uri="{3e2802c4-a4d2-4d8b-9148-e3be6c30e623}">
          <xlrd:rvb i="10833"/>
        </ext>
      </extLst>
    </bk>
    <bk>
      <extLst>
        <ext uri="{3e2802c4-a4d2-4d8b-9148-e3be6c30e623}">
          <xlrd:rvb i="10834"/>
        </ext>
      </extLst>
    </bk>
    <bk>
      <extLst>
        <ext uri="{3e2802c4-a4d2-4d8b-9148-e3be6c30e623}">
          <xlrd:rvb i="10835"/>
        </ext>
      </extLst>
    </bk>
    <bk>
      <extLst>
        <ext uri="{3e2802c4-a4d2-4d8b-9148-e3be6c30e623}">
          <xlrd:rvb i="10836"/>
        </ext>
      </extLst>
    </bk>
    <bk>
      <extLst>
        <ext uri="{3e2802c4-a4d2-4d8b-9148-e3be6c30e623}">
          <xlrd:rvb i="10837"/>
        </ext>
      </extLst>
    </bk>
    <bk>
      <extLst>
        <ext uri="{3e2802c4-a4d2-4d8b-9148-e3be6c30e623}">
          <xlrd:rvb i="10838"/>
        </ext>
      </extLst>
    </bk>
    <bk>
      <extLst>
        <ext uri="{3e2802c4-a4d2-4d8b-9148-e3be6c30e623}">
          <xlrd:rvb i="10839"/>
        </ext>
      </extLst>
    </bk>
    <bk>
      <extLst>
        <ext uri="{3e2802c4-a4d2-4d8b-9148-e3be6c30e623}">
          <xlrd:rvb i="10840"/>
        </ext>
      </extLst>
    </bk>
    <bk>
      <extLst>
        <ext uri="{3e2802c4-a4d2-4d8b-9148-e3be6c30e623}">
          <xlrd:rvb i="10841"/>
        </ext>
      </extLst>
    </bk>
    <bk>
      <extLst>
        <ext uri="{3e2802c4-a4d2-4d8b-9148-e3be6c30e623}">
          <xlrd:rvb i="10842"/>
        </ext>
      </extLst>
    </bk>
    <bk>
      <extLst>
        <ext uri="{3e2802c4-a4d2-4d8b-9148-e3be6c30e623}">
          <xlrd:rvb i="10843"/>
        </ext>
      </extLst>
    </bk>
    <bk>
      <extLst>
        <ext uri="{3e2802c4-a4d2-4d8b-9148-e3be6c30e623}">
          <xlrd:rvb i="10844"/>
        </ext>
      </extLst>
    </bk>
    <bk>
      <extLst>
        <ext uri="{3e2802c4-a4d2-4d8b-9148-e3be6c30e623}">
          <xlrd:rvb i="10845"/>
        </ext>
      </extLst>
    </bk>
    <bk>
      <extLst>
        <ext uri="{3e2802c4-a4d2-4d8b-9148-e3be6c30e623}">
          <xlrd:rvb i="10846"/>
        </ext>
      </extLst>
    </bk>
    <bk>
      <extLst>
        <ext uri="{3e2802c4-a4d2-4d8b-9148-e3be6c30e623}">
          <xlrd:rvb i="10847"/>
        </ext>
      </extLst>
    </bk>
    <bk>
      <extLst>
        <ext uri="{3e2802c4-a4d2-4d8b-9148-e3be6c30e623}">
          <xlrd:rvb i="10848"/>
        </ext>
      </extLst>
    </bk>
    <bk>
      <extLst>
        <ext uri="{3e2802c4-a4d2-4d8b-9148-e3be6c30e623}">
          <xlrd:rvb i="10849"/>
        </ext>
      </extLst>
    </bk>
    <bk>
      <extLst>
        <ext uri="{3e2802c4-a4d2-4d8b-9148-e3be6c30e623}">
          <xlrd:rvb i="10850"/>
        </ext>
      </extLst>
    </bk>
    <bk>
      <extLst>
        <ext uri="{3e2802c4-a4d2-4d8b-9148-e3be6c30e623}">
          <xlrd:rvb i="10851"/>
        </ext>
      </extLst>
    </bk>
    <bk>
      <extLst>
        <ext uri="{3e2802c4-a4d2-4d8b-9148-e3be6c30e623}">
          <xlrd:rvb i="10852"/>
        </ext>
      </extLst>
    </bk>
    <bk>
      <extLst>
        <ext uri="{3e2802c4-a4d2-4d8b-9148-e3be6c30e623}">
          <xlrd:rvb i="10853"/>
        </ext>
      </extLst>
    </bk>
    <bk>
      <extLst>
        <ext uri="{3e2802c4-a4d2-4d8b-9148-e3be6c30e623}">
          <xlrd:rvb i="10854"/>
        </ext>
      </extLst>
    </bk>
    <bk>
      <extLst>
        <ext uri="{3e2802c4-a4d2-4d8b-9148-e3be6c30e623}">
          <xlrd:rvb i="10855"/>
        </ext>
      </extLst>
    </bk>
    <bk>
      <extLst>
        <ext uri="{3e2802c4-a4d2-4d8b-9148-e3be6c30e623}">
          <xlrd:rvb i="10856"/>
        </ext>
      </extLst>
    </bk>
    <bk>
      <extLst>
        <ext uri="{3e2802c4-a4d2-4d8b-9148-e3be6c30e623}">
          <xlrd:rvb i="10857"/>
        </ext>
      </extLst>
    </bk>
    <bk>
      <extLst>
        <ext uri="{3e2802c4-a4d2-4d8b-9148-e3be6c30e623}">
          <xlrd:rvb i="10858"/>
        </ext>
      </extLst>
    </bk>
    <bk>
      <extLst>
        <ext uri="{3e2802c4-a4d2-4d8b-9148-e3be6c30e623}">
          <xlrd:rvb i="10859"/>
        </ext>
      </extLst>
    </bk>
    <bk>
      <extLst>
        <ext uri="{3e2802c4-a4d2-4d8b-9148-e3be6c30e623}">
          <xlrd:rvb i="10860"/>
        </ext>
      </extLst>
    </bk>
    <bk>
      <extLst>
        <ext uri="{3e2802c4-a4d2-4d8b-9148-e3be6c30e623}">
          <xlrd:rvb i="10861"/>
        </ext>
      </extLst>
    </bk>
    <bk>
      <extLst>
        <ext uri="{3e2802c4-a4d2-4d8b-9148-e3be6c30e623}">
          <xlrd:rvb i="10862"/>
        </ext>
      </extLst>
    </bk>
    <bk>
      <extLst>
        <ext uri="{3e2802c4-a4d2-4d8b-9148-e3be6c30e623}">
          <xlrd:rvb i="10863"/>
        </ext>
      </extLst>
    </bk>
    <bk>
      <extLst>
        <ext uri="{3e2802c4-a4d2-4d8b-9148-e3be6c30e623}">
          <xlrd:rvb i="10864"/>
        </ext>
      </extLst>
    </bk>
    <bk>
      <extLst>
        <ext uri="{3e2802c4-a4d2-4d8b-9148-e3be6c30e623}">
          <xlrd:rvb i="10865"/>
        </ext>
      </extLst>
    </bk>
    <bk>
      <extLst>
        <ext uri="{3e2802c4-a4d2-4d8b-9148-e3be6c30e623}">
          <xlrd:rvb i="10866"/>
        </ext>
      </extLst>
    </bk>
    <bk>
      <extLst>
        <ext uri="{3e2802c4-a4d2-4d8b-9148-e3be6c30e623}">
          <xlrd:rvb i="10867"/>
        </ext>
      </extLst>
    </bk>
    <bk>
      <extLst>
        <ext uri="{3e2802c4-a4d2-4d8b-9148-e3be6c30e623}">
          <xlrd:rvb i="10868"/>
        </ext>
      </extLst>
    </bk>
    <bk>
      <extLst>
        <ext uri="{3e2802c4-a4d2-4d8b-9148-e3be6c30e623}">
          <xlrd:rvb i="10869"/>
        </ext>
      </extLst>
    </bk>
    <bk>
      <extLst>
        <ext uri="{3e2802c4-a4d2-4d8b-9148-e3be6c30e623}">
          <xlrd:rvb i="10870"/>
        </ext>
      </extLst>
    </bk>
    <bk>
      <extLst>
        <ext uri="{3e2802c4-a4d2-4d8b-9148-e3be6c30e623}">
          <xlrd:rvb i="10871"/>
        </ext>
      </extLst>
    </bk>
    <bk>
      <extLst>
        <ext uri="{3e2802c4-a4d2-4d8b-9148-e3be6c30e623}">
          <xlrd:rvb i="10872"/>
        </ext>
      </extLst>
    </bk>
    <bk>
      <extLst>
        <ext uri="{3e2802c4-a4d2-4d8b-9148-e3be6c30e623}">
          <xlrd:rvb i="10873"/>
        </ext>
      </extLst>
    </bk>
    <bk>
      <extLst>
        <ext uri="{3e2802c4-a4d2-4d8b-9148-e3be6c30e623}">
          <xlrd:rvb i="10874"/>
        </ext>
      </extLst>
    </bk>
    <bk>
      <extLst>
        <ext uri="{3e2802c4-a4d2-4d8b-9148-e3be6c30e623}">
          <xlrd:rvb i="10875"/>
        </ext>
      </extLst>
    </bk>
    <bk>
      <extLst>
        <ext uri="{3e2802c4-a4d2-4d8b-9148-e3be6c30e623}">
          <xlrd:rvb i="10876"/>
        </ext>
      </extLst>
    </bk>
    <bk>
      <extLst>
        <ext uri="{3e2802c4-a4d2-4d8b-9148-e3be6c30e623}">
          <xlrd:rvb i="10877"/>
        </ext>
      </extLst>
    </bk>
    <bk>
      <extLst>
        <ext uri="{3e2802c4-a4d2-4d8b-9148-e3be6c30e623}">
          <xlrd:rvb i="10878"/>
        </ext>
      </extLst>
    </bk>
    <bk>
      <extLst>
        <ext uri="{3e2802c4-a4d2-4d8b-9148-e3be6c30e623}">
          <xlrd:rvb i="10879"/>
        </ext>
      </extLst>
    </bk>
    <bk>
      <extLst>
        <ext uri="{3e2802c4-a4d2-4d8b-9148-e3be6c30e623}">
          <xlrd:rvb i="10880"/>
        </ext>
      </extLst>
    </bk>
    <bk>
      <extLst>
        <ext uri="{3e2802c4-a4d2-4d8b-9148-e3be6c30e623}">
          <xlrd:rvb i="10881"/>
        </ext>
      </extLst>
    </bk>
    <bk>
      <extLst>
        <ext uri="{3e2802c4-a4d2-4d8b-9148-e3be6c30e623}">
          <xlrd:rvb i="10882"/>
        </ext>
      </extLst>
    </bk>
    <bk>
      <extLst>
        <ext uri="{3e2802c4-a4d2-4d8b-9148-e3be6c30e623}">
          <xlrd:rvb i="10883"/>
        </ext>
      </extLst>
    </bk>
    <bk>
      <extLst>
        <ext uri="{3e2802c4-a4d2-4d8b-9148-e3be6c30e623}">
          <xlrd:rvb i="10884"/>
        </ext>
      </extLst>
    </bk>
    <bk>
      <extLst>
        <ext uri="{3e2802c4-a4d2-4d8b-9148-e3be6c30e623}">
          <xlrd:rvb i="10885"/>
        </ext>
      </extLst>
    </bk>
    <bk>
      <extLst>
        <ext uri="{3e2802c4-a4d2-4d8b-9148-e3be6c30e623}">
          <xlrd:rvb i="10886"/>
        </ext>
      </extLst>
    </bk>
    <bk>
      <extLst>
        <ext uri="{3e2802c4-a4d2-4d8b-9148-e3be6c30e623}">
          <xlrd:rvb i="10887"/>
        </ext>
      </extLst>
    </bk>
    <bk>
      <extLst>
        <ext uri="{3e2802c4-a4d2-4d8b-9148-e3be6c30e623}">
          <xlrd:rvb i="10888"/>
        </ext>
      </extLst>
    </bk>
    <bk>
      <extLst>
        <ext uri="{3e2802c4-a4d2-4d8b-9148-e3be6c30e623}">
          <xlrd:rvb i="10889"/>
        </ext>
      </extLst>
    </bk>
    <bk>
      <extLst>
        <ext uri="{3e2802c4-a4d2-4d8b-9148-e3be6c30e623}">
          <xlrd:rvb i="10890"/>
        </ext>
      </extLst>
    </bk>
    <bk>
      <extLst>
        <ext uri="{3e2802c4-a4d2-4d8b-9148-e3be6c30e623}">
          <xlrd:rvb i="10891"/>
        </ext>
      </extLst>
    </bk>
    <bk>
      <extLst>
        <ext uri="{3e2802c4-a4d2-4d8b-9148-e3be6c30e623}">
          <xlrd:rvb i="10892"/>
        </ext>
      </extLst>
    </bk>
    <bk>
      <extLst>
        <ext uri="{3e2802c4-a4d2-4d8b-9148-e3be6c30e623}">
          <xlrd:rvb i="10893"/>
        </ext>
      </extLst>
    </bk>
    <bk>
      <extLst>
        <ext uri="{3e2802c4-a4d2-4d8b-9148-e3be6c30e623}">
          <xlrd:rvb i="10894"/>
        </ext>
      </extLst>
    </bk>
    <bk>
      <extLst>
        <ext uri="{3e2802c4-a4d2-4d8b-9148-e3be6c30e623}">
          <xlrd:rvb i="10895"/>
        </ext>
      </extLst>
    </bk>
    <bk>
      <extLst>
        <ext uri="{3e2802c4-a4d2-4d8b-9148-e3be6c30e623}">
          <xlrd:rvb i="10896"/>
        </ext>
      </extLst>
    </bk>
    <bk>
      <extLst>
        <ext uri="{3e2802c4-a4d2-4d8b-9148-e3be6c30e623}">
          <xlrd:rvb i="10897"/>
        </ext>
      </extLst>
    </bk>
    <bk>
      <extLst>
        <ext uri="{3e2802c4-a4d2-4d8b-9148-e3be6c30e623}">
          <xlrd:rvb i="10898"/>
        </ext>
      </extLst>
    </bk>
    <bk>
      <extLst>
        <ext uri="{3e2802c4-a4d2-4d8b-9148-e3be6c30e623}">
          <xlrd:rvb i="10899"/>
        </ext>
      </extLst>
    </bk>
    <bk>
      <extLst>
        <ext uri="{3e2802c4-a4d2-4d8b-9148-e3be6c30e623}">
          <xlrd:rvb i="10900"/>
        </ext>
      </extLst>
    </bk>
    <bk>
      <extLst>
        <ext uri="{3e2802c4-a4d2-4d8b-9148-e3be6c30e623}">
          <xlrd:rvb i="10901"/>
        </ext>
      </extLst>
    </bk>
    <bk>
      <extLst>
        <ext uri="{3e2802c4-a4d2-4d8b-9148-e3be6c30e623}">
          <xlrd:rvb i="10902"/>
        </ext>
      </extLst>
    </bk>
    <bk>
      <extLst>
        <ext uri="{3e2802c4-a4d2-4d8b-9148-e3be6c30e623}">
          <xlrd:rvb i="10903"/>
        </ext>
      </extLst>
    </bk>
    <bk>
      <extLst>
        <ext uri="{3e2802c4-a4d2-4d8b-9148-e3be6c30e623}">
          <xlrd:rvb i="10904"/>
        </ext>
      </extLst>
    </bk>
    <bk>
      <extLst>
        <ext uri="{3e2802c4-a4d2-4d8b-9148-e3be6c30e623}">
          <xlrd:rvb i="10905"/>
        </ext>
      </extLst>
    </bk>
    <bk>
      <extLst>
        <ext uri="{3e2802c4-a4d2-4d8b-9148-e3be6c30e623}">
          <xlrd:rvb i="10906"/>
        </ext>
      </extLst>
    </bk>
    <bk>
      <extLst>
        <ext uri="{3e2802c4-a4d2-4d8b-9148-e3be6c30e623}">
          <xlrd:rvb i="10907"/>
        </ext>
      </extLst>
    </bk>
    <bk>
      <extLst>
        <ext uri="{3e2802c4-a4d2-4d8b-9148-e3be6c30e623}">
          <xlrd:rvb i="10908"/>
        </ext>
      </extLst>
    </bk>
    <bk>
      <extLst>
        <ext uri="{3e2802c4-a4d2-4d8b-9148-e3be6c30e623}">
          <xlrd:rvb i="10909"/>
        </ext>
      </extLst>
    </bk>
    <bk>
      <extLst>
        <ext uri="{3e2802c4-a4d2-4d8b-9148-e3be6c30e623}">
          <xlrd:rvb i="10910"/>
        </ext>
      </extLst>
    </bk>
    <bk>
      <extLst>
        <ext uri="{3e2802c4-a4d2-4d8b-9148-e3be6c30e623}">
          <xlrd:rvb i="10911"/>
        </ext>
      </extLst>
    </bk>
    <bk>
      <extLst>
        <ext uri="{3e2802c4-a4d2-4d8b-9148-e3be6c30e623}">
          <xlrd:rvb i="10912"/>
        </ext>
      </extLst>
    </bk>
    <bk>
      <extLst>
        <ext uri="{3e2802c4-a4d2-4d8b-9148-e3be6c30e623}">
          <xlrd:rvb i="10913"/>
        </ext>
      </extLst>
    </bk>
    <bk>
      <extLst>
        <ext uri="{3e2802c4-a4d2-4d8b-9148-e3be6c30e623}">
          <xlrd:rvb i="10914"/>
        </ext>
      </extLst>
    </bk>
    <bk>
      <extLst>
        <ext uri="{3e2802c4-a4d2-4d8b-9148-e3be6c30e623}">
          <xlrd:rvb i="10915"/>
        </ext>
      </extLst>
    </bk>
    <bk>
      <extLst>
        <ext uri="{3e2802c4-a4d2-4d8b-9148-e3be6c30e623}">
          <xlrd:rvb i="10916"/>
        </ext>
      </extLst>
    </bk>
    <bk>
      <extLst>
        <ext uri="{3e2802c4-a4d2-4d8b-9148-e3be6c30e623}">
          <xlrd:rvb i="10917"/>
        </ext>
      </extLst>
    </bk>
    <bk>
      <extLst>
        <ext uri="{3e2802c4-a4d2-4d8b-9148-e3be6c30e623}">
          <xlrd:rvb i="10918"/>
        </ext>
      </extLst>
    </bk>
    <bk>
      <extLst>
        <ext uri="{3e2802c4-a4d2-4d8b-9148-e3be6c30e623}">
          <xlrd:rvb i="10919"/>
        </ext>
      </extLst>
    </bk>
    <bk>
      <extLst>
        <ext uri="{3e2802c4-a4d2-4d8b-9148-e3be6c30e623}">
          <xlrd:rvb i="10920"/>
        </ext>
      </extLst>
    </bk>
    <bk>
      <extLst>
        <ext uri="{3e2802c4-a4d2-4d8b-9148-e3be6c30e623}">
          <xlrd:rvb i="10921"/>
        </ext>
      </extLst>
    </bk>
    <bk>
      <extLst>
        <ext uri="{3e2802c4-a4d2-4d8b-9148-e3be6c30e623}">
          <xlrd:rvb i="10922"/>
        </ext>
      </extLst>
    </bk>
    <bk>
      <extLst>
        <ext uri="{3e2802c4-a4d2-4d8b-9148-e3be6c30e623}">
          <xlrd:rvb i="10923"/>
        </ext>
      </extLst>
    </bk>
    <bk>
      <extLst>
        <ext uri="{3e2802c4-a4d2-4d8b-9148-e3be6c30e623}">
          <xlrd:rvb i="10924"/>
        </ext>
      </extLst>
    </bk>
    <bk>
      <extLst>
        <ext uri="{3e2802c4-a4d2-4d8b-9148-e3be6c30e623}">
          <xlrd:rvb i="10925"/>
        </ext>
      </extLst>
    </bk>
    <bk>
      <extLst>
        <ext uri="{3e2802c4-a4d2-4d8b-9148-e3be6c30e623}">
          <xlrd:rvb i="10926"/>
        </ext>
      </extLst>
    </bk>
    <bk>
      <extLst>
        <ext uri="{3e2802c4-a4d2-4d8b-9148-e3be6c30e623}">
          <xlrd:rvb i="10927"/>
        </ext>
      </extLst>
    </bk>
    <bk>
      <extLst>
        <ext uri="{3e2802c4-a4d2-4d8b-9148-e3be6c30e623}">
          <xlrd:rvb i="10928"/>
        </ext>
      </extLst>
    </bk>
    <bk>
      <extLst>
        <ext uri="{3e2802c4-a4d2-4d8b-9148-e3be6c30e623}">
          <xlrd:rvb i="10929"/>
        </ext>
      </extLst>
    </bk>
    <bk>
      <extLst>
        <ext uri="{3e2802c4-a4d2-4d8b-9148-e3be6c30e623}">
          <xlrd:rvb i="10930"/>
        </ext>
      </extLst>
    </bk>
    <bk>
      <extLst>
        <ext uri="{3e2802c4-a4d2-4d8b-9148-e3be6c30e623}">
          <xlrd:rvb i="10931"/>
        </ext>
      </extLst>
    </bk>
    <bk>
      <extLst>
        <ext uri="{3e2802c4-a4d2-4d8b-9148-e3be6c30e623}">
          <xlrd:rvb i="10932"/>
        </ext>
      </extLst>
    </bk>
    <bk>
      <extLst>
        <ext uri="{3e2802c4-a4d2-4d8b-9148-e3be6c30e623}">
          <xlrd:rvb i="10933"/>
        </ext>
      </extLst>
    </bk>
    <bk>
      <extLst>
        <ext uri="{3e2802c4-a4d2-4d8b-9148-e3be6c30e623}">
          <xlrd:rvb i="10934"/>
        </ext>
      </extLst>
    </bk>
    <bk>
      <extLst>
        <ext uri="{3e2802c4-a4d2-4d8b-9148-e3be6c30e623}">
          <xlrd:rvb i="10935"/>
        </ext>
      </extLst>
    </bk>
    <bk>
      <extLst>
        <ext uri="{3e2802c4-a4d2-4d8b-9148-e3be6c30e623}">
          <xlrd:rvb i="10936"/>
        </ext>
      </extLst>
    </bk>
    <bk>
      <extLst>
        <ext uri="{3e2802c4-a4d2-4d8b-9148-e3be6c30e623}">
          <xlrd:rvb i="10937"/>
        </ext>
      </extLst>
    </bk>
    <bk>
      <extLst>
        <ext uri="{3e2802c4-a4d2-4d8b-9148-e3be6c30e623}">
          <xlrd:rvb i="10938"/>
        </ext>
      </extLst>
    </bk>
    <bk>
      <extLst>
        <ext uri="{3e2802c4-a4d2-4d8b-9148-e3be6c30e623}">
          <xlrd:rvb i="10939"/>
        </ext>
      </extLst>
    </bk>
    <bk>
      <extLst>
        <ext uri="{3e2802c4-a4d2-4d8b-9148-e3be6c30e623}">
          <xlrd:rvb i="10940"/>
        </ext>
      </extLst>
    </bk>
    <bk>
      <extLst>
        <ext uri="{3e2802c4-a4d2-4d8b-9148-e3be6c30e623}">
          <xlrd:rvb i="10941"/>
        </ext>
      </extLst>
    </bk>
    <bk>
      <extLst>
        <ext uri="{3e2802c4-a4d2-4d8b-9148-e3be6c30e623}">
          <xlrd:rvb i="10942"/>
        </ext>
      </extLst>
    </bk>
    <bk>
      <extLst>
        <ext uri="{3e2802c4-a4d2-4d8b-9148-e3be6c30e623}">
          <xlrd:rvb i="10943"/>
        </ext>
      </extLst>
    </bk>
    <bk>
      <extLst>
        <ext uri="{3e2802c4-a4d2-4d8b-9148-e3be6c30e623}">
          <xlrd:rvb i="10944"/>
        </ext>
      </extLst>
    </bk>
    <bk>
      <extLst>
        <ext uri="{3e2802c4-a4d2-4d8b-9148-e3be6c30e623}">
          <xlrd:rvb i="10945"/>
        </ext>
      </extLst>
    </bk>
    <bk>
      <extLst>
        <ext uri="{3e2802c4-a4d2-4d8b-9148-e3be6c30e623}">
          <xlrd:rvb i="10946"/>
        </ext>
      </extLst>
    </bk>
    <bk>
      <extLst>
        <ext uri="{3e2802c4-a4d2-4d8b-9148-e3be6c30e623}">
          <xlrd:rvb i="10947"/>
        </ext>
      </extLst>
    </bk>
    <bk>
      <extLst>
        <ext uri="{3e2802c4-a4d2-4d8b-9148-e3be6c30e623}">
          <xlrd:rvb i="10948"/>
        </ext>
      </extLst>
    </bk>
    <bk>
      <extLst>
        <ext uri="{3e2802c4-a4d2-4d8b-9148-e3be6c30e623}">
          <xlrd:rvb i="10949"/>
        </ext>
      </extLst>
    </bk>
    <bk>
      <extLst>
        <ext uri="{3e2802c4-a4d2-4d8b-9148-e3be6c30e623}">
          <xlrd:rvb i="10950"/>
        </ext>
      </extLst>
    </bk>
    <bk>
      <extLst>
        <ext uri="{3e2802c4-a4d2-4d8b-9148-e3be6c30e623}">
          <xlrd:rvb i="10951"/>
        </ext>
      </extLst>
    </bk>
    <bk>
      <extLst>
        <ext uri="{3e2802c4-a4d2-4d8b-9148-e3be6c30e623}">
          <xlrd:rvb i="10952"/>
        </ext>
      </extLst>
    </bk>
    <bk>
      <extLst>
        <ext uri="{3e2802c4-a4d2-4d8b-9148-e3be6c30e623}">
          <xlrd:rvb i="10953"/>
        </ext>
      </extLst>
    </bk>
    <bk>
      <extLst>
        <ext uri="{3e2802c4-a4d2-4d8b-9148-e3be6c30e623}">
          <xlrd:rvb i="10954"/>
        </ext>
      </extLst>
    </bk>
    <bk>
      <extLst>
        <ext uri="{3e2802c4-a4d2-4d8b-9148-e3be6c30e623}">
          <xlrd:rvb i="10955"/>
        </ext>
      </extLst>
    </bk>
    <bk>
      <extLst>
        <ext uri="{3e2802c4-a4d2-4d8b-9148-e3be6c30e623}">
          <xlrd:rvb i="10956"/>
        </ext>
      </extLst>
    </bk>
    <bk>
      <extLst>
        <ext uri="{3e2802c4-a4d2-4d8b-9148-e3be6c30e623}">
          <xlrd:rvb i="10957"/>
        </ext>
      </extLst>
    </bk>
    <bk>
      <extLst>
        <ext uri="{3e2802c4-a4d2-4d8b-9148-e3be6c30e623}">
          <xlrd:rvb i="10958"/>
        </ext>
      </extLst>
    </bk>
    <bk>
      <extLst>
        <ext uri="{3e2802c4-a4d2-4d8b-9148-e3be6c30e623}">
          <xlrd:rvb i="10959"/>
        </ext>
      </extLst>
    </bk>
    <bk>
      <extLst>
        <ext uri="{3e2802c4-a4d2-4d8b-9148-e3be6c30e623}">
          <xlrd:rvb i="10960"/>
        </ext>
      </extLst>
    </bk>
    <bk>
      <extLst>
        <ext uri="{3e2802c4-a4d2-4d8b-9148-e3be6c30e623}">
          <xlrd:rvb i="10961"/>
        </ext>
      </extLst>
    </bk>
    <bk>
      <extLst>
        <ext uri="{3e2802c4-a4d2-4d8b-9148-e3be6c30e623}">
          <xlrd:rvb i="10962"/>
        </ext>
      </extLst>
    </bk>
    <bk>
      <extLst>
        <ext uri="{3e2802c4-a4d2-4d8b-9148-e3be6c30e623}">
          <xlrd:rvb i="10963"/>
        </ext>
      </extLst>
    </bk>
    <bk>
      <extLst>
        <ext uri="{3e2802c4-a4d2-4d8b-9148-e3be6c30e623}">
          <xlrd:rvb i="10964"/>
        </ext>
      </extLst>
    </bk>
    <bk>
      <extLst>
        <ext uri="{3e2802c4-a4d2-4d8b-9148-e3be6c30e623}">
          <xlrd:rvb i="10965"/>
        </ext>
      </extLst>
    </bk>
    <bk>
      <extLst>
        <ext uri="{3e2802c4-a4d2-4d8b-9148-e3be6c30e623}">
          <xlrd:rvb i="10966"/>
        </ext>
      </extLst>
    </bk>
    <bk>
      <extLst>
        <ext uri="{3e2802c4-a4d2-4d8b-9148-e3be6c30e623}">
          <xlrd:rvb i="10967"/>
        </ext>
      </extLst>
    </bk>
    <bk>
      <extLst>
        <ext uri="{3e2802c4-a4d2-4d8b-9148-e3be6c30e623}">
          <xlrd:rvb i="10968"/>
        </ext>
      </extLst>
    </bk>
    <bk>
      <extLst>
        <ext uri="{3e2802c4-a4d2-4d8b-9148-e3be6c30e623}">
          <xlrd:rvb i="10969"/>
        </ext>
      </extLst>
    </bk>
    <bk>
      <extLst>
        <ext uri="{3e2802c4-a4d2-4d8b-9148-e3be6c30e623}">
          <xlrd:rvb i="10970"/>
        </ext>
      </extLst>
    </bk>
    <bk>
      <extLst>
        <ext uri="{3e2802c4-a4d2-4d8b-9148-e3be6c30e623}">
          <xlrd:rvb i="10971"/>
        </ext>
      </extLst>
    </bk>
    <bk>
      <extLst>
        <ext uri="{3e2802c4-a4d2-4d8b-9148-e3be6c30e623}">
          <xlrd:rvb i="10972"/>
        </ext>
      </extLst>
    </bk>
    <bk>
      <extLst>
        <ext uri="{3e2802c4-a4d2-4d8b-9148-e3be6c30e623}">
          <xlrd:rvb i="10973"/>
        </ext>
      </extLst>
    </bk>
    <bk>
      <extLst>
        <ext uri="{3e2802c4-a4d2-4d8b-9148-e3be6c30e623}">
          <xlrd:rvb i="10974"/>
        </ext>
      </extLst>
    </bk>
    <bk>
      <extLst>
        <ext uri="{3e2802c4-a4d2-4d8b-9148-e3be6c30e623}">
          <xlrd:rvb i="10975"/>
        </ext>
      </extLst>
    </bk>
    <bk>
      <extLst>
        <ext uri="{3e2802c4-a4d2-4d8b-9148-e3be6c30e623}">
          <xlrd:rvb i="10976"/>
        </ext>
      </extLst>
    </bk>
    <bk>
      <extLst>
        <ext uri="{3e2802c4-a4d2-4d8b-9148-e3be6c30e623}">
          <xlrd:rvb i="10977"/>
        </ext>
      </extLst>
    </bk>
    <bk>
      <extLst>
        <ext uri="{3e2802c4-a4d2-4d8b-9148-e3be6c30e623}">
          <xlrd:rvb i="10978"/>
        </ext>
      </extLst>
    </bk>
    <bk>
      <extLst>
        <ext uri="{3e2802c4-a4d2-4d8b-9148-e3be6c30e623}">
          <xlrd:rvb i="10979"/>
        </ext>
      </extLst>
    </bk>
    <bk>
      <extLst>
        <ext uri="{3e2802c4-a4d2-4d8b-9148-e3be6c30e623}">
          <xlrd:rvb i="10980"/>
        </ext>
      </extLst>
    </bk>
    <bk>
      <extLst>
        <ext uri="{3e2802c4-a4d2-4d8b-9148-e3be6c30e623}">
          <xlrd:rvb i="10981"/>
        </ext>
      </extLst>
    </bk>
    <bk>
      <extLst>
        <ext uri="{3e2802c4-a4d2-4d8b-9148-e3be6c30e623}">
          <xlrd:rvb i="10982"/>
        </ext>
      </extLst>
    </bk>
    <bk>
      <extLst>
        <ext uri="{3e2802c4-a4d2-4d8b-9148-e3be6c30e623}">
          <xlrd:rvb i="10983"/>
        </ext>
      </extLst>
    </bk>
    <bk>
      <extLst>
        <ext uri="{3e2802c4-a4d2-4d8b-9148-e3be6c30e623}">
          <xlrd:rvb i="10984"/>
        </ext>
      </extLst>
    </bk>
    <bk>
      <extLst>
        <ext uri="{3e2802c4-a4d2-4d8b-9148-e3be6c30e623}">
          <xlrd:rvb i="10985"/>
        </ext>
      </extLst>
    </bk>
    <bk>
      <extLst>
        <ext uri="{3e2802c4-a4d2-4d8b-9148-e3be6c30e623}">
          <xlrd:rvb i="10986"/>
        </ext>
      </extLst>
    </bk>
    <bk>
      <extLst>
        <ext uri="{3e2802c4-a4d2-4d8b-9148-e3be6c30e623}">
          <xlrd:rvb i="10987"/>
        </ext>
      </extLst>
    </bk>
    <bk>
      <extLst>
        <ext uri="{3e2802c4-a4d2-4d8b-9148-e3be6c30e623}">
          <xlrd:rvb i="10988"/>
        </ext>
      </extLst>
    </bk>
    <bk>
      <extLst>
        <ext uri="{3e2802c4-a4d2-4d8b-9148-e3be6c30e623}">
          <xlrd:rvb i="10989"/>
        </ext>
      </extLst>
    </bk>
    <bk>
      <extLst>
        <ext uri="{3e2802c4-a4d2-4d8b-9148-e3be6c30e623}">
          <xlrd:rvb i="10990"/>
        </ext>
      </extLst>
    </bk>
    <bk>
      <extLst>
        <ext uri="{3e2802c4-a4d2-4d8b-9148-e3be6c30e623}">
          <xlrd:rvb i="10991"/>
        </ext>
      </extLst>
    </bk>
    <bk>
      <extLst>
        <ext uri="{3e2802c4-a4d2-4d8b-9148-e3be6c30e623}">
          <xlrd:rvb i="10992"/>
        </ext>
      </extLst>
    </bk>
    <bk>
      <extLst>
        <ext uri="{3e2802c4-a4d2-4d8b-9148-e3be6c30e623}">
          <xlrd:rvb i="10993"/>
        </ext>
      </extLst>
    </bk>
    <bk>
      <extLst>
        <ext uri="{3e2802c4-a4d2-4d8b-9148-e3be6c30e623}">
          <xlrd:rvb i="10994"/>
        </ext>
      </extLst>
    </bk>
    <bk>
      <extLst>
        <ext uri="{3e2802c4-a4d2-4d8b-9148-e3be6c30e623}">
          <xlrd:rvb i="10995"/>
        </ext>
      </extLst>
    </bk>
    <bk>
      <extLst>
        <ext uri="{3e2802c4-a4d2-4d8b-9148-e3be6c30e623}">
          <xlrd:rvb i="10996"/>
        </ext>
      </extLst>
    </bk>
    <bk>
      <extLst>
        <ext uri="{3e2802c4-a4d2-4d8b-9148-e3be6c30e623}">
          <xlrd:rvb i="10997"/>
        </ext>
      </extLst>
    </bk>
    <bk>
      <extLst>
        <ext uri="{3e2802c4-a4d2-4d8b-9148-e3be6c30e623}">
          <xlrd:rvb i="10998"/>
        </ext>
      </extLst>
    </bk>
    <bk>
      <extLst>
        <ext uri="{3e2802c4-a4d2-4d8b-9148-e3be6c30e623}">
          <xlrd:rvb i="10999"/>
        </ext>
      </extLst>
    </bk>
    <bk>
      <extLst>
        <ext uri="{3e2802c4-a4d2-4d8b-9148-e3be6c30e623}">
          <xlrd:rvb i="11000"/>
        </ext>
      </extLst>
    </bk>
    <bk>
      <extLst>
        <ext uri="{3e2802c4-a4d2-4d8b-9148-e3be6c30e623}">
          <xlrd:rvb i="11001"/>
        </ext>
      </extLst>
    </bk>
    <bk>
      <extLst>
        <ext uri="{3e2802c4-a4d2-4d8b-9148-e3be6c30e623}">
          <xlrd:rvb i="11002"/>
        </ext>
      </extLst>
    </bk>
    <bk>
      <extLst>
        <ext uri="{3e2802c4-a4d2-4d8b-9148-e3be6c30e623}">
          <xlrd:rvb i="11003"/>
        </ext>
      </extLst>
    </bk>
    <bk>
      <extLst>
        <ext uri="{3e2802c4-a4d2-4d8b-9148-e3be6c30e623}">
          <xlrd:rvb i="11004"/>
        </ext>
      </extLst>
    </bk>
    <bk>
      <extLst>
        <ext uri="{3e2802c4-a4d2-4d8b-9148-e3be6c30e623}">
          <xlrd:rvb i="11005"/>
        </ext>
      </extLst>
    </bk>
    <bk>
      <extLst>
        <ext uri="{3e2802c4-a4d2-4d8b-9148-e3be6c30e623}">
          <xlrd:rvb i="11006"/>
        </ext>
      </extLst>
    </bk>
    <bk>
      <extLst>
        <ext uri="{3e2802c4-a4d2-4d8b-9148-e3be6c30e623}">
          <xlrd:rvb i="11007"/>
        </ext>
      </extLst>
    </bk>
    <bk>
      <extLst>
        <ext uri="{3e2802c4-a4d2-4d8b-9148-e3be6c30e623}">
          <xlrd:rvb i="11008"/>
        </ext>
      </extLst>
    </bk>
    <bk>
      <extLst>
        <ext uri="{3e2802c4-a4d2-4d8b-9148-e3be6c30e623}">
          <xlrd:rvb i="11009"/>
        </ext>
      </extLst>
    </bk>
    <bk>
      <extLst>
        <ext uri="{3e2802c4-a4d2-4d8b-9148-e3be6c30e623}">
          <xlrd:rvb i="11010"/>
        </ext>
      </extLst>
    </bk>
    <bk>
      <extLst>
        <ext uri="{3e2802c4-a4d2-4d8b-9148-e3be6c30e623}">
          <xlrd:rvb i="11011"/>
        </ext>
      </extLst>
    </bk>
    <bk>
      <extLst>
        <ext uri="{3e2802c4-a4d2-4d8b-9148-e3be6c30e623}">
          <xlrd:rvb i="11012"/>
        </ext>
      </extLst>
    </bk>
    <bk>
      <extLst>
        <ext uri="{3e2802c4-a4d2-4d8b-9148-e3be6c30e623}">
          <xlrd:rvb i="11013"/>
        </ext>
      </extLst>
    </bk>
    <bk>
      <extLst>
        <ext uri="{3e2802c4-a4d2-4d8b-9148-e3be6c30e623}">
          <xlrd:rvb i="11014"/>
        </ext>
      </extLst>
    </bk>
    <bk>
      <extLst>
        <ext uri="{3e2802c4-a4d2-4d8b-9148-e3be6c30e623}">
          <xlrd:rvb i="11015"/>
        </ext>
      </extLst>
    </bk>
    <bk>
      <extLst>
        <ext uri="{3e2802c4-a4d2-4d8b-9148-e3be6c30e623}">
          <xlrd:rvb i="11016"/>
        </ext>
      </extLst>
    </bk>
    <bk>
      <extLst>
        <ext uri="{3e2802c4-a4d2-4d8b-9148-e3be6c30e623}">
          <xlrd:rvb i="11017"/>
        </ext>
      </extLst>
    </bk>
    <bk>
      <extLst>
        <ext uri="{3e2802c4-a4d2-4d8b-9148-e3be6c30e623}">
          <xlrd:rvb i="11018"/>
        </ext>
      </extLst>
    </bk>
    <bk>
      <extLst>
        <ext uri="{3e2802c4-a4d2-4d8b-9148-e3be6c30e623}">
          <xlrd:rvb i="11019"/>
        </ext>
      </extLst>
    </bk>
    <bk>
      <extLst>
        <ext uri="{3e2802c4-a4d2-4d8b-9148-e3be6c30e623}">
          <xlrd:rvb i="11020"/>
        </ext>
      </extLst>
    </bk>
    <bk>
      <extLst>
        <ext uri="{3e2802c4-a4d2-4d8b-9148-e3be6c30e623}">
          <xlrd:rvb i="11021"/>
        </ext>
      </extLst>
    </bk>
    <bk>
      <extLst>
        <ext uri="{3e2802c4-a4d2-4d8b-9148-e3be6c30e623}">
          <xlrd:rvb i="11022"/>
        </ext>
      </extLst>
    </bk>
    <bk>
      <extLst>
        <ext uri="{3e2802c4-a4d2-4d8b-9148-e3be6c30e623}">
          <xlrd:rvb i="11023"/>
        </ext>
      </extLst>
    </bk>
    <bk>
      <extLst>
        <ext uri="{3e2802c4-a4d2-4d8b-9148-e3be6c30e623}">
          <xlrd:rvb i="11024"/>
        </ext>
      </extLst>
    </bk>
    <bk>
      <extLst>
        <ext uri="{3e2802c4-a4d2-4d8b-9148-e3be6c30e623}">
          <xlrd:rvb i="11025"/>
        </ext>
      </extLst>
    </bk>
    <bk>
      <extLst>
        <ext uri="{3e2802c4-a4d2-4d8b-9148-e3be6c30e623}">
          <xlrd:rvb i="11026"/>
        </ext>
      </extLst>
    </bk>
    <bk>
      <extLst>
        <ext uri="{3e2802c4-a4d2-4d8b-9148-e3be6c30e623}">
          <xlrd:rvb i="11027"/>
        </ext>
      </extLst>
    </bk>
    <bk>
      <extLst>
        <ext uri="{3e2802c4-a4d2-4d8b-9148-e3be6c30e623}">
          <xlrd:rvb i="11028"/>
        </ext>
      </extLst>
    </bk>
    <bk>
      <extLst>
        <ext uri="{3e2802c4-a4d2-4d8b-9148-e3be6c30e623}">
          <xlrd:rvb i="11029"/>
        </ext>
      </extLst>
    </bk>
    <bk>
      <extLst>
        <ext uri="{3e2802c4-a4d2-4d8b-9148-e3be6c30e623}">
          <xlrd:rvb i="11030"/>
        </ext>
      </extLst>
    </bk>
    <bk>
      <extLst>
        <ext uri="{3e2802c4-a4d2-4d8b-9148-e3be6c30e623}">
          <xlrd:rvb i="11031"/>
        </ext>
      </extLst>
    </bk>
    <bk>
      <extLst>
        <ext uri="{3e2802c4-a4d2-4d8b-9148-e3be6c30e623}">
          <xlrd:rvb i="11032"/>
        </ext>
      </extLst>
    </bk>
    <bk>
      <extLst>
        <ext uri="{3e2802c4-a4d2-4d8b-9148-e3be6c30e623}">
          <xlrd:rvb i="11033"/>
        </ext>
      </extLst>
    </bk>
    <bk>
      <extLst>
        <ext uri="{3e2802c4-a4d2-4d8b-9148-e3be6c30e623}">
          <xlrd:rvb i="11034"/>
        </ext>
      </extLst>
    </bk>
    <bk>
      <extLst>
        <ext uri="{3e2802c4-a4d2-4d8b-9148-e3be6c30e623}">
          <xlrd:rvb i="11035"/>
        </ext>
      </extLst>
    </bk>
    <bk>
      <extLst>
        <ext uri="{3e2802c4-a4d2-4d8b-9148-e3be6c30e623}">
          <xlrd:rvb i="11036"/>
        </ext>
      </extLst>
    </bk>
    <bk>
      <extLst>
        <ext uri="{3e2802c4-a4d2-4d8b-9148-e3be6c30e623}">
          <xlrd:rvb i="11037"/>
        </ext>
      </extLst>
    </bk>
    <bk>
      <extLst>
        <ext uri="{3e2802c4-a4d2-4d8b-9148-e3be6c30e623}">
          <xlrd:rvb i="11038"/>
        </ext>
      </extLst>
    </bk>
    <bk>
      <extLst>
        <ext uri="{3e2802c4-a4d2-4d8b-9148-e3be6c30e623}">
          <xlrd:rvb i="11039"/>
        </ext>
      </extLst>
    </bk>
    <bk>
      <extLst>
        <ext uri="{3e2802c4-a4d2-4d8b-9148-e3be6c30e623}">
          <xlrd:rvb i="11040"/>
        </ext>
      </extLst>
    </bk>
    <bk>
      <extLst>
        <ext uri="{3e2802c4-a4d2-4d8b-9148-e3be6c30e623}">
          <xlrd:rvb i="11041"/>
        </ext>
      </extLst>
    </bk>
    <bk>
      <extLst>
        <ext uri="{3e2802c4-a4d2-4d8b-9148-e3be6c30e623}">
          <xlrd:rvb i="11042"/>
        </ext>
      </extLst>
    </bk>
    <bk>
      <extLst>
        <ext uri="{3e2802c4-a4d2-4d8b-9148-e3be6c30e623}">
          <xlrd:rvb i="11043"/>
        </ext>
      </extLst>
    </bk>
    <bk>
      <extLst>
        <ext uri="{3e2802c4-a4d2-4d8b-9148-e3be6c30e623}">
          <xlrd:rvb i="11044"/>
        </ext>
      </extLst>
    </bk>
    <bk>
      <extLst>
        <ext uri="{3e2802c4-a4d2-4d8b-9148-e3be6c30e623}">
          <xlrd:rvb i="11045"/>
        </ext>
      </extLst>
    </bk>
    <bk>
      <extLst>
        <ext uri="{3e2802c4-a4d2-4d8b-9148-e3be6c30e623}">
          <xlrd:rvb i="11046"/>
        </ext>
      </extLst>
    </bk>
    <bk>
      <extLst>
        <ext uri="{3e2802c4-a4d2-4d8b-9148-e3be6c30e623}">
          <xlrd:rvb i="11047"/>
        </ext>
      </extLst>
    </bk>
    <bk>
      <extLst>
        <ext uri="{3e2802c4-a4d2-4d8b-9148-e3be6c30e623}">
          <xlrd:rvb i="11048"/>
        </ext>
      </extLst>
    </bk>
    <bk>
      <extLst>
        <ext uri="{3e2802c4-a4d2-4d8b-9148-e3be6c30e623}">
          <xlrd:rvb i="11049"/>
        </ext>
      </extLst>
    </bk>
    <bk>
      <extLst>
        <ext uri="{3e2802c4-a4d2-4d8b-9148-e3be6c30e623}">
          <xlrd:rvb i="11050"/>
        </ext>
      </extLst>
    </bk>
    <bk>
      <extLst>
        <ext uri="{3e2802c4-a4d2-4d8b-9148-e3be6c30e623}">
          <xlrd:rvb i="11051"/>
        </ext>
      </extLst>
    </bk>
    <bk>
      <extLst>
        <ext uri="{3e2802c4-a4d2-4d8b-9148-e3be6c30e623}">
          <xlrd:rvb i="11052"/>
        </ext>
      </extLst>
    </bk>
    <bk>
      <extLst>
        <ext uri="{3e2802c4-a4d2-4d8b-9148-e3be6c30e623}">
          <xlrd:rvb i="11053"/>
        </ext>
      </extLst>
    </bk>
    <bk>
      <extLst>
        <ext uri="{3e2802c4-a4d2-4d8b-9148-e3be6c30e623}">
          <xlrd:rvb i="11054"/>
        </ext>
      </extLst>
    </bk>
    <bk>
      <extLst>
        <ext uri="{3e2802c4-a4d2-4d8b-9148-e3be6c30e623}">
          <xlrd:rvb i="11055"/>
        </ext>
      </extLst>
    </bk>
    <bk>
      <extLst>
        <ext uri="{3e2802c4-a4d2-4d8b-9148-e3be6c30e623}">
          <xlrd:rvb i="11056"/>
        </ext>
      </extLst>
    </bk>
    <bk>
      <extLst>
        <ext uri="{3e2802c4-a4d2-4d8b-9148-e3be6c30e623}">
          <xlrd:rvb i="11057"/>
        </ext>
      </extLst>
    </bk>
    <bk>
      <extLst>
        <ext uri="{3e2802c4-a4d2-4d8b-9148-e3be6c30e623}">
          <xlrd:rvb i="11058"/>
        </ext>
      </extLst>
    </bk>
    <bk>
      <extLst>
        <ext uri="{3e2802c4-a4d2-4d8b-9148-e3be6c30e623}">
          <xlrd:rvb i="11059"/>
        </ext>
      </extLst>
    </bk>
    <bk>
      <extLst>
        <ext uri="{3e2802c4-a4d2-4d8b-9148-e3be6c30e623}">
          <xlrd:rvb i="11060"/>
        </ext>
      </extLst>
    </bk>
    <bk>
      <extLst>
        <ext uri="{3e2802c4-a4d2-4d8b-9148-e3be6c30e623}">
          <xlrd:rvb i="11061"/>
        </ext>
      </extLst>
    </bk>
    <bk>
      <extLst>
        <ext uri="{3e2802c4-a4d2-4d8b-9148-e3be6c30e623}">
          <xlrd:rvb i="11062"/>
        </ext>
      </extLst>
    </bk>
    <bk>
      <extLst>
        <ext uri="{3e2802c4-a4d2-4d8b-9148-e3be6c30e623}">
          <xlrd:rvb i="11063"/>
        </ext>
      </extLst>
    </bk>
    <bk>
      <extLst>
        <ext uri="{3e2802c4-a4d2-4d8b-9148-e3be6c30e623}">
          <xlrd:rvb i="11064"/>
        </ext>
      </extLst>
    </bk>
    <bk>
      <extLst>
        <ext uri="{3e2802c4-a4d2-4d8b-9148-e3be6c30e623}">
          <xlrd:rvb i="11065"/>
        </ext>
      </extLst>
    </bk>
    <bk>
      <extLst>
        <ext uri="{3e2802c4-a4d2-4d8b-9148-e3be6c30e623}">
          <xlrd:rvb i="11066"/>
        </ext>
      </extLst>
    </bk>
    <bk>
      <extLst>
        <ext uri="{3e2802c4-a4d2-4d8b-9148-e3be6c30e623}">
          <xlrd:rvb i="11067"/>
        </ext>
      </extLst>
    </bk>
    <bk>
      <extLst>
        <ext uri="{3e2802c4-a4d2-4d8b-9148-e3be6c30e623}">
          <xlrd:rvb i="11068"/>
        </ext>
      </extLst>
    </bk>
    <bk>
      <extLst>
        <ext uri="{3e2802c4-a4d2-4d8b-9148-e3be6c30e623}">
          <xlrd:rvb i="11069"/>
        </ext>
      </extLst>
    </bk>
    <bk>
      <extLst>
        <ext uri="{3e2802c4-a4d2-4d8b-9148-e3be6c30e623}">
          <xlrd:rvb i="11070"/>
        </ext>
      </extLst>
    </bk>
    <bk>
      <extLst>
        <ext uri="{3e2802c4-a4d2-4d8b-9148-e3be6c30e623}">
          <xlrd:rvb i="11071"/>
        </ext>
      </extLst>
    </bk>
    <bk>
      <extLst>
        <ext uri="{3e2802c4-a4d2-4d8b-9148-e3be6c30e623}">
          <xlrd:rvb i="11072"/>
        </ext>
      </extLst>
    </bk>
    <bk>
      <extLst>
        <ext uri="{3e2802c4-a4d2-4d8b-9148-e3be6c30e623}">
          <xlrd:rvb i="11073"/>
        </ext>
      </extLst>
    </bk>
    <bk>
      <extLst>
        <ext uri="{3e2802c4-a4d2-4d8b-9148-e3be6c30e623}">
          <xlrd:rvb i="11074"/>
        </ext>
      </extLst>
    </bk>
    <bk>
      <extLst>
        <ext uri="{3e2802c4-a4d2-4d8b-9148-e3be6c30e623}">
          <xlrd:rvb i="11075"/>
        </ext>
      </extLst>
    </bk>
    <bk>
      <extLst>
        <ext uri="{3e2802c4-a4d2-4d8b-9148-e3be6c30e623}">
          <xlrd:rvb i="11076"/>
        </ext>
      </extLst>
    </bk>
    <bk>
      <extLst>
        <ext uri="{3e2802c4-a4d2-4d8b-9148-e3be6c30e623}">
          <xlrd:rvb i="11077"/>
        </ext>
      </extLst>
    </bk>
    <bk>
      <extLst>
        <ext uri="{3e2802c4-a4d2-4d8b-9148-e3be6c30e623}">
          <xlrd:rvb i="11078"/>
        </ext>
      </extLst>
    </bk>
    <bk>
      <extLst>
        <ext uri="{3e2802c4-a4d2-4d8b-9148-e3be6c30e623}">
          <xlrd:rvb i="11079"/>
        </ext>
      </extLst>
    </bk>
    <bk>
      <extLst>
        <ext uri="{3e2802c4-a4d2-4d8b-9148-e3be6c30e623}">
          <xlrd:rvb i="11080"/>
        </ext>
      </extLst>
    </bk>
    <bk>
      <extLst>
        <ext uri="{3e2802c4-a4d2-4d8b-9148-e3be6c30e623}">
          <xlrd:rvb i="11081"/>
        </ext>
      </extLst>
    </bk>
    <bk>
      <extLst>
        <ext uri="{3e2802c4-a4d2-4d8b-9148-e3be6c30e623}">
          <xlrd:rvb i="11082"/>
        </ext>
      </extLst>
    </bk>
    <bk>
      <extLst>
        <ext uri="{3e2802c4-a4d2-4d8b-9148-e3be6c30e623}">
          <xlrd:rvb i="11083"/>
        </ext>
      </extLst>
    </bk>
    <bk>
      <extLst>
        <ext uri="{3e2802c4-a4d2-4d8b-9148-e3be6c30e623}">
          <xlrd:rvb i="11084"/>
        </ext>
      </extLst>
    </bk>
    <bk>
      <extLst>
        <ext uri="{3e2802c4-a4d2-4d8b-9148-e3be6c30e623}">
          <xlrd:rvb i="11085"/>
        </ext>
      </extLst>
    </bk>
    <bk>
      <extLst>
        <ext uri="{3e2802c4-a4d2-4d8b-9148-e3be6c30e623}">
          <xlrd:rvb i="11086"/>
        </ext>
      </extLst>
    </bk>
    <bk>
      <extLst>
        <ext uri="{3e2802c4-a4d2-4d8b-9148-e3be6c30e623}">
          <xlrd:rvb i="11087"/>
        </ext>
      </extLst>
    </bk>
    <bk>
      <extLst>
        <ext uri="{3e2802c4-a4d2-4d8b-9148-e3be6c30e623}">
          <xlrd:rvb i="11088"/>
        </ext>
      </extLst>
    </bk>
    <bk>
      <extLst>
        <ext uri="{3e2802c4-a4d2-4d8b-9148-e3be6c30e623}">
          <xlrd:rvb i="11089"/>
        </ext>
      </extLst>
    </bk>
    <bk>
      <extLst>
        <ext uri="{3e2802c4-a4d2-4d8b-9148-e3be6c30e623}">
          <xlrd:rvb i="11090"/>
        </ext>
      </extLst>
    </bk>
    <bk>
      <extLst>
        <ext uri="{3e2802c4-a4d2-4d8b-9148-e3be6c30e623}">
          <xlrd:rvb i="11091"/>
        </ext>
      </extLst>
    </bk>
    <bk>
      <extLst>
        <ext uri="{3e2802c4-a4d2-4d8b-9148-e3be6c30e623}">
          <xlrd:rvb i="11092"/>
        </ext>
      </extLst>
    </bk>
    <bk>
      <extLst>
        <ext uri="{3e2802c4-a4d2-4d8b-9148-e3be6c30e623}">
          <xlrd:rvb i="11093"/>
        </ext>
      </extLst>
    </bk>
    <bk>
      <extLst>
        <ext uri="{3e2802c4-a4d2-4d8b-9148-e3be6c30e623}">
          <xlrd:rvb i="11094"/>
        </ext>
      </extLst>
    </bk>
    <bk>
      <extLst>
        <ext uri="{3e2802c4-a4d2-4d8b-9148-e3be6c30e623}">
          <xlrd:rvb i="11095"/>
        </ext>
      </extLst>
    </bk>
    <bk>
      <extLst>
        <ext uri="{3e2802c4-a4d2-4d8b-9148-e3be6c30e623}">
          <xlrd:rvb i="11096"/>
        </ext>
      </extLst>
    </bk>
    <bk>
      <extLst>
        <ext uri="{3e2802c4-a4d2-4d8b-9148-e3be6c30e623}">
          <xlrd:rvb i="11097"/>
        </ext>
      </extLst>
    </bk>
    <bk>
      <extLst>
        <ext uri="{3e2802c4-a4d2-4d8b-9148-e3be6c30e623}">
          <xlrd:rvb i="11098"/>
        </ext>
      </extLst>
    </bk>
    <bk>
      <extLst>
        <ext uri="{3e2802c4-a4d2-4d8b-9148-e3be6c30e623}">
          <xlrd:rvb i="11099"/>
        </ext>
      </extLst>
    </bk>
    <bk>
      <extLst>
        <ext uri="{3e2802c4-a4d2-4d8b-9148-e3be6c30e623}">
          <xlrd:rvb i="11100"/>
        </ext>
      </extLst>
    </bk>
    <bk>
      <extLst>
        <ext uri="{3e2802c4-a4d2-4d8b-9148-e3be6c30e623}">
          <xlrd:rvb i="11101"/>
        </ext>
      </extLst>
    </bk>
    <bk>
      <extLst>
        <ext uri="{3e2802c4-a4d2-4d8b-9148-e3be6c30e623}">
          <xlrd:rvb i="11102"/>
        </ext>
      </extLst>
    </bk>
    <bk>
      <extLst>
        <ext uri="{3e2802c4-a4d2-4d8b-9148-e3be6c30e623}">
          <xlrd:rvb i="11103"/>
        </ext>
      </extLst>
    </bk>
    <bk>
      <extLst>
        <ext uri="{3e2802c4-a4d2-4d8b-9148-e3be6c30e623}">
          <xlrd:rvb i="11104"/>
        </ext>
      </extLst>
    </bk>
    <bk>
      <extLst>
        <ext uri="{3e2802c4-a4d2-4d8b-9148-e3be6c30e623}">
          <xlrd:rvb i="11105"/>
        </ext>
      </extLst>
    </bk>
    <bk>
      <extLst>
        <ext uri="{3e2802c4-a4d2-4d8b-9148-e3be6c30e623}">
          <xlrd:rvb i="11106"/>
        </ext>
      </extLst>
    </bk>
    <bk>
      <extLst>
        <ext uri="{3e2802c4-a4d2-4d8b-9148-e3be6c30e623}">
          <xlrd:rvb i="11107"/>
        </ext>
      </extLst>
    </bk>
    <bk>
      <extLst>
        <ext uri="{3e2802c4-a4d2-4d8b-9148-e3be6c30e623}">
          <xlrd:rvb i="11108"/>
        </ext>
      </extLst>
    </bk>
    <bk>
      <extLst>
        <ext uri="{3e2802c4-a4d2-4d8b-9148-e3be6c30e623}">
          <xlrd:rvb i="11109"/>
        </ext>
      </extLst>
    </bk>
    <bk>
      <extLst>
        <ext uri="{3e2802c4-a4d2-4d8b-9148-e3be6c30e623}">
          <xlrd:rvb i="11110"/>
        </ext>
      </extLst>
    </bk>
    <bk>
      <extLst>
        <ext uri="{3e2802c4-a4d2-4d8b-9148-e3be6c30e623}">
          <xlrd:rvb i="11111"/>
        </ext>
      </extLst>
    </bk>
    <bk>
      <extLst>
        <ext uri="{3e2802c4-a4d2-4d8b-9148-e3be6c30e623}">
          <xlrd:rvb i="11112"/>
        </ext>
      </extLst>
    </bk>
    <bk>
      <extLst>
        <ext uri="{3e2802c4-a4d2-4d8b-9148-e3be6c30e623}">
          <xlrd:rvb i="11113"/>
        </ext>
      </extLst>
    </bk>
    <bk>
      <extLst>
        <ext uri="{3e2802c4-a4d2-4d8b-9148-e3be6c30e623}">
          <xlrd:rvb i="11114"/>
        </ext>
      </extLst>
    </bk>
    <bk>
      <extLst>
        <ext uri="{3e2802c4-a4d2-4d8b-9148-e3be6c30e623}">
          <xlrd:rvb i="11115"/>
        </ext>
      </extLst>
    </bk>
    <bk>
      <extLst>
        <ext uri="{3e2802c4-a4d2-4d8b-9148-e3be6c30e623}">
          <xlrd:rvb i="11116"/>
        </ext>
      </extLst>
    </bk>
    <bk>
      <extLst>
        <ext uri="{3e2802c4-a4d2-4d8b-9148-e3be6c30e623}">
          <xlrd:rvb i="11117"/>
        </ext>
      </extLst>
    </bk>
    <bk>
      <extLst>
        <ext uri="{3e2802c4-a4d2-4d8b-9148-e3be6c30e623}">
          <xlrd:rvb i="11118"/>
        </ext>
      </extLst>
    </bk>
    <bk>
      <extLst>
        <ext uri="{3e2802c4-a4d2-4d8b-9148-e3be6c30e623}">
          <xlrd:rvb i="11119"/>
        </ext>
      </extLst>
    </bk>
    <bk>
      <extLst>
        <ext uri="{3e2802c4-a4d2-4d8b-9148-e3be6c30e623}">
          <xlrd:rvb i="11120"/>
        </ext>
      </extLst>
    </bk>
    <bk>
      <extLst>
        <ext uri="{3e2802c4-a4d2-4d8b-9148-e3be6c30e623}">
          <xlrd:rvb i="11121"/>
        </ext>
      </extLst>
    </bk>
    <bk>
      <extLst>
        <ext uri="{3e2802c4-a4d2-4d8b-9148-e3be6c30e623}">
          <xlrd:rvb i="11122"/>
        </ext>
      </extLst>
    </bk>
    <bk>
      <extLst>
        <ext uri="{3e2802c4-a4d2-4d8b-9148-e3be6c30e623}">
          <xlrd:rvb i="11123"/>
        </ext>
      </extLst>
    </bk>
    <bk>
      <extLst>
        <ext uri="{3e2802c4-a4d2-4d8b-9148-e3be6c30e623}">
          <xlrd:rvb i="11124"/>
        </ext>
      </extLst>
    </bk>
    <bk>
      <extLst>
        <ext uri="{3e2802c4-a4d2-4d8b-9148-e3be6c30e623}">
          <xlrd:rvb i="11125"/>
        </ext>
      </extLst>
    </bk>
    <bk>
      <extLst>
        <ext uri="{3e2802c4-a4d2-4d8b-9148-e3be6c30e623}">
          <xlrd:rvb i="11126"/>
        </ext>
      </extLst>
    </bk>
    <bk>
      <extLst>
        <ext uri="{3e2802c4-a4d2-4d8b-9148-e3be6c30e623}">
          <xlrd:rvb i="11127"/>
        </ext>
      </extLst>
    </bk>
    <bk>
      <extLst>
        <ext uri="{3e2802c4-a4d2-4d8b-9148-e3be6c30e623}">
          <xlrd:rvb i="11128"/>
        </ext>
      </extLst>
    </bk>
    <bk>
      <extLst>
        <ext uri="{3e2802c4-a4d2-4d8b-9148-e3be6c30e623}">
          <xlrd:rvb i="11129"/>
        </ext>
      </extLst>
    </bk>
    <bk>
      <extLst>
        <ext uri="{3e2802c4-a4d2-4d8b-9148-e3be6c30e623}">
          <xlrd:rvb i="11130"/>
        </ext>
      </extLst>
    </bk>
    <bk>
      <extLst>
        <ext uri="{3e2802c4-a4d2-4d8b-9148-e3be6c30e623}">
          <xlrd:rvb i="11131"/>
        </ext>
      </extLst>
    </bk>
    <bk>
      <extLst>
        <ext uri="{3e2802c4-a4d2-4d8b-9148-e3be6c30e623}">
          <xlrd:rvb i="11132"/>
        </ext>
      </extLst>
    </bk>
    <bk>
      <extLst>
        <ext uri="{3e2802c4-a4d2-4d8b-9148-e3be6c30e623}">
          <xlrd:rvb i="11133"/>
        </ext>
      </extLst>
    </bk>
    <bk>
      <extLst>
        <ext uri="{3e2802c4-a4d2-4d8b-9148-e3be6c30e623}">
          <xlrd:rvb i="11134"/>
        </ext>
      </extLst>
    </bk>
    <bk>
      <extLst>
        <ext uri="{3e2802c4-a4d2-4d8b-9148-e3be6c30e623}">
          <xlrd:rvb i="11135"/>
        </ext>
      </extLst>
    </bk>
    <bk>
      <extLst>
        <ext uri="{3e2802c4-a4d2-4d8b-9148-e3be6c30e623}">
          <xlrd:rvb i="11136"/>
        </ext>
      </extLst>
    </bk>
    <bk>
      <extLst>
        <ext uri="{3e2802c4-a4d2-4d8b-9148-e3be6c30e623}">
          <xlrd:rvb i="11137"/>
        </ext>
      </extLst>
    </bk>
    <bk>
      <extLst>
        <ext uri="{3e2802c4-a4d2-4d8b-9148-e3be6c30e623}">
          <xlrd:rvb i="11138"/>
        </ext>
      </extLst>
    </bk>
    <bk>
      <extLst>
        <ext uri="{3e2802c4-a4d2-4d8b-9148-e3be6c30e623}">
          <xlrd:rvb i="11139"/>
        </ext>
      </extLst>
    </bk>
    <bk>
      <extLst>
        <ext uri="{3e2802c4-a4d2-4d8b-9148-e3be6c30e623}">
          <xlrd:rvb i="11140"/>
        </ext>
      </extLst>
    </bk>
    <bk>
      <extLst>
        <ext uri="{3e2802c4-a4d2-4d8b-9148-e3be6c30e623}">
          <xlrd:rvb i="11141"/>
        </ext>
      </extLst>
    </bk>
    <bk>
      <extLst>
        <ext uri="{3e2802c4-a4d2-4d8b-9148-e3be6c30e623}">
          <xlrd:rvb i="11142"/>
        </ext>
      </extLst>
    </bk>
    <bk>
      <extLst>
        <ext uri="{3e2802c4-a4d2-4d8b-9148-e3be6c30e623}">
          <xlrd:rvb i="11143"/>
        </ext>
      </extLst>
    </bk>
    <bk>
      <extLst>
        <ext uri="{3e2802c4-a4d2-4d8b-9148-e3be6c30e623}">
          <xlrd:rvb i="11144"/>
        </ext>
      </extLst>
    </bk>
    <bk>
      <extLst>
        <ext uri="{3e2802c4-a4d2-4d8b-9148-e3be6c30e623}">
          <xlrd:rvb i="11145"/>
        </ext>
      </extLst>
    </bk>
    <bk>
      <extLst>
        <ext uri="{3e2802c4-a4d2-4d8b-9148-e3be6c30e623}">
          <xlrd:rvb i="11146"/>
        </ext>
      </extLst>
    </bk>
    <bk>
      <extLst>
        <ext uri="{3e2802c4-a4d2-4d8b-9148-e3be6c30e623}">
          <xlrd:rvb i="11147"/>
        </ext>
      </extLst>
    </bk>
    <bk>
      <extLst>
        <ext uri="{3e2802c4-a4d2-4d8b-9148-e3be6c30e623}">
          <xlrd:rvb i="11148"/>
        </ext>
      </extLst>
    </bk>
    <bk>
      <extLst>
        <ext uri="{3e2802c4-a4d2-4d8b-9148-e3be6c30e623}">
          <xlrd:rvb i="11149"/>
        </ext>
      </extLst>
    </bk>
    <bk>
      <extLst>
        <ext uri="{3e2802c4-a4d2-4d8b-9148-e3be6c30e623}">
          <xlrd:rvb i="11150"/>
        </ext>
      </extLst>
    </bk>
    <bk>
      <extLst>
        <ext uri="{3e2802c4-a4d2-4d8b-9148-e3be6c30e623}">
          <xlrd:rvb i="11151"/>
        </ext>
      </extLst>
    </bk>
    <bk>
      <extLst>
        <ext uri="{3e2802c4-a4d2-4d8b-9148-e3be6c30e623}">
          <xlrd:rvb i="11152"/>
        </ext>
      </extLst>
    </bk>
    <bk>
      <extLst>
        <ext uri="{3e2802c4-a4d2-4d8b-9148-e3be6c30e623}">
          <xlrd:rvb i="11153"/>
        </ext>
      </extLst>
    </bk>
    <bk>
      <extLst>
        <ext uri="{3e2802c4-a4d2-4d8b-9148-e3be6c30e623}">
          <xlrd:rvb i="11154"/>
        </ext>
      </extLst>
    </bk>
    <bk>
      <extLst>
        <ext uri="{3e2802c4-a4d2-4d8b-9148-e3be6c30e623}">
          <xlrd:rvb i="11155"/>
        </ext>
      </extLst>
    </bk>
    <bk>
      <extLst>
        <ext uri="{3e2802c4-a4d2-4d8b-9148-e3be6c30e623}">
          <xlrd:rvb i="11156"/>
        </ext>
      </extLst>
    </bk>
    <bk>
      <extLst>
        <ext uri="{3e2802c4-a4d2-4d8b-9148-e3be6c30e623}">
          <xlrd:rvb i="11157"/>
        </ext>
      </extLst>
    </bk>
    <bk>
      <extLst>
        <ext uri="{3e2802c4-a4d2-4d8b-9148-e3be6c30e623}">
          <xlrd:rvb i="11158"/>
        </ext>
      </extLst>
    </bk>
    <bk>
      <extLst>
        <ext uri="{3e2802c4-a4d2-4d8b-9148-e3be6c30e623}">
          <xlrd:rvb i="11159"/>
        </ext>
      </extLst>
    </bk>
    <bk>
      <extLst>
        <ext uri="{3e2802c4-a4d2-4d8b-9148-e3be6c30e623}">
          <xlrd:rvb i="11160"/>
        </ext>
      </extLst>
    </bk>
    <bk>
      <extLst>
        <ext uri="{3e2802c4-a4d2-4d8b-9148-e3be6c30e623}">
          <xlrd:rvb i="11161"/>
        </ext>
      </extLst>
    </bk>
    <bk>
      <extLst>
        <ext uri="{3e2802c4-a4d2-4d8b-9148-e3be6c30e623}">
          <xlrd:rvb i="11162"/>
        </ext>
      </extLst>
    </bk>
    <bk>
      <extLst>
        <ext uri="{3e2802c4-a4d2-4d8b-9148-e3be6c30e623}">
          <xlrd:rvb i="11163"/>
        </ext>
      </extLst>
    </bk>
    <bk>
      <extLst>
        <ext uri="{3e2802c4-a4d2-4d8b-9148-e3be6c30e623}">
          <xlrd:rvb i="11164"/>
        </ext>
      </extLst>
    </bk>
    <bk>
      <extLst>
        <ext uri="{3e2802c4-a4d2-4d8b-9148-e3be6c30e623}">
          <xlrd:rvb i="11165"/>
        </ext>
      </extLst>
    </bk>
    <bk>
      <extLst>
        <ext uri="{3e2802c4-a4d2-4d8b-9148-e3be6c30e623}">
          <xlrd:rvb i="11166"/>
        </ext>
      </extLst>
    </bk>
    <bk>
      <extLst>
        <ext uri="{3e2802c4-a4d2-4d8b-9148-e3be6c30e623}">
          <xlrd:rvb i="11167"/>
        </ext>
      </extLst>
    </bk>
    <bk>
      <extLst>
        <ext uri="{3e2802c4-a4d2-4d8b-9148-e3be6c30e623}">
          <xlrd:rvb i="11168"/>
        </ext>
      </extLst>
    </bk>
    <bk>
      <extLst>
        <ext uri="{3e2802c4-a4d2-4d8b-9148-e3be6c30e623}">
          <xlrd:rvb i="11169"/>
        </ext>
      </extLst>
    </bk>
    <bk>
      <extLst>
        <ext uri="{3e2802c4-a4d2-4d8b-9148-e3be6c30e623}">
          <xlrd:rvb i="11170"/>
        </ext>
      </extLst>
    </bk>
    <bk>
      <extLst>
        <ext uri="{3e2802c4-a4d2-4d8b-9148-e3be6c30e623}">
          <xlrd:rvb i="11171"/>
        </ext>
      </extLst>
    </bk>
    <bk>
      <extLst>
        <ext uri="{3e2802c4-a4d2-4d8b-9148-e3be6c30e623}">
          <xlrd:rvb i="11172"/>
        </ext>
      </extLst>
    </bk>
    <bk>
      <extLst>
        <ext uri="{3e2802c4-a4d2-4d8b-9148-e3be6c30e623}">
          <xlrd:rvb i="11173"/>
        </ext>
      </extLst>
    </bk>
    <bk>
      <extLst>
        <ext uri="{3e2802c4-a4d2-4d8b-9148-e3be6c30e623}">
          <xlrd:rvb i="11174"/>
        </ext>
      </extLst>
    </bk>
    <bk>
      <extLst>
        <ext uri="{3e2802c4-a4d2-4d8b-9148-e3be6c30e623}">
          <xlrd:rvb i="11175"/>
        </ext>
      </extLst>
    </bk>
    <bk>
      <extLst>
        <ext uri="{3e2802c4-a4d2-4d8b-9148-e3be6c30e623}">
          <xlrd:rvb i="11176"/>
        </ext>
      </extLst>
    </bk>
    <bk>
      <extLst>
        <ext uri="{3e2802c4-a4d2-4d8b-9148-e3be6c30e623}">
          <xlrd:rvb i="11177"/>
        </ext>
      </extLst>
    </bk>
    <bk>
      <extLst>
        <ext uri="{3e2802c4-a4d2-4d8b-9148-e3be6c30e623}">
          <xlrd:rvb i="11178"/>
        </ext>
      </extLst>
    </bk>
    <bk>
      <extLst>
        <ext uri="{3e2802c4-a4d2-4d8b-9148-e3be6c30e623}">
          <xlrd:rvb i="11179"/>
        </ext>
      </extLst>
    </bk>
    <bk>
      <extLst>
        <ext uri="{3e2802c4-a4d2-4d8b-9148-e3be6c30e623}">
          <xlrd:rvb i="11180"/>
        </ext>
      </extLst>
    </bk>
    <bk>
      <extLst>
        <ext uri="{3e2802c4-a4d2-4d8b-9148-e3be6c30e623}">
          <xlrd:rvb i="11181"/>
        </ext>
      </extLst>
    </bk>
    <bk>
      <extLst>
        <ext uri="{3e2802c4-a4d2-4d8b-9148-e3be6c30e623}">
          <xlrd:rvb i="11182"/>
        </ext>
      </extLst>
    </bk>
    <bk>
      <extLst>
        <ext uri="{3e2802c4-a4d2-4d8b-9148-e3be6c30e623}">
          <xlrd:rvb i="11183"/>
        </ext>
      </extLst>
    </bk>
    <bk>
      <extLst>
        <ext uri="{3e2802c4-a4d2-4d8b-9148-e3be6c30e623}">
          <xlrd:rvb i="11184"/>
        </ext>
      </extLst>
    </bk>
    <bk>
      <extLst>
        <ext uri="{3e2802c4-a4d2-4d8b-9148-e3be6c30e623}">
          <xlrd:rvb i="11185"/>
        </ext>
      </extLst>
    </bk>
    <bk>
      <extLst>
        <ext uri="{3e2802c4-a4d2-4d8b-9148-e3be6c30e623}">
          <xlrd:rvb i="11186"/>
        </ext>
      </extLst>
    </bk>
    <bk>
      <extLst>
        <ext uri="{3e2802c4-a4d2-4d8b-9148-e3be6c30e623}">
          <xlrd:rvb i="11187"/>
        </ext>
      </extLst>
    </bk>
    <bk>
      <extLst>
        <ext uri="{3e2802c4-a4d2-4d8b-9148-e3be6c30e623}">
          <xlrd:rvb i="11188"/>
        </ext>
      </extLst>
    </bk>
    <bk>
      <extLst>
        <ext uri="{3e2802c4-a4d2-4d8b-9148-e3be6c30e623}">
          <xlrd:rvb i="11189"/>
        </ext>
      </extLst>
    </bk>
    <bk>
      <extLst>
        <ext uri="{3e2802c4-a4d2-4d8b-9148-e3be6c30e623}">
          <xlrd:rvb i="11190"/>
        </ext>
      </extLst>
    </bk>
    <bk>
      <extLst>
        <ext uri="{3e2802c4-a4d2-4d8b-9148-e3be6c30e623}">
          <xlrd:rvb i="11191"/>
        </ext>
      </extLst>
    </bk>
    <bk>
      <extLst>
        <ext uri="{3e2802c4-a4d2-4d8b-9148-e3be6c30e623}">
          <xlrd:rvb i="11192"/>
        </ext>
      </extLst>
    </bk>
    <bk>
      <extLst>
        <ext uri="{3e2802c4-a4d2-4d8b-9148-e3be6c30e623}">
          <xlrd:rvb i="11193"/>
        </ext>
      </extLst>
    </bk>
    <bk>
      <extLst>
        <ext uri="{3e2802c4-a4d2-4d8b-9148-e3be6c30e623}">
          <xlrd:rvb i="11194"/>
        </ext>
      </extLst>
    </bk>
    <bk>
      <extLst>
        <ext uri="{3e2802c4-a4d2-4d8b-9148-e3be6c30e623}">
          <xlrd:rvb i="11195"/>
        </ext>
      </extLst>
    </bk>
    <bk>
      <extLst>
        <ext uri="{3e2802c4-a4d2-4d8b-9148-e3be6c30e623}">
          <xlrd:rvb i="11196"/>
        </ext>
      </extLst>
    </bk>
    <bk>
      <extLst>
        <ext uri="{3e2802c4-a4d2-4d8b-9148-e3be6c30e623}">
          <xlrd:rvb i="11197"/>
        </ext>
      </extLst>
    </bk>
    <bk>
      <extLst>
        <ext uri="{3e2802c4-a4d2-4d8b-9148-e3be6c30e623}">
          <xlrd:rvb i="11198"/>
        </ext>
      </extLst>
    </bk>
    <bk>
      <extLst>
        <ext uri="{3e2802c4-a4d2-4d8b-9148-e3be6c30e623}">
          <xlrd:rvb i="11199"/>
        </ext>
      </extLst>
    </bk>
    <bk>
      <extLst>
        <ext uri="{3e2802c4-a4d2-4d8b-9148-e3be6c30e623}">
          <xlrd:rvb i="11200"/>
        </ext>
      </extLst>
    </bk>
    <bk>
      <extLst>
        <ext uri="{3e2802c4-a4d2-4d8b-9148-e3be6c30e623}">
          <xlrd:rvb i="11201"/>
        </ext>
      </extLst>
    </bk>
    <bk>
      <extLst>
        <ext uri="{3e2802c4-a4d2-4d8b-9148-e3be6c30e623}">
          <xlrd:rvb i="11202"/>
        </ext>
      </extLst>
    </bk>
    <bk>
      <extLst>
        <ext uri="{3e2802c4-a4d2-4d8b-9148-e3be6c30e623}">
          <xlrd:rvb i="11203"/>
        </ext>
      </extLst>
    </bk>
    <bk>
      <extLst>
        <ext uri="{3e2802c4-a4d2-4d8b-9148-e3be6c30e623}">
          <xlrd:rvb i="11204"/>
        </ext>
      </extLst>
    </bk>
    <bk>
      <extLst>
        <ext uri="{3e2802c4-a4d2-4d8b-9148-e3be6c30e623}">
          <xlrd:rvb i="11205"/>
        </ext>
      </extLst>
    </bk>
    <bk>
      <extLst>
        <ext uri="{3e2802c4-a4d2-4d8b-9148-e3be6c30e623}">
          <xlrd:rvb i="11206"/>
        </ext>
      </extLst>
    </bk>
    <bk>
      <extLst>
        <ext uri="{3e2802c4-a4d2-4d8b-9148-e3be6c30e623}">
          <xlrd:rvb i="11207"/>
        </ext>
      </extLst>
    </bk>
    <bk>
      <extLst>
        <ext uri="{3e2802c4-a4d2-4d8b-9148-e3be6c30e623}">
          <xlrd:rvb i="11208"/>
        </ext>
      </extLst>
    </bk>
    <bk>
      <extLst>
        <ext uri="{3e2802c4-a4d2-4d8b-9148-e3be6c30e623}">
          <xlrd:rvb i="11209"/>
        </ext>
      </extLst>
    </bk>
    <bk>
      <extLst>
        <ext uri="{3e2802c4-a4d2-4d8b-9148-e3be6c30e623}">
          <xlrd:rvb i="11210"/>
        </ext>
      </extLst>
    </bk>
    <bk>
      <extLst>
        <ext uri="{3e2802c4-a4d2-4d8b-9148-e3be6c30e623}">
          <xlrd:rvb i="11211"/>
        </ext>
      </extLst>
    </bk>
    <bk>
      <extLst>
        <ext uri="{3e2802c4-a4d2-4d8b-9148-e3be6c30e623}">
          <xlrd:rvb i="11212"/>
        </ext>
      </extLst>
    </bk>
    <bk>
      <extLst>
        <ext uri="{3e2802c4-a4d2-4d8b-9148-e3be6c30e623}">
          <xlrd:rvb i="11213"/>
        </ext>
      </extLst>
    </bk>
    <bk>
      <extLst>
        <ext uri="{3e2802c4-a4d2-4d8b-9148-e3be6c30e623}">
          <xlrd:rvb i="11214"/>
        </ext>
      </extLst>
    </bk>
    <bk>
      <extLst>
        <ext uri="{3e2802c4-a4d2-4d8b-9148-e3be6c30e623}">
          <xlrd:rvb i="11215"/>
        </ext>
      </extLst>
    </bk>
    <bk>
      <extLst>
        <ext uri="{3e2802c4-a4d2-4d8b-9148-e3be6c30e623}">
          <xlrd:rvb i="11216"/>
        </ext>
      </extLst>
    </bk>
    <bk>
      <extLst>
        <ext uri="{3e2802c4-a4d2-4d8b-9148-e3be6c30e623}">
          <xlrd:rvb i="11217"/>
        </ext>
      </extLst>
    </bk>
    <bk>
      <extLst>
        <ext uri="{3e2802c4-a4d2-4d8b-9148-e3be6c30e623}">
          <xlrd:rvb i="11218"/>
        </ext>
      </extLst>
    </bk>
    <bk>
      <extLst>
        <ext uri="{3e2802c4-a4d2-4d8b-9148-e3be6c30e623}">
          <xlrd:rvb i="11219"/>
        </ext>
      </extLst>
    </bk>
    <bk>
      <extLst>
        <ext uri="{3e2802c4-a4d2-4d8b-9148-e3be6c30e623}">
          <xlrd:rvb i="11220"/>
        </ext>
      </extLst>
    </bk>
    <bk>
      <extLst>
        <ext uri="{3e2802c4-a4d2-4d8b-9148-e3be6c30e623}">
          <xlrd:rvb i="11221"/>
        </ext>
      </extLst>
    </bk>
    <bk>
      <extLst>
        <ext uri="{3e2802c4-a4d2-4d8b-9148-e3be6c30e623}">
          <xlrd:rvb i="11222"/>
        </ext>
      </extLst>
    </bk>
    <bk>
      <extLst>
        <ext uri="{3e2802c4-a4d2-4d8b-9148-e3be6c30e623}">
          <xlrd:rvb i="11223"/>
        </ext>
      </extLst>
    </bk>
    <bk>
      <extLst>
        <ext uri="{3e2802c4-a4d2-4d8b-9148-e3be6c30e623}">
          <xlrd:rvb i="11224"/>
        </ext>
      </extLst>
    </bk>
    <bk>
      <extLst>
        <ext uri="{3e2802c4-a4d2-4d8b-9148-e3be6c30e623}">
          <xlrd:rvb i="11225"/>
        </ext>
      </extLst>
    </bk>
    <bk>
      <extLst>
        <ext uri="{3e2802c4-a4d2-4d8b-9148-e3be6c30e623}">
          <xlrd:rvb i="11226"/>
        </ext>
      </extLst>
    </bk>
    <bk>
      <extLst>
        <ext uri="{3e2802c4-a4d2-4d8b-9148-e3be6c30e623}">
          <xlrd:rvb i="11227"/>
        </ext>
      </extLst>
    </bk>
    <bk>
      <extLst>
        <ext uri="{3e2802c4-a4d2-4d8b-9148-e3be6c30e623}">
          <xlrd:rvb i="11228"/>
        </ext>
      </extLst>
    </bk>
    <bk>
      <extLst>
        <ext uri="{3e2802c4-a4d2-4d8b-9148-e3be6c30e623}">
          <xlrd:rvb i="11229"/>
        </ext>
      </extLst>
    </bk>
    <bk>
      <extLst>
        <ext uri="{3e2802c4-a4d2-4d8b-9148-e3be6c30e623}">
          <xlrd:rvb i="11230"/>
        </ext>
      </extLst>
    </bk>
    <bk>
      <extLst>
        <ext uri="{3e2802c4-a4d2-4d8b-9148-e3be6c30e623}">
          <xlrd:rvb i="11231"/>
        </ext>
      </extLst>
    </bk>
    <bk>
      <extLst>
        <ext uri="{3e2802c4-a4d2-4d8b-9148-e3be6c30e623}">
          <xlrd:rvb i="11232"/>
        </ext>
      </extLst>
    </bk>
    <bk>
      <extLst>
        <ext uri="{3e2802c4-a4d2-4d8b-9148-e3be6c30e623}">
          <xlrd:rvb i="11233"/>
        </ext>
      </extLst>
    </bk>
    <bk>
      <extLst>
        <ext uri="{3e2802c4-a4d2-4d8b-9148-e3be6c30e623}">
          <xlrd:rvb i="11234"/>
        </ext>
      </extLst>
    </bk>
    <bk>
      <extLst>
        <ext uri="{3e2802c4-a4d2-4d8b-9148-e3be6c30e623}">
          <xlrd:rvb i="11235"/>
        </ext>
      </extLst>
    </bk>
    <bk>
      <extLst>
        <ext uri="{3e2802c4-a4d2-4d8b-9148-e3be6c30e623}">
          <xlrd:rvb i="11236"/>
        </ext>
      </extLst>
    </bk>
    <bk>
      <extLst>
        <ext uri="{3e2802c4-a4d2-4d8b-9148-e3be6c30e623}">
          <xlrd:rvb i="11237"/>
        </ext>
      </extLst>
    </bk>
    <bk>
      <extLst>
        <ext uri="{3e2802c4-a4d2-4d8b-9148-e3be6c30e623}">
          <xlrd:rvb i="11238"/>
        </ext>
      </extLst>
    </bk>
    <bk>
      <extLst>
        <ext uri="{3e2802c4-a4d2-4d8b-9148-e3be6c30e623}">
          <xlrd:rvb i="11239"/>
        </ext>
      </extLst>
    </bk>
    <bk>
      <extLst>
        <ext uri="{3e2802c4-a4d2-4d8b-9148-e3be6c30e623}">
          <xlrd:rvb i="11240"/>
        </ext>
      </extLst>
    </bk>
    <bk>
      <extLst>
        <ext uri="{3e2802c4-a4d2-4d8b-9148-e3be6c30e623}">
          <xlrd:rvb i="11241"/>
        </ext>
      </extLst>
    </bk>
    <bk>
      <extLst>
        <ext uri="{3e2802c4-a4d2-4d8b-9148-e3be6c30e623}">
          <xlrd:rvb i="11242"/>
        </ext>
      </extLst>
    </bk>
    <bk>
      <extLst>
        <ext uri="{3e2802c4-a4d2-4d8b-9148-e3be6c30e623}">
          <xlrd:rvb i="11243"/>
        </ext>
      </extLst>
    </bk>
    <bk>
      <extLst>
        <ext uri="{3e2802c4-a4d2-4d8b-9148-e3be6c30e623}">
          <xlrd:rvb i="11244"/>
        </ext>
      </extLst>
    </bk>
    <bk>
      <extLst>
        <ext uri="{3e2802c4-a4d2-4d8b-9148-e3be6c30e623}">
          <xlrd:rvb i="11245"/>
        </ext>
      </extLst>
    </bk>
    <bk>
      <extLst>
        <ext uri="{3e2802c4-a4d2-4d8b-9148-e3be6c30e623}">
          <xlrd:rvb i="11246"/>
        </ext>
      </extLst>
    </bk>
    <bk>
      <extLst>
        <ext uri="{3e2802c4-a4d2-4d8b-9148-e3be6c30e623}">
          <xlrd:rvb i="11247"/>
        </ext>
      </extLst>
    </bk>
    <bk>
      <extLst>
        <ext uri="{3e2802c4-a4d2-4d8b-9148-e3be6c30e623}">
          <xlrd:rvb i="11248"/>
        </ext>
      </extLst>
    </bk>
    <bk>
      <extLst>
        <ext uri="{3e2802c4-a4d2-4d8b-9148-e3be6c30e623}">
          <xlrd:rvb i="11249"/>
        </ext>
      </extLst>
    </bk>
    <bk>
      <extLst>
        <ext uri="{3e2802c4-a4d2-4d8b-9148-e3be6c30e623}">
          <xlrd:rvb i="11250"/>
        </ext>
      </extLst>
    </bk>
    <bk>
      <extLst>
        <ext uri="{3e2802c4-a4d2-4d8b-9148-e3be6c30e623}">
          <xlrd:rvb i="11251"/>
        </ext>
      </extLst>
    </bk>
    <bk>
      <extLst>
        <ext uri="{3e2802c4-a4d2-4d8b-9148-e3be6c30e623}">
          <xlrd:rvb i="11252"/>
        </ext>
      </extLst>
    </bk>
    <bk>
      <extLst>
        <ext uri="{3e2802c4-a4d2-4d8b-9148-e3be6c30e623}">
          <xlrd:rvb i="11253"/>
        </ext>
      </extLst>
    </bk>
    <bk>
      <extLst>
        <ext uri="{3e2802c4-a4d2-4d8b-9148-e3be6c30e623}">
          <xlrd:rvb i="11254"/>
        </ext>
      </extLst>
    </bk>
    <bk>
      <extLst>
        <ext uri="{3e2802c4-a4d2-4d8b-9148-e3be6c30e623}">
          <xlrd:rvb i="11255"/>
        </ext>
      </extLst>
    </bk>
    <bk>
      <extLst>
        <ext uri="{3e2802c4-a4d2-4d8b-9148-e3be6c30e623}">
          <xlrd:rvb i="11256"/>
        </ext>
      </extLst>
    </bk>
    <bk>
      <extLst>
        <ext uri="{3e2802c4-a4d2-4d8b-9148-e3be6c30e623}">
          <xlrd:rvb i="11257"/>
        </ext>
      </extLst>
    </bk>
    <bk>
      <extLst>
        <ext uri="{3e2802c4-a4d2-4d8b-9148-e3be6c30e623}">
          <xlrd:rvb i="11258"/>
        </ext>
      </extLst>
    </bk>
    <bk>
      <extLst>
        <ext uri="{3e2802c4-a4d2-4d8b-9148-e3be6c30e623}">
          <xlrd:rvb i="11259"/>
        </ext>
      </extLst>
    </bk>
    <bk>
      <extLst>
        <ext uri="{3e2802c4-a4d2-4d8b-9148-e3be6c30e623}">
          <xlrd:rvb i="11260"/>
        </ext>
      </extLst>
    </bk>
    <bk>
      <extLst>
        <ext uri="{3e2802c4-a4d2-4d8b-9148-e3be6c30e623}">
          <xlrd:rvb i="11261"/>
        </ext>
      </extLst>
    </bk>
    <bk>
      <extLst>
        <ext uri="{3e2802c4-a4d2-4d8b-9148-e3be6c30e623}">
          <xlrd:rvb i="11262"/>
        </ext>
      </extLst>
    </bk>
    <bk>
      <extLst>
        <ext uri="{3e2802c4-a4d2-4d8b-9148-e3be6c30e623}">
          <xlrd:rvb i="11263"/>
        </ext>
      </extLst>
    </bk>
    <bk>
      <extLst>
        <ext uri="{3e2802c4-a4d2-4d8b-9148-e3be6c30e623}">
          <xlrd:rvb i="11264"/>
        </ext>
      </extLst>
    </bk>
    <bk>
      <extLst>
        <ext uri="{3e2802c4-a4d2-4d8b-9148-e3be6c30e623}">
          <xlrd:rvb i="11265"/>
        </ext>
      </extLst>
    </bk>
    <bk>
      <extLst>
        <ext uri="{3e2802c4-a4d2-4d8b-9148-e3be6c30e623}">
          <xlrd:rvb i="11266"/>
        </ext>
      </extLst>
    </bk>
    <bk>
      <extLst>
        <ext uri="{3e2802c4-a4d2-4d8b-9148-e3be6c30e623}">
          <xlrd:rvb i="11267"/>
        </ext>
      </extLst>
    </bk>
    <bk>
      <extLst>
        <ext uri="{3e2802c4-a4d2-4d8b-9148-e3be6c30e623}">
          <xlrd:rvb i="11268"/>
        </ext>
      </extLst>
    </bk>
    <bk>
      <extLst>
        <ext uri="{3e2802c4-a4d2-4d8b-9148-e3be6c30e623}">
          <xlrd:rvb i="11269"/>
        </ext>
      </extLst>
    </bk>
    <bk>
      <extLst>
        <ext uri="{3e2802c4-a4d2-4d8b-9148-e3be6c30e623}">
          <xlrd:rvb i="11270"/>
        </ext>
      </extLst>
    </bk>
    <bk>
      <extLst>
        <ext uri="{3e2802c4-a4d2-4d8b-9148-e3be6c30e623}">
          <xlrd:rvb i="11271"/>
        </ext>
      </extLst>
    </bk>
    <bk>
      <extLst>
        <ext uri="{3e2802c4-a4d2-4d8b-9148-e3be6c30e623}">
          <xlrd:rvb i="11272"/>
        </ext>
      </extLst>
    </bk>
    <bk>
      <extLst>
        <ext uri="{3e2802c4-a4d2-4d8b-9148-e3be6c30e623}">
          <xlrd:rvb i="11273"/>
        </ext>
      </extLst>
    </bk>
    <bk>
      <extLst>
        <ext uri="{3e2802c4-a4d2-4d8b-9148-e3be6c30e623}">
          <xlrd:rvb i="11274"/>
        </ext>
      </extLst>
    </bk>
    <bk>
      <extLst>
        <ext uri="{3e2802c4-a4d2-4d8b-9148-e3be6c30e623}">
          <xlrd:rvb i="11275"/>
        </ext>
      </extLst>
    </bk>
    <bk>
      <extLst>
        <ext uri="{3e2802c4-a4d2-4d8b-9148-e3be6c30e623}">
          <xlrd:rvb i="11276"/>
        </ext>
      </extLst>
    </bk>
    <bk>
      <extLst>
        <ext uri="{3e2802c4-a4d2-4d8b-9148-e3be6c30e623}">
          <xlrd:rvb i="11277"/>
        </ext>
      </extLst>
    </bk>
    <bk>
      <extLst>
        <ext uri="{3e2802c4-a4d2-4d8b-9148-e3be6c30e623}">
          <xlrd:rvb i="11278"/>
        </ext>
      </extLst>
    </bk>
    <bk>
      <extLst>
        <ext uri="{3e2802c4-a4d2-4d8b-9148-e3be6c30e623}">
          <xlrd:rvb i="11279"/>
        </ext>
      </extLst>
    </bk>
    <bk>
      <extLst>
        <ext uri="{3e2802c4-a4d2-4d8b-9148-e3be6c30e623}">
          <xlrd:rvb i="11280"/>
        </ext>
      </extLst>
    </bk>
    <bk>
      <extLst>
        <ext uri="{3e2802c4-a4d2-4d8b-9148-e3be6c30e623}">
          <xlrd:rvb i="11281"/>
        </ext>
      </extLst>
    </bk>
    <bk>
      <extLst>
        <ext uri="{3e2802c4-a4d2-4d8b-9148-e3be6c30e623}">
          <xlrd:rvb i="11282"/>
        </ext>
      </extLst>
    </bk>
    <bk>
      <extLst>
        <ext uri="{3e2802c4-a4d2-4d8b-9148-e3be6c30e623}">
          <xlrd:rvb i="11283"/>
        </ext>
      </extLst>
    </bk>
    <bk>
      <extLst>
        <ext uri="{3e2802c4-a4d2-4d8b-9148-e3be6c30e623}">
          <xlrd:rvb i="11284"/>
        </ext>
      </extLst>
    </bk>
    <bk>
      <extLst>
        <ext uri="{3e2802c4-a4d2-4d8b-9148-e3be6c30e623}">
          <xlrd:rvb i="11285"/>
        </ext>
      </extLst>
    </bk>
    <bk>
      <extLst>
        <ext uri="{3e2802c4-a4d2-4d8b-9148-e3be6c30e623}">
          <xlrd:rvb i="11286"/>
        </ext>
      </extLst>
    </bk>
    <bk>
      <extLst>
        <ext uri="{3e2802c4-a4d2-4d8b-9148-e3be6c30e623}">
          <xlrd:rvb i="11287"/>
        </ext>
      </extLst>
    </bk>
    <bk>
      <extLst>
        <ext uri="{3e2802c4-a4d2-4d8b-9148-e3be6c30e623}">
          <xlrd:rvb i="11288"/>
        </ext>
      </extLst>
    </bk>
    <bk>
      <extLst>
        <ext uri="{3e2802c4-a4d2-4d8b-9148-e3be6c30e623}">
          <xlrd:rvb i="11289"/>
        </ext>
      </extLst>
    </bk>
    <bk>
      <extLst>
        <ext uri="{3e2802c4-a4d2-4d8b-9148-e3be6c30e623}">
          <xlrd:rvb i="11290"/>
        </ext>
      </extLst>
    </bk>
    <bk>
      <extLst>
        <ext uri="{3e2802c4-a4d2-4d8b-9148-e3be6c30e623}">
          <xlrd:rvb i="11291"/>
        </ext>
      </extLst>
    </bk>
    <bk>
      <extLst>
        <ext uri="{3e2802c4-a4d2-4d8b-9148-e3be6c30e623}">
          <xlrd:rvb i="11292"/>
        </ext>
      </extLst>
    </bk>
    <bk>
      <extLst>
        <ext uri="{3e2802c4-a4d2-4d8b-9148-e3be6c30e623}">
          <xlrd:rvb i="11293"/>
        </ext>
      </extLst>
    </bk>
    <bk>
      <extLst>
        <ext uri="{3e2802c4-a4d2-4d8b-9148-e3be6c30e623}">
          <xlrd:rvb i="11294"/>
        </ext>
      </extLst>
    </bk>
    <bk>
      <extLst>
        <ext uri="{3e2802c4-a4d2-4d8b-9148-e3be6c30e623}">
          <xlrd:rvb i="11295"/>
        </ext>
      </extLst>
    </bk>
    <bk>
      <extLst>
        <ext uri="{3e2802c4-a4d2-4d8b-9148-e3be6c30e623}">
          <xlrd:rvb i="11296"/>
        </ext>
      </extLst>
    </bk>
    <bk>
      <extLst>
        <ext uri="{3e2802c4-a4d2-4d8b-9148-e3be6c30e623}">
          <xlrd:rvb i="11297"/>
        </ext>
      </extLst>
    </bk>
    <bk>
      <extLst>
        <ext uri="{3e2802c4-a4d2-4d8b-9148-e3be6c30e623}">
          <xlrd:rvb i="11298"/>
        </ext>
      </extLst>
    </bk>
    <bk>
      <extLst>
        <ext uri="{3e2802c4-a4d2-4d8b-9148-e3be6c30e623}">
          <xlrd:rvb i="11299"/>
        </ext>
      </extLst>
    </bk>
    <bk>
      <extLst>
        <ext uri="{3e2802c4-a4d2-4d8b-9148-e3be6c30e623}">
          <xlrd:rvb i="11300"/>
        </ext>
      </extLst>
    </bk>
    <bk>
      <extLst>
        <ext uri="{3e2802c4-a4d2-4d8b-9148-e3be6c30e623}">
          <xlrd:rvb i="11301"/>
        </ext>
      </extLst>
    </bk>
    <bk>
      <extLst>
        <ext uri="{3e2802c4-a4d2-4d8b-9148-e3be6c30e623}">
          <xlrd:rvb i="11302"/>
        </ext>
      </extLst>
    </bk>
    <bk>
      <extLst>
        <ext uri="{3e2802c4-a4d2-4d8b-9148-e3be6c30e623}">
          <xlrd:rvb i="11303"/>
        </ext>
      </extLst>
    </bk>
    <bk>
      <extLst>
        <ext uri="{3e2802c4-a4d2-4d8b-9148-e3be6c30e623}">
          <xlrd:rvb i="11304"/>
        </ext>
      </extLst>
    </bk>
    <bk>
      <extLst>
        <ext uri="{3e2802c4-a4d2-4d8b-9148-e3be6c30e623}">
          <xlrd:rvb i="11305"/>
        </ext>
      </extLst>
    </bk>
    <bk>
      <extLst>
        <ext uri="{3e2802c4-a4d2-4d8b-9148-e3be6c30e623}">
          <xlrd:rvb i="11306"/>
        </ext>
      </extLst>
    </bk>
    <bk>
      <extLst>
        <ext uri="{3e2802c4-a4d2-4d8b-9148-e3be6c30e623}">
          <xlrd:rvb i="11307"/>
        </ext>
      </extLst>
    </bk>
    <bk>
      <extLst>
        <ext uri="{3e2802c4-a4d2-4d8b-9148-e3be6c30e623}">
          <xlrd:rvb i="11308"/>
        </ext>
      </extLst>
    </bk>
    <bk>
      <extLst>
        <ext uri="{3e2802c4-a4d2-4d8b-9148-e3be6c30e623}">
          <xlrd:rvb i="11309"/>
        </ext>
      </extLst>
    </bk>
    <bk>
      <extLst>
        <ext uri="{3e2802c4-a4d2-4d8b-9148-e3be6c30e623}">
          <xlrd:rvb i="11310"/>
        </ext>
      </extLst>
    </bk>
    <bk>
      <extLst>
        <ext uri="{3e2802c4-a4d2-4d8b-9148-e3be6c30e623}">
          <xlrd:rvb i="11311"/>
        </ext>
      </extLst>
    </bk>
    <bk>
      <extLst>
        <ext uri="{3e2802c4-a4d2-4d8b-9148-e3be6c30e623}">
          <xlrd:rvb i="11312"/>
        </ext>
      </extLst>
    </bk>
    <bk>
      <extLst>
        <ext uri="{3e2802c4-a4d2-4d8b-9148-e3be6c30e623}">
          <xlrd:rvb i="11313"/>
        </ext>
      </extLst>
    </bk>
    <bk>
      <extLst>
        <ext uri="{3e2802c4-a4d2-4d8b-9148-e3be6c30e623}">
          <xlrd:rvb i="11314"/>
        </ext>
      </extLst>
    </bk>
    <bk>
      <extLst>
        <ext uri="{3e2802c4-a4d2-4d8b-9148-e3be6c30e623}">
          <xlrd:rvb i="11315"/>
        </ext>
      </extLst>
    </bk>
    <bk>
      <extLst>
        <ext uri="{3e2802c4-a4d2-4d8b-9148-e3be6c30e623}">
          <xlrd:rvb i="11316"/>
        </ext>
      </extLst>
    </bk>
    <bk>
      <extLst>
        <ext uri="{3e2802c4-a4d2-4d8b-9148-e3be6c30e623}">
          <xlrd:rvb i="11317"/>
        </ext>
      </extLst>
    </bk>
    <bk>
      <extLst>
        <ext uri="{3e2802c4-a4d2-4d8b-9148-e3be6c30e623}">
          <xlrd:rvb i="11318"/>
        </ext>
      </extLst>
    </bk>
    <bk>
      <extLst>
        <ext uri="{3e2802c4-a4d2-4d8b-9148-e3be6c30e623}">
          <xlrd:rvb i="11319"/>
        </ext>
      </extLst>
    </bk>
    <bk>
      <extLst>
        <ext uri="{3e2802c4-a4d2-4d8b-9148-e3be6c30e623}">
          <xlrd:rvb i="11320"/>
        </ext>
      </extLst>
    </bk>
    <bk>
      <extLst>
        <ext uri="{3e2802c4-a4d2-4d8b-9148-e3be6c30e623}">
          <xlrd:rvb i="11321"/>
        </ext>
      </extLst>
    </bk>
    <bk>
      <extLst>
        <ext uri="{3e2802c4-a4d2-4d8b-9148-e3be6c30e623}">
          <xlrd:rvb i="11322"/>
        </ext>
      </extLst>
    </bk>
    <bk>
      <extLst>
        <ext uri="{3e2802c4-a4d2-4d8b-9148-e3be6c30e623}">
          <xlrd:rvb i="11323"/>
        </ext>
      </extLst>
    </bk>
    <bk>
      <extLst>
        <ext uri="{3e2802c4-a4d2-4d8b-9148-e3be6c30e623}">
          <xlrd:rvb i="11324"/>
        </ext>
      </extLst>
    </bk>
    <bk>
      <extLst>
        <ext uri="{3e2802c4-a4d2-4d8b-9148-e3be6c30e623}">
          <xlrd:rvb i="11325"/>
        </ext>
      </extLst>
    </bk>
    <bk>
      <extLst>
        <ext uri="{3e2802c4-a4d2-4d8b-9148-e3be6c30e623}">
          <xlrd:rvb i="11326"/>
        </ext>
      </extLst>
    </bk>
    <bk>
      <extLst>
        <ext uri="{3e2802c4-a4d2-4d8b-9148-e3be6c30e623}">
          <xlrd:rvb i="11327"/>
        </ext>
      </extLst>
    </bk>
    <bk>
      <extLst>
        <ext uri="{3e2802c4-a4d2-4d8b-9148-e3be6c30e623}">
          <xlrd:rvb i="11328"/>
        </ext>
      </extLst>
    </bk>
    <bk>
      <extLst>
        <ext uri="{3e2802c4-a4d2-4d8b-9148-e3be6c30e623}">
          <xlrd:rvb i="11329"/>
        </ext>
      </extLst>
    </bk>
    <bk>
      <extLst>
        <ext uri="{3e2802c4-a4d2-4d8b-9148-e3be6c30e623}">
          <xlrd:rvb i="11330"/>
        </ext>
      </extLst>
    </bk>
    <bk>
      <extLst>
        <ext uri="{3e2802c4-a4d2-4d8b-9148-e3be6c30e623}">
          <xlrd:rvb i="11331"/>
        </ext>
      </extLst>
    </bk>
    <bk>
      <extLst>
        <ext uri="{3e2802c4-a4d2-4d8b-9148-e3be6c30e623}">
          <xlrd:rvb i="11332"/>
        </ext>
      </extLst>
    </bk>
    <bk>
      <extLst>
        <ext uri="{3e2802c4-a4d2-4d8b-9148-e3be6c30e623}">
          <xlrd:rvb i="11333"/>
        </ext>
      </extLst>
    </bk>
    <bk>
      <extLst>
        <ext uri="{3e2802c4-a4d2-4d8b-9148-e3be6c30e623}">
          <xlrd:rvb i="11334"/>
        </ext>
      </extLst>
    </bk>
    <bk>
      <extLst>
        <ext uri="{3e2802c4-a4d2-4d8b-9148-e3be6c30e623}">
          <xlrd:rvb i="11335"/>
        </ext>
      </extLst>
    </bk>
    <bk>
      <extLst>
        <ext uri="{3e2802c4-a4d2-4d8b-9148-e3be6c30e623}">
          <xlrd:rvb i="11336"/>
        </ext>
      </extLst>
    </bk>
    <bk>
      <extLst>
        <ext uri="{3e2802c4-a4d2-4d8b-9148-e3be6c30e623}">
          <xlrd:rvb i="11337"/>
        </ext>
      </extLst>
    </bk>
    <bk>
      <extLst>
        <ext uri="{3e2802c4-a4d2-4d8b-9148-e3be6c30e623}">
          <xlrd:rvb i="11338"/>
        </ext>
      </extLst>
    </bk>
    <bk>
      <extLst>
        <ext uri="{3e2802c4-a4d2-4d8b-9148-e3be6c30e623}">
          <xlrd:rvb i="11339"/>
        </ext>
      </extLst>
    </bk>
    <bk>
      <extLst>
        <ext uri="{3e2802c4-a4d2-4d8b-9148-e3be6c30e623}">
          <xlrd:rvb i="11340"/>
        </ext>
      </extLst>
    </bk>
    <bk>
      <extLst>
        <ext uri="{3e2802c4-a4d2-4d8b-9148-e3be6c30e623}">
          <xlrd:rvb i="11341"/>
        </ext>
      </extLst>
    </bk>
    <bk>
      <extLst>
        <ext uri="{3e2802c4-a4d2-4d8b-9148-e3be6c30e623}">
          <xlrd:rvb i="11342"/>
        </ext>
      </extLst>
    </bk>
    <bk>
      <extLst>
        <ext uri="{3e2802c4-a4d2-4d8b-9148-e3be6c30e623}">
          <xlrd:rvb i="11343"/>
        </ext>
      </extLst>
    </bk>
    <bk>
      <extLst>
        <ext uri="{3e2802c4-a4d2-4d8b-9148-e3be6c30e623}">
          <xlrd:rvb i="11344"/>
        </ext>
      </extLst>
    </bk>
    <bk>
      <extLst>
        <ext uri="{3e2802c4-a4d2-4d8b-9148-e3be6c30e623}">
          <xlrd:rvb i="11345"/>
        </ext>
      </extLst>
    </bk>
    <bk>
      <extLst>
        <ext uri="{3e2802c4-a4d2-4d8b-9148-e3be6c30e623}">
          <xlrd:rvb i="11346"/>
        </ext>
      </extLst>
    </bk>
    <bk>
      <extLst>
        <ext uri="{3e2802c4-a4d2-4d8b-9148-e3be6c30e623}">
          <xlrd:rvb i="11347"/>
        </ext>
      </extLst>
    </bk>
    <bk>
      <extLst>
        <ext uri="{3e2802c4-a4d2-4d8b-9148-e3be6c30e623}">
          <xlrd:rvb i="11348"/>
        </ext>
      </extLst>
    </bk>
    <bk>
      <extLst>
        <ext uri="{3e2802c4-a4d2-4d8b-9148-e3be6c30e623}">
          <xlrd:rvb i="11349"/>
        </ext>
      </extLst>
    </bk>
    <bk>
      <extLst>
        <ext uri="{3e2802c4-a4d2-4d8b-9148-e3be6c30e623}">
          <xlrd:rvb i="11350"/>
        </ext>
      </extLst>
    </bk>
    <bk>
      <extLst>
        <ext uri="{3e2802c4-a4d2-4d8b-9148-e3be6c30e623}">
          <xlrd:rvb i="11351"/>
        </ext>
      </extLst>
    </bk>
    <bk>
      <extLst>
        <ext uri="{3e2802c4-a4d2-4d8b-9148-e3be6c30e623}">
          <xlrd:rvb i="11352"/>
        </ext>
      </extLst>
    </bk>
    <bk>
      <extLst>
        <ext uri="{3e2802c4-a4d2-4d8b-9148-e3be6c30e623}">
          <xlrd:rvb i="11353"/>
        </ext>
      </extLst>
    </bk>
    <bk>
      <extLst>
        <ext uri="{3e2802c4-a4d2-4d8b-9148-e3be6c30e623}">
          <xlrd:rvb i="11354"/>
        </ext>
      </extLst>
    </bk>
    <bk>
      <extLst>
        <ext uri="{3e2802c4-a4d2-4d8b-9148-e3be6c30e623}">
          <xlrd:rvb i="11355"/>
        </ext>
      </extLst>
    </bk>
    <bk>
      <extLst>
        <ext uri="{3e2802c4-a4d2-4d8b-9148-e3be6c30e623}">
          <xlrd:rvb i="11356"/>
        </ext>
      </extLst>
    </bk>
    <bk>
      <extLst>
        <ext uri="{3e2802c4-a4d2-4d8b-9148-e3be6c30e623}">
          <xlrd:rvb i="11357"/>
        </ext>
      </extLst>
    </bk>
    <bk>
      <extLst>
        <ext uri="{3e2802c4-a4d2-4d8b-9148-e3be6c30e623}">
          <xlrd:rvb i="11358"/>
        </ext>
      </extLst>
    </bk>
    <bk>
      <extLst>
        <ext uri="{3e2802c4-a4d2-4d8b-9148-e3be6c30e623}">
          <xlrd:rvb i="11359"/>
        </ext>
      </extLst>
    </bk>
    <bk>
      <extLst>
        <ext uri="{3e2802c4-a4d2-4d8b-9148-e3be6c30e623}">
          <xlrd:rvb i="11360"/>
        </ext>
      </extLst>
    </bk>
    <bk>
      <extLst>
        <ext uri="{3e2802c4-a4d2-4d8b-9148-e3be6c30e623}">
          <xlrd:rvb i="11361"/>
        </ext>
      </extLst>
    </bk>
    <bk>
      <extLst>
        <ext uri="{3e2802c4-a4d2-4d8b-9148-e3be6c30e623}">
          <xlrd:rvb i="11362"/>
        </ext>
      </extLst>
    </bk>
    <bk>
      <extLst>
        <ext uri="{3e2802c4-a4d2-4d8b-9148-e3be6c30e623}">
          <xlrd:rvb i="11363"/>
        </ext>
      </extLst>
    </bk>
    <bk>
      <extLst>
        <ext uri="{3e2802c4-a4d2-4d8b-9148-e3be6c30e623}">
          <xlrd:rvb i="11364"/>
        </ext>
      </extLst>
    </bk>
    <bk>
      <extLst>
        <ext uri="{3e2802c4-a4d2-4d8b-9148-e3be6c30e623}">
          <xlrd:rvb i="11365"/>
        </ext>
      </extLst>
    </bk>
    <bk>
      <extLst>
        <ext uri="{3e2802c4-a4d2-4d8b-9148-e3be6c30e623}">
          <xlrd:rvb i="11366"/>
        </ext>
      </extLst>
    </bk>
    <bk>
      <extLst>
        <ext uri="{3e2802c4-a4d2-4d8b-9148-e3be6c30e623}">
          <xlrd:rvb i="11367"/>
        </ext>
      </extLst>
    </bk>
    <bk>
      <extLst>
        <ext uri="{3e2802c4-a4d2-4d8b-9148-e3be6c30e623}">
          <xlrd:rvb i="11368"/>
        </ext>
      </extLst>
    </bk>
    <bk>
      <extLst>
        <ext uri="{3e2802c4-a4d2-4d8b-9148-e3be6c30e623}">
          <xlrd:rvb i="11369"/>
        </ext>
      </extLst>
    </bk>
    <bk>
      <extLst>
        <ext uri="{3e2802c4-a4d2-4d8b-9148-e3be6c30e623}">
          <xlrd:rvb i="11370"/>
        </ext>
      </extLst>
    </bk>
    <bk>
      <extLst>
        <ext uri="{3e2802c4-a4d2-4d8b-9148-e3be6c30e623}">
          <xlrd:rvb i="11371"/>
        </ext>
      </extLst>
    </bk>
    <bk>
      <extLst>
        <ext uri="{3e2802c4-a4d2-4d8b-9148-e3be6c30e623}">
          <xlrd:rvb i="11372"/>
        </ext>
      </extLst>
    </bk>
    <bk>
      <extLst>
        <ext uri="{3e2802c4-a4d2-4d8b-9148-e3be6c30e623}">
          <xlrd:rvb i="11373"/>
        </ext>
      </extLst>
    </bk>
    <bk>
      <extLst>
        <ext uri="{3e2802c4-a4d2-4d8b-9148-e3be6c30e623}">
          <xlrd:rvb i="11374"/>
        </ext>
      </extLst>
    </bk>
    <bk>
      <extLst>
        <ext uri="{3e2802c4-a4d2-4d8b-9148-e3be6c30e623}">
          <xlrd:rvb i="11375"/>
        </ext>
      </extLst>
    </bk>
    <bk>
      <extLst>
        <ext uri="{3e2802c4-a4d2-4d8b-9148-e3be6c30e623}">
          <xlrd:rvb i="11376"/>
        </ext>
      </extLst>
    </bk>
    <bk>
      <extLst>
        <ext uri="{3e2802c4-a4d2-4d8b-9148-e3be6c30e623}">
          <xlrd:rvb i="11377"/>
        </ext>
      </extLst>
    </bk>
    <bk>
      <extLst>
        <ext uri="{3e2802c4-a4d2-4d8b-9148-e3be6c30e623}">
          <xlrd:rvb i="11378"/>
        </ext>
      </extLst>
    </bk>
    <bk>
      <extLst>
        <ext uri="{3e2802c4-a4d2-4d8b-9148-e3be6c30e623}">
          <xlrd:rvb i="11379"/>
        </ext>
      </extLst>
    </bk>
    <bk>
      <extLst>
        <ext uri="{3e2802c4-a4d2-4d8b-9148-e3be6c30e623}">
          <xlrd:rvb i="11380"/>
        </ext>
      </extLst>
    </bk>
    <bk>
      <extLst>
        <ext uri="{3e2802c4-a4d2-4d8b-9148-e3be6c30e623}">
          <xlrd:rvb i="11381"/>
        </ext>
      </extLst>
    </bk>
    <bk>
      <extLst>
        <ext uri="{3e2802c4-a4d2-4d8b-9148-e3be6c30e623}">
          <xlrd:rvb i="11382"/>
        </ext>
      </extLst>
    </bk>
    <bk>
      <extLst>
        <ext uri="{3e2802c4-a4d2-4d8b-9148-e3be6c30e623}">
          <xlrd:rvb i="11383"/>
        </ext>
      </extLst>
    </bk>
    <bk>
      <extLst>
        <ext uri="{3e2802c4-a4d2-4d8b-9148-e3be6c30e623}">
          <xlrd:rvb i="11384"/>
        </ext>
      </extLst>
    </bk>
    <bk>
      <extLst>
        <ext uri="{3e2802c4-a4d2-4d8b-9148-e3be6c30e623}">
          <xlrd:rvb i="11385"/>
        </ext>
      </extLst>
    </bk>
    <bk>
      <extLst>
        <ext uri="{3e2802c4-a4d2-4d8b-9148-e3be6c30e623}">
          <xlrd:rvb i="11386"/>
        </ext>
      </extLst>
    </bk>
    <bk>
      <extLst>
        <ext uri="{3e2802c4-a4d2-4d8b-9148-e3be6c30e623}">
          <xlrd:rvb i="11387"/>
        </ext>
      </extLst>
    </bk>
    <bk>
      <extLst>
        <ext uri="{3e2802c4-a4d2-4d8b-9148-e3be6c30e623}">
          <xlrd:rvb i="11388"/>
        </ext>
      </extLst>
    </bk>
    <bk>
      <extLst>
        <ext uri="{3e2802c4-a4d2-4d8b-9148-e3be6c30e623}">
          <xlrd:rvb i="11389"/>
        </ext>
      </extLst>
    </bk>
    <bk>
      <extLst>
        <ext uri="{3e2802c4-a4d2-4d8b-9148-e3be6c30e623}">
          <xlrd:rvb i="11390"/>
        </ext>
      </extLst>
    </bk>
    <bk>
      <extLst>
        <ext uri="{3e2802c4-a4d2-4d8b-9148-e3be6c30e623}">
          <xlrd:rvb i="11391"/>
        </ext>
      </extLst>
    </bk>
    <bk>
      <extLst>
        <ext uri="{3e2802c4-a4d2-4d8b-9148-e3be6c30e623}">
          <xlrd:rvb i="11392"/>
        </ext>
      </extLst>
    </bk>
    <bk>
      <extLst>
        <ext uri="{3e2802c4-a4d2-4d8b-9148-e3be6c30e623}">
          <xlrd:rvb i="11393"/>
        </ext>
      </extLst>
    </bk>
    <bk>
      <extLst>
        <ext uri="{3e2802c4-a4d2-4d8b-9148-e3be6c30e623}">
          <xlrd:rvb i="11394"/>
        </ext>
      </extLst>
    </bk>
    <bk>
      <extLst>
        <ext uri="{3e2802c4-a4d2-4d8b-9148-e3be6c30e623}">
          <xlrd:rvb i="11395"/>
        </ext>
      </extLst>
    </bk>
    <bk>
      <extLst>
        <ext uri="{3e2802c4-a4d2-4d8b-9148-e3be6c30e623}">
          <xlrd:rvb i="11396"/>
        </ext>
      </extLst>
    </bk>
    <bk>
      <extLst>
        <ext uri="{3e2802c4-a4d2-4d8b-9148-e3be6c30e623}">
          <xlrd:rvb i="11397"/>
        </ext>
      </extLst>
    </bk>
    <bk>
      <extLst>
        <ext uri="{3e2802c4-a4d2-4d8b-9148-e3be6c30e623}">
          <xlrd:rvb i="11398"/>
        </ext>
      </extLst>
    </bk>
    <bk>
      <extLst>
        <ext uri="{3e2802c4-a4d2-4d8b-9148-e3be6c30e623}">
          <xlrd:rvb i="11399"/>
        </ext>
      </extLst>
    </bk>
    <bk>
      <extLst>
        <ext uri="{3e2802c4-a4d2-4d8b-9148-e3be6c30e623}">
          <xlrd:rvb i="11400"/>
        </ext>
      </extLst>
    </bk>
    <bk>
      <extLst>
        <ext uri="{3e2802c4-a4d2-4d8b-9148-e3be6c30e623}">
          <xlrd:rvb i="11401"/>
        </ext>
      </extLst>
    </bk>
    <bk>
      <extLst>
        <ext uri="{3e2802c4-a4d2-4d8b-9148-e3be6c30e623}">
          <xlrd:rvb i="11402"/>
        </ext>
      </extLst>
    </bk>
    <bk>
      <extLst>
        <ext uri="{3e2802c4-a4d2-4d8b-9148-e3be6c30e623}">
          <xlrd:rvb i="11403"/>
        </ext>
      </extLst>
    </bk>
    <bk>
      <extLst>
        <ext uri="{3e2802c4-a4d2-4d8b-9148-e3be6c30e623}">
          <xlrd:rvb i="11404"/>
        </ext>
      </extLst>
    </bk>
    <bk>
      <extLst>
        <ext uri="{3e2802c4-a4d2-4d8b-9148-e3be6c30e623}">
          <xlrd:rvb i="11405"/>
        </ext>
      </extLst>
    </bk>
    <bk>
      <extLst>
        <ext uri="{3e2802c4-a4d2-4d8b-9148-e3be6c30e623}">
          <xlrd:rvb i="11406"/>
        </ext>
      </extLst>
    </bk>
    <bk>
      <extLst>
        <ext uri="{3e2802c4-a4d2-4d8b-9148-e3be6c30e623}">
          <xlrd:rvb i="11407"/>
        </ext>
      </extLst>
    </bk>
    <bk>
      <extLst>
        <ext uri="{3e2802c4-a4d2-4d8b-9148-e3be6c30e623}">
          <xlrd:rvb i="11408"/>
        </ext>
      </extLst>
    </bk>
    <bk>
      <extLst>
        <ext uri="{3e2802c4-a4d2-4d8b-9148-e3be6c30e623}">
          <xlrd:rvb i="11409"/>
        </ext>
      </extLst>
    </bk>
    <bk>
      <extLst>
        <ext uri="{3e2802c4-a4d2-4d8b-9148-e3be6c30e623}">
          <xlrd:rvb i="11410"/>
        </ext>
      </extLst>
    </bk>
    <bk>
      <extLst>
        <ext uri="{3e2802c4-a4d2-4d8b-9148-e3be6c30e623}">
          <xlrd:rvb i="11411"/>
        </ext>
      </extLst>
    </bk>
    <bk>
      <extLst>
        <ext uri="{3e2802c4-a4d2-4d8b-9148-e3be6c30e623}">
          <xlrd:rvb i="11412"/>
        </ext>
      </extLst>
    </bk>
    <bk>
      <extLst>
        <ext uri="{3e2802c4-a4d2-4d8b-9148-e3be6c30e623}">
          <xlrd:rvb i="11413"/>
        </ext>
      </extLst>
    </bk>
    <bk>
      <extLst>
        <ext uri="{3e2802c4-a4d2-4d8b-9148-e3be6c30e623}">
          <xlrd:rvb i="11414"/>
        </ext>
      </extLst>
    </bk>
    <bk>
      <extLst>
        <ext uri="{3e2802c4-a4d2-4d8b-9148-e3be6c30e623}">
          <xlrd:rvb i="11415"/>
        </ext>
      </extLst>
    </bk>
    <bk>
      <extLst>
        <ext uri="{3e2802c4-a4d2-4d8b-9148-e3be6c30e623}">
          <xlrd:rvb i="11416"/>
        </ext>
      </extLst>
    </bk>
    <bk>
      <extLst>
        <ext uri="{3e2802c4-a4d2-4d8b-9148-e3be6c30e623}">
          <xlrd:rvb i="11417"/>
        </ext>
      </extLst>
    </bk>
    <bk>
      <extLst>
        <ext uri="{3e2802c4-a4d2-4d8b-9148-e3be6c30e623}">
          <xlrd:rvb i="11418"/>
        </ext>
      </extLst>
    </bk>
    <bk>
      <extLst>
        <ext uri="{3e2802c4-a4d2-4d8b-9148-e3be6c30e623}">
          <xlrd:rvb i="11419"/>
        </ext>
      </extLst>
    </bk>
    <bk>
      <extLst>
        <ext uri="{3e2802c4-a4d2-4d8b-9148-e3be6c30e623}">
          <xlrd:rvb i="11420"/>
        </ext>
      </extLst>
    </bk>
    <bk>
      <extLst>
        <ext uri="{3e2802c4-a4d2-4d8b-9148-e3be6c30e623}">
          <xlrd:rvb i="11421"/>
        </ext>
      </extLst>
    </bk>
    <bk>
      <extLst>
        <ext uri="{3e2802c4-a4d2-4d8b-9148-e3be6c30e623}">
          <xlrd:rvb i="11422"/>
        </ext>
      </extLst>
    </bk>
    <bk>
      <extLst>
        <ext uri="{3e2802c4-a4d2-4d8b-9148-e3be6c30e623}">
          <xlrd:rvb i="11423"/>
        </ext>
      </extLst>
    </bk>
    <bk>
      <extLst>
        <ext uri="{3e2802c4-a4d2-4d8b-9148-e3be6c30e623}">
          <xlrd:rvb i="11424"/>
        </ext>
      </extLst>
    </bk>
    <bk>
      <extLst>
        <ext uri="{3e2802c4-a4d2-4d8b-9148-e3be6c30e623}">
          <xlrd:rvb i="11425"/>
        </ext>
      </extLst>
    </bk>
    <bk>
      <extLst>
        <ext uri="{3e2802c4-a4d2-4d8b-9148-e3be6c30e623}">
          <xlrd:rvb i="11426"/>
        </ext>
      </extLst>
    </bk>
    <bk>
      <extLst>
        <ext uri="{3e2802c4-a4d2-4d8b-9148-e3be6c30e623}">
          <xlrd:rvb i="11427"/>
        </ext>
      </extLst>
    </bk>
    <bk>
      <extLst>
        <ext uri="{3e2802c4-a4d2-4d8b-9148-e3be6c30e623}">
          <xlrd:rvb i="11428"/>
        </ext>
      </extLst>
    </bk>
    <bk>
      <extLst>
        <ext uri="{3e2802c4-a4d2-4d8b-9148-e3be6c30e623}">
          <xlrd:rvb i="11429"/>
        </ext>
      </extLst>
    </bk>
    <bk>
      <extLst>
        <ext uri="{3e2802c4-a4d2-4d8b-9148-e3be6c30e623}">
          <xlrd:rvb i="11430"/>
        </ext>
      </extLst>
    </bk>
    <bk>
      <extLst>
        <ext uri="{3e2802c4-a4d2-4d8b-9148-e3be6c30e623}">
          <xlrd:rvb i="11431"/>
        </ext>
      </extLst>
    </bk>
    <bk>
      <extLst>
        <ext uri="{3e2802c4-a4d2-4d8b-9148-e3be6c30e623}">
          <xlrd:rvb i="11432"/>
        </ext>
      </extLst>
    </bk>
    <bk>
      <extLst>
        <ext uri="{3e2802c4-a4d2-4d8b-9148-e3be6c30e623}">
          <xlrd:rvb i="11433"/>
        </ext>
      </extLst>
    </bk>
    <bk>
      <extLst>
        <ext uri="{3e2802c4-a4d2-4d8b-9148-e3be6c30e623}">
          <xlrd:rvb i="11434"/>
        </ext>
      </extLst>
    </bk>
    <bk>
      <extLst>
        <ext uri="{3e2802c4-a4d2-4d8b-9148-e3be6c30e623}">
          <xlrd:rvb i="11435"/>
        </ext>
      </extLst>
    </bk>
    <bk>
      <extLst>
        <ext uri="{3e2802c4-a4d2-4d8b-9148-e3be6c30e623}">
          <xlrd:rvb i="11436"/>
        </ext>
      </extLst>
    </bk>
    <bk>
      <extLst>
        <ext uri="{3e2802c4-a4d2-4d8b-9148-e3be6c30e623}">
          <xlrd:rvb i="11437"/>
        </ext>
      </extLst>
    </bk>
    <bk>
      <extLst>
        <ext uri="{3e2802c4-a4d2-4d8b-9148-e3be6c30e623}">
          <xlrd:rvb i="11438"/>
        </ext>
      </extLst>
    </bk>
    <bk>
      <extLst>
        <ext uri="{3e2802c4-a4d2-4d8b-9148-e3be6c30e623}">
          <xlrd:rvb i="11439"/>
        </ext>
      </extLst>
    </bk>
    <bk>
      <extLst>
        <ext uri="{3e2802c4-a4d2-4d8b-9148-e3be6c30e623}">
          <xlrd:rvb i="11440"/>
        </ext>
      </extLst>
    </bk>
    <bk>
      <extLst>
        <ext uri="{3e2802c4-a4d2-4d8b-9148-e3be6c30e623}">
          <xlrd:rvb i="11441"/>
        </ext>
      </extLst>
    </bk>
    <bk>
      <extLst>
        <ext uri="{3e2802c4-a4d2-4d8b-9148-e3be6c30e623}">
          <xlrd:rvb i="11442"/>
        </ext>
      </extLst>
    </bk>
    <bk>
      <extLst>
        <ext uri="{3e2802c4-a4d2-4d8b-9148-e3be6c30e623}">
          <xlrd:rvb i="11443"/>
        </ext>
      </extLst>
    </bk>
    <bk>
      <extLst>
        <ext uri="{3e2802c4-a4d2-4d8b-9148-e3be6c30e623}">
          <xlrd:rvb i="11444"/>
        </ext>
      </extLst>
    </bk>
    <bk>
      <extLst>
        <ext uri="{3e2802c4-a4d2-4d8b-9148-e3be6c30e623}">
          <xlrd:rvb i="11445"/>
        </ext>
      </extLst>
    </bk>
    <bk>
      <extLst>
        <ext uri="{3e2802c4-a4d2-4d8b-9148-e3be6c30e623}">
          <xlrd:rvb i="11446"/>
        </ext>
      </extLst>
    </bk>
    <bk>
      <extLst>
        <ext uri="{3e2802c4-a4d2-4d8b-9148-e3be6c30e623}">
          <xlrd:rvb i="11447"/>
        </ext>
      </extLst>
    </bk>
    <bk>
      <extLst>
        <ext uri="{3e2802c4-a4d2-4d8b-9148-e3be6c30e623}">
          <xlrd:rvb i="11448"/>
        </ext>
      </extLst>
    </bk>
    <bk>
      <extLst>
        <ext uri="{3e2802c4-a4d2-4d8b-9148-e3be6c30e623}">
          <xlrd:rvb i="11449"/>
        </ext>
      </extLst>
    </bk>
    <bk>
      <extLst>
        <ext uri="{3e2802c4-a4d2-4d8b-9148-e3be6c30e623}">
          <xlrd:rvb i="11450"/>
        </ext>
      </extLst>
    </bk>
    <bk>
      <extLst>
        <ext uri="{3e2802c4-a4d2-4d8b-9148-e3be6c30e623}">
          <xlrd:rvb i="11451"/>
        </ext>
      </extLst>
    </bk>
    <bk>
      <extLst>
        <ext uri="{3e2802c4-a4d2-4d8b-9148-e3be6c30e623}">
          <xlrd:rvb i="11452"/>
        </ext>
      </extLst>
    </bk>
    <bk>
      <extLst>
        <ext uri="{3e2802c4-a4d2-4d8b-9148-e3be6c30e623}">
          <xlrd:rvb i="11453"/>
        </ext>
      </extLst>
    </bk>
    <bk>
      <extLst>
        <ext uri="{3e2802c4-a4d2-4d8b-9148-e3be6c30e623}">
          <xlrd:rvb i="11454"/>
        </ext>
      </extLst>
    </bk>
    <bk>
      <extLst>
        <ext uri="{3e2802c4-a4d2-4d8b-9148-e3be6c30e623}">
          <xlrd:rvb i="11455"/>
        </ext>
      </extLst>
    </bk>
    <bk>
      <extLst>
        <ext uri="{3e2802c4-a4d2-4d8b-9148-e3be6c30e623}">
          <xlrd:rvb i="11456"/>
        </ext>
      </extLst>
    </bk>
    <bk>
      <extLst>
        <ext uri="{3e2802c4-a4d2-4d8b-9148-e3be6c30e623}">
          <xlrd:rvb i="11457"/>
        </ext>
      </extLst>
    </bk>
    <bk>
      <extLst>
        <ext uri="{3e2802c4-a4d2-4d8b-9148-e3be6c30e623}">
          <xlrd:rvb i="11458"/>
        </ext>
      </extLst>
    </bk>
    <bk>
      <extLst>
        <ext uri="{3e2802c4-a4d2-4d8b-9148-e3be6c30e623}">
          <xlrd:rvb i="11459"/>
        </ext>
      </extLst>
    </bk>
    <bk>
      <extLst>
        <ext uri="{3e2802c4-a4d2-4d8b-9148-e3be6c30e623}">
          <xlrd:rvb i="11460"/>
        </ext>
      </extLst>
    </bk>
    <bk>
      <extLst>
        <ext uri="{3e2802c4-a4d2-4d8b-9148-e3be6c30e623}">
          <xlrd:rvb i="11461"/>
        </ext>
      </extLst>
    </bk>
    <bk>
      <extLst>
        <ext uri="{3e2802c4-a4d2-4d8b-9148-e3be6c30e623}">
          <xlrd:rvb i="11462"/>
        </ext>
      </extLst>
    </bk>
    <bk>
      <extLst>
        <ext uri="{3e2802c4-a4d2-4d8b-9148-e3be6c30e623}">
          <xlrd:rvb i="11463"/>
        </ext>
      </extLst>
    </bk>
    <bk>
      <extLst>
        <ext uri="{3e2802c4-a4d2-4d8b-9148-e3be6c30e623}">
          <xlrd:rvb i="11464"/>
        </ext>
      </extLst>
    </bk>
    <bk>
      <extLst>
        <ext uri="{3e2802c4-a4d2-4d8b-9148-e3be6c30e623}">
          <xlrd:rvb i="11465"/>
        </ext>
      </extLst>
    </bk>
    <bk>
      <extLst>
        <ext uri="{3e2802c4-a4d2-4d8b-9148-e3be6c30e623}">
          <xlrd:rvb i="11466"/>
        </ext>
      </extLst>
    </bk>
    <bk>
      <extLst>
        <ext uri="{3e2802c4-a4d2-4d8b-9148-e3be6c30e623}">
          <xlrd:rvb i="11467"/>
        </ext>
      </extLst>
    </bk>
    <bk>
      <extLst>
        <ext uri="{3e2802c4-a4d2-4d8b-9148-e3be6c30e623}">
          <xlrd:rvb i="11468"/>
        </ext>
      </extLst>
    </bk>
    <bk>
      <extLst>
        <ext uri="{3e2802c4-a4d2-4d8b-9148-e3be6c30e623}">
          <xlrd:rvb i="11469"/>
        </ext>
      </extLst>
    </bk>
    <bk>
      <extLst>
        <ext uri="{3e2802c4-a4d2-4d8b-9148-e3be6c30e623}">
          <xlrd:rvb i="11470"/>
        </ext>
      </extLst>
    </bk>
    <bk>
      <extLst>
        <ext uri="{3e2802c4-a4d2-4d8b-9148-e3be6c30e623}">
          <xlrd:rvb i="11471"/>
        </ext>
      </extLst>
    </bk>
    <bk>
      <extLst>
        <ext uri="{3e2802c4-a4d2-4d8b-9148-e3be6c30e623}">
          <xlrd:rvb i="11472"/>
        </ext>
      </extLst>
    </bk>
    <bk>
      <extLst>
        <ext uri="{3e2802c4-a4d2-4d8b-9148-e3be6c30e623}">
          <xlrd:rvb i="11473"/>
        </ext>
      </extLst>
    </bk>
    <bk>
      <extLst>
        <ext uri="{3e2802c4-a4d2-4d8b-9148-e3be6c30e623}">
          <xlrd:rvb i="11474"/>
        </ext>
      </extLst>
    </bk>
    <bk>
      <extLst>
        <ext uri="{3e2802c4-a4d2-4d8b-9148-e3be6c30e623}">
          <xlrd:rvb i="11475"/>
        </ext>
      </extLst>
    </bk>
    <bk>
      <extLst>
        <ext uri="{3e2802c4-a4d2-4d8b-9148-e3be6c30e623}">
          <xlrd:rvb i="11476"/>
        </ext>
      </extLst>
    </bk>
    <bk>
      <extLst>
        <ext uri="{3e2802c4-a4d2-4d8b-9148-e3be6c30e623}">
          <xlrd:rvb i="11477"/>
        </ext>
      </extLst>
    </bk>
    <bk>
      <extLst>
        <ext uri="{3e2802c4-a4d2-4d8b-9148-e3be6c30e623}">
          <xlrd:rvb i="11478"/>
        </ext>
      </extLst>
    </bk>
    <bk>
      <extLst>
        <ext uri="{3e2802c4-a4d2-4d8b-9148-e3be6c30e623}">
          <xlrd:rvb i="11479"/>
        </ext>
      </extLst>
    </bk>
    <bk>
      <extLst>
        <ext uri="{3e2802c4-a4d2-4d8b-9148-e3be6c30e623}">
          <xlrd:rvb i="11480"/>
        </ext>
      </extLst>
    </bk>
    <bk>
      <extLst>
        <ext uri="{3e2802c4-a4d2-4d8b-9148-e3be6c30e623}">
          <xlrd:rvb i="11481"/>
        </ext>
      </extLst>
    </bk>
    <bk>
      <extLst>
        <ext uri="{3e2802c4-a4d2-4d8b-9148-e3be6c30e623}">
          <xlrd:rvb i="11482"/>
        </ext>
      </extLst>
    </bk>
    <bk>
      <extLst>
        <ext uri="{3e2802c4-a4d2-4d8b-9148-e3be6c30e623}">
          <xlrd:rvb i="11483"/>
        </ext>
      </extLst>
    </bk>
    <bk>
      <extLst>
        <ext uri="{3e2802c4-a4d2-4d8b-9148-e3be6c30e623}">
          <xlrd:rvb i="11484"/>
        </ext>
      </extLst>
    </bk>
    <bk>
      <extLst>
        <ext uri="{3e2802c4-a4d2-4d8b-9148-e3be6c30e623}">
          <xlrd:rvb i="11485"/>
        </ext>
      </extLst>
    </bk>
    <bk>
      <extLst>
        <ext uri="{3e2802c4-a4d2-4d8b-9148-e3be6c30e623}">
          <xlrd:rvb i="11486"/>
        </ext>
      </extLst>
    </bk>
    <bk>
      <extLst>
        <ext uri="{3e2802c4-a4d2-4d8b-9148-e3be6c30e623}">
          <xlrd:rvb i="11487"/>
        </ext>
      </extLst>
    </bk>
    <bk>
      <extLst>
        <ext uri="{3e2802c4-a4d2-4d8b-9148-e3be6c30e623}">
          <xlrd:rvb i="11488"/>
        </ext>
      </extLst>
    </bk>
    <bk>
      <extLst>
        <ext uri="{3e2802c4-a4d2-4d8b-9148-e3be6c30e623}">
          <xlrd:rvb i="11489"/>
        </ext>
      </extLst>
    </bk>
    <bk>
      <extLst>
        <ext uri="{3e2802c4-a4d2-4d8b-9148-e3be6c30e623}">
          <xlrd:rvb i="11490"/>
        </ext>
      </extLst>
    </bk>
    <bk>
      <extLst>
        <ext uri="{3e2802c4-a4d2-4d8b-9148-e3be6c30e623}">
          <xlrd:rvb i="11491"/>
        </ext>
      </extLst>
    </bk>
    <bk>
      <extLst>
        <ext uri="{3e2802c4-a4d2-4d8b-9148-e3be6c30e623}">
          <xlrd:rvb i="11492"/>
        </ext>
      </extLst>
    </bk>
    <bk>
      <extLst>
        <ext uri="{3e2802c4-a4d2-4d8b-9148-e3be6c30e623}">
          <xlrd:rvb i="11493"/>
        </ext>
      </extLst>
    </bk>
    <bk>
      <extLst>
        <ext uri="{3e2802c4-a4d2-4d8b-9148-e3be6c30e623}">
          <xlrd:rvb i="11494"/>
        </ext>
      </extLst>
    </bk>
    <bk>
      <extLst>
        <ext uri="{3e2802c4-a4d2-4d8b-9148-e3be6c30e623}">
          <xlrd:rvb i="11495"/>
        </ext>
      </extLst>
    </bk>
    <bk>
      <extLst>
        <ext uri="{3e2802c4-a4d2-4d8b-9148-e3be6c30e623}">
          <xlrd:rvb i="11496"/>
        </ext>
      </extLst>
    </bk>
    <bk>
      <extLst>
        <ext uri="{3e2802c4-a4d2-4d8b-9148-e3be6c30e623}">
          <xlrd:rvb i="11497"/>
        </ext>
      </extLst>
    </bk>
    <bk>
      <extLst>
        <ext uri="{3e2802c4-a4d2-4d8b-9148-e3be6c30e623}">
          <xlrd:rvb i="11498"/>
        </ext>
      </extLst>
    </bk>
    <bk>
      <extLst>
        <ext uri="{3e2802c4-a4d2-4d8b-9148-e3be6c30e623}">
          <xlrd:rvb i="11499"/>
        </ext>
      </extLst>
    </bk>
    <bk>
      <extLst>
        <ext uri="{3e2802c4-a4d2-4d8b-9148-e3be6c30e623}">
          <xlrd:rvb i="11500"/>
        </ext>
      </extLst>
    </bk>
    <bk>
      <extLst>
        <ext uri="{3e2802c4-a4d2-4d8b-9148-e3be6c30e623}">
          <xlrd:rvb i="11501"/>
        </ext>
      </extLst>
    </bk>
    <bk>
      <extLst>
        <ext uri="{3e2802c4-a4d2-4d8b-9148-e3be6c30e623}">
          <xlrd:rvb i="11502"/>
        </ext>
      </extLst>
    </bk>
    <bk>
      <extLst>
        <ext uri="{3e2802c4-a4d2-4d8b-9148-e3be6c30e623}">
          <xlrd:rvb i="11503"/>
        </ext>
      </extLst>
    </bk>
    <bk>
      <extLst>
        <ext uri="{3e2802c4-a4d2-4d8b-9148-e3be6c30e623}">
          <xlrd:rvb i="11504"/>
        </ext>
      </extLst>
    </bk>
    <bk>
      <extLst>
        <ext uri="{3e2802c4-a4d2-4d8b-9148-e3be6c30e623}">
          <xlrd:rvb i="11505"/>
        </ext>
      </extLst>
    </bk>
    <bk>
      <extLst>
        <ext uri="{3e2802c4-a4d2-4d8b-9148-e3be6c30e623}">
          <xlrd:rvb i="11506"/>
        </ext>
      </extLst>
    </bk>
    <bk>
      <extLst>
        <ext uri="{3e2802c4-a4d2-4d8b-9148-e3be6c30e623}">
          <xlrd:rvb i="11507"/>
        </ext>
      </extLst>
    </bk>
    <bk>
      <extLst>
        <ext uri="{3e2802c4-a4d2-4d8b-9148-e3be6c30e623}">
          <xlrd:rvb i="11508"/>
        </ext>
      </extLst>
    </bk>
    <bk>
      <extLst>
        <ext uri="{3e2802c4-a4d2-4d8b-9148-e3be6c30e623}">
          <xlrd:rvb i="11509"/>
        </ext>
      </extLst>
    </bk>
    <bk>
      <extLst>
        <ext uri="{3e2802c4-a4d2-4d8b-9148-e3be6c30e623}">
          <xlrd:rvb i="11510"/>
        </ext>
      </extLst>
    </bk>
    <bk>
      <extLst>
        <ext uri="{3e2802c4-a4d2-4d8b-9148-e3be6c30e623}">
          <xlrd:rvb i="11511"/>
        </ext>
      </extLst>
    </bk>
    <bk>
      <extLst>
        <ext uri="{3e2802c4-a4d2-4d8b-9148-e3be6c30e623}">
          <xlrd:rvb i="11512"/>
        </ext>
      </extLst>
    </bk>
    <bk>
      <extLst>
        <ext uri="{3e2802c4-a4d2-4d8b-9148-e3be6c30e623}">
          <xlrd:rvb i="11513"/>
        </ext>
      </extLst>
    </bk>
    <bk>
      <extLst>
        <ext uri="{3e2802c4-a4d2-4d8b-9148-e3be6c30e623}">
          <xlrd:rvb i="11514"/>
        </ext>
      </extLst>
    </bk>
    <bk>
      <extLst>
        <ext uri="{3e2802c4-a4d2-4d8b-9148-e3be6c30e623}">
          <xlrd:rvb i="11515"/>
        </ext>
      </extLst>
    </bk>
    <bk>
      <extLst>
        <ext uri="{3e2802c4-a4d2-4d8b-9148-e3be6c30e623}">
          <xlrd:rvb i="11516"/>
        </ext>
      </extLst>
    </bk>
    <bk>
      <extLst>
        <ext uri="{3e2802c4-a4d2-4d8b-9148-e3be6c30e623}">
          <xlrd:rvb i="11517"/>
        </ext>
      </extLst>
    </bk>
    <bk>
      <extLst>
        <ext uri="{3e2802c4-a4d2-4d8b-9148-e3be6c30e623}">
          <xlrd:rvb i="11518"/>
        </ext>
      </extLst>
    </bk>
    <bk>
      <extLst>
        <ext uri="{3e2802c4-a4d2-4d8b-9148-e3be6c30e623}">
          <xlrd:rvb i="11519"/>
        </ext>
      </extLst>
    </bk>
    <bk>
      <extLst>
        <ext uri="{3e2802c4-a4d2-4d8b-9148-e3be6c30e623}">
          <xlrd:rvb i="11520"/>
        </ext>
      </extLst>
    </bk>
    <bk>
      <extLst>
        <ext uri="{3e2802c4-a4d2-4d8b-9148-e3be6c30e623}">
          <xlrd:rvb i="11521"/>
        </ext>
      </extLst>
    </bk>
    <bk>
      <extLst>
        <ext uri="{3e2802c4-a4d2-4d8b-9148-e3be6c30e623}">
          <xlrd:rvb i="11522"/>
        </ext>
      </extLst>
    </bk>
    <bk>
      <extLst>
        <ext uri="{3e2802c4-a4d2-4d8b-9148-e3be6c30e623}">
          <xlrd:rvb i="11523"/>
        </ext>
      </extLst>
    </bk>
    <bk>
      <extLst>
        <ext uri="{3e2802c4-a4d2-4d8b-9148-e3be6c30e623}">
          <xlrd:rvb i="11524"/>
        </ext>
      </extLst>
    </bk>
    <bk>
      <extLst>
        <ext uri="{3e2802c4-a4d2-4d8b-9148-e3be6c30e623}">
          <xlrd:rvb i="11525"/>
        </ext>
      </extLst>
    </bk>
    <bk>
      <extLst>
        <ext uri="{3e2802c4-a4d2-4d8b-9148-e3be6c30e623}">
          <xlrd:rvb i="11526"/>
        </ext>
      </extLst>
    </bk>
    <bk>
      <extLst>
        <ext uri="{3e2802c4-a4d2-4d8b-9148-e3be6c30e623}">
          <xlrd:rvb i="11527"/>
        </ext>
      </extLst>
    </bk>
    <bk>
      <extLst>
        <ext uri="{3e2802c4-a4d2-4d8b-9148-e3be6c30e623}">
          <xlrd:rvb i="11528"/>
        </ext>
      </extLst>
    </bk>
    <bk>
      <extLst>
        <ext uri="{3e2802c4-a4d2-4d8b-9148-e3be6c30e623}">
          <xlrd:rvb i="11529"/>
        </ext>
      </extLst>
    </bk>
    <bk>
      <extLst>
        <ext uri="{3e2802c4-a4d2-4d8b-9148-e3be6c30e623}">
          <xlrd:rvb i="11530"/>
        </ext>
      </extLst>
    </bk>
    <bk>
      <extLst>
        <ext uri="{3e2802c4-a4d2-4d8b-9148-e3be6c30e623}">
          <xlrd:rvb i="11531"/>
        </ext>
      </extLst>
    </bk>
    <bk>
      <extLst>
        <ext uri="{3e2802c4-a4d2-4d8b-9148-e3be6c30e623}">
          <xlrd:rvb i="11532"/>
        </ext>
      </extLst>
    </bk>
    <bk>
      <extLst>
        <ext uri="{3e2802c4-a4d2-4d8b-9148-e3be6c30e623}">
          <xlrd:rvb i="11533"/>
        </ext>
      </extLst>
    </bk>
    <bk>
      <extLst>
        <ext uri="{3e2802c4-a4d2-4d8b-9148-e3be6c30e623}">
          <xlrd:rvb i="11534"/>
        </ext>
      </extLst>
    </bk>
    <bk>
      <extLst>
        <ext uri="{3e2802c4-a4d2-4d8b-9148-e3be6c30e623}">
          <xlrd:rvb i="11535"/>
        </ext>
      </extLst>
    </bk>
    <bk>
      <extLst>
        <ext uri="{3e2802c4-a4d2-4d8b-9148-e3be6c30e623}">
          <xlrd:rvb i="11536"/>
        </ext>
      </extLst>
    </bk>
    <bk>
      <extLst>
        <ext uri="{3e2802c4-a4d2-4d8b-9148-e3be6c30e623}">
          <xlrd:rvb i="11537"/>
        </ext>
      </extLst>
    </bk>
    <bk>
      <extLst>
        <ext uri="{3e2802c4-a4d2-4d8b-9148-e3be6c30e623}">
          <xlrd:rvb i="11538"/>
        </ext>
      </extLst>
    </bk>
    <bk>
      <extLst>
        <ext uri="{3e2802c4-a4d2-4d8b-9148-e3be6c30e623}">
          <xlrd:rvb i="11539"/>
        </ext>
      </extLst>
    </bk>
    <bk>
      <extLst>
        <ext uri="{3e2802c4-a4d2-4d8b-9148-e3be6c30e623}">
          <xlrd:rvb i="11540"/>
        </ext>
      </extLst>
    </bk>
    <bk>
      <extLst>
        <ext uri="{3e2802c4-a4d2-4d8b-9148-e3be6c30e623}">
          <xlrd:rvb i="11541"/>
        </ext>
      </extLst>
    </bk>
    <bk>
      <extLst>
        <ext uri="{3e2802c4-a4d2-4d8b-9148-e3be6c30e623}">
          <xlrd:rvb i="11542"/>
        </ext>
      </extLst>
    </bk>
    <bk>
      <extLst>
        <ext uri="{3e2802c4-a4d2-4d8b-9148-e3be6c30e623}">
          <xlrd:rvb i="11543"/>
        </ext>
      </extLst>
    </bk>
    <bk>
      <extLst>
        <ext uri="{3e2802c4-a4d2-4d8b-9148-e3be6c30e623}">
          <xlrd:rvb i="11544"/>
        </ext>
      </extLst>
    </bk>
    <bk>
      <extLst>
        <ext uri="{3e2802c4-a4d2-4d8b-9148-e3be6c30e623}">
          <xlrd:rvb i="11545"/>
        </ext>
      </extLst>
    </bk>
    <bk>
      <extLst>
        <ext uri="{3e2802c4-a4d2-4d8b-9148-e3be6c30e623}">
          <xlrd:rvb i="11546"/>
        </ext>
      </extLst>
    </bk>
    <bk>
      <extLst>
        <ext uri="{3e2802c4-a4d2-4d8b-9148-e3be6c30e623}">
          <xlrd:rvb i="11547"/>
        </ext>
      </extLst>
    </bk>
    <bk>
      <extLst>
        <ext uri="{3e2802c4-a4d2-4d8b-9148-e3be6c30e623}">
          <xlrd:rvb i="11548"/>
        </ext>
      </extLst>
    </bk>
    <bk>
      <extLst>
        <ext uri="{3e2802c4-a4d2-4d8b-9148-e3be6c30e623}">
          <xlrd:rvb i="11549"/>
        </ext>
      </extLst>
    </bk>
    <bk>
      <extLst>
        <ext uri="{3e2802c4-a4d2-4d8b-9148-e3be6c30e623}">
          <xlrd:rvb i="11550"/>
        </ext>
      </extLst>
    </bk>
    <bk>
      <extLst>
        <ext uri="{3e2802c4-a4d2-4d8b-9148-e3be6c30e623}">
          <xlrd:rvb i="11551"/>
        </ext>
      </extLst>
    </bk>
    <bk>
      <extLst>
        <ext uri="{3e2802c4-a4d2-4d8b-9148-e3be6c30e623}">
          <xlrd:rvb i="11552"/>
        </ext>
      </extLst>
    </bk>
    <bk>
      <extLst>
        <ext uri="{3e2802c4-a4d2-4d8b-9148-e3be6c30e623}">
          <xlrd:rvb i="11553"/>
        </ext>
      </extLst>
    </bk>
    <bk>
      <extLst>
        <ext uri="{3e2802c4-a4d2-4d8b-9148-e3be6c30e623}">
          <xlrd:rvb i="11554"/>
        </ext>
      </extLst>
    </bk>
    <bk>
      <extLst>
        <ext uri="{3e2802c4-a4d2-4d8b-9148-e3be6c30e623}">
          <xlrd:rvb i="11555"/>
        </ext>
      </extLst>
    </bk>
    <bk>
      <extLst>
        <ext uri="{3e2802c4-a4d2-4d8b-9148-e3be6c30e623}">
          <xlrd:rvb i="11556"/>
        </ext>
      </extLst>
    </bk>
    <bk>
      <extLst>
        <ext uri="{3e2802c4-a4d2-4d8b-9148-e3be6c30e623}">
          <xlrd:rvb i="11557"/>
        </ext>
      </extLst>
    </bk>
    <bk>
      <extLst>
        <ext uri="{3e2802c4-a4d2-4d8b-9148-e3be6c30e623}">
          <xlrd:rvb i="11558"/>
        </ext>
      </extLst>
    </bk>
    <bk>
      <extLst>
        <ext uri="{3e2802c4-a4d2-4d8b-9148-e3be6c30e623}">
          <xlrd:rvb i="11559"/>
        </ext>
      </extLst>
    </bk>
    <bk>
      <extLst>
        <ext uri="{3e2802c4-a4d2-4d8b-9148-e3be6c30e623}">
          <xlrd:rvb i="11560"/>
        </ext>
      </extLst>
    </bk>
    <bk>
      <extLst>
        <ext uri="{3e2802c4-a4d2-4d8b-9148-e3be6c30e623}">
          <xlrd:rvb i="11561"/>
        </ext>
      </extLst>
    </bk>
    <bk>
      <extLst>
        <ext uri="{3e2802c4-a4d2-4d8b-9148-e3be6c30e623}">
          <xlrd:rvb i="11562"/>
        </ext>
      </extLst>
    </bk>
    <bk>
      <extLst>
        <ext uri="{3e2802c4-a4d2-4d8b-9148-e3be6c30e623}">
          <xlrd:rvb i="11563"/>
        </ext>
      </extLst>
    </bk>
    <bk>
      <extLst>
        <ext uri="{3e2802c4-a4d2-4d8b-9148-e3be6c30e623}">
          <xlrd:rvb i="11564"/>
        </ext>
      </extLst>
    </bk>
    <bk>
      <extLst>
        <ext uri="{3e2802c4-a4d2-4d8b-9148-e3be6c30e623}">
          <xlrd:rvb i="11565"/>
        </ext>
      </extLst>
    </bk>
    <bk>
      <extLst>
        <ext uri="{3e2802c4-a4d2-4d8b-9148-e3be6c30e623}">
          <xlrd:rvb i="11566"/>
        </ext>
      </extLst>
    </bk>
    <bk>
      <extLst>
        <ext uri="{3e2802c4-a4d2-4d8b-9148-e3be6c30e623}">
          <xlrd:rvb i="11567"/>
        </ext>
      </extLst>
    </bk>
    <bk>
      <extLst>
        <ext uri="{3e2802c4-a4d2-4d8b-9148-e3be6c30e623}">
          <xlrd:rvb i="11568"/>
        </ext>
      </extLst>
    </bk>
    <bk>
      <extLst>
        <ext uri="{3e2802c4-a4d2-4d8b-9148-e3be6c30e623}">
          <xlrd:rvb i="11569"/>
        </ext>
      </extLst>
    </bk>
    <bk>
      <extLst>
        <ext uri="{3e2802c4-a4d2-4d8b-9148-e3be6c30e623}">
          <xlrd:rvb i="11570"/>
        </ext>
      </extLst>
    </bk>
    <bk>
      <extLst>
        <ext uri="{3e2802c4-a4d2-4d8b-9148-e3be6c30e623}">
          <xlrd:rvb i="11571"/>
        </ext>
      </extLst>
    </bk>
    <bk>
      <extLst>
        <ext uri="{3e2802c4-a4d2-4d8b-9148-e3be6c30e623}">
          <xlrd:rvb i="11572"/>
        </ext>
      </extLst>
    </bk>
    <bk>
      <extLst>
        <ext uri="{3e2802c4-a4d2-4d8b-9148-e3be6c30e623}">
          <xlrd:rvb i="11573"/>
        </ext>
      </extLst>
    </bk>
    <bk>
      <extLst>
        <ext uri="{3e2802c4-a4d2-4d8b-9148-e3be6c30e623}">
          <xlrd:rvb i="11574"/>
        </ext>
      </extLst>
    </bk>
    <bk>
      <extLst>
        <ext uri="{3e2802c4-a4d2-4d8b-9148-e3be6c30e623}">
          <xlrd:rvb i="11575"/>
        </ext>
      </extLst>
    </bk>
    <bk>
      <extLst>
        <ext uri="{3e2802c4-a4d2-4d8b-9148-e3be6c30e623}">
          <xlrd:rvb i="11576"/>
        </ext>
      </extLst>
    </bk>
    <bk>
      <extLst>
        <ext uri="{3e2802c4-a4d2-4d8b-9148-e3be6c30e623}">
          <xlrd:rvb i="11577"/>
        </ext>
      </extLst>
    </bk>
    <bk>
      <extLst>
        <ext uri="{3e2802c4-a4d2-4d8b-9148-e3be6c30e623}">
          <xlrd:rvb i="11578"/>
        </ext>
      </extLst>
    </bk>
    <bk>
      <extLst>
        <ext uri="{3e2802c4-a4d2-4d8b-9148-e3be6c30e623}">
          <xlrd:rvb i="11579"/>
        </ext>
      </extLst>
    </bk>
    <bk>
      <extLst>
        <ext uri="{3e2802c4-a4d2-4d8b-9148-e3be6c30e623}">
          <xlrd:rvb i="11580"/>
        </ext>
      </extLst>
    </bk>
    <bk>
      <extLst>
        <ext uri="{3e2802c4-a4d2-4d8b-9148-e3be6c30e623}">
          <xlrd:rvb i="11581"/>
        </ext>
      </extLst>
    </bk>
    <bk>
      <extLst>
        <ext uri="{3e2802c4-a4d2-4d8b-9148-e3be6c30e623}">
          <xlrd:rvb i="11582"/>
        </ext>
      </extLst>
    </bk>
    <bk>
      <extLst>
        <ext uri="{3e2802c4-a4d2-4d8b-9148-e3be6c30e623}">
          <xlrd:rvb i="11583"/>
        </ext>
      </extLst>
    </bk>
    <bk>
      <extLst>
        <ext uri="{3e2802c4-a4d2-4d8b-9148-e3be6c30e623}">
          <xlrd:rvb i="11584"/>
        </ext>
      </extLst>
    </bk>
    <bk>
      <extLst>
        <ext uri="{3e2802c4-a4d2-4d8b-9148-e3be6c30e623}">
          <xlrd:rvb i="11585"/>
        </ext>
      </extLst>
    </bk>
    <bk>
      <extLst>
        <ext uri="{3e2802c4-a4d2-4d8b-9148-e3be6c30e623}">
          <xlrd:rvb i="11586"/>
        </ext>
      </extLst>
    </bk>
    <bk>
      <extLst>
        <ext uri="{3e2802c4-a4d2-4d8b-9148-e3be6c30e623}">
          <xlrd:rvb i="11587"/>
        </ext>
      </extLst>
    </bk>
    <bk>
      <extLst>
        <ext uri="{3e2802c4-a4d2-4d8b-9148-e3be6c30e623}">
          <xlrd:rvb i="11588"/>
        </ext>
      </extLst>
    </bk>
    <bk>
      <extLst>
        <ext uri="{3e2802c4-a4d2-4d8b-9148-e3be6c30e623}">
          <xlrd:rvb i="11589"/>
        </ext>
      </extLst>
    </bk>
    <bk>
      <extLst>
        <ext uri="{3e2802c4-a4d2-4d8b-9148-e3be6c30e623}">
          <xlrd:rvb i="11590"/>
        </ext>
      </extLst>
    </bk>
    <bk>
      <extLst>
        <ext uri="{3e2802c4-a4d2-4d8b-9148-e3be6c30e623}">
          <xlrd:rvb i="11591"/>
        </ext>
      </extLst>
    </bk>
    <bk>
      <extLst>
        <ext uri="{3e2802c4-a4d2-4d8b-9148-e3be6c30e623}">
          <xlrd:rvb i="11592"/>
        </ext>
      </extLst>
    </bk>
    <bk>
      <extLst>
        <ext uri="{3e2802c4-a4d2-4d8b-9148-e3be6c30e623}">
          <xlrd:rvb i="11593"/>
        </ext>
      </extLst>
    </bk>
    <bk>
      <extLst>
        <ext uri="{3e2802c4-a4d2-4d8b-9148-e3be6c30e623}">
          <xlrd:rvb i="11594"/>
        </ext>
      </extLst>
    </bk>
    <bk>
      <extLst>
        <ext uri="{3e2802c4-a4d2-4d8b-9148-e3be6c30e623}">
          <xlrd:rvb i="11595"/>
        </ext>
      </extLst>
    </bk>
    <bk>
      <extLst>
        <ext uri="{3e2802c4-a4d2-4d8b-9148-e3be6c30e623}">
          <xlrd:rvb i="11596"/>
        </ext>
      </extLst>
    </bk>
    <bk>
      <extLst>
        <ext uri="{3e2802c4-a4d2-4d8b-9148-e3be6c30e623}">
          <xlrd:rvb i="11597"/>
        </ext>
      </extLst>
    </bk>
    <bk>
      <extLst>
        <ext uri="{3e2802c4-a4d2-4d8b-9148-e3be6c30e623}">
          <xlrd:rvb i="11598"/>
        </ext>
      </extLst>
    </bk>
    <bk>
      <extLst>
        <ext uri="{3e2802c4-a4d2-4d8b-9148-e3be6c30e623}">
          <xlrd:rvb i="11599"/>
        </ext>
      </extLst>
    </bk>
    <bk>
      <extLst>
        <ext uri="{3e2802c4-a4d2-4d8b-9148-e3be6c30e623}">
          <xlrd:rvb i="11600"/>
        </ext>
      </extLst>
    </bk>
    <bk>
      <extLst>
        <ext uri="{3e2802c4-a4d2-4d8b-9148-e3be6c30e623}">
          <xlrd:rvb i="11601"/>
        </ext>
      </extLst>
    </bk>
    <bk>
      <extLst>
        <ext uri="{3e2802c4-a4d2-4d8b-9148-e3be6c30e623}">
          <xlrd:rvb i="11602"/>
        </ext>
      </extLst>
    </bk>
    <bk>
      <extLst>
        <ext uri="{3e2802c4-a4d2-4d8b-9148-e3be6c30e623}">
          <xlrd:rvb i="11603"/>
        </ext>
      </extLst>
    </bk>
    <bk>
      <extLst>
        <ext uri="{3e2802c4-a4d2-4d8b-9148-e3be6c30e623}">
          <xlrd:rvb i="11604"/>
        </ext>
      </extLst>
    </bk>
    <bk>
      <extLst>
        <ext uri="{3e2802c4-a4d2-4d8b-9148-e3be6c30e623}">
          <xlrd:rvb i="11605"/>
        </ext>
      </extLst>
    </bk>
    <bk>
      <extLst>
        <ext uri="{3e2802c4-a4d2-4d8b-9148-e3be6c30e623}">
          <xlrd:rvb i="11606"/>
        </ext>
      </extLst>
    </bk>
    <bk>
      <extLst>
        <ext uri="{3e2802c4-a4d2-4d8b-9148-e3be6c30e623}">
          <xlrd:rvb i="11607"/>
        </ext>
      </extLst>
    </bk>
    <bk>
      <extLst>
        <ext uri="{3e2802c4-a4d2-4d8b-9148-e3be6c30e623}">
          <xlrd:rvb i="11608"/>
        </ext>
      </extLst>
    </bk>
    <bk>
      <extLst>
        <ext uri="{3e2802c4-a4d2-4d8b-9148-e3be6c30e623}">
          <xlrd:rvb i="11609"/>
        </ext>
      </extLst>
    </bk>
    <bk>
      <extLst>
        <ext uri="{3e2802c4-a4d2-4d8b-9148-e3be6c30e623}">
          <xlrd:rvb i="11610"/>
        </ext>
      </extLst>
    </bk>
    <bk>
      <extLst>
        <ext uri="{3e2802c4-a4d2-4d8b-9148-e3be6c30e623}">
          <xlrd:rvb i="11611"/>
        </ext>
      </extLst>
    </bk>
    <bk>
      <extLst>
        <ext uri="{3e2802c4-a4d2-4d8b-9148-e3be6c30e623}">
          <xlrd:rvb i="11612"/>
        </ext>
      </extLst>
    </bk>
    <bk>
      <extLst>
        <ext uri="{3e2802c4-a4d2-4d8b-9148-e3be6c30e623}">
          <xlrd:rvb i="11613"/>
        </ext>
      </extLst>
    </bk>
    <bk>
      <extLst>
        <ext uri="{3e2802c4-a4d2-4d8b-9148-e3be6c30e623}">
          <xlrd:rvb i="11614"/>
        </ext>
      </extLst>
    </bk>
    <bk>
      <extLst>
        <ext uri="{3e2802c4-a4d2-4d8b-9148-e3be6c30e623}">
          <xlrd:rvb i="11615"/>
        </ext>
      </extLst>
    </bk>
    <bk>
      <extLst>
        <ext uri="{3e2802c4-a4d2-4d8b-9148-e3be6c30e623}">
          <xlrd:rvb i="11616"/>
        </ext>
      </extLst>
    </bk>
    <bk>
      <extLst>
        <ext uri="{3e2802c4-a4d2-4d8b-9148-e3be6c30e623}">
          <xlrd:rvb i="11617"/>
        </ext>
      </extLst>
    </bk>
    <bk>
      <extLst>
        <ext uri="{3e2802c4-a4d2-4d8b-9148-e3be6c30e623}">
          <xlrd:rvb i="11618"/>
        </ext>
      </extLst>
    </bk>
    <bk>
      <extLst>
        <ext uri="{3e2802c4-a4d2-4d8b-9148-e3be6c30e623}">
          <xlrd:rvb i="11619"/>
        </ext>
      </extLst>
    </bk>
    <bk>
      <extLst>
        <ext uri="{3e2802c4-a4d2-4d8b-9148-e3be6c30e623}">
          <xlrd:rvb i="11620"/>
        </ext>
      </extLst>
    </bk>
    <bk>
      <extLst>
        <ext uri="{3e2802c4-a4d2-4d8b-9148-e3be6c30e623}">
          <xlrd:rvb i="11621"/>
        </ext>
      </extLst>
    </bk>
    <bk>
      <extLst>
        <ext uri="{3e2802c4-a4d2-4d8b-9148-e3be6c30e623}">
          <xlrd:rvb i="11622"/>
        </ext>
      </extLst>
    </bk>
    <bk>
      <extLst>
        <ext uri="{3e2802c4-a4d2-4d8b-9148-e3be6c30e623}">
          <xlrd:rvb i="11623"/>
        </ext>
      </extLst>
    </bk>
    <bk>
      <extLst>
        <ext uri="{3e2802c4-a4d2-4d8b-9148-e3be6c30e623}">
          <xlrd:rvb i="11624"/>
        </ext>
      </extLst>
    </bk>
    <bk>
      <extLst>
        <ext uri="{3e2802c4-a4d2-4d8b-9148-e3be6c30e623}">
          <xlrd:rvb i="11625"/>
        </ext>
      </extLst>
    </bk>
    <bk>
      <extLst>
        <ext uri="{3e2802c4-a4d2-4d8b-9148-e3be6c30e623}">
          <xlrd:rvb i="11626"/>
        </ext>
      </extLst>
    </bk>
    <bk>
      <extLst>
        <ext uri="{3e2802c4-a4d2-4d8b-9148-e3be6c30e623}">
          <xlrd:rvb i="11627"/>
        </ext>
      </extLst>
    </bk>
    <bk>
      <extLst>
        <ext uri="{3e2802c4-a4d2-4d8b-9148-e3be6c30e623}">
          <xlrd:rvb i="11628"/>
        </ext>
      </extLst>
    </bk>
    <bk>
      <extLst>
        <ext uri="{3e2802c4-a4d2-4d8b-9148-e3be6c30e623}">
          <xlrd:rvb i="11629"/>
        </ext>
      </extLst>
    </bk>
    <bk>
      <extLst>
        <ext uri="{3e2802c4-a4d2-4d8b-9148-e3be6c30e623}">
          <xlrd:rvb i="11630"/>
        </ext>
      </extLst>
    </bk>
    <bk>
      <extLst>
        <ext uri="{3e2802c4-a4d2-4d8b-9148-e3be6c30e623}">
          <xlrd:rvb i="11631"/>
        </ext>
      </extLst>
    </bk>
    <bk>
      <extLst>
        <ext uri="{3e2802c4-a4d2-4d8b-9148-e3be6c30e623}">
          <xlrd:rvb i="11632"/>
        </ext>
      </extLst>
    </bk>
    <bk>
      <extLst>
        <ext uri="{3e2802c4-a4d2-4d8b-9148-e3be6c30e623}">
          <xlrd:rvb i="11633"/>
        </ext>
      </extLst>
    </bk>
    <bk>
      <extLst>
        <ext uri="{3e2802c4-a4d2-4d8b-9148-e3be6c30e623}">
          <xlrd:rvb i="11634"/>
        </ext>
      </extLst>
    </bk>
    <bk>
      <extLst>
        <ext uri="{3e2802c4-a4d2-4d8b-9148-e3be6c30e623}">
          <xlrd:rvb i="11635"/>
        </ext>
      </extLst>
    </bk>
    <bk>
      <extLst>
        <ext uri="{3e2802c4-a4d2-4d8b-9148-e3be6c30e623}">
          <xlrd:rvb i="11636"/>
        </ext>
      </extLst>
    </bk>
    <bk>
      <extLst>
        <ext uri="{3e2802c4-a4d2-4d8b-9148-e3be6c30e623}">
          <xlrd:rvb i="11637"/>
        </ext>
      </extLst>
    </bk>
    <bk>
      <extLst>
        <ext uri="{3e2802c4-a4d2-4d8b-9148-e3be6c30e623}">
          <xlrd:rvb i="11638"/>
        </ext>
      </extLst>
    </bk>
    <bk>
      <extLst>
        <ext uri="{3e2802c4-a4d2-4d8b-9148-e3be6c30e623}">
          <xlrd:rvb i="11639"/>
        </ext>
      </extLst>
    </bk>
    <bk>
      <extLst>
        <ext uri="{3e2802c4-a4d2-4d8b-9148-e3be6c30e623}">
          <xlrd:rvb i="11640"/>
        </ext>
      </extLst>
    </bk>
    <bk>
      <extLst>
        <ext uri="{3e2802c4-a4d2-4d8b-9148-e3be6c30e623}">
          <xlrd:rvb i="11641"/>
        </ext>
      </extLst>
    </bk>
    <bk>
      <extLst>
        <ext uri="{3e2802c4-a4d2-4d8b-9148-e3be6c30e623}">
          <xlrd:rvb i="11642"/>
        </ext>
      </extLst>
    </bk>
    <bk>
      <extLst>
        <ext uri="{3e2802c4-a4d2-4d8b-9148-e3be6c30e623}">
          <xlrd:rvb i="11643"/>
        </ext>
      </extLst>
    </bk>
    <bk>
      <extLst>
        <ext uri="{3e2802c4-a4d2-4d8b-9148-e3be6c30e623}">
          <xlrd:rvb i="11644"/>
        </ext>
      </extLst>
    </bk>
    <bk>
      <extLst>
        <ext uri="{3e2802c4-a4d2-4d8b-9148-e3be6c30e623}">
          <xlrd:rvb i="11645"/>
        </ext>
      </extLst>
    </bk>
    <bk>
      <extLst>
        <ext uri="{3e2802c4-a4d2-4d8b-9148-e3be6c30e623}">
          <xlrd:rvb i="11646"/>
        </ext>
      </extLst>
    </bk>
    <bk>
      <extLst>
        <ext uri="{3e2802c4-a4d2-4d8b-9148-e3be6c30e623}">
          <xlrd:rvb i="11647"/>
        </ext>
      </extLst>
    </bk>
    <bk>
      <extLst>
        <ext uri="{3e2802c4-a4d2-4d8b-9148-e3be6c30e623}">
          <xlrd:rvb i="11648"/>
        </ext>
      </extLst>
    </bk>
    <bk>
      <extLst>
        <ext uri="{3e2802c4-a4d2-4d8b-9148-e3be6c30e623}">
          <xlrd:rvb i="11649"/>
        </ext>
      </extLst>
    </bk>
    <bk>
      <extLst>
        <ext uri="{3e2802c4-a4d2-4d8b-9148-e3be6c30e623}">
          <xlrd:rvb i="11650"/>
        </ext>
      </extLst>
    </bk>
    <bk>
      <extLst>
        <ext uri="{3e2802c4-a4d2-4d8b-9148-e3be6c30e623}">
          <xlrd:rvb i="11651"/>
        </ext>
      </extLst>
    </bk>
    <bk>
      <extLst>
        <ext uri="{3e2802c4-a4d2-4d8b-9148-e3be6c30e623}">
          <xlrd:rvb i="11652"/>
        </ext>
      </extLst>
    </bk>
    <bk>
      <extLst>
        <ext uri="{3e2802c4-a4d2-4d8b-9148-e3be6c30e623}">
          <xlrd:rvb i="11653"/>
        </ext>
      </extLst>
    </bk>
    <bk>
      <extLst>
        <ext uri="{3e2802c4-a4d2-4d8b-9148-e3be6c30e623}">
          <xlrd:rvb i="11654"/>
        </ext>
      </extLst>
    </bk>
    <bk>
      <extLst>
        <ext uri="{3e2802c4-a4d2-4d8b-9148-e3be6c30e623}">
          <xlrd:rvb i="11655"/>
        </ext>
      </extLst>
    </bk>
    <bk>
      <extLst>
        <ext uri="{3e2802c4-a4d2-4d8b-9148-e3be6c30e623}">
          <xlrd:rvb i="11656"/>
        </ext>
      </extLst>
    </bk>
    <bk>
      <extLst>
        <ext uri="{3e2802c4-a4d2-4d8b-9148-e3be6c30e623}">
          <xlrd:rvb i="11657"/>
        </ext>
      </extLst>
    </bk>
    <bk>
      <extLst>
        <ext uri="{3e2802c4-a4d2-4d8b-9148-e3be6c30e623}">
          <xlrd:rvb i="11658"/>
        </ext>
      </extLst>
    </bk>
    <bk>
      <extLst>
        <ext uri="{3e2802c4-a4d2-4d8b-9148-e3be6c30e623}">
          <xlrd:rvb i="11659"/>
        </ext>
      </extLst>
    </bk>
    <bk>
      <extLst>
        <ext uri="{3e2802c4-a4d2-4d8b-9148-e3be6c30e623}">
          <xlrd:rvb i="11660"/>
        </ext>
      </extLst>
    </bk>
    <bk>
      <extLst>
        <ext uri="{3e2802c4-a4d2-4d8b-9148-e3be6c30e623}">
          <xlrd:rvb i="11661"/>
        </ext>
      </extLst>
    </bk>
    <bk>
      <extLst>
        <ext uri="{3e2802c4-a4d2-4d8b-9148-e3be6c30e623}">
          <xlrd:rvb i="11662"/>
        </ext>
      </extLst>
    </bk>
    <bk>
      <extLst>
        <ext uri="{3e2802c4-a4d2-4d8b-9148-e3be6c30e623}">
          <xlrd:rvb i="11663"/>
        </ext>
      </extLst>
    </bk>
    <bk>
      <extLst>
        <ext uri="{3e2802c4-a4d2-4d8b-9148-e3be6c30e623}">
          <xlrd:rvb i="11664"/>
        </ext>
      </extLst>
    </bk>
    <bk>
      <extLst>
        <ext uri="{3e2802c4-a4d2-4d8b-9148-e3be6c30e623}">
          <xlrd:rvb i="11665"/>
        </ext>
      </extLst>
    </bk>
    <bk>
      <extLst>
        <ext uri="{3e2802c4-a4d2-4d8b-9148-e3be6c30e623}">
          <xlrd:rvb i="11666"/>
        </ext>
      </extLst>
    </bk>
    <bk>
      <extLst>
        <ext uri="{3e2802c4-a4d2-4d8b-9148-e3be6c30e623}">
          <xlrd:rvb i="11667"/>
        </ext>
      </extLst>
    </bk>
    <bk>
      <extLst>
        <ext uri="{3e2802c4-a4d2-4d8b-9148-e3be6c30e623}">
          <xlrd:rvb i="11668"/>
        </ext>
      </extLst>
    </bk>
    <bk>
      <extLst>
        <ext uri="{3e2802c4-a4d2-4d8b-9148-e3be6c30e623}">
          <xlrd:rvb i="11669"/>
        </ext>
      </extLst>
    </bk>
    <bk>
      <extLst>
        <ext uri="{3e2802c4-a4d2-4d8b-9148-e3be6c30e623}">
          <xlrd:rvb i="11670"/>
        </ext>
      </extLst>
    </bk>
    <bk>
      <extLst>
        <ext uri="{3e2802c4-a4d2-4d8b-9148-e3be6c30e623}">
          <xlrd:rvb i="11671"/>
        </ext>
      </extLst>
    </bk>
    <bk>
      <extLst>
        <ext uri="{3e2802c4-a4d2-4d8b-9148-e3be6c30e623}">
          <xlrd:rvb i="11672"/>
        </ext>
      </extLst>
    </bk>
    <bk>
      <extLst>
        <ext uri="{3e2802c4-a4d2-4d8b-9148-e3be6c30e623}">
          <xlrd:rvb i="11673"/>
        </ext>
      </extLst>
    </bk>
    <bk>
      <extLst>
        <ext uri="{3e2802c4-a4d2-4d8b-9148-e3be6c30e623}">
          <xlrd:rvb i="11674"/>
        </ext>
      </extLst>
    </bk>
    <bk>
      <extLst>
        <ext uri="{3e2802c4-a4d2-4d8b-9148-e3be6c30e623}">
          <xlrd:rvb i="11675"/>
        </ext>
      </extLst>
    </bk>
    <bk>
      <extLst>
        <ext uri="{3e2802c4-a4d2-4d8b-9148-e3be6c30e623}">
          <xlrd:rvb i="11676"/>
        </ext>
      </extLst>
    </bk>
    <bk>
      <extLst>
        <ext uri="{3e2802c4-a4d2-4d8b-9148-e3be6c30e623}">
          <xlrd:rvb i="11677"/>
        </ext>
      </extLst>
    </bk>
    <bk>
      <extLst>
        <ext uri="{3e2802c4-a4d2-4d8b-9148-e3be6c30e623}">
          <xlrd:rvb i="11678"/>
        </ext>
      </extLst>
    </bk>
    <bk>
      <extLst>
        <ext uri="{3e2802c4-a4d2-4d8b-9148-e3be6c30e623}">
          <xlrd:rvb i="11679"/>
        </ext>
      </extLst>
    </bk>
    <bk>
      <extLst>
        <ext uri="{3e2802c4-a4d2-4d8b-9148-e3be6c30e623}">
          <xlrd:rvb i="11680"/>
        </ext>
      </extLst>
    </bk>
    <bk>
      <extLst>
        <ext uri="{3e2802c4-a4d2-4d8b-9148-e3be6c30e623}">
          <xlrd:rvb i="11681"/>
        </ext>
      </extLst>
    </bk>
    <bk>
      <extLst>
        <ext uri="{3e2802c4-a4d2-4d8b-9148-e3be6c30e623}">
          <xlrd:rvb i="11682"/>
        </ext>
      </extLst>
    </bk>
    <bk>
      <extLst>
        <ext uri="{3e2802c4-a4d2-4d8b-9148-e3be6c30e623}">
          <xlrd:rvb i="11683"/>
        </ext>
      </extLst>
    </bk>
    <bk>
      <extLst>
        <ext uri="{3e2802c4-a4d2-4d8b-9148-e3be6c30e623}">
          <xlrd:rvb i="11684"/>
        </ext>
      </extLst>
    </bk>
    <bk>
      <extLst>
        <ext uri="{3e2802c4-a4d2-4d8b-9148-e3be6c30e623}">
          <xlrd:rvb i="11685"/>
        </ext>
      </extLst>
    </bk>
    <bk>
      <extLst>
        <ext uri="{3e2802c4-a4d2-4d8b-9148-e3be6c30e623}">
          <xlrd:rvb i="11686"/>
        </ext>
      </extLst>
    </bk>
    <bk>
      <extLst>
        <ext uri="{3e2802c4-a4d2-4d8b-9148-e3be6c30e623}">
          <xlrd:rvb i="11687"/>
        </ext>
      </extLst>
    </bk>
    <bk>
      <extLst>
        <ext uri="{3e2802c4-a4d2-4d8b-9148-e3be6c30e623}">
          <xlrd:rvb i="11688"/>
        </ext>
      </extLst>
    </bk>
    <bk>
      <extLst>
        <ext uri="{3e2802c4-a4d2-4d8b-9148-e3be6c30e623}">
          <xlrd:rvb i="11689"/>
        </ext>
      </extLst>
    </bk>
    <bk>
      <extLst>
        <ext uri="{3e2802c4-a4d2-4d8b-9148-e3be6c30e623}">
          <xlrd:rvb i="11690"/>
        </ext>
      </extLst>
    </bk>
    <bk>
      <extLst>
        <ext uri="{3e2802c4-a4d2-4d8b-9148-e3be6c30e623}">
          <xlrd:rvb i="11691"/>
        </ext>
      </extLst>
    </bk>
    <bk>
      <extLst>
        <ext uri="{3e2802c4-a4d2-4d8b-9148-e3be6c30e623}">
          <xlrd:rvb i="11692"/>
        </ext>
      </extLst>
    </bk>
    <bk>
      <extLst>
        <ext uri="{3e2802c4-a4d2-4d8b-9148-e3be6c30e623}">
          <xlrd:rvb i="11693"/>
        </ext>
      </extLst>
    </bk>
    <bk>
      <extLst>
        <ext uri="{3e2802c4-a4d2-4d8b-9148-e3be6c30e623}">
          <xlrd:rvb i="11694"/>
        </ext>
      </extLst>
    </bk>
    <bk>
      <extLst>
        <ext uri="{3e2802c4-a4d2-4d8b-9148-e3be6c30e623}">
          <xlrd:rvb i="11695"/>
        </ext>
      </extLst>
    </bk>
    <bk>
      <extLst>
        <ext uri="{3e2802c4-a4d2-4d8b-9148-e3be6c30e623}">
          <xlrd:rvb i="11696"/>
        </ext>
      </extLst>
    </bk>
    <bk>
      <extLst>
        <ext uri="{3e2802c4-a4d2-4d8b-9148-e3be6c30e623}">
          <xlrd:rvb i="11697"/>
        </ext>
      </extLst>
    </bk>
    <bk>
      <extLst>
        <ext uri="{3e2802c4-a4d2-4d8b-9148-e3be6c30e623}">
          <xlrd:rvb i="11698"/>
        </ext>
      </extLst>
    </bk>
    <bk>
      <extLst>
        <ext uri="{3e2802c4-a4d2-4d8b-9148-e3be6c30e623}">
          <xlrd:rvb i="11699"/>
        </ext>
      </extLst>
    </bk>
    <bk>
      <extLst>
        <ext uri="{3e2802c4-a4d2-4d8b-9148-e3be6c30e623}">
          <xlrd:rvb i="11700"/>
        </ext>
      </extLst>
    </bk>
    <bk>
      <extLst>
        <ext uri="{3e2802c4-a4d2-4d8b-9148-e3be6c30e623}">
          <xlrd:rvb i="11701"/>
        </ext>
      </extLst>
    </bk>
    <bk>
      <extLst>
        <ext uri="{3e2802c4-a4d2-4d8b-9148-e3be6c30e623}">
          <xlrd:rvb i="11702"/>
        </ext>
      </extLst>
    </bk>
    <bk>
      <extLst>
        <ext uri="{3e2802c4-a4d2-4d8b-9148-e3be6c30e623}">
          <xlrd:rvb i="11703"/>
        </ext>
      </extLst>
    </bk>
    <bk>
      <extLst>
        <ext uri="{3e2802c4-a4d2-4d8b-9148-e3be6c30e623}">
          <xlrd:rvb i="11704"/>
        </ext>
      </extLst>
    </bk>
    <bk>
      <extLst>
        <ext uri="{3e2802c4-a4d2-4d8b-9148-e3be6c30e623}">
          <xlrd:rvb i="11705"/>
        </ext>
      </extLst>
    </bk>
    <bk>
      <extLst>
        <ext uri="{3e2802c4-a4d2-4d8b-9148-e3be6c30e623}">
          <xlrd:rvb i="11706"/>
        </ext>
      </extLst>
    </bk>
    <bk>
      <extLst>
        <ext uri="{3e2802c4-a4d2-4d8b-9148-e3be6c30e623}">
          <xlrd:rvb i="11707"/>
        </ext>
      </extLst>
    </bk>
    <bk>
      <extLst>
        <ext uri="{3e2802c4-a4d2-4d8b-9148-e3be6c30e623}">
          <xlrd:rvb i="11708"/>
        </ext>
      </extLst>
    </bk>
    <bk>
      <extLst>
        <ext uri="{3e2802c4-a4d2-4d8b-9148-e3be6c30e623}">
          <xlrd:rvb i="11709"/>
        </ext>
      </extLst>
    </bk>
    <bk>
      <extLst>
        <ext uri="{3e2802c4-a4d2-4d8b-9148-e3be6c30e623}">
          <xlrd:rvb i="11710"/>
        </ext>
      </extLst>
    </bk>
    <bk>
      <extLst>
        <ext uri="{3e2802c4-a4d2-4d8b-9148-e3be6c30e623}">
          <xlrd:rvb i="11711"/>
        </ext>
      </extLst>
    </bk>
    <bk>
      <extLst>
        <ext uri="{3e2802c4-a4d2-4d8b-9148-e3be6c30e623}">
          <xlrd:rvb i="11712"/>
        </ext>
      </extLst>
    </bk>
    <bk>
      <extLst>
        <ext uri="{3e2802c4-a4d2-4d8b-9148-e3be6c30e623}">
          <xlrd:rvb i="11713"/>
        </ext>
      </extLst>
    </bk>
    <bk>
      <extLst>
        <ext uri="{3e2802c4-a4d2-4d8b-9148-e3be6c30e623}">
          <xlrd:rvb i="11714"/>
        </ext>
      </extLst>
    </bk>
    <bk>
      <extLst>
        <ext uri="{3e2802c4-a4d2-4d8b-9148-e3be6c30e623}">
          <xlrd:rvb i="11715"/>
        </ext>
      </extLst>
    </bk>
    <bk>
      <extLst>
        <ext uri="{3e2802c4-a4d2-4d8b-9148-e3be6c30e623}">
          <xlrd:rvb i="11716"/>
        </ext>
      </extLst>
    </bk>
    <bk>
      <extLst>
        <ext uri="{3e2802c4-a4d2-4d8b-9148-e3be6c30e623}">
          <xlrd:rvb i="11717"/>
        </ext>
      </extLst>
    </bk>
    <bk>
      <extLst>
        <ext uri="{3e2802c4-a4d2-4d8b-9148-e3be6c30e623}">
          <xlrd:rvb i="11718"/>
        </ext>
      </extLst>
    </bk>
    <bk>
      <extLst>
        <ext uri="{3e2802c4-a4d2-4d8b-9148-e3be6c30e623}">
          <xlrd:rvb i="11719"/>
        </ext>
      </extLst>
    </bk>
    <bk>
      <extLst>
        <ext uri="{3e2802c4-a4d2-4d8b-9148-e3be6c30e623}">
          <xlrd:rvb i="11720"/>
        </ext>
      </extLst>
    </bk>
    <bk>
      <extLst>
        <ext uri="{3e2802c4-a4d2-4d8b-9148-e3be6c30e623}">
          <xlrd:rvb i="11721"/>
        </ext>
      </extLst>
    </bk>
    <bk>
      <extLst>
        <ext uri="{3e2802c4-a4d2-4d8b-9148-e3be6c30e623}">
          <xlrd:rvb i="11722"/>
        </ext>
      </extLst>
    </bk>
    <bk>
      <extLst>
        <ext uri="{3e2802c4-a4d2-4d8b-9148-e3be6c30e623}">
          <xlrd:rvb i="11723"/>
        </ext>
      </extLst>
    </bk>
    <bk>
      <extLst>
        <ext uri="{3e2802c4-a4d2-4d8b-9148-e3be6c30e623}">
          <xlrd:rvb i="11724"/>
        </ext>
      </extLst>
    </bk>
    <bk>
      <extLst>
        <ext uri="{3e2802c4-a4d2-4d8b-9148-e3be6c30e623}">
          <xlrd:rvb i="11725"/>
        </ext>
      </extLst>
    </bk>
    <bk>
      <extLst>
        <ext uri="{3e2802c4-a4d2-4d8b-9148-e3be6c30e623}">
          <xlrd:rvb i="11726"/>
        </ext>
      </extLst>
    </bk>
    <bk>
      <extLst>
        <ext uri="{3e2802c4-a4d2-4d8b-9148-e3be6c30e623}">
          <xlrd:rvb i="11727"/>
        </ext>
      </extLst>
    </bk>
    <bk>
      <extLst>
        <ext uri="{3e2802c4-a4d2-4d8b-9148-e3be6c30e623}">
          <xlrd:rvb i="11728"/>
        </ext>
      </extLst>
    </bk>
    <bk>
      <extLst>
        <ext uri="{3e2802c4-a4d2-4d8b-9148-e3be6c30e623}">
          <xlrd:rvb i="11729"/>
        </ext>
      </extLst>
    </bk>
    <bk>
      <extLst>
        <ext uri="{3e2802c4-a4d2-4d8b-9148-e3be6c30e623}">
          <xlrd:rvb i="11730"/>
        </ext>
      </extLst>
    </bk>
    <bk>
      <extLst>
        <ext uri="{3e2802c4-a4d2-4d8b-9148-e3be6c30e623}">
          <xlrd:rvb i="11731"/>
        </ext>
      </extLst>
    </bk>
    <bk>
      <extLst>
        <ext uri="{3e2802c4-a4d2-4d8b-9148-e3be6c30e623}">
          <xlrd:rvb i="11732"/>
        </ext>
      </extLst>
    </bk>
    <bk>
      <extLst>
        <ext uri="{3e2802c4-a4d2-4d8b-9148-e3be6c30e623}">
          <xlrd:rvb i="11733"/>
        </ext>
      </extLst>
    </bk>
    <bk>
      <extLst>
        <ext uri="{3e2802c4-a4d2-4d8b-9148-e3be6c30e623}">
          <xlrd:rvb i="11734"/>
        </ext>
      </extLst>
    </bk>
    <bk>
      <extLst>
        <ext uri="{3e2802c4-a4d2-4d8b-9148-e3be6c30e623}">
          <xlrd:rvb i="11735"/>
        </ext>
      </extLst>
    </bk>
    <bk>
      <extLst>
        <ext uri="{3e2802c4-a4d2-4d8b-9148-e3be6c30e623}">
          <xlrd:rvb i="11736"/>
        </ext>
      </extLst>
    </bk>
    <bk>
      <extLst>
        <ext uri="{3e2802c4-a4d2-4d8b-9148-e3be6c30e623}">
          <xlrd:rvb i="11737"/>
        </ext>
      </extLst>
    </bk>
    <bk>
      <extLst>
        <ext uri="{3e2802c4-a4d2-4d8b-9148-e3be6c30e623}">
          <xlrd:rvb i="11738"/>
        </ext>
      </extLst>
    </bk>
    <bk>
      <extLst>
        <ext uri="{3e2802c4-a4d2-4d8b-9148-e3be6c30e623}">
          <xlrd:rvb i="11739"/>
        </ext>
      </extLst>
    </bk>
    <bk>
      <extLst>
        <ext uri="{3e2802c4-a4d2-4d8b-9148-e3be6c30e623}">
          <xlrd:rvb i="11740"/>
        </ext>
      </extLst>
    </bk>
    <bk>
      <extLst>
        <ext uri="{3e2802c4-a4d2-4d8b-9148-e3be6c30e623}">
          <xlrd:rvb i="11741"/>
        </ext>
      </extLst>
    </bk>
    <bk>
      <extLst>
        <ext uri="{3e2802c4-a4d2-4d8b-9148-e3be6c30e623}">
          <xlrd:rvb i="11742"/>
        </ext>
      </extLst>
    </bk>
    <bk>
      <extLst>
        <ext uri="{3e2802c4-a4d2-4d8b-9148-e3be6c30e623}">
          <xlrd:rvb i="11743"/>
        </ext>
      </extLst>
    </bk>
    <bk>
      <extLst>
        <ext uri="{3e2802c4-a4d2-4d8b-9148-e3be6c30e623}">
          <xlrd:rvb i="11744"/>
        </ext>
      </extLst>
    </bk>
    <bk>
      <extLst>
        <ext uri="{3e2802c4-a4d2-4d8b-9148-e3be6c30e623}">
          <xlrd:rvb i="11745"/>
        </ext>
      </extLst>
    </bk>
    <bk>
      <extLst>
        <ext uri="{3e2802c4-a4d2-4d8b-9148-e3be6c30e623}">
          <xlrd:rvb i="11746"/>
        </ext>
      </extLst>
    </bk>
    <bk>
      <extLst>
        <ext uri="{3e2802c4-a4d2-4d8b-9148-e3be6c30e623}">
          <xlrd:rvb i="11747"/>
        </ext>
      </extLst>
    </bk>
    <bk>
      <extLst>
        <ext uri="{3e2802c4-a4d2-4d8b-9148-e3be6c30e623}">
          <xlrd:rvb i="11748"/>
        </ext>
      </extLst>
    </bk>
    <bk>
      <extLst>
        <ext uri="{3e2802c4-a4d2-4d8b-9148-e3be6c30e623}">
          <xlrd:rvb i="11749"/>
        </ext>
      </extLst>
    </bk>
    <bk>
      <extLst>
        <ext uri="{3e2802c4-a4d2-4d8b-9148-e3be6c30e623}">
          <xlrd:rvb i="11750"/>
        </ext>
      </extLst>
    </bk>
    <bk>
      <extLst>
        <ext uri="{3e2802c4-a4d2-4d8b-9148-e3be6c30e623}">
          <xlrd:rvb i="11751"/>
        </ext>
      </extLst>
    </bk>
    <bk>
      <extLst>
        <ext uri="{3e2802c4-a4d2-4d8b-9148-e3be6c30e623}">
          <xlrd:rvb i="11752"/>
        </ext>
      </extLst>
    </bk>
    <bk>
      <extLst>
        <ext uri="{3e2802c4-a4d2-4d8b-9148-e3be6c30e623}">
          <xlrd:rvb i="11753"/>
        </ext>
      </extLst>
    </bk>
    <bk>
      <extLst>
        <ext uri="{3e2802c4-a4d2-4d8b-9148-e3be6c30e623}">
          <xlrd:rvb i="11754"/>
        </ext>
      </extLst>
    </bk>
    <bk>
      <extLst>
        <ext uri="{3e2802c4-a4d2-4d8b-9148-e3be6c30e623}">
          <xlrd:rvb i="11755"/>
        </ext>
      </extLst>
    </bk>
    <bk>
      <extLst>
        <ext uri="{3e2802c4-a4d2-4d8b-9148-e3be6c30e623}">
          <xlrd:rvb i="11756"/>
        </ext>
      </extLst>
    </bk>
    <bk>
      <extLst>
        <ext uri="{3e2802c4-a4d2-4d8b-9148-e3be6c30e623}">
          <xlrd:rvb i="11757"/>
        </ext>
      </extLst>
    </bk>
    <bk>
      <extLst>
        <ext uri="{3e2802c4-a4d2-4d8b-9148-e3be6c30e623}">
          <xlrd:rvb i="11758"/>
        </ext>
      </extLst>
    </bk>
    <bk>
      <extLst>
        <ext uri="{3e2802c4-a4d2-4d8b-9148-e3be6c30e623}">
          <xlrd:rvb i="11759"/>
        </ext>
      </extLst>
    </bk>
    <bk>
      <extLst>
        <ext uri="{3e2802c4-a4d2-4d8b-9148-e3be6c30e623}">
          <xlrd:rvb i="11760"/>
        </ext>
      </extLst>
    </bk>
    <bk>
      <extLst>
        <ext uri="{3e2802c4-a4d2-4d8b-9148-e3be6c30e623}">
          <xlrd:rvb i="11761"/>
        </ext>
      </extLst>
    </bk>
    <bk>
      <extLst>
        <ext uri="{3e2802c4-a4d2-4d8b-9148-e3be6c30e623}">
          <xlrd:rvb i="11762"/>
        </ext>
      </extLst>
    </bk>
    <bk>
      <extLst>
        <ext uri="{3e2802c4-a4d2-4d8b-9148-e3be6c30e623}">
          <xlrd:rvb i="11763"/>
        </ext>
      </extLst>
    </bk>
    <bk>
      <extLst>
        <ext uri="{3e2802c4-a4d2-4d8b-9148-e3be6c30e623}">
          <xlrd:rvb i="11764"/>
        </ext>
      </extLst>
    </bk>
    <bk>
      <extLst>
        <ext uri="{3e2802c4-a4d2-4d8b-9148-e3be6c30e623}">
          <xlrd:rvb i="11765"/>
        </ext>
      </extLst>
    </bk>
    <bk>
      <extLst>
        <ext uri="{3e2802c4-a4d2-4d8b-9148-e3be6c30e623}">
          <xlrd:rvb i="11766"/>
        </ext>
      </extLst>
    </bk>
    <bk>
      <extLst>
        <ext uri="{3e2802c4-a4d2-4d8b-9148-e3be6c30e623}">
          <xlrd:rvb i="11767"/>
        </ext>
      </extLst>
    </bk>
    <bk>
      <extLst>
        <ext uri="{3e2802c4-a4d2-4d8b-9148-e3be6c30e623}">
          <xlrd:rvb i="11768"/>
        </ext>
      </extLst>
    </bk>
    <bk>
      <extLst>
        <ext uri="{3e2802c4-a4d2-4d8b-9148-e3be6c30e623}">
          <xlrd:rvb i="11769"/>
        </ext>
      </extLst>
    </bk>
    <bk>
      <extLst>
        <ext uri="{3e2802c4-a4d2-4d8b-9148-e3be6c30e623}">
          <xlrd:rvb i="11770"/>
        </ext>
      </extLst>
    </bk>
    <bk>
      <extLst>
        <ext uri="{3e2802c4-a4d2-4d8b-9148-e3be6c30e623}">
          <xlrd:rvb i="11771"/>
        </ext>
      </extLst>
    </bk>
    <bk>
      <extLst>
        <ext uri="{3e2802c4-a4d2-4d8b-9148-e3be6c30e623}">
          <xlrd:rvb i="11772"/>
        </ext>
      </extLst>
    </bk>
    <bk>
      <extLst>
        <ext uri="{3e2802c4-a4d2-4d8b-9148-e3be6c30e623}">
          <xlrd:rvb i="11773"/>
        </ext>
      </extLst>
    </bk>
    <bk>
      <extLst>
        <ext uri="{3e2802c4-a4d2-4d8b-9148-e3be6c30e623}">
          <xlrd:rvb i="11774"/>
        </ext>
      </extLst>
    </bk>
    <bk>
      <extLst>
        <ext uri="{3e2802c4-a4d2-4d8b-9148-e3be6c30e623}">
          <xlrd:rvb i="11775"/>
        </ext>
      </extLst>
    </bk>
    <bk>
      <extLst>
        <ext uri="{3e2802c4-a4d2-4d8b-9148-e3be6c30e623}">
          <xlrd:rvb i="11776"/>
        </ext>
      </extLst>
    </bk>
    <bk>
      <extLst>
        <ext uri="{3e2802c4-a4d2-4d8b-9148-e3be6c30e623}">
          <xlrd:rvb i="11777"/>
        </ext>
      </extLst>
    </bk>
    <bk>
      <extLst>
        <ext uri="{3e2802c4-a4d2-4d8b-9148-e3be6c30e623}">
          <xlrd:rvb i="11778"/>
        </ext>
      </extLst>
    </bk>
    <bk>
      <extLst>
        <ext uri="{3e2802c4-a4d2-4d8b-9148-e3be6c30e623}">
          <xlrd:rvb i="11779"/>
        </ext>
      </extLst>
    </bk>
    <bk>
      <extLst>
        <ext uri="{3e2802c4-a4d2-4d8b-9148-e3be6c30e623}">
          <xlrd:rvb i="11780"/>
        </ext>
      </extLst>
    </bk>
    <bk>
      <extLst>
        <ext uri="{3e2802c4-a4d2-4d8b-9148-e3be6c30e623}">
          <xlrd:rvb i="11781"/>
        </ext>
      </extLst>
    </bk>
    <bk>
      <extLst>
        <ext uri="{3e2802c4-a4d2-4d8b-9148-e3be6c30e623}">
          <xlrd:rvb i="11782"/>
        </ext>
      </extLst>
    </bk>
    <bk>
      <extLst>
        <ext uri="{3e2802c4-a4d2-4d8b-9148-e3be6c30e623}">
          <xlrd:rvb i="11783"/>
        </ext>
      </extLst>
    </bk>
    <bk>
      <extLst>
        <ext uri="{3e2802c4-a4d2-4d8b-9148-e3be6c30e623}">
          <xlrd:rvb i="11784"/>
        </ext>
      </extLst>
    </bk>
    <bk>
      <extLst>
        <ext uri="{3e2802c4-a4d2-4d8b-9148-e3be6c30e623}">
          <xlrd:rvb i="11785"/>
        </ext>
      </extLst>
    </bk>
    <bk>
      <extLst>
        <ext uri="{3e2802c4-a4d2-4d8b-9148-e3be6c30e623}">
          <xlrd:rvb i="11786"/>
        </ext>
      </extLst>
    </bk>
    <bk>
      <extLst>
        <ext uri="{3e2802c4-a4d2-4d8b-9148-e3be6c30e623}">
          <xlrd:rvb i="11787"/>
        </ext>
      </extLst>
    </bk>
    <bk>
      <extLst>
        <ext uri="{3e2802c4-a4d2-4d8b-9148-e3be6c30e623}">
          <xlrd:rvb i="11788"/>
        </ext>
      </extLst>
    </bk>
    <bk>
      <extLst>
        <ext uri="{3e2802c4-a4d2-4d8b-9148-e3be6c30e623}">
          <xlrd:rvb i="11789"/>
        </ext>
      </extLst>
    </bk>
    <bk>
      <extLst>
        <ext uri="{3e2802c4-a4d2-4d8b-9148-e3be6c30e623}">
          <xlrd:rvb i="11790"/>
        </ext>
      </extLst>
    </bk>
    <bk>
      <extLst>
        <ext uri="{3e2802c4-a4d2-4d8b-9148-e3be6c30e623}">
          <xlrd:rvb i="11791"/>
        </ext>
      </extLst>
    </bk>
    <bk>
      <extLst>
        <ext uri="{3e2802c4-a4d2-4d8b-9148-e3be6c30e623}">
          <xlrd:rvb i="11792"/>
        </ext>
      </extLst>
    </bk>
    <bk>
      <extLst>
        <ext uri="{3e2802c4-a4d2-4d8b-9148-e3be6c30e623}">
          <xlrd:rvb i="11793"/>
        </ext>
      </extLst>
    </bk>
    <bk>
      <extLst>
        <ext uri="{3e2802c4-a4d2-4d8b-9148-e3be6c30e623}">
          <xlrd:rvb i="11794"/>
        </ext>
      </extLst>
    </bk>
    <bk>
      <extLst>
        <ext uri="{3e2802c4-a4d2-4d8b-9148-e3be6c30e623}">
          <xlrd:rvb i="11795"/>
        </ext>
      </extLst>
    </bk>
    <bk>
      <extLst>
        <ext uri="{3e2802c4-a4d2-4d8b-9148-e3be6c30e623}">
          <xlrd:rvb i="11796"/>
        </ext>
      </extLst>
    </bk>
    <bk>
      <extLst>
        <ext uri="{3e2802c4-a4d2-4d8b-9148-e3be6c30e623}">
          <xlrd:rvb i="11797"/>
        </ext>
      </extLst>
    </bk>
    <bk>
      <extLst>
        <ext uri="{3e2802c4-a4d2-4d8b-9148-e3be6c30e623}">
          <xlrd:rvb i="11798"/>
        </ext>
      </extLst>
    </bk>
    <bk>
      <extLst>
        <ext uri="{3e2802c4-a4d2-4d8b-9148-e3be6c30e623}">
          <xlrd:rvb i="11799"/>
        </ext>
      </extLst>
    </bk>
    <bk>
      <extLst>
        <ext uri="{3e2802c4-a4d2-4d8b-9148-e3be6c30e623}">
          <xlrd:rvb i="11800"/>
        </ext>
      </extLst>
    </bk>
    <bk>
      <extLst>
        <ext uri="{3e2802c4-a4d2-4d8b-9148-e3be6c30e623}">
          <xlrd:rvb i="11801"/>
        </ext>
      </extLst>
    </bk>
    <bk>
      <extLst>
        <ext uri="{3e2802c4-a4d2-4d8b-9148-e3be6c30e623}">
          <xlrd:rvb i="11802"/>
        </ext>
      </extLst>
    </bk>
    <bk>
      <extLst>
        <ext uri="{3e2802c4-a4d2-4d8b-9148-e3be6c30e623}">
          <xlrd:rvb i="11803"/>
        </ext>
      </extLst>
    </bk>
    <bk>
      <extLst>
        <ext uri="{3e2802c4-a4d2-4d8b-9148-e3be6c30e623}">
          <xlrd:rvb i="11804"/>
        </ext>
      </extLst>
    </bk>
    <bk>
      <extLst>
        <ext uri="{3e2802c4-a4d2-4d8b-9148-e3be6c30e623}">
          <xlrd:rvb i="11805"/>
        </ext>
      </extLst>
    </bk>
    <bk>
      <extLst>
        <ext uri="{3e2802c4-a4d2-4d8b-9148-e3be6c30e623}">
          <xlrd:rvb i="11806"/>
        </ext>
      </extLst>
    </bk>
    <bk>
      <extLst>
        <ext uri="{3e2802c4-a4d2-4d8b-9148-e3be6c30e623}">
          <xlrd:rvb i="11807"/>
        </ext>
      </extLst>
    </bk>
    <bk>
      <extLst>
        <ext uri="{3e2802c4-a4d2-4d8b-9148-e3be6c30e623}">
          <xlrd:rvb i="11808"/>
        </ext>
      </extLst>
    </bk>
    <bk>
      <extLst>
        <ext uri="{3e2802c4-a4d2-4d8b-9148-e3be6c30e623}">
          <xlrd:rvb i="11809"/>
        </ext>
      </extLst>
    </bk>
    <bk>
      <extLst>
        <ext uri="{3e2802c4-a4d2-4d8b-9148-e3be6c30e623}">
          <xlrd:rvb i="11810"/>
        </ext>
      </extLst>
    </bk>
    <bk>
      <extLst>
        <ext uri="{3e2802c4-a4d2-4d8b-9148-e3be6c30e623}">
          <xlrd:rvb i="11811"/>
        </ext>
      </extLst>
    </bk>
    <bk>
      <extLst>
        <ext uri="{3e2802c4-a4d2-4d8b-9148-e3be6c30e623}">
          <xlrd:rvb i="11812"/>
        </ext>
      </extLst>
    </bk>
    <bk>
      <extLst>
        <ext uri="{3e2802c4-a4d2-4d8b-9148-e3be6c30e623}">
          <xlrd:rvb i="11813"/>
        </ext>
      </extLst>
    </bk>
    <bk>
      <extLst>
        <ext uri="{3e2802c4-a4d2-4d8b-9148-e3be6c30e623}">
          <xlrd:rvb i="11814"/>
        </ext>
      </extLst>
    </bk>
    <bk>
      <extLst>
        <ext uri="{3e2802c4-a4d2-4d8b-9148-e3be6c30e623}">
          <xlrd:rvb i="11815"/>
        </ext>
      </extLst>
    </bk>
    <bk>
      <extLst>
        <ext uri="{3e2802c4-a4d2-4d8b-9148-e3be6c30e623}">
          <xlrd:rvb i="11816"/>
        </ext>
      </extLst>
    </bk>
    <bk>
      <extLst>
        <ext uri="{3e2802c4-a4d2-4d8b-9148-e3be6c30e623}">
          <xlrd:rvb i="11817"/>
        </ext>
      </extLst>
    </bk>
    <bk>
      <extLst>
        <ext uri="{3e2802c4-a4d2-4d8b-9148-e3be6c30e623}">
          <xlrd:rvb i="11818"/>
        </ext>
      </extLst>
    </bk>
    <bk>
      <extLst>
        <ext uri="{3e2802c4-a4d2-4d8b-9148-e3be6c30e623}">
          <xlrd:rvb i="11819"/>
        </ext>
      </extLst>
    </bk>
    <bk>
      <extLst>
        <ext uri="{3e2802c4-a4d2-4d8b-9148-e3be6c30e623}">
          <xlrd:rvb i="11820"/>
        </ext>
      </extLst>
    </bk>
    <bk>
      <extLst>
        <ext uri="{3e2802c4-a4d2-4d8b-9148-e3be6c30e623}">
          <xlrd:rvb i="11821"/>
        </ext>
      </extLst>
    </bk>
    <bk>
      <extLst>
        <ext uri="{3e2802c4-a4d2-4d8b-9148-e3be6c30e623}">
          <xlrd:rvb i="11822"/>
        </ext>
      </extLst>
    </bk>
    <bk>
      <extLst>
        <ext uri="{3e2802c4-a4d2-4d8b-9148-e3be6c30e623}">
          <xlrd:rvb i="11823"/>
        </ext>
      </extLst>
    </bk>
    <bk>
      <extLst>
        <ext uri="{3e2802c4-a4d2-4d8b-9148-e3be6c30e623}">
          <xlrd:rvb i="11824"/>
        </ext>
      </extLst>
    </bk>
    <bk>
      <extLst>
        <ext uri="{3e2802c4-a4d2-4d8b-9148-e3be6c30e623}">
          <xlrd:rvb i="11825"/>
        </ext>
      </extLst>
    </bk>
    <bk>
      <extLst>
        <ext uri="{3e2802c4-a4d2-4d8b-9148-e3be6c30e623}">
          <xlrd:rvb i="11826"/>
        </ext>
      </extLst>
    </bk>
    <bk>
      <extLst>
        <ext uri="{3e2802c4-a4d2-4d8b-9148-e3be6c30e623}">
          <xlrd:rvb i="11827"/>
        </ext>
      </extLst>
    </bk>
    <bk>
      <extLst>
        <ext uri="{3e2802c4-a4d2-4d8b-9148-e3be6c30e623}">
          <xlrd:rvb i="11828"/>
        </ext>
      </extLst>
    </bk>
    <bk>
      <extLst>
        <ext uri="{3e2802c4-a4d2-4d8b-9148-e3be6c30e623}">
          <xlrd:rvb i="11829"/>
        </ext>
      </extLst>
    </bk>
    <bk>
      <extLst>
        <ext uri="{3e2802c4-a4d2-4d8b-9148-e3be6c30e623}">
          <xlrd:rvb i="11830"/>
        </ext>
      </extLst>
    </bk>
    <bk>
      <extLst>
        <ext uri="{3e2802c4-a4d2-4d8b-9148-e3be6c30e623}">
          <xlrd:rvb i="11831"/>
        </ext>
      </extLst>
    </bk>
    <bk>
      <extLst>
        <ext uri="{3e2802c4-a4d2-4d8b-9148-e3be6c30e623}">
          <xlrd:rvb i="11832"/>
        </ext>
      </extLst>
    </bk>
    <bk>
      <extLst>
        <ext uri="{3e2802c4-a4d2-4d8b-9148-e3be6c30e623}">
          <xlrd:rvb i="11833"/>
        </ext>
      </extLst>
    </bk>
    <bk>
      <extLst>
        <ext uri="{3e2802c4-a4d2-4d8b-9148-e3be6c30e623}">
          <xlrd:rvb i="11834"/>
        </ext>
      </extLst>
    </bk>
    <bk>
      <extLst>
        <ext uri="{3e2802c4-a4d2-4d8b-9148-e3be6c30e623}">
          <xlrd:rvb i="11835"/>
        </ext>
      </extLst>
    </bk>
    <bk>
      <extLst>
        <ext uri="{3e2802c4-a4d2-4d8b-9148-e3be6c30e623}">
          <xlrd:rvb i="11836"/>
        </ext>
      </extLst>
    </bk>
    <bk>
      <extLst>
        <ext uri="{3e2802c4-a4d2-4d8b-9148-e3be6c30e623}">
          <xlrd:rvb i="11837"/>
        </ext>
      </extLst>
    </bk>
    <bk>
      <extLst>
        <ext uri="{3e2802c4-a4d2-4d8b-9148-e3be6c30e623}">
          <xlrd:rvb i="11838"/>
        </ext>
      </extLst>
    </bk>
    <bk>
      <extLst>
        <ext uri="{3e2802c4-a4d2-4d8b-9148-e3be6c30e623}">
          <xlrd:rvb i="11839"/>
        </ext>
      </extLst>
    </bk>
    <bk>
      <extLst>
        <ext uri="{3e2802c4-a4d2-4d8b-9148-e3be6c30e623}">
          <xlrd:rvb i="11840"/>
        </ext>
      </extLst>
    </bk>
    <bk>
      <extLst>
        <ext uri="{3e2802c4-a4d2-4d8b-9148-e3be6c30e623}">
          <xlrd:rvb i="11841"/>
        </ext>
      </extLst>
    </bk>
    <bk>
      <extLst>
        <ext uri="{3e2802c4-a4d2-4d8b-9148-e3be6c30e623}">
          <xlrd:rvb i="11842"/>
        </ext>
      </extLst>
    </bk>
    <bk>
      <extLst>
        <ext uri="{3e2802c4-a4d2-4d8b-9148-e3be6c30e623}">
          <xlrd:rvb i="11843"/>
        </ext>
      </extLst>
    </bk>
    <bk>
      <extLst>
        <ext uri="{3e2802c4-a4d2-4d8b-9148-e3be6c30e623}">
          <xlrd:rvb i="11844"/>
        </ext>
      </extLst>
    </bk>
    <bk>
      <extLst>
        <ext uri="{3e2802c4-a4d2-4d8b-9148-e3be6c30e623}">
          <xlrd:rvb i="11845"/>
        </ext>
      </extLst>
    </bk>
    <bk>
      <extLst>
        <ext uri="{3e2802c4-a4d2-4d8b-9148-e3be6c30e623}">
          <xlrd:rvb i="11846"/>
        </ext>
      </extLst>
    </bk>
    <bk>
      <extLst>
        <ext uri="{3e2802c4-a4d2-4d8b-9148-e3be6c30e623}">
          <xlrd:rvb i="11847"/>
        </ext>
      </extLst>
    </bk>
    <bk>
      <extLst>
        <ext uri="{3e2802c4-a4d2-4d8b-9148-e3be6c30e623}">
          <xlrd:rvb i="11848"/>
        </ext>
      </extLst>
    </bk>
    <bk>
      <extLst>
        <ext uri="{3e2802c4-a4d2-4d8b-9148-e3be6c30e623}">
          <xlrd:rvb i="11849"/>
        </ext>
      </extLst>
    </bk>
    <bk>
      <extLst>
        <ext uri="{3e2802c4-a4d2-4d8b-9148-e3be6c30e623}">
          <xlrd:rvb i="11850"/>
        </ext>
      </extLst>
    </bk>
    <bk>
      <extLst>
        <ext uri="{3e2802c4-a4d2-4d8b-9148-e3be6c30e623}">
          <xlrd:rvb i="11851"/>
        </ext>
      </extLst>
    </bk>
    <bk>
      <extLst>
        <ext uri="{3e2802c4-a4d2-4d8b-9148-e3be6c30e623}">
          <xlrd:rvb i="11852"/>
        </ext>
      </extLst>
    </bk>
    <bk>
      <extLst>
        <ext uri="{3e2802c4-a4d2-4d8b-9148-e3be6c30e623}">
          <xlrd:rvb i="11853"/>
        </ext>
      </extLst>
    </bk>
    <bk>
      <extLst>
        <ext uri="{3e2802c4-a4d2-4d8b-9148-e3be6c30e623}">
          <xlrd:rvb i="11854"/>
        </ext>
      </extLst>
    </bk>
    <bk>
      <extLst>
        <ext uri="{3e2802c4-a4d2-4d8b-9148-e3be6c30e623}">
          <xlrd:rvb i="11855"/>
        </ext>
      </extLst>
    </bk>
    <bk>
      <extLst>
        <ext uri="{3e2802c4-a4d2-4d8b-9148-e3be6c30e623}">
          <xlrd:rvb i="11856"/>
        </ext>
      </extLst>
    </bk>
    <bk>
      <extLst>
        <ext uri="{3e2802c4-a4d2-4d8b-9148-e3be6c30e623}">
          <xlrd:rvb i="11857"/>
        </ext>
      </extLst>
    </bk>
    <bk>
      <extLst>
        <ext uri="{3e2802c4-a4d2-4d8b-9148-e3be6c30e623}">
          <xlrd:rvb i="11858"/>
        </ext>
      </extLst>
    </bk>
    <bk>
      <extLst>
        <ext uri="{3e2802c4-a4d2-4d8b-9148-e3be6c30e623}">
          <xlrd:rvb i="11859"/>
        </ext>
      </extLst>
    </bk>
    <bk>
      <extLst>
        <ext uri="{3e2802c4-a4d2-4d8b-9148-e3be6c30e623}">
          <xlrd:rvb i="11860"/>
        </ext>
      </extLst>
    </bk>
    <bk>
      <extLst>
        <ext uri="{3e2802c4-a4d2-4d8b-9148-e3be6c30e623}">
          <xlrd:rvb i="11861"/>
        </ext>
      </extLst>
    </bk>
    <bk>
      <extLst>
        <ext uri="{3e2802c4-a4d2-4d8b-9148-e3be6c30e623}">
          <xlrd:rvb i="11862"/>
        </ext>
      </extLst>
    </bk>
    <bk>
      <extLst>
        <ext uri="{3e2802c4-a4d2-4d8b-9148-e3be6c30e623}">
          <xlrd:rvb i="11863"/>
        </ext>
      </extLst>
    </bk>
    <bk>
      <extLst>
        <ext uri="{3e2802c4-a4d2-4d8b-9148-e3be6c30e623}">
          <xlrd:rvb i="11864"/>
        </ext>
      </extLst>
    </bk>
    <bk>
      <extLst>
        <ext uri="{3e2802c4-a4d2-4d8b-9148-e3be6c30e623}">
          <xlrd:rvb i="11865"/>
        </ext>
      </extLst>
    </bk>
    <bk>
      <extLst>
        <ext uri="{3e2802c4-a4d2-4d8b-9148-e3be6c30e623}">
          <xlrd:rvb i="11866"/>
        </ext>
      </extLst>
    </bk>
    <bk>
      <extLst>
        <ext uri="{3e2802c4-a4d2-4d8b-9148-e3be6c30e623}">
          <xlrd:rvb i="11867"/>
        </ext>
      </extLst>
    </bk>
    <bk>
      <extLst>
        <ext uri="{3e2802c4-a4d2-4d8b-9148-e3be6c30e623}">
          <xlrd:rvb i="11868"/>
        </ext>
      </extLst>
    </bk>
    <bk>
      <extLst>
        <ext uri="{3e2802c4-a4d2-4d8b-9148-e3be6c30e623}">
          <xlrd:rvb i="11869"/>
        </ext>
      </extLst>
    </bk>
    <bk>
      <extLst>
        <ext uri="{3e2802c4-a4d2-4d8b-9148-e3be6c30e623}">
          <xlrd:rvb i="11870"/>
        </ext>
      </extLst>
    </bk>
    <bk>
      <extLst>
        <ext uri="{3e2802c4-a4d2-4d8b-9148-e3be6c30e623}">
          <xlrd:rvb i="11871"/>
        </ext>
      </extLst>
    </bk>
    <bk>
      <extLst>
        <ext uri="{3e2802c4-a4d2-4d8b-9148-e3be6c30e623}">
          <xlrd:rvb i="11872"/>
        </ext>
      </extLst>
    </bk>
    <bk>
      <extLst>
        <ext uri="{3e2802c4-a4d2-4d8b-9148-e3be6c30e623}">
          <xlrd:rvb i="11873"/>
        </ext>
      </extLst>
    </bk>
    <bk>
      <extLst>
        <ext uri="{3e2802c4-a4d2-4d8b-9148-e3be6c30e623}">
          <xlrd:rvb i="11874"/>
        </ext>
      </extLst>
    </bk>
    <bk>
      <extLst>
        <ext uri="{3e2802c4-a4d2-4d8b-9148-e3be6c30e623}">
          <xlrd:rvb i="11875"/>
        </ext>
      </extLst>
    </bk>
    <bk>
      <extLst>
        <ext uri="{3e2802c4-a4d2-4d8b-9148-e3be6c30e623}">
          <xlrd:rvb i="11876"/>
        </ext>
      </extLst>
    </bk>
    <bk>
      <extLst>
        <ext uri="{3e2802c4-a4d2-4d8b-9148-e3be6c30e623}">
          <xlrd:rvb i="11877"/>
        </ext>
      </extLst>
    </bk>
    <bk>
      <extLst>
        <ext uri="{3e2802c4-a4d2-4d8b-9148-e3be6c30e623}">
          <xlrd:rvb i="11878"/>
        </ext>
      </extLst>
    </bk>
    <bk>
      <extLst>
        <ext uri="{3e2802c4-a4d2-4d8b-9148-e3be6c30e623}">
          <xlrd:rvb i="11879"/>
        </ext>
      </extLst>
    </bk>
    <bk>
      <extLst>
        <ext uri="{3e2802c4-a4d2-4d8b-9148-e3be6c30e623}">
          <xlrd:rvb i="11880"/>
        </ext>
      </extLst>
    </bk>
    <bk>
      <extLst>
        <ext uri="{3e2802c4-a4d2-4d8b-9148-e3be6c30e623}">
          <xlrd:rvb i="11881"/>
        </ext>
      </extLst>
    </bk>
    <bk>
      <extLst>
        <ext uri="{3e2802c4-a4d2-4d8b-9148-e3be6c30e623}">
          <xlrd:rvb i="11882"/>
        </ext>
      </extLst>
    </bk>
    <bk>
      <extLst>
        <ext uri="{3e2802c4-a4d2-4d8b-9148-e3be6c30e623}">
          <xlrd:rvb i="11883"/>
        </ext>
      </extLst>
    </bk>
    <bk>
      <extLst>
        <ext uri="{3e2802c4-a4d2-4d8b-9148-e3be6c30e623}">
          <xlrd:rvb i="11884"/>
        </ext>
      </extLst>
    </bk>
    <bk>
      <extLst>
        <ext uri="{3e2802c4-a4d2-4d8b-9148-e3be6c30e623}">
          <xlrd:rvb i="11885"/>
        </ext>
      </extLst>
    </bk>
    <bk>
      <extLst>
        <ext uri="{3e2802c4-a4d2-4d8b-9148-e3be6c30e623}">
          <xlrd:rvb i="11886"/>
        </ext>
      </extLst>
    </bk>
    <bk>
      <extLst>
        <ext uri="{3e2802c4-a4d2-4d8b-9148-e3be6c30e623}">
          <xlrd:rvb i="11887"/>
        </ext>
      </extLst>
    </bk>
    <bk>
      <extLst>
        <ext uri="{3e2802c4-a4d2-4d8b-9148-e3be6c30e623}">
          <xlrd:rvb i="11888"/>
        </ext>
      </extLst>
    </bk>
    <bk>
      <extLst>
        <ext uri="{3e2802c4-a4d2-4d8b-9148-e3be6c30e623}">
          <xlrd:rvb i="11889"/>
        </ext>
      </extLst>
    </bk>
    <bk>
      <extLst>
        <ext uri="{3e2802c4-a4d2-4d8b-9148-e3be6c30e623}">
          <xlrd:rvb i="11890"/>
        </ext>
      </extLst>
    </bk>
    <bk>
      <extLst>
        <ext uri="{3e2802c4-a4d2-4d8b-9148-e3be6c30e623}">
          <xlrd:rvb i="11891"/>
        </ext>
      </extLst>
    </bk>
    <bk>
      <extLst>
        <ext uri="{3e2802c4-a4d2-4d8b-9148-e3be6c30e623}">
          <xlrd:rvb i="11892"/>
        </ext>
      </extLst>
    </bk>
    <bk>
      <extLst>
        <ext uri="{3e2802c4-a4d2-4d8b-9148-e3be6c30e623}">
          <xlrd:rvb i="11893"/>
        </ext>
      </extLst>
    </bk>
    <bk>
      <extLst>
        <ext uri="{3e2802c4-a4d2-4d8b-9148-e3be6c30e623}">
          <xlrd:rvb i="11894"/>
        </ext>
      </extLst>
    </bk>
    <bk>
      <extLst>
        <ext uri="{3e2802c4-a4d2-4d8b-9148-e3be6c30e623}">
          <xlrd:rvb i="11895"/>
        </ext>
      </extLst>
    </bk>
    <bk>
      <extLst>
        <ext uri="{3e2802c4-a4d2-4d8b-9148-e3be6c30e623}">
          <xlrd:rvb i="11896"/>
        </ext>
      </extLst>
    </bk>
    <bk>
      <extLst>
        <ext uri="{3e2802c4-a4d2-4d8b-9148-e3be6c30e623}">
          <xlrd:rvb i="11897"/>
        </ext>
      </extLst>
    </bk>
    <bk>
      <extLst>
        <ext uri="{3e2802c4-a4d2-4d8b-9148-e3be6c30e623}">
          <xlrd:rvb i="11898"/>
        </ext>
      </extLst>
    </bk>
    <bk>
      <extLst>
        <ext uri="{3e2802c4-a4d2-4d8b-9148-e3be6c30e623}">
          <xlrd:rvb i="11899"/>
        </ext>
      </extLst>
    </bk>
    <bk>
      <extLst>
        <ext uri="{3e2802c4-a4d2-4d8b-9148-e3be6c30e623}">
          <xlrd:rvb i="11900"/>
        </ext>
      </extLst>
    </bk>
    <bk>
      <extLst>
        <ext uri="{3e2802c4-a4d2-4d8b-9148-e3be6c30e623}">
          <xlrd:rvb i="11901"/>
        </ext>
      </extLst>
    </bk>
    <bk>
      <extLst>
        <ext uri="{3e2802c4-a4d2-4d8b-9148-e3be6c30e623}">
          <xlrd:rvb i="11902"/>
        </ext>
      </extLst>
    </bk>
    <bk>
      <extLst>
        <ext uri="{3e2802c4-a4d2-4d8b-9148-e3be6c30e623}">
          <xlrd:rvb i="11903"/>
        </ext>
      </extLst>
    </bk>
    <bk>
      <extLst>
        <ext uri="{3e2802c4-a4d2-4d8b-9148-e3be6c30e623}">
          <xlrd:rvb i="11904"/>
        </ext>
      </extLst>
    </bk>
    <bk>
      <extLst>
        <ext uri="{3e2802c4-a4d2-4d8b-9148-e3be6c30e623}">
          <xlrd:rvb i="11905"/>
        </ext>
      </extLst>
    </bk>
    <bk>
      <extLst>
        <ext uri="{3e2802c4-a4d2-4d8b-9148-e3be6c30e623}">
          <xlrd:rvb i="11906"/>
        </ext>
      </extLst>
    </bk>
    <bk>
      <extLst>
        <ext uri="{3e2802c4-a4d2-4d8b-9148-e3be6c30e623}">
          <xlrd:rvb i="11907"/>
        </ext>
      </extLst>
    </bk>
    <bk>
      <extLst>
        <ext uri="{3e2802c4-a4d2-4d8b-9148-e3be6c30e623}">
          <xlrd:rvb i="11908"/>
        </ext>
      </extLst>
    </bk>
    <bk>
      <extLst>
        <ext uri="{3e2802c4-a4d2-4d8b-9148-e3be6c30e623}">
          <xlrd:rvb i="11909"/>
        </ext>
      </extLst>
    </bk>
    <bk>
      <extLst>
        <ext uri="{3e2802c4-a4d2-4d8b-9148-e3be6c30e623}">
          <xlrd:rvb i="11910"/>
        </ext>
      </extLst>
    </bk>
    <bk>
      <extLst>
        <ext uri="{3e2802c4-a4d2-4d8b-9148-e3be6c30e623}">
          <xlrd:rvb i="11911"/>
        </ext>
      </extLst>
    </bk>
    <bk>
      <extLst>
        <ext uri="{3e2802c4-a4d2-4d8b-9148-e3be6c30e623}">
          <xlrd:rvb i="11912"/>
        </ext>
      </extLst>
    </bk>
    <bk>
      <extLst>
        <ext uri="{3e2802c4-a4d2-4d8b-9148-e3be6c30e623}">
          <xlrd:rvb i="11913"/>
        </ext>
      </extLst>
    </bk>
    <bk>
      <extLst>
        <ext uri="{3e2802c4-a4d2-4d8b-9148-e3be6c30e623}">
          <xlrd:rvb i="11914"/>
        </ext>
      </extLst>
    </bk>
    <bk>
      <extLst>
        <ext uri="{3e2802c4-a4d2-4d8b-9148-e3be6c30e623}">
          <xlrd:rvb i="11915"/>
        </ext>
      </extLst>
    </bk>
    <bk>
      <extLst>
        <ext uri="{3e2802c4-a4d2-4d8b-9148-e3be6c30e623}">
          <xlrd:rvb i="11916"/>
        </ext>
      </extLst>
    </bk>
    <bk>
      <extLst>
        <ext uri="{3e2802c4-a4d2-4d8b-9148-e3be6c30e623}">
          <xlrd:rvb i="11917"/>
        </ext>
      </extLst>
    </bk>
    <bk>
      <extLst>
        <ext uri="{3e2802c4-a4d2-4d8b-9148-e3be6c30e623}">
          <xlrd:rvb i="11918"/>
        </ext>
      </extLst>
    </bk>
    <bk>
      <extLst>
        <ext uri="{3e2802c4-a4d2-4d8b-9148-e3be6c30e623}">
          <xlrd:rvb i="11919"/>
        </ext>
      </extLst>
    </bk>
    <bk>
      <extLst>
        <ext uri="{3e2802c4-a4d2-4d8b-9148-e3be6c30e623}">
          <xlrd:rvb i="11920"/>
        </ext>
      </extLst>
    </bk>
    <bk>
      <extLst>
        <ext uri="{3e2802c4-a4d2-4d8b-9148-e3be6c30e623}">
          <xlrd:rvb i="11921"/>
        </ext>
      </extLst>
    </bk>
    <bk>
      <extLst>
        <ext uri="{3e2802c4-a4d2-4d8b-9148-e3be6c30e623}">
          <xlrd:rvb i="11922"/>
        </ext>
      </extLst>
    </bk>
    <bk>
      <extLst>
        <ext uri="{3e2802c4-a4d2-4d8b-9148-e3be6c30e623}">
          <xlrd:rvb i="11923"/>
        </ext>
      </extLst>
    </bk>
    <bk>
      <extLst>
        <ext uri="{3e2802c4-a4d2-4d8b-9148-e3be6c30e623}">
          <xlrd:rvb i="11924"/>
        </ext>
      </extLst>
    </bk>
    <bk>
      <extLst>
        <ext uri="{3e2802c4-a4d2-4d8b-9148-e3be6c30e623}">
          <xlrd:rvb i="11925"/>
        </ext>
      </extLst>
    </bk>
    <bk>
      <extLst>
        <ext uri="{3e2802c4-a4d2-4d8b-9148-e3be6c30e623}">
          <xlrd:rvb i="11926"/>
        </ext>
      </extLst>
    </bk>
    <bk>
      <extLst>
        <ext uri="{3e2802c4-a4d2-4d8b-9148-e3be6c30e623}">
          <xlrd:rvb i="11927"/>
        </ext>
      </extLst>
    </bk>
    <bk>
      <extLst>
        <ext uri="{3e2802c4-a4d2-4d8b-9148-e3be6c30e623}">
          <xlrd:rvb i="11928"/>
        </ext>
      </extLst>
    </bk>
    <bk>
      <extLst>
        <ext uri="{3e2802c4-a4d2-4d8b-9148-e3be6c30e623}">
          <xlrd:rvb i="11929"/>
        </ext>
      </extLst>
    </bk>
    <bk>
      <extLst>
        <ext uri="{3e2802c4-a4d2-4d8b-9148-e3be6c30e623}">
          <xlrd:rvb i="11930"/>
        </ext>
      </extLst>
    </bk>
    <bk>
      <extLst>
        <ext uri="{3e2802c4-a4d2-4d8b-9148-e3be6c30e623}">
          <xlrd:rvb i="11931"/>
        </ext>
      </extLst>
    </bk>
    <bk>
      <extLst>
        <ext uri="{3e2802c4-a4d2-4d8b-9148-e3be6c30e623}">
          <xlrd:rvb i="11932"/>
        </ext>
      </extLst>
    </bk>
    <bk>
      <extLst>
        <ext uri="{3e2802c4-a4d2-4d8b-9148-e3be6c30e623}">
          <xlrd:rvb i="11933"/>
        </ext>
      </extLst>
    </bk>
    <bk>
      <extLst>
        <ext uri="{3e2802c4-a4d2-4d8b-9148-e3be6c30e623}">
          <xlrd:rvb i="11934"/>
        </ext>
      </extLst>
    </bk>
    <bk>
      <extLst>
        <ext uri="{3e2802c4-a4d2-4d8b-9148-e3be6c30e623}">
          <xlrd:rvb i="11935"/>
        </ext>
      </extLst>
    </bk>
    <bk>
      <extLst>
        <ext uri="{3e2802c4-a4d2-4d8b-9148-e3be6c30e623}">
          <xlrd:rvb i="11936"/>
        </ext>
      </extLst>
    </bk>
    <bk>
      <extLst>
        <ext uri="{3e2802c4-a4d2-4d8b-9148-e3be6c30e623}">
          <xlrd:rvb i="11937"/>
        </ext>
      </extLst>
    </bk>
    <bk>
      <extLst>
        <ext uri="{3e2802c4-a4d2-4d8b-9148-e3be6c30e623}">
          <xlrd:rvb i="11938"/>
        </ext>
      </extLst>
    </bk>
    <bk>
      <extLst>
        <ext uri="{3e2802c4-a4d2-4d8b-9148-e3be6c30e623}">
          <xlrd:rvb i="11939"/>
        </ext>
      </extLst>
    </bk>
    <bk>
      <extLst>
        <ext uri="{3e2802c4-a4d2-4d8b-9148-e3be6c30e623}">
          <xlrd:rvb i="11940"/>
        </ext>
      </extLst>
    </bk>
    <bk>
      <extLst>
        <ext uri="{3e2802c4-a4d2-4d8b-9148-e3be6c30e623}">
          <xlrd:rvb i="11941"/>
        </ext>
      </extLst>
    </bk>
    <bk>
      <extLst>
        <ext uri="{3e2802c4-a4d2-4d8b-9148-e3be6c30e623}">
          <xlrd:rvb i="11942"/>
        </ext>
      </extLst>
    </bk>
    <bk>
      <extLst>
        <ext uri="{3e2802c4-a4d2-4d8b-9148-e3be6c30e623}">
          <xlrd:rvb i="11943"/>
        </ext>
      </extLst>
    </bk>
    <bk>
      <extLst>
        <ext uri="{3e2802c4-a4d2-4d8b-9148-e3be6c30e623}">
          <xlrd:rvb i="11944"/>
        </ext>
      </extLst>
    </bk>
    <bk>
      <extLst>
        <ext uri="{3e2802c4-a4d2-4d8b-9148-e3be6c30e623}">
          <xlrd:rvb i="11945"/>
        </ext>
      </extLst>
    </bk>
    <bk>
      <extLst>
        <ext uri="{3e2802c4-a4d2-4d8b-9148-e3be6c30e623}">
          <xlrd:rvb i="11946"/>
        </ext>
      </extLst>
    </bk>
    <bk>
      <extLst>
        <ext uri="{3e2802c4-a4d2-4d8b-9148-e3be6c30e623}">
          <xlrd:rvb i="11947"/>
        </ext>
      </extLst>
    </bk>
    <bk>
      <extLst>
        <ext uri="{3e2802c4-a4d2-4d8b-9148-e3be6c30e623}">
          <xlrd:rvb i="11948"/>
        </ext>
      </extLst>
    </bk>
    <bk>
      <extLst>
        <ext uri="{3e2802c4-a4d2-4d8b-9148-e3be6c30e623}">
          <xlrd:rvb i="11949"/>
        </ext>
      </extLst>
    </bk>
    <bk>
      <extLst>
        <ext uri="{3e2802c4-a4d2-4d8b-9148-e3be6c30e623}">
          <xlrd:rvb i="11950"/>
        </ext>
      </extLst>
    </bk>
    <bk>
      <extLst>
        <ext uri="{3e2802c4-a4d2-4d8b-9148-e3be6c30e623}">
          <xlrd:rvb i="11951"/>
        </ext>
      </extLst>
    </bk>
    <bk>
      <extLst>
        <ext uri="{3e2802c4-a4d2-4d8b-9148-e3be6c30e623}">
          <xlrd:rvb i="11952"/>
        </ext>
      </extLst>
    </bk>
    <bk>
      <extLst>
        <ext uri="{3e2802c4-a4d2-4d8b-9148-e3be6c30e623}">
          <xlrd:rvb i="11953"/>
        </ext>
      </extLst>
    </bk>
    <bk>
      <extLst>
        <ext uri="{3e2802c4-a4d2-4d8b-9148-e3be6c30e623}">
          <xlrd:rvb i="11954"/>
        </ext>
      </extLst>
    </bk>
    <bk>
      <extLst>
        <ext uri="{3e2802c4-a4d2-4d8b-9148-e3be6c30e623}">
          <xlrd:rvb i="11955"/>
        </ext>
      </extLst>
    </bk>
    <bk>
      <extLst>
        <ext uri="{3e2802c4-a4d2-4d8b-9148-e3be6c30e623}">
          <xlrd:rvb i="11956"/>
        </ext>
      </extLst>
    </bk>
    <bk>
      <extLst>
        <ext uri="{3e2802c4-a4d2-4d8b-9148-e3be6c30e623}">
          <xlrd:rvb i="11957"/>
        </ext>
      </extLst>
    </bk>
    <bk>
      <extLst>
        <ext uri="{3e2802c4-a4d2-4d8b-9148-e3be6c30e623}">
          <xlrd:rvb i="11958"/>
        </ext>
      </extLst>
    </bk>
    <bk>
      <extLst>
        <ext uri="{3e2802c4-a4d2-4d8b-9148-e3be6c30e623}">
          <xlrd:rvb i="11959"/>
        </ext>
      </extLst>
    </bk>
    <bk>
      <extLst>
        <ext uri="{3e2802c4-a4d2-4d8b-9148-e3be6c30e623}">
          <xlrd:rvb i="11960"/>
        </ext>
      </extLst>
    </bk>
    <bk>
      <extLst>
        <ext uri="{3e2802c4-a4d2-4d8b-9148-e3be6c30e623}">
          <xlrd:rvb i="11961"/>
        </ext>
      </extLst>
    </bk>
    <bk>
      <extLst>
        <ext uri="{3e2802c4-a4d2-4d8b-9148-e3be6c30e623}">
          <xlrd:rvb i="11962"/>
        </ext>
      </extLst>
    </bk>
    <bk>
      <extLst>
        <ext uri="{3e2802c4-a4d2-4d8b-9148-e3be6c30e623}">
          <xlrd:rvb i="11963"/>
        </ext>
      </extLst>
    </bk>
    <bk>
      <extLst>
        <ext uri="{3e2802c4-a4d2-4d8b-9148-e3be6c30e623}">
          <xlrd:rvb i="11964"/>
        </ext>
      </extLst>
    </bk>
    <bk>
      <extLst>
        <ext uri="{3e2802c4-a4d2-4d8b-9148-e3be6c30e623}">
          <xlrd:rvb i="11965"/>
        </ext>
      </extLst>
    </bk>
    <bk>
      <extLst>
        <ext uri="{3e2802c4-a4d2-4d8b-9148-e3be6c30e623}">
          <xlrd:rvb i="11966"/>
        </ext>
      </extLst>
    </bk>
    <bk>
      <extLst>
        <ext uri="{3e2802c4-a4d2-4d8b-9148-e3be6c30e623}">
          <xlrd:rvb i="11967"/>
        </ext>
      </extLst>
    </bk>
    <bk>
      <extLst>
        <ext uri="{3e2802c4-a4d2-4d8b-9148-e3be6c30e623}">
          <xlrd:rvb i="11968"/>
        </ext>
      </extLst>
    </bk>
    <bk>
      <extLst>
        <ext uri="{3e2802c4-a4d2-4d8b-9148-e3be6c30e623}">
          <xlrd:rvb i="11969"/>
        </ext>
      </extLst>
    </bk>
    <bk>
      <extLst>
        <ext uri="{3e2802c4-a4d2-4d8b-9148-e3be6c30e623}">
          <xlrd:rvb i="11970"/>
        </ext>
      </extLst>
    </bk>
    <bk>
      <extLst>
        <ext uri="{3e2802c4-a4d2-4d8b-9148-e3be6c30e623}">
          <xlrd:rvb i="11971"/>
        </ext>
      </extLst>
    </bk>
    <bk>
      <extLst>
        <ext uri="{3e2802c4-a4d2-4d8b-9148-e3be6c30e623}">
          <xlrd:rvb i="11972"/>
        </ext>
      </extLst>
    </bk>
    <bk>
      <extLst>
        <ext uri="{3e2802c4-a4d2-4d8b-9148-e3be6c30e623}">
          <xlrd:rvb i="11973"/>
        </ext>
      </extLst>
    </bk>
    <bk>
      <extLst>
        <ext uri="{3e2802c4-a4d2-4d8b-9148-e3be6c30e623}">
          <xlrd:rvb i="11974"/>
        </ext>
      </extLst>
    </bk>
    <bk>
      <extLst>
        <ext uri="{3e2802c4-a4d2-4d8b-9148-e3be6c30e623}">
          <xlrd:rvb i="11975"/>
        </ext>
      </extLst>
    </bk>
    <bk>
      <extLst>
        <ext uri="{3e2802c4-a4d2-4d8b-9148-e3be6c30e623}">
          <xlrd:rvb i="11976"/>
        </ext>
      </extLst>
    </bk>
    <bk>
      <extLst>
        <ext uri="{3e2802c4-a4d2-4d8b-9148-e3be6c30e623}">
          <xlrd:rvb i="11977"/>
        </ext>
      </extLst>
    </bk>
    <bk>
      <extLst>
        <ext uri="{3e2802c4-a4d2-4d8b-9148-e3be6c30e623}">
          <xlrd:rvb i="11978"/>
        </ext>
      </extLst>
    </bk>
    <bk>
      <extLst>
        <ext uri="{3e2802c4-a4d2-4d8b-9148-e3be6c30e623}">
          <xlrd:rvb i="11979"/>
        </ext>
      </extLst>
    </bk>
    <bk>
      <extLst>
        <ext uri="{3e2802c4-a4d2-4d8b-9148-e3be6c30e623}">
          <xlrd:rvb i="11980"/>
        </ext>
      </extLst>
    </bk>
    <bk>
      <extLst>
        <ext uri="{3e2802c4-a4d2-4d8b-9148-e3be6c30e623}">
          <xlrd:rvb i="11981"/>
        </ext>
      </extLst>
    </bk>
    <bk>
      <extLst>
        <ext uri="{3e2802c4-a4d2-4d8b-9148-e3be6c30e623}">
          <xlrd:rvb i="11982"/>
        </ext>
      </extLst>
    </bk>
    <bk>
      <extLst>
        <ext uri="{3e2802c4-a4d2-4d8b-9148-e3be6c30e623}">
          <xlrd:rvb i="11983"/>
        </ext>
      </extLst>
    </bk>
    <bk>
      <extLst>
        <ext uri="{3e2802c4-a4d2-4d8b-9148-e3be6c30e623}">
          <xlrd:rvb i="11984"/>
        </ext>
      </extLst>
    </bk>
    <bk>
      <extLst>
        <ext uri="{3e2802c4-a4d2-4d8b-9148-e3be6c30e623}">
          <xlrd:rvb i="11985"/>
        </ext>
      </extLst>
    </bk>
    <bk>
      <extLst>
        <ext uri="{3e2802c4-a4d2-4d8b-9148-e3be6c30e623}">
          <xlrd:rvb i="11986"/>
        </ext>
      </extLst>
    </bk>
    <bk>
      <extLst>
        <ext uri="{3e2802c4-a4d2-4d8b-9148-e3be6c30e623}">
          <xlrd:rvb i="11987"/>
        </ext>
      </extLst>
    </bk>
    <bk>
      <extLst>
        <ext uri="{3e2802c4-a4d2-4d8b-9148-e3be6c30e623}">
          <xlrd:rvb i="11988"/>
        </ext>
      </extLst>
    </bk>
    <bk>
      <extLst>
        <ext uri="{3e2802c4-a4d2-4d8b-9148-e3be6c30e623}">
          <xlrd:rvb i="11989"/>
        </ext>
      </extLst>
    </bk>
    <bk>
      <extLst>
        <ext uri="{3e2802c4-a4d2-4d8b-9148-e3be6c30e623}">
          <xlrd:rvb i="11990"/>
        </ext>
      </extLst>
    </bk>
    <bk>
      <extLst>
        <ext uri="{3e2802c4-a4d2-4d8b-9148-e3be6c30e623}">
          <xlrd:rvb i="11991"/>
        </ext>
      </extLst>
    </bk>
    <bk>
      <extLst>
        <ext uri="{3e2802c4-a4d2-4d8b-9148-e3be6c30e623}">
          <xlrd:rvb i="11992"/>
        </ext>
      </extLst>
    </bk>
    <bk>
      <extLst>
        <ext uri="{3e2802c4-a4d2-4d8b-9148-e3be6c30e623}">
          <xlrd:rvb i="11993"/>
        </ext>
      </extLst>
    </bk>
    <bk>
      <extLst>
        <ext uri="{3e2802c4-a4d2-4d8b-9148-e3be6c30e623}">
          <xlrd:rvb i="11994"/>
        </ext>
      </extLst>
    </bk>
    <bk>
      <extLst>
        <ext uri="{3e2802c4-a4d2-4d8b-9148-e3be6c30e623}">
          <xlrd:rvb i="11995"/>
        </ext>
      </extLst>
    </bk>
    <bk>
      <extLst>
        <ext uri="{3e2802c4-a4d2-4d8b-9148-e3be6c30e623}">
          <xlrd:rvb i="11996"/>
        </ext>
      </extLst>
    </bk>
    <bk>
      <extLst>
        <ext uri="{3e2802c4-a4d2-4d8b-9148-e3be6c30e623}">
          <xlrd:rvb i="11997"/>
        </ext>
      </extLst>
    </bk>
    <bk>
      <extLst>
        <ext uri="{3e2802c4-a4d2-4d8b-9148-e3be6c30e623}">
          <xlrd:rvb i="11998"/>
        </ext>
      </extLst>
    </bk>
    <bk>
      <extLst>
        <ext uri="{3e2802c4-a4d2-4d8b-9148-e3be6c30e623}">
          <xlrd:rvb i="11999"/>
        </ext>
      </extLst>
    </bk>
    <bk>
      <extLst>
        <ext uri="{3e2802c4-a4d2-4d8b-9148-e3be6c30e623}">
          <xlrd:rvb i="12000"/>
        </ext>
      </extLst>
    </bk>
    <bk>
      <extLst>
        <ext uri="{3e2802c4-a4d2-4d8b-9148-e3be6c30e623}">
          <xlrd:rvb i="12001"/>
        </ext>
      </extLst>
    </bk>
    <bk>
      <extLst>
        <ext uri="{3e2802c4-a4d2-4d8b-9148-e3be6c30e623}">
          <xlrd:rvb i="12002"/>
        </ext>
      </extLst>
    </bk>
    <bk>
      <extLst>
        <ext uri="{3e2802c4-a4d2-4d8b-9148-e3be6c30e623}">
          <xlrd:rvb i="12003"/>
        </ext>
      </extLst>
    </bk>
    <bk>
      <extLst>
        <ext uri="{3e2802c4-a4d2-4d8b-9148-e3be6c30e623}">
          <xlrd:rvb i="12004"/>
        </ext>
      </extLst>
    </bk>
    <bk>
      <extLst>
        <ext uri="{3e2802c4-a4d2-4d8b-9148-e3be6c30e623}">
          <xlrd:rvb i="12005"/>
        </ext>
      </extLst>
    </bk>
    <bk>
      <extLst>
        <ext uri="{3e2802c4-a4d2-4d8b-9148-e3be6c30e623}">
          <xlrd:rvb i="12006"/>
        </ext>
      </extLst>
    </bk>
    <bk>
      <extLst>
        <ext uri="{3e2802c4-a4d2-4d8b-9148-e3be6c30e623}">
          <xlrd:rvb i="12007"/>
        </ext>
      </extLst>
    </bk>
    <bk>
      <extLst>
        <ext uri="{3e2802c4-a4d2-4d8b-9148-e3be6c30e623}">
          <xlrd:rvb i="12008"/>
        </ext>
      </extLst>
    </bk>
    <bk>
      <extLst>
        <ext uri="{3e2802c4-a4d2-4d8b-9148-e3be6c30e623}">
          <xlrd:rvb i="12009"/>
        </ext>
      </extLst>
    </bk>
    <bk>
      <extLst>
        <ext uri="{3e2802c4-a4d2-4d8b-9148-e3be6c30e623}">
          <xlrd:rvb i="12010"/>
        </ext>
      </extLst>
    </bk>
    <bk>
      <extLst>
        <ext uri="{3e2802c4-a4d2-4d8b-9148-e3be6c30e623}">
          <xlrd:rvb i="12011"/>
        </ext>
      </extLst>
    </bk>
    <bk>
      <extLst>
        <ext uri="{3e2802c4-a4d2-4d8b-9148-e3be6c30e623}">
          <xlrd:rvb i="12012"/>
        </ext>
      </extLst>
    </bk>
    <bk>
      <extLst>
        <ext uri="{3e2802c4-a4d2-4d8b-9148-e3be6c30e623}">
          <xlrd:rvb i="12013"/>
        </ext>
      </extLst>
    </bk>
    <bk>
      <extLst>
        <ext uri="{3e2802c4-a4d2-4d8b-9148-e3be6c30e623}">
          <xlrd:rvb i="12014"/>
        </ext>
      </extLst>
    </bk>
    <bk>
      <extLst>
        <ext uri="{3e2802c4-a4d2-4d8b-9148-e3be6c30e623}">
          <xlrd:rvb i="12015"/>
        </ext>
      </extLst>
    </bk>
    <bk>
      <extLst>
        <ext uri="{3e2802c4-a4d2-4d8b-9148-e3be6c30e623}">
          <xlrd:rvb i="12016"/>
        </ext>
      </extLst>
    </bk>
    <bk>
      <extLst>
        <ext uri="{3e2802c4-a4d2-4d8b-9148-e3be6c30e623}">
          <xlrd:rvb i="12017"/>
        </ext>
      </extLst>
    </bk>
    <bk>
      <extLst>
        <ext uri="{3e2802c4-a4d2-4d8b-9148-e3be6c30e623}">
          <xlrd:rvb i="12018"/>
        </ext>
      </extLst>
    </bk>
    <bk>
      <extLst>
        <ext uri="{3e2802c4-a4d2-4d8b-9148-e3be6c30e623}">
          <xlrd:rvb i="12019"/>
        </ext>
      </extLst>
    </bk>
    <bk>
      <extLst>
        <ext uri="{3e2802c4-a4d2-4d8b-9148-e3be6c30e623}">
          <xlrd:rvb i="12020"/>
        </ext>
      </extLst>
    </bk>
    <bk>
      <extLst>
        <ext uri="{3e2802c4-a4d2-4d8b-9148-e3be6c30e623}">
          <xlrd:rvb i="12021"/>
        </ext>
      </extLst>
    </bk>
    <bk>
      <extLst>
        <ext uri="{3e2802c4-a4d2-4d8b-9148-e3be6c30e623}">
          <xlrd:rvb i="12022"/>
        </ext>
      </extLst>
    </bk>
    <bk>
      <extLst>
        <ext uri="{3e2802c4-a4d2-4d8b-9148-e3be6c30e623}">
          <xlrd:rvb i="12023"/>
        </ext>
      </extLst>
    </bk>
    <bk>
      <extLst>
        <ext uri="{3e2802c4-a4d2-4d8b-9148-e3be6c30e623}">
          <xlrd:rvb i="12024"/>
        </ext>
      </extLst>
    </bk>
    <bk>
      <extLst>
        <ext uri="{3e2802c4-a4d2-4d8b-9148-e3be6c30e623}">
          <xlrd:rvb i="12025"/>
        </ext>
      </extLst>
    </bk>
    <bk>
      <extLst>
        <ext uri="{3e2802c4-a4d2-4d8b-9148-e3be6c30e623}">
          <xlrd:rvb i="12026"/>
        </ext>
      </extLst>
    </bk>
    <bk>
      <extLst>
        <ext uri="{3e2802c4-a4d2-4d8b-9148-e3be6c30e623}">
          <xlrd:rvb i="12027"/>
        </ext>
      </extLst>
    </bk>
    <bk>
      <extLst>
        <ext uri="{3e2802c4-a4d2-4d8b-9148-e3be6c30e623}">
          <xlrd:rvb i="12028"/>
        </ext>
      </extLst>
    </bk>
    <bk>
      <extLst>
        <ext uri="{3e2802c4-a4d2-4d8b-9148-e3be6c30e623}">
          <xlrd:rvb i="12029"/>
        </ext>
      </extLst>
    </bk>
    <bk>
      <extLst>
        <ext uri="{3e2802c4-a4d2-4d8b-9148-e3be6c30e623}">
          <xlrd:rvb i="12030"/>
        </ext>
      </extLst>
    </bk>
    <bk>
      <extLst>
        <ext uri="{3e2802c4-a4d2-4d8b-9148-e3be6c30e623}">
          <xlrd:rvb i="12031"/>
        </ext>
      </extLst>
    </bk>
    <bk>
      <extLst>
        <ext uri="{3e2802c4-a4d2-4d8b-9148-e3be6c30e623}">
          <xlrd:rvb i="12032"/>
        </ext>
      </extLst>
    </bk>
    <bk>
      <extLst>
        <ext uri="{3e2802c4-a4d2-4d8b-9148-e3be6c30e623}">
          <xlrd:rvb i="12033"/>
        </ext>
      </extLst>
    </bk>
    <bk>
      <extLst>
        <ext uri="{3e2802c4-a4d2-4d8b-9148-e3be6c30e623}">
          <xlrd:rvb i="12034"/>
        </ext>
      </extLst>
    </bk>
    <bk>
      <extLst>
        <ext uri="{3e2802c4-a4d2-4d8b-9148-e3be6c30e623}">
          <xlrd:rvb i="12035"/>
        </ext>
      </extLst>
    </bk>
    <bk>
      <extLst>
        <ext uri="{3e2802c4-a4d2-4d8b-9148-e3be6c30e623}">
          <xlrd:rvb i="12036"/>
        </ext>
      </extLst>
    </bk>
    <bk>
      <extLst>
        <ext uri="{3e2802c4-a4d2-4d8b-9148-e3be6c30e623}">
          <xlrd:rvb i="12037"/>
        </ext>
      </extLst>
    </bk>
    <bk>
      <extLst>
        <ext uri="{3e2802c4-a4d2-4d8b-9148-e3be6c30e623}">
          <xlrd:rvb i="12038"/>
        </ext>
      </extLst>
    </bk>
    <bk>
      <extLst>
        <ext uri="{3e2802c4-a4d2-4d8b-9148-e3be6c30e623}">
          <xlrd:rvb i="12039"/>
        </ext>
      </extLst>
    </bk>
    <bk>
      <extLst>
        <ext uri="{3e2802c4-a4d2-4d8b-9148-e3be6c30e623}">
          <xlrd:rvb i="12040"/>
        </ext>
      </extLst>
    </bk>
    <bk>
      <extLst>
        <ext uri="{3e2802c4-a4d2-4d8b-9148-e3be6c30e623}">
          <xlrd:rvb i="12041"/>
        </ext>
      </extLst>
    </bk>
    <bk>
      <extLst>
        <ext uri="{3e2802c4-a4d2-4d8b-9148-e3be6c30e623}">
          <xlrd:rvb i="12042"/>
        </ext>
      </extLst>
    </bk>
    <bk>
      <extLst>
        <ext uri="{3e2802c4-a4d2-4d8b-9148-e3be6c30e623}">
          <xlrd:rvb i="12043"/>
        </ext>
      </extLst>
    </bk>
    <bk>
      <extLst>
        <ext uri="{3e2802c4-a4d2-4d8b-9148-e3be6c30e623}">
          <xlrd:rvb i="12044"/>
        </ext>
      </extLst>
    </bk>
    <bk>
      <extLst>
        <ext uri="{3e2802c4-a4d2-4d8b-9148-e3be6c30e623}">
          <xlrd:rvb i="12045"/>
        </ext>
      </extLst>
    </bk>
    <bk>
      <extLst>
        <ext uri="{3e2802c4-a4d2-4d8b-9148-e3be6c30e623}">
          <xlrd:rvb i="12046"/>
        </ext>
      </extLst>
    </bk>
    <bk>
      <extLst>
        <ext uri="{3e2802c4-a4d2-4d8b-9148-e3be6c30e623}">
          <xlrd:rvb i="12047"/>
        </ext>
      </extLst>
    </bk>
    <bk>
      <extLst>
        <ext uri="{3e2802c4-a4d2-4d8b-9148-e3be6c30e623}">
          <xlrd:rvb i="12048"/>
        </ext>
      </extLst>
    </bk>
    <bk>
      <extLst>
        <ext uri="{3e2802c4-a4d2-4d8b-9148-e3be6c30e623}">
          <xlrd:rvb i="12049"/>
        </ext>
      </extLst>
    </bk>
    <bk>
      <extLst>
        <ext uri="{3e2802c4-a4d2-4d8b-9148-e3be6c30e623}">
          <xlrd:rvb i="12050"/>
        </ext>
      </extLst>
    </bk>
    <bk>
      <extLst>
        <ext uri="{3e2802c4-a4d2-4d8b-9148-e3be6c30e623}">
          <xlrd:rvb i="12051"/>
        </ext>
      </extLst>
    </bk>
    <bk>
      <extLst>
        <ext uri="{3e2802c4-a4d2-4d8b-9148-e3be6c30e623}">
          <xlrd:rvb i="12052"/>
        </ext>
      </extLst>
    </bk>
    <bk>
      <extLst>
        <ext uri="{3e2802c4-a4d2-4d8b-9148-e3be6c30e623}">
          <xlrd:rvb i="12053"/>
        </ext>
      </extLst>
    </bk>
    <bk>
      <extLst>
        <ext uri="{3e2802c4-a4d2-4d8b-9148-e3be6c30e623}">
          <xlrd:rvb i="12054"/>
        </ext>
      </extLst>
    </bk>
    <bk>
      <extLst>
        <ext uri="{3e2802c4-a4d2-4d8b-9148-e3be6c30e623}">
          <xlrd:rvb i="12055"/>
        </ext>
      </extLst>
    </bk>
    <bk>
      <extLst>
        <ext uri="{3e2802c4-a4d2-4d8b-9148-e3be6c30e623}">
          <xlrd:rvb i="12056"/>
        </ext>
      </extLst>
    </bk>
    <bk>
      <extLst>
        <ext uri="{3e2802c4-a4d2-4d8b-9148-e3be6c30e623}">
          <xlrd:rvb i="12057"/>
        </ext>
      </extLst>
    </bk>
    <bk>
      <extLst>
        <ext uri="{3e2802c4-a4d2-4d8b-9148-e3be6c30e623}">
          <xlrd:rvb i="12058"/>
        </ext>
      </extLst>
    </bk>
    <bk>
      <extLst>
        <ext uri="{3e2802c4-a4d2-4d8b-9148-e3be6c30e623}">
          <xlrd:rvb i="12059"/>
        </ext>
      </extLst>
    </bk>
    <bk>
      <extLst>
        <ext uri="{3e2802c4-a4d2-4d8b-9148-e3be6c30e623}">
          <xlrd:rvb i="12060"/>
        </ext>
      </extLst>
    </bk>
    <bk>
      <extLst>
        <ext uri="{3e2802c4-a4d2-4d8b-9148-e3be6c30e623}">
          <xlrd:rvb i="12061"/>
        </ext>
      </extLst>
    </bk>
    <bk>
      <extLst>
        <ext uri="{3e2802c4-a4d2-4d8b-9148-e3be6c30e623}">
          <xlrd:rvb i="12062"/>
        </ext>
      </extLst>
    </bk>
    <bk>
      <extLst>
        <ext uri="{3e2802c4-a4d2-4d8b-9148-e3be6c30e623}">
          <xlrd:rvb i="12063"/>
        </ext>
      </extLst>
    </bk>
    <bk>
      <extLst>
        <ext uri="{3e2802c4-a4d2-4d8b-9148-e3be6c30e623}">
          <xlrd:rvb i="12064"/>
        </ext>
      </extLst>
    </bk>
    <bk>
      <extLst>
        <ext uri="{3e2802c4-a4d2-4d8b-9148-e3be6c30e623}">
          <xlrd:rvb i="12065"/>
        </ext>
      </extLst>
    </bk>
    <bk>
      <extLst>
        <ext uri="{3e2802c4-a4d2-4d8b-9148-e3be6c30e623}">
          <xlrd:rvb i="12066"/>
        </ext>
      </extLst>
    </bk>
    <bk>
      <extLst>
        <ext uri="{3e2802c4-a4d2-4d8b-9148-e3be6c30e623}">
          <xlrd:rvb i="12067"/>
        </ext>
      </extLst>
    </bk>
    <bk>
      <extLst>
        <ext uri="{3e2802c4-a4d2-4d8b-9148-e3be6c30e623}">
          <xlrd:rvb i="12068"/>
        </ext>
      </extLst>
    </bk>
    <bk>
      <extLst>
        <ext uri="{3e2802c4-a4d2-4d8b-9148-e3be6c30e623}">
          <xlrd:rvb i="12069"/>
        </ext>
      </extLst>
    </bk>
    <bk>
      <extLst>
        <ext uri="{3e2802c4-a4d2-4d8b-9148-e3be6c30e623}">
          <xlrd:rvb i="12070"/>
        </ext>
      </extLst>
    </bk>
    <bk>
      <extLst>
        <ext uri="{3e2802c4-a4d2-4d8b-9148-e3be6c30e623}">
          <xlrd:rvb i="12071"/>
        </ext>
      </extLst>
    </bk>
    <bk>
      <extLst>
        <ext uri="{3e2802c4-a4d2-4d8b-9148-e3be6c30e623}">
          <xlrd:rvb i="12072"/>
        </ext>
      </extLst>
    </bk>
    <bk>
      <extLst>
        <ext uri="{3e2802c4-a4d2-4d8b-9148-e3be6c30e623}">
          <xlrd:rvb i="12073"/>
        </ext>
      </extLst>
    </bk>
    <bk>
      <extLst>
        <ext uri="{3e2802c4-a4d2-4d8b-9148-e3be6c30e623}">
          <xlrd:rvb i="12074"/>
        </ext>
      </extLst>
    </bk>
    <bk>
      <extLst>
        <ext uri="{3e2802c4-a4d2-4d8b-9148-e3be6c30e623}">
          <xlrd:rvb i="12075"/>
        </ext>
      </extLst>
    </bk>
    <bk>
      <extLst>
        <ext uri="{3e2802c4-a4d2-4d8b-9148-e3be6c30e623}">
          <xlrd:rvb i="12076"/>
        </ext>
      </extLst>
    </bk>
    <bk>
      <extLst>
        <ext uri="{3e2802c4-a4d2-4d8b-9148-e3be6c30e623}">
          <xlrd:rvb i="12077"/>
        </ext>
      </extLst>
    </bk>
    <bk>
      <extLst>
        <ext uri="{3e2802c4-a4d2-4d8b-9148-e3be6c30e623}">
          <xlrd:rvb i="12078"/>
        </ext>
      </extLst>
    </bk>
    <bk>
      <extLst>
        <ext uri="{3e2802c4-a4d2-4d8b-9148-e3be6c30e623}">
          <xlrd:rvb i="12079"/>
        </ext>
      </extLst>
    </bk>
    <bk>
      <extLst>
        <ext uri="{3e2802c4-a4d2-4d8b-9148-e3be6c30e623}">
          <xlrd:rvb i="12080"/>
        </ext>
      </extLst>
    </bk>
    <bk>
      <extLst>
        <ext uri="{3e2802c4-a4d2-4d8b-9148-e3be6c30e623}">
          <xlrd:rvb i="12081"/>
        </ext>
      </extLst>
    </bk>
    <bk>
      <extLst>
        <ext uri="{3e2802c4-a4d2-4d8b-9148-e3be6c30e623}">
          <xlrd:rvb i="12082"/>
        </ext>
      </extLst>
    </bk>
    <bk>
      <extLst>
        <ext uri="{3e2802c4-a4d2-4d8b-9148-e3be6c30e623}">
          <xlrd:rvb i="12083"/>
        </ext>
      </extLst>
    </bk>
    <bk>
      <extLst>
        <ext uri="{3e2802c4-a4d2-4d8b-9148-e3be6c30e623}">
          <xlrd:rvb i="12084"/>
        </ext>
      </extLst>
    </bk>
    <bk>
      <extLst>
        <ext uri="{3e2802c4-a4d2-4d8b-9148-e3be6c30e623}">
          <xlrd:rvb i="12085"/>
        </ext>
      </extLst>
    </bk>
    <bk>
      <extLst>
        <ext uri="{3e2802c4-a4d2-4d8b-9148-e3be6c30e623}">
          <xlrd:rvb i="12086"/>
        </ext>
      </extLst>
    </bk>
    <bk>
      <extLst>
        <ext uri="{3e2802c4-a4d2-4d8b-9148-e3be6c30e623}">
          <xlrd:rvb i="12087"/>
        </ext>
      </extLst>
    </bk>
    <bk>
      <extLst>
        <ext uri="{3e2802c4-a4d2-4d8b-9148-e3be6c30e623}">
          <xlrd:rvb i="12088"/>
        </ext>
      </extLst>
    </bk>
    <bk>
      <extLst>
        <ext uri="{3e2802c4-a4d2-4d8b-9148-e3be6c30e623}">
          <xlrd:rvb i="12089"/>
        </ext>
      </extLst>
    </bk>
    <bk>
      <extLst>
        <ext uri="{3e2802c4-a4d2-4d8b-9148-e3be6c30e623}">
          <xlrd:rvb i="12090"/>
        </ext>
      </extLst>
    </bk>
    <bk>
      <extLst>
        <ext uri="{3e2802c4-a4d2-4d8b-9148-e3be6c30e623}">
          <xlrd:rvb i="12091"/>
        </ext>
      </extLst>
    </bk>
    <bk>
      <extLst>
        <ext uri="{3e2802c4-a4d2-4d8b-9148-e3be6c30e623}">
          <xlrd:rvb i="12092"/>
        </ext>
      </extLst>
    </bk>
    <bk>
      <extLst>
        <ext uri="{3e2802c4-a4d2-4d8b-9148-e3be6c30e623}">
          <xlrd:rvb i="12093"/>
        </ext>
      </extLst>
    </bk>
    <bk>
      <extLst>
        <ext uri="{3e2802c4-a4d2-4d8b-9148-e3be6c30e623}">
          <xlrd:rvb i="12094"/>
        </ext>
      </extLst>
    </bk>
    <bk>
      <extLst>
        <ext uri="{3e2802c4-a4d2-4d8b-9148-e3be6c30e623}">
          <xlrd:rvb i="12095"/>
        </ext>
      </extLst>
    </bk>
    <bk>
      <extLst>
        <ext uri="{3e2802c4-a4d2-4d8b-9148-e3be6c30e623}">
          <xlrd:rvb i="12096"/>
        </ext>
      </extLst>
    </bk>
    <bk>
      <extLst>
        <ext uri="{3e2802c4-a4d2-4d8b-9148-e3be6c30e623}">
          <xlrd:rvb i="12097"/>
        </ext>
      </extLst>
    </bk>
    <bk>
      <extLst>
        <ext uri="{3e2802c4-a4d2-4d8b-9148-e3be6c30e623}">
          <xlrd:rvb i="12098"/>
        </ext>
      </extLst>
    </bk>
    <bk>
      <extLst>
        <ext uri="{3e2802c4-a4d2-4d8b-9148-e3be6c30e623}">
          <xlrd:rvb i="12099"/>
        </ext>
      </extLst>
    </bk>
    <bk>
      <extLst>
        <ext uri="{3e2802c4-a4d2-4d8b-9148-e3be6c30e623}">
          <xlrd:rvb i="12100"/>
        </ext>
      </extLst>
    </bk>
    <bk>
      <extLst>
        <ext uri="{3e2802c4-a4d2-4d8b-9148-e3be6c30e623}">
          <xlrd:rvb i="12101"/>
        </ext>
      </extLst>
    </bk>
    <bk>
      <extLst>
        <ext uri="{3e2802c4-a4d2-4d8b-9148-e3be6c30e623}">
          <xlrd:rvb i="12102"/>
        </ext>
      </extLst>
    </bk>
    <bk>
      <extLst>
        <ext uri="{3e2802c4-a4d2-4d8b-9148-e3be6c30e623}">
          <xlrd:rvb i="12103"/>
        </ext>
      </extLst>
    </bk>
    <bk>
      <extLst>
        <ext uri="{3e2802c4-a4d2-4d8b-9148-e3be6c30e623}">
          <xlrd:rvb i="12104"/>
        </ext>
      </extLst>
    </bk>
    <bk>
      <extLst>
        <ext uri="{3e2802c4-a4d2-4d8b-9148-e3be6c30e623}">
          <xlrd:rvb i="12105"/>
        </ext>
      </extLst>
    </bk>
    <bk>
      <extLst>
        <ext uri="{3e2802c4-a4d2-4d8b-9148-e3be6c30e623}">
          <xlrd:rvb i="12106"/>
        </ext>
      </extLst>
    </bk>
    <bk>
      <extLst>
        <ext uri="{3e2802c4-a4d2-4d8b-9148-e3be6c30e623}">
          <xlrd:rvb i="12107"/>
        </ext>
      </extLst>
    </bk>
    <bk>
      <extLst>
        <ext uri="{3e2802c4-a4d2-4d8b-9148-e3be6c30e623}">
          <xlrd:rvb i="12108"/>
        </ext>
      </extLst>
    </bk>
    <bk>
      <extLst>
        <ext uri="{3e2802c4-a4d2-4d8b-9148-e3be6c30e623}">
          <xlrd:rvb i="12109"/>
        </ext>
      </extLst>
    </bk>
    <bk>
      <extLst>
        <ext uri="{3e2802c4-a4d2-4d8b-9148-e3be6c30e623}">
          <xlrd:rvb i="12110"/>
        </ext>
      </extLst>
    </bk>
    <bk>
      <extLst>
        <ext uri="{3e2802c4-a4d2-4d8b-9148-e3be6c30e623}">
          <xlrd:rvb i="12111"/>
        </ext>
      </extLst>
    </bk>
    <bk>
      <extLst>
        <ext uri="{3e2802c4-a4d2-4d8b-9148-e3be6c30e623}">
          <xlrd:rvb i="12112"/>
        </ext>
      </extLst>
    </bk>
    <bk>
      <extLst>
        <ext uri="{3e2802c4-a4d2-4d8b-9148-e3be6c30e623}">
          <xlrd:rvb i="12113"/>
        </ext>
      </extLst>
    </bk>
    <bk>
      <extLst>
        <ext uri="{3e2802c4-a4d2-4d8b-9148-e3be6c30e623}">
          <xlrd:rvb i="12114"/>
        </ext>
      </extLst>
    </bk>
    <bk>
      <extLst>
        <ext uri="{3e2802c4-a4d2-4d8b-9148-e3be6c30e623}">
          <xlrd:rvb i="12115"/>
        </ext>
      </extLst>
    </bk>
    <bk>
      <extLst>
        <ext uri="{3e2802c4-a4d2-4d8b-9148-e3be6c30e623}">
          <xlrd:rvb i="12116"/>
        </ext>
      </extLst>
    </bk>
    <bk>
      <extLst>
        <ext uri="{3e2802c4-a4d2-4d8b-9148-e3be6c30e623}">
          <xlrd:rvb i="12117"/>
        </ext>
      </extLst>
    </bk>
    <bk>
      <extLst>
        <ext uri="{3e2802c4-a4d2-4d8b-9148-e3be6c30e623}">
          <xlrd:rvb i="12118"/>
        </ext>
      </extLst>
    </bk>
    <bk>
      <extLst>
        <ext uri="{3e2802c4-a4d2-4d8b-9148-e3be6c30e623}">
          <xlrd:rvb i="12119"/>
        </ext>
      </extLst>
    </bk>
    <bk>
      <extLst>
        <ext uri="{3e2802c4-a4d2-4d8b-9148-e3be6c30e623}">
          <xlrd:rvb i="12120"/>
        </ext>
      </extLst>
    </bk>
    <bk>
      <extLst>
        <ext uri="{3e2802c4-a4d2-4d8b-9148-e3be6c30e623}">
          <xlrd:rvb i="12121"/>
        </ext>
      </extLst>
    </bk>
    <bk>
      <extLst>
        <ext uri="{3e2802c4-a4d2-4d8b-9148-e3be6c30e623}">
          <xlrd:rvb i="12122"/>
        </ext>
      </extLst>
    </bk>
    <bk>
      <extLst>
        <ext uri="{3e2802c4-a4d2-4d8b-9148-e3be6c30e623}">
          <xlrd:rvb i="12123"/>
        </ext>
      </extLst>
    </bk>
    <bk>
      <extLst>
        <ext uri="{3e2802c4-a4d2-4d8b-9148-e3be6c30e623}">
          <xlrd:rvb i="12124"/>
        </ext>
      </extLst>
    </bk>
    <bk>
      <extLst>
        <ext uri="{3e2802c4-a4d2-4d8b-9148-e3be6c30e623}">
          <xlrd:rvb i="12125"/>
        </ext>
      </extLst>
    </bk>
    <bk>
      <extLst>
        <ext uri="{3e2802c4-a4d2-4d8b-9148-e3be6c30e623}">
          <xlrd:rvb i="12126"/>
        </ext>
      </extLst>
    </bk>
    <bk>
      <extLst>
        <ext uri="{3e2802c4-a4d2-4d8b-9148-e3be6c30e623}">
          <xlrd:rvb i="12127"/>
        </ext>
      </extLst>
    </bk>
    <bk>
      <extLst>
        <ext uri="{3e2802c4-a4d2-4d8b-9148-e3be6c30e623}">
          <xlrd:rvb i="12128"/>
        </ext>
      </extLst>
    </bk>
    <bk>
      <extLst>
        <ext uri="{3e2802c4-a4d2-4d8b-9148-e3be6c30e623}">
          <xlrd:rvb i="12129"/>
        </ext>
      </extLst>
    </bk>
    <bk>
      <extLst>
        <ext uri="{3e2802c4-a4d2-4d8b-9148-e3be6c30e623}">
          <xlrd:rvb i="12130"/>
        </ext>
      </extLst>
    </bk>
    <bk>
      <extLst>
        <ext uri="{3e2802c4-a4d2-4d8b-9148-e3be6c30e623}">
          <xlrd:rvb i="12131"/>
        </ext>
      </extLst>
    </bk>
    <bk>
      <extLst>
        <ext uri="{3e2802c4-a4d2-4d8b-9148-e3be6c30e623}">
          <xlrd:rvb i="12132"/>
        </ext>
      </extLst>
    </bk>
    <bk>
      <extLst>
        <ext uri="{3e2802c4-a4d2-4d8b-9148-e3be6c30e623}">
          <xlrd:rvb i="12133"/>
        </ext>
      </extLst>
    </bk>
    <bk>
      <extLst>
        <ext uri="{3e2802c4-a4d2-4d8b-9148-e3be6c30e623}">
          <xlrd:rvb i="12134"/>
        </ext>
      </extLst>
    </bk>
    <bk>
      <extLst>
        <ext uri="{3e2802c4-a4d2-4d8b-9148-e3be6c30e623}">
          <xlrd:rvb i="12135"/>
        </ext>
      </extLst>
    </bk>
    <bk>
      <extLst>
        <ext uri="{3e2802c4-a4d2-4d8b-9148-e3be6c30e623}">
          <xlrd:rvb i="12136"/>
        </ext>
      </extLst>
    </bk>
    <bk>
      <extLst>
        <ext uri="{3e2802c4-a4d2-4d8b-9148-e3be6c30e623}">
          <xlrd:rvb i="12137"/>
        </ext>
      </extLst>
    </bk>
    <bk>
      <extLst>
        <ext uri="{3e2802c4-a4d2-4d8b-9148-e3be6c30e623}">
          <xlrd:rvb i="12138"/>
        </ext>
      </extLst>
    </bk>
    <bk>
      <extLst>
        <ext uri="{3e2802c4-a4d2-4d8b-9148-e3be6c30e623}">
          <xlrd:rvb i="12139"/>
        </ext>
      </extLst>
    </bk>
    <bk>
      <extLst>
        <ext uri="{3e2802c4-a4d2-4d8b-9148-e3be6c30e623}">
          <xlrd:rvb i="12140"/>
        </ext>
      </extLst>
    </bk>
    <bk>
      <extLst>
        <ext uri="{3e2802c4-a4d2-4d8b-9148-e3be6c30e623}">
          <xlrd:rvb i="12141"/>
        </ext>
      </extLst>
    </bk>
    <bk>
      <extLst>
        <ext uri="{3e2802c4-a4d2-4d8b-9148-e3be6c30e623}">
          <xlrd:rvb i="12142"/>
        </ext>
      </extLst>
    </bk>
    <bk>
      <extLst>
        <ext uri="{3e2802c4-a4d2-4d8b-9148-e3be6c30e623}">
          <xlrd:rvb i="12143"/>
        </ext>
      </extLst>
    </bk>
    <bk>
      <extLst>
        <ext uri="{3e2802c4-a4d2-4d8b-9148-e3be6c30e623}">
          <xlrd:rvb i="12144"/>
        </ext>
      </extLst>
    </bk>
    <bk>
      <extLst>
        <ext uri="{3e2802c4-a4d2-4d8b-9148-e3be6c30e623}">
          <xlrd:rvb i="12145"/>
        </ext>
      </extLst>
    </bk>
    <bk>
      <extLst>
        <ext uri="{3e2802c4-a4d2-4d8b-9148-e3be6c30e623}">
          <xlrd:rvb i="12146"/>
        </ext>
      </extLst>
    </bk>
    <bk>
      <extLst>
        <ext uri="{3e2802c4-a4d2-4d8b-9148-e3be6c30e623}">
          <xlrd:rvb i="12147"/>
        </ext>
      </extLst>
    </bk>
    <bk>
      <extLst>
        <ext uri="{3e2802c4-a4d2-4d8b-9148-e3be6c30e623}">
          <xlrd:rvb i="12148"/>
        </ext>
      </extLst>
    </bk>
    <bk>
      <extLst>
        <ext uri="{3e2802c4-a4d2-4d8b-9148-e3be6c30e623}">
          <xlrd:rvb i="12149"/>
        </ext>
      </extLst>
    </bk>
    <bk>
      <extLst>
        <ext uri="{3e2802c4-a4d2-4d8b-9148-e3be6c30e623}">
          <xlrd:rvb i="12150"/>
        </ext>
      </extLst>
    </bk>
    <bk>
      <extLst>
        <ext uri="{3e2802c4-a4d2-4d8b-9148-e3be6c30e623}">
          <xlrd:rvb i="12151"/>
        </ext>
      </extLst>
    </bk>
    <bk>
      <extLst>
        <ext uri="{3e2802c4-a4d2-4d8b-9148-e3be6c30e623}">
          <xlrd:rvb i="12152"/>
        </ext>
      </extLst>
    </bk>
    <bk>
      <extLst>
        <ext uri="{3e2802c4-a4d2-4d8b-9148-e3be6c30e623}">
          <xlrd:rvb i="12153"/>
        </ext>
      </extLst>
    </bk>
    <bk>
      <extLst>
        <ext uri="{3e2802c4-a4d2-4d8b-9148-e3be6c30e623}">
          <xlrd:rvb i="12154"/>
        </ext>
      </extLst>
    </bk>
    <bk>
      <extLst>
        <ext uri="{3e2802c4-a4d2-4d8b-9148-e3be6c30e623}">
          <xlrd:rvb i="12155"/>
        </ext>
      </extLst>
    </bk>
    <bk>
      <extLst>
        <ext uri="{3e2802c4-a4d2-4d8b-9148-e3be6c30e623}">
          <xlrd:rvb i="12156"/>
        </ext>
      </extLst>
    </bk>
    <bk>
      <extLst>
        <ext uri="{3e2802c4-a4d2-4d8b-9148-e3be6c30e623}">
          <xlrd:rvb i="12157"/>
        </ext>
      </extLst>
    </bk>
    <bk>
      <extLst>
        <ext uri="{3e2802c4-a4d2-4d8b-9148-e3be6c30e623}">
          <xlrd:rvb i="12158"/>
        </ext>
      </extLst>
    </bk>
    <bk>
      <extLst>
        <ext uri="{3e2802c4-a4d2-4d8b-9148-e3be6c30e623}">
          <xlrd:rvb i="12159"/>
        </ext>
      </extLst>
    </bk>
    <bk>
      <extLst>
        <ext uri="{3e2802c4-a4d2-4d8b-9148-e3be6c30e623}">
          <xlrd:rvb i="12160"/>
        </ext>
      </extLst>
    </bk>
    <bk>
      <extLst>
        <ext uri="{3e2802c4-a4d2-4d8b-9148-e3be6c30e623}">
          <xlrd:rvb i="12161"/>
        </ext>
      </extLst>
    </bk>
    <bk>
      <extLst>
        <ext uri="{3e2802c4-a4d2-4d8b-9148-e3be6c30e623}">
          <xlrd:rvb i="12162"/>
        </ext>
      </extLst>
    </bk>
    <bk>
      <extLst>
        <ext uri="{3e2802c4-a4d2-4d8b-9148-e3be6c30e623}">
          <xlrd:rvb i="12163"/>
        </ext>
      </extLst>
    </bk>
    <bk>
      <extLst>
        <ext uri="{3e2802c4-a4d2-4d8b-9148-e3be6c30e623}">
          <xlrd:rvb i="12164"/>
        </ext>
      </extLst>
    </bk>
    <bk>
      <extLst>
        <ext uri="{3e2802c4-a4d2-4d8b-9148-e3be6c30e623}">
          <xlrd:rvb i="12165"/>
        </ext>
      </extLst>
    </bk>
    <bk>
      <extLst>
        <ext uri="{3e2802c4-a4d2-4d8b-9148-e3be6c30e623}">
          <xlrd:rvb i="12166"/>
        </ext>
      </extLst>
    </bk>
    <bk>
      <extLst>
        <ext uri="{3e2802c4-a4d2-4d8b-9148-e3be6c30e623}">
          <xlrd:rvb i="12167"/>
        </ext>
      </extLst>
    </bk>
    <bk>
      <extLst>
        <ext uri="{3e2802c4-a4d2-4d8b-9148-e3be6c30e623}">
          <xlrd:rvb i="12168"/>
        </ext>
      </extLst>
    </bk>
    <bk>
      <extLst>
        <ext uri="{3e2802c4-a4d2-4d8b-9148-e3be6c30e623}">
          <xlrd:rvb i="12169"/>
        </ext>
      </extLst>
    </bk>
    <bk>
      <extLst>
        <ext uri="{3e2802c4-a4d2-4d8b-9148-e3be6c30e623}">
          <xlrd:rvb i="12170"/>
        </ext>
      </extLst>
    </bk>
    <bk>
      <extLst>
        <ext uri="{3e2802c4-a4d2-4d8b-9148-e3be6c30e623}">
          <xlrd:rvb i="12171"/>
        </ext>
      </extLst>
    </bk>
    <bk>
      <extLst>
        <ext uri="{3e2802c4-a4d2-4d8b-9148-e3be6c30e623}">
          <xlrd:rvb i="12172"/>
        </ext>
      </extLst>
    </bk>
    <bk>
      <extLst>
        <ext uri="{3e2802c4-a4d2-4d8b-9148-e3be6c30e623}">
          <xlrd:rvb i="12173"/>
        </ext>
      </extLst>
    </bk>
    <bk>
      <extLst>
        <ext uri="{3e2802c4-a4d2-4d8b-9148-e3be6c30e623}">
          <xlrd:rvb i="12174"/>
        </ext>
      </extLst>
    </bk>
    <bk>
      <extLst>
        <ext uri="{3e2802c4-a4d2-4d8b-9148-e3be6c30e623}">
          <xlrd:rvb i="12175"/>
        </ext>
      </extLst>
    </bk>
    <bk>
      <extLst>
        <ext uri="{3e2802c4-a4d2-4d8b-9148-e3be6c30e623}">
          <xlrd:rvb i="12176"/>
        </ext>
      </extLst>
    </bk>
    <bk>
      <extLst>
        <ext uri="{3e2802c4-a4d2-4d8b-9148-e3be6c30e623}">
          <xlrd:rvb i="12177"/>
        </ext>
      </extLst>
    </bk>
    <bk>
      <extLst>
        <ext uri="{3e2802c4-a4d2-4d8b-9148-e3be6c30e623}">
          <xlrd:rvb i="12178"/>
        </ext>
      </extLst>
    </bk>
    <bk>
      <extLst>
        <ext uri="{3e2802c4-a4d2-4d8b-9148-e3be6c30e623}">
          <xlrd:rvb i="12179"/>
        </ext>
      </extLst>
    </bk>
    <bk>
      <extLst>
        <ext uri="{3e2802c4-a4d2-4d8b-9148-e3be6c30e623}">
          <xlrd:rvb i="12180"/>
        </ext>
      </extLst>
    </bk>
    <bk>
      <extLst>
        <ext uri="{3e2802c4-a4d2-4d8b-9148-e3be6c30e623}">
          <xlrd:rvb i="12181"/>
        </ext>
      </extLst>
    </bk>
    <bk>
      <extLst>
        <ext uri="{3e2802c4-a4d2-4d8b-9148-e3be6c30e623}">
          <xlrd:rvb i="12182"/>
        </ext>
      </extLst>
    </bk>
    <bk>
      <extLst>
        <ext uri="{3e2802c4-a4d2-4d8b-9148-e3be6c30e623}">
          <xlrd:rvb i="12183"/>
        </ext>
      </extLst>
    </bk>
    <bk>
      <extLst>
        <ext uri="{3e2802c4-a4d2-4d8b-9148-e3be6c30e623}">
          <xlrd:rvb i="12184"/>
        </ext>
      </extLst>
    </bk>
    <bk>
      <extLst>
        <ext uri="{3e2802c4-a4d2-4d8b-9148-e3be6c30e623}">
          <xlrd:rvb i="12185"/>
        </ext>
      </extLst>
    </bk>
    <bk>
      <extLst>
        <ext uri="{3e2802c4-a4d2-4d8b-9148-e3be6c30e623}">
          <xlrd:rvb i="12186"/>
        </ext>
      </extLst>
    </bk>
    <bk>
      <extLst>
        <ext uri="{3e2802c4-a4d2-4d8b-9148-e3be6c30e623}">
          <xlrd:rvb i="12187"/>
        </ext>
      </extLst>
    </bk>
    <bk>
      <extLst>
        <ext uri="{3e2802c4-a4d2-4d8b-9148-e3be6c30e623}">
          <xlrd:rvb i="12188"/>
        </ext>
      </extLst>
    </bk>
    <bk>
      <extLst>
        <ext uri="{3e2802c4-a4d2-4d8b-9148-e3be6c30e623}">
          <xlrd:rvb i="12189"/>
        </ext>
      </extLst>
    </bk>
    <bk>
      <extLst>
        <ext uri="{3e2802c4-a4d2-4d8b-9148-e3be6c30e623}">
          <xlrd:rvb i="12190"/>
        </ext>
      </extLst>
    </bk>
    <bk>
      <extLst>
        <ext uri="{3e2802c4-a4d2-4d8b-9148-e3be6c30e623}">
          <xlrd:rvb i="12191"/>
        </ext>
      </extLst>
    </bk>
    <bk>
      <extLst>
        <ext uri="{3e2802c4-a4d2-4d8b-9148-e3be6c30e623}">
          <xlrd:rvb i="12192"/>
        </ext>
      </extLst>
    </bk>
    <bk>
      <extLst>
        <ext uri="{3e2802c4-a4d2-4d8b-9148-e3be6c30e623}">
          <xlrd:rvb i="12193"/>
        </ext>
      </extLst>
    </bk>
    <bk>
      <extLst>
        <ext uri="{3e2802c4-a4d2-4d8b-9148-e3be6c30e623}">
          <xlrd:rvb i="12194"/>
        </ext>
      </extLst>
    </bk>
    <bk>
      <extLst>
        <ext uri="{3e2802c4-a4d2-4d8b-9148-e3be6c30e623}">
          <xlrd:rvb i="12195"/>
        </ext>
      </extLst>
    </bk>
    <bk>
      <extLst>
        <ext uri="{3e2802c4-a4d2-4d8b-9148-e3be6c30e623}">
          <xlrd:rvb i="12196"/>
        </ext>
      </extLst>
    </bk>
    <bk>
      <extLst>
        <ext uri="{3e2802c4-a4d2-4d8b-9148-e3be6c30e623}">
          <xlrd:rvb i="12197"/>
        </ext>
      </extLst>
    </bk>
    <bk>
      <extLst>
        <ext uri="{3e2802c4-a4d2-4d8b-9148-e3be6c30e623}">
          <xlrd:rvb i="12198"/>
        </ext>
      </extLst>
    </bk>
    <bk>
      <extLst>
        <ext uri="{3e2802c4-a4d2-4d8b-9148-e3be6c30e623}">
          <xlrd:rvb i="12199"/>
        </ext>
      </extLst>
    </bk>
    <bk>
      <extLst>
        <ext uri="{3e2802c4-a4d2-4d8b-9148-e3be6c30e623}">
          <xlrd:rvb i="12200"/>
        </ext>
      </extLst>
    </bk>
    <bk>
      <extLst>
        <ext uri="{3e2802c4-a4d2-4d8b-9148-e3be6c30e623}">
          <xlrd:rvb i="12201"/>
        </ext>
      </extLst>
    </bk>
    <bk>
      <extLst>
        <ext uri="{3e2802c4-a4d2-4d8b-9148-e3be6c30e623}">
          <xlrd:rvb i="12202"/>
        </ext>
      </extLst>
    </bk>
    <bk>
      <extLst>
        <ext uri="{3e2802c4-a4d2-4d8b-9148-e3be6c30e623}">
          <xlrd:rvb i="12203"/>
        </ext>
      </extLst>
    </bk>
    <bk>
      <extLst>
        <ext uri="{3e2802c4-a4d2-4d8b-9148-e3be6c30e623}">
          <xlrd:rvb i="12204"/>
        </ext>
      </extLst>
    </bk>
    <bk>
      <extLst>
        <ext uri="{3e2802c4-a4d2-4d8b-9148-e3be6c30e623}">
          <xlrd:rvb i="12205"/>
        </ext>
      </extLst>
    </bk>
    <bk>
      <extLst>
        <ext uri="{3e2802c4-a4d2-4d8b-9148-e3be6c30e623}">
          <xlrd:rvb i="12206"/>
        </ext>
      </extLst>
    </bk>
    <bk>
      <extLst>
        <ext uri="{3e2802c4-a4d2-4d8b-9148-e3be6c30e623}">
          <xlrd:rvb i="12207"/>
        </ext>
      </extLst>
    </bk>
    <bk>
      <extLst>
        <ext uri="{3e2802c4-a4d2-4d8b-9148-e3be6c30e623}">
          <xlrd:rvb i="12208"/>
        </ext>
      </extLst>
    </bk>
    <bk>
      <extLst>
        <ext uri="{3e2802c4-a4d2-4d8b-9148-e3be6c30e623}">
          <xlrd:rvb i="12209"/>
        </ext>
      </extLst>
    </bk>
    <bk>
      <extLst>
        <ext uri="{3e2802c4-a4d2-4d8b-9148-e3be6c30e623}">
          <xlrd:rvb i="12210"/>
        </ext>
      </extLst>
    </bk>
    <bk>
      <extLst>
        <ext uri="{3e2802c4-a4d2-4d8b-9148-e3be6c30e623}">
          <xlrd:rvb i="12211"/>
        </ext>
      </extLst>
    </bk>
    <bk>
      <extLst>
        <ext uri="{3e2802c4-a4d2-4d8b-9148-e3be6c30e623}">
          <xlrd:rvb i="12212"/>
        </ext>
      </extLst>
    </bk>
    <bk>
      <extLst>
        <ext uri="{3e2802c4-a4d2-4d8b-9148-e3be6c30e623}">
          <xlrd:rvb i="12213"/>
        </ext>
      </extLst>
    </bk>
    <bk>
      <extLst>
        <ext uri="{3e2802c4-a4d2-4d8b-9148-e3be6c30e623}">
          <xlrd:rvb i="12214"/>
        </ext>
      </extLst>
    </bk>
    <bk>
      <extLst>
        <ext uri="{3e2802c4-a4d2-4d8b-9148-e3be6c30e623}">
          <xlrd:rvb i="12215"/>
        </ext>
      </extLst>
    </bk>
    <bk>
      <extLst>
        <ext uri="{3e2802c4-a4d2-4d8b-9148-e3be6c30e623}">
          <xlrd:rvb i="12216"/>
        </ext>
      </extLst>
    </bk>
    <bk>
      <extLst>
        <ext uri="{3e2802c4-a4d2-4d8b-9148-e3be6c30e623}">
          <xlrd:rvb i="12217"/>
        </ext>
      </extLst>
    </bk>
    <bk>
      <extLst>
        <ext uri="{3e2802c4-a4d2-4d8b-9148-e3be6c30e623}">
          <xlrd:rvb i="12218"/>
        </ext>
      </extLst>
    </bk>
    <bk>
      <extLst>
        <ext uri="{3e2802c4-a4d2-4d8b-9148-e3be6c30e623}">
          <xlrd:rvb i="12219"/>
        </ext>
      </extLst>
    </bk>
    <bk>
      <extLst>
        <ext uri="{3e2802c4-a4d2-4d8b-9148-e3be6c30e623}">
          <xlrd:rvb i="12220"/>
        </ext>
      </extLst>
    </bk>
    <bk>
      <extLst>
        <ext uri="{3e2802c4-a4d2-4d8b-9148-e3be6c30e623}">
          <xlrd:rvb i="12221"/>
        </ext>
      </extLst>
    </bk>
    <bk>
      <extLst>
        <ext uri="{3e2802c4-a4d2-4d8b-9148-e3be6c30e623}">
          <xlrd:rvb i="12222"/>
        </ext>
      </extLst>
    </bk>
    <bk>
      <extLst>
        <ext uri="{3e2802c4-a4d2-4d8b-9148-e3be6c30e623}">
          <xlrd:rvb i="12223"/>
        </ext>
      </extLst>
    </bk>
    <bk>
      <extLst>
        <ext uri="{3e2802c4-a4d2-4d8b-9148-e3be6c30e623}">
          <xlrd:rvb i="12224"/>
        </ext>
      </extLst>
    </bk>
    <bk>
      <extLst>
        <ext uri="{3e2802c4-a4d2-4d8b-9148-e3be6c30e623}">
          <xlrd:rvb i="12225"/>
        </ext>
      </extLst>
    </bk>
    <bk>
      <extLst>
        <ext uri="{3e2802c4-a4d2-4d8b-9148-e3be6c30e623}">
          <xlrd:rvb i="12226"/>
        </ext>
      </extLst>
    </bk>
    <bk>
      <extLst>
        <ext uri="{3e2802c4-a4d2-4d8b-9148-e3be6c30e623}">
          <xlrd:rvb i="12227"/>
        </ext>
      </extLst>
    </bk>
    <bk>
      <extLst>
        <ext uri="{3e2802c4-a4d2-4d8b-9148-e3be6c30e623}">
          <xlrd:rvb i="12228"/>
        </ext>
      </extLst>
    </bk>
    <bk>
      <extLst>
        <ext uri="{3e2802c4-a4d2-4d8b-9148-e3be6c30e623}">
          <xlrd:rvb i="12229"/>
        </ext>
      </extLst>
    </bk>
    <bk>
      <extLst>
        <ext uri="{3e2802c4-a4d2-4d8b-9148-e3be6c30e623}">
          <xlrd:rvb i="12230"/>
        </ext>
      </extLst>
    </bk>
    <bk>
      <extLst>
        <ext uri="{3e2802c4-a4d2-4d8b-9148-e3be6c30e623}">
          <xlrd:rvb i="12231"/>
        </ext>
      </extLst>
    </bk>
    <bk>
      <extLst>
        <ext uri="{3e2802c4-a4d2-4d8b-9148-e3be6c30e623}">
          <xlrd:rvb i="12232"/>
        </ext>
      </extLst>
    </bk>
    <bk>
      <extLst>
        <ext uri="{3e2802c4-a4d2-4d8b-9148-e3be6c30e623}">
          <xlrd:rvb i="12233"/>
        </ext>
      </extLst>
    </bk>
    <bk>
      <extLst>
        <ext uri="{3e2802c4-a4d2-4d8b-9148-e3be6c30e623}">
          <xlrd:rvb i="12234"/>
        </ext>
      </extLst>
    </bk>
    <bk>
      <extLst>
        <ext uri="{3e2802c4-a4d2-4d8b-9148-e3be6c30e623}">
          <xlrd:rvb i="12235"/>
        </ext>
      </extLst>
    </bk>
    <bk>
      <extLst>
        <ext uri="{3e2802c4-a4d2-4d8b-9148-e3be6c30e623}">
          <xlrd:rvb i="12236"/>
        </ext>
      </extLst>
    </bk>
    <bk>
      <extLst>
        <ext uri="{3e2802c4-a4d2-4d8b-9148-e3be6c30e623}">
          <xlrd:rvb i="12237"/>
        </ext>
      </extLst>
    </bk>
    <bk>
      <extLst>
        <ext uri="{3e2802c4-a4d2-4d8b-9148-e3be6c30e623}">
          <xlrd:rvb i="12238"/>
        </ext>
      </extLst>
    </bk>
    <bk>
      <extLst>
        <ext uri="{3e2802c4-a4d2-4d8b-9148-e3be6c30e623}">
          <xlrd:rvb i="12239"/>
        </ext>
      </extLst>
    </bk>
    <bk>
      <extLst>
        <ext uri="{3e2802c4-a4d2-4d8b-9148-e3be6c30e623}">
          <xlrd:rvb i="12240"/>
        </ext>
      </extLst>
    </bk>
    <bk>
      <extLst>
        <ext uri="{3e2802c4-a4d2-4d8b-9148-e3be6c30e623}">
          <xlrd:rvb i="12241"/>
        </ext>
      </extLst>
    </bk>
    <bk>
      <extLst>
        <ext uri="{3e2802c4-a4d2-4d8b-9148-e3be6c30e623}">
          <xlrd:rvb i="12242"/>
        </ext>
      </extLst>
    </bk>
    <bk>
      <extLst>
        <ext uri="{3e2802c4-a4d2-4d8b-9148-e3be6c30e623}">
          <xlrd:rvb i="12243"/>
        </ext>
      </extLst>
    </bk>
    <bk>
      <extLst>
        <ext uri="{3e2802c4-a4d2-4d8b-9148-e3be6c30e623}">
          <xlrd:rvb i="12244"/>
        </ext>
      </extLst>
    </bk>
    <bk>
      <extLst>
        <ext uri="{3e2802c4-a4d2-4d8b-9148-e3be6c30e623}">
          <xlrd:rvb i="12245"/>
        </ext>
      </extLst>
    </bk>
    <bk>
      <extLst>
        <ext uri="{3e2802c4-a4d2-4d8b-9148-e3be6c30e623}">
          <xlrd:rvb i="12246"/>
        </ext>
      </extLst>
    </bk>
    <bk>
      <extLst>
        <ext uri="{3e2802c4-a4d2-4d8b-9148-e3be6c30e623}">
          <xlrd:rvb i="12247"/>
        </ext>
      </extLst>
    </bk>
    <bk>
      <extLst>
        <ext uri="{3e2802c4-a4d2-4d8b-9148-e3be6c30e623}">
          <xlrd:rvb i="12248"/>
        </ext>
      </extLst>
    </bk>
    <bk>
      <extLst>
        <ext uri="{3e2802c4-a4d2-4d8b-9148-e3be6c30e623}">
          <xlrd:rvb i="12249"/>
        </ext>
      </extLst>
    </bk>
    <bk>
      <extLst>
        <ext uri="{3e2802c4-a4d2-4d8b-9148-e3be6c30e623}">
          <xlrd:rvb i="12250"/>
        </ext>
      </extLst>
    </bk>
    <bk>
      <extLst>
        <ext uri="{3e2802c4-a4d2-4d8b-9148-e3be6c30e623}">
          <xlrd:rvb i="12251"/>
        </ext>
      </extLst>
    </bk>
    <bk>
      <extLst>
        <ext uri="{3e2802c4-a4d2-4d8b-9148-e3be6c30e623}">
          <xlrd:rvb i="12252"/>
        </ext>
      </extLst>
    </bk>
    <bk>
      <extLst>
        <ext uri="{3e2802c4-a4d2-4d8b-9148-e3be6c30e623}">
          <xlrd:rvb i="12253"/>
        </ext>
      </extLst>
    </bk>
    <bk>
      <extLst>
        <ext uri="{3e2802c4-a4d2-4d8b-9148-e3be6c30e623}">
          <xlrd:rvb i="12254"/>
        </ext>
      </extLst>
    </bk>
    <bk>
      <extLst>
        <ext uri="{3e2802c4-a4d2-4d8b-9148-e3be6c30e623}">
          <xlrd:rvb i="12255"/>
        </ext>
      </extLst>
    </bk>
    <bk>
      <extLst>
        <ext uri="{3e2802c4-a4d2-4d8b-9148-e3be6c30e623}">
          <xlrd:rvb i="12256"/>
        </ext>
      </extLst>
    </bk>
    <bk>
      <extLst>
        <ext uri="{3e2802c4-a4d2-4d8b-9148-e3be6c30e623}">
          <xlrd:rvb i="12257"/>
        </ext>
      </extLst>
    </bk>
    <bk>
      <extLst>
        <ext uri="{3e2802c4-a4d2-4d8b-9148-e3be6c30e623}">
          <xlrd:rvb i="12258"/>
        </ext>
      </extLst>
    </bk>
    <bk>
      <extLst>
        <ext uri="{3e2802c4-a4d2-4d8b-9148-e3be6c30e623}">
          <xlrd:rvb i="12259"/>
        </ext>
      </extLst>
    </bk>
    <bk>
      <extLst>
        <ext uri="{3e2802c4-a4d2-4d8b-9148-e3be6c30e623}">
          <xlrd:rvb i="12260"/>
        </ext>
      </extLst>
    </bk>
    <bk>
      <extLst>
        <ext uri="{3e2802c4-a4d2-4d8b-9148-e3be6c30e623}">
          <xlrd:rvb i="12261"/>
        </ext>
      </extLst>
    </bk>
    <bk>
      <extLst>
        <ext uri="{3e2802c4-a4d2-4d8b-9148-e3be6c30e623}">
          <xlrd:rvb i="12262"/>
        </ext>
      </extLst>
    </bk>
    <bk>
      <extLst>
        <ext uri="{3e2802c4-a4d2-4d8b-9148-e3be6c30e623}">
          <xlrd:rvb i="12263"/>
        </ext>
      </extLst>
    </bk>
    <bk>
      <extLst>
        <ext uri="{3e2802c4-a4d2-4d8b-9148-e3be6c30e623}">
          <xlrd:rvb i="12264"/>
        </ext>
      </extLst>
    </bk>
    <bk>
      <extLst>
        <ext uri="{3e2802c4-a4d2-4d8b-9148-e3be6c30e623}">
          <xlrd:rvb i="12265"/>
        </ext>
      </extLst>
    </bk>
    <bk>
      <extLst>
        <ext uri="{3e2802c4-a4d2-4d8b-9148-e3be6c30e623}">
          <xlrd:rvb i="12266"/>
        </ext>
      </extLst>
    </bk>
    <bk>
      <extLst>
        <ext uri="{3e2802c4-a4d2-4d8b-9148-e3be6c30e623}">
          <xlrd:rvb i="12267"/>
        </ext>
      </extLst>
    </bk>
    <bk>
      <extLst>
        <ext uri="{3e2802c4-a4d2-4d8b-9148-e3be6c30e623}">
          <xlrd:rvb i="12268"/>
        </ext>
      </extLst>
    </bk>
    <bk>
      <extLst>
        <ext uri="{3e2802c4-a4d2-4d8b-9148-e3be6c30e623}">
          <xlrd:rvb i="12269"/>
        </ext>
      </extLst>
    </bk>
    <bk>
      <extLst>
        <ext uri="{3e2802c4-a4d2-4d8b-9148-e3be6c30e623}">
          <xlrd:rvb i="12270"/>
        </ext>
      </extLst>
    </bk>
    <bk>
      <extLst>
        <ext uri="{3e2802c4-a4d2-4d8b-9148-e3be6c30e623}">
          <xlrd:rvb i="12271"/>
        </ext>
      </extLst>
    </bk>
    <bk>
      <extLst>
        <ext uri="{3e2802c4-a4d2-4d8b-9148-e3be6c30e623}">
          <xlrd:rvb i="12272"/>
        </ext>
      </extLst>
    </bk>
    <bk>
      <extLst>
        <ext uri="{3e2802c4-a4d2-4d8b-9148-e3be6c30e623}">
          <xlrd:rvb i="12273"/>
        </ext>
      </extLst>
    </bk>
    <bk>
      <extLst>
        <ext uri="{3e2802c4-a4d2-4d8b-9148-e3be6c30e623}">
          <xlrd:rvb i="12274"/>
        </ext>
      </extLst>
    </bk>
    <bk>
      <extLst>
        <ext uri="{3e2802c4-a4d2-4d8b-9148-e3be6c30e623}">
          <xlrd:rvb i="12275"/>
        </ext>
      </extLst>
    </bk>
    <bk>
      <extLst>
        <ext uri="{3e2802c4-a4d2-4d8b-9148-e3be6c30e623}">
          <xlrd:rvb i="12276"/>
        </ext>
      </extLst>
    </bk>
    <bk>
      <extLst>
        <ext uri="{3e2802c4-a4d2-4d8b-9148-e3be6c30e623}">
          <xlrd:rvb i="12277"/>
        </ext>
      </extLst>
    </bk>
    <bk>
      <extLst>
        <ext uri="{3e2802c4-a4d2-4d8b-9148-e3be6c30e623}">
          <xlrd:rvb i="12278"/>
        </ext>
      </extLst>
    </bk>
    <bk>
      <extLst>
        <ext uri="{3e2802c4-a4d2-4d8b-9148-e3be6c30e623}">
          <xlrd:rvb i="12279"/>
        </ext>
      </extLst>
    </bk>
    <bk>
      <extLst>
        <ext uri="{3e2802c4-a4d2-4d8b-9148-e3be6c30e623}">
          <xlrd:rvb i="12280"/>
        </ext>
      </extLst>
    </bk>
    <bk>
      <extLst>
        <ext uri="{3e2802c4-a4d2-4d8b-9148-e3be6c30e623}">
          <xlrd:rvb i="12281"/>
        </ext>
      </extLst>
    </bk>
    <bk>
      <extLst>
        <ext uri="{3e2802c4-a4d2-4d8b-9148-e3be6c30e623}">
          <xlrd:rvb i="12282"/>
        </ext>
      </extLst>
    </bk>
    <bk>
      <extLst>
        <ext uri="{3e2802c4-a4d2-4d8b-9148-e3be6c30e623}">
          <xlrd:rvb i="12283"/>
        </ext>
      </extLst>
    </bk>
    <bk>
      <extLst>
        <ext uri="{3e2802c4-a4d2-4d8b-9148-e3be6c30e623}">
          <xlrd:rvb i="12284"/>
        </ext>
      </extLst>
    </bk>
    <bk>
      <extLst>
        <ext uri="{3e2802c4-a4d2-4d8b-9148-e3be6c30e623}">
          <xlrd:rvb i="12285"/>
        </ext>
      </extLst>
    </bk>
    <bk>
      <extLst>
        <ext uri="{3e2802c4-a4d2-4d8b-9148-e3be6c30e623}">
          <xlrd:rvb i="12286"/>
        </ext>
      </extLst>
    </bk>
    <bk>
      <extLst>
        <ext uri="{3e2802c4-a4d2-4d8b-9148-e3be6c30e623}">
          <xlrd:rvb i="12287"/>
        </ext>
      </extLst>
    </bk>
    <bk>
      <extLst>
        <ext uri="{3e2802c4-a4d2-4d8b-9148-e3be6c30e623}">
          <xlrd:rvb i="12288"/>
        </ext>
      </extLst>
    </bk>
    <bk>
      <extLst>
        <ext uri="{3e2802c4-a4d2-4d8b-9148-e3be6c30e623}">
          <xlrd:rvb i="12289"/>
        </ext>
      </extLst>
    </bk>
    <bk>
      <extLst>
        <ext uri="{3e2802c4-a4d2-4d8b-9148-e3be6c30e623}">
          <xlrd:rvb i="12290"/>
        </ext>
      </extLst>
    </bk>
    <bk>
      <extLst>
        <ext uri="{3e2802c4-a4d2-4d8b-9148-e3be6c30e623}">
          <xlrd:rvb i="12291"/>
        </ext>
      </extLst>
    </bk>
    <bk>
      <extLst>
        <ext uri="{3e2802c4-a4d2-4d8b-9148-e3be6c30e623}">
          <xlrd:rvb i="12292"/>
        </ext>
      </extLst>
    </bk>
    <bk>
      <extLst>
        <ext uri="{3e2802c4-a4d2-4d8b-9148-e3be6c30e623}">
          <xlrd:rvb i="12293"/>
        </ext>
      </extLst>
    </bk>
    <bk>
      <extLst>
        <ext uri="{3e2802c4-a4d2-4d8b-9148-e3be6c30e623}">
          <xlrd:rvb i="12294"/>
        </ext>
      </extLst>
    </bk>
    <bk>
      <extLst>
        <ext uri="{3e2802c4-a4d2-4d8b-9148-e3be6c30e623}">
          <xlrd:rvb i="12295"/>
        </ext>
      </extLst>
    </bk>
    <bk>
      <extLst>
        <ext uri="{3e2802c4-a4d2-4d8b-9148-e3be6c30e623}">
          <xlrd:rvb i="12296"/>
        </ext>
      </extLst>
    </bk>
    <bk>
      <extLst>
        <ext uri="{3e2802c4-a4d2-4d8b-9148-e3be6c30e623}">
          <xlrd:rvb i="12297"/>
        </ext>
      </extLst>
    </bk>
    <bk>
      <extLst>
        <ext uri="{3e2802c4-a4d2-4d8b-9148-e3be6c30e623}">
          <xlrd:rvb i="12298"/>
        </ext>
      </extLst>
    </bk>
    <bk>
      <extLst>
        <ext uri="{3e2802c4-a4d2-4d8b-9148-e3be6c30e623}">
          <xlrd:rvb i="12299"/>
        </ext>
      </extLst>
    </bk>
    <bk>
      <extLst>
        <ext uri="{3e2802c4-a4d2-4d8b-9148-e3be6c30e623}">
          <xlrd:rvb i="12300"/>
        </ext>
      </extLst>
    </bk>
    <bk>
      <extLst>
        <ext uri="{3e2802c4-a4d2-4d8b-9148-e3be6c30e623}">
          <xlrd:rvb i="12301"/>
        </ext>
      </extLst>
    </bk>
    <bk>
      <extLst>
        <ext uri="{3e2802c4-a4d2-4d8b-9148-e3be6c30e623}">
          <xlrd:rvb i="12302"/>
        </ext>
      </extLst>
    </bk>
    <bk>
      <extLst>
        <ext uri="{3e2802c4-a4d2-4d8b-9148-e3be6c30e623}">
          <xlrd:rvb i="12303"/>
        </ext>
      </extLst>
    </bk>
    <bk>
      <extLst>
        <ext uri="{3e2802c4-a4d2-4d8b-9148-e3be6c30e623}">
          <xlrd:rvb i="12304"/>
        </ext>
      </extLst>
    </bk>
    <bk>
      <extLst>
        <ext uri="{3e2802c4-a4d2-4d8b-9148-e3be6c30e623}">
          <xlrd:rvb i="12305"/>
        </ext>
      </extLst>
    </bk>
    <bk>
      <extLst>
        <ext uri="{3e2802c4-a4d2-4d8b-9148-e3be6c30e623}">
          <xlrd:rvb i="12306"/>
        </ext>
      </extLst>
    </bk>
    <bk>
      <extLst>
        <ext uri="{3e2802c4-a4d2-4d8b-9148-e3be6c30e623}">
          <xlrd:rvb i="12307"/>
        </ext>
      </extLst>
    </bk>
    <bk>
      <extLst>
        <ext uri="{3e2802c4-a4d2-4d8b-9148-e3be6c30e623}">
          <xlrd:rvb i="12308"/>
        </ext>
      </extLst>
    </bk>
    <bk>
      <extLst>
        <ext uri="{3e2802c4-a4d2-4d8b-9148-e3be6c30e623}">
          <xlrd:rvb i="12309"/>
        </ext>
      </extLst>
    </bk>
    <bk>
      <extLst>
        <ext uri="{3e2802c4-a4d2-4d8b-9148-e3be6c30e623}">
          <xlrd:rvb i="12310"/>
        </ext>
      </extLst>
    </bk>
    <bk>
      <extLst>
        <ext uri="{3e2802c4-a4d2-4d8b-9148-e3be6c30e623}">
          <xlrd:rvb i="12311"/>
        </ext>
      </extLst>
    </bk>
    <bk>
      <extLst>
        <ext uri="{3e2802c4-a4d2-4d8b-9148-e3be6c30e623}">
          <xlrd:rvb i="12312"/>
        </ext>
      </extLst>
    </bk>
    <bk>
      <extLst>
        <ext uri="{3e2802c4-a4d2-4d8b-9148-e3be6c30e623}">
          <xlrd:rvb i="12313"/>
        </ext>
      </extLst>
    </bk>
    <bk>
      <extLst>
        <ext uri="{3e2802c4-a4d2-4d8b-9148-e3be6c30e623}">
          <xlrd:rvb i="12314"/>
        </ext>
      </extLst>
    </bk>
    <bk>
      <extLst>
        <ext uri="{3e2802c4-a4d2-4d8b-9148-e3be6c30e623}">
          <xlrd:rvb i="12315"/>
        </ext>
      </extLst>
    </bk>
    <bk>
      <extLst>
        <ext uri="{3e2802c4-a4d2-4d8b-9148-e3be6c30e623}">
          <xlrd:rvb i="12316"/>
        </ext>
      </extLst>
    </bk>
    <bk>
      <extLst>
        <ext uri="{3e2802c4-a4d2-4d8b-9148-e3be6c30e623}">
          <xlrd:rvb i="12317"/>
        </ext>
      </extLst>
    </bk>
    <bk>
      <extLst>
        <ext uri="{3e2802c4-a4d2-4d8b-9148-e3be6c30e623}">
          <xlrd:rvb i="12318"/>
        </ext>
      </extLst>
    </bk>
    <bk>
      <extLst>
        <ext uri="{3e2802c4-a4d2-4d8b-9148-e3be6c30e623}">
          <xlrd:rvb i="12319"/>
        </ext>
      </extLst>
    </bk>
    <bk>
      <extLst>
        <ext uri="{3e2802c4-a4d2-4d8b-9148-e3be6c30e623}">
          <xlrd:rvb i="12320"/>
        </ext>
      </extLst>
    </bk>
    <bk>
      <extLst>
        <ext uri="{3e2802c4-a4d2-4d8b-9148-e3be6c30e623}">
          <xlrd:rvb i="12321"/>
        </ext>
      </extLst>
    </bk>
    <bk>
      <extLst>
        <ext uri="{3e2802c4-a4d2-4d8b-9148-e3be6c30e623}">
          <xlrd:rvb i="12322"/>
        </ext>
      </extLst>
    </bk>
    <bk>
      <extLst>
        <ext uri="{3e2802c4-a4d2-4d8b-9148-e3be6c30e623}">
          <xlrd:rvb i="12323"/>
        </ext>
      </extLst>
    </bk>
    <bk>
      <extLst>
        <ext uri="{3e2802c4-a4d2-4d8b-9148-e3be6c30e623}">
          <xlrd:rvb i="12324"/>
        </ext>
      </extLst>
    </bk>
    <bk>
      <extLst>
        <ext uri="{3e2802c4-a4d2-4d8b-9148-e3be6c30e623}">
          <xlrd:rvb i="12325"/>
        </ext>
      </extLst>
    </bk>
    <bk>
      <extLst>
        <ext uri="{3e2802c4-a4d2-4d8b-9148-e3be6c30e623}">
          <xlrd:rvb i="12326"/>
        </ext>
      </extLst>
    </bk>
    <bk>
      <extLst>
        <ext uri="{3e2802c4-a4d2-4d8b-9148-e3be6c30e623}">
          <xlrd:rvb i="12327"/>
        </ext>
      </extLst>
    </bk>
    <bk>
      <extLst>
        <ext uri="{3e2802c4-a4d2-4d8b-9148-e3be6c30e623}">
          <xlrd:rvb i="12328"/>
        </ext>
      </extLst>
    </bk>
    <bk>
      <extLst>
        <ext uri="{3e2802c4-a4d2-4d8b-9148-e3be6c30e623}">
          <xlrd:rvb i="12329"/>
        </ext>
      </extLst>
    </bk>
    <bk>
      <extLst>
        <ext uri="{3e2802c4-a4d2-4d8b-9148-e3be6c30e623}">
          <xlrd:rvb i="12330"/>
        </ext>
      </extLst>
    </bk>
    <bk>
      <extLst>
        <ext uri="{3e2802c4-a4d2-4d8b-9148-e3be6c30e623}">
          <xlrd:rvb i="12331"/>
        </ext>
      </extLst>
    </bk>
    <bk>
      <extLst>
        <ext uri="{3e2802c4-a4d2-4d8b-9148-e3be6c30e623}">
          <xlrd:rvb i="12332"/>
        </ext>
      </extLst>
    </bk>
    <bk>
      <extLst>
        <ext uri="{3e2802c4-a4d2-4d8b-9148-e3be6c30e623}">
          <xlrd:rvb i="12333"/>
        </ext>
      </extLst>
    </bk>
    <bk>
      <extLst>
        <ext uri="{3e2802c4-a4d2-4d8b-9148-e3be6c30e623}">
          <xlrd:rvb i="12334"/>
        </ext>
      </extLst>
    </bk>
    <bk>
      <extLst>
        <ext uri="{3e2802c4-a4d2-4d8b-9148-e3be6c30e623}">
          <xlrd:rvb i="12335"/>
        </ext>
      </extLst>
    </bk>
    <bk>
      <extLst>
        <ext uri="{3e2802c4-a4d2-4d8b-9148-e3be6c30e623}">
          <xlrd:rvb i="12336"/>
        </ext>
      </extLst>
    </bk>
    <bk>
      <extLst>
        <ext uri="{3e2802c4-a4d2-4d8b-9148-e3be6c30e623}">
          <xlrd:rvb i="12337"/>
        </ext>
      </extLst>
    </bk>
    <bk>
      <extLst>
        <ext uri="{3e2802c4-a4d2-4d8b-9148-e3be6c30e623}">
          <xlrd:rvb i="12338"/>
        </ext>
      </extLst>
    </bk>
    <bk>
      <extLst>
        <ext uri="{3e2802c4-a4d2-4d8b-9148-e3be6c30e623}">
          <xlrd:rvb i="12339"/>
        </ext>
      </extLst>
    </bk>
    <bk>
      <extLst>
        <ext uri="{3e2802c4-a4d2-4d8b-9148-e3be6c30e623}">
          <xlrd:rvb i="12340"/>
        </ext>
      </extLst>
    </bk>
    <bk>
      <extLst>
        <ext uri="{3e2802c4-a4d2-4d8b-9148-e3be6c30e623}">
          <xlrd:rvb i="12341"/>
        </ext>
      </extLst>
    </bk>
    <bk>
      <extLst>
        <ext uri="{3e2802c4-a4d2-4d8b-9148-e3be6c30e623}">
          <xlrd:rvb i="12342"/>
        </ext>
      </extLst>
    </bk>
    <bk>
      <extLst>
        <ext uri="{3e2802c4-a4d2-4d8b-9148-e3be6c30e623}">
          <xlrd:rvb i="12343"/>
        </ext>
      </extLst>
    </bk>
    <bk>
      <extLst>
        <ext uri="{3e2802c4-a4d2-4d8b-9148-e3be6c30e623}">
          <xlrd:rvb i="12344"/>
        </ext>
      </extLst>
    </bk>
    <bk>
      <extLst>
        <ext uri="{3e2802c4-a4d2-4d8b-9148-e3be6c30e623}">
          <xlrd:rvb i="12345"/>
        </ext>
      </extLst>
    </bk>
    <bk>
      <extLst>
        <ext uri="{3e2802c4-a4d2-4d8b-9148-e3be6c30e623}">
          <xlrd:rvb i="12346"/>
        </ext>
      </extLst>
    </bk>
    <bk>
      <extLst>
        <ext uri="{3e2802c4-a4d2-4d8b-9148-e3be6c30e623}">
          <xlrd:rvb i="12347"/>
        </ext>
      </extLst>
    </bk>
    <bk>
      <extLst>
        <ext uri="{3e2802c4-a4d2-4d8b-9148-e3be6c30e623}">
          <xlrd:rvb i="12348"/>
        </ext>
      </extLst>
    </bk>
    <bk>
      <extLst>
        <ext uri="{3e2802c4-a4d2-4d8b-9148-e3be6c30e623}">
          <xlrd:rvb i="12349"/>
        </ext>
      </extLst>
    </bk>
    <bk>
      <extLst>
        <ext uri="{3e2802c4-a4d2-4d8b-9148-e3be6c30e623}">
          <xlrd:rvb i="12350"/>
        </ext>
      </extLst>
    </bk>
    <bk>
      <extLst>
        <ext uri="{3e2802c4-a4d2-4d8b-9148-e3be6c30e623}">
          <xlrd:rvb i="12351"/>
        </ext>
      </extLst>
    </bk>
    <bk>
      <extLst>
        <ext uri="{3e2802c4-a4d2-4d8b-9148-e3be6c30e623}">
          <xlrd:rvb i="12352"/>
        </ext>
      </extLst>
    </bk>
    <bk>
      <extLst>
        <ext uri="{3e2802c4-a4d2-4d8b-9148-e3be6c30e623}">
          <xlrd:rvb i="12353"/>
        </ext>
      </extLst>
    </bk>
    <bk>
      <extLst>
        <ext uri="{3e2802c4-a4d2-4d8b-9148-e3be6c30e623}">
          <xlrd:rvb i="12354"/>
        </ext>
      </extLst>
    </bk>
    <bk>
      <extLst>
        <ext uri="{3e2802c4-a4d2-4d8b-9148-e3be6c30e623}">
          <xlrd:rvb i="12355"/>
        </ext>
      </extLst>
    </bk>
    <bk>
      <extLst>
        <ext uri="{3e2802c4-a4d2-4d8b-9148-e3be6c30e623}">
          <xlrd:rvb i="12356"/>
        </ext>
      </extLst>
    </bk>
    <bk>
      <extLst>
        <ext uri="{3e2802c4-a4d2-4d8b-9148-e3be6c30e623}">
          <xlrd:rvb i="12357"/>
        </ext>
      </extLst>
    </bk>
    <bk>
      <extLst>
        <ext uri="{3e2802c4-a4d2-4d8b-9148-e3be6c30e623}">
          <xlrd:rvb i="12358"/>
        </ext>
      </extLst>
    </bk>
    <bk>
      <extLst>
        <ext uri="{3e2802c4-a4d2-4d8b-9148-e3be6c30e623}">
          <xlrd:rvb i="12359"/>
        </ext>
      </extLst>
    </bk>
    <bk>
      <extLst>
        <ext uri="{3e2802c4-a4d2-4d8b-9148-e3be6c30e623}">
          <xlrd:rvb i="12360"/>
        </ext>
      </extLst>
    </bk>
    <bk>
      <extLst>
        <ext uri="{3e2802c4-a4d2-4d8b-9148-e3be6c30e623}">
          <xlrd:rvb i="12361"/>
        </ext>
      </extLst>
    </bk>
    <bk>
      <extLst>
        <ext uri="{3e2802c4-a4d2-4d8b-9148-e3be6c30e623}">
          <xlrd:rvb i="12362"/>
        </ext>
      </extLst>
    </bk>
    <bk>
      <extLst>
        <ext uri="{3e2802c4-a4d2-4d8b-9148-e3be6c30e623}">
          <xlrd:rvb i="12363"/>
        </ext>
      </extLst>
    </bk>
    <bk>
      <extLst>
        <ext uri="{3e2802c4-a4d2-4d8b-9148-e3be6c30e623}">
          <xlrd:rvb i="12364"/>
        </ext>
      </extLst>
    </bk>
    <bk>
      <extLst>
        <ext uri="{3e2802c4-a4d2-4d8b-9148-e3be6c30e623}">
          <xlrd:rvb i="12365"/>
        </ext>
      </extLst>
    </bk>
    <bk>
      <extLst>
        <ext uri="{3e2802c4-a4d2-4d8b-9148-e3be6c30e623}">
          <xlrd:rvb i="12366"/>
        </ext>
      </extLst>
    </bk>
    <bk>
      <extLst>
        <ext uri="{3e2802c4-a4d2-4d8b-9148-e3be6c30e623}">
          <xlrd:rvb i="12367"/>
        </ext>
      </extLst>
    </bk>
    <bk>
      <extLst>
        <ext uri="{3e2802c4-a4d2-4d8b-9148-e3be6c30e623}">
          <xlrd:rvb i="12368"/>
        </ext>
      </extLst>
    </bk>
    <bk>
      <extLst>
        <ext uri="{3e2802c4-a4d2-4d8b-9148-e3be6c30e623}">
          <xlrd:rvb i="12369"/>
        </ext>
      </extLst>
    </bk>
    <bk>
      <extLst>
        <ext uri="{3e2802c4-a4d2-4d8b-9148-e3be6c30e623}">
          <xlrd:rvb i="12370"/>
        </ext>
      </extLst>
    </bk>
    <bk>
      <extLst>
        <ext uri="{3e2802c4-a4d2-4d8b-9148-e3be6c30e623}">
          <xlrd:rvb i="12371"/>
        </ext>
      </extLst>
    </bk>
    <bk>
      <extLst>
        <ext uri="{3e2802c4-a4d2-4d8b-9148-e3be6c30e623}">
          <xlrd:rvb i="12372"/>
        </ext>
      </extLst>
    </bk>
    <bk>
      <extLst>
        <ext uri="{3e2802c4-a4d2-4d8b-9148-e3be6c30e623}">
          <xlrd:rvb i="12373"/>
        </ext>
      </extLst>
    </bk>
    <bk>
      <extLst>
        <ext uri="{3e2802c4-a4d2-4d8b-9148-e3be6c30e623}">
          <xlrd:rvb i="12374"/>
        </ext>
      </extLst>
    </bk>
    <bk>
      <extLst>
        <ext uri="{3e2802c4-a4d2-4d8b-9148-e3be6c30e623}">
          <xlrd:rvb i="12375"/>
        </ext>
      </extLst>
    </bk>
    <bk>
      <extLst>
        <ext uri="{3e2802c4-a4d2-4d8b-9148-e3be6c30e623}">
          <xlrd:rvb i="12376"/>
        </ext>
      </extLst>
    </bk>
    <bk>
      <extLst>
        <ext uri="{3e2802c4-a4d2-4d8b-9148-e3be6c30e623}">
          <xlrd:rvb i="12377"/>
        </ext>
      </extLst>
    </bk>
    <bk>
      <extLst>
        <ext uri="{3e2802c4-a4d2-4d8b-9148-e3be6c30e623}">
          <xlrd:rvb i="12378"/>
        </ext>
      </extLst>
    </bk>
    <bk>
      <extLst>
        <ext uri="{3e2802c4-a4d2-4d8b-9148-e3be6c30e623}">
          <xlrd:rvb i="12379"/>
        </ext>
      </extLst>
    </bk>
    <bk>
      <extLst>
        <ext uri="{3e2802c4-a4d2-4d8b-9148-e3be6c30e623}">
          <xlrd:rvb i="12380"/>
        </ext>
      </extLst>
    </bk>
    <bk>
      <extLst>
        <ext uri="{3e2802c4-a4d2-4d8b-9148-e3be6c30e623}">
          <xlrd:rvb i="12381"/>
        </ext>
      </extLst>
    </bk>
    <bk>
      <extLst>
        <ext uri="{3e2802c4-a4d2-4d8b-9148-e3be6c30e623}">
          <xlrd:rvb i="12382"/>
        </ext>
      </extLst>
    </bk>
    <bk>
      <extLst>
        <ext uri="{3e2802c4-a4d2-4d8b-9148-e3be6c30e623}">
          <xlrd:rvb i="12383"/>
        </ext>
      </extLst>
    </bk>
    <bk>
      <extLst>
        <ext uri="{3e2802c4-a4d2-4d8b-9148-e3be6c30e623}">
          <xlrd:rvb i="12384"/>
        </ext>
      </extLst>
    </bk>
    <bk>
      <extLst>
        <ext uri="{3e2802c4-a4d2-4d8b-9148-e3be6c30e623}">
          <xlrd:rvb i="12385"/>
        </ext>
      </extLst>
    </bk>
    <bk>
      <extLst>
        <ext uri="{3e2802c4-a4d2-4d8b-9148-e3be6c30e623}">
          <xlrd:rvb i="12386"/>
        </ext>
      </extLst>
    </bk>
    <bk>
      <extLst>
        <ext uri="{3e2802c4-a4d2-4d8b-9148-e3be6c30e623}">
          <xlrd:rvb i="12387"/>
        </ext>
      </extLst>
    </bk>
    <bk>
      <extLst>
        <ext uri="{3e2802c4-a4d2-4d8b-9148-e3be6c30e623}">
          <xlrd:rvb i="12388"/>
        </ext>
      </extLst>
    </bk>
    <bk>
      <extLst>
        <ext uri="{3e2802c4-a4d2-4d8b-9148-e3be6c30e623}">
          <xlrd:rvb i="12389"/>
        </ext>
      </extLst>
    </bk>
    <bk>
      <extLst>
        <ext uri="{3e2802c4-a4d2-4d8b-9148-e3be6c30e623}">
          <xlrd:rvb i="12390"/>
        </ext>
      </extLst>
    </bk>
    <bk>
      <extLst>
        <ext uri="{3e2802c4-a4d2-4d8b-9148-e3be6c30e623}">
          <xlrd:rvb i="12391"/>
        </ext>
      </extLst>
    </bk>
    <bk>
      <extLst>
        <ext uri="{3e2802c4-a4d2-4d8b-9148-e3be6c30e623}">
          <xlrd:rvb i="12392"/>
        </ext>
      </extLst>
    </bk>
    <bk>
      <extLst>
        <ext uri="{3e2802c4-a4d2-4d8b-9148-e3be6c30e623}">
          <xlrd:rvb i="12393"/>
        </ext>
      </extLst>
    </bk>
    <bk>
      <extLst>
        <ext uri="{3e2802c4-a4d2-4d8b-9148-e3be6c30e623}">
          <xlrd:rvb i="12394"/>
        </ext>
      </extLst>
    </bk>
    <bk>
      <extLst>
        <ext uri="{3e2802c4-a4d2-4d8b-9148-e3be6c30e623}">
          <xlrd:rvb i="12395"/>
        </ext>
      </extLst>
    </bk>
    <bk>
      <extLst>
        <ext uri="{3e2802c4-a4d2-4d8b-9148-e3be6c30e623}">
          <xlrd:rvb i="12396"/>
        </ext>
      </extLst>
    </bk>
    <bk>
      <extLst>
        <ext uri="{3e2802c4-a4d2-4d8b-9148-e3be6c30e623}">
          <xlrd:rvb i="12397"/>
        </ext>
      </extLst>
    </bk>
    <bk>
      <extLst>
        <ext uri="{3e2802c4-a4d2-4d8b-9148-e3be6c30e623}">
          <xlrd:rvb i="12398"/>
        </ext>
      </extLst>
    </bk>
    <bk>
      <extLst>
        <ext uri="{3e2802c4-a4d2-4d8b-9148-e3be6c30e623}">
          <xlrd:rvb i="12399"/>
        </ext>
      </extLst>
    </bk>
    <bk>
      <extLst>
        <ext uri="{3e2802c4-a4d2-4d8b-9148-e3be6c30e623}">
          <xlrd:rvb i="12400"/>
        </ext>
      </extLst>
    </bk>
    <bk>
      <extLst>
        <ext uri="{3e2802c4-a4d2-4d8b-9148-e3be6c30e623}">
          <xlrd:rvb i="12401"/>
        </ext>
      </extLst>
    </bk>
    <bk>
      <extLst>
        <ext uri="{3e2802c4-a4d2-4d8b-9148-e3be6c30e623}">
          <xlrd:rvb i="12402"/>
        </ext>
      </extLst>
    </bk>
    <bk>
      <extLst>
        <ext uri="{3e2802c4-a4d2-4d8b-9148-e3be6c30e623}">
          <xlrd:rvb i="12403"/>
        </ext>
      </extLst>
    </bk>
    <bk>
      <extLst>
        <ext uri="{3e2802c4-a4d2-4d8b-9148-e3be6c30e623}">
          <xlrd:rvb i="12404"/>
        </ext>
      </extLst>
    </bk>
    <bk>
      <extLst>
        <ext uri="{3e2802c4-a4d2-4d8b-9148-e3be6c30e623}">
          <xlrd:rvb i="12405"/>
        </ext>
      </extLst>
    </bk>
    <bk>
      <extLst>
        <ext uri="{3e2802c4-a4d2-4d8b-9148-e3be6c30e623}">
          <xlrd:rvb i="12406"/>
        </ext>
      </extLst>
    </bk>
    <bk>
      <extLst>
        <ext uri="{3e2802c4-a4d2-4d8b-9148-e3be6c30e623}">
          <xlrd:rvb i="12407"/>
        </ext>
      </extLst>
    </bk>
    <bk>
      <extLst>
        <ext uri="{3e2802c4-a4d2-4d8b-9148-e3be6c30e623}">
          <xlrd:rvb i="12408"/>
        </ext>
      </extLst>
    </bk>
    <bk>
      <extLst>
        <ext uri="{3e2802c4-a4d2-4d8b-9148-e3be6c30e623}">
          <xlrd:rvb i="12409"/>
        </ext>
      </extLst>
    </bk>
    <bk>
      <extLst>
        <ext uri="{3e2802c4-a4d2-4d8b-9148-e3be6c30e623}">
          <xlrd:rvb i="12410"/>
        </ext>
      </extLst>
    </bk>
    <bk>
      <extLst>
        <ext uri="{3e2802c4-a4d2-4d8b-9148-e3be6c30e623}">
          <xlrd:rvb i="12411"/>
        </ext>
      </extLst>
    </bk>
    <bk>
      <extLst>
        <ext uri="{3e2802c4-a4d2-4d8b-9148-e3be6c30e623}">
          <xlrd:rvb i="12412"/>
        </ext>
      </extLst>
    </bk>
    <bk>
      <extLst>
        <ext uri="{3e2802c4-a4d2-4d8b-9148-e3be6c30e623}">
          <xlrd:rvb i="12413"/>
        </ext>
      </extLst>
    </bk>
    <bk>
      <extLst>
        <ext uri="{3e2802c4-a4d2-4d8b-9148-e3be6c30e623}">
          <xlrd:rvb i="12414"/>
        </ext>
      </extLst>
    </bk>
    <bk>
      <extLst>
        <ext uri="{3e2802c4-a4d2-4d8b-9148-e3be6c30e623}">
          <xlrd:rvb i="12415"/>
        </ext>
      </extLst>
    </bk>
    <bk>
      <extLst>
        <ext uri="{3e2802c4-a4d2-4d8b-9148-e3be6c30e623}">
          <xlrd:rvb i="12416"/>
        </ext>
      </extLst>
    </bk>
    <bk>
      <extLst>
        <ext uri="{3e2802c4-a4d2-4d8b-9148-e3be6c30e623}">
          <xlrd:rvb i="12417"/>
        </ext>
      </extLst>
    </bk>
    <bk>
      <extLst>
        <ext uri="{3e2802c4-a4d2-4d8b-9148-e3be6c30e623}">
          <xlrd:rvb i="12418"/>
        </ext>
      </extLst>
    </bk>
    <bk>
      <extLst>
        <ext uri="{3e2802c4-a4d2-4d8b-9148-e3be6c30e623}">
          <xlrd:rvb i="12419"/>
        </ext>
      </extLst>
    </bk>
    <bk>
      <extLst>
        <ext uri="{3e2802c4-a4d2-4d8b-9148-e3be6c30e623}">
          <xlrd:rvb i="12420"/>
        </ext>
      </extLst>
    </bk>
    <bk>
      <extLst>
        <ext uri="{3e2802c4-a4d2-4d8b-9148-e3be6c30e623}">
          <xlrd:rvb i="12421"/>
        </ext>
      </extLst>
    </bk>
    <bk>
      <extLst>
        <ext uri="{3e2802c4-a4d2-4d8b-9148-e3be6c30e623}">
          <xlrd:rvb i="12422"/>
        </ext>
      </extLst>
    </bk>
    <bk>
      <extLst>
        <ext uri="{3e2802c4-a4d2-4d8b-9148-e3be6c30e623}">
          <xlrd:rvb i="12423"/>
        </ext>
      </extLst>
    </bk>
    <bk>
      <extLst>
        <ext uri="{3e2802c4-a4d2-4d8b-9148-e3be6c30e623}">
          <xlrd:rvb i="12424"/>
        </ext>
      </extLst>
    </bk>
    <bk>
      <extLst>
        <ext uri="{3e2802c4-a4d2-4d8b-9148-e3be6c30e623}">
          <xlrd:rvb i="12425"/>
        </ext>
      </extLst>
    </bk>
    <bk>
      <extLst>
        <ext uri="{3e2802c4-a4d2-4d8b-9148-e3be6c30e623}">
          <xlrd:rvb i="12426"/>
        </ext>
      </extLst>
    </bk>
    <bk>
      <extLst>
        <ext uri="{3e2802c4-a4d2-4d8b-9148-e3be6c30e623}">
          <xlrd:rvb i="12427"/>
        </ext>
      </extLst>
    </bk>
    <bk>
      <extLst>
        <ext uri="{3e2802c4-a4d2-4d8b-9148-e3be6c30e623}">
          <xlrd:rvb i="12428"/>
        </ext>
      </extLst>
    </bk>
    <bk>
      <extLst>
        <ext uri="{3e2802c4-a4d2-4d8b-9148-e3be6c30e623}">
          <xlrd:rvb i="12429"/>
        </ext>
      </extLst>
    </bk>
    <bk>
      <extLst>
        <ext uri="{3e2802c4-a4d2-4d8b-9148-e3be6c30e623}">
          <xlrd:rvb i="12430"/>
        </ext>
      </extLst>
    </bk>
    <bk>
      <extLst>
        <ext uri="{3e2802c4-a4d2-4d8b-9148-e3be6c30e623}">
          <xlrd:rvb i="12431"/>
        </ext>
      </extLst>
    </bk>
    <bk>
      <extLst>
        <ext uri="{3e2802c4-a4d2-4d8b-9148-e3be6c30e623}">
          <xlrd:rvb i="12432"/>
        </ext>
      </extLst>
    </bk>
    <bk>
      <extLst>
        <ext uri="{3e2802c4-a4d2-4d8b-9148-e3be6c30e623}">
          <xlrd:rvb i="12433"/>
        </ext>
      </extLst>
    </bk>
    <bk>
      <extLst>
        <ext uri="{3e2802c4-a4d2-4d8b-9148-e3be6c30e623}">
          <xlrd:rvb i="12434"/>
        </ext>
      </extLst>
    </bk>
    <bk>
      <extLst>
        <ext uri="{3e2802c4-a4d2-4d8b-9148-e3be6c30e623}">
          <xlrd:rvb i="12435"/>
        </ext>
      </extLst>
    </bk>
    <bk>
      <extLst>
        <ext uri="{3e2802c4-a4d2-4d8b-9148-e3be6c30e623}">
          <xlrd:rvb i="12436"/>
        </ext>
      </extLst>
    </bk>
    <bk>
      <extLst>
        <ext uri="{3e2802c4-a4d2-4d8b-9148-e3be6c30e623}">
          <xlrd:rvb i="12437"/>
        </ext>
      </extLst>
    </bk>
    <bk>
      <extLst>
        <ext uri="{3e2802c4-a4d2-4d8b-9148-e3be6c30e623}">
          <xlrd:rvb i="12438"/>
        </ext>
      </extLst>
    </bk>
    <bk>
      <extLst>
        <ext uri="{3e2802c4-a4d2-4d8b-9148-e3be6c30e623}">
          <xlrd:rvb i="12439"/>
        </ext>
      </extLst>
    </bk>
    <bk>
      <extLst>
        <ext uri="{3e2802c4-a4d2-4d8b-9148-e3be6c30e623}">
          <xlrd:rvb i="12440"/>
        </ext>
      </extLst>
    </bk>
    <bk>
      <extLst>
        <ext uri="{3e2802c4-a4d2-4d8b-9148-e3be6c30e623}">
          <xlrd:rvb i="12441"/>
        </ext>
      </extLst>
    </bk>
    <bk>
      <extLst>
        <ext uri="{3e2802c4-a4d2-4d8b-9148-e3be6c30e623}">
          <xlrd:rvb i="12442"/>
        </ext>
      </extLst>
    </bk>
    <bk>
      <extLst>
        <ext uri="{3e2802c4-a4d2-4d8b-9148-e3be6c30e623}">
          <xlrd:rvb i="12443"/>
        </ext>
      </extLst>
    </bk>
    <bk>
      <extLst>
        <ext uri="{3e2802c4-a4d2-4d8b-9148-e3be6c30e623}">
          <xlrd:rvb i="12444"/>
        </ext>
      </extLst>
    </bk>
    <bk>
      <extLst>
        <ext uri="{3e2802c4-a4d2-4d8b-9148-e3be6c30e623}">
          <xlrd:rvb i="12445"/>
        </ext>
      </extLst>
    </bk>
    <bk>
      <extLst>
        <ext uri="{3e2802c4-a4d2-4d8b-9148-e3be6c30e623}">
          <xlrd:rvb i="12446"/>
        </ext>
      </extLst>
    </bk>
    <bk>
      <extLst>
        <ext uri="{3e2802c4-a4d2-4d8b-9148-e3be6c30e623}">
          <xlrd:rvb i="12447"/>
        </ext>
      </extLst>
    </bk>
    <bk>
      <extLst>
        <ext uri="{3e2802c4-a4d2-4d8b-9148-e3be6c30e623}">
          <xlrd:rvb i="12448"/>
        </ext>
      </extLst>
    </bk>
    <bk>
      <extLst>
        <ext uri="{3e2802c4-a4d2-4d8b-9148-e3be6c30e623}">
          <xlrd:rvb i="12449"/>
        </ext>
      </extLst>
    </bk>
    <bk>
      <extLst>
        <ext uri="{3e2802c4-a4d2-4d8b-9148-e3be6c30e623}">
          <xlrd:rvb i="12450"/>
        </ext>
      </extLst>
    </bk>
    <bk>
      <extLst>
        <ext uri="{3e2802c4-a4d2-4d8b-9148-e3be6c30e623}">
          <xlrd:rvb i="12451"/>
        </ext>
      </extLst>
    </bk>
    <bk>
      <extLst>
        <ext uri="{3e2802c4-a4d2-4d8b-9148-e3be6c30e623}">
          <xlrd:rvb i="12452"/>
        </ext>
      </extLst>
    </bk>
    <bk>
      <extLst>
        <ext uri="{3e2802c4-a4d2-4d8b-9148-e3be6c30e623}">
          <xlrd:rvb i="12453"/>
        </ext>
      </extLst>
    </bk>
    <bk>
      <extLst>
        <ext uri="{3e2802c4-a4d2-4d8b-9148-e3be6c30e623}">
          <xlrd:rvb i="12454"/>
        </ext>
      </extLst>
    </bk>
    <bk>
      <extLst>
        <ext uri="{3e2802c4-a4d2-4d8b-9148-e3be6c30e623}">
          <xlrd:rvb i="12455"/>
        </ext>
      </extLst>
    </bk>
    <bk>
      <extLst>
        <ext uri="{3e2802c4-a4d2-4d8b-9148-e3be6c30e623}">
          <xlrd:rvb i="12456"/>
        </ext>
      </extLst>
    </bk>
    <bk>
      <extLst>
        <ext uri="{3e2802c4-a4d2-4d8b-9148-e3be6c30e623}">
          <xlrd:rvb i="12457"/>
        </ext>
      </extLst>
    </bk>
    <bk>
      <extLst>
        <ext uri="{3e2802c4-a4d2-4d8b-9148-e3be6c30e623}">
          <xlrd:rvb i="12458"/>
        </ext>
      </extLst>
    </bk>
    <bk>
      <extLst>
        <ext uri="{3e2802c4-a4d2-4d8b-9148-e3be6c30e623}">
          <xlrd:rvb i="12459"/>
        </ext>
      </extLst>
    </bk>
    <bk>
      <extLst>
        <ext uri="{3e2802c4-a4d2-4d8b-9148-e3be6c30e623}">
          <xlrd:rvb i="12460"/>
        </ext>
      </extLst>
    </bk>
    <bk>
      <extLst>
        <ext uri="{3e2802c4-a4d2-4d8b-9148-e3be6c30e623}">
          <xlrd:rvb i="12461"/>
        </ext>
      </extLst>
    </bk>
    <bk>
      <extLst>
        <ext uri="{3e2802c4-a4d2-4d8b-9148-e3be6c30e623}">
          <xlrd:rvb i="12462"/>
        </ext>
      </extLst>
    </bk>
    <bk>
      <extLst>
        <ext uri="{3e2802c4-a4d2-4d8b-9148-e3be6c30e623}">
          <xlrd:rvb i="12463"/>
        </ext>
      </extLst>
    </bk>
    <bk>
      <extLst>
        <ext uri="{3e2802c4-a4d2-4d8b-9148-e3be6c30e623}">
          <xlrd:rvb i="12464"/>
        </ext>
      </extLst>
    </bk>
    <bk>
      <extLst>
        <ext uri="{3e2802c4-a4d2-4d8b-9148-e3be6c30e623}">
          <xlrd:rvb i="12465"/>
        </ext>
      </extLst>
    </bk>
    <bk>
      <extLst>
        <ext uri="{3e2802c4-a4d2-4d8b-9148-e3be6c30e623}">
          <xlrd:rvb i="12466"/>
        </ext>
      </extLst>
    </bk>
    <bk>
      <extLst>
        <ext uri="{3e2802c4-a4d2-4d8b-9148-e3be6c30e623}">
          <xlrd:rvb i="12467"/>
        </ext>
      </extLst>
    </bk>
    <bk>
      <extLst>
        <ext uri="{3e2802c4-a4d2-4d8b-9148-e3be6c30e623}">
          <xlrd:rvb i="12468"/>
        </ext>
      </extLst>
    </bk>
    <bk>
      <extLst>
        <ext uri="{3e2802c4-a4d2-4d8b-9148-e3be6c30e623}">
          <xlrd:rvb i="12469"/>
        </ext>
      </extLst>
    </bk>
    <bk>
      <extLst>
        <ext uri="{3e2802c4-a4d2-4d8b-9148-e3be6c30e623}">
          <xlrd:rvb i="12470"/>
        </ext>
      </extLst>
    </bk>
    <bk>
      <extLst>
        <ext uri="{3e2802c4-a4d2-4d8b-9148-e3be6c30e623}">
          <xlrd:rvb i="12471"/>
        </ext>
      </extLst>
    </bk>
    <bk>
      <extLst>
        <ext uri="{3e2802c4-a4d2-4d8b-9148-e3be6c30e623}">
          <xlrd:rvb i="12472"/>
        </ext>
      </extLst>
    </bk>
    <bk>
      <extLst>
        <ext uri="{3e2802c4-a4d2-4d8b-9148-e3be6c30e623}">
          <xlrd:rvb i="12473"/>
        </ext>
      </extLst>
    </bk>
    <bk>
      <extLst>
        <ext uri="{3e2802c4-a4d2-4d8b-9148-e3be6c30e623}">
          <xlrd:rvb i="12474"/>
        </ext>
      </extLst>
    </bk>
    <bk>
      <extLst>
        <ext uri="{3e2802c4-a4d2-4d8b-9148-e3be6c30e623}">
          <xlrd:rvb i="12475"/>
        </ext>
      </extLst>
    </bk>
    <bk>
      <extLst>
        <ext uri="{3e2802c4-a4d2-4d8b-9148-e3be6c30e623}">
          <xlrd:rvb i="12476"/>
        </ext>
      </extLst>
    </bk>
    <bk>
      <extLst>
        <ext uri="{3e2802c4-a4d2-4d8b-9148-e3be6c30e623}">
          <xlrd:rvb i="12477"/>
        </ext>
      </extLst>
    </bk>
    <bk>
      <extLst>
        <ext uri="{3e2802c4-a4d2-4d8b-9148-e3be6c30e623}">
          <xlrd:rvb i="12478"/>
        </ext>
      </extLst>
    </bk>
    <bk>
      <extLst>
        <ext uri="{3e2802c4-a4d2-4d8b-9148-e3be6c30e623}">
          <xlrd:rvb i="12479"/>
        </ext>
      </extLst>
    </bk>
    <bk>
      <extLst>
        <ext uri="{3e2802c4-a4d2-4d8b-9148-e3be6c30e623}">
          <xlrd:rvb i="12480"/>
        </ext>
      </extLst>
    </bk>
    <bk>
      <extLst>
        <ext uri="{3e2802c4-a4d2-4d8b-9148-e3be6c30e623}">
          <xlrd:rvb i="12481"/>
        </ext>
      </extLst>
    </bk>
    <bk>
      <extLst>
        <ext uri="{3e2802c4-a4d2-4d8b-9148-e3be6c30e623}">
          <xlrd:rvb i="12482"/>
        </ext>
      </extLst>
    </bk>
    <bk>
      <extLst>
        <ext uri="{3e2802c4-a4d2-4d8b-9148-e3be6c30e623}">
          <xlrd:rvb i="12483"/>
        </ext>
      </extLst>
    </bk>
    <bk>
      <extLst>
        <ext uri="{3e2802c4-a4d2-4d8b-9148-e3be6c30e623}">
          <xlrd:rvb i="12484"/>
        </ext>
      </extLst>
    </bk>
    <bk>
      <extLst>
        <ext uri="{3e2802c4-a4d2-4d8b-9148-e3be6c30e623}">
          <xlrd:rvb i="12485"/>
        </ext>
      </extLst>
    </bk>
    <bk>
      <extLst>
        <ext uri="{3e2802c4-a4d2-4d8b-9148-e3be6c30e623}">
          <xlrd:rvb i="12486"/>
        </ext>
      </extLst>
    </bk>
    <bk>
      <extLst>
        <ext uri="{3e2802c4-a4d2-4d8b-9148-e3be6c30e623}">
          <xlrd:rvb i="12487"/>
        </ext>
      </extLst>
    </bk>
    <bk>
      <extLst>
        <ext uri="{3e2802c4-a4d2-4d8b-9148-e3be6c30e623}">
          <xlrd:rvb i="12488"/>
        </ext>
      </extLst>
    </bk>
    <bk>
      <extLst>
        <ext uri="{3e2802c4-a4d2-4d8b-9148-e3be6c30e623}">
          <xlrd:rvb i="12489"/>
        </ext>
      </extLst>
    </bk>
    <bk>
      <extLst>
        <ext uri="{3e2802c4-a4d2-4d8b-9148-e3be6c30e623}">
          <xlrd:rvb i="12490"/>
        </ext>
      </extLst>
    </bk>
    <bk>
      <extLst>
        <ext uri="{3e2802c4-a4d2-4d8b-9148-e3be6c30e623}">
          <xlrd:rvb i="12491"/>
        </ext>
      </extLst>
    </bk>
    <bk>
      <extLst>
        <ext uri="{3e2802c4-a4d2-4d8b-9148-e3be6c30e623}">
          <xlrd:rvb i="12492"/>
        </ext>
      </extLst>
    </bk>
    <bk>
      <extLst>
        <ext uri="{3e2802c4-a4d2-4d8b-9148-e3be6c30e623}">
          <xlrd:rvb i="12493"/>
        </ext>
      </extLst>
    </bk>
    <bk>
      <extLst>
        <ext uri="{3e2802c4-a4d2-4d8b-9148-e3be6c30e623}">
          <xlrd:rvb i="12494"/>
        </ext>
      </extLst>
    </bk>
    <bk>
      <extLst>
        <ext uri="{3e2802c4-a4d2-4d8b-9148-e3be6c30e623}">
          <xlrd:rvb i="12495"/>
        </ext>
      </extLst>
    </bk>
    <bk>
      <extLst>
        <ext uri="{3e2802c4-a4d2-4d8b-9148-e3be6c30e623}">
          <xlrd:rvb i="12496"/>
        </ext>
      </extLst>
    </bk>
    <bk>
      <extLst>
        <ext uri="{3e2802c4-a4d2-4d8b-9148-e3be6c30e623}">
          <xlrd:rvb i="12497"/>
        </ext>
      </extLst>
    </bk>
    <bk>
      <extLst>
        <ext uri="{3e2802c4-a4d2-4d8b-9148-e3be6c30e623}">
          <xlrd:rvb i="12498"/>
        </ext>
      </extLst>
    </bk>
    <bk>
      <extLst>
        <ext uri="{3e2802c4-a4d2-4d8b-9148-e3be6c30e623}">
          <xlrd:rvb i="12499"/>
        </ext>
      </extLst>
    </bk>
    <bk>
      <extLst>
        <ext uri="{3e2802c4-a4d2-4d8b-9148-e3be6c30e623}">
          <xlrd:rvb i="12500"/>
        </ext>
      </extLst>
    </bk>
    <bk>
      <extLst>
        <ext uri="{3e2802c4-a4d2-4d8b-9148-e3be6c30e623}">
          <xlrd:rvb i="12501"/>
        </ext>
      </extLst>
    </bk>
    <bk>
      <extLst>
        <ext uri="{3e2802c4-a4d2-4d8b-9148-e3be6c30e623}">
          <xlrd:rvb i="12502"/>
        </ext>
      </extLst>
    </bk>
    <bk>
      <extLst>
        <ext uri="{3e2802c4-a4d2-4d8b-9148-e3be6c30e623}">
          <xlrd:rvb i="12503"/>
        </ext>
      </extLst>
    </bk>
    <bk>
      <extLst>
        <ext uri="{3e2802c4-a4d2-4d8b-9148-e3be6c30e623}">
          <xlrd:rvb i="12504"/>
        </ext>
      </extLst>
    </bk>
    <bk>
      <extLst>
        <ext uri="{3e2802c4-a4d2-4d8b-9148-e3be6c30e623}">
          <xlrd:rvb i="12505"/>
        </ext>
      </extLst>
    </bk>
    <bk>
      <extLst>
        <ext uri="{3e2802c4-a4d2-4d8b-9148-e3be6c30e623}">
          <xlrd:rvb i="12506"/>
        </ext>
      </extLst>
    </bk>
    <bk>
      <extLst>
        <ext uri="{3e2802c4-a4d2-4d8b-9148-e3be6c30e623}">
          <xlrd:rvb i="12507"/>
        </ext>
      </extLst>
    </bk>
    <bk>
      <extLst>
        <ext uri="{3e2802c4-a4d2-4d8b-9148-e3be6c30e623}">
          <xlrd:rvb i="12508"/>
        </ext>
      </extLst>
    </bk>
    <bk>
      <extLst>
        <ext uri="{3e2802c4-a4d2-4d8b-9148-e3be6c30e623}">
          <xlrd:rvb i="12509"/>
        </ext>
      </extLst>
    </bk>
    <bk>
      <extLst>
        <ext uri="{3e2802c4-a4d2-4d8b-9148-e3be6c30e623}">
          <xlrd:rvb i="12510"/>
        </ext>
      </extLst>
    </bk>
    <bk>
      <extLst>
        <ext uri="{3e2802c4-a4d2-4d8b-9148-e3be6c30e623}">
          <xlrd:rvb i="12511"/>
        </ext>
      </extLst>
    </bk>
    <bk>
      <extLst>
        <ext uri="{3e2802c4-a4d2-4d8b-9148-e3be6c30e623}">
          <xlrd:rvb i="12512"/>
        </ext>
      </extLst>
    </bk>
    <bk>
      <extLst>
        <ext uri="{3e2802c4-a4d2-4d8b-9148-e3be6c30e623}">
          <xlrd:rvb i="12513"/>
        </ext>
      </extLst>
    </bk>
    <bk>
      <extLst>
        <ext uri="{3e2802c4-a4d2-4d8b-9148-e3be6c30e623}">
          <xlrd:rvb i="12514"/>
        </ext>
      </extLst>
    </bk>
    <bk>
      <extLst>
        <ext uri="{3e2802c4-a4d2-4d8b-9148-e3be6c30e623}">
          <xlrd:rvb i="12515"/>
        </ext>
      </extLst>
    </bk>
    <bk>
      <extLst>
        <ext uri="{3e2802c4-a4d2-4d8b-9148-e3be6c30e623}">
          <xlrd:rvb i="12516"/>
        </ext>
      </extLst>
    </bk>
    <bk>
      <extLst>
        <ext uri="{3e2802c4-a4d2-4d8b-9148-e3be6c30e623}">
          <xlrd:rvb i="12517"/>
        </ext>
      </extLst>
    </bk>
    <bk>
      <extLst>
        <ext uri="{3e2802c4-a4d2-4d8b-9148-e3be6c30e623}">
          <xlrd:rvb i="12518"/>
        </ext>
      </extLst>
    </bk>
    <bk>
      <extLst>
        <ext uri="{3e2802c4-a4d2-4d8b-9148-e3be6c30e623}">
          <xlrd:rvb i="12519"/>
        </ext>
      </extLst>
    </bk>
    <bk>
      <extLst>
        <ext uri="{3e2802c4-a4d2-4d8b-9148-e3be6c30e623}">
          <xlrd:rvb i="12520"/>
        </ext>
      </extLst>
    </bk>
    <bk>
      <extLst>
        <ext uri="{3e2802c4-a4d2-4d8b-9148-e3be6c30e623}">
          <xlrd:rvb i="12521"/>
        </ext>
      </extLst>
    </bk>
    <bk>
      <extLst>
        <ext uri="{3e2802c4-a4d2-4d8b-9148-e3be6c30e623}">
          <xlrd:rvb i="12522"/>
        </ext>
      </extLst>
    </bk>
    <bk>
      <extLst>
        <ext uri="{3e2802c4-a4d2-4d8b-9148-e3be6c30e623}">
          <xlrd:rvb i="12523"/>
        </ext>
      </extLst>
    </bk>
    <bk>
      <extLst>
        <ext uri="{3e2802c4-a4d2-4d8b-9148-e3be6c30e623}">
          <xlrd:rvb i="12524"/>
        </ext>
      </extLst>
    </bk>
    <bk>
      <extLst>
        <ext uri="{3e2802c4-a4d2-4d8b-9148-e3be6c30e623}">
          <xlrd:rvb i="12525"/>
        </ext>
      </extLst>
    </bk>
    <bk>
      <extLst>
        <ext uri="{3e2802c4-a4d2-4d8b-9148-e3be6c30e623}">
          <xlrd:rvb i="12526"/>
        </ext>
      </extLst>
    </bk>
    <bk>
      <extLst>
        <ext uri="{3e2802c4-a4d2-4d8b-9148-e3be6c30e623}">
          <xlrd:rvb i="12527"/>
        </ext>
      </extLst>
    </bk>
    <bk>
      <extLst>
        <ext uri="{3e2802c4-a4d2-4d8b-9148-e3be6c30e623}">
          <xlrd:rvb i="12528"/>
        </ext>
      </extLst>
    </bk>
    <bk>
      <extLst>
        <ext uri="{3e2802c4-a4d2-4d8b-9148-e3be6c30e623}">
          <xlrd:rvb i="12529"/>
        </ext>
      </extLst>
    </bk>
    <bk>
      <extLst>
        <ext uri="{3e2802c4-a4d2-4d8b-9148-e3be6c30e623}">
          <xlrd:rvb i="12530"/>
        </ext>
      </extLst>
    </bk>
    <bk>
      <extLst>
        <ext uri="{3e2802c4-a4d2-4d8b-9148-e3be6c30e623}">
          <xlrd:rvb i="12531"/>
        </ext>
      </extLst>
    </bk>
    <bk>
      <extLst>
        <ext uri="{3e2802c4-a4d2-4d8b-9148-e3be6c30e623}">
          <xlrd:rvb i="12532"/>
        </ext>
      </extLst>
    </bk>
    <bk>
      <extLst>
        <ext uri="{3e2802c4-a4d2-4d8b-9148-e3be6c30e623}">
          <xlrd:rvb i="12533"/>
        </ext>
      </extLst>
    </bk>
    <bk>
      <extLst>
        <ext uri="{3e2802c4-a4d2-4d8b-9148-e3be6c30e623}">
          <xlrd:rvb i="12534"/>
        </ext>
      </extLst>
    </bk>
    <bk>
      <extLst>
        <ext uri="{3e2802c4-a4d2-4d8b-9148-e3be6c30e623}">
          <xlrd:rvb i="12535"/>
        </ext>
      </extLst>
    </bk>
    <bk>
      <extLst>
        <ext uri="{3e2802c4-a4d2-4d8b-9148-e3be6c30e623}">
          <xlrd:rvb i="12536"/>
        </ext>
      </extLst>
    </bk>
    <bk>
      <extLst>
        <ext uri="{3e2802c4-a4d2-4d8b-9148-e3be6c30e623}">
          <xlrd:rvb i="12537"/>
        </ext>
      </extLst>
    </bk>
    <bk>
      <extLst>
        <ext uri="{3e2802c4-a4d2-4d8b-9148-e3be6c30e623}">
          <xlrd:rvb i="12538"/>
        </ext>
      </extLst>
    </bk>
    <bk>
      <extLst>
        <ext uri="{3e2802c4-a4d2-4d8b-9148-e3be6c30e623}">
          <xlrd:rvb i="12539"/>
        </ext>
      </extLst>
    </bk>
    <bk>
      <extLst>
        <ext uri="{3e2802c4-a4d2-4d8b-9148-e3be6c30e623}">
          <xlrd:rvb i="12540"/>
        </ext>
      </extLst>
    </bk>
    <bk>
      <extLst>
        <ext uri="{3e2802c4-a4d2-4d8b-9148-e3be6c30e623}">
          <xlrd:rvb i="12541"/>
        </ext>
      </extLst>
    </bk>
    <bk>
      <extLst>
        <ext uri="{3e2802c4-a4d2-4d8b-9148-e3be6c30e623}">
          <xlrd:rvb i="12542"/>
        </ext>
      </extLst>
    </bk>
    <bk>
      <extLst>
        <ext uri="{3e2802c4-a4d2-4d8b-9148-e3be6c30e623}">
          <xlrd:rvb i="12543"/>
        </ext>
      </extLst>
    </bk>
    <bk>
      <extLst>
        <ext uri="{3e2802c4-a4d2-4d8b-9148-e3be6c30e623}">
          <xlrd:rvb i="12544"/>
        </ext>
      </extLst>
    </bk>
    <bk>
      <extLst>
        <ext uri="{3e2802c4-a4d2-4d8b-9148-e3be6c30e623}">
          <xlrd:rvb i="12545"/>
        </ext>
      </extLst>
    </bk>
    <bk>
      <extLst>
        <ext uri="{3e2802c4-a4d2-4d8b-9148-e3be6c30e623}">
          <xlrd:rvb i="12546"/>
        </ext>
      </extLst>
    </bk>
    <bk>
      <extLst>
        <ext uri="{3e2802c4-a4d2-4d8b-9148-e3be6c30e623}">
          <xlrd:rvb i="12547"/>
        </ext>
      </extLst>
    </bk>
    <bk>
      <extLst>
        <ext uri="{3e2802c4-a4d2-4d8b-9148-e3be6c30e623}">
          <xlrd:rvb i="12548"/>
        </ext>
      </extLst>
    </bk>
    <bk>
      <extLst>
        <ext uri="{3e2802c4-a4d2-4d8b-9148-e3be6c30e623}">
          <xlrd:rvb i="12549"/>
        </ext>
      </extLst>
    </bk>
    <bk>
      <extLst>
        <ext uri="{3e2802c4-a4d2-4d8b-9148-e3be6c30e623}">
          <xlrd:rvb i="12550"/>
        </ext>
      </extLst>
    </bk>
    <bk>
      <extLst>
        <ext uri="{3e2802c4-a4d2-4d8b-9148-e3be6c30e623}">
          <xlrd:rvb i="12551"/>
        </ext>
      </extLst>
    </bk>
    <bk>
      <extLst>
        <ext uri="{3e2802c4-a4d2-4d8b-9148-e3be6c30e623}">
          <xlrd:rvb i="12552"/>
        </ext>
      </extLst>
    </bk>
    <bk>
      <extLst>
        <ext uri="{3e2802c4-a4d2-4d8b-9148-e3be6c30e623}">
          <xlrd:rvb i="12553"/>
        </ext>
      </extLst>
    </bk>
    <bk>
      <extLst>
        <ext uri="{3e2802c4-a4d2-4d8b-9148-e3be6c30e623}">
          <xlrd:rvb i="12554"/>
        </ext>
      </extLst>
    </bk>
    <bk>
      <extLst>
        <ext uri="{3e2802c4-a4d2-4d8b-9148-e3be6c30e623}">
          <xlrd:rvb i="12555"/>
        </ext>
      </extLst>
    </bk>
    <bk>
      <extLst>
        <ext uri="{3e2802c4-a4d2-4d8b-9148-e3be6c30e623}">
          <xlrd:rvb i="12556"/>
        </ext>
      </extLst>
    </bk>
    <bk>
      <extLst>
        <ext uri="{3e2802c4-a4d2-4d8b-9148-e3be6c30e623}">
          <xlrd:rvb i="12557"/>
        </ext>
      </extLst>
    </bk>
    <bk>
      <extLst>
        <ext uri="{3e2802c4-a4d2-4d8b-9148-e3be6c30e623}">
          <xlrd:rvb i="12558"/>
        </ext>
      </extLst>
    </bk>
    <bk>
      <extLst>
        <ext uri="{3e2802c4-a4d2-4d8b-9148-e3be6c30e623}">
          <xlrd:rvb i="12559"/>
        </ext>
      </extLst>
    </bk>
    <bk>
      <extLst>
        <ext uri="{3e2802c4-a4d2-4d8b-9148-e3be6c30e623}">
          <xlrd:rvb i="12560"/>
        </ext>
      </extLst>
    </bk>
    <bk>
      <extLst>
        <ext uri="{3e2802c4-a4d2-4d8b-9148-e3be6c30e623}">
          <xlrd:rvb i="12561"/>
        </ext>
      </extLst>
    </bk>
    <bk>
      <extLst>
        <ext uri="{3e2802c4-a4d2-4d8b-9148-e3be6c30e623}">
          <xlrd:rvb i="12562"/>
        </ext>
      </extLst>
    </bk>
    <bk>
      <extLst>
        <ext uri="{3e2802c4-a4d2-4d8b-9148-e3be6c30e623}">
          <xlrd:rvb i="12563"/>
        </ext>
      </extLst>
    </bk>
    <bk>
      <extLst>
        <ext uri="{3e2802c4-a4d2-4d8b-9148-e3be6c30e623}">
          <xlrd:rvb i="12564"/>
        </ext>
      </extLst>
    </bk>
    <bk>
      <extLst>
        <ext uri="{3e2802c4-a4d2-4d8b-9148-e3be6c30e623}">
          <xlrd:rvb i="12565"/>
        </ext>
      </extLst>
    </bk>
    <bk>
      <extLst>
        <ext uri="{3e2802c4-a4d2-4d8b-9148-e3be6c30e623}">
          <xlrd:rvb i="12566"/>
        </ext>
      </extLst>
    </bk>
    <bk>
      <extLst>
        <ext uri="{3e2802c4-a4d2-4d8b-9148-e3be6c30e623}">
          <xlrd:rvb i="12567"/>
        </ext>
      </extLst>
    </bk>
    <bk>
      <extLst>
        <ext uri="{3e2802c4-a4d2-4d8b-9148-e3be6c30e623}">
          <xlrd:rvb i="12568"/>
        </ext>
      </extLst>
    </bk>
    <bk>
      <extLst>
        <ext uri="{3e2802c4-a4d2-4d8b-9148-e3be6c30e623}">
          <xlrd:rvb i="12569"/>
        </ext>
      </extLst>
    </bk>
    <bk>
      <extLst>
        <ext uri="{3e2802c4-a4d2-4d8b-9148-e3be6c30e623}">
          <xlrd:rvb i="12570"/>
        </ext>
      </extLst>
    </bk>
    <bk>
      <extLst>
        <ext uri="{3e2802c4-a4d2-4d8b-9148-e3be6c30e623}">
          <xlrd:rvb i="12571"/>
        </ext>
      </extLst>
    </bk>
    <bk>
      <extLst>
        <ext uri="{3e2802c4-a4d2-4d8b-9148-e3be6c30e623}">
          <xlrd:rvb i="12572"/>
        </ext>
      </extLst>
    </bk>
    <bk>
      <extLst>
        <ext uri="{3e2802c4-a4d2-4d8b-9148-e3be6c30e623}">
          <xlrd:rvb i="12573"/>
        </ext>
      </extLst>
    </bk>
    <bk>
      <extLst>
        <ext uri="{3e2802c4-a4d2-4d8b-9148-e3be6c30e623}">
          <xlrd:rvb i="12574"/>
        </ext>
      </extLst>
    </bk>
    <bk>
      <extLst>
        <ext uri="{3e2802c4-a4d2-4d8b-9148-e3be6c30e623}">
          <xlrd:rvb i="12575"/>
        </ext>
      </extLst>
    </bk>
    <bk>
      <extLst>
        <ext uri="{3e2802c4-a4d2-4d8b-9148-e3be6c30e623}">
          <xlrd:rvb i="12576"/>
        </ext>
      </extLst>
    </bk>
    <bk>
      <extLst>
        <ext uri="{3e2802c4-a4d2-4d8b-9148-e3be6c30e623}">
          <xlrd:rvb i="12577"/>
        </ext>
      </extLst>
    </bk>
    <bk>
      <extLst>
        <ext uri="{3e2802c4-a4d2-4d8b-9148-e3be6c30e623}">
          <xlrd:rvb i="12578"/>
        </ext>
      </extLst>
    </bk>
    <bk>
      <extLst>
        <ext uri="{3e2802c4-a4d2-4d8b-9148-e3be6c30e623}">
          <xlrd:rvb i="12579"/>
        </ext>
      </extLst>
    </bk>
    <bk>
      <extLst>
        <ext uri="{3e2802c4-a4d2-4d8b-9148-e3be6c30e623}">
          <xlrd:rvb i="12580"/>
        </ext>
      </extLst>
    </bk>
    <bk>
      <extLst>
        <ext uri="{3e2802c4-a4d2-4d8b-9148-e3be6c30e623}">
          <xlrd:rvb i="12581"/>
        </ext>
      </extLst>
    </bk>
    <bk>
      <extLst>
        <ext uri="{3e2802c4-a4d2-4d8b-9148-e3be6c30e623}">
          <xlrd:rvb i="12582"/>
        </ext>
      </extLst>
    </bk>
    <bk>
      <extLst>
        <ext uri="{3e2802c4-a4d2-4d8b-9148-e3be6c30e623}">
          <xlrd:rvb i="12583"/>
        </ext>
      </extLst>
    </bk>
    <bk>
      <extLst>
        <ext uri="{3e2802c4-a4d2-4d8b-9148-e3be6c30e623}">
          <xlrd:rvb i="12584"/>
        </ext>
      </extLst>
    </bk>
    <bk>
      <extLst>
        <ext uri="{3e2802c4-a4d2-4d8b-9148-e3be6c30e623}">
          <xlrd:rvb i="12585"/>
        </ext>
      </extLst>
    </bk>
    <bk>
      <extLst>
        <ext uri="{3e2802c4-a4d2-4d8b-9148-e3be6c30e623}">
          <xlrd:rvb i="12586"/>
        </ext>
      </extLst>
    </bk>
    <bk>
      <extLst>
        <ext uri="{3e2802c4-a4d2-4d8b-9148-e3be6c30e623}">
          <xlrd:rvb i="12587"/>
        </ext>
      </extLst>
    </bk>
    <bk>
      <extLst>
        <ext uri="{3e2802c4-a4d2-4d8b-9148-e3be6c30e623}">
          <xlrd:rvb i="12588"/>
        </ext>
      </extLst>
    </bk>
    <bk>
      <extLst>
        <ext uri="{3e2802c4-a4d2-4d8b-9148-e3be6c30e623}">
          <xlrd:rvb i="12589"/>
        </ext>
      </extLst>
    </bk>
    <bk>
      <extLst>
        <ext uri="{3e2802c4-a4d2-4d8b-9148-e3be6c30e623}">
          <xlrd:rvb i="12590"/>
        </ext>
      </extLst>
    </bk>
    <bk>
      <extLst>
        <ext uri="{3e2802c4-a4d2-4d8b-9148-e3be6c30e623}">
          <xlrd:rvb i="12591"/>
        </ext>
      </extLst>
    </bk>
    <bk>
      <extLst>
        <ext uri="{3e2802c4-a4d2-4d8b-9148-e3be6c30e623}">
          <xlrd:rvb i="12592"/>
        </ext>
      </extLst>
    </bk>
    <bk>
      <extLst>
        <ext uri="{3e2802c4-a4d2-4d8b-9148-e3be6c30e623}">
          <xlrd:rvb i="12593"/>
        </ext>
      </extLst>
    </bk>
    <bk>
      <extLst>
        <ext uri="{3e2802c4-a4d2-4d8b-9148-e3be6c30e623}">
          <xlrd:rvb i="12594"/>
        </ext>
      </extLst>
    </bk>
    <bk>
      <extLst>
        <ext uri="{3e2802c4-a4d2-4d8b-9148-e3be6c30e623}">
          <xlrd:rvb i="12595"/>
        </ext>
      </extLst>
    </bk>
    <bk>
      <extLst>
        <ext uri="{3e2802c4-a4d2-4d8b-9148-e3be6c30e623}">
          <xlrd:rvb i="12596"/>
        </ext>
      </extLst>
    </bk>
    <bk>
      <extLst>
        <ext uri="{3e2802c4-a4d2-4d8b-9148-e3be6c30e623}">
          <xlrd:rvb i="12597"/>
        </ext>
      </extLst>
    </bk>
    <bk>
      <extLst>
        <ext uri="{3e2802c4-a4d2-4d8b-9148-e3be6c30e623}">
          <xlrd:rvb i="12598"/>
        </ext>
      </extLst>
    </bk>
    <bk>
      <extLst>
        <ext uri="{3e2802c4-a4d2-4d8b-9148-e3be6c30e623}">
          <xlrd:rvb i="12599"/>
        </ext>
      </extLst>
    </bk>
    <bk>
      <extLst>
        <ext uri="{3e2802c4-a4d2-4d8b-9148-e3be6c30e623}">
          <xlrd:rvb i="12600"/>
        </ext>
      </extLst>
    </bk>
    <bk>
      <extLst>
        <ext uri="{3e2802c4-a4d2-4d8b-9148-e3be6c30e623}">
          <xlrd:rvb i="12601"/>
        </ext>
      </extLst>
    </bk>
    <bk>
      <extLst>
        <ext uri="{3e2802c4-a4d2-4d8b-9148-e3be6c30e623}">
          <xlrd:rvb i="12602"/>
        </ext>
      </extLst>
    </bk>
    <bk>
      <extLst>
        <ext uri="{3e2802c4-a4d2-4d8b-9148-e3be6c30e623}">
          <xlrd:rvb i="12603"/>
        </ext>
      </extLst>
    </bk>
    <bk>
      <extLst>
        <ext uri="{3e2802c4-a4d2-4d8b-9148-e3be6c30e623}">
          <xlrd:rvb i="12604"/>
        </ext>
      </extLst>
    </bk>
    <bk>
      <extLst>
        <ext uri="{3e2802c4-a4d2-4d8b-9148-e3be6c30e623}">
          <xlrd:rvb i="12605"/>
        </ext>
      </extLst>
    </bk>
    <bk>
      <extLst>
        <ext uri="{3e2802c4-a4d2-4d8b-9148-e3be6c30e623}">
          <xlrd:rvb i="12606"/>
        </ext>
      </extLst>
    </bk>
    <bk>
      <extLst>
        <ext uri="{3e2802c4-a4d2-4d8b-9148-e3be6c30e623}">
          <xlrd:rvb i="12607"/>
        </ext>
      </extLst>
    </bk>
    <bk>
      <extLst>
        <ext uri="{3e2802c4-a4d2-4d8b-9148-e3be6c30e623}">
          <xlrd:rvb i="12608"/>
        </ext>
      </extLst>
    </bk>
    <bk>
      <extLst>
        <ext uri="{3e2802c4-a4d2-4d8b-9148-e3be6c30e623}">
          <xlrd:rvb i="12609"/>
        </ext>
      </extLst>
    </bk>
    <bk>
      <extLst>
        <ext uri="{3e2802c4-a4d2-4d8b-9148-e3be6c30e623}">
          <xlrd:rvb i="12610"/>
        </ext>
      </extLst>
    </bk>
    <bk>
      <extLst>
        <ext uri="{3e2802c4-a4d2-4d8b-9148-e3be6c30e623}">
          <xlrd:rvb i="12611"/>
        </ext>
      </extLst>
    </bk>
    <bk>
      <extLst>
        <ext uri="{3e2802c4-a4d2-4d8b-9148-e3be6c30e623}">
          <xlrd:rvb i="12612"/>
        </ext>
      </extLst>
    </bk>
    <bk>
      <extLst>
        <ext uri="{3e2802c4-a4d2-4d8b-9148-e3be6c30e623}">
          <xlrd:rvb i="12613"/>
        </ext>
      </extLst>
    </bk>
    <bk>
      <extLst>
        <ext uri="{3e2802c4-a4d2-4d8b-9148-e3be6c30e623}">
          <xlrd:rvb i="12614"/>
        </ext>
      </extLst>
    </bk>
    <bk>
      <extLst>
        <ext uri="{3e2802c4-a4d2-4d8b-9148-e3be6c30e623}">
          <xlrd:rvb i="12615"/>
        </ext>
      </extLst>
    </bk>
    <bk>
      <extLst>
        <ext uri="{3e2802c4-a4d2-4d8b-9148-e3be6c30e623}">
          <xlrd:rvb i="12616"/>
        </ext>
      </extLst>
    </bk>
    <bk>
      <extLst>
        <ext uri="{3e2802c4-a4d2-4d8b-9148-e3be6c30e623}">
          <xlrd:rvb i="12617"/>
        </ext>
      </extLst>
    </bk>
    <bk>
      <extLst>
        <ext uri="{3e2802c4-a4d2-4d8b-9148-e3be6c30e623}">
          <xlrd:rvb i="12618"/>
        </ext>
      </extLst>
    </bk>
    <bk>
      <extLst>
        <ext uri="{3e2802c4-a4d2-4d8b-9148-e3be6c30e623}">
          <xlrd:rvb i="12619"/>
        </ext>
      </extLst>
    </bk>
    <bk>
      <extLst>
        <ext uri="{3e2802c4-a4d2-4d8b-9148-e3be6c30e623}">
          <xlrd:rvb i="12620"/>
        </ext>
      </extLst>
    </bk>
    <bk>
      <extLst>
        <ext uri="{3e2802c4-a4d2-4d8b-9148-e3be6c30e623}">
          <xlrd:rvb i="12621"/>
        </ext>
      </extLst>
    </bk>
    <bk>
      <extLst>
        <ext uri="{3e2802c4-a4d2-4d8b-9148-e3be6c30e623}">
          <xlrd:rvb i="12622"/>
        </ext>
      </extLst>
    </bk>
    <bk>
      <extLst>
        <ext uri="{3e2802c4-a4d2-4d8b-9148-e3be6c30e623}">
          <xlrd:rvb i="12623"/>
        </ext>
      </extLst>
    </bk>
    <bk>
      <extLst>
        <ext uri="{3e2802c4-a4d2-4d8b-9148-e3be6c30e623}">
          <xlrd:rvb i="12624"/>
        </ext>
      </extLst>
    </bk>
    <bk>
      <extLst>
        <ext uri="{3e2802c4-a4d2-4d8b-9148-e3be6c30e623}">
          <xlrd:rvb i="12625"/>
        </ext>
      </extLst>
    </bk>
    <bk>
      <extLst>
        <ext uri="{3e2802c4-a4d2-4d8b-9148-e3be6c30e623}">
          <xlrd:rvb i="12626"/>
        </ext>
      </extLst>
    </bk>
    <bk>
      <extLst>
        <ext uri="{3e2802c4-a4d2-4d8b-9148-e3be6c30e623}">
          <xlrd:rvb i="12627"/>
        </ext>
      </extLst>
    </bk>
    <bk>
      <extLst>
        <ext uri="{3e2802c4-a4d2-4d8b-9148-e3be6c30e623}">
          <xlrd:rvb i="12628"/>
        </ext>
      </extLst>
    </bk>
    <bk>
      <extLst>
        <ext uri="{3e2802c4-a4d2-4d8b-9148-e3be6c30e623}">
          <xlrd:rvb i="12629"/>
        </ext>
      </extLst>
    </bk>
    <bk>
      <extLst>
        <ext uri="{3e2802c4-a4d2-4d8b-9148-e3be6c30e623}">
          <xlrd:rvb i="12630"/>
        </ext>
      </extLst>
    </bk>
    <bk>
      <extLst>
        <ext uri="{3e2802c4-a4d2-4d8b-9148-e3be6c30e623}">
          <xlrd:rvb i="12631"/>
        </ext>
      </extLst>
    </bk>
    <bk>
      <extLst>
        <ext uri="{3e2802c4-a4d2-4d8b-9148-e3be6c30e623}">
          <xlrd:rvb i="12632"/>
        </ext>
      </extLst>
    </bk>
    <bk>
      <extLst>
        <ext uri="{3e2802c4-a4d2-4d8b-9148-e3be6c30e623}">
          <xlrd:rvb i="12633"/>
        </ext>
      </extLst>
    </bk>
    <bk>
      <extLst>
        <ext uri="{3e2802c4-a4d2-4d8b-9148-e3be6c30e623}">
          <xlrd:rvb i="12634"/>
        </ext>
      </extLst>
    </bk>
    <bk>
      <extLst>
        <ext uri="{3e2802c4-a4d2-4d8b-9148-e3be6c30e623}">
          <xlrd:rvb i="12635"/>
        </ext>
      </extLst>
    </bk>
    <bk>
      <extLst>
        <ext uri="{3e2802c4-a4d2-4d8b-9148-e3be6c30e623}">
          <xlrd:rvb i="12636"/>
        </ext>
      </extLst>
    </bk>
    <bk>
      <extLst>
        <ext uri="{3e2802c4-a4d2-4d8b-9148-e3be6c30e623}">
          <xlrd:rvb i="12637"/>
        </ext>
      </extLst>
    </bk>
    <bk>
      <extLst>
        <ext uri="{3e2802c4-a4d2-4d8b-9148-e3be6c30e623}">
          <xlrd:rvb i="12638"/>
        </ext>
      </extLst>
    </bk>
    <bk>
      <extLst>
        <ext uri="{3e2802c4-a4d2-4d8b-9148-e3be6c30e623}">
          <xlrd:rvb i="12639"/>
        </ext>
      </extLst>
    </bk>
    <bk>
      <extLst>
        <ext uri="{3e2802c4-a4d2-4d8b-9148-e3be6c30e623}">
          <xlrd:rvb i="12640"/>
        </ext>
      </extLst>
    </bk>
    <bk>
      <extLst>
        <ext uri="{3e2802c4-a4d2-4d8b-9148-e3be6c30e623}">
          <xlrd:rvb i="12641"/>
        </ext>
      </extLst>
    </bk>
    <bk>
      <extLst>
        <ext uri="{3e2802c4-a4d2-4d8b-9148-e3be6c30e623}">
          <xlrd:rvb i="12642"/>
        </ext>
      </extLst>
    </bk>
    <bk>
      <extLst>
        <ext uri="{3e2802c4-a4d2-4d8b-9148-e3be6c30e623}">
          <xlrd:rvb i="12643"/>
        </ext>
      </extLst>
    </bk>
    <bk>
      <extLst>
        <ext uri="{3e2802c4-a4d2-4d8b-9148-e3be6c30e623}">
          <xlrd:rvb i="12644"/>
        </ext>
      </extLst>
    </bk>
    <bk>
      <extLst>
        <ext uri="{3e2802c4-a4d2-4d8b-9148-e3be6c30e623}">
          <xlrd:rvb i="12645"/>
        </ext>
      </extLst>
    </bk>
    <bk>
      <extLst>
        <ext uri="{3e2802c4-a4d2-4d8b-9148-e3be6c30e623}">
          <xlrd:rvb i="12646"/>
        </ext>
      </extLst>
    </bk>
    <bk>
      <extLst>
        <ext uri="{3e2802c4-a4d2-4d8b-9148-e3be6c30e623}">
          <xlrd:rvb i="12647"/>
        </ext>
      </extLst>
    </bk>
    <bk>
      <extLst>
        <ext uri="{3e2802c4-a4d2-4d8b-9148-e3be6c30e623}">
          <xlrd:rvb i="12648"/>
        </ext>
      </extLst>
    </bk>
    <bk>
      <extLst>
        <ext uri="{3e2802c4-a4d2-4d8b-9148-e3be6c30e623}">
          <xlrd:rvb i="12649"/>
        </ext>
      </extLst>
    </bk>
    <bk>
      <extLst>
        <ext uri="{3e2802c4-a4d2-4d8b-9148-e3be6c30e623}">
          <xlrd:rvb i="12650"/>
        </ext>
      </extLst>
    </bk>
    <bk>
      <extLst>
        <ext uri="{3e2802c4-a4d2-4d8b-9148-e3be6c30e623}">
          <xlrd:rvb i="12651"/>
        </ext>
      </extLst>
    </bk>
    <bk>
      <extLst>
        <ext uri="{3e2802c4-a4d2-4d8b-9148-e3be6c30e623}">
          <xlrd:rvb i="12652"/>
        </ext>
      </extLst>
    </bk>
    <bk>
      <extLst>
        <ext uri="{3e2802c4-a4d2-4d8b-9148-e3be6c30e623}">
          <xlrd:rvb i="12653"/>
        </ext>
      </extLst>
    </bk>
    <bk>
      <extLst>
        <ext uri="{3e2802c4-a4d2-4d8b-9148-e3be6c30e623}">
          <xlrd:rvb i="12654"/>
        </ext>
      </extLst>
    </bk>
    <bk>
      <extLst>
        <ext uri="{3e2802c4-a4d2-4d8b-9148-e3be6c30e623}">
          <xlrd:rvb i="12655"/>
        </ext>
      </extLst>
    </bk>
    <bk>
      <extLst>
        <ext uri="{3e2802c4-a4d2-4d8b-9148-e3be6c30e623}">
          <xlrd:rvb i="12656"/>
        </ext>
      </extLst>
    </bk>
    <bk>
      <extLst>
        <ext uri="{3e2802c4-a4d2-4d8b-9148-e3be6c30e623}">
          <xlrd:rvb i="12657"/>
        </ext>
      </extLst>
    </bk>
    <bk>
      <extLst>
        <ext uri="{3e2802c4-a4d2-4d8b-9148-e3be6c30e623}">
          <xlrd:rvb i="12658"/>
        </ext>
      </extLst>
    </bk>
    <bk>
      <extLst>
        <ext uri="{3e2802c4-a4d2-4d8b-9148-e3be6c30e623}">
          <xlrd:rvb i="12659"/>
        </ext>
      </extLst>
    </bk>
    <bk>
      <extLst>
        <ext uri="{3e2802c4-a4d2-4d8b-9148-e3be6c30e623}">
          <xlrd:rvb i="12660"/>
        </ext>
      </extLst>
    </bk>
    <bk>
      <extLst>
        <ext uri="{3e2802c4-a4d2-4d8b-9148-e3be6c30e623}">
          <xlrd:rvb i="12661"/>
        </ext>
      </extLst>
    </bk>
    <bk>
      <extLst>
        <ext uri="{3e2802c4-a4d2-4d8b-9148-e3be6c30e623}">
          <xlrd:rvb i="12662"/>
        </ext>
      </extLst>
    </bk>
    <bk>
      <extLst>
        <ext uri="{3e2802c4-a4d2-4d8b-9148-e3be6c30e623}">
          <xlrd:rvb i="12663"/>
        </ext>
      </extLst>
    </bk>
    <bk>
      <extLst>
        <ext uri="{3e2802c4-a4d2-4d8b-9148-e3be6c30e623}">
          <xlrd:rvb i="12664"/>
        </ext>
      </extLst>
    </bk>
    <bk>
      <extLst>
        <ext uri="{3e2802c4-a4d2-4d8b-9148-e3be6c30e623}">
          <xlrd:rvb i="12665"/>
        </ext>
      </extLst>
    </bk>
    <bk>
      <extLst>
        <ext uri="{3e2802c4-a4d2-4d8b-9148-e3be6c30e623}">
          <xlrd:rvb i="12666"/>
        </ext>
      </extLst>
    </bk>
    <bk>
      <extLst>
        <ext uri="{3e2802c4-a4d2-4d8b-9148-e3be6c30e623}">
          <xlrd:rvb i="12667"/>
        </ext>
      </extLst>
    </bk>
    <bk>
      <extLst>
        <ext uri="{3e2802c4-a4d2-4d8b-9148-e3be6c30e623}">
          <xlrd:rvb i="12668"/>
        </ext>
      </extLst>
    </bk>
    <bk>
      <extLst>
        <ext uri="{3e2802c4-a4d2-4d8b-9148-e3be6c30e623}">
          <xlrd:rvb i="12669"/>
        </ext>
      </extLst>
    </bk>
    <bk>
      <extLst>
        <ext uri="{3e2802c4-a4d2-4d8b-9148-e3be6c30e623}">
          <xlrd:rvb i="12670"/>
        </ext>
      </extLst>
    </bk>
    <bk>
      <extLst>
        <ext uri="{3e2802c4-a4d2-4d8b-9148-e3be6c30e623}">
          <xlrd:rvb i="12671"/>
        </ext>
      </extLst>
    </bk>
    <bk>
      <extLst>
        <ext uri="{3e2802c4-a4d2-4d8b-9148-e3be6c30e623}">
          <xlrd:rvb i="12672"/>
        </ext>
      </extLst>
    </bk>
    <bk>
      <extLst>
        <ext uri="{3e2802c4-a4d2-4d8b-9148-e3be6c30e623}">
          <xlrd:rvb i="12673"/>
        </ext>
      </extLst>
    </bk>
    <bk>
      <extLst>
        <ext uri="{3e2802c4-a4d2-4d8b-9148-e3be6c30e623}">
          <xlrd:rvb i="12674"/>
        </ext>
      </extLst>
    </bk>
    <bk>
      <extLst>
        <ext uri="{3e2802c4-a4d2-4d8b-9148-e3be6c30e623}">
          <xlrd:rvb i="12675"/>
        </ext>
      </extLst>
    </bk>
    <bk>
      <extLst>
        <ext uri="{3e2802c4-a4d2-4d8b-9148-e3be6c30e623}">
          <xlrd:rvb i="12676"/>
        </ext>
      </extLst>
    </bk>
    <bk>
      <extLst>
        <ext uri="{3e2802c4-a4d2-4d8b-9148-e3be6c30e623}">
          <xlrd:rvb i="12677"/>
        </ext>
      </extLst>
    </bk>
    <bk>
      <extLst>
        <ext uri="{3e2802c4-a4d2-4d8b-9148-e3be6c30e623}">
          <xlrd:rvb i="12678"/>
        </ext>
      </extLst>
    </bk>
    <bk>
      <extLst>
        <ext uri="{3e2802c4-a4d2-4d8b-9148-e3be6c30e623}">
          <xlrd:rvb i="12679"/>
        </ext>
      </extLst>
    </bk>
    <bk>
      <extLst>
        <ext uri="{3e2802c4-a4d2-4d8b-9148-e3be6c30e623}">
          <xlrd:rvb i="12680"/>
        </ext>
      </extLst>
    </bk>
    <bk>
      <extLst>
        <ext uri="{3e2802c4-a4d2-4d8b-9148-e3be6c30e623}">
          <xlrd:rvb i="12681"/>
        </ext>
      </extLst>
    </bk>
    <bk>
      <extLst>
        <ext uri="{3e2802c4-a4d2-4d8b-9148-e3be6c30e623}">
          <xlrd:rvb i="12682"/>
        </ext>
      </extLst>
    </bk>
    <bk>
      <extLst>
        <ext uri="{3e2802c4-a4d2-4d8b-9148-e3be6c30e623}">
          <xlrd:rvb i="12683"/>
        </ext>
      </extLst>
    </bk>
    <bk>
      <extLst>
        <ext uri="{3e2802c4-a4d2-4d8b-9148-e3be6c30e623}">
          <xlrd:rvb i="12684"/>
        </ext>
      </extLst>
    </bk>
    <bk>
      <extLst>
        <ext uri="{3e2802c4-a4d2-4d8b-9148-e3be6c30e623}">
          <xlrd:rvb i="12685"/>
        </ext>
      </extLst>
    </bk>
    <bk>
      <extLst>
        <ext uri="{3e2802c4-a4d2-4d8b-9148-e3be6c30e623}">
          <xlrd:rvb i="12686"/>
        </ext>
      </extLst>
    </bk>
    <bk>
      <extLst>
        <ext uri="{3e2802c4-a4d2-4d8b-9148-e3be6c30e623}">
          <xlrd:rvb i="12687"/>
        </ext>
      </extLst>
    </bk>
    <bk>
      <extLst>
        <ext uri="{3e2802c4-a4d2-4d8b-9148-e3be6c30e623}">
          <xlrd:rvb i="12688"/>
        </ext>
      </extLst>
    </bk>
    <bk>
      <extLst>
        <ext uri="{3e2802c4-a4d2-4d8b-9148-e3be6c30e623}">
          <xlrd:rvb i="12689"/>
        </ext>
      </extLst>
    </bk>
    <bk>
      <extLst>
        <ext uri="{3e2802c4-a4d2-4d8b-9148-e3be6c30e623}">
          <xlrd:rvb i="12690"/>
        </ext>
      </extLst>
    </bk>
    <bk>
      <extLst>
        <ext uri="{3e2802c4-a4d2-4d8b-9148-e3be6c30e623}">
          <xlrd:rvb i="12691"/>
        </ext>
      </extLst>
    </bk>
    <bk>
      <extLst>
        <ext uri="{3e2802c4-a4d2-4d8b-9148-e3be6c30e623}">
          <xlrd:rvb i="12692"/>
        </ext>
      </extLst>
    </bk>
    <bk>
      <extLst>
        <ext uri="{3e2802c4-a4d2-4d8b-9148-e3be6c30e623}">
          <xlrd:rvb i="12693"/>
        </ext>
      </extLst>
    </bk>
    <bk>
      <extLst>
        <ext uri="{3e2802c4-a4d2-4d8b-9148-e3be6c30e623}">
          <xlrd:rvb i="12694"/>
        </ext>
      </extLst>
    </bk>
    <bk>
      <extLst>
        <ext uri="{3e2802c4-a4d2-4d8b-9148-e3be6c30e623}">
          <xlrd:rvb i="12695"/>
        </ext>
      </extLst>
    </bk>
    <bk>
      <extLst>
        <ext uri="{3e2802c4-a4d2-4d8b-9148-e3be6c30e623}">
          <xlrd:rvb i="12696"/>
        </ext>
      </extLst>
    </bk>
    <bk>
      <extLst>
        <ext uri="{3e2802c4-a4d2-4d8b-9148-e3be6c30e623}">
          <xlrd:rvb i="12697"/>
        </ext>
      </extLst>
    </bk>
    <bk>
      <extLst>
        <ext uri="{3e2802c4-a4d2-4d8b-9148-e3be6c30e623}">
          <xlrd:rvb i="12698"/>
        </ext>
      </extLst>
    </bk>
    <bk>
      <extLst>
        <ext uri="{3e2802c4-a4d2-4d8b-9148-e3be6c30e623}">
          <xlrd:rvb i="12699"/>
        </ext>
      </extLst>
    </bk>
    <bk>
      <extLst>
        <ext uri="{3e2802c4-a4d2-4d8b-9148-e3be6c30e623}">
          <xlrd:rvb i="12700"/>
        </ext>
      </extLst>
    </bk>
    <bk>
      <extLst>
        <ext uri="{3e2802c4-a4d2-4d8b-9148-e3be6c30e623}">
          <xlrd:rvb i="12701"/>
        </ext>
      </extLst>
    </bk>
    <bk>
      <extLst>
        <ext uri="{3e2802c4-a4d2-4d8b-9148-e3be6c30e623}">
          <xlrd:rvb i="12702"/>
        </ext>
      </extLst>
    </bk>
    <bk>
      <extLst>
        <ext uri="{3e2802c4-a4d2-4d8b-9148-e3be6c30e623}">
          <xlrd:rvb i="12703"/>
        </ext>
      </extLst>
    </bk>
    <bk>
      <extLst>
        <ext uri="{3e2802c4-a4d2-4d8b-9148-e3be6c30e623}">
          <xlrd:rvb i="12704"/>
        </ext>
      </extLst>
    </bk>
    <bk>
      <extLst>
        <ext uri="{3e2802c4-a4d2-4d8b-9148-e3be6c30e623}">
          <xlrd:rvb i="12705"/>
        </ext>
      </extLst>
    </bk>
    <bk>
      <extLst>
        <ext uri="{3e2802c4-a4d2-4d8b-9148-e3be6c30e623}">
          <xlrd:rvb i="12706"/>
        </ext>
      </extLst>
    </bk>
    <bk>
      <extLst>
        <ext uri="{3e2802c4-a4d2-4d8b-9148-e3be6c30e623}">
          <xlrd:rvb i="12707"/>
        </ext>
      </extLst>
    </bk>
    <bk>
      <extLst>
        <ext uri="{3e2802c4-a4d2-4d8b-9148-e3be6c30e623}">
          <xlrd:rvb i="12708"/>
        </ext>
      </extLst>
    </bk>
    <bk>
      <extLst>
        <ext uri="{3e2802c4-a4d2-4d8b-9148-e3be6c30e623}">
          <xlrd:rvb i="12709"/>
        </ext>
      </extLst>
    </bk>
    <bk>
      <extLst>
        <ext uri="{3e2802c4-a4d2-4d8b-9148-e3be6c30e623}">
          <xlrd:rvb i="12710"/>
        </ext>
      </extLst>
    </bk>
    <bk>
      <extLst>
        <ext uri="{3e2802c4-a4d2-4d8b-9148-e3be6c30e623}">
          <xlrd:rvb i="12711"/>
        </ext>
      </extLst>
    </bk>
    <bk>
      <extLst>
        <ext uri="{3e2802c4-a4d2-4d8b-9148-e3be6c30e623}">
          <xlrd:rvb i="12712"/>
        </ext>
      </extLst>
    </bk>
    <bk>
      <extLst>
        <ext uri="{3e2802c4-a4d2-4d8b-9148-e3be6c30e623}">
          <xlrd:rvb i="12713"/>
        </ext>
      </extLst>
    </bk>
    <bk>
      <extLst>
        <ext uri="{3e2802c4-a4d2-4d8b-9148-e3be6c30e623}">
          <xlrd:rvb i="12714"/>
        </ext>
      </extLst>
    </bk>
    <bk>
      <extLst>
        <ext uri="{3e2802c4-a4d2-4d8b-9148-e3be6c30e623}">
          <xlrd:rvb i="12715"/>
        </ext>
      </extLst>
    </bk>
    <bk>
      <extLst>
        <ext uri="{3e2802c4-a4d2-4d8b-9148-e3be6c30e623}">
          <xlrd:rvb i="12716"/>
        </ext>
      </extLst>
    </bk>
    <bk>
      <extLst>
        <ext uri="{3e2802c4-a4d2-4d8b-9148-e3be6c30e623}">
          <xlrd:rvb i="12717"/>
        </ext>
      </extLst>
    </bk>
    <bk>
      <extLst>
        <ext uri="{3e2802c4-a4d2-4d8b-9148-e3be6c30e623}">
          <xlrd:rvb i="12718"/>
        </ext>
      </extLst>
    </bk>
    <bk>
      <extLst>
        <ext uri="{3e2802c4-a4d2-4d8b-9148-e3be6c30e623}">
          <xlrd:rvb i="12719"/>
        </ext>
      </extLst>
    </bk>
    <bk>
      <extLst>
        <ext uri="{3e2802c4-a4d2-4d8b-9148-e3be6c30e623}">
          <xlrd:rvb i="12720"/>
        </ext>
      </extLst>
    </bk>
    <bk>
      <extLst>
        <ext uri="{3e2802c4-a4d2-4d8b-9148-e3be6c30e623}">
          <xlrd:rvb i="12721"/>
        </ext>
      </extLst>
    </bk>
    <bk>
      <extLst>
        <ext uri="{3e2802c4-a4d2-4d8b-9148-e3be6c30e623}">
          <xlrd:rvb i="12722"/>
        </ext>
      </extLst>
    </bk>
    <bk>
      <extLst>
        <ext uri="{3e2802c4-a4d2-4d8b-9148-e3be6c30e623}">
          <xlrd:rvb i="12723"/>
        </ext>
      </extLst>
    </bk>
    <bk>
      <extLst>
        <ext uri="{3e2802c4-a4d2-4d8b-9148-e3be6c30e623}">
          <xlrd:rvb i="12724"/>
        </ext>
      </extLst>
    </bk>
    <bk>
      <extLst>
        <ext uri="{3e2802c4-a4d2-4d8b-9148-e3be6c30e623}">
          <xlrd:rvb i="12725"/>
        </ext>
      </extLst>
    </bk>
    <bk>
      <extLst>
        <ext uri="{3e2802c4-a4d2-4d8b-9148-e3be6c30e623}">
          <xlrd:rvb i="12726"/>
        </ext>
      </extLst>
    </bk>
    <bk>
      <extLst>
        <ext uri="{3e2802c4-a4d2-4d8b-9148-e3be6c30e623}">
          <xlrd:rvb i="12727"/>
        </ext>
      </extLst>
    </bk>
    <bk>
      <extLst>
        <ext uri="{3e2802c4-a4d2-4d8b-9148-e3be6c30e623}">
          <xlrd:rvb i="12728"/>
        </ext>
      </extLst>
    </bk>
    <bk>
      <extLst>
        <ext uri="{3e2802c4-a4d2-4d8b-9148-e3be6c30e623}">
          <xlrd:rvb i="12729"/>
        </ext>
      </extLst>
    </bk>
    <bk>
      <extLst>
        <ext uri="{3e2802c4-a4d2-4d8b-9148-e3be6c30e623}">
          <xlrd:rvb i="12730"/>
        </ext>
      </extLst>
    </bk>
    <bk>
      <extLst>
        <ext uri="{3e2802c4-a4d2-4d8b-9148-e3be6c30e623}">
          <xlrd:rvb i="12731"/>
        </ext>
      </extLst>
    </bk>
    <bk>
      <extLst>
        <ext uri="{3e2802c4-a4d2-4d8b-9148-e3be6c30e623}">
          <xlrd:rvb i="12732"/>
        </ext>
      </extLst>
    </bk>
    <bk>
      <extLst>
        <ext uri="{3e2802c4-a4d2-4d8b-9148-e3be6c30e623}">
          <xlrd:rvb i="12733"/>
        </ext>
      </extLst>
    </bk>
    <bk>
      <extLst>
        <ext uri="{3e2802c4-a4d2-4d8b-9148-e3be6c30e623}">
          <xlrd:rvb i="12734"/>
        </ext>
      </extLst>
    </bk>
    <bk>
      <extLst>
        <ext uri="{3e2802c4-a4d2-4d8b-9148-e3be6c30e623}">
          <xlrd:rvb i="12735"/>
        </ext>
      </extLst>
    </bk>
    <bk>
      <extLst>
        <ext uri="{3e2802c4-a4d2-4d8b-9148-e3be6c30e623}">
          <xlrd:rvb i="12736"/>
        </ext>
      </extLst>
    </bk>
    <bk>
      <extLst>
        <ext uri="{3e2802c4-a4d2-4d8b-9148-e3be6c30e623}">
          <xlrd:rvb i="12737"/>
        </ext>
      </extLst>
    </bk>
    <bk>
      <extLst>
        <ext uri="{3e2802c4-a4d2-4d8b-9148-e3be6c30e623}">
          <xlrd:rvb i="12738"/>
        </ext>
      </extLst>
    </bk>
    <bk>
      <extLst>
        <ext uri="{3e2802c4-a4d2-4d8b-9148-e3be6c30e623}">
          <xlrd:rvb i="12739"/>
        </ext>
      </extLst>
    </bk>
    <bk>
      <extLst>
        <ext uri="{3e2802c4-a4d2-4d8b-9148-e3be6c30e623}">
          <xlrd:rvb i="12740"/>
        </ext>
      </extLst>
    </bk>
    <bk>
      <extLst>
        <ext uri="{3e2802c4-a4d2-4d8b-9148-e3be6c30e623}">
          <xlrd:rvb i="12741"/>
        </ext>
      </extLst>
    </bk>
    <bk>
      <extLst>
        <ext uri="{3e2802c4-a4d2-4d8b-9148-e3be6c30e623}">
          <xlrd:rvb i="12742"/>
        </ext>
      </extLst>
    </bk>
    <bk>
      <extLst>
        <ext uri="{3e2802c4-a4d2-4d8b-9148-e3be6c30e623}">
          <xlrd:rvb i="12743"/>
        </ext>
      </extLst>
    </bk>
    <bk>
      <extLst>
        <ext uri="{3e2802c4-a4d2-4d8b-9148-e3be6c30e623}">
          <xlrd:rvb i="12744"/>
        </ext>
      </extLst>
    </bk>
    <bk>
      <extLst>
        <ext uri="{3e2802c4-a4d2-4d8b-9148-e3be6c30e623}">
          <xlrd:rvb i="12745"/>
        </ext>
      </extLst>
    </bk>
    <bk>
      <extLst>
        <ext uri="{3e2802c4-a4d2-4d8b-9148-e3be6c30e623}">
          <xlrd:rvb i="12746"/>
        </ext>
      </extLst>
    </bk>
    <bk>
      <extLst>
        <ext uri="{3e2802c4-a4d2-4d8b-9148-e3be6c30e623}">
          <xlrd:rvb i="12747"/>
        </ext>
      </extLst>
    </bk>
    <bk>
      <extLst>
        <ext uri="{3e2802c4-a4d2-4d8b-9148-e3be6c30e623}">
          <xlrd:rvb i="12748"/>
        </ext>
      </extLst>
    </bk>
    <bk>
      <extLst>
        <ext uri="{3e2802c4-a4d2-4d8b-9148-e3be6c30e623}">
          <xlrd:rvb i="12749"/>
        </ext>
      </extLst>
    </bk>
    <bk>
      <extLst>
        <ext uri="{3e2802c4-a4d2-4d8b-9148-e3be6c30e623}">
          <xlrd:rvb i="12750"/>
        </ext>
      </extLst>
    </bk>
    <bk>
      <extLst>
        <ext uri="{3e2802c4-a4d2-4d8b-9148-e3be6c30e623}">
          <xlrd:rvb i="12751"/>
        </ext>
      </extLst>
    </bk>
    <bk>
      <extLst>
        <ext uri="{3e2802c4-a4d2-4d8b-9148-e3be6c30e623}">
          <xlrd:rvb i="12752"/>
        </ext>
      </extLst>
    </bk>
    <bk>
      <extLst>
        <ext uri="{3e2802c4-a4d2-4d8b-9148-e3be6c30e623}">
          <xlrd:rvb i="12753"/>
        </ext>
      </extLst>
    </bk>
    <bk>
      <extLst>
        <ext uri="{3e2802c4-a4d2-4d8b-9148-e3be6c30e623}">
          <xlrd:rvb i="12754"/>
        </ext>
      </extLst>
    </bk>
    <bk>
      <extLst>
        <ext uri="{3e2802c4-a4d2-4d8b-9148-e3be6c30e623}">
          <xlrd:rvb i="12755"/>
        </ext>
      </extLst>
    </bk>
    <bk>
      <extLst>
        <ext uri="{3e2802c4-a4d2-4d8b-9148-e3be6c30e623}">
          <xlrd:rvb i="12756"/>
        </ext>
      </extLst>
    </bk>
    <bk>
      <extLst>
        <ext uri="{3e2802c4-a4d2-4d8b-9148-e3be6c30e623}">
          <xlrd:rvb i="12757"/>
        </ext>
      </extLst>
    </bk>
    <bk>
      <extLst>
        <ext uri="{3e2802c4-a4d2-4d8b-9148-e3be6c30e623}">
          <xlrd:rvb i="12758"/>
        </ext>
      </extLst>
    </bk>
    <bk>
      <extLst>
        <ext uri="{3e2802c4-a4d2-4d8b-9148-e3be6c30e623}">
          <xlrd:rvb i="12759"/>
        </ext>
      </extLst>
    </bk>
    <bk>
      <extLst>
        <ext uri="{3e2802c4-a4d2-4d8b-9148-e3be6c30e623}">
          <xlrd:rvb i="12760"/>
        </ext>
      </extLst>
    </bk>
    <bk>
      <extLst>
        <ext uri="{3e2802c4-a4d2-4d8b-9148-e3be6c30e623}">
          <xlrd:rvb i="12761"/>
        </ext>
      </extLst>
    </bk>
    <bk>
      <extLst>
        <ext uri="{3e2802c4-a4d2-4d8b-9148-e3be6c30e623}">
          <xlrd:rvb i="12762"/>
        </ext>
      </extLst>
    </bk>
    <bk>
      <extLst>
        <ext uri="{3e2802c4-a4d2-4d8b-9148-e3be6c30e623}">
          <xlrd:rvb i="12763"/>
        </ext>
      </extLst>
    </bk>
    <bk>
      <extLst>
        <ext uri="{3e2802c4-a4d2-4d8b-9148-e3be6c30e623}">
          <xlrd:rvb i="12764"/>
        </ext>
      </extLst>
    </bk>
    <bk>
      <extLst>
        <ext uri="{3e2802c4-a4d2-4d8b-9148-e3be6c30e623}">
          <xlrd:rvb i="12765"/>
        </ext>
      </extLst>
    </bk>
    <bk>
      <extLst>
        <ext uri="{3e2802c4-a4d2-4d8b-9148-e3be6c30e623}">
          <xlrd:rvb i="12766"/>
        </ext>
      </extLst>
    </bk>
    <bk>
      <extLst>
        <ext uri="{3e2802c4-a4d2-4d8b-9148-e3be6c30e623}">
          <xlrd:rvb i="12767"/>
        </ext>
      </extLst>
    </bk>
    <bk>
      <extLst>
        <ext uri="{3e2802c4-a4d2-4d8b-9148-e3be6c30e623}">
          <xlrd:rvb i="12768"/>
        </ext>
      </extLst>
    </bk>
    <bk>
      <extLst>
        <ext uri="{3e2802c4-a4d2-4d8b-9148-e3be6c30e623}">
          <xlrd:rvb i="12769"/>
        </ext>
      </extLst>
    </bk>
    <bk>
      <extLst>
        <ext uri="{3e2802c4-a4d2-4d8b-9148-e3be6c30e623}">
          <xlrd:rvb i="12770"/>
        </ext>
      </extLst>
    </bk>
    <bk>
      <extLst>
        <ext uri="{3e2802c4-a4d2-4d8b-9148-e3be6c30e623}">
          <xlrd:rvb i="12771"/>
        </ext>
      </extLst>
    </bk>
    <bk>
      <extLst>
        <ext uri="{3e2802c4-a4d2-4d8b-9148-e3be6c30e623}">
          <xlrd:rvb i="12772"/>
        </ext>
      </extLst>
    </bk>
    <bk>
      <extLst>
        <ext uri="{3e2802c4-a4d2-4d8b-9148-e3be6c30e623}">
          <xlrd:rvb i="12773"/>
        </ext>
      </extLst>
    </bk>
    <bk>
      <extLst>
        <ext uri="{3e2802c4-a4d2-4d8b-9148-e3be6c30e623}">
          <xlrd:rvb i="12774"/>
        </ext>
      </extLst>
    </bk>
    <bk>
      <extLst>
        <ext uri="{3e2802c4-a4d2-4d8b-9148-e3be6c30e623}">
          <xlrd:rvb i="12775"/>
        </ext>
      </extLst>
    </bk>
    <bk>
      <extLst>
        <ext uri="{3e2802c4-a4d2-4d8b-9148-e3be6c30e623}">
          <xlrd:rvb i="12776"/>
        </ext>
      </extLst>
    </bk>
    <bk>
      <extLst>
        <ext uri="{3e2802c4-a4d2-4d8b-9148-e3be6c30e623}">
          <xlrd:rvb i="12777"/>
        </ext>
      </extLst>
    </bk>
    <bk>
      <extLst>
        <ext uri="{3e2802c4-a4d2-4d8b-9148-e3be6c30e623}">
          <xlrd:rvb i="12778"/>
        </ext>
      </extLst>
    </bk>
    <bk>
      <extLst>
        <ext uri="{3e2802c4-a4d2-4d8b-9148-e3be6c30e623}">
          <xlrd:rvb i="12779"/>
        </ext>
      </extLst>
    </bk>
    <bk>
      <extLst>
        <ext uri="{3e2802c4-a4d2-4d8b-9148-e3be6c30e623}">
          <xlrd:rvb i="12780"/>
        </ext>
      </extLst>
    </bk>
    <bk>
      <extLst>
        <ext uri="{3e2802c4-a4d2-4d8b-9148-e3be6c30e623}">
          <xlrd:rvb i="12781"/>
        </ext>
      </extLst>
    </bk>
    <bk>
      <extLst>
        <ext uri="{3e2802c4-a4d2-4d8b-9148-e3be6c30e623}">
          <xlrd:rvb i="12782"/>
        </ext>
      </extLst>
    </bk>
    <bk>
      <extLst>
        <ext uri="{3e2802c4-a4d2-4d8b-9148-e3be6c30e623}">
          <xlrd:rvb i="12783"/>
        </ext>
      </extLst>
    </bk>
    <bk>
      <extLst>
        <ext uri="{3e2802c4-a4d2-4d8b-9148-e3be6c30e623}">
          <xlrd:rvb i="12784"/>
        </ext>
      </extLst>
    </bk>
    <bk>
      <extLst>
        <ext uri="{3e2802c4-a4d2-4d8b-9148-e3be6c30e623}">
          <xlrd:rvb i="12785"/>
        </ext>
      </extLst>
    </bk>
    <bk>
      <extLst>
        <ext uri="{3e2802c4-a4d2-4d8b-9148-e3be6c30e623}">
          <xlrd:rvb i="12786"/>
        </ext>
      </extLst>
    </bk>
    <bk>
      <extLst>
        <ext uri="{3e2802c4-a4d2-4d8b-9148-e3be6c30e623}">
          <xlrd:rvb i="12787"/>
        </ext>
      </extLst>
    </bk>
    <bk>
      <extLst>
        <ext uri="{3e2802c4-a4d2-4d8b-9148-e3be6c30e623}">
          <xlrd:rvb i="12788"/>
        </ext>
      </extLst>
    </bk>
    <bk>
      <extLst>
        <ext uri="{3e2802c4-a4d2-4d8b-9148-e3be6c30e623}">
          <xlrd:rvb i="12789"/>
        </ext>
      </extLst>
    </bk>
    <bk>
      <extLst>
        <ext uri="{3e2802c4-a4d2-4d8b-9148-e3be6c30e623}">
          <xlrd:rvb i="12790"/>
        </ext>
      </extLst>
    </bk>
    <bk>
      <extLst>
        <ext uri="{3e2802c4-a4d2-4d8b-9148-e3be6c30e623}">
          <xlrd:rvb i="12791"/>
        </ext>
      </extLst>
    </bk>
    <bk>
      <extLst>
        <ext uri="{3e2802c4-a4d2-4d8b-9148-e3be6c30e623}">
          <xlrd:rvb i="12792"/>
        </ext>
      </extLst>
    </bk>
    <bk>
      <extLst>
        <ext uri="{3e2802c4-a4d2-4d8b-9148-e3be6c30e623}">
          <xlrd:rvb i="12793"/>
        </ext>
      </extLst>
    </bk>
    <bk>
      <extLst>
        <ext uri="{3e2802c4-a4d2-4d8b-9148-e3be6c30e623}">
          <xlrd:rvb i="12794"/>
        </ext>
      </extLst>
    </bk>
    <bk>
      <extLst>
        <ext uri="{3e2802c4-a4d2-4d8b-9148-e3be6c30e623}">
          <xlrd:rvb i="12795"/>
        </ext>
      </extLst>
    </bk>
    <bk>
      <extLst>
        <ext uri="{3e2802c4-a4d2-4d8b-9148-e3be6c30e623}">
          <xlrd:rvb i="12796"/>
        </ext>
      </extLst>
    </bk>
    <bk>
      <extLst>
        <ext uri="{3e2802c4-a4d2-4d8b-9148-e3be6c30e623}">
          <xlrd:rvb i="12797"/>
        </ext>
      </extLst>
    </bk>
    <bk>
      <extLst>
        <ext uri="{3e2802c4-a4d2-4d8b-9148-e3be6c30e623}">
          <xlrd:rvb i="12798"/>
        </ext>
      </extLst>
    </bk>
    <bk>
      <extLst>
        <ext uri="{3e2802c4-a4d2-4d8b-9148-e3be6c30e623}">
          <xlrd:rvb i="12799"/>
        </ext>
      </extLst>
    </bk>
    <bk>
      <extLst>
        <ext uri="{3e2802c4-a4d2-4d8b-9148-e3be6c30e623}">
          <xlrd:rvb i="12800"/>
        </ext>
      </extLst>
    </bk>
    <bk>
      <extLst>
        <ext uri="{3e2802c4-a4d2-4d8b-9148-e3be6c30e623}">
          <xlrd:rvb i="12801"/>
        </ext>
      </extLst>
    </bk>
    <bk>
      <extLst>
        <ext uri="{3e2802c4-a4d2-4d8b-9148-e3be6c30e623}">
          <xlrd:rvb i="12802"/>
        </ext>
      </extLst>
    </bk>
    <bk>
      <extLst>
        <ext uri="{3e2802c4-a4d2-4d8b-9148-e3be6c30e623}">
          <xlrd:rvb i="12803"/>
        </ext>
      </extLst>
    </bk>
    <bk>
      <extLst>
        <ext uri="{3e2802c4-a4d2-4d8b-9148-e3be6c30e623}">
          <xlrd:rvb i="12804"/>
        </ext>
      </extLst>
    </bk>
    <bk>
      <extLst>
        <ext uri="{3e2802c4-a4d2-4d8b-9148-e3be6c30e623}">
          <xlrd:rvb i="12805"/>
        </ext>
      </extLst>
    </bk>
    <bk>
      <extLst>
        <ext uri="{3e2802c4-a4d2-4d8b-9148-e3be6c30e623}">
          <xlrd:rvb i="12806"/>
        </ext>
      </extLst>
    </bk>
    <bk>
      <extLst>
        <ext uri="{3e2802c4-a4d2-4d8b-9148-e3be6c30e623}">
          <xlrd:rvb i="12807"/>
        </ext>
      </extLst>
    </bk>
    <bk>
      <extLst>
        <ext uri="{3e2802c4-a4d2-4d8b-9148-e3be6c30e623}">
          <xlrd:rvb i="12808"/>
        </ext>
      </extLst>
    </bk>
    <bk>
      <extLst>
        <ext uri="{3e2802c4-a4d2-4d8b-9148-e3be6c30e623}">
          <xlrd:rvb i="12809"/>
        </ext>
      </extLst>
    </bk>
    <bk>
      <extLst>
        <ext uri="{3e2802c4-a4d2-4d8b-9148-e3be6c30e623}">
          <xlrd:rvb i="12810"/>
        </ext>
      </extLst>
    </bk>
    <bk>
      <extLst>
        <ext uri="{3e2802c4-a4d2-4d8b-9148-e3be6c30e623}">
          <xlrd:rvb i="12811"/>
        </ext>
      </extLst>
    </bk>
    <bk>
      <extLst>
        <ext uri="{3e2802c4-a4d2-4d8b-9148-e3be6c30e623}">
          <xlrd:rvb i="12812"/>
        </ext>
      </extLst>
    </bk>
    <bk>
      <extLst>
        <ext uri="{3e2802c4-a4d2-4d8b-9148-e3be6c30e623}">
          <xlrd:rvb i="12813"/>
        </ext>
      </extLst>
    </bk>
    <bk>
      <extLst>
        <ext uri="{3e2802c4-a4d2-4d8b-9148-e3be6c30e623}">
          <xlrd:rvb i="12814"/>
        </ext>
      </extLst>
    </bk>
    <bk>
      <extLst>
        <ext uri="{3e2802c4-a4d2-4d8b-9148-e3be6c30e623}">
          <xlrd:rvb i="12815"/>
        </ext>
      </extLst>
    </bk>
    <bk>
      <extLst>
        <ext uri="{3e2802c4-a4d2-4d8b-9148-e3be6c30e623}">
          <xlrd:rvb i="12816"/>
        </ext>
      </extLst>
    </bk>
    <bk>
      <extLst>
        <ext uri="{3e2802c4-a4d2-4d8b-9148-e3be6c30e623}">
          <xlrd:rvb i="12817"/>
        </ext>
      </extLst>
    </bk>
    <bk>
      <extLst>
        <ext uri="{3e2802c4-a4d2-4d8b-9148-e3be6c30e623}">
          <xlrd:rvb i="12818"/>
        </ext>
      </extLst>
    </bk>
    <bk>
      <extLst>
        <ext uri="{3e2802c4-a4d2-4d8b-9148-e3be6c30e623}">
          <xlrd:rvb i="12819"/>
        </ext>
      </extLst>
    </bk>
    <bk>
      <extLst>
        <ext uri="{3e2802c4-a4d2-4d8b-9148-e3be6c30e623}">
          <xlrd:rvb i="12820"/>
        </ext>
      </extLst>
    </bk>
    <bk>
      <extLst>
        <ext uri="{3e2802c4-a4d2-4d8b-9148-e3be6c30e623}">
          <xlrd:rvb i="12821"/>
        </ext>
      </extLst>
    </bk>
    <bk>
      <extLst>
        <ext uri="{3e2802c4-a4d2-4d8b-9148-e3be6c30e623}">
          <xlrd:rvb i="12822"/>
        </ext>
      </extLst>
    </bk>
    <bk>
      <extLst>
        <ext uri="{3e2802c4-a4d2-4d8b-9148-e3be6c30e623}">
          <xlrd:rvb i="12823"/>
        </ext>
      </extLst>
    </bk>
    <bk>
      <extLst>
        <ext uri="{3e2802c4-a4d2-4d8b-9148-e3be6c30e623}">
          <xlrd:rvb i="12824"/>
        </ext>
      </extLst>
    </bk>
    <bk>
      <extLst>
        <ext uri="{3e2802c4-a4d2-4d8b-9148-e3be6c30e623}">
          <xlrd:rvb i="12825"/>
        </ext>
      </extLst>
    </bk>
    <bk>
      <extLst>
        <ext uri="{3e2802c4-a4d2-4d8b-9148-e3be6c30e623}">
          <xlrd:rvb i="12826"/>
        </ext>
      </extLst>
    </bk>
    <bk>
      <extLst>
        <ext uri="{3e2802c4-a4d2-4d8b-9148-e3be6c30e623}">
          <xlrd:rvb i="12827"/>
        </ext>
      </extLst>
    </bk>
    <bk>
      <extLst>
        <ext uri="{3e2802c4-a4d2-4d8b-9148-e3be6c30e623}">
          <xlrd:rvb i="12828"/>
        </ext>
      </extLst>
    </bk>
    <bk>
      <extLst>
        <ext uri="{3e2802c4-a4d2-4d8b-9148-e3be6c30e623}">
          <xlrd:rvb i="12829"/>
        </ext>
      </extLst>
    </bk>
    <bk>
      <extLst>
        <ext uri="{3e2802c4-a4d2-4d8b-9148-e3be6c30e623}">
          <xlrd:rvb i="12830"/>
        </ext>
      </extLst>
    </bk>
    <bk>
      <extLst>
        <ext uri="{3e2802c4-a4d2-4d8b-9148-e3be6c30e623}">
          <xlrd:rvb i="12831"/>
        </ext>
      </extLst>
    </bk>
    <bk>
      <extLst>
        <ext uri="{3e2802c4-a4d2-4d8b-9148-e3be6c30e623}">
          <xlrd:rvb i="12832"/>
        </ext>
      </extLst>
    </bk>
    <bk>
      <extLst>
        <ext uri="{3e2802c4-a4d2-4d8b-9148-e3be6c30e623}">
          <xlrd:rvb i="12833"/>
        </ext>
      </extLst>
    </bk>
    <bk>
      <extLst>
        <ext uri="{3e2802c4-a4d2-4d8b-9148-e3be6c30e623}">
          <xlrd:rvb i="12834"/>
        </ext>
      </extLst>
    </bk>
    <bk>
      <extLst>
        <ext uri="{3e2802c4-a4d2-4d8b-9148-e3be6c30e623}">
          <xlrd:rvb i="12835"/>
        </ext>
      </extLst>
    </bk>
    <bk>
      <extLst>
        <ext uri="{3e2802c4-a4d2-4d8b-9148-e3be6c30e623}">
          <xlrd:rvb i="12836"/>
        </ext>
      </extLst>
    </bk>
    <bk>
      <extLst>
        <ext uri="{3e2802c4-a4d2-4d8b-9148-e3be6c30e623}">
          <xlrd:rvb i="12837"/>
        </ext>
      </extLst>
    </bk>
    <bk>
      <extLst>
        <ext uri="{3e2802c4-a4d2-4d8b-9148-e3be6c30e623}">
          <xlrd:rvb i="12838"/>
        </ext>
      </extLst>
    </bk>
    <bk>
      <extLst>
        <ext uri="{3e2802c4-a4d2-4d8b-9148-e3be6c30e623}">
          <xlrd:rvb i="12839"/>
        </ext>
      </extLst>
    </bk>
    <bk>
      <extLst>
        <ext uri="{3e2802c4-a4d2-4d8b-9148-e3be6c30e623}">
          <xlrd:rvb i="12840"/>
        </ext>
      </extLst>
    </bk>
    <bk>
      <extLst>
        <ext uri="{3e2802c4-a4d2-4d8b-9148-e3be6c30e623}">
          <xlrd:rvb i="12841"/>
        </ext>
      </extLst>
    </bk>
    <bk>
      <extLst>
        <ext uri="{3e2802c4-a4d2-4d8b-9148-e3be6c30e623}">
          <xlrd:rvb i="12842"/>
        </ext>
      </extLst>
    </bk>
    <bk>
      <extLst>
        <ext uri="{3e2802c4-a4d2-4d8b-9148-e3be6c30e623}">
          <xlrd:rvb i="12843"/>
        </ext>
      </extLst>
    </bk>
    <bk>
      <extLst>
        <ext uri="{3e2802c4-a4d2-4d8b-9148-e3be6c30e623}">
          <xlrd:rvb i="12844"/>
        </ext>
      </extLst>
    </bk>
    <bk>
      <extLst>
        <ext uri="{3e2802c4-a4d2-4d8b-9148-e3be6c30e623}">
          <xlrd:rvb i="12845"/>
        </ext>
      </extLst>
    </bk>
    <bk>
      <extLst>
        <ext uri="{3e2802c4-a4d2-4d8b-9148-e3be6c30e623}">
          <xlrd:rvb i="12846"/>
        </ext>
      </extLst>
    </bk>
    <bk>
      <extLst>
        <ext uri="{3e2802c4-a4d2-4d8b-9148-e3be6c30e623}">
          <xlrd:rvb i="12847"/>
        </ext>
      </extLst>
    </bk>
    <bk>
      <extLst>
        <ext uri="{3e2802c4-a4d2-4d8b-9148-e3be6c30e623}">
          <xlrd:rvb i="12848"/>
        </ext>
      </extLst>
    </bk>
    <bk>
      <extLst>
        <ext uri="{3e2802c4-a4d2-4d8b-9148-e3be6c30e623}">
          <xlrd:rvb i="12849"/>
        </ext>
      </extLst>
    </bk>
    <bk>
      <extLst>
        <ext uri="{3e2802c4-a4d2-4d8b-9148-e3be6c30e623}">
          <xlrd:rvb i="12850"/>
        </ext>
      </extLst>
    </bk>
    <bk>
      <extLst>
        <ext uri="{3e2802c4-a4d2-4d8b-9148-e3be6c30e623}">
          <xlrd:rvb i="12851"/>
        </ext>
      </extLst>
    </bk>
    <bk>
      <extLst>
        <ext uri="{3e2802c4-a4d2-4d8b-9148-e3be6c30e623}">
          <xlrd:rvb i="12852"/>
        </ext>
      </extLst>
    </bk>
    <bk>
      <extLst>
        <ext uri="{3e2802c4-a4d2-4d8b-9148-e3be6c30e623}">
          <xlrd:rvb i="12853"/>
        </ext>
      </extLst>
    </bk>
    <bk>
      <extLst>
        <ext uri="{3e2802c4-a4d2-4d8b-9148-e3be6c30e623}">
          <xlrd:rvb i="12854"/>
        </ext>
      </extLst>
    </bk>
    <bk>
      <extLst>
        <ext uri="{3e2802c4-a4d2-4d8b-9148-e3be6c30e623}">
          <xlrd:rvb i="12855"/>
        </ext>
      </extLst>
    </bk>
    <bk>
      <extLst>
        <ext uri="{3e2802c4-a4d2-4d8b-9148-e3be6c30e623}">
          <xlrd:rvb i="12856"/>
        </ext>
      </extLst>
    </bk>
    <bk>
      <extLst>
        <ext uri="{3e2802c4-a4d2-4d8b-9148-e3be6c30e623}">
          <xlrd:rvb i="12857"/>
        </ext>
      </extLst>
    </bk>
    <bk>
      <extLst>
        <ext uri="{3e2802c4-a4d2-4d8b-9148-e3be6c30e623}">
          <xlrd:rvb i="12858"/>
        </ext>
      </extLst>
    </bk>
    <bk>
      <extLst>
        <ext uri="{3e2802c4-a4d2-4d8b-9148-e3be6c30e623}">
          <xlrd:rvb i="12859"/>
        </ext>
      </extLst>
    </bk>
    <bk>
      <extLst>
        <ext uri="{3e2802c4-a4d2-4d8b-9148-e3be6c30e623}">
          <xlrd:rvb i="12860"/>
        </ext>
      </extLst>
    </bk>
    <bk>
      <extLst>
        <ext uri="{3e2802c4-a4d2-4d8b-9148-e3be6c30e623}">
          <xlrd:rvb i="12861"/>
        </ext>
      </extLst>
    </bk>
    <bk>
      <extLst>
        <ext uri="{3e2802c4-a4d2-4d8b-9148-e3be6c30e623}">
          <xlrd:rvb i="12862"/>
        </ext>
      </extLst>
    </bk>
    <bk>
      <extLst>
        <ext uri="{3e2802c4-a4d2-4d8b-9148-e3be6c30e623}">
          <xlrd:rvb i="12863"/>
        </ext>
      </extLst>
    </bk>
    <bk>
      <extLst>
        <ext uri="{3e2802c4-a4d2-4d8b-9148-e3be6c30e623}">
          <xlrd:rvb i="12864"/>
        </ext>
      </extLst>
    </bk>
    <bk>
      <extLst>
        <ext uri="{3e2802c4-a4d2-4d8b-9148-e3be6c30e623}">
          <xlrd:rvb i="12865"/>
        </ext>
      </extLst>
    </bk>
    <bk>
      <extLst>
        <ext uri="{3e2802c4-a4d2-4d8b-9148-e3be6c30e623}">
          <xlrd:rvb i="12866"/>
        </ext>
      </extLst>
    </bk>
    <bk>
      <extLst>
        <ext uri="{3e2802c4-a4d2-4d8b-9148-e3be6c30e623}">
          <xlrd:rvb i="12867"/>
        </ext>
      </extLst>
    </bk>
    <bk>
      <extLst>
        <ext uri="{3e2802c4-a4d2-4d8b-9148-e3be6c30e623}">
          <xlrd:rvb i="12868"/>
        </ext>
      </extLst>
    </bk>
    <bk>
      <extLst>
        <ext uri="{3e2802c4-a4d2-4d8b-9148-e3be6c30e623}">
          <xlrd:rvb i="12869"/>
        </ext>
      </extLst>
    </bk>
    <bk>
      <extLst>
        <ext uri="{3e2802c4-a4d2-4d8b-9148-e3be6c30e623}">
          <xlrd:rvb i="12870"/>
        </ext>
      </extLst>
    </bk>
    <bk>
      <extLst>
        <ext uri="{3e2802c4-a4d2-4d8b-9148-e3be6c30e623}">
          <xlrd:rvb i="12871"/>
        </ext>
      </extLst>
    </bk>
    <bk>
      <extLst>
        <ext uri="{3e2802c4-a4d2-4d8b-9148-e3be6c30e623}">
          <xlrd:rvb i="12872"/>
        </ext>
      </extLst>
    </bk>
    <bk>
      <extLst>
        <ext uri="{3e2802c4-a4d2-4d8b-9148-e3be6c30e623}">
          <xlrd:rvb i="12873"/>
        </ext>
      </extLst>
    </bk>
    <bk>
      <extLst>
        <ext uri="{3e2802c4-a4d2-4d8b-9148-e3be6c30e623}">
          <xlrd:rvb i="12874"/>
        </ext>
      </extLst>
    </bk>
    <bk>
      <extLst>
        <ext uri="{3e2802c4-a4d2-4d8b-9148-e3be6c30e623}">
          <xlrd:rvb i="12875"/>
        </ext>
      </extLst>
    </bk>
    <bk>
      <extLst>
        <ext uri="{3e2802c4-a4d2-4d8b-9148-e3be6c30e623}">
          <xlrd:rvb i="12876"/>
        </ext>
      </extLst>
    </bk>
    <bk>
      <extLst>
        <ext uri="{3e2802c4-a4d2-4d8b-9148-e3be6c30e623}">
          <xlrd:rvb i="12877"/>
        </ext>
      </extLst>
    </bk>
    <bk>
      <extLst>
        <ext uri="{3e2802c4-a4d2-4d8b-9148-e3be6c30e623}">
          <xlrd:rvb i="12878"/>
        </ext>
      </extLst>
    </bk>
    <bk>
      <extLst>
        <ext uri="{3e2802c4-a4d2-4d8b-9148-e3be6c30e623}">
          <xlrd:rvb i="12879"/>
        </ext>
      </extLst>
    </bk>
    <bk>
      <extLst>
        <ext uri="{3e2802c4-a4d2-4d8b-9148-e3be6c30e623}">
          <xlrd:rvb i="12880"/>
        </ext>
      </extLst>
    </bk>
    <bk>
      <extLst>
        <ext uri="{3e2802c4-a4d2-4d8b-9148-e3be6c30e623}">
          <xlrd:rvb i="12881"/>
        </ext>
      </extLst>
    </bk>
    <bk>
      <extLst>
        <ext uri="{3e2802c4-a4d2-4d8b-9148-e3be6c30e623}">
          <xlrd:rvb i="12882"/>
        </ext>
      </extLst>
    </bk>
    <bk>
      <extLst>
        <ext uri="{3e2802c4-a4d2-4d8b-9148-e3be6c30e623}">
          <xlrd:rvb i="12883"/>
        </ext>
      </extLst>
    </bk>
    <bk>
      <extLst>
        <ext uri="{3e2802c4-a4d2-4d8b-9148-e3be6c30e623}">
          <xlrd:rvb i="12884"/>
        </ext>
      </extLst>
    </bk>
    <bk>
      <extLst>
        <ext uri="{3e2802c4-a4d2-4d8b-9148-e3be6c30e623}">
          <xlrd:rvb i="12885"/>
        </ext>
      </extLst>
    </bk>
    <bk>
      <extLst>
        <ext uri="{3e2802c4-a4d2-4d8b-9148-e3be6c30e623}">
          <xlrd:rvb i="12886"/>
        </ext>
      </extLst>
    </bk>
    <bk>
      <extLst>
        <ext uri="{3e2802c4-a4d2-4d8b-9148-e3be6c30e623}">
          <xlrd:rvb i="12887"/>
        </ext>
      </extLst>
    </bk>
    <bk>
      <extLst>
        <ext uri="{3e2802c4-a4d2-4d8b-9148-e3be6c30e623}">
          <xlrd:rvb i="12888"/>
        </ext>
      </extLst>
    </bk>
    <bk>
      <extLst>
        <ext uri="{3e2802c4-a4d2-4d8b-9148-e3be6c30e623}">
          <xlrd:rvb i="12889"/>
        </ext>
      </extLst>
    </bk>
    <bk>
      <extLst>
        <ext uri="{3e2802c4-a4d2-4d8b-9148-e3be6c30e623}">
          <xlrd:rvb i="12890"/>
        </ext>
      </extLst>
    </bk>
    <bk>
      <extLst>
        <ext uri="{3e2802c4-a4d2-4d8b-9148-e3be6c30e623}">
          <xlrd:rvb i="12891"/>
        </ext>
      </extLst>
    </bk>
    <bk>
      <extLst>
        <ext uri="{3e2802c4-a4d2-4d8b-9148-e3be6c30e623}">
          <xlrd:rvb i="12892"/>
        </ext>
      </extLst>
    </bk>
    <bk>
      <extLst>
        <ext uri="{3e2802c4-a4d2-4d8b-9148-e3be6c30e623}">
          <xlrd:rvb i="12893"/>
        </ext>
      </extLst>
    </bk>
    <bk>
      <extLst>
        <ext uri="{3e2802c4-a4d2-4d8b-9148-e3be6c30e623}">
          <xlrd:rvb i="12894"/>
        </ext>
      </extLst>
    </bk>
    <bk>
      <extLst>
        <ext uri="{3e2802c4-a4d2-4d8b-9148-e3be6c30e623}">
          <xlrd:rvb i="12895"/>
        </ext>
      </extLst>
    </bk>
    <bk>
      <extLst>
        <ext uri="{3e2802c4-a4d2-4d8b-9148-e3be6c30e623}">
          <xlrd:rvb i="12896"/>
        </ext>
      </extLst>
    </bk>
    <bk>
      <extLst>
        <ext uri="{3e2802c4-a4d2-4d8b-9148-e3be6c30e623}">
          <xlrd:rvb i="12897"/>
        </ext>
      </extLst>
    </bk>
    <bk>
      <extLst>
        <ext uri="{3e2802c4-a4d2-4d8b-9148-e3be6c30e623}">
          <xlrd:rvb i="12898"/>
        </ext>
      </extLst>
    </bk>
    <bk>
      <extLst>
        <ext uri="{3e2802c4-a4d2-4d8b-9148-e3be6c30e623}">
          <xlrd:rvb i="12899"/>
        </ext>
      </extLst>
    </bk>
    <bk>
      <extLst>
        <ext uri="{3e2802c4-a4d2-4d8b-9148-e3be6c30e623}">
          <xlrd:rvb i="12900"/>
        </ext>
      </extLst>
    </bk>
    <bk>
      <extLst>
        <ext uri="{3e2802c4-a4d2-4d8b-9148-e3be6c30e623}">
          <xlrd:rvb i="12901"/>
        </ext>
      </extLst>
    </bk>
    <bk>
      <extLst>
        <ext uri="{3e2802c4-a4d2-4d8b-9148-e3be6c30e623}">
          <xlrd:rvb i="12902"/>
        </ext>
      </extLst>
    </bk>
    <bk>
      <extLst>
        <ext uri="{3e2802c4-a4d2-4d8b-9148-e3be6c30e623}">
          <xlrd:rvb i="12903"/>
        </ext>
      </extLst>
    </bk>
    <bk>
      <extLst>
        <ext uri="{3e2802c4-a4d2-4d8b-9148-e3be6c30e623}">
          <xlrd:rvb i="12904"/>
        </ext>
      </extLst>
    </bk>
    <bk>
      <extLst>
        <ext uri="{3e2802c4-a4d2-4d8b-9148-e3be6c30e623}">
          <xlrd:rvb i="12905"/>
        </ext>
      </extLst>
    </bk>
    <bk>
      <extLst>
        <ext uri="{3e2802c4-a4d2-4d8b-9148-e3be6c30e623}">
          <xlrd:rvb i="12906"/>
        </ext>
      </extLst>
    </bk>
    <bk>
      <extLst>
        <ext uri="{3e2802c4-a4d2-4d8b-9148-e3be6c30e623}">
          <xlrd:rvb i="12907"/>
        </ext>
      </extLst>
    </bk>
    <bk>
      <extLst>
        <ext uri="{3e2802c4-a4d2-4d8b-9148-e3be6c30e623}">
          <xlrd:rvb i="12908"/>
        </ext>
      </extLst>
    </bk>
    <bk>
      <extLst>
        <ext uri="{3e2802c4-a4d2-4d8b-9148-e3be6c30e623}">
          <xlrd:rvb i="12909"/>
        </ext>
      </extLst>
    </bk>
    <bk>
      <extLst>
        <ext uri="{3e2802c4-a4d2-4d8b-9148-e3be6c30e623}">
          <xlrd:rvb i="12910"/>
        </ext>
      </extLst>
    </bk>
    <bk>
      <extLst>
        <ext uri="{3e2802c4-a4d2-4d8b-9148-e3be6c30e623}">
          <xlrd:rvb i="12911"/>
        </ext>
      </extLst>
    </bk>
    <bk>
      <extLst>
        <ext uri="{3e2802c4-a4d2-4d8b-9148-e3be6c30e623}">
          <xlrd:rvb i="12912"/>
        </ext>
      </extLst>
    </bk>
    <bk>
      <extLst>
        <ext uri="{3e2802c4-a4d2-4d8b-9148-e3be6c30e623}">
          <xlrd:rvb i="12913"/>
        </ext>
      </extLst>
    </bk>
    <bk>
      <extLst>
        <ext uri="{3e2802c4-a4d2-4d8b-9148-e3be6c30e623}">
          <xlrd:rvb i="12914"/>
        </ext>
      </extLst>
    </bk>
    <bk>
      <extLst>
        <ext uri="{3e2802c4-a4d2-4d8b-9148-e3be6c30e623}">
          <xlrd:rvb i="12915"/>
        </ext>
      </extLst>
    </bk>
    <bk>
      <extLst>
        <ext uri="{3e2802c4-a4d2-4d8b-9148-e3be6c30e623}">
          <xlrd:rvb i="12916"/>
        </ext>
      </extLst>
    </bk>
    <bk>
      <extLst>
        <ext uri="{3e2802c4-a4d2-4d8b-9148-e3be6c30e623}">
          <xlrd:rvb i="12917"/>
        </ext>
      </extLst>
    </bk>
    <bk>
      <extLst>
        <ext uri="{3e2802c4-a4d2-4d8b-9148-e3be6c30e623}">
          <xlrd:rvb i="12918"/>
        </ext>
      </extLst>
    </bk>
    <bk>
      <extLst>
        <ext uri="{3e2802c4-a4d2-4d8b-9148-e3be6c30e623}">
          <xlrd:rvb i="12919"/>
        </ext>
      </extLst>
    </bk>
    <bk>
      <extLst>
        <ext uri="{3e2802c4-a4d2-4d8b-9148-e3be6c30e623}">
          <xlrd:rvb i="12920"/>
        </ext>
      </extLst>
    </bk>
    <bk>
      <extLst>
        <ext uri="{3e2802c4-a4d2-4d8b-9148-e3be6c30e623}">
          <xlrd:rvb i="12921"/>
        </ext>
      </extLst>
    </bk>
    <bk>
      <extLst>
        <ext uri="{3e2802c4-a4d2-4d8b-9148-e3be6c30e623}">
          <xlrd:rvb i="12922"/>
        </ext>
      </extLst>
    </bk>
    <bk>
      <extLst>
        <ext uri="{3e2802c4-a4d2-4d8b-9148-e3be6c30e623}">
          <xlrd:rvb i="12923"/>
        </ext>
      </extLst>
    </bk>
    <bk>
      <extLst>
        <ext uri="{3e2802c4-a4d2-4d8b-9148-e3be6c30e623}">
          <xlrd:rvb i="12924"/>
        </ext>
      </extLst>
    </bk>
    <bk>
      <extLst>
        <ext uri="{3e2802c4-a4d2-4d8b-9148-e3be6c30e623}">
          <xlrd:rvb i="12925"/>
        </ext>
      </extLst>
    </bk>
    <bk>
      <extLst>
        <ext uri="{3e2802c4-a4d2-4d8b-9148-e3be6c30e623}">
          <xlrd:rvb i="12926"/>
        </ext>
      </extLst>
    </bk>
    <bk>
      <extLst>
        <ext uri="{3e2802c4-a4d2-4d8b-9148-e3be6c30e623}">
          <xlrd:rvb i="12927"/>
        </ext>
      </extLst>
    </bk>
    <bk>
      <extLst>
        <ext uri="{3e2802c4-a4d2-4d8b-9148-e3be6c30e623}">
          <xlrd:rvb i="12928"/>
        </ext>
      </extLst>
    </bk>
    <bk>
      <extLst>
        <ext uri="{3e2802c4-a4d2-4d8b-9148-e3be6c30e623}">
          <xlrd:rvb i="12929"/>
        </ext>
      </extLst>
    </bk>
    <bk>
      <extLst>
        <ext uri="{3e2802c4-a4d2-4d8b-9148-e3be6c30e623}">
          <xlrd:rvb i="12930"/>
        </ext>
      </extLst>
    </bk>
    <bk>
      <extLst>
        <ext uri="{3e2802c4-a4d2-4d8b-9148-e3be6c30e623}">
          <xlrd:rvb i="12931"/>
        </ext>
      </extLst>
    </bk>
    <bk>
      <extLst>
        <ext uri="{3e2802c4-a4d2-4d8b-9148-e3be6c30e623}">
          <xlrd:rvb i="12932"/>
        </ext>
      </extLst>
    </bk>
    <bk>
      <extLst>
        <ext uri="{3e2802c4-a4d2-4d8b-9148-e3be6c30e623}">
          <xlrd:rvb i="12933"/>
        </ext>
      </extLst>
    </bk>
    <bk>
      <extLst>
        <ext uri="{3e2802c4-a4d2-4d8b-9148-e3be6c30e623}">
          <xlrd:rvb i="12934"/>
        </ext>
      </extLst>
    </bk>
    <bk>
      <extLst>
        <ext uri="{3e2802c4-a4d2-4d8b-9148-e3be6c30e623}">
          <xlrd:rvb i="12935"/>
        </ext>
      </extLst>
    </bk>
    <bk>
      <extLst>
        <ext uri="{3e2802c4-a4d2-4d8b-9148-e3be6c30e623}">
          <xlrd:rvb i="12936"/>
        </ext>
      </extLst>
    </bk>
    <bk>
      <extLst>
        <ext uri="{3e2802c4-a4d2-4d8b-9148-e3be6c30e623}">
          <xlrd:rvb i="12937"/>
        </ext>
      </extLst>
    </bk>
    <bk>
      <extLst>
        <ext uri="{3e2802c4-a4d2-4d8b-9148-e3be6c30e623}">
          <xlrd:rvb i="12938"/>
        </ext>
      </extLst>
    </bk>
    <bk>
      <extLst>
        <ext uri="{3e2802c4-a4d2-4d8b-9148-e3be6c30e623}">
          <xlrd:rvb i="12939"/>
        </ext>
      </extLst>
    </bk>
    <bk>
      <extLst>
        <ext uri="{3e2802c4-a4d2-4d8b-9148-e3be6c30e623}">
          <xlrd:rvb i="12940"/>
        </ext>
      </extLst>
    </bk>
    <bk>
      <extLst>
        <ext uri="{3e2802c4-a4d2-4d8b-9148-e3be6c30e623}">
          <xlrd:rvb i="12941"/>
        </ext>
      </extLst>
    </bk>
    <bk>
      <extLst>
        <ext uri="{3e2802c4-a4d2-4d8b-9148-e3be6c30e623}">
          <xlrd:rvb i="12942"/>
        </ext>
      </extLst>
    </bk>
    <bk>
      <extLst>
        <ext uri="{3e2802c4-a4d2-4d8b-9148-e3be6c30e623}">
          <xlrd:rvb i="12943"/>
        </ext>
      </extLst>
    </bk>
    <bk>
      <extLst>
        <ext uri="{3e2802c4-a4d2-4d8b-9148-e3be6c30e623}">
          <xlrd:rvb i="12944"/>
        </ext>
      </extLst>
    </bk>
    <bk>
      <extLst>
        <ext uri="{3e2802c4-a4d2-4d8b-9148-e3be6c30e623}">
          <xlrd:rvb i="12945"/>
        </ext>
      </extLst>
    </bk>
    <bk>
      <extLst>
        <ext uri="{3e2802c4-a4d2-4d8b-9148-e3be6c30e623}">
          <xlrd:rvb i="12946"/>
        </ext>
      </extLst>
    </bk>
    <bk>
      <extLst>
        <ext uri="{3e2802c4-a4d2-4d8b-9148-e3be6c30e623}">
          <xlrd:rvb i="12947"/>
        </ext>
      </extLst>
    </bk>
    <bk>
      <extLst>
        <ext uri="{3e2802c4-a4d2-4d8b-9148-e3be6c30e623}">
          <xlrd:rvb i="12948"/>
        </ext>
      </extLst>
    </bk>
    <bk>
      <extLst>
        <ext uri="{3e2802c4-a4d2-4d8b-9148-e3be6c30e623}">
          <xlrd:rvb i="12949"/>
        </ext>
      </extLst>
    </bk>
    <bk>
      <extLst>
        <ext uri="{3e2802c4-a4d2-4d8b-9148-e3be6c30e623}">
          <xlrd:rvb i="12950"/>
        </ext>
      </extLst>
    </bk>
    <bk>
      <extLst>
        <ext uri="{3e2802c4-a4d2-4d8b-9148-e3be6c30e623}">
          <xlrd:rvb i="12951"/>
        </ext>
      </extLst>
    </bk>
    <bk>
      <extLst>
        <ext uri="{3e2802c4-a4d2-4d8b-9148-e3be6c30e623}">
          <xlrd:rvb i="12952"/>
        </ext>
      </extLst>
    </bk>
    <bk>
      <extLst>
        <ext uri="{3e2802c4-a4d2-4d8b-9148-e3be6c30e623}">
          <xlrd:rvb i="12953"/>
        </ext>
      </extLst>
    </bk>
    <bk>
      <extLst>
        <ext uri="{3e2802c4-a4d2-4d8b-9148-e3be6c30e623}">
          <xlrd:rvb i="12954"/>
        </ext>
      </extLst>
    </bk>
    <bk>
      <extLst>
        <ext uri="{3e2802c4-a4d2-4d8b-9148-e3be6c30e623}">
          <xlrd:rvb i="12955"/>
        </ext>
      </extLst>
    </bk>
    <bk>
      <extLst>
        <ext uri="{3e2802c4-a4d2-4d8b-9148-e3be6c30e623}">
          <xlrd:rvb i="12956"/>
        </ext>
      </extLst>
    </bk>
    <bk>
      <extLst>
        <ext uri="{3e2802c4-a4d2-4d8b-9148-e3be6c30e623}">
          <xlrd:rvb i="12957"/>
        </ext>
      </extLst>
    </bk>
    <bk>
      <extLst>
        <ext uri="{3e2802c4-a4d2-4d8b-9148-e3be6c30e623}">
          <xlrd:rvb i="12958"/>
        </ext>
      </extLst>
    </bk>
    <bk>
      <extLst>
        <ext uri="{3e2802c4-a4d2-4d8b-9148-e3be6c30e623}">
          <xlrd:rvb i="12959"/>
        </ext>
      </extLst>
    </bk>
    <bk>
      <extLst>
        <ext uri="{3e2802c4-a4d2-4d8b-9148-e3be6c30e623}">
          <xlrd:rvb i="12960"/>
        </ext>
      </extLst>
    </bk>
    <bk>
      <extLst>
        <ext uri="{3e2802c4-a4d2-4d8b-9148-e3be6c30e623}">
          <xlrd:rvb i="12961"/>
        </ext>
      </extLst>
    </bk>
    <bk>
      <extLst>
        <ext uri="{3e2802c4-a4d2-4d8b-9148-e3be6c30e623}">
          <xlrd:rvb i="12962"/>
        </ext>
      </extLst>
    </bk>
    <bk>
      <extLst>
        <ext uri="{3e2802c4-a4d2-4d8b-9148-e3be6c30e623}">
          <xlrd:rvb i="12963"/>
        </ext>
      </extLst>
    </bk>
    <bk>
      <extLst>
        <ext uri="{3e2802c4-a4d2-4d8b-9148-e3be6c30e623}">
          <xlrd:rvb i="12964"/>
        </ext>
      </extLst>
    </bk>
    <bk>
      <extLst>
        <ext uri="{3e2802c4-a4d2-4d8b-9148-e3be6c30e623}">
          <xlrd:rvb i="12965"/>
        </ext>
      </extLst>
    </bk>
    <bk>
      <extLst>
        <ext uri="{3e2802c4-a4d2-4d8b-9148-e3be6c30e623}">
          <xlrd:rvb i="12966"/>
        </ext>
      </extLst>
    </bk>
    <bk>
      <extLst>
        <ext uri="{3e2802c4-a4d2-4d8b-9148-e3be6c30e623}">
          <xlrd:rvb i="12967"/>
        </ext>
      </extLst>
    </bk>
    <bk>
      <extLst>
        <ext uri="{3e2802c4-a4d2-4d8b-9148-e3be6c30e623}">
          <xlrd:rvb i="12968"/>
        </ext>
      </extLst>
    </bk>
    <bk>
      <extLst>
        <ext uri="{3e2802c4-a4d2-4d8b-9148-e3be6c30e623}">
          <xlrd:rvb i="12969"/>
        </ext>
      </extLst>
    </bk>
    <bk>
      <extLst>
        <ext uri="{3e2802c4-a4d2-4d8b-9148-e3be6c30e623}">
          <xlrd:rvb i="12970"/>
        </ext>
      </extLst>
    </bk>
    <bk>
      <extLst>
        <ext uri="{3e2802c4-a4d2-4d8b-9148-e3be6c30e623}">
          <xlrd:rvb i="12971"/>
        </ext>
      </extLst>
    </bk>
    <bk>
      <extLst>
        <ext uri="{3e2802c4-a4d2-4d8b-9148-e3be6c30e623}">
          <xlrd:rvb i="12972"/>
        </ext>
      </extLst>
    </bk>
    <bk>
      <extLst>
        <ext uri="{3e2802c4-a4d2-4d8b-9148-e3be6c30e623}">
          <xlrd:rvb i="12973"/>
        </ext>
      </extLst>
    </bk>
    <bk>
      <extLst>
        <ext uri="{3e2802c4-a4d2-4d8b-9148-e3be6c30e623}">
          <xlrd:rvb i="12974"/>
        </ext>
      </extLst>
    </bk>
    <bk>
      <extLst>
        <ext uri="{3e2802c4-a4d2-4d8b-9148-e3be6c30e623}">
          <xlrd:rvb i="12975"/>
        </ext>
      </extLst>
    </bk>
    <bk>
      <extLst>
        <ext uri="{3e2802c4-a4d2-4d8b-9148-e3be6c30e623}">
          <xlrd:rvb i="12976"/>
        </ext>
      </extLst>
    </bk>
    <bk>
      <extLst>
        <ext uri="{3e2802c4-a4d2-4d8b-9148-e3be6c30e623}">
          <xlrd:rvb i="12977"/>
        </ext>
      </extLst>
    </bk>
    <bk>
      <extLst>
        <ext uri="{3e2802c4-a4d2-4d8b-9148-e3be6c30e623}">
          <xlrd:rvb i="12978"/>
        </ext>
      </extLst>
    </bk>
    <bk>
      <extLst>
        <ext uri="{3e2802c4-a4d2-4d8b-9148-e3be6c30e623}">
          <xlrd:rvb i="12979"/>
        </ext>
      </extLst>
    </bk>
    <bk>
      <extLst>
        <ext uri="{3e2802c4-a4d2-4d8b-9148-e3be6c30e623}">
          <xlrd:rvb i="12980"/>
        </ext>
      </extLst>
    </bk>
    <bk>
      <extLst>
        <ext uri="{3e2802c4-a4d2-4d8b-9148-e3be6c30e623}">
          <xlrd:rvb i="12981"/>
        </ext>
      </extLst>
    </bk>
    <bk>
      <extLst>
        <ext uri="{3e2802c4-a4d2-4d8b-9148-e3be6c30e623}">
          <xlrd:rvb i="12982"/>
        </ext>
      </extLst>
    </bk>
    <bk>
      <extLst>
        <ext uri="{3e2802c4-a4d2-4d8b-9148-e3be6c30e623}">
          <xlrd:rvb i="12983"/>
        </ext>
      </extLst>
    </bk>
    <bk>
      <extLst>
        <ext uri="{3e2802c4-a4d2-4d8b-9148-e3be6c30e623}">
          <xlrd:rvb i="12984"/>
        </ext>
      </extLst>
    </bk>
    <bk>
      <extLst>
        <ext uri="{3e2802c4-a4d2-4d8b-9148-e3be6c30e623}">
          <xlrd:rvb i="12985"/>
        </ext>
      </extLst>
    </bk>
    <bk>
      <extLst>
        <ext uri="{3e2802c4-a4d2-4d8b-9148-e3be6c30e623}">
          <xlrd:rvb i="12986"/>
        </ext>
      </extLst>
    </bk>
    <bk>
      <extLst>
        <ext uri="{3e2802c4-a4d2-4d8b-9148-e3be6c30e623}">
          <xlrd:rvb i="12987"/>
        </ext>
      </extLst>
    </bk>
    <bk>
      <extLst>
        <ext uri="{3e2802c4-a4d2-4d8b-9148-e3be6c30e623}">
          <xlrd:rvb i="12988"/>
        </ext>
      </extLst>
    </bk>
    <bk>
      <extLst>
        <ext uri="{3e2802c4-a4d2-4d8b-9148-e3be6c30e623}">
          <xlrd:rvb i="12989"/>
        </ext>
      </extLst>
    </bk>
    <bk>
      <extLst>
        <ext uri="{3e2802c4-a4d2-4d8b-9148-e3be6c30e623}">
          <xlrd:rvb i="12990"/>
        </ext>
      </extLst>
    </bk>
    <bk>
      <extLst>
        <ext uri="{3e2802c4-a4d2-4d8b-9148-e3be6c30e623}">
          <xlrd:rvb i="12991"/>
        </ext>
      </extLst>
    </bk>
    <bk>
      <extLst>
        <ext uri="{3e2802c4-a4d2-4d8b-9148-e3be6c30e623}">
          <xlrd:rvb i="12992"/>
        </ext>
      </extLst>
    </bk>
    <bk>
      <extLst>
        <ext uri="{3e2802c4-a4d2-4d8b-9148-e3be6c30e623}">
          <xlrd:rvb i="12993"/>
        </ext>
      </extLst>
    </bk>
    <bk>
      <extLst>
        <ext uri="{3e2802c4-a4d2-4d8b-9148-e3be6c30e623}">
          <xlrd:rvb i="12994"/>
        </ext>
      </extLst>
    </bk>
    <bk>
      <extLst>
        <ext uri="{3e2802c4-a4d2-4d8b-9148-e3be6c30e623}">
          <xlrd:rvb i="12995"/>
        </ext>
      </extLst>
    </bk>
    <bk>
      <extLst>
        <ext uri="{3e2802c4-a4d2-4d8b-9148-e3be6c30e623}">
          <xlrd:rvb i="12996"/>
        </ext>
      </extLst>
    </bk>
    <bk>
      <extLst>
        <ext uri="{3e2802c4-a4d2-4d8b-9148-e3be6c30e623}">
          <xlrd:rvb i="12997"/>
        </ext>
      </extLst>
    </bk>
    <bk>
      <extLst>
        <ext uri="{3e2802c4-a4d2-4d8b-9148-e3be6c30e623}">
          <xlrd:rvb i="12998"/>
        </ext>
      </extLst>
    </bk>
    <bk>
      <extLst>
        <ext uri="{3e2802c4-a4d2-4d8b-9148-e3be6c30e623}">
          <xlrd:rvb i="12999"/>
        </ext>
      </extLst>
    </bk>
    <bk>
      <extLst>
        <ext uri="{3e2802c4-a4d2-4d8b-9148-e3be6c30e623}">
          <xlrd:rvb i="13000"/>
        </ext>
      </extLst>
    </bk>
    <bk>
      <extLst>
        <ext uri="{3e2802c4-a4d2-4d8b-9148-e3be6c30e623}">
          <xlrd:rvb i="13001"/>
        </ext>
      </extLst>
    </bk>
    <bk>
      <extLst>
        <ext uri="{3e2802c4-a4d2-4d8b-9148-e3be6c30e623}">
          <xlrd:rvb i="13002"/>
        </ext>
      </extLst>
    </bk>
    <bk>
      <extLst>
        <ext uri="{3e2802c4-a4d2-4d8b-9148-e3be6c30e623}">
          <xlrd:rvb i="13003"/>
        </ext>
      </extLst>
    </bk>
    <bk>
      <extLst>
        <ext uri="{3e2802c4-a4d2-4d8b-9148-e3be6c30e623}">
          <xlrd:rvb i="13004"/>
        </ext>
      </extLst>
    </bk>
    <bk>
      <extLst>
        <ext uri="{3e2802c4-a4d2-4d8b-9148-e3be6c30e623}">
          <xlrd:rvb i="13005"/>
        </ext>
      </extLst>
    </bk>
    <bk>
      <extLst>
        <ext uri="{3e2802c4-a4d2-4d8b-9148-e3be6c30e623}">
          <xlrd:rvb i="13006"/>
        </ext>
      </extLst>
    </bk>
    <bk>
      <extLst>
        <ext uri="{3e2802c4-a4d2-4d8b-9148-e3be6c30e623}">
          <xlrd:rvb i="13007"/>
        </ext>
      </extLst>
    </bk>
    <bk>
      <extLst>
        <ext uri="{3e2802c4-a4d2-4d8b-9148-e3be6c30e623}">
          <xlrd:rvb i="13008"/>
        </ext>
      </extLst>
    </bk>
    <bk>
      <extLst>
        <ext uri="{3e2802c4-a4d2-4d8b-9148-e3be6c30e623}">
          <xlrd:rvb i="13009"/>
        </ext>
      </extLst>
    </bk>
    <bk>
      <extLst>
        <ext uri="{3e2802c4-a4d2-4d8b-9148-e3be6c30e623}">
          <xlrd:rvb i="13010"/>
        </ext>
      </extLst>
    </bk>
    <bk>
      <extLst>
        <ext uri="{3e2802c4-a4d2-4d8b-9148-e3be6c30e623}">
          <xlrd:rvb i="13011"/>
        </ext>
      </extLst>
    </bk>
    <bk>
      <extLst>
        <ext uri="{3e2802c4-a4d2-4d8b-9148-e3be6c30e623}">
          <xlrd:rvb i="13012"/>
        </ext>
      </extLst>
    </bk>
    <bk>
      <extLst>
        <ext uri="{3e2802c4-a4d2-4d8b-9148-e3be6c30e623}">
          <xlrd:rvb i="13013"/>
        </ext>
      </extLst>
    </bk>
    <bk>
      <extLst>
        <ext uri="{3e2802c4-a4d2-4d8b-9148-e3be6c30e623}">
          <xlrd:rvb i="13014"/>
        </ext>
      </extLst>
    </bk>
    <bk>
      <extLst>
        <ext uri="{3e2802c4-a4d2-4d8b-9148-e3be6c30e623}">
          <xlrd:rvb i="13015"/>
        </ext>
      </extLst>
    </bk>
    <bk>
      <extLst>
        <ext uri="{3e2802c4-a4d2-4d8b-9148-e3be6c30e623}">
          <xlrd:rvb i="13016"/>
        </ext>
      </extLst>
    </bk>
    <bk>
      <extLst>
        <ext uri="{3e2802c4-a4d2-4d8b-9148-e3be6c30e623}">
          <xlrd:rvb i="13017"/>
        </ext>
      </extLst>
    </bk>
    <bk>
      <extLst>
        <ext uri="{3e2802c4-a4d2-4d8b-9148-e3be6c30e623}">
          <xlrd:rvb i="13018"/>
        </ext>
      </extLst>
    </bk>
    <bk>
      <extLst>
        <ext uri="{3e2802c4-a4d2-4d8b-9148-e3be6c30e623}">
          <xlrd:rvb i="13019"/>
        </ext>
      </extLst>
    </bk>
    <bk>
      <extLst>
        <ext uri="{3e2802c4-a4d2-4d8b-9148-e3be6c30e623}">
          <xlrd:rvb i="13020"/>
        </ext>
      </extLst>
    </bk>
    <bk>
      <extLst>
        <ext uri="{3e2802c4-a4d2-4d8b-9148-e3be6c30e623}">
          <xlrd:rvb i="13021"/>
        </ext>
      </extLst>
    </bk>
    <bk>
      <extLst>
        <ext uri="{3e2802c4-a4d2-4d8b-9148-e3be6c30e623}">
          <xlrd:rvb i="13022"/>
        </ext>
      </extLst>
    </bk>
    <bk>
      <extLst>
        <ext uri="{3e2802c4-a4d2-4d8b-9148-e3be6c30e623}">
          <xlrd:rvb i="13023"/>
        </ext>
      </extLst>
    </bk>
    <bk>
      <extLst>
        <ext uri="{3e2802c4-a4d2-4d8b-9148-e3be6c30e623}">
          <xlrd:rvb i="13024"/>
        </ext>
      </extLst>
    </bk>
    <bk>
      <extLst>
        <ext uri="{3e2802c4-a4d2-4d8b-9148-e3be6c30e623}">
          <xlrd:rvb i="13025"/>
        </ext>
      </extLst>
    </bk>
    <bk>
      <extLst>
        <ext uri="{3e2802c4-a4d2-4d8b-9148-e3be6c30e623}">
          <xlrd:rvb i="13026"/>
        </ext>
      </extLst>
    </bk>
    <bk>
      <extLst>
        <ext uri="{3e2802c4-a4d2-4d8b-9148-e3be6c30e623}">
          <xlrd:rvb i="13027"/>
        </ext>
      </extLst>
    </bk>
    <bk>
      <extLst>
        <ext uri="{3e2802c4-a4d2-4d8b-9148-e3be6c30e623}">
          <xlrd:rvb i="13028"/>
        </ext>
      </extLst>
    </bk>
    <bk>
      <extLst>
        <ext uri="{3e2802c4-a4d2-4d8b-9148-e3be6c30e623}">
          <xlrd:rvb i="13029"/>
        </ext>
      </extLst>
    </bk>
    <bk>
      <extLst>
        <ext uri="{3e2802c4-a4d2-4d8b-9148-e3be6c30e623}">
          <xlrd:rvb i="13030"/>
        </ext>
      </extLst>
    </bk>
    <bk>
      <extLst>
        <ext uri="{3e2802c4-a4d2-4d8b-9148-e3be6c30e623}">
          <xlrd:rvb i="13031"/>
        </ext>
      </extLst>
    </bk>
    <bk>
      <extLst>
        <ext uri="{3e2802c4-a4d2-4d8b-9148-e3be6c30e623}">
          <xlrd:rvb i="13032"/>
        </ext>
      </extLst>
    </bk>
    <bk>
      <extLst>
        <ext uri="{3e2802c4-a4d2-4d8b-9148-e3be6c30e623}">
          <xlrd:rvb i="13033"/>
        </ext>
      </extLst>
    </bk>
    <bk>
      <extLst>
        <ext uri="{3e2802c4-a4d2-4d8b-9148-e3be6c30e623}">
          <xlrd:rvb i="13034"/>
        </ext>
      </extLst>
    </bk>
    <bk>
      <extLst>
        <ext uri="{3e2802c4-a4d2-4d8b-9148-e3be6c30e623}">
          <xlrd:rvb i="13035"/>
        </ext>
      </extLst>
    </bk>
    <bk>
      <extLst>
        <ext uri="{3e2802c4-a4d2-4d8b-9148-e3be6c30e623}">
          <xlrd:rvb i="13036"/>
        </ext>
      </extLst>
    </bk>
    <bk>
      <extLst>
        <ext uri="{3e2802c4-a4d2-4d8b-9148-e3be6c30e623}">
          <xlrd:rvb i="13037"/>
        </ext>
      </extLst>
    </bk>
    <bk>
      <extLst>
        <ext uri="{3e2802c4-a4d2-4d8b-9148-e3be6c30e623}">
          <xlrd:rvb i="13038"/>
        </ext>
      </extLst>
    </bk>
    <bk>
      <extLst>
        <ext uri="{3e2802c4-a4d2-4d8b-9148-e3be6c30e623}">
          <xlrd:rvb i="13039"/>
        </ext>
      </extLst>
    </bk>
    <bk>
      <extLst>
        <ext uri="{3e2802c4-a4d2-4d8b-9148-e3be6c30e623}">
          <xlrd:rvb i="13040"/>
        </ext>
      </extLst>
    </bk>
    <bk>
      <extLst>
        <ext uri="{3e2802c4-a4d2-4d8b-9148-e3be6c30e623}">
          <xlrd:rvb i="13041"/>
        </ext>
      </extLst>
    </bk>
    <bk>
      <extLst>
        <ext uri="{3e2802c4-a4d2-4d8b-9148-e3be6c30e623}">
          <xlrd:rvb i="13042"/>
        </ext>
      </extLst>
    </bk>
    <bk>
      <extLst>
        <ext uri="{3e2802c4-a4d2-4d8b-9148-e3be6c30e623}">
          <xlrd:rvb i="13043"/>
        </ext>
      </extLst>
    </bk>
    <bk>
      <extLst>
        <ext uri="{3e2802c4-a4d2-4d8b-9148-e3be6c30e623}">
          <xlrd:rvb i="13044"/>
        </ext>
      </extLst>
    </bk>
    <bk>
      <extLst>
        <ext uri="{3e2802c4-a4d2-4d8b-9148-e3be6c30e623}">
          <xlrd:rvb i="13045"/>
        </ext>
      </extLst>
    </bk>
    <bk>
      <extLst>
        <ext uri="{3e2802c4-a4d2-4d8b-9148-e3be6c30e623}">
          <xlrd:rvb i="13046"/>
        </ext>
      </extLst>
    </bk>
    <bk>
      <extLst>
        <ext uri="{3e2802c4-a4d2-4d8b-9148-e3be6c30e623}">
          <xlrd:rvb i="13047"/>
        </ext>
      </extLst>
    </bk>
    <bk>
      <extLst>
        <ext uri="{3e2802c4-a4d2-4d8b-9148-e3be6c30e623}">
          <xlrd:rvb i="13048"/>
        </ext>
      </extLst>
    </bk>
    <bk>
      <extLst>
        <ext uri="{3e2802c4-a4d2-4d8b-9148-e3be6c30e623}">
          <xlrd:rvb i="13049"/>
        </ext>
      </extLst>
    </bk>
    <bk>
      <extLst>
        <ext uri="{3e2802c4-a4d2-4d8b-9148-e3be6c30e623}">
          <xlrd:rvb i="13050"/>
        </ext>
      </extLst>
    </bk>
    <bk>
      <extLst>
        <ext uri="{3e2802c4-a4d2-4d8b-9148-e3be6c30e623}">
          <xlrd:rvb i="13051"/>
        </ext>
      </extLst>
    </bk>
    <bk>
      <extLst>
        <ext uri="{3e2802c4-a4d2-4d8b-9148-e3be6c30e623}">
          <xlrd:rvb i="13052"/>
        </ext>
      </extLst>
    </bk>
    <bk>
      <extLst>
        <ext uri="{3e2802c4-a4d2-4d8b-9148-e3be6c30e623}">
          <xlrd:rvb i="13053"/>
        </ext>
      </extLst>
    </bk>
    <bk>
      <extLst>
        <ext uri="{3e2802c4-a4d2-4d8b-9148-e3be6c30e623}">
          <xlrd:rvb i="13054"/>
        </ext>
      </extLst>
    </bk>
    <bk>
      <extLst>
        <ext uri="{3e2802c4-a4d2-4d8b-9148-e3be6c30e623}">
          <xlrd:rvb i="13055"/>
        </ext>
      </extLst>
    </bk>
    <bk>
      <extLst>
        <ext uri="{3e2802c4-a4d2-4d8b-9148-e3be6c30e623}">
          <xlrd:rvb i="13056"/>
        </ext>
      </extLst>
    </bk>
    <bk>
      <extLst>
        <ext uri="{3e2802c4-a4d2-4d8b-9148-e3be6c30e623}">
          <xlrd:rvb i="13057"/>
        </ext>
      </extLst>
    </bk>
    <bk>
      <extLst>
        <ext uri="{3e2802c4-a4d2-4d8b-9148-e3be6c30e623}">
          <xlrd:rvb i="13058"/>
        </ext>
      </extLst>
    </bk>
    <bk>
      <extLst>
        <ext uri="{3e2802c4-a4d2-4d8b-9148-e3be6c30e623}">
          <xlrd:rvb i="13059"/>
        </ext>
      </extLst>
    </bk>
    <bk>
      <extLst>
        <ext uri="{3e2802c4-a4d2-4d8b-9148-e3be6c30e623}">
          <xlrd:rvb i="13060"/>
        </ext>
      </extLst>
    </bk>
    <bk>
      <extLst>
        <ext uri="{3e2802c4-a4d2-4d8b-9148-e3be6c30e623}">
          <xlrd:rvb i="13061"/>
        </ext>
      </extLst>
    </bk>
    <bk>
      <extLst>
        <ext uri="{3e2802c4-a4d2-4d8b-9148-e3be6c30e623}">
          <xlrd:rvb i="13062"/>
        </ext>
      </extLst>
    </bk>
    <bk>
      <extLst>
        <ext uri="{3e2802c4-a4d2-4d8b-9148-e3be6c30e623}">
          <xlrd:rvb i="13063"/>
        </ext>
      </extLst>
    </bk>
    <bk>
      <extLst>
        <ext uri="{3e2802c4-a4d2-4d8b-9148-e3be6c30e623}">
          <xlrd:rvb i="13064"/>
        </ext>
      </extLst>
    </bk>
    <bk>
      <extLst>
        <ext uri="{3e2802c4-a4d2-4d8b-9148-e3be6c30e623}">
          <xlrd:rvb i="13065"/>
        </ext>
      </extLst>
    </bk>
    <bk>
      <extLst>
        <ext uri="{3e2802c4-a4d2-4d8b-9148-e3be6c30e623}">
          <xlrd:rvb i="13066"/>
        </ext>
      </extLst>
    </bk>
    <bk>
      <extLst>
        <ext uri="{3e2802c4-a4d2-4d8b-9148-e3be6c30e623}">
          <xlrd:rvb i="13067"/>
        </ext>
      </extLst>
    </bk>
    <bk>
      <extLst>
        <ext uri="{3e2802c4-a4d2-4d8b-9148-e3be6c30e623}">
          <xlrd:rvb i="13068"/>
        </ext>
      </extLst>
    </bk>
    <bk>
      <extLst>
        <ext uri="{3e2802c4-a4d2-4d8b-9148-e3be6c30e623}">
          <xlrd:rvb i="13069"/>
        </ext>
      </extLst>
    </bk>
    <bk>
      <extLst>
        <ext uri="{3e2802c4-a4d2-4d8b-9148-e3be6c30e623}">
          <xlrd:rvb i="13070"/>
        </ext>
      </extLst>
    </bk>
    <bk>
      <extLst>
        <ext uri="{3e2802c4-a4d2-4d8b-9148-e3be6c30e623}">
          <xlrd:rvb i="13071"/>
        </ext>
      </extLst>
    </bk>
    <bk>
      <extLst>
        <ext uri="{3e2802c4-a4d2-4d8b-9148-e3be6c30e623}">
          <xlrd:rvb i="13072"/>
        </ext>
      </extLst>
    </bk>
    <bk>
      <extLst>
        <ext uri="{3e2802c4-a4d2-4d8b-9148-e3be6c30e623}">
          <xlrd:rvb i="13073"/>
        </ext>
      </extLst>
    </bk>
    <bk>
      <extLst>
        <ext uri="{3e2802c4-a4d2-4d8b-9148-e3be6c30e623}">
          <xlrd:rvb i="13074"/>
        </ext>
      </extLst>
    </bk>
    <bk>
      <extLst>
        <ext uri="{3e2802c4-a4d2-4d8b-9148-e3be6c30e623}">
          <xlrd:rvb i="13075"/>
        </ext>
      </extLst>
    </bk>
    <bk>
      <extLst>
        <ext uri="{3e2802c4-a4d2-4d8b-9148-e3be6c30e623}">
          <xlrd:rvb i="13076"/>
        </ext>
      </extLst>
    </bk>
    <bk>
      <extLst>
        <ext uri="{3e2802c4-a4d2-4d8b-9148-e3be6c30e623}">
          <xlrd:rvb i="13077"/>
        </ext>
      </extLst>
    </bk>
    <bk>
      <extLst>
        <ext uri="{3e2802c4-a4d2-4d8b-9148-e3be6c30e623}">
          <xlrd:rvb i="13078"/>
        </ext>
      </extLst>
    </bk>
    <bk>
      <extLst>
        <ext uri="{3e2802c4-a4d2-4d8b-9148-e3be6c30e623}">
          <xlrd:rvb i="13079"/>
        </ext>
      </extLst>
    </bk>
    <bk>
      <extLst>
        <ext uri="{3e2802c4-a4d2-4d8b-9148-e3be6c30e623}">
          <xlrd:rvb i="13080"/>
        </ext>
      </extLst>
    </bk>
    <bk>
      <extLst>
        <ext uri="{3e2802c4-a4d2-4d8b-9148-e3be6c30e623}">
          <xlrd:rvb i="13081"/>
        </ext>
      </extLst>
    </bk>
    <bk>
      <extLst>
        <ext uri="{3e2802c4-a4d2-4d8b-9148-e3be6c30e623}">
          <xlrd:rvb i="13082"/>
        </ext>
      </extLst>
    </bk>
    <bk>
      <extLst>
        <ext uri="{3e2802c4-a4d2-4d8b-9148-e3be6c30e623}">
          <xlrd:rvb i="13083"/>
        </ext>
      </extLst>
    </bk>
    <bk>
      <extLst>
        <ext uri="{3e2802c4-a4d2-4d8b-9148-e3be6c30e623}">
          <xlrd:rvb i="13084"/>
        </ext>
      </extLst>
    </bk>
    <bk>
      <extLst>
        <ext uri="{3e2802c4-a4d2-4d8b-9148-e3be6c30e623}">
          <xlrd:rvb i="13085"/>
        </ext>
      </extLst>
    </bk>
    <bk>
      <extLst>
        <ext uri="{3e2802c4-a4d2-4d8b-9148-e3be6c30e623}">
          <xlrd:rvb i="13086"/>
        </ext>
      </extLst>
    </bk>
    <bk>
      <extLst>
        <ext uri="{3e2802c4-a4d2-4d8b-9148-e3be6c30e623}">
          <xlrd:rvb i="13087"/>
        </ext>
      </extLst>
    </bk>
    <bk>
      <extLst>
        <ext uri="{3e2802c4-a4d2-4d8b-9148-e3be6c30e623}">
          <xlrd:rvb i="13088"/>
        </ext>
      </extLst>
    </bk>
    <bk>
      <extLst>
        <ext uri="{3e2802c4-a4d2-4d8b-9148-e3be6c30e623}">
          <xlrd:rvb i="13089"/>
        </ext>
      </extLst>
    </bk>
    <bk>
      <extLst>
        <ext uri="{3e2802c4-a4d2-4d8b-9148-e3be6c30e623}">
          <xlrd:rvb i="13090"/>
        </ext>
      </extLst>
    </bk>
    <bk>
      <extLst>
        <ext uri="{3e2802c4-a4d2-4d8b-9148-e3be6c30e623}">
          <xlrd:rvb i="13091"/>
        </ext>
      </extLst>
    </bk>
    <bk>
      <extLst>
        <ext uri="{3e2802c4-a4d2-4d8b-9148-e3be6c30e623}">
          <xlrd:rvb i="13092"/>
        </ext>
      </extLst>
    </bk>
    <bk>
      <extLst>
        <ext uri="{3e2802c4-a4d2-4d8b-9148-e3be6c30e623}">
          <xlrd:rvb i="13093"/>
        </ext>
      </extLst>
    </bk>
    <bk>
      <extLst>
        <ext uri="{3e2802c4-a4d2-4d8b-9148-e3be6c30e623}">
          <xlrd:rvb i="13094"/>
        </ext>
      </extLst>
    </bk>
    <bk>
      <extLst>
        <ext uri="{3e2802c4-a4d2-4d8b-9148-e3be6c30e623}">
          <xlrd:rvb i="13095"/>
        </ext>
      </extLst>
    </bk>
    <bk>
      <extLst>
        <ext uri="{3e2802c4-a4d2-4d8b-9148-e3be6c30e623}">
          <xlrd:rvb i="13096"/>
        </ext>
      </extLst>
    </bk>
    <bk>
      <extLst>
        <ext uri="{3e2802c4-a4d2-4d8b-9148-e3be6c30e623}">
          <xlrd:rvb i="13097"/>
        </ext>
      </extLst>
    </bk>
    <bk>
      <extLst>
        <ext uri="{3e2802c4-a4d2-4d8b-9148-e3be6c30e623}">
          <xlrd:rvb i="13098"/>
        </ext>
      </extLst>
    </bk>
    <bk>
      <extLst>
        <ext uri="{3e2802c4-a4d2-4d8b-9148-e3be6c30e623}">
          <xlrd:rvb i="13099"/>
        </ext>
      </extLst>
    </bk>
    <bk>
      <extLst>
        <ext uri="{3e2802c4-a4d2-4d8b-9148-e3be6c30e623}">
          <xlrd:rvb i="13100"/>
        </ext>
      </extLst>
    </bk>
    <bk>
      <extLst>
        <ext uri="{3e2802c4-a4d2-4d8b-9148-e3be6c30e623}">
          <xlrd:rvb i="13101"/>
        </ext>
      </extLst>
    </bk>
    <bk>
      <extLst>
        <ext uri="{3e2802c4-a4d2-4d8b-9148-e3be6c30e623}">
          <xlrd:rvb i="13102"/>
        </ext>
      </extLst>
    </bk>
    <bk>
      <extLst>
        <ext uri="{3e2802c4-a4d2-4d8b-9148-e3be6c30e623}">
          <xlrd:rvb i="13103"/>
        </ext>
      </extLst>
    </bk>
    <bk>
      <extLst>
        <ext uri="{3e2802c4-a4d2-4d8b-9148-e3be6c30e623}">
          <xlrd:rvb i="13104"/>
        </ext>
      </extLst>
    </bk>
    <bk>
      <extLst>
        <ext uri="{3e2802c4-a4d2-4d8b-9148-e3be6c30e623}">
          <xlrd:rvb i="13105"/>
        </ext>
      </extLst>
    </bk>
    <bk>
      <extLst>
        <ext uri="{3e2802c4-a4d2-4d8b-9148-e3be6c30e623}">
          <xlrd:rvb i="13106"/>
        </ext>
      </extLst>
    </bk>
    <bk>
      <extLst>
        <ext uri="{3e2802c4-a4d2-4d8b-9148-e3be6c30e623}">
          <xlrd:rvb i="13107"/>
        </ext>
      </extLst>
    </bk>
    <bk>
      <extLst>
        <ext uri="{3e2802c4-a4d2-4d8b-9148-e3be6c30e623}">
          <xlrd:rvb i="13108"/>
        </ext>
      </extLst>
    </bk>
    <bk>
      <extLst>
        <ext uri="{3e2802c4-a4d2-4d8b-9148-e3be6c30e623}">
          <xlrd:rvb i="13109"/>
        </ext>
      </extLst>
    </bk>
    <bk>
      <extLst>
        <ext uri="{3e2802c4-a4d2-4d8b-9148-e3be6c30e623}">
          <xlrd:rvb i="13110"/>
        </ext>
      </extLst>
    </bk>
    <bk>
      <extLst>
        <ext uri="{3e2802c4-a4d2-4d8b-9148-e3be6c30e623}">
          <xlrd:rvb i="13111"/>
        </ext>
      </extLst>
    </bk>
    <bk>
      <extLst>
        <ext uri="{3e2802c4-a4d2-4d8b-9148-e3be6c30e623}">
          <xlrd:rvb i="13112"/>
        </ext>
      </extLst>
    </bk>
    <bk>
      <extLst>
        <ext uri="{3e2802c4-a4d2-4d8b-9148-e3be6c30e623}">
          <xlrd:rvb i="13113"/>
        </ext>
      </extLst>
    </bk>
    <bk>
      <extLst>
        <ext uri="{3e2802c4-a4d2-4d8b-9148-e3be6c30e623}">
          <xlrd:rvb i="13114"/>
        </ext>
      </extLst>
    </bk>
    <bk>
      <extLst>
        <ext uri="{3e2802c4-a4d2-4d8b-9148-e3be6c30e623}">
          <xlrd:rvb i="13115"/>
        </ext>
      </extLst>
    </bk>
    <bk>
      <extLst>
        <ext uri="{3e2802c4-a4d2-4d8b-9148-e3be6c30e623}">
          <xlrd:rvb i="13116"/>
        </ext>
      </extLst>
    </bk>
    <bk>
      <extLst>
        <ext uri="{3e2802c4-a4d2-4d8b-9148-e3be6c30e623}">
          <xlrd:rvb i="13117"/>
        </ext>
      </extLst>
    </bk>
    <bk>
      <extLst>
        <ext uri="{3e2802c4-a4d2-4d8b-9148-e3be6c30e623}">
          <xlrd:rvb i="13118"/>
        </ext>
      </extLst>
    </bk>
    <bk>
      <extLst>
        <ext uri="{3e2802c4-a4d2-4d8b-9148-e3be6c30e623}">
          <xlrd:rvb i="13119"/>
        </ext>
      </extLst>
    </bk>
    <bk>
      <extLst>
        <ext uri="{3e2802c4-a4d2-4d8b-9148-e3be6c30e623}">
          <xlrd:rvb i="13120"/>
        </ext>
      </extLst>
    </bk>
    <bk>
      <extLst>
        <ext uri="{3e2802c4-a4d2-4d8b-9148-e3be6c30e623}">
          <xlrd:rvb i="13121"/>
        </ext>
      </extLst>
    </bk>
    <bk>
      <extLst>
        <ext uri="{3e2802c4-a4d2-4d8b-9148-e3be6c30e623}">
          <xlrd:rvb i="13122"/>
        </ext>
      </extLst>
    </bk>
    <bk>
      <extLst>
        <ext uri="{3e2802c4-a4d2-4d8b-9148-e3be6c30e623}">
          <xlrd:rvb i="13123"/>
        </ext>
      </extLst>
    </bk>
    <bk>
      <extLst>
        <ext uri="{3e2802c4-a4d2-4d8b-9148-e3be6c30e623}">
          <xlrd:rvb i="13124"/>
        </ext>
      </extLst>
    </bk>
    <bk>
      <extLst>
        <ext uri="{3e2802c4-a4d2-4d8b-9148-e3be6c30e623}">
          <xlrd:rvb i="13125"/>
        </ext>
      </extLst>
    </bk>
    <bk>
      <extLst>
        <ext uri="{3e2802c4-a4d2-4d8b-9148-e3be6c30e623}">
          <xlrd:rvb i="13126"/>
        </ext>
      </extLst>
    </bk>
    <bk>
      <extLst>
        <ext uri="{3e2802c4-a4d2-4d8b-9148-e3be6c30e623}">
          <xlrd:rvb i="13127"/>
        </ext>
      </extLst>
    </bk>
    <bk>
      <extLst>
        <ext uri="{3e2802c4-a4d2-4d8b-9148-e3be6c30e623}">
          <xlrd:rvb i="13128"/>
        </ext>
      </extLst>
    </bk>
    <bk>
      <extLst>
        <ext uri="{3e2802c4-a4d2-4d8b-9148-e3be6c30e623}">
          <xlrd:rvb i="13129"/>
        </ext>
      </extLst>
    </bk>
    <bk>
      <extLst>
        <ext uri="{3e2802c4-a4d2-4d8b-9148-e3be6c30e623}">
          <xlrd:rvb i="13130"/>
        </ext>
      </extLst>
    </bk>
    <bk>
      <extLst>
        <ext uri="{3e2802c4-a4d2-4d8b-9148-e3be6c30e623}">
          <xlrd:rvb i="13131"/>
        </ext>
      </extLst>
    </bk>
    <bk>
      <extLst>
        <ext uri="{3e2802c4-a4d2-4d8b-9148-e3be6c30e623}">
          <xlrd:rvb i="13132"/>
        </ext>
      </extLst>
    </bk>
    <bk>
      <extLst>
        <ext uri="{3e2802c4-a4d2-4d8b-9148-e3be6c30e623}">
          <xlrd:rvb i="13133"/>
        </ext>
      </extLst>
    </bk>
    <bk>
      <extLst>
        <ext uri="{3e2802c4-a4d2-4d8b-9148-e3be6c30e623}">
          <xlrd:rvb i="13134"/>
        </ext>
      </extLst>
    </bk>
    <bk>
      <extLst>
        <ext uri="{3e2802c4-a4d2-4d8b-9148-e3be6c30e623}">
          <xlrd:rvb i="13135"/>
        </ext>
      </extLst>
    </bk>
    <bk>
      <extLst>
        <ext uri="{3e2802c4-a4d2-4d8b-9148-e3be6c30e623}">
          <xlrd:rvb i="13136"/>
        </ext>
      </extLst>
    </bk>
    <bk>
      <extLst>
        <ext uri="{3e2802c4-a4d2-4d8b-9148-e3be6c30e623}">
          <xlrd:rvb i="13137"/>
        </ext>
      </extLst>
    </bk>
    <bk>
      <extLst>
        <ext uri="{3e2802c4-a4d2-4d8b-9148-e3be6c30e623}">
          <xlrd:rvb i="13138"/>
        </ext>
      </extLst>
    </bk>
    <bk>
      <extLst>
        <ext uri="{3e2802c4-a4d2-4d8b-9148-e3be6c30e623}">
          <xlrd:rvb i="13139"/>
        </ext>
      </extLst>
    </bk>
    <bk>
      <extLst>
        <ext uri="{3e2802c4-a4d2-4d8b-9148-e3be6c30e623}">
          <xlrd:rvb i="13140"/>
        </ext>
      </extLst>
    </bk>
    <bk>
      <extLst>
        <ext uri="{3e2802c4-a4d2-4d8b-9148-e3be6c30e623}">
          <xlrd:rvb i="13141"/>
        </ext>
      </extLst>
    </bk>
    <bk>
      <extLst>
        <ext uri="{3e2802c4-a4d2-4d8b-9148-e3be6c30e623}">
          <xlrd:rvb i="13142"/>
        </ext>
      </extLst>
    </bk>
    <bk>
      <extLst>
        <ext uri="{3e2802c4-a4d2-4d8b-9148-e3be6c30e623}">
          <xlrd:rvb i="13143"/>
        </ext>
      </extLst>
    </bk>
    <bk>
      <extLst>
        <ext uri="{3e2802c4-a4d2-4d8b-9148-e3be6c30e623}">
          <xlrd:rvb i="13144"/>
        </ext>
      </extLst>
    </bk>
    <bk>
      <extLst>
        <ext uri="{3e2802c4-a4d2-4d8b-9148-e3be6c30e623}">
          <xlrd:rvb i="13145"/>
        </ext>
      </extLst>
    </bk>
    <bk>
      <extLst>
        <ext uri="{3e2802c4-a4d2-4d8b-9148-e3be6c30e623}">
          <xlrd:rvb i="13146"/>
        </ext>
      </extLst>
    </bk>
    <bk>
      <extLst>
        <ext uri="{3e2802c4-a4d2-4d8b-9148-e3be6c30e623}">
          <xlrd:rvb i="13147"/>
        </ext>
      </extLst>
    </bk>
    <bk>
      <extLst>
        <ext uri="{3e2802c4-a4d2-4d8b-9148-e3be6c30e623}">
          <xlrd:rvb i="13148"/>
        </ext>
      </extLst>
    </bk>
    <bk>
      <extLst>
        <ext uri="{3e2802c4-a4d2-4d8b-9148-e3be6c30e623}">
          <xlrd:rvb i="13149"/>
        </ext>
      </extLst>
    </bk>
    <bk>
      <extLst>
        <ext uri="{3e2802c4-a4d2-4d8b-9148-e3be6c30e623}">
          <xlrd:rvb i="13150"/>
        </ext>
      </extLst>
    </bk>
    <bk>
      <extLst>
        <ext uri="{3e2802c4-a4d2-4d8b-9148-e3be6c30e623}">
          <xlrd:rvb i="13151"/>
        </ext>
      </extLst>
    </bk>
    <bk>
      <extLst>
        <ext uri="{3e2802c4-a4d2-4d8b-9148-e3be6c30e623}">
          <xlrd:rvb i="13152"/>
        </ext>
      </extLst>
    </bk>
    <bk>
      <extLst>
        <ext uri="{3e2802c4-a4d2-4d8b-9148-e3be6c30e623}">
          <xlrd:rvb i="13153"/>
        </ext>
      </extLst>
    </bk>
    <bk>
      <extLst>
        <ext uri="{3e2802c4-a4d2-4d8b-9148-e3be6c30e623}">
          <xlrd:rvb i="13154"/>
        </ext>
      </extLst>
    </bk>
    <bk>
      <extLst>
        <ext uri="{3e2802c4-a4d2-4d8b-9148-e3be6c30e623}">
          <xlrd:rvb i="13155"/>
        </ext>
      </extLst>
    </bk>
    <bk>
      <extLst>
        <ext uri="{3e2802c4-a4d2-4d8b-9148-e3be6c30e623}">
          <xlrd:rvb i="13156"/>
        </ext>
      </extLst>
    </bk>
    <bk>
      <extLst>
        <ext uri="{3e2802c4-a4d2-4d8b-9148-e3be6c30e623}">
          <xlrd:rvb i="13157"/>
        </ext>
      </extLst>
    </bk>
    <bk>
      <extLst>
        <ext uri="{3e2802c4-a4d2-4d8b-9148-e3be6c30e623}">
          <xlrd:rvb i="13158"/>
        </ext>
      </extLst>
    </bk>
    <bk>
      <extLst>
        <ext uri="{3e2802c4-a4d2-4d8b-9148-e3be6c30e623}">
          <xlrd:rvb i="13159"/>
        </ext>
      </extLst>
    </bk>
    <bk>
      <extLst>
        <ext uri="{3e2802c4-a4d2-4d8b-9148-e3be6c30e623}">
          <xlrd:rvb i="13160"/>
        </ext>
      </extLst>
    </bk>
    <bk>
      <extLst>
        <ext uri="{3e2802c4-a4d2-4d8b-9148-e3be6c30e623}">
          <xlrd:rvb i="13161"/>
        </ext>
      </extLst>
    </bk>
    <bk>
      <extLst>
        <ext uri="{3e2802c4-a4d2-4d8b-9148-e3be6c30e623}">
          <xlrd:rvb i="13162"/>
        </ext>
      </extLst>
    </bk>
    <bk>
      <extLst>
        <ext uri="{3e2802c4-a4d2-4d8b-9148-e3be6c30e623}">
          <xlrd:rvb i="13163"/>
        </ext>
      </extLst>
    </bk>
    <bk>
      <extLst>
        <ext uri="{3e2802c4-a4d2-4d8b-9148-e3be6c30e623}">
          <xlrd:rvb i="13164"/>
        </ext>
      </extLst>
    </bk>
    <bk>
      <extLst>
        <ext uri="{3e2802c4-a4d2-4d8b-9148-e3be6c30e623}">
          <xlrd:rvb i="13165"/>
        </ext>
      </extLst>
    </bk>
    <bk>
      <extLst>
        <ext uri="{3e2802c4-a4d2-4d8b-9148-e3be6c30e623}">
          <xlrd:rvb i="13166"/>
        </ext>
      </extLst>
    </bk>
    <bk>
      <extLst>
        <ext uri="{3e2802c4-a4d2-4d8b-9148-e3be6c30e623}">
          <xlrd:rvb i="13167"/>
        </ext>
      </extLst>
    </bk>
    <bk>
      <extLst>
        <ext uri="{3e2802c4-a4d2-4d8b-9148-e3be6c30e623}">
          <xlrd:rvb i="13168"/>
        </ext>
      </extLst>
    </bk>
    <bk>
      <extLst>
        <ext uri="{3e2802c4-a4d2-4d8b-9148-e3be6c30e623}">
          <xlrd:rvb i="13169"/>
        </ext>
      </extLst>
    </bk>
    <bk>
      <extLst>
        <ext uri="{3e2802c4-a4d2-4d8b-9148-e3be6c30e623}">
          <xlrd:rvb i="13170"/>
        </ext>
      </extLst>
    </bk>
    <bk>
      <extLst>
        <ext uri="{3e2802c4-a4d2-4d8b-9148-e3be6c30e623}">
          <xlrd:rvb i="13171"/>
        </ext>
      </extLst>
    </bk>
    <bk>
      <extLst>
        <ext uri="{3e2802c4-a4d2-4d8b-9148-e3be6c30e623}">
          <xlrd:rvb i="13172"/>
        </ext>
      </extLst>
    </bk>
    <bk>
      <extLst>
        <ext uri="{3e2802c4-a4d2-4d8b-9148-e3be6c30e623}">
          <xlrd:rvb i="13173"/>
        </ext>
      </extLst>
    </bk>
    <bk>
      <extLst>
        <ext uri="{3e2802c4-a4d2-4d8b-9148-e3be6c30e623}">
          <xlrd:rvb i="13174"/>
        </ext>
      </extLst>
    </bk>
    <bk>
      <extLst>
        <ext uri="{3e2802c4-a4d2-4d8b-9148-e3be6c30e623}">
          <xlrd:rvb i="13175"/>
        </ext>
      </extLst>
    </bk>
    <bk>
      <extLst>
        <ext uri="{3e2802c4-a4d2-4d8b-9148-e3be6c30e623}">
          <xlrd:rvb i="13176"/>
        </ext>
      </extLst>
    </bk>
    <bk>
      <extLst>
        <ext uri="{3e2802c4-a4d2-4d8b-9148-e3be6c30e623}">
          <xlrd:rvb i="13177"/>
        </ext>
      </extLst>
    </bk>
    <bk>
      <extLst>
        <ext uri="{3e2802c4-a4d2-4d8b-9148-e3be6c30e623}">
          <xlrd:rvb i="13178"/>
        </ext>
      </extLst>
    </bk>
    <bk>
      <extLst>
        <ext uri="{3e2802c4-a4d2-4d8b-9148-e3be6c30e623}">
          <xlrd:rvb i="13179"/>
        </ext>
      </extLst>
    </bk>
    <bk>
      <extLst>
        <ext uri="{3e2802c4-a4d2-4d8b-9148-e3be6c30e623}">
          <xlrd:rvb i="13180"/>
        </ext>
      </extLst>
    </bk>
    <bk>
      <extLst>
        <ext uri="{3e2802c4-a4d2-4d8b-9148-e3be6c30e623}">
          <xlrd:rvb i="13181"/>
        </ext>
      </extLst>
    </bk>
    <bk>
      <extLst>
        <ext uri="{3e2802c4-a4d2-4d8b-9148-e3be6c30e623}">
          <xlrd:rvb i="13182"/>
        </ext>
      </extLst>
    </bk>
    <bk>
      <extLst>
        <ext uri="{3e2802c4-a4d2-4d8b-9148-e3be6c30e623}">
          <xlrd:rvb i="13183"/>
        </ext>
      </extLst>
    </bk>
    <bk>
      <extLst>
        <ext uri="{3e2802c4-a4d2-4d8b-9148-e3be6c30e623}">
          <xlrd:rvb i="13184"/>
        </ext>
      </extLst>
    </bk>
    <bk>
      <extLst>
        <ext uri="{3e2802c4-a4d2-4d8b-9148-e3be6c30e623}">
          <xlrd:rvb i="13185"/>
        </ext>
      </extLst>
    </bk>
    <bk>
      <extLst>
        <ext uri="{3e2802c4-a4d2-4d8b-9148-e3be6c30e623}">
          <xlrd:rvb i="13186"/>
        </ext>
      </extLst>
    </bk>
    <bk>
      <extLst>
        <ext uri="{3e2802c4-a4d2-4d8b-9148-e3be6c30e623}">
          <xlrd:rvb i="13187"/>
        </ext>
      </extLst>
    </bk>
    <bk>
      <extLst>
        <ext uri="{3e2802c4-a4d2-4d8b-9148-e3be6c30e623}">
          <xlrd:rvb i="13188"/>
        </ext>
      </extLst>
    </bk>
    <bk>
      <extLst>
        <ext uri="{3e2802c4-a4d2-4d8b-9148-e3be6c30e623}">
          <xlrd:rvb i="13189"/>
        </ext>
      </extLst>
    </bk>
    <bk>
      <extLst>
        <ext uri="{3e2802c4-a4d2-4d8b-9148-e3be6c30e623}">
          <xlrd:rvb i="13190"/>
        </ext>
      </extLst>
    </bk>
    <bk>
      <extLst>
        <ext uri="{3e2802c4-a4d2-4d8b-9148-e3be6c30e623}">
          <xlrd:rvb i="13191"/>
        </ext>
      </extLst>
    </bk>
    <bk>
      <extLst>
        <ext uri="{3e2802c4-a4d2-4d8b-9148-e3be6c30e623}">
          <xlrd:rvb i="13192"/>
        </ext>
      </extLst>
    </bk>
    <bk>
      <extLst>
        <ext uri="{3e2802c4-a4d2-4d8b-9148-e3be6c30e623}">
          <xlrd:rvb i="13193"/>
        </ext>
      </extLst>
    </bk>
    <bk>
      <extLst>
        <ext uri="{3e2802c4-a4d2-4d8b-9148-e3be6c30e623}">
          <xlrd:rvb i="13194"/>
        </ext>
      </extLst>
    </bk>
    <bk>
      <extLst>
        <ext uri="{3e2802c4-a4d2-4d8b-9148-e3be6c30e623}">
          <xlrd:rvb i="13195"/>
        </ext>
      </extLst>
    </bk>
    <bk>
      <extLst>
        <ext uri="{3e2802c4-a4d2-4d8b-9148-e3be6c30e623}">
          <xlrd:rvb i="13196"/>
        </ext>
      </extLst>
    </bk>
    <bk>
      <extLst>
        <ext uri="{3e2802c4-a4d2-4d8b-9148-e3be6c30e623}">
          <xlrd:rvb i="13197"/>
        </ext>
      </extLst>
    </bk>
    <bk>
      <extLst>
        <ext uri="{3e2802c4-a4d2-4d8b-9148-e3be6c30e623}">
          <xlrd:rvb i="13198"/>
        </ext>
      </extLst>
    </bk>
    <bk>
      <extLst>
        <ext uri="{3e2802c4-a4d2-4d8b-9148-e3be6c30e623}">
          <xlrd:rvb i="13199"/>
        </ext>
      </extLst>
    </bk>
    <bk>
      <extLst>
        <ext uri="{3e2802c4-a4d2-4d8b-9148-e3be6c30e623}">
          <xlrd:rvb i="13200"/>
        </ext>
      </extLst>
    </bk>
    <bk>
      <extLst>
        <ext uri="{3e2802c4-a4d2-4d8b-9148-e3be6c30e623}">
          <xlrd:rvb i="13201"/>
        </ext>
      </extLst>
    </bk>
    <bk>
      <extLst>
        <ext uri="{3e2802c4-a4d2-4d8b-9148-e3be6c30e623}">
          <xlrd:rvb i="13202"/>
        </ext>
      </extLst>
    </bk>
    <bk>
      <extLst>
        <ext uri="{3e2802c4-a4d2-4d8b-9148-e3be6c30e623}">
          <xlrd:rvb i="13203"/>
        </ext>
      </extLst>
    </bk>
    <bk>
      <extLst>
        <ext uri="{3e2802c4-a4d2-4d8b-9148-e3be6c30e623}">
          <xlrd:rvb i="13204"/>
        </ext>
      </extLst>
    </bk>
    <bk>
      <extLst>
        <ext uri="{3e2802c4-a4d2-4d8b-9148-e3be6c30e623}">
          <xlrd:rvb i="13205"/>
        </ext>
      </extLst>
    </bk>
    <bk>
      <extLst>
        <ext uri="{3e2802c4-a4d2-4d8b-9148-e3be6c30e623}">
          <xlrd:rvb i="13206"/>
        </ext>
      </extLst>
    </bk>
    <bk>
      <extLst>
        <ext uri="{3e2802c4-a4d2-4d8b-9148-e3be6c30e623}">
          <xlrd:rvb i="13207"/>
        </ext>
      </extLst>
    </bk>
    <bk>
      <extLst>
        <ext uri="{3e2802c4-a4d2-4d8b-9148-e3be6c30e623}">
          <xlrd:rvb i="13208"/>
        </ext>
      </extLst>
    </bk>
    <bk>
      <extLst>
        <ext uri="{3e2802c4-a4d2-4d8b-9148-e3be6c30e623}">
          <xlrd:rvb i="13209"/>
        </ext>
      </extLst>
    </bk>
    <bk>
      <extLst>
        <ext uri="{3e2802c4-a4d2-4d8b-9148-e3be6c30e623}">
          <xlrd:rvb i="13210"/>
        </ext>
      </extLst>
    </bk>
    <bk>
      <extLst>
        <ext uri="{3e2802c4-a4d2-4d8b-9148-e3be6c30e623}">
          <xlrd:rvb i="13211"/>
        </ext>
      </extLst>
    </bk>
    <bk>
      <extLst>
        <ext uri="{3e2802c4-a4d2-4d8b-9148-e3be6c30e623}">
          <xlrd:rvb i="13212"/>
        </ext>
      </extLst>
    </bk>
    <bk>
      <extLst>
        <ext uri="{3e2802c4-a4d2-4d8b-9148-e3be6c30e623}">
          <xlrd:rvb i="13213"/>
        </ext>
      </extLst>
    </bk>
    <bk>
      <extLst>
        <ext uri="{3e2802c4-a4d2-4d8b-9148-e3be6c30e623}">
          <xlrd:rvb i="13214"/>
        </ext>
      </extLst>
    </bk>
    <bk>
      <extLst>
        <ext uri="{3e2802c4-a4d2-4d8b-9148-e3be6c30e623}">
          <xlrd:rvb i="13215"/>
        </ext>
      </extLst>
    </bk>
    <bk>
      <extLst>
        <ext uri="{3e2802c4-a4d2-4d8b-9148-e3be6c30e623}">
          <xlrd:rvb i="13216"/>
        </ext>
      </extLst>
    </bk>
    <bk>
      <extLst>
        <ext uri="{3e2802c4-a4d2-4d8b-9148-e3be6c30e623}">
          <xlrd:rvb i="13217"/>
        </ext>
      </extLst>
    </bk>
    <bk>
      <extLst>
        <ext uri="{3e2802c4-a4d2-4d8b-9148-e3be6c30e623}">
          <xlrd:rvb i="13218"/>
        </ext>
      </extLst>
    </bk>
    <bk>
      <extLst>
        <ext uri="{3e2802c4-a4d2-4d8b-9148-e3be6c30e623}">
          <xlrd:rvb i="13219"/>
        </ext>
      </extLst>
    </bk>
    <bk>
      <extLst>
        <ext uri="{3e2802c4-a4d2-4d8b-9148-e3be6c30e623}">
          <xlrd:rvb i="13220"/>
        </ext>
      </extLst>
    </bk>
    <bk>
      <extLst>
        <ext uri="{3e2802c4-a4d2-4d8b-9148-e3be6c30e623}">
          <xlrd:rvb i="13221"/>
        </ext>
      </extLst>
    </bk>
    <bk>
      <extLst>
        <ext uri="{3e2802c4-a4d2-4d8b-9148-e3be6c30e623}">
          <xlrd:rvb i="13222"/>
        </ext>
      </extLst>
    </bk>
    <bk>
      <extLst>
        <ext uri="{3e2802c4-a4d2-4d8b-9148-e3be6c30e623}">
          <xlrd:rvb i="13223"/>
        </ext>
      </extLst>
    </bk>
    <bk>
      <extLst>
        <ext uri="{3e2802c4-a4d2-4d8b-9148-e3be6c30e623}">
          <xlrd:rvb i="13224"/>
        </ext>
      </extLst>
    </bk>
    <bk>
      <extLst>
        <ext uri="{3e2802c4-a4d2-4d8b-9148-e3be6c30e623}">
          <xlrd:rvb i="13225"/>
        </ext>
      </extLst>
    </bk>
    <bk>
      <extLst>
        <ext uri="{3e2802c4-a4d2-4d8b-9148-e3be6c30e623}">
          <xlrd:rvb i="13226"/>
        </ext>
      </extLst>
    </bk>
    <bk>
      <extLst>
        <ext uri="{3e2802c4-a4d2-4d8b-9148-e3be6c30e623}">
          <xlrd:rvb i="13227"/>
        </ext>
      </extLst>
    </bk>
    <bk>
      <extLst>
        <ext uri="{3e2802c4-a4d2-4d8b-9148-e3be6c30e623}">
          <xlrd:rvb i="13228"/>
        </ext>
      </extLst>
    </bk>
    <bk>
      <extLst>
        <ext uri="{3e2802c4-a4d2-4d8b-9148-e3be6c30e623}">
          <xlrd:rvb i="13229"/>
        </ext>
      </extLst>
    </bk>
    <bk>
      <extLst>
        <ext uri="{3e2802c4-a4d2-4d8b-9148-e3be6c30e623}">
          <xlrd:rvb i="13230"/>
        </ext>
      </extLst>
    </bk>
    <bk>
      <extLst>
        <ext uri="{3e2802c4-a4d2-4d8b-9148-e3be6c30e623}">
          <xlrd:rvb i="13231"/>
        </ext>
      </extLst>
    </bk>
    <bk>
      <extLst>
        <ext uri="{3e2802c4-a4d2-4d8b-9148-e3be6c30e623}">
          <xlrd:rvb i="13232"/>
        </ext>
      </extLst>
    </bk>
    <bk>
      <extLst>
        <ext uri="{3e2802c4-a4d2-4d8b-9148-e3be6c30e623}">
          <xlrd:rvb i="13233"/>
        </ext>
      </extLst>
    </bk>
    <bk>
      <extLst>
        <ext uri="{3e2802c4-a4d2-4d8b-9148-e3be6c30e623}">
          <xlrd:rvb i="13234"/>
        </ext>
      </extLst>
    </bk>
    <bk>
      <extLst>
        <ext uri="{3e2802c4-a4d2-4d8b-9148-e3be6c30e623}">
          <xlrd:rvb i="13235"/>
        </ext>
      </extLst>
    </bk>
    <bk>
      <extLst>
        <ext uri="{3e2802c4-a4d2-4d8b-9148-e3be6c30e623}">
          <xlrd:rvb i="13236"/>
        </ext>
      </extLst>
    </bk>
    <bk>
      <extLst>
        <ext uri="{3e2802c4-a4d2-4d8b-9148-e3be6c30e623}">
          <xlrd:rvb i="13237"/>
        </ext>
      </extLst>
    </bk>
    <bk>
      <extLst>
        <ext uri="{3e2802c4-a4d2-4d8b-9148-e3be6c30e623}">
          <xlrd:rvb i="13238"/>
        </ext>
      </extLst>
    </bk>
    <bk>
      <extLst>
        <ext uri="{3e2802c4-a4d2-4d8b-9148-e3be6c30e623}">
          <xlrd:rvb i="13239"/>
        </ext>
      </extLst>
    </bk>
    <bk>
      <extLst>
        <ext uri="{3e2802c4-a4d2-4d8b-9148-e3be6c30e623}">
          <xlrd:rvb i="13240"/>
        </ext>
      </extLst>
    </bk>
    <bk>
      <extLst>
        <ext uri="{3e2802c4-a4d2-4d8b-9148-e3be6c30e623}">
          <xlrd:rvb i="13241"/>
        </ext>
      </extLst>
    </bk>
    <bk>
      <extLst>
        <ext uri="{3e2802c4-a4d2-4d8b-9148-e3be6c30e623}">
          <xlrd:rvb i="13242"/>
        </ext>
      </extLst>
    </bk>
    <bk>
      <extLst>
        <ext uri="{3e2802c4-a4d2-4d8b-9148-e3be6c30e623}">
          <xlrd:rvb i="13243"/>
        </ext>
      </extLst>
    </bk>
    <bk>
      <extLst>
        <ext uri="{3e2802c4-a4d2-4d8b-9148-e3be6c30e623}">
          <xlrd:rvb i="13244"/>
        </ext>
      </extLst>
    </bk>
    <bk>
      <extLst>
        <ext uri="{3e2802c4-a4d2-4d8b-9148-e3be6c30e623}">
          <xlrd:rvb i="13245"/>
        </ext>
      </extLst>
    </bk>
    <bk>
      <extLst>
        <ext uri="{3e2802c4-a4d2-4d8b-9148-e3be6c30e623}">
          <xlrd:rvb i="13246"/>
        </ext>
      </extLst>
    </bk>
    <bk>
      <extLst>
        <ext uri="{3e2802c4-a4d2-4d8b-9148-e3be6c30e623}">
          <xlrd:rvb i="13247"/>
        </ext>
      </extLst>
    </bk>
    <bk>
      <extLst>
        <ext uri="{3e2802c4-a4d2-4d8b-9148-e3be6c30e623}">
          <xlrd:rvb i="13248"/>
        </ext>
      </extLst>
    </bk>
    <bk>
      <extLst>
        <ext uri="{3e2802c4-a4d2-4d8b-9148-e3be6c30e623}">
          <xlrd:rvb i="13249"/>
        </ext>
      </extLst>
    </bk>
    <bk>
      <extLst>
        <ext uri="{3e2802c4-a4d2-4d8b-9148-e3be6c30e623}">
          <xlrd:rvb i="13250"/>
        </ext>
      </extLst>
    </bk>
    <bk>
      <extLst>
        <ext uri="{3e2802c4-a4d2-4d8b-9148-e3be6c30e623}">
          <xlrd:rvb i="13251"/>
        </ext>
      </extLst>
    </bk>
    <bk>
      <extLst>
        <ext uri="{3e2802c4-a4d2-4d8b-9148-e3be6c30e623}">
          <xlrd:rvb i="13252"/>
        </ext>
      </extLst>
    </bk>
    <bk>
      <extLst>
        <ext uri="{3e2802c4-a4d2-4d8b-9148-e3be6c30e623}">
          <xlrd:rvb i="13253"/>
        </ext>
      </extLst>
    </bk>
    <bk>
      <extLst>
        <ext uri="{3e2802c4-a4d2-4d8b-9148-e3be6c30e623}">
          <xlrd:rvb i="13254"/>
        </ext>
      </extLst>
    </bk>
    <bk>
      <extLst>
        <ext uri="{3e2802c4-a4d2-4d8b-9148-e3be6c30e623}">
          <xlrd:rvb i="13255"/>
        </ext>
      </extLst>
    </bk>
    <bk>
      <extLst>
        <ext uri="{3e2802c4-a4d2-4d8b-9148-e3be6c30e623}">
          <xlrd:rvb i="13256"/>
        </ext>
      </extLst>
    </bk>
    <bk>
      <extLst>
        <ext uri="{3e2802c4-a4d2-4d8b-9148-e3be6c30e623}">
          <xlrd:rvb i="13257"/>
        </ext>
      </extLst>
    </bk>
    <bk>
      <extLst>
        <ext uri="{3e2802c4-a4d2-4d8b-9148-e3be6c30e623}">
          <xlrd:rvb i="13258"/>
        </ext>
      </extLst>
    </bk>
    <bk>
      <extLst>
        <ext uri="{3e2802c4-a4d2-4d8b-9148-e3be6c30e623}">
          <xlrd:rvb i="13259"/>
        </ext>
      </extLst>
    </bk>
    <bk>
      <extLst>
        <ext uri="{3e2802c4-a4d2-4d8b-9148-e3be6c30e623}">
          <xlrd:rvb i="13260"/>
        </ext>
      </extLst>
    </bk>
    <bk>
      <extLst>
        <ext uri="{3e2802c4-a4d2-4d8b-9148-e3be6c30e623}">
          <xlrd:rvb i="13261"/>
        </ext>
      </extLst>
    </bk>
    <bk>
      <extLst>
        <ext uri="{3e2802c4-a4d2-4d8b-9148-e3be6c30e623}">
          <xlrd:rvb i="13262"/>
        </ext>
      </extLst>
    </bk>
    <bk>
      <extLst>
        <ext uri="{3e2802c4-a4d2-4d8b-9148-e3be6c30e623}">
          <xlrd:rvb i="13263"/>
        </ext>
      </extLst>
    </bk>
    <bk>
      <extLst>
        <ext uri="{3e2802c4-a4d2-4d8b-9148-e3be6c30e623}">
          <xlrd:rvb i="13264"/>
        </ext>
      </extLst>
    </bk>
    <bk>
      <extLst>
        <ext uri="{3e2802c4-a4d2-4d8b-9148-e3be6c30e623}">
          <xlrd:rvb i="13265"/>
        </ext>
      </extLst>
    </bk>
    <bk>
      <extLst>
        <ext uri="{3e2802c4-a4d2-4d8b-9148-e3be6c30e623}">
          <xlrd:rvb i="13266"/>
        </ext>
      </extLst>
    </bk>
    <bk>
      <extLst>
        <ext uri="{3e2802c4-a4d2-4d8b-9148-e3be6c30e623}">
          <xlrd:rvb i="13267"/>
        </ext>
      </extLst>
    </bk>
    <bk>
      <extLst>
        <ext uri="{3e2802c4-a4d2-4d8b-9148-e3be6c30e623}">
          <xlrd:rvb i="13268"/>
        </ext>
      </extLst>
    </bk>
    <bk>
      <extLst>
        <ext uri="{3e2802c4-a4d2-4d8b-9148-e3be6c30e623}">
          <xlrd:rvb i="13269"/>
        </ext>
      </extLst>
    </bk>
    <bk>
      <extLst>
        <ext uri="{3e2802c4-a4d2-4d8b-9148-e3be6c30e623}">
          <xlrd:rvb i="13270"/>
        </ext>
      </extLst>
    </bk>
    <bk>
      <extLst>
        <ext uri="{3e2802c4-a4d2-4d8b-9148-e3be6c30e623}">
          <xlrd:rvb i="13271"/>
        </ext>
      </extLst>
    </bk>
    <bk>
      <extLst>
        <ext uri="{3e2802c4-a4d2-4d8b-9148-e3be6c30e623}">
          <xlrd:rvb i="13272"/>
        </ext>
      </extLst>
    </bk>
    <bk>
      <extLst>
        <ext uri="{3e2802c4-a4d2-4d8b-9148-e3be6c30e623}">
          <xlrd:rvb i="13273"/>
        </ext>
      </extLst>
    </bk>
    <bk>
      <extLst>
        <ext uri="{3e2802c4-a4d2-4d8b-9148-e3be6c30e623}">
          <xlrd:rvb i="13274"/>
        </ext>
      </extLst>
    </bk>
    <bk>
      <extLst>
        <ext uri="{3e2802c4-a4d2-4d8b-9148-e3be6c30e623}">
          <xlrd:rvb i="13275"/>
        </ext>
      </extLst>
    </bk>
    <bk>
      <extLst>
        <ext uri="{3e2802c4-a4d2-4d8b-9148-e3be6c30e623}">
          <xlrd:rvb i="13276"/>
        </ext>
      </extLst>
    </bk>
    <bk>
      <extLst>
        <ext uri="{3e2802c4-a4d2-4d8b-9148-e3be6c30e623}">
          <xlrd:rvb i="13277"/>
        </ext>
      </extLst>
    </bk>
    <bk>
      <extLst>
        <ext uri="{3e2802c4-a4d2-4d8b-9148-e3be6c30e623}">
          <xlrd:rvb i="13278"/>
        </ext>
      </extLst>
    </bk>
    <bk>
      <extLst>
        <ext uri="{3e2802c4-a4d2-4d8b-9148-e3be6c30e623}">
          <xlrd:rvb i="13279"/>
        </ext>
      </extLst>
    </bk>
    <bk>
      <extLst>
        <ext uri="{3e2802c4-a4d2-4d8b-9148-e3be6c30e623}">
          <xlrd:rvb i="13280"/>
        </ext>
      </extLst>
    </bk>
    <bk>
      <extLst>
        <ext uri="{3e2802c4-a4d2-4d8b-9148-e3be6c30e623}">
          <xlrd:rvb i="13281"/>
        </ext>
      </extLst>
    </bk>
    <bk>
      <extLst>
        <ext uri="{3e2802c4-a4d2-4d8b-9148-e3be6c30e623}">
          <xlrd:rvb i="13282"/>
        </ext>
      </extLst>
    </bk>
    <bk>
      <extLst>
        <ext uri="{3e2802c4-a4d2-4d8b-9148-e3be6c30e623}">
          <xlrd:rvb i="13283"/>
        </ext>
      </extLst>
    </bk>
    <bk>
      <extLst>
        <ext uri="{3e2802c4-a4d2-4d8b-9148-e3be6c30e623}">
          <xlrd:rvb i="13284"/>
        </ext>
      </extLst>
    </bk>
    <bk>
      <extLst>
        <ext uri="{3e2802c4-a4d2-4d8b-9148-e3be6c30e623}">
          <xlrd:rvb i="13285"/>
        </ext>
      </extLst>
    </bk>
    <bk>
      <extLst>
        <ext uri="{3e2802c4-a4d2-4d8b-9148-e3be6c30e623}">
          <xlrd:rvb i="13286"/>
        </ext>
      </extLst>
    </bk>
    <bk>
      <extLst>
        <ext uri="{3e2802c4-a4d2-4d8b-9148-e3be6c30e623}">
          <xlrd:rvb i="13287"/>
        </ext>
      </extLst>
    </bk>
    <bk>
      <extLst>
        <ext uri="{3e2802c4-a4d2-4d8b-9148-e3be6c30e623}">
          <xlrd:rvb i="13288"/>
        </ext>
      </extLst>
    </bk>
    <bk>
      <extLst>
        <ext uri="{3e2802c4-a4d2-4d8b-9148-e3be6c30e623}">
          <xlrd:rvb i="13289"/>
        </ext>
      </extLst>
    </bk>
    <bk>
      <extLst>
        <ext uri="{3e2802c4-a4d2-4d8b-9148-e3be6c30e623}">
          <xlrd:rvb i="13290"/>
        </ext>
      </extLst>
    </bk>
    <bk>
      <extLst>
        <ext uri="{3e2802c4-a4d2-4d8b-9148-e3be6c30e623}">
          <xlrd:rvb i="13291"/>
        </ext>
      </extLst>
    </bk>
    <bk>
      <extLst>
        <ext uri="{3e2802c4-a4d2-4d8b-9148-e3be6c30e623}">
          <xlrd:rvb i="13292"/>
        </ext>
      </extLst>
    </bk>
    <bk>
      <extLst>
        <ext uri="{3e2802c4-a4d2-4d8b-9148-e3be6c30e623}">
          <xlrd:rvb i="13293"/>
        </ext>
      </extLst>
    </bk>
    <bk>
      <extLst>
        <ext uri="{3e2802c4-a4d2-4d8b-9148-e3be6c30e623}">
          <xlrd:rvb i="13294"/>
        </ext>
      </extLst>
    </bk>
    <bk>
      <extLst>
        <ext uri="{3e2802c4-a4d2-4d8b-9148-e3be6c30e623}">
          <xlrd:rvb i="13295"/>
        </ext>
      </extLst>
    </bk>
    <bk>
      <extLst>
        <ext uri="{3e2802c4-a4d2-4d8b-9148-e3be6c30e623}">
          <xlrd:rvb i="13296"/>
        </ext>
      </extLst>
    </bk>
    <bk>
      <extLst>
        <ext uri="{3e2802c4-a4d2-4d8b-9148-e3be6c30e623}">
          <xlrd:rvb i="13297"/>
        </ext>
      </extLst>
    </bk>
    <bk>
      <extLst>
        <ext uri="{3e2802c4-a4d2-4d8b-9148-e3be6c30e623}">
          <xlrd:rvb i="13298"/>
        </ext>
      </extLst>
    </bk>
    <bk>
      <extLst>
        <ext uri="{3e2802c4-a4d2-4d8b-9148-e3be6c30e623}">
          <xlrd:rvb i="13299"/>
        </ext>
      </extLst>
    </bk>
    <bk>
      <extLst>
        <ext uri="{3e2802c4-a4d2-4d8b-9148-e3be6c30e623}">
          <xlrd:rvb i="13300"/>
        </ext>
      </extLst>
    </bk>
    <bk>
      <extLst>
        <ext uri="{3e2802c4-a4d2-4d8b-9148-e3be6c30e623}">
          <xlrd:rvb i="13301"/>
        </ext>
      </extLst>
    </bk>
    <bk>
      <extLst>
        <ext uri="{3e2802c4-a4d2-4d8b-9148-e3be6c30e623}">
          <xlrd:rvb i="13302"/>
        </ext>
      </extLst>
    </bk>
    <bk>
      <extLst>
        <ext uri="{3e2802c4-a4d2-4d8b-9148-e3be6c30e623}">
          <xlrd:rvb i="13303"/>
        </ext>
      </extLst>
    </bk>
    <bk>
      <extLst>
        <ext uri="{3e2802c4-a4d2-4d8b-9148-e3be6c30e623}">
          <xlrd:rvb i="13304"/>
        </ext>
      </extLst>
    </bk>
    <bk>
      <extLst>
        <ext uri="{3e2802c4-a4d2-4d8b-9148-e3be6c30e623}">
          <xlrd:rvb i="13305"/>
        </ext>
      </extLst>
    </bk>
    <bk>
      <extLst>
        <ext uri="{3e2802c4-a4d2-4d8b-9148-e3be6c30e623}">
          <xlrd:rvb i="13306"/>
        </ext>
      </extLst>
    </bk>
    <bk>
      <extLst>
        <ext uri="{3e2802c4-a4d2-4d8b-9148-e3be6c30e623}">
          <xlrd:rvb i="13307"/>
        </ext>
      </extLst>
    </bk>
    <bk>
      <extLst>
        <ext uri="{3e2802c4-a4d2-4d8b-9148-e3be6c30e623}">
          <xlrd:rvb i="13308"/>
        </ext>
      </extLst>
    </bk>
    <bk>
      <extLst>
        <ext uri="{3e2802c4-a4d2-4d8b-9148-e3be6c30e623}">
          <xlrd:rvb i="13309"/>
        </ext>
      </extLst>
    </bk>
    <bk>
      <extLst>
        <ext uri="{3e2802c4-a4d2-4d8b-9148-e3be6c30e623}">
          <xlrd:rvb i="13310"/>
        </ext>
      </extLst>
    </bk>
    <bk>
      <extLst>
        <ext uri="{3e2802c4-a4d2-4d8b-9148-e3be6c30e623}">
          <xlrd:rvb i="13311"/>
        </ext>
      </extLst>
    </bk>
    <bk>
      <extLst>
        <ext uri="{3e2802c4-a4d2-4d8b-9148-e3be6c30e623}">
          <xlrd:rvb i="13312"/>
        </ext>
      </extLst>
    </bk>
    <bk>
      <extLst>
        <ext uri="{3e2802c4-a4d2-4d8b-9148-e3be6c30e623}">
          <xlrd:rvb i="13313"/>
        </ext>
      </extLst>
    </bk>
    <bk>
      <extLst>
        <ext uri="{3e2802c4-a4d2-4d8b-9148-e3be6c30e623}">
          <xlrd:rvb i="13314"/>
        </ext>
      </extLst>
    </bk>
    <bk>
      <extLst>
        <ext uri="{3e2802c4-a4d2-4d8b-9148-e3be6c30e623}">
          <xlrd:rvb i="13315"/>
        </ext>
      </extLst>
    </bk>
    <bk>
      <extLst>
        <ext uri="{3e2802c4-a4d2-4d8b-9148-e3be6c30e623}">
          <xlrd:rvb i="13316"/>
        </ext>
      </extLst>
    </bk>
    <bk>
      <extLst>
        <ext uri="{3e2802c4-a4d2-4d8b-9148-e3be6c30e623}">
          <xlrd:rvb i="13317"/>
        </ext>
      </extLst>
    </bk>
    <bk>
      <extLst>
        <ext uri="{3e2802c4-a4d2-4d8b-9148-e3be6c30e623}">
          <xlrd:rvb i="13318"/>
        </ext>
      </extLst>
    </bk>
    <bk>
      <extLst>
        <ext uri="{3e2802c4-a4d2-4d8b-9148-e3be6c30e623}">
          <xlrd:rvb i="13319"/>
        </ext>
      </extLst>
    </bk>
    <bk>
      <extLst>
        <ext uri="{3e2802c4-a4d2-4d8b-9148-e3be6c30e623}">
          <xlrd:rvb i="13320"/>
        </ext>
      </extLst>
    </bk>
    <bk>
      <extLst>
        <ext uri="{3e2802c4-a4d2-4d8b-9148-e3be6c30e623}">
          <xlrd:rvb i="13321"/>
        </ext>
      </extLst>
    </bk>
    <bk>
      <extLst>
        <ext uri="{3e2802c4-a4d2-4d8b-9148-e3be6c30e623}">
          <xlrd:rvb i="13322"/>
        </ext>
      </extLst>
    </bk>
    <bk>
      <extLst>
        <ext uri="{3e2802c4-a4d2-4d8b-9148-e3be6c30e623}">
          <xlrd:rvb i="13323"/>
        </ext>
      </extLst>
    </bk>
    <bk>
      <extLst>
        <ext uri="{3e2802c4-a4d2-4d8b-9148-e3be6c30e623}">
          <xlrd:rvb i="13324"/>
        </ext>
      </extLst>
    </bk>
    <bk>
      <extLst>
        <ext uri="{3e2802c4-a4d2-4d8b-9148-e3be6c30e623}">
          <xlrd:rvb i="13325"/>
        </ext>
      </extLst>
    </bk>
    <bk>
      <extLst>
        <ext uri="{3e2802c4-a4d2-4d8b-9148-e3be6c30e623}">
          <xlrd:rvb i="13326"/>
        </ext>
      </extLst>
    </bk>
    <bk>
      <extLst>
        <ext uri="{3e2802c4-a4d2-4d8b-9148-e3be6c30e623}">
          <xlrd:rvb i="13327"/>
        </ext>
      </extLst>
    </bk>
    <bk>
      <extLst>
        <ext uri="{3e2802c4-a4d2-4d8b-9148-e3be6c30e623}">
          <xlrd:rvb i="13328"/>
        </ext>
      </extLst>
    </bk>
    <bk>
      <extLst>
        <ext uri="{3e2802c4-a4d2-4d8b-9148-e3be6c30e623}">
          <xlrd:rvb i="13329"/>
        </ext>
      </extLst>
    </bk>
    <bk>
      <extLst>
        <ext uri="{3e2802c4-a4d2-4d8b-9148-e3be6c30e623}">
          <xlrd:rvb i="13330"/>
        </ext>
      </extLst>
    </bk>
    <bk>
      <extLst>
        <ext uri="{3e2802c4-a4d2-4d8b-9148-e3be6c30e623}">
          <xlrd:rvb i="13331"/>
        </ext>
      </extLst>
    </bk>
    <bk>
      <extLst>
        <ext uri="{3e2802c4-a4d2-4d8b-9148-e3be6c30e623}">
          <xlrd:rvb i="13332"/>
        </ext>
      </extLst>
    </bk>
    <bk>
      <extLst>
        <ext uri="{3e2802c4-a4d2-4d8b-9148-e3be6c30e623}">
          <xlrd:rvb i="13333"/>
        </ext>
      </extLst>
    </bk>
    <bk>
      <extLst>
        <ext uri="{3e2802c4-a4d2-4d8b-9148-e3be6c30e623}">
          <xlrd:rvb i="13334"/>
        </ext>
      </extLst>
    </bk>
    <bk>
      <extLst>
        <ext uri="{3e2802c4-a4d2-4d8b-9148-e3be6c30e623}">
          <xlrd:rvb i="13335"/>
        </ext>
      </extLst>
    </bk>
    <bk>
      <extLst>
        <ext uri="{3e2802c4-a4d2-4d8b-9148-e3be6c30e623}">
          <xlrd:rvb i="13336"/>
        </ext>
      </extLst>
    </bk>
    <bk>
      <extLst>
        <ext uri="{3e2802c4-a4d2-4d8b-9148-e3be6c30e623}">
          <xlrd:rvb i="13337"/>
        </ext>
      </extLst>
    </bk>
    <bk>
      <extLst>
        <ext uri="{3e2802c4-a4d2-4d8b-9148-e3be6c30e623}">
          <xlrd:rvb i="13338"/>
        </ext>
      </extLst>
    </bk>
    <bk>
      <extLst>
        <ext uri="{3e2802c4-a4d2-4d8b-9148-e3be6c30e623}">
          <xlrd:rvb i="13339"/>
        </ext>
      </extLst>
    </bk>
    <bk>
      <extLst>
        <ext uri="{3e2802c4-a4d2-4d8b-9148-e3be6c30e623}">
          <xlrd:rvb i="13340"/>
        </ext>
      </extLst>
    </bk>
    <bk>
      <extLst>
        <ext uri="{3e2802c4-a4d2-4d8b-9148-e3be6c30e623}">
          <xlrd:rvb i="13341"/>
        </ext>
      </extLst>
    </bk>
    <bk>
      <extLst>
        <ext uri="{3e2802c4-a4d2-4d8b-9148-e3be6c30e623}">
          <xlrd:rvb i="13342"/>
        </ext>
      </extLst>
    </bk>
    <bk>
      <extLst>
        <ext uri="{3e2802c4-a4d2-4d8b-9148-e3be6c30e623}">
          <xlrd:rvb i="13343"/>
        </ext>
      </extLst>
    </bk>
    <bk>
      <extLst>
        <ext uri="{3e2802c4-a4d2-4d8b-9148-e3be6c30e623}">
          <xlrd:rvb i="13344"/>
        </ext>
      </extLst>
    </bk>
    <bk>
      <extLst>
        <ext uri="{3e2802c4-a4d2-4d8b-9148-e3be6c30e623}">
          <xlrd:rvb i="13345"/>
        </ext>
      </extLst>
    </bk>
    <bk>
      <extLst>
        <ext uri="{3e2802c4-a4d2-4d8b-9148-e3be6c30e623}">
          <xlrd:rvb i="13346"/>
        </ext>
      </extLst>
    </bk>
    <bk>
      <extLst>
        <ext uri="{3e2802c4-a4d2-4d8b-9148-e3be6c30e623}">
          <xlrd:rvb i="13347"/>
        </ext>
      </extLst>
    </bk>
    <bk>
      <extLst>
        <ext uri="{3e2802c4-a4d2-4d8b-9148-e3be6c30e623}">
          <xlrd:rvb i="13348"/>
        </ext>
      </extLst>
    </bk>
    <bk>
      <extLst>
        <ext uri="{3e2802c4-a4d2-4d8b-9148-e3be6c30e623}">
          <xlrd:rvb i="13349"/>
        </ext>
      </extLst>
    </bk>
    <bk>
      <extLst>
        <ext uri="{3e2802c4-a4d2-4d8b-9148-e3be6c30e623}">
          <xlrd:rvb i="13350"/>
        </ext>
      </extLst>
    </bk>
    <bk>
      <extLst>
        <ext uri="{3e2802c4-a4d2-4d8b-9148-e3be6c30e623}">
          <xlrd:rvb i="13351"/>
        </ext>
      </extLst>
    </bk>
    <bk>
      <extLst>
        <ext uri="{3e2802c4-a4d2-4d8b-9148-e3be6c30e623}">
          <xlrd:rvb i="13352"/>
        </ext>
      </extLst>
    </bk>
    <bk>
      <extLst>
        <ext uri="{3e2802c4-a4d2-4d8b-9148-e3be6c30e623}">
          <xlrd:rvb i="13353"/>
        </ext>
      </extLst>
    </bk>
    <bk>
      <extLst>
        <ext uri="{3e2802c4-a4d2-4d8b-9148-e3be6c30e623}">
          <xlrd:rvb i="13354"/>
        </ext>
      </extLst>
    </bk>
    <bk>
      <extLst>
        <ext uri="{3e2802c4-a4d2-4d8b-9148-e3be6c30e623}">
          <xlrd:rvb i="13355"/>
        </ext>
      </extLst>
    </bk>
    <bk>
      <extLst>
        <ext uri="{3e2802c4-a4d2-4d8b-9148-e3be6c30e623}">
          <xlrd:rvb i="13356"/>
        </ext>
      </extLst>
    </bk>
    <bk>
      <extLst>
        <ext uri="{3e2802c4-a4d2-4d8b-9148-e3be6c30e623}">
          <xlrd:rvb i="13357"/>
        </ext>
      </extLst>
    </bk>
    <bk>
      <extLst>
        <ext uri="{3e2802c4-a4d2-4d8b-9148-e3be6c30e623}">
          <xlrd:rvb i="13358"/>
        </ext>
      </extLst>
    </bk>
    <bk>
      <extLst>
        <ext uri="{3e2802c4-a4d2-4d8b-9148-e3be6c30e623}">
          <xlrd:rvb i="13359"/>
        </ext>
      </extLst>
    </bk>
    <bk>
      <extLst>
        <ext uri="{3e2802c4-a4d2-4d8b-9148-e3be6c30e623}">
          <xlrd:rvb i="13360"/>
        </ext>
      </extLst>
    </bk>
    <bk>
      <extLst>
        <ext uri="{3e2802c4-a4d2-4d8b-9148-e3be6c30e623}">
          <xlrd:rvb i="13361"/>
        </ext>
      </extLst>
    </bk>
    <bk>
      <extLst>
        <ext uri="{3e2802c4-a4d2-4d8b-9148-e3be6c30e623}">
          <xlrd:rvb i="13362"/>
        </ext>
      </extLst>
    </bk>
    <bk>
      <extLst>
        <ext uri="{3e2802c4-a4d2-4d8b-9148-e3be6c30e623}">
          <xlrd:rvb i="13363"/>
        </ext>
      </extLst>
    </bk>
    <bk>
      <extLst>
        <ext uri="{3e2802c4-a4d2-4d8b-9148-e3be6c30e623}">
          <xlrd:rvb i="13364"/>
        </ext>
      </extLst>
    </bk>
    <bk>
      <extLst>
        <ext uri="{3e2802c4-a4d2-4d8b-9148-e3be6c30e623}">
          <xlrd:rvb i="13365"/>
        </ext>
      </extLst>
    </bk>
    <bk>
      <extLst>
        <ext uri="{3e2802c4-a4d2-4d8b-9148-e3be6c30e623}">
          <xlrd:rvb i="13366"/>
        </ext>
      </extLst>
    </bk>
    <bk>
      <extLst>
        <ext uri="{3e2802c4-a4d2-4d8b-9148-e3be6c30e623}">
          <xlrd:rvb i="13367"/>
        </ext>
      </extLst>
    </bk>
    <bk>
      <extLst>
        <ext uri="{3e2802c4-a4d2-4d8b-9148-e3be6c30e623}">
          <xlrd:rvb i="13368"/>
        </ext>
      </extLst>
    </bk>
    <bk>
      <extLst>
        <ext uri="{3e2802c4-a4d2-4d8b-9148-e3be6c30e623}">
          <xlrd:rvb i="13369"/>
        </ext>
      </extLst>
    </bk>
    <bk>
      <extLst>
        <ext uri="{3e2802c4-a4d2-4d8b-9148-e3be6c30e623}">
          <xlrd:rvb i="13370"/>
        </ext>
      </extLst>
    </bk>
    <bk>
      <extLst>
        <ext uri="{3e2802c4-a4d2-4d8b-9148-e3be6c30e623}">
          <xlrd:rvb i="13371"/>
        </ext>
      </extLst>
    </bk>
    <bk>
      <extLst>
        <ext uri="{3e2802c4-a4d2-4d8b-9148-e3be6c30e623}">
          <xlrd:rvb i="13372"/>
        </ext>
      </extLst>
    </bk>
    <bk>
      <extLst>
        <ext uri="{3e2802c4-a4d2-4d8b-9148-e3be6c30e623}">
          <xlrd:rvb i="13373"/>
        </ext>
      </extLst>
    </bk>
    <bk>
      <extLst>
        <ext uri="{3e2802c4-a4d2-4d8b-9148-e3be6c30e623}">
          <xlrd:rvb i="13374"/>
        </ext>
      </extLst>
    </bk>
    <bk>
      <extLst>
        <ext uri="{3e2802c4-a4d2-4d8b-9148-e3be6c30e623}">
          <xlrd:rvb i="13375"/>
        </ext>
      </extLst>
    </bk>
    <bk>
      <extLst>
        <ext uri="{3e2802c4-a4d2-4d8b-9148-e3be6c30e623}">
          <xlrd:rvb i="13376"/>
        </ext>
      </extLst>
    </bk>
    <bk>
      <extLst>
        <ext uri="{3e2802c4-a4d2-4d8b-9148-e3be6c30e623}">
          <xlrd:rvb i="13377"/>
        </ext>
      </extLst>
    </bk>
    <bk>
      <extLst>
        <ext uri="{3e2802c4-a4d2-4d8b-9148-e3be6c30e623}">
          <xlrd:rvb i="13378"/>
        </ext>
      </extLst>
    </bk>
    <bk>
      <extLst>
        <ext uri="{3e2802c4-a4d2-4d8b-9148-e3be6c30e623}">
          <xlrd:rvb i="13379"/>
        </ext>
      </extLst>
    </bk>
    <bk>
      <extLst>
        <ext uri="{3e2802c4-a4d2-4d8b-9148-e3be6c30e623}">
          <xlrd:rvb i="13380"/>
        </ext>
      </extLst>
    </bk>
    <bk>
      <extLst>
        <ext uri="{3e2802c4-a4d2-4d8b-9148-e3be6c30e623}">
          <xlrd:rvb i="13381"/>
        </ext>
      </extLst>
    </bk>
    <bk>
      <extLst>
        <ext uri="{3e2802c4-a4d2-4d8b-9148-e3be6c30e623}">
          <xlrd:rvb i="13382"/>
        </ext>
      </extLst>
    </bk>
    <bk>
      <extLst>
        <ext uri="{3e2802c4-a4d2-4d8b-9148-e3be6c30e623}">
          <xlrd:rvb i="13383"/>
        </ext>
      </extLst>
    </bk>
    <bk>
      <extLst>
        <ext uri="{3e2802c4-a4d2-4d8b-9148-e3be6c30e623}">
          <xlrd:rvb i="13384"/>
        </ext>
      </extLst>
    </bk>
    <bk>
      <extLst>
        <ext uri="{3e2802c4-a4d2-4d8b-9148-e3be6c30e623}">
          <xlrd:rvb i="13385"/>
        </ext>
      </extLst>
    </bk>
    <bk>
      <extLst>
        <ext uri="{3e2802c4-a4d2-4d8b-9148-e3be6c30e623}">
          <xlrd:rvb i="13386"/>
        </ext>
      </extLst>
    </bk>
    <bk>
      <extLst>
        <ext uri="{3e2802c4-a4d2-4d8b-9148-e3be6c30e623}">
          <xlrd:rvb i="13387"/>
        </ext>
      </extLst>
    </bk>
    <bk>
      <extLst>
        <ext uri="{3e2802c4-a4d2-4d8b-9148-e3be6c30e623}">
          <xlrd:rvb i="13388"/>
        </ext>
      </extLst>
    </bk>
    <bk>
      <extLst>
        <ext uri="{3e2802c4-a4d2-4d8b-9148-e3be6c30e623}">
          <xlrd:rvb i="13389"/>
        </ext>
      </extLst>
    </bk>
    <bk>
      <extLst>
        <ext uri="{3e2802c4-a4d2-4d8b-9148-e3be6c30e623}">
          <xlrd:rvb i="13390"/>
        </ext>
      </extLst>
    </bk>
    <bk>
      <extLst>
        <ext uri="{3e2802c4-a4d2-4d8b-9148-e3be6c30e623}">
          <xlrd:rvb i="13391"/>
        </ext>
      </extLst>
    </bk>
    <bk>
      <extLst>
        <ext uri="{3e2802c4-a4d2-4d8b-9148-e3be6c30e623}">
          <xlrd:rvb i="13392"/>
        </ext>
      </extLst>
    </bk>
    <bk>
      <extLst>
        <ext uri="{3e2802c4-a4d2-4d8b-9148-e3be6c30e623}">
          <xlrd:rvb i="13393"/>
        </ext>
      </extLst>
    </bk>
    <bk>
      <extLst>
        <ext uri="{3e2802c4-a4d2-4d8b-9148-e3be6c30e623}">
          <xlrd:rvb i="13394"/>
        </ext>
      </extLst>
    </bk>
    <bk>
      <extLst>
        <ext uri="{3e2802c4-a4d2-4d8b-9148-e3be6c30e623}">
          <xlrd:rvb i="13395"/>
        </ext>
      </extLst>
    </bk>
    <bk>
      <extLst>
        <ext uri="{3e2802c4-a4d2-4d8b-9148-e3be6c30e623}">
          <xlrd:rvb i="13396"/>
        </ext>
      </extLst>
    </bk>
    <bk>
      <extLst>
        <ext uri="{3e2802c4-a4d2-4d8b-9148-e3be6c30e623}">
          <xlrd:rvb i="13397"/>
        </ext>
      </extLst>
    </bk>
    <bk>
      <extLst>
        <ext uri="{3e2802c4-a4d2-4d8b-9148-e3be6c30e623}">
          <xlrd:rvb i="13398"/>
        </ext>
      </extLst>
    </bk>
    <bk>
      <extLst>
        <ext uri="{3e2802c4-a4d2-4d8b-9148-e3be6c30e623}">
          <xlrd:rvb i="13399"/>
        </ext>
      </extLst>
    </bk>
    <bk>
      <extLst>
        <ext uri="{3e2802c4-a4d2-4d8b-9148-e3be6c30e623}">
          <xlrd:rvb i="13400"/>
        </ext>
      </extLst>
    </bk>
    <bk>
      <extLst>
        <ext uri="{3e2802c4-a4d2-4d8b-9148-e3be6c30e623}">
          <xlrd:rvb i="13401"/>
        </ext>
      </extLst>
    </bk>
    <bk>
      <extLst>
        <ext uri="{3e2802c4-a4d2-4d8b-9148-e3be6c30e623}">
          <xlrd:rvb i="13402"/>
        </ext>
      </extLst>
    </bk>
    <bk>
      <extLst>
        <ext uri="{3e2802c4-a4d2-4d8b-9148-e3be6c30e623}">
          <xlrd:rvb i="13403"/>
        </ext>
      </extLst>
    </bk>
    <bk>
      <extLst>
        <ext uri="{3e2802c4-a4d2-4d8b-9148-e3be6c30e623}">
          <xlrd:rvb i="13404"/>
        </ext>
      </extLst>
    </bk>
    <bk>
      <extLst>
        <ext uri="{3e2802c4-a4d2-4d8b-9148-e3be6c30e623}">
          <xlrd:rvb i="13405"/>
        </ext>
      </extLst>
    </bk>
    <bk>
      <extLst>
        <ext uri="{3e2802c4-a4d2-4d8b-9148-e3be6c30e623}">
          <xlrd:rvb i="13406"/>
        </ext>
      </extLst>
    </bk>
    <bk>
      <extLst>
        <ext uri="{3e2802c4-a4d2-4d8b-9148-e3be6c30e623}">
          <xlrd:rvb i="13407"/>
        </ext>
      </extLst>
    </bk>
    <bk>
      <extLst>
        <ext uri="{3e2802c4-a4d2-4d8b-9148-e3be6c30e623}">
          <xlrd:rvb i="13408"/>
        </ext>
      </extLst>
    </bk>
    <bk>
      <extLst>
        <ext uri="{3e2802c4-a4d2-4d8b-9148-e3be6c30e623}">
          <xlrd:rvb i="13409"/>
        </ext>
      </extLst>
    </bk>
    <bk>
      <extLst>
        <ext uri="{3e2802c4-a4d2-4d8b-9148-e3be6c30e623}">
          <xlrd:rvb i="13410"/>
        </ext>
      </extLst>
    </bk>
    <bk>
      <extLst>
        <ext uri="{3e2802c4-a4d2-4d8b-9148-e3be6c30e623}">
          <xlrd:rvb i="13411"/>
        </ext>
      </extLst>
    </bk>
    <bk>
      <extLst>
        <ext uri="{3e2802c4-a4d2-4d8b-9148-e3be6c30e623}">
          <xlrd:rvb i="13412"/>
        </ext>
      </extLst>
    </bk>
    <bk>
      <extLst>
        <ext uri="{3e2802c4-a4d2-4d8b-9148-e3be6c30e623}">
          <xlrd:rvb i="13413"/>
        </ext>
      </extLst>
    </bk>
    <bk>
      <extLst>
        <ext uri="{3e2802c4-a4d2-4d8b-9148-e3be6c30e623}">
          <xlrd:rvb i="13414"/>
        </ext>
      </extLst>
    </bk>
    <bk>
      <extLst>
        <ext uri="{3e2802c4-a4d2-4d8b-9148-e3be6c30e623}">
          <xlrd:rvb i="13415"/>
        </ext>
      </extLst>
    </bk>
    <bk>
      <extLst>
        <ext uri="{3e2802c4-a4d2-4d8b-9148-e3be6c30e623}">
          <xlrd:rvb i="13416"/>
        </ext>
      </extLst>
    </bk>
    <bk>
      <extLst>
        <ext uri="{3e2802c4-a4d2-4d8b-9148-e3be6c30e623}">
          <xlrd:rvb i="13417"/>
        </ext>
      </extLst>
    </bk>
    <bk>
      <extLst>
        <ext uri="{3e2802c4-a4d2-4d8b-9148-e3be6c30e623}">
          <xlrd:rvb i="13418"/>
        </ext>
      </extLst>
    </bk>
    <bk>
      <extLst>
        <ext uri="{3e2802c4-a4d2-4d8b-9148-e3be6c30e623}">
          <xlrd:rvb i="13419"/>
        </ext>
      </extLst>
    </bk>
    <bk>
      <extLst>
        <ext uri="{3e2802c4-a4d2-4d8b-9148-e3be6c30e623}">
          <xlrd:rvb i="13420"/>
        </ext>
      </extLst>
    </bk>
    <bk>
      <extLst>
        <ext uri="{3e2802c4-a4d2-4d8b-9148-e3be6c30e623}">
          <xlrd:rvb i="13421"/>
        </ext>
      </extLst>
    </bk>
    <bk>
      <extLst>
        <ext uri="{3e2802c4-a4d2-4d8b-9148-e3be6c30e623}">
          <xlrd:rvb i="13422"/>
        </ext>
      </extLst>
    </bk>
    <bk>
      <extLst>
        <ext uri="{3e2802c4-a4d2-4d8b-9148-e3be6c30e623}">
          <xlrd:rvb i="13423"/>
        </ext>
      </extLst>
    </bk>
    <bk>
      <extLst>
        <ext uri="{3e2802c4-a4d2-4d8b-9148-e3be6c30e623}">
          <xlrd:rvb i="13424"/>
        </ext>
      </extLst>
    </bk>
    <bk>
      <extLst>
        <ext uri="{3e2802c4-a4d2-4d8b-9148-e3be6c30e623}">
          <xlrd:rvb i="13425"/>
        </ext>
      </extLst>
    </bk>
    <bk>
      <extLst>
        <ext uri="{3e2802c4-a4d2-4d8b-9148-e3be6c30e623}">
          <xlrd:rvb i="13426"/>
        </ext>
      </extLst>
    </bk>
    <bk>
      <extLst>
        <ext uri="{3e2802c4-a4d2-4d8b-9148-e3be6c30e623}">
          <xlrd:rvb i="13427"/>
        </ext>
      </extLst>
    </bk>
    <bk>
      <extLst>
        <ext uri="{3e2802c4-a4d2-4d8b-9148-e3be6c30e623}">
          <xlrd:rvb i="13428"/>
        </ext>
      </extLst>
    </bk>
    <bk>
      <extLst>
        <ext uri="{3e2802c4-a4d2-4d8b-9148-e3be6c30e623}">
          <xlrd:rvb i="13429"/>
        </ext>
      </extLst>
    </bk>
    <bk>
      <extLst>
        <ext uri="{3e2802c4-a4d2-4d8b-9148-e3be6c30e623}">
          <xlrd:rvb i="13430"/>
        </ext>
      </extLst>
    </bk>
    <bk>
      <extLst>
        <ext uri="{3e2802c4-a4d2-4d8b-9148-e3be6c30e623}">
          <xlrd:rvb i="13431"/>
        </ext>
      </extLst>
    </bk>
    <bk>
      <extLst>
        <ext uri="{3e2802c4-a4d2-4d8b-9148-e3be6c30e623}">
          <xlrd:rvb i="13432"/>
        </ext>
      </extLst>
    </bk>
    <bk>
      <extLst>
        <ext uri="{3e2802c4-a4d2-4d8b-9148-e3be6c30e623}">
          <xlrd:rvb i="13433"/>
        </ext>
      </extLst>
    </bk>
    <bk>
      <extLst>
        <ext uri="{3e2802c4-a4d2-4d8b-9148-e3be6c30e623}">
          <xlrd:rvb i="13434"/>
        </ext>
      </extLst>
    </bk>
    <bk>
      <extLst>
        <ext uri="{3e2802c4-a4d2-4d8b-9148-e3be6c30e623}">
          <xlrd:rvb i="13435"/>
        </ext>
      </extLst>
    </bk>
    <bk>
      <extLst>
        <ext uri="{3e2802c4-a4d2-4d8b-9148-e3be6c30e623}">
          <xlrd:rvb i="13436"/>
        </ext>
      </extLst>
    </bk>
    <bk>
      <extLst>
        <ext uri="{3e2802c4-a4d2-4d8b-9148-e3be6c30e623}">
          <xlrd:rvb i="13437"/>
        </ext>
      </extLst>
    </bk>
    <bk>
      <extLst>
        <ext uri="{3e2802c4-a4d2-4d8b-9148-e3be6c30e623}">
          <xlrd:rvb i="13438"/>
        </ext>
      </extLst>
    </bk>
    <bk>
      <extLst>
        <ext uri="{3e2802c4-a4d2-4d8b-9148-e3be6c30e623}">
          <xlrd:rvb i="13439"/>
        </ext>
      </extLst>
    </bk>
    <bk>
      <extLst>
        <ext uri="{3e2802c4-a4d2-4d8b-9148-e3be6c30e623}">
          <xlrd:rvb i="13440"/>
        </ext>
      </extLst>
    </bk>
    <bk>
      <extLst>
        <ext uri="{3e2802c4-a4d2-4d8b-9148-e3be6c30e623}">
          <xlrd:rvb i="13441"/>
        </ext>
      </extLst>
    </bk>
    <bk>
      <extLst>
        <ext uri="{3e2802c4-a4d2-4d8b-9148-e3be6c30e623}">
          <xlrd:rvb i="13442"/>
        </ext>
      </extLst>
    </bk>
    <bk>
      <extLst>
        <ext uri="{3e2802c4-a4d2-4d8b-9148-e3be6c30e623}">
          <xlrd:rvb i="13443"/>
        </ext>
      </extLst>
    </bk>
    <bk>
      <extLst>
        <ext uri="{3e2802c4-a4d2-4d8b-9148-e3be6c30e623}">
          <xlrd:rvb i="13444"/>
        </ext>
      </extLst>
    </bk>
    <bk>
      <extLst>
        <ext uri="{3e2802c4-a4d2-4d8b-9148-e3be6c30e623}">
          <xlrd:rvb i="13445"/>
        </ext>
      </extLst>
    </bk>
    <bk>
      <extLst>
        <ext uri="{3e2802c4-a4d2-4d8b-9148-e3be6c30e623}">
          <xlrd:rvb i="13446"/>
        </ext>
      </extLst>
    </bk>
    <bk>
      <extLst>
        <ext uri="{3e2802c4-a4d2-4d8b-9148-e3be6c30e623}">
          <xlrd:rvb i="13447"/>
        </ext>
      </extLst>
    </bk>
    <bk>
      <extLst>
        <ext uri="{3e2802c4-a4d2-4d8b-9148-e3be6c30e623}">
          <xlrd:rvb i="13448"/>
        </ext>
      </extLst>
    </bk>
    <bk>
      <extLst>
        <ext uri="{3e2802c4-a4d2-4d8b-9148-e3be6c30e623}">
          <xlrd:rvb i="13449"/>
        </ext>
      </extLst>
    </bk>
    <bk>
      <extLst>
        <ext uri="{3e2802c4-a4d2-4d8b-9148-e3be6c30e623}">
          <xlrd:rvb i="13450"/>
        </ext>
      </extLst>
    </bk>
    <bk>
      <extLst>
        <ext uri="{3e2802c4-a4d2-4d8b-9148-e3be6c30e623}">
          <xlrd:rvb i="13451"/>
        </ext>
      </extLst>
    </bk>
    <bk>
      <extLst>
        <ext uri="{3e2802c4-a4d2-4d8b-9148-e3be6c30e623}">
          <xlrd:rvb i="13452"/>
        </ext>
      </extLst>
    </bk>
    <bk>
      <extLst>
        <ext uri="{3e2802c4-a4d2-4d8b-9148-e3be6c30e623}">
          <xlrd:rvb i="13453"/>
        </ext>
      </extLst>
    </bk>
    <bk>
      <extLst>
        <ext uri="{3e2802c4-a4d2-4d8b-9148-e3be6c30e623}">
          <xlrd:rvb i="13454"/>
        </ext>
      </extLst>
    </bk>
    <bk>
      <extLst>
        <ext uri="{3e2802c4-a4d2-4d8b-9148-e3be6c30e623}">
          <xlrd:rvb i="13455"/>
        </ext>
      </extLst>
    </bk>
    <bk>
      <extLst>
        <ext uri="{3e2802c4-a4d2-4d8b-9148-e3be6c30e623}">
          <xlrd:rvb i="13456"/>
        </ext>
      </extLst>
    </bk>
    <bk>
      <extLst>
        <ext uri="{3e2802c4-a4d2-4d8b-9148-e3be6c30e623}">
          <xlrd:rvb i="13457"/>
        </ext>
      </extLst>
    </bk>
    <bk>
      <extLst>
        <ext uri="{3e2802c4-a4d2-4d8b-9148-e3be6c30e623}">
          <xlrd:rvb i="13458"/>
        </ext>
      </extLst>
    </bk>
    <bk>
      <extLst>
        <ext uri="{3e2802c4-a4d2-4d8b-9148-e3be6c30e623}">
          <xlrd:rvb i="13459"/>
        </ext>
      </extLst>
    </bk>
    <bk>
      <extLst>
        <ext uri="{3e2802c4-a4d2-4d8b-9148-e3be6c30e623}">
          <xlrd:rvb i="13460"/>
        </ext>
      </extLst>
    </bk>
    <bk>
      <extLst>
        <ext uri="{3e2802c4-a4d2-4d8b-9148-e3be6c30e623}">
          <xlrd:rvb i="13461"/>
        </ext>
      </extLst>
    </bk>
    <bk>
      <extLst>
        <ext uri="{3e2802c4-a4d2-4d8b-9148-e3be6c30e623}">
          <xlrd:rvb i="13462"/>
        </ext>
      </extLst>
    </bk>
    <bk>
      <extLst>
        <ext uri="{3e2802c4-a4d2-4d8b-9148-e3be6c30e623}">
          <xlrd:rvb i="13463"/>
        </ext>
      </extLst>
    </bk>
    <bk>
      <extLst>
        <ext uri="{3e2802c4-a4d2-4d8b-9148-e3be6c30e623}">
          <xlrd:rvb i="13464"/>
        </ext>
      </extLst>
    </bk>
    <bk>
      <extLst>
        <ext uri="{3e2802c4-a4d2-4d8b-9148-e3be6c30e623}">
          <xlrd:rvb i="13465"/>
        </ext>
      </extLst>
    </bk>
    <bk>
      <extLst>
        <ext uri="{3e2802c4-a4d2-4d8b-9148-e3be6c30e623}">
          <xlrd:rvb i="13466"/>
        </ext>
      </extLst>
    </bk>
    <bk>
      <extLst>
        <ext uri="{3e2802c4-a4d2-4d8b-9148-e3be6c30e623}">
          <xlrd:rvb i="13467"/>
        </ext>
      </extLst>
    </bk>
    <bk>
      <extLst>
        <ext uri="{3e2802c4-a4d2-4d8b-9148-e3be6c30e623}">
          <xlrd:rvb i="13468"/>
        </ext>
      </extLst>
    </bk>
    <bk>
      <extLst>
        <ext uri="{3e2802c4-a4d2-4d8b-9148-e3be6c30e623}">
          <xlrd:rvb i="13469"/>
        </ext>
      </extLst>
    </bk>
    <bk>
      <extLst>
        <ext uri="{3e2802c4-a4d2-4d8b-9148-e3be6c30e623}">
          <xlrd:rvb i="13470"/>
        </ext>
      </extLst>
    </bk>
    <bk>
      <extLst>
        <ext uri="{3e2802c4-a4d2-4d8b-9148-e3be6c30e623}">
          <xlrd:rvb i="13471"/>
        </ext>
      </extLst>
    </bk>
    <bk>
      <extLst>
        <ext uri="{3e2802c4-a4d2-4d8b-9148-e3be6c30e623}">
          <xlrd:rvb i="13472"/>
        </ext>
      </extLst>
    </bk>
    <bk>
      <extLst>
        <ext uri="{3e2802c4-a4d2-4d8b-9148-e3be6c30e623}">
          <xlrd:rvb i="13473"/>
        </ext>
      </extLst>
    </bk>
    <bk>
      <extLst>
        <ext uri="{3e2802c4-a4d2-4d8b-9148-e3be6c30e623}">
          <xlrd:rvb i="13474"/>
        </ext>
      </extLst>
    </bk>
    <bk>
      <extLst>
        <ext uri="{3e2802c4-a4d2-4d8b-9148-e3be6c30e623}">
          <xlrd:rvb i="13475"/>
        </ext>
      </extLst>
    </bk>
    <bk>
      <extLst>
        <ext uri="{3e2802c4-a4d2-4d8b-9148-e3be6c30e623}">
          <xlrd:rvb i="13476"/>
        </ext>
      </extLst>
    </bk>
    <bk>
      <extLst>
        <ext uri="{3e2802c4-a4d2-4d8b-9148-e3be6c30e623}">
          <xlrd:rvb i="13477"/>
        </ext>
      </extLst>
    </bk>
    <bk>
      <extLst>
        <ext uri="{3e2802c4-a4d2-4d8b-9148-e3be6c30e623}">
          <xlrd:rvb i="13478"/>
        </ext>
      </extLst>
    </bk>
    <bk>
      <extLst>
        <ext uri="{3e2802c4-a4d2-4d8b-9148-e3be6c30e623}">
          <xlrd:rvb i="13479"/>
        </ext>
      </extLst>
    </bk>
    <bk>
      <extLst>
        <ext uri="{3e2802c4-a4d2-4d8b-9148-e3be6c30e623}">
          <xlrd:rvb i="13480"/>
        </ext>
      </extLst>
    </bk>
    <bk>
      <extLst>
        <ext uri="{3e2802c4-a4d2-4d8b-9148-e3be6c30e623}">
          <xlrd:rvb i="13481"/>
        </ext>
      </extLst>
    </bk>
    <bk>
      <extLst>
        <ext uri="{3e2802c4-a4d2-4d8b-9148-e3be6c30e623}">
          <xlrd:rvb i="13482"/>
        </ext>
      </extLst>
    </bk>
    <bk>
      <extLst>
        <ext uri="{3e2802c4-a4d2-4d8b-9148-e3be6c30e623}">
          <xlrd:rvb i="13483"/>
        </ext>
      </extLst>
    </bk>
    <bk>
      <extLst>
        <ext uri="{3e2802c4-a4d2-4d8b-9148-e3be6c30e623}">
          <xlrd:rvb i="13484"/>
        </ext>
      </extLst>
    </bk>
    <bk>
      <extLst>
        <ext uri="{3e2802c4-a4d2-4d8b-9148-e3be6c30e623}">
          <xlrd:rvb i="13485"/>
        </ext>
      </extLst>
    </bk>
    <bk>
      <extLst>
        <ext uri="{3e2802c4-a4d2-4d8b-9148-e3be6c30e623}">
          <xlrd:rvb i="13486"/>
        </ext>
      </extLst>
    </bk>
    <bk>
      <extLst>
        <ext uri="{3e2802c4-a4d2-4d8b-9148-e3be6c30e623}">
          <xlrd:rvb i="13487"/>
        </ext>
      </extLst>
    </bk>
    <bk>
      <extLst>
        <ext uri="{3e2802c4-a4d2-4d8b-9148-e3be6c30e623}">
          <xlrd:rvb i="13488"/>
        </ext>
      </extLst>
    </bk>
    <bk>
      <extLst>
        <ext uri="{3e2802c4-a4d2-4d8b-9148-e3be6c30e623}">
          <xlrd:rvb i="13489"/>
        </ext>
      </extLst>
    </bk>
    <bk>
      <extLst>
        <ext uri="{3e2802c4-a4d2-4d8b-9148-e3be6c30e623}">
          <xlrd:rvb i="13490"/>
        </ext>
      </extLst>
    </bk>
    <bk>
      <extLst>
        <ext uri="{3e2802c4-a4d2-4d8b-9148-e3be6c30e623}">
          <xlrd:rvb i="13491"/>
        </ext>
      </extLst>
    </bk>
    <bk>
      <extLst>
        <ext uri="{3e2802c4-a4d2-4d8b-9148-e3be6c30e623}">
          <xlrd:rvb i="13492"/>
        </ext>
      </extLst>
    </bk>
    <bk>
      <extLst>
        <ext uri="{3e2802c4-a4d2-4d8b-9148-e3be6c30e623}">
          <xlrd:rvb i="13493"/>
        </ext>
      </extLst>
    </bk>
    <bk>
      <extLst>
        <ext uri="{3e2802c4-a4d2-4d8b-9148-e3be6c30e623}">
          <xlrd:rvb i="13494"/>
        </ext>
      </extLst>
    </bk>
    <bk>
      <extLst>
        <ext uri="{3e2802c4-a4d2-4d8b-9148-e3be6c30e623}">
          <xlrd:rvb i="13495"/>
        </ext>
      </extLst>
    </bk>
    <bk>
      <extLst>
        <ext uri="{3e2802c4-a4d2-4d8b-9148-e3be6c30e623}">
          <xlrd:rvb i="13496"/>
        </ext>
      </extLst>
    </bk>
    <bk>
      <extLst>
        <ext uri="{3e2802c4-a4d2-4d8b-9148-e3be6c30e623}">
          <xlrd:rvb i="13497"/>
        </ext>
      </extLst>
    </bk>
    <bk>
      <extLst>
        <ext uri="{3e2802c4-a4d2-4d8b-9148-e3be6c30e623}">
          <xlrd:rvb i="13498"/>
        </ext>
      </extLst>
    </bk>
    <bk>
      <extLst>
        <ext uri="{3e2802c4-a4d2-4d8b-9148-e3be6c30e623}">
          <xlrd:rvb i="13499"/>
        </ext>
      </extLst>
    </bk>
    <bk>
      <extLst>
        <ext uri="{3e2802c4-a4d2-4d8b-9148-e3be6c30e623}">
          <xlrd:rvb i="13500"/>
        </ext>
      </extLst>
    </bk>
    <bk>
      <extLst>
        <ext uri="{3e2802c4-a4d2-4d8b-9148-e3be6c30e623}">
          <xlrd:rvb i="13501"/>
        </ext>
      </extLst>
    </bk>
    <bk>
      <extLst>
        <ext uri="{3e2802c4-a4d2-4d8b-9148-e3be6c30e623}">
          <xlrd:rvb i="13502"/>
        </ext>
      </extLst>
    </bk>
    <bk>
      <extLst>
        <ext uri="{3e2802c4-a4d2-4d8b-9148-e3be6c30e623}">
          <xlrd:rvb i="13503"/>
        </ext>
      </extLst>
    </bk>
    <bk>
      <extLst>
        <ext uri="{3e2802c4-a4d2-4d8b-9148-e3be6c30e623}">
          <xlrd:rvb i="13504"/>
        </ext>
      </extLst>
    </bk>
    <bk>
      <extLst>
        <ext uri="{3e2802c4-a4d2-4d8b-9148-e3be6c30e623}">
          <xlrd:rvb i="13505"/>
        </ext>
      </extLst>
    </bk>
    <bk>
      <extLst>
        <ext uri="{3e2802c4-a4d2-4d8b-9148-e3be6c30e623}">
          <xlrd:rvb i="13506"/>
        </ext>
      </extLst>
    </bk>
    <bk>
      <extLst>
        <ext uri="{3e2802c4-a4d2-4d8b-9148-e3be6c30e623}">
          <xlrd:rvb i="13507"/>
        </ext>
      </extLst>
    </bk>
    <bk>
      <extLst>
        <ext uri="{3e2802c4-a4d2-4d8b-9148-e3be6c30e623}">
          <xlrd:rvb i="13508"/>
        </ext>
      </extLst>
    </bk>
    <bk>
      <extLst>
        <ext uri="{3e2802c4-a4d2-4d8b-9148-e3be6c30e623}">
          <xlrd:rvb i="13509"/>
        </ext>
      </extLst>
    </bk>
    <bk>
      <extLst>
        <ext uri="{3e2802c4-a4d2-4d8b-9148-e3be6c30e623}">
          <xlrd:rvb i="13510"/>
        </ext>
      </extLst>
    </bk>
    <bk>
      <extLst>
        <ext uri="{3e2802c4-a4d2-4d8b-9148-e3be6c30e623}">
          <xlrd:rvb i="13511"/>
        </ext>
      </extLst>
    </bk>
    <bk>
      <extLst>
        <ext uri="{3e2802c4-a4d2-4d8b-9148-e3be6c30e623}">
          <xlrd:rvb i="13512"/>
        </ext>
      </extLst>
    </bk>
    <bk>
      <extLst>
        <ext uri="{3e2802c4-a4d2-4d8b-9148-e3be6c30e623}">
          <xlrd:rvb i="13513"/>
        </ext>
      </extLst>
    </bk>
    <bk>
      <extLst>
        <ext uri="{3e2802c4-a4d2-4d8b-9148-e3be6c30e623}">
          <xlrd:rvb i="13514"/>
        </ext>
      </extLst>
    </bk>
    <bk>
      <extLst>
        <ext uri="{3e2802c4-a4d2-4d8b-9148-e3be6c30e623}">
          <xlrd:rvb i="13515"/>
        </ext>
      </extLst>
    </bk>
    <bk>
      <extLst>
        <ext uri="{3e2802c4-a4d2-4d8b-9148-e3be6c30e623}">
          <xlrd:rvb i="13516"/>
        </ext>
      </extLst>
    </bk>
    <bk>
      <extLst>
        <ext uri="{3e2802c4-a4d2-4d8b-9148-e3be6c30e623}">
          <xlrd:rvb i="13517"/>
        </ext>
      </extLst>
    </bk>
    <bk>
      <extLst>
        <ext uri="{3e2802c4-a4d2-4d8b-9148-e3be6c30e623}">
          <xlrd:rvb i="13518"/>
        </ext>
      </extLst>
    </bk>
    <bk>
      <extLst>
        <ext uri="{3e2802c4-a4d2-4d8b-9148-e3be6c30e623}">
          <xlrd:rvb i="13519"/>
        </ext>
      </extLst>
    </bk>
    <bk>
      <extLst>
        <ext uri="{3e2802c4-a4d2-4d8b-9148-e3be6c30e623}">
          <xlrd:rvb i="13520"/>
        </ext>
      </extLst>
    </bk>
    <bk>
      <extLst>
        <ext uri="{3e2802c4-a4d2-4d8b-9148-e3be6c30e623}">
          <xlrd:rvb i="13521"/>
        </ext>
      </extLst>
    </bk>
    <bk>
      <extLst>
        <ext uri="{3e2802c4-a4d2-4d8b-9148-e3be6c30e623}">
          <xlrd:rvb i="13522"/>
        </ext>
      </extLst>
    </bk>
    <bk>
      <extLst>
        <ext uri="{3e2802c4-a4d2-4d8b-9148-e3be6c30e623}">
          <xlrd:rvb i="13523"/>
        </ext>
      </extLst>
    </bk>
    <bk>
      <extLst>
        <ext uri="{3e2802c4-a4d2-4d8b-9148-e3be6c30e623}">
          <xlrd:rvb i="13524"/>
        </ext>
      </extLst>
    </bk>
    <bk>
      <extLst>
        <ext uri="{3e2802c4-a4d2-4d8b-9148-e3be6c30e623}">
          <xlrd:rvb i="13525"/>
        </ext>
      </extLst>
    </bk>
    <bk>
      <extLst>
        <ext uri="{3e2802c4-a4d2-4d8b-9148-e3be6c30e623}">
          <xlrd:rvb i="13526"/>
        </ext>
      </extLst>
    </bk>
    <bk>
      <extLst>
        <ext uri="{3e2802c4-a4d2-4d8b-9148-e3be6c30e623}">
          <xlrd:rvb i="13527"/>
        </ext>
      </extLst>
    </bk>
    <bk>
      <extLst>
        <ext uri="{3e2802c4-a4d2-4d8b-9148-e3be6c30e623}">
          <xlrd:rvb i="13528"/>
        </ext>
      </extLst>
    </bk>
    <bk>
      <extLst>
        <ext uri="{3e2802c4-a4d2-4d8b-9148-e3be6c30e623}">
          <xlrd:rvb i="13529"/>
        </ext>
      </extLst>
    </bk>
    <bk>
      <extLst>
        <ext uri="{3e2802c4-a4d2-4d8b-9148-e3be6c30e623}">
          <xlrd:rvb i="13530"/>
        </ext>
      </extLst>
    </bk>
    <bk>
      <extLst>
        <ext uri="{3e2802c4-a4d2-4d8b-9148-e3be6c30e623}">
          <xlrd:rvb i="13531"/>
        </ext>
      </extLst>
    </bk>
    <bk>
      <extLst>
        <ext uri="{3e2802c4-a4d2-4d8b-9148-e3be6c30e623}">
          <xlrd:rvb i="13532"/>
        </ext>
      </extLst>
    </bk>
    <bk>
      <extLst>
        <ext uri="{3e2802c4-a4d2-4d8b-9148-e3be6c30e623}">
          <xlrd:rvb i="13533"/>
        </ext>
      </extLst>
    </bk>
    <bk>
      <extLst>
        <ext uri="{3e2802c4-a4d2-4d8b-9148-e3be6c30e623}">
          <xlrd:rvb i="13534"/>
        </ext>
      </extLst>
    </bk>
    <bk>
      <extLst>
        <ext uri="{3e2802c4-a4d2-4d8b-9148-e3be6c30e623}">
          <xlrd:rvb i="13535"/>
        </ext>
      </extLst>
    </bk>
    <bk>
      <extLst>
        <ext uri="{3e2802c4-a4d2-4d8b-9148-e3be6c30e623}">
          <xlrd:rvb i="13536"/>
        </ext>
      </extLst>
    </bk>
    <bk>
      <extLst>
        <ext uri="{3e2802c4-a4d2-4d8b-9148-e3be6c30e623}">
          <xlrd:rvb i="13537"/>
        </ext>
      </extLst>
    </bk>
    <bk>
      <extLst>
        <ext uri="{3e2802c4-a4d2-4d8b-9148-e3be6c30e623}">
          <xlrd:rvb i="13538"/>
        </ext>
      </extLst>
    </bk>
    <bk>
      <extLst>
        <ext uri="{3e2802c4-a4d2-4d8b-9148-e3be6c30e623}">
          <xlrd:rvb i="13539"/>
        </ext>
      </extLst>
    </bk>
    <bk>
      <extLst>
        <ext uri="{3e2802c4-a4d2-4d8b-9148-e3be6c30e623}">
          <xlrd:rvb i="13540"/>
        </ext>
      </extLst>
    </bk>
    <bk>
      <extLst>
        <ext uri="{3e2802c4-a4d2-4d8b-9148-e3be6c30e623}">
          <xlrd:rvb i="13541"/>
        </ext>
      </extLst>
    </bk>
    <bk>
      <extLst>
        <ext uri="{3e2802c4-a4d2-4d8b-9148-e3be6c30e623}">
          <xlrd:rvb i="13542"/>
        </ext>
      </extLst>
    </bk>
    <bk>
      <extLst>
        <ext uri="{3e2802c4-a4d2-4d8b-9148-e3be6c30e623}">
          <xlrd:rvb i="13543"/>
        </ext>
      </extLst>
    </bk>
    <bk>
      <extLst>
        <ext uri="{3e2802c4-a4d2-4d8b-9148-e3be6c30e623}">
          <xlrd:rvb i="13544"/>
        </ext>
      </extLst>
    </bk>
    <bk>
      <extLst>
        <ext uri="{3e2802c4-a4d2-4d8b-9148-e3be6c30e623}">
          <xlrd:rvb i="13545"/>
        </ext>
      </extLst>
    </bk>
    <bk>
      <extLst>
        <ext uri="{3e2802c4-a4d2-4d8b-9148-e3be6c30e623}">
          <xlrd:rvb i="13546"/>
        </ext>
      </extLst>
    </bk>
    <bk>
      <extLst>
        <ext uri="{3e2802c4-a4d2-4d8b-9148-e3be6c30e623}">
          <xlrd:rvb i="13547"/>
        </ext>
      </extLst>
    </bk>
    <bk>
      <extLst>
        <ext uri="{3e2802c4-a4d2-4d8b-9148-e3be6c30e623}">
          <xlrd:rvb i="13548"/>
        </ext>
      </extLst>
    </bk>
    <bk>
      <extLst>
        <ext uri="{3e2802c4-a4d2-4d8b-9148-e3be6c30e623}">
          <xlrd:rvb i="13549"/>
        </ext>
      </extLst>
    </bk>
    <bk>
      <extLst>
        <ext uri="{3e2802c4-a4d2-4d8b-9148-e3be6c30e623}">
          <xlrd:rvb i="13550"/>
        </ext>
      </extLst>
    </bk>
    <bk>
      <extLst>
        <ext uri="{3e2802c4-a4d2-4d8b-9148-e3be6c30e623}">
          <xlrd:rvb i="13551"/>
        </ext>
      </extLst>
    </bk>
    <bk>
      <extLst>
        <ext uri="{3e2802c4-a4d2-4d8b-9148-e3be6c30e623}">
          <xlrd:rvb i="13552"/>
        </ext>
      </extLst>
    </bk>
    <bk>
      <extLst>
        <ext uri="{3e2802c4-a4d2-4d8b-9148-e3be6c30e623}">
          <xlrd:rvb i="13553"/>
        </ext>
      </extLst>
    </bk>
    <bk>
      <extLst>
        <ext uri="{3e2802c4-a4d2-4d8b-9148-e3be6c30e623}">
          <xlrd:rvb i="13554"/>
        </ext>
      </extLst>
    </bk>
    <bk>
      <extLst>
        <ext uri="{3e2802c4-a4d2-4d8b-9148-e3be6c30e623}">
          <xlrd:rvb i="13555"/>
        </ext>
      </extLst>
    </bk>
    <bk>
      <extLst>
        <ext uri="{3e2802c4-a4d2-4d8b-9148-e3be6c30e623}">
          <xlrd:rvb i="13556"/>
        </ext>
      </extLst>
    </bk>
    <bk>
      <extLst>
        <ext uri="{3e2802c4-a4d2-4d8b-9148-e3be6c30e623}">
          <xlrd:rvb i="13557"/>
        </ext>
      </extLst>
    </bk>
    <bk>
      <extLst>
        <ext uri="{3e2802c4-a4d2-4d8b-9148-e3be6c30e623}">
          <xlrd:rvb i="13558"/>
        </ext>
      </extLst>
    </bk>
    <bk>
      <extLst>
        <ext uri="{3e2802c4-a4d2-4d8b-9148-e3be6c30e623}">
          <xlrd:rvb i="13559"/>
        </ext>
      </extLst>
    </bk>
    <bk>
      <extLst>
        <ext uri="{3e2802c4-a4d2-4d8b-9148-e3be6c30e623}">
          <xlrd:rvb i="13560"/>
        </ext>
      </extLst>
    </bk>
    <bk>
      <extLst>
        <ext uri="{3e2802c4-a4d2-4d8b-9148-e3be6c30e623}">
          <xlrd:rvb i="13561"/>
        </ext>
      </extLst>
    </bk>
    <bk>
      <extLst>
        <ext uri="{3e2802c4-a4d2-4d8b-9148-e3be6c30e623}">
          <xlrd:rvb i="13562"/>
        </ext>
      </extLst>
    </bk>
    <bk>
      <extLst>
        <ext uri="{3e2802c4-a4d2-4d8b-9148-e3be6c30e623}">
          <xlrd:rvb i="13563"/>
        </ext>
      </extLst>
    </bk>
    <bk>
      <extLst>
        <ext uri="{3e2802c4-a4d2-4d8b-9148-e3be6c30e623}">
          <xlrd:rvb i="13564"/>
        </ext>
      </extLst>
    </bk>
    <bk>
      <extLst>
        <ext uri="{3e2802c4-a4d2-4d8b-9148-e3be6c30e623}">
          <xlrd:rvb i="13565"/>
        </ext>
      </extLst>
    </bk>
    <bk>
      <extLst>
        <ext uri="{3e2802c4-a4d2-4d8b-9148-e3be6c30e623}">
          <xlrd:rvb i="13566"/>
        </ext>
      </extLst>
    </bk>
    <bk>
      <extLst>
        <ext uri="{3e2802c4-a4d2-4d8b-9148-e3be6c30e623}">
          <xlrd:rvb i="13567"/>
        </ext>
      </extLst>
    </bk>
    <bk>
      <extLst>
        <ext uri="{3e2802c4-a4d2-4d8b-9148-e3be6c30e623}">
          <xlrd:rvb i="13568"/>
        </ext>
      </extLst>
    </bk>
    <bk>
      <extLst>
        <ext uri="{3e2802c4-a4d2-4d8b-9148-e3be6c30e623}">
          <xlrd:rvb i="13569"/>
        </ext>
      </extLst>
    </bk>
    <bk>
      <extLst>
        <ext uri="{3e2802c4-a4d2-4d8b-9148-e3be6c30e623}">
          <xlrd:rvb i="13570"/>
        </ext>
      </extLst>
    </bk>
    <bk>
      <extLst>
        <ext uri="{3e2802c4-a4d2-4d8b-9148-e3be6c30e623}">
          <xlrd:rvb i="13571"/>
        </ext>
      </extLst>
    </bk>
    <bk>
      <extLst>
        <ext uri="{3e2802c4-a4d2-4d8b-9148-e3be6c30e623}">
          <xlrd:rvb i="13572"/>
        </ext>
      </extLst>
    </bk>
    <bk>
      <extLst>
        <ext uri="{3e2802c4-a4d2-4d8b-9148-e3be6c30e623}">
          <xlrd:rvb i="13573"/>
        </ext>
      </extLst>
    </bk>
    <bk>
      <extLst>
        <ext uri="{3e2802c4-a4d2-4d8b-9148-e3be6c30e623}">
          <xlrd:rvb i="13574"/>
        </ext>
      </extLst>
    </bk>
    <bk>
      <extLst>
        <ext uri="{3e2802c4-a4d2-4d8b-9148-e3be6c30e623}">
          <xlrd:rvb i="13575"/>
        </ext>
      </extLst>
    </bk>
    <bk>
      <extLst>
        <ext uri="{3e2802c4-a4d2-4d8b-9148-e3be6c30e623}">
          <xlrd:rvb i="13576"/>
        </ext>
      </extLst>
    </bk>
    <bk>
      <extLst>
        <ext uri="{3e2802c4-a4d2-4d8b-9148-e3be6c30e623}">
          <xlrd:rvb i="13577"/>
        </ext>
      </extLst>
    </bk>
    <bk>
      <extLst>
        <ext uri="{3e2802c4-a4d2-4d8b-9148-e3be6c30e623}">
          <xlrd:rvb i="13578"/>
        </ext>
      </extLst>
    </bk>
    <bk>
      <extLst>
        <ext uri="{3e2802c4-a4d2-4d8b-9148-e3be6c30e623}">
          <xlrd:rvb i="13579"/>
        </ext>
      </extLst>
    </bk>
    <bk>
      <extLst>
        <ext uri="{3e2802c4-a4d2-4d8b-9148-e3be6c30e623}">
          <xlrd:rvb i="13580"/>
        </ext>
      </extLst>
    </bk>
    <bk>
      <extLst>
        <ext uri="{3e2802c4-a4d2-4d8b-9148-e3be6c30e623}">
          <xlrd:rvb i="13581"/>
        </ext>
      </extLst>
    </bk>
    <bk>
      <extLst>
        <ext uri="{3e2802c4-a4d2-4d8b-9148-e3be6c30e623}">
          <xlrd:rvb i="13582"/>
        </ext>
      </extLst>
    </bk>
    <bk>
      <extLst>
        <ext uri="{3e2802c4-a4d2-4d8b-9148-e3be6c30e623}">
          <xlrd:rvb i="13583"/>
        </ext>
      </extLst>
    </bk>
    <bk>
      <extLst>
        <ext uri="{3e2802c4-a4d2-4d8b-9148-e3be6c30e623}">
          <xlrd:rvb i="13584"/>
        </ext>
      </extLst>
    </bk>
    <bk>
      <extLst>
        <ext uri="{3e2802c4-a4d2-4d8b-9148-e3be6c30e623}">
          <xlrd:rvb i="13585"/>
        </ext>
      </extLst>
    </bk>
    <bk>
      <extLst>
        <ext uri="{3e2802c4-a4d2-4d8b-9148-e3be6c30e623}">
          <xlrd:rvb i="13586"/>
        </ext>
      </extLst>
    </bk>
    <bk>
      <extLst>
        <ext uri="{3e2802c4-a4d2-4d8b-9148-e3be6c30e623}">
          <xlrd:rvb i="13587"/>
        </ext>
      </extLst>
    </bk>
    <bk>
      <extLst>
        <ext uri="{3e2802c4-a4d2-4d8b-9148-e3be6c30e623}">
          <xlrd:rvb i="13588"/>
        </ext>
      </extLst>
    </bk>
    <bk>
      <extLst>
        <ext uri="{3e2802c4-a4d2-4d8b-9148-e3be6c30e623}">
          <xlrd:rvb i="13589"/>
        </ext>
      </extLst>
    </bk>
    <bk>
      <extLst>
        <ext uri="{3e2802c4-a4d2-4d8b-9148-e3be6c30e623}">
          <xlrd:rvb i="13590"/>
        </ext>
      </extLst>
    </bk>
    <bk>
      <extLst>
        <ext uri="{3e2802c4-a4d2-4d8b-9148-e3be6c30e623}">
          <xlrd:rvb i="13591"/>
        </ext>
      </extLst>
    </bk>
    <bk>
      <extLst>
        <ext uri="{3e2802c4-a4d2-4d8b-9148-e3be6c30e623}">
          <xlrd:rvb i="13592"/>
        </ext>
      </extLst>
    </bk>
    <bk>
      <extLst>
        <ext uri="{3e2802c4-a4d2-4d8b-9148-e3be6c30e623}">
          <xlrd:rvb i="13593"/>
        </ext>
      </extLst>
    </bk>
    <bk>
      <extLst>
        <ext uri="{3e2802c4-a4d2-4d8b-9148-e3be6c30e623}">
          <xlrd:rvb i="13594"/>
        </ext>
      </extLst>
    </bk>
    <bk>
      <extLst>
        <ext uri="{3e2802c4-a4d2-4d8b-9148-e3be6c30e623}">
          <xlrd:rvb i="13595"/>
        </ext>
      </extLst>
    </bk>
    <bk>
      <extLst>
        <ext uri="{3e2802c4-a4d2-4d8b-9148-e3be6c30e623}">
          <xlrd:rvb i="13596"/>
        </ext>
      </extLst>
    </bk>
    <bk>
      <extLst>
        <ext uri="{3e2802c4-a4d2-4d8b-9148-e3be6c30e623}">
          <xlrd:rvb i="13597"/>
        </ext>
      </extLst>
    </bk>
    <bk>
      <extLst>
        <ext uri="{3e2802c4-a4d2-4d8b-9148-e3be6c30e623}">
          <xlrd:rvb i="13598"/>
        </ext>
      </extLst>
    </bk>
    <bk>
      <extLst>
        <ext uri="{3e2802c4-a4d2-4d8b-9148-e3be6c30e623}">
          <xlrd:rvb i="13599"/>
        </ext>
      </extLst>
    </bk>
    <bk>
      <extLst>
        <ext uri="{3e2802c4-a4d2-4d8b-9148-e3be6c30e623}">
          <xlrd:rvb i="13600"/>
        </ext>
      </extLst>
    </bk>
    <bk>
      <extLst>
        <ext uri="{3e2802c4-a4d2-4d8b-9148-e3be6c30e623}">
          <xlrd:rvb i="13601"/>
        </ext>
      </extLst>
    </bk>
    <bk>
      <extLst>
        <ext uri="{3e2802c4-a4d2-4d8b-9148-e3be6c30e623}">
          <xlrd:rvb i="13602"/>
        </ext>
      </extLst>
    </bk>
    <bk>
      <extLst>
        <ext uri="{3e2802c4-a4d2-4d8b-9148-e3be6c30e623}">
          <xlrd:rvb i="13603"/>
        </ext>
      </extLst>
    </bk>
    <bk>
      <extLst>
        <ext uri="{3e2802c4-a4d2-4d8b-9148-e3be6c30e623}">
          <xlrd:rvb i="13604"/>
        </ext>
      </extLst>
    </bk>
    <bk>
      <extLst>
        <ext uri="{3e2802c4-a4d2-4d8b-9148-e3be6c30e623}">
          <xlrd:rvb i="13605"/>
        </ext>
      </extLst>
    </bk>
    <bk>
      <extLst>
        <ext uri="{3e2802c4-a4d2-4d8b-9148-e3be6c30e623}">
          <xlrd:rvb i="13606"/>
        </ext>
      </extLst>
    </bk>
    <bk>
      <extLst>
        <ext uri="{3e2802c4-a4d2-4d8b-9148-e3be6c30e623}">
          <xlrd:rvb i="13607"/>
        </ext>
      </extLst>
    </bk>
    <bk>
      <extLst>
        <ext uri="{3e2802c4-a4d2-4d8b-9148-e3be6c30e623}">
          <xlrd:rvb i="13608"/>
        </ext>
      </extLst>
    </bk>
    <bk>
      <extLst>
        <ext uri="{3e2802c4-a4d2-4d8b-9148-e3be6c30e623}">
          <xlrd:rvb i="13609"/>
        </ext>
      </extLst>
    </bk>
    <bk>
      <extLst>
        <ext uri="{3e2802c4-a4d2-4d8b-9148-e3be6c30e623}">
          <xlrd:rvb i="13610"/>
        </ext>
      </extLst>
    </bk>
    <bk>
      <extLst>
        <ext uri="{3e2802c4-a4d2-4d8b-9148-e3be6c30e623}">
          <xlrd:rvb i="13611"/>
        </ext>
      </extLst>
    </bk>
    <bk>
      <extLst>
        <ext uri="{3e2802c4-a4d2-4d8b-9148-e3be6c30e623}">
          <xlrd:rvb i="13612"/>
        </ext>
      </extLst>
    </bk>
    <bk>
      <extLst>
        <ext uri="{3e2802c4-a4d2-4d8b-9148-e3be6c30e623}">
          <xlrd:rvb i="13613"/>
        </ext>
      </extLst>
    </bk>
    <bk>
      <extLst>
        <ext uri="{3e2802c4-a4d2-4d8b-9148-e3be6c30e623}">
          <xlrd:rvb i="13614"/>
        </ext>
      </extLst>
    </bk>
    <bk>
      <extLst>
        <ext uri="{3e2802c4-a4d2-4d8b-9148-e3be6c30e623}">
          <xlrd:rvb i="13615"/>
        </ext>
      </extLst>
    </bk>
    <bk>
      <extLst>
        <ext uri="{3e2802c4-a4d2-4d8b-9148-e3be6c30e623}">
          <xlrd:rvb i="13616"/>
        </ext>
      </extLst>
    </bk>
    <bk>
      <extLst>
        <ext uri="{3e2802c4-a4d2-4d8b-9148-e3be6c30e623}">
          <xlrd:rvb i="13617"/>
        </ext>
      </extLst>
    </bk>
    <bk>
      <extLst>
        <ext uri="{3e2802c4-a4d2-4d8b-9148-e3be6c30e623}">
          <xlrd:rvb i="13618"/>
        </ext>
      </extLst>
    </bk>
    <bk>
      <extLst>
        <ext uri="{3e2802c4-a4d2-4d8b-9148-e3be6c30e623}">
          <xlrd:rvb i="13619"/>
        </ext>
      </extLst>
    </bk>
    <bk>
      <extLst>
        <ext uri="{3e2802c4-a4d2-4d8b-9148-e3be6c30e623}">
          <xlrd:rvb i="13620"/>
        </ext>
      </extLst>
    </bk>
    <bk>
      <extLst>
        <ext uri="{3e2802c4-a4d2-4d8b-9148-e3be6c30e623}">
          <xlrd:rvb i="13621"/>
        </ext>
      </extLst>
    </bk>
    <bk>
      <extLst>
        <ext uri="{3e2802c4-a4d2-4d8b-9148-e3be6c30e623}">
          <xlrd:rvb i="13622"/>
        </ext>
      </extLst>
    </bk>
    <bk>
      <extLst>
        <ext uri="{3e2802c4-a4d2-4d8b-9148-e3be6c30e623}">
          <xlrd:rvb i="13623"/>
        </ext>
      </extLst>
    </bk>
    <bk>
      <extLst>
        <ext uri="{3e2802c4-a4d2-4d8b-9148-e3be6c30e623}">
          <xlrd:rvb i="13624"/>
        </ext>
      </extLst>
    </bk>
    <bk>
      <extLst>
        <ext uri="{3e2802c4-a4d2-4d8b-9148-e3be6c30e623}">
          <xlrd:rvb i="13625"/>
        </ext>
      </extLst>
    </bk>
    <bk>
      <extLst>
        <ext uri="{3e2802c4-a4d2-4d8b-9148-e3be6c30e623}">
          <xlrd:rvb i="13626"/>
        </ext>
      </extLst>
    </bk>
    <bk>
      <extLst>
        <ext uri="{3e2802c4-a4d2-4d8b-9148-e3be6c30e623}">
          <xlrd:rvb i="13627"/>
        </ext>
      </extLst>
    </bk>
    <bk>
      <extLst>
        <ext uri="{3e2802c4-a4d2-4d8b-9148-e3be6c30e623}">
          <xlrd:rvb i="13628"/>
        </ext>
      </extLst>
    </bk>
    <bk>
      <extLst>
        <ext uri="{3e2802c4-a4d2-4d8b-9148-e3be6c30e623}">
          <xlrd:rvb i="13629"/>
        </ext>
      </extLst>
    </bk>
    <bk>
      <extLst>
        <ext uri="{3e2802c4-a4d2-4d8b-9148-e3be6c30e623}">
          <xlrd:rvb i="13630"/>
        </ext>
      </extLst>
    </bk>
    <bk>
      <extLst>
        <ext uri="{3e2802c4-a4d2-4d8b-9148-e3be6c30e623}">
          <xlrd:rvb i="13631"/>
        </ext>
      </extLst>
    </bk>
    <bk>
      <extLst>
        <ext uri="{3e2802c4-a4d2-4d8b-9148-e3be6c30e623}">
          <xlrd:rvb i="13632"/>
        </ext>
      </extLst>
    </bk>
    <bk>
      <extLst>
        <ext uri="{3e2802c4-a4d2-4d8b-9148-e3be6c30e623}">
          <xlrd:rvb i="13633"/>
        </ext>
      </extLst>
    </bk>
    <bk>
      <extLst>
        <ext uri="{3e2802c4-a4d2-4d8b-9148-e3be6c30e623}">
          <xlrd:rvb i="13634"/>
        </ext>
      </extLst>
    </bk>
    <bk>
      <extLst>
        <ext uri="{3e2802c4-a4d2-4d8b-9148-e3be6c30e623}">
          <xlrd:rvb i="13635"/>
        </ext>
      </extLst>
    </bk>
    <bk>
      <extLst>
        <ext uri="{3e2802c4-a4d2-4d8b-9148-e3be6c30e623}">
          <xlrd:rvb i="13636"/>
        </ext>
      </extLst>
    </bk>
    <bk>
      <extLst>
        <ext uri="{3e2802c4-a4d2-4d8b-9148-e3be6c30e623}">
          <xlrd:rvb i="13637"/>
        </ext>
      </extLst>
    </bk>
    <bk>
      <extLst>
        <ext uri="{3e2802c4-a4d2-4d8b-9148-e3be6c30e623}">
          <xlrd:rvb i="13638"/>
        </ext>
      </extLst>
    </bk>
    <bk>
      <extLst>
        <ext uri="{3e2802c4-a4d2-4d8b-9148-e3be6c30e623}">
          <xlrd:rvb i="13639"/>
        </ext>
      </extLst>
    </bk>
    <bk>
      <extLst>
        <ext uri="{3e2802c4-a4d2-4d8b-9148-e3be6c30e623}">
          <xlrd:rvb i="13640"/>
        </ext>
      </extLst>
    </bk>
    <bk>
      <extLst>
        <ext uri="{3e2802c4-a4d2-4d8b-9148-e3be6c30e623}">
          <xlrd:rvb i="13641"/>
        </ext>
      </extLst>
    </bk>
    <bk>
      <extLst>
        <ext uri="{3e2802c4-a4d2-4d8b-9148-e3be6c30e623}">
          <xlrd:rvb i="13642"/>
        </ext>
      </extLst>
    </bk>
    <bk>
      <extLst>
        <ext uri="{3e2802c4-a4d2-4d8b-9148-e3be6c30e623}">
          <xlrd:rvb i="13643"/>
        </ext>
      </extLst>
    </bk>
    <bk>
      <extLst>
        <ext uri="{3e2802c4-a4d2-4d8b-9148-e3be6c30e623}">
          <xlrd:rvb i="13644"/>
        </ext>
      </extLst>
    </bk>
    <bk>
      <extLst>
        <ext uri="{3e2802c4-a4d2-4d8b-9148-e3be6c30e623}">
          <xlrd:rvb i="13645"/>
        </ext>
      </extLst>
    </bk>
    <bk>
      <extLst>
        <ext uri="{3e2802c4-a4d2-4d8b-9148-e3be6c30e623}">
          <xlrd:rvb i="13646"/>
        </ext>
      </extLst>
    </bk>
    <bk>
      <extLst>
        <ext uri="{3e2802c4-a4d2-4d8b-9148-e3be6c30e623}">
          <xlrd:rvb i="13647"/>
        </ext>
      </extLst>
    </bk>
    <bk>
      <extLst>
        <ext uri="{3e2802c4-a4d2-4d8b-9148-e3be6c30e623}">
          <xlrd:rvb i="13648"/>
        </ext>
      </extLst>
    </bk>
    <bk>
      <extLst>
        <ext uri="{3e2802c4-a4d2-4d8b-9148-e3be6c30e623}">
          <xlrd:rvb i="13649"/>
        </ext>
      </extLst>
    </bk>
    <bk>
      <extLst>
        <ext uri="{3e2802c4-a4d2-4d8b-9148-e3be6c30e623}">
          <xlrd:rvb i="13650"/>
        </ext>
      </extLst>
    </bk>
    <bk>
      <extLst>
        <ext uri="{3e2802c4-a4d2-4d8b-9148-e3be6c30e623}">
          <xlrd:rvb i="13651"/>
        </ext>
      </extLst>
    </bk>
    <bk>
      <extLst>
        <ext uri="{3e2802c4-a4d2-4d8b-9148-e3be6c30e623}">
          <xlrd:rvb i="13652"/>
        </ext>
      </extLst>
    </bk>
    <bk>
      <extLst>
        <ext uri="{3e2802c4-a4d2-4d8b-9148-e3be6c30e623}">
          <xlrd:rvb i="13653"/>
        </ext>
      </extLst>
    </bk>
    <bk>
      <extLst>
        <ext uri="{3e2802c4-a4d2-4d8b-9148-e3be6c30e623}">
          <xlrd:rvb i="13654"/>
        </ext>
      </extLst>
    </bk>
    <bk>
      <extLst>
        <ext uri="{3e2802c4-a4d2-4d8b-9148-e3be6c30e623}">
          <xlrd:rvb i="13655"/>
        </ext>
      </extLst>
    </bk>
    <bk>
      <extLst>
        <ext uri="{3e2802c4-a4d2-4d8b-9148-e3be6c30e623}">
          <xlrd:rvb i="13656"/>
        </ext>
      </extLst>
    </bk>
    <bk>
      <extLst>
        <ext uri="{3e2802c4-a4d2-4d8b-9148-e3be6c30e623}">
          <xlrd:rvb i="13657"/>
        </ext>
      </extLst>
    </bk>
    <bk>
      <extLst>
        <ext uri="{3e2802c4-a4d2-4d8b-9148-e3be6c30e623}">
          <xlrd:rvb i="13658"/>
        </ext>
      </extLst>
    </bk>
    <bk>
      <extLst>
        <ext uri="{3e2802c4-a4d2-4d8b-9148-e3be6c30e623}">
          <xlrd:rvb i="13659"/>
        </ext>
      </extLst>
    </bk>
    <bk>
      <extLst>
        <ext uri="{3e2802c4-a4d2-4d8b-9148-e3be6c30e623}">
          <xlrd:rvb i="13660"/>
        </ext>
      </extLst>
    </bk>
    <bk>
      <extLst>
        <ext uri="{3e2802c4-a4d2-4d8b-9148-e3be6c30e623}">
          <xlrd:rvb i="13661"/>
        </ext>
      </extLst>
    </bk>
    <bk>
      <extLst>
        <ext uri="{3e2802c4-a4d2-4d8b-9148-e3be6c30e623}">
          <xlrd:rvb i="13662"/>
        </ext>
      </extLst>
    </bk>
    <bk>
      <extLst>
        <ext uri="{3e2802c4-a4d2-4d8b-9148-e3be6c30e623}">
          <xlrd:rvb i="13663"/>
        </ext>
      </extLst>
    </bk>
    <bk>
      <extLst>
        <ext uri="{3e2802c4-a4d2-4d8b-9148-e3be6c30e623}">
          <xlrd:rvb i="13664"/>
        </ext>
      </extLst>
    </bk>
    <bk>
      <extLst>
        <ext uri="{3e2802c4-a4d2-4d8b-9148-e3be6c30e623}">
          <xlrd:rvb i="13665"/>
        </ext>
      </extLst>
    </bk>
    <bk>
      <extLst>
        <ext uri="{3e2802c4-a4d2-4d8b-9148-e3be6c30e623}">
          <xlrd:rvb i="13666"/>
        </ext>
      </extLst>
    </bk>
    <bk>
      <extLst>
        <ext uri="{3e2802c4-a4d2-4d8b-9148-e3be6c30e623}">
          <xlrd:rvb i="13667"/>
        </ext>
      </extLst>
    </bk>
    <bk>
      <extLst>
        <ext uri="{3e2802c4-a4d2-4d8b-9148-e3be6c30e623}">
          <xlrd:rvb i="13668"/>
        </ext>
      </extLst>
    </bk>
    <bk>
      <extLst>
        <ext uri="{3e2802c4-a4d2-4d8b-9148-e3be6c30e623}">
          <xlrd:rvb i="13669"/>
        </ext>
      </extLst>
    </bk>
    <bk>
      <extLst>
        <ext uri="{3e2802c4-a4d2-4d8b-9148-e3be6c30e623}">
          <xlrd:rvb i="13670"/>
        </ext>
      </extLst>
    </bk>
    <bk>
      <extLst>
        <ext uri="{3e2802c4-a4d2-4d8b-9148-e3be6c30e623}">
          <xlrd:rvb i="13671"/>
        </ext>
      </extLst>
    </bk>
    <bk>
      <extLst>
        <ext uri="{3e2802c4-a4d2-4d8b-9148-e3be6c30e623}">
          <xlrd:rvb i="13672"/>
        </ext>
      </extLst>
    </bk>
    <bk>
      <extLst>
        <ext uri="{3e2802c4-a4d2-4d8b-9148-e3be6c30e623}">
          <xlrd:rvb i="13673"/>
        </ext>
      </extLst>
    </bk>
    <bk>
      <extLst>
        <ext uri="{3e2802c4-a4d2-4d8b-9148-e3be6c30e623}">
          <xlrd:rvb i="13674"/>
        </ext>
      </extLst>
    </bk>
    <bk>
      <extLst>
        <ext uri="{3e2802c4-a4d2-4d8b-9148-e3be6c30e623}">
          <xlrd:rvb i="13675"/>
        </ext>
      </extLst>
    </bk>
    <bk>
      <extLst>
        <ext uri="{3e2802c4-a4d2-4d8b-9148-e3be6c30e623}">
          <xlrd:rvb i="13676"/>
        </ext>
      </extLst>
    </bk>
    <bk>
      <extLst>
        <ext uri="{3e2802c4-a4d2-4d8b-9148-e3be6c30e623}">
          <xlrd:rvb i="13677"/>
        </ext>
      </extLst>
    </bk>
    <bk>
      <extLst>
        <ext uri="{3e2802c4-a4d2-4d8b-9148-e3be6c30e623}">
          <xlrd:rvb i="13678"/>
        </ext>
      </extLst>
    </bk>
    <bk>
      <extLst>
        <ext uri="{3e2802c4-a4d2-4d8b-9148-e3be6c30e623}">
          <xlrd:rvb i="13679"/>
        </ext>
      </extLst>
    </bk>
    <bk>
      <extLst>
        <ext uri="{3e2802c4-a4d2-4d8b-9148-e3be6c30e623}">
          <xlrd:rvb i="13680"/>
        </ext>
      </extLst>
    </bk>
    <bk>
      <extLst>
        <ext uri="{3e2802c4-a4d2-4d8b-9148-e3be6c30e623}">
          <xlrd:rvb i="13681"/>
        </ext>
      </extLst>
    </bk>
    <bk>
      <extLst>
        <ext uri="{3e2802c4-a4d2-4d8b-9148-e3be6c30e623}">
          <xlrd:rvb i="13682"/>
        </ext>
      </extLst>
    </bk>
    <bk>
      <extLst>
        <ext uri="{3e2802c4-a4d2-4d8b-9148-e3be6c30e623}">
          <xlrd:rvb i="13683"/>
        </ext>
      </extLst>
    </bk>
    <bk>
      <extLst>
        <ext uri="{3e2802c4-a4d2-4d8b-9148-e3be6c30e623}">
          <xlrd:rvb i="13684"/>
        </ext>
      </extLst>
    </bk>
    <bk>
      <extLst>
        <ext uri="{3e2802c4-a4d2-4d8b-9148-e3be6c30e623}">
          <xlrd:rvb i="13685"/>
        </ext>
      </extLst>
    </bk>
    <bk>
      <extLst>
        <ext uri="{3e2802c4-a4d2-4d8b-9148-e3be6c30e623}">
          <xlrd:rvb i="13686"/>
        </ext>
      </extLst>
    </bk>
    <bk>
      <extLst>
        <ext uri="{3e2802c4-a4d2-4d8b-9148-e3be6c30e623}">
          <xlrd:rvb i="13687"/>
        </ext>
      </extLst>
    </bk>
    <bk>
      <extLst>
        <ext uri="{3e2802c4-a4d2-4d8b-9148-e3be6c30e623}">
          <xlrd:rvb i="13688"/>
        </ext>
      </extLst>
    </bk>
    <bk>
      <extLst>
        <ext uri="{3e2802c4-a4d2-4d8b-9148-e3be6c30e623}">
          <xlrd:rvb i="13689"/>
        </ext>
      </extLst>
    </bk>
    <bk>
      <extLst>
        <ext uri="{3e2802c4-a4d2-4d8b-9148-e3be6c30e623}">
          <xlrd:rvb i="13690"/>
        </ext>
      </extLst>
    </bk>
    <bk>
      <extLst>
        <ext uri="{3e2802c4-a4d2-4d8b-9148-e3be6c30e623}">
          <xlrd:rvb i="13691"/>
        </ext>
      </extLst>
    </bk>
    <bk>
      <extLst>
        <ext uri="{3e2802c4-a4d2-4d8b-9148-e3be6c30e623}">
          <xlrd:rvb i="13692"/>
        </ext>
      </extLst>
    </bk>
    <bk>
      <extLst>
        <ext uri="{3e2802c4-a4d2-4d8b-9148-e3be6c30e623}">
          <xlrd:rvb i="13693"/>
        </ext>
      </extLst>
    </bk>
    <bk>
      <extLst>
        <ext uri="{3e2802c4-a4d2-4d8b-9148-e3be6c30e623}">
          <xlrd:rvb i="13694"/>
        </ext>
      </extLst>
    </bk>
    <bk>
      <extLst>
        <ext uri="{3e2802c4-a4d2-4d8b-9148-e3be6c30e623}">
          <xlrd:rvb i="13695"/>
        </ext>
      </extLst>
    </bk>
    <bk>
      <extLst>
        <ext uri="{3e2802c4-a4d2-4d8b-9148-e3be6c30e623}">
          <xlrd:rvb i="13696"/>
        </ext>
      </extLst>
    </bk>
    <bk>
      <extLst>
        <ext uri="{3e2802c4-a4d2-4d8b-9148-e3be6c30e623}">
          <xlrd:rvb i="13697"/>
        </ext>
      </extLst>
    </bk>
    <bk>
      <extLst>
        <ext uri="{3e2802c4-a4d2-4d8b-9148-e3be6c30e623}">
          <xlrd:rvb i="13698"/>
        </ext>
      </extLst>
    </bk>
    <bk>
      <extLst>
        <ext uri="{3e2802c4-a4d2-4d8b-9148-e3be6c30e623}">
          <xlrd:rvb i="13699"/>
        </ext>
      </extLst>
    </bk>
    <bk>
      <extLst>
        <ext uri="{3e2802c4-a4d2-4d8b-9148-e3be6c30e623}">
          <xlrd:rvb i="13700"/>
        </ext>
      </extLst>
    </bk>
    <bk>
      <extLst>
        <ext uri="{3e2802c4-a4d2-4d8b-9148-e3be6c30e623}">
          <xlrd:rvb i="13701"/>
        </ext>
      </extLst>
    </bk>
    <bk>
      <extLst>
        <ext uri="{3e2802c4-a4d2-4d8b-9148-e3be6c30e623}">
          <xlrd:rvb i="13702"/>
        </ext>
      </extLst>
    </bk>
    <bk>
      <extLst>
        <ext uri="{3e2802c4-a4d2-4d8b-9148-e3be6c30e623}">
          <xlrd:rvb i="13703"/>
        </ext>
      </extLst>
    </bk>
    <bk>
      <extLst>
        <ext uri="{3e2802c4-a4d2-4d8b-9148-e3be6c30e623}">
          <xlrd:rvb i="13704"/>
        </ext>
      </extLst>
    </bk>
    <bk>
      <extLst>
        <ext uri="{3e2802c4-a4d2-4d8b-9148-e3be6c30e623}">
          <xlrd:rvb i="13705"/>
        </ext>
      </extLst>
    </bk>
    <bk>
      <extLst>
        <ext uri="{3e2802c4-a4d2-4d8b-9148-e3be6c30e623}">
          <xlrd:rvb i="13706"/>
        </ext>
      </extLst>
    </bk>
    <bk>
      <extLst>
        <ext uri="{3e2802c4-a4d2-4d8b-9148-e3be6c30e623}">
          <xlrd:rvb i="13707"/>
        </ext>
      </extLst>
    </bk>
    <bk>
      <extLst>
        <ext uri="{3e2802c4-a4d2-4d8b-9148-e3be6c30e623}">
          <xlrd:rvb i="13708"/>
        </ext>
      </extLst>
    </bk>
    <bk>
      <extLst>
        <ext uri="{3e2802c4-a4d2-4d8b-9148-e3be6c30e623}">
          <xlrd:rvb i="13709"/>
        </ext>
      </extLst>
    </bk>
    <bk>
      <extLst>
        <ext uri="{3e2802c4-a4d2-4d8b-9148-e3be6c30e623}">
          <xlrd:rvb i="13710"/>
        </ext>
      </extLst>
    </bk>
    <bk>
      <extLst>
        <ext uri="{3e2802c4-a4d2-4d8b-9148-e3be6c30e623}">
          <xlrd:rvb i="13711"/>
        </ext>
      </extLst>
    </bk>
    <bk>
      <extLst>
        <ext uri="{3e2802c4-a4d2-4d8b-9148-e3be6c30e623}">
          <xlrd:rvb i="13712"/>
        </ext>
      </extLst>
    </bk>
    <bk>
      <extLst>
        <ext uri="{3e2802c4-a4d2-4d8b-9148-e3be6c30e623}">
          <xlrd:rvb i="13713"/>
        </ext>
      </extLst>
    </bk>
    <bk>
      <extLst>
        <ext uri="{3e2802c4-a4d2-4d8b-9148-e3be6c30e623}">
          <xlrd:rvb i="13714"/>
        </ext>
      </extLst>
    </bk>
    <bk>
      <extLst>
        <ext uri="{3e2802c4-a4d2-4d8b-9148-e3be6c30e623}">
          <xlrd:rvb i="13715"/>
        </ext>
      </extLst>
    </bk>
    <bk>
      <extLst>
        <ext uri="{3e2802c4-a4d2-4d8b-9148-e3be6c30e623}">
          <xlrd:rvb i="13716"/>
        </ext>
      </extLst>
    </bk>
    <bk>
      <extLst>
        <ext uri="{3e2802c4-a4d2-4d8b-9148-e3be6c30e623}">
          <xlrd:rvb i="13717"/>
        </ext>
      </extLst>
    </bk>
    <bk>
      <extLst>
        <ext uri="{3e2802c4-a4d2-4d8b-9148-e3be6c30e623}">
          <xlrd:rvb i="13718"/>
        </ext>
      </extLst>
    </bk>
    <bk>
      <extLst>
        <ext uri="{3e2802c4-a4d2-4d8b-9148-e3be6c30e623}">
          <xlrd:rvb i="13719"/>
        </ext>
      </extLst>
    </bk>
    <bk>
      <extLst>
        <ext uri="{3e2802c4-a4d2-4d8b-9148-e3be6c30e623}">
          <xlrd:rvb i="13720"/>
        </ext>
      </extLst>
    </bk>
    <bk>
      <extLst>
        <ext uri="{3e2802c4-a4d2-4d8b-9148-e3be6c30e623}">
          <xlrd:rvb i="13721"/>
        </ext>
      </extLst>
    </bk>
    <bk>
      <extLst>
        <ext uri="{3e2802c4-a4d2-4d8b-9148-e3be6c30e623}">
          <xlrd:rvb i="13722"/>
        </ext>
      </extLst>
    </bk>
    <bk>
      <extLst>
        <ext uri="{3e2802c4-a4d2-4d8b-9148-e3be6c30e623}">
          <xlrd:rvb i="13723"/>
        </ext>
      </extLst>
    </bk>
    <bk>
      <extLst>
        <ext uri="{3e2802c4-a4d2-4d8b-9148-e3be6c30e623}">
          <xlrd:rvb i="13724"/>
        </ext>
      </extLst>
    </bk>
    <bk>
      <extLst>
        <ext uri="{3e2802c4-a4d2-4d8b-9148-e3be6c30e623}">
          <xlrd:rvb i="13725"/>
        </ext>
      </extLst>
    </bk>
    <bk>
      <extLst>
        <ext uri="{3e2802c4-a4d2-4d8b-9148-e3be6c30e623}">
          <xlrd:rvb i="13726"/>
        </ext>
      </extLst>
    </bk>
    <bk>
      <extLst>
        <ext uri="{3e2802c4-a4d2-4d8b-9148-e3be6c30e623}">
          <xlrd:rvb i="13727"/>
        </ext>
      </extLst>
    </bk>
    <bk>
      <extLst>
        <ext uri="{3e2802c4-a4d2-4d8b-9148-e3be6c30e623}">
          <xlrd:rvb i="13728"/>
        </ext>
      </extLst>
    </bk>
    <bk>
      <extLst>
        <ext uri="{3e2802c4-a4d2-4d8b-9148-e3be6c30e623}">
          <xlrd:rvb i="13729"/>
        </ext>
      </extLst>
    </bk>
    <bk>
      <extLst>
        <ext uri="{3e2802c4-a4d2-4d8b-9148-e3be6c30e623}">
          <xlrd:rvb i="13730"/>
        </ext>
      </extLst>
    </bk>
    <bk>
      <extLst>
        <ext uri="{3e2802c4-a4d2-4d8b-9148-e3be6c30e623}">
          <xlrd:rvb i="13731"/>
        </ext>
      </extLst>
    </bk>
    <bk>
      <extLst>
        <ext uri="{3e2802c4-a4d2-4d8b-9148-e3be6c30e623}">
          <xlrd:rvb i="13732"/>
        </ext>
      </extLst>
    </bk>
    <bk>
      <extLst>
        <ext uri="{3e2802c4-a4d2-4d8b-9148-e3be6c30e623}">
          <xlrd:rvb i="13733"/>
        </ext>
      </extLst>
    </bk>
    <bk>
      <extLst>
        <ext uri="{3e2802c4-a4d2-4d8b-9148-e3be6c30e623}">
          <xlrd:rvb i="13734"/>
        </ext>
      </extLst>
    </bk>
    <bk>
      <extLst>
        <ext uri="{3e2802c4-a4d2-4d8b-9148-e3be6c30e623}">
          <xlrd:rvb i="13735"/>
        </ext>
      </extLst>
    </bk>
    <bk>
      <extLst>
        <ext uri="{3e2802c4-a4d2-4d8b-9148-e3be6c30e623}">
          <xlrd:rvb i="13736"/>
        </ext>
      </extLst>
    </bk>
    <bk>
      <extLst>
        <ext uri="{3e2802c4-a4d2-4d8b-9148-e3be6c30e623}">
          <xlrd:rvb i="13737"/>
        </ext>
      </extLst>
    </bk>
    <bk>
      <extLst>
        <ext uri="{3e2802c4-a4d2-4d8b-9148-e3be6c30e623}">
          <xlrd:rvb i="13738"/>
        </ext>
      </extLst>
    </bk>
    <bk>
      <extLst>
        <ext uri="{3e2802c4-a4d2-4d8b-9148-e3be6c30e623}">
          <xlrd:rvb i="13739"/>
        </ext>
      </extLst>
    </bk>
    <bk>
      <extLst>
        <ext uri="{3e2802c4-a4d2-4d8b-9148-e3be6c30e623}">
          <xlrd:rvb i="13740"/>
        </ext>
      </extLst>
    </bk>
    <bk>
      <extLst>
        <ext uri="{3e2802c4-a4d2-4d8b-9148-e3be6c30e623}">
          <xlrd:rvb i="13741"/>
        </ext>
      </extLst>
    </bk>
    <bk>
      <extLst>
        <ext uri="{3e2802c4-a4d2-4d8b-9148-e3be6c30e623}">
          <xlrd:rvb i="13742"/>
        </ext>
      </extLst>
    </bk>
    <bk>
      <extLst>
        <ext uri="{3e2802c4-a4d2-4d8b-9148-e3be6c30e623}">
          <xlrd:rvb i="13743"/>
        </ext>
      </extLst>
    </bk>
    <bk>
      <extLst>
        <ext uri="{3e2802c4-a4d2-4d8b-9148-e3be6c30e623}">
          <xlrd:rvb i="13744"/>
        </ext>
      </extLst>
    </bk>
    <bk>
      <extLst>
        <ext uri="{3e2802c4-a4d2-4d8b-9148-e3be6c30e623}">
          <xlrd:rvb i="13745"/>
        </ext>
      </extLst>
    </bk>
    <bk>
      <extLst>
        <ext uri="{3e2802c4-a4d2-4d8b-9148-e3be6c30e623}">
          <xlrd:rvb i="13746"/>
        </ext>
      </extLst>
    </bk>
    <bk>
      <extLst>
        <ext uri="{3e2802c4-a4d2-4d8b-9148-e3be6c30e623}">
          <xlrd:rvb i="13747"/>
        </ext>
      </extLst>
    </bk>
    <bk>
      <extLst>
        <ext uri="{3e2802c4-a4d2-4d8b-9148-e3be6c30e623}">
          <xlrd:rvb i="13748"/>
        </ext>
      </extLst>
    </bk>
    <bk>
      <extLst>
        <ext uri="{3e2802c4-a4d2-4d8b-9148-e3be6c30e623}">
          <xlrd:rvb i="13749"/>
        </ext>
      </extLst>
    </bk>
    <bk>
      <extLst>
        <ext uri="{3e2802c4-a4d2-4d8b-9148-e3be6c30e623}">
          <xlrd:rvb i="13750"/>
        </ext>
      </extLst>
    </bk>
    <bk>
      <extLst>
        <ext uri="{3e2802c4-a4d2-4d8b-9148-e3be6c30e623}">
          <xlrd:rvb i="13751"/>
        </ext>
      </extLst>
    </bk>
    <bk>
      <extLst>
        <ext uri="{3e2802c4-a4d2-4d8b-9148-e3be6c30e623}">
          <xlrd:rvb i="13752"/>
        </ext>
      </extLst>
    </bk>
    <bk>
      <extLst>
        <ext uri="{3e2802c4-a4d2-4d8b-9148-e3be6c30e623}">
          <xlrd:rvb i="13753"/>
        </ext>
      </extLst>
    </bk>
    <bk>
      <extLst>
        <ext uri="{3e2802c4-a4d2-4d8b-9148-e3be6c30e623}">
          <xlrd:rvb i="13754"/>
        </ext>
      </extLst>
    </bk>
    <bk>
      <extLst>
        <ext uri="{3e2802c4-a4d2-4d8b-9148-e3be6c30e623}">
          <xlrd:rvb i="13755"/>
        </ext>
      </extLst>
    </bk>
    <bk>
      <extLst>
        <ext uri="{3e2802c4-a4d2-4d8b-9148-e3be6c30e623}">
          <xlrd:rvb i="13756"/>
        </ext>
      </extLst>
    </bk>
    <bk>
      <extLst>
        <ext uri="{3e2802c4-a4d2-4d8b-9148-e3be6c30e623}">
          <xlrd:rvb i="13757"/>
        </ext>
      </extLst>
    </bk>
    <bk>
      <extLst>
        <ext uri="{3e2802c4-a4d2-4d8b-9148-e3be6c30e623}">
          <xlrd:rvb i="13758"/>
        </ext>
      </extLst>
    </bk>
    <bk>
      <extLst>
        <ext uri="{3e2802c4-a4d2-4d8b-9148-e3be6c30e623}">
          <xlrd:rvb i="13759"/>
        </ext>
      </extLst>
    </bk>
    <bk>
      <extLst>
        <ext uri="{3e2802c4-a4d2-4d8b-9148-e3be6c30e623}">
          <xlrd:rvb i="13760"/>
        </ext>
      </extLst>
    </bk>
    <bk>
      <extLst>
        <ext uri="{3e2802c4-a4d2-4d8b-9148-e3be6c30e623}">
          <xlrd:rvb i="13761"/>
        </ext>
      </extLst>
    </bk>
    <bk>
      <extLst>
        <ext uri="{3e2802c4-a4d2-4d8b-9148-e3be6c30e623}">
          <xlrd:rvb i="13762"/>
        </ext>
      </extLst>
    </bk>
    <bk>
      <extLst>
        <ext uri="{3e2802c4-a4d2-4d8b-9148-e3be6c30e623}">
          <xlrd:rvb i="13763"/>
        </ext>
      </extLst>
    </bk>
    <bk>
      <extLst>
        <ext uri="{3e2802c4-a4d2-4d8b-9148-e3be6c30e623}">
          <xlrd:rvb i="13764"/>
        </ext>
      </extLst>
    </bk>
    <bk>
      <extLst>
        <ext uri="{3e2802c4-a4d2-4d8b-9148-e3be6c30e623}">
          <xlrd:rvb i="13765"/>
        </ext>
      </extLst>
    </bk>
    <bk>
      <extLst>
        <ext uri="{3e2802c4-a4d2-4d8b-9148-e3be6c30e623}">
          <xlrd:rvb i="13766"/>
        </ext>
      </extLst>
    </bk>
    <bk>
      <extLst>
        <ext uri="{3e2802c4-a4d2-4d8b-9148-e3be6c30e623}">
          <xlrd:rvb i="13767"/>
        </ext>
      </extLst>
    </bk>
    <bk>
      <extLst>
        <ext uri="{3e2802c4-a4d2-4d8b-9148-e3be6c30e623}">
          <xlrd:rvb i="13768"/>
        </ext>
      </extLst>
    </bk>
    <bk>
      <extLst>
        <ext uri="{3e2802c4-a4d2-4d8b-9148-e3be6c30e623}">
          <xlrd:rvb i="13769"/>
        </ext>
      </extLst>
    </bk>
    <bk>
      <extLst>
        <ext uri="{3e2802c4-a4d2-4d8b-9148-e3be6c30e623}">
          <xlrd:rvb i="13770"/>
        </ext>
      </extLst>
    </bk>
    <bk>
      <extLst>
        <ext uri="{3e2802c4-a4d2-4d8b-9148-e3be6c30e623}">
          <xlrd:rvb i="13771"/>
        </ext>
      </extLst>
    </bk>
    <bk>
      <extLst>
        <ext uri="{3e2802c4-a4d2-4d8b-9148-e3be6c30e623}">
          <xlrd:rvb i="13772"/>
        </ext>
      </extLst>
    </bk>
    <bk>
      <extLst>
        <ext uri="{3e2802c4-a4d2-4d8b-9148-e3be6c30e623}">
          <xlrd:rvb i="13773"/>
        </ext>
      </extLst>
    </bk>
    <bk>
      <extLst>
        <ext uri="{3e2802c4-a4d2-4d8b-9148-e3be6c30e623}">
          <xlrd:rvb i="13774"/>
        </ext>
      </extLst>
    </bk>
    <bk>
      <extLst>
        <ext uri="{3e2802c4-a4d2-4d8b-9148-e3be6c30e623}">
          <xlrd:rvb i="13775"/>
        </ext>
      </extLst>
    </bk>
    <bk>
      <extLst>
        <ext uri="{3e2802c4-a4d2-4d8b-9148-e3be6c30e623}">
          <xlrd:rvb i="13776"/>
        </ext>
      </extLst>
    </bk>
    <bk>
      <extLst>
        <ext uri="{3e2802c4-a4d2-4d8b-9148-e3be6c30e623}">
          <xlrd:rvb i="13777"/>
        </ext>
      </extLst>
    </bk>
    <bk>
      <extLst>
        <ext uri="{3e2802c4-a4d2-4d8b-9148-e3be6c30e623}">
          <xlrd:rvb i="13778"/>
        </ext>
      </extLst>
    </bk>
    <bk>
      <extLst>
        <ext uri="{3e2802c4-a4d2-4d8b-9148-e3be6c30e623}">
          <xlrd:rvb i="13779"/>
        </ext>
      </extLst>
    </bk>
    <bk>
      <extLst>
        <ext uri="{3e2802c4-a4d2-4d8b-9148-e3be6c30e623}">
          <xlrd:rvb i="13780"/>
        </ext>
      </extLst>
    </bk>
    <bk>
      <extLst>
        <ext uri="{3e2802c4-a4d2-4d8b-9148-e3be6c30e623}">
          <xlrd:rvb i="13781"/>
        </ext>
      </extLst>
    </bk>
    <bk>
      <extLst>
        <ext uri="{3e2802c4-a4d2-4d8b-9148-e3be6c30e623}">
          <xlrd:rvb i="13782"/>
        </ext>
      </extLst>
    </bk>
    <bk>
      <extLst>
        <ext uri="{3e2802c4-a4d2-4d8b-9148-e3be6c30e623}">
          <xlrd:rvb i="13783"/>
        </ext>
      </extLst>
    </bk>
    <bk>
      <extLst>
        <ext uri="{3e2802c4-a4d2-4d8b-9148-e3be6c30e623}">
          <xlrd:rvb i="13784"/>
        </ext>
      </extLst>
    </bk>
    <bk>
      <extLst>
        <ext uri="{3e2802c4-a4d2-4d8b-9148-e3be6c30e623}">
          <xlrd:rvb i="13785"/>
        </ext>
      </extLst>
    </bk>
    <bk>
      <extLst>
        <ext uri="{3e2802c4-a4d2-4d8b-9148-e3be6c30e623}">
          <xlrd:rvb i="13786"/>
        </ext>
      </extLst>
    </bk>
    <bk>
      <extLst>
        <ext uri="{3e2802c4-a4d2-4d8b-9148-e3be6c30e623}">
          <xlrd:rvb i="13787"/>
        </ext>
      </extLst>
    </bk>
    <bk>
      <extLst>
        <ext uri="{3e2802c4-a4d2-4d8b-9148-e3be6c30e623}">
          <xlrd:rvb i="13788"/>
        </ext>
      </extLst>
    </bk>
    <bk>
      <extLst>
        <ext uri="{3e2802c4-a4d2-4d8b-9148-e3be6c30e623}">
          <xlrd:rvb i="13789"/>
        </ext>
      </extLst>
    </bk>
    <bk>
      <extLst>
        <ext uri="{3e2802c4-a4d2-4d8b-9148-e3be6c30e623}">
          <xlrd:rvb i="13790"/>
        </ext>
      </extLst>
    </bk>
    <bk>
      <extLst>
        <ext uri="{3e2802c4-a4d2-4d8b-9148-e3be6c30e623}">
          <xlrd:rvb i="13791"/>
        </ext>
      </extLst>
    </bk>
    <bk>
      <extLst>
        <ext uri="{3e2802c4-a4d2-4d8b-9148-e3be6c30e623}">
          <xlrd:rvb i="13792"/>
        </ext>
      </extLst>
    </bk>
    <bk>
      <extLst>
        <ext uri="{3e2802c4-a4d2-4d8b-9148-e3be6c30e623}">
          <xlrd:rvb i="13793"/>
        </ext>
      </extLst>
    </bk>
    <bk>
      <extLst>
        <ext uri="{3e2802c4-a4d2-4d8b-9148-e3be6c30e623}">
          <xlrd:rvb i="13794"/>
        </ext>
      </extLst>
    </bk>
    <bk>
      <extLst>
        <ext uri="{3e2802c4-a4d2-4d8b-9148-e3be6c30e623}">
          <xlrd:rvb i="13795"/>
        </ext>
      </extLst>
    </bk>
    <bk>
      <extLst>
        <ext uri="{3e2802c4-a4d2-4d8b-9148-e3be6c30e623}">
          <xlrd:rvb i="13796"/>
        </ext>
      </extLst>
    </bk>
    <bk>
      <extLst>
        <ext uri="{3e2802c4-a4d2-4d8b-9148-e3be6c30e623}">
          <xlrd:rvb i="13797"/>
        </ext>
      </extLst>
    </bk>
    <bk>
      <extLst>
        <ext uri="{3e2802c4-a4d2-4d8b-9148-e3be6c30e623}">
          <xlrd:rvb i="13798"/>
        </ext>
      </extLst>
    </bk>
    <bk>
      <extLst>
        <ext uri="{3e2802c4-a4d2-4d8b-9148-e3be6c30e623}">
          <xlrd:rvb i="13799"/>
        </ext>
      </extLst>
    </bk>
    <bk>
      <extLst>
        <ext uri="{3e2802c4-a4d2-4d8b-9148-e3be6c30e623}">
          <xlrd:rvb i="13800"/>
        </ext>
      </extLst>
    </bk>
    <bk>
      <extLst>
        <ext uri="{3e2802c4-a4d2-4d8b-9148-e3be6c30e623}">
          <xlrd:rvb i="13801"/>
        </ext>
      </extLst>
    </bk>
    <bk>
      <extLst>
        <ext uri="{3e2802c4-a4d2-4d8b-9148-e3be6c30e623}">
          <xlrd:rvb i="13802"/>
        </ext>
      </extLst>
    </bk>
    <bk>
      <extLst>
        <ext uri="{3e2802c4-a4d2-4d8b-9148-e3be6c30e623}">
          <xlrd:rvb i="13803"/>
        </ext>
      </extLst>
    </bk>
    <bk>
      <extLst>
        <ext uri="{3e2802c4-a4d2-4d8b-9148-e3be6c30e623}">
          <xlrd:rvb i="13804"/>
        </ext>
      </extLst>
    </bk>
    <bk>
      <extLst>
        <ext uri="{3e2802c4-a4d2-4d8b-9148-e3be6c30e623}">
          <xlrd:rvb i="13805"/>
        </ext>
      </extLst>
    </bk>
    <bk>
      <extLst>
        <ext uri="{3e2802c4-a4d2-4d8b-9148-e3be6c30e623}">
          <xlrd:rvb i="13806"/>
        </ext>
      </extLst>
    </bk>
    <bk>
      <extLst>
        <ext uri="{3e2802c4-a4d2-4d8b-9148-e3be6c30e623}">
          <xlrd:rvb i="13807"/>
        </ext>
      </extLst>
    </bk>
    <bk>
      <extLst>
        <ext uri="{3e2802c4-a4d2-4d8b-9148-e3be6c30e623}">
          <xlrd:rvb i="13808"/>
        </ext>
      </extLst>
    </bk>
    <bk>
      <extLst>
        <ext uri="{3e2802c4-a4d2-4d8b-9148-e3be6c30e623}">
          <xlrd:rvb i="13809"/>
        </ext>
      </extLst>
    </bk>
    <bk>
      <extLst>
        <ext uri="{3e2802c4-a4d2-4d8b-9148-e3be6c30e623}">
          <xlrd:rvb i="13810"/>
        </ext>
      </extLst>
    </bk>
    <bk>
      <extLst>
        <ext uri="{3e2802c4-a4d2-4d8b-9148-e3be6c30e623}">
          <xlrd:rvb i="13811"/>
        </ext>
      </extLst>
    </bk>
    <bk>
      <extLst>
        <ext uri="{3e2802c4-a4d2-4d8b-9148-e3be6c30e623}">
          <xlrd:rvb i="13812"/>
        </ext>
      </extLst>
    </bk>
    <bk>
      <extLst>
        <ext uri="{3e2802c4-a4d2-4d8b-9148-e3be6c30e623}">
          <xlrd:rvb i="13813"/>
        </ext>
      </extLst>
    </bk>
    <bk>
      <extLst>
        <ext uri="{3e2802c4-a4d2-4d8b-9148-e3be6c30e623}">
          <xlrd:rvb i="13814"/>
        </ext>
      </extLst>
    </bk>
    <bk>
      <extLst>
        <ext uri="{3e2802c4-a4d2-4d8b-9148-e3be6c30e623}">
          <xlrd:rvb i="13815"/>
        </ext>
      </extLst>
    </bk>
    <bk>
      <extLst>
        <ext uri="{3e2802c4-a4d2-4d8b-9148-e3be6c30e623}">
          <xlrd:rvb i="13816"/>
        </ext>
      </extLst>
    </bk>
    <bk>
      <extLst>
        <ext uri="{3e2802c4-a4d2-4d8b-9148-e3be6c30e623}">
          <xlrd:rvb i="13817"/>
        </ext>
      </extLst>
    </bk>
    <bk>
      <extLst>
        <ext uri="{3e2802c4-a4d2-4d8b-9148-e3be6c30e623}">
          <xlrd:rvb i="13818"/>
        </ext>
      </extLst>
    </bk>
    <bk>
      <extLst>
        <ext uri="{3e2802c4-a4d2-4d8b-9148-e3be6c30e623}">
          <xlrd:rvb i="13819"/>
        </ext>
      </extLst>
    </bk>
    <bk>
      <extLst>
        <ext uri="{3e2802c4-a4d2-4d8b-9148-e3be6c30e623}">
          <xlrd:rvb i="13820"/>
        </ext>
      </extLst>
    </bk>
    <bk>
      <extLst>
        <ext uri="{3e2802c4-a4d2-4d8b-9148-e3be6c30e623}">
          <xlrd:rvb i="13821"/>
        </ext>
      </extLst>
    </bk>
    <bk>
      <extLst>
        <ext uri="{3e2802c4-a4d2-4d8b-9148-e3be6c30e623}">
          <xlrd:rvb i="13822"/>
        </ext>
      </extLst>
    </bk>
    <bk>
      <extLst>
        <ext uri="{3e2802c4-a4d2-4d8b-9148-e3be6c30e623}">
          <xlrd:rvb i="13823"/>
        </ext>
      </extLst>
    </bk>
    <bk>
      <extLst>
        <ext uri="{3e2802c4-a4d2-4d8b-9148-e3be6c30e623}">
          <xlrd:rvb i="13824"/>
        </ext>
      </extLst>
    </bk>
    <bk>
      <extLst>
        <ext uri="{3e2802c4-a4d2-4d8b-9148-e3be6c30e623}">
          <xlrd:rvb i="13825"/>
        </ext>
      </extLst>
    </bk>
    <bk>
      <extLst>
        <ext uri="{3e2802c4-a4d2-4d8b-9148-e3be6c30e623}">
          <xlrd:rvb i="13826"/>
        </ext>
      </extLst>
    </bk>
    <bk>
      <extLst>
        <ext uri="{3e2802c4-a4d2-4d8b-9148-e3be6c30e623}">
          <xlrd:rvb i="13827"/>
        </ext>
      </extLst>
    </bk>
    <bk>
      <extLst>
        <ext uri="{3e2802c4-a4d2-4d8b-9148-e3be6c30e623}">
          <xlrd:rvb i="13828"/>
        </ext>
      </extLst>
    </bk>
    <bk>
      <extLst>
        <ext uri="{3e2802c4-a4d2-4d8b-9148-e3be6c30e623}">
          <xlrd:rvb i="13829"/>
        </ext>
      </extLst>
    </bk>
    <bk>
      <extLst>
        <ext uri="{3e2802c4-a4d2-4d8b-9148-e3be6c30e623}">
          <xlrd:rvb i="13830"/>
        </ext>
      </extLst>
    </bk>
    <bk>
      <extLst>
        <ext uri="{3e2802c4-a4d2-4d8b-9148-e3be6c30e623}">
          <xlrd:rvb i="13831"/>
        </ext>
      </extLst>
    </bk>
    <bk>
      <extLst>
        <ext uri="{3e2802c4-a4d2-4d8b-9148-e3be6c30e623}">
          <xlrd:rvb i="13832"/>
        </ext>
      </extLst>
    </bk>
    <bk>
      <extLst>
        <ext uri="{3e2802c4-a4d2-4d8b-9148-e3be6c30e623}">
          <xlrd:rvb i="13833"/>
        </ext>
      </extLst>
    </bk>
    <bk>
      <extLst>
        <ext uri="{3e2802c4-a4d2-4d8b-9148-e3be6c30e623}">
          <xlrd:rvb i="13834"/>
        </ext>
      </extLst>
    </bk>
    <bk>
      <extLst>
        <ext uri="{3e2802c4-a4d2-4d8b-9148-e3be6c30e623}">
          <xlrd:rvb i="13835"/>
        </ext>
      </extLst>
    </bk>
    <bk>
      <extLst>
        <ext uri="{3e2802c4-a4d2-4d8b-9148-e3be6c30e623}">
          <xlrd:rvb i="13836"/>
        </ext>
      </extLst>
    </bk>
    <bk>
      <extLst>
        <ext uri="{3e2802c4-a4d2-4d8b-9148-e3be6c30e623}">
          <xlrd:rvb i="13837"/>
        </ext>
      </extLst>
    </bk>
    <bk>
      <extLst>
        <ext uri="{3e2802c4-a4d2-4d8b-9148-e3be6c30e623}">
          <xlrd:rvb i="13838"/>
        </ext>
      </extLst>
    </bk>
    <bk>
      <extLst>
        <ext uri="{3e2802c4-a4d2-4d8b-9148-e3be6c30e623}">
          <xlrd:rvb i="13839"/>
        </ext>
      </extLst>
    </bk>
    <bk>
      <extLst>
        <ext uri="{3e2802c4-a4d2-4d8b-9148-e3be6c30e623}">
          <xlrd:rvb i="13840"/>
        </ext>
      </extLst>
    </bk>
    <bk>
      <extLst>
        <ext uri="{3e2802c4-a4d2-4d8b-9148-e3be6c30e623}">
          <xlrd:rvb i="13841"/>
        </ext>
      </extLst>
    </bk>
    <bk>
      <extLst>
        <ext uri="{3e2802c4-a4d2-4d8b-9148-e3be6c30e623}">
          <xlrd:rvb i="13842"/>
        </ext>
      </extLst>
    </bk>
    <bk>
      <extLst>
        <ext uri="{3e2802c4-a4d2-4d8b-9148-e3be6c30e623}">
          <xlrd:rvb i="13843"/>
        </ext>
      </extLst>
    </bk>
    <bk>
      <extLst>
        <ext uri="{3e2802c4-a4d2-4d8b-9148-e3be6c30e623}">
          <xlrd:rvb i="13844"/>
        </ext>
      </extLst>
    </bk>
    <bk>
      <extLst>
        <ext uri="{3e2802c4-a4d2-4d8b-9148-e3be6c30e623}">
          <xlrd:rvb i="13845"/>
        </ext>
      </extLst>
    </bk>
    <bk>
      <extLst>
        <ext uri="{3e2802c4-a4d2-4d8b-9148-e3be6c30e623}">
          <xlrd:rvb i="13846"/>
        </ext>
      </extLst>
    </bk>
    <bk>
      <extLst>
        <ext uri="{3e2802c4-a4d2-4d8b-9148-e3be6c30e623}">
          <xlrd:rvb i="13847"/>
        </ext>
      </extLst>
    </bk>
    <bk>
      <extLst>
        <ext uri="{3e2802c4-a4d2-4d8b-9148-e3be6c30e623}">
          <xlrd:rvb i="13848"/>
        </ext>
      </extLst>
    </bk>
    <bk>
      <extLst>
        <ext uri="{3e2802c4-a4d2-4d8b-9148-e3be6c30e623}">
          <xlrd:rvb i="13849"/>
        </ext>
      </extLst>
    </bk>
    <bk>
      <extLst>
        <ext uri="{3e2802c4-a4d2-4d8b-9148-e3be6c30e623}">
          <xlrd:rvb i="13850"/>
        </ext>
      </extLst>
    </bk>
    <bk>
      <extLst>
        <ext uri="{3e2802c4-a4d2-4d8b-9148-e3be6c30e623}">
          <xlrd:rvb i="13851"/>
        </ext>
      </extLst>
    </bk>
    <bk>
      <extLst>
        <ext uri="{3e2802c4-a4d2-4d8b-9148-e3be6c30e623}">
          <xlrd:rvb i="13852"/>
        </ext>
      </extLst>
    </bk>
    <bk>
      <extLst>
        <ext uri="{3e2802c4-a4d2-4d8b-9148-e3be6c30e623}">
          <xlrd:rvb i="13853"/>
        </ext>
      </extLst>
    </bk>
    <bk>
      <extLst>
        <ext uri="{3e2802c4-a4d2-4d8b-9148-e3be6c30e623}">
          <xlrd:rvb i="13854"/>
        </ext>
      </extLst>
    </bk>
    <bk>
      <extLst>
        <ext uri="{3e2802c4-a4d2-4d8b-9148-e3be6c30e623}">
          <xlrd:rvb i="13855"/>
        </ext>
      </extLst>
    </bk>
    <bk>
      <extLst>
        <ext uri="{3e2802c4-a4d2-4d8b-9148-e3be6c30e623}">
          <xlrd:rvb i="13856"/>
        </ext>
      </extLst>
    </bk>
    <bk>
      <extLst>
        <ext uri="{3e2802c4-a4d2-4d8b-9148-e3be6c30e623}">
          <xlrd:rvb i="13857"/>
        </ext>
      </extLst>
    </bk>
    <bk>
      <extLst>
        <ext uri="{3e2802c4-a4d2-4d8b-9148-e3be6c30e623}">
          <xlrd:rvb i="13858"/>
        </ext>
      </extLst>
    </bk>
    <bk>
      <extLst>
        <ext uri="{3e2802c4-a4d2-4d8b-9148-e3be6c30e623}">
          <xlrd:rvb i="13859"/>
        </ext>
      </extLst>
    </bk>
    <bk>
      <extLst>
        <ext uri="{3e2802c4-a4d2-4d8b-9148-e3be6c30e623}">
          <xlrd:rvb i="13860"/>
        </ext>
      </extLst>
    </bk>
    <bk>
      <extLst>
        <ext uri="{3e2802c4-a4d2-4d8b-9148-e3be6c30e623}">
          <xlrd:rvb i="13861"/>
        </ext>
      </extLst>
    </bk>
    <bk>
      <extLst>
        <ext uri="{3e2802c4-a4d2-4d8b-9148-e3be6c30e623}">
          <xlrd:rvb i="13862"/>
        </ext>
      </extLst>
    </bk>
    <bk>
      <extLst>
        <ext uri="{3e2802c4-a4d2-4d8b-9148-e3be6c30e623}">
          <xlrd:rvb i="13863"/>
        </ext>
      </extLst>
    </bk>
    <bk>
      <extLst>
        <ext uri="{3e2802c4-a4d2-4d8b-9148-e3be6c30e623}">
          <xlrd:rvb i="13864"/>
        </ext>
      </extLst>
    </bk>
    <bk>
      <extLst>
        <ext uri="{3e2802c4-a4d2-4d8b-9148-e3be6c30e623}">
          <xlrd:rvb i="13865"/>
        </ext>
      </extLst>
    </bk>
    <bk>
      <extLst>
        <ext uri="{3e2802c4-a4d2-4d8b-9148-e3be6c30e623}">
          <xlrd:rvb i="13866"/>
        </ext>
      </extLst>
    </bk>
    <bk>
      <extLst>
        <ext uri="{3e2802c4-a4d2-4d8b-9148-e3be6c30e623}">
          <xlrd:rvb i="13867"/>
        </ext>
      </extLst>
    </bk>
    <bk>
      <extLst>
        <ext uri="{3e2802c4-a4d2-4d8b-9148-e3be6c30e623}">
          <xlrd:rvb i="13868"/>
        </ext>
      </extLst>
    </bk>
    <bk>
      <extLst>
        <ext uri="{3e2802c4-a4d2-4d8b-9148-e3be6c30e623}">
          <xlrd:rvb i="13869"/>
        </ext>
      </extLst>
    </bk>
    <bk>
      <extLst>
        <ext uri="{3e2802c4-a4d2-4d8b-9148-e3be6c30e623}">
          <xlrd:rvb i="13870"/>
        </ext>
      </extLst>
    </bk>
    <bk>
      <extLst>
        <ext uri="{3e2802c4-a4d2-4d8b-9148-e3be6c30e623}">
          <xlrd:rvb i="13871"/>
        </ext>
      </extLst>
    </bk>
    <bk>
      <extLst>
        <ext uri="{3e2802c4-a4d2-4d8b-9148-e3be6c30e623}">
          <xlrd:rvb i="13872"/>
        </ext>
      </extLst>
    </bk>
    <bk>
      <extLst>
        <ext uri="{3e2802c4-a4d2-4d8b-9148-e3be6c30e623}">
          <xlrd:rvb i="13873"/>
        </ext>
      </extLst>
    </bk>
    <bk>
      <extLst>
        <ext uri="{3e2802c4-a4d2-4d8b-9148-e3be6c30e623}">
          <xlrd:rvb i="13874"/>
        </ext>
      </extLst>
    </bk>
    <bk>
      <extLst>
        <ext uri="{3e2802c4-a4d2-4d8b-9148-e3be6c30e623}">
          <xlrd:rvb i="13875"/>
        </ext>
      </extLst>
    </bk>
    <bk>
      <extLst>
        <ext uri="{3e2802c4-a4d2-4d8b-9148-e3be6c30e623}">
          <xlrd:rvb i="13876"/>
        </ext>
      </extLst>
    </bk>
    <bk>
      <extLst>
        <ext uri="{3e2802c4-a4d2-4d8b-9148-e3be6c30e623}">
          <xlrd:rvb i="13877"/>
        </ext>
      </extLst>
    </bk>
    <bk>
      <extLst>
        <ext uri="{3e2802c4-a4d2-4d8b-9148-e3be6c30e623}">
          <xlrd:rvb i="13878"/>
        </ext>
      </extLst>
    </bk>
    <bk>
      <extLst>
        <ext uri="{3e2802c4-a4d2-4d8b-9148-e3be6c30e623}">
          <xlrd:rvb i="13879"/>
        </ext>
      </extLst>
    </bk>
    <bk>
      <extLst>
        <ext uri="{3e2802c4-a4d2-4d8b-9148-e3be6c30e623}">
          <xlrd:rvb i="13880"/>
        </ext>
      </extLst>
    </bk>
    <bk>
      <extLst>
        <ext uri="{3e2802c4-a4d2-4d8b-9148-e3be6c30e623}">
          <xlrd:rvb i="13881"/>
        </ext>
      </extLst>
    </bk>
    <bk>
      <extLst>
        <ext uri="{3e2802c4-a4d2-4d8b-9148-e3be6c30e623}">
          <xlrd:rvb i="13882"/>
        </ext>
      </extLst>
    </bk>
    <bk>
      <extLst>
        <ext uri="{3e2802c4-a4d2-4d8b-9148-e3be6c30e623}">
          <xlrd:rvb i="13883"/>
        </ext>
      </extLst>
    </bk>
    <bk>
      <extLst>
        <ext uri="{3e2802c4-a4d2-4d8b-9148-e3be6c30e623}">
          <xlrd:rvb i="13884"/>
        </ext>
      </extLst>
    </bk>
    <bk>
      <extLst>
        <ext uri="{3e2802c4-a4d2-4d8b-9148-e3be6c30e623}">
          <xlrd:rvb i="13885"/>
        </ext>
      </extLst>
    </bk>
    <bk>
      <extLst>
        <ext uri="{3e2802c4-a4d2-4d8b-9148-e3be6c30e623}">
          <xlrd:rvb i="13886"/>
        </ext>
      </extLst>
    </bk>
    <bk>
      <extLst>
        <ext uri="{3e2802c4-a4d2-4d8b-9148-e3be6c30e623}">
          <xlrd:rvb i="13887"/>
        </ext>
      </extLst>
    </bk>
    <bk>
      <extLst>
        <ext uri="{3e2802c4-a4d2-4d8b-9148-e3be6c30e623}">
          <xlrd:rvb i="13888"/>
        </ext>
      </extLst>
    </bk>
    <bk>
      <extLst>
        <ext uri="{3e2802c4-a4d2-4d8b-9148-e3be6c30e623}">
          <xlrd:rvb i="13889"/>
        </ext>
      </extLst>
    </bk>
    <bk>
      <extLst>
        <ext uri="{3e2802c4-a4d2-4d8b-9148-e3be6c30e623}">
          <xlrd:rvb i="13890"/>
        </ext>
      </extLst>
    </bk>
    <bk>
      <extLst>
        <ext uri="{3e2802c4-a4d2-4d8b-9148-e3be6c30e623}">
          <xlrd:rvb i="13891"/>
        </ext>
      </extLst>
    </bk>
    <bk>
      <extLst>
        <ext uri="{3e2802c4-a4d2-4d8b-9148-e3be6c30e623}">
          <xlrd:rvb i="13892"/>
        </ext>
      </extLst>
    </bk>
    <bk>
      <extLst>
        <ext uri="{3e2802c4-a4d2-4d8b-9148-e3be6c30e623}">
          <xlrd:rvb i="13893"/>
        </ext>
      </extLst>
    </bk>
    <bk>
      <extLst>
        <ext uri="{3e2802c4-a4d2-4d8b-9148-e3be6c30e623}">
          <xlrd:rvb i="13894"/>
        </ext>
      </extLst>
    </bk>
    <bk>
      <extLst>
        <ext uri="{3e2802c4-a4d2-4d8b-9148-e3be6c30e623}">
          <xlrd:rvb i="13895"/>
        </ext>
      </extLst>
    </bk>
    <bk>
      <extLst>
        <ext uri="{3e2802c4-a4d2-4d8b-9148-e3be6c30e623}">
          <xlrd:rvb i="13896"/>
        </ext>
      </extLst>
    </bk>
    <bk>
      <extLst>
        <ext uri="{3e2802c4-a4d2-4d8b-9148-e3be6c30e623}">
          <xlrd:rvb i="13897"/>
        </ext>
      </extLst>
    </bk>
    <bk>
      <extLst>
        <ext uri="{3e2802c4-a4d2-4d8b-9148-e3be6c30e623}">
          <xlrd:rvb i="13898"/>
        </ext>
      </extLst>
    </bk>
    <bk>
      <extLst>
        <ext uri="{3e2802c4-a4d2-4d8b-9148-e3be6c30e623}">
          <xlrd:rvb i="13899"/>
        </ext>
      </extLst>
    </bk>
    <bk>
      <extLst>
        <ext uri="{3e2802c4-a4d2-4d8b-9148-e3be6c30e623}">
          <xlrd:rvb i="13900"/>
        </ext>
      </extLst>
    </bk>
    <bk>
      <extLst>
        <ext uri="{3e2802c4-a4d2-4d8b-9148-e3be6c30e623}">
          <xlrd:rvb i="13901"/>
        </ext>
      </extLst>
    </bk>
    <bk>
      <extLst>
        <ext uri="{3e2802c4-a4d2-4d8b-9148-e3be6c30e623}">
          <xlrd:rvb i="13902"/>
        </ext>
      </extLst>
    </bk>
    <bk>
      <extLst>
        <ext uri="{3e2802c4-a4d2-4d8b-9148-e3be6c30e623}">
          <xlrd:rvb i="13903"/>
        </ext>
      </extLst>
    </bk>
    <bk>
      <extLst>
        <ext uri="{3e2802c4-a4d2-4d8b-9148-e3be6c30e623}">
          <xlrd:rvb i="13904"/>
        </ext>
      </extLst>
    </bk>
    <bk>
      <extLst>
        <ext uri="{3e2802c4-a4d2-4d8b-9148-e3be6c30e623}">
          <xlrd:rvb i="13905"/>
        </ext>
      </extLst>
    </bk>
    <bk>
      <extLst>
        <ext uri="{3e2802c4-a4d2-4d8b-9148-e3be6c30e623}">
          <xlrd:rvb i="13906"/>
        </ext>
      </extLst>
    </bk>
    <bk>
      <extLst>
        <ext uri="{3e2802c4-a4d2-4d8b-9148-e3be6c30e623}">
          <xlrd:rvb i="13907"/>
        </ext>
      </extLst>
    </bk>
    <bk>
      <extLst>
        <ext uri="{3e2802c4-a4d2-4d8b-9148-e3be6c30e623}">
          <xlrd:rvb i="13908"/>
        </ext>
      </extLst>
    </bk>
    <bk>
      <extLst>
        <ext uri="{3e2802c4-a4d2-4d8b-9148-e3be6c30e623}">
          <xlrd:rvb i="13909"/>
        </ext>
      </extLst>
    </bk>
    <bk>
      <extLst>
        <ext uri="{3e2802c4-a4d2-4d8b-9148-e3be6c30e623}">
          <xlrd:rvb i="13910"/>
        </ext>
      </extLst>
    </bk>
    <bk>
      <extLst>
        <ext uri="{3e2802c4-a4d2-4d8b-9148-e3be6c30e623}">
          <xlrd:rvb i="13911"/>
        </ext>
      </extLst>
    </bk>
    <bk>
      <extLst>
        <ext uri="{3e2802c4-a4d2-4d8b-9148-e3be6c30e623}">
          <xlrd:rvb i="13912"/>
        </ext>
      </extLst>
    </bk>
    <bk>
      <extLst>
        <ext uri="{3e2802c4-a4d2-4d8b-9148-e3be6c30e623}">
          <xlrd:rvb i="13913"/>
        </ext>
      </extLst>
    </bk>
    <bk>
      <extLst>
        <ext uri="{3e2802c4-a4d2-4d8b-9148-e3be6c30e623}">
          <xlrd:rvb i="13914"/>
        </ext>
      </extLst>
    </bk>
    <bk>
      <extLst>
        <ext uri="{3e2802c4-a4d2-4d8b-9148-e3be6c30e623}">
          <xlrd:rvb i="13915"/>
        </ext>
      </extLst>
    </bk>
    <bk>
      <extLst>
        <ext uri="{3e2802c4-a4d2-4d8b-9148-e3be6c30e623}">
          <xlrd:rvb i="13916"/>
        </ext>
      </extLst>
    </bk>
    <bk>
      <extLst>
        <ext uri="{3e2802c4-a4d2-4d8b-9148-e3be6c30e623}">
          <xlrd:rvb i="13917"/>
        </ext>
      </extLst>
    </bk>
    <bk>
      <extLst>
        <ext uri="{3e2802c4-a4d2-4d8b-9148-e3be6c30e623}">
          <xlrd:rvb i="13918"/>
        </ext>
      </extLst>
    </bk>
    <bk>
      <extLst>
        <ext uri="{3e2802c4-a4d2-4d8b-9148-e3be6c30e623}">
          <xlrd:rvb i="13919"/>
        </ext>
      </extLst>
    </bk>
    <bk>
      <extLst>
        <ext uri="{3e2802c4-a4d2-4d8b-9148-e3be6c30e623}">
          <xlrd:rvb i="13920"/>
        </ext>
      </extLst>
    </bk>
    <bk>
      <extLst>
        <ext uri="{3e2802c4-a4d2-4d8b-9148-e3be6c30e623}">
          <xlrd:rvb i="13921"/>
        </ext>
      </extLst>
    </bk>
    <bk>
      <extLst>
        <ext uri="{3e2802c4-a4d2-4d8b-9148-e3be6c30e623}">
          <xlrd:rvb i="13922"/>
        </ext>
      </extLst>
    </bk>
    <bk>
      <extLst>
        <ext uri="{3e2802c4-a4d2-4d8b-9148-e3be6c30e623}">
          <xlrd:rvb i="13923"/>
        </ext>
      </extLst>
    </bk>
    <bk>
      <extLst>
        <ext uri="{3e2802c4-a4d2-4d8b-9148-e3be6c30e623}">
          <xlrd:rvb i="13924"/>
        </ext>
      </extLst>
    </bk>
    <bk>
      <extLst>
        <ext uri="{3e2802c4-a4d2-4d8b-9148-e3be6c30e623}">
          <xlrd:rvb i="13925"/>
        </ext>
      </extLst>
    </bk>
    <bk>
      <extLst>
        <ext uri="{3e2802c4-a4d2-4d8b-9148-e3be6c30e623}">
          <xlrd:rvb i="13926"/>
        </ext>
      </extLst>
    </bk>
    <bk>
      <extLst>
        <ext uri="{3e2802c4-a4d2-4d8b-9148-e3be6c30e623}">
          <xlrd:rvb i="13927"/>
        </ext>
      </extLst>
    </bk>
    <bk>
      <extLst>
        <ext uri="{3e2802c4-a4d2-4d8b-9148-e3be6c30e623}">
          <xlrd:rvb i="13928"/>
        </ext>
      </extLst>
    </bk>
    <bk>
      <extLst>
        <ext uri="{3e2802c4-a4d2-4d8b-9148-e3be6c30e623}">
          <xlrd:rvb i="13929"/>
        </ext>
      </extLst>
    </bk>
    <bk>
      <extLst>
        <ext uri="{3e2802c4-a4d2-4d8b-9148-e3be6c30e623}">
          <xlrd:rvb i="13930"/>
        </ext>
      </extLst>
    </bk>
    <bk>
      <extLst>
        <ext uri="{3e2802c4-a4d2-4d8b-9148-e3be6c30e623}">
          <xlrd:rvb i="13931"/>
        </ext>
      </extLst>
    </bk>
    <bk>
      <extLst>
        <ext uri="{3e2802c4-a4d2-4d8b-9148-e3be6c30e623}">
          <xlrd:rvb i="13932"/>
        </ext>
      </extLst>
    </bk>
    <bk>
      <extLst>
        <ext uri="{3e2802c4-a4d2-4d8b-9148-e3be6c30e623}">
          <xlrd:rvb i="13933"/>
        </ext>
      </extLst>
    </bk>
    <bk>
      <extLst>
        <ext uri="{3e2802c4-a4d2-4d8b-9148-e3be6c30e623}">
          <xlrd:rvb i="13934"/>
        </ext>
      </extLst>
    </bk>
    <bk>
      <extLst>
        <ext uri="{3e2802c4-a4d2-4d8b-9148-e3be6c30e623}">
          <xlrd:rvb i="13935"/>
        </ext>
      </extLst>
    </bk>
    <bk>
      <extLst>
        <ext uri="{3e2802c4-a4d2-4d8b-9148-e3be6c30e623}">
          <xlrd:rvb i="13936"/>
        </ext>
      </extLst>
    </bk>
    <bk>
      <extLst>
        <ext uri="{3e2802c4-a4d2-4d8b-9148-e3be6c30e623}">
          <xlrd:rvb i="13937"/>
        </ext>
      </extLst>
    </bk>
    <bk>
      <extLst>
        <ext uri="{3e2802c4-a4d2-4d8b-9148-e3be6c30e623}">
          <xlrd:rvb i="13938"/>
        </ext>
      </extLst>
    </bk>
    <bk>
      <extLst>
        <ext uri="{3e2802c4-a4d2-4d8b-9148-e3be6c30e623}">
          <xlrd:rvb i="13939"/>
        </ext>
      </extLst>
    </bk>
    <bk>
      <extLst>
        <ext uri="{3e2802c4-a4d2-4d8b-9148-e3be6c30e623}">
          <xlrd:rvb i="13940"/>
        </ext>
      </extLst>
    </bk>
    <bk>
      <extLst>
        <ext uri="{3e2802c4-a4d2-4d8b-9148-e3be6c30e623}">
          <xlrd:rvb i="13941"/>
        </ext>
      </extLst>
    </bk>
    <bk>
      <extLst>
        <ext uri="{3e2802c4-a4d2-4d8b-9148-e3be6c30e623}">
          <xlrd:rvb i="13942"/>
        </ext>
      </extLst>
    </bk>
    <bk>
      <extLst>
        <ext uri="{3e2802c4-a4d2-4d8b-9148-e3be6c30e623}">
          <xlrd:rvb i="13943"/>
        </ext>
      </extLst>
    </bk>
    <bk>
      <extLst>
        <ext uri="{3e2802c4-a4d2-4d8b-9148-e3be6c30e623}">
          <xlrd:rvb i="13944"/>
        </ext>
      </extLst>
    </bk>
    <bk>
      <extLst>
        <ext uri="{3e2802c4-a4d2-4d8b-9148-e3be6c30e623}">
          <xlrd:rvb i="13945"/>
        </ext>
      </extLst>
    </bk>
    <bk>
      <extLst>
        <ext uri="{3e2802c4-a4d2-4d8b-9148-e3be6c30e623}">
          <xlrd:rvb i="13946"/>
        </ext>
      </extLst>
    </bk>
    <bk>
      <extLst>
        <ext uri="{3e2802c4-a4d2-4d8b-9148-e3be6c30e623}">
          <xlrd:rvb i="13947"/>
        </ext>
      </extLst>
    </bk>
    <bk>
      <extLst>
        <ext uri="{3e2802c4-a4d2-4d8b-9148-e3be6c30e623}">
          <xlrd:rvb i="13948"/>
        </ext>
      </extLst>
    </bk>
    <bk>
      <extLst>
        <ext uri="{3e2802c4-a4d2-4d8b-9148-e3be6c30e623}">
          <xlrd:rvb i="13949"/>
        </ext>
      </extLst>
    </bk>
    <bk>
      <extLst>
        <ext uri="{3e2802c4-a4d2-4d8b-9148-e3be6c30e623}">
          <xlrd:rvb i="13950"/>
        </ext>
      </extLst>
    </bk>
    <bk>
      <extLst>
        <ext uri="{3e2802c4-a4d2-4d8b-9148-e3be6c30e623}">
          <xlrd:rvb i="13951"/>
        </ext>
      </extLst>
    </bk>
    <bk>
      <extLst>
        <ext uri="{3e2802c4-a4d2-4d8b-9148-e3be6c30e623}">
          <xlrd:rvb i="13952"/>
        </ext>
      </extLst>
    </bk>
    <bk>
      <extLst>
        <ext uri="{3e2802c4-a4d2-4d8b-9148-e3be6c30e623}">
          <xlrd:rvb i="13953"/>
        </ext>
      </extLst>
    </bk>
    <bk>
      <extLst>
        <ext uri="{3e2802c4-a4d2-4d8b-9148-e3be6c30e623}">
          <xlrd:rvb i="13954"/>
        </ext>
      </extLst>
    </bk>
    <bk>
      <extLst>
        <ext uri="{3e2802c4-a4d2-4d8b-9148-e3be6c30e623}">
          <xlrd:rvb i="13955"/>
        </ext>
      </extLst>
    </bk>
    <bk>
      <extLst>
        <ext uri="{3e2802c4-a4d2-4d8b-9148-e3be6c30e623}">
          <xlrd:rvb i="13956"/>
        </ext>
      </extLst>
    </bk>
    <bk>
      <extLst>
        <ext uri="{3e2802c4-a4d2-4d8b-9148-e3be6c30e623}">
          <xlrd:rvb i="13957"/>
        </ext>
      </extLst>
    </bk>
    <bk>
      <extLst>
        <ext uri="{3e2802c4-a4d2-4d8b-9148-e3be6c30e623}">
          <xlrd:rvb i="13958"/>
        </ext>
      </extLst>
    </bk>
    <bk>
      <extLst>
        <ext uri="{3e2802c4-a4d2-4d8b-9148-e3be6c30e623}">
          <xlrd:rvb i="13959"/>
        </ext>
      </extLst>
    </bk>
    <bk>
      <extLst>
        <ext uri="{3e2802c4-a4d2-4d8b-9148-e3be6c30e623}">
          <xlrd:rvb i="13960"/>
        </ext>
      </extLst>
    </bk>
    <bk>
      <extLst>
        <ext uri="{3e2802c4-a4d2-4d8b-9148-e3be6c30e623}">
          <xlrd:rvb i="13961"/>
        </ext>
      </extLst>
    </bk>
    <bk>
      <extLst>
        <ext uri="{3e2802c4-a4d2-4d8b-9148-e3be6c30e623}">
          <xlrd:rvb i="13962"/>
        </ext>
      </extLst>
    </bk>
    <bk>
      <extLst>
        <ext uri="{3e2802c4-a4d2-4d8b-9148-e3be6c30e623}">
          <xlrd:rvb i="13963"/>
        </ext>
      </extLst>
    </bk>
    <bk>
      <extLst>
        <ext uri="{3e2802c4-a4d2-4d8b-9148-e3be6c30e623}">
          <xlrd:rvb i="13964"/>
        </ext>
      </extLst>
    </bk>
    <bk>
      <extLst>
        <ext uri="{3e2802c4-a4d2-4d8b-9148-e3be6c30e623}">
          <xlrd:rvb i="13965"/>
        </ext>
      </extLst>
    </bk>
    <bk>
      <extLst>
        <ext uri="{3e2802c4-a4d2-4d8b-9148-e3be6c30e623}">
          <xlrd:rvb i="13966"/>
        </ext>
      </extLst>
    </bk>
    <bk>
      <extLst>
        <ext uri="{3e2802c4-a4d2-4d8b-9148-e3be6c30e623}">
          <xlrd:rvb i="13967"/>
        </ext>
      </extLst>
    </bk>
    <bk>
      <extLst>
        <ext uri="{3e2802c4-a4d2-4d8b-9148-e3be6c30e623}">
          <xlrd:rvb i="13968"/>
        </ext>
      </extLst>
    </bk>
    <bk>
      <extLst>
        <ext uri="{3e2802c4-a4d2-4d8b-9148-e3be6c30e623}">
          <xlrd:rvb i="13969"/>
        </ext>
      </extLst>
    </bk>
    <bk>
      <extLst>
        <ext uri="{3e2802c4-a4d2-4d8b-9148-e3be6c30e623}">
          <xlrd:rvb i="13970"/>
        </ext>
      </extLst>
    </bk>
    <bk>
      <extLst>
        <ext uri="{3e2802c4-a4d2-4d8b-9148-e3be6c30e623}">
          <xlrd:rvb i="13971"/>
        </ext>
      </extLst>
    </bk>
    <bk>
      <extLst>
        <ext uri="{3e2802c4-a4d2-4d8b-9148-e3be6c30e623}">
          <xlrd:rvb i="13972"/>
        </ext>
      </extLst>
    </bk>
    <bk>
      <extLst>
        <ext uri="{3e2802c4-a4d2-4d8b-9148-e3be6c30e623}">
          <xlrd:rvb i="13973"/>
        </ext>
      </extLst>
    </bk>
    <bk>
      <extLst>
        <ext uri="{3e2802c4-a4d2-4d8b-9148-e3be6c30e623}">
          <xlrd:rvb i="13974"/>
        </ext>
      </extLst>
    </bk>
    <bk>
      <extLst>
        <ext uri="{3e2802c4-a4d2-4d8b-9148-e3be6c30e623}">
          <xlrd:rvb i="13975"/>
        </ext>
      </extLst>
    </bk>
    <bk>
      <extLst>
        <ext uri="{3e2802c4-a4d2-4d8b-9148-e3be6c30e623}">
          <xlrd:rvb i="13976"/>
        </ext>
      </extLst>
    </bk>
    <bk>
      <extLst>
        <ext uri="{3e2802c4-a4d2-4d8b-9148-e3be6c30e623}">
          <xlrd:rvb i="13977"/>
        </ext>
      </extLst>
    </bk>
    <bk>
      <extLst>
        <ext uri="{3e2802c4-a4d2-4d8b-9148-e3be6c30e623}">
          <xlrd:rvb i="13978"/>
        </ext>
      </extLst>
    </bk>
    <bk>
      <extLst>
        <ext uri="{3e2802c4-a4d2-4d8b-9148-e3be6c30e623}">
          <xlrd:rvb i="13979"/>
        </ext>
      </extLst>
    </bk>
    <bk>
      <extLst>
        <ext uri="{3e2802c4-a4d2-4d8b-9148-e3be6c30e623}">
          <xlrd:rvb i="13980"/>
        </ext>
      </extLst>
    </bk>
    <bk>
      <extLst>
        <ext uri="{3e2802c4-a4d2-4d8b-9148-e3be6c30e623}">
          <xlrd:rvb i="13981"/>
        </ext>
      </extLst>
    </bk>
    <bk>
      <extLst>
        <ext uri="{3e2802c4-a4d2-4d8b-9148-e3be6c30e623}">
          <xlrd:rvb i="13982"/>
        </ext>
      </extLst>
    </bk>
    <bk>
      <extLst>
        <ext uri="{3e2802c4-a4d2-4d8b-9148-e3be6c30e623}">
          <xlrd:rvb i="13983"/>
        </ext>
      </extLst>
    </bk>
    <bk>
      <extLst>
        <ext uri="{3e2802c4-a4d2-4d8b-9148-e3be6c30e623}">
          <xlrd:rvb i="13984"/>
        </ext>
      </extLst>
    </bk>
    <bk>
      <extLst>
        <ext uri="{3e2802c4-a4d2-4d8b-9148-e3be6c30e623}">
          <xlrd:rvb i="13985"/>
        </ext>
      </extLst>
    </bk>
    <bk>
      <extLst>
        <ext uri="{3e2802c4-a4d2-4d8b-9148-e3be6c30e623}">
          <xlrd:rvb i="13986"/>
        </ext>
      </extLst>
    </bk>
    <bk>
      <extLst>
        <ext uri="{3e2802c4-a4d2-4d8b-9148-e3be6c30e623}">
          <xlrd:rvb i="13987"/>
        </ext>
      </extLst>
    </bk>
    <bk>
      <extLst>
        <ext uri="{3e2802c4-a4d2-4d8b-9148-e3be6c30e623}">
          <xlrd:rvb i="13988"/>
        </ext>
      </extLst>
    </bk>
    <bk>
      <extLst>
        <ext uri="{3e2802c4-a4d2-4d8b-9148-e3be6c30e623}">
          <xlrd:rvb i="13989"/>
        </ext>
      </extLst>
    </bk>
    <bk>
      <extLst>
        <ext uri="{3e2802c4-a4d2-4d8b-9148-e3be6c30e623}">
          <xlrd:rvb i="13990"/>
        </ext>
      </extLst>
    </bk>
    <bk>
      <extLst>
        <ext uri="{3e2802c4-a4d2-4d8b-9148-e3be6c30e623}">
          <xlrd:rvb i="13991"/>
        </ext>
      </extLst>
    </bk>
    <bk>
      <extLst>
        <ext uri="{3e2802c4-a4d2-4d8b-9148-e3be6c30e623}">
          <xlrd:rvb i="13992"/>
        </ext>
      </extLst>
    </bk>
    <bk>
      <extLst>
        <ext uri="{3e2802c4-a4d2-4d8b-9148-e3be6c30e623}">
          <xlrd:rvb i="13993"/>
        </ext>
      </extLst>
    </bk>
    <bk>
      <extLst>
        <ext uri="{3e2802c4-a4d2-4d8b-9148-e3be6c30e623}">
          <xlrd:rvb i="13994"/>
        </ext>
      </extLst>
    </bk>
    <bk>
      <extLst>
        <ext uri="{3e2802c4-a4d2-4d8b-9148-e3be6c30e623}">
          <xlrd:rvb i="13995"/>
        </ext>
      </extLst>
    </bk>
    <bk>
      <extLst>
        <ext uri="{3e2802c4-a4d2-4d8b-9148-e3be6c30e623}">
          <xlrd:rvb i="13996"/>
        </ext>
      </extLst>
    </bk>
    <bk>
      <extLst>
        <ext uri="{3e2802c4-a4d2-4d8b-9148-e3be6c30e623}">
          <xlrd:rvb i="13997"/>
        </ext>
      </extLst>
    </bk>
    <bk>
      <extLst>
        <ext uri="{3e2802c4-a4d2-4d8b-9148-e3be6c30e623}">
          <xlrd:rvb i="13998"/>
        </ext>
      </extLst>
    </bk>
    <bk>
      <extLst>
        <ext uri="{3e2802c4-a4d2-4d8b-9148-e3be6c30e623}">
          <xlrd:rvb i="13999"/>
        </ext>
      </extLst>
    </bk>
    <bk>
      <extLst>
        <ext uri="{3e2802c4-a4d2-4d8b-9148-e3be6c30e623}">
          <xlrd:rvb i="14000"/>
        </ext>
      </extLst>
    </bk>
    <bk>
      <extLst>
        <ext uri="{3e2802c4-a4d2-4d8b-9148-e3be6c30e623}">
          <xlrd:rvb i="14001"/>
        </ext>
      </extLst>
    </bk>
    <bk>
      <extLst>
        <ext uri="{3e2802c4-a4d2-4d8b-9148-e3be6c30e623}">
          <xlrd:rvb i="14002"/>
        </ext>
      </extLst>
    </bk>
    <bk>
      <extLst>
        <ext uri="{3e2802c4-a4d2-4d8b-9148-e3be6c30e623}">
          <xlrd:rvb i="14003"/>
        </ext>
      </extLst>
    </bk>
    <bk>
      <extLst>
        <ext uri="{3e2802c4-a4d2-4d8b-9148-e3be6c30e623}">
          <xlrd:rvb i="14004"/>
        </ext>
      </extLst>
    </bk>
    <bk>
      <extLst>
        <ext uri="{3e2802c4-a4d2-4d8b-9148-e3be6c30e623}">
          <xlrd:rvb i="14005"/>
        </ext>
      </extLst>
    </bk>
    <bk>
      <extLst>
        <ext uri="{3e2802c4-a4d2-4d8b-9148-e3be6c30e623}">
          <xlrd:rvb i="14006"/>
        </ext>
      </extLst>
    </bk>
    <bk>
      <extLst>
        <ext uri="{3e2802c4-a4d2-4d8b-9148-e3be6c30e623}">
          <xlrd:rvb i="14007"/>
        </ext>
      </extLst>
    </bk>
    <bk>
      <extLst>
        <ext uri="{3e2802c4-a4d2-4d8b-9148-e3be6c30e623}">
          <xlrd:rvb i="14008"/>
        </ext>
      </extLst>
    </bk>
    <bk>
      <extLst>
        <ext uri="{3e2802c4-a4d2-4d8b-9148-e3be6c30e623}">
          <xlrd:rvb i="14009"/>
        </ext>
      </extLst>
    </bk>
    <bk>
      <extLst>
        <ext uri="{3e2802c4-a4d2-4d8b-9148-e3be6c30e623}">
          <xlrd:rvb i="14010"/>
        </ext>
      </extLst>
    </bk>
    <bk>
      <extLst>
        <ext uri="{3e2802c4-a4d2-4d8b-9148-e3be6c30e623}">
          <xlrd:rvb i="14011"/>
        </ext>
      </extLst>
    </bk>
    <bk>
      <extLst>
        <ext uri="{3e2802c4-a4d2-4d8b-9148-e3be6c30e623}">
          <xlrd:rvb i="14012"/>
        </ext>
      </extLst>
    </bk>
    <bk>
      <extLst>
        <ext uri="{3e2802c4-a4d2-4d8b-9148-e3be6c30e623}">
          <xlrd:rvb i="14013"/>
        </ext>
      </extLst>
    </bk>
    <bk>
      <extLst>
        <ext uri="{3e2802c4-a4d2-4d8b-9148-e3be6c30e623}">
          <xlrd:rvb i="14014"/>
        </ext>
      </extLst>
    </bk>
    <bk>
      <extLst>
        <ext uri="{3e2802c4-a4d2-4d8b-9148-e3be6c30e623}">
          <xlrd:rvb i="14015"/>
        </ext>
      </extLst>
    </bk>
    <bk>
      <extLst>
        <ext uri="{3e2802c4-a4d2-4d8b-9148-e3be6c30e623}">
          <xlrd:rvb i="14016"/>
        </ext>
      </extLst>
    </bk>
    <bk>
      <extLst>
        <ext uri="{3e2802c4-a4d2-4d8b-9148-e3be6c30e623}">
          <xlrd:rvb i="14017"/>
        </ext>
      </extLst>
    </bk>
    <bk>
      <extLst>
        <ext uri="{3e2802c4-a4d2-4d8b-9148-e3be6c30e623}">
          <xlrd:rvb i="14018"/>
        </ext>
      </extLst>
    </bk>
    <bk>
      <extLst>
        <ext uri="{3e2802c4-a4d2-4d8b-9148-e3be6c30e623}">
          <xlrd:rvb i="14019"/>
        </ext>
      </extLst>
    </bk>
    <bk>
      <extLst>
        <ext uri="{3e2802c4-a4d2-4d8b-9148-e3be6c30e623}">
          <xlrd:rvb i="14020"/>
        </ext>
      </extLst>
    </bk>
    <bk>
      <extLst>
        <ext uri="{3e2802c4-a4d2-4d8b-9148-e3be6c30e623}">
          <xlrd:rvb i="14021"/>
        </ext>
      </extLst>
    </bk>
    <bk>
      <extLst>
        <ext uri="{3e2802c4-a4d2-4d8b-9148-e3be6c30e623}">
          <xlrd:rvb i="14022"/>
        </ext>
      </extLst>
    </bk>
    <bk>
      <extLst>
        <ext uri="{3e2802c4-a4d2-4d8b-9148-e3be6c30e623}">
          <xlrd:rvb i="14023"/>
        </ext>
      </extLst>
    </bk>
    <bk>
      <extLst>
        <ext uri="{3e2802c4-a4d2-4d8b-9148-e3be6c30e623}">
          <xlrd:rvb i="14024"/>
        </ext>
      </extLst>
    </bk>
    <bk>
      <extLst>
        <ext uri="{3e2802c4-a4d2-4d8b-9148-e3be6c30e623}">
          <xlrd:rvb i="14025"/>
        </ext>
      </extLst>
    </bk>
    <bk>
      <extLst>
        <ext uri="{3e2802c4-a4d2-4d8b-9148-e3be6c30e623}">
          <xlrd:rvb i="14026"/>
        </ext>
      </extLst>
    </bk>
    <bk>
      <extLst>
        <ext uri="{3e2802c4-a4d2-4d8b-9148-e3be6c30e623}">
          <xlrd:rvb i="14027"/>
        </ext>
      </extLst>
    </bk>
    <bk>
      <extLst>
        <ext uri="{3e2802c4-a4d2-4d8b-9148-e3be6c30e623}">
          <xlrd:rvb i="14028"/>
        </ext>
      </extLst>
    </bk>
    <bk>
      <extLst>
        <ext uri="{3e2802c4-a4d2-4d8b-9148-e3be6c30e623}">
          <xlrd:rvb i="14029"/>
        </ext>
      </extLst>
    </bk>
    <bk>
      <extLst>
        <ext uri="{3e2802c4-a4d2-4d8b-9148-e3be6c30e623}">
          <xlrd:rvb i="14030"/>
        </ext>
      </extLst>
    </bk>
    <bk>
      <extLst>
        <ext uri="{3e2802c4-a4d2-4d8b-9148-e3be6c30e623}">
          <xlrd:rvb i="14031"/>
        </ext>
      </extLst>
    </bk>
    <bk>
      <extLst>
        <ext uri="{3e2802c4-a4d2-4d8b-9148-e3be6c30e623}">
          <xlrd:rvb i="14032"/>
        </ext>
      </extLst>
    </bk>
    <bk>
      <extLst>
        <ext uri="{3e2802c4-a4d2-4d8b-9148-e3be6c30e623}">
          <xlrd:rvb i="14033"/>
        </ext>
      </extLst>
    </bk>
    <bk>
      <extLst>
        <ext uri="{3e2802c4-a4d2-4d8b-9148-e3be6c30e623}">
          <xlrd:rvb i="14034"/>
        </ext>
      </extLst>
    </bk>
    <bk>
      <extLst>
        <ext uri="{3e2802c4-a4d2-4d8b-9148-e3be6c30e623}">
          <xlrd:rvb i="14035"/>
        </ext>
      </extLst>
    </bk>
    <bk>
      <extLst>
        <ext uri="{3e2802c4-a4d2-4d8b-9148-e3be6c30e623}">
          <xlrd:rvb i="14036"/>
        </ext>
      </extLst>
    </bk>
    <bk>
      <extLst>
        <ext uri="{3e2802c4-a4d2-4d8b-9148-e3be6c30e623}">
          <xlrd:rvb i="14037"/>
        </ext>
      </extLst>
    </bk>
    <bk>
      <extLst>
        <ext uri="{3e2802c4-a4d2-4d8b-9148-e3be6c30e623}">
          <xlrd:rvb i="14038"/>
        </ext>
      </extLst>
    </bk>
    <bk>
      <extLst>
        <ext uri="{3e2802c4-a4d2-4d8b-9148-e3be6c30e623}">
          <xlrd:rvb i="14039"/>
        </ext>
      </extLst>
    </bk>
    <bk>
      <extLst>
        <ext uri="{3e2802c4-a4d2-4d8b-9148-e3be6c30e623}">
          <xlrd:rvb i="14040"/>
        </ext>
      </extLst>
    </bk>
    <bk>
      <extLst>
        <ext uri="{3e2802c4-a4d2-4d8b-9148-e3be6c30e623}">
          <xlrd:rvb i="14041"/>
        </ext>
      </extLst>
    </bk>
    <bk>
      <extLst>
        <ext uri="{3e2802c4-a4d2-4d8b-9148-e3be6c30e623}">
          <xlrd:rvb i="14042"/>
        </ext>
      </extLst>
    </bk>
    <bk>
      <extLst>
        <ext uri="{3e2802c4-a4d2-4d8b-9148-e3be6c30e623}">
          <xlrd:rvb i="14043"/>
        </ext>
      </extLst>
    </bk>
    <bk>
      <extLst>
        <ext uri="{3e2802c4-a4d2-4d8b-9148-e3be6c30e623}">
          <xlrd:rvb i="14044"/>
        </ext>
      </extLst>
    </bk>
    <bk>
      <extLst>
        <ext uri="{3e2802c4-a4d2-4d8b-9148-e3be6c30e623}">
          <xlrd:rvb i="14045"/>
        </ext>
      </extLst>
    </bk>
    <bk>
      <extLst>
        <ext uri="{3e2802c4-a4d2-4d8b-9148-e3be6c30e623}">
          <xlrd:rvb i="14046"/>
        </ext>
      </extLst>
    </bk>
    <bk>
      <extLst>
        <ext uri="{3e2802c4-a4d2-4d8b-9148-e3be6c30e623}">
          <xlrd:rvb i="14047"/>
        </ext>
      </extLst>
    </bk>
    <bk>
      <extLst>
        <ext uri="{3e2802c4-a4d2-4d8b-9148-e3be6c30e623}">
          <xlrd:rvb i="14048"/>
        </ext>
      </extLst>
    </bk>
    <bk>
      <extLst>
        <ext uri="{3e2802c4-a4d2-4d8b-9148-e3be6c30e623}">
          <xlrd:rvb i="14049"/>
        </ext>
      </extLst>
    </bk>
    <bk>
      <extLst>
        <ext uri="{3e2802c4-a4d2-4d8b-9148-e3be6c30e623}">
          <xlrd:rvb i="14050"/>
        </ext>
      </extLst>
    </bk>
    <bk>
      <extLst>
        <ext uri="{3e2802c4-a4d2-4d8b-9148-e3be6c30e623}">
          <xlrd:rvb i="14051"/>
        </ext>
      </extLst>
    </bk>
    <bk>
      <extLst>
        <ext uri="{3e2802c4-a4d2-4d8b-9148-e3be6c30e623}">
          <xlrd:rvb i="14052"/>
        </ext>
      </extLst>
    </bk>
    <bk>
      <extLst>
        <ext uri="{3e2802c4-a4d2-4d8b-9148-e3be6c30e623}">
          <xlrd:rvb i="14053"/>
        </ext>
      </extLst>
    </bk>
    <bk>
      <extLst>
        <ext uri="{3e2802c4-a4d2-4d8b-9148-e3be6c30e623}">
          <xlrd:rvb i="14054"/>
        </ext>
      </extLst>
    </bk>
    <bk>
      <extLst>
        <ext uri="{3e2802c4-a4d2-4d8b-9148-e3be6c30e623}">
          <xlrd:rvb i="14055"/>
        </ext>
      </extLst>
    </bk>
    <bk>
      <extLst>
        <ext uri="{3e2802c4-a4d2-4d8b-9148-e3be6c30e623}">
          <xlrd:rvb i="14056"/>
        </ext>
      </extLst>
    </bk>
    <bk>
      <extLst>
        <ext uri="{3e2802c4-a4d2-4d8b-9148-e3be6c30e623}">
          <xlrd:rvb i="14057"/>
        </ext>
      </extLst>
    </bk>
    <bk>
      <extLst>
        <ext uri="{3e2802c4-a4d2-4d8b-9148-e3be6c30e623}">
          <xlrd:rvb i="14058"/>
        </ext>
      </extLst>
    </bk>
    <bk>
      <extLst>
        <ext uri="{3e2802c4-a4d2-4d8b-9148-e3be6c30e623}">
          <xlrd:rvb i="14059"/>
        </ext>
      </extLst>
    </bk>
    <bk>
      <extLst>
        <ext uri="{3e2802c4-a4d2-4d8b-9148-e3be6c30e623}">
          <xlrd:rvb i="14060"/>
        </ext>
      </extLst>
    </bk>
    <bk>
      <extLst>
        <ext uri="{3e2802c4-a4d2-4d8b-9148-e3be6c30e623}">
          <xlrd:rvb i="14061"/>
        </ext>
      </extLst>
    </bk>
    <bk>
      <extLst>
        <ext uri="{3e2802c4-a4d2-4d8b-9148-e3be6c30e623}">
          <xlrd:rvb i="14062"/>
        </ext>
      </extLst>
    </bk>
    <bk>
      <extLst>
        <ext uri="{3e2802c4-a4d2-4d8b-9148-e3be6c30e623}">
          <xlrd:rvb i="14063"/>
        </ext>
      </extLst>
    </bk>
    <bk>
      <extLst>
        <ext uri="{3e2802c4-a4d2-4d8b-9148-e3be6c30e623}">
          <xlrd:rvb i="14064"/>
        </ext>
      </extLst>
    </bk>
    <bk>
      <extLst>
        <ext uri="{3e2802c4-a4d2-4d8b-9148-e3be6c30e623}">
          <xlrd:rvb i="14065"/>
        </ext>
      </extLst>
    </bk>
    <bk>
      <extLst>
        <ext uri="{3e2802c4-a4d2-4d8b-9148-e3be6c30e623}">
          <xlrd:rvb i="14066"/>
        </ext>
      </extLst>
    </bk>
    <bk>
      <extLst>
        <ext uri="{3e2802c4-a4d2-4d8b-9148-e3be6c30e623}">
          <xlrd:rvb i="14067"/>
        </ext>
      </extLst>
    </bk>
    <bk>
      <extLst>
        <ext uri="{3e2802c4-a4d2-4d8b-9148-e3be6c30e623}">
          <xlrd:rvb i="14068"/>
        </ext>
      </extLst>
    </bk>
    <bk>
      <extLst>
        <ext uri="{3e2802c4-a4d2-4d8b-9148-e3be6c30e623}">
          <xlrd:rvb i="14069"/>
        </ext>
      </extLst>
    </bk>
    <bk>
      <extLst>
        <ext uri="{3e2802c4-a4d2-4d8b-9148-e3be6c30e623}">
          <xlrd:rvb i="14070"/>
        </ext>
      </extLst>
    </bk>
    <bk>
      <extLst>
        <ext uri="{3e2802c4-a4d2-4d8b-9148-e3be6c30e623}">
          <xlrd:rvb i="14071"/>
        </ext>
      </extLst>
    </bk>
    <bk>
      <extLst>
        <ext uri="{3e2802c4-a4d2-4d8b-9148-e3be6c30e623}">
          <xlrd:rvb i="14072"/>
        </ext>
      </extLst>
    </bk>
    <bk>
      <extLst>
        <ext uri="{3e2802c4-a4d2-4d8b-9148-e3be6c30e623}">
          <xlrd:rvb i="14073"/>
        </ext>
      </extLst>
    </bk>
    <bk>
      <extLst>
        <ext uri="{3e2802c4-a4d2-4d8b-9148-e3be6c30e623}">
          <xlrd:rvb i="14074"/>
        </ext>
      </extLst>
    </bk>
    <bk>
      <extLst>
        <ext uri="{3e2802c4-a4d2-4d8b-9148-e3be6c30e623}">
          <xlrd:rvb i="14075"/>
        </ext>
      </extLst>
    </bk>
    <bk>
      <extLst>
        <ext uri="{3e2802c4-a4d2-4d8b-9148-e3be6c30e623}">
          <xlrd:rvb i="14076"/>
        </ext>
      </extLst>
    </bk>
    <bk>
      <extLst>
        <ext uri="{3e2802c4-a4d2-4d8b-9148-e3be6c30e623}">
          <xlrd:rvb i="14077"/>
        </ext>
      </extLst>
    </bk>
    <bk>
      <extLst>
        <ext uri="{3e2802c4-a4d2-4d8b-9148-e3be6c30e623}">
          <xlrd:rvb i="14078"/>
        </ext>
      </extLst>
    </bk>
    <bk>
      <extLst>
        <ext uri="{3e2802c4-a4d2-4d8b-9148-e3be6c30e623}">
          <xlrd:rvb i="14079"/>
        </ext>
      </extLst>
    </bk>
    <bk>
      <extLst>
        <ext uri="{3e2802c4-a4d2-4d8b-9148-e3be6c30e623}">
          <xlrd:rvb i="14080"/>
        </ext>
      </extLst>
    </bk>
    <bk>
      <extLst>
        <ext uri="{3e2802c4-a4d2-4d8b-9148-e3be6c30e623}">
          <xlrd:rvb i="14081"/>
        </ext>
      </extLst>
    </bk>
    <bk>
      <extLst>
        <ext uri="{3e2802c4-a4d2-4d8b-9148-e3be6c30e623}">
          <xlrd:rvb i="14082"/>
        </ext>
      </extLst>
    </bk>
    <bk>
      <extLst>
        <ext uri="{3e2802c4-a4d2-4d8b-9148-e3be6c30e623}">
          <xlrd:rvb i="14083"/>
        </ext>
      </extLst>
    </bk>
    <bk>
      <extLst>
        <ext uri="{3e2802c4-a4d2-4d8b-9148-e3be6c30e623}">
          <xlrd:rvb i="14084"/>
        </ext>
      </extLst>
    </bk>
    <bk>
      <extLst>
        <ext uri="{3e2802c4-a4d2-4d8b-9148-e3be6c30e623}">
          <xlrd:rvb i="14085"/>
        </ext>
      </extLst>
    </bk>
    <bk>
      <extLst>
        <ext uri="{3e2802c4-a4d2-4d8b-9148-e3be6c30e623}">
          <xlrd:rvb i="14086"/>
        </ext>
      </extLst>
    </bk>
    <bk>
      <extLst>
        <ext uri="{3e2802c4-a4d2-4d8b-9148-e3be6c30e623}">
          <xlrd:rvb i="14087"/>
        </ext>
      </extLst>
    </bk>
    <bk>
      <extLst>
        <ext uri="{3e2802c4-a4d2-4d8b-9148-e3be6c30e623}">
          <xlrd:rvb i="14088"/>
        </ext>
      </extLst>
    </bk>
    <bk>
      <extLst>
        <ext uri="{3e2802c4-a4d2-4d8b-9148-e3be6c30e623}">
          <xlrd:rvb i="14089"/>
        </ext>
      </extLst>
    </bk>
    <bk>
      <extLst>
        <ext uri="{3e2802c4-a4d2-4d8b-9148-e3be6c30e623}">
          <xlrd:rvb i="14090"/>
        </ext>
      </extLst>
    </bk>
    <bk>
      <extLst>
        <ext uri="{3e2802c4-a4d2-4d8b-9148-e3be6c30e623}">
          <xlrd:rvb i="14091"/>
        </ext>
      </extLst>
    </bk>
    <bk>
      <extLst>
        <ext uri="{3e2802c4-a4d2-4d8b-9148-e3be6c30e623}">
          <xlrd:rvb i="14092"/>
        </ext>
      </extLst>
    </bk>
    <bk>
      <extLst>
        <ext uri="{3e2802c4-a4d2-4d8b-9148-e3be6c30e623}">
          <xlrd:rvb i="14093"/>
        </ext>
      </extLst>
    </bk>
    <bk>
      <extLst>
        <ext uri="{3e2802c4-a4d2-4d8b-9148-e3be6c30e623}">
          <xlrd:rvb i="14094"/>
        </ext>
      </extLst>
    </bk>
    <bk>
      <extLst>
        <ext uri="{3e2802c4-a4d2-4d8b-9148-e3be6c30e623}">
          <xlrd:rvb i="14095"/>
        </ext>
      </extLst>
    </bk>
    <bk>
      <extLst>
        <ext uri="{3e2802c4-a4d2-4d8b-9148-e3be6c30e623}">
          <xlrd:rvb i="14096"/>
        </ext>
      </extLst>
    </bk>
    <bk>
      <extLst>
        <ext uri="{3e2802c4-a4d2-4d8b-9148-e3be6c30e623}">
          <xlrd:rvb i="14097"/>
        </ext>
      </extLst>
    </bk>
    <bk>
      <extLst>
        <ext uri="{3e2802c4-a4d2-4d8b-9148-e3be6c30e623}">
          <xlrd:rvb i="14098"/>
        </ext>
      </extLst>
    </bk>
    <bk>
      <extLst>
        <ext uri="{3e2802c4-a4d2-4d8b-9148-e3be6c30e623}">
          <xlrd:rvb i="14099"/>
        </ext>
      </extLst>
    </bk>
    <bk>
      <extLst>
        <ext uri="{3e2802c4-a4d2-4d8b-9148-e3be6c30e623}">
          <xlrd:rvb i="14100"/>
        </ext>
      </extLst>
    </bk>
    <bk>
      <extLst>
        <ext uri="{3e2802c4-a4d2-4d8b-9148-e3be6c30e623}">
          <xlrd:rvb i="14101"/>
        </ext>
      </extLst>
    </bk>
    <bk>
      <extLst>
        <ext uri="{3e2802c4-a4d2-4d8b-9148-e3be6c30e623}">
          <xlrd:rvb i="14102"/>
        </ext>
      </extLst>
    </bk>
    <bk>
      <extLst>
        <ext uri="{3e2802c4-a4d2-4d8b-9148-e3be6c30e623}">
          <xlrd:rvb i="14103"/>
        </ext>
      </extLst>
    </bk>
    <bk>
      <extLst>
        <ext uri="{3e2802c4-a4d2-4d8b-9148-e3be6c30e623}">
          <xlrd:rvb i="14104"/>
        </ext>
      </extLst>
    </bk>
    <bk>
      <extLst>
        <ext uri="{3e2802c4-a4d2-4d8b-9148-e3be6c30e623}">
          <xlrd:rvb i="14105"/>
        </ext>
      </extLst>
    </bk>
    <bk>
      <extLst>
        <ext uri="{3e2802c4-a4d2-4d8b-9148-e3be6c30e623}">
          <xlrd:rvb i="14106"/>
        </ext>
      </extLst>
    </bk>
    <bk>
      <extLst>
        <ext uri="{3e2802c4-a4d2-4d8b-9148-e3be6c30e623}">
          <xlrd:rvb i="14107"/>
        </ext>
      </extLst>
    </bk>
    <bk>
      <extLst>
        <ext uri="{3e2802c4-a4d2-4d8b-9148-e3be6c30e623}">
          <xlrd:rvb i="14108"/>
        </ext>
      </extLst>
    </bk>
    <bk>
      <extLst>
        <ext uri="{3e2802c4-a4d2-4d8b-9148-e3be6c30e623}">
          <xlrd:rvb i="14109"/>
        </ext>
      </extLst>
    </bk>
    <bk>
      <extLst>
        <ext uri="{3e2802c4-a4d2-4d8b-9148-e3be6c30e623}">
          <xlrd:rvb i="14110"/>
        </ext>
      </extLst>
    </bk>
    <bk>
      <extLst>
        <ext uri="{3e2802c4-a4d2-4d8b-9148-e3be6c30e623}">
          <xlrd:rvb i="14111"/>
        </ext>
      </extLst>
    </bk>
    <bk>
      <extLst>
        <ext uri="{3e2802c4-a4d2-4d8b-9148-e3be6c30e623}">
          <xlrd:rvb i="14112"/>
        </ext>
      </extLst>
    </bk>
    <bk>
      <extLst>
        <ext uri="{3e2802c4-a4d2-4d8b-9148-e3be6c30e623}">
          <xlrd:rvb i="14113"/>
        </ext>
      </extLst>
    </bk>
    <bk>
      <extLst>
        <ext uri="{3e2802c4-a4d2-4d8b-9148-e3be6c30e623}">
          <xlrd:rvb i="14114"/>
        </ext>
      </extLst>
    </bk>
    <bk>
      <extLst>
        <ext uri="{3e2802c4-a4d2-4d8b-9148-e3be6c30e623}">
          <xlrd:rvb i="14115"/>
        </ext>
      </extLst>
    </bk>
    <bk>
      <extLst>
        <ext uri="{3e2802c4-a4d2-4d8b-9148-e3be6c30e623}">
          <xlrd:rvb i="14116"/>
        </ext>
      </extLst>
    </bk>
    <bk>
      <extLst>
        <ext uri="{3e2802c4-a4d2-4d8b-9148-e3be6c30e623}">
          <xlrd:rvb i="14117"/>
        </ext>
      </extLst>
    </bk>
    <bk>
      <extLst>
        <ext uri="{3e2802c4-a4d2-4d8b-9148-e3be6c30e623}">
          <xlrd:rvb i="14118"/>
        </ext>
      </extLst>
    </bk>
    <bk>
      <extLst>
        <ext uri="{3e2802c4-a4d2-4d8b-9148-e3be6c30e623}">
          <xlrd:rvb i="14119"/>
        </ext>
      </extLst>
    </bk>
    <bk>
      <extLst>
        <ext uri="{3e2802c4-a4d2-4d8b-9148-e3be6c30e623}">
          <xlrd:rvb i="14120"/>
        </ext>
      </extLst>
    </bk>
    <bk>
      <extLst>
        <ext uri="{3e2802c4-a4d2-4d8b-9148-e3be6c30e623}">
          <xlrd:rvb i="14121"/>
        </ext>
      </extLst>
    </bk>
    <bk>
      <extLst>
        <ext uri="{3e2802c4-a4d2-4d8b-9148-e3be6c30e623}">
          <xlrd:rvb i="14122"/>
        </ext>
      </extLst>
    </bk>
    <bk>
      <extLst>
        <ext uri="{3e2802c4-a4d2-4d8b-9148-e3be6c30e623}">
          <xlrd:rvb i="14123"/>
        </ext>
      </extLst>
    </bk>
    <bk>
      <extLst>
        <ext uri="{3e2802c4-a4d2-4d8b-9148-e3be6c30e623}">
          <xlrd:rvb i="14124"/>
        </ext>
      </extLst>
    </bk>
    <bk>
      <extLst>
        <ext uri="{3e2802c4-a4d2-4d8b-9148-e3be6c30e623}">
          <xlrd:rvb i="14125"/>
        </ext>
      </extLst>
    </bk>
    <bk>
      <extLst>
        <ext uri="{3e2802c4-a4d2-4d8b-9148-e3be6c30e623}">
          <xlrd:rvb i="14126"/>
        </ext>
      </extLst>
    </bk>
    <bk>
      <extLst>
        <ext uri="{3e2802c4-a4d2-4d8b-9148-e3be6c30e623}">
          <xlrd:rvb i="14127"/>
        </ext>
      </extLst>
    </bk>
    <bk>
      <extLst>
        <ext uri="{3e2802c4-a4d2-4d8b-9148-e3be6c30e623}">
          <xlrd:rvb i="14128"/>
        </ext>
      </extLst>
    </bk>
    <bk>
      <extLst>
        <ext uri="{3e2802c4-a4d2-4d8b-9148-e3be6c30e623}">
          <xlrd:rvb i="14129"/>
        </ext>
      </extLst>
    </bk>
    <bk>
      <extLst>
        <ext uri="{3e2802c4-a4d2-4d8b-9148-e3be6c30e623}">
          <xlrd:rvb i="14130"/>
        </ext>
      </extLst>
    </bk>
    <bk>
      <extLst>
        <ext uri="{3e2802c4-a4d2-4d8b-9148-e3be6c30e623}">
          <xlrd:rvb i="14131"/>
        </ext>
      </extLst>
    </bk>
    <bk>
      <extLst>
        <ext uri="{3e2802c4-a4d2-4d8b-9148-e3be6c30e623}">
          <xlrd:rvb i="14132"/>
        </ext>
      </extLst>
    </bk>
    <bk>
      <extLst>
        <ext uri="{3e2802c4-a4d2-4d8b-9148-e3be6c30e623}">
          <xlrd:rvb i="14133"/>
        </ext>
      </extLst>
    </bk>
    <bk>
      <extLst>
        <ext uri="{3e2802c4-a4d2-4d8b-9148-e3be6c30e623}">
          <xlrd:rvb i="14134"/>
        </ext>
      </extLst>
    </bk>
    <bk>
      <extLst>
        <ext uri="{3e2802c4-a4d2-4d8b-9148-e3be6c30e623}">
          <xlrd:rvb i="14135"/>
        </ext>
      </extLst>
    </bk>
    <bk>
      <extLst>
        <ext uri="{3e2802c4-a4d2-4d8b-9148-e3be6c30e623}">
          <xlrd:rvb i="14136"/>
        </ext>
      </extLst>
    </bk>
    <bk>
      <extLst>
        <ext uri="{3e2802c4-a4d2-4d8b-9148-e3be6c30e623}">
          <xlrd:rvb i="14137"/>
        </ext>
      </extLst>
    </bk>
    <bk>
      <extLst>
        <ext uri="{3e2802c4-a4d2-4d8b-9148-e3be6c30e623}">
          <xlrd:rvb i="14138"/>
        </ext>
      </extLst>
    </bk>
    <bk>
      <extLst>
        <ext uri="{3e2802c4-a4d2-4d8b-9148-e3be6c30e623}">
          <xlrd:rvb i="14139"/>
        </ext>
      </extLst>
    </bk>
    <bk>
      <extLst>
        <ext uri="{3e2802c4-a4d2-4d8b-9148-e3be6c30e623}">
          <xlrd:rvb i="14140"/>
        </ext>
      </extLst>
    </bk>
    <bk>
      <extLst>
        <ext uri="{3e2802c4-a4d2-4d8b-9148-e3be6c30e623}">
          <xlrd:rvb i="14141"/>
        </ext>
      </extLst>
    </bk>
    <bk>
      <extLst>
        <ext uri="{3e2802c4-a4d2-4d8b-9148-e3be6c30e623}">
          <xlrd:rvb i="14142"/>
        </ext>
      </extLst>
    </bk>
    <bk>
      <extLst>
        <ext uri="{3e2802c4-a4d2-4d8b-9148-e3be6c30e623}">
          <xlrd:rvb i="14143"/>
        </ext>
      </extLst>
    </bk>
    <bk>
      <extLst>
        <ext uri="{3e2802c4-a4d2-4d8b-9148-e3be6c30e623}">
          <xlrd:rvb i="14144"/>
        </ext>
      </extLst>
    </bk>
    <bk>
      <extLst>
        <ext uri="{3e2802c4-a4d2-4d8b-9148-e3be6c30e623}">
          <xlrd:rvb i="14145"/>
        </ext>
      </extLst>
    </bk>
    <bk>
      <extLst>
        <ext uri="{3e2802c4-a4d2-4d8b-9148-e3be6c30e623}">
          <xlrd:rvb i="14146"/>
        </ext>
      </extLst>
    </bk>
    <bk>
      <extLst>
        <ext uri="{3e2802c4-a4d2-4d8b-9148-e3be6c30e623}">
          <xlrd:rvb i="14147"/>
        </ext>
      </extLst>
    </bk>
    <bk>
      <extLst>
        <ext uri="{3e2802c4-a4d2-4d8b-9148-e3be6c30e623}">
          <xlrd:rvb i="14148"/>
        </ext>
      </extLst>
    </bk>
    <bk>
      <extLst>
        <ext uri="{3e2802c4-a4d2-4d8b-9148-e3be6c30e623}">
          <xlrd:rvb i="14149"/>
        </ext>
      </extLst>
    </bk>
    <bk>
      <extLst>
        <ext uri="{3e2802c4-a4d2-4d8b-9148-e3be6c30e623}">
          <xlrd:rvb i="14150"/>
        </ext>
      </extLst>
    </bk>
    <bk>
      <extLst>
        <ext uri="{3e2802c4-a4d2-4d8b-9148-e3be6c30e623}">
          <xlrd:rvb i="14151"/>
        </ext>
      </extLst>
    </bk>
    <bk>
      <extLst>
        <ext uri="{3e2802c4-a4d2-4d8b-9148-e3be6c30e623}">
          <xlrd:rvb i="14152"/>
        </ext>
      </extLst>
    </bk>
    <bk>
      <extLst>
        <ext uri="{3e2802c4-a4d2-4d8b-9148-e3be6c30e623}">
          <xlrd:rvb i="14153"/>
        </ext>
      </extLst>
    </bk>
    <bk>
      <extLst>
        <ext uri="{3e2802c4-a4d2-4d8b-9148-e3be6c30e623}">
          <xlrd:rvb i="14154"/>
        </ext>
      </extLst>
    </bk>
    <bk>
      <extLst>
        <ext uri="{3e2802c4-a4d2-4d8b-9148-e3be6c30e623}">
          <xlrd:rvb i="14155"/>
        </ext>
      </extLst>
    </bk>
    <bk>
      <extLst>
        <ext uri="{3e2802c4-a4d2-4d8b-9148-e3be6c30e623}">
          <xlrd:rvb i="14156"/>
        </ext>
      </extLst>
    </bk>
    <bk>
      <extLst>
        <ext uri="{3e2802c4-a4d2-4d8b-9148-e3be6c30e623}">
          <xlrd:rvb i="14157"/>
        </ext>
      </extLst>
    </bk>
    <bk>
      <extLst>
        <ext uri="{3e2802c4-a4d2-4d8b-9148-e3be6c30e623}">
          <xlrd:rvb i="14158"/>
        </ext>
      </extLst>
    </bk>
    <bk>
      <extLst>
        <ext uri="{3e2802c4-a4d2-4d8b-9148-e3be6c30e623}">
          <xlrd:rvb i="14159"/>
        </ext>
      </extLst>
    </bk>
    <bk>
      <extLst>
        <ext uri="{3e2802c4-a4d2-4d8b-9148-e3be6c30e623}">
          <xlrd:rvb i="14160"/>
        </ext>
      </extLst>
    </bk>
    <bk>
      <extLst>
        <ext uri="{3e2802c4-a4d2-4d8b-9148-e3be6c30e623}">
          <xlrd:rvb i="14161"/>
        </ext>
      </extLst>
    </bk>
    <bk>
      <extLst>
        <ext uri="{3e2802c4-a4d2-4d8b-9148-e3be6c30e623}">
          <xlrd:rvb i="14162"/>
        </ext>
      </extLst>
    </bk>
    <bk>
      <extLst>
        <ext uri="{3e2802c4-a4d2-4d8b-9148-e3be6c30e623}">
          <xlrd:rvb i="14163"/>
        </ext>
      </extLst>
    </bk>
    <bk>
      <extLst>
        <ext uri="{3e2802c4-a4d2-4d8b-9148-e3be6c30e623}">
          <xlrd:rvb i="14164"/>
        </ext>
      </extLst>
    </bk>
    <bk>
      <extLst>
        <ext uri="{3e2802c4-a4d2-4d8b-9148-e3be6c30e623}">
          <xlrd:rvb i="14165"/>
        </ext>
      </extLst>
    </bk>
    <bk>
      <extLst>
        <ext uri="{3e2802c4-a4d2-4d8b-9148-e3be6c30e623}">
          <xlrd:rvb i="14166"/>
        </ext>
      </extLst>
    </bk>
    <bk>
      <extLst>
        <ext uri="{3e2802c4-a4d2-4d8b-9148-e3be6c30e623}">
          <xlrd:rvb i="14167"/>
        </ext>
      </extLst>
    </bk>
    <bk>
      <extLst>
        <ext uri="{3e2802c4-a4d2-4d8b-9148-e3be6c30e623}">
          <xlrd:rvb i="14168"/>
        </ext>
      </extLst>
    </bk>
    <bk>
      <extLst>
        <ext uri="{3e2802c4-a4d2-4d8b-9148-e3be6c30e623}">
          <xlrd:rvb i="14169"/>
        </ext>
      </extLst>
    </bk>
    <bk>
      <extLst>
        <ext uri="{3e2802c4-a4d2-4d8b-9148-e3be6c30e623}">
          <xlrd:rvb i="14170"/>
        </ext>
      </extLst>
    </bk>
    <bk>
      <extLst>
        <ext uri="{3e2802c4-a4d2-4d8b-9148-e3be6c30e623}">
          <xlrd:rvb i="14171"/>
        </ext>
      </extLst>
    </bk>
    <bk>
      <extLst>
        <ext uri="{3e2802c4-a4d2-4d8b-9148-e3be6c30e623}">
          <xlrd:rvb i="14172"/>
        </ext>
      </extLst>
    </bk>
    <bk>
      <extLst>
        <ext uri="{3e2802c4-a4d2-4d8b-9148-e3be6c30e623}">
          <xlrd:rvb i="14173"/>
        </ext>
      </extLst>
    </bk>
    <bk>
      <extLst>
        <ext uri="{3e2802c4-a4d2-4d8b-9148-e3be6c30e623}">
          <xlrd:rvb i="14174"/>
        </ext>
      </extLst>
    </bk>
    <bk>
      <extLst>
        <ext uri="{3e2802c4-a4d2-4d8b-9148-e3be6c30e623}">
          <xlrd:rvb i="14175"/>
        </ext>
      </extLst>
    </bk>
    <bk>
      <extLst>
        <ext uri="{3e2802c4-a4d2-4d8b-9148-e3be6c30e623}">
          <xlrd:rvb i="14176"/>
        </ext>
      </extLst>
    </bk>
    <bk>
      <extLst>
        <ext uri="{3e2802c4-a4d2-4d8b-9148-e3be6c30e623}">
          <xlrd:rvb i="14177"/>
        </ext>
      </extLst>
    </bk>
    <bk>
      <extLst>
        <ext uri="{3e2802c4-a4d2-4d8b-9148-e3be6c30e623}">
          <xlrd:rvb i="14178"/>
        </ext>
      </extLst>
    </bk>
    <bk>
      <extLst>
        <ext uri="{3e2802c4-a4d2-4d8b-9148-e3be6c30e623}">
          <xlrd:rvb i="14179"/>
        </ext>
      </extLst>
    </bk>
    <bk>
      <extLst>
        <ext uri="{3e2802c4-a4d2-4d8b-9148-e3be6c30e623}">
          <xlrd:rvb i="14180"/>
        </ext>
      </extLst>
    </bk>
    <bk>
      <extLst>
        <ext uri="{3e2802c4-a4d2-4d8b-9148-e3be6c30e623}">
          <xlrd:rvb i="14181"/>
        </ext>
      </extLst>
    </bk>
    <bk>
      <extLst>
        <ext uri="{3e2802c4-a4d2-4d8b-9148-e3be6c30e623}">
          <xlrd:rvb i="14182"/>
        </ext>
      </extLst>
    </bk>
    <bk>
      <extLst>
        <ext uri="{3e2802c4-a4d2-4d8b-9148-e3be6c30e623}">
          <xlrd:rvb i="14183"/>
        </ext>
      </extLst>
    </bk>
    <bk>
      <extLst>
        <ext uri="{3e2802c4-a4d2-4d8b-9148-e3be6c30e623}">
          <xlrd:rvb i="14184"/>
        </ext>
      </extLst>
    </bk>
    <bk>
      <extLst>
        <ext uri="{3e2802c4-a4d2-4d8b-9148-e3be6c30e623}">
          <xlrd:rvb i="14185"/>
        </ext>
      </extLst>
    </bk>
    <bk>
      <extLst>
        <ext uri="{3e2802c4-a4d2-4d8b-9148-e3be6c30e623}">
          <xlrd:rvb i="14186"/>
        </ext>
      </extLst>
    </bk>
    <bk>
      <extLst>
        <ext uri="{3e2802c4-a4d2-4d8b-9148-e3be6c30e623}">
          <xlrd:rvb i="14187"/>
        </ext>
      </extLst>
    </bk>
    <bk>
      <extLst>
        <ext uri="{3e2802c4-a4d2-4d8b-9148-e3be6c30e623}">
          <xlrd:rvb i="14188"/>
        </ext>
      </extLst>
    </bk>
    <bk>
      <extLst>
        <ext uri="{3e2802c4-a4d2-4d8b-9148-e3be6c30e623}">
          <xlrd:rvb i="14189"/>
        </ext>
      </extLst>
    </bk>
    <bk>
      <extLst>
        <ext uri="{3e2802c4-a4d2-4d8b-9148-e3be6c30e623}">
          <xlrd:rvb i="14190"/>
        </ext>
      </extLst>
    </bk>
    <bk>
      <extLst>
        <ext uri="{3e2802c4-a4d2-4d8b-9148-e3be6c30e623}">
          <xlrd:rvb i="14191"/>
        </ext>
      </extLst>
    </bk>
    <bk>
      <extLst>
        <ext uri="{3e2802c4-a4d2-4d8b-9148-e3be6c30e623}">
          <xlrd:rvb i="14192"/>
        </ext>
      </extLst>
    </bk>
    <bk>
      <extLst>
        <ext uri="{3e2802c4-a4d2-4d8b-9148-e3be6c30e623}">
          <xlrd:rvb i="14193"/>
        </ext>
      </extLst>
    </bk>
    <bk>
      <extLst>
        <ext uri="{3e2802c4-a4d2-4d8b-9148-e3be6c30e623}">
          <xlrd:rvb i="14194"/>
        </ext>
      </extLst>
    </bk>
    <bk>
      <extLst>
        <ext uri="{3e2802c4-a4d2-4d8b-9148-e3be6c30e623}">
          <xlrd:rvb i="14195"/>
        </ext>
      </extLst>
    </bk>
    <bk>
      <extLst>
        <ext uri="{3e2802c4-a4d2-4d8b-9148-e3be6c30e623}">
          <xlrd:rvb i="14196"/>
        </ext>
      </extLst>
    </bk>
    <bk>
      <extLst>
        <ext uri="{3e2802c4-a4d2-4d8b-9148-e3be6c30e623}">
          <xlrd:rvb i="14197"/>
        </ext>
      </extLst>
    </bk>
    <bk>
      <extLst>
        <ext uri="{3e2802c4-a4d2-4d8b-9148-e3be6c30e623}">
          <xlrd:rvb i="14198"/>
        </ext>
      </extLst>
    </bk>
    <bk>
      <extLst>
        <ext uri="{3e2802c4-a4d2-4d8b-9148-e3be6c30e623}">
          <xlrd:rvb i="14199"/>
        </ext>
      </extLst>
    </bk>
    <bk>
      <extLst>
        <ext uri="{3e2802c4-a4d2-4d8b-9148-e3be6c30e623}">
          <xlrd:rvb i="14200"/>
        </ext>
      </extLst>
    </bk>
    <bk>
      <extLst>
        <ext uri="{3e2802c4-a4d2-4d8b-9148-e3be6c30e623}">
          <xlrd:rvb i="14201"/>
        </ext>
      </extLst>
    </bk>
    <bk>
      <extLst>
        <ext uri="{3e2802c4-a4d2-4d8b-9148-e3be6c30e623}">
          <xlrd:rvb i="14202"/>
        </ext>
      </extLst>
    </bk>
    <bk>
      <extLst>
        <ext uri="{3e2802c4-a4d2-4d8b-9148-e3be6c30e623}">
          <xlrd:rvb i="14203"/>
        </ext>
      </extLst>
    </bk>
    <bk>
      <extLst>
        <ext uri="{3e2802c4-a4d2-4d8b-9148-e3be6c30e623}">
          <xlrd:rvb i="14204"/>
        </ext>
      </extLst>
    </bk>
    <bk>
      <extLst>
        <ext uri="{3e2802c4-a4d2-4d8b-9148-e3be6c30e623}">
          <xlrd:rvb i="14205"/>
        </ext>
      </extLst>
    </bk>
    <bk>
      <extLst>
        <ext uri="{3e2802c4-a4d2-4d8b-9148-e3be6c30e623}">
          <xlrd:rvb i="14206"/>
        </ext>
      </extLst>
    </bk>
    <bk>
      <extLst>
        <ext uri="{3e2802c4-a4d2-4d8b-9148-e3be6c30e623}">
          <xlrd:rvb i="14207"/>
        </ext>
      </extLst>
    </bk>
    <bk>
      <extLst>
        <ext uri="{3e2802c4-a4d2-4d8b-9148-e3be6c30e623}">
          <xlrd:rvb i="14208"/>
        </ext>
      </extLst>
    </bk>
    <bk>
      <extLst>
        <ext uri="{3e2802c4-a4d2-4d8b-9148-e3be6c30e623}">
          <xlrd:rvb i="14209"/>
        </ext>
      </extLst>
    </bk>
    <bk>
      <extLst>
        <ext uri="{3e2802c4-a4d2-4d8b-9148-e3be6c30e623}">
          <xlrd:rvb i="14210"/>
        </ext>
      </extLst>
    </bk>
    <bk>
      <extLst>
        <ext uri="{3e2802c4-a4d2-4d8b-9148-e3be6c30e623}">
          <xlrd:rvb i="14211"/>
        </ext>
      </extLst>
    </bk>
    <bk>
      <extLst>
        <ext uri="{3e2802c4-a4d2-4d8b-9148-e3be6c30e623}">
          <xlrd:rvb i="14212"/>
        </ext>
      </extLst>
    </bk>
    <bk>
      <extLst>
        <ext uri="{3e2802c4-a4d2-4d8b-9148-e3be6c30e623}">
          <xlrd:rvb i="14213"/>
        </ext>
      </extLst>
    </bk>
    <bk>
      <extLst>
        <ext uri="{3e2802c4-a4d2-4d8b-9148-e3be6c30e623}">
          <xlrd:rvb i="14214"/>
        </ext>
      </extLst>
    </bk>
    <bk>
      <extLst>
        <ext uri="{3e2802c4-a4d2-4d8b-9148-e3be6c30e623}">
          <xlrd:rvb i="14215"/>
        </ext>
      </extLst>
    </bk>
    <bk>
      <extLst>
        <ext uri="{3e2802c4-a4d2-4d8b-9148-e3be6c30e623}">
          <xlrd:rvb i="14216"/>
        </ext>
      </extLst>
    </bk>
    <bk>
      <extLst>
        <ext uri="{3e2802c4-a4d2-4d8b-9148-e3be6c30e623}">
          <xlrd:rvb i="14217"/>
        </ext>
      </extLst>
    </bk>
    <bk>
      <extLst>
        <ext uri="{3e2802c4-a4d2-4d8b-9148-e3be6c30e623}">
          <xlrd:rvb i="14218"/>
        </ext>
      </extLst>
    </bk>
    <bk>
      <extLst>
        <ext uri="{3e2802c4-a4d2-4d8b-9148-e3be6c30e623}">
          <xlrd:rvb i="14219"/>
        </ext>
      </extLst>
    </bk>
    <bk>
      <extLst>
        <ext uri="{3e2802c4-a4d2-4d8b-9148-e3be6c30e623}">
          <xlrd:rvb i="14220"/>
        </ext>
      </extLst>
    </bk>
    <bk>
      <extLst>
        <ext uri="{3e2802c4-a4d2-4d8b-9148-e3be6c30e623}">
          <xlrd:rvb i="14221"/>
        </ext>
      </extLst>
    </bk>
    <bk>
      <extLst>
        <ext uri="{3e2802c4-a4d2-4d8b-9148-e3be6c30e623}">
          <xlrd:rvb i="14222"/>
        </ext>
      </extLst>
    </bk>
    <bk>
      <extLst>
        <ext uri="{3e2802c4-a4d2-4d8b-9148-e3be6c30e623}">
          <xlrd:rvb i="14223"/>
        </ext>
      </extLst>
    </bk>
    <bk>
      <extLst>
        <ext uri="{3e2802c4-a4d2-4d8b-9148-e3be6c30e623}">
          <xlrd:rvb i="14224"/>
        </ext>
      </extLst>
    </bk>
    <bk>
      <extLst>
        <ext uri="{3e2802c4-a4d2-4d8b-9148-e3be6c30e623}">
          <xlrd:rvb i="14225"/>
        </ext>
      </extLst>
    </bk>
    <bk>
      <extLst>
        <ext uri="{3e2802c4-a4d2-4d8b-9148-e3be6c30e623}">
          <xlrd:rvb i="14226"/>
        </ext>
      </extLst>
    </bk>
    <bk>
      <extLst>
        <ext uri="{3e2802c4-a4d2-4d8b-9148-e3be6c30e623}">
          <xlrd:rvb i="14227"/>
        </ext>
      </extLst>
    </bk>
    <bk>
      <extLst>
        <ext uri="{3e2802c4-a4d2-4d8b-9148-e3be6c30e623}">
          <xlrd:rvb i="14228"/>
        </ext>
      </extLst>
    </bk>
    <bk>
      <extLst>
        <ext uri="{3e2802c4-a4d2-4d8b-9148-e3be6c30e623}">
          <xlrd:rvb i="14229"/>
        </ext>
      </extLst>
    </bk>
    <bk>
      <extLst>
        <ext uri="{3e2802c4-a4d2-4d8b-9148-e3be6c30e623}">
          <xlrd:rvb i="14230"/>
        </ext>
      </extLst>
    </bk>
    <bk>
      <extLst>
        <ext uri="{3e2802c4-a4d2-4d8b-9148-e3be6c30e623}">
          <xlrd:rvb i="14231"/>
        </ext>
      </extLst>
    </bk>
    <bk>
      <extLst>
        <ext uri="{3e2802c4-a4d2-4d8b-9148-e3be6c30e623}">
          <xlrd:rvb i="14232"/>
        </ext>
      </extLst>
    </bk>
    <bk>
      <extLst>
        <ext uri="{3e2802c4-a4d2-4d8b-9148-e3be6c30e623}">
          <xlrd:rvb i="14233"/>
        </ext>
      </extLst>
    </bk>
    <bk>
      <extLst>
        <ext uri="{3e2802c4-a4d2-4d8b-9148-e3be6c30e623}">
          <xlrd:rvb i="14234"/>
        </ext>
      </extLst>
    </bk>
    <bk>
      <extLst>
        <ext uri="{3e2802c4-a4d2-4d8b-9148-e3be6c30e623}">
          <xlrd:rvb i="14235"/>
        </ext>
      </extLst>
    </bk>
    <bk>
      <extLst>
        <ext uri="{3e2802c4-a4d2-4d8b-9148-e3be6c30e623}">
          <xlrd:rvb i="14236"/>
        </ext>
      </extLst>
    </bk>
    <bk>
      <extLst>
        <ext uri="{3e2802c4-a4d2-4d8b-9148-e3be6c30e623}">
          <xlrd:rvb i="14237"/>
        </ext>
      </extLst>
    </bk>
    <bk>
      <extLst>
        <ext uri="{3e2802c4-a4d2-4d8b-9148-e3be6c30e623}">
          <xlrd:rvb i="14238"/>
        </ext>
      </extLst>
    </bk>
    <bk>
      <extLst>
        <ext uri="{3e2802c4-a4d2-4d8b-9148-e3be6c30e623}">
          <xlrd:rvb i="14239"/>
        </ext>
      </extLst>
    </bk>
    <bk>
      <extLst>
        <ext uri="{3e2802c4-a4d2-4d8b-9148-e3be6c30e623}">
          <xlrd:rvb i="14240"/>
        </ext>
      </extLst>
    </bk>
    <bk>
      <extLst>
        <ext uri="{3e2802c4-a4d2-4d8b-9148-e3be6c30e623}">
          <xlrd:rvb i="14241"/>
        </ext>
      </extLst>
    </bk>
    <bk>
      <extLst>
        <ext uri="{3e2802c4-a4d2-4d8b-9148-e3be6c30e623}">
          <xlrd:rvb i="14242"/>
        </ext>
      </extLst>
    </bk>
    <bk>
      <extLst>
        <ext uri="{3e2802c4-a4d2-4d8b-9148-e3be6c30e623}">
          <xlrd:rvb i="14243"/>
        </ext>
      </extLst>
    </bk>
    <bk>
      <extLst>
        <ext uri="{3e2802c4-a4d2-4d8b-9148-e3be6c30e623}">
          <xlrd:rvb i="14244"/>
        </ext>
      </extLst>
    </bk>
    <bk>
      <extLst>
        <ext uri="{3e2802c4-a4d2-4d8b-9148-e3be6c30e623}">
          <xlrd:rvb i="14245"/>
        </ext>
      </extLst>
    </bk>
    <bk>
      <extLst>
        <ext uri="{3e2802c4-a4d2-4d8b-9148-e3be6c30e623}">
          <xlrd:rvb i="14246"/>
        </ext>
      </extLst>
    </bk>
    <bk>
      <extLst>
        <ext uri="{3e2802c4-a4d2-4d8b-9148-e3be6c30e623}">
          <xlrd:rvb i="14247"/>
        </ext>
      </extLst>
    </bk>
    <bk>
      <extLst>
        <ext uri="{3e2802c4-a4d2-4d8b-9148-e3be6c30e623}">
          <xlrd:rvb i="14248"/>
        </ext>
      </extLst>
    </bk>
    <bk>
      <extLst>
        <ext uri="{3e2802c4-a4d2-4d8b-9148-e3be6c30e623}">
          <xlrd:rvb i="14249"/>
        </ext>
      </extLst>
    </bk>
    <bk>
      <extLst>
        <ext uri="{3e2802c4-a4d2-4d8b-9148-e3be6c30e623}">
          <xlrd:rvb i="14250"/>
        </ext>
      </extLst>
    </bk>
    <bk>
      <extLst>
        <ext uri="{3e2802c4-a4d2-4d8b-9148-e3be6c30e623}">
          <xlrd:rvb i="14251"/>
        </ext>
      </extLst>
    </bk>
    <bk>
      <extLst>
        <ext uri="{3e2802c4-a4d2-4d8b-9148-e3be6c30e623}">
          <xlrd:rvb i="14252"/>
        </ext>
      </extLst>
    </bk>
    <bk>
      <extLst>
        <ext uri="{3e2802c4-a4d2-4d8b-9148-e3be6c30e623}">
          <xlrd:rvb i="14253"/>
        </ext>
      </extLst>
    </bk>
    <bk>
      <extLst>
        <ext uri="{3e2802c4-a4d2-4d8b-9148-e3be6c30e623}">
          <xlrd:rvb i="14254"/>
        </ext>
      </extLst>
    </bk>
    <bk>
      <extLst>
        <ext uri="{3e2802c4-a4d2-4d8b-9148-e3be6c30e623}">
          <xlrd:rvb i="14255"/>
        </ext>
      </extLst>
    </bk>
    <bk>
      <extLst>
        <ext uri="{3e2802c4-a4d2-4d8b-9148-e3be6c30e623}">
          <xlrd:rvb i="14256"/>
        </ext>
      </extLst>
    </bk>
    <bk>
      <extLst>
        <ext uri="{3e2802c4-a4d2-4d8b-9148-e3be6c30e623}">
          <xlrd:rvb i="14257"/>
        </ext>
      </extLst>
    </bk>
    <bk>
      <extLst>
        <ext uri="{3e2802c4-a4d2-4d8b-9148-e3be6c30e623}">
          <xlrd:rvb i="14258"/>
        </ext>
      </extLst>
    </bk>
    <bk>
      <extLst>
        <ext uri="{3e2802c4-a4d2-4d8b-9148-e3be6c30e623}">
          <xlrd:rvb i="14259"/>
        </ext>
      </extLst>
    </bk>
    <bk>
      <extLst>
        <ext uri="{3e2802c4-a4d2-4d8b-9148-e3be6c30e623}">
          <xlrd:rvb i="14260"/>
        </ext>
      </extLst>
    </bk>
    <bk>
      <extLst>
        <ext uri="{3e2802c4-a4d2-4d8b-9148-e3be6c30e623}">
          <xlrd:rvb i="14261"/>
        </ext>
      </extLst>
    </bk>
    <bk>
      <extLst>
        <ext uri="{3e2802c4-a4d2-4d8b-9148-e3be6c30e623}">
          <xlrd:rvb i="14262"/>
        </ext>
      </extLst>
    </bk>
    <bk>
      <extLst>
        <ext uri="{3e2802c4-a4d2-4d8b-9148-e3be6c30e623}">
          <xlrd:rvb i="14263"/>
        </ext>
      </extLst>
    </bk>
    <bk>
      <extLst>
        <ext uri="{3e2802c4-a4d2-4d8b-9148-e3be6c30e623}">
          <xlrd:rvb i="14264"/>
        </ext>
      </extLst>
    </bk>
    <bk>
      <extLst>
        <ext uri="{3e2802c4-a4d2-4d8b-9148-e3be6c30e623}">
          <xlrd:rvb i="14265"/>
        </ext>
      </extLst>
    </bk>
    <bk>
      <extLst>
        <ext uri="{3e2802c4-a4d2-4d8b-9148-e3be6c30e623}">
          <xlrd:rvb i="14266"/>
        </ext>
      </extLst>
    </bk>
    <bk>
      <extLst>
        <ext uri="{3e2802c4-a4d2-4d8b-9148-e3be6c30e623}">
          <xlrd:rvb i="14267"/>
        </ext>
      </extLst>
    </bk>
    <bk>
      <extLst>
        <ext uri="{3e2802c4-a4d2-4d8b-9148-e3be6c30e623}">
          <xlrd:rvb i="14268"/>
        </ext>
      </extLst>
    </bk>
    <bk>
      <extLst>
        <ext uri="{3e2802c4-a4d2-4d8b-9148-e3be6c30e623}">
          <xlrd:rvb i="14269"/>
        </ext>
      </extLst>
    </bk>
    <bk>
      <extLst>
        <ext uri="{3e2802c4-a4d2-4d8b-9148-e3be6c30e623}">
          <xlrd:rvb i="14270"/>
        </ext>
      </extLst>
    </bk>
    <bk>
      <extLst>
        <ext uri="{3e2802c4-a4d2-4d8b-9148-e3be6c30e623}">
          <xlrd:rvb i="14271"/>
        </ext>
      </extLst>
    </bk>
    <bk>
      <extLst>
        <ext uri="{3e2802c4-a4d2-4d8b-9148-e3be6c30e623}">
          <xlrd:rvb i="14272"/>
        </ext>
      </extLst>
    </bk>
    <bk>
      <extLst>
        <ext uri="{3e2802c4-a4d2-4d8b-9148-e3be6c30e623}">
          <xlrd:rvb i="14273"/>
        </ext>
      </extLst>
    </bk>
    <bk>
      <extLst>
        <ext uri="{3e2802c4-a4d2-4d8b-9148-e3be6c30e623}">
          <xlrd:rvb i="14274"/>
        </ext>
      </extLst>
    </bk>
    <bk>
      <extLst>
        <ext uri="{3e2802c4-a4d2-4d8b-9148-e3be6c30e623}">
          <xlrd:rvb i="14275"/>
        </ext>
      </extLst>
    </bk>
    <bk>
      <extLst>
        <ext uri="{3e2802c4-a4d2-4d8b-9148-e3be6c30e623}">
          <xlrd:rvb i="14276"/>
        </ext>
      </extLst>
    </bk>
    <bk>
      <extLst>
        <ext uri="{3e2802c4-a4d2-4d8b-9148-e3be6c30e623}">
          <xlrd:rvb i="14277"/>
        </ext>
      </extLst>
    </bk>
    <bk>
      <extLst>
        <ext uri="{3e2802c4-a4d2-4d8b-9148-e3be6c30e623}">
          <xlrd:rvb i="14278"/>
        </ext>
      </extLst>
    </bk>
    <bk>
      <extLst>
        <ext uri="{3e2802c4-a4d2-4d8b-9148-e3be6c30e623}">
          <xlrd:rvb i="14279"/>
        </ext>
      </extLst>
    </bk>
    <bk>
      <extLst>
        <ext uri="{3e2802c4-a4d2-4d8b-9148-e3be6c30e623}">
          <xlrd:rvb i="14280"/>
        </ext>
      </extLst>
    </bk>
    <bk>
      <extLst>
        <ext uri="{3e2802c4-a4d2-4d8b-9148-e3be6c30e623}">
          <xlrd:rvb i="14281"/>
        </ext>
      </extLst>
    </bk>
    <bk>
      <extLst>
        <ext uri="{3e2802c4-a4d2-4d8b-9148-e3be6c30e623}">
          <xlrd:rvb i="14282"/>
        </ext>
      </extLst>
    </bk>
    <bk>
      <extLst>
        <ext uri="{3e2802c4-a4d2-4d8b-9148-e3be6c30e623}">
          <xlrd:rvb i="14283"/>
        </ext>
      </extLst>
    </bk>
    <bk>
      <extLst>
        <ext uri="{3e2802c4-a4d2-4d8b-9148-e3be6c30e623}">
          <xlrd:rvb i="14284"/>
        </ext>
      </extLst>
    </bk>
    <bk>
      <extLst>
        <ext uri="{3e2802c4-a4d2-4d8b-9148-e3be6c30e623}">
          <xlrd:rvb i="14285"/>
        </ext>
      </extLst>
    </bk>
    <bk>
      <extLst>
        <ext uri="{3e2802c4-a4d2-4d8b-9148-e3be6c30e623}">
          <xlrd:rvb i="14286"/>
        </ext>
      </extLst>
    </bk>
    <bk>
      <extLst>
        <ext uri="{3e2802c4-a4d2-4d8b-9148-e3be6c30e623}">
          <xlrd:rvb i="14287"/>
        </ext>
      </extLst>
    </bk>
    <bk>
      <extLst>
        <ext uri="{3e2802c4-a4d2-4d8b-9148-e3be6c30e623}">
          <xlrd:rvb i="14288"/>
        </ext>
      </extLst>
    </bk>
    <bk>
      <extLst>
        <ext uri="{3e2802c4-a4d2-4d8b-9148-e3be6c30e623}">
          <xlrd:rvb i="14289"/>
        </ext>
      </extLst>
    </bk>
    <bk>
      <extLst>
        <ext uri="{3e2802c4-a4d2-4d8b-9148-e3be6c30e623}">
          <xlrd:rvb i="14290"/>
        </ext>
      </extLst>
    </bk>
    <bk>
      <extLst>
        <ext uri="{3e2802c4-a4d2-4d8b-9148-e3be6c30e623}">
          <xlrd:rvb i="14291"/>
        </ext>
      </extLst>
    </bk>
    <bk>
      <extLst>
        <ext uri="{3e2802c4-a4d2-4d8b-9148-e3be6c30e623}">
          <xlrd:rvb i="14292"/>
        </ext>
      </extLst>
    </bk>
    <bk>
      <extLst>
        <ext uri="{3e2802c4-a4d2-4d8b-9148-e3be6c30e623}">
          <xlrd:rvb i="14293"/>
        </ext>
      </extLst>
    </bk>
    <bk>
      <extLst>
        <ext uri="{3e2802c4-a4d2-4d8b-9148-e3be6c30e623}">
          <xlrd:rvb i="14294"/>
        </ext>
      </extLst>
    </bk>
    <bk>
      <extLst>
        <ext uri="{3e2802c4-a4d2-4d8b-9148-e3be6c30e623}">
          <xlrd:rvb i="14295"/>
        </ext>
      </extLst>
    </bk>
    <bk>
      <extLst>
        <ext uri="{3e2802c4-a4d2-4d8b-9148-e3be6c30e623}">
          <xlrd:rvb i="14296"/>
        </ext>
      </extLst>
    </bk>
    <bk>
      <extLst>
        <ext uri="{3e2802c4-a4d2-4d8b-9148-e3be6c30e623}">
          <xlrd:rvb i="14297"/>
        </ext>
      </extLst>
    </bk>
    <bk>
      <extLst>
        <ext uri="{3e2802c4-a4d2-4d8b-9148-e3be6c30e623}">
          <xlrd:rvb i="14298"/>
        </ext>
      </extLst>
    </bk>
    <bk>
      <extLst>
        <ext uri="{3e2802c4-a4d2-4d8b-9148-e3be6c30e623}">
          <xlrd:rvb i="14299"/>
        </ext>
      </extLst>
    </bk>
    <bk>
      <extLst>
        <ext uri="{3e2802c4-a4d2-4d8b-9148-e3be6c30e623}">
          <xlrd:rvb i="14300"/>
        </ext>
      </extLst>
    </bk>
    <bk>
      <extLst>
        <ext uri="{3e2802c4-a4d2-4d8b-9148-e3be6c30e623}">
          <xlrd:rvb i="14301"/>
        </ext>
      </extLst>
    </bk>
    <bk>
      <extLst>
        <ext uri="{3e2802c4-a4d2-4d8b-9148-e3be6c30e623}">
          <xlrd:rvb i="14302"/>
        </ext>
      </extLst>
    </bk>
    <bk>
      <extLst>
        <ext uri="{3e2802c4-a4d2-4d8b-9148-e3be6c30e623}">
          <xlrd:rvb i="14303"/>
        </ext>
      </extLst>
    </bk>
    <bk>
      <extLst>
        <ext uri="{3e2802c4-a4d2-4d8b-9148-e3be6c30e623}">
          <xlrd:rvb i="14304"/>
        </ext>
      </extLst>
    </bk>
    <bk>
      <extLst>
        <ext uri="{3e2802c4-a4d2-4d8b-9148-e3be6c30e623}">
          <xlrd:rvb i="14305"/>
        </ext>
      </extLst>
    </bk>
    <bk>
      <extLst>
        <ext uri="{3e2802c4-a4d2-4d8b-9148-e3be6c30e623}">
          <xlrd:rvb i="14306"/>
        </ext>
      </extLst>
    </bk>
    <bk>
      <extLst>
        <ext uri="{3e2802c4-a4d2-4d8b-9148-e3be6c30e623}">
          <xlrd:rvb i="14307"/>
        </ext>
      </extLst>
    </bk>
    <bk>
      <extLst>
        <ext uri="{3e2802c4-a4d2-4d8b-9148-e3be6c30e623}">
          <xlrd:rvb i="14308"/>
        </ext>
      </extLst>
    </bk>
    <bk>
      <extLst>
        <ext uri="{3e2802c4-a4d2-4d8b-9148-e3be6c30e623}">
          <xlrd:rvb i="14309"/>
        </ext>
      </extLst>
    </bk>
    <bk>
      <extLst>
        <ext uri="{3e2802c4-a4d2-4d8b-9148-e3be6c30e623}">
          <xlrd:rvb i="14310"/>
        </ext>
      </extLst>
    </bk>
    <bk>
      <extLst>
        <ext uri="{3e2802c4-a4d2-4d8b-9148-e3be6c30e623}">
          <xlrd:rvb i="14311"/>
        </ext>
      </extLst>
    </bk>
    <bk>
      <extLst>
        <ext uri="{3e2802c4-a4d2-4d8b-9148-e3be6c30e623}">
          <xlrd:rvb i="14312"/>
        </ext>
      </extLst>
    </bk>
    <bk>
      <extLst>
        <ext uri="{3e2802c4-a4d2-4d8b-9148-e3be6c30e623}">
          <xlrd:rvb i="14313"/>
        </ext>
      </extLst>
    </bk>
    <bk>
      <extLst>
        <ext uri="{3e2802c4-a4d2-4d8b-9148-e3be6c30e623}">
          <xlrd:rvb i="14314"/>
        </ext>
      </extLst>
    </bk>
    <bk>
      <extLst>
        <ext uri="{3e2802c4-a4d2-4d8b-9148-e3be6c30e623}">
          <xlrd:rvb i="14315"/>
        </ext>
      </extLst>
    </bk>
    <bk>
      <extLst>
        <ext uri="{3e2802c4-a4d2-4d8b-9148-e3be6c30e623}">
          <xlrd:rvb i="14316"/>
        </ext>
      </extLst>
    </bk>
    <bk>
      <extLst>
        <ext uri="{3e2802c4-a4d2-4d8b-9148-e3be6c30e623}">
          <xlrd:rvb i="14317"/>
        </ext>
      </extLst>
    </bk>
    <bk>
      <extLst>
        <ext uri="{3e2802c4-a4d2-4d8b-9148-e3be6c30e623}">
          <xlrd:rvb i="14318"/>
        </ext>
      </extLst>
    </bk>
    <bk>
      <extLst>
        <ext uri="{3e2802c4-a4d2-4d8b-9148-e3be6c30e623}">
          <xlrd:rvb i="14319"/>
        </ext>
      </extLst>
    </bk>
    <bk>
      <extLst>
        <ext uri="{3e2802c4-a4d2-4d8b-9148-e3be6c30e623}">
          <xlrd:rvb i="14320"/>
        </ext>
      </extLst>
    </bk>
    <bk>
      <extLst>
        <ext uri="{3e2802c4-a4d2-4d8b-9148-e3be6c30e623}">
          <xlrd:rvb i="14321"/>
        </ext>
      </extLst>
    </bk>
    <bk>
      <extLst>
        <ext uri="{3e2802c4-a4d2-4d8b-9148-e3be6c30e623}">
          <xlrd:rvb i="14322"/>
        </ext>
      </extLst>
    </bk>
    <bk>
      <extLst>
        <ext uri="{3e2802c4-a4d2-4d8b-9148-e3be6c30e623}">
          <xlrd:rvb i="14323"/>
        </ext>
      </extLst>
    </bk>
    <bk>
      <extLst>
        <ext uri="{3e2802c4-a4d2-4d8b-9148-e3be6c30e623}">
          <xlrd:rvb i="14324"/>
        </ext>
      </extLst>
    </bk>
    <bk>
      <extLst>
        <ext uri="{3e2802c4-a4d2-4d8b-9148-e3be6c30e623}">
          <xlrd:rvb i="14325"/>
        </ext>
      </extLst>
    </bk>
    <bk>
      <extLst>
        <ext uri="{3e2802c4-a4d2-4d8b-9148-e3be6c30e623}">
          <xlrd:rvb i="14326"/>
        </ext>
      </extLst>
    </bk>
    <bk>
      <extLst>
        <ext uri="{3e2802c4-a4d2-4d8b-9148-e3be6c30e623}">
          <xlrd:rvb i="14327"/>
        </ext>
      </extLst>
    </bk>
    <bk>
      <extLst>
        <ext uri="{3e2802c4-a4d2-4d8b-9148-e3be6c30e623}">
          <xlrd:rvb i="14328"/>
        </ext>
      </extLst>
    </bk>
    <bk>
      <extLst>
        <ext uri="{3e2802c4-a4d2-4d8b-9148-e3be6c30e623}">
          <xlrd:rvb i="14329"/>
        </ext>
      </extLst>
    </bk>
    <bk>
      <extLst>
        <ext uri="{3e2802c4-a4d2-4d8b-9148-e3be6c30e623}">
          <xlrd:rvb i="14330"/>
        </ext>
      </extLst>
    </bk>
    <bk>
      <extLst>
        <ext uri="{3e2802c4-a4d2-4d8b-9148-e3be6c30e623}">
          <xlrd:rvb i="14331"/>
        </ext>
      </extLst>
    </bk>
    <bk>
      <extLst>
        <ext uri="{3e2802c4-a4d2-4d8b-9148-e3be6c30e623}">
          <xlrd:rvb i="14332"/>
        </ext>
      </extLst>
    </bk>
    <bk>
      <extLst>
        <ext uri="{3e2802c4-a4d2-4d8b-9148-e3be6c30e623}">
          <xlrd:rvb i="14333"/>
        </ext>
      </extLst>
    </bk>
    <bk>
      <extLst>
        <ext uri="{3e2802c4-a4d2-4d8b-9148-e3be6c30e623}">
          <xlrd:rvb i="14334"/>
        </ext>
      </extLst>
    </bk>
    <bk>
      <extLst>
        <ext uri="{3e2802c4-a4d2-4d8b-9148-e3be6c30e623}">
          <xlrd:rvb i="14335"/>
        </ext>
      </extLst>
    </bk>
    <bk>
      <extLst>
        <ext uri="{3e2802c4-a4d2-4d8b-9148-e3be6c30e623}">
          <xlrd:rvb i="14336"/>
        </ext>
      </extLst>
    </bk>
    <bk>
      <extLst>
        <ext uri="{3e2802c4-a4d2-4d8b-9148-e3be6c30e623}">
          <xlrd:rvb i="14337"/>
        </ext>
      </extLst>
    </bk>
    <bk>
      <extLst>
        <ext uri="{3e2802c4-a4d2-4d8b-9148-e3be6c30e623}">
          <xlrd:rvb i="14338"/>
        </ext>
      </extLst>
    </bk>
    <bk>
      <extLst>
        <ext uri="{3e2802c4-a4d2-4d8b-9148-e3be6c30e623}">
          <xlrd:rvb i="14339"/>
        </ext>
      </extLst>
    </bk>
    <bk>
      <extLst>
        <ext uri="{3e2802c4-a4d2-4d8b-9148-e3be6c30e623}">
          <xlrd:rvb i="14340"/>
        </ext>
      </extLst>
    </bk>
    <bk>
      <extLst>
        <ext uri="{3e2802c4-a4d2-4d8b-9148-e3be6c30e623}">
          <xlrd:rvb i="14341"/>
        </ext>
      </extLst>
    </bk>
    <bk>
      <extLst>
        <ext uri="{3e2802c4-a4d2-4d8b-9148-e3be6c30e623}">
          <xlrd:rvb i="14342"/>
        </ext>
      </extLst>
    </bk>
    <bk>
      <extLst>
        <ext uri="{3e2802c4-a4d2-4d8b-9148-e3be6c30e623}">
          <xlrd:rvb i="14343"/>
        </ext>
      </extLst>
    </bk>
    <bk>
      <extLst>
        <ext uri="{3e2802c4-a4d2-4d8b-9148-e3be6c30e623}">
          <xlrd:rvb i="14344"/>
        </ext>
      </extLst>
    </bk>
    <bk>
      <extLst>
        <ext uri="{3e2802c4-a4d2-4d8b-9148-e3be6c30e623}">
          <xlrd:rvb i="14345"/>
        </ext>
      </extLst>
    </bk>
    <bk>
      <extLst>
        <ext uri="{3e2802c4-a4d2-4d8b-9148-e3be6c30e623}">
          <xlrd:rvb i="14346"/>
        </ext>
      </extLst>
    </bk>
    <bk>
      <extLst>
        <ext uri="{3e2802c4-a4d2-4d8b-9148-e3be6c30e623}">
          <xlrd:rvb i="14347"/>
        </ext>
      </extLst>
    </bk>
    <bk>
      <extLst>
        <ext uri="{3e2802c4-a4d2-4d8b-9148-e3be6c30e623}">
          <xlrd:rvb i="14348"/>
        </ext>
      </extLst>
    </bk>
    <bk>
      <extLst>
        <ext uri="{3e2802c4-a4d2-4d8b-9148-e3be6c30e623}">
          <xlrd:rvb i="14349"/>
        </ext>
      </extLst>
    </bk>
    <bk>
      <extLst>
        <ext uri="{3e2802c4-a4d2-4d8b-9148-e3be6c30e623}">
          <xlrd:rvb i="14350"/>
        </ext>
      </extLst>
    </bk>
    <bk>
      <extLst>
        <ext uri="{3e2802c4-a4d2-4d8b-9148-e3be6c30e623}">
          <xlrd:rvb i="14351"/>
        </ext>
      </extLst>
    </bk>
    <bk>
      <extLst>
        <ext uri="{3e2802c4-a4d2-4d8b-9148-e3be6c30e623}">
          <xlrd:rvb i="14352"/>
        </ext>
      </extLst>
    </bk>
    <bk>
      <extLst>
        <ext uri="{3e2802c4-a4d2-4d8b-9148-e3be6c30e623}">
          <xlrd:rvb i="14353"/>
        </ext>
      </extLst>
    </bk>
    <bk>
      <extLst>
        <ext uri="{3e2802c4-a4d2-4d8b-9148-e3be6c30e623}">
          <xlrd:rvb i="14354"/>
        </ext>
      </extLst>
    </bk>
    <bk>
      <extLst>
        <ext uri="{3e2802c4-a4d2-4d8b-9148-e3be6c30e623}">
          <xlrd:rvb i="14355"/>
        </ext>
      </extLst>
    </bk>
    <bk>
      <extLst>
        <ext uri="{3e2802c4-a4d2-4d8b-9148-e3be6c30e623}">
          <xlrd:rvb i="14356"/>
        </ext>
      </extLst>
    </bk>
    <bk>
      <extLst>
        <ext uri="{3e2802c4-a4d2-4d8b-9148-e3be6c30e623}">
          <xlrd:rvb i="14357"/>
        </ext>
      </extLst>
    </bk>
    <bk>
      <extLst>
        <ext uri="{3e2802c4-a4d2-4d8b-9148-e3be6c30e623}">
          <xlrd:rvb i="14358"/>
        </ext>
      </extLst>
    </bk>
    <bk>
      <extLst>
        <ext uri="{3e2802c4-a4d2-4d8b-9148-e3be6c30e623}">
          <xlrd:rvb i="14359"/>
        </ext>
      </extLst>
    </bk>
    <bk>
      <extLst>
        <ext uri="{3e2802c4-a4d2-4d8b-9148-e3be6c30e623}">
          <xlrd:rvb i="14360"/>
        </ext>
      </extLst>
    </bk>
    <bk>
      <extLst>
        <ext uri="{3e2802c4-a4d2-4d8b-9148-e3be6c30e623}">
          <xlrd:rvb i="14361"/>
        </ext>
      </extLst>
    </bk>
    <bk>
      <extLst>
        <ext uri="{3e2802c4-a4d2-4d8b-9148-e3be6c30e623}">
          <xlrd:rvb i="14362"/>
        </ext>
      </extLst>
    </bk>
    <bk>
      <extLst>
        <ext uri="{3e2802c4-a4d2-4d8b-9148-e3be6c30e623}">
          <xlrd:rvb i="14363"/>
        </ext>
      </extLst>
    </bk>
    <bk>
      <extLst>
        <ext uri="{3e2802c4-a4d2-4d8b-9148-e3be6c30e623}">
          <xlrd:rvb i="14364"/>
        </ext>
      </extLst>
    </bk>
    <bk>
      <extLst>
        <ext uri="{3e2802c4-a4d2-4d8b-9148-e3be6c30e623}">
          <xlrd:rvb i="14365"/>
        </ext>
      </extLst>
    </bk>
    <bk>
      <extLst>
        <ext uri="{3e2802c4-a4d2-4d8b-9148-e3be6c30e623}">
          <xlrd:rvb i="14366"/>
        </ext>
      </extLst>
    </bk>
    <bk>
      <extLst>
        <ext uri="{3e2802c4-a4d2-4d8b-9148-e3be6c30e623}">
          <xlrd:rvb i="14367"/>
        </ext>
      </extLst>
    </bk>
    <bk>
      <extLst>
        <ext uri="{3e2802c4-a4d2-4d8b-9148-e3be6c30e623}">
          <xlrd:rvb i="14368"/>
        </ext>
      </extLst>
    </bk>
    <bk>
      <extLst>
        <ext uri="{3e2802c4-a4d2-4d8b-9148-e3be6c30e623}">
          <xlrd:rvb i="14369"/>
        </ext>
      </extLst>
    </bk>
    <bk>
      <extLst>
        <ext uri="{3e2802c4-a4d2-4d8b-9148-e3be6c30e623}">
          <xlrd:rvb i="14370"/>
        </ext>
      </extLst>
    </bk>
    <bk>
      <extLst>
        <ext uri="{3e2802c4-a4d2-4d8b-9148-e3be6c30e623}">
          <xlrd:rvb i="14371"/>
        </ext>
      </extLst>
    </bk>
    <bk>
      <extLst>
        <ext uri="{3e2802c4-a4d2-4d8b-9148-e3be6c30e623}">
          <xlrd:rvb i="14372"/>
        </ext>
      </extLst>
    </bk>
    <bk>
      <extLst>
        <ext uri="{3e2802c4-a4d2-4d8b-9148-e3be6c30e623}">
          <xlrd:rvb i="14373"/>
        </ext>
      </extLst>
    </bk>
    <bk>
      <extLst>
        <ext uri="{3e2802c4-a4d2-4d8b-9148-e3be6c30e623}">
          <xlrd:rvb i="14374"/>
        </ext>
      </extLst>
    </bk>
    <bk>
      <extLst>
        <ext uri="{3e2802c4-a4d2-4d8b-9148-e3be6c30e623}">
          <xlrd:rvb i="14375"/>
        </ext>
      </extLst>
    </bk>
    <bk>
      <extLst>
        <ext uri="{3e2802c4-a4d2-4d8b-9148-e3be6c30e623}">
          <xlrd:rvb i="14376"/>
        </ext>
      </extLst>
    </bk>
    <bk>
      <extLst>
        <ext uri="{3e2802c4-a4d2-4d8b-9148-e3be6c30e623}">
          <xlrd:rvb i="14377"/>
        </ext>
      </extLst>
    </bk>
    <bk>
      <extLst>
        <ext uri="{3e2802c4-a4d2-4d8b-9148-e3be6c30e623}">
          <xlrd:rvb i="14378"/>
        </ext>
      </extLst>
    </bk>
    <bk>
      <extLst>
        <ext uri="{3e2802c4-a4d2-4d8b-9148-e3be6c30e623}">
          <xlrd:rvb i="14379"/>
        </ext>
      </extLst>
    </bk>
    <bk>
      <extLst>
        <ext uri="{3e2802c4-a4d2-4d8b-9148-e3be6c30e623}">
          <xlrd:rvb i="14380"/>
        </ext>
      </extLst>
    </bk>
    <bk>
      <extLst>
        <ext uri="{3e2802c4-a4d2-4d8b-9148-e3be6c30e623}">
          <xlrd:rvb i="14381"/>
        </ext>
      </extLst>
    </bk>
    <bk>
      <extLst>
        <ext uri="{3e2802c4-a4d2-4d8b-9148-e3be6c30e623}">
          <xlrd:rvb i="14382"/>
        </ext>
      </extLst>
    </bk>
    <bk>
      <extLst>
        <ext uri="{3e2802c4-a4d2-4d8b-9148-e3be6c30e623}">
          <xlrd:rvb i="14383"/>
        </ext>
      </extLst>
    </bk>
    <bk>
      <extLst>
        <ext uri="{3e2802c4-a4d2-4d8b-9148-e3be6c30e623}">
          <xlrd:rvb i="14384"/>
        </ext>
      </extLst>
    </bk>
    <bk>
      <extLst>
        <ext uri="{3e2802c4-a4d2-4d8b-9148-e3be6c30e623}">
          <xlrd:rvb i="14385"/>
        </ext>
      </extLst>
    </bk>
    <bk>
      <extLst>
        <ext uri="{3e2802c4-a4d2-4d8b-9148-e3be6c30e623}">
          <xlrd:rvb i="14386"/>
        </ext>
      </extLst>
    </bk>
    <bk>
      <extLst>
        <ext uri="{3e2802c4-a4d2-4d8b-9148-e3be6c30e623}">
          <xlrd:rvb i="14387"/>
        </ext>
      </extLst>
    </bk>
    <bk>
      <extLst>
        <ext uri="{3e2802c4-a4d2-4d8b-9148-e3be6c30e623}">
          <xlrd:rvb i="14388"/>
        </ext>
      </extLst>
    </bk>
    <bk>
      <extLst>
        <ext uri="{3e2802c4-a4d2-4d8b-9148-e3be6c30e623}">
          <xlrd:rvb i="14389"/>
        </ext>
      </extLst>
    </bk>
    <bk>
      <extLst>
        <ext uri="{3e2802c4-a4d2-4d8b-9148-e3be6c30e623}">
          <xlrd:rvb i="14390"/>
        </ext>
      </extLst>
    </bk>
    <bk>
      <extLst>
        <ext uri="{3e2802c4-a4d2-4d8b-9148-e3be6c30e623}">
          <xlrd:rvb i="14391"/>
        </ext>
      </extLst>
    </bk>
    <bk>
      <extLst>
        <ext uri="{3e2802c4-a4d2-4d8b-9148-e3be6c30e623}">
          <xlrd:rvb i="14392"/>
        </ext>
      </extLst>
    </bk>
    <bk>
      <extLst>
        <ext uri="{3e2802c4-a4d2-4d8b-9148-e3be6c30e623}">
          <xlrd:rvb i="14393"/>
        </ext>
      </extLst>
    </bk>
    <bk>
      <extLst>
        <ext uri="{3e2802c4-a4d2-4d8b-9148-e3be6c30e623}">
          <xlrd:rvb i="14394"/>
        </ext>
      </extLst>
    </bk>
    <bk>
      <extLst>
        <ext uri="{3e2802c4-a4d2-4d8b-9148-e3be6c30e623}">
          <xlrd:rvb i="14395"/>
        </ext>
      </extLst>
    </bk>
    <bk>
      <extLst>
        <ext uri="{3e2802c4-a4d2-4d8b-9148-e3be6c30e623}">
          <xlrd:rvb i="14396"/>
        </ext>
      </extLst>
    </bk>
    <bk>
      <extLst>
        <ext uri="{3e2802c4-a4d2-4d8b-9148-e3be6c30e623}">
          <xlrd:rvb i="14397"/>
        </ext>
      </extLst>
    </bk>
    <bk>
      <extLst>
        <ext uri="{3e2802c4-a4d2-4d8b-9148-e3be6c30e623}">
          <xlrd:rvb i="14398"/>
        </ext>
      </extLst>
    </bk>
    <bk>
      <extLst>
        <ext uri="{3e2802c4-a4d2-4d8b-9148-e3be6c30e623}">
          <xlrd:rvb i="14399"/>
        </ext>
      </extLst>
    </bk>
    <bk>
      <extLst>
        <ext uri="{3e2802c4-a4d2-4d8b-9148-e3be6c30e623}">
          <xlrd:rvb i="14400"/>
        </ext>
      </extLst>
    </bk>
    <bk>
      <extLst>
        <ext uri="{3e2802c4-a4d2-4d8b-9148-e3be6c30e623}">
          <xlrd:rvb i="14401"/>
        </ext>
      </extLst>
    </bk>
    <bk>
      <extLst>
        <ext uri="{3e2802c4-a4d2-4d8b-9148-e3be6c30e623}">
          <xlrd:rvb i="14402"/>
        </ext>
      </extLst>
    </bk>
    <bk>
      <extLst>
        <ext uri="{3e2802c4-a4d2-4d8b-9148-e3be6c30e623}">
          <xlrd:rvb i="14403"/>
        </ext>
      </extLst>
    </bk>
    <bk>
      <extLst>
        <ext uri="{3e2802c4-a4d2-4d8b-9148-e3be6c30e623}">
          <xlrd:rvb i="14404"/>
        </ext>
      </extLst>
    </bk>
    <bk>
      <extLst>
        <ext uri="{3e2802c4-a4d2-4d8b-9148-e3be6c30e623}">
          <xlrd:rvb i="14405"/>
        </ext>
      </extLst>
    </bk>
    <bk>
      <extLst>
        <ext uri="{3e2802c4-a4d2-4d8b-9148-e3be6c30e623}">
          <xlrd:rvb i="14406"/>
        </ext>
      </extLst>
    </bk>
    <bk>
      <extLst>
        <ext uri="{3e2802c4-a4d2-4d8b-9148-e3be6c30e623}">
          <xlrd:rvb i="14407"/>
        </ext>
      </extLst>
    </bk>
    <bk>
      <extLst>
        <ext uri="{3e2802c4-a4d2-4d8b-9148-e3be6c30e623}">
          <xlrd:rvb i="14408"/>
        </ext>
      </extLst>
    </bk>
    <bk>
      <extLst>
        <ext uri="{3e2802c4-a4d2-4d8b-9148-e3be6c30e623}">
          <xlrd:rvb i="14409"/>
        </ext>
      </extLst>
    </bk>
    <bk>
      <extLst>
        <ext uri="{3e2802c4-a4d2-4d8b-9148-e3be6c30e623}">
          <xlrd:rvb i="14410"/>
        </ext>
      </extLst>
    </bk>
    <bk>
      <extLst>
        <ext uri="{3e2802c4-a4d2-4d8b-9148-e3be6c30e623}">
          <xlrd:rvb i="14411"/>
        </ext>
      </extLst>
    </bk>
    <bk>
      <extLst>
        <ext uri="{3e2802c4-a4d2-4d8b-9148-e3be6c30e623}">
          <xlrd:rvb i="14412"/>
        </ext>
      </extLst>
    </bk>
    <bk>
      <extLst>
        <ext uri="{3e2802c4-a4d2-4d8b-9148-e3be6c30e623}">
          <xlrd:rvb i="14413"/>
        </ext>
      </extLst>
    </bk>
    <bk>
      <extLst>
        <ext uri="{3e2802c4-a4d2-4d8b-9148-e3be6c30e623}">
          <xlrd:rvb i="14414"/>
        </ext>
      </extLst>
    </bk>
    <bk>
      <extLst>
        <ext uri="{3e2802c4-a4d2-4d8b-9148-e3be6c30e623}">
          <xlrd:rvb i="14415"/>
        </ext>
      </extLst>
    </bk>
    <bk>
      <extLst>
        <ext uri="{3e2802c4-a4d2-4d8b-9148-e3be6c30e623}">
          <xlrd:rvb i="14416"/>
        </ext>
      </extLst>
    </bk>
    <bk>
      <extLst>
        <ext uri="{3e2802c4-a4d2-4d8b-9148-e3be6c30e623}">
          <xlrd:rvb i="14417"/>
        </ext>
      </extLst>
    </bk>
    <bk>
      <extLst>
        <ext uri="{3e2802c4-a4d2-4d8b-9148-e3be6c30e623}">
          <xlrd:rvb i="14418"/>
        </ext>
      </extLst>
    </bk>
    <bk>
      <extLst>
        <ext uri="{3e2802c4-a4d2-4d8b-9148-e3be6c30e623}">
          <xlrd:rvb i="14419"/>
        </ext>
      </extLst>
    </bk>
    <bk>
      <extLst>
        <ext uri="{3e2802c4-a4d2-4d8b-9148-e3be6c30e623}">
          <xlrd:rvb i="14420"/>
        </ext>
      </extLst>
    </bk>
    <bk>
      <extLst>
        <ext uri="{3e2802c4-a4d2-4d8b-9148-e3be6c30e623}">
          <xlrd:rvb i="14421"/>
        </ext>
      </extLst>
    </bk>
    <bk>
      <extLst>
        <ext uri="{3e2802c4-a4d2-4d8b-9148-e3be6c30e623}">
          <xlrd:rvb i="14422"/>
        </ext>
      </extLst>
    </bk>
    <bk>
      <extLst>
        <ext uri="{3e2802c4-a4d2-4d8b-9148-e3be6c30e623}">
          <xlrd:rvb i="14423"/>
        </ext>
      </extLst>
    </bk>
    <bk>
      <extLst>
        <ext uri="{3e2802c4-a4d2-4d8b-9148-e3be6c30e623}">
          <xlrd:rvb i="14424"/>
        </ext>
      </extLst>
    </bk>
    <bk>
      <extLst>
        <ext uri="{3e2802c4-a4d2-4d8b-9148-e3be6c30e623}">
          <xlrd:rvb i="14425"/>
        </ext>
      </extLst>
    </bk>
    <bk>
      <extLst>
        <ext uri="{3e2802c4-a4d2-4d8b-9148-e3be6c30e623}">
          <xlrd:rvb i="14426"/>
        </ext>
      </extLst>
    </bk>
    <bk>
      <extLst>
        <ext uri="{3e2802c4-a4d2-4d8b-9148-e3be6c30e623}">
          <xlrd:rvb i="14427"/>
        </ext>
      </extLst>
    </bk>
    <bk>
      <extLst>
        <ext uri="{3e2802c4-a4d2-4d8b-9148-e3be6c30e623}">
          <xlrd:rvb i="14428"/>
        </ext>
      </extLst>
    </bk>
    <bk>
      <extLst>
        <ext uri="{3e2802c4-a4d2-4d8b-9148-e3be6c30e623}">
          <xlrd:rvb i="14429"/>
        </ext>
      </extLst>
    </bk>
    <bk>
      <extLst>
        <ext uri="{3e2802c4-a4d2-4d8b-9148-e3be6c30e623}">
          <xlrd:rvb i="14430"/>
        </ext>
      </extLst>
    </bk>
    <bk>
      <extLst>
        <ext uri="{3e2802c4-a4d2-4d8b-9148-e3be6c30e623}">
          <xlrd:rvb i="14431"/>
        </ext>
      </extLst>
    </bk>
    <bk>
      <extLst>
        <ext uri="{3e2802c4-a4d2-4d8b-9148-e3be6c30e623}">
          <xlrd:rvb i="14432"/>
        </ext>
      </extLst>
    </bk>
    <bk>
      <extLst>
        <ext uri="{3e2802c4-a4d2-4d8b-9148-e3be6c30e623}">
          <xlrd:rvb i="14433"/>
        </ext>
      </extLst>
    </bk>
    <bk>
      <extLst>
        <ext uri="{3e2802c4-a4d2-4d8b-9148-e3be6c30e623}">
          <xlrd:rvb i="14434"/>
        </ext>
      </extLst>
    </bk>
    <bk>
      <extLst>
        <ext uri="{3e2802c4-a4d2-4d8b-9148-e3be6c30e623}">
          <xlrd:rvb i="14435"/>
        </ext>
      </extLst>
    </bk>
    <bk>
      <extLst>
        <ext uri="{3e2802c4-a4d2-4d8b-9148-e3be6c30e623}">
          <xlrd:rvb i="14436"/>
        </ext>
      </extLst>
    </bk>
    <bk>
      <extLst>
        <ext uri="{3e2802c4-a4d2-4d8b-9148-e3be6c30e623}">
          <xlrd:rvb i="14437"/>
        </ext>
      </extLst>
    </bk>
    <bk>
      <extLst>
        <ext uri="{3e2802c4-a4d2-4d8b-9148-e3be6c30e623}">
          <xlrd:rvb i="14438"/>
        </ext>
      </extLst>
    </bk>
    <bk>
      <extLst>
        <ext uri="{3e2802c4-a4d2-4d8b-9148-e3be6c30e623}">
          <xlrd:rvb i="14439"/>
        </ext>
      </extLst>
    </bk>
    <bk>
      <extLst>
        <ext uri="{3e2802c4-a4d2-4d8b-9148-e3be6c30e623}">
          <xlrd:rvb i="14440"/>
        </ext>
      </extLst>
    </bk>
    <bk>
      <extLst>
        <ext uri="{3e2802c4-a4d2-4d8b-9148-e3be6c30e623}">
          <xlrd:rvb i="14441"/>
        </ext>
      </extLst>
    </bk>
    <bk>
      <extLst>
        <ext uri="{3e2802c4-a4d2-4d8b-9148-e3be6c30e623}">
          <xlrd:rvb i="14442"/>
        </ext>
      </extLst>
    </bk>
    <bk>
      <extLst>
        <ext uri="{3e2802c4-a4d2-4d8b-9148-e3be6c30e623}">
          <xlrd:rvb i="14443"/>
        </ext>
      </extLst>
    </bk>
    <bk>
      <extLst>
        <ext uri="{3e2802c4-a4d2-4d8b-9148-e3be6c30e623}">
          <xlrd:rvb i="14444"/>
        </ext>
      </extLst>
    </bk>
    <bk>
      <extLst>
        <ext uri="{3e2802c4-a4d2-4d8b-9148-e3be6c30e623}">
          <xlrd:rvb i="14445"/>
        </ext>
      </extLst>
    </bk>
    <bk>
      <extLst>
        <ext uri="{3e2802c4-a4d2-4d8b-9148-e3be6c30e623}">
          <xlrd:rvb i="14446"/>
        </ext>
      </extLst>
    </bk>
    <bk>
      <extLst>
        <ext uri="{3e2802c4-a4d2-4d8b-9148-e3be6c30e623}">
          <xlrd:rvb i="14447"/>
        </ext>
      </extLst>
    </bk>
    <bk>
      <extLst>
        <ext uri="{3e2802c4-a4d2-4d8b-9148-e3be6c30e623}">
          <xlrd:rvb i="14448"/>
        </ext>
      </extLst>
    </bk>
    <bk>
      <extLst>
        <ext uri="{3e2802c4-a4d2-4d8b-9148-e3be6c30e623}">
          <xlrd:rvb i="14449"/>
        </ext>
      </extLst>
    </bk>
    <bk>
      <extLst>
        <ext uri="{3e2802c4-a4d2-4d8b-9148-e3be6c30e623}">
          <xlrd:rvb i="14450"/>
        </ext>
      </extLst>
    </bk>
    <bk>
      <extLst>
        <ext uri="{3e2802c4-a4d2-4d8b-9148-e3be6c30e623}">
          <xlrd:rvb i="14451"/>
        </ext>
      </extLst>
    </bk>
    <bk>
      <extLst>
        <ext uri="{3e2802c4-a4d2-4d8b-9148-e3be6c30e623}">
          <xlrd:rvb i="14452"/>
        </ext>
      </extLst>
    </bk>
    <bk>
      <extLst>
        <ext uri="{3e2802c4-a4d2-4d8b-9148-e3be6c30e623}">
          <xlrd:rvb i="14453"/>
        </ext>
      </extLst>
    </bk>
    <bk>
      <extLst>
        <ext uri="{3e2802c4-a4d2-4d8b-9148-e3be6c30e623}">
          <xlrd:rvb i="14454"/>
        </ext>
      </extLst>
    </bk>
    <bk>
      <extLst>
        <ext uri="{3e2802c4-a4d2-4d8b-9148-e3be6c30e623}">
          <xlrd:rvb i="14455"/>
        </ext>
      </extLst>
    </bk>
    <bk>
      <extLst>
        <ext uri="{3e2802c4-a4d2-4d8b-9148-e3be6c30e623}">
          <xlrd:rvb i="14456"/>
        </ext>
      </extLst>
    </bk>
    <bk>
      <extLst>
        <ext uri="{3e2802c4-a4d2-4d8b-9148-e3be6c30e623}">
          <xlrd:rvb i="14457"/>
        </ext>
      </extLst>
    </bk>
    <bk>
      <extLst>
        <ext uri="{3e2802c4-a4d2-4d8b-9148-e3be6c30e623}">
          <xlrd:rvb i="14458"/>
        </ext>
      </extLst>
    </bk>
    <bk>
      <extLst>
        <ext uri="{3e2802c4-a4d2-4d8b-9148-e3be6c30e623}">
          <xlrd:rvb i="14459"/>
        </ext>
      </extLst>
    </bk>
    <bk>
      <extLst>
        <ext uri="{3e2802c4-a4d2-4d8b-9148-e3be6c30e623}">
          <xlrd:rvb i="14460"/>
        </ext>
      </extLst>
    </bk>
    <bk>
      <extLst>
        <ext uri="{3e2802c4-a4d2-4d8b-9148-e3be6c30e623}">
          <xlrd:rvb i="14461"/>
        </ext>
      </extLst>
    </bk>
    <bk>
      <extLst>
        <ext uri="{3e2802c4-a4d2-4d8b-9148-e3be6c30e623}">
          <xlrd:rvb i="14462"/>
        </ext>
      </extLst>
    </bk>
    <bk>
      <extLst>
        <ext uri="{3e2802c4-a4d2-4d8b-9148-e3be6c30e623}">
          <xlrd:rvb i="14463"/>
        </ext>
      </extLst>
    </bk>
    <bk>
      <extLst>
        <ext uri="{3e2802c4-a4d2-4d8b-9148-e3be6c30e623}">
          <xlrd:rvb i="14464"/>
        </ext>
      </extLst>
    </bk>
    <bk>
      <extLst>
        <ext uri="{3e2802c4-a4d2-4d8b-9148-e3be6c30e623}">
          <xlrd:rvb i="14465"/>
        </ext>
      </extLst>
    </bk>
    <bk>
      <extLst>
        <ext uri="{3e2802c4-a4d2-4d8b-9148-e3be6c30e623}">
          <xlrd:rvb i="14466"/>
        </ext>
      </extLst>
    </bk>
    <bk>
      <extLst>
        <ext uri="{3e2802c4-a4d2-4d8b-9148-e3be6c30e623}">
          <xlrd:rvb i="14467"/>
        </ext>
      </extLst>
    </bk>
    <bk>
      <extLst>
        <ext uri="{3e2802c4-a4d2-4d8b-9148-e3be6c30e623}">
          <xlrd:rvb i="14468"/>
        </ext>
      </extLst>
    </bk>
    <bk>
      <extLst>
        <ext uri="{3e2802c4-a4d2-4d8b-9148-e3be6c30e623}">
          <xlrd:rvb i="14469"/>
        </ext>
      </extLst>
    </bk>
    <bk>
      <extLst>
        <ext uri="{3e2802c4-a4d2-4d8b-9148-e3be6c30e623}">
          <xlrd:rvb i="14470"/>
        </ext>
      </extLst>
    </bk>
    <bk>
      <extLst>
        <ext uri="{3e2802c4-a4d2-4d8b-9148-e3be6c30e623}">
          <xlrd:rvb i="14471"/>
        </ext>
      </extLst>
    </bk>
    <bk>
      <extLst>
        <ext uri="{3e2802c4-a4d2-4d8b-9148-e3be6c30e623}">
          <xlrd:rvb i="14472"/>
        </ext>
      </extLst>
    </bk>
    <bk>
      <extLst>
        <ext uri="{3e2802c4-a4d2-4d8b-9148-e3be6c30e623}">
          <xlrd:rvb i="14473"/>
        </ext>
      </extLst>
    </bk>
    <bk>
      <extLst>
        <ext uri="{3e2802c4-a4d2-4d8b-9148-e3be6c30e623}">
          <xlrd:rvb i="14474"/>
        </ext>
      </extLst>
    </bk>
    <bk>
      <extLst>
        <ext uri="{3e2802c4-a4d2-4d8b-9148-e3be6c30e623}">
          <xlrd:rvb i="14475"/>
        </ext>
      </extLst>
    </bk>
    <bk>
      <extLst>
        <ext uri="{3e2802c4-a4d2-4d8b-9148-e3be6c30e623}">
          <xlrd:rvb i="14476"/>
        </ext>
      </extLst>
    </bk>
    <bk>
      <extLst>
        <ext uri="{3e2802c4-a4d2-4d8b-9148-e3be6c30e623}">
          <xlrd:rvb i="14477"/>
        </ext>
      </extLst>
    </bk>
    <bk>
      <extLst>
        <ext uri="{3e2802c4-a4d2-4d8b-9148-e3be6c30e623}">
          <xlrd:rvb i="14478"/>
        </ext>
      </extLst>
    </bk>
    <bk>
      <extLst>
        <ext uri="{3e2802c4-a4d2-4d8b-9148-e3be6c30e623}">
          <xlrd:rvb i="14479"/>
        </ext>
      </extLst>
    </bk>
    <bk>
      <extLst>
        <ext uri="{3e2802c4-a4d2-4d8b-9148-e3be6c30e623}">
          <xlrd:rvb i="14480"/>
        </ext>
      </extLst>
    </bk>
    <bk>
      <extLst>
        <ext uri="{3e2802c4-a4d2-4d8b-9148-e3be6c30e623}">
          <xlrd:rvb i="14481"/>
        </ext>
      </extLst>
    </bk>
    <bk>
      <extLst>
        <ext uri="{3e2802c4-a4d2-4d8b-9148-e3be6c30e623}">
          <xlrd:rvb i="14482"/>
        </ext>
      </extLst>
    </bk>
    <bk>
      <extLst>
        <ext uri="{3e2802c4-a4d2-4d8b-9148-e3be6c30e623}">
          <xlrd:rvb i="14483"/>
        </ext>
      </extLst>
    </bk>
    <bk>
      <extLst>
        <ext uri="{3e2802c4-a4d2-4d8b-9148-e3be6c30e623}">
          <xlrd:rvb i="14484"/>
        </ext>
      </extLst>
    </bk>
    <bk>
      <extLst>
        <ext uri="{3e2802c4-a4d2-4d8b-9148-e3be6c30e623}">
          <xlrd:rvb i="14485"/>
        </ext>
      </extLst>
    </bk>
    <bk>
      <extLst>
        <ext uri="{3e2802c4-a4d2-4d8b-9148-e3be6c30e623}">
          <xlrd:rvb i="14486"/>
        </ext>
      </extLst>
    </bk>
    <bk>
      <extLst>
        <ext uri="{3e2802c4-a4d2-4d8b-9148-e3be6c30e623}">
          <xlrd:rvb i="14487"/>
        </ext>
      </extLst>
    </bk>
    <bk>
      <extLst>
        <ext uri="{3e2802c4-a4d2-4d8b-9148-e3be6c30e623}">
          <xlrd:rvb i="14488"/>
        </ext>
      </extLst>
    </bk>
    <bk>
      <extLst>
        <ext uri="{3e2802c4-a4d2-4d8b-9148-e3be6c30e623}">
          <xlrd:rvb i="14489"/>
        </ext>
      </extLst>
    </bk>
    <bk>
      <extLst>
        <ext uri="{3e2802c4-a4d2-4d8b-9148-e3be6c30e623}">
          <xlrd:rvb i="14490"/>
        </ext>
      </extLst>
    </bk>
    <bk>
      <extLst>
        <ext uri="{3e2802c4-a4d2-4d8b-9148-e3be6c30e623}">
          <xlrd:rvb i="14491"/>
        </ext>
      </extLst>
    </bk>
    <bk>
      <extLst>
        <ext uri="{3e2802c4-a4d2-4d8b-9148-e3be6c30e623}">
          <xlrd:rvb i="14492"/>
        </ext>
      </extLst>
    </bk>
    <bk>
      <extLst>
        <ext uri="{3e2802c4-a4d2-4d8b-9148-e3be6c30e623}">
          <xlrd:rvb i="14493"/>
        </ext>
      </extLst>
    </bk>
    <bk>
      <extLst>
        <ext uri="{3e2802c4-a4d2-4d8b-9148-e3be6c30e623}">
          <xlrd:rvb i="14494"/>
        </ext>
      </extLst>
    </bk>
    <bk>
      <extLst>
        <ext uri="{3e2802c4-a4d2-4d8b-9148-e3be6c30e623}">
          <xlrd:rvb i="14495"/>
        </ext>
      </extLst>
    </bk>
    <bk>
      <extLst>
        <ext uri="{3e2802c4-a4d2-4d8b-9148-e3be6c30e623}">
          <xlrd:rvb i="14496"/>
        </ext>
      </extLst>
    </bk>
    <bk>
      <extLst>
        <ext uri="{3e2802c4-a4d2-4d8b-9148-e3be6c30e623}">
          <xlrd:rvb i="14497"/>
        </ext>
      </extLst>
    </bk>
    <bk>
      <extLst>
        <ext uri="{3e2802c4-a4d2-4d8b-9148-e3be6c30e623}">
          <xlrd:rvb i="14498"/>
        </ext>
      </extLst>
    </bk>
    <bk>
      <extLst>
        <ext uri="{3e2802c4-a4d2-4d8b-9148-e3be6c30e623}">
          <xlrd:rvb i="14499"/>
        </ext>
      </extLst>
    </bk>
    <bk>
      <extLst>
        <ext uri="{3e2802c4-a4d2-4d8b-9148-e3be6c30e623}">
          <xlrd:rvb i="14500"/>
        </ext>
      </extLst>
    </bk>
    <bk>
      <extLst>
        <ext uri="{3e2802c4-a4d2-4d8b-9148-e3be6c30e623}">
          <xlrd:rvb i="14501"/>
        </ext>
      </extLst>
    </bk>
    <bk>
      <extLst>
        <ext uri="{3e2802c4-a4d2-4d8b-9148-e3be6c30e623}">
          <xlrd:rvb i="14502"/>
        </ext>
      </extLst>
    </bk>
    <bk>
      <extLst>
        <ext uri="{3e2802c4-a4d2-4d8b-9148-e3be6c30e623}">
          <xlrd:rvb i="14503"/>
        </ext>
      </extLst>
    </bk>
    <bk>
      <extLst>
        <ext uri="{3e2802c4-a4d2-4d8b-9148-e3be6c30e623}">
          <xlrd:rvb i="14504"/>
        </ext>
      </extLst>
    </bk>
    <bk>
      <extLst>
        <ext uri="{3e2802c4-a4d2-4d8b-9148-e3be6c30e623}">
          <xlrd:rvb i="14505"/>
        </ext>
      </extLst>
    </bk>
    <bk>
      <extLst>
        <ext uri="{3e2802c4-a4d2-4d8b-9148-e3be6c30e623}">
          <xlrd:rvb i="14506"/>
        </ext>
      </extLst>
    </bk>
    <bk>
      <extLst>
        <ext uri="{3e2802c4-a4d2-4d8b-9148-e3be6c30e623}">
          <xlrd:rvb i="14507"/>
        </ext>
      </extLst>
    </bk>
    <bk>
      <extLst>
        <ext uri="{3e2802c4-a4d2-4d8b-9148-e3be6c30e623}">
          <xlrd:rvb i="14508"/>
        </ext>
      </extLst>
    </bk>
    <bk>
      <extLst>
        <ext uri="{3e2802c4-a4d2-4d8b-9148-e3be6c30e623}">
          <xlrd:rvb i="14509"/>
        </ext>
      </extLst>
    </bk>
    <bk>
      <extLst>
        <ext uri="{3e2802c4-a4d2-4d8b-9148-e3be6c30e623}">
          <xlrd:rvb i="14510"/>
        </ext>
      </extLst>
    </bk>
    <bk>
      <extLst>
        <ext uri="{3e2802c4-a4d2-4d8b-9148-e3be6c30e623}">
          <xlrd:rvb i="14511"/>
        </ext>
      </extLst>
    </bk>
    <bk>
      <extLst>
        <ext uri="{3e2802c4-a4d2-4d8b-9148-e3be6c30e623}">
          <xlrd:rvb i="14512"/>
        </ext>
      </extLst>
    </bk>
    <bk>
      <extLst>
        <ext uri="{3e2802c4-a4d2-4d8b-9148-e3be6c30e623}">
          <xlrd:rvb i="14513"/>
        </ext>
      </extLst>
    </bk>
    <bk>
      <extLst>
        <ext uri="{3e2802c4-a4d2-4d8b-9148-e3be6c30e623}">
          <xlrd:rvb i="14514"/>
        </ext>
      </extLst>
    </bk>
    <bk>
      <extLst>
        <ext uri="{3e2802c4-a4d2-4d8b-9148-e3be6c30e623}">
          <xlrd:rvb i="14515"/>
        </ext>
      </extLst>
    </bk>
    <bk>
      <extLst>
        <ext uri="{3e2802c4-a4d2-4d8b-9148-e3be6c30e623}">
          <xlrd:rvb i="14516"/>
        </ext>
      </extLst>
    </bk>
    <bk>
      <extLst>
        <ext uri="{3e2802c4-a4d2-4d8b-9148-e3be6c30e623}">
          <xlrd:rvb i="14517"/>
        </ext>
      </extLst>
    </bk>
    <bk>
      <extLst>
        <ext uri="{3e2802c4-a4d2-4d8b-9148-e3be6c30e623}">
          <xlrd:rvb i="14518"/>
        </ext>
      </extLst>
    </bk>
    <bk>
      <extLst>
        <ext uri="{3e2802c4-a4d2-4d8b-9148-e3be6c30e623}">
          <xlrd:rvb i="14519"/>
        </ext>
      </extLst>
    </bk>
    <bk>
      <extLst>
        <ext uri="{3e2802c4-a4d2-4d8b-9148-e3be6c30e623}">
          <xlrd:rvb i="14520"/>
        </ext>
      </extLst>
    </bk>
    <bk>
      <extLst>
        <ext uri="{3e2802c4-a4d2-4d8b-9148-e3be6c30e623}">
          <xlrd:rvb i="14521"/>
        </ext>
      </extLst>
    </bk>
    <bk>
      <extLst>
        <ext uri="{3e2802c4-a4d2-4d8b-9148-e3be6c30e623}">
          <xlrd:rvb i="14522"/>
        </ext>
      </extLst>
    </bk>
    <bk>
      <extLst>
        <ext uri="{3e2802c4-a4d2-4d8b-9148-e3be6c30e623}">
          <xlrd:rvb i="14523"/>
        </ext>
      </extLst>
    </bk>
    <bk>
      <extLst>
        <ext uri="{3e2802c4-a4d2-4d8b-9148-e3be6c30e623}">
          <xlrd:rvb i="14524"/>
        </ext>
      </extLst>
    </bk>
    <bk>
      <extLst>
        <ext uri="{3e2802c4-a4d2-4d8b-9148-e3be6c30e623}">
          <xlrd:rvb i="14525"/>
        </ext>
      </extLst>
    </bk>
    <bk>
      <extLst>
        <ext uri="{3e2802c4-a4d2-4d8b-9148-e3be6c30e623}">
          <xlrd:rvb i="14526"/>
        </ext>
      </extLst>
    </bk>
    <bk>
      <extLst>
        <ext uri="{3e2802c4-a4d2-4d8b-9148-e3be6c30e623}">
          <xlrd:rvb i="14527"/>
        </ext>
      </extLst>
    </bk>
    <bk>
      <extLst>
        <ext uri="{3e2802c4-a4d2-4d8b-9148-e3be6c30e623}">
          <xlrd:rvb i="14528"/>
        </ext>
      </extLst>
    </bk>
    <bk>
      <extLst>
        <ext uri="{3e2802c4-a4d2-4d8b-9148-e3be6c30e623}">
          <xlrd:rvb i="14529"/>
        </ext>
      </extLst>
    </bk>
    <bk>
      <extLst>
        <ext uri="{3e2802c4-a4d2-4d8b-9148-e3be6c30e623}">
          <xlrd:rvb i="14530"/>
        </ext>
      </extLst>
    </bk>
    <bk>
      <extLst>
        <ext uri="{3e2802c4-a4d2-4d8b-9148-e3be6c30e623}">
          <xlrd:rvb i="14531"/>
        </ext>
      </extLst>
    </bk>
    <bk>
      <extLst>
        <ext uri="{3e2802c4-a4d2-4d8b-9148-e3be6c30e623}">
          <xlrd:rvb i="14532"/>
        </ext>
      </extLst>
    </bk>
    <bk>
      <extLst>
        <ext uri="{3e2802c4-a4d2-4d8b-9148-e3be6c30e623}">
          <xlrd:rvb i="14533"/>
        </ext>
      </extLst>
    </bk>
    <bk>
      <extLst>
        <ext uri="{3e2802c4-a4d2-4d8b-9148-e3be6c30e623}">
          <xlrd:rvb i="14534"/>
        </ext>
      </extLst>
    </bk>
    <bk>
      <extLst>
        <ext uri="{3e2802c4-a4d2-4d8b-9148-e3be6c30e623}">
          <xlrd:rvb i="14535"/>
        </ext>
      </extLst>
    </bk>
    <bk>
      <extLst>
        <ext uri="{3e2802c4-a4d2-4d8b-9148-e3be6c30e623}">
          <xlrd:rvb i="14536"/>
        </ext>
      </extLst>
    </bk>
    <bk>
      <extLst>
        <ext uri="{3e2802c4-a4d2-4d8b-9148-e3be6c30e623}">
          <xlrd:rvb i="14537"/>
        </ext>
      </extLst>
    </bk>
    <bk>
      <extLst>
        <ext uri="{3e2802c4-a4d2-4d8b-9148-e3be6c30e623}">
          <xlrd:rvb i="14538"/>
        </ext>
      </extLst>
    </bk>
    <bk>
      <extLst>
        <ext uri="{3e2802c4-a4d2-4d8b-9148-e3be6c30e623}">
          <xlrd:rvb i="14539"/>
        </ext>
      </extLst>
    </bk>
    <bk>
      <extLst>
        <ext uri="{3e2802c4-a4d2-4d8b-9148-e3be6c30e623}">
          <xlrd:rvb i="14540"/>
        </ext>
      </extLst>
    </bk>
    <bk>
      <extLst>
        <ext uri="{3e2802c4-a4d2-4d8b-9148-e3be6c30e623}">
          <xlrd:rvb i="14541"/>
        </ext>
      </extLst>
    </bk>
    <bk>
      <extLst>
        <ext uri="{3e2802c4-a4d2-4d8b-9148-e3be6c30e623}">
          <xlrd:rvb i="14542"/>
        </ext>
      </extLst>
    </bk>
    <bk>
      <extLst>
        <ext uri="{3e2802c4-a4d2-4d8b-9148-e3be6c30e623}">
          <xlrd:rvb i="14543"/>
        </ext>
      </extLst>
    </bk>
    <bk>
      <extLst>
        <ext uri="{3e2802c4-a4d2-4d8b-9148-e3be6c30e623}">
          <xlrd:rvb i="14544"/>
        </ext>
      </extLst>
    </bk>
    <bk>
      <extLst>
        <ext uri="{3e2802c4-a4d2-4d8b-9148-e3be6c30e623}">
          <xlrd:rvb i="14545"/>
        </ext>
      </extLst>
    </bk>
    <bk>
      <extLst>
        <ext uri="{3e2802c4-a4d2-4d8b-9148-e3be6c30e623}">
          <xlrd:rvb i="14546"/>
        </ext>
      </extLst>
    </bk>
    <bk>
      <extLst>
        <ext uri="{3e2802c4-a4d2-4d8b-9148-e3be6c30e623}">
          <xlrd:rvb i="14547"/>
        </ext>
      </extLst>
    </bk>
    <bk>
      <extLst>
        <ext uri="{3e2802c4-a4d2-4d8b-9148-e3be6c30e623}">
          <xlrd:rvb i="14548"/>
        </ext>
      </extLst>
    </bk>
    <bk>
      <extLst>
        <ext uri="{3e2802c4-a4d2-4d8b-9148-e3be6c30e623}">
          <xlrd:rvb i="14549"/>
        </ext>
      </extLst>
    </bk>
    <bk>
      <extLst>
        <ext uri="{3e2802c4-a4d2-4d8b-9148-e3be6c30e623}">
          <xlrd:rvb i="14550"/>
        </ext>
      </extLst>
    </bk>
    <bk>
      <extLst>
        <ext uri="{3e2802c4-a4d2-4d8b-9148-e3be6c30e623}">
          <xlrd:rvb i="14551"/>
        </ext>
      </extLst>
    </bk>
    <bk>
      <extLst>
        <ext uri="{3e2802c4-a4d2-4d8b-9148-e3be6c30e623}">
          <xlrd:rvb i="14552"/>
        </ext>
      </extLst>
    </bk>
    <bk>
      <extLst>
        <ext uri="{3e2802c4-a4d2-4d8b-9148-e3be6c30e623}">
          <xlrd:rvb i="14553"/>
        </ext>
      </extLst>
    </bk>
    <bk>
      <extLst>
        <ext uri="{3e2802c4-a4d2-4d8b-9148-e3be6c30e623}">
          <xlrd:rvb i="14554"/>
        </ext>
      </extLst>
    </bk>
    <bk>
      <extLst>
        <ext uri="{3e2802c4-a4d2-4d8b-9148-e3be6c30e623}">
          <xlrd:rvb i="14555"/>
        </ext>
      </extLst>
    </bk>
    <bk>
      <extLst>
        <ext uri="{3e2802c4-a4d2-4d8b-9148-e3be6c30e623}">
          <xlrd:rvb i="14556"/>
        </ext>
      </extLst>
    </bk>
    <bk>
      <extLst>
        <ext uri="{3e2802c4-a4d2-4d8b-9148-e3be6c30e623}">
          <xlrd:rvb i="14557"/>
        </ext>
      </extLst>
    </bk>
    <bk>
      <extLst>
        <ext uri="{3e2802c4-a4d2-4d8b-9148-e3be6c30e623}">
          <xlrd:rvb i="14558"/>
        </ext>
      </extLst>
    </bk>
    <bk>
      <extLst>
        <ext uri="{3e2802c4-a4d2-4d8b-9148-e3be6c30e623}">
          <xlrd:rvb i="14559"/>
        </ext>
      </extLst>
    </bk>
    <bk>
      <extLst>
        <ext uri="{3e2802c4-a4d2-4d8b-9148-e3be6c30e623}">
          <xlrd:rvb i="14560"/>
        </ext>
      </extLst>
    </bk>
    <bk>
      <extLst>
        <ext uri="{3e2802c4-a4d2-4d8b-9148-e3be6c30e623}">
          <xlrd:rvb i="14561"/>
        </ext>
      </extLst>
    </bk>
    <bk>
      <extLst>
        <ext uri="{3e2802c4-a4d2-4d8b-9148-e3be6c30e623}">
          <xlrd:rvb i="14562"/>
        </ext>
      </extLst>
    </bk>
    <bk>
      <extLst>
        <ext uri="{3e2802c4-a4d2-4d8b-9148-e3be6c30e623}">
          <xlrd:rvb i="14563"/>
        </ext>
      </extLst>
    </bk>
    <bk>
      <extLst>
        <ext uri="{3e2802c4-a4d2-4d8b-9148-e3be6c30e623}">
          <xlrd:rvb i="14564"/>
        </ext>
      </extLst>
    </bk>
    <bk>
      <extLst>
        <ext uri="{3e2802c4-a4d2-4d8b-9148-e3be6c30e623}">
          <xlrd:rvb i="14565"/>
        </ext>
      </extLst>
    </bk>
    <bk>
      <extLst>
        <ext uri="{3e2802c4-a4d2-4d8b-9148-e3be6c30e623}">
          <xlrd:rvb i="14566"/>
        </ext>
      </extLst>
    </bk>
    <bk>
      <extLst>
        <ext uri="{3e2802c4-a4d2-4d8b-9148-e3be6c30e623}">
          <xlrd:rvb i="14567"/>
        </ext>
      </extLst>
    </bk>
    <bk>
      <extLst>
        <ext uri="{3e2802c4-a4d2-4d8b-9148-e3be6c30e623}">
          <xlrd:rvb i="14568"/>
        </ext>
      </extLst>
    </bk>
    <bk>
      <extLst>
        <ext uri="{3e2802c4-a4d2-4d8b-9148-e3be6c30e623}">
          <xlrd:rvb i="14569"/>
        </ext>
      </extLst>
    </bk>
    <bk>
      <extLst>
        <ext uri="{3e2802c4-a4d2-4d8b-9148-e3be6c30e623}">
          <xlrd:rvb i="14570"/>
        </ext>
      </extLst>
    </bk>
    <bk>
      <extLst>
        <ext uri="{3e2802c4-a4d2-4d8b-9148-e3be6c30e623}">
          <xlrd:rvb i="14571"/>
        </ext>
      </extLst>
    </bk>
    <bk>
      <extLst>
        <ext uri="{3e2802c4-a4d2-4d8b-9148-e3be6c30e623}">
          <xlrd:rvb i="14572"/>
        </ext>
      </extLst>
    </bk>
    <bk>
      <extLst>
        <ext uri="{3e2802c4-a4d2-4d8b-9148-e3be6c30e623}">
          <xlrd:rvb i="14573"/>
        </ext>
      </extLst>
    </bk>
    <bk>
      <extLst>
        <ext uri="{3e2802c4-a4d2-4d8b-9148-e3be6c30e623}">
          <xlrd:rvb i="14574"/>
        </ext>
      </extLst>
    </bk>
    <bk>
      <extLst>
        <ext uri="{3e2802c4-a4d2-4d8b-9148-e3be6c30e623}">
          <xlrd:rvb i="14575"/>
        </ext>
      </extLst>
    </bk>
    <bk>
      <extLst>
        <ext uri="{3e2802c4-a4d2-4d8b-9148-e3be6c30e623}">
          <xlrd:rvb i="14576"/>
        </ext>
      </extLst>
    </bk>
    <bk>
      <extLst>
        <ext uri="{3e2802c4-a4d2-4d8b-9148-e3be6c30e623}">
          <xlrd:rvb i="14577"/>
        </ext>
      </extLst>
    </bk>
    <bk>
      <extLst>
        <ext uri="{3e2802c4-a4d2-4d8b-9148-e3be6c30e623}">
          <xlrd:rvb i="14578"/>
        </ext>
      </extLst>
    </bk>
    <bk>
      <extLst>
        <ext uri="{3e2802c4-a4d2-4d8b-9148-e3be6c30e623}">
          <xlrd:rvb i="14579"/>
        </ext>
      </extLst>
    </bk>
    <bk>
      <extLst>
        <ext uri="{3e2802c4-a4d2-4d8b-9148-e3be6c30e623}">
          <xlrd:rvb i="14580"/>
        </ext>
      </extLst>
    </bk>
    <bk>
      <extLst>
        <ext uri="{3e2802c4-a4d2-4d8b-9148-e3be6c30e623}">
          <xlrd:rvb i="14581"/>
        </ext>
      </extLst>
    </bk>
    <bk>
      <extLst>
        <ext uri="{3e2802c4-a4d2-4d8b-9148-e3be6c30e623}">
          <xlrd:rvb i="14582"/>
        </ext>
      </extLst>
    </bk>
    <bk>
      <extLst>
        <ext uri="{3e2802c4-a4d2-4d8b-9148-e3be6c30e623}">
          <xlrd:rvb i="14583"/>
        </ext>
      </extLst>
    </bk>
    <bk>
      <extLst>
        <ext uri="{3e2802c4-a4d2-4d8b-9148-e3be6c30e623}">
          <xlrd:rvb i="14584"/>
        </ext>
      </extLst>
    </bk>
    <bk>
      <extLst>
        <ext uri="{3e2802c4-a4d2-4d8b-9148-e3be6c30e623}">
          <xlrd:rvb i="14585"/>
        </ext>
      </extLst>
    </bk>
    <bk>
      <extLst>
        <ext uri="{3e2802c4-a4d2-4d8b-9148-e3be6c30e623}">
          <xlrd:rvb i="14586"/>
        </ext>
      </extLst>
    </bk>
    <bk>
      <extLst>
        <ext uri="{3e2802c4-a4d2-4d8b-9148-e3be6c30e623}">
          <xlrd:rvb i="14587"/>
        </ext>
      </extLst>
    </bk>
    <bk>
      <extLst>
        <ext uri="{3e2802c4-a4d2-4d8b-9148-e3be6c30e623}">
          <xlrd:rvb i="14588"/>
        </ext>
      </extLst>
    </bk>
    <bk>
      <extLst>
        <ext uri="{3e2802c4-a4d2-4d8b-9148-e3be6c30e623}">
          <xlrd:rvb i="14589"/>
        </ext>
      </extLst>
    </bk>
    <bk>
      <extLst>
        <ext uri="{3e2802c4-a4d2-4d8b-9148-e3be6c30e623}">
          <xlrd:rvb i="14590"/>
        </ext>
      </extLst>
    </bk>
    <bk>
      <extLst>
        <ext uri="{3e2802c4-a4d2-4d8b-9148-e3be6c30e623}">
          <xlrd:rvb i="14591"/>
        </ext>
      </extLst>
    </bk>
    <bk>
      <extLst>
        <ext uri="{3e2802c4-a4d2-4d8b-9148-e3be6c30e623}">
          <xlrd:rvb i="14592"/>
        </ext>
      </extLst>
    </bk>
    <bk>
      <extLst>
        <ext uri="{3e2802c4-a4d2-4d8b-9148-e3be6c30e623}">
          <xlrd:rvb i="14593"/>
        </ext>
      </extLst>
    </bk>
    <bk>
      <extLst>
        <ext uri="{3e2802c4-a4d2-4d8b-9148-e3be6c30e623}">
          <xlrd:rvb i="14594"/>
        </ext>
      </extLst>
    </bk>
    <bk>
      <extLst>
        <ext uri="{3e2802c4-a4d2-4d8b-9148-e3be6c30e623}">
          <xlrd:rvb i="14595"/>
        </ext>
      </extLst>
    </bk>
    <bk>
      <extLst>
        <ext uri="{3e2802c4-a4d2-4d8b-9148-e3be6c30e623}">
          <xlrd:rvb i="14596"/>
        </ext>
      </extLst>
    </bk>
    <bk>
      <extLst>
        <ext uri="{3e2802c4-a4d2-4d8b-9148-e3be6c30e623}">
          <xlrd:rvb i="14597"/>
        </ext>
      </extLst>
    </bk>
    <bk>
      <extLst>
        <ext uri="{3e2802c4-a4d2-4d8b-9148-e3be6c30e623}">
          <xlrd:rvb i="14598"/>
        </ext>
      </extLst>
    </bk>
    <bk>
      <extLst>
        <ext uri="{3e2802c4-a4d2-4d8b-9148-e3be6c30e623}">
          <xlrd:rvb i="14599"/>
        </ext>
      </extLst>
    </bk>
    <bk>
      <extLst>
        <ext uri="{3e2802c4-a4d2-4d8b-9148-e3be6c30e623}">
          <xlrd:rvb i="14600"/>
        </ext>
      </extLst>
    </bk>
    <bk>
      <extLst>
        <ext uri="{3e2802c4-a4d2-4d8b-9148-e3be6c30e623}">
          <xlrd:rvb i="14601"/>
        </ext>
      </extLst>
    </bk>
    <bk>
      <extLst>
        <ext uri="{3e2802c4-a4d2-4d8b-9148-e3be6c30e623}">
          <xlrd:rvb i="14602"/>
        </ext>
      </extLst>
    </bk>
    <bk>
      <extLst>
        <ext uri="{3e2802c4-a4d2-4d8b-9148-e3be6c30e623}">
          <xlrd:rvb i="14603"/>
        </ext>
      </extLst>
    </bk>
    <bk>
      <extLst>
        <ext uri="{3e2802c4-a4d2-4d8b-9148-e3be6c30e623}">
          <xlrd:rvb i="14604"/>
        </ext>
      </extLst>
    </bk>
    <bk>
      <extLst>
        <ext uri="{3e2802c4-a4d2-4d8b-9148-e3be6c30e623}">
          <xlrd:rvb i="14605"/>
        </ext>
      </extLst>
    </bk>
    <bk>
      <extLst>
        <ext uri="{3e2802c4-a4d2-4d8b-9148-e3be6c30e623}">
          <xlrd:rvb i="14606"/>
        </ext>
      </extLst>
    </bk>
    <bk>
      <extLst>
        <ext uri="{3e2802c4-a4d2-4d8b-9148-e3be6c30e623}">
          <xlrd:rvb i="14607"/>
        </ext>
      </extLst>
    </bk>
    <bk>
      <extLst>
        <ext uri="{3e2802c4-a4d2-4d8b-9148-e3be6c30e623}">
          <xlrd:rvb i="14608"/>
        </ext>
      </extLst>
    </bk>
    <bk>
      <extLst>
        <ext uri="{3e2802c4-a4d2-4d8b-9148-e3be6c30e623}">
          <xlrd:rvb i="14609"/>
        </ext>
      </extLst>
    </bk>
    <bk>
      <extLst>
        <ext uri="{3e2802c4-a4d2-4d8b-9148-e3be6c30e623}">
          <xlrd:rvb i="14610"/>
        </ext>
      </extLst>
    </bk>
    <bk>
      <extLst>
        <ext uri="{3e2802c4-a4d2-4d8b-9148-e3be6c30e623}">
          <xlrd:rvb i="14611"/>
        </ext>
      </extLst>
    </bk>
    <bk>
      <extLst>
        <ext uri="{3e2802c4-a4d2-4d8b-9148-e3be6c30e623}">
          <xlrd:rvb i="14612"/>
        </ext>
      </extLst>
    </bk>
    <bk>
      <extLst>
        <ext uri="{3e2802c4-a4d2-4d8b-9148-e3be6c30e623}">
          <xlrd:rvb i="14613"/>
        </ext>
      </extLst>
    </bk>
    <bk>
      <extLst>
        <ext uri="{3e2802c4-a4d2-4d8b-9148-e3be6c30e623}">
          <xlrd:rvb i="14614"/>
        </ext>
      </extLst>
    </bk>
    <bk>
      <extLst>
        <ext uri="{3e2802c4-a4d2-4d8b-9148-e3be6c30e623}">
          <xlrd:rvb i="14615"/>
        </ext>
      </extLst>
    </bk>
    <bk>
      <extLst>
        <ext uri="{3e2802c4-a4d2-4d8b-9148-e3be6c30e623}">
          <xlrd:rvb i="14616"/>
        </ext>
      </extLst>
    </bk>
    <bk>
      <extLst>
        <ext uri="{3e2802c4-a4d2-4d8b-9148-e3be6c30e623}">
          <xlrd:rvb i="14617"/>
        </ext>
      </extLst>
    </bk>
    <bk>
      <extLst>
        <ext uri="{3e2802c4-a4d2-4d8b-9148-e3be6c30e623}">
          <xlrd:rvb i="14618"/>
        </ext>
      </extLst>
    </bk>
    <bk>
      <extLst>
        <ext uri="{3e2802c4-a4d2-4d8b-9148-e3be6c30e623}">
          <xlrd:rvb i="14619"/>
        </ext>
      </extLst>
    </bk>
    <bk>
      <extLst>
        <ext uri="{3e2802c4-a4d2-4d8b-9148-e3be6c30e623}">
          <xlrd:rvb i="14620"/>
        </ext>
      </extLst>
    </bk>
    <bk>
      <extLst>
        <ext uri="{3e2802c4-a4d2-4d8b-9148-e3be6c30e623}">
          <xlrd:rvb i="14621"/>
        </ext>
      </extLst>
    </bk>
    <bk>
      <extLst>
        <ext uri="{3e2802c4-a4d2-4d8b-9148-e3be6c30e623}">
          <xlrd:rvb i="14622"/>
        </ext>
      </extLst>
    </bk>
    <bk>
      <extLst>
        <ext uri="{3e2802c4-a4d2-4d8b-9148-e3be6c30e623}">
          <xlrd:rvb i="14623"/>
        </ext>
      </extLst>
    </bk>
    <bk>
      <extLst>
        <ext uri="{3e2802c4-a4d2-4d8b-9148-e3be6c30e623}">
          <xlrd:rvb i="14624"/>
        </ext>
      </extLst>
    </bk>
    <bk>
      <extLst>
        <ext uri="{3e2802c4-a4d2-4d8b-9148-e3be6c30e623}">
          <xlrd:rvb i="14625"/>
        </ext>
      </extLst>
    </bk>
    <bk>
      <extLst>
        <ext uri="{3e2802c4-a4d2-4d8b-9148-e3be6c30e623}">
          <xlrd:rvb i="14626"/>
        </ext>
      </extLst>
    </bk>
    <bk>
      <extLst>
        <ext uri="{3e2802c4-a4d2-4d8b-9148-e3be6c30e623}">
          <xlrd:rvb i="14627"/>
        </ext>
      </extLst>
    </bk>
    <bk>
      <extLst>
        <ext uri="{3e2802c4-a4d2-4d8b-9148-e3be6c30e623}">
          <xlrd:rvb i="14628"/>
        </ext>
      </extLst>
    </bk>
    <bk>
      <extLst>
        <ext uri="{3e2802c4-a4d2-4d8b-9148-e3be6c30e623}">
          <xlrd:rvb i="14629"/>
        </ext>
      </extLst>
    </bk>
    <bk>
      <extLst>
        <ext uri="{3e2802c4-a4d2-4d8b-9148-e3be6c30e623}">
          <xlrd:rvb i="14630"/>
        </ext>
      </extLst>
    </bk>
    <bk>
      <extLst>
        <ext uri="{3e2802c4-a4d2-4d8b-9148-e3be6c30e623}">
          <xlrd:rvb i="14631"/>
        </ext>
      </extLst>
    </bk>
    <bk>
      <extLst>
        <ext uri="{3e2802c4-a4d2-4d8b-9148-e3be6c30e623}">
          <xlrd:rvb i="14632"/>
        </ext>
      </extLst>
    </bk>
    <bk>
      <extLst>
        <ext uri="{3e2802c4-a4d2-4d8b-9148-e3be6c30e623}">
          <xlrd:rvb i="14633"/>
        </ext>
      </extLst>
    </bk>
    <bk>
      <extLst>
        <ext uri="{3e2802c4-a4d2-4d8b-9148-e3be6c30e623}">
          <xlrd:rvb i="14634"/>
        </ext>
      </extLst>
    </bk>
    <bk>
      <extLst>
        <ext uri="{3e2802c4-a4d2-4d8b-9148-e3be6c30e623}">
          <xlrd:rvb i="14635"/>
        </ext>
      </extLst>
    </bk>
    <bk>
      <extLst>
        <ext uri="{3e2802c4-a4d2-4d8b-9148-e3be6c30e623}">
          <xlrd:rvb i="14636"/>
        </ext>
      </extLst>
    </bk>
    <bk>
      <extLst>
        <ext uri="{3e2802c4-a4d2-4d8b-9148-e3be6c30e623}">
          <xlrd:rvb i="14637"/>
        </ext>
      </extLst>
    </bk>
    <bk>
      <extLst>
        <ext uri="{3e2802c4-a4d2-4d8b-9148-e3be6c30e623}">
          <xlrd:rvb i="14638"/>
        </ext>
      </extLst>
    </bk>
    <bk>
      <extLst>
        <ext uri="{3e2802c4-a4d2-4d8b-9148-e3be6c30e623}">
          <xlrd:rvb i="14639"/>
        </ext>
      </extLst>
    </bk>
    <bk>
      <extLst>
        <ext uri="{3e2802c4-a4d2-4d8b-9148-e3be6c30e623}">
          <xlrd:rvb i="14640"/>
        </ext>
      </extLst>
    </bk>
    <bk>
      <extLst>
        <ext uri="{3e2802c4-a4d2-4d8b-9148-e3be6c30e623}">
          <xlrd:rvb i="14641"/>
        </ext>
      </extLst>
    </bk>
    <bk>
      <extLst>
        <ext uri="{3e2802c4-a4d2-4d8b-9148-e3be6c30e623}">
          <xlrd:rvb i="14642"/>
        </ext>
      </extLst>
    </bk>
    <bk>
      <extLst>
        <ext uri="{3e2802c4-a4d2-4d8b-9148-e3be6c30e623}">
          <xlrd:rvb i="14643"/>
        </ext>
      </extLst>
    </bk>
    <bk>
      <extLst>
        <ext uri="{3e2802c4-a4d2-4d8b-9148-e3be6c30e623}">
          <xlrd:rvb i="14644"/>
        </ext>
      </extLst>
    </bk>
    <bk>
      <extLst>
        <ext uri="{3e2802c4-a4d2-4d8b-9148-e3be6c30e623}">
          <xlrd:rvb i="14645"/>
        </ext>
      </extLst>
    </bk>
    <bk>
      <extLst>
        <ext uri="{3e2802c4-a4d2-4d8b-9148-e3be6c30e623}">
          <xlrd:rvb i="14646"/>
        </ext>
      </extLst>
    </bk>
    <bk>
      <extLst>
        <ext uri="{3e2802c4-a4d2-4d8b-9148-e3be6c30e623}">
          <xlrd:rvb i="14647"/>
        </ext>
      </extLst>
    </bk>
    <bk>
      <extLst>
        <ext uri="{3e2802c4-a4d2-4d8b-9148-e3be6c30e623}">
          <xlrd:rvb i="14648"/>
        </ext>
      </extLst>
    </bk>
    <bk>
      <extLst>
        <ext uri="{3e2802c4-a4d2-4d8b-9148-e3be6c30e623}">
          <xlrd:rvb i="14649"/>
        </ext>
      </extLst>
    </bk>
    <bk>
      <extLst>
        <ext uri="{3e2802c4-a4d2-4d8b-9148-e3be6c30e623}">
          <xlrd:rvb i="14650"/>
        </ext>
      </extLst>
    </bk>
    <bk>
      <extLst>
        <ext uri="{3e2802c4-a4d2-4d8b-9148-e3be6c30e623}">
          <xlrd:rvb i="14651"/>
        </ext>
      </extLst>
    </bk>
    <bk>
      <extLst>
        <ext uri="{3e2802c4-a4d2-4d8b-9148-e3be6c30e623}">
          <xlrd:rvb i="14652"/>
        </ext>
      </extLst>
    </bk>
    <bk>
      <extLst>
        <ext uri="{3e2802c4-a4d2-4d8b-9148-e3be6c30e623}">
          <xlrd:rvb i="14653"/>
        </ext>
      </extLst>
    </bk>
    <bk>
      <extLst>
        <ext uri="{3e2802c4-a4d2-4d8b-9148-e3be6c30e623}">
          <xlrd:rvb i="14654"/>
        </ext>
      </extLst>
    </bk>
    <bk>
      <extLst>
        <ext uri="{3e2802c4-a4d2-4d8b-9148-e3be6c30e623}">
          <xlrd:rvb i="14655"/>
        </ext>
      </extLst>
    </bk>
    <bk>
      <extLst>
        <ext uri="{3e2802c4-a4d2-4d8b-9148-e3be6c30e623}">
          <xlrd:rvb i="14656"/>
        </ext>
      </extLst>
    </bk>
    <bk>
      <extLst>
        <ext uri="{3e2802c4-a4d2-4d8b-9148-e3be6c30e623}">
          <xlrd:rvb i="14657"/>
        </ext>
      </extLst>
    </bk>
    <bk>
      <extLst>
        <ext uri="{3e2802c4-a4d2-4d8b-9148-e3be6c30e623}">
          <xlrd:rvb i="14658"/>
        </ext>
      </extLst>
    </bk>
    <bk>
      <extLst>
        <ext uri="{3e2802c4-a4d2-4d8b-9148-e3be6c30e623}">
          <xlrd:rvb i="14659"/>
        </ext>
      </extLst>
    </bk>
    <bk>
      <extLst>
        <ext uri="{3e2802c4-a4d2-4d8b-9148-e3be6c30e623}">
          <xlrd:rvb i="14660"/>
        </ext>
      </extLst>
    </bk>
    <bk>
      <extLst>
        <ext uri="{3e2802c4-a4d2-4d8b-9148-e3be6c30e623}">
          <xlrd:rvb i="14661"/>
        </ext>
      </extLst>
    </bk>
    <bk>
      <extLst>
        <ext uri="{3e2802c4-a4d2-4d8b-9148-e3be6c30e623}">
          <xlrd:rvb i="14662"/>
        </ext>
      </extLst>
    </bk>
    <bk>
      <extLst>
        <ext uri="{3e2802c4-a4d2-4d8b-9148-e3be6c30e623}">
          <xlrd:rvb i="14663"/>
        </ext>
      </extLst>
    </bk>
    <bk>
      <extLst>
        <ext uri="{3e2802c4-a4d2-4d8b-9148-e3be6c30e623}">
          <xlrd:rvb i="14664"/>
        </ext>
      </extLst>
    </bk>
    <bk>
      <extLst>
        <ext uri="{3e2802c4-a4d2-4d8b-9148-e3be6c30e623}">
          <xlrd:rvb i="14665"/>
        </ext>
      </extLst>
    </bk>
    <bk>
      <extLst>
        <ext uri="{3e2802c4-a4d2-4d8b-9148-e3be6c30e623}">
          <xlrd:rvb i="14666"/>
        </ext>
      </extLst>
    </bk>
    <bk>
      <extLst>
        <ext uri="{3e2802c4-a4d2-4d8b-9148-e3be6c30e623}">
          <xlrd:rvb i="14667"/>
        </ext>
      </extLst>
    </bk>
    <bk>
      <extLst>
        <ext uri="{3e2802c4-a4d2-4d8b-9148-e3be6c30e623}">
          <xlrd:rvb i="14668"/>
        </ext>
      </extLst>
    </bk>
    <bk>
      <extLst>
        <ext uri="{3e2802c4-a4d2-4d8b-9148-e3be6c30e623}">
          <xlrd:rvb i="14669"/>
        </ext>
      </extLst>
    </bk>
    <bk>
      <extLst>
        <ext uri="{3e2802c4-a4d2-4d8b-9148-e3be6c30e623}">
          <xlrd:rvb i="14670"/>
        </ext>
      </extLst>
    </bk>
    <bk>
      <extLst>
        <ext uri="{3e2802c4-a4d2-4d8b-9148-e3be6c30e623}">
          <xlrd:rvb i="14671"/>
        </ext>
      </extLst>
    </bk>
    <bk>
      <extLst>
        <ext uri="{3e2802c4-a4d2-4d8b-9148-e3be6c30e623}">
          <xlrd:rvb i="14672"/>
        </ext>
      </extLst>
    </bk>
    <bk>
      <extLst>
        <ext uri="{3e2802c4-a4d2-4d8b-9148-e3be6c30e623}">
          <xlrd:rvb i="14673"/>
        </ext>
      </extLst>
    </bk>
    <bk>
      <extLst>
        <ext uri="{3e2802c4-a4d2-4d8b-9148-e3be6c30e623}">
          <xlrd:rvb i="14674"/>
        </ext>
      </extLst>
    </bk>
    <bk>
      <extLst>
        <ext uri="{3e2802c4-a4d2-4d8b-9148-e3be6c30e623}">
          <xlrd:rvb i="14675"/>
        </ext>
      </extLst>
    </bk>
    <bk>
      <extLst>
        <ext uri="{3e2802c4-a4d2-4d8b-9148-e3be6c30e623}">
          <xlrd:rvb i="14676"/>
        </ext>
      </extLst>
    </bk>
    <bk>
      <extLst>
        <ext uri="{3e2802c4-a4d2-4d8b-9148-e3be6c30e623}">
          <xlrd:rvb i="14677"/>
        </ext>
      </extLst>
    </bk>
    <bk>
      <extLst>
        <ext uri="{3e2802c4-a4d2-4d8b-9148-e3be6c30e623}">
          <xlrd:rvb i="14678"/>
        </ext>
      </extLst>
    </bk>
    <bk>
      <extLst>
        <ext uri="{3e2802c4-a4d2-4d8b-9148-e3be6c30e623}">
          <xlrd:rvb i="14679"/>
        </ext>
      </extLst>
    </bk>
    <bk>
      <extLst>
        <ext uri="{3e2802c4-a4d2-4d8b-9148-e3be6c30e623}">
          <xlrd:rvb i="14680"/>
        </ext>
      </extLst>
    </bk>
    <bk>
      <extLst>
        <ext uri="{3e2802c4-a4d2-4d8b-9148-e3be6c30e623}">
          <xlrd:rvb i="14681"/>
        </ext>
      </extLst>
    </bk>
    <bk>
      <extLst>
        <ext uri="{3e2802c4-a4d2-4d8b-9148-e3be6c30e623}">
          <xlrd:rvb i="14682"/>
        </ext>
      </extLst>
    </bk>
    <bk>
      <extLst>
        <ext uri="{3e2802c4-a4d2-4d8b-9148-e3be6c30e623}">
          <xlrd:rvb i="14683"/>
        </ext>
      </extLst>
    </bk>
    <bk>
      <extLst>
        <ext uri="{3e2802c4-a4d2-4d8b-9148-e3be6c30e623}">
          <xlrd:rvb i="14684"/>
        </ext>
      </extLst>
    </bk>
    <bk>
      <extLst>
        <ext uri="{3e2802c4-a4d2-4d8b-9148-e3be6c30e623}">
          <xlrd:rvb i="14685"/>
        </ext>
      </extLst>
    </bk>
    <bk>
      <extLst>
        <ext uri="{3e2802c4-a4d2-4d8b-9148-e3be6c30e623}">
          <xlrd:rvb i="14686"/>
        </ext>
      </extLst>
    </bk>
    <bk>
      <extLst>
        <ext uri="{3e2802c4-a4d2-4d8b-9148-e3be6c30e623}">
          <xlrd:rvb i="14687"/>
        </ext>
      </extLst>
    </bk>
    <bk>
      <extLst>
        <ext uri="{3e2802c4-a4d2-4d8b-9148-e3be6c30e623}">
          <xlrd:rvb i="14688"/>
        </ext>
      </extLst>
    </bk>
    <bk>
      <extLst>
        <ext uri="{3e2802c4-a4d2-4d8b-9148-e3be6c30e623}">
          <xlrd:rvb i="14689"/>
        </ext>
      </extLst>
    </bk>
    <bk>
      <extLst>
        <ext uri="{3e2802c4-a4d2-4d8b-9148-e3be6c30e623}">
          <xlrd:rvb i="14690"/>
        </ext>
      </extLst>
    </bk>
    <bk>
      <extLst>
        <ext uri="{3e2802c4-a4d2-4d8b-9148-e3be6c30e623}">
          <xlrd:rvb i="14691"/>
        </ext>
      </extLst>
    </bk>
    <bk>
      <extLst>
        <ext uri="{3e2802c4-a4d2-4d8b-9148-e3be6c30e623}">
          <xlrd:rvb i="14692"/>
        </ext>
      </extLst>
    </bk>
    <bk>
      <extLst>
        <ext uri="{3e2802c4-a4d2-4d8b-9148-e3be6c30e623}">
          <xlrd:rvb i="14693"/>
        </ext>
      </extLst>
    </bk>
    <bk>
      <extLst>
        <ext uri="{3e2802c4-a4d2-4d8b-9148-e3be6c30e623}">
          <xlrd:rvb i="14694"/>
        </ext>
      </extLst>
    </bk>
    <bk>
      <extLst>
        <ext uri="{3e2802c4-a4d2-4d8b-9148-e3be6c30e623}">
          <xlrd:rvb i="14695"/>
        </ext>
      </extLst>
    </bk>
    <bk>
      <extLst>
        <ext uri="{3e2802c4-a4d2-4d8b-9148-e3be6c30e623}">
          <xlrd:rvb i="14696"/>
        </ext>
      </extLst>
    </bk>
    <bk>
      <extLst>
        <ext uri="{3e2802c4-a4d2-4d8b-9148-e3be6c30e623}">
          <xlrd:rvb i="14697"/>
        </ext>
      </extLst>
    </bk>
    <bk>
      <extLst>
        <ext uri="{3e2802c4-a4d2-4d8b-9148-e3be6c30e623}">
          <xlrd:rvb i="14698"/>
        </ext>
      </extLst>
    </bk>
    <bk>
      <extLst>
        <ext uri="{3e2802c4-a4d2-4d8b-9148-e3be6c30e623}">
          <xlrd:rvb i="14699"/>
        </ext>
      </extLst>
    </bk>
    <bk>
      <extLst>
        <ext uri="{3e2802c4-a4d2-4d8b-9148-e3be6c30e623}">
          <xlrd:rvb i="14700"/>
        </ext>
      </extLst>
    </bk>
    <bk>
      <extLst>
        <ext uri="{3e2802c4-a4d2-4d8b-9148-e3be6c30e623}">
          <xlrd:rvb i="14701"/>
        </ext>
      </extLst>
    </bk>
    <bk>
      <extLst>
        <ext uri="{3e2802c4-a4d2-4d8b-9148-e3be6c30e623}">
          <xlrd:rvb i="14702"/>
        </ext>
      </extLst>
    </bk>
    <bk>
      <extLst>
        <ext uri="{3e2802c4-a4d2-4d8b-9148-e3be6c30e623}">
          <xlrd:rvb i="14703"/>
        </ext>
      </extLst>
    </bk>
    <bk>
      <extLst>
        <ext uri="{3e2802c4-a4d2-4d8b-9148-e3be6c30e623}">
          <xlrd:rvb i="14704"/>
        </ext>
      </extLst>
    </bk>
    <bk>
      <extLst>
        <ext uri="{3e2802c4-a4d2-4d8b-9148-e3be6c30e623}">
          <xlrd:rvb i="14705"/>
        </ext>
      </extLst>
    </bk>
    <bk>
      <extLst>
        <ext uri="{3e2802c4-a4d2-4d8b-9148-e3be6c30e623}">
          <xlrd:rvb i="14706"/>
        </ext>
      </extLst>
    </bk>
    <bk>
      <extLst>
        <ext uri="{3e2802c4-a4d2-4d8b-9148-e3be6c30e623}">
          <xlrd:rvb i="14707"/>
        </ext>
      </extLst>
    </bk>
    <bk>
      <extLst>
        <ext uri="{3e2802c4-a4d2-4d8b-9148-e3be6c30e623}">
          <xlrd:rvb i="14708"/>
        </ext>
      </extLst>
    </bk>
    <bk>
      <extLst>
        <ext uri="{3e2802c4-a4d2-4d8b-9148-e3be6c30e623}">
          <xlrd:rvb i="14709"/>
        </ext>
      </extLst>
    </bk>
    <bk>
      <extLst>
        <ext uri="{3e2802c4-a4d2-4d8b-9148-e3be6c30e623}">
          <xlrd:rvb i="14710"/>
        </ext>
      </extLst>
    </bk>
    <bk>
      <extLst>
        <ext uri="{3e2802c4-a4d2-4d8b-9148-e3be6c30e623}">
          <xlrd:rvb i="14711"/>
        </ext>
      </extLst>
    </bk>
    <bk>
      <extLst>
        <ext uri="{3e2802c4-a4d2-4d8b-9148-e3be6c30e623}">
          <xlrd:rvb i="14712"/>
        </ext>
      </extLst>
    </bk>
    <bk>
      <extLst>
        <ext uri="{3e2802c4-a4d2-4d8b-9148-e3be6c30e623}">
          <xlrd:rvb i="14713"/>
        </ext>
      </extLst>
    </bk>
    <bk>
      <extLst>
        <ext uri="{3e2802c4-a4d2-4d8b-9148-e3be6c30e623}">
          <xlrd:rvb i="14714"/>
        </ext>
      </extLst>
    </bk>
    <bk>
      <extLst>
        <ext uri="{3e2802c4-a4d2-4d8b-9148-e3be6c30e623}">
          <xlrd:rvb i="14715"/>
        </ext>
      </extLst>
    </bk>
    <bk>
      <extLst>
        <ext uri="{3e2802c4-a4d2-4d8b-9148-e3be6c30e623}">
          <xlrd:rvb i="14716"/>
        </ext>
      </extLst>
    </bk>
    <bk>
      <extLst>
        <ext uri="{3e2802c4-a4d2-4d8b-9148-e3be6c30e623}">
          <xlrd:rvb i="14717"/>
        </ext>
      </extLst>
    </bk>
    <bk>
      <extLst>
        <ext uri="{3e2802c4-a4d2-4d8b-9148-e3be6c30e623}">
          <xlrd:rvb i="14718"/>
        </ext>
      </extLst>
    </bk>
    <bk>
      <extLst>
        <ext uri="{3e2802c4-a4d2-4d8b-9148-e3be6c30e623}">
          <xlrd:rvb i="14719"/>
        </ext>
      </extLst>
    </bk>
    <bk>
      <extLst>
        <ext uri="{3e2802c4-a4d2-4d8b-9148-e3be6c30e623}">
          <xlrd:rvb i="14720"/>
        </ext>
      </extLst>
    </bk>
    <bk>
      <extLst>
        <ext uri="{3e2802c4-a4d2-4d8b-9148-e3be6c30e623}">
          <xlrd:rvb i="14721"/>
        </ext>
      </extLst>
    </bk>
    <bk>
      <extLst>
        <ext uri="{3e2802c4-a4d2-4d8b-9148-e3be6c30e623}">
          <xlrd:rvb i="14722"/>
        </ext>
      </extLst>
    </bk>
    <bk>
      <extLst>
        <ext uri="{3e2802c4-a4d2-4d8b-9148-e3be6c30e623}">
          <xlrd:rvb i="14723"/>
        </ext>
      </extLst>
    </bk>
    <bk>
      <extLst>
        <ext uri="{3e2802c4-a4d2-4d8b-9148-e3be6c30e623}">
          <xlrd:rvb i="14724"/>
        </ext>
      </extLst>
    </bk>
    <bk>
      <extLst>
        <ext uri="{3e2802c4-a4d2-4d8b-9148-e3be6c30e623}">
          <xlrd:rvb i="14725"/>
        </ext>
      </extLst>
    </bk>
    <bk>
      <extLst>
        <ext uri="{3e2802c4-a4d2-4d8b-9148-e3be6c30e623}">
          <xlrd:rvb i="14726"/>
        </ext>
      </extLst>
    </bk>
    <bk>
      <extLst>
        <ext uri="{3e2802c4-a4d2-4d8b-9148-e3be6c30e623}">
          <xlrd:rvb i="14727"/>
        </ext>
      </extLst>
    </bk>
    <bk>
      <extLst>
        <ext uri="{3e2802c4-a4d2-4d8b-9148-e3be6c30e623}">
          <xlrd:rvb i="14728"/>
        </ext>
      </extLst>
    </bk>
    <bk>
      <extLst>
        <ext uri="{3e2802c4-a4d2-4d8b-9148-e3be6c30e623}">
          <xlrd:rvb i="14729"/>
        </ext>
      </extLst>
    </bk>
    <bk>
      <extLst>
        <ext uri="{3e2802c4-a4d2-4d8b-9148-e3be6c30e623}">
          <xlrd:rvb i="14730"/>
        </ext>
      </extLst>
    </bk>
    <bk>
      <extLst>
        <ext uri="{3e2802c4-a4d2-4d8b-9148-e3be6c30e623}">
          <xlrd:rvb i="14731"/>
        </ext>
      </extLst>
    </bk>
    <bk>
      <extLst>
        <ext uri="{3e2802c4-a4d2-4d8b-9148-e3be6c30e623}">
          <xlrd:rvb i="14732"/>
        </ext>
      </extLst>
    </bk>
    <bk>
      <extLst>
        <ext uri="{3e2802c4-a4d2-4d8b-9148-e3be6c30e623}">
          <xlrd:rvb i="14733"/>
        </ext>
      </extLst>
    </bk>
    <bk>
      <extLst>
        <ext uri="{3e2802c4-a4d2-4d8b-9148-e3be6c30e623}">
          <xlrd:rvb i="14734"/>
        </ext>
      </extLst>
    </bk>
    <bk>
      <extLst>
        <ext uri="{3e2802c4-a4d2-4d8b-9148-e3be6c30e623}">
          <xlrd:rvb i="14735"/>
        </ext>
      </extLst>
    </bk>
    <bk>
      <extLst>
        <ext uri="{3e2802c4-a4d2-4d8b-9148-e3be6c30e623}">
          <xlrd:rvb i="14736"/>
        </ext>
      </extLst>
    </bk>
    <bk>
      <extLst>
        <ext uri="{3e2802c4-a4d2-4d8b-9148-e3be6c30e623}">
          <xlrd:rvb i="14737"/>
        </ext>
      </extLst>
    </bk>
    <bk>
      <extLst>
        <ext uri="{3e2802c4-a4d2-4d8b-9148-e3be6c30e623}">
          <xlrd:rvb i="14738"/>
        </ext>
      </extLst>
    </bk>
    <bk>
      <extLst>
        <ext uri="{3e2802c4-a4d2-4d8b-9148-e3be6c30e623}">
          <xlrd:rvb i="14739"/>
        </ext>
      </extLst>
    </bk>
    <bk>
      <extLst>
        <ext uri="{3e2802c4-a4d2-4d8b-9148-e3be6c30e623}">
          <xlrd:rvb i="14740"/>
        </ext>
      </extLst>
    </bk>
    <bk>
      <extLst>
        <ext uri="{3e2802c4-a4d2-4d8b-9148-e3be6c30e623}">
          <xlrd:rvb i="14741"/>
        </ext>
      </extLst>
    </bk>
    <bk>
      <extLst>
        <ext uri="{3e2802c4-a4d2-4d8b-9148-e3be6c30e623}">
          <xlrd:rvb i="14742"/>
        </ext>
      </extLst>
    </bk>
    <bk>
      <extLst>
        <ext uri="{3e2802c4-a4d2-4d8b-9148-e3be6c30e623}">
          <xlrd:rvb i="14743"/>
        </ext>
      </extLst>
    </bk>
    <bk>
      <extLst>
        <ext uri="{3e2802c4-a4d2-4d8b-9148-e3be6c30e623}">
          <xlrd:rvb i="14744"/>
        </ext>
      </extLst>
    </bk>
    <bk>
      <extLst>
        <ext uri="{3e2802c4-a4d2-4d8b-9148-e3be6c30e623}">
          <xlrd:rvb i="14745"/>
        </ext>
      </extLst>
    </bk>
    <bk>
      <extLst>
        <ext uri="{3e2802c4-a4d2-4d8b-9148-e3be6c30e623}">
          <xlrd:rvb i="14746"/>
        </ext>
      </extLst>
    </bk>
    <bk>
      <extLst>
        <ext uri="{3e2802c4-a4d2-4d8b-9148-e3be6c30e623}">
          <xlrd:rvb i="14747"/>
        </ext>
      </extLst>
    </bk>
    <bk>
      <extLst>
        <ext uri="{3e2802c4-a4d2-4d8b-9148-e3be6c30e623}">
          <xlrd:rvb i="14748"/>
        </ext>
      </extLst>
    </bk>
    <bk>
      <extLst>
        <ext uri="{3e2802c4-a4d2-4d8b-9148-e3be6c30e623}">
          <xlrd:rvb i="14749"/>
        </ext>
      </extLst>
    </bk>
    <bk>
      <extLst>
        <ext uri="{3e2802c4-a4d2-4d8b-9148-e3be6c30e623}">
          <xlrd:rvb i="14750"/>
        </ext>
      </extLst>
    </bk>
    <bk>
      <extLst>
        <ext uri="{3e2802c4-a4d2-4d8b-9148-e3be6c30e623}">
          <xlrd:rvb i="14751"/>
        </ext>
      </extLst>
    </bk>
    <bk>
      <extLst>
        <ext uri="{3e2802c4-a4d2-4d8b-9148-e3be6c30e623}">
          <xlrd:rvb i="14752"/>
        </ext>
      </extLst>
    </bk>
    <bk>
      <extLst>
        <ext uri="{3e2802c4-a4d2-4d8b-9148-e3be6c30e623}">
          <xlrd:rvb i="14753"/>
        </ext>
      </extLst>
    </bk>
    <bk>
      <extLst>
        <ext uri="{3e2802c4-a4d2-4d8b-9148-e3be6c30e623}">
          <xlrd:rvb i="14754"/>
        </ext>
      </extLst>
    </bk>
    <bk>
      <extLst>
        <ext uri="{3e2802c4-a4d2-4d8b-9148-e3be6c30e623}">
          <xlrd:rvb i="14755"/>
        </ext>
      </extLst>
    </bk>
    <bk>
      <extLst>
        <ext uri="{3e2802c4-a4d2-4d8b-9148-e3be6c30e623}">
          <xlrd:rvb i="14756"/>
        </ext>
      </extLst>
    </bk>
    <bk>
      <extLst>
        <ext uri="{3e2802c4-a4d2-4d8b-9148-e3be6c30e623}">
          <xlrd:rvb i="14757"/>
        </ext>
      </extLst>
    </bk>
    <bk>
      <extLst>
        <ext uri="{3e2802c4-a4d2-4d8b-9148-e3be6c30e623}">
          <xlrd:rvb i="14758"/>
        </ext>
      </extLst>
    </bk>
    <bk>
      <extLst>
        <ext uri="{3e2802c4-a4d2-4d8b-9148-e3be6c30e623}">
          <xlrd:rvb i="14759"/>
        </ext>
      </extLst>
    </bk>
    <bk>
      <extLst>
        <ext uri="{3e2802c4-a4d2-4d8b-9148-e3be6c30e623}">
          <xlrd:rvb i="14760"/>
        </ext>
      </extLst>
    </bk>
    <bk>
      <extLst>
        <ext uri="{3e2802c4-a4d2-4d8b-9148-e3be6c30e623}">
          <xlrd:rvb i="14761"/>
        </ext>
      </extLst>
    </bk>
    <bk>
      <extLst>
        <ext uri="{3e2802c4-a4d2-4d8b-9148-e3be6c30e623}">
          <xlrd:rvb i="14762"/>
        </ext>
      </extLst>
    </bk>
    <bk>
      <extLst>
        <ext uri="{3e2802c4-a4d2-4d8b-9148-e3be6c30e623}">
          <xlrd:rvb i="14763"/>
        </ext>
      </extLst>
    </bk>
    <bk>
      <extLst>
        <ext uri="{3e2802c4-a4d2-4d8b-9148-e3be6c30e623}">
          <xlrd:rvb i="14764"/>
        </ext>
      </extLst>
    </bk>
    <bk>
      <extLst>
        <ext uri="{3e2802c4-a4d2-4d8b-9148-e3be6c30e623}">
          <xlrd:rvb i="14765"/>
        </ext>
      </extLst>
    </bk>
    <bk>
      <extLst>
        <ext uri="{3e2802c4-a4d2-4d8b-9148-e3be6c30e623}">
          <xlrd:rvb i="14766"/>
        </ext>
      </extLst>
    </bk>
    <bk>
      <extLst>
        <ext uri="{3e2802c4-a4d2-4d8b-9148-e3be6c30e623}">
          <xlrd:rvb i="14767"/>
        </ext>
      </extLst>
    </bk>
    <bk>
      <extLst>
        <ext uri="{3e2802c4-a4d2-4d8b-9148-e3be6c30e623}">
          <xlrd:rvb i="14768"/>
        </ext>
      </extLst>
    </bk>
    <bk>
      <extLst>
        <ext uri="{3e2802c4-a4d2-4d8b-9148-e3be6c30e623}">
          <xlrd:rvb i="14769"/>
        </ext>
      </extLst>
    </bk>
    <bk>
      <extLst>
        <ext uri="{3e2802c4-a4d2-4d8b-9148-e3be6c30e623}">
          <xlrd:rvb i="14770"/>
        </ext>
      </extLst>
    </bk>
    <bk>
      <extLst>
        <ext uri="{3e2802c4-a4d2-4d8b-9148-e3be6c30e623}">
          <xlrd:rvb i="14771"/>
        </ext>
      </extLst>
    </bk>
    <bk>
      <extLst>
        <ext uri="{3e2802c4-a4d2-4d8b-9148-e3be6c30e623}">
          <xlrd:rvb i="14772"/>
        </ext>
      </extLst>
    </bk>
    <bk>
      <extLst>
        <ext uri="{3e2802c4-a4d2-4d8b-9148-e3be6c30e623}">
          <xlrd:rvb i="14773"/>
        </ext>
      </extLst>
    </bk>
    <bk>
      <extLst>
        <ext uri="{3e2802c4-a4d2-4d8b-9148-e3be6c30e623}">
          <xlrd:rvb i="14774"/>
        </ext>
      </extLst>
    </bk>
    <bk>
      <extLst>
        <ext uri="{3e2802c4-a4d2-4d8b-9148-e3be6c30e623}">
          <xlrd:rvb i="14775"/>
        </ext>
      </extLst>
    </bk>
    <bk>
      <extLst>
        <ext uri="{3e2802c4-a4d2-4d8b-9148-e3be6c30e623}">
          <xlrd:rvb i="14776"/>
        </ext>
      </extLst>
    </bk>
    <bk>
      <extLst>
        <ext uri="{3e2802c4-a4d2-4d8b-9148-e3be6c30e623}">
          <xlrd:rvb i="14777"/>
        </ext>
      </extLst>
    </bk>
    <bk>
      <extLst>
        <ext uri="{3e2802c4-a4d2-4d8b-9148-e3be6c30e623}">
          <xlrd:rvb i="14778"/>
        </ext>
      </extLst>
    </bk>
    <bk>
      <extLst>
        <ext uri="{3e2802c4-a4d2-4d8b-9148-e3be6c30e623}">
          <xlrd:rvb i="14779"/>
        </ext>
      </extLst>
    </bk>
    <bk>
      <extLst>
        <ext uri="{3e2802c4-a4d2-4d8b-9148-e3be6c30e623}">
          <xlrd:rvb i="14780"/>
        </ext>
      </extLst>
    </bk>
    <bk>
      <extLst>
        <ext uri="{3e2802c4-a4d2-4d8b-9148-e3be6c30e623}">
          <xlrd:rvb i="14781"/>
        </ext>
      </extLst>
    </bk>
    <bk>
      <extLst>
        <ext uri="{3e2802c4-a4d2-4d8b-9148-e3be6c30e623}">
          <xlrd:rvb i="14782"/>
        </ext>
      </extLst>
    </bk>
    <bk>
      <extLst>
        <ext uri="{3e2802c4-a4d2-4d8b-9148-e3be6c30e623}">
          <xlrd:rvb i="14783"/>
        </ext>
      </extLst>
    </bk>
    <bk>
      <extLst>
        <ext uri="{3e2802c4-a4d2-4d8b-9148-e3be6c30e623}">
          <xlrd:rvb i="14784"/>
        </ext>
      </extLst>
    </bk>
    <bk>
      <extLst>
        <ext uri="{3e2802c4-a4d2-4d8b-9148-e3be6c30e623}">
          <xlrd:rvb i="14785"/>
        </ext>
      </extLst>
    </bk>
    <bk>
      <extLst>
        <ext uri="{3e2802c4-a4d2-4d8b-9148-e3be6c30e623}">
          <xlrd:rvb i="14786"/>
        </ext>
      </extLst>
    </bk>
    <bk>
      <extLst>
        <ext uri="{3e2802c4-a4d2-4d8b-9148-e3be6c30e623}">
          <xlrd:rvb i="14787"/>
        </ext>
      </extLst>
    </bk>
    <bk>
      <extLst>
        <ext uri="{3e2802c4-a4d2-4d8b-9148-e3be6c30e623}">
          <xlrd:rvb i="14788"/>
        </ext>
      </extLst>
    </bk>
    <bk>
      <extLst>
        <ext uri="{3e2802c4-a4d2-4d8b-9148-e3be6c30e623}">
          <xlrd:rvb i="14789"/>
        </ext>
      </extLst>
    </bk>
    <bk>
      <extLst>
        <ext uri="{3e2802c4-a4d2-4d8b-9148-e3be6c30e623}">
          <xlrd:rvb i="14790"/>
        </ext>
      </extLst>
    </bk>
    <bk>
      <extLst>
        <ext uri="{3e2802c4-a4d2-4d8b-9148-e3be6c30e623}">
          <xlrd:rvb i="14791"/>
        </ext>
      </extLst>
    </bk>
    <bk>
      <extLst>
        <ext uri="{3e2802c4-a4d2-4d8b-9148-e3be6c30e623}">
          <xlrd:rvb i="14792"/>
        </ext>
      </extLst>
    </bk>
    <bk>
      <extLst>
        <ext uri="{3e2802c4-a4d2-4d8b-9148-e3be6c30e623}">
          <xlrd:rvb i="14793"/>
        </ext>
      </extLst>
    </bk>
    <bk>
      <extLst>
        <ext uri="{3e2802c4-a4d2-4d8b-9148-e3be6c30e623}">
          <xlrd:rvb i="14794"/>
        </ext>
      </extLst>
    </bk>
    <bk>
      <extLst>
        <ext uri="{3e2802c4-a4d2-4d8b-9148-e3be6c30e623}">
          <xlrd:rvb i="14795"/>
        </ext>
      </extLst>
    </bk>
    <bk>
      <extLst>
        <ext uri="{3e2802c4-a4d2-4d8b-9148-e3be6c30e623}">
          <xlrd:rvb i="14796"/>
        </ext>
      </extLst>
    </bk>
    <bk>
      <extLst>
        <ext uri="{3e2802c4-a4d2-4d8b-9148-e3be6c30e623}">
          <xlrd:rvb i="14797"/>
        </ext>
      </extLst>
    </bk>
    <bk>
      <extLst>
        <ext uri="{3e2802c4-a4d2-4d8b-9148-e3be6c30e623}">
          <xlrd:rvb i="14798"/>
        </ext>
      </extLst>
    </bk>
    <bk>
      <extLst>
        <ext uri="{3e2802c4-a4d2-4d8b-9148-e3be6c30e623}">
          <xlrd:rvb i="14799"/>
        </ext>
      </extLst>
    </bk>
    <bk>
      <extLst>
        <ext uri="{3e2802c4-a4d2-4d8b-9148-e3be6c30e623}">
          <xlrd:rvb i="14800"/>
        </ext>
      </extLst>
    </bk>
    <bk>
      <extLst>
        <ext uri="{3e2802c4-a4d2-4d8b-9148-e3be6c30e623}">
          <xlrd:rvb i="14801"/>
        </ext>
      </extLst>
    </bk>
    <bk>
      <extLst>
        <ext uri="{3e2802c4-a4d2-4d8b-9148-e3be6c30e623}">
          <xlrd:rvb i="14802"/>
        </ext>
      </extLst>
    </bk>
    <bk>
      <extLst>
        <ext uri="{3e2802c4-a4d2-4d8b-9148-e3be6c30e623}">
          <xlrd:rvb i="14803"/>
        </ext>
      </extLst>
    </bk>
    <bk>
      <extLst>
        <ext uri="{3e2802c4-a4d2-4d8b-9148-e3be6c30e623}">
          <xlrd:rvb i="14804"/>
        </ext>
      </extLst>
    </bk>
    <bk>
      <extLst>
        <ext uri="{3e2802c4-a4d2-4d8b-9148-e3be6c30e623}">
          <xlrd:rvb i="14805"/>
        </ext>
      </extLst>
    </bk>
    <bk>
      <extLst>
        <ext uri="{3e2802c4-a4d2-4d8b-9148-e3be6c30e623}">
          <xlrd:rvb i="14806"/>
        </ext>
      </extLst>
    </bk>
    <bk>
      <extLst>
        <ext uri="{3e2802c4-a4d2-4d8b-9148-e3be6c30e623}">
          <xlrd:rvb i="14807"/>
        </ext>
      </extLst>
    </bk>
    <bk>
      <extLst>
        <ext uri="{3e2802c4-a4d2-4d8b-9148-e3be6c30e623}">
          <xlrd:rvb i="14808"/>
        </ext>
      </extLst>
    </bk>
    <bk>
      <extLst>
        <ext uri="{3e2802c4-a4d2-4d8b-9148-e3be6c30e623}">
          <xlrd:rvb i="14809"/>
        </ext>
      </extLst>
    </bk>
    <bk>
      <extLst>
        <ext uri="{3e2802c4-a4d2-4d8b-9148-e3be6c30e623}">
          <xlrd:rvb i="14810"/>
        </ext>
      </extLst>
    </bk>
    <bk>
      <extLst>
        <ext uri="{3e2802c4-a4d2-4d8b-9148-e3be6c30e623}">
          <xlrd:rvb i="14811"/>
        </ext>
      </extLst>
    </bk>
    <bk>
      <extLst>
        <ext uri="{3e2802c4-a4d2-4d8b-9148-e3be6c30e623}">
          <xlrd:rvb i="14812"/>
        </ext>
      </extLst>
    </bk>
    <bk>
      <extLst>
        <ext uri="{3e2802c4-a4d2-4d8b-9148-e3be6c30e623}">
          <xlrd:rvb i="14813"/>
        </ext>
      </extLst>
    </bk>
    <bk>
      <extLst>
        <ext uri="{3e2802c4-a4d2-4d8b-9148-e3be6c30e623}">
          <xlrd:rvb i="14814"/>
        </ext>
      </extLst>
    </bk>
    <bk>
      <extLst>
        <ext uri="{3e2802c4-a4d2-4d8b-9148-e3be6c30e623}">
          <xlrd:rvb i="14815"/>
        </ext>
      </extLst>
    </bk>
    <bk>
      <extLst>
        <ext uri="{3e2802c4-a4d2-4d8b-9148-e3be6c30e623}">
          <xlrd:rvb i="14816"/>
        </ext>
      </extLst>
    </bk>
    <bk>
      <extLst>
        <ext uri="{3e2802c4-a4d2-4d8b-9148-e3be6c30e623}">
          <xlrd:rvb i="14817"/>
        </ext>
      </extLst>
    </bk>
    <bk>
      <extLst>
        <ext uri="{3e2802c4-a4d2-4d8b-9148-e3be6c30e623}">
          <xlrd:rvb i="14818"/>
        </ext>
      </extLst>
    </bk>
    <bk>
      <extLst>
        <ext uri="{3e2802c4-a4d2-4d8b-9148-e3be6c30e623}">
          <xlrd:rvb i="14819"/>
        </ext>
      </extLst>
    </bk>
    <bk>
      <extLst>
        <ext uri="{3e2802c4-a4d2-4d8b-9148-e3be6c30e623}">
          <xlrd:rvb i="14820"/>
        </ext>
      </extLst>
    </bk>
    <bk>
      <extLst>
        <ext uri="{3e2802c4-a4d2-4d8b-9148-e3be6c30e623}">
          <xlrd:rvb i="14821"/>
        </ext>
      </extLst>
    </bk>
    <bk>
      <extLst>
        <ext uri="{3e2802c4-a4d2-4d8b-9148-e3be6c30e623}">
          <xlrd:rvb i="14822"/>
        </ext>
      </extLst>
    </bk>
    <bk>
      <extLst>
        <ext uri="{3e2802c4-a4d2-4d8b-9148-e3be6c30e623}">
          <xlrd:rvb i="14823"/>
        </ext>
      </extLst>
    </bk>
    <bk>
      <extLst>
        <ext uri="{3e2802c4-a4d2-4d8b-9148-e3be6c30e623}">
          <xlrd:rvb i="14824"/>
        </ext>
      </extLst>
    </bk>
    <bk>
      <extLst>
        <ext uri="{3e2802c4-a4d2-4d8b-9148-e3be6c30e623}">
          <xlrd:rvb i="14825"/>
        </ext>
      </extLst>
    </bk>
    <bk>
      <extLst>
        <ext uri="{3e2802c4-a4d2-4d8b-9148-e3be6c30e623}">
          <xlrd:rvb i="14826"/>
        </ext>
      </extLst>
    </bk>
    <bk>
      <extLst>
        <ext uri="{3e2802c4-a4d2-4d8b-9148-e3be6c30e623}">
          <xlrd:rvb i="14827"/>
        </ext>
      </extLst>
    </bk>
    <bk>
      <extLst>
        <ext uri="{3e2802c4-a4d2-4d8b-9148-e3be6c30e623}">
          <xlrd:rvb i="14828"/>
        </ext>
      </extLst>
    </bk>
    <bk>
      <extLst>
        <ext uri="{3e2802c4-a4d2-4d8b-9148-e3be6c30e623}">
          <xlrd:rvb i="14829"/>
        </ext>
      </extLst>
    </bk>
    <bk>
      <extLst>
        <ext uri="{3e2802c4-a4d2-4d8b-9148-e3be6c30e623}">
          <xlrd:rvb i="14830"/>
        </ext>
      </extLst>
    </bk>
    <bk>
      <extLst>
        <ext uri="{3e2802c4-a4d2-4d8b-9148-e3be6c30e623}">
          <xlrd:rvb i="14831"/>
        </ext>
      </extLst>
    </bk>
    <bk>
      <extLst>
        <ext uri="{3e2802c4-a4d2-4d8b-9148-e3be6c30e623}">
          <xlrd:rvb i="14832"/>
        </ext>
      </extLst>
    </bk>
    <bk>
      <extLst>
        <ext uri="{3e2802c4-a4d2-4d8b-9148-e3be6c30e623}">
          <xlrd:rvb i="14833"/>
        </ext>
      </extLst>
    </bk>
    <bk>
      <extLst>
        <ext uri="{3e2802c4-a4d2-4d8b-9148-e3be6c30e623}">
          <xlrd:rvb i="14834"/>
        </ext>
      </extLst>
    </bk>
    <bk>
      <extLst>
        <ext uri="{3e2802c4-a4d2-4d8b-9148-e3be6c30e623}">
          <xlrd:rvb i="14835"/>
        </ext>
      </extLst>
    </bk>
    <bk>
      <extLst>
        <ext uri="{3e2802c4-a4d2-4d8b-9148-e3be6c30e623}">
          <xlrd:rvb i="14836"/>
        </ext>
      </extLst>
    </bk>
    <bk>
      <extLst>
        <ext uri="{3e2802c4-a4d2-4d8b-9148-e3be6c30e623}">
          <xlrd:rvb i="14837"/>
        </ext>
      </extLst>
    </bk>
    <bk>
      <extLst>
        <ext uri="{3e2802c4-a4d2-4d8b-9148-e3be6c30e623}">
          <xlrd:rvb i="14838"/>
        </ext>
      </extLst>
    </bk>
    <bk>
      <extLst>
        <ext uri="{3e2802c4-a4d2-4d8b-9148-e3be6c30e623}">
          <xlrd:rvb i="14839"/>
        </ext>
      </extLst>
    </bk>
    <bk>
      <extLst>
        <ext uri="{3e2802c4-a4d2-4d8b-9148-e3be6c30e623}">
          <xlrd:rvb i="14840"/>
        </ext>
      </extLst>
    </bk>
    <bk>
      <extLst>
        <ext uri="{3e2802c4-a4d2-4d8b-9148-e3be6c30e623}">
          <xlrd:rvb i="14841"/>
        </ext>
      </extLst>
    </bk>
    <bk>
      <extLst>
        <ext uri="{3e2802c4-a4d2-4d8b-9148-e3be6c30e623}">
          <xlrd:rvb i="14842"/>
        </ext>
      </extLst>
    </bk>
    <bk>
      <extLst>
        <ext uri="{3e2802c4-a4d2-4d8b-9148-e3be6c30e623}">
          <xlrd:rvb i="14843"/>
        </ext>
      </extLst>
    </bk>
    <bk>
      <extLst>
        <ext uri="{3e2802c4-a4d2-4d8b-9148-e3be6c30e623}">
          <xlrd:rvb i="14844"/>
        </ext>
      </extLst>
    </bk>
    <bk>
      <extLst>
        <ext uri="{3e2802c4-a4d2-4d8b-9148-e3be6c30e623}">
          <xlrd:rvb i="14845"/>
        </ext>
      </extLst>
    </bk>
    <bk>
      <extLst>
        <ext uri="{3e2802c4-a4d2-4d8b-9148-e3be6c30e623}">
          <xlrd:rvb i="14846"/>
        </ext>
      </extLst>
    </bk>
    <bk>
      <extLst>
        <ext uri="{3e2802c4-a4d2-4d8b-9148-e3be6c30e623}">
          <xlrd:rvb i="14847"/>
        </ext>
      </extLst>
    </bk>
    <bk>
      <extLst>
        <ext uri="{3e2802c4-a4d2-4d8b-9148-e3be6c30e623}">
          <xlrd:rvb i="14848"/>
        </ext>
      </extLst>
    </bk>
    <bk>
      <extLst>
        <ext uri="{3e2802c4-a4d2-4d8b-9148-e3be6c30e623}">
          <xlrd:rvb i="14849"/>
        </ext>
      </extLst>
    </bk>
    <bk>
      <extLst>
        <ext uri="{3e2802c4-a4d2-4d8b-9148-e3be6c30e623}">
          <xlrd:rvb i="14850"/>
        </ext>
      </extLst>
    </bk>
    <bk>
      <extLst>
        <ext uri="{3e2802c4-a4d2-4d8b-9148-e3be6c30e623}">
          <xlrd:rvb i="14851"/>
        </ext>
      </extLst>
    </bk>
    <bk>
      <extLst>
        <ext uri="{3e2802c4-a4d2-4d8b-9148-e3be6c30e623}">
          <xlrd:rvb i="14852"/>
        </ext>
      </extLst>
    </bk>
    <bk>
      <extLst>
        <ext uri="{3e2802c4-a4d2-4d8b-9148-e3be6c30e623}">
          <xlrd:rvb i="14853"/>
        </ext>
      </extLst>
    </bk>
    <bk>
      <extLst>
        <ext uri="{3e2802c4-a4d2-4d8b-9148-e3be6c30e623}">
          <xlrd:rvb i="14854"/>
        </ext>
      </extLst>
    </bk>
    <bk>
      <extLst>
        <ext uri="{3e2802c4-a4d2-4d8b-9148-e3be6c30e623}">
          <xlrd:rvb i="14855"/>
        </ext>
      </extLst>
    </bk>
    <bk>
      <extLst>
        <ext uri="{3e2802c4-a4d2-4d8b-9148-e3be6c30e623}">
          <xlrd:rvb i="14856"/>
        </ext>
      </extLst>
    </bk>
    <bk>
      <extLst>
        <ext uri="{3e2802c4-a4d2-4d8b-9148-e3be6c30e623}">
          <xlrd:rvb i="14857"/>
        </ext>
      </extLst>
    </bk>
    <bk>
      <extLst>
        <ext uri="{3e2802c4-a4d2-4d8b-9148-e3be6c30e623}">
          <xlrd:rvb i="14858"/>
        </ext>
      </extLst>
    </bk>
    <bk>
      <extLst>
        <ext uri="{3e2802c4-a4d2-4d8b-9148-e3be6c30e623}">
          <xlrd:rvb i="14859"/>
        </ext>
      </extLst>
    </bk>
    <bk>
      <extLst>
        <ext uri="{3e2802c4-a4d2-4d8b-9148-e3be6c30e623}">
          <xlrd:rvb i="14860"/>
        </ext>
      </extLst>
    </bk>
    <bk>
      <extLst>
        <ext uri="{3e2802c4-a4d2-4d8b-9148-e3be6c30e623}">
          <xlrd:rvb i="14861"/>
        </ext>
      </extLst>
    </bk>
    <bk>
      <extLst>
        <ext uri="{3e2802c4-a4d2-4d8b-9148-e3be6c30e623}">
          <xlrd:rvb i="14862"/>
        </ext>
      </extLst>
    </bk>
    <bk>
      <extLst>
        <ext uri="{3e2802c4-a4d2-4d8b-9148-e3be6c30e623}">
          <xlrd:rvb i="14863"/>
        </ext>
      </extLst>
    </bk>
    <bk>
      <extLst>
        <ext uri="{3e2802c4-a4d2-4d8b-9148-e3be6c30e623}">
          <xlrd:rvb i="14864"/>
        </ext>
      </extLst>
    </bk>
    <bk>
      <extLst>
        <ext uri="{3e2802c4-a4d2-4d8b-9148-e3be6c30e623}">
          <xlrd:rvb i="14865"/>
        </ext>
      </extLst>
    </bk>
    <bk>
      <extLst>
        <ext uri="{3e2802c4-a4d2-4d8b-9148-e3be6c30e623}">
          <xlrd:rvb i="14866"/>
        </ext>
      </extLst>
    </bk>
    <bk>
      <extLst>
        <ext uri="{3e2802c4-a4d2-4d8b-9148-e3be6c30e623}">
          <xlrd:rvb i="14867"/>
        </ext>
      </extLst>
    </bk>
    <bk>
      <extLst>
        <ext uri="{3e2802c4-a4d2-4d8b-9148-e3be6c30e623}">
          <xlrd:rvb i="14868"/>
        </ext>
      </extLst>
    </bk>
    <bk>
      <extLst>
        <ext uri="{3e2802c4-a4d2-4d8b-9148-e3be6c30e623}">
          <xlrd:rvb i="14869"/>
        </ext>
      </extLst>
    </bk>
    <bk>
      <extLst>
        <ext uri="{3e2802c4-a4d2-4d8b-9148-e3be6c30e623}">
          <xlrd:rvb i="14870"/>
        </ext>
      </extLst>
    </bk>
    <bk>
      <extLst>
        <ext uri="{3e2802c4-a4d2-4d8b-9148-e3be6c30e623}">
          <xlrd:rvb i="14871"/>
        </ext>
      </extLst>
    </bk>
    <bk>
      <extLst>
        <ext uri="{3e2802c4-a4d2-4d8b-9148-e3be6c30e623}">
          <xlrd:rvb i="14872"/>
        </ext>
      </extLst>
    </bk>
    <bk>
      <extLst>
        <ext uri="{3e2802c4-a4d2-4d8b-9148-e3be6c30e623}">
          <xlrd:rvb i="14873"/>
        </ext>
      </extLst>
    </bk>
    <bk>
      <extLst>
        <ext uri="{3e2802c4-a4d2-4d8b-9148-e3be6c30e623}">
          <xlrd:rvb i="14874"/>
        </ext>
      </extLst>
    </bk>
    <bk>
      <extLst>
        <ext uri="{3e2802c4-a4d2-4d8b-9148-e3be6c30e623}">
          <xlrd:rvb i="14875"/>
        </ext>
      </extLst>
    </bk>
    <bk>
      <extLst>
        <ext uri="{3e2802c4-a4d2-4d8b-9148-e3be6c30e623}">
          <xlrd:rvb i="14876"/>
        </ext>
      </extLst>
    </bk>
    <bk>
      <extLst>
        <ext uri="{3e2802c4-a4d2-4d8b-9148-e3be6c30e623}">
          <xlrd:rvb i="14877"/>
        </ext>
      </extLst>
    </bk>
    <bk>
      <extLst>
        <ext uri="{3e2802c4-a4d2-4d8b-9148-e3be6c30e623}">
          <xlrd:rvb i="14878"/>
        </ext>
      </extLst>
    </bk>
    <bk>
      <extLst>
        <ext uri="{3e2802c4-a4d2-4d8b-9148-e3be6c30e623}">
          <xlrd:rvb i="14879"/>
        </ext>
      </extLst>
    </bk>
    <bk>
      <extLst>
        <ext uri="{3e2802c4-a4d2-4d8b-9148-e3be6c30e623}">
          <xlrd:rvb i="14880"/>
        </ext>
      </extLst>
    </bk>
    <bk>
      <extLst>
        <ext uri="{3e2802c4-a4d2-4d8b-9148-e3be6c30e623}">
          <xlrd:rvb i="14881"/>
        </ext>
      </extLst>
    </bk>
    <bk>
      <extLst>
        <ext uri="{3e2802c4-a4d2-4d8b-9148-e3be6c30e623}">
          <xlrd:rvb i="14882"/>
        </ext>
      </extLst>
    </bk>
    <bk>
      <extLst>
        <ext uri="{3e2802c4-a4d2-4d8b-9148-e3be6c30e623}">
          <xlrd:rvb i="14883"/>
        </ext>
      </extLst>
    </bk>
    <bk>
      <extLst>
        <ext uri="{3e2802c4-a4d2-4d8b-9148-e3be6c30e623}">
          <xlrd:rvb i="14884"/>
        </ext>
      </extLst>
    </bk>
    <bk>
      <extLst>
        <ext uri="{3e2802c4-a4d2-4d8b-9148-e3be6c30e623}">
          <xlrd:rvb i="14885"/>
        </ext>
      </extLst>
    </bk>
    <bk>
      <extLst>
        <ext uri="{3e2802c4-a4d2-4d8b-9148-e3be6c30e623}">
          <xlrd:rvb i="14886"/>
        </ext>
      </extLst>
    </bk>
    <bk>
      <extLst>
        <ext uri="{3e2802c4-a4d2-4d8b-9148-e3be6c30e623}">
          <xlrd:rvb i="14887"/>
        </ext>
      </extLst>
    </bk>
    <bk>
      <extLst>
        <ext uri="{3e2802c4-a4d2-4d8b-9148-e3be6c30e623}">
          <xlrd:rvb i="14888"/>
        </ext>
      </extLst>
    </bk>
    <bk>
      <extLst>
        <ext uri="{3e2802c4-a4d2-4d8b-9148-e3be6c30e623}">
          <xlrd:rvb i="14889"/>
        </ext>
      </extLst>
    </bk>
    <bk>
      <extLst>
        <ext uri="{3e2802c4-a4d2-4d8b-9148-e3be6c30e623}">
          <xlrd:rvb i="14890"/>
        </ext>
      </extLst>
    </bk>
    <bk>
      <extLst>
        <ext uri="{3e2802c4-a4d2-4d8b-9148-e3be6c30e623}">
          <xlrd:rvb i="14891"/>
        </ext>
      </extLst>
    </bk>
    <bk>
      <extLst>
        <ext uri="{3e2802c4-a4d2-4d8b-9148-e3be6c30e623}">
          <xlrd:rvb i="14892"/>
        </ext>
      </extLst>
    </bk>
    <bk>
      <extLst>
        <ext uri="{3e2802c4-a4d2-4d8b-9148-e3be6c30e623}">
          <xlrd:rvb i="14893"/>
        </ext>
      </extLst>
    </bk>
    <bk>
      <extLst>
        <ext uri="{3e2802c4-a4d2-4d8b-9148-e3be6c30e623}">
          <xlrd:rvb i="14894"/>
        </ext>
      </extLst>
    </bk>
    <bk>
      <extLst>
        <ext uri="{3e2802c4-a4d2-4d8b-9148-e3be6c30e623}">
          <xlrd:rvb i="14895"/>
        </ext>
      </extLst>
    </bk>
    <bk>
      <extLst>
        <ext uri="{3e2802c4-a4d2-4d8b-9148-e3be6c30e623}">
          <xlrd:rvb i="14896"/>
        </ext>
      </extLst>
    </bk>
    <bk>
      <extLst>
        <ext uri="{3e2802c4-a4d2-4d8b-9148-e3be6c30e623}">
          <xlrd:rvb i="14897"/>
        </ext>
      </extLst>
    </bk>
    <bk>
      <extLst>
        <ext uri="{3e2802c4-a4d2-4d8b-9148-e3be6c30e623}">
          <xlrd:rvb i="14898"/>
        </ext>
      </extLst>
    </bk>
    <bk>
      <extLst>
        <ext uri="{3e2802c4-a4d2-4d8b-9148-e3be6c30e623}">
          <xlrd:rvb i="14899"/>
        </ext>
      </extLst>
    </bk>
    <bk>
      <extLst>
        <ext uri="{3e2802c4-a4d2-4d8b-9148-e3be6c30e623}">
          <xlrd:rvb i="14900"/>
        </ext>
      </extLst>
    </bk>
    <bk>
      <extLst>
        <ext uri="{3e2802c4-a4d2-4d8b-9148-e3be6c30e623}">
          <xlrd:rvb i="14901"/>
        </ext>
      </extLst>
    </bk>
    <bk>
      <extLst>
        <ext uri="{3e2802c4-a4d2-4d8b-9148-e3be6c30e623}">
          <xlrd:rvb i="14902"/>
        </ext>
      </extLst>
    </bk>
    <bk>
      <extLst>
        <ext uri="{3e2802c4-a4d2-4d8b-9148-e3be6c30e623}">
          <xlrd:rvb i="14903"/>
        </ext>
      </extLst>
    </bk>
    <bk>
      <extLst>
        <ext uri="{3e2802c4-a4d2-4d8b-9148-e3be6c30e623}">
          <xlrd:rvb i="14904"/>
        </ext>
      </extLst>
    </bk>
    <bk>
      <extLst>
        <ext uri="{3e2802c4-a4d2-4d8b-9148-e3be6c30e623}">
          <xlrd:rvb i="14905"/>
        </ext>
      </extLst>
    </bk>
    <bk>
      <extLst>
        <ext uri="{3e2802c4-a4d2-4d8b-9148-e3be6c30e623}">
          <xlrd:rvb i="14906"/>
        </ext>
      </extLst>
    </bk>
    <bk>
      <extLst>
        <ext uri="{3e2802c4-a4d2-4d8b-9148-e3be6c30e623}">
          <xlrd:rvb i="14907"/>
        </ext>
      </extLst>
    </bk>
    <bk>
      <extLst>
        <ext uri="{3e2802c4-a4d2-4d8b-9148-e3be6c30e623}">
          <xlrd:rvb i="14908"/>
        </ext>
      </extLst>
    </bk>
    <bk>
      <extLst>
        <ext uri="{3e2802c4-a4d2-4d8b-9148-e3be6c30e623}">
          <xlrd:rvb i="14909"/>
        </ext>
      </extLst>
    </bk>
    <bk>
      <extLst>
        <ext uri="{3e2802c4-a4d2-4d8b-9148-e3be6c30e623}">
          <xlrd:rvb i="14910"/>
        </ext>
      </extLst>
    </bk>
    <bk>
      <extLst>
        <ext uri="{3e2802c4-a4d2-4d8b-9148-e3be6c30e623}">
          <xlrd:rvb i="14911"/>
        </ext>
      </extLst>
    </bk>
    <bk>
      <extLst>
        <ext uri="{3e2802c4-a4d2-4d8b-9148-e3be6c30e623}">
          <xlrd:rvb i="14912"/>
        </ext>
      </extLst>
    </bk>
    <bk>
      <extLst>
        <ext uri="{3e2802c4-a4d2-4d8b-9148-e3be6c30e623}">
          <xlrd:rvb i="14913"/>
        </ext>
      </extLst>
    </bk>
    <bk>
      <extLst>
        <ext uri="{3e2802c4-a4d2-4d8b-9148-e3be6c30e623}">
          <xlrd:rvb i="14914"/>
        </ext>
      </extLst>
    </bk>
    <bk>
      <extLst>
        <ext uri="{3e2802c4-a4d2-4d8b-9148-e3be6c30e623}">
          <xlrd:rvb i="14915"/>
        </ext>
      </extLst>
    </bk>
    <bk>
      <extLst>
        <ext uri="{3e2802c4-a4d2-4d8b-9148-e3be6c30e623}">
          <xlrd:rvb i="14916"/>
        </ext>
      </extLst>
    </bk>
    <bk>
      <extLst>
        <ext uri="{3e2802c4-a4d2-4d8b-9148-e3be6c30e623}">
          <xlrd:rvb i="14917"/>
        </ext>
      </extLst>
    </bk>
    <bk>
      <extLst>
        <ext uri="{3e2802c4-a4d2-4d8b-9148-e3be6c30e623}">
          <xlrd:rvb i="14918"/>
        </ext>
      </extLst>
    </bk>
    <bk>
      <extLst>
        <ext uri="{3e2802c4-a4d2-4d8b-9148-e3be6c30e623}">
          <xlrd:rvb i="14919"/>
        </ext>
      </extLst>
    </bk>
    <bk>
      <extLst>
        <ext uri="{3e2802c4-a4d2-4d8b-9148-e3be6c30e623}">
          <xlrd:rvb i="14920"/>
        </ext>
      </extLst>
    </bk>
    <bk>
      <extLst>
        <ext uri="{3e2802c4-a4d2-4d8b-9148-e3be6c30e623}">
          <xlrd:rvb i="14921"/>
        </ext>
      </extLst>
    </bk>
    <bk>
      <extLst>
        <ext uri="{3e2802c4-a4d2-4d8b-9148-e3be6c30e623}">
          <xlrd:rvb i="14922"/>
        </ext>
      </extLst>
    </bk>
    <bk>
      <extLst>
        <ext uri="{3e2802c4-a4d2-4d8b-9148-e3be6c30e623}">
          <xlrd:rvb i="14923"/>
        </ext>
      </extLst>
    </bk>
    <bk>
      <extLst>
        <ext uri="{3e2802c4-a4d2-4d8b-9148-e3be6c30e623}">
          <xlrd:rvb i="14924"/>
        </ext>
      </extLst>
    </bk>
    <bk>
      <extLst>
        <ext uri="{3e2802c4-a4d2-4d8b-9148-e3be6c30e623}">
          <xlrd:rvb i="14925"/>
        </ext>
      </extLst>
    </bk>
    <bk>
      <extLst>
        <ext uri="{3e2802c4-a4d2-4d8b-9148-e3be6c30e623}">
          <xlrd:rvb i="14926"/>
        </ext>
      </extLst>
    </bk>
    <bk>
      <extLst>
        <ext uri="{3e2802c4-a4d2-4d8b-9148-e3be6c30e623}">
          <xlrd:rvb i="14927"/>
        </ext>
      </extLst>
    </bk>
    <bk>
      <extLst>
        <ext uri="{3e2802c4-a4d2-4d8b-9148-e3be6c30e623}">
          <xlrd:rvb i="14928"/>
        </ext>
      </extLst>
    </bk>
    <bk>
      <extLst>
        <ext uri="{3e2802c4-a4d2-4d8b-9148-e3be6c30e623}">
          <xlrd:rvb i="14929"/>
        </ext>
      </extLst>
    </bk>
    <bk>
      <extLst>
        <ext uri="{3e2802c4-a4d2-4d8b-9148-e3be6c30e623}">
          <xlrd:rvb i="14930"/>
        </ext>
      </extLst>
    </bk>
    <bk>
      <extLst>
        <ext uri="{3e2802c4-a4d2-4d8b-9148-e3be6c30e623}">
          <xlrd:rvb i="14931"/>
        </ext>
      </extLst>
    </bk>
    <bk>
      <extLst>
        <ext uri="{3e2802c4-a4d2-4d8b-9148-e3be6c30e623}">
          <xlrd:rvb i="14932"/>
        </ext>
      </extLst>
    </bk>
    <bk>
      <extLst>
        <ext uri="{3e2802c4-a4d2-4d8b-9148-e3be6c30e623}">
          <xlrd:rvb i="14933"/>
        </ext>
      </extLst>
    </bk>
    <bk>
      <extLst>
        <ext uri="{3e2802c4-a4d2-4d8b-9148-e3be6c30e623}">
          <xlrd:rvb i="14934"/>
        </ext>
      </extLst>
    </bk>
    <bk>
      <extLst>
        <ext uri="{3e2802c4-a4d2-4d8b-9148-e3be6c30e623}">
          <xlrd:rvb i="14935"/>
        </ext>
      </extLst>
    </bk>
    <bk>
      <extLst>
        <ext uri="{3e2802c4-a4d2-4d8b-9148-e3be6c30e623}">
          <xlrd:rvb i="14936"/>
        </ext>
      </extLst>
    </bk>
    <bk>
      <extLst>
        <ext uri="{3e2802c4-a4d2-4d8b-9148-e3be6c30e623}">
          <xlrd:rvb i="14937"/>
        </ext>
      </extLst>
    </bk>
    <bk>
      <extLst>
        <ext uri="{3e2802c4-a4d2-4d8b-9148-e3be6c30e623}">
          <xlrd:rvb i="14938"/>
        </ext>
      </extLst>
    </bk>
    <bk>
      <extLst>
        <ext uri="{3e2802c4-a4d2-4d8b-9148-e3be6c30e623}">
          <xlrd:rvb i="14939"/>
        </ext>
      </extLst>
    </bk>
    <bk>
      <extLst>
        <ext uri="{3e2802c4-a4d2-4d8b-9148-e3be6c30e623}">
          <xlrd:rvb i="14940"/>
        </ext>
      </extLst>
    </bk>
    <bk>
      <extLst>
        <ext uri="{3e2802c4-a4d2-4d8b-9148-e3be6c30e623}">
          <xlrd:rvb i="14941"/>
        </ext>
      </extLst>
    </bk>
    <bk>
      <extLst>
        <ext uri="{3e2802c4-a4d2-4d8b-9148-e3be6c30e623}">
          <xlrd:rvb i="14942"/>
        </ext>
      </extLst>
    </bk>
    <bk>
      <extLst>
        <ext uri="{3e2802c4-a4d2-4d8b-9148-e3be6c30e623}">
          <xlrd:rvb i="14943"/>
        </ext>
      </extLst>
    </bk>
    <bk>
      <extLst>
        <ext uri="{3e2802c4-a4d2-4d8b-9148-e3be6c30e623}">
          <xlrd:rvb i="14944"/>
        </ext>
      </extLst>
    </bk>
    <bk>
      <extLst>
        <ext uri="{3e2802c4-a4d2-4d8b-9148-e3be6c30e623}">
          <xlrd:rvb i="14945"/>
        </ext>
      </extLst>
    </bk>
    <bk>
      <extLst>
        <ext uri="{3e2802c4-a4d2-4d8b-9148-e3be6c30e623}">
          <xlrd:rvb i="14946"/>
        </ext>
      </extLst>
    </bk>
    <bk>
      <extLst>
        <ext uri="{3e2802c4-a4d2-4d8b-9148-e3be6c30e623}">
          <xlrd:rvb i="14947"/>
        </ext>
      </extLst>
    </bk>
    <bk>
      <extLst>
        <ext uri="{3e2802c4-a4d2-4d8b-9148-e3be6c30e623}">
          <xlrd:rvb i="14948"/>
        </ext>
      </extLst>
    </bk>
    <bk>
      <extLst>
        <ext uri="{3e2802c4-a4d2-4d8b-9148-e3be6c30e623}">
          <xlrd:rvb i="14949"/>
        </ext>
      </extLst>
    </bk>
    <bk>
      <extLst>
        <ext uri="{3e2802c4-a4d2-4d8b-9148-e3be6c30e623}">
          <xlrd:rvb i="14950"/>
        </ext>
      </extLst>
    </bk>
    <bk>
      <extLst>
        <ext uri="{3e2802c4-a4d2-4d8b-9148-e3be6c30e623}">
          <xlrd:rvb i="14951"/>
        </ext>
      </extLst>
    </bk>
    <bk>
      <extLst>
        <ext uri="{3e2802c4-a4d2-4d8b-9148-e3be6c30e623}">
          <xlrd:rvb i="14952"/>
        </ext>
      </extLst>
    </bk>
    <bk>
      <extLst>
        <ext uri="{3e2802c4-a4d2-4d8b-9148-e3be6c30e623}">
          <xlrd:rvb i="14953"/>
        </ext>
      </extLst>
    </bk>
    <bk>
      <extLst>
        <ext uri="{3e2802c4-a4d2-4d8b-9148-e3be6c30e623}">
          <xlrd:rvb i="14954"/>
        </ext>
      </extLst>
    </bk>
    <bk>
      <extLst>
        <ext uri="{3e2802c4-a4d2-4d8b-9148-e3be6c30e623}">
          <xlrd:rvb i="14955"/>
        </ext>
      </extLst>
    </bk>
    <bk>
      <extLst>
        <ext uri="{3e2802c4-a4d2-4d8b-9148-e3be6c30e623}">
          <xlrd:rvb i="14956"/>
        </ext>
      </extLst>
    </bk>
    <bk>
      <extLst>
        <ext uri="{3e2802c4-a4d2-4d8b-9148-e3be6c30e623}">
          <xlrd:rvb i="14957"/>
        </ext>
      </extLst>
    </bk>
    <bk>
      <extLst>
        <ext uri="{3e2802c4-a4d2-4d8b-9148-e3be6c30e623}">
          <xlrd:rvb i="14958"/>
        </ext>
      </extLst>
    </bk>
    <bk>
      <extLst>
        <ext uri="{3e2802c4-a4d2-4d8b-9148-e3be6c30e623}">
          <xlrd:rvb i="14959"/>
        </ext>
      </extLst>
    </bk>
    <bk>
      <extLst>
        <ext uri="{3e2802c4-a4d2-4d8b-9148-e3be6c30e623}">
          <xlrd:rvb i="14960"/>
        </ext>
      </extLst>
    </bk>
    <bk>
      <extLst>
        <ext uri="{3e2802c4-a4d2-4d8b-9148-e3be6c30e623}">
          <xlrd:rvb i="14961"/>
        </ext>
      </extLst>
    </bk>
    <bk>
      <extLst>
        <ext uri="{3e2802c4-a4d2-4d8b-9148-e3be6c30e623}">
          <xlrd:rvb i="14962"/>
        </ext>
      </extLst>
    </bk>
    <bk>
      <extLst>
        <ext uri="{3e2802c4-a4d2-4d8b-9148-e3be6c30e623}">
          <xlrd:rvb i="14963"/>
        </ext>
      </extLst>
    </bk>
    <bk>
      <extLst>
        <ext uri="{3e2802c4-a4d2-4d8b-9148-e3be6c30e623}">
          <xlrd:rvb i="14964"/>
        </ext>
      </extLst>
    </bk>
    <bk>
      <extLst>
        <ext uri="{3e2802c4-a4d2-4d8b-9148-e3be6c30e623}">
          <xlrd:rvb i="14965"/>
        </ext>
      </extLst>
    </bk>
    <bk>
      <extLst>
        <ext uri="{3e2802c4-a4d2-4d8b-9148-e3be6c30e623}">
          <xlrd:rvb i="14966"/>
        </ext>
      </extLst>
    </bk>
    <bk>
      <extLst>
        <ext uri="{3e2802c4-a4d2-4d8b-9148-e3be6c30e623}">
          <xlrd:rvb i="14967"/>
        </ext>
      </extLst>
    </bk>
    <bk>
      <extLst>
        <ext uri="{3e2802c4-a4d2-4d8b-9148-e3be6c30e623}">
          <xlrd:rvb i="14968"/>
        </ext>
      </extLst>
    </bk>
    <bk>
      <extLst>
        <ext uri="{3e2802c4-a4d2-4d8b-9148-e3be6c30e623}">
          <xlrd:rvb i="14969"/>
        </ext>
      </extLst>
    </bk>
    <bk>
      <extLst>
        <ext uri="{3e2802c4-a4d2-4d8b-9148-e3be6c30e623}">
          <xlrd:rvb i="14970"/>
        </ext>
      </extLst>
    </bk>
    <bk>
      <extLst>
        <ext uri="{3e2802c4-a4d2-4d8b-9148-e3be6c30e623}">
          <xlrd:rvb i="14971"/>
        </ext>
      </extLst>
    </bk>
    <bk>
      <extLst>
        <ext uri="{3e2802c4-a4d2-4d8b-9148-e3be6c30e623}">
          <xlrd:rvb i="14972"/>
        </ext>
      </extLst>
    </bk>
    <bk>
      <extLst>
        <ext uri="{3e2802c4-a4d2-4d8b-9148-e3be6c30e623}">
          <xlrd:rvb i="14973"/>
        </ext>
      </extLst>
    </bk>
    <bk>
      <extLst>
        <ext uri="{3e2802c4-a4d2-4d8b-9148-e3be6c30e623}">
          <xlrd:rvb i="14974"/>
        </ext>
      </extLst>
    </bk>
    <bk>
      <extLst>
        <ext uri="{3e2802c4-a4d2-4d8b-9148-e3be6c30e623}">
          <xlrd:rvb i="14975"/>
        </ext>
      </extLst>
    </bk>
    <bk>
      <extLst>
        <ext uri="{3e2802c4-a4d2-4d8b-9148-e3be6c30e623}">
          <xlrd:rvb i="14976"/>
        </ext>
      </extLst>
    </bk>
    <bk>
      <extLst>
        <ext uri="{3e2802c4-a4d2-4d8b-9148-e3be6c30e623}">
          <xlrd:rvb i="14977"/>
        </ext>
      </extLst>
    </bk>
    <bk>
      <extLst>
        <ext uri="{3e2802c4-a4d2-4d8b-9148-e3be6c30e623}">
          <xlrd:rvb i="14978"/>
        </ext>
      </extLst>
    </bk>
    <bk>
      <extLst>
        <ext uri="{3e2802c4-a4d2-4d8b-9148-e3be6c30e623}">
          <xlrd:rvb i="14979"/>
        </ext>
      </extLst>
    </bk>
    <bk>
      <extLst>
        <ext uri="{3e2802c4-a4d2-4d8b-9148-e3be6c30e623}">
          <xlrd:rvb i="14980"/>
        </ext>
      </extLst>
    </bk>
    <bk>
      <extLst>
        <ext uri="{3e2802c4-a4d2-4d8b-9148-e3be6c30e623}">
          <xlrd:rvb i="14981"/>
        </ext>
      </extLst>
    </bk>
    <bk>
      <extLst>
        <ext uri="{3e2802c4-a4d2-4d8b-9148-e3be6c30e623}">
          <xlrd:rvb i="14982"/>
        </ext>
      </extLst>
    </bk>
    <bk>
      <extLst>
        <ext uri="{3e2802c4-a4d2-4d8b-9148-e3be6c30e623}">
          <xlrd:rvb i="14983"/>
        </ext>
      </extLst>
    </bk>
    <bk>
      <extLst>
        <ext uri="{3e2802c4-a4d2-4d8b-9148-e3be6c30e623}">
          <xlrd:rvb i="14984"/>
        </ext>
      </extLst>
    </bk>
    <bk>
      <extLst>
        <ext uri="{3e2802c4-a4d2-4d8b-9148-e3be6c30e623}">
          <xlrd:rvb i="14985"/>
        </ext>
      </extLst>
    </bk>
    <bk>
      <extLst>
        <ext uri="{3e2802c4-a4d2-4d8b-9148-e3be6c30e623}">
          <xlrd:rvb i="14986"/>
        </ext>
      </extLst>
    </bk>
    <bk>
      <extLst>
        <ext uri="{3e2802c4-a4d2-4d8b-9148-e3be6c30e623}">
          <xlrd:rvb i="14987"/>
        </ext>
      </extLst>
    </bk>
    <bk>
      <extLst>
        <ext uri="{3e2802c4-a4d2-4d8b-9148-e3be6c30e623}">
          <xlrd:rvb i="14988"/>
        </ext>
      </extLst>
    </bk>
    <bk>
      <extLst>
        <ext uri="{3e2802c4-a4d2-4d8b-9148-e3be6c30e623}">
          <xlrd:rvb i="14989"/>
        </ext>
      </extLst>
    </bk>
    <bk>
      <extLst>
        <ext uri="{3e2802c4-a4d2-4d8b-9148-e3be6c30e623}">
          <xlrd:rvb i="14990"/>
        </ext>
      </extLst>
    </bk>
    <bk>
      <extLst>
        <ext uri="{3e2802c4-a4d2-4d8b-9148-e3be6c30e623}">
          <xlrd:rvb i="14991"/>
        </ext>
      </extLst>
    </bk>
    <bk>
      <extLst>
        <ext uri="{3e2802c4-a4d2-4d8b-9148-e3be6c30e623}">
          <xlrd:rvb i="14992"/>
        </ext>
      </extLst>
    </bk>
    <bk>
      <extLst>
        <ext uri="{3e2802c4-a4d2-4d8b-9148-e3be6c30e623}">
          <xlrd:rvb i="14993"/>
        </ext>
      </extLst>
    </bk>
    <bk>
      <extLst>
        <ext uri="{3e2802c4-a4d2-4d8b-9148-e3be6c30e623}">
          <xlrd:rvb i="14994"/>
        </ext>
      </extLst>
    </bk>
    <bk>
      <extLst>
        <ext uri="{3e2802c4-a4d2-4d8b-9148-e3be6c30e623}">
          <xlrd:rvb i="14995"/>
        </ext>
      </extLst>
    </bk>
    <bk>
      <extLst>
        <ext uri="{3e2802c4-a4d2-4d8b-9148-e3be6c30e623}">
          <xlrd:rvb i="14996"/>
        </ext>
      </extLst>
    </bk>
    <bk>
      <extLst>
        <ext uri="{3e2802c4-a4d2-4d8b-9148-e3be6c30e623}">
          <xlrd:rvb i="14997"/>
        </ext>
      </extLst>
    </bk>
    <bk>
      <extLst>
        <ext uri="{3e2802c4-a4d2-4d8b-9148-e3be6c30e623}">
          <xlrd:rvb i="14998"/>
        </ext>
      </extLst>
    </bk>
    <bk>
      <extLst>
        <ext uri="{3e2802c4-a4d2-4d8b-9148-e3be6c30e623}">
          <xlrd:rvb i="14999"/>
        </ext>
      </extLst>
    </bk>
    <bk>
      <extLst>
        <ext uri="{3e2802c4-a4d2-4d8b-9148-e3be6c30e623}">
          <xlrd:rvb i="15000"/>
        </ext>
      </extLst>
    </bk>
    <bk>
      <extLst>
        <ext uri="{3e2802c4-a4d2-4d8b-9148-e3be6c30e623}">
          <xlrd:rvb i="15001"/>
        </ext>
      </extLst>
    </bk>
    <bk>
      <extLst>
        <ext uri="{3e2802c4-a4d2-4d8b-9148-e3be6c30e623}">
          <xlrd:rvb i="15002"/>
        </ext>
      </extLst>
    </bk>
    <bk>
      <extLst>
        <ext uri="{3e2802c4-a4d2-4d8b-9148-e3be6c30e623}">
          <xlrd:rvb i="15003"/>
        </ext>
      </extLst>
    </bk>
    <bk>
      <extLst>
        <ext uri="{3e2802c4-a4d2-4d8b-9148-e3be6c30e623}">
          <xlrd:rvb i="15004"/>
        </ext>
      </extLst>
    </bk>
    <bk>
      <extLst>
        <ext uri="{3e2802c4-a4d2-4d8b-9148-e3be6c30e623}">
          <xlrd:rvb i="15005"/>
        </ext>
      </extLst>
    </bk>
    <bk>
      <extLst>
        <ext uri="{3e2802c4-a4d2-4d8b-9148-e3be6c30e623}">
          <xlrd:rvb i="15006"/>
        </ext>
      </extLst>
    </bk>
    <bk>
      <extLst>
        <ext uri="{3e2802c4-a4d2-4d8b-9148-e3be6c30e623}">
          <xlrd:rvb i="15007"/>
        </ext>
      </extLst>
    </bk>
    <bk>
      <extLst>
        <ext uri="{3e2802c4-a4d2-4d8b-9148-e3be6c30e623}">
          <xlrd:rvb i="15008"/>
        </ext>
      </extLst>
    </bk>
    <bk>
      <extLst>
        <ext uri="{3e2802c4-a4d2-4d8b-9148-e3be6c30e623}">
          <xlrd:rvb i="15009"/>
        </ext>
      </extLst>
    </bk>
    <bk>
      <extLst>
        <ext uri="{3e2802c4-a4d2-4d8b-9148-e3be6c30e623}">
          <xlrd:rvb i="15010"/>
        </ext>
      </extLst>
    </bk>
    <bk>
      <extLst>
        <ext uri="{3e2802c4-a4d2-4d8b-9148-e3be6c30e623}">
          <xlrd:rvb i="15011"/>
        </ext>
      </extLst>
    </bk>
    <bk>
      <extLst>
        <ext uri="{3e2802c4-a4d2-4d8b-9148-e3be6c30e623}">
          <xlrd:rvb i="15012"/>
        </ext>
      </extLst>
    </bk>
    <bk>
      <extLst>
        <ext uri="{3e2802c4-a4d2-4d8b-9148-e3be6c30e623}">
          <xlrd:rvb i="15013"/>
        </ext>
      </extLst>
    </bk>
    <bk>
      <extLst>
        <ext uri="{3e2802c4-a4d2-4d8b-9148-e3be6c30e623}">
          <xlrd:rvb i="15014"/>
        </ext>
      </extLst>
    </bk>
    <bk>
      <extLst>
        <ext uri="{3e2802c4-a4d2-4d8b-9148-e3be6c30e623}">
          <xlrd:rvb i="15015"/>
        </ext>
      </extLst>
    </bk>
    <bk>
      <extLst>
        <ext uri="{3e2802c4-a4d2-4d8b-9148-e3be6c30e623}">
          <xlrd:rvb i="15016"/>
        </ext>
      </extLst>
    </bk>
    <bk>
      <extLst>
        <ext uri="{3e2802c4-a4d2-4d8b-9148-e3be6c30e623}">
          <xlrd:rvb i="15017"/>
        </ext>
      </extLst>
    </bk>
    <bk>
      <extLst>
        <ext uri="{3e2802c4-a4d2-4d8b-9148-e3be6c30e623}">
          <xlrd:rvb i="15018"/>
        </ext>
      </extLst>
    </bk>
    <bk>
      <extLst>
        <ext uri="{3e2802c4-a4d2-4d8b-9148-e3be6c30e623}">
          <xlrd:rvb i="15019"/>
        </ext>
      </extLst>
    </bk>
    <bk>
      <extLst>
        <ext uri="{3e2802c4-a4d2-4d8b-9148-e3be6c30e623}">
          <xlrd:rvb i="15020"/>
        </ext>
      </extLst>
    </bk>
    <bk>
      <extLst>
        <ext uri="{3e2802c4-a4d2-4d8b-9148-e3be6c30e623}">
          <xlrd:rvb i="15021"/>
        </ext>
      </extLst>
    </bk>
    <bk>
      <extLst>
        <ext uri="{3e2802c4-a4d2-4d8b-9148-e3be6c30e623}">
          <xlrd:rvb i="15022"/>
        </ext>
      </extLst>
    </bk>
    <bk>
      <extLst>
        <ext uri="{3e2802c4-a4d2-4d8b-9148-e3be6c30e623}">
          <xlrd:rvb i="15023"/>
        </ext>
      </extLst>
    </bk>
    <bk>
      <extLst>
        <ext uri="{3e2802c4-a4d2-4d8b-9148-e3be6c30e623}">
          <xlrd:rvb i="15024"/>
        </ext>
      </extLst>
    </bk>
    <bk>
      <extLst>
        <ext uri="{3e2802c4-a4d2-4d8b-9148-e3be6c30e623}">
          <xlrd:rvb i="15025"/>
        </ext>
      </extLst>
    </bk>
    <bk>
      <extLst>
        <ext uri="{3e2802c4-a4d2-4d8b-9148-e3be6c30e623}">
          <xlrd:rvb i="15026"/>
        </ext>
      </extLst>
    </bk>
    <bk>
      <extLst>
        <ext uri="{3e2802c4-a4d2-4d8b-9148-e3be6c30e623}">
          <xlrd:rvb i="15027"/>
        </ext>
      </extLst>
    </bk>
    <bk>
      <extLst>
        <ext uri="{3e2802c4-a4d2-4d8b-9148-e3be6c30e623}">
          <xlrd:rvb i="15028"/>
        </ext>
      </extLst>
    </bk>
    <bk>
      <extLst>
        <ext uri="{3e2802c4-a4d2-4d8b-9148-e3be6c30e623}">
          <xlrd:rvb i="15029"/>
        </ext>
      </extLst>
    </bk>
    <bk>
      <extLst>
        <ext uri="{3e2802c4-a4d2-4d8b-9148-e3be6c30e623}">
          <xlrd:rvb i="15030"/>
        </ext>
      </extLst>
    </bk>
    <bk>
      <extLst>
        <ext uri="{3e2802c4-a4d2-4d8b-9148-e3be6c30e623}">
          <xlrd:rvb i="15031"/>
        </ext>
      </extLst>
    </bk>
    <bk>
      <extLst>
        <ext uri="{3e2802c4-a4d2-4d8b-9148-e3be6c30e623}">
          <xlrd:rvb i="15032"/>
        </ext>
      </extLst>
    </bk>
    <bk>
      <extLst>
        <ext uri="{3e2802c4-a4d2-4d8b-9148-e3be6c30e623}">
          <xlrd:rvb i="15033"/>
        </ext>
      </extLst>
    </bk>
    <bk>
      <extLst>
        <ext uri="{3e2802c4-a4d2-4d8b-9148-e3be6c30e623}">
          <xlrd:rvb i="15034"/>
        </ext>
      </extLst>
    </bk>
    <bk>
      <extLst>
        <ext uri="{3e2802c4-a4d2-4d8b-9148-e3be6c30e623}">
          <xlrd:rvb i="15035"/>
        </ext>
      </extLst>
    </bk>
    <bk>
      <extLst>
        <ext uri="{3e2802c4-a4d2-4d8b-9148-e3be6c30e623}">
          <xlrd:rvb i="15036"/>
        </ext>
      </extLst>
    </bk>
    <bk>
      <extLst>
        <ext uri="{3e2802c4-a4d2-4d8b-9148-e3be6c30e623}">
          <xlrd:rvb i="15037"/>
        </ext>
      </extLst>
    </bk>
    <bk>
      <extLst>
        <ext uri="{3e2802c4-a4d2-4d8b-9148-e3be6c30e623}">
          <xlrd:rvb i="15038"/>
        </ext>
      </extLst>
    </bk>
    <bk>
      <extLst>
        <ext uri="{3e2802c4-a4d2-4d8b-9148-e3be6c30e623}">
          <xlrd:rvb i="15039"/>
        </ext>
      </extLst>
    </bk>
    <bk>
      <extLst>
        <ext uri="{3e2802c4-a4d2-4d8b-9148-e3be6c30e623}">
          <xlrd:rvb i="15040"/>
        </ext>
      </extLst>
    </bk>
    <bk>
      <extLst>
        <ext uri="{3e2802c4-a4d2-4d8b-9148-e3be6c30e623}">
          <xlrd:rvb i="15041"/>
        </ext>
      </extLst>
    </bk>
    <bk>
      <extLst>
        <ext uri="{3e2802c4-a4d2-4d8b-9148-e3be6c30e623}">
          <xlrd:rvb i="15042"/>
        </ext>
      </extLst>
    </bk>
    <bk>
      <extLst>
        <ext uri="{3e2802c4-a4d2-4d8b-9148-e3be6c30e623}">
          <xlrd:rvb i="15043"/>
        </ext>
      </extLst>
    </bk>
    <bk>
      <extLst>
        <ext uri="{3e2802c4-a4d2-4d8b-9148-e3be6c30e623}">
          <xlrd:rvb i="15044"/>
        </ext>
      </extLst>
    </bk>
    <bk>
      <extLst>
        <ext uri="{3e2802c4-a4d2-4d8b-9148-e3be6c30e623}">
          <xlrd:rvb i="15045"/>
        </ext>
      </extLst>
    </bk>
    <bk>
      <extLst>
        <ext uri="{3e2802c4-a4d2-4d8b-9148-e3be6c30e623}">
          <xlrd:rvb i="15046"/>
        </ext>
      </extLst>
    </bk>
    <bk>
      <extLst>
        <ext uri="{3e2802c4-a4d2-4d8b-9148-e3be6c30e623}">
          <xlrd:rvb i="15047"/>
        </ext>
      </extLst>
    </bk>
    <bk>
      <extLst>
        <ext uri="{3e2802c4-a4d2-4d8b-9148-e3be6c30e623}">
          <xlrd:rvb i="15048"/>
        </ext>
      </extLst>
    </bk>
    <bk>
      <extLst>
        <ext uri="{3e2802c4-a4d2-4d8b-9148-e3be6c30e623}">
          <xlrd:rvb i="15049"/>
        </ext>
      </extLst>
    </bk>
    <bk>
      <extLst>
        <ext uri="{3e2802c4-a4d2-4d8b-9148-e3be6c30e623}">
          <xlrd:rvb i="15050"/>
        </ext>
      </extLst>
    </bk>
    <bk>
      <extLst>
        <ext uri="{3e2802c4-a4d2-4d8b-9148-e3be6c30e623}">
          <xlrd:rvb i="15051"/>
        </ext>
      </extLst>
    </bk>
    <bk>
      <extLst>
        <ext uri="{3e2802c4-a4d2-4d8b-9148-e3be6c30e623}">
          <xlrd:rvb i="15052"/>
        </ext>
      </extLst>
    </bk>
    <bk>
      <extLst>
        <ext uri="{3e2802c4-a4d2-4d8b-9148-e3be6c30e623}">
          <xlrd:rvb i="15053"/>
        </ext>
      </extLst>
    </bk>
    <bk>
      <extLst>
        <ext uri="{3e2802c4-a4d2-4d8b-9148-e3be6c30e623}">
          <xlrd:rvb i="15054"/>
        </ext>
      </extLst>
    </bk>
    <bk>
      <extLst>
        <ext uri="{3e2802c4-a4d2-4d8b-9148-e3be6c30e623}">
          <xlrd:rvb i="15055"/>
        </ext>
      </extLst>
    </bk>
    <bk>
      <extLst>
        <ext uri="{3e2802c4-a4d2-4d8b-9148-e3be6c30e623}">
          <xlrd:rvb i="15056"/>
        </ext>
      </extLst>
    </bk>
    <bk>
      <extLst>
        <ext uri="{3e2802c4-a4d2-4d8b-9148-e3be6c30e623}">
          <xlrd:rvb i="15057"/>
        </ext>
      </extLst>
    </bk>
    <bk>
      <extLst>
        <ext uri="{3e2802c4-a4d2-4d8b-9148-e3be6c30e623}">
          <xlrd:rvb i="15058"/>
        </ext>
      </extLst>
    </bk>
    <bk>
      <extLst>
        <ext uri="{3e2802c4-a4d2-4d8b-9148-e3be6c30e623}">
          <xlrd:rvb i="15059"/>
        </ext>
      </extLst>
    </bk>
    <bk>
      <extLst>
        <ext uri="{3e2802c4-a4d2-4d8b-9148-e3be6c30e623}">
          <xlrd:rvb i="15060"/>
        </ext>
      </extLst>
    </bk>
    <bk>
      <extLst>
        <ext uri="{3e2802c4-a4d2-4d8b-9148-e3be6c30e623}">
          <xlrd:rvb i="15061"/>
        </ext>
      </extLst>
    </bk>
    <bk>
      <extLst>
        <ext uri="{3e2802c4-a4d2-4d8b-9148-e3be6c30e623}">
          <xlrd:rvb i="15062"/>
        </ext>
      </extLst>
    </bk>
    <bk>
      <extLst>
        <ext uri="{3e2802c4-a4d2-4d8b-9148-e3be6c30e623}">
          <xlrd:rvb i="15063"/>
        </ext>
      </extLst>
    </bk>
    <bk>
      <extLst>
        <ext uri="{3e2802c4-a4d2-4d8b-9148-e3be6c30e623}">
          <xlrd:rvb i="15064"/>
        </ext>
      </extLst>
    </bk>
    <bk>
      <extLst>
        <ext uri="{3e2802c4-a4d2-4d8b-9148-e3be6c30e623}">
          <xlrd:rvb i="15065"/>
        </ext>
      </extLst>
    </bk>
    <bk>
      <extLst>
        <ext uri="{3e2802c4-a4d2-4d8b-9148-e3be6c30e623}">
          <xlrd:rvb i="15066"/>
        </ext>
      </extLst>
    </bk>
    <bk>
      <extLst>
        <ext uri="{3e2802c4-a4d2-4d8b-9148-e3be6c30e623}">
          <xlrd:rvb i="15067"/>
        </ext>
      </extLst>
    </bk>
    <bk>
      <extLst>
        <ext uri="{3e2802c4-a4d2-4d8b-9148-e3be6c30e623}">
          <xlrd:rvb i="15068"/>
        </ext>
      </extLst>
    </bk>
    <bk>
      <extLst>
        <ext uri="{3e2802c4-a4d2-4d8b-9148-e3be6c30e623}">
          <xlrd:rvb i="15069"/>
        </ext>
      </extLst>
    </bk>
    <bk>
      <extLst>
        <ext uri="{3e2802c4-a4d2-4d8b-9148-e3be6c30e623}">
          <xlrd:rvb i="15070"/>
        </ext>
      </extLst>
    </bk>
    <bk>
      <extLst>
        <ext uri="{3e2802c4-a4d2-4d8b-9148-e3be6c30e623}">
          <xlrd:rvb i="15071"/>
        </ext>
      </extLst>
    </bk>
    <bk>
      <extLst>
        <ext uri="{3e2802c4-a4d2-4d8b-9148-e3be6c30e623}">
          <xlrd:rvb i="15072"/>
        </ext>
      </extLst>
    </bk>
    <bk>
      <extLst>
        <ext uri="{3e2802c4-a4d2-4d8b-9148-e3be6c30e623}">
          <xlrd:rvb i="15073"/>
        </ext>
      </extLst>
    </bk>
    <bk>
      <extLst>
        <ext uri="{3e2802c4-a4d2-4d8b-9148-e3be6c30e623}">
          <xlrd:rvb i="15074"/>
        </ext>
      </extLst>
    </bk>
    <bk>
      <extLst>
        <ext uri="{3e2802c4-a4d2-4d8b-9148-e3be6c30e623}">
          <xlrd:rvb i="15075"/>
        </ext>
      </extLst>
    </bk>
    <bk>
      <extLst>
        <ext uri="{3e2802c4-a4d2-4d8b-9148-e3be6c30e623}">
          <xlrd:rvb i="15076"/>
        </ext>
      </extLst>
    </bk>
    <bk>
      <extLst>
        <ext uri="{3e2802c4-a4d2-4d8b-9148-e3be6c30e623}">
          <xlrd:rvb i="15077"/>
        </ext>
      </extLst>
    </bk>
    <bk>
      <extLst>
        <ext uri="{3e2802c4-a4d2-4d8b-9148-e3be6c30e623}">
          <xlrd:rvb i="15078"/>
        </ext>
      </extLst>
    </bk>
    <bk>
      <extLst>
        <ext uri="{3e2802c4-a4d2-4d8b-9148-e3be6c30e623}">
          <xlrd:rvb i="15079"/>
        </ext>
      </extLst>
    </bk>
    <bk>
      <extLst>
        <ext uri="{3e2802c4-a4d2-4d8b-9148-e3be6c30e623}">
          <xlrd:rvb i="15080"/>
        </ext>
      </extLst>
    </bk>
    <bk>
      <extLst>
        <ext uri="{3e2802c4-a4d2-4d8b-9148-e3be6c30e623}">
          <xlrd:rvb i="15081"/>
        </ext>
      </extLst>
    </bk>
    <bk>
      <extLst>
        <ext uri="{3e2802c4-a4d2-4d8b-9148-e3be6c30e623}">
          <xlrd:rvb i="15082"/>
        </ext>
      </extLst>
    </bk>
    <bk>
      <extLst>
        <ext uri="{3e2802c4-a4d2-4d8b-9148-e3be6c30e623}">
          <xlrd:rvb i="15083"/>
        </ext>
      </extLst>
    </bk>
    <bk>
      <extLst>
        <ext uri="{3e2802c4-a4d2-4d8b-9148-e3be6c30e623}">
          <xlrd:rvb i="15084"/>
        </ext>
      </extLst>
    </bk>
    <bk>
      <extLst>
        <ext uri="{3e2802c4-a4d2-4d8b-9148-e3be6c30e623}">
          <xlrd:rvb i="15085"/>
        </ext>
      </extLst>
    </bk>
    <bk>
      <extLst>
        <ext uri="{3e2802c4-a4d2-4d8b-9148-e3be6c30e623}">
          <xlrd:rvb i="15086"/>
        </ext>
      </extLst>
    </bk>
    <bk>
      <extLst>
        <ext uri="{3e2802c4-a4d2-4d8b-9148-e3be6c30e623}">
          <xlrd:rvb i="15087"/>
        </ext>
      </extLst>
    </bk>
    <bk>
      <extLst>
        <ext uri="{3e2802c4-a4d2-4d8b-9148-e3be6c30e623}">
          <xlrd:rvb i="15088"/>
        </ext>
      </extLst>
    </bk>
    <bk>
      <extLst>
        <ext uri="{3e2802c4-a4d2-4d8b-9148-e3be6c30e623}">
          <xlrd:rvb i="15089"/>
        </ext>
      </extLst>
    </bk>
    <bk>
      <extLst>
        <ext uri="{3e2802c4-a4d2-4d8b-9148-e3be6c30e623}">
          <xlrd:rvb i="15090"/>
        </ext>
      </extLst>
    </bk>
    <bk>
      <extLst>
        <ext uri="{3e2802c4-a4d2-4d8b-9148-e3be6c30e623}">
          <xlrd:rvb i="15091"/>
        </ext>
      </extLst>
    </bk>
    <bk>
      <extLst>
        <ext uri="{3e2802c4-a4d2-4d8b-9148-e3be6c30e623}">
          <xlrd:rvb i="15092"/>
        </ext>
      </extLst>
    </bk>
    <bk>
      <extLst>
        <ext uri="{3e2802c4-a4d2-4d8b-9148-e3be6c30e623}">
          <xlrd:rvb i="15093"/>
        </ext>
      </extLst>
    </bk>
    <bk>
      <extLst>
        <ext uri="{3e2802c4-a4d2-4d8b-9148-e3be6c30e623}">
          <xlrd:rvb i="15094"/>
        </ext>
      </extLst>
    </bk>
    <bk>
      <extLst>
        <ext uri="{3e2802c4-a4d2-4d8b-9148-e3be6c30e623}">
          <xlrd:rvb i="15095"/>
        </ext>
      </extLst>
    </bk>
    <bk>
      <extLst>
        <ext uri="{3e2802c4-a4d2-4d8b-9148-e3be6c30e623}">
          <xlrd:rvb i="15096"/>
        </ext>
      </extLst>
    </bk>
    <bk>
      <extLst>
        <ext uri="{3e2802c4-a4d2-4d8b-9148-e3be6c30e623}">
          <xlrd:rvb i="15097"/>
        </ext>
      </extLst>
    </bk>
    <bk>
      <extLst>
        <ext uri="{3e2802c4-a4d2-4d8b-9148-e3be6c30e623}">
          <xlrd:rvb i="15098"/>
        </ext>
      </extLst>
    </bk>
    <bk>
      <extLst>
        <ext uri="{3e2802c4-a4d2-4d8b-9148-e3be6c30e623}">
          <xlrd:rvb i="15099"/>
        </ext>
      </extLst>
    </bk>
    <bk>
      <extLst>
        <ext uri="{3e2802c4-a4d2-4d8b-9148-e3be6c30e623}">
          <xlrd:rvb i="15100"/>
        </ext>
      </extLst>
    </bk>
    <bk>
      <extLst>
        <ext uri="{3e2802c4-a4d2-4d8b-9148-e3be6c30e623}">
          <xlrd:rvb i="15101"/>
        </ext>
      </extLst>
    </bk>
    <bk>
      <extLst>
        <ext uri="{3e2802c4-a4d2-4d8b-9148-e3be6c30e623}">
          <xlrd:rvb i="15102"/>
        </ext>
      </extLst>
    </bk>
    <bk>
      <extLst>
        <ext uri="{3e2802c4-a4d2-4d8b-9148-e3be6c30e623}">
          <xlrd:rvb i="15103"/>
        </ext>
      </extLst>
    </bk>
    <bk>
      <extLst>
        <ext uri="{3e2802c4-a4d2-4d8b-9148-e3be6c30e623}">
          <xlrd:rvb i="15104"/>
        </ext>
      </extLst>
    </bk>
    <bk>
      <extLst>
        <ext uri="{3e2802c4-a4d2-4d8b-9148-e3be6c30e623}">
          <xlrd:rvb i="15105"/>
        </ext>
      </extLst>
    </bk>
    <bk>
      <extLst>
        <ext uri="{3e2802c4-a4d2-4d8b-9148-e3be6c30e623}">
          <xlrd:rvb i="15106"/>
        </ext>
      </extLst>
    </bk>
    <bk>
      <extLst>
        <ext uri="{3e2802c4-a4d2-4d8b-9148-e3be6c30e623}">
          <xlrd:rvb i="15107"/>
        </ext>
      </extLst>
    </bk>
    <bk>
      <extLst>
        <ext uri="{3e2802c4-a4d2-4d8b-9148-e3be6c30e623}">
          <xlrd:rvb i="15108"/>
        </ext>
      </extLst>
    </bk>
    <bk>
      <extLst>
        <ext uri="{3e2802c4-a4d2-4d8b-9148-e3be6c30e623}">
          <xlrd:rvb i="15109"/>
        </ext>
      </extLst>
    </bk>
    <bk>
      <extLst>
        <ext uri="{3e2802c4-a4d2-4d8b-9148-e3be6c30e623}">
          <xlrd:rvb i="15110"/>
        </ext>
      </extLst>
    </bk>
    <bk>
      <extLst>
        <ext uri="{3e2802c4-a4d2-4d8b-9148-e3be6c30e623}">
          <xlrd:rvb i="15111"/>
        </ext>
      </extLst>
    </bk>
    <bk>
      <extLst>
        <ext uri="{3e2802c4-a4d2-4d8b-9148-e3be6c30e623}">
          <xlrd:rvb i="15112"/>
        </ext>
      </extLst>
    </bk>
    <bk>
      <extLst>
        <ext uri="{3e2802c4-a4d2-4d8b-9148-e3be6c30e623}">
          <xlrd:rvb i="15113"/>
        </ext>
      </extLst>
    </bk>
    <bk>
      <extLst>
        <ext uri="{3e2802c4-a4d2-4d8b-9148-e3be6c30e623}">
          <xlrd:rvb i="15114"/>
        </ext>
      </extLst>
    </bk>
    <bk>
      <extLst>
        <ext uri="{3e2802c4-a4d2-4d8b-9148-e3be6c30e623}">
          <xlrd:rvb i="15115"/>
        </ext>
      </extLst>
    </bk>
    <bk>
      <extLst>
        <ext uri="{3e2802c4-a4d2-4d8b-9148-e3be6c30e623}">
          <xlrd:rvb i="15116"/>
        </ext>
      </extLst>
    </bk>
    <bk>
      <extLst>
        <ext uri="{3e2802c4-a4d2-4d8b-9148-e3be6c30e623}">
          <xlrd:rvb i="15117"/>
        </ext>
      </extLst>
    </bk>
    <bk>
      <extLst>
        <ext uri="{3e2802c4-a4d2-4d8b-9148-e3be6c30e623}">
          <xlrd:rvb i="15118"/>
        </ext>
      </extLst>
    </bk>
    <bk>
      <extLst>
        <ext uri="{3e2802c4-a4d2-4d8b-9148-e3be6c30e623}">
          <xlrd:rvb i="15119"/>
        </ext>
      </extLst>
    </bk>
    <bk>
      <extLst>
        <ext uri="{3e2802c4-a4d2-4d8b-9148-e3be6c30e623}">
          <xlrd:rvb i="15120"/>
        </ext>
      </extLst>
    </bk>
    <bk>
      <extLst>
        <ext uri="{3e2802c4-a4d2-4d8b-9148-e3be6c30e623}">
          <xlrd:rvb i="15121"/>
        </ext>
      </extLst>
    </bk>
    <bk>
      <extLst>
        <ext uri="{3e2802c4-a4d2-4d8b-9148-e3be6c30e623}">
          <xlrd:rvb i="15122"/>
        </ext>
      </extLst>
    </bk>
    <bk>
      <extLst>
        <ext uri="{3e2802c4-a4d2-4d8b-9148-e3be6c30e623}">
          <xlrd:rvb i="15123"/>
        </ext>
      </extLst>
    </bk>
    <bk>
      <extLst>
        <ext uri="{3e2802c4-a4d2-4d8b-9148-e3be6c30e623}">
          <xlrd:rvb i="15124"/>
        </ext>
      </extLst>
    </bk>
    <bk>
      <extLst>
        <ext uri="{3e2802c4-a4d2-4d8b-9148-e3be6c30e623}">
          <xlrd:rvb i="15125"/>
        </ext>
      </extLst>
    </bk>
    <bk>
      <extLst>
        <ext uri="{3e2802c4-a4d2-4d8b-9148-e3be6c30e623}">
          <xlrd:rvb i="15126"/>
        </ext>
      </extLst>
    </bk>
    <bk>
      <extLst>
        <ext uri="{3e2802c4-a4d2-4d8b-9148-e3be6c30e623}">
          <xlrd:rvb i="15127"/>
        </ext>
      </extLst>
    </bk>
    <bk>
      <extLst>
        <ext uri="{3e2802c4-a4d2-4d8b-9148-e3be6c30e623}">
          <xlrd:rvb i="15128"/>
        </ext>
      </extLst>
    </bk>
    <bk>
      <extLst>
        <ext uri="{3e2802c4-a4d2-4d8b-9148-e3be6c30e623}">
          <xlrd:rvb i="15129"/>
        </ext>
      </extLst>
    </bk>
    <bk>
      <extLst>
        <ext uri="{3e2802c4-a4d2-4d8b-9148-e3be6c30e623}">
          <xlrd:rvb i="15130"/>
        </ext>
      </extLst>
    </bk>
    <bk>
      <extLst>
        <ext uri="{3e2802c4-a4d2-4d8b-9148-e3be6c30e623}">
          <xlrd:rvb i="15131"/>
        </ext>
      </extLst>
    </bk>
    <bk>
      <extLst>
        <ext uri="{3e2802c4-a4d2-4d8b-9148-e3be6c30e623}">
          <xlrd:rvb i="15132"/>
        </ext>
      </extLst>
    </bk>
    <bk>
      <extLst>
        <ext uri="{3e2802c4-a4d2-4d8b-9148-e3be6c30e623}">
          <xlrd:rvb i="15133"/>
        </ext>
      </extLst>
    </bk>
    <bk>
      <extLst>
        <ext uri="{3e2802c4-a4d2-4d8b-9148-e3be6c30e623}">
          <xlrd:rvb i="15134"/>
        </ext>
      </extLst>
    </bk>
    <bk>
      <extLst>
        <ext uri="{3e2802c4-a4d2-4d8b-9148-e3be6c30e623}">
          <xlrd:rvb i="15135"/>
        </ext>
      </extLst>
    </bk>
    <bk>
      <extLst>
        <ext uri="{3e2802c4-a4d2-4d8b-9148-e3be6c30e623}">
          <xlrd:rvb i="15136"/>
        </ext>
      </extLst>
    </bk>
    <bk>
      <extLst>
        <ext uri="{3e2802c4-a4d2-4d8b-9148-e3be6c30e623}">
          <xlrd:rvb i="15137"/>
        </ext>
      </extLst>
    </bk>
    <bk>
      <extLst>
        <ext uri="{3e2802c4-a4d2-4d8b-9148-e3be6c30e623}">
          <xlrd:rvb i="15138"/>
        </ext>
      </extLst>
    </bk>
    <bk>
      <extLst>
        <ext uri="{3e2802c4-a4d2-4d8b-9148-e3be6c30e623}">
          <xlrd:rvb i="15139"/>
        </ext>
      </extLst>
    </bk>
    <bk>
      <extLst>
        <ext uri="{3e2802c4-a4d2-4d8b-9148-e3be6c30e623}">
          <xlrd:rvb i="15140"/>
        </ext>
      </extLst>
    </bk>
    <bk>
      <extLst>
        <ext uri="{3e2802c4-a4d2-4d8b-9148-e3be6c30e623}">
          <xlrd:rvb i="15141"/>
        </ext>
      </extLst>
    </bk>
    <bk>
      <extLst>
        <ext uri="{3e2802c4-a4d2-4d8b-9148-e3be6c30e623}">
          <xlrd:rvb i="15142"/>
        </ext>
      </extLst>
    </bk>
    <bk>
      <extLst>
        <ext uri="{3e2802c4-a4d2-4d8b-9148-e3be6c30e623}">
          <xlrd:rvb i="15143"/>
        </ext>
      </extLst>
    </bk>
    <bk>
      <extLst>
        <ext uri="{3e2802c4-a4d2-4d8b-9148-e3be6c30e623}">
          <xlrd:rvb i="15144"/>
        </ext>
      </extLst>
    </bk>
    <bk>
      <extLst>
        <ext uri="{3e2802c4-a4d2-4d8b-9148-e3be6c30e623}">
          <xlrd:rvb i="15145"/>
        </ext>
      </extLst>
    </bk>
    <bk>
      <extLst>
        <ext uri="{3e2802c4-a4d2-4d8b-9148-e3be6c30e623}">
          <xlrd:rvb i="15146"/>
        </ext>
      </extLst>
    </bk>
    <bk>
      <extLst>
        <ext uri="{3e2802c4-a4d2-4d8b-9148-e3be6c30e623}">
          <xlrd:rvb i="15147"/>
        </ext>
      </extLst>
    </bk>
    <bk>
      <extLst>
        <ext uri="{3e2802c4-a4d2-4d8b-9148-e3be6c30e623}">
          <xlrd:rvb i="15148"/>
        </ext>
      </extLst>
    </bk>
    <bk>
      <extLst>
        <ext uri="{3e2802c4-a4d2-4d8b-9148-e3be6c30e623}">
          <xlrd:rvb i="15149"/>
        </ext>
      </extLst>
    </bk>
    <bk>
      <extLst>
        <ext uri="{3e2802c4-a4d2-4d8b-9148-e3be6c30e623}">
          <xlrd:rvb i="15150"/>
        </ext>
      </extLst>
    </bk>
    <bk>
      <extLst>
        <ext uri="{3e2802c4-a4d2-4d8b-9148-e3be6c30e623}">
          <xlrd:rvb i="15151"/>
        </ext>
      </extLst>
    </bk>
    <bk>
      <extLst>
        <ext uri="{3e2802c4-a4d2-4d8b-9148-e3be6c30e623}">
          <xlrd:rvb i="15152"/>
        </ext>
      </extLst>
    </bk>
    <bk>
      <extLst>
        <ext uri="{3e2802c4-a4d2-4d8b-9148-e3be6c30e623}">
          <xlrd:rvb i="15153"/>
        </ext>
      </extLst>
    </bk>
    <bk>
      <extLst>
        <ext uri="{3e2802c4-a4d2-4d8b-9148-e3be6c30e623}">
          <xlrd:rvb i="15154"/>
        </ext>
      </extLst>
    </bk>
    <bk>
      <extLst>
        <ext uri="{3e2802c4-a4d2-4d8b-9148-e3be6c30e623}">
          <xlrd:rvb i="15155"/>
        </ext>
      </extLst>
    </bk>
    <bk>
      <extLst>
        <ext uri="{3e2802c4-a4d2-4d8b-9148-e3be6c30e623}">
          <xlrd:rvb i="15156"/>
        </ext>
      </extLst>
    </bk>
    <bk>
      <extLst>
        <ext uri="{3e2802c4-a4d2-4d8b-9148-e3be6c30e623}">
          <xlrd:rvb i="15157"/>
        </ext>
      </extLst>
    </bk>
    <bk>
      <extLst>
        <ext uri="{3e2802c4-a4d2-4d8b-9148-e3be6c30e623}">
          <xlrd:rvb i="15158"/>
        </ext>
      </extLst>
    </bk>
    <bk>
      <extLst>
        <ext uri="{3e2802c4-a4d2-4d8b-9148-e3be6c30e623}">
          <xlrd:rvb i="15159"/>
        </ext>
      </extLst>
    </bk>
    <bk>
      <extLst>
        <ext uri="{3e2802c4-a4d2-4d8b-9148-e3be6c30e623}">
          <xlrd:rvb i="15160"/>
        </ext>
      </extLst>
    </bk>
    <bk>
      <extLst>
        <ext uri="{3e2802c4-a4d2-4d8b-9148-e3be6c30e623}">
          <xlrd:rvb i="15161"/>
        </ext>
      </extLst>
    </bk>
    <bk>
      <extLst>
        <ext uri="{3e2802c4-a4d2-4d8b-9148-e3be6c30e623}">
          <xlrd:rvb i="15162"/>
        </ext>
      </extLst>
    </bk>
    <bk>
      <extLst>
        <ext uri="{3e2802c4-a4d2-4d8b-9148-e3be6c30e623}">
          <xlrd:rvb i="15163"/>
        </ext>
      </extLst>
    </bk>
    <bk>
      <extLst>
        <ext uri="{3e2802c4-a4d2-4d8b-9148-e3be6c30e623}">
          <xlrd:rvb i="15164"/>
        </ext>
      </extLst>
    </bk>
    <bk>
      <extLst>
        <ext uri="{3e2802c4-a4d2-4d8b-9148-e3be6c30e623}">
          <xlrd:rvb i="15165"/>
        </ext>
      </extLst>
    </bk>
    <bk>
      <extLst>
        <ext uri="{3e2802c4-a4d2-4d8b-9148-e3be6c30e623}">
          <xlrd:rvb i="15166"/>
        </ext>
      </extLst>
    </bk>
    <bk>
      <extLst>
        <ext uri="{3e2802c4-a4d2-4d8b-9148-e3be6c30e623}">
          <xlrd:rvb i="15167"/>
        </ext>
      </extLst>
    </bk>
    <bk>
      <extLst>
        <ext uri="{3e2802c4-a4d2-4d8b-9148-e3be6c30e623}">
          <xlrd:rvb i="15168"/>
        </ext>
      </extLst>
    </bk>
    <bk>
      <extLst>
        <ext uri="{3e2802c4-a4d2-4d8b-9148-e3be6c30e623}">
          <xlrd:rvb i="15169"/>
        </ext>
      </extLst>
    </bk>
    <bk>
      <extLst>
        <ext uri="{3e2802c4-a4d2-4d8b-9148-e3be6c30e623}">
          <xlrd:rvb i="15170"/>
        </ext>
      </extLst>
    </bk>
    <bk>
      <extLst>
        <ext uri="{3e2802c4-a4d2-4d8b-9148-e3be6c30e623}">
          <xlrd:rvb i="15171"/>
        </ext>
      </extLst>
    </bk>
    <bk>
      <extLst>
        <ext uri="{3e2802c4-a4d2-4d8b-9148-e3be6c30e623}">
          <xlrd:rvb i="15172"/>
        </ext>
      </extLst>
    </bk>
    <bk>
      <extLst>
        <ext uri="{3e2802c4-a4d2-4d8b-9148-e3be6c30e623}">
          <xlrd:rvb i="15173"/>
        </ext>
      </extLst>
    </bk>
    <bk>
      <extLst>
        <ext uri="{3e2802c4-a4d2-4d8b-9148-e3be6c30e623}">
          <xlrd:rvb i="15174"/>
        </ext>
      </extLst>
    </bk>
    <bk>
      <extLst>
        <ext uri="{3e2802c4-a4d2-4d8b-9148-e3be6c30e623}">
          <xlrd:rvb i="15175"/>
        </ext>
      </extLst>
    </bk>
    <bk>
      <extLst>
        <ext uri="{3e2802c4-a4d2-4d8b-9148-e3be6c30e623}">
          <xlrd:rvb i="15176"/>
        </ext>
      </extLst>
    </bk>
    <bk>
      <extLst>
        <ext uri="{3e2802c4-a4d2-4d8b-9148-e3be6c30e623}">
          <xlrd:rvb i="15177"/>
        </ext>
      </extLst>
    </bk>
    <bk>
      <extLst>
        <ext uri="{3e2802c4-a4d2-4d8b-9148-e3be6c30e623}">
          <xlrd:rvb i="15178"/>
        </ext>
      </extLst>
    </bk>
    <bk>
      <extLst>
        <ext uri="{3e2802c4-a4d2-4d8b-9148-e3be6c30e623}">
          <xlrd:rvb i="15179"/>
        </ext>
      </extLst>
    </bk>
    <bk>
      <extLst>
        <ext uri="{3e2802c4-a4d2-4d8b-9148-e3be6c30e623}">
          <xlrd:rvb i="15180"/>
        </ext>
      </extLst>
    </bk>
    <bk>
      <extLst>
        <ext uri="{3e2802c4-a4d2-4d8b-9148-e3be6c30e623}">
          <xlrd:rvb i="15181"/>
        </ext>
      </extLst>
    </bk>
    <bk>
      <extLst>
        <ext uri="{3e2802c4-a4d2-4d8b-9148-e3be6c30e623}">
          <xlrd:rvb i="15182"/>
        </ext>
      </extLst>
    </bk>
    <bk>
      <extLst>
        <ext uri="{3e2802c4-a4d2-4d8b-9148-e3be6c30e623}">
          <xlrd:rvb i="15183"/>
        </ext>
      </extLst>
    </bk>
    <bk>
      <extLst>
        <ext uri="{3e2802c4-a4d2-4d8b-9148-e3be6c30e623}">
          <xlrd:rvb i="15184"/>
        </ext>
      </extLst>
    </bk>
    <bk>
      <extLst>
        <ext uri="{3e2802c4-a4d2-4d8b-9148-e3be6c30e623}">
          <xlrd:rvb i="15185"/>
        </ext>
      </extLst>
    </bk>
    <bk>
      <extLst>
        <ext uri="{3e2802c4-a4d2-4d8b-9148-e3be6c30e623}">
          <xlrd:rvb i="15186"/>
        </ext>
      </extLst>
    </bk>
    <bk>
      <extLst>
        <ext uri="{3e2802c4-a4d2-4d8b-9148-e3be6c30e623}">
          <xlrd:rvb i="15187"/>
        </ext>
      </extLst>
    </bk>
    <bk>
      <extLst>
        <ext uri="{3e2802c4-a4d2-4d8b-9148-e3be6c30e623}">
          <xlrd:rvb i="15188"/>
        </ext>
      </extLst>
    </bk>
    <bk>
      <extLst>
        <ext uri="{3e2802c4-a4d2-4d8b-9148-e3be6c30e623}">
          <xlrd:rvb i="15189"/>
        </ext>
      </extLst>
    </bk>
    <bk>
      <extLst>
        <ext uri="{3e2802c4-a4d2-4d8b-9148-e3be6c30e623}">
          <xlrd:rvb i="15190"/>
        </ext>
      </extLst>
    </bk>
    <bk>
      <extLst>
        <ext uri="{3e2802c4-a4d2-4d8b-9148-e3be6c30e623}">
          <xlrd:rvb i="15191"/>
        </ext>
      </extLst>
    </bk>
    <bk>
      <extLst>
        <ext uri="{3e2802c4-a4d2-4d8b-9148-e3be6c30e623}">
          <xlrd:rvb i="15192"/>
        </ext>
      </extLst>
    </bk>
    <bk>
      <extLst>
        <ext uri="{3e2802c4-a4d2-4d8b-9148-e3be6c30e623}">
          <xlrd:rvb i="15193"/>
        </ext>
      </extLst>
    </bk>
    <bk>
      <extLst>
        <ext uri="{3e2802c4-a4d2-4d8b-9148-e3be6c30e623}">
          <xlrd:rvb i="15194"/>
        </ext>
      </extLst>
    </bk>
    <bk>
      <extLst>
        <ext uri="{3e2802c4-a4d2-4d8b-9148-e3be6c30e623}">
          <xlrd:rvb i="15195"/>
        </ext>
      </extLst>
    </bk>
    <bk>
      <extLst>
        <ext uri="{3e2802c4-a4d2-4d8b-9148-e3be6c30e623}">
          <xlrd:rvb i="15196"/>
        </ext>
      </extLst>
    </bk>
    <bk>
      <extLst>
        <ext uri="{3e2802c4-a4d2-4d8b-9148-e3be6c30e623}">
          <xlrd:rvb i="15197"/>
        </ext>
      </extLst>
    </bk>
    <bk>
      <extLst>
        <ext uri="{3e2802c4-a4d2-4d8b-9148-e3be6c30e623}">
          <xlrd:rvb i="15198"/>
        </ext>
      </extLst>
    </bk>
    <bk>
      <extLst>
        <ext uri="{3e2802c4-a4d2-4d8b-9148-e3be6c30e623}">
          <xlrd:rvb i="15199"/>
        </ext>
      </extLst>
    </bk>
    <bk>
      <extLst>
        <ext uri="{3e2802c4-a4d2-4d8b-9148-e3be6c30e623}">
          <xlrd:rvb i="15200"/>
        </ext>
      </extLst>
    </bk>
    <bk>
      <extLst>
        <ext uri="{3e2802c4-a4d2-4d8b-9148-e3be6c30e623}">
          <xlrd:rvb i="15201"/>
        </ext>
      </extLst>
    </bk>
    <bk>
      <extLst>
        <ext uri="{3e2802c4-a4d2-4d8b-9148-e3be6c30e623}">
          <xlrd:rvb i="15202"/>
        </ext>
      </extLst>
    </bk>
    <bk>
      <extLst>
        <ext uri="{3e2802c4-a4d2-4d8b-9148-e3be6c30e623}">
          <xlrd:rvb i="15203"/>
        </ext>
      </extLst>
    </bk>
    <bk>
      <extLst>
        <ext uri="{3e2802c4-a4d2-4d8b-9148-e3be6c30e623}">
          <xlrd:rvb i="15204"/>
        </ext>
      </extLst>
    </bk>
    <bk>
      <extLst>
        <ext uri="{3e2802c4-a4d2-4d8b-9148-e3be6c30e623}">
          <xlrd:rvb i="15205"/>
        </ext>
      </extLst>
    </bk>
    <bk>
      <extLst>
        <ext uri="{3e2802c4-a4d2-4d8b-9148-e3be6c30e623}">
          <xlrd:rvb i="15206"/>
        </ext>
      </extLst>
    </bk>
    <bk>
      <extLst>
        <ext uri="{3e2802c4-a4d2-4d8b-9148-e3be6c30e623}">
          <xlrd:rvb i="15207"/>
        </ext>
      </extLst>
    </bk>
    <bk>
      <extLst>
        <ext uri="{3e2802c4-a4d2-4d8b-9148-e3be6c30e623}">
          <xlrd:rvb i="15208"/>
        </ext>
      </extLst>
    </bk>
    <bk>
      <extLst>
        <ext uri="{3e2802c4-a4d2-4d8b-9148-e3be6c30e623}">
          <xlrd:rvb i="15209"/>
        </ext>
      </extLst>
    </bk>
    <bk>
      <extLst>
        <ext uri="{3e2802c4-a4d2-4d8b-9148-e3be6c30e623}">
          <xlrd:rvb i="15210"/>
        </ext>
      </extLst>
    </bk>
    <bk>
      <extLst>
        <ext uri="{3e2802c4-a4d2-4d8b-9148-e3be6c30e623}">
          <xlrd:rvb i="15211"/>
        </ext>
      </extLst>
    </bk>
    <bk>
      <extLst>
        <ext uri="{3e2802c4-a4d2-4d8b-9148-e3be6c30e623}">
          <xlrd:rvb i="15212"/>
        </ext>
      </extLst>
    </bk>
    <bk>
      <extLst>
        <ext uri="{3e2802c4-a4d2-4d8b-9148-e3be6c30e623}">
          <xlrd:rvb i="15213"/>
        </ext>
      </extLst>
    </bk>
    <bk>
      <extLst>
        <ext uri="{3e2802c4-a4d2-4d8b-9148-e3be6c30e623}">
          <xlrd:rvb i="15214"/>
        </ext>
      </extLst>
    </bk>
    <bk>
      <extLst>
        <ext uri="{3e2802c4-a4d2-4d8b-9148-e3be6c30e623}">
          <xlrd:rvb i="15215"/>
        </ext>
      </extLst>
    </bk>
    <bk>
      <extLst>
        <ext uri="{3e2802c4-a4d2-4d8b-9148-e3be6c30e623}">
          <xlrd:rvb i="15216"/>
        </ext>
      </extLst>
    </bk>
    <bk>
      <extLst>
        <ext uri="{3e2802c4-a4d2-4d8b-9148-e3be6c30e623}">
          <xlrd:rvb i="15217"/>
        </ext>
      </extLst>
    </bk>
    <bk>
      <extLst>
        <ext uri="{3e2802c4-a4d2-4d8b-9148-e3be6c30e623}">
          <xlrd:rvb i="15218"/>
        </ext>
      </extLst>
    </bk>
    <bk>
      <extLst>
        <ext uri="{3e2802c4-a4d2-4d8b-9148-e3be6c30e623}">
          <xlrd:rvb i="15219"/>
        </ext>
      </extLst>
    </bk>
    <bk>
      <extLst>
        <ext uri="{3e2802c4-a4d2-4d8b-9148-e3be6c30e623}">
          <xlrd:rvb i="15220"/>
        </ext>
      </extLst>
    </bk>
    <bk>
      <extLst>
        <ext uri="{3e2802c4-a4d2-4d8b-9148-e3be6c30e623}">
          <xlrd:rvb i="15221"/>
        </ext>
      </extLst>
    </bk>
    <bk>
      <extLst>
        <ext uri="{3e2802c4-a4d2-4d8b-9148-e3be6c30e623}">
          <xlrd:rvb i="15222"/>
        </ext>
      </extLst>
    </bk>
    <bk>
      <extLst>
        <ext uri="{3e2802c4-a4d2-4d8b-9148-e3be6c30e623}">
          <xlrd:rvb i="15223"/>
        </ext>
      </extLst>
    </bk>
    <bk>
      <extLst>
        <ext uri="{3e2802c4-a4d2-4d8b-9148-e3be6c30e623}">
          <xlrd:rvb i="15224"/>
        </ext>
      </extLst>
    </bk>
    <bk>
      <extLst>
        <ext uri="{3e2802c4-a4d2-4d8b-9148-e3be6c30e623}">
          <xlrd:rvb i="15225"/>
        </ext>
      </extLst>
    </bk>
    <bk>
      <extLst>
        <ext uri="{3e2802c4-a4d2-4d8b-9148-e3be6c30e623}">
          <xlrd:rvb i="15226"/>
        </ext>
      </extLst>
    </bk>
    <bk>
      <extLst>
        <ext uri="{3e2802c4-a4d2-4d8b-9148-e3be6c30e623}">
          <xlrd:rvb i="15227"/>
        </ext>
      </extLst>
    </bk>
    <bk>
      <extLst>
        <ext uri="{3e2802c4-a4d2-4d8b-9148-e3be6c30e623}">
          <xlrd:rvb i="15228"/>
        </ext>
      </extLst>
    </bk>
    <bk>
      <extLst>
        <ext uri="{3e2802c4-a4d2-4d8b-9148-e3be6c30e623}">
          <xlrd:rvb i="15229"/>
        </ext>
      </extLst>
    </bk>
    <bk>
      <extLst>
        <ext uri="{3e2802c4-a4d2-4d8b-9148-e3be6c30e623}">
          <xlrd:rvb i="15230"/>
        </ext>
      </extLst>
    </bk>
    <bk>
      <extLst>
        <ext uri="{3e2802c4-a4d2-4d8b-9148-e3be6c30e623}">
          <xlrd:rvb i="15231"/>
        </ext>
      </extLst>
    </bk>
    <bk>
      <extLst>
        <ext uri="{3e2802c4-a4d2-4d8b-9148-e3be6c30e623}">
          <xlrd:rvb i="15232"/>
        </ext>
      </extLst>
    </bk>
    <bk>
      <extLst>
        <ext uri="{3e2802c4-a4d2-4d8b-9148-e3be6c30e623}">
          <xlrd:rvb i="15233"/>
        </ext>
      </extLst>
    </bk>
    <bk>
      <extLst>
        <ext uri="{3e2802c4-a4d2-4d8b-9148-e3be6c30e623}">
          <xlrd:rvb i="15234"/>
        </ext>
      </extLst>
    </bk>
    <bk>
      <extLst>
        <ext uri="{3e2802c4-a4d2-4d8b-9148-e3be6c30e623}">
          <xlrd:rvb i="15235"/>
        </ext>
      </extLst>
    </bk>
    <bk>
      <extLst>
        <ext uri="{3e2802c4-a4d2-4d8b-9148-e3be6c30e623}">
          <xlrd:rvb i="15236"/>
        </ext>
      </extLst>
    </bk>
    <bk>
      <extLst>
        <ext uri="{3e2802c4-a4d2-4d8b-9148-e3be6c30e623}">
          <xlrd:rvb i="15237"/>
        </ext>
      </extLst>
    </bk>
    <bk>
      <extLst>
        <ext uri="{3e2802c4-a4d2-4d8b-9148-e3be6c30e623}">
          <xlrd:rvb i="15238"/>
        </ext>
      </extLst>
    </bk>
    <bk>
      <extLst>
        <ext uri="{3e2802c4-a4d2-4d8b-9148-e3be6c30e623}">
          <xlrd:rvb i="15239"/>
        </ext>
      </extLst>
    </bk>
    <bk>
      <extLst>
        <ext uri="{3e2802c4-a4d2-4d8b-9148-e3be6c30e623}">
          <xlrd:rvb i="15240"/>
        </ext>
      </extLst>
    </bk>
    <bk>
      <extLst>
        <ext uri="{3e2802c4-a4d2-4d8b-9148-e3be6c30e623}">
          <xlrd:rvb i="15241"/>
        </ext>
      </extLst>
    </bk>
    <bk>
      <extLst>
        <ext uri="{3e2802c4-a4d2-4d8b-9148-e3be6c30e623}">
          <xlrd:rvb i="15242"/>
        </ext>
      </extLst>
    </bk>
    <bk>
      <extLst>
        <ext uri="{3e2802c4-a4d2-4d8b-9148-e3be6c30e623}">
          <xlrd:rvb i="15243"/>
        </ext>
      </extLst>
    </bk>
    <bk>
      <extLst>
        <ext uri="{3e2802c4-a4d2-4d8b-9148-e3be6c30e623}">
          <xlrd:rvb i="15244"/>
        </ext>
      </extLst>
    </bk>
    <bk>
      <extLst>
        <ext uri="{3e2802c4-a4d2-4d8b-9148-e3be6c30e623}">
          <xlrd:rvb i="15245"/>
        </ext>
      </extLst>
    </bk>
    <bk>
      <extLst>
        <ext uri="{3e2802c4-a4d2-4d8b-9148-e3be6c30e623}">
          <xlrd:rvb i="15246"/>
        </ext>
      </extLst>
    </bk>
    <bk>
      <extLst>
        <ext uri="{3e2802c4-a4d2-4d8b-9148-e3be6c30e623}">
          <xlrd:rvb i="15247"/>
        </ext>
      </extLst>
    </bk>
    <bk>
      <extLst>
        <ext uri="{3e2802c4-a4d2-4d8b-9148-e3be6c30e623}">
          <xlrd:rvb i="15248"/>
        </ext>
      </extLst>
    </bk>
    <bk>
      <extLst>
        <ext uri="{3e2802c4-a4d2-4d8b-9148-e3be6c30e623}">
          <xlrd:rvb i="15249"/>
        </ext>
      </extLst>
    </bk>
    <bk>
      <extLst>
        <ext uri="{3e2802c4-a4d2-4d8b-9148-e3be6c30e623}">
          <xlrd:rvb i="15250"/>
        </ext>
      </extLst>
    </bk>
    <bk>
      <extLst>
        <ext uri="{3e2802c4-a4d2-4d8b-9148-e3be6c30e623}">
          <xlrd:rvb i="15251"/>
        </ext>
      </extLst>
    </bk>
    <bk>
      <extLst>
        <ext uri="{3e2802c4-a4d2-4d8b-9148-e3be6c30e623}">
          <xlrd:rvb i="15252"/>
        </ext>
      </extLst>
    </bk>
    <bk>
      <extLst>
        <ext uri="{3e2802c4-a4d2-4d8b-9148-e3be6c30e623}">
          <xlrd:rvb i="15253"/>
        </ext>
      </extLst>
    </bk>
    <bk>
      <extLst>
        <ext uri="{3e2802c4-a4d2-4d8b-9148-e3be6c30e623}">
          <xlrd:rvb i="15254"/>
        </ext>
      </extLst>
    </bk>
    <bk>
      <extLst>
        <ext uri="{3e2802c4-a4d2-4d8b-9148-e3be6c30e623}">
          <xlrd:rvb i="15255"/>
        </ext>
      </extLst>
    </bk>
    <bk>
      <extLst>
        <ext uri="{3e2802c4-a4d2-4d8b-9148-e3be6c30e623}">
          <xlrd:rvb i="15256"/>
        </ext>
      </extLst>
    </bk>
    <bk>
      <extLst>
        <ext uri="{3e2802c4-a4d2-4d8b-9148-e3be6c30e623}">
          <xlrd:rvb i="15257"/>
        </ext>
      </extLst>
    </bk>
    <bk>
      <extLst>
        <ext uri="{3e2802c4-a4d2-4d8b-9148-e3be6c30e623}">
          <xlrd:rvb i="15258"/>
        </ext>
      </extLst>
    </bk>
    <bk>
      <extLst>
        <ext uri="{3e2802c4-a4d2-4d8b-9148-e3be6c30e623}">
          <xlrd:rvb i="15259"/>
        </ext>
      </extLst>
    </bk>
    <bk>
      <extLst>
        <ext uri="{3e2802c4-a4d2-4d8b-9148-e3be6c30e623}">
          <xlrd:rvb i="15260"/>
        </ext>
      </extLst>
    </bk>
    <bk>
      <extLst>
        <ext uri="{3e2802c4-a4d2-4d8b-9148-e3be6c30e623}">
          <xlrd:rvb i="15261"/>
        </ext>
      </extLst>
    </bk>
    <bk>
      <extLst>
        <ext uri="{3e2802c4-a4d2-4d8b-9148-e3be6c30e623}">
          <xlrd:rvb i="15262"/>
        </ext>
      </extLst>
    </bk>
    <bk>
      <extLst>
        <ext uri="{3e2802c4-a4d2-4d8b-9148-e3be6c30e623}">
          <xlrd:rvb i="15263"/>
        </ext>
      </extLst>
    </bk>
    <bk>
      <extLst>
        <ext uri="{3e2802c4-a4d2-4d8b-9148-e3be6c30e623}">
          <xlrd:rvb i="15264"/>
        </ext>
      </extLst>
    </bk>
    <bk>
      <extLst>
        <ext uri="{3e2802c4-a4d2-4d8b-9148-e3be6c30e623}">
          <xlrd:rvb i="15265"/>
        </ext>
      </extLst>
    </bk>
    <bk>
      <extLst>
        <ext uri="{3e2802c4-a4d2-4d8b-9148-e3be6c30e623}">
          <xlrd:rvb i="15266"/>
        </ext>
      </extLst>
    </bk>
    <bk>
      <extLst>
        <ext uri="{3e2802c4-a4d2-4d8b-9148-e3be6c30e623}">
          <xlrd:rvb i="15267"/>
        </ext>
      </extLst>
    </bk>
    <bk>
      <extLst>
        <ext uri="{3e2802c4-a4d2-4d8b-9148-e3be6c30e623}">
          <xlrd:rvb i="15268"/>
        </ext>
      </extLst>
    </bk>
    <bk>
      <extLst>
        <ext uri="{3e2802c4-a4d2-4d8b-9148-e3be6c30e623}">
          <xlrd:rvb i="15269"/>
        </ext>
      </extLst>
    </bk>
    <bk>
      <extLst>
        <ext uri="{3e2802c4-a4d2-4d8b-9148-e3be6c30e623}">
          <xlrd:rvb i="15270"/>
        </ext>
      </extLst>
    </bk>
    <bk>
      <extLst>
        <ext uri="{3e2802c4-a4d2-4d8b-9148-e3be6c30e623}">
          <xlrd:rvb i="15271"/>
        </ext>
      </extLst>
    </bk>
    <bk>
      <extLst>
        <ext uri="{3e2802c4-a4d2-4d8b-9148-e3be6c30e623}">
          <xlrd:rvb i="15272"/>
        </ext>
      </extLst>
    </bk>
    <bk>
      <extLst>
        <ext uri="{3e2802c4-a4d2-4d8b-9148-e3be6c30e623}">
          <xlrd:rvb i="15273"/>
        </ext>
      </extLst>
    </bk>
    <bk>
      <extLst>
        <ext uri="{3e2802c4-a4d2-4d8b-9148-e3be6c30e623}">
          <xlrd:rvb i="15274"/>
        </ext>
      </extLst>
    </bk>
    <bk>
      <extLst>
        <ext uri="{3e2802c4-a4d2-4d8b-9148-e3be6c30e623}">
          <xlrd:rvb i="15275"/>
        </ext>
      </extLst>
    </bk>
    <bk>
      <extLst>
        <ext uri="{3e2802c4-a4d2-4d8b-9148-e3be6c30e623}">
          <xlrd:rvb i="15276"/>
        </ext>
      </extLst>
    </bk>
    <bk>
      <extLst>
        <ext uri="{3e2802c4-a4d2-4d8b-9148-e3be6c30e623}">
          <xlrd:rvb i="15277"/>
        </ext>
      </extLst>
    </bk>
    <bk>
      <extLst>
        <ext uri="{3e2802c4-a4d2-4d8b-9148-e3be6c30e623}">
          <xlrd:rvb i="15278"/>
        </ext>
      </extLst>
    </bk>
    <bk>
      <extLst>
        <ext uri="{3e2802c4-a4d2-4d8b-9148-e3be6c30e623}">
          <xlrd:rvb i="15279"/>
        </ext>
      </extLst>
    </bk>
    <bk>
      <extLst>
        <ext uri="{3e2802c4-a4d2-4d8b-9148-e3be6c30e623}">
          <xlrd:rvb i="15280"/>
        </ext>
      </extLst>
    </bk>
    <bk>
      <extLst>
        <ext uri="{3e2802c4-a4d2-4d8b-9148-e3be6c30e623}">
          <xlrd:rvb i="15281"/>
        </ext>
      </extLst>
    </bk>
    <bk>
      <extLst>
        <ext uri="{3e2802c4-a4d2-4d8b-9148-e3be6c30e623}">
          <xlrd:rvb i="15282"/>
        </ext>
      </extLst>
    </bk>
    <bk>
      <extLst>
        <ext uri="{3e2802c4-a4d2-4d8b-9148-e3be6c30e623}">
          <xlrd:rvb i="15283"/>
        </ext>
      </extLst>
    </bk>
    <bk>
      <extLst>
        <ext uri="{3e2802c4-a4d2-4d8b-9148-e3be6c30e623}">
          <xlrd:rvb i="15284"/>
        </ext>
      </extLst>
    </bk>
    <bk>
      <extLst>
        <ext uri="{3e2802c4-a4d2-4d8b-9148-e3be6c30e623}">
          <xlrd:rvb i="15285"/>
        </ext>
      </extLst>
    </bk>
    <bk>
      <extLst>
        <ext uri="{3e2802c4-a4d2-4d8b-9148-e3be6c30e623}">
          <xlrd:rvb i="15286"/>
        </ext>
      </extLst>
    </bk>
    <bk>
      <extLst>
        <ext uri="{3e2802c4-a4d2-4d8b-9148-e3be6c30e623}">
          <xlrd:rvb i="15287"/>
        </ext>
      </extLst>
    </bk>
    <bk>
      <extLst>
        <ext uri="{3e2802c4-a4d2-4d8b-9148-e3be6c30e623}">
          <xlrd:rvb i="15288"/>
        </ext>
      </extLst>
    </bk>
    <bk>
      <extLst>
        <ext uri="{3e2802c4-a4d2-4d8b-9148-e3be6c30e623}">
          <xlrd:rvb i="15289"/>
        </ext>
      </extLst>
    </bk>
    <bk>
      <extLst>
        <ext uri="{3e2802c4-a4d2-4d8b-9148-e3be6c30e623}">
          <xlrd:rvb i="15290"/>
        </ext>
      </extLst>
    </bk>
    <bk>
      <extLst>
        <ext uri="{3e2802c4-a4d2-4d8b-9148-e3be6c30e623}">
          <xlrd:rvb i="15291"/>
        </ext>
      </extLst>
    </bk>
    <bk>
      <extLst>
        <ext uri="{3e2802c4-a4d2-4d8b-9148-e3be6c30e623}">
          <xlrd:rvb i="15292"/>
        </ext>
      </extLst>
    </bk>
    <bk>
      <extLst>
        <ext uri="{3e2802c4-a4d2-4d8b-9148-e3be6c30e623}">
          <xlrd:rvb i="15293"/>
        </ext>
      </extLst>
    </bk>
    <bk>
      <extLst>
        <ext uri="{3e2802c4-a4d2-4d8b-9148-e3be6c30e623}">
          <xlrd:rvb i="15294"/>
        </ext>
      </extLst>
    </bk>
    <bk>
      <extLst>
        <ext uri="{3e2802c4-a4d2-4d8b-9148-e3be6c30e623}">
          <xlrd:rvb i="15295"/>
        </ext>
      </extLst>
    </bk>
    <bk>
      <extLst>
        <ext uri="{3e2802c4-a4d2-4d8b-9148-e3be6c30e623}">
          <xlrd:rvb i="15296"/>
        </ext>
      </extLst>
    </bk>
    <bk>
      <extLst>
        <ext uri="{3e2802c4-a4d2-4d8b-9148-e3be6c30e623}">
          <xlrd:rvb i="15297"/>
        </ext>
      </extLst>
    </bk>
    <bk>
      <extLst>
        <ext uri="{3e2802c4-a4d2-4d8b-9148-e3be6c30e623}">
          <xlrd:rvb i="15298"/>
        </ext>
      </extLst>
    </bk>
    <bk>
      <extLst>
        <ext uri="{3e2802c4-a4d2-4d8b-9148-e3be6c30e623}">
          <xlrd:rvb i="15299"/>
        </ext>
      </extLst>
    </bk>
    <bk>
      <extLst>
        <ext uri="{3e2802c4-a4d2-4d8b-9148-e3be6c30e623}">
          <xlrd:rvb i="15300"/>
        </ext>
      </extLst>
    </bk>
    <bk>
      <extLst>
        <ext uri="{3e2802c4-a4d2-4d8b-9148-e3be6c30e623}">
          <xlrd:rvb i="15301"/>
        </ext>
      </extLst>
    </bk>
    <bk>
      <extLst>
        <ext uri="{3e2802c4-a4d2-4d8b-9148-e3be6c30e623}">
          <xlrd:rvb i="15302"/>
        </ext>
      </extLst>
    </bk>
    <bk>
      <extLst>
        <ext uri="{3e2802c4-a4d2-4d8b-9148-e3be6c30e623}">
          <xlrd:rvb i="15303"/>
        </ext>
      </extLst>
    </bk>
    <bk>
      <extLst>
        <ext uri="{3e2802c4-a4d2-4d8b-9148-e3be6c30e623}">
          <xlrd:rvb i="15304"/>
        </ext>
      </extLst>
    </bk>
    <bk>
      <extLst>
        <ext uri="{3e2802c4-a4d2-4d8b-9148-e3be6c30e623}">
          <xlrd:rvb i="15305"/>
        </ext>
      </extLst>
    </bk>
    <bk>
      <extLst>
        <ext uri="{3e2802c4-a4d2-4d8b-9148-e3be6c30e623}">
          <xlrd:rvb i="15306"/>
        </ext>
      </extLst>
    </bk>
    <bk>
      <extLst>
        <ext uri="{3e2802c4-a4d2-4d8b-9148-e3be6c30e623}">
          <xlrd:rvb i="15307"/>
        </ext>
      </extLst>
    </bk>
    <bk>
      <extLst>
        <ext uri="{3e2802c4-a4d2-4d8b-9148-e3be6c30e623}">
          <xlrd:rvb i="15308"/>
        </ext>
      </extLst>
    </bk>
    <bk>
      <extLst>
        <ext uri="{3e2802c4-a4d2-4d8b-9148-e3be6c30e623}">
          <xlrd:rvb i="15309"/>
        </ext>
      </extLst>
    </bk>
    <bk>
      <extLst>
        <ext uri="{3e2802c4-a4d2-4d8b-9148-e3be6c30e623}">
          <xlrd:rvb i="15310"/>
        </ext>
      </extLst>
    </bk>
    <bk>
      <extLst>
        <ext uri="{3e2802c4-a4d2-4d8b-9148-e3be6c30e623}">
          <xlrd:rvb i="15311"/>
        </ext>
      </extLst>
    </bk>
    <bk>
      <extLst>
        <ext uri="{3e2802c4-a4d2-4d8b-9148-e3be6c30e623}">
          <xlrd:rvb i="15312"/>
        </ext>
      </extLst>
    </bk>
    <bk>
      <extLst>
        <ext uri="{3e2802c4-a4d2-4d8b-9148-e3be6c30e623}">
          <xlrd:rvb i="15313"/>
        </ext>
      </extLst>
    </bk>
    <bk>
      <extLst>
        <ext uri="{3e2802c4-a4d2-4d8b-9148-e3be6c30e623}">
          <xlrd:rvb i="15314"/>
        </ext>
      </extLst>
    </bk>
    <bk>
      <extLst>
        <ext uri="{3e2802c4-a4d2-4d8b-9148-e3be6c30e623}">
          <xlrd:rvb i="15315"/>
        </ext>
      </extLst>
    </bk>
    <bk>
      <extLst>
        <ext uri="{3e2802c4-a4d2-4d8b-9148-e3be6c30e623}">
          <xlrd:rvb i="15316"/>
        </ext>
      </extLst>
    </bk>
    <bk>
      <extLst>
        <ext uri="{3e2802c4-a4d2-4d8b-9148-e3be6c30e623}">
          <xlrd:rvb i="15317"/>
        </ext>
      </extLst>
    </bk>
    <bk>
      <extLst>
        <ext uri="{3e2802c4-a4d2-4d8b-9148-e3be6c30e623}">
          <xlrd:rvb i="15318"/>
        </ext>
      </extLst>
    </bk>
    <bk>
      <extLst>
        <ext uri="{3e2802c4-a4d2-4d8b-9148-e3be6c30e623}">
          <xlrd:rvb i="15319"/>
        </ext>
      </extLst>
    </bk>
    <bk>
      <extLst>
        <ext uri="{3e2802c4-a4d2-4d8b-9148-e3be6c30e623}">
          <xlrd:rvb i="15320"/>
        </ext>
      </extLst>
    </bk>
    <bk>
      <extLst>
        <ext uri="{3e2802c4-a4d2-4d8b-9148-e3be6c30e623}">
          <xlrd:rvb i="15321"/>
        </ext>
      </extLst>
    </bk>
    <bk>
      <extLst>
        <ext uri="{3e2802c4-a4d2-4d8b-9148-e3be6c30e623}">
          <xlrd:rvb i="15322"/>
        </ext>
      </extLst>
    </bk>
    <bk>
      <extLst>
        <ext uri="{3e2802c4-a4d2-4d8b-9148-e3be6c30e623}">
          <xlrd:rvb i="15323"/>
        </ext>
      </extLst>
    </bk>
    <bk>
      <extLst>
        <ext uri="{3e2802c4-a4d2-4d8b-9148-e3be6c30e623}">
          <xlrd:rvb i="15324"/>
        </ext>
      </extLst>
    </bk>
    <bk>
      <extLst>
        <ext uri="{3e2802c4-a4d2-4d8b-9148-e3be6c30e623}">
          <xlrd:rvb i="15325"/>
        </ext>
      </extLst>
    </bk>
    <bk>
      <extLst>
        <ext uri="{3e2802c4-a4d2-4d8b-9148-e3be6c30e623}">
          <xlrd:rvb i="15326"/>
        </ext>
      </extLst>
    </bk>
    <bk>
      <extLst>
        <ext uri="{3e2802c4-a4d2-4d8b-9148-e3be6c30e623}">
          <xlrd:rvb i="15327"/>
        </ext>
      </extLst>
    </bk>
    <bk>
      <extLst>
        <ext uri="{3e2802c4-a4d2-4d8b-9148-e3be6c30e623}">
          <xlrd:rvb i="15328"/>
        </ext>
      </extLst>
    </bk>
    <bk>
      <extLst>
        <ext uri="{3e2802c4-a4d2-4d8b-9148-e3be6c30e623}">
          <xlrd:rvb i="15329"/>
        </ext>
      </extLst>
    </bk>
    <bk>
      <extLst>
        <ext uri="{3e2802c4-a4d2-4d8b-9148-e3be6c30e623}">
          <xlrd:rvb i="15330"/>
        </ext>
      </extLst>
    </bk>
    <bk>
      <extLst>
        <ext uri="{3e2802c4-a4d2-4d8b-9148-e3be6c30e623}">
          <xlrd:rvb i="15331"/>
        </ext>
      </extLst>
    </bk>
    <bk>
      <extLst>
        <ext uri="{3e2802c4-a4d2-4d8b-9148-e3be6c30e623}">
          <xlrd:rvb i="15332"/>
        </ext>
      </extLst>
    </bk>
    <bk>
      <extLst>
        <ext uri="{3e2802c4-a4d2-4d8b-9148-e3be6c30e623}">
          <xlrd:rvb i="15333"/>
        </ext>
      </extLst>
    </bk>
    <bk>
      <extLst>
        <ext uri="{3e2802c4-a4d2-4d8b-9148-e3be6c30e623}">
          <xlrd:rvb i="15334"/>
        </ext>
      </extLst>
    </bk>
    <bk>
      <extLst>
        <ext uri="{3e2802c4-a4d2-4d8b-9148-e3be6c30e623}">
          <xlrd:rvb i="15335"/>
        </ext>
      </extLst>
    </bk>
    <bk>
      <extLst>
        <ext uri="{3e2802c4-a4d2-4d8b-9148-e3be6c30e623}">
          <xlrd:rvb i="15336"/>
        </ext>
      </extLst>
    </bk>
    <bk>
      <extLst>
        <ext uri="{3e2802c4-a4d2-4d8b-9148-e3be6c30e623}">
          <xlrd:rvb i="15337"/>
        </ext>
      </extLst>
    </bk>
    <bk>
      <extLst>
        <ext uri="{3e2802c4-a4d2-4d8b-9148-e3be6c30e623}">
          <xlrd:rvb i="15338"/>
        </ext>
      </extLst>
    </bk>
    <bk>
      <extLst>
        <ext uri="{3e2802c4-a4d2-4d8b-9148-e3be6c30e623}">
          <xlrd:rvb i="15339"/>
        </ext>
      </extLst>
    </bk>
    <bk>
      <extLst>
        <ext uri="{3e2802c4-a4d2-4d8b-9148-e3be6c30e623}">
          <xlrd:rvb i="15340"/>
        </ext>
      </extLst>
    </bk>
    <bk>
      <extLst>
        <ext uri="{3e2802c4-a4d2-4d8b-9148-e3be6c30e623}">
          <xlrd:rvb i="15341"/>
        </ext>
      </extLst>
    </bk>
    <bk>
      <extLst>
        <ext uri="{3e2802c4-a4d2-4d8b-9148-e3be6c30e623}">
          <xlrd:rvb i="15342"/>
        </ext>
      </extLst>
    </bk>
    <bk>
      <extLst>
        <ext uri="{3e2802c4-a4d2-4d8b-9148-e3be6c30e623}">
          <xlrd:rvb i="15343"/>
        </ext>
      </extLst>
    </bk>
    <bk>
      <extLst>
        <ext uri="{3e2802c4-a4d2-4d8b-9148-e3be6c30e623}">
          <xlrd:rvb i="15344"/>
        </ext>
      </extLst>
    </bk>
    <bk>
      <extLst>
        <ext uri="{3e2802c4-a4d2-4d8b-9148-e3be6c30e623}">
          <xlrd:rvb i="15345"/>
        </ext>
      </extLst>
    </bk>
    <bk>
      <extLst>
        <ext uri="{3e2802c4-a4d2-4d8b-9148-e3be6c30e623}">
          <xlrd:rvb i="15346"/>
        </ext>
      </extLst>
    </bk>
    <bk>
      <extLst>
        <ext uri="{3e2802c4-a4d2-4d8b-9148-e3be6c30e623}">
          <xlrd:rvb i="15347"/>
        </ext>
      </extLst>
    </bk>
    <bk>
      <extLst>
        <ext uri="{3e2802c4-a4d2-4d8b-9148-e3be6c30e623}">
          <xlrd:rvb i="15348"/>
        </ext>
      </extLst>
    </bk>
    <bk>
      <extLst>
        <ext uri="{3e2802c4-a4d2-4d8b-9148-e3be6c30e623}">
          <xlrd:rvb i="15349"/>
        </ext>
      </extLst>
    </bk>
    <bk>
      <extLst>
        <ext uri="{3e2802c4-a4d2-4d8b-9148-e3be6c30e623}">
          <xlrd:rvb i="15350"/>
        </ext>
      </extLst>
    </bk>
    <bk>
      <extLst>
        <ext uri="{3e2802c4-a4d2-4d8b-9148-e3be6c30e623}">
          <xlrd:rvb i="15351"/>
        </ext>
      </extLst>
    </bk>
    <bk>
      <extLst>
        <ext uri="{3e2802c4-a4d2-4d8b-9148-e3be6c30e623}">
          <xlrd:rvb i="15352"/>
        </ext>
      </extLst>
    </bk>
    <bk>
      <extLst>
        <ext uri="{3e2802c4-a4d2-4d8b-9148-e3be6c30e623}">
          <xlrd:rvb i="15353"/>
        </ext>
      </extLst>
    </bk>
    <bk>
      <extLst>
        <ext uri="{3e2802c4-a4d2-4d8b-9148-e3be6c30e623}">
          <xlrd:rvb i="15354"/>
        </ext>
      </extLst>
    </bk>
    <bk>
      <extLst>
        <ext uri="{3e2802c4-a4d2-4d8b-9148-e3be6c30e623}">
          <xlrd:rvb i="15355"/>
        </ext>
      </extLst>
    </bk>
    <bk>
      <extLst>
        <ext uri="{3e2802c4-a4d2-4d8b-9148-e3be6c30e623}">
          <xlrd:rvb i="15356"/>
        </ext>
      </extLst>
    </bk>
    <bk>
      <extLst>
        <ext uri="{3e2802c4-a4d2-4d8b-9148-e3be6c30e623}">
          <xlrd:rvb i="15357"/>
        </ext>
      </extLst>
    </bk>
    <bk>
      <extLst>
        <ext uri="{3e2802c4-a4d2-4d8b-9148-e3be6c30e623}">
          <xlrd:rvb i="15358"/>
        </ext>
      </extLst>
    </bk>
    <bk>
      <extLst>
        <ext uri="{3e2802c4-a4d2-4d8b-9148-e3be6c30e623}">
          <xlrd:rvb i="15359"/>
        </ext>
      </extLst>
    </bk>
    <bk>
      <extLst>
        <ext uri="{3e2802c4-a4d2-4d8b-9148-e3be6c30e623}">
          <xlrd:rvb i="15360"/>
        </ext>
      </extLst>
    </bk>
    <bk>
      <extLst>
        <ext uri="{3e2802c4-a4d2-4d8b-9148-e3be6c30e623}">
          <xlrd:rvb i="15361"/>
        </ext>
      </extLst>
    </bk>
    <bk>
      <extLst>
        <ext uri="{3e2802c4-a4d2-4d8b-9148-e3be6c30e623}">
          <xlrd:rvb i="15362"/>
        </ext>
      </extLst>
    </bk>
    <bk>
      <extLst>
        <ext uri="{3e2802c4-a4d2-4d8b-9148-e3be6c30e623}">
          <xlrd:rvb i="15363"/>
        </ext>
      </extLst>
    </bk>
    <bk>
      <extLst>
        <ext uri="{3e2802c4-a4d2-4d8b-9148-e3be6c30e623}">
          <xlrd:rvb i="15364"/>
        </ext>
      </extLst>
    </bk>
    <bk>
      <extLst>
        <ext uri="{3e2802c4-a4d2-4d8b-9148-e3be6c30e623}">
          <xlrd:rvb i="15365"/>
        </ext>
      </extLst>
    </bk>
    <bk>
      <extLst>
        <ext uri="{3e2802c4-a4d2-4d8b-9148-e3be6c30e623}">
          <xlrd:rvb i="15366"/>
        </ext>
      </extLst>
    </bk>
    <bk>
      <extLst>
        <ext uri="{3e2802c4-a4d2-4d8b-9148-e3be6c30e623}">
          <xlrd:rvb i="15367"/>
        </ext>
      </extLst>
    </bk>
    <bk>
      <extLst>
        <ext uri="{3e2802c4-a4d2-4d8b-9148-e3be6c30e623}">
          <xlrd:rvb i="15368"/>
        </ext>
      </extLst>
    </bk>
    <bk>
      <extLst>
        <ext uri="{3e2802c4-a4d2-4d8b-9148-e3be6c30e623}">
          <xlrd:rvb i="15369"/>
        </ext>
      </extLst>
    </bk>
    <bk>
      <extLst>
        <ext uri="{3e2802c4-a4d2-4d8b-9148-e3be6c30e623}">
          <xlrd:rvb i="15370"/>
        </ext>
      </extLst>
    </bk>
    <bk>
      <extLst>
        <ext uri="{3e2802c4-a4d2-4d8b-9148-e3be6c30e623}">
          <xlrd:rvb i="15371"/>
        </ext>
      </extLst>
    </bk>
    <bk>
      <extLst>
        <ext uri="{3e2802c4-a4d2-4d8b-9148-e3be6c30e623}">
          <xlrd:rvb i="15372"/>
        </ext>
      </extLst>
    </bk>
    <bk>
      <extLst>
        <ext uri="{3e2802c4-a4d2-4d8b-9148-e3be6c30e623}">
          <xlrd:rvb i="15373"/>
        </ext>
      </extLst>
    </bk>
    <bk>
      <extLst>
        <ext uri="{3e2802c4-a4d2-4d8b-9148-e3be6c30e623}">
          <xlrd:rvb i="15374"/>
        </ext>
      </extLst>
    </bk>
    <bk>
      <extLst>
        <ext uri="{3e2802c4-a4d2-4d8b-9148-e3be6c30e623}">
          <xlrd:rvb i="15375"/>
        </ext>
      </extLst>
    </bk>
    <bk>
      <extLst>
        <ext uri="{3e2802c4-a4d2-4d8b-9148-e3be6c30e623}">
          <xlrd:rvb i="15376"/>
        </ext>
      </extLst>
    </bk>
    <bk>
      <extLst>
        <ext uri="{3e2802c4-a4d2-4d8b-9148-e3be6c30e623}">
          <xlrd:rvb i="15377"/>
        </ext>
      </extLst>
    </bk>
    <bk>
      <extLst>
        <ext uri="{3e2802c4-a4d2-4d8b-9148-e3be6c30e623}">
          <xlrd:rvb i="15378"/>
        </ext>
      </extLst>
    </bk>
    <bk>
      <extLst>
        <ext uri="{3e2802c4-a4d2-4d8b-9148-e3be6c30e623}">
          <xlrd:rvb i="15379"/>
        </ext>
      </extLst>
    </bk>
    <bk>
      <extLst>
        <ext uri="{3e2802c4-a4d2-4d8b-9148-e3be6c30e623}">
          <xlrd:rvb i="15380"/>
        </ext>
      </extLst>
    </bk>
    <bk>
      <extLst>
        <ext uri="{3e2802c4-a4d2-4d8b-9148-e3be6c30e623}">
          <xlrd:rvb i="15381"/>
        </ext>
      </extLst>
    </bk>
    <bk>
      <extLst>
        <ext uri="{3e2802c4-a4d2-4d8b-9148-e3be6c30e623}">
          <xlrd:rvb i="15382"/>
        </ext>
      </extLst>
    </bk>
    <bk>
      <extLst>
        <ext uri="{3e2802c4-a4d2-4d8b-9148-e3be6c30e623}">
          <xlrd:rvb i="15383"/>
        </ext>
      </extLst>
    </bk>
    <bk>
      <extLst>
        <ext uri="{3e2802c4-a4d2-4d8b-9148-e3be6c30e623}">
          <xlrd:rvb i="15384"/>
        </ext>
      </extLst>
    </bk>
    <bk>
      <extLst>
        <ext uri="{3e2802c4-a4d2-4d8b-9148-e3be6c30e623}">
          <xlrd:rvb i="15385"/>
        </ext>
      </extLst>
    </bk>
    <bk>
      <extLst>
        <ext uri="{3e2802c4-a4d2-4d8b-9148-e3be6c30e623}">
          <xlrd:rvb i="15386"/>
        </ext>
      </extLst>
    </bk>
    <bk>
      <extLst>
        <ext uri="{3e2802c4-a4d2-4d8b-9148-e3be6c30e623}">
          <xlrd:rvb i="15387"/>
        </ext>
      </extLst>
    </bk>
    <bk>
      <extLst>
        <ext uri="{3e2802c4-a4d2-4d8b-9148-e3be6c30e623}">
          <xlrd:rvb i="15388"/>
        </ext>
      </extLst>
    </bk>
    <bk>
      <extLst>
        <ext uri="{3e2802c4-a4d2-4d8b-9148-e3be6c30e623}">
          <xlrd:rvb i="15389"/>
        </ext>
      </extLst>
    </bk>
    <bk>
      <extLst>
        <ext uri="{3e2802c4-a4d2-4d8b-9148-e3be6c30e623}">
          <xlrd:rvb i="15390"/>
        </ext>
      </extLst>
    </bk>
    <bk>
      <extLst>
        <ext uri="{3e2802c4-a4d2-4d8b-9148-e3be6c30e623}">
          <xlrd:rvb i="15391"/>
        </ext>
      </extLst>
    </bk>
    <bk>
      <extLst>
        <ext uri="{3e2802c4-a4d2-4d8b-9148-e3be6c30e623}">
          <xlrd:rvb i="15392"/>
        </ext>
      </extLst>
    </bk>
    <bk>
      <extLst>
        <ext uri="{3e2802c4-a4d2-4d8b-9148-e3be6c30e623}">
          <xlrd:rvb i="15393"/>
        </ext>
      </extLst>
    </bk>
    <bk>
      <extLst>
        <ext uri="{3e2802c4-a4d2-4d8b-9148-e3be6c30e623}">
          <xlrd:rvb i="15394"/>
        </ext>
      </extLst>
    </bk>
    <bk>
      <extLst>
        <ext uri="{3e2802c4-a4d2-4d8b-9148-e3be6c30e623}">
          <xlrd:rvb i="15395"/>
        </ext>
      </extLst>
    </bk>
    <bk>
      <extLst>
        <ext uri="{3e2802c4-a4d2-4d8b-9148-e3be6c30e623}">
          <xlrd:rvb i="15396"/>
        </ext>
      </extLst>
    </bk>
    <bk>
      <extLst>
        <ext uri="{3e2802c4-a4d2-4d8b-9148-e3be6c30e623}">
          <xlrd:rvb i="15397"/>
        </ext>
      </extLst>
    </bk>
    <bk>
      <extLst>
        <ext uri="{3e2802c4-a4d2-4d8b-9148-e3be6c30e623}">
          <xlrd:rvb i="15398"/>
        </ext>
      </extLst>
    </bk>
    <bk>
      <extLst>
        <ext uri="{3e2802c4-a4d2-4d8b-9148-e3be6c30e623}">
          <xlrd:rvb i="15399"/>
        </ext>
      </extLst>
    </bk>
    <bk>
      <extLst>
        <ext uri="{3e2802c4-a4d2-4d8b-9148-e3be6c30e623}">
          <xlrd:rvb i="15400"/>
        </ext>
      </extLst>
    </bk>
    <bk>
      <extLst>
        <ext uri="{3e2802c4-a4d2-4d8b-9148-e3be6c30e623}">
          <xlrd:rvb i="15401"/>
        </ext>
      </extLst>
    </bk>
    <bk>
      <extLst>
        <ext uri="{3e2802c4-a4d2-4d8b-9148-e3be6c30e623}">
          <xlrd:rvb i="15402"/>
        </ext>
      </extLst>
    </bk>
    <bk>
      <extLst>
        <ext uri="{3e2802c4-a4d2-4d8b-9148-e3be6c30e623}">
          <xlrd:rvb i="15403"/>
        </ext>
      </extLst>
    </bk>
    <bk>
      <extLst>
        <ext uri="{3e2802c4-a4d2-4d8b-9148-e3be6c30e623}">
          <xlrd:rvb i="15404"/>
        </ext>
      </extLst>
    </bk>
    <bk>
      <extLst>
        <ext uri="{3e2802c4-a4d2-4d8b-9148-e3be6c30e623}">
          <xlrd:rvb i="15405"/>
        </ext>
      </extLst>
    </bk>
    <bk>
      <extLst>
        <ext uri="{3e2802c4-a4d2-4d8b-9148-e3be6c30e623}">
          <xlrd:rvb i="15406"/>
        </ext>
      </extLst>
    </bk>
    <bk>
      <extLst>
        <ext uri="{3e2802c4-a4d2-4d8b-9148-e3be6c30e623}">
          <xlrd:rvb i="15407"/>
        </ext>
      </extLst>
    </bk>
    <bk>
      <extLst>
        <ext uri="{3e2802c4-a4d2-4d8b-9148-e3be6c30e623}">
          <xlrd:rvb i="15408"/>
        </ext>
      </extLst>
    </bk>
    <bk>
      <extLst>
        <ext uri="{3e2802c4-a4d2-4d8b-9148-e3be6c30e623}">
          <xlrd:rvb i="15409"/>
        </ext>
      </extLst>
    </bk>
    <bk>
      <extLst>
        <ext uri="{3e2802c4-a4d2-4d8b-9148-e3be6c30e623}">
          <xlrd:rvb i="15410"/>
        </ext>
      </extLst>
    </bk>
    <bk>
      <extLst>
        <ext uri="{3e2802c4-a4d2-4d8b-9148-e3be6c30e623}">
          <xlrd:rvb i="15411"/>
        </ext>
      </extLst>
    </bk>
    <bk>
      <extLst>
        <ext uri="{3e2802c4-a4d2-4d8b-9148-e3be6c30e623}">
          <xlrd:rvb i="15412"/>
        </ext>
      </extLst>
    </bk>
    <bk>
      <extLst>
        <ext uri="{3e2802c4-a4d2-4d8b-9148-e3be6c30e623}">
          <xlrd:rvb i="15413"/>
        </ext>
      </extLst>
    </bk>
    <bk>
      <extLst>
        <ext uri="{3e2802c4-a4d2-4d8b-9148-e3be6c30e623}">
          <xlrd:rvb i="15414"/>
        </ext>
      </extLst>
    </bk>
    <bk>
      <extLst>
        <ext uri="{3e2802c4-a4d2-4d8b-9148-e3be6c30e623}">
          <xlrd:rvb i="15415"/>
        </ext>
      </extLst>
    </bk>
    <bk>
      <extLst>
        <ext uri="{3e2802c4-a4d2-4d8b-9148-e3be6c30e623}">
          <xlrd:rvb i="15416"/>
        </ext>
      </extLst>
    </bk>
    <bk>
      <extLst>
        <ext uri="{3e2802c4-a4d2-4d8b-9148-e3be6c30e623}">
          <xlrd:rvb i="15417"/>
        </ext>
      </extLst>
    </bk>
    <bk>
      <extLst>
        <ext uri="{3e2802c4-a4d2-4d8b-9148-e3be6c30e623}">
          <xlrd:rvb i="15418"/>
        </ext>
      </extLst>
    </bk>
    <bk>
      <extLst>
        <ext uri="{3e2802c4-a4d2-4d8b-9148-e3be6c30e623}">
          <xlrd:rvb i="15419"/>
        </ext>
      </extLst>
    </bk>
    <bk>
      <extLst>
        <ext uri="{3e2802c4-a4d2-4d8b-9148-e3be6c30e623}">
          <xlrd:rvb i="15420"/>
        </ext>
      </extLst>
    </bk>
    <bk>
      <extLst>
        <ext uri="{3e2802c4-a4d2-4d8b-9148-e3be6c30e623}">
          <xlrd:rvb i="15421"/>
        </ext>
      </extLst>
    </bk>
    <bk>
      <extLst>
        <ext uri="{3e2802c4-a4d2-4d8b-9148-e3be6c30e623}">
          <xlrd:rvb i="15422"/>
        </ext>
      </extLst>
    </bk>
    <bk>
      <extLst>
        <ext uri="{3e2802c4-a4d2-4d8b-9148-e3be6c30e623}">
          <xlrd:rvb i="15423"/>
        </ext>
      </extLst>
    </bk>
    <bk>
      <extLst>
        <ext uri="{3e2802c4-a4d2-4d8b-9148-e3be6c30e623}">
          <xlrd:rvb i="15424"/>
        </ext>
      </extLst>
    </bk>
    <bk>
      <extLst>
        <ext uri="{3e2802c4-a4d2-4d8b-9148-e3be6c30e623}">
          <xlrd:rvb i="15425"/>
        </ext>
      </extLst>
    </bk>
    <bk>
      <extLst>
        <ext uri="{3e2802c4-a4d2-4d8b-9148-e3be6c30e623}">
          <xlrd:rvb i="15426"/>
        </ext>
      </extLst>
    </bk>
    <bk>
      <extLst>
        <ext uri="{3e2802c4-a4d2-4d8b-9148-e3be6c30e623}">
          <xlrd:rvb i="15427"/>
        </ext>
      </extLst>
    </bk>
    <bk>
      <extLst>
        <ext uri="{3e2802c4-a4d2-4d8b-9148-e3be6c30e623}">
          <xlrd:rvb i="15428"/>
        </ext>
      </extLst>
    </bk>
    <bk>
      <extLst>
        <ext uri="{3e2802c4-a4d2-4d8b-9148-e3be6c30e623}">
          <xlrd:rvb i="15429"/>
        </ext>
      </extLst>
    </bk>
    <bk>
      <extLst>
        <ext uri="{3e2802c4-a4d2-4d8b-9148-e3be6c30e623}">
          <xlrd:rvb i="15430"/>
        </ext>
      </extLst>
    </bk>
    <bk>
      <extLst>
        <ext uri="{3e2802c4-a4d2-4d8b-9148-e3be6c30e623}">
          <xlrd:rvb i="15431"/>
        </ext>
      </extLst>
    </bk>
    <bk>
      <extLst>
        <ext uri="{3e2802c4-a4d2-4d8b-9148-e3be6c30e623}">
          <xlrd:rvb i="15432"/>
        </ext>
      </extLst>
    </bk>
    <bk>
      <extLst>
        <ext uri="{3e2802c4-a4d2-4d8b-9148-e3be6c30e623}">
          <xlrd:rvb i="15433"/>
        </ext>
      </extLst>
    </bk>
    <bk>
      <extLst>
        <ext uri="{3e2802c4-a4d2-4d8b-9148-e3be6c30e623}">
          <xlrd:rvb i="15434"/>
        </ext>
      </extLst>
    </bk>
    <bk>
      <extLst>
        <ext uri="{3e2802c4-a4d2-4d8b-9148-e3be6c30e623}">
          <xlrd:rvb i="15435"/>
        </ext>
      </extLst>
    </bk>
    <bk>
      <extLst>
        <ext uri="{3e2802c4-a4d2-4d8b-9148-e3be6c30e623}">
          <xlrd:rvb i="15436"/>
        </ext>
      </extLst>
    </bk>
    <bk>
      <extLst>
        <ext uri="{3e2802c4-a4d2-4d8b-9148-e3be6c30e623}">
          <xlrd:rvb i="15437"/>
        </ext>
      </extLst>
    </bk>
    <bk>
      <extLst>
        <ext uri="{3e2802c4-a4d2-4d8b-9148-e3be6c30e623}">
          <xlrd:rvb i="15438"/>
        </ext>
      </extLst>
    </bk>
    <bk>
      <extLst>
        <ext uri="{3e2802c4-a4d2-4d8b-9148-e3be6c30e623}">
          <xlrd:rvb i="15439"/>
        </ext>
      </extLst>
    </bk>
    <bk>
      <extLst>
        <ext uri="{3e2802c4-a4d2-4d8b-9148-e3be6c30e623}">
          <xlrd:rvb i="15440"/>
        </ext>
      </extLst>
    </bk>
    <bk>
      <extLst>
        <ext uri="{3e2802c4-a4d2-4d8b-9148-e3be6c30e623}">
          <xlrd:rvb i="15441"/>
        </ext>
      </extLst>
    </bk>
    <bk>
      <extLst>
        <ext uri="{3e2802c4-a4d2-4d8b-9148-e3be6c30e623}">
          <xlrd:rvb i="15442"/>
        </ext>
      </extLst>
    </bk>
    <bk>
      <extLst>
        <ext uri="{3e2802c4-a4d2-4d8b-9148-e3be6c30e623}">
          <xlrd:rvb i="15443"/>
        </ext>
      </extLst>
    </bk>
    <bk>
      <extLst>
        <ext uri="{3e2802c4-a4d2-4d8b-9148-e3be6c30e623}">
          <xlrd:rvb i="15444"/>
        </ext>
      </extLst>
    </bk>
    <bk>
      <extLst>
        <ext uri="{3e2802c4-a4d2-4d8b-9148-e3be6c30e623}">
          <xlrd:rvb i="15445"/>
        </ext>
      </extLst>
    </bk>
    <bk>
      <extLst>
        <ext uri="{3e2802c4-a4d2-4d8b-9148-e3be6c30e623}">
          <xlrd:rvb i="15446"/>
        </ext>
      </extLst>
    </bk>
    <bk>
      <extLst>
        <ext uri="{3e2802c4-a4d2-4d8b-9148-e3be6c30e623}">
          <xlrd:rvb i="15447"/>
        </ext>
      </extLst>
    </bk>
    <bk>
      <extLst>
        <ext uri="{3e2802c4-a4d2-4d8b-9148-e3be6c30e623}">
          <xlrd:rvb i="15448"/>
        </ext>
      </extLst>
    </bk>
    <bk>
      <extLst>
        <ext uri="{3e2802c4-a4d2-4d8b-9148-e3be6c30e623}">
          <xlrd:rvb i="15449"/>
        </ext>
      </extLst>
    </bk>
    <bk>
      <extLst>
        <ext uri="{3e2802c4-a4d2-4d8b-9148-e3be6c30e623}">
          <xlrd:rvb i="15450"/>
        </ext>
      </extLst>
    </bk>
    <bk>
      <extLst>
        <ext uri="{3e2802c4-a4d2-4d8b-9148-e3be6c30e623}">
          <xlrd:rvb i="15451"/>
        </ext>
      </extLst>
    </bk>
    <bk>
      <extLst>
        <ext uri="{3e2802c4-a4d2-4d8b-9148-e3be6c30e623}">
          <xlrd:rvb i="15452"/>
        </ext>
      </extLst>
    </bk>
    <bk>
      <extLst>
        <ext uri="{3e2802c4-a4d2-4d8b-9148-e3be6c30e623}">
          <xlrd:rvb i="15453"/>
        </ext>
      </extLst>
    </bk>
    <bk>
      <extLst>
        <ext uri="{3e2802c4-a4d2-4d8b-9148-e3be6c30e623}">
          <xlrd:rvb i="15454"/>
        </ext>
      </extLst>
    </bk>
    <bk>
      <extLst>
        <ext uri="{3e2802c4-a4d2-4d8b-9148-e3be6c30e623}">
          <xlrd:rvb i="15455"/>
        </ext>
      </extLst>
    </bk>
    <bk>
      <extLst>
        <ext uri="{3e2802c4-a4d2-4d8b-9148-e3be6c30e623}">
          <xlrd:rvb i="15456"/>
        </ext>
      </extLst>
    </bk>
    <bk>
      <extLst>
        <ext uri="{3e2802c4-a4d2-4d8b-9148-e3be6c30e623}">
          <xlrd:rvb i="15457"/>
        </ext>
      </extLst>
    </bk>
    <bk>
      <extLst>
        <ext uri="{3e2802c4-a4d2-4d8b-9148-e3be6c30e623}">
          <xlrd:rvb i="15458"/>
        </ext>
      </extLst>
    </bk>
    <bk>
      <extLst>
        <ext uri="{3e2802c4-a4d2-4d8b-9148-e3be6c30e623}">
          <xlrd:rvb i="15459"/>
        </ext>
      </extLst>
    </bk>
    <bk>
      <extLst>
        <ext uri="{3e2802c4-a4d2-4d8b-9148-e3be6c30e623}">
          <xlrd:rvb i="15460"/>
        </ext>
      </extLst>
    </bk>
    <bk>
      <extLst>
        <ext uri="{3e2802c4-a4d2-4d8b-9148-e3be6c30e623}">
          <xlrd:rvb i="15461"/>
        </ext>
      </extLst>
    </bk>
    <bk>
      <extLst>
        <ext uri="{3e2802c4-a4d2-4d8b-9148-e3be6c30e623}">
          <xlrd:rvb i="15462"/>
        </ext>
      </extLst>
    </bk>
    <bk>
      <extLst>
        <ext uri="{3e2802c4-a4d2-4d8b-9148-e3be6c30e623}">
          <xlrd:rvb i="15463"/>
        </ext>
      </extLst>
    </bk>
    <bk>
      <extLst>
        <ext uri="{3e2802c4-a4d2-4d8b-9148-e3be6c30e623}">
          <xlrd:rvb i="15464"/>
        </ext>
      </extLst>
    </bk>
    <bk>
      <extLst>
        <ext uri="{3e2802c4-a4d2-4d8b-9148-e3be6c30e623}">
          <xlrd:rvb i="15465"/>
        </ext>
      </extLst>
    </bk>
    <bk>
      <extLst>
        <ext uri="{3e2802c4-a4d2-4d8b-9148-e3be6c30e623}">
          <xlrd:rvb i="15466"/>
        </ext>
      </extLst>
    </bk>
    <bk>
      <extLst>
        <ext uri="{3e2802c4-a4d2-4d8b-9148-e3be6c30e623}">
          <xlrd:rvb i="15467"/>
        </ext>
      </extLst>
    </bk>
    <bk>
      <extLst>
        <ext uri="{3e2802c4-a4d2-4d8b-9148-e3be6c30e623}">
          <xlrd:rvb i="15468"/>
        </ext>
      </extLst>
    </bk>
    <bk>
      <extLst>
        <ext uri="{3e2802c4-a4d2-4d8b-9148-e3be6c30e623}">
          <xlrd:rvb i="15469"/>
        </ext>
      </extLst>
    </bk>
    <bk>
      <extLst>
        <ext uri="{3e2802c4-a4d2-4d8b-9148-e3be6c30e623}">
          <xlrd:rvb i="15470"/>
        </ext>
      </extLst>
    </bk>
    <bk>
      <extLst>
        <ext uri="{3e2802c4-a4d2-4d8b-9148-e3be6c30e623}">
          <xlrd:rvb i="15471"/>
        </ext>
      </extLst>
    </bk>
    <bk>
      <extLst>
        <ext uri="{3e2802c4-a4d2-4d8b-9148-e3be6c30e623}">
          <xlrd:rvb i="15472"/>
        </ext>
      </extLst>
    </bk>
    <bk>
      <extLst>
        <ext uri="{3e2802c4-a4d2-4d8b-9148-e3be6c30e623}">
          <xlrd:rvb i="15473"/>
        </ext>
      </extLst>
    </bk>
    <bk>
      <extLst>
        <ext uri="{3e2802c4-a4d2-4d8b-9148-e3be6c30e623}">
          <xlrd:rvb i="15474"/>
        </ext>
      </extLst>
    </bk>
    <bk>
      <extLst>
        <ext uri="{3e2802c4-a4d2-4d8b-9148-e3be6c30e623}">
          <xlrd:rvb i="15475"/>
        </ext>
      </extLst>
    </bk>
    <bk>
      <extLst>
        <ext uri="{3e2802c4-a4d2-4d8b-9148-e3be6c30e623}">
          <xlrd:rvb i="15476"/>
        </ext>
      </extLst>
    </bk>
    <bk>
      <extLst>
        <ext uri="{3e2802c4-a4d2-4d8b-9148-e3be6c30e623}">
          <xlrd:rvb i="15477"/>
        </ext>
      </extLst>
    </bk>
    <bk>
      <extLst>
        <ext uri="{3e2802c4-a4d2-4d8b-9148-e3be6c30e623}">
          <xlrd:rvb i="15478"/>
        </ext>
      </extLst>
    </bk>
    <bk>
      <extLst>
        <ext uri="{3e2802c4-a4d2-4d8b-9148-e3be6c30e623}">
          <xlrd:rvb i="15479"/>
        </ext>
      </extLst>
    </bk>
    <bk>
      <extLst>
        <ext uri="{3e2802c4-a4d2-4d8b-9148-e3be6c30e623}">
          <xlrd:rvb i="15480"/>
        </ext>
      </extLst>
    </bk>
    <bk>
      <extLst>
        <ext uri="{3e2802c4-a4d2-4d8b-9148-e3be6c30e623}">
          <xlrd:rvb i="15481"/>
        </ext>
      </extLst>
    </bk>
    <bk>
      <extLst>
        <ext uri="{3e2802c4-a4d2-4d8b-9148-e3be6c30e623}">
          <xlrd:rvb i="15482"/>
        </ext>
      </extLst>
    </bk>
    <bk>
      <extLst>
        <ext uri="{3e2802c4-a4d2-4d8b-9148-e3be6c30e623}">
          <xlrd:rvb i="15483"/>
        </ext>
      </extLst>
    </bk>
    <bk>
      <extLst>
        <ext uri="{3e2802c4-a4d2-4d8b-9148-e3be6c30e623}">
          <xlrd:rvb i="15484"/>
        </ext>
      </extLst>
    </bk>
    <bk>
      <extLst>
        <ext uri="{3e2802c4-a4d2-4d8b-9148-e3be6c30e623}">
          <xlrd:rvb i="15485"/>
        </ext>
      </extLst>
    </bk>
    <bk>
      <extLst>
        <ext uri="{3e2802c4-a4d2-4d8b-9148-e3be6c30e623}">
          <xlrd:rvb i="15486"/>
        </ext>
      </extLst>
    </bk>
    <bk>
      <extLst>
        <ext uri="{3e2802c4-a4d2-4d8b-9148-e3be6c30e623}">
          <xlrd:rvb i="15487"/>
        </ext>
      </extLst>
    </bk>
    <bk>
      <extLst>
        <ext uri="{3e2802c4-a4d2-4d8b-9148-e3be6c30e623}">
          <xlrd:rvb i="15488"/>
        </ext>
      </extLst>
    </bk>
    <bk>
      <extLst>
        <ext uri="{3e2802c4-a4d2-4d8b-9148-e3be6c30e623}">
          <xlrd:rvb i="15489"/>
        </ext>
      </extLst>
    </bk>
    <bk>
      <extLst>
        <ext uri="{3e2802c4-a4d2-4d8b-9148-e3be6c30e623}">
          <xlrd:rvb i="15490"/>
        </ext>
      </extLst>
    </bk>
    <bk>
      <extLst>
        <ext uri="{3e2802c4-a4d2-4d8b-9148-e3be6c30e623}">
          <xlrd:rvb i="15491"/>
        </ext>
      </extLst>
    </bk>
    <bk>
      <extLst>
        <ext uri="{3e2802c4-a4d2-4d8b-9148-e3be6c30e623}">
          <xlrd:rvb i="15492"/>
        </ext>
      </extLst>
    </bk>
    <bk>
      <extLst>
        <ext uri="{3e2802c4-a4d2-4d8b-9148-e3be6c30e623}">
          <xlrd:rvb i="15493"/>
        </ext>
      </extLst>
    </bk>
    <bk>
      <extLst>
        <ext uri="{3e2802c4-a4d2-4d8b-9148-e3be6c30e623}">
          <xlrd:rvb i="15494"/>
        </ext>
      </extLst>
    </bk>
    <bk>
      <extLst>
        <ext uri="{3e2802c4-a4d2-4d8b-9148-e3be6c30e623}">
          <xlrd:rvb i="15495"/>
        </ext>
      </extLst>
    </bk>
    <bk>
      <extLst>
        <ext uri="{3e2802c4-a4d2-4d8b-9148-e3be6c30e623}">
          <xlrd:rvb i="15496"/>
        </ext>
      </extLst>
    </bk>
    <bk>
      <extLst>
        <ext uri="{3e2802c4-a4d2-4d8b-9148-e3be6c30e623}">
          <xlrd:rvb i="15497"/>
        </ext>
      </extLst>
    </bk>
    <bk>
      <extLst>
        <ext uri="{3e2802c4-a4d2-4d8b-9148-e3be6c30e623}">
          <xlrd:rvb i="15498"/>
        </ext>
      </extLst>
    </bk>
    <bk>
      <extLst>
        <ext uri="{3e2802c4-a4d2-4d8b-9148-e3be6c30e623}">
          <xlrd:rvb i="15499"/>
        </ext>
      </extLst>
    </bk>
    <bk>
      <extLst>
        <ext uri="{3e2802c4-a4d2-4d8b-9148-e3be6c30e623}">
          <xlrd:rvb i="15500"/>
        </ext>
      </extLst>
    </bk>
    <bk>
      <extLst>
        <ext uri="{3e2802c4-a4d2-4d8b-9148-e3be6c30e623}">
          <xlrd:rvb i="15501"/>
        </ext>
      </extLst>
    </bk>
    <bk>
      <extLst>
        <ext uri="{3e2802c4-a4d2-4d8b-9148-e3be6c30e623}">
          <xlrd:rvb i="15502"/>
        </ext>
      </extLst>
    </bk>
    <bk>
      <extLst>
        <ext uri="{3e2802c4-a4d2-4d8b-9148-e3be6c30e623}">
          <xlrd:rvb i="15503"/>
        </ext>
      </extLst>
    </bk>
    <bk>
      <extLst>
        <ext uri="{3e2802c4-a4d2-4d8b-9148-e3be6c30e623}">
          <xlrd:rvb i="15504"/>
        </ext>
      </extLst>
    </bk>
    <bk>
      <extLst>
        <ext uri="{3e2802c4-a4d2-4d8b-9148-e3be6c30e623}">
          <xlrd:rvb i="15505"/>
        </ext>
      </extLst>
    </bk>
    <bk>
      <extLst>
        <ext uri="{3e2802c4-a4d2-4d8b-9148-e3be6c30e623}">
          <xlrd:rvb i="15506"/>
        </ext>
      </extLst>
    </bk>
    <bk>
      <extLst>
        <ext uri="{3e2802c4-a4d2-4d8b-9148-e3be6c30e623}">
          <xlrd:rvb i="15507"/>
        </ext>
      </extLst>
    </bk>
    <bk>
      <extLst>
        <ext uri="{3e2802c4-a4d2-4d8b-9148-e3be6c30e623}">
          <xlrd:rvb i="15508"/>
        </ext>
      </extLst>
    </bk>
    <bk>
      <extLst>
        <ext uri="{3e2802c4-a4d2-4d8b-9148-e3be6c30e623}">
          <xlrd:rvb i="15509"/>
        </ext>
      </extLst>
    </bk>
    <bk>
      <extLst>
        <ext uri="{3e2802c4-a4d2-4d8b-9148-e3be6c30e623}">
          <xlrd:rvb i="15510"/>
        </ext>
      </extLst>
    </bk>
    <bk>
      <extLst>
        <ext uri="{3e2802c4-a4d2-4d8b-9148-e3be6c30e623}">
          <xlrd:rvb i="15511"/>
        </ext>
      </extLst>
    </bk>
    <bk>
      <extLst>
        <ext uri="{3e2802c4-a4d2-4d8b-9148-e3be6c30e623}">
          <xlrd:rvb i="15512"/>
        </ext>
      </extLst>
    </bk>
    <bk>
      <extLst>
        <ext uri="{3e2802c4-a4d2-4d8b-9148-e3be6c30e623}">
          <xlrd:rvb i="15513"/>
        </ext>
      </extLst>
    </bk>
    <bk>
      <extLst>
        <ext uri="{3e2802c4-a4d2-4d8b-9148-e3be6c30e623}">
          <xlrd:rvb i="15514"/>
        </ext>
      </extLst>
    </bk>
    <bk>
      <extLst>
        <ext uri="{3e2802c4-a4d2-4d8b-9148-e3be6c30e623}">
          <xlrd:rvb i="15515"/>
        </ext>
      </extLst>
    </bk>
    <bk>
      <extLst>
        <ext uri="{3e2802c4-a4d2-4d8b-9148-e3be6c30e623}">
          <xlrd:rvb i="15516"/>
        </ext>
      </extLst>
    </bk>
    <bk>
      <extLst>
        <ext uri="{3e2802c4-a4d2-4d8b-9148-e3be6c30e623}">
          <xlrd:rvb i="15517"/>
        </ext>
      </extLst>
    </bk>
    <bk>
      <extLst>
        <ext uri="{3e2802c4-a4d2-4d8b-9148-e3be6c30e623}">
          <xlrd:rvb i="15518"/>
        </ext>
      </extLst>
    </bk>
    <bk>
      <extLst>
        <ext uri="{3e2802c4-a4d2-4d8b-9148-e3be6c30e623}">
          <xlrd:rvb i="15519"/>
        </ext>
      </extLst>
    </bk>
    <bk>
      <extLst>
        <ext uri="{3e2802c4-a4d2-4d8b-9148-e3be6c30e623}">
          <xlrd:rvb i="15520"/>
        </ext>
      </extLst>
    </bk>
    <bk>
      <extLst>
        <ext uri="{3e2802c4-a4d2-4d8b-9148-e3be6c30e623}">
          <xlrd:rvb i="15521"/>
        </ext>
      </extLst>
    </bk>
    <bk>
      <extLst>
        <ext uri="{3e2802c4-a4d2-4d8b-9148-e3be6c30e623}">
          <xlrd:rvb i="15522"/>
        </ext>
      </extLst>
    </bk>
    <bk>
      <extLst>
        <ext uri="{3e2802c4-a4d2-4d8b-9148-e3be6c30e623}">
          <xlrd:rvb i="15523"/>
        </ext>
      </extLst>
    </bk>
    <bk>
      <extLst>
        <ext uri="{3e2802c4-a4d2-4d8b-9148-e3be6c30e623}">
          <xlrd:rvb i="15524"/>
        </ext>
      </extLst>
    </bk>
    <bk>
      <extLst>
        <ext uri="{3e2802c4-a4d2-4d8b-9148-e3be6c30e623}">
          <xlrd:rvb i="15525"/>
        </ext>
      </extLst>
    </bk>
    <bk>
      <extLst>
        <ext uri="{3e2802c4-a4d2-4d8b-9148-e3be6c30e623}">
          <xlrd:rvb i="15526"/>
        </ext>
      </extLst>
    </bk>
    <bk>
      <extLst>
        <ext uri="{3e2802c4-a4d2-4d8b-9148-e3be6c30e623}">
          <xlrd:rvb i="15527"/>
        </ext>
      </extLst>
    </bk>
    <bk>
      <extLst>
        <ext uri="{3e2802c4-a4d2-4d8b-9148-e3be6c30e623}">
          <xlrd:rvb i="15528"/>
        </ext>
      </extLst>
    </bk>
    <bk>
      <extLst>
        <ext uri="{3e2802c4-a4d2-4d8b-9148-e3be6c30e623}">
          <xlrd:rvb i="15529"/>
        </ext>
      </extLst>
    </bk>
    <bk>
      <extLst>
        <ext uri="{3e2802c4-a4d2-4d8b-9148-e3be6c30e623}">
          <xlrd:rvb i="15530"/>
        </ext>
      </extLst>
    </bk>
    <bk>
      <extLst>
        <ext uri="{3e2802c4-a4d2-4d8b-9148-e3be6c30e623}">
          <xlrd:rvb i="15531"/>
        </ext>
      </extLst>
    </bk>
    <bk>
      <extLst>
        <ext uri="{3e2802c4-a4d2-4d8b-9148-e3be6c30e623}">
          <xlrd:rvb i="15532"/>
        </ext>
      </extLst>
    </bk>
    <bk>
      <extLst>
        <ext uri="{3e2802c4-a4d2-4d8b-9148-e3be6c30e623}">
          <xlrd:rvb i="15533"/>
        </ext>
      </extLst>
    </bk>
    <bk>
      <extLst>
        <ext uri="{3e2802c4-a4d2-4d8b-9148-e3be6c30e623}">
          <xlrd:rvb i="15534"/>
        </ext>
      </extLst>
    </bk>
    <bk>
      <extLst>
        <ext uri="{3e2802c4-a4d2-4d8b-9148-e3be6c30e623}">
          <xlrd:rvb i="15535"/>
        </ext>
      </extLst>
    </bk>
    <bk>
      <extLst>
        <ext uri="{3e2802c4-a4d2-4d8b-9148-e3be6c30e623}">
          <xlrd:rvb i="15536"/>
        </ext>
      </extLst>
    </bk>
    <bk>
      <extLst>
        <ext uri="{3e2802c4-a4d2-4d8b-9148-e3be6c30e623}">
          <xlrd:rvb i="15537"/>
        </ext>
      </extLst>
    </bk>
    <bk>
      <extLst>
        <ext uri="{3e2802c4-a4d2-4d8b-9148-e3be6c30e623}">
          <xlrd:rvb i="15538"/>
        </ext>
      </extLst>
    </bk>
    <bk>
      <extLst>
        <ext uri="{3e2802c4-a4d2-4d8b-9148-e3be6c30e623}">
          <xlrd:rvb i="15539"/>
        </ext>
      </extLst>
    </bk>
    <bk>
      <extLst>
        <ext uri="{3e2802c4-a4d2-4d8b-9148-e3be6c30e623}">
          <xlrd:rvb i="15540"/>
        </ext>
      </extLst>
    </bk>
    <bk>
      <extLst>
        <ext uri="{3e2802c4-a4d2-4d8b-9148-e3be6c30e623}">
          <xlrd:rvb i="15541"/>
        </ext>
      </extLst>
    </bk>
    <bk>
      <extLst>
        <ext uri="{3e2802c4-a4d2-4d8b-9148-e3be6c30e623}">
          <xlrd:rvb i="15542"/>
        </ext>
      </extLst>
    </bk>
    <bk>
      <extLst>
        <ext uri="{3e2802c4-a4d2-4d8b-9148-e3be6c30e623}">
          <xlrd:rvb i="15543"/>
        </ext>
      </extLst>
    </bk>
    <bk>
      <extLst>
        <ext uri="{3e2802c4-a4d2-4d8b-9148-e3be6c30e623}">
          <xlrd:rvb i="15544"/>
        </ext>
      </extLst>
    </bk>
    <bk>
      <extLst>
        <ext uri="{3e2802c4-a4d2-4d8b-9148-e3be6c30e623}">
          <xlrd:rvb i="15545"/>
        </ext>
      </extLst>
    </bk>
    <bk>
      <extLst>
        <ext uri="{3e2802c4-a4d2-4d8b-9148-e3be6c30e623}">
          <xlrd:rvb i="15546"/>
        </ext>
      </extLst>
    </bk>
    <bk>
      <extLst>
        <ext uri="{3e2802c4-a4d2-4d8b-9148-e3be6c30e623}">
          <xlrd:rvb i="15547"/>
        </ext>
      </extLst>
    </bk>
    <bk>
      <extLst>
        <ext uri="{3e2802c4-a4d2-4d8b-9148-e3be6c30e623}">
          <xlrd:rvb i="15548"/>
        </ext>
      </extLst>
    </bk>
    <bk>
      <extLst>
        <ext uri="{3e2802c4-a4d2-4d8b-9148-e3be6c30e623}">
          <xlrd:rvb i="15549"/>
        </ext>
      </extLst>
    </bk>
    <bk>
      <extLst>
        <ext uri="{3e2802c4-a4d2-4d8b-9148-e3be6c30e623}">
          <xlrd:rvb i="15550"/>
        </ext>
      </extLst>
    </bk>
    <bk>
      <extLst>
        <ext uri="{3e2802c4-a4d2-4d8b-9148-e3be6c30e623}">
          <xlrd:rvb i="15551"/>
        </ext>
      </extLst>
    </bk>
    <bk>
      <extLst>
        <ext uri="{3e2802c4-a4d2-4d8b-9148-e3be6c30e623}">
          <xlrd:rvb i="15552"/>
        </ext>
      </extLst>
    </bk>
    <bk>
      <extLst>
        <ext uri="{3e2802c4-a4d2-4d8b-9148-e3be6c30e623}">
          <xlrd:rvb i="15553"/>
        </ext>
      </extLst>
    </bk>
    <bk>
      <extLst>
        <ext uri="{3e2802c4-a4d2-4d8b-9148-e3be6c30e623}">
          <xlrd:rvb i="15554"/>
        </ext>
      </extLst>
    </bk>
    <bk>
      <extLst>
        <ext uri="{3e2802c4-a4d2-4d8b-9148-e3be6c30e623}">
          <xlrd:rvb i="15555"/>
        </ext>
      </extLst>
    </bk>
    <bk>
      <extLst>
        <ext uri="{3e2802c4-a4d2-4d8b-9148-e3be6c30e623}">
          <xlrd:rvb i="15556"/>
        </ext>
      </extLst>
    </bk>
    <bk>
      <extLst>
        <ext uri="{3e2802c4-a4d2-4d8b-9148-e3be6c30e623}">
          <xlrd:rvb i="15557"/>
        </ext>
      </extLst>
    </bk>
    <bk>
      <extLst>
        <ext uri="{3e2802c4-a4d2-4d8b-9148-e3be6c30e623}">
          <xlrd:rvb i="15558"/>
        </ext>
      </extLst>
    </bk>
    <bk>
      <extLst>
        <ext uri="{3e2802c4-a4d2-4d8b-9148-e3be6c30e623}">
          <xlrd:rvb i="15559"/>
        </ext>
      </extLst>
    </bk>
    <bk>
      <extLst>
        <ext uri="{3e2802c4-a4d2-4d8b-9148-e3be6c30e623}">
          <xlrd:rvb i="15560"/>
        </ext>
      </extLst>
    </bk>
    <bk>
      <extLst>
        <ext uri="{3e2802c4-a4d2-4d8b-9148-e3be6c30e623}">
          <xlrd:rvb i="15561"/>
        </ext>
      </extLst>
    </bk>
    <bk>
      <extLst>
        <ext uri="{3e2802c4-a4d2-4d8b-9148-e3be6c30e623}">
          <xlrd:rvb i="15562"/>
        </ext>
      </extLst>
    </bk>
    <bk>
      <extLst>
        <ext uri="{3e2802c4-a4d2-4d8b-9148-e3be6c30e623}">
          <xlrd:rvb i="15563"/>
        </ext>
      </extLst>
    </bk>
    <bk>
      <extLst>
        <ext uri="{3e2802c4-a4d2-4d8b-9148-e3be6c30e623}">
          <xlrd:rvb i="15564"/>
        </ext>
      </extLst>
    </bk>
    <bk>
      <extLst>
        <ext uri="{3e2802c4-a4d2-4d8b-9148-e3be6c30e623}">
          <xlrd:rvb i="15565"/>
        </ext>
      </extLst>
    </bk>
    <bk>
      <extLst>
        <ext uri="{3e2802c4-a4d2-4d8b-9148-e3be6c30e623}">
          <xlrd:rvb i="15566"/>
        </ext>
      </extLst>
    </bk>
    <bk>
      <extLst>
        <ext uri="{3e2802c4-a4d2-4d8b-9148-e3be6c30e623}">
          <xlrd:rvb i="15567"/>
        </ext>
      </extLst>
    </bk>
    <bk>
      <extLst>
        <ext uri="{3e2802c4-a4d2-4d8b-9148-e3be6c30e623}">
          <xlrd:rvb i="15568"/>
        </ext>
      </extLst>
    </bk>
    <bk>
      <extLst>
        <ext uri="{3e2802c4-a4d2-4d8b-9148-e3be6c30e623}">
          <xlrd:rvb i="15569"/>
        </ext>
      </extLst>
    </bk>
    <bk>
      <extLst>
        <ext uri="{3e2802c4-a4d2-4d8b-9148-e3be6c30e623}">
          <xlrd:rvb i="15570"/>
        </ext>
      </extLst>
    </bk>
    <bk>
      <extLst>
        <ext uri="{3e2802c4-a4d2-4d8b-9148-e3be6c30e623}">
          <xlrd:rvb i="15571"/>
        </ext>
      </extLst>
    </bk>
    <bk>
      <extLst>
        <ext uri="{3e2802c4-a4d2-4d8b-9148-e3be6c30e623}">
          <xlrd:rvb i="15572"/>
        </ext>
      </extLst>
    </bk>
    <bk>
      <extLst>
        <ext uri="{3e2802c4-a4d2-4d8b-9148-e3be6c30e623}">
          <xlrd:rvb i="15573"/>
        </ext>
      </extLst>
    </bk>
    <bk>
      <extLst>
        <ext uri="{3e2802c4-a4d2-4d8b-9148-e3be6c30e623}">
          <xlrd:rvb i="15574"/>
        </ext>
      </extLst>
    </bk>
    <bk>
      <extLst>
        <ext uri="{3e2802c4-a4d2-4d8b-9148-e3be6c30e623}">
          <xlrd:rvb i="15575"/>
        </ext>
      </extLst>
    </bk>
    <bk>
      <extLst>
        <ext uri="{3e2802c4-a4d2-4d8b-9148-e3be6c30e623}">
          <xlrd:rvb i="15576"/>
        </ext>
      </extLst>
    </bk>
    <bk>
      <extLst>
        <ext uri="{3e2802c4-a4d2-4d8b-9148-e3be6c30e623}">
          <xlrd:rvb i="15577"/>
        </ext>
      </extLst>
    </bk>
    <bk>
      <extLst>
        <ext uri="{3e2802c4-a4d2-4d8b-9148-e3be6c30e623}">
          <xlrd:rvb i="15578"/>
        </ext>
      </extLst>
    </bk>
    <bk>
      <extLst>
        <ext uri="{3e2802c4-a4d2-4d8b-9148-e3be6c30e623}">
          <xlrd:rvb i="15579"/>
        </ext>
      </extLst>
    </bk>
    <bk>
      <extLst>
        <ext uri="{3e2802c4-a4d2-4d8b-9148-e3be6c30e623}">
          <xlrd:rvb i="15580"/>
        </ext>
      </extLst>
    </bk>
    <bk>
      <extLst>
        <ext uri="{3e2802c4-a4d2-4d8b-9148-e3be6c30e623}">
          <xlrd:rvb i="15581"/>
        </ext>
      </extLst>
    </bk>
    <bk>
      <extLst>
        <ext uri="{3e2802c4-a4d2-4d8b-9148-e3be6c30e623}">
          <xlrd:rvb i="15582"/>
        </ext>
      </extLst>
    </bk>
    <bk>
      <extLst>
        <ext uri="{3e2802c4-a4d2-4d8b-9148-e3be6c30e623}">
          <xlrd:rvb i="15583"/>
        </ext>
      </extLst>
    </bk>
    <bk>
      <extLst>
        <ext uri="{3e2802c4-a4d2-4d8b-9148-e3be6c30e623}">
          <xlrd:rvb i="15584"/>
        </ext>
      </extLst>
    </bk>
    <bk>
      <extLst>
        <ext uri="{3e2802c4-a4d2-4d8b-9148-e3be6c30e623}">
          <xlrd:rvb i="15585"/>
        </ext>
      </extLst>
    </bk>
    <bk>
      <extLst>
        <ext uri="{3e2802c4-a4d2-4d8b-9148-e3be6c30e623}">
          <xlrd:rvb i="15586"/>
        </ext>
      </extLst>
    </bk>
    <bk>
      <extLst>
        <ext uri="{3e2802c4-a4d2-4d8b-9148-e3be6c30e623}">
          <xlrd:rvb i="15587"/>
        </ext>
      </extLst>
    </bk>
    <bk>
      <extLst>
        <ext uri="{3e2802c4-a4d2-4d8b-9148-e3be6c30e623}">
          <xlrd:rvb i="15588"/>
        </ext>
      </extLst>
    </bk>
    <bk>
      <extLst>
        <ext uri="{3e2802c4-a4d2-4d8b-9148-e3be6c30e623}">
          <xlrd:rvb i="15589"/>
        </ext>
      </extLst>
    </bk>
    <bk>
      <extLst>
        <ext uri="{3e2802c4-a4d2-4d8b-9148-e3be6c30e623}">
          <xlrd:rvb i="15590"/>
        </ext>
      </extLst>
    </bk>
    <bk>
      <extLst>
        <ext uri="{3e2802c4-a4d2-4d8b-9148-e3be6c30e623}">
          <xlrd:rvb i="15591"/>
        </ext>
      </extLst>
    </bk>
    <bk>
      <extLst>
        <ext uri="{3e2802c4-a4d2-4d8b-9148-e3be6c30e623}">
          <xlrd:rvb i="15592"/>
        </ext>
      </extLst>
    </bk>
    <bk>
      <extLst>
        <ext uri="{3e2802c4-a4d2-4d8b-9148-e3be6c30e623}">
          <xlrd:rvb i="15593"/>
        </ext>
      </extLst>
    </bk>
    <bk>
      <extLst>
        <ext uri="{3e2802c4-a4d2-4d8b-9148-e3be6c30e623}">
          <xlrd:rvb i="15594"/>
        </ext>
      </extLst>
    </bk>
    <bk>
      <extLst>
        <ext uri="{3e2802c4-a4d2-4d8b-9148-e3be6c30e623}">
          <xlrd:rvb i="15595"/>
        </ext>
      </extLst>
    </bk>
    <bk>
      <extLst>
        <ext uri="{3e2802c4-a4d2-4d8b-9148-e3be6c30e623}">
          <xlrd:rvb i="15596"/>
        </ext>
      </extLst>
    </bk>
    <bk>
      <extLst>
        <ext uri="{3e2802c4-a4d2-4d8b-9148-e3be6c30e623}">
          <xlrd:rvb i="15597"/>
        </ext>
      </extLst>
    </bk>
    <bk>
      <extLst>
        <ext uri="{3e2802c4-a4d2-4d8b-9148-e3be6c30e623}">
          <xlrd:rvb i="15598"/>
        </ext>
      </extLst>
    </bk>
    <bk>
      <extLst>
        <ext uri="{3e2802c4-a4d2-4d8b-9148-e3be6c30e623}">
          <xlrd:rvb i="15599"/>
        </ext>
      </extLst>
    </bk>
    <bk>
      <extLst>
        <ext uri="{3e2802c4-a4d2-4d8b-9148-e3be6c30e623}">
          <xlrd:rvb i="15600"/>
        </ext>
      </extLst>
    </bk>
    <bk>
      <extLst>
        <ext uri="{3e2802c4-a4d2-4d8b-9148-e3be6c30e623}">
          <xlrd:rvb i="15601"/>
        </ext>
      </extLst>
    </bk>
    <bk>
      <extLst>
        <ext uri="{3e2802c4-a4d2-4d8b-9148-e3be6c30e623}">
          <xlrd:rvb i="15602"/>
        </ext>
      </extLst>
    </bk>
    <bk>
      <extLst>
        <ext uri="{3e2802c4-a4d2-4d8b-9148-e3be6c30e623}">
          <xlrd:rvb i="15603"/>
        </ext>
      </extLst>
    </bk>
    <bk>
      <extLst>
        <ext uri="{3e2802c4-a4d2-4d8b-9148-e3be6c30e623}">
          <xlrd:rvb i="15604"/>
        </ext>
      </extLst>
    </bk>
    <bk>
      <extLst>
        <ext uri="{3e2802c4-a4d2-4d8b-9148-e3be6c30e623}">
          <xlrd:rvb i="15605"/>
        </ext>
      </extLst>
    </bk>
    <bk>
      <extLst>
        <ext uri="{3e2802c4-a4d2-4d8b-9148-e3be6c30e623}">
          <xlrd:rvb i="15606"/>
        </ext>
      </extLst>
    </bk>
    <bk>
      <extLst>
        <ext uri="{3e2802c4-a4d2-4d8b-9148-e3be6c30e623}">
          <xlrd:rvb i="15607"/>
        </ext>
      </extLst>
    </bk>
    <bk>
      <extLst>
        <ext uri="{3e2802c4-a4d2-4d8b-9148-e3be6c30e623}">
          <xlrd:rvb i="15608"/>
        </ext>
      </extLst>
    </bk>
    <bk>
      <extLst>
        <ext uri="{3e2802c4-a4d2-4d8b-9148-e3be6c30e623}">
          <xlrd:rvb i="15609"/>
        </ext>
      </extLst>
    </bk>
    <bk>
      <extLst>
        <ext uri="{3e2802c4-a4d2-4d8b-9148-e3be6c30e623}">
          <xlrd:rvb i="15610"/>
        </ext>
      </extLst>
    </bk>
    <bk>
      <extLst>
        <ext uri="{3e2802c4-a4d2-4d8b-9148-e3be6c30e623}">
          <xlrd:rvb i="15611"/>
        </ext>
      </extLst>
    </bk>
    <bk>
      <extLst>
        <ext uri="{3e2802c4-a4d2-4d8b-9148-e3be6c30e623}">
          <xlrd:rvb i="15612"/>
        </ext>
      </extLst>
    </bk>
    <bk>
      <extLst>
        <ext uri="{3e2802c4-a4d2-4d8b-9148-e3be6c30e623}">
          <xlrd:rvb i="15613"/>
        </ext>
      </extLst>
    </bk>
    <bk>
      <extLst>
        <ext uri="{3e2802c4-a4d2-4d8b-9148-e3be6c30e623}">
          <xlrd:rvb i="15614"/>
        </ext>
      </extLst>
    </bk>
    <bk>
      <extLst>
        <ext uri="{3e2802c4-a4d2-4d8b-9148-e3be6c30e623}">
          <xlrd:rvb i="15615"/>
        </ext>
      </extLst>
    </bk>
    <bk>
      <extLst>
        <ext uri="{3e2802c4-a4d2-4d8b-9148-e3be6c30e623}">
          <xlrd:rvb i="15616"/>
        </ext>
      </extLst>
    </bk>
    <bk>
      <extLst>
        <ext uri="{3e2802c4-a4d2-4d8b-9148-e3be6c30e623}">
          <xlrd:rvb i="15617"/>
        </ext>
      </extLst>
    </bk>
    <bk>
      <extLst>
        <ext uri="{3e2802c4-a4d2-4d8b-9148-e3be6c30e623}">
          <xlrd:rvb i="15618"/>
        </ext>
      </extLst>
    </bk>
    <bk>
      <extLst>
        <ext uri="{3e2802c4-a4d2-4d8b-9148-e3be6c30e623}">
          <xlrd:rvb i="15619"/>
        </ext>
      </extLst>
    </bk>
    <bk>
      <extLst>
        <ext uri="{3e2802c4-a4d2-4d8b-9148-e3be6c30e623}">
          <xlrd:rvb i="15620"/>
        </ext>
      </extLst>
    </bk>
    <bk>
      <extLst>
        <ext uri="{3e2802c4-a4d2-4d8b-9148-e3be6c30e623}">
          <xlrd:rvb i="15621"/>
        </ext>
      </extLst>
    </bk>
    <bk>
      <extLst>
        <ext uri="{3e2802c4-a4d2-4d8b-9148-e3be6c30e623}">
          <xlrd:rvb i="15622"/>
        </ext>
      </extLst>
    </bk>
    <bk>
      <extLst>
        <ext uri="{3e2802c4-a4d2-4d8b-9148-e3be6c30e623}">
          <xlrd:rvb i="15623"/>
        </ext>
      </extLst>
    </bk>
    <bk>
      <extLst>
        <ext uri="{3e2802c4-a4d2-4d8b-9148-e3be6c30e623}">
          <xlrd:rvb i="15624"/>
        </ext>
      </extLst>
    </bk>
    <bk>
      <extLst>
        <ext uri="{3e2802c4-a4d2-4d8b-9148-e3be6c30e623}">
          <xlrd:rvb i="15625"/>
        </ext>
      </extLst>
    </bk>
    <bk>
      <extLst>
        <ext uri="{3e2802c4-a4d2-4d8b-9148-e3be6c30e623}">
          <xlrd:rvb i="15626"/>
        </ext>
      </extLst>
    </bk>
    <bk>
      <extLst>
        <ext uri="{3e2802c4-a4d2-4d8b-9148-e3be6c30e623}">
          <xlrd:rvb i="15627"/>
        </ext>
      </extLst>
    </bk>
    <bk>
      <extLst>
        <ext uri="{3e2802c4-a4d2-4d8b-9148-e3be6c30e623}">
          <xlrd:rvb i="15628"/>
        </ext>
      </extLst>
    </bk>
    <bk>
      <extLst>
        <ext uri="{3e2802c4-a4d2-4d8b-9148-e3be6c30e623}">
          <xlrd:rvb i="15629"/>
        </ext>
      </extLst>
    </bk>
    <bk>
      <extLst>
        <ext uri="{3e2802c4-a4d2-4d8b-9148-e3be6c30e623}">
          <xlrd:rvb i="15630"/>
        </ext>
      </extLst>
    </bk>
    <bk>
      <extLst>
        <ext uri="{3e2802c4-a4d2-4d8b-9148-e3be6c30e623}">
          <xlrd:rvb i="15631"/>
        </ext>
      </extLst>
    </bk>
    <bk>
      <extLst>
        <ext uri="{3e2802c4-a4d2-4d8b-9148-e3be6c30e623}">
          <xlrd:rvb i="15632"/>
        </ext>
      </extLst>
    </bk>
    <bk>
      <extLst>
        <ext uri="{3e2802c4-a4d2-4d8b-9148-e3be6c30e623}">
          <xlrd:rvb i="15633"/>
        </ext>
      </extLst>
    </bk>
    <bk>
      <extLst>
        <ext uri="{3e2802c4-a4d2-4d8b-9148-e3be6c30e623}">
          <xlrd:rvb i="15634"/>
        </ext>
      </extLst>
    </bk>
    <bk>
      <extLst>
        <ext uri="{3e2802c4-a4d2-4d8b-9148-e3be6c30e623}">
          <xlrd:rvb i="15635"/>
        </ext>
      </extLst>
    </bk>
    <bk>
      <extLst>
        <ext uri="{3e2802c4-a4d2-4d8b-9148-e3be6c30e623}">
          <xlrd:rvb i="15636"/>
        </ext>
      </extLst>
    </bk>
    <bk>
      <extLst>
        <ext uri="{3e2802c4-a4d2-4d8b-9148-e3be6c30e623}">
          <xlrd:rvb i="15637"/>
        </ext>
      </extLst>
    </bk>
    <bk>
      <extLst>
        <ext uri="{3e2802c4-a4d2-4d8b-9148-e3be6c30e623}">
          <xlrd:rvb i="15638"/>
        </ext>
      </extLst>
    </bk>
    <bk>
      <extLst>
        <ext uri="{3e2802c4-a4d2-4d8b-9148-e3be6c30e623}">
          <xlrd:rvb i="15639"/>
        </ext>
      </extLst>
    </bk>
    <bk>
      <extLst>
        <ext uri="{3e2802c4-a4d2-4d8b-9148-e3be6c30e623}">
          <xlrd:rvb i="15640"/>
        </ext>
      </extLst>
    </bk>
    <bk>
      <extLst>
        <ext uri="{3e2802c4-a4d2-4d8b-9148-e3be6c30e623}">
          <xlrd:rvb i="15641"/>
        </ext>
      </extLst>
    </bk>
    <bk>
      <extLst>
        <ext uri="{3e2802c4-a4d2-4d8b-9148-e3be6c30e623}">
          <xlrd:rvb i="15642"/>
        </ext>
      </extLst>
    </bk>
    <bk>
      <extLst>
        <ext uri="{3e2802c4-a4d2-4d8b-9148-e3be6c30e623}">
          <xlrd:rvb i="15643"/>
        </ext>
      </extLst>
    </bk>
    <bk>
      <extLst>
        <ext uri="{3e2802c4-a4d2-4d8b-9148-e3be6c30e623}">
          <xlrd:rvb i="15644"/>
        </ext>
      </extLst>
    </bk>
    <bk>
      <extLst>
        <ext uri="{3e2802c4-a4d2-4d8b-9148-e3be6c30e623}">
          <xlrd:rvb i="15645"/>
        </ext>
      </extLst>
    </bk>
    <bk>
      <extLst>
        <ext uri="{3e2802c4-a4d2-4d8b-9148-e3be6c30e623}">
          <xlrd:rvb i="15646"/>
        </ext>
      </extLst>
    </bk>
    <bk>
      <extLst>
        <ext uri="{3e2802c4-a4d2-4d8b-9148-e3be6c30e623}">
          <xlrd:rvb i="15647"/>
        </ext>
      </extLst>
    </bk>
    <bk>
      <extLst>
        <ext uri="{3e2802c4-a4d2-4d8b-9148-e3be6c30e623}">
          <xlrd:rvb i="15648"/>
        </ext>
      </extLst>
    </bk>
    <bk>
      <extLst>
        <ext uri="{3e2802c4-a4d2-4d8b-9148-e3be6c30e623}">
          <xlrd:rvb i="15649"/>
        </ext>
      </extLst>
    </bk>
    <bk>
      <extLst>
        <ext uri="{3e2802c4-a4d2-4d8b-9148-e3be6c30e623}">
          <xlrd:rvb i="15650"/>
        </ext>
      </extLst>
    </bk>
    <bk>
      <extLst>
        <ext uri="{3e2802c4-a4d2-4d8b-9148-e3be6c30e623}">
          <xlrd:rvb i="15651"/>
        </ext>
      </extLst>
    </bk>
    <bk>
      <extLst>
        <ext uri="{3e2802c4-a4d2-4d8b-9148-e3be6c30e623}">
          <xlrd:rvb i="15652"/>
        </ext>
      </extLst>
    </bk>
    <bk>
      <extLst>
        <ext uri="{3e2802c4-a4d2-4d8b-9148-e3be6c30e623}">
          <xlrd:rvb i="15653"/>
        </ext>
      </extLst>
    </bk>
    <bk>
      <extLst>
        <ext uri="{3e2802c4-a4d2-4d8b-9148-e3be6c30e623}">
          <xlrd:rvb i="15654"/>
        </ext>
      </extLst>
    </bk>
    <bk>
      <extLst>
        <ext uri="{3e2802c4-a4d2-4d8b-9148-e3be6c30e623}">
          <xlrd:rvb i="15655"/>
        </ext>
      </extLst>
    </bk>
    <bk>
      <extLst>
        <ext uri="{3e2802c4-a4d2-4d8b-9148-e3be6c30e623}">
          <xlrd:rvb i="15656"/>
        </ext>
      </extLst>
    </bk>
    <bk>
      <extLst>
        <ext uri="{3e2802c4-a4d2-4d8b-9148-e3be6c30e623}">
          <xlrd:rvb i="15657"/>
        </ext>
      </extLst>
    </bk>
    <bk>
      <extLst>
        <ext uri="{3e2802c4-a4d2-4d8b-9148-e3be6c30e623}">
          <xlrd:rvb i="15658"/>
        </ext>
      </extLst>
    </bk>
    <bk>
      <extLst>
        <ext uri="{3e2802c4-a4d2-4d8b-9148-e3be6c30e623}">
          <xlrd:rvb i="15659"/>
        </ext>
      </extLst>
    </bk>
    <bk>
      <extLst>
        <ext uri="{3e2802c4-a4d2-4d8b-9148-e3be6c30e623}">
          <xlrd:rvb i="15660"/>
        </ext>
      </extLst>
    </bk>
    <bk>
      <extLst>
        <ext uri="{3e2802c4-a4d2-4d8b-9148-e3be6c30e623}">
          <xlrd:rvb i="15661"/>
        </ext>
      </extLst>
    </bk>
    <bk>
      <extLst>
        <ext uri="{3e2802c4-a4d2-4d8b-9148-e3be6c30e623}">
          <xlrd:rvb i="15662"/>
        </ext>
      </extLst>
    </bk>
    <bk>
      <extLst>
        <ext uri="{3e2802c4-a4d2-4d8b-9148-e3be6c30e623}">
          <xlrd:rvb i="15663"/>
        </ext>
      </extLst>
    </bk>
    <bk>
      <extLst>
        <ext uri="{3e2802c4-a4d2-4d8b-9148-e3be6c30e623}">
          <xlrd:rvb i="15664"/>
        </ext>
      </extLst>
    </bk>
    <bk>
      <extLst>
        <ext uri="{3e2802c4-a4d2-4d8b-9148-e3be6c30e623}">
          <xlrd:rvb i="15665"/>
        </ext>
      </extLst>
    </bk>
    <bk>
      <extLst>
        <ext uri="{3e2802c4-a4d2-4d8b-9148-e3be6c30e623}">
          <xlrd:rvb i="15666"/>
        </ext>
      </extLst>
    </bk>
    <bk>
      <extLst>
        <ext uri="{3e2802c4-a4d2-4d8b-9148-e3be6c30e623}">
          <xlrd:rvb i="15667"/>
        </ext>
      </extLst>
    </bk>
    <bk>
      <extLst>
        <ext uri="{3e2802c4-a4d2-4d8b-9148-e3be6c30e623}">
          <xlrd:rvb i="15668"/>
        </ext>
      </extLst>
    </bk>
    <bk>
      <extLst>
        <ext uri="{3e2802c4-a4d2-4d8b-9148-e3be6c30e623}">
          <xlrd:rvb i="15669"/>
        </ext>
      </extLst>
    </bk>
    <bk>
      <extLst>
        <ext uri="{3e2802c4-a4d2-4d8b-9148-e3be6c30e623}">
          <xlrd:rvb i="15670"/>
        </ext>
      </extLst>
    </bk>
    <bk>
      <extLst>
        <ext uri="{3e2802c4-a4d2-4d8b-9148-e3be6c30e623}">
          <xlrd:rvb i="15671"/>
        </ext>
      </extLst>
    </bk>
    <bk>
      <extLst>
        <ext uri="{3e2802c4-a4d2-4d8b-9148-e3be6c30e623}">
          <xlrd:rvb i="15672"/>
        </ext>
      </extLst>
    </bk>
    <bk>
      <extLst>
        <ext uri="{3e2802c4-a4d2-4d8b-9148-e3be6c30e623}">
          <xlrd:rvb i="15673"/>
        </ext>
      </extLst>
    </bk>
    <bk>
      <extLst>
        <ext uri="{3e2802c4-a4d2-4d8b-9148-e3be6c30e623}">
          <xlrd:rvb i="15674"/>
        </ext>
      </extLst>
    </bk>
    <bk>
      <extLst>
        <ext uri="{3e2802c4-a4d2-4d8b-9148-e3be6c30e623}">
          <xlrd:rvb i="15675"/>
        </ext>
      </extLst>
    </bk>
    <bk>
      <extLst>
        <ext uri="{3e2802c4-a4d2-4d8b-9148-e3be6c30e623}">
          <xlrd:rvb i="15676"/>
        </ext>
      </extLst>
    </bk>
    <bk>
      <extLst>
        <ext uri="{3e2802c4-a4d2-4d8b-9148-e3be6c30e623}">
          <xlrd:rvb i="15677"/>
        </ext>
      </extLst>
    </bk>
    <bk>
      <extLst>
        <ext uri="{3e2802c4-a4d2-4d8b-9148-e3be6c30e623}">
          <xlrd:rvb i="15678"/>
        </ext>
      </extLst>
    </bk>
    <bk>
      <extLst>
        <ext uri="{3e2802c4-a4d2-4d8b-9148-e3be6c30e623}">
          <xlrd:rvb i="15679"/>
        </ext>
      </extLst>
    </bk>
    <bk>
      <extLst>
        <ext uri="{3e2802c4-a4d2-4d8b-9148-e3be6c30e623}">
          <xlrd:rvb i="15680"/>
        </ext>
      </extLst>
    </bk>
    <bk>
      <extLst>
        <ext uri="{3e2802c4-a4d2-4d8b-9148-e3be6c30e623}">
          <xlrd:rvb i="15681"/>
        </ext>
      </extLst>
    </bk>
    <bk>
      <extLst>
        <ext uri="{3e2802c4-a4d2-4d8b-9148-e3be6c30e623}">
          <xlrd:rvb i="15682"/>
        </ext>
      </extLst>
    </bk>
    <bk>
      <extLst>
        <ext uri="{3e2802c4-a4d2-4d8b-9148-e3be6c30e623}">
          <xlrd:rvb i="15683"/>
        </ext>
      </extLst>
    </bk>
    <bk>
      <extLst>
        <ext uri="{3e2802c4-a4d2-4d8b-9148-e3be6c30e623}">
          <xlrd:rvb i="15684"/>
        </ext>
      </extLst>
    </bk>
    <bk>
      <extLst>
        <ext uri="{3e2802c4-a4d2-4d8b-9148-e3be6c30e623}">
          <xlrd:rvb i="15685"/>
        </ext>
      </extLst>
    </bk>
    <bk>
      <extLst>
        <ext uri="{3e2802c4-a4d2-4d8b-9148-e3be6c30e623}">
          <xlrd:rvb i="15686"/>
        </ext>
      </extLst>
    </bk>
    <bk>
      <extLst>
        <ext uri="{3e2802c4-a4d2-4d8b-9148-e3be6c30e623}">
          <xlrd:rvb i="15687"/>
        </ext>
      </extLst>
    </bk>
    <bk>
      <extLst>
        <ext uri="{3e2802c4-a4d2-4d8b-9148-e3be6c30e623}">
          <xlrd:rvb i="15688"/>
        </ext>
      </extLst>
    </bk>
    <bk>
      <extLst>
        <ext uri="{3e2802c4-a4d2-4d8b-9148-e3be6c30e623}">
          <xlrd:rvb i="15689"/>
        </ext>
      </extLst>
    </bk>
    <bk>
      <extLst>
        <ext uri="{3e2802c4-a4d2-4d8b-9148-e3be6c30e623}">
          <xlrd:rvb i="15690"/>
        </ext>
      </extLst>
    </bk>
    <bk>
      <extLst>
        <ext uri="{3e2802c4-a4d2-4d8b-9148-e3be6c30e623}">
          <xlrd:rvb i="15691"/>
        </ext>
      </extLst>
    </bk>
    <bk>
      <extLst>
        <ext uri="{3e2802c4-a4d2-4d8b-9148-e3be6c30e623}">
          <xlrd:rvb i="15692"/>
        </ext>
      </extLst>
    </bk>
    <bk>
      <extLst>
        <ext uri="{3e2802c4-a4d2-4d8b-9148-e3be6c30e623}">
          <xlrd:rvb i="15693"/>
        </ext>
      </extLst>
    </bk>
    <bk>
      <extLst>
        <ext uri="{3e2802c4-a4d2-4d8b-9148-e3be6c30e623}">
          <xlrd:rvb i="15694"/>
        </ext>
      </extLst>
    </bk>
    <bk>
      <extLst>
        <ext uri="{3e2802c4-a4d2-4d8b-9148-e3be6c30e623}">
          <xlrd:rvb i="15695"/>
        </ext>
      </extLst>
    </bk>
    <bk>
      <extLst>
        <ext uri="{3e2802c4-a4d2-4d8b-9148-e3be6c30e623}">
          <xlrd:rvb i="15696"/>
        </ext>
      </extLst>
    </bk>
    <bk>
      <extLst>
        <ext uri="{3e2802c4-a4d2-4d8b-9148-e3be6c30e623}">
          <xlrd:rvb i="15697"/>
        </ext>
      </extLst>
    </bk>
    <bk>
      <extLst>
        <ext uri="{3e2802c4-a4d2-4d8b-9148-e3be6c30e623}">
          <xlrd:rvb i="15698"/>
        </ext>
      </extLst>
    </bk>
    <bk>
      <extLst>
        <ext uri="{3e2802c4-a4d2-4d8b-9148-e3be6c30e623}">
          <xlrd:rvb i="15699"/>
        </ext>
      </extLst>
    </bk>
    <bk>
      <extLst>
        <ext uri="{3e2802c4-a4d2-4d8b-9148-e3be6c30e623}">
          <xlrd:rvb i="15700"/>
        </ext>
      </extLst>
    </bk>
    <bk>
      <extLst>
        <ext uri="{3e2802c4-a4d2-4d8b-9148-e3be6c30e623}">
          <xlrd:rvb i="15701"/>
        </ext>
      </extLst>
    </bk>
    <bk>
      <extLst>
        <ext uri="{3e2802c4-a4d2-4d8b-9148-e3be6c30e623}">
          <xlrd:rvb i="15702"/>
        </ext>
      </extLst>
    </bk>
    <bk>
      <extLst>
        <ext uri="{3e2802c4-a4d2-4d8b-9148-e3be6c30e623}">
          <xlrd:rvb i="15703"/>
        </ext>
      </extLst>
    </bk>
    <bk>
      <extLst>
        <ext uri="{3e2802c4-a4d2-4d8b-9148-e3be6c30e623}">
          <xlrd:rvb i="15704"/>
        </ext>
      </extLst>
    </bk>
    <bk>
      <extLst>
        <ext uri="{3e2802c4-a4d2-4d8b-9148-e3be6c30e623}">
          <xlrd:rvb i="15705"/>
        </ext>
      </extLst>
    </bk>
    <bk>
      <extLst>
        <ext uri="{3e2802c4-a4d2-4d8b-9148-e3be6c30e623}">
          <xlrd:rvb i="15706"/>
        </ext>
      </extLst>
    </bk>
    <bk>
      <extLst>
        <ext uri="{3e2802c4-a4d2-4d8b-9148-e3be6c30e623}">
          <xlrd:rvb i="15707"/>
        </ext>
      </extLst>
    </bk>
    <bk>
      <extLst>
        <ext uri="{3e2802c4-a4d2-4d8b-9148-e3be6c30e623}">
          <xlrd:rvb i="15708"/>
        </ext>
      </extLst>
    </bk>
    <bk>
      <extLst>
        <ext uri="{3e2802c4-a4d2-4d8b-9148-e3be6c30e623}">
          <xlrd:rvb i="15709"/>
        </ext>
      </extLst>
    </bk>
    <bk>
      <extLst>
        <ext uri="{3e2802c4-a4d2-4d8b-9148-e3be6c30e623}">
          <xlrd:rvb i="15710"/>
        </ext>
      </extLst>
    </bk>
    <bk>
      <extLst>
        <ext uri="{3e2802c4-a4d2-4d8b-9148-e3be6c30e623}">
          <xlrd:rvb i="15711"/>
        </ext>
      </extLst>
    </bk>
    <bk>
      <extLst>
        <ext uri="{3e2802c4-a4d2-4d8b-9148-e3be6c30e623}">
          <xlrd:rvb i="15712"/>
        </ext>
      </extLst>
    </bk>
    <bk>
      <extLst>
        <ext uri="{3e2802c4-a4d2-4d8b-9148-e3be6c30e623}">
          <xlrd:rvb i="15713"/>
        </ext>
      </extLst>
    </bk>
    <bk>
      <extLst>
        <ext uri="{3e2802c4-a4d2-4d8b-9148-e3be6c30e623}">
          <xlrd:rvb i="15714"/>
        </ext>
      </extLst>
    </bk>
    <bk>
      <extLst>
        <ext uri="{3e2802c4-a4d2-4d8b-9148-e3be6c30e623}">
          <xlrd:rvb i="15715"/>
        </ext>
      </extLst>
    </bk>
    <bk>
      <extLst>
        <ext uri="{3e2802c4-a4d2-4d8b-9148-e3be6c30e623}">
          <xlrd:rvb i="15716"/>
        </ext>
      </extLst>
    </bk>
    <bk>
      <extLst>
        <ext uri="{3e2802c4-a4d2-4d8b-9148-e3be6c30e623}">
          <xlrd:rvb i="15717"/>
        </ext>
      </extLst>
    </bk>
    <bk>
      <extLst>
        <ext uri="{3e2802c4-a4d2-4d8b-9148-e3be6c30e623}">
          <xlrd:rvb i="15718"/>
        </ext>
      </extLst>
    </bk>
    <bk>
      <extLst>
        <ext uri="{3e2802c4-a4d2-4d8b-9148-e3be6c30e623}">
          <xlrd:rvb i="15719"/>
        </ext>
      </extLst>
    </bk>
    <bk>
      <extLst>
        <ext uri="{3e2802c4-a4d2-4d8b-9148-e3be6c30e623}">
          <xlrd:rvb i="15720"/>
        </ext>
      </extLst>
    </bk>
    <bk>
      <extLst>
        <ext uri="{3e2802c4-a4d2-4d8b-9148-e3be6c30e623}">
          <xlrd:rvb i="15721"/>
        </ext>
      </extLst>
    </bk>
    <bk>
      <extLst>
        <ext uri="{3e2802c4-a4d2-4d8b-9148-e3be6c30e623}">
          <xlrd:rvb i="15722"/>
        </ext>
      </extLst>
    </bk>
    <bk>
      <extLst>
        <ext uri="{3e2802c4-a4d2-4d8b-9148-e3be6c30e623}">
          <xlrd:rvb i="15723"/>
        </ext>
      </extLst>
    </bk>
    <bk>
      <extLst>
        <ext uri="{3e2802c4-a4d2-4d8b-9148-e3be6c30e623}">
          <xlrd:rvb i="15724"/>
        </ext>
      </extLst>
    </bk>
    <bk>
      <extLst>
        <ext uri="{3e2802c4-a4d2-4d8b-9148-e3be6c30e623}">
          <xlrd:rvb i="15725"/>
        </ext>
      </extLst>
    </bk>
    <bk>
      <extLst>
        <ext uri="{3e2802c4-a4d2-4d8b-9148-e3be6c30e623}">
          <xlrd:rvb i="15726"/>
        </ext>
      </extLst>
    </bk>
    <bk>
      <extLst>
        <ext uri="{3e2802c4-a4d2-4d8b-9148-e3be6c30e623}">
          <xlrd:rvb i="15727"/>
        </ext>
      </extLst>
    </bk>
    <bk>
      <extLst>
        <ext uri="{3e2802c4-a4d2-4d8b-9148-e3be6c30e623}">
          <xlrd:rvb i="15728"/>
        </ext>
      </extLst>
    </bk>
    <bk>
      <extLst>
        <ext uri="{3e2802c4-a4d2-4d8b-9148-e3be6c30e623}">
          <xlrd:rvb i="15729"/>
        </ext>
      </extLst>
    </bk>
    <bk>
      <extLst>
        <ext uri="{3e2802c4-a4d2-4d8b-9148-e3be6c30e623}">
          <xlrd:rvb i="15730"/>
        </ext>
      </extLst>
    </bk>
    <bk>
      <extLst>
        <ext uri="{3e2802c4-a4d2-4d8b-9148-e3be6c30e623}">
          <xlrd:rvb i="15731"/>
        </ext>
      </extLst>
    </bk>
    <bk>
      <extLst>
        <ext uri="{3e2802c4-a4d2-4d8b-9148-e3be6c30e623}">
          <xlrd:rvb i="15732"/>
        </ext>
      </extLst>
    </bk>
    <bk>
      <extLst>
        <ext uri="{3e2802c4-a4d2-4d8b-9148-e3be6c30e623}">
          <xlrd:rvb i="15733"/>
        </ext>
      </extLst>
    </bk>
    <bk>
      <extLst>
        <ext uri="{3e2802c4-a4d2-4d8b-9148-e3be6c30e623}">
          <xlrd:rvb i="15734"/>
        </ext>
      </extLst>
    </bk>
    <bk>
      <extLst>
        <ext uri="{3e2802c4-a4d2-4d8b-9148-e3be6c30e623}">
          <xlrd:rvb i="15735"/>
        </ext>
      </extLst>
    </bk>
    <bk>
      <extLst>
        <ext uri="{3e2802c4-a4d2-4d8b-9148-e3be6c30e623}">
          <xlrd:rvb i="15736"/>
        </ext>
      </extLst>
    </bk>
    <bk>
      <extLst>
        <ext uri="{3e2802c4-a4d2-4d8b-9148-e3be6c30e623}">
          <xlrd:rvb i="15737"/>
        </ext>
      </extLst>
    </bk>
    <bk>
      <extLst>
        <ext uri="{3e2802c4-a4d2-4d8b-9148-e3be6c30e623}">
          <xlrd:rvb i="15738"/>
        </ext>
      </extLst>
    </bk>
    <bk>
      <extLst>
        <ext uri="{3e2802c4-a4d2-4d8b-9148-e3be6c30e623}">
          <xlrd:rvb i="15739"/>
        </ext>
      </extLst>
    </bk>
    <bk>
      <extLst>
        <ext uri="{3e2802c4-a4d2-4d8b-9148-e3be6c30e623}">
          <xlrd:rvb i="15740"/>
        </ext>
      </extLst>
    </bk>
    <bk>
      <extLst>
        <ext uri="{3e2802c4-a4d2-4d8b-9148-e3be6c30e623}">
          <xlrd:rvb i="15741"/>
        </ext>
      </extLst>
    </bk>
    <bk>
      <extLst>
        <ext uri="{3e2802c4-a4d2-4d8b-9148-e3be6c30e623}">
          <xlrd:rvb i="15742"/>
        </ext>
      </extLst>
    </bk>
    <bk>
      <extLst>
        <ext uri="{3e2802c4-a4d2-4d8b-9148-e3be6c30e623}">
          <xlrd:rvb i="15743"/>
        </ext>
      </extLst>
    </bk>
    <bk>
      <extLst>
        <ext uri="{3e2802c4-a4d2-4d8b-9148-e3be6c30e623}">
          <xlrd:rvb i="15744"/>
        </ext>
      </extLst>
    </bk>
    <bk>
      <extLst>
        <ext uri="{3e2802c4-a4d2-4d8b-9148-e3be6c30e623}">
          <xlrd:rvb i="15745"/>
        </ext>
      </extLst>
    </bk>
    <bk>
      <extLst>
        <ext uri="{3e2802c4-a4d2-4d8b-9148-e3be6c30e623}">
          <xlrd:rvb i="15746"/>
        </ext>
      </extLst>
    </bk>
    <bk>
      <extLst>
        <ext uri="{3e2802c4-a4d2-4d8b-9148-e3be6c30e623}">
          <xlrd:rvb i="15747"/>
        </ext>
      </extLst>
    </bk>
    <bk>
      <extLst>
        <ext uri="{3e2802c4-a4d2-4d8b-9148-e3be6c30e623}">
          <xlrd:rvb i="15748"/>
        </ext>
      </extLst>
    </bk>
    <bk>
      <extLst>
        <ext uri="{3e2802c4-a4d2-4d8b-9148-e3be6c30e623}">
          <xlrd:rvb i="15749"/>
        </ext>
      </extLst>
    </bk>
    <bk>
      <extLst>
        <ext uri="{3e2802c4-a4d2-4d8b-9148-e3be6c30e623}">
          <xlrd:rvb i="15750"/>
        </ext>
      </extLst>
    </bk>
    <bk>
      <extLst>
        <ext uri="{3e2802c4-a4d2-4d8b-9148-e3be6c30e623}">
          <xlrd:rvb i="15751"/>
        </ext>
      </extLst>
    </bk>
    <bk>
      <extLst>
        <ext uri="{3e2802c4-a4d2-4d8b-9148-e3be6c30e623}">
          <xlrd:rvb i="15752"/>
        </ext>
      </extLst>
    </bk>
    <bk>
      <extLst>
        <ext uri="{3e2802c4-a4d2-4d8b-9148-e3be6c30e623}">
          <xlrd:rvb i="15753"/>
        </ext>
      </extLst>
    </bk>
    <bk>
      <extLst>
        <ext uri="{3e2802c4-a4d2-4d8b-9148-e3be6c30e623}">
          <xlrd:rvb i="15754"/>
        </ext>
      </extLst>
    </bk>
    <bk>
      <extLst>
        <ext uri="{3e2802c4-a4d2-4d8b-9148-e3be6c30e623}">
          <xlrd:rvb i="15755"/>
        </ext>
      </extLst>
    </bk>
    <bk>
      <extLst>
        <ext uri="{3e2802c4-a4d2-4d8b-9148-e3be6c30e623}">
          <xlrd:rvb i="15756"/>
        </ext>
      </extLst>
    </bk>
    <bk>
      <extLst>
        <ext uri="{3e2802c4-a4d2-4d8b-9148-e3be6c30e623}">
          <xlrd:rvb i="15757"/>
        </ext>
      </extLst>
    </bk>
    <bk>
      <extLst>
        <ext uri="{3e2802c4-a4d2-4d8b-9148-e3be6c30e623}">
          <xlrd:rvb i="15758"/>
        </ext>
      </extLst>
    </bk>
    <bk>
      <extLst>
        <ext uri="{3e2802c4-a4d2-4d8b-9148-e3be6c30e623}">
          <xlrd:rvb i="15759"/>
        </ext>
      </extLst>
    </bk>
    <bk>
      <extLst>
        <ext uri="{3e2802c4-a4d2-4d8b-9148-e3be6c30e623}">
          <xlrd:rvb i="15760"/>
        </ext>
      </extLst>
    </bk>
    <bk>
      <extLst>
        <ext uri="{3e2802c4-a4d2-4d8b-9148-e3be6c30e623}">
          <xlrd:rvb i="15761"/>
        </ext>
      </extLst>
    </bk>
    <bk>
      <extLst>
        <ext uri="{3e2802c4-a4d2-4d8b-9148-e3be6c30e623}">
          <xlrd:rvb i="15762"/>
        </ext>
      </extLst>
    </bk>
    <bk>
      <extLst>
        <ext uri="{3e2802c4-a4d2-4d8b-9148-e3be6c30e623}">
          <xlrd:rvb i="15763"/>
        </ext>
      </extLst>
    </bk>
    <bk>
      <extLst>
        <ext uri="{3e2802c4-a4d2-4d8b-9148-e3be6c30e623}">
          <xlrd:rvb i="15764"/>
        </ext>
      </extLst>
    </bk>
    <bk>
      <extLst>
        <ext uri="{3e2802c4-a4d2-4d8b-9148-e3be6c30e623}">
          <xlrd:rvb i="15765"/>
        </ext>
      </extLst>
    </bk>
    <bk>
      <extLst>
        <ext uri="{3e2802c4-a4d2-4d8b-9148-e3be6c30e623}">
          <xlrd:rvb i="15766"/>
        </ext>
      </extLst>
    </bk>
    <bk>
      <extLst>
        <ext uri="{3e2802c4-a4d2-4d8b-9148-e3be6c30e623}">
          <xlrd:rvb i="15767"/>
        </ext>
      </extLst>
    </bk>
    <bk>
      <extLst>
        <ext uri="{3e2802c4-a4d2-4d8b-9148-e3be6c30e623}">
          <xlrd:rvb i="15768"/>
        </ext>
      </extLst>
    </bk>
    <bk>
      <extLst>
        <ext uri="{3e2802c4-a4d2-4d8b-9148-e3be6c30e623}">
          <xlrd:rvb i="15769"/>
        </ext>
      </extLst>
    </bk>
    <bk>
      <extLst>
        <ext uri="{3e2802c4-a4d2-4d8b-9148-e3be6c30e623}">
          <xlrd:rvb i="15770"/>
        </ext>
      </extLst>
    </bk>
    <bk>
      <extLst>
        <ext uri="{3e2802c4-a4d2-4d8b-9148-e3be6c30e623}">
          <xlrd:rvb i="15771"/>
        </ext>
      </extLst>
    </bk>
    <bk>
      <extLst>
        <ext uri="{3e2802c4-a4d2-4d8b-9148-e3be6c30e623}">
          <xlrd:rvb i="15772"/>
        </ext>
      </extLst>
    </bk>
    <bk>
      <extLst>
        <ext uri="{3e2802c4-a4d2-4d8b-9148-e3be6c30e623}">
          <xlrd:rvb i="15773"/>
        </ext>
      </extLst>
    </bk>
    <bk>
      <extLst>
        <ext uri="{3e2802c4-a4d2-4d8b-9148-e3be6c30e623}">
          <xlrd:rvb i="15774"/>
        </ext>
      </extLst>
    </bk>
    <bk>
      <extLst>
        <ext uri="{3e2802c4-a4d2-4d8b-9148-e3be6c30e623}">
          <xlrd:rvb i="15775"/>
        </ext>
      </extLst>
    </bk>
    <bk>
      <extLst>
        <ext uri="{3e2802c4-a4d2-4d8b-9148-e3be6c30e623}">
          <xlrd:rvb i="15776"/>
        </ext>
      </extLst>
    </bk>
    <bk>
      <extLst>
        <ext uri="{3e2802c4-a4d2-4d8b-9148-e3be6c30e623}">
          <xlrd:rvb i="15777"/>
        </ext>
      </extLst>
    </bk>
    <bk>
      <extLst>
        <ext uri="{3e2802c4-a4d2-4d8b-9148-e3be6c30e623}">
          <xlrd:rvb i="15778"/>
        </ext>
      </extLst>
    </bk>
    <bk>
      <extLst>
        <ext uri="{3e2802c4-a4d2-4d8b-9148-e3be6c30e623}">
          <xlrd:rvb i="15779"/>
        </ext>
      </extLst>
    </bk>
    <bk>
      <extLst>
        <ext uri="{3e2802c4-a4d2-4d8b-9148-e3be6c30e623}">
          <xlrd:rvb i="15780"/>
        </ext>
      </extLst>
    </bk>
    <bk>
      <extLst>
        <ext uri="{3e2802c4-a4d2-4d8b-9148-e3be6c30e623}">
          <xlrd:rvb i="15781"/>
        </ext>
      </extLst>
    </bk>
    <bk>
      <extLst>
        <ext uri="{3e2802c4-a4d2-4d8b-9148-e3be6c30e623}">
          <xlrd:rvb i="15782"/>
        </ext>
      </extLst>
    </bk>
    <bk>
      <extLst>
        <ext uri="{3e2802c4-a4d2-4d8b-9148-e3be6c30e623}">
          <xlrd:rvb i="15783"/>
        </ext>
      </extLst>
    </bk>
    <bk>
      <extLst>
        <ext uri="{3e2802c4-a4d2-4d8b-9148-e3be6c30e623}">
          <xlrd:rvb i="15784"/>
        </ext>
      </extLst>
    </bk>
    <bk>
      <extLst>
        <ext uri="{3e2802c4-a4d2-4d8b-9148-e3be6c30e623}">
          <xlrd:rvb i="15785"/>
        </ext>
      </extLst>
    </bk>
    <bk>
      <extLst>
        <ext uri="{3e2802c4-a4d2-4d8b-9148-e3be6c30e623}">
          <xlrd:rvb i="15786"/>
        </ext>
      </extLst>
    </bk>
    <bk>
      <extLst>
        <ext uri="{3e2802c4-a4d2-4d8b-9148-e3be6c30e623}">
          <xlrd:rvb i="15787"/>
        </ext>
      </extLst>
    </bk>
    <bk>
      <extLst>
        <ext uri="{3e2802c4-a4d2-4d8b-9148-e3be6c30e623}">
          <xlrd:rvb i="15788"/>
        </ext>
      </extLst>
    </bk>
    <bk>
      <extLst>
        <ext uri="{3e2802c4-a4d2-4d8b-9148-e3be6c30e623}">
          <xlrd:rvb i="15789"/>
        </ext>
      </extLst>
    </bk>
    <bk>
      <extLst>
        <ext uri="{3e2802c4-a4d2-4d8b-9148-e3be6c30e623}">
          <xlrd:rvb i="15790"/>
        </ext>
      </extLst>
    </bk>
    <bk>
      <extLst>
        <ext uri="{3e2802c4-a4d2-4d8b-9148-e3be6c30e623}">
          <xlrd:rvb i="15791"/>
        </ext>
      </extLst>
    </bk>
    <bk>
      <extLst>
        <ext uri="{3e2802c4-a4d2-4d8b-9148-e3be6c30e623}">
          <xlrd:rvb i="15792"/>
        </ext>
      </extLst>
    </bk>
    <bk>
      <extLst>
        <ext uri="{3e2802c4-a4d2-4d8b-9148-e3be6c30e623}">
          <xlrd:rvb i="15793"/>
        </ext>
      </extLst>
    </bk>
    <bk>
      <extLst>
        <ext uri="{3e2802c4-a4d2-4d8b-9148-e3be6c30e623}">
          <xlrd:rvb i="15794"/>
        </ext>
      </extLst>
    </bk>
    <bk>
      <extLst>
        <ext uri="{3e2802c4-a4d2-4d8b-9148-e3be6c30e623}">
          <xlrd:rvb i="15795"/>
        </ext>
      </extLst>
    </bk>
    <bk>
      <extLst>
        <ext uri="{3e2802c4-a4d2-4d8b-9148-e3be6c30e623}">
          <xlrd:rvb i="15796"/>
        </ext>
      </extLst>
    </bk>
    <bk>
      <extLst>
        <ext uri="{3e2802c4-a4d2-4d8b-9148-e3be6c30e623}">
          <xlrd:rvb i="15797"/>
        </ext>
      </extLst>
    </bk>
    <bk>
      <extLst>
        <ext uri="{3e2802c4-a4d2-4d8b-9148-e3be6c30e623}">
          <xlrd:rvb i="15798"/>
        </ext>
      </extLst>
    </bk>
    <bk>
      <extLst>
        <ext uri="{3e2802c4-a4d2-4d8b-9148-e3be6c30e623}">
          <xlrd:rvb i="15799"/>
        </ext>
      </extLst>
    </bk>
    <bk>
      <extLst>
        <ext uri="{3e2802c4-a4d2-4d8b-9148-e3be6c30e623}">
          <xlrd:rvb i="15800"/>
        </ext>
      </extLst>
    </bk>
    <bk>
      <extLst>
        <ext uri="{3e2802c4-a4d2-4d8b-9148-e3be6c30e623}">
          <xlrd:rvb i="15801"/>
        </ext>
      </extLst>
    </bk>
    <bk>
      <extLst>
        <ext uri="{3e2802c4-a4d2-4d8b-9148-e3be6c30e623}">
          <xlrd:rvb i="15802"/>
        </ext>
      </extLst>
    </bk>
    <bk>
      <extLst>
        <ext uri="{3e2802c4-a4d2-4d8b-9148-e3be6c30e623}">
          <xlrd:rvb i="15803"/>
        </ext>
      </extLst>
    </bk>
    <bk>
      <extLst>
        <ext uri="{3e2802c4-a4d2-4d8b-9148-e3be6c30e623}">
          <xlrd:rvb i="15804"/>
        </ext>
      </extLst>
    </bk>
    <bk>
      <extLst>
        <ext uri="{3e2802c4-a4d2-4d8b-9148-e3be6c30e623}">
          <xlrd:rvb i="15805"/>
        </ext>
      </extLst>
    </bk>
    <bk>
      <extLst>
        <ext uri="{3e2802c4-a4d2-4d8b-9148-e3be6c30e623}">
          <xlrd:rvb i="15806"/>
        </ext>
      </extLst>
    </bk>
    <bk>
      <extLst>
        <ext uri="{3e2802c4-a4d2-4d8b-9148-e3be6c30e623}">
          <xlrd:rvb i="15807"/>
        </ext>
      </extLst>
    </bk>
    <bk>
      <extLst>
        <ext uri="{3e2802c4-a4d2-4d8b-9148-e3be6c30e623}">
          <xlrd:rvb i="15808"/>
        </ext>
      </extLst>
    </bk>
    <bk>
      <extLst>
        <ext uri="{3e2802c4-a4d2-4d8b-9148-e3be6c30e623}">
          <xlrd:rvb i="15809"/>
        </ext>
      </extLst>
    </bk>
    <bk>
      <extLst>
        <ext uri="{3e2802c4-a4d2-4d8b-9148-e3be6c30e623}">
          <xlrd:rvb i="15810"/>
        </ext>
      </extLst>
    </bk>
    <bk>
      <extLst>
        <ext uri="{3e2802c4-a4d2-4d8b-9148-e3be6c30e623}">
          <xlrd:rvb i="15811"/>
        </ext>
      </extLst>
    </bk>
    <bk>
      <extLst>
        <ext uri="{3e2802c4-a4d2-4d8b-9148-e3be6c30e623}">
          <xlrd:rvb i="15812"/>
        </ext>
      </extLst>
    </bk>
    <bk>
      <extLst>
        <ext uri="{3e2802c4-a4d2-4d8b-9148-e3be6c30e623}">
          <xlrd:rvb i="15813"/>
        </ext>
      </extLst>
    </bk>
    <bk>
      <extLst>
        <ext uri="{3e2802c4-a4d2-4d8b-9148-e3be6c30e623}">
          <xlrd:rvb i="15814"/>
        </ext>
      </extLst>
    </bk>
    <bk>
      <extLst>
        <ext uri="{3e2802c4-a4d2-4d8b-9148-e3be6c30e623}">
          <xlrd:rvb i="15815"/>
        </ext>
      </extLst>
    </bk>
    <bk>
      <extLst>
        <ext uri="{3e2802c4-a4d2-4d8b-9148-e3be6c30e623}">
          <xlrd:rvb i="15816"/>
        </ext>
      </extLst>
    </bk>
    <bk>
      <extLst>
        <ext uri="{3e2802c4-a4d2-4d8b-9148-e3be6c30e623}">
          <xlrd:rvb i="15817"/>
        </ext>
      </extLst>
    </bk>
    <bk>
      <extLst>
        <ext uri="{3e2802c4-a4d2-4d8b-9148-e3be6c30e623}">
          <xlrd:rvb i="15818"/>
        </ext>
      </extLst>
    </bk>
    <bk>
      <extLst>
        <ext uri="{3e2802c4-a4d2-4d8b-9148-e3be6c30e623}">
          <xlrd:rvb i="15819"/>
        </ext>
      </extLst>
    </bk>
    <bk>
      <extLst>
        <ext uri="{3e2802c4-a4d2-4d8b-9148-e3be6c30e623}">
          <xlrd:rvb i="15820"/>
        </ext>
      </extLst>
    </bk>
    <bk>
      <extLst>
        <ext uri="{3e2802c4-a4d2-4d8b-9148-e3be6c30e623}">
          <xlrd:rvb i="15821"/>
        </ext>
      </extLst>
    </bk>
    <bk>
      <extLst>
        <ext uri="{3e2802c4-a4d2-4d8b-9148-e3be6c30e623}">
          <xlrd:rvb i="15822"/>
        </ext>
      </extLst>
    </bk>
    <bk>
      <extLst>
        <ext uri="{3e2802c4-a4d2-4d8b-9148-e3be6c30e623}">
          <xlrd:rvb i="15823"/>
        </ext>
      </extLst>
    </bk>
    <bk>
      <extLst>
        <ext uri="{3e2802c4-a4d2-4d8b-9148-e3be6c30e623}">
          <xlrd:rvb i="15824"/>
        </ext>
      </extLst>
    </bk>
    <bk>
      <extLst>
        <ext uri="{3e2802c4-a4d2-4d8b-9148-e3be6c30e623}">
          <xlrd:rvb i="15825"/>
        </ext>
      </extLst>
    </bk>
    <bk>
      <extLst>
        <ext uri="{3e2802c4-a4d2-4d8b-9148-e3be6c30e623}">
          <xlrd:rvb i="15826"/>
        </ext>
      </extLst>
    </bk>
    <bk>
      <extLst>
        <ext uri="{3e2802c4-a4d2-4d8b-9148-e3be6c30e623}">
          <xlrd:rvb i="15827"/>
        </ext>
      </extLst>
    </bk>
    <bk>
      <extLst>
        <ext uri="{3e2802c4-a4d2-4d8b-9148-e3be6c30e623}">
          <xlrd:rvb i="15828"/>
        </ext>
      </extLst>
    </bk>
    <bk>
      <extLst>
        <ext uri="{3e2802c4-a4d2-4d8b-9148-e3be6c30e623}">
          <xlrd:rvb i="15829"/>
        </ext>
      </extLst>
    </bk>
    <bk>
      <extLst>
        <ext uri="{3e2802c4-a4d2-4d8b-9148-e3be6c30e623}">
          <xlrd:rvb i="15830"/>
        </ext>
      </extLst>
    </bk>
    <bk>
      <extLst>
        <ext uri="{3e2802c4-a4d2-4d8b-9148-e3be6c30e623}">
          <xlrd:rvb i="15831"/>
        </ext>
      </extLst>
    </bk>
    <bk>
      <extLst>
        <ext uri="{3e2802c4-a4d2-4d8b-9148-e3be6c30e623}">
          <xlrd:rvb i="15832"/>
        </ext>
      </extLst>
    </bk>
    <bk>
      <extLst>
        <ext uri="{3e2802c4-a4d2-4d8b-9148-e3be6c30e623}">
          <xlrd:rvb i="15833"/>
        </ext>
      </extLst>
    </bk>
    <bk>
      <extLst>
        <ext uri="{3e2802c4-a4d2-4d8b-9148-e3be6c30e623}">
          <xlrd:rvb i="15834"/>
        </ext>
      </extLst>
    </bk>
    <bk>
      <extLst>
        <ext uri="{3e2802c4-a4d2-4d8b-9148-e3be6c30e623}">
          <xlrd:rvb i="15835"/>
        </ext>
      </extLst>
    </bk>
    <bk>
      <extLst>
        <ext uri="{3e2802c4-a4d2-4d8b-9148-e3be6c30e623}">
          <xlrd:rvb i="15836"/>
        </ext>
      </extLst>
    </bk>
    <bk>
      <extLst>
        <ext uri="{3e2802c4-a4d2-4d8b-9148-e3be6c30e623}">
          <xlrd:rvb i="15837"/>
        </ext>
      </extLst>
    </bk>
    <bk>
      <extLst>
        <ext uri="{3e2802c4-a4d2-4d8b-9148-e3be6c30e623}">
          <xlrd:rvb i="15838"/>
        </ext>
      </extLst>
    </bk>
    <bk>
      <extLst>
        <ext uri="{3e2802c4-a4d2-4d8b-9148-e3be6c30e623}">
          <xlrd:rvb i="15839"/>
        </ext>
      </extLst>
    </bk>
    <bk>
      <extLst>
        <ext uri="{3e2802c4-a4d2-4d8b-9148-e3be6c30e623}">
          <xlrd:rvb i="15840"/>
        </ext>
      </extLst>
    </bk>
    <bk>
      <extLst>
        <ext uri="{3e2802c4-a4d2-4d8b-9148-e3be6c30e623}">
          <xlrd:rvb i="15841"/>
        </ext>
      </extLst>
    </bk>
    <bk>
      <extLst>
        <ext uri="{3e2802c4-a4d2-4d8b-9148-e3be6c30e623}">
          <xlrd:rvb i="15842"/>
        </ext>
      </extLst>
    </bk>
    <bk>
      <extLst>
        <ext uri="{3e2802c4-a4d2-4d8b-9148-e3be6c30e623}">
          <xlrd:rvb i="15843"/>
        </ext>
      </extLst>
    </bk>
    <bk>
      <extLst>
        <ext uri="{3e2802c4-a4d2-4d8b-9148-e3be6c30e623}">
          <xlrd:rvb i="15844"/>
        </ext>
      </extLst>
    </bk>
    <bk>
      <extLst>
        <ext uri="{3e2802c4-a4d2-4d8b-9148-e3be6c30e623}">
          <xlrd:rvb i="15845"/>
        </ext>
      </extLst>
    </bk>
    <bk>
      <extLst>
        <ext uri="{3e2802c4-a4d2-4d8b-9148-e3be6c30e623}">
          <xlrd:rvb i="15846"/>
        </ext>
      </extLst>
    </bk>
    <bk>
      <extLst>
        <ext uri="{3e2802c4-a4d2-4d8b-9148-e3be6c30e623}">
          <xlrd:rvb i="15847"/>
        </ext>
      </extLst>
    </bk>
    <bk>
      <extLst>
        <ext uri="{3e2802c4-a4d2-4d8b-9148-e3be6c30e623}">
          <xlrd:rvb i="15848"/>
        </ext>
      </extLst>
    </bk>
    <bk>
      <extLst>
        <ext uri="{3e2802c4-a4d2-4d8b-9148-e3be6c30e623}">
          <xlrd:rvb i="15849"/>
        </ext>
      </extLst>
    </bk>
    <bk>
      <extLst>
        <ext uri="{3e2802c4-a4d2-4d8b-9148-e3be6c30e623}">
          <xlrd:rvb i="15850"/>
        </ext>
      </extLst>
    </bk>
    <bk>
      <extLst>
        <ext uri="{3e2802c4-a4d2-4d8b-9148-e3be6c30e623}">
          <xlrd:rvb i="15851"/>
        </ext>
      </extLst>
    </bk>
    <bk>
      <extLst>
        <ext uri="{3e2802c4-a4d2-4d8b-9148-e3be6c30e623}">
          <xlrd:rvb i="15852"/>
        </ext>
      </extLst>
    </bk>
    <bk>
      <extLst>
        <ext uri="{3e2802c4-a4d2-4d8b-9148-e3be6c30e623}">
          <xlrd:rvb i="15853"/>
        </ext>
      </extLst>
    </bk>
    <bk>
      <extLst>
        <ext uri="{3e2802c4-a4d2-4d8b-9148-e3be6c30e623}">
          <xlrd:rvb i="15854"/>
        </ext>
      </extLst>
    </bk>
    <bk>
      <extLst>
        <ext uri="{3e2802c4-a4d2-4d8b-9148-e3be6c30e623}">
          <xlrd:rvb i="15855"/>
        </ext>
      </extLst>
    </bk>
    <bk>
      <extLst>
        <ext uri="{3e2802c4-a4d2-4d8b-9148-e3be6c30e623}">
          <xlrd:rvb i="15856"/>
        </ext>
      </extLst>
    </bk>
    <bk>
      <extLst>
        <ext uri="{3e2802c4-a4d2-4d8b-9148-e3be6c30e623}">
          <xlrd:rvb i="15857"/>
        </ext>
      </extLst>
    </bk>
    <bk>
      <extLst>
        <ext uri="{3e2802c4-a4d2-4d8b-9148-e3be6c30e623}">
          <xlrd:rvb i="15858"/>
        </ext>
      </extLst>
    </bk>
    <bk>
      <extLst>
        <ext uri="{3e2802c4-a4d2-4d8b-9148-e3be6c30e623}">
          <xlrd:rvb i="15859"/>
        </ext>
      </extLst>
    </bk>
    <bk>
      <extLst>
        <ext uri="{3e2802c4-a4d2-4d8b-9148-e3be6c30e623}">
          <xlrd:rvb i="15860"/>
        </ext>
      </extLst>
    </bk>
    <bk>
      <extLst>
        <ext uri="{3e2802c4-a4d2-4d8b-9148-e3be6c30e623}">
          <xlrd:rvb i="15861"/>
        </ext>
      </extLst>
    </bk>
    <bk>
      <extLst>
        <ext uri="{3e2802c4-a4d2-4d8b-9148-e3be6c30e623}">
          <xlrd:rvb i="15862"/>
        </ext>
      </extLst>
    </bk>
    <bk>
      <extLst>
        <ext uri="{3e2802c4-a4d2-4d8b-9148-e3be6c30e623}">
          <xlrd:rvb i="15863"/>
        </ext>
      </extLst>
    </bk>
    <bk>
      <extLst>
        <ext uri="{3e2802c4-a4d2-4d8b-9148-e3be6c30e623}">
          <xlrd:rvb i="15864"/>
        </ext>
      </extLst>
    </bk>
    <bk>
      <extLst>
        <ext uri="{3e2802c4-a4d2-4d8b-9148-e3be6c30e623}">
          <xlrd:rvb i="15865"/>
        </ext>
      </extLst>
    </bk>
    <bk>
      <extLst>
        <ext uri="{3e2802c4-a4d2-4d8b-9148-e3be6c30e623}">
          <xlrd:rvb i="15866"/>
        </ext>
      </extLst>
    </bk>
    <bk>
      <extLst>
        <ext uri="{3e2802c4-a4d2-4d8b-9148-e3be6c30e623}">
          <xlrd:rvb i="15867"/>
        </ext>
      </extLst>
    </bk>
    <bk>
      <extLst>
        <ext uri="{3e2802c4-a4d2-4d8b-9148-e3be6c30e623}">
          <xlrd:rvb i="15868"/>
        </ext>
      </extLst>
    </bk>
    <bk>
      <extLst>
        <ext uri="{3e2802c4-a4d2-4d8b-9148-e3be6c30e623}">
          <xlrd:rvb i="15869"/>
        </ext>
      </extLst>
    </bk>
    <bk>
      <extLst>
        <ext uri="{3e2802c4-a4d2-4d8b-9148-e3be6c30e623}">
          <xlrd:rvb i="15870"/>
        </ext>
      </extLst>
    </bk>
    <bk>
      <extLst>
        <ext uri="{3e2802c4-a4d2-4d8b-9148-e3be6c30e623}">
          <xlrd:rvb i="15871"/>
        </ext>
      </extLst>
    </bk>
    <bk>
      <extLst>
        <ext uri="{3e2802c4-a4d2-4d8b-9148-e3be6c30e623}">
          <xlrd:rvb i="15872"/>
        </ext>
      </extLst>
    </bk>
    <bk>
      <extLst>
        <ext uri="{3e2802c4-a4d2-4d8b-9148-e3be6c30e623}">
          <xlrd:rvb i="15873"/>
        </ext>
      </extLst>
    </bk>
    <bk>
      <extLst>
        <ext uri="{3e2802c4-a4d2-4d8b-9148-e3be6c30e623}">
          <xlrd:rvb i="15874"/>
        </ext>
      </extLst>
    </bk>
    <bk>
      <extLst>
        <ext uri="{3e2802c4-a4d2-4d8b-9148-e3be6c30e623}">
          <xlrd:rvb i="15875"/>
        </ext>
      </extLst>
    </bk>
    <bk>
      <extLst>
        <ext uri="{3e2802c4-a4d2-4d8b-9148-e3be6c30e623}">
          <xlrd:rvb i="15876"/>
        </ext>
      </extLst>
    </bk>
    <bk>
      <extLst>
        <ext uri="{3e2802c4-a4d2-4d8b-9148-e3be6c30e623}">
          <xlrd:rvb i="15877"/>
        </ext>
      </extLst>
    </bk>
    <bk>
      <extLst>
        <ext uri="{3e2802c4-a4d2-4d8b-9148-e3be6c30e623}">
          <xlrd:rvb i="15878"/>
        </ext>
      </extLst>
    </bk>
    <bk>
      <extLst>
        <ext uri="{3e2802c4-a4d2-4d8b-9148-e3be6c30e623}">
          <xlrd:rvb i="15879"/>
        </ext>
      </extLst>
    </bk>
    <bk>
      <extLst>
        <ext uri="{3e2802c4-a4d2-4d8b-9148-e3be6c30e623}">
          <xlrd:rvb i="15880"/>
        </ext>
      </extLst>
    </bk>
    <bk>
      <extLst>
        <ext uri="{3e2802c4-a4d2-4d8b-9148-e3be6c30e623}">
          <xlrd:rvb i="15881"/>
        </ext>
      </extLst>
    </bk>
    <bk>
      <extLst>
        <ext uri="{3e2802c4-a4d2-4d8b-9148-e3be6c30e623}">
          <xlrd:rvb i="15882"/>
        </ext>
      </extLst>
    </bk>
    <bk>
      <extLst>
        <ext uri="{3e2802c4-a4d2-4d8b-9148-e3be6c30e623}">
          <xlrd:rvb i="15883"/>
        </ext>
      </extLst>
    </bk>
    <bk>
      <extLst>
        <ext uri="{3e2802c4-a4d2-4d8b-9148-e3be6c30e623}">
          <xlrd:rvb i="15884"/>
        </ext>
      </extLst>
    </bk>
    <bk>
      <extLst>
        <ext uri="{3e2802c4-a4d2-4d8b-9148-e3be6c30e623}">
          <xlrd:rvb i="15885"/>
        </ext>
      </extLst>
    </bk>
    <bk>
      <extLst>
        <ext uri="{3e2802c4-a4d2-4d8b-9148-e3be6c30e623}">
          <xlrd:rvb i="15886"/>
        </ext>
      </extLst>
    </bk>
    <bk>
      <extLst>
        <ext uri="{3e2802c4-a4d2-4d8b-9148-e3be6c30e623}">
          <xlrd:rvb i="15887"/>
        </ext>
      </extLst>
    </bk>
    <bk>
      <extLst>
        <ext uri="{3e2802c4-a4d2-4d8b-9148-e3be6c30e623}">
          <xlrd:rvb i="15888"/>
        </ext>
      </extLst>
    </bk>
    <bk>
      <extLst>
        <ext uri="{3e2802c4-a4d2-4d8b-9148-e3be6c30e623}">
          <xlrd:rvb i="15889"/>
        </ext>
      </extLst>
    </bk>
    <bk>
      <extLst>
        <ext uri="{3e2802c4-a4d2-4d8b-9148-e3be6c30e623}">
          <xlrd:rvb i="15890"/>
        </ext>
      </extLst>
    </bk>
    <bk>
      <extLst>
        <ext uri="{3e2802c4-a4d2-4d8b-9148-e3be6c30e623}">
          <xlrd:rvb i="15891"/>
        </ext>
      </extLst>
    </bk>
    <bk>
      <extLst>
        <ext uri="{3e2802c4-a4d2-4d8b-9148-e3be6c30e623}">
          <xlrd:rvb i="15892"/>
        </ext>
      </extLst>
    </bk>
    <bk>
      <extLst>
        <ext uri="{3e2802c4-a4d2-4d8b-9148-e3be6c30e623}">
          <xlrd:rvb i="15893"/>
        </ext>
      </extLst>
    </bk>
    <bk>
      <extLst>
        <ext uri="{3e2802c4-a4d2-4d8b-9148-e3be6c30e623}">
          <xlrd:rvb i="15894"/>
        </ext>
      </extLst>
    </bk>
    <bk>
      <extLst>
        <ext uri="{3e2802c4-a4d2-4d8b-9148-e3be6c30e623}">
          <xlrd:rvb i="15895"/>
        </ext>
      </extLst>
    </bk>
    <bk>
      <extLst>
        <ext uri="{3e2802c4-a4d2-4d8b-9148-e3be6c30e623}">
          <xlrd:rvb i="15896"/>
        </ext>
      </extLst>
    </bk>
    <bk>
      <extLst>
        <ext uri="{3e2802c4-a4d2-4d8b-9148-e3be6c30e623}">
          <xlrd:rvb i="15897"/>
        </ext>
      </extLst>
    </bk>
    <bk>
      <extLst>
        <ext uri="{3e2802c4-a4d2-4d8b-9148-e3be6c30e623}">
          <xlrd:rvb i="15898"/>
        </ext>
      </extLst>
    </bk>
    <bk>
      <extLst>
        <ext uri="{3e2802c4-a4d2-4d8b-9148-e3be6c30e623}">
          <xlrd:rvb i="15899"/>
        </ext>
      </extLst>
    </bk>
    <bk>
      <extLst>
        <ext uri="{3e2802c4-a4d2-4d8b-9148-e3be6c30e623}">
          <xlrd:rvb i="15900"/>
        </ext>
      </extLst>
    </bk>
    <bk>
      <extLst>
        <ext uri="{3e2802c4-a4d2-4d8b-9148-e3be6c30e623}">
          <xlrd:rvb i="15901"/>
        </ext>
      </extLst>
    </bk>
    <bk>
      <extLst>
        <ext uri="{3e2802c4-a4d2-4d8b-9148-e3be6c30e623}">
          <xlrd:rvb i="15902"/>
        </ext>
      </extLst>
    </bk>
    <bk>
      <extLst>
        <ext uri="{3e2802c4-a4d2-4d8b-9148-e3be6c30e623}">
          <xlrd:rvb i="15903"/>
        </ext>
      </extLst>
    </bk>
    <bk>
      <extLst>
        <ext uri="{3e2802c4-a4d2-4d8b-9148-e3be6c30e623}">
          <xlrd:rvb i="15904"/>
        </ext>
      </extLst>
    </bk>
    <bk>
      <extLst>
        <ext uri="{3e2802c4-a4d2-4d8b-9148-e3be6c30e623}">
          <xlrd:rvb i="15905"/>
        </ext>
      </extLst>
    </bk>
    <bk>
      <extLst>
        <ext uri="{3e2802c4-a4d2-4d8b-9148-e3be6c30e623}">
          <xlrd:rvb i="15906"/>
        </ext>
      </extLst>
    </bk>
    <bk>
      <extLst>
        <ext uri="{3e2802c4-a4d2-4d8b-9148-e3be6c30e623}">
          <xlrd:rvb i="15907"/>
        </ext>
      </extLst>
    </bk>
    <bk>
      <extLst>
        <ext uri="{3e2802c4-a4d2-4d8b-9148-e3be6c30e623}">
          <xlrd:rvb i="15908"/>
        </ext>
      </extLst>
    </bk>
    <bk>
      <extLst>
        <ext uri="{3e2802c4-a4d2-4d8b-9148-e3be6c30e623}">
          <xlrd:rvb i="15909"/>
        </ext>
      </extLst>
    </bk>
    <bk>
      <extLst>
        <ext uri="{3e2802c4-a4d2-4d8b-9148-e3be6c30e623}">
          <xlrd:rvb i="15910"/>
        </ext>
      </extLst>
    </bk>
    <bk>
      <extLst>
        <ext uri="{3e2802c4-a4d2-4d8b-9148-e3be6c30e623}">
          <xlrd:rvb i="15911"/>
        </ext>
      </extLst>
    </bk>
    <bk>
      <extLst>
        <ext uri="{3e2802c4-a4d2-4d8b-9148-e3be6c30e623}">
          <xlrd:rvb i="15912"/>
        </ext>
      </extLst>
    </bk>
    <bk>
      <extLst>
        <ext uri="{3e2802c4-a4d2-4d8b-9148-e3be6c30e623}">
          <xlrd:rvb i="15913"/>
        </ext>
      </extLst>
    </bk>
    <bk>
      <extLst>
        <ext uri="{3e2802c4-a4d2-4d8b-9148-e3be6c30e623}">
          <xlrd:rvb i="15914"/>
        </ext>
      </extLst>
    </bk>
    <bk>
      <extLst>
        <ext uri="{3e2802c4-a4d2-4d8b-9148-e3be6c30e623}">
          <xlrd:rvb i="15915"/>
        </ext>
      </extLst>
    </bk>
    <bk>
      <extLst>
        <ext uri="{3e2802c4-a4d2-4d8b-9148-e3be6c30e623}">
          <xlrd:rvb i="15916"/>
        </ext>
      </extLst>
    </bk>
    <bk>
      <extLst>
        <ext uri="{3e2802c4-a4d2-4d8b-9148-e3be6c30e623}">
          <xlrd:rvb i="15917"/>
        </ext>
      </extLst>
    </bk>
    <bk>
      <extLst>
        <ext uri="{3e2802c4-a4d2-4d8b-9148-e3be6c30e623}">
          <xlrd:rvb i="15918"/>
        </ext>
      </extLst>
    </bk>
    <bk>
      <extLst>
        <ext uri="{3e2802c4-a4d2-4d8b-9148-e3be6c30e623}">
          <xlrd:rvb i="15919"/>
        </ext>
      </extLst>
    </bk>
    <bk>
      <extLst>
        <ext uri="{3e2802c4-a4d2-4d8b-9148-e3be6c30e623}">
          <xlrd:rvb i="15920"/>
        </ext>
      </extLst>
    </bk>
    <bk>
      <extLst>
        <ext uri="{3e2802c4-a4d2-4d8b-9148-e3be6c30e623}">
          <xlrd:rvb i="15921"/>
        </ext>
      </extLst>
    </bk>
    <bk>
      <extLst>
        <ext uri="{3e2802c4-a4d2-4d8b-9148-e3be6c30e623}">
          <xlrd:rvb i="15922"/>
        </ext>
      </extLst>
    </bk>
    <bk>
      <extLst>
        <ext uri="{3e2802c4-a4d2-4d8b-9148-e3be6c30e623}">
          <xlrd:rvb i="15923"/>
        </ext>
      </extLst>
    </bk>
    <bk>
      <extLst>
        <ext uri="{3e2802c4-a4d2-4d8b-9148-e3be6c30e623}">
          <xlrd:rvb i="15924"/>
        </ext>
      </extLst>
    </bk>
    <bk>
      <extLst>
        <ext uri="{3e2802c4-a4d2-4d8b-9148-e3be6c30e623}">
          <xlrd:rvb i="15925"/>
        </ext>
      </extLst>
    </bk>
    <bk>
      <extLst>
        <ext uri="{3e2802c4-a4d2-4d8b-9148-e3be6c30e623}">
          <xlrd:rvb i="15926"/>
        </ext>
      </extLst>
    </bk>
    <bk>
      <extLst>
        <ext uri="{3e2802c4-a4d2-4d8b-9148-e3be6c30e623}">
          <xlrd:rvb i="15927"/>
        </ext>
      </extLst>
    </bk>
    <bk>
      <extLst>
        <ext uri="{3e2802c4-a4d2-4d8b-9148-e3be6c30e623}">
          <xlrd:rvb i="15928"/>
        </ext>
      </extLst>
    </bk>
    <bk>
      <extLst>
        <ext uri="{3e2802c4-a4d2-4d8b-9148-e3be6c30e623}">
          <xlrd:rvb i="15929"/>
        </ext>
      </extLst>
    </bk>
    <bk>
      <extLst>
        <ext uri="{3e2802c4-a4d2-4d8b-9148-e3be6c30e623}">
          <xlrd:rvb i="15930"/>
        </ext>
      </extLst>
    </bk>
    <bk>
      <extLst>
        <ext uri="{3e2802c4-a4d2-4d8b-9148-e3be6c30e623}">
          <xlrd:rvb i="15931"/>
        </ext>
      </extLst>
    </bk>
    <bk>
      <extLst>
        <ext uri="{3e2802c4-a4d2-4d8b-9148-e3be6c30e623}">
          <xlrd:rvb i="15932"/>
        </ext>
      </extLst>
    </bk>
    <bk>
      <extLst>
        <ext uri="{3e2802c4-a4d2-4d8b-9148-e3be6c30e623}">
          <xlrd:rvb i="15933"/>
        </ext>
      </extLst>
    </bk>
    <bk>
      <extLst>
        <ext uri="{3e2802c4-a4d2-4d8b-9148-e3be6c30e623}">
          <xlrd:rvb i="15934"/>
        </ext>
      </extLst>
    </bk>
    <bk>
      <extLst>
        <ext uri="{3e2802c4-a4d2-4d8b-9148-e3be6c30e623}">
          <xlrd:rvb i="15935"/>
        </ext>
      </extLst>
    </bk>
    <bk>
      <extLst>
        <ext uri="{3e2802c4-a4d2-4d8b-9148-e3be6c30e623}">
          <xlrd:rvb i="15936"/>
        </ext>
      </extLst>
    </bk>
    <bk>
      <extLst>
        <ext uri="{3e2802c4-a4d2-4d8b-9148-e3be6c30e623}">
          <xlrd:rvb i="15937"/>
        </ext>
      </extLst>
    </bk>
    <bk>
      <extLst>
        <ext uri="{3e2802c4-a4d2-4d8b-9148-e3be6c30e623}">
          <xlrd:rvb i="15938"/>
        </ext>
      </extLst>
    </bk>
    <bk>
      <extLst>
        <ext uri="{3e2802c4-a4d2-4d8b-9148-e3be6c30e623}">
          <xlrd:rvb i="15939"/>
        </ext>
      </extLst>
    </bk>
    <bk>
      <extLst>
        <ext uri="{3e2802c4-a4d2-4d8b-9148-e3be6c30e623}">
          <xlrd:rvb i="15940"/>
        </ext>
      </extLst>
    </bk>
    <bk>
      <extLst>
        <ext uri="{3e2802c4-a4d2-4d8b-9148-e3be6c30e623}">
          <xlrd:rvb i="15941"/>
        </ext>
      </extLst>
    </bk>
    <bk>
      <extLst>
        <ext uri="{3e2802c4-a4d2-4d8b-9148-e3be6c30e623}">
          <xlrd:rvb i="15942"/>
        </ext>
      </extLst>
    </bk>
    <bk>
      <extLst>
        <ext uri="{3e2802c4-a4d2-4d8b-9148-e3be6c30e623}">
          <xlrd:rvb i="15943"/>
        </ext>
      </extLst>
    </bk>
    <bk>
      <extLst>
        <ext uri="{3e2802c4-a4d2-4d8b-9148-e3be6c30e623}">
          <xlrd:rvb i="15944"/>
        </ext>
      </extLst>
    </bk>
    <bk>
      <extLst>
        <ext uri="{3e2802c4-a4d2-4d8b-9148-e3be6c30e623}">
          <xlrd:rvb i="15945"/>
        </ext>
      </extLst>
    </bk>
    <bk>
      <extLst>
        <ext uri="{3e2802c4-a4d2-4d8b-9148-e3be6c30e623}">
          <xlrd:rvb i="15946"/>
        </ext>
      </extLst>
    </bk>
    <bk>
      <extLst>
        <ext uri="{3e2802c4-a4d2-4d8b-9148-e3be6c30e623}">
          <xlrd:rvb i="15947"/>
        </ext>
      </extLst>
    </bk>
    <bk>
      <extLst>
        <ext uri="{3e2802c4-a4d2-4d8b-9148-e3be6c30e623}">
          <xlrd:rvb i="15948"/>
        </ext>
      </extLst>
    </bk>
    <bk>
      <extLst>
        <ext uri="{3e2802c4-a4d2-4d8b-9148-e3be6c30e623}">
          <xlrd:rvb i="15949"/>
        </ext>
      </extLst>
    </bk>
    <bk>
      <extLst>
        <ext uri="{3e2802c4-a4d2-4d8b-9148-e3be6c30e623}">
          <xlrd:rvb i="15950"/>
        </ext>
      </extLst>
    </bk>
    <bk>
      <extLst>
        <ext uri="{3e2802c4-a4d2-4d8b-9148-e3be6c30e623}">
          <xlrd:rvb i="15951"/>
        </ext>
      </extLst>
    </bk>
    <bk>
      <extLst>
        <ext uri="{3e2802c4-a4d2-4d8b-9148-e3be6c30e623}">
          <xlrd:rvb i="15952"/>
        </ext>
      </extLst>
    </bk>
    <bk>
      <extLst>
        <ext uri="{3e2802c4-a4d2-4d8b-9148-e3be6c30e623}">
          <xlrd:rvb i="15953"/>
        </ext>
      </extLst>
    </bk>
    <bk>
      <extLst>
        <ext uri="{3e2802c4-a4d2-4d8b-9148-e3be6c30e623}">
          <xlrd:rvb i="15954"/>
        </ext>
      </extLst>
    </bk>
    <bk>
      <extLst>
        <ext uri="{3e2802c4-a4d2-4d8b-9148-e3be6c30e623}">
          <xlrd:rvb i="15955"/>
        </ext>
      </extLst>
    </bk>
    <bk>
      <extLst>
        <ext uri="{3e2802c4-a4d2-4d8b-9148-e3be6c30e623}">
          <xlrd:rvb i="15956"/>
        </ext>
      </extLst>
    </bk>
    <bk>
      <extLst>
        <ext uri="{3e2802c4-a4d2-4d8b-9148-e3be6c30e623}">
          <xlrd:rvb i="15957"/>
        </ext>
      </extLst>
    </bk>
    <bk>
      <extLst>
        <ext uri="{3e2802c4-a4d2-4d8b-9148-e3be6c30e623}">
          <xlrd:rvb i="15958"/>
        </ext>
      </extLst>
    </bk>
    <bk>
      <extLst>
        <ext uri="{3e2802c4-a4d2-4d8b-9148-e3be6c30e623}">
          <xlrd:rvb i="15959"/>
        </ext>
      </extLst>
    </bk>
    <bk>
      <extLst>
        <ext uri="{3e2802c4-a4d2-4d8b-9148-e3be6c30e623}">
          <xlrd:rvb i="15960"/>
        </ext>
      </extLst>
    </bk>
    <bk>
      <extLst>
        <ext uri="{3e2802c4-a4d2-4d8b-9148-e3be6c30e623}">
          <xlrd:rvb i="15961"/>
        </ext>
      </extLst>
    </bk>
    <bk>
      <extLst>
        <ext uri="{3e2802c4-a4d2-4d8b-9148-e3be6c30e623}">
          <xlrd:rvb i="15962"/>
        </ext>
      </extLst>
    </bk>
    <bk>
      <extLst>
        <ext uri="{3e2802c4-a4d2-4d8b-9148-e3be6c30e623}">
          <xlrd:rvb i="15963"/>
        </ext>
      </extLst>
    </bk>
    <bk>
      <extLst>
        <ext uri="{3e2802c4-a4d2-4d8b-9148-e3be6c30e623}">
          <xlrd:rvb i="15964"/>
        </ext>
      </extLst>
    </bk>
    <bk>
      <extLst>
        <ext uri="{3e2802c4-a4d2-4d8b-9148-e3be6c30e623}">
          <xlrd:rvb i="15965"/>
        </ext>
      </extLst>
    </bk>
    <bk>
      <extLst>
        <ext uri="{3e2802c4-a4d2-4d8b-9148-e3be6c30e623}">
          <xlrd:rvb i="15966"/>
        </ext>
      </extLst>
    </bk>
    <bk>
      <extLst>
        <ext uri="{3e2802c4-a4d2-4d8b-9148-e3be6c30e623}">
          <xlrd:rvb i="15967"/>
        </ext>
      </extLst>
    </bk>
    <bk>
      <extLst>
        <ext uri="{3e2802c4-a4d2-4d8b-9148-e3be6c30e623}">
          <xlrd:rvb i="15968"/>
        </ext>
      </extLst>
    </bk>
    <bk>
      <extLst>
        <ext uri="{3e2802c4-a4d2-4d8b-9148-e3be6c30e623}">
          <xlrd:rvb i="15969"/>
        </ext>
      </extLst>
    </bk>
    <bk>
      <extLst>
        <ext uri="{3e2802c4-a4d2-4d8b-9148-e3be6c30e623}">
          <xlrd:rvb i="15970"/>
        </ext>
      </extLst>
    </bk>
    <bk>
      <extLst>
        <ext uri="{3e2802c4-a4d2-4d8b-9148-e3be6c30e623}">
          <xlrd:rvb i="15971"/>
        </ext>
      </extLst>
    </bk>
    <bk>
      <extLst>
        <ext uri="{3e2802c4-a4d2-4d8b-9148-e3be6c30e623}">
          <xlrd:rvb i="15972"/>
        </ext>
      </extLst>
    </bk>
    <bk>
      <extLst>
        <ext uri="{3e2802c4-a4d2-4d8b-9148-e3be6c30e623}">
          <xlrd:rvb i="15973"/>
        </ext>
      </extLst>
    </bk>
    <bk>
      <extLst>
        <ext uri="{3e2802c4-a4d2-4d8b-9148-e3be6c30e623}">
          <xlrd:rvb i="15974"/>
        </ext>
      </extLst>
    </bk>
    <bk>
      <extLst>
        <ext uri="{3e2802c4-a4d2-4d8b-9148-e3be6c30e623}">
          <xlrd:rvb i="15975"/>
        </ext>
      </extLst>
    </bk>
    <bk>
      <extLst>
        <ext uri="{3e2802c4-a4d2-4d8b-9148-e3be6c30e623}">
          <xlrd:rvb i="15976"/>
        </ext>
      </extLst>
    </bk>
    <bk>
      <extLst>
        <ext uri="{3e2802c4-a4d2-4d8b-9148-e3be6c30e623}">
          <xlrd:rvb i="15977"/>
        </ext>
      </extLst>
    </bk>
    <bk>
      <extLst>
        <ext uri="{3e2802c4-a4d2-4d8b-9148-e3be6c30e623}">
          <xlrd:rvb i="15978"/>
        </ext>
      </extLst>
    </bk>
    <bk>
      <extLst>
        <ext uri="{3e2802c4-a4d2-4d8b-9148-e3be6c30e623}">
          <xlrd:rvb i="15979"/>
        </ext>
      </extLst>
    </bk>
    <bk>
      <extLst>
        <ext uri="{3e2802c4-a4d2-4d8b-9148-e3be6c30e623}">
          <xlrd:rvb i="15980"/>
        </ext>
      </extLst>
    </bk>
    <bk>
      <extLst>
        <ext uri="{3e2802c4-a4d2-4d8b-9148-e3be6c30e623}">
          <xlrd:rvb i="15981"/>
        </ext>
      </extLst>
    </bk>
    <bk>
      <extLst>
        <ext uri="{3e2802c4-a4d2-4d8b-9148-e3be6c30e623}">
          <xlrd:rvb i="15982"/>
        </ext>
      </extLst>
    </bk>
    <bk>
      <extLst>
        <ext uri="{3e2802c4-a4d2-4d8b-9148-e3be6c30e623}">
          <xlrd:rvb i="15983"/>
        </ext>
      </extLst>
    </bk>
    <bk>
      <extLst>
        <ext uri="{3e2802c4-a4d2-4d8b-9148-e3be6c30e623}">
          <xlrd:rvb i="15984"/>
        </ext>
      </extLst>
    </bk>
    <bk>
      <extLst>
        <ext uri="{3e2802c4-a4d2-4d8b-9148-e3be6c30e623}">
          <xlrd:rvb i="15985"/>
        </ext>
      </extLst>
    </bk>
    <bk>
      <extLst>
        <ext uri="{3e2802c4-a4d2-4d8b-9148-e3be6c30e623}">
          <xlrd:rvb i="15986"/>
        </ext>
      </extLst>
    </bk>
    <bk>
      <extLst>
        <ext uri="{3e2802c4-a4d2-4d8b-9148-e3be6c30e623}">
          <xlrd:rvb i="15987"/>
        </ext>
      </extLst>
    </bk>
    <bk>
      <extLst>
        <ext uri="{3e2802c4-a4d2-4d8b-9148-e3be6c30e623}">
          <xlrd:rvb i="15988"/>
        </ext>
      </extLst>
    </bk>
    <bk>
      <extLst>
        <ext uri="{3e2802c4-a4d2-4d8b-9148-e3be6c30e623}">
          <xlrd:rvb i="15989"/>
        </ext>
      </extLst>
    </bk>
    <bk>
      <extLst>
        <ext uri="{3e2802c4-a4d2-4d8b-9148-e3be6c30e623}">
          <xlrd:rvb i="15990"/>
        </ext>
      </extLst>
    </bk>
    <bk>
      <extLst>
        <ext uri="{3e2802c4-a4d2-4d8b-9148-e3be6c30e623}">
          <xlrd:rvb i="15991"/>
        </ext>
      </extLst>
    </bk>
    <bk>
      <extLst>
        <ext uri="{3e2802c4-a4d2-4d8b-9148-e3be6c30e623}">
          <xlrd:rvb i="15992"/>
        </ext>
      </extLst>
    </bk>
    <bk>
      <extLst>
        <ext uri="{3e2802c4-a4d2-4d8b-9148-e3be6c30e623}">
          <xlrd:rvb i="15993"/>
        </ext>
      </extLst>
    </bk>
    <bk>
      <extLst>
        <ext uri="{3e2802c4-a4d2-4d8b-9148-e3be6c30e623}">
          <xlrd:rvb i="15994"/>
        </ext>
      </extLst>
    </bk>
    <bk>
      <extLst>
        <ext uri="{3e2802c4-a4d2-4d8b-9148-e3be6c30e623}">
          <xlrd:rvb i="15995"/>
        </ext>
      </extLst>
    </bk>
    <bk>
      <extLst>
        <ext uri="{3e2802c4-a4d2-4d8b-9148-e3be6c30e623}">
          <xlrd:rvb i="15996"/>
        </ext>
      </extLst>
    </bk>
    <bk>
      <extLst>
        <ext uri="{3e2802c4-a4d2-4d8b-9148-e3be6c30e623}">
          <xlrd:rvb i="15997"/>
        </ext>
      </extLst>
    </bk>
    <bk>
      <extLst>
        <ext uri="{3e2802c4-a4d2-4d8b-9148-e3be6c30e623}">
          <xlrd:rvb i="15998"/>
        </ext>
      </extLst>
    </bk>
    <bk>
      <extLst>
        <ext uri="{3e2802c4-a4d2-4d8b-9148-e3be6c30e623}">
          <xlrd:rvb i="15999"/>
        </ext>
      </extLst>
    </bk>
    <bk>
      <extLst>
        <ext uri="{3e2802c4-a4d2-4d8b-9148-e3be6c30e623}">
          <xlrd:rvb i="16000"/>
        </ext>
      </extLst>
    </bk>
    <bk>
      <extLst>
        <ext uri="{3e2802c4-a4d2-4d8b-9148-e3be6c30e623}">
          <xlrd:rvb i="16001"/>
        </ext>
      </extLst>
    </bk>
    <bk>
      <extLst>
        <ext uri="{3e2802c4-a4d2-4d8b-9148-e3be6c30e623}">
          <xlrd:rvb i="16002"/>
        </ext>
      </extLst>
    </bk>
    <bk>
      <extLst>
        <ext uri="{3e2802c4-a4d2-4d8b-9148-e3be6c30e623}">
          <xlrd:rvb i="16003"/>
        </ext>
      </extLst>
    </bk>
    <bk>
      <extLst>
        <ext uri="{3e2802c4-a4d2-4d8b-9148-e3be6c30e623}">
          <xlrd:rvb i="16004"/>
        </ext>
      </extLst>
    </bk>
    <bk>
      <extLst>
        <ext uri="{3e2802c4-a4d2-4d8b-9148-e3be6c30e623}">
          <xlrd:rvb i="16005"/>
        </ext>
      </extLst>
    </bk>
    <bk>
      <extLst>
        <ext uri="{3e2802c4-a4d2-4d8b-9148-e3be6c30e623}">
          <xlrd:rvb i="16006"/>
        </ext>
      </extLst>
    </bk>
    <bk>
      <extLst>
        <ext uri="{3e2802c4-a4d2-4d8b-9148-e3be6c30e623}">
          <xlrd:rvb i="16007"/>
        </ext>
      </extLst>
    </bk>
    <bk>
      <extLst>
        <ext uri="{3e2802c4-a4d2-4d8b-9148-e3be6c30e623}">
          <xlrd:rvb i="16008"/>
        </ext>
      </extLst>
    </bk>
    <bk>
      <extLst>
        <ext uri="{3e2802c4-a4d2-4d8b-9148-e3be6c30e623}">
          <xlrd:rvb i="16009"/>
        </ext>
      </extLst>
    </bk>
    <bk>
      <extLst>
        <ext uri="{3e2802c4-a4d2-4d8b-9148-e3be6c30e623}">
          <xlrd:rvb i="16010"/>
        </ext>
      </extLst>
    </bk>
    <bk>
      <extLst>
        <ext uri="{3e2802c4-a4d2-4d8b-9148-e3be6c30e623}">
          <xlrd:rvb i="16011"/>
        </ext>
      </extLst>
    </bk>
    <bk>
      <extLst>
        <ext uri="{3e2802c4-a4d2-4d8b-9148-e3be6c30e623}">
          <xlrd:rvb i="16012"/>
        </ext>
      </extLst>
    </bk>
    <bk>
      <extLst>
        <ext uri="{3e2802c4-a4d2-4d8b-9148-e3be6c30e623}">
          <xlrd:rvb i="16013"/>
        </ext>
      </extLst>
    </bk>
    <bk>
      <extLst>
        <ext uri="{3e2802c4-a4d2-4d8b-9148-e3be6c30e623}">
          <xlrd:rvb i="16014"/>
        </ext>
      </extLst>
    </bk>
    <bk>
      <extLst>
        <ext uri="{3e2802c4-a4d2-4d8b-9148-e3be6c30e623}">
          <xlrd:rvb i="16015"/>
        </ext>
      </extLst>
    </bk>
    <bk>
      <extLst>
        <ext uri="{3e2802c4-a4d2-4d8b-9148-e3be6c30e623}">
          <xlrd:rvb i="16016"/>
        </ext>
      </extLst>
    </bk>
    <bk>
      <extLst>
        <ext uri="{3e2802c4-a4d2-4d8b-9148-e3be6c30e623}">
          <xlrd:rvb i="16017"/>
        </ext>
      </extLst>
    </bk>
    <bk>
      <extLst>
        <ext uri="{3e2802c4-a4d2-4d8b-9148-e3be6c30e623}">
          <xlrd:rvb i="16018"/>
        </ext>
      </extLst>
    </bk>
    <bk>
      <extLst>
        <ext uri="{3e2802c4-a4d2-4d8b-9148-e3be6c30e623}">
          <xlrd:rvb i="16019"/>
        </ext>
      </extLst>
    </bk>
    <bk>
      <extLst>
        <ext uri="{3e2802c4-a4d2-4d8b-9148-e3be6c30e623}">
          <xlrd:rvb i="16020"/>
        </ext>
      </extLst>
    </bk>
    <bk>
      <extLst>
        <ext uri="{3e2802c4-a4d2-4d8b-9148-e3be6c30e623}">
          <xlrd:rvb i="16021"/>
        </ext>
      </extLst>
    </bk>
    <bk>
      <extLst>
        <ext uri="{3e2802c4-a4d2-4d8b-9148-e3be6c30e623}">
          <xlrd:rvb i="16022"/>
        </ext>
      </extLst>
    </bk>
    <bk>
      <extLst>
        <ext uri="{3e2802c4-a4d2-4d8b-9148-e3be6c30e623}">
          <xlrd:rvb i="16023"/>
        </ext>
      </extLst>
    </bk>
    <bk>
      <extLst>
        <ext uri="{3e2802c4-a4d2-4d8b-9148-e3be6c30e623}">
          <xlrd:rvb i="16024"/>
        </ext>
      </extLst>
    </bk>
    <bk>
      <extLst>
        <ext uri="{3e2802c4-a4d2-4d8b-9148-e3be6c30e623}">
          <xlrd:rvb i="16025"/>
        </ext>
      </extLst>
    </bk>
    <bk>
      <extLst>
        <ext uri="{3e2802c4-a4d2-4d8b-9148-e3be6c30e623}">
          <xlrd:rvb i="16026"/>
        </ext>
      </extLst>
    </bk>
    <bk>
      <extLst>
        <ext uri="{3e2802c4-a4d2-4d8b-9148-e3be6c30e623}">
          <xlrd:rvb i="16027"/>
        </ext>
      </extLst>
    </bk>
    <bk>
      <extLst>
        <ext uri="{3e2802c4-a4d2-4d8b-9148-e3be6c30e623}">
          <xlrd:rvb i="16028"/>
        </ext>
      </extLst>
    </bk>
    <bk>
      <extLst>
        <ext uri="{3e2802c4-a4d2-4d8b-9148-e3be6c30e623}">
          <xlrd:rvb i="16029"/>
        </ext>
      </extLst>
    </bk>
    <bk>
      <extLst>
        <ext uri="{3e2802c4-a4d2-4d8b-9148-e3be6c30e623}">
          <xlrd:rvb i="16030"/>
        </ext>
      </extLst>
    </bk>
    <bk>
      <extLst>
        <ext uri="{3e2802c4-a4d2-4d8b-9148-e3be6c30e623}">
          <xlrd:rvb i="16031"/>
        </ext>
      </extLst>
    </bk>
    <bk>
      <extLst>
        <ext uri="{3e2802c4-a4d2-4d8b-9148-e3be6c30e623}">
          <xlrd:rvb i="16032"/>
        </ext>
      </extLst>
    </bk>
    <bk>
      <extLst>
        <ext uri="{3e2802c4-a4d2-4d8b-9148-e3be6c30e623}">
          <xlrd:rvb i="16033"/>
        </ext>
      </extLst>
    </bk>
    <bk>
      <extLst>
        <ext uri="{3e2802c4-a4d2-4d8b-9148-e3be6c30e623}">
          <xlrd:rvb i="16034"/>
        </ext>
      </extLst>
    </bk>
    <bk>
      <extLst>
        <ext uri="{3e2802c4-a4d2-4d8b-9148-e3be6c30e623}">
          <xlrd:rvb i="16035"/>
        </ext>
      </extLst>
    </bk>
    <bk>
      <extLst>
        <ext uri="{3e2802c4-a4d2-4d8b-9148-e3be6c30e623}">
          <xlrd:rvb i="16036"/>
        </ext>
      </extLst>
    </bk>
    <bk>
      <extLst>
        <ext uri="{3e2802c4-a4d2-4d8b-9148-e3be6c30e623}">
          <xlrd:rvb i="16037"/>
        </ext>
      </extLst>
    </bk>
    <bk>
      <extLst>
        <ext uri="{3e2802c4-a4d2-4d8b-9148-e3be6c30e623}">
          <xlrd:rvb i="16038"/>
        </ext>
      </extLst>
    </bk>
    <bk>
      <extLst>
        <ext uri="{3e2802c4-a4d2-4d8b-9148-e3be6c30e623}">
          <xlrd:rvb i="16039"/>
        </ext>
      </extLst>
    </bk>
    <bk>
      <extLst>
        <ext uri="{3e2802c4-a4d2-4d8b-9148-e3be6c30e623}">
          <xlrd:rvb i="16040"/>
        </ext>
      </extLst>
    </bk>
    <bk>
      <extLst>
        <ext uri="{3e2802c4-a4d2-4d8b-9148-e3be6c30e623}">
          <xlrd:rvb i="16041"/>
        </ext>
      </extLst>
    </bk>
    <bk>
      <extLst>
        <ext uri="{3e2802c4-a4d2-4d8b-9148-e3be6c30e623}">
          <xlrd:rvb i="16042"/>
        </ext>
      </extLst>
    </bk>
    <bk>
      <extLst>
        <ext uri="{3e2802c4-a4d2-4d8b-9148-e3be6c30e623}">
          <xlrd:rvb i="16043"/>
        </ext>
      </extLst>
    </bk>
    <bk>
      <extLst>
        <ext uri="{3e2802c4-a4d2-4d8b-9148-e3be6c30e623}">
          <xlrd:rvb i="16044"/>
        </ext>
      </extLst>
    </bk>
    <bk>
      <extLst>
        <ext uri="{3e2802c4-a4d2-4d8b-9148-e3be6c30e623}">
          <xlrd:rvb i="16045"/>
        </ext>
      </extLst>
    </bk>
    <bk>
      <extLst>
        <ext uri="{3e2802c4-a4d2-4d8b-9148-e3be6c30e623}">
          <xlrd:rvb i="16046"/>
        </ext>
      </extLst>
    </bk>
    <bk>
      <extLst>
        <ext uri="{3e2802c4-a4d2-4d8b-9148-e3be6c30e623}">
          <xlrd:rvb i="16047"/>
        </ext>
      </extLst>
    </bk>
    <bk>
      <extLst>
        <ext uri="{3e2802c4-a4d2-4d8b-9148-e3be6c30e623}">
          <xlrd:rvb i="16048"/>
        </ext>
      </extLst>
    </bk>
    <bk>
      <extLst>
        <ext uri="{3e2802c4-a4d2-4d8b-9148-e3be6c30e623}">
          <xlrd:rvb i="16049"/>
        </ext>
      </extLst>
    </bk>
    <bk>
      <extLst>
        <ext uri="{3e2802c4-a4d2-4d8b-9148-e3be6c30e623}">
          <xlrd:rvb i="16050"/>
        </ext>
      </extLst>
    </bk>
    <bk>
      <extLst>
        <ext uri="{3e2802c4-a4d2-4d8b-9148-e3be6c30e623}">
          <xlrd:rvb i="16051"/>
        </ext>
      </extLst>
    </bk>
    <bk>
      <extLst>
        <ext uri="{3e2802c4-a4d2-4d8b-9148-e3be6c30e623}">
          <xlrd:rvb i="16052"/>
        </ext>
      </extLst>
    </bk>
    <bk>
      <extLst>
        <ext uri="{3e2802c4-a4d2-4d8b-9148-e3be6c30e623}">
          <xlrd:rvb i="16053"/>
        </ext>
      </extLst>
    </bk>
    <bk>
      <extLst>
        <ext uri="{3e2802c4-a4d2-4d8b-9148-e3be6c30e623}">
          <xlrd:rvb i="16054"/>
        </ext>
      </extLst>
    </bk>
    <bk>
      <extLst>
        <ext uri="{3e2802c4-a4d2-4d8b-9148-e3be6c30e623}">
          <xlrd:rvb i="16055"/>
        </ext>
      </extLst>
    </bk>
    <bk>
      <extLst>
        <ext uri="{3e2802c4-a4d2-4d8b-9148-e3be6c30e623}">
          <xlrd:rvb i="16056"/>
        </ext>
      </extLst>
    </bk>
    <bk>
      <extLst>
        <ext uri="{3e2802c4-a4d2-4d8b-9148-e3be6c30e623}">
          <xlrd:rvb i="16057"/>
        </ext>
      </extLst>
    </bk>
    <bk>
      <extLst>
        <ext uri="{3e2802c4-a4d2-4d8b-9148-e3be6c30e623}">
          <xlrd:rvb i="16058"/>
        </ext>
      </extLst>
    </bk>
    <bk>
      <extLst>
        <ext uri="{3e2802c4-a4d2-4d8b-9148-e3be6c30e623}">
          <xlrd:rvb i="16059"/>
        </ext>
      </extLst>
    </bk>
    <bk>
      <extLst>
        <ext uri="{3e2802c4-a4d2-4d8b-9148-e3be6c30e623}">
          <xlrd:rvb i="16060"/>
        </ext>
      </extLst>
    </bk>
    <bk>
      <extLst>
        <ext uri="{3e2802c4-a4d2-4d8b-9148-e3be6c30e623}">
          <xlrd:rvb i="16061"/>
        </ext>
      </extLst>
    </bk>
    <bk>
      <extLst>
        <ext uri="{3e2802c4-a4d2-4d8b-9148-e3be6c30e623}">
          <xlrd:rvb i="16062"/>
        </ext>
      </extLst>
    </bk>
    <bk>
      <extLst>
        <ext uri="{3e2802c4-a4d2-4d8b-9148-e3be6c30e623}">
          <xlrd:rvb i="16063"/>
        </ext>
      </extLst>
    </bk>
    <bk>
      <extLst>
        <ext uri="{3e2802c4-a4d2-4d8b-9148-e3be6c30e623}">
          <xlrd:rvb i="16064"/>
        </ext>
      </extLst>
    </bk>
    <bk>
      <extLst>
        <ext uri="{3e2802c4-a4d2-4d8b-9148-e3be6c30e623}">
          <xlrd:rvb i="16065"/>
        </ext>
      </extLst>
    </bk>
    <bk>
      <extLst>
        <ext uri="{3e2802c4-a4d2-4d8b-9148-e3be6c30e623}">
          <xlrd:rvb i="16066"/>
        </ext>
      </extLst>
    </bk>
    <bk>
      <extLst>
        <ext uri="{3e2802c4-a4d2-4d8b-9148-e3be6c30e623}">
          <xlrd:rvb i="16067"/>
        </ext>
      </extLst>
    </bk>
    <bk>
      <extLst>
        <ext uri="{3e2802c4-a4d2-4d8b-9148-e3be6c30e623}">
          <xlrd:rvb i="16068"/>
        </ext>
      </extLst>
    </bk>
    <bk>
      <extLst>
        <ext uri="{3e2802c4-a4d2-4d8b-9148-e3be6c30e623}">
          <xlrd:rvb i="16069"/>
        </ext>
      </extLst>
    </bk>
    <bk>
      <extLst>
        <ext uri="{3e2802c4-a4d2-4d8b-9148-e3be6c30e623}">
          <xlrd:rvb i="16070"/>
        </ext>
      </extLst>
    </bk>
    <bk>
      <extLst>
        <ext uri="{3e2802c4-a4d2-4d8b-9148-e3be6c30e623}">
          <xlrd:rvb i="16071"/>
        </ext>
      </extLst>
    </bk>
    <bk>
      <extLst>
        <ext uri="{3e2802c4-a4d2-4d8b-9148-e3be6c30e623}">
          <xlrd:rvb i="16072"/>
        </ext>
      </extLst>
    </bk>
    <bk>
      <extLst>
        <ext uri="{3e2802c4-a4d2-4d8b-9148-e3be6c30e623}">
          <xlrd:rvb i="16073"/>
        </ext>
      </extLst>
    </bk>
    <bk>
      <extLst>
        <ext uri="{3e2802c4-a4d2-4d8b-9148-e3be6c30e623}">
          <xlrd:rvb i="16074"/>
        </ext>
      </extLst>
    </bk>
    <bk>
      <extLst>
        <ext uri="{3e2802c4-a4d2-4d8b-9148-e3be6c30e623}">
          <xlrd:rvb i="16075"/>
        </ext>
      </extLst>
    </bk>
    <bk>
      <extLst>
        <ext uri="{3e2802c4-a4d2-4d8b-9148-e3be6c30e623}">
          <xlrd:rvb i="16076"/>
        </ext>
      </extLst>
    </bk>
    <bk>
      <extLst>
        <ext uri="{3e2802c4-a4d2-4d8b-9148-e3be6c30e623}">
          <xlrd:rvb i="16077"/>
        </ext>
      </extLst>
    </bk>
    <bk>
      <extLst>
        <ext uri="{3e2802c4-a4d2-4d8b-9148-e3be6c30e623}">
          <xlrd:rvb i="16078"/>
        </ext>
      </extLst>
    </bk>
    <bk>
      <extLst>
        <ext uri="{3e2802c4-a4d2-4d8b-9148-e3be6c30e623}">
          <xlrd:rvb i="16079"/>
        </ext>
      </extLst>
    </bk>
    <bk>
      <extLst>
        <ext uri="{3e2802c4-a4d2-4d8b-9148-e3be6c30e623}">
          <xlrd:rvb i="16080"/>
        </ext>
      </extLst>
    </bk>
    <bk>
      <extLst>
        <ext uri="{3e2802c4-a4d2-4d8b-9148-e3be6c30e623}">
          <xlrd:rvb i="16081"/>
        </ext>
      </extLst>
    </bk>
    <bk>
      <extLst>
        <ext uri="{3e2802c4-a4d2-4d8b-9148-e3be6c30e623}">
          <xlrd:rvb i="16082"/>
        </ext>
      </extLst>
    </bk>
    <bk>
      <extLst>
        <ext uri="{3e2802c4-a4d2-4d8b-9148-e3be6c30e623}">
          <xlrd:rvb i="16083"/>
        </ext>
      </extLst>
    </bk>
    <bk>
      <extLst>
        <ext uri="{3e2802c4-a4d2-4d8b-9148-e3be6c30e623}">
          <xlrd:rvb i="16084"/>
        </ext>
      </extLst>
    </bk>
    <bk>
      <extLst>
        <ext uri="{3e2802c4-a4d2-4d8b-9148-e3be6c30e623}">
          <xlrd:rvb i="16085"/>
        </ext>
      </extLst>
    </bk>
    <bk>
      <extLst>
        <ext uri="{3e2802c4-a4d2-4d8b-9148-e3be6c30e623}">
          <xlrd:rvb i="16086"/>
        </ext>
      </extLst>
    </bk>
    <bk>
      <extLst>
        <ext uri="{3e2802c4-a4d2-4d8b-9148-e3be6c30e623}">
          <xlrd:rvb i="16087"/>
        </ext>
      </extLst>
    </bk>
    <bk>
      <extLst>
        <ext uri="{3e2802c4-a4d2-4d8b-9148-e3be6c30e623}">
          <xlrd:rvb i="16088"/>
        </ext>
      </extLst>
    </bk>
    <bk>
      <extLst>
        <ext uri="{3e2802c4-a4d2-4d8b-9148-e3be6c30e623}">
          <xlrd:rvb i="16089"/>
        </ext>
      </extLst>
    </bk>
    <bk>
      <extLst>
        <ext uri="{3e2802c4-a4d2-4d8b-9148-e3be6c30e623}">
          <xlrd:rvb i="16090"/>
        </ext>
      </extLst>
    </bk>
    <bk>
      <extLst>
        <ext uri="{3e2802c4-a4d2-4d8b-9148-e3be6c30e623}">
          <xlrd:rvb i="16091"/>
        </ext>
      </extLst>
    </bk>
    <bk>
      <extLst>
        <ext uri="{3e2802c4-a4d2-4d8b-9148-e3be6c30e623}">
          <xlrd:rvb i="16092"/>
        </ext>
      </extLst>
    </bk>
    <bk>
      <extLst>
        <ext uri="{3e2802c4-a4d2-4d8b-9148-e3be6c30e623}">
          <xlrd:rvb i="16093"/>
        </ext>
      </extLst>
    </bk>
    <bk>
      <extLst>
        <ext uri="{3e2802c4-a4d2-4d8b-9148-e3be6c30e623}">
          <xlrd:rvb i="16094"/>
        </ext>
      </extLst>
    </bk>
    <bk>
      <extLst>
        <ext uri="{3e2802c4-a4d2-4d8b-9148-e3be6c30e623}">
          <xlrd:rvb i="16095"/>
        </ext>
      </extLst>
    </bk>
    <bk>
      <extLst>
        <ext uri="{3e2802c4-a4d2-4d8b-9148-e3be6c30e623}">
          <xlrd:rvb i="16096"/>
        </ext>
      </extLst>
    </bk>
    <bk>
      <extLst>
        <ext uri="{3e2802c4-a4d2-4d8b-9148-e3be6c30e623}">
          <xlrd:rvb i="16097"/>
        </ext>
      </extLst>
    </bk>
    <bk>
      <extLst>
        <ext uri="{3e2802c4-a4d2-4d8b-9148-e3be6c30e623}">
          <xlrd:rvb i="16098"/>
        </ext>
      </extLst>
    </bk>
    <bk>
      <extLst>
        <ext uri="{3e2802c4-a4d2-4d8b-9148-e3be6c30e623}">
          <xlrd:rvb i="16099"/>
        </ext>
      </extLst>
    </bk>
    <bk>
      <extLst>
        <ext uri="{3e2802c4-a4d2-4d8b-9148-e3be6c30e623}">
          <xlrd:rvb i="16100"/>
        </ext>
      </extLst>
    </bk>
    <bk>
      <extLst>
        <ext uri="{3e2802c4-a4d2-4d8b-9148-e3be6c30e623}">
          <xlrd:rvb i="16101"/>
        </ext>
      </extLst>
    </bk>
    <bk>
      <extLst>
        <ext uri="{3e2802c4-a4d2-4d8b-9148-e3be6c30e623}">
          <xlrd:rvb i="16102"/>
        </ext>
      </extLst>
    </bk>
    <bk>
      <extLst>
        <ext uri="{3e2802c4-a4d2-4d8b-9148-e3be6c30e623}">
          <xlrd:rvb i="16103"/>
        </ext>
      </extLst>
    </bk>
    <bk>
      <extLst>
        <ext uri="{3e2802c4-a4d2-4d8b-9148-e3be6c30e623}">
          <xlrd:rvb i="16104"/>
        </ext>
      </extLst>
    </bk>
    <bk>
      <extLst>
        <ext uri="{3e2802c4-a4d2-4d8b-9148-e3be6c30e623}">
          <xlrd:rvb i="16105"/>
        </ext>
      </extLst>
    </bk>
    <bk>
      <extLst>
        <ext uri="{3e2802c4-a4d2-4d8b-9148-e3be6c30e623}">
          <xlrd:rvb i="16106"/>
        </ext>
      </extLst>
    </bk>
    <bk>
      <extLst>
        <ext uri="{3e2802c4-a4d2-4d8b-9148-e3be6c30e623}">
          <xlrd:rvb i="16107"/>
        </ext>
      </extLst>
    </bk>
    <bk>
      <extLst>
        <ext uri="{3e2802c4-a4d2-4d8b-9148-e3be6c30e623}">
          <xlrd:rvb i="16108"/>
        </ext>
      </extLst>
    </bk>
    <bk>
      <extLst>
        <ext uri="{3e2802c4-a4d2-4d8b-9148-e3be6c30e623}">
          <xlrd:rvb i="16109"/>
        </ext>
      </extLst>
    </bk>
    <bk>
      <extLst>
        <ext uri="{3e2802c4-a4d2-4d8b-9148-e3be6c30e623}">
          <xlrd:rvb i="16110"/>
        </ext>
      </extLst>
    </bk>
    <bk>
      <extLst>
        <ext uri="{3e2802c4-a4d2-4d8b-9148-e3be6c30e623}">
          <xlrd:rvb i="16111"/>
        </ext>
      </extLst>
    </bk>
    <bk>
      <extLst>
        <ext uri="{3e2802c4-a4d2-4d8b-9148-e3be6c30e623}">
          <xlrd:rvb i="16112"/>
        </ext>
      </extLst>
    </bk>
    <bk>
      <extLst>
        <ext uri="{3e2802c4-a4d2-4d8b-9148-e3be6c30e623}">
          <xlrd:rvb i="16113"/>
        </ext>
      </extLst>
    </bk>
    <bk>
      <extLst>
        <ext uri="{3e2802c4-a4d2-4d8b-9148-e3be6c30e623}">
          <xlrd:rvb i="16114"/>
        </ext>
      </extLst>
    </bk>
    <bk>
      <extLst>
        <ext uri="{3e2802c4-a4d2-4d8b-9148-e3be6c30e623}">
          <xlrd:rvb i="16115"/>
        </ext>
      </extLst>
    </bk>
    <bk>
      <extLst>
        <ext uri="{3e2802c4-a4d2-4d8b-9148-e3be6c30e623}">
          <xlrd:rvb i="16116"/>
        </ext>
      </extLst>
    </bk>
    <bk>
      <extLst>
        <ext uri="{3e2802c4-a4d2-4d8b-9148-e3be6c30e623}">
          <xlrd:rvb i="16117"/>
        </ext>
      </extLst>
    </bk>
    <bk>
      <extLst>
        <ext uri="{3e2802c4-a4d2-4d8b-9148-e3be6c30e623}">
          <xlrd:rvb i="16118"/>
        </ext>
      </extLst>
    </bk>
    <bk>
      <extLst>
        <ext uri="{3e2802c4-a4d2-4d8b-9148-e3be6c30e623}">
          <xlrd:rvb i="16119"/>
        </ext>
      </extLst>
    </bk>
    <bk>
      <extLst>
        <ext uri="{3e2802c4-a4d2-4d8b-9148-e3be6c30e623}">
          <xlrd:rvb i="16120"/>
        </ext>
      </extLst>
    </bk>
    <bk>
      <extLst>
        <ext uri="{3e2802c4-a4d2-4d8b-9148-e3be6c30e623}">
          <xlrd:rvb i="16121"/>
        </ext>
      </extLst>
    </bk>
    <bk>
      <extLst>
        <ext uri="{3e2802c4-a4d2-4d8b-9148-e3be6c30e623}">
          <xlrd:rvb i="16122"/>
        </ext>
      </extLst>
    </bk>
    <bk>
      <extLst>
        <ext uri="{3e2802c4-a4d2-4d8b-9148-e3be6c30e623}">
          <xlrd:rvb i="16123"/>
        </ext>
      </extLst>
    </bk>
    <bk>
      <extLst>
        <ext uri="{3e2802c4-a4d2-4d8b-9148-e3be6c30e623}">
          <xlrd:rvb i="16124"/>
        </ext>
      </extLst>
    </bk>
    <bk>
      <extLst>
        <ext uri="{3e2802c4-a4d2-4d8b-9148-e3be6c30e623}">
          <xlrd:rvb i="16125"/>
        </ext>
      </extLst>
    </bk>
    <bk>
      <extLst>
        <ext uri="{3e2802c4-a4d2-4d8b-9148-e3be6c30e623}">
          <xlrd:rvb i="16126"/>
        </ext>
      </extLst>
    </bk>
    <bk>
      <extLst>
        <ext uri="{3e2802c4-a4d2-4d8b-9148-e3be6c30e623}">
          <xlrd:rvb i="16127"/>
        </ext>
      </extLst>
    </bk>
    <bk>
      <extLst>
        <ext uri="{3e2802c4-a4d2-4d8b-9148-e3be6c30e623}">
          <xlrd:rvb i="16128"/>
        </ext>
      </extLst>
    </bk>
    <bk>
      <extLst>
        <ext uri="{3e2802c4-a4d2-4d8b-9148-e3be6c30e623}">
          <xlrd:rvb i="16129"/>
        </ext>
      </extLst>
    </bk>
    <bk>
      <extLst>
        <ext uri="{3e2802c4-a4d2-4d8b-9148-e3be6c30e623}">
          <xlrd:rvb i="16130"/>
        </ext>
      </extLst>
    </bk>
    <bk>
      <extLst>
        <ext uri="{3e2802c4-a4d2-4d8b-9148-e3be6c30e623}">
          <xlrd:rvb i="16131"/>
        </ext>
      </extLst>
    </bk>
    <bk>
      <extLst>
        <ext uri="{3e2802c4-a4d2-4d8b-9148-e3be6c30e623}">
          <xlrd:rvb i="16132"/>
        </ext>
      </extLst>
    </bk>
    <bk>
      <extLst>
        <ext uri="{3e2802c4-a4d2-4d8b-9148-e3be6c30e623}">
          <xlrd:rvb i="16133"/>
        </ext>
      </extLst>
    </bk>
    <bk>
      <extLst>
        <ext uri="{3e2802c4-a4d2-4d8b-9148-e3be6c30e623}">
          <xlrd:rvb i="16134"/>
        </ext>
      </extLst>
    </bk>
    <bk>
      <extLst>
        <ext uri="{3e2802c4-a4d2-4d8b-9148-e3be6c30e623}">
          <xlrd:rvb i="16135"/>
        </ext>
      </extLst>
    </bk>
    <bk>
      <extLst>
        <ext uri="{3e2802c4-a4d2-4d8b-9148-e3be6c30e623}">
          <xlrd:rvb i="16136"/>
        </ext>
      </extLst>
    </bk>
    <bk>
      <extLst>
        <ext uri="{3e2802c4-a4d2-4d8b-9148-e3be6c30e623}">
          <xlrd:rvb i="16137"/>
        </ext>
      </extLst>
    </bk>
    <bk>
      <extLst>
        <ext uri="{3e2802c4-a4d2-4d8b-9148-e3be6c30e623}">
          <xlrd:rvb i="16138"/>
        </ext>
      </extLst>
    </bk>
    <bk>
      <extLst>
        <ext uri="{3e2802c4-a4d2-4d8b-9148-e3be6c30e623}">
          <xlrd:rvb i="16139"/>
        </ext>
      </extLst>
    </bk>
    <bk>
      <extLst>
        <ext uri="{3e2802c4-a4d2-4d8b-9148-e3be6c30e623}">
          <xlrd:rvb i="16140"/>
        </ext>
      </extLst>
    </bk>
    <bk>
      <extLst>
        <ext uri="{3e2802c4-a4d2-4d8b-9148-e3be6c30e623}">
          <xlrd:rvb i="16141"/>
        </ext>
      </extLst>
    </bk>
    <bk>
      <extLst>
        <ext uri="{3e2802c4-a4d2-4d8b-9148-e3be6c30e623}">
          <xlrd:rvb i="16142"/>
        </ext>
      </extLst>
    </bk>
    <bk>
      <extLst>
        <ext uri="{3e2802c4-a4d2-4d8b-9148-e3be6c30e623}">
          <xlrd:rvb i="16143"/>
        </ext>
      </extLst>
    </bk>
    <bk>
      <extLst>
        <ext uri="{3e2802c4-a4d2-4d8b-9148-e3be6c30e623}">
          <xlrd:rvb i="16144"/>
        </ext>
      </extLst>
    </bk>
    <bk>
      <extLst>
        <ext uri="{3e2802c4-a4d2-4d8b-9148-e3be6c30e623}">
          <xlrd:rvb i="16145"/>
        </ext>
      </extLst>
    </bk>
    <bk>
      <extLst>
        <ext uri="{3e2802c4-a4d2-4d8b-9148-e3be6c30e623}">
          <xlrd:rvb i="16146"/>
        </ext>
      </extLst>
    </bk>
    <bk>
      <extLst>
        <ext uri="{3e2802c4-a4d2-4d8b-9148-e3be6c30e623}">
          <xlrd:rvb i="16147"/>
        </ext>
      </extLst>
    </bk>
    <bk>
      <extLst>
        <ext uri="{3e2802c4-a4d2-4d8b-9148-e3be6c30e623}">
          <xlrd:rvb i="16148"/>
        </ext>
      </extLst>
    </bk>
    <bk>
      <extLst>
        <ext uri="{3e2802c4-a4d2-4d8b-9148-e3be6c30e623}">
          <xlrd:rvb i="16149"/>
        </ext>
      </extLst>
    </bk>
    <bk>
      <extLst>
        <ext uri="{3e2802c4-a4d2-4d8b-9148-e3be6c30e623}">
          <xlrd:rvb i="16150"/>
        </ext>
      </extLst>
    </bk>
    <bk>
      <extLst>
        <ext uri="{3e2802c4-a4d2-4d8b-9148-e3be6c30e623}">
          <xlrd:rvb i="16151"/>
        </ext>
      </extLst>
    </bk>
    <bk>
      <extLst>
        <ext uri="{3e2802c4-a4d2-4d8b-9148-e3be6c30e623}">
          <xlrd:rvb i="16152"/>
        </ext>
      </extLst>
    </bk>
    <bk>
      <extLst>
        <ext uri="{3e2802c4-a4d2-4d8b-9148-e3be6c30e623}">
          <xlrd:rvb i="16153"/>
        </ext>
      </extLst>
    </bk>
    <bk>
      <extLst>
        <ext uri="{3e2802c4-a4d2-4d8b-9148-e3be6c30e623}">
          <xlrd:rvb i="16154"/>
        </ext>
      </extLst>
    </bk>
    <bk>
      <extLst>
        <ext uri="{3e2802c4-a4d2-4d8b-9148-e3be6c30e623}">
          <xlrd:rvb i="16155"/>
        </ext>
      </extLst>
    </bk>
    <bk>
      <extLst>
        <ext uri="{3e2802c4-a4d2-4d8b-9148-e3be6c30e623}">
          <xlrd:rvb i="16156"/>
        </ext>
      </extLst>
    </bk>
    <bk>
      <extLst>
        <ext uri="{3e2802c4-a4d2-4d8b-9148-e3be6c30e623}">
          <xlrd:rvb i="16157"/>
        </ext>
      </extLst>
    </bk>
    <bk>
      <extLst>
        <ext uri="{3e2802c4-a4d2-4d8b-9148-e3be6c30e623}">
          <xlrd:rvb i="16158"/>
        </ext>
      </extLst>
    </bk>
    <bk>
      <extLst>
        <ext uri="{3e2802c4-a4d2-4d8b-9148-e3be6c30e623}">
          <xlrd:rvb i="16159"/>
        </ext>
      </extLst>
    </bk>
    <bk>
      <extLst>
        <ext uri="{3e2802c4-a4d2-4d8b-9148-e3be6c30e623}">
          <xlrd:rvb i="16160"/>
        </ext>
      </extLst>
    </bk>
    <bk>
      <extLst>
        <ext uri="{3e2802c4-a4d2-4d8b-9148-e3be6c30e623}">
          <xlrd:rvb i="16161"/>
        </ext>
      </extLst>
    </bk>
    <bk>
      <extLst>
        <ext uri="{3e2802c4-a4d2-4d8b-9148-e3be6c30e623}">
          <xlrd:rvb i="16162"/>
        </ext>
      </extLst>
    </bk>
    <bk>
      <extLst>
        <ext uri="{3e2802c4-a4d2-4d8b-9148-e3be6c30e623}">
          <xlrd:rvb i="16163"/>
        </ext>
      </extLst>
    </bk>
    <bk>
      <extLst>
        <ext uri="{3e2802c4-a4d2-4d8b-9148-e3be6c30e623}">
          <xlrd:rvb i="16164"/>
        </ext>
      </extLst>
    </bk>
    <bk>
      <extLst>
        <ext uri="{3e2802c4-a4d2-4d8b-9148-e3be6c30e623}">
          <xlrd:rvb i="16165"/>
        </ext>
      </extLst>
    </bk>
    <bk>
      <extLst>
        <ext uri="{3e2802c4-a4d2-4d8b-9148-e3be6c30e623}">
          <xlrd:rvb i="16166"/>
        </ext>
      </extLst>
    </bk>
    <bk>
      <extLst>
        <ext uri="{3e2802c4-a4d2-4d8b-9148-e3be6c30e623}">
          <xlrd:rvb i="16167"/>
        </ext>
      </extLst>
    </bk>
    <bk>
      <extLst>
        <ext uri="{3e2802c4-a4d2-4d8b-9148-e3be6c30e623}">
          <xlrd:rvb i="16168"/>
        </ext>
      </extLst>
    </bk>
    <bk>
      <extLst>
        <ext uri="{3e2802c4-a4d2-4d8b-9148-e3be6c30e623}">
          <xlrd:rvb i="16169"/>
        </ext>
      </extLst>
    </bk>
    <bk>
      <extLst>
        <ext uri="{3e2802c4-a4d2-4d8b-9148-e3be6c30e623}">
          <xlrd:rvb i="16170"/>
        </ext>
      </extLst>
    </bk>
    <bk>
      <extLst>
        <ext uri="{3e2802c4-a4d2-4d8b-9148-e3be6c30e623}">
          <xlrd:rvb i="16171"/>
        </ext>
      </extLst>
    </bk>
    <bk>
      <extLst>
        <ext uri="{3e2802c4-a4d2-4d8b-9148-e3be6c30e623}">
          <xlrd:rvb i="16172"/>
        </ext>
      </extLst>
    </bk>
    <bk>
      <extLst>
        <ext uri="{3e2802c4-a4d2-4d8b-9148-e3be6c30e623}">
          <xlrd:rvb i="16173"/>
        </ext>
      </extLst>
    </bk>
    <bk>
      <extLst>
        <ext uri="{3e2802c4-a4d2-4d8b-9148-e3be6c30e623}">
          <xlrd:rvb i="16174"/>
        </ext>
      </extLst>
    </bk>
    <bk>
      <extLst>
        <ext uri="{3e2802c4-a4d2-4d8b-9148-e3be6c30e623}">
          <xlrd:rvb i="16175"/>
        </ext>
      </extLst>
    </bk>
    <bk>
      <extLst>
        <ext uri="{3e2802c4-a4d2-4d8b-9148-e3be6c30e623}">
          <xlrd:rvb i="16176"/>
        </ext>
      </extLst>
    </bk>
    <bk>
      <extLst>
        <ext uri="{3e2802c4-a4d2-4d8b-9148-e3be6c30e623}">
          <xlrd:rvb i="16177"/>
        </ext>
      </extLst>
    </bk>
    <bk>
      <extLst>
        <ext uri="{3e2802c4-a4d2-4d8b-9148-e3be6c30e623}">
          <xlrd:rvb i="16178"/>
        </ext>
      </extLst>
    </bk>
    <bk>
      <extLst>
        <ext uri="{3e2802c4-a4d2-4d8b-9148-e3be6c30e623}">
          <xlrd:rvb i="16179"/>
        </ext>
      </extLst>
    </bk>
    <bk>
      <extLst>
        <ext uri="{3e2802c4-a4d2-4d8b-9148-e3be6c30e623}">
          <xlrd:rvb i="16180"/>
        </ext>
      </extLst>
    </bk>
    <bk>
      <extLst>
        <ext uri="{3e2802c4-a4d2-4d8b-9148-e3be6c30e623}">
          <xlrd:rvb i="16181"/>
        </ext>
      </extLst>
    </bk>
    <bk>
      <extLst>
        <ext uri="{3e2802c4-a4d2-4d8b-9148-e3be6c30e623}">
          <xlrd:rvb i="16182"/>
        </ext>
      </extLst>
    </bk>
    <bk>
      <extLst>
        <ext uri="{3e2802c4-a4d2-4d8b-9148-e3be6c30e623}">
          <xlrd:rvb i="16183"/>
        </ext>
      </extLst>
    </bk>
    <bk>
      <extLst>
        <ext uri="{3e2802c4-a4d2-4d8b-9148-e3be6c30e623}">
          <xlrd:rvb i="16184"/>
        </ext>
      </extLst>
    </bk>
    <bk>
      <extLst>
        <ext uri="{3e2802c4-a4d2-4d8b-9148-e3be6c30e623}">
          <xlrd:rvb i="16185"/>
        </ext>
      </extLst>
    </bk>
    <bk>
      <extLst>
        <ext uri="{3e2802c4-a4d2-4d8b-9148-e3be6c30e623}">
          <xlrd:rvb i="16186"/>
        </ext>
      </extLst>
    </bk>
    <bk>
      <extLst>
        <ext uri="{3e2802c4-a4d2-4d8b-9148-e3be6c30e623}">
          <xlrd:rvb i="16187"/>
        </ext>
      </extLst>
    </bk>
    <bk>
      <extLst>
        <ext uri="{3e2802c4-a4d2-4d8b-9148-e3be6c30e623}">
          <xlrd:rvb i="16188"/>
        </ext>
      </extLst>
    </bk>
    <bk>
      <extLst>
        <ext uri="{3e2802c4-a4d2-4d8b-9148-e3be6c30e623}">
          <xlrd:rvb i="16189"/>
        </ext>
      </extLst>
    </bk>
    <bk>
      <extLst>
        <ext uri="{3e2802c4-a4d2-4d8b-9148-e3be6c30e623}">
          <xlrd:rvb i="16190"/>
        </ext>
      </extLst>
    </bk>
    <bk>
      <extLst>
        <ext uri="{3e2802c4-a4d2-4d8b-9148-e3be6c30e623}">
          <xlrd:rvb i="16191"/>
        </ext>
      </extLst>
    </bk>
    <bk>
      <extLst>
        <ext uri="{3e2802c4-a4d2-4d8b-9148-e3be6c30e623}">
          <xlrd:rvb i="16192"/>
        </ext>
      </extLst>
    </bk>
    <bk>
      <extLst>
        <ext uri="{3e2802c4-a4d2-4d8b-9148-e3be6c30e623}">
          <xlrd:rvb i="16193"/>
        </ext>
      </extLst>
    </bk>
    <bk>
      <extLst>
        <ext uri="{3e2802c4-a4d2-4d8b-9148-e3be6c30e623}">
          <xlrd:rvb i="16194"/>
        </ext>
      </extLst>
    </bk>
    <bk>
      <extLst>
        <ext uri="{3e2802c4-a4d2-4d8b-9148-e3be6c30e623}">
          <xlrd:rvb i="16195"/>
        </ext>
      </extLst>
    </bk>
    <bk>
      <extLst>
        <ext uri="{3e2802c4-a4d2-4d8b-9148-e3be6c30e623}">
          <xlrd:rvb i="16196"/>
        </ext>
      </extLst>
    </bk>
    <bk>
      <extLst>
        <ext uri="{3e2802c4-a4d2-4d8b-9148-e3be6c30e623}">
          <xlrd:rvb i="16197"/>
        </ext>
      </extLst>
    </bk>
    <bk>
      <extLst>
        <ext uri="{3e2802c4-a4d2-4d8b-9148-e3be6c30e623}">
          <xlrd:rvb i="16198"/>
        </ext>
      </extLst>
    </bk>
    <bk>
      <extLst>
        <ext uri="{3e2802c4-a4d2-4d8b-9148-e3be6c30e623}">
          <xlrd:rvb i="16199"/>
        </ext>
      </extLst>
    </bk>
    <bk>
      <extLst>
        <ext uri="{3e2802c4-a4d2-4d8b-9148-e3be6c30e623}">
          <xlrd:rvb i="16200"/>
        </ext>
      </extLst>
    </bk>
    <bk>
      <extLst>
        <ext uri="{3e2802c4-a4d2-4d8b-9148-e3be6c30e623}">
          <xlrd:rvb i="16201"/>
        </ext>
      </extLst>
    </bk>
    <bk>
      <extLst>
        <ext uri="{3e2802c4-a4d2-4d8b-9148-e3be6c30e623}">
          <xlrd:rvb i="16202"/>
        </ext>
      </extLst>
    </bk>
    <bk>
      <extLst>
        <ext uri="{3e2802c4-a4d2-4d8b-9148-e3be6c30e623}">
          <xlrd:rvb i="16203"/>
        </ext>
      </extLst>
    </bk>
    <bk>
      <extLst>
        <ext uri="{3e2802c4-a4d2-4d8b-9148-e3be6c30e623}">
          <xlrd:rvb i="16204"/>
        </ext>
      </extLst>
    </bk>
    <bk>
      <extLst>
        <ext uri="{3e2802c4-a4d2-4d8b-9148-e3be6c30e623}">
          <xlrd:rvb i="16205"/>
        </ext>
      </extLst>
    </bk>
    <bk>
      <extLst>
        <ext uri="{3e2802c4-a4d2-4d8b-9148-e3be6c30e623}">
          <xlrd:rvb i="16206"/>
        </ext>
      </extLst>
    </bk>
    <bk>
      <extLst>
        <ext uri="{3e2802c4-a4d2-4d8b-9148-e3be6c30e623}">
          <xlrd:rvb i="16207"/>
        </ext>
      </extLst>
    </bk>
    <bk>
      <extLst>
        <ext uri="{3e2802c4-a4d2-4d8b-9148-e3be6c30e623}">
          <xlrd:rvb i="16208"/>
        </ext>
      </extLst>
    </bk>
    <bk>
      <extLst>
        <ext uri="{3e2802c4-a4d2-4d8b-9148-e3be6c30e623}">
          <xlrd:rvb i="16209"/>
        </ext>
      </extLst>
    </bk>
    <bk>
      <extLst>
        <ext uri="{3e2802c4-a4d2-4d8b-9148-e3be6c30e623}">
          <xlrd:rvb i="16210"/>
        </ext>
      </extLst>
    </bk>
    <bk>
      <extLst>
        <ext uri="{3e2802c4-a4d2-4d8b-9148-e3be6c30e623}">
          <xlrd:rvb i="16211"/>
        </ext>
      </extLst>
    </bk>
    <bk>
      <extLst>
        <ext uri="{3e2802c4-a4d2-4d8b-9148-e3be6c30e623}">
          <xlrd:rvb i="16212"/>
        </ext>
      </extLst>
    </bk>
    <bk>
      <extLst>
        <ext uri="{3e2802c4-a4d2-4d8b-9148-e3be6c30e623}">
          <xlrd:rvb i="16213"/>
        </ext>
      </extLst>
    </bk>
    <bk>
      <extLst>
        <ext uri="{3e2802c4-a4d2-4d8b-9148-e3be6c30e623}">
          <xlrd:rvb i="16214"/>
        </ext>
      </extLst>
    </bk>
    <bk>
      <extLst>
        <ext uri="{3e2802c4-a4d2-4d8b-9148-e3be6c30e623}">
          <xlrd:rvb i="16215"/>
        </ext>
      </extLst>
    </bk>
    <bk>
      <extLst>
        <ext uri="{3e2802c4-a4d2-4d8b-9148-e3be6c30e623}">
          <xlrd:rvb i="16216"/>
        </ext>
      </extLst>
    </bk>
    <bk>
      <extLst>
        <ext uri="{3e2802c4-a4d2-4d8b-9148-e3be6c30e623}">
          <xlrd:rvb i="16217"/>
        </ext>
      </extLst>
    </bk>
    <bk>
      <extLst>
        <ext uri="{3e2802c4-a4d2-4d8b-9148-e3be6c30e623}">
          <xlrd:rvb i="16218"/>
        </ext>
      </extLst>
    </bk>
    <bk>
      <extLst>
        <ext uri="{3e2802c4-a4d2-4d8b-9148-e3be6c30e623}">
          <xlrd:rvb i="16219"/>
        </ext>
      </extLst>
    </bk>
    <bk>
      <extLst>
        <ext uri="{3e2802c4-a4d2-4d8b-9148-e3be6c30e623}">
          <xlrd:rvb i="16220"/>
        </ext>
      </extLst>
    </bk>
    <bk>
      <extLst>
        <ext uri="{3e2802c4-a4d2-4d8b-9148-e3be6c30e623}">
          <xlrd:rvb i="16221"/>
        </ext>
      </extLst>
    </bk>
    <bk>
      <extLst>
        <ext uri="{3e2802c4-a4d2-4d8b-9148-e3be6c30e623}">
          <xlrd:rvb i="16222"/>
        </ext>
      </extLst>
    </bk>
    <bk>
      <extLst>
        <ext uri="{3e2802c4-a4d2-4d8b-9148-e3be6c30e623}">
          <xlrd:rvb i="16223"/>
        </ext>
      </extLst>
    </bk>
    <bk>
      <extLst>
        <ext uri="{3e2802c4-a4d2-4d8b-9148-e3be6c30e623}">
          <xlrd:rvb i="16224"/>
        </ext>
      </extLst>
    </bk>
    <bk>
      <extLst>
        <ext uri="{3e2802c4-a4d2-4d8b-9148-e3be6c30e623}">
          <xlrd:rvb i="16225"/>
        </ext>
      </extLst>
    </bk>
    <bk>
      <extLst>
        <ext uri="{3e2802c4-a4d2-4d8b-9148-e3be6c30e623}">
          <xlrd:rvb i="16226"/>
        </ext>
      </extLst>
    </bk>
    <bk>
      <extLst>
        <ext uri="{3e2802c4-a4d2-4d8b-9148-e3be6c30e623}">
          <xlrd:rvb i="16227"/>
        </ext>
      </extLst>
    </bk>
    <bk>
      <extLst>
        <ext uri="{3e2802c4-a4d2-4d8b-9148-e3be6c30e623}">
          <xlrd:rvb i="16228"/>
        </ext>
      </extLst>
    </bk>
    <bk>
      <extLst>
        <ext uri="{3e2802c4-a4d2-4d8b-9148-e3be6c30e623}">
          <xlrd:rvb i="16229"/>
        </ext>
      </extLst>
    </bk>
    <bk>
      <extLst>
        <ext uri="{3e2802c4-a4d2-4d8b-9148-e3be6c30e623}">
          <xlrd:rvb i="16230"/>
        </ext>
      </extLst>
    </bk>
    <bk>
      <extLst>
        <ext uri="{3e2802c4-a4d2-4d8b-9148-e3be6c30e623}">
          <xlrd:rvb i="16231"/>
        </ext>
      </extLst>
    </bk>
    <bk>
      <extLst>
        <ext uri="{3e2802c4-a4d2-4d8b-9148-e3be6c30e623}">
          <xlrd:rvb i="16232"/>
        </ext>
      </extLst>
    </bk>
    <bk>
      <extLst>
        <ext uri="{3e2802c4-a4d2-4d8b-9148-e3be6c30e623}">
          <xlrd:rvb i="16233"/>
        </ext>
      </extLst>
    </bk>
    <bk>
      <extLst>
        <ext uri="{3e2802c4-a4d2-4d8b-9148-e3be6c30e623}">
          <xlrd:rvb i="16234"/>
        </ext>
      </extLst>
    </bk>
    <bk>
      <extLst>
        <ext uri="{3e2802c4-a4d2-4d8b-9148-e3be6c30e623}">
          <xlrd:rvb i="16235"/>
        </ext>
      </extLst>
    </bk>
    <bk>
      <extLst>
        <ext uri="{3e2802c4-a4d2-4d8b-9148-e3be6c30e623}">
          <xlrd:rvb i="16236"/>
        </ext>
      </extLst>
    </bk>
    <bk>
      <extLst>
        <ext uri="{3e2802c4-a4d2-4d8b-9148-e3be6c30e623}">
          <xlrd:rvb i="16237"/>
        </ext>
      </extLst>
    </bk>
    <bk>
      <extLst>
        <ext uri="{3e2802c4-a4d2-4d8b-9148-e3be6c30e623}">
          <xlrd:rvb i="16238"/>
        </ext>
      </extLst>
    </bk>
    <bk>
      <extLst>
        <ext uri="{3e2802c4-a4d2-4d8b-9148-e3be6c30e623}">
          <xlrd:rvb i="16239"/>
        </ext>
      </extLst>
    </bk>
    <bk>
      <extLst>
        <ext uri="{3e2802c4-a4d2-4d8b-9148-e3be6c30e623}">
          <xlrd:rvb i="16240"/>
        </ext>
      </extLst>
    </bk>
    <bk>
      <extLst>
        <ext uri="{3e2802c4-a4d2-4d8b-9148-e3be6c30e623}">
          <xlrd:rvb i="16241"/>
        </ext>
      </extLst>
    </bk>
    <bk>
      <extLst>
        <ext uri="{3e2802c4-a4d2-4d8b-9148-e3be6c30e623}">
          <xlrd:rvb i="16242"/>
        </ext>
      </extLst>
    </bk>
    <bk>
      <extLst>
        <ext uri="{3e2802c4-a4d2-4d8b-9148-e3be6c30e623}">
          <xlrd:rvb i="16243"/>
        </ext>
      </extLst>
    </bk>
    <bk>
      <extLst>
        <ext uri="{3e2802c4-a4d2-4d8b-9148-e3be6c30e623}">
          <xlrd:rvb i="16244"/>
        </ext>
      </extLst>
    </bk>
    <bk>
      <extLst>
        <ext uri="{3e2802c4-a4d2-4d8b-9148-e3be6c30e623}">
          <xlrd:rvb i="16245"/>
        </ext>
      </extLst>
    </bk>
    <bk>
      <extLst>
        <ext uri="{3e2802c4-a4d2-4d8b-9148-e3be6c30e623}">
          <xlrd:rvb i="16246"/>
        </ext>
      </extLst>
    </bk>
    <bk>
      <extLst>
        <ext uri="{3e2802c4-a4d2-4d8b-9148-e3be6c30e623}">
          <xlrd:rvb i="16247"/>
        </ext>
      </extLst>
    </bk>
    <bk>
      <extLst>
        <ext uri="{3e2802c4-a4d2-4d8b-9148-e3be6c30e623}">
          <xlrd:rvb i="16248"/>
        </ext>
      </extLst>
    </bk>
    <bk>
      <extLst>
        <ext uri="{3e2802c4-a4d2-4d8b-9148-e3be6c30e623}">
          <xlrd:rvb i="16249"/>
        </ext>
      </extLst>
    </bk>
    <bk>
      <extLst>
        <ext uri="{3e2802c4-a4d2-4d8b-9148-e3be6c30e623}">
          <xlrd:rvb i="16250"/>
        </ext>
      </extLst>
    </bk>
    <bk>
      <extLst>
        <ext uri="{3e2802c4-a4d2-4d8b-9148-e3be6c30e623}">
          <xlrd:rvb i="16251"/>
        </ext>
      </extLst>
    </bk>
    <bk>
      <extLst>
        <ext uri="{3e2802c4-a4d2-4d8b-9148-e3be6c30e623}">
          <xlrd:rvb i="16252"/>
        </ext>
      </extLst>
    </bk>
    <bk>
      <extLst>
        <ext uri="{3e2802c4-a4d2-4d8b-9148-e3be6c30e623}">
          <xlrd:rvb i="16253"/>
        </ext>
      </extLst>
    </bk>
    <bk>
      <extLst>
        <ext uri="{3e2802c4-a4d2-4d8b-9148-e3be6c30e623}">
          <xlrd:rvb i="16254"/>
        </ext>
      </extLst>
    </bk>
    <bk>
      <extLst>
        <ext uri="{3e2802c4-a4d2-4d8b-9148-e3be6c30e623}">
          <xlrd:rvb i="16255"/>
        </ext>
      </extLst>
    </bk>
    <bk>
      <extLst>
        <ext uri="{3e2802c4-a4d2-4d8b-9148-e3be6c30e623}">
          <xlrd:rvb i="16256"/>
        </ext>
      </extLst>
    </bk>
    <bk>
      <extLst>
        <ext uri="{3e2802c4-a4d2-4d8b-9148-e3be6c30e623}">
          <xlrd:rvb i="16257"/>
        </ext>
      </extLst>
    </bk>
    <bk>
      <extLst>
        <ext uri="{3e2802c4-a4d2-4d8b-9148-e3be6c30e623}">
          <xlrd:rvb i="16258"/>
        </ext>
      </extLst>
    </bk>
    <bk>
      <extLst>
        <ext uri="{3e2802c4-a4d2-4d8b-9148-e3be6c30e623}">
          <xlrd:rvb i="16259"/>
        </ext>
      </extLst>
    </bk>
    <bk>
      <extLst>
        <ext uri="{3e2802c4-a4d2-4d8b-9148-e3be6c30e623}">
          <xlrd:rvb i="16260"/>
        </ext>
      </extLst>
    </bk>
    <bk>
      <extLst>
        <ext uri="{3e2802c4-a4d2-4d8b-9148-e3be6c30e623}">
          <xlrd:rvb i="16261"/>
        </ext>
      </extLst>
    </bk>
    <bk>
      <extLst>
        <ext uri="{3e2802c4-a4d2-4d8b-9148-e3be6c30e623}">
          <xlrd:rvb i="16262"/>
        </ext>
      </extLst>
    </bk>
    <bk>
      <extLst>
        <ext uri="{3e2802c4-a4d2-4d8b-9148-e3be6c30e623}">
          <xlrd:rvb i="16263"/>
        </ext>
      </extLst>
    </bk>
    <bk>
      <extLst>
        <ext uri="{3e2802c4-a4d2-4d8b-9148-e3be6c30e623}">
          <xlrd:rvb i="16264"/>
        </ext>
      </extLst>
    </bk>
    <bk>
      <extLst>
        <ext uri="{3e2802c4-a4d2-4d8b-9148-e3be6c30e623}">
          <xlrd:rvb i="16265"/>
        </ext>
      </extLst>
    </bk>
    <bk>
      <extLst>
        <ext uri="{3e2802c4-a4d2-4d8b-9148-e3be6c30e623}">
          <xlrd:rvb i="16266"/>
        </ext>
      </extLst>
    </bk>
    <bk>
      <extLst>
        <ext uri="{3e2802c4-a4d2-4d8b-9148-e3be6c30e623}">
          <xlrd:rvb i="16267"/>
        </ext>
      </extLst>
    </bk>
    <bk>
      <extLst>
        <ext uri="{3e2802c4-a4d2-4d8b-9148-e3be6c30e623}">
          <xlrd:rvb i="16268"/>
        </ext>
      </extLst>
    </bk>
    <bk>
      <extLst>
        <ext uri="{3e2802c4-a4d2-4d8b-9148-e3be6c30e623}">
          <xlrd:rvb i="16269"/>
        </ext>
      </extLst>
    </bk>
    <bk>
      <extLst>
        <ext uri="{3e2802c4-a4d2-4d8b-9148-e3be6c30e623}">
          <xlrd:rvb i="16270"/>
        </ext>
      </extLst>
    </bk>
    <bk>
      <extLst>
        <ext uri="{3e2802c4-a4d2-4d8b-9148-e3be6c30e623}">
          <xlrd:rvb i="16271"/>
        </ext>
      </extLst>
    </bk>
    <bk>
      <extLst>
        <ext uri="{3e2802c4-a4d2-4d8b-9148-e3be6c30e623}">
          <xlrd:rvb i="16272"/>
        </ext>
      </extLst>
    </bk>
    <bk>
      <extLst>
        <ext uri="{3e2802c4-a4d2-4d8b-9148-e3be6c30e623}">
          <xlrd:rvb i="16273"/>
        </ext>
      </extLst>
    </bk>
    <bk>
      <extLst>
        <ext uri="{3e2802c4-a4d2-4d8b-9148-e3be6c30e623}">
          <xlrd:rvb i="16274"/>
        </ext>
      </extLst>
    </bk>
    <bk>
      <extLst>
        <ext uri="{3e2802c4-a4d2-4d8b-9148-e3be6c30e623}">
          <xlrd:rvb i="16275"/>
        </ext>
      </extLst>
    </bk>
    <bk>
      <extLst>
        <ext uri="{3e2802c4-a4d2-4d8b-9148-e3be6c30e623}">
          <xlrd:rvb i="16276"/>
        </ext>
      </extLst>
    </bk>
    <bk>
      <extLst>
        <ext uri="{3e2802c4-a4d2-4d8b-9148-e3be6c30e623}">
          <xlrd:rvb i="16277"/>
        </ext>
      </extLst>
    </bk>
    <bk>
      <extLst>
        <ext uri="{3e2802c4-a4d2-4d8b-9148-e3be6c30e623}">
          <xlrd:rvb i="16278"/>
        </ext>
      </extLst>
    </bk>
    <bk>
      <extLst>
        <ext uri="{3e2802c4-a4d2-4d8b-9148-e3be6c30e623}">
          <xlrd:rvb i="16279"/>
        </ext>
      </extLst>
    </bk>
    <bk>
      <extLst>
        <ext uri="{3e2802c4-a4d2-4d8b-9148-e3be6c30e623}">
          <xlrd:rvb i="16280"/>
        </ext>
      </extLst>
    </bk>
    <bk>
      <extLst>
        <ext uri="{3e2802c4-a4d2-4d8b-9148-e3be6c30e623}">
          <xlrd:rvb i="16281"/>
        </ext>
      </extLst>
    </bk>
    <bk>
      <extLst>
        <ext uri="{3e2802c4-a4d2-4d8b-9148-e3be6c30e623}">
          <xlrd:rvb i="16282"/>
        </ext>
      </extLst>
    </bk>
    <bk>
      <extLst>
        <ext uri="{3e2802c4-a4d2-4d8b-9148-e3be6c30e623}">
          <xlrd:rvb i="16283"/>
        </ext>
      </extLst>
    </bk>
    <bk>
      <extLst>
        <ext uri="{3e2802c4-a4d2-4d8b-9148-e3be6c30e623}">
          <xlrd:rvb i="16284"/>
        </ext>
      </extLst>
    </bk>
    <bk>
      <extLst>
        <ext uri="{3e2802c4-a4d2-4d8b-9148-e3be6c30e623}">
          <xlrd:rvb i="16285"/>
        </ext>
      </extLst>
    </bk>
    <bk>
      <extLst>
        <ext uri="{3e2802c4-a4d2-4d8b-9148-e3be6c30e623}">
          <xlrd:rvb i="16286"/>
        </ext>
      </extLst>
    </bk>
    <bk>
      <extLst>
        <ext uri="{3e2802c4-a4d2-4d8b-9148-e3be6c30e623}">
          <xlrd:rvb i="16287"/>
        </ext>
      </extLst>
    </bk>
    <bk>
      <extLst>
        <ext uri="{3e2802c4-a4d2-4d8b-9148-e3be6c30e623}">
          <xlrd:rvb i="16288"/>
        </ext>
      </extLst>
    </bk>
    <bk>
      <extLst>
        <ext uri="{3e2802c4-a4d2-4d8b-9148-e3be6c30e623}">
          <xlrd:rvb i="16289"/>
        </ext>
      </extLst>
    </bk>
    <bk>
      <extLst>
        <ext uri="{3e2802c4-a4d2-4d8b-9148-e3be6c30e623}">
          <xlrd:rvb i="16290"/>
        </ext>
      </extLst>
    </bk>
    <bk>
      <extLst>
        <ext uri="{3e2802c4-a4d2-4d8b-9148-e3be6c30e623}">
          <xlrd:rvb i="16291"/>
        </ext>
      </extLst>
    </bk>
    <bk>
      <extLst>
        <ext uri="{3e2802c4-a4d2-4d8b-9148-e3be6c30e623}">
          <xlrd:rvb i="16292"/>
        </ext>
      </extLst>
    </bk>
    <bk>
      <extLst>
        <ext uri="{3e2802c4-a4d2-4d8b-9148-e3be6c30e623}">
          <xlrd:rvb i="16293"/>
        </ext>
      </extLst>
    </bk>
    <bk>
      <extLst>
        <ext uri="{3e2802c4-a4d2-4d8b-9148-e3be6c30e623}">
          <xlrd:rvb i="16294"/>
        </ext>
      </extLst>
    </bk>
    <bk>
      <extLst>
        <ext uri="{3e2802c4-a4d2-4d8b-9148-e3be6c30e623}">
          <xlrd:rvb i="16295"/>
        </ext>
      </extLst>
    </bk>
    <bk>
      <extLst>
        <ext uri="{3e2802c4-a4d2-4d8b-9148-e3be6c30e623}">
          <xlrd:rvb i="16296"/>
        </ext>
      </extLst>
    </bk>
    <bk>
      <extLst>
        <ext uri="{3e2802c4-a4d2-4d8b-9148-e3be6c30e623}">
          <xlrd:rvb i="16297"/>
        </ext>
      </extLst>
    </bk>
    <bk>
      <extLst>
        <ext uri="{3e2802c4-a4d2-4d8b-9148-e3be6c30e623}">
          <xlrd:rvb i="16298"/>
        </ext>
      </extLst>
    </bk>
    <bk>
      <extLst>
        <ext uri="{3e2802c4-a4d2-4d8b-9148-e3be6c30e623}">
          <xlrd:rvb i="16299"/>
        </ext>
      </extLst>
    </bk>
    <bk>
      <extLst>
        <ext uri="{3e2802c4-a4d2-4d8b-9148-e3be6c30e623}">
          <xlrd:rvb i="16300"/>
        </ext>
      </extLst>
    </bk>
    <bk>
      <extLst>
        <ext uri="{3e2802c4-a4d2-4d8b-9148-e3be6c30e623}">
          <xlrd:rvb i="16301"/>
        </ext>
      </extLst>
    </bk>
    <bk>
      <extLst>
        <ext uri="{3e2802c4-a4d2-4d8b-9148-e3be6c30e623}">
          <xlrd:rvb i="16302"/>
        </ext>
      </extLst>
    </bk>
    <bk>
      <extLst>
        <ext uri="{3e2802c4-a4d2-4d8b-9148-e3be6c30e623}">
          <xlrd:rvb i="16303"/>
        </ext>
      </extLst>
    </bk>
    <bk>
      <extLst>
        <ext uri="{3e2802c4-a4d2-4d8b-9148-e3be6c30e623}">
          <xlrd:rvb i="16304"/>
        </ext>
      </extLst>
    </bk>
    <bk>
      <extLst>
        <ext uri="{3e2802c4-a4d2-4d8b-9148-e3be6c30e623}">
          <xlrd:rvb i="16305"/>
        </ext>
      </extLst>
    </bk>
    <bk>
      <extLst>
        <ext uri="{3e2802c4-a4d2-4d8b-9148-e3be6c30e623}">
          <xlrd:rvb i="16306"/>
        </ext>
      </extLst>
    </bk>
    <bk>
      <extLst>
        <ext uri="{3e2802c4-a4d2-4d8b-9148-e3be6c30e623}">
          <xlrd:rvb i="16307"/>
        </ext>
      </extLst>
    </bk>
    <bk>
      <extLst>
        <ext uri="{3e2802c4-a4d2-4d8b-9148-e3be6c30e623}">
          <xlrd:rvb i="16308"/>
        </ext>
      </extLst>
    </bk>
    <bk>
      <extLst>
        <ext uri="{3e2802c4-a4d2-4d8b-9148-e3be6c30e623}">
          <xlrd:rvb i="16309"/>
        </ext>
      </extLst>
    </bk>
    <bk>
      <extLst>
        <ext uri="{3e2802c4-a4d2-4d8b-9148-e3be6c30e623}">
          <xlrd:rvb i="16310"/>
        </ext>
      </extLst>
    </bk>
    <bk>
      <extLst>
        <ext uri="{3e2802c4-a4d2-4d8b-9148-e3be6c30e623}">
          <xlrd:rvb i="16311"/>
        </ext>
      </extLst>
    </bk>
    <bk>
      <extLst>
        <ext uri="{3e2802c4-a4d2-4d8b-9148-e3be6c30e623}">
          <xlrd:rvb i="16312"/>
        </ext>
      </extLst>
    </bk>
    <bk>
      <extLst>
        <ext uri="{3e2802c4-a4d2-4d8b-9148-e3be6c30e623}">
          <xlrd:rvb i="16313"/>
        </ext>
      </extLst>
    </bk>
    <bk>
      <extLst>
        <ext uri="{3e2802c4-a4d2-4d8b-9148-e3be6c30e623}">
          <xlrd:rvb i="16314"/>
        </ext>
      </extLst>
    </bk>
    <bk>
      <extLst>
        <ext uri="{3e2802c4-a4d2-4d8b-9148-e3be6c30e623}">
          <xlrd:rvb i="16315"/>
        </ext>
      </extLst>
    </bk>
    <bk>
      <extLst>
        <ext uri="{3e2802c4-a4d2-4d8b-9148-e3be6c30e623}">
          <xlrd:rvb i="16316"/>
        </ext>
      </extLst>
    </bk>
    <bk>
      <extLst>
        <ext uri="{3e2802c4-a4d2-4d8b-9148-e3be6c30e623}">
          <xlrd:rvb i="16317"/>
        </ext>
      </extLst>
    </bk>
    <bk>
      <extLst>
        <ext uri="{3e2802c4-a4d2-4d8b-9148-e3be6c30e623}">
          <xlrd:rvb i="16318"/>
        </ext>
      </extLst>
    </bk>
    <bk>
      <extLst>
        <ext uri="{3e2802c4-a4d2-4d8b-9148-e3be6c30e623}">
          <xlrd:rvb i="16319"/>
        </ext>
      </extLst>
    </bk>
    <bk>
      <extLst>
        <ext uri="{3e2802c4-a4d2-4d8b-9148-e3be6c30e623}">
          <xlrd:rvb i="16320"/>
        </ext>
      </extLst>
    </bk>
    <bk>
      <extLst>
        <ext uri="{3e2802c4-a4d2-4d8b-9148-e3be6c30e623}">
          <xlrd:rvb i="16321"/>
        </ext>
      </extLst>
    </bk>
    <bk>
      <extLst>
        <ext uri="{3e2802c4-a4d2-4d8b-9148-e3be6c30e623}">
          <xlrd:rvb i="16322"/>
        </ext>
      </extLst>
    </bk>
    <bk>
      <extLst>
        <ext uri="{3e2802c4-a4d2-4d8b-9148-e3be6c30e623}">
          <xlrd:rvb i="16323"/>
        </ext>
      </extLst>
    </bk>
    <bk>
      <extLst>
        <ext uri="{3e2802c4-a4d2-4d8b-9148-e3be6c30e623}">
          <xlrd:rvb i="16324"/>
        </ext>
      </extLst>
    </bk>
    <bk>
      <extLst>
        <ext uri="{3e2802c4-a4d2-4d8b-9148-e3be6c30e623}">
          <xlrd:rvb i="16325"/>
        </ext>
      </extLst>
    </bk>
    <bk>
      <extLst>
        <ext uri="{3e2802c4-a4d2-4d8b-9148-e3be6c30e623}">
          <xlrd:rvb i="16326"/>
        </ext>
      </extLst>
    </bk>
    <bk>
      <extLst>
        <ext uri="{3e2802c4-a4d2-4d8b-9148-e3be6c30e623}">
          <xlrd:rvb i="16327"/>
        </ext>
      </extLst>
    </bk>
    <bk>
      <extLst>
        <ext uri="{3e2802c4-a4d2-4d8b-9148-e3be6c30e623}">
          <xlrd:rvb i="16328"/>
        </ext>
      </extLst>
    </bk>
    <bk>
      <extLst>
        <ext uri="{3e2802c4-a4d2-4d8b-9148-e3be6c30e623}">
          <xlrd:rvb i="16329"/>
        </ext>
      </extLst>
    </bk>
    <bk>
      <extLst>
        <ext uri="{3e2802c4-a4d2-4d8b-9148-e3be6c30e623}">
          <xlrd:rvb i="16330"/>
        </ext>
      </extLst>
    </bk>
    <bk>
      <extLst>
        <ext uri="{3e2802c4-a4d2-4d8b-9148-e3be6c30e623}">
          <xlrd:rvb i="16331"/>
        </ext>
      </extLst>
    </bk>
    <bk>
      <extLst>
        <ext uri="{3e2802c4-a4d2-4d8b-9148-e3be6c30e623}">
          <xlrd:rvb i="16332"/>
        </ext>
      </extLst>
    </bk>
    <bk>
      <extLst>
        <ext uri="{3e2802c4-a4d2-4d8b-9148-e3be6c30e623}">
          <xlrd:rvb i="16333"/>
        </ext>
      </extLst>
    </bk>
    <bk>
      <extLst>
        <ext uri="{3e2802c4-a4d2-4d8b-9148-e3be6c30e623}">
          <xlrd:rvb i="16334"/>
        </ext>
      </extLst>
    </bk>
    <bk>
      <extLst>
        <ext uri="{3e2802c4-a4d2-4d8b-9148-e3be6c30e623}">
          <xlrd:rvb i="16335"/>
        </ext>
      </extLst>
    </bk>
    <bk>
      <extLst>
        <ext uri="{3e2802c4-a4d2-4d8b-9148-e3be6c30e623}">
          <xlrd:rvb i="16336"/>
        </ext>
      </extLst>
    </bk>
    <bk>
      <extLst>
        <ext uri="{3e2802c4-a4d2-4d8b-9148-e3be6c30e623}">
          <xlrd:rvb i="16337"/>
        </ext>
      </extLst>
    </bk>
    <bk>
      <extLst>
        <ext uri="{3e2802c4-a4d2-4d8b-9148-e3be6c30e623}">
          <xlrd:rvb i="16338"/>
        </ext>
      </extLst>
    </bk>
    <bk>
      <extLst>
        <ext uri="{3e2802c4-a4d2-4d8b-9148-e3be6c30e623}">
          <xlrd:rvb i="16339"/>
        </ext>
      </extLst>
    </bk>
    <bk>
      <extLst>
        <ext uri="{3e2802c4-a4d2-4d8b-9148-e3be6c30e623}">
          <xlrd:rvb i="16340"/>
        </ext>
      </extLst>
    </bk>
    <bk>
      <extLst>
        <ext uri="{3e2802c4-a4d2-4d8b-9148-e3be6c30e623}">
          <xlrd:rvb i="16341"/>
        </ext>
      </extLst>
    </bk>
    <bk>
      <extLst>
        <ext uri="{3e2802c4-a4d2-4d8b-9148-e3be6c30e623}">
          <xlrd:rvb i="16342"/>
        </ext>
      </extLst>
    </bk>
    <bk>
      <extLst>
        <ext uri="{3e2802c4-a4d2-4d8b-9148-e3be6c30e623}">
          <xlrd:rvb i="16343"/>
        </ext>
      </extLst>
    </bk>
    <bk>
      <extLst>
        <ext uri="{3e2802c4-a4d2-4d8b-9148-e3be6c30e623}">
          <xlrd:rvb i="16344"/>
        </ext>
      </extLst>
    </bk>
    <bk>
      <extLst>
        <ext uri="{3e2802c4-a4d2-4d8b-9148-e3be6c30e623}">
          <xlrd:rvb i="16345"/>
        </ext>
      </extLst>
    </bk>
    <bk>
      <extLst>
        <ext uri="{3e2802c4-a4d2-4d8b-9148-e3be6c30e623}">
          <xlrd:rvb i="16346"/>
        </ext>
      </extLst>
    </bk>
    <bk>
      <extLst>
        <ext uri="{3e2802c4-a4d2-4d8b-9148-e3be6c30e623}">
          <xlrd:rvb i="16347"/>
        </ext>
      </extLst>
    </bk>
    <bk>
      <extLst>
        <ext uri="{3e2802c4-a4d2-4d8b-9148-e3be6c30e623}">
          <xlrd:rvb i="16348"/>
        </ext>
      </extLst>
    </bk>
    <bk>
      <extLst>
        <ext uri="{3e2802c4-a4d2-4d8b-9148-e3be6c30e623}">
          <xlrd:rvb i="16349"/>
        </ext>
      </extLst>
    </bk>
    <bk>
      <extLst>
        <ext uri="{3e2802c4-a4d2-4d8b-9148-e3be6c30e623}">
          <xlrd:rvb i="16350"/>
        </ext>
      </extLst>
    </bk>
    <bk>
      <extLst>
        <ext uri="{3e2802c4-a4d2-4d8b-9148-e3be6c30e623}">
          <xlrd:rvb i="16351"/>
        </ext>
      </extLst>
    </bk>
    <bk>
      <extLst>
        <ext uri="{3e2802c4-a4d2-4d8b-9148-e3be6c30e623}">
          <xlrd:rvb i="16352"/>
        </ext>
      </extLst>
    </bk>
    <bk>
      <extLst>
        <ext uri="{3e2802c4-a4d2-4d8b-9148-e3be6c30e623}">
          <xlrd:rvb i="16353"/>
        </ext>
      </extLst>
    </bk>
    <bk>
      <extLst>
        <ext uri="{3e2802c4-a4d2-4d8b-9148-e3be6c30e623}">
          <xlrd:rvb i="16354"/>
        </ext>
      </extLst>
    </bk>
    <bk>
      <extLst>
        <ext uri="{3e2802c4-a4d2-4d8b-9148-e3be6c30e623}">
          <xlrd:rvb i="16355"/>
        </ext>
      </extLst>
    </bk>
    <bk>
      <extLst>
        <ext uri="{3e2802c4-a4d2-4d8b-9148-e3be6c30e623}">
          <xlrd:rvb i="16356"/>
        </ext>
      </extLst>
    </bk>
    <bk>
      <extLst>
        <ext uri="{3e2802c4-a4d2-4d8b-9148-e3be6c30e623}">
          <xlrd:rvb i="16357"/>
        </ext>
      </extLst>
    </bk>
    <bk>
      <extLst>
        <ext uri="{3e2802c4-a4d2-4d8b-9148-e3be6c30e623}">
          <xlrd:rvb i="16358"/>
        </ext>
      </extLst>
    </bk>
    <bk>
      <extLst>
        <ext uri="{3e2802c4-a4d2-4d8b-9148-e3be6c30e623}">
          <xlrd:rvb i="16359"/>
        </ext>
      </extLst>
    </bk>
    <bk>
      <extLst>
        <ext uri="{3e2802c4-a4d2-4d8b-9148-e3be6c30e623}">
          <xlrd:rvb i="16360"/>
        </ext>
      </extLst>
    </bk>
    <bk>
      <extLst>
        <ext uri="{3e2802c4-a4d2-4d8b-9148-e3be6c30e623}">
          <xlrd:rvb i="16361"/>
        </ext>
      </extLst>
    </bk>
    <bk>
      <extLst>
        <ext uri="{3e2802c4-a4d2-4d8b-9148-e3be6c30e623}">
          <xlrd:rvb i="16362"/>
        </ext>
      </extLst>
    </bk>
    <bk>
      <extLst>
        <ext uri="{3e2802c4-a4d2-4d8b-9148-e3be6c30e623}">
          <xlrd:rvb i="16363"/>
        </ext>
      </extLst>
    </bk>
    <bk>
      <extLst>
        <ext uri="{3e2802c4-a4d2-4d8b-9148-e3be6c30e623}">
          <xlrd:rvb i="16364"/>
        </ext>
      </extLst>
    </bk>
    <bk>
      <extLst>
        <ext uri="{3e2802c4-a4d2-4d8b-9148-e3be6c30e623}">
          <xlrd:rvb i="16365"/>
        </ext>
      </extLst>
    </bk>
    <bk>
      <extLst>
        <ext uri="{3e2802c4-a4d2-4d8b-9148-e3be6c30e623}">
          <xlrd:rvb i="16366"/>
        </ext>
      </extLst>
    </bk>
    <bk>
      <extLst>
        <ext uri="{3e2802c4-a4d2-4d8b-9148-e3be6c30e623}">
          <xlrd:rvb i="16367"/>
        </ext>
      </extLst>
    </bk>
    <bk>
      <extLst>
        <ext uri="{3e2802c4-a4d2-4d8b-9148-e3be6c30e623}">
          <xlrd:rvb i="16368"/>
        </ext>
      </extLst>
    </bk>
    <bk>
      <extLst>
        <ext uri="{3e2802c4-a4d2-4d8b-9148-e3be6c30e623}">
          <xlrd:rvb i="16369"/>
        </ext>
      </extLst>
    </bk>
    <bk>
      <extLst>
        <ext uri="{3e2802c4-a4d2-4d8b-9148-e3be6c30e623}">
          <xlrd:rvb i="16370"/>
        </ext>
      </extLst>
    </bk>
    <bk>
      <extLst>
        <ext uri="{3e2802c4-a4d2-4d8b-9148-e3be6c30e623}">
          <xlrd:rvb i="16371"/>
        </ext>
      </extLst>
    </bk>
    <bk>
      <extLst>
        <ext uri="{3e2802c4-a4d2-4d8b-9148-e3be6c30e623}">
          <xlrd:rvb i="16372"/>
        </ext>
      </extLst>
    </bk>
    <bk>
      <extLst>
        <ext uri="{3e2802c4-a4d2-4d8b-9148-e3be6c30e623}">
          <xlrd:rvb i="16373"/>
        </ext>
      </extLst>
    </bk>
    <bk>
      <extLst>
        <ext uri="{3e2802c4-a4d2-4d8b-9148-e3be6c30e623}">
          <xlrd:rvb i="16374"/>
        </ext>
      </extLst>
    </bk>
    <bk>
      <extLst>
        <ext uri="{3e2802c4-a4d2-4d8b-9148-e3be6c30e623}">
          <xlrd:rvb i="16375"/>
        </ext>
      </extLst>
    </bk>
    <bk>
      <extLst>
        <ext uri="{3e2802c4-a4d2-4d8b-9148-e3be6c30e623}">
          <xlrd:rvb i="16376"/>
        </ext>
      </extLst>
    </bk>
    <bk>
      <extLst>
        <ext uri="{3e2802c4-a4d2-4d8b-9148-e3be6c30e623}">
          <xlrd:rvb i="16377"/>
        </ext>
      </extLst>
    </bk>
    <bk>
      <extLst>
        <ext uri="{3e2802c4-a4d2-4d8b-9148-e3be6c30e623}">
          <xlrd:rvb i="16378"/>
        </ext>
      </extLst>
    </bk>
    <bk>
      <extLst>
        <ext uri="{3e2802c4-a4d2-4d8b-9148-e3be6c30e623}">
          <xlrd:rvb i="16379"/>
        </ext>
      </extLst>
    </bk>
    <bk>
      <extLst>
        <ext uri="{3e2802c4-a4d2-4d8b-9148-e3be6c30e623}">
          <xlrd:rvb i="16380"/>
        </ext>
      </extLst>
    </bk>
    <bk>
      <extLst>
        <ext uri="{3e2802c4-a4d2-4d8b-9148-e3be6c30e623}">
          <xlrd:rvb i="16381"/>
        </ext>
      </extLst>
    </bk>
    <bk>
      <extLst>
        <ext uri="{3e2802c4-a4d2-4d8b-9148-e3be6c30e623}">
          <xlrd:rvb i="16382"/>
        </ext>
      </extLst>
    </bk>
    <bk>
      <extLst>
        <ext uri="{3e2802c4-a4d2-4d8b-9148-e3be6c30e623}">
          <xlrd:rvb i="16383"/>
        </ext>
      </extLst>
    </bk>
    <bk>
      <extLst>
        <ext uri="{3e2802c4-a4d2-4d8b-9148-e3be6c30e623}">
          <xlrd:rvb i="16384"/>
        </ext>
      </extLst>
    </bk>
    <bk>
      <extLst>
        <ext uri="{3e2802c4-a4d2-4d8b-9148-e3be6c30e623}">
          <xlrd:rvb i="16385"/>
        </ext>
      </extLst>
    </bk>
    <bk>
      <extLst>
        <ext uri="{3e2802c4-a4d2-4d8b-9148-e3be6c30e623}">
          <xlrd:rvb i="16386"/>
        </ext>
      </extLst>
    </bk>
    <bk>
      <extLst>
        <ext uri="{3e2802c4-a4d2-4d8b-9148-e3be6c30e623}">
          <xlrd:rvb i="16387"/>
        </ext>
      </extLst>
    </bk>
    <bk>
      <extLst>
        <ext uri="{3e2802c4-a4d2-4d8b-9148-e3be6c30e623}">
          <xlrd:rvb i="16388"/>
        </ext>
      </extLst>
    </bk>
    <bk>
      <extLst>
        <ext uri="{3e2802c4-a4d2-4d8b-9148-e3be6c30e623}">
          <xlrd:rvb i="16389"/>
        </ext>
      </extLst>
    </bk>
    <bk>
      <extLst>
        <ext uri="{3e2802c4-a4d2-4d8b-9148-e3be6c30e623}">
          <xlrd:rvb i="16390"/>
        </ext>
      </extLst>
    </bk>
    <bk>
      <extLst>
        <ext uri="{3e2802c4-a4d2-4d8b-9148-e3be6c30e623}">
          <xlrd:rvb i="16391"/>
        </ext>
      </extLst>
    </bk>
    <bk>
      <extLst>
        <ext uri="{3e2802c4-a4d2-4d8b-9148-e3be6c30e623}">
          <xlrd:rvb i="16392"/>
        </ext>
      </extLst>
    </bk>
    <bk>
      <extLst>
        <ext uri="{3e2802c4-a4d2-4d8b-9148-e3be6c30e623}">
          <xlrd:rvb i="16393"/>
        </ext>
      </extLst>
    </bk>
    <bk>
      <extLst>
        <ext uri="{3e2802c4-a4d2-4d8b-9148-e3be6c30e623}">
          <xlrd:rvb i="16394"/>
        </ext>
      </extLst>
    </bk>
    <bk>
      <extLst>
        <ext uri="{3e2802c4-a4d2-4d8b-9148-e3be6c30e623}">
          <xlrd:rvb i="16395"/>
        </ext>
      </extLst>
    </bk>
    <bk>
      <extLst>
        <ext uri="{3e2802c4-a4d2-4d8b-9148-e3be6c30e623}">
          <xlrd:rvb i="16396"/>
        </ext>
      </extLst>
    </bk>
    <bk>
      <extLst>
        <ext uri="{3e2802c4-a4d2-4d8b-9148-e3be6c30e623}">
          <xlrd:rvb i="16397"/>
        </ext>
      </extLst>
    </bk>
    <bk>
      <extLst>
        <ext uri="{3e2802c4-a4d2-4d8b-9148-e3be6c30e623}">
          <xlrd:rvb i="16398"/>
        </ext>
      </extLst>
    </bk>
    <bk>
      <extLst>
        <ext uri="{3e2802c4-a4d2-4d8b-9148-e3be6c30e623}">
          <xlrd:rvb i="16399"/>
        </ext>
      </extLst>
    </bk>
    <bk>
      <extLst>
        <ext uri="{3e2802c4-a4d2-4d8b-9148-e3be6c30e623}">
          <xlrd:rvb i="16400"/>
        </ext>
      </extLst>
    </bk>
    <bk>
      <extLst>
        <ext uri="{3e2802c4-a4d2-4d8b-9148-e3be6c30e623}">
          <xlrd:rvb i="16401"/>
        </ext>
      </extLst>
    </bk>
    <bk>
      <extLst>
        <ext uri="{3e2802c4-a4d2-4d8b-9148-e3be6c30e623}">
          <xlrd:rvb i="16402"/>
        </ext>
      </extLst>
    </bk>
    <bk>
      <extLst>
        <ext uri="{3e2802c4-a4d2-4d8b-9148-e3be6c30e623}">
          <xlrd:rvb i="16403"/>
        </ext>
      </extLst>
    </bk>
    <bk>
      <extLst>
        <ext uri="{3e2802c4-a4d2-4d8b-9148-e3be6c30e623}">
          <xlrd:rvb i="16404"/>
        </ext>
      </extLst>
    </bk>
    <bk>
      <extLst>
        <ext uri="{3e2802c4-a4d2-4d8b-9148-e3be6c30e623}">
          <xlrd:rvb i="16405"/>
        </ext>
      </extLst>
    </bk>
    <bk>
      <extLst>
        <ext uri="{3e2802c4-a4d2-4d8b-9148-e3be6c30e623}">
          <xlrd:rvb i="16406"/>
        </ext>
      </extLst>
    </bk>
    <bk>
      <extLst>
        <ext uri="{3e2802c4-a4d2-4d8b-9148-e3be6c30e623}">
          <xlrd:rvb i="16407"/>
        </ext>
      </extLst>
    </bk>
    <bk>
      <extLst>
        <ext uri="{3e2802c4-a4d2-4d8b-9148-e3be6c30e623}">
          <xlrd:rvb i="16408"/>
        </ext>
      </extLst>
    </bk>
    <bk>
      <extLst>
        <ext uri="{3e2802c4-a4d2-4d8b-9148-e3be6c30e623}">
          <xlrd:rvb i="16409"/>
        </ext>
      </extLst>
    </bk>
    <bk>
      <extLst>
        <ext uri="{3e2802c4-a4d2-4d8b-9148-e3be6c30e623}">
          <xlrd:rvb i="16410"/>
        </ext>
      </extLst>
    </bk>
    <bk>
      <extLst>
        <ext uri="{3e2802c4-a4d2-4d8b-9148-e3be6c30e623}">
          <xlrd:rvb i="16411"/>
        </ext>
      </extLst>
    </bk>
    <bk>
      <extLst>
        <ext uri="{3e2802c4-a4d2-4d8b-9148-e3be6c30e623}">
          <xlrd:rvb i="16412"/>
        </ext>
      </extLst>
    </bk>
    <bk>
      <extLst>
        <ext uri="{3e2802c4-a4d2-4d8b-9148-e3be6c30e623}">
          <xlrd:rvb i="16413"/>
        </ext>
      </extLst>
    </bk>
    <bk>
      <extLst>
        <ext uri="{3e2802c4-a4d2-4d8b-9148-e3be6c30e623}">
          <xlrd:rvb i="16414"/>
        </ext>
      </extLst>
    </bk>
    <bk>
      <extLst>
        <ext uri="{3e2802c4-a4d2-4d8b-9148-e3be6c30e623}">
          <xlrd:rvb i="16415"/>
        </ext>
      </extLst>
    </bk>
    <bk>
      <extLst>
        <ext uri="{3e2802c4-a4d2-4d8b-9148-e3be6c30e623}">
          <xlrd:rvb i="16416"/>
        </ext>
      </extLst>
    </bk>
    <bk>
      <extLst>
        <ext uri="{3e2802c4-a4d2-4d8b-9148-e3be6c30e623}">
          <xlrd:rvb i="16417"/>
        </ext>
      </extLst>
    </bk>
    <bk>
      <extLst>
        <ext uri="{3e2802c4-a4d2-4d8b-9148-e3be6c30e623}">
          <xlrd:rvb i="16418"/>
        </ext>
      </extLst>
    </bk>
    <bk>
      <extLst>
        <ext uri="{3e2802c4-a4d2-4d8b-9148-e3be6c30e623}">
          <xlrd:rvb i="16419"/>
        </ext>
      </extLst>
    </bk>
    <bk>
      <extLst>
        <ext uri="{3e2802c4-a4d2-4d8b-9148-e3be6c30e623}">
          <xlrd:rvb i="16420"/>
        </ext>
      </extLst>
    </bk>
    <bk>
      <extLst>
        <ext uri="{3e2802c4-a4d2-4d8b-9148-e3be6c30e623}">
          <xlrd:rvb i="16421"/>
        </ext>
      </extLst>
    </bk>
    <bk>
      <extLst>
        <ext uri="{3e2802c4-a4d2-4d8b-9148-e3be6c30e623}">
          <xlrd:rvb i="16422"/>
        </ext>
      </extLst>
    </bk>
    <bk>
      <extLst>
        <ext uri="{3e2802c4-a4d2-4d8b-9148-e3be6c30e623}">
          <xlrd:rvb i="16423"/>
        </ext>
      </extLst>
    </bk>
    <bk>
      <extLst>
        <ext uri="{3e2802c4-a4d2-4d8b-9148-e3be6c30e623}">
          <xlrd:rvb i="16424"/>
        </ext>
      </extLst>
    </bk>
    <bk>
      <extLst>
        <ext uri="{3e2802c4-a4d2-4d8b-9148-e3be6c30e623}">
          <xlrd:rvb i="16425"/>
        </ext>
      </extLst>
    </bk>
    <bk>
      <extLst>
        <ext uri="{3e2802c4-a4d2-4d8b-9148-e3be6c30e623}">
          <xlrd:rvb i="16426"/>
        </ext>
      </extLst>
    </bk>
    <bk>
      <extLst>
        <ext uri="{3e2802c4-a4d2-4d8b-9148-e3be6c30e623}">
          <xlrd:rvb i="16427"/>
        </ext>
      </extLst>
    </bk>
    <bk>
      <extLst>
        <ext uri="{3e2802c4-a4d2-4d8b-9148-e3be6c30e623}">
          <xlrd:rvb i="16428"/>
        </ext>
      </extLst>
    </bk>
    <bk>
      <extLst>
        <ext uri="{3e2802c4-a4d2-4d8b-9148-e3be6c30e623}">
          <xlrd:rvb i="16429"/>
        </ext>
      </extLst>
    </bk>
    <bk>
      <extLst>
        <ext uri="{3e2802c4-a4d2-4d8b-9148-e3be6c30e623}">
          <xlrd:rvb i="16430"/>
        </ext>
      </extLst>
    </bk>
    <bk>
      <extLst>
        <ext uri="{3e2802c4-a4d2-4d8b-9148-e3be6c30e623}">
          <xlrd:rvb i="16431"/>
        </ext>
      </extLst>
    </bk>
    <bk>
      <extLst>
        <ext uri="{3e2802c4-a4d2-4d8b-9148-e3be6c30e623}">
          <xlrd:rvb i="16432"/>
        </ext>
      </extLst>
    </bk>
    <bk>
      <extLst>
        <ext uri="{3e2802c4-a4d2-4d8b-9148-e3be6c30e623}">
          <xlrd:rvb i="16433"/>
        </ext>
      </extLst>
    </bk>
    <bk>
      <extLst>
        <ext uri="{3e2802c4-a4d2-4d8b-9148-e3be6c30e623}">
          <xlrd:rvb i="16434"/>
        </ext>
      </extLst>
    </bk>
    <bk>
      <extLst>
        <ext uri="{3e2802c4-a4d2-4d8b-9148-e3be6c30e623}">
          <xlrd:rvb i="16435"/>
        </ext>
      </extLst>
    </bk>
    <bk>
      <extLst>
        <ext uri="{3e2802c4-a4d2-4d8b-9148-e3be6c30e623}">
          <xlrd:rvb i="16436"/>
        </ext>
      </extLst>
    </bk>
    <bk>
      <extLst>
        <ext uri="{3e2802c4-a4d2-4d8b-9148-e3be6c30e623}">
          <xlrd:rvb i="16437"/>
        </ext>
      </extLst>
    </bk>
    <bk>
      <extLst>
        <ext uri="{3e2802c4-a4d2-4d8b-9148-e3be6c30e623}">
          <xlrd:rvb i="16438"/>
        </ext>
      </extLst>
    </bk>
    <bk>
      <extLst>
        <ext uri="{3e2802c4-a4d2-4d8b-9148-e3be6c30e623}">
          <xlrd:rvb i="16439"/>
        </ext>
      </extLst>
    </bk>
    <bk>
      <extLst>
        <ext uri="{3e2802c4-a4d2-4d8b-9148-e3be6c30e623}">
          <xlrd:rvb i="16440"/>
        </ext>
      </extLst>
    </bk>
    <bk>
      <extLst>
        <ext uri="{3e2802c4-a4d2-4d8b-9148-e3be6c30e623}">
          <xlrd:rvb i="16441"/>
        </ext>
      </extLst>
    </bk>
    <bk>
      <extLst>
        <ext uri="{3e2802c4-a4d2-4d8b-9148-e3be6c30e623}">
          <xlrd:rvb i="16442"/>
        </ext>
      </extLst>
    </bk>
    <bk>
      <extLst>
        <ext uri="{3e2802c4-a4d2-4d8b-9148-e3be6c30e623}">
          <xlrd:rvb i="16443"/>
        </ext>
      </extLst>
    </bk>
    <bk>
      <extLst>
        <ext uri="{3e2802c4-a4d2-4d8b-9148-e3be6c30e623}">
          <xlrd:rvb i="16444"/>
        </ext>
      </extLst>
    </bk>
    <bk>
      <extLst>
        <ext uri="{3e2802c4-a4d2-4d8b-9148-e3be6c30e623}">
          <xlrd:rvb i="16445"/>
        </ext>
      </extLst>
    </bk>
    <bk>
      <extLst>
        <ext uri="{3e2802c4-a4d2-4d8b-9148-e3be6c30e623}">
          <xlrd:rvb i="16446"/>
        </ext>
      </extLst>
    </bk>
    <bk>
      <extLst>
        <ext uri="{3e2802c4-a4d2-4d8b-9148-e3be6c30e623}">
          <xlrd:rvb i="16447"/>
        </ext>
      </extLst>
    </bk>
    <bk>
      <extLst>
        <ext uri="{3e2802c4-a4d2-4d8b-9148-e3be6c30e623}">
          <xlrd:rvb i="16448"/>
        </ext>
      </extLst>
    </bk>
    <bk>
      <extLst>
        <ext uri="{3e2802c4-a4d2-4d8b-9148-e3be6c30e623}">
          <xlrd:rvb i="16449"/>
        </ext>
      </extLst>
    </bk>
    <bk>
      <extLst>
        <ext uri="{3e2802c4-a4d2-4d8b-9148-e3be6c30e623}">
          <xlrd:rvb i="16450"/>
        </ext>
      </extLst>
    </bk>
    <bk>
      <extLst>
        <ext uri="{3e2802c4-a4d2-4d8b-9148-e3be6c30e623}">
          <xlrd:rvb i="16451"/>
        </ext>
      </extLst>
    </bk>
    <bk>
      <extLst>
        <ext uri="{3e2802c4-a4d2-4d8b-9148-e3be6c30e623}">
          <xlrd:rvb i="16452"/>
        </ext>
      </extLst>
    </bk>
    <bk>
      <extLst>
        <ext uri="{3e2802c4-a4d2-4d8b-9148-e3be6c30e623}">
          <xlrd:rvb i="16453"/>
        </ext>
      </extLst>
    </bk>
    <bk>
      <extLst>
        <ext uri="{3e2802c4-a4d2-4d8b-9148-e3be6c30e623}">
          <xlrd:rvb i="16454"/>
        </ext>
      </extLst>
    </bk>
    <bk>
      <extLst>
        <ext uri="{3e2802c4-a4d2-4d8b-9148-e3be6c30e623}">
          <xlrd:rvb i="16455"/>
        </ext>
      </extLst>
    </bk>
    <bk>
      <extLst>
        <ext uri="{3e2802c4-a4d2-4d8b-9148-e3be6c30e623}">
          <xlrd:rvb i="16456"/>
        </ext>
      </extLst>
    </bk>
    <bk>
      <extLst>
        <ext uri="{3e2802c4-a4d2-4d8b-9148-e3be6c30e623}">
          <xlrd:rvb i="16457"/>
        </ext>
      </extLst>
    </bk>
    <bk>
      <extLst>
        <ext uri="{3e2802c4-a4d2-4d8b-9148-e3be6c30e623}">
          <xlrd:rvb i="16458"/>
        </ext>
      </extLst>
    </bk>
    <bk>
      <extLst>
        <ext uri="{3e2802c4-a4d2-4d8b-9148-e3be6c30e623}">
          <xlrd:rvb i="16459"/>
        </ext>
      </extLst>
    </bk>
    <bk>
      <extLst>
        <ext uri="{3e2802c4-a4d2-4d8b-9148-e3be6c30e623}">
          <xlrd:rvb i="16460"/>
        </ext>
      </extLst>
    </bk>
    <bk>
      <extLst>
        <ext uri="{3e2802c4-a4d2-4d8b-9148-e3be6c30e623}">
          <xlrd:rvb i="16461"/>
        </ext>
      </extLst>
    </bk>
    <bk>
      <extLst>
        <ext uri="{3e2802c4-a4d2-4d8b-9148-e3be6c30e623}">
          <xlrd:rvb i="16462"/>
        </ext>
      </extLst>
    </bk>
    <bk>
      <extLst>
        <ext uri="{3e2802c4-a4d2-4d8b-9148-e3be6c30e623}">
          <xlrd:rvb i="16463"/>
        </ext>
      </extLst>
    </bk>
    <bk>
      <extLst>
        <ext uri="{3e2802c4-a4d2-4d8b-9148-e3be6c30e623}">
          <xlrd:rvb i="16464"/>
        </ext>
      </extLst>
    </bk>
    <bk>
      <extLst>
        <ext uri="{3e2802c4-a4d2-4d8b-9148-e3be6c30e623}">
          <xlrd:rvb i="16465"/>
        </ext>
      </extLst>
    </bk>
    <bk>
      <extLst>
        <ext uri="{3e2802c4-a4d2-4d8b-9148-e3be6c30e623}">
          <xlrd:rvb i="16466"/>
        </ext>
      </extLst>
    </bk>
    <bk>
      <extLst>
        <ext uri="{3e2802c4-a4d2-4d8b-9148-e3be6c30e623}">
          <xlrd:rvb i="16467"/>
        </ext>
      </extLst>
    </bk>
    <bk>
      <extLst>
        <ext uri="{3e2802c4-a4d2-4d8b-9148-e3be6c30e623}">
          <xlrd:rvb i="16468"/>
        </ext>
      </extLst>
    </bk>
    <bk>
      <extLst>
        <ext uri="{3e2802c4-a4d2-4d8b-9148-e3be6c30e623}">
          <xlrd:rvb i="16469"/>
        </ext>
      </extLst>
    </bk>
    <bk>
      <extLst>
        <ext uri="{3e2802c4-a4d2-4d8b-9148-e3be6c30e623}">
          <xlrd:rvb i="16470"/>
        </ext>
      </extLst>
    </bk>
    <bk>
      <extLst>
        <ext uri="{3e2802c4-a4d2-4d8b-9148-e3be6c30e623}">
          <xlrd:rvb i="16471"/>
        </ext>
      </extLst>
    </bk>
    <bk>
      <extLst>
        <ext uri="{3e2802c4-a4d2-4d8b-9148-e3be6c30e623}">
          <xlrd:rvb i="16472"/>
        </ext>
      </extLst>
    </bk>
    <bk>
      <extLst>
        <ext uri="{3e2802c4-a4d2-4d8b-9148-e3be6c30e623}">
          <xlrd:rvb i="16473"/>
        </ext>
      </extLst>
    </bk>
    <bk>
      <extLst>
        <ext uri="{3e2802c4-a4d2-4d8b-9148-e3be6c30e623}">
          <xlrd:rvb i="16474"/>
        </ext>
      </extLst>
    </bk>
    <bk>
      <extLst>
        <ext uri="{3e2802c4-a4d2-4d8b-9148-e3be6c30e623}">
          <xlrd:rvb i="16475"/>
        </ext>
      </extLst>
    </bk>
    <bk>
      <extLst>
        <ext uri="{3e2802c4-a4d2-4d8b-9148-e3be6c30e623}">
          <xlrd:rvb i="16476"/>
        </ext>
      </extLst>
    </bk>
    <bk>
      <extLst>
        <ext uri="{3e2802c4-a4d2-4d8b-9148-e3be6c30e623}">
          <xlrd:rvb i="16477"/>
        </ext>
      </extLst>
    </bk>
    <bk>
      <extLst>
        <ext uri="{3e2802c4-a4d2-4d8b-9148-e3be6c30e623}">
          <xlrd:rvb i="16478"/>
        </ext>
      </extLst>
    </bk>
    <bk>
      <extLst>
        <ext uri="{3e2802c4-a4d2-4d8b-9148-e3be6c30e623}">
          <xlrd:rvb i="16479"/>
        </ext>
      </extLst>
    </bk>
    <bk>
      <extLst>
        <ext uri="{3e2802c4-a4d2-4d8b-9148-e3be6c30e623}">
          <xlrd:rvb i="16480"/>
        </ext>
      </extLst>
    </bk>
    <bk>
      <extLst>
        <ext uri="{3e2802c4-a4d2-4d8b-9148-e3be6c30e623}">
          <xlrd:rvb i="16481"/>
        </ext>
      </extLst>
    </bk>
    <bk>
      <extLst>
        <ext uri="{3e2802c4-a4d2-4d8b-9148-e3be6c30e623}">
          <xlrd:rvb i="16482"/>
        </ext>
      </extLst>
    </bk>
    <bk>
      <extLst>
        <ext uri="{3e2802c4-a4d2-4d8b-9148-e3be6c30e623}">
          <xlrd:rvb i="16483"/>
        </ext>
      </extLst>
    </bk>
    <bk>
      <extLst>
        <ext uri="{3e2802c4-a4d2-4d8b-9148-e3be6c30e623}">
          <xlrd:rvb i="16484"/>
        </ext>
      </extLst>
    </bk>
    <bk>
      <extLst>
        <ext uri="{3e2802c4-a4d2-4d8b-9148-e3be6c30e623}">
          <xlrd:rvb i="16485"/>
        </ext>
      </extLst>
    </bk>
    <bk>
      <extLst>
        <ext uri="{3e2802c4-a4d2-4d8b-9148-e3be6c30e623}">
          <xlrd:rvb i="16486"/>
        </ext>
      </extLst>
    </bk>
    <bk>
      <extLst>
        <ext uri="{3e2802c4-a4d2-4d8b-9148-e3be6c30e623}">
          <xlrd:rvb i="16487"/>
        </ext>
      </extLst>
    </bk>
    <bk>
      <extLst>
        <ext uri="{3e2802c4-a4d2-4d8b-9148-e3be6c30e623}">
          <xlrd:rvb i="16488"/>
        </ext>
      </extLst>
    </bk>
    <bk>
      <extLst>
        <ext uri="{3e2802c4-a4d2-4d8b-9148-e3be6c30e623}">
          <xlrd:rvb i="16489"/>
        </ext>
      </extLst>
    </bk>
    <bk>
      <extLst>
        <ext uri="{3e2802c4-a4d2-4d8b-9148-e3be6c30e623}">
          <xlrd:rvb i="16490"/>
        </ext>
      </extLst>
    </bk>
    <bk>
      <extLst>
        <ext uri="{3e2802c4-a4d2-4d8b-9148-e3be6c30e623}">
          <xlrd:rvb i="16491"/>
        </ext>
      </extLst>
    </bk>
    <bk>
      <extLst>
        <ext uri="{3e2802c4-a4d2-4d8b-9148-e3be6c30e623}">
          <xlrd:rvb i="16492"/>
        </ext>
      </extLst>
    </bk>
    <bk>
      <extLst>
        <ext uri="{3e2802c4-a4d2-4d8b-9148-e3be6c30e623}">
          <xlrd:rvb i="16493"/>
        </ext>
      </extLst>
    </bk>
    <bk>
      <extLst>
        <ext uri="{3e2802c4-a4d2-4d8b-9148-e3be6c30e623}">
          <xlrd:rvb i="16494"/>
        </ext>
      </extLst>
    </bk>
    <bk>
      <extLst>
        <ext uri="{3e2802c4-a4d2-4d8b-9148-e3be6c30e623}">
          <xlrd:rvb i="16495"/>
        </ext>
      </extLst>
    </bk>
    <bk>
      <extLst>
        <ext uri="{3e2802c4-a4d2-4d8b-9148-e3be6c30e623}">
          <xlrd:rvb i="16496"/>
        </ext>
      </extLst>
    </bk>
    <bk>
      <extLst>
        <ext uri="{3e2802c4-a4d2-4d8b-9148-e3be6c30e623}">
          <xlrd:rvb i="16497"/>
        </ext>
      </extLst>
    </bk>
    <bk>
      <extLst>
        <ext uri="{3e2802c4-a4d2-4d8b-9148-e3be6c30e623}">
          <xlrd:rvb i="16498"/>
        </ext>
      </extLst>
    </bk>
    <bk>
      <extLst>
        <ext uri="{3e2802c4-a4d2-4d8b-9148-e3be6c30e623}">
          <xlrd:rvb i="16499"/>
        </ext>
      </extLst>
    </bk>
    <bk>
      <extLst>
        <ext uri="{3e2802c4-a4d2-4d8b-9148-e3be6c30e623}">
          <xlrd:rvb i="16500"/>
        </ext>
      </extLst>
    </bk>
    <bk>
      <extLst>
        <ext uri="{3e2802c4-a4d2-4d8b-9148-e3be6c30e623}">
          <xlrd:rvb i="16501"/>
        </ext>
      </extLst>
    </bk>
    <bk>
      <extLst>
        <ext uri="{3e2802c4-a4d2-4d8b-9148-e3be6c30e623}">
          <xlrd:rvb i="16502"/>
        </ext>
      </extLst>
    </bk>
    <bk>
      <extLst>
        <ext uri="{3e2802c4-a4d2-4d8b-9148-e3be6c30e623}">
          <xlrd:rvb i="16503"/>
        </ext>
      </extLst>
    </bk>
    <bk>
      <extLst>
        <ext uri="{3e2802c4-a4d2-4d8b-9148-e3be6c30e623}">
          <xlrd:rvb i="16504"/>
        </ext>
      </extLst>
    </bk>
    <bk>
      <extLst>
        <ext uri="{3e2802c4-a4d2-4d8b-9148-e3be6c30e623}">
          <xlrd:rvb i="16505"/>
        </ext>
      </extLst>
    </bk>
    <bk>
      <extLst>
        <ext uri="{3e2802c4-a4d2-4d8b-9148-e3be6c30e623}">
          <xlrd:rvb i="16506"/>
        </ext>
      </extLst>
    </bk>
    <bk>
      <extLst>
        <ext uri="{3e2802c4-a4d2-4d8b-9148-e3be6c30e623}">
          <xlrd:rvb i="16507"/>
        </ext>
      </extLst>
    </bk>
    <bk>
      <extLst>
        <ext uri="{3e2802c4-a4d2-4d8b-9148-e3be6c30e623}">
          <xlrd:rvb i="16508"/>
        </ext>
      </extLst>
    </bk>
    <bk>
      <extLst>
        <ext uri="{3e2802c4-a4d2-4d8b-9148-e3be6c30e623}">
          <xlrd:rvb i="16509"/>
        </ext>
      </extLst>
    </bk>
    <bk>
      <extLst>
        <ext uri="{3e2802c4-a4d2-4d8b-9148-e3be6c30e623}">
          <xlrd:rvb i="16510"/>
        </ext>
      </extLst>
    </bk>
    <bk>
      <extLst>
        <ext uri="{3e2802c4-a4d2-4d8b-9148-e3be6c30e623}">
          <xlrd:rvb i="16511"/>
        </ext>
      </extLst>
    </bk>
    <bk>
      <extLst>
        <ext uri="{3e2802c4-a4d2-4d8b-9148-e3be6c30e623}">
          <xlrd:rvb i="16512"/>
        </ext>
      </extLst>
    </bk>
    <bk>
      <extLst>
        <ext uri="{3e2802c4-a4d2-4d8b-9148-e3be6c30e623}">
          <xlrd:rvb i="16513"/>
        </ext>
      </extLst>
    </bk>
    <bk>
      <extLst>
        <ext uri="{3e2802c4-a4d2-4d8b-9148-e3be6c30e623}">
          <xlrd:rvb i="16514"/>
        </ext>
      </extLst>
    </bk>
    <bk>
      <extLst>
        <ext uri="{3e2802c4-a4d2-4d8b-9148-e3be6c30e623}">
          <xlrd:rvb i="16515"/>
        </ext>
      </extLst>
    </bk>
    <bk>
      <extLst>
        <ext uri="{3e2802c4-a4d2-4d8b-9148-e3be6c30e623}">
          <xlrd:rvb i="16516"/>
        </ext>
      </extLst>
    </bk>
    <bk>
      <extLst>
        <ext uri="{3e2802c4-a4d2-4d8b-9148-e3be6c30e623}">
          <xlrd:rvb i="16517"/>
        </ext>
      </extLst>
    </bk>
    <bk>
      <extLst>
        <ext uri="{3e2802c4-a4d2-4d8b-9148-e3be6c30e623}">
          <xlrd:rvb i="16518"/>
        </ext>
      </extLst>
    </bk>
    <bk>
      <extLst>
        <ext uri="{3e2802c4-a4d2-4d8b-9148-e3be6c30e623}">
          <xlrd:rvb i="16519"/>
        </ext>
      </extLst>
    </bk>
    <bk>
      <extLst>
        <ext uri="{3e2802c4-a4d2-4d8b-9148-e3be6c30e623}">
          <xlrd:rvb i="16520"/>
        </ext>
      </extLst>
    </bk>
    <bk>
      <extLst>
        <ext uri="{3e2802c4-a4d2-4d8b-9148-e3be6c30e623}">
          <xlrd:rvb i="16521"/>
        </ext>
      </extLst>
    </bk>
    <bk>
      <extLst>
        <ext uri="{3e2802c4-a4d2-4d8b-9148-e3be6c30e623}">
          <xlrd:rvb i="16522"/>
        </ext>
      </extLst>
    </bk>
    <bk>
      <extLst>
        <ext uri="{3e2802c4-a4d2-4d8b-9148-e3be6c30e623}">
          <xlrd:rvb i="16523"/>
        </ext>
      </extLst>
    </bk>
    <bk>
      <extLst>
        <ext uri="{3e2802c4-a4d2-4d8b-9148-e3be6c30e623}">
          <xlrd:rvb i="16524"/>
        </ext>
      </extLst>
    </bk>
    <bk>
      <extLst>
        <ext uri="{3e2802c4-a4d2-4d8b-9148-e3be6c30e623}">
          <xlrd:rvb i="16525"/>
        </ext>
      </extLst>
    </bk>
    <bk>
      <extLst>
        <ext uri="{3e2802c4-a4d2-4d8b-9148-e3be6c30e623}">
          <xlrd:rvb i="16526"/>
        </ext>
      </extLst>
    </bk>
    <bk>
      <extLst>
        <ext uri="{3e2802c4-a4d2-4d8b-9148-e3be6c30e623}">
          <xlrd:rvb i="16527"/>
        </ext>
      </extLst>
    </bk>
    <bk>
      <extLst>
        <ext uri="{3e2802c4-a4d2-4d8b-9148-e3be6c30e623}">
          <xlrd:rvb i="16528"/>
        </ext>
      </extLst>
    </bk>
    <bk>
      <extLst>
        <ext uri="{3e2802c4-a4d2-4d8b-9148-e3be6c30e623}">
          <xlrd:rvb i="16529"/>
        </ext>
      </extLst>
    </bk>
    <bk>
      <extLst>
        <ext uri="{3e2802c4-a4d2-4d8b-9148-e3be6c30e623}">
          <xlrd:rvb i="16530"/>
        </ext>
      </extLst>
    </bk>
    <bk>
      <extLst>
        <ext uri="{3e2802c4-a4d2-4d8b-9148-e3be6c30e623}">
          <xlrd:rvb i="16531"/>
        </ext>
      </extLst>
    </bk>
    <bk>
      <extLst>
        <ext uri="{3e2802c4-a4d2-4d8b-9148-e3be6c30e623}">
          <xlrd:rvb i="16532"/>
        </ext>
      </extLst>
    </bk>
    <bk>
      <extLst>
        <ext uri="{3e2802c4-a4d2-4d8b-9148-e3be6c30e623}">
          <xlrd:rvb i="16533"/>
        </ext>
      </extLst>
    </bk>
    <bk>
      <extLst>
        <ext uri="{3e2802c4-a4d2-4d8b-9148-e3be6c30e623}">
          <xlrd:rvb i="16534"/>
        </ext>
      </extLst>
    </bk>
    <bk>
      <extLst>
        <ext uri="{3e2802c4-a4d2-4d8b-9148-e3be6c30e623}">
          <xlrd:rvb i="16535"/>
        </ext>
      </extLst>
    </bk>
    <bk>
      <extLst>
        <ext uri="{3e2802c4-a4d2-4d8b-9148-e3be6c30e623}">
          <xlrd:rvb i="16536"/>
        </ext>
      </extLst>
    </bk>
    <bk>
      <extLst>
        <ext uri="{3e2802c4-a4d2-4d8b-9148-e3be6c30e623}">
          <xlrd:rvb i="16537"/>
        </ext>
      </extLst>
    </bk>
    <bk>
      <extLst>
        <ext uri="{3e2802c4-a4d2-4d8b-9148-e3be6c30e623}">
          <xlrd:rvb i="16538"/>
        </ext>
      </extLst>
    </bk>
    <bk>
      <extLst>
        <ext uri="{3e2802c4-a4d2-4d8b-9148-e3be6c30e623}">
          <xlrd:rvb i="16539"/>
        </ext>
      </extLst>
    </bk>
    <bk>
      <extLst>
        <ext uri="{3e2802c4-a4d2-4d8b-9148-e3be6c30e623}">
          <xlrd:rvb i="16540"/>
        </ext>
      </extLst>
    </bk>
    <bk>
      <extLst>
        <ext uri="{3e2802c4-a4d2-4d8b-9148-e3be6c30e623}">
          <xlrd:rvb i="16541"/>
        </ext>
      </extLst>
    </bk>
    <bk>
      <extLst>
        <ext uri="{3e2802c4-a4d2-4d8b-9148-e3be6c30e623}">
          <xlrd:rvb i="16542"/>
        </ext>
      </extLst>
    </bk>
    <bk>
      <extLst>
        <ext uri="{3e2802c4-a4d2-4d8b-9148-e3be6c30e623}">
          <xlrd:rvb i="16543"/>
        </ext>
      </extLst>
    </bk>
    <bk>
      <extLst>
        <ext uri="{3e2802c4-a4d2-4d8b-9148-e3be6c30e623}">
          <xlrd:rvb i="16544"/>
        </ext>
      </extLst>
    </bk>
    <bk>
      <extLst>
        <ext uri="{3e2802c4-a4d2-4d8b-9148-e3be6c30e623}">
          <xlrd:rvb i="16545"/>
        </ext>
      </extLst>
    </bk>
    <bk>
      <extLst>
        <ext uri="{3e2802c4-a4d2-4d8b-9148-e3be6c30e623}">
          <xlrd:rvb i="16546"/>
        </ext>
      </extLst>
    </bk>
    <bk>
      <extLst>
        <ext uri="{3e2802c4-a4d2-4d8b-9148-e3be6c30e623}">
          <xlrd:rvb i="16547"/>
        </ext>
      </extLst>
    </bk>
    <bk>
      <extLst>
        <ext uri="{3e2802c4-a4d2-4d8b-9148-e3be6c30e623}">
          <xlrd:rvb i="16548"/>
        </ext>
      </extLst>
    </bk>
    <bk>
      <extLst>
        <ext uri="{3e2802c4-a4d2-4d8b-9148-e3be6c30e623}">
          <xlrd:rvb i="16549"/>
        </ext>
      </extLst>
    </bk>
    <bk>
      <extLst>
        <ext uri="{3e2802c4-a4d2-4d8b-9148-e3be6c30e623}">
          <xlrd:rvb i="16550"/>
        </ext>
      </extLst>
    </bk>
    <bk>
      <extLst>
        <ext uri="{3e2802c4-a4d2-4d8b-9148-e3be6c30e623}">
          <xlrd:rvb i="16551"/>
        </ext>
      </extLst>
    </bk>
    <bk>
      <extLst>
        <ext uri="{3e2802c4-a4d2-4d8b-9148-e3be6c30e623}">
          <xlrd:rvb i="16552"/>
        </ext>
      </extLst>
    </bk>
    <bk>
      <extLst>
        <ext uri="{3e2802c4-a4d2-4d8b-9148-e3be6c30e623}">
          <xlrd:rvb i="16553"/>
        </ext>
      </extLst>
    </bk>
    <bk>
      <extLst>
        <ext uri="{3e2802c4-a4d2-4d8b-9148-e3be6c30e623}">
          <xlrd:rvb i="16554"/>
        </ext>
      </extLst>
    </bk>
    <bk>
      <extLst>
        <ext uri="{3e2802c4-a4d2-4d8b-9148-e3be6c30e623}">
          <xlrd:rvb i="16555"/>
        </ext>
      </extLst>
    </bk>
    <bk>
      <extLst>
        <ext uri="{3e2802c4-a4d2-4d8b-9148-e3be6c30e623}">
          <xlrd:rvb i="16556"/>
        </ext>
      </extLst>
    </bk>
    <bk>
      <extLst>
        <ext uri="{3e2802c4-a4d2-4d8b-9148-e3be6c30e623}">
          <xlrd:rvb i="16557"/>
        </ext>
      </extLst>
    </bk>
    <bk>
      <extLst>
        <ext uri="{3e2802c4-a4d2-4d8b-9148-e3be6c30e623}">
          <xlrd:rvb i="16558"/>
        </ext>
      </extLst>
    </bk>
    <bk>
      <extLst>
        <ext uri="{3e2802c4-a4d2-4d8b-9148-e3be6c30e623}">
          <xlrd:rvb i="16559"/>
        </ext>
      </extLst>
    </bk>
    <bk>
      <extLst>
        <ext uri="{3e2802c4-a4d2-4d8b-9148-e3be6c30e623}">
          <xlrd:rvb i="16560"/>
        </ext>
      </extLst>
    </bk>
    <bk>
      <extLst>
        <ext uri="{3e2802c4-a4d2-4d8b-9148-e3be6c30e623}">
          <xlrd:rvb i="16561"/>
        </ext>
      </extLst>
    </bk>
    <bk>
      <extLst>
        <ext uri="{3e2802c4-a4d2-4d8b-9148-e3be6c30e623}">
          <xlrd:rvb i="16562"/>
        </ext>
      </extLst>
    </bk>
    <bk>
      <extLst>
        <ext uri="{3e2802c4-a4d2-4d8b-9148-e3be6c30e623}">
          <xlrd:rvb i="16563"/>
        </ext>
      </extLst>
    </bk>
    <bk>
      <extLst>
        <ext uri="{3e2802c4-a4d2-4d8b-9148-e3be6c30e623}">
          <xlrd:rvb i="16564"/>
        </ext>
      </extLst>
    </bk>
    <bk>
      <extLst>
        <ext uri="{3e2802c4-a4d2-4d8b-9148-e3be6c30e623}">
          <xlrd:rvb i="16565"/>
        </ext>
      </extLst>
    </bk>
    <bk>
      <extLst>
        <ext uri="{3e2802c4-a4d2-4d8b-9148-e3be6c30e623}">
          <xlrd:rvb i="16566"/>
        </ext>
      </extLst>
    </bk>
    <bk>
      <extLst>
        <ext uri="{3e2802c4-a4d2-4d8b-9148-e3be6c30e623}">
          <xlrd:rvb i="16567"/>
        </ext>
      </extLst>
    </bk>
    <bk>
      <extLst>
        <ext uri="{3e2802c4-a4d2-4d8b-9148-e3be6c30e623}">
          <xlrd:rvb i="16568"/>
        </ext>
      </extLst>
    </bk>
    <bk>
      <extLst>
        <ext uri="{3e2802c4-a4d2-4d8b-9148-e3be6c30e623}">
          <xlrd:rvb i="16569"/>
        </ext>
      </extLst>
    </bk>
    <bk>
      <extLst>
        <ext uri="{3e2802c4-a4d2-4d8b-9148-e3be6c30e623}">
          <xlrd:rvb i="16570"/>
        </ext>
      </extLst>
    </bk>
    <bk>
      <extLst>
        <ext uri="{3e2802c4-a4d2-4d8b-9148-e3be6c30e623}">
          <xlrd:rvb i="16571"/>
        </ext>
      </extLst>
    </bk>
    <bk>
      <extLst>
        <ext uri="{3e2802c4-a4d2-4d8b-9148-e3be6c30e623}">
          <xlrd:rvb i="16572"/>
        </ext>
      </extLst>
    </bk>
    <bk>
      <extLst>
        <ext uri="{3e2802c4-a4d2-4d8b-9148-e3be6c30e623}">
          <xlrd:rvb i="16573"/>
        </ext>
      </extLst>
    </bk>
    <bk>
      <extLst>
        <ext uri="{3e2802c4-a4d2-4d8b-9148-e3be6c30e623}">
          <xlrd:rvb i="16574"/>
        </ext>
      </extLst>
    </bk>
    <bk>
      <extLst>
        <ext uri="{3e2802c4-a4d2-4d8b-9148-e3be6c30e623}">
          <xlrd:rvb i="16575"/>
        </ext>
      </extLst>
    </bk>
    <bk>
      <extLst>
        <ext uri="{3e2802c4-a4d2-4d8b-9148-e3be6c30e623}">
          <xlrd:rvb i="16576"/>
        </ext>
      </extLst>
    </bk>
    <bk>
      <extLst>
        <ext uri="{3e2802c4-a4d2-4d8b-9148-e3be6c30e623}">
          <xlrd:rvb i="16577"/>
        </ext>
      </extLst>
    </bk>
    <bk>
      <extLst>
        <ext uri="{3e2802c4-a4d2-4d8b-9148-e3be6c30e623}">
          <xlrd:rvb i="16578"/>
        </ext>
      </extLst>
    </bk>
    <bk>
      <extLst>
        <ext uri="{3e2802c4-a4d2-4d8b-9148-e3be6c30e623}">
          <xlrd:rvb i="16579"/>
        </ext>
      </extLst>
    </bk>
    <bk>
      <extLst>
        <ext uri="{3e2802c4-a4d2-4d8b-9148-e3be6c30e623}">
          <xlrd:rvb i="16580"/>
        </ext>
      </extLst>
    </bk>
    <bk>
      <extLst>
        <ext uri="{3e2802c4-a4d2-4d8b-9148-e3be6c30e623}">
          <xlrd:rvb i="16581"/>
        </ext>
      </extLst>
    </bk>
    <bk>
      <extLst>
        <ext uri="{3e2802c4-a4d2-4d8b-9148-e3be6c30e623}">
          <xlrd:rvb i="16582"/>
        </ext>
      </extLst>
    </bk>
    <bk>
      <extLst>
        <ext uri="{3e2802c4-a4d2-4d8b-9148-e3be6c30e623}">
          <xlrd:rvb i="16583"/>
        </ext>
      </extLst>
    </bk>
    <bk>
      <extLst>
        <ext uri="{3e2802c4-a4d2-4d8b-9148-e3be6c30e623}">
          <xlrd:rvb i="16584"/>
        </ext>
      </extLst>
    </bk>
    <bk>
      <extLst>
        <ext uri="{3e2802c4-a4d2-4d8b-9148-e3be6c30e623}">
          <xlrd:rvb i="16585"/>
        </ext>
      </extLst>
    </bk>
    <bk>
      <extLst>
        <ext uri="{3e2802c4-a4d2-4d8b-9148-e3be6c30e623}">
          <xlrd:rvb i="16586"/>
        </ext>
      </extLst>
    </bk>
    <bk>
      <extLst>
        <ext uri="{3e2802c4-a4d2-4d8b-9148-e3be6c30e623}">
          <xlrd:rvb i="16587"/>
        </ext>
      </extLst>
    </bk>
    <bk>
      <extLst>
        <ext uri="{3e2802c4-a4d2-4d8b-9148-e3be6c30e623}">
          <xlrd:rvb i="16588"/>
        </ext>
      </extLst>
    </bk>
    <bk>
      <extLst>
        <ext uri="{3e2802c4-a4d2-4d8b-9148-e3be6c30e623}">
          <xlrd:rvb i="16589"/>
        </ext>
      </extLst>
    </bk>
    <bk>
      <extLst>
        <ext uri="{3e2802c4-a4d2-4d8b-9148-e3be6c30e623}">
          <xlrd:rvb i="16590"/>
        </ext>
      </extLst>
    </bk>
    <bk>
      <extLst>
        <ext uri="{3e2802c4-a4d2-4d8b-9148-e3be6c30e623}">
          <xlrd:rvb i="16591"/>
        </ext>
      </extLst>
    </bk>
    <bk>
      <extLst>
        <ext uri="{3e2802c4-a4d2-4d8b-9148-e3be6c30e623}">
          <xlrd:rvb i="16592"/>
        </ext>
      </extLst>
    </bk>
    <bk>
      <extLst>
        <ext uri="{3e2802c4-a4d2-4d8b-9148-e3be6c30e623}">
          <xlrd:rvb i="16593"/>
        </ext>
      </extLst>
    </bk>
    <bk>
      <extLst>
        <ext uri="{3e2802c4-a4d2-4d8b-9148-e3be6c30e623}">
          <xlrd:rvb i="16594"/>
        </ext>
      </extLst>
    </bk>
    <bk>
      <extLst>
        <ext uri="{3e2802c4-a4d2-4d8b-9148-e3be6c30e623}">
          <xlrd:rvb i="16595"/>
        </ext>
      </extLst>
    </bk>
    <bk>
      <extLst>
        <ext uri="{3e2802c4-a4d2-4d8b-9148-e3be6c30e623}">
          <xlrd:rvb i="16596"/>
        </ext>
      </extLst>
    </bk>
    <bk>
      <extLst>
        <ext uri="{3e2802c4-a4d2-4d8b-9148-e3be6c30e623}">
          <xlrd:rvb i="16597"/>
        </ext>
      </extLst>
    </bk>
    <bk>
      <extLst>
        <ext uri="{3e2802c4-a4d2-4d8b-9148-e3be6c30e623}">
          <xlrd:rvb i="16598"/>
        </ext>
      </extLst>
    </bk>
    <bk>
      <extLst>
        <ext uri="{3e2802c4-a4d2-4d8b-9148-e3be6c30e623}">
          <xlrd:rvb i="16599"/>
        </ext>
      </extLst>
    </bk>
    <bk>
      <extLst>
        <ext uri="{3e2802c4-a4d2-4d8b-9148-e3be6c30e623}">
          <xlrd:rvb i="16600"/>
        </ext>
      </extLst>
    </bk>
    <bk>
      <extLst>
        <ext uri="{3e2802c4-a4d2-4d8b-9148-e3be6c30e623}">
          <xlrd:rvb i="16601"/>
        </ext>
      </extLst>
    </bk>
    <bk>
      <extLst>
        <ext uri="{3e2802c4-a4d2-4d8b-9148-e3be6c30e623}">
          <xlrd:rvb i="16602"/>
        </ext>
      </extLst>
    </bk>
    <bk>
      <extLst>
        <ext uri="{3e2802c4-a4d2-4d8b-9148-e3be6c30e623}">
          <xlrd:rvb i="16603"/>
        </ext>
      </extLst>
    </bk>
    <bk>
      <extLst>
        <ext uri="{3e2802c4-a4d2-4d8b-9148-e3be6c30e623}">
          <xlrd:rvb i="16604"/>
        </ext>
      </extLst>
    </bk>
    <bk>
      <extLst>
        <ext uri="{3e2802c4-a4d2-4d8b-9148-e3be6c30e623}">
          <xlrd:rvb i="16605"/>
        </ext>
      </extLst>
    </bk>
    <bk>
      <extLst>
        <ext uri="{3e2802c4-a4d2-4d8b-9148-e3be6c30e623}">
          <xlrd:rvb i="16606"/>
        </ext>
      </extLst>
    </bk>
    <bk>
      <extLst>
        <ext uri="{3e2802c4-a4d2-4d8b-9148-e3be6c30e623}">
          <xlrd:rvb i="16607"/>
        </ext>
      </extLst>
    </bk>
    <bk>
      <extLst>
        <ext uri="{3e2802c4-a4d2-4d8b-9148-e3be6c30e623}">
          <xlrd:rvb i="16608"/>
        </ext>
      </extLst>
    </bk>
    <bk>
      <extLst>
        <ext uri="{3e2802c4-a4d2-4d8b-9148-e3be6c30e623}">
          <xlrd:rvb i="16609"/>
        </ext>
      </extLst>
    </bk>
    <bk>
      <extLst>
        <ext uri="{3e2802c4-a4d2-4d8b-9148-e3be6c30e623}">
          <xlrd:rvb i="16610"/>
        </ext>
      </extLst>
    </bk>
    <bk>
      <extLst>
        <ext uri="{3e2802c4-a4d2-4d8b-9148-e3be6c30e623}">
          <xlrd:rvb i="16611"/>
        </ext>
      </extLst>
    </bk>
    <bk>
      <extLst>
        <ext uri="{3e2802c4-a4d2-4d8b-9148-e3be6c30e623}">
          <xlrd:rvb i="16612"/>
        </ext>
      </extLst>
    </bk>
    <bk>
      <extLst>
        <ext uri="{3e2802c4-a4d2-4d8b-9148-e3be6c30e623}">
          <xlrd:rvb i="16613"/>
        </ext>
      </extLst>
    </bk>
    <bk>
      <extLst>
        <ext uri="{3e2802c4-a4d2-4d8b-9148-e3be6c30e623}">
          <xlrd:rvb i="16614"/>
        </ext>
      </extLst>
    </bk>
    <bk>
      <extLst>
        <ext uri="{3e2802c4-a4d2-4d8b-9148-e3be6c30e623}">
          <xlrd:rvb i="16615"/>
        </ext>
      </extLst>
    </bk>
    <bk>
      <extLst>
        <ext uri="{3e2802c4-a4d2-4d8b-9148-e3be6c30e623}">
          <xlrd:rvb i="16616"/>
        </ext>
      </extLst>
    </bk>
    <bk>
      <extLst>
        <ext uri="{3e2802c4-a4d2-4d8b-9148-e3be6c30e623}">
          <xlrd:rvb i="16617"/>
        </ext>
      </extLst>
    </bk>
    <bk>
      <extLst>
        <ext uri="{3e2802c4-a4d2-4d8b-9148-e3be6c30e623}">
          <xlrd:rvb i="16618"/>
        </ext>
      </extLst>
    </bk>
    <bk>
      <extLst>
        <ext uri="{3e2802c4-a4d2-4d8b-9148-e3be6c30e623}">
          <xlrd:rvb i="16619"/>
        </ext>
      </extLst>
    </bk>
    <bk>
      <extLst>
        <ext uri="{3e2802c4-a4d2-4d8b-9148-e3be6c30e623}">
          <xlrd:rvb i="16620"/>
        </ext>
      </extLst>
    </bk>
    <bk>
      <extLst>
        <ext uri="{3e2802c4-a4d2-4d8b-9148-e3be6c30e623}">
          <xlrd:rvb i="16621"/>
        </ext>
      </extLst>
    </bk>
    <bk>
      <extLst>
        <ext uri="{3e2802c4-a4d2-4d8b-9148-e3be6c30e623}">
          <xlrd:rvb i="16622"/>
        </ext>
      </extLst>
    </bk>
    <bk>
      <extLst>
        <ext uri="{3e2802c4-a4d2-4d8b-9148-e3be6c30e623}">
          <xlrd:rvb i="16623"/>
        </ext>
      </extLst>
    </bk>
    <bk>
      <extLst>
        <ext uri="{3e2802c4-a4d2-4d8b-9148-e3be6c30e623}">
          <xlrd:rvb i="16624"/>
        </ext>
      </extLst>
    </bk>
    <bk>
      <extLst>
        <ext uri="{3e2802c4-a4d2-4d8b-9148-e3be6c30e623}">
          <xlrd:rvb i="16625"/>
        </ext>
      </extLst>
    </bk>
    <bk>
      <extLst>
        <ext uri="{3e2802c4-a4d2-4d8b-9148-e3be6c30e623}">
          <xlrd:rvb i="16626"/>
        </ext>
      </extLst>
    </bk>
    <bk>
      <extLst>
        <ext uri="{3e2802c4-a4d2-4d8b-9148-e3be6c30e623}">
          <xlrd:rvb i="16627"/>
        </ext>
      </extLst>
    </bk>
    <bk>
      <extLst>
        <ext uri="{3e2802c4-a4d2-4d8b-9148-e3be6c30e623}">
          <xlrd:rvb i="16628"/>
        </ext>
      </extLst>
    </bk>
    <bk>
      <extLst>
        <ext uri="{3e2802c4-a4d2-4d8b-9148-e3be6c30e623}">
          <xlrd:rvb i="16629"/>
        </ext>
      </extLst>
    </bk>
    <bk>
      <extLst>
        <ext uri="{3e2802c4-a4d2-4d8b-9148-e3be6c30e623}">
          <xlrd:rvb i="16630"/>
        </ext>
      </extLst>
    </bk>
    <bk>
      <extLst>
        <ext uri="{3e2802c4-a4d2-4d8b-9148-e3be6c30e623}">
          <xlrd:rvb i="16631"/>
        </ext>
      </extLst>
    </bk>
    <bk>
      <extLst>
        <ext uri="{3e2802c4-a4d2-4d8b-9148-e3be6c30e623}">
          <xlrd:rvb i="16632"/>
        </ext>
      </extLst>
    </bk>
    <bk>
      <extLst>
        <ext uri="{3e2802c4-a4d2-4d8b-9148-e3be6c30e623}">
          <xlrd:rvb i="16633"/>
        </ext>
      </extLst>
    </bk>
    <bk>
      <extLst>
        <ext uri="{3e2802c4-a4d2-4d8b-9148-e3be6c30e623}">
          <xlrd:rvb i="16634"/>
        </ext>
      </extLst>
    </bk>
    <bk>
      <extLst>
        <ext uri="{3e2802c4-a4d2-4d8b-9148-e3be6c30e623}">
          <xlrd:rvb i="16635"/>
        </ext>
      </extLst>
    </bk>
    <bk>
      <extLst>
        <ext uri="{3e2802c4-a4d2-4d8b-9148-e3be6c30e623}">
          <xlrd:rvb i="16636"/>
        </ext>
      </extLst>
    </bk>
    <bk>
      <extLst>
        <ext uri="{3e2802c4-a4d2-4d8b-9148-e3be6c30e623}">
          <xlrd:rvb i="16637"/>
        </ext>
      </extLst>
    </bk>
    <bk>
      <extLst>
        <ext uri="{3e2802c4-a4d2-4d8b-9148-e3be6c30e623}">
          <xlrd:rvb i="16638"/>
        </ext>
      </extLst>
    </bk>
    <bk>
      <extLst>
        <ext uri="{3e2802c4-a4d2-4d8b-9148-e3be6c30e623}">
          <xlrd:rvb i="16639"/>
        </ext>
      </extLst>
    </bk>
    <bk>
      <extLst>
        <ext uri="{3e2802c4-a4d2-4d8b-9148-e3be6c30e623}">
          <xlrd:rvb i="16640"/>
        </ext>
      </extLst>
    </bk>
    <bk>
      <extLst>
        <ext uri="{3e2802c4-a4d2-4d8b-9148-e3be6c30e623}">
          <xlrd:rvb i="16641"/>
        </ext>
      </extLst>
    </bk>
    <bk>
      <extLst>
        <ext uri="{3e2802c4-a4d2-4d8b-9148-e3be6c30e623}">
          <xlrd:rvb i="16642"/>
        </ext>
      </extLst>
    </bk>
    <bk>
      <extLst>
        <ext uri="{3e2802c4-a4d2-4d8b-9148-e3be6c30e623}">
          <xlrd:rvb i="16643"/>
        </ext>
      </extLst>
    </bk>
    <bk>
      <extLst>
        <ext uri="{3e2802c4-a4d2-4d8b-9148-e3be6c30e623}">
          <xlrd:rvb i="16644"/>
        </ext>
      </extLst>
    </bk>
    <bk>
      <extLst>
        <ext uri="{3e2802c4-a4d2-4d8b-9148-e3be6c30e623}">
          <xlrd:rvb i="16645"/>
        </ext>
      </extLst>
    </bk>
    <bk>
      <extLst>
        <ext uri="{3e2802c4-a4d2-4d8b-9148-e3be6c30e623}">
          <xlrd:rvb i="16646"/>
        </ext>
      </extLst>
    </bk>
    <bk>
      <extLst>
        <ext uri="{3e2802c4-a4d2-4d8b-9148-e3be6c30e623}">
          <xlrd:rvb i="16647"/>
        </ext>
      </extLst>
    </bk>
    <bk>
      <extLst>
        <ext uri="{3e2802c4-a4d2-4d8b-9148-e3be6c30e623}">
          <xlrd:rvb i="16648"/>
        </ext>
      </extLst>
    </bk>
    <bk>
      <extLst>
        <ext uri="{3e2802c4-a4d2-4d8b-9148-e3be6c30e623}">
          <xlrd:rvb i="16649"/>
        </ext>
      </extLst>
    </bk>
    <bk>
      <extLst>
        <ext uri="{3e2802c4-a4d2-4d8b-9148-e3be6c30e623}">
          <xlrd:rvb i="16650"/>
        </ext>
      </extLst>
    </bk>
    <bk>
      <extLst>
        <ext uri="{3e2802c4-a4d2-4d8b-9148-e3be6c30e623}">
          <xlrd:rvb i="16651"/>
        </ext>
      </extLst>
    </bk>
    <bk>
      <extLst>
        <ext uri="{3e2802c4-a4d2-4d8b-9148-e3be6c30e623}">
          <xlrd:rvb i="16652"/>
        </ext>
      </extLst>
    </bk>
    <bk>
      <extLst>
        <ext uri="{3e2802c4-a4d2-4d8b-9148-e3be6c30e623}">
          <xlrd:rvb i="16653"/>
        </ext>
      </extLst>
    </bk>
    <bk>
      <extLst>
        <ext uri="{3e2802c4-a4d2-4d8b-9148-e3be6c30e623}">
          <xlrd:rvb i="16654"/>
        </ext>
      </extLst>
    </bk>
    <bk>
      <extLst>
        <ext uri="{3e2802c4-a4d2-4d8b-9148-e3be6c30e623}">
          <xlrd:rvb i="16655"/>
        </ext>
      </extLst>
    </bk>
    <bk>
      <extLst>
        <ext uri="{3e2802c4-a4d2-4d8b-9148-e3be6c30e623}">
          <xlrd:rvb i="16656"/>
        </ext>
      </extLst>
    </bk>
    <bk>
      <extLst>
        <ext uri="{3e2802c4-a4d2-4d8b-9148-e3be6c30e623}">
          <xlrd:rvb i="16657"/>
        </ext>
      </extLst>
    </bk>
    <bk>
      <extLst>
        <ext uri="{3e2802c4-a4d2-4d8b-9148-e3be6c30e623}">
          <xlrd:rvb i="16658"/>
        </ext>
      </extLst>
    </bk>
    <bk>
      <extLst>
        <ext uri="{3e2802c4-a4d2-4d8b-9148-e3be6c30e623}">
          <xlrd:rvb i="16659"/>
        </ext>
      </extLst>
    </bk>
    <bk>
      <extLst>
        <ext uri="{3e2802c4-a4d2-4d8b-9148-e3be6c30e623}">
          <xlrd:rvb i="16660"/>
        </ext>
      </extLst>
    </bk>
    <bk>
      <extLst>
        <ext uri="{3e2802c4-a4d2-4d8b-9148-e3be6c30e623}">
          <xlrd:rvb i="16661"/>
        </ext>
      </extLst>
    </bk>
    <bk>
      <extLst>
        <ext uri="{3e2802c4-a4d2-4d8b-9148-e3be6c30e623}">
          <xlrd:rvb i="16662"/>
        </ext>
      </extLst>
    </bk>
    <bk>
      <extLst>
        <ext uri="{3e2802c4-a4d2-4d8b-9148-e3be6c30e623}">
          <xlrd:rvb i="16663"/>
        </ext>
      </extLst>
    </bk>
    <bk>
      <extLst>
        <ext uri="{3e2802c4-a4d2-4d8b-9148-e3be6c30e623}">
          <xlrd:rvb i="16664"/>
        </ext>
      </extLst>
    </bk>
    <bk>
      <extLst>
        <ext uri="{3e2802c4-a4d2-4d8b-9148-e3be6c30e623}">
          <xlrd:rvb i="16665"/>
        </ext>
      </extLst>
    </bk>
    <bk>
      <extLst>
        <ext uri="{3e2802c4-a4d2-4d8b-9148-e3be6c30e623}">
          <xlrd:rvb i="16666"/>
        </ext>
      </extLst>
    </bk>
    <bk>
      <extLst>
        <ext uri="{3e2802c4-a4d2-4d8b-9148-e3be6c30e623}">
          <xlrd:rvb i="16667"/>
        </ext>
      </extLst>
    </bk>
    <bk>
      <extLst>
        <ext uri="{3e2802c4-a4d2-4d8b-9148-e3be6c30e623}">
          <xlrd:rvb i="16668"/>
        </ext>
      </extLst>
    </bk>
    <bk>
      <extLst>
        <ext uri="{3e2802c4-a4d2-4d8b-9148-e3be6c30e623}">
          <xlrd:rvb i="16669"/>
        </ext>
      </extLst>
    </bk>
    <bk>
      <extLst>
        <ext uri="{3e2802c4-a4d2-4d8b-9148-e3be6c30e623}">
          <xlrd:rvb i="16670"/>
        </ext>
      </extLst>
    </bk>
    <bk>
      <extLst>
        <ext uri="{3e2802c4-a4d2-4d8b-9148-e3be6c30e623}">
          <xlrd:rvb i="16671"/>
        </ext>
      </extLst>
    </bk>
    <bk>
      <extLst>
        <ext uri="{3e2802c4-a4d2-4d8b-9148-e3be6c30e623}">
          <xlrd:rvb i="16672"/>
        </ext>
      </extLst>
    </bk>
    <bk>
      <extLst>
        <ext uri="{3e2802c4-a4d2-4d8b-9148-e3be6c30e623}">
          <xlrd:rvb i="16673"/>
        </ext>
      </extLst>
    </bk>
    <bk>
      <extLst>
        <ext uri="{3e2802c4-a4d2-4d8b-9148-e3be6c30e623}">
          <xlrd:rvb i="16674"/>
        </ext>
      </extLst>
    </bk>
    <bk>
      <extLst>
        <ext uri="{3e2802c4-a4d2-4d8b-9148-e3be6c30e623}">
          <xlrd:rvb i="16675"/>
        </ext>
      </extLst>
    </bk>
    <bk>
      <extLst>
        <ext uri="{3e2802c4-a4d2-4d8b-9148-e3be6c30e623}">
          <xlrd:rvb i="16676"/>
        </ext>
      </extLst>
    </bk>
    <bk>
      <extLst>
        <ext uri="{3e2802c4-a4d2-4d8b-9148-e3be6c30e623}">
          <xlrd:rvb i="16677"/>
        </ext>
      </extLst>
    </bk>
    <bk>
      <extLst>
        <ext uri="{3e2802c4-a4d2-4d8b-9148-e3be6c30e623}">
          <xlrd:rvb i="16678"/>
        </ext>
      </extLst>
    </bk>
    <bk>
      <extLst>
        <ext uri="{3e2802c4-a4d2-4d8b-9148-e3be6c30e623}">
          <xlrd:rvb i="16679"/>
        </ext>
      </extLst>
    </bk>
    <bk>
      <extLst>
        <ext uri="{3e2802c4-a4d2-4d8b-9148-e3be6c30e623}">
          <xlrd:rvb i="16680"/>
        </ext>
      </extLst>
    </bk>
    <bk>
      <extLst>
        <ext uri="{3e2802c4-a4d2-4d8b-9148-e3be6c30e623}">
          <xlrd:rvb i="16681"/>
        </ext>
      </extLst>
    </bk>
    <bk>
      <extLst>
        <ext uri="{3e2802c4-a4d2-4d8b-9148-e3be6c30e623}">
          <xlrd:rvb i="16682"/>
        </ext>
      </extLst>
    </bk>
    <bk>
      <extLst>
        <ext uri="{3e2802c4-a4d2-4d8b-9148-e3be6c30e623}">
          <xlrd:rvb i="16683"/>
        </ext>
      </extLst>
    </bk>
    <bk>
      <extLst>
        <ext uri="{3e2802c4-a4d2-4d8b-9148-e3be6c30e623}">
          <xlrd:rvb i="16684"/>
        </ext>
      </extLst>
    </bk>
    <bk>
      <extLst>
        <ext uri="{3e2802c4-a4d2-4d8b-9148-e3be6c30e623}">
          <xlrd:rvb i="16685"/>
        </ext>
      </extLst>
    </bk>
    <bk>
      <extLst>
        <ext uri="{3e2802c4-a4d2-4d8b-9148-e3be6c30e623}">
          <xlrd:rvb i="16686"/>
        </ext>
      </extLst>
    </bk>
    <bk>
      <extLst>
        <ext uri="{3e2802c4-a4d2-4d8b-9148-e3be6c30e623}">
          <xlrd:rvb i="16687"/>
        </ext>
      </extLst>
    </bk>
    <bk>
      <extLst>
        <ext uri="{3e2802c4-a4d2-4d8b-9148-e3be6c30e623}">
          <xlrd:rvb i="16688"/>
        </ext>
      </extLst>
    </bk>
    <bk>
      <extLst>
        <ext uri="{3e2802c4-a4d2-4d8b-9148-e3be6c30e623}">
          <xlrd:rvb i="16689"/>
        </ext>
      </extLst>
    </bk>
    <bk>
      <extLst>
        <ext uri="{3e2802c4-a4d2-4d8b-9148-e3be6c30e623}">
          <xlrd:rvb i="16690"/>
        </ext>
      </extLst>
    </bk>
    <bk>
      <extLst>
        <ext uri="{3e2802c4-a4d2-4d8b-9148-e3be6c30e623}">
          <xlrd:rvb i="16691"/>
        </ext>
      </extLst>
    </bk>
    <bk>
      <extLst>
        <ext uri="{3e2802c4-a4d2-4d8b-9148-e3be6c30e623}">
          <xlrd:rvb i="16692"/>
        </ext>
      </extLst>
    </bk>
    <bk>
      <extLst>
        <ext uri="{3e2802c4-a4d2-4d8b-9148-e3be6c30e623}">
          <xlrd:rvb i="16693"/>
        </ext>
      </extLst>
    </bk>
    <bk>
      <extLst>
        <ext uri="{3e2802c4-a4d2-4d8b-9148-e3be6c30e623}">
          <xlrd:rvb i="16694"/>
        </ext>
      </extLst>
    </bk>
    <bk>
      <extLst>
        <ext uri="{3e2802c4-a4d2-4d8b-9148-e3be6c30e623}">
          <xlrd:rvb i="16695"/>
        </ext>
      </extLst>
    </bk>
    <bk>
      <extLst>
        <ext uri="{3e2802c4-a4d2-4d8b-9148-e3be6c30e623}">
          <xlrd:rvb i="16696"/>
        </ext>
      </extLst>
    </bk>
    <bk>
      <extLst>
        <ext uri="{3e2802c4-a4d2-4d8b-9148-e3be6c30e623}">
          <xlrd:rvb i="16697"/>
        </ext>
      </extLst>
    </bk>
    <bk>
      <extLst>
        <ext uri="{3e2802c4-a4d2-4d8b-9148-e3be6c30e623}">
          <xlrd:rvb i="16698"/>
        </ext>
      </extLst>
    </bk>
    <bk>
      <extLst>
        <ext uri="{3e2802c4-a4d2-4d8b-9148-e3be6c30e623}">
          <xlrd:rvb i="16699"/>
        </ext>
      </extLst>
    </bk>
    <bk>
      <extLst>
        <ext uri="{3e2802c4-a4d2-4d8b-9148-e3be6c30e623}">
          <xlrd:rvb i="16700"/>
        </ext>
      </extLst>
    </bk>
    <bk>
      <extLst>
        <ext uri="{3e2802c4-a4d2-4d8b-9148-e3be6c30e623}">
          <xlrd:rvb i="16701"/>
        </ext>
      </extLst>
    </bk>
    <bk>
      <extLst>
        <ext uri="{3e2802c4-a4d2-4d8b-9148-e3be6c30e623}">
          <xlrd:rvb i="16702"/>
        </ext>
      </extLst>
    </bk>
    <bk>
      <extLst>
        <ext uri="{3e2802c4-a4d2-4d8b-9148-e3be6c30e623}">
          <xlrd:rvb i="16703"/>
        </ext>
      </extLst>
    </bk>
    <bk>
      <extLst>
        <ext uri="{3e2802c4-a4d2-4d8b-9148-e3be6c30e623}">
          <xlrd:rvb i="16704"/>
        </ext>
      </extLst>
    </bk>
    <bk>
      <extLst>
        <ext uri="{3e2802c4-a4d2-4d8b-9148-e3be6c30e623}">
          <xlrd:rvb i="16705"/>
        </ext>
      </extLst>
    </bk>
    <bk>
      <extLst>
        <ext uri="{3e2802c4-a4d2-4d8b-9148-e3be6c30e623}">
          <xlrd:rvb i="16706"/>
        </ext>
      </extLst>
    </bk>
    <bk>
      <extLst>
        <ext uri="{3e2802c4-a4d2-4d8b-9148-e3be6c30e623}">
          <xlrd:rvb i="16707"/>
        </ext>
      </extLst>
    </bk>
    <bk>
      <extLst>
        <ext uri="{3e2802c4-a4d2-4d8b-9148-e3be6c30e623}">
          <xlrd:rvb i="16708"/>
        </ext>
      </extLst>
    </bk>
    <bk>
      <extLst>
        <ext uri="{3e2802c4-a4d2-4d8b-9148-e3be6c30e623}">
          <xlrd:rvb i="16709"/>
        </ext>
      </extLst>
    </bk>
    <bk>
      <extLst>
        <ext uri="{3e2802c4-a4d2-4d8b-9148-e3be6c30e623}">
          <xlrd:rvb i="16710"/>
        </ext>
      </extLst>
    </bk>
    <bk>
      <extLst>
        <ext uri="{3e2802c4-a4d2-4d8b-9148-e3be6c30e623}">
          <xlrd:rvb i="16711"/>
        </ext>
      </extLst>
    </bk>
    <bk>
      <extLst>
        <ext uri="{3e2802c4-a4d2-4d8b-9148-e3be6c30e623}">
          <xlrd:rvb i="16712"/>
        </ext>
      </extLst>
    </bk>
    <bk>
      <extLst>
        <ext uri="{3e2802c4-a4d2-4d8b-9148-e3be6c30e623}">
          <xlrd:rvb i="16713"/>
        </ext>
      </extLst>
    </bk>
    <bk>
      <extLst>
        <ext uri="{3e2802c4-a4d2-4d8b-9148-e3be6c30e623}">
          <xlrd:rvb i="16714"/>
        </ext>
      </extLst>
    </bk>
    <bk>
      <extLst>
        <ext uri="{3e2802c4-a4d2-4d8b-9148-e3be6c30e623}">
          <xlrd:rvb i="16715"/>
        </ext>
      </extLst>
    </bk>
    <bk>
      <extLst>
        <ext uri="{3e2802c4-a4d2-4d8b-9148-e3be6c30e623}">
          <xlrd:rvb i="16716"/>
        </ext>
      </extLst>
    </bk>
    <bk>
      <extLst>
        <ext uri="{3e2802c4-a4d2-4d8b-9148-e3be6c30e623}">
          <xlrd:rvb i="16717"/>
        </ext>
      </extLst>
    </bk>
    <bk>
      <extLst>
        <ext uri="{3e2802c4-a4d2-4d8b-9148-e3be6c30e623}">
          <xlrd:rvb i="16718"/>
        </ext>
      </extLst>
    </bk>
    <bk>
      <extLst>
        <ext uri="{3e2802c4-a4d2-4d8b-9148-e3be6c30e623}">
          <xlrd:rvb i="16719"/>
        </ext>
      </extLst>
    </bk>
    <bk>
      <extLst>
        <ext uri="{3e2802c4-a4d2-4d8b-9148-e3be6c30e623}">
          <xlrd:rvb i="16720"/>
        </ext>
      </extLst>
    </bk>
    <bk>
      <extLst>
        <ext uri="{3e2802c4-a4d2-4d8b-9148-e3be6c30e623}">
          <xlrd:rvb i="16721"/>
        </ext>
      </extLst>
    </bk>
    <bk>
      <extLst>
        <ext uri="{3e2802c4-a4d2-4d8b-9148-e3be6c30e623}">
          <xlrd:rvb i="16722"/>
        </ext>
      </extLst>
    </bk>
    <bk>
      <extLst>
        <ext uri="{3e2802c4-a4d2-4d8b-9148-e3be6c30e623}">
          <xlrd:rvb i="16723"/>
        </ext>
      </extLst>
    </bk>
    <bk>
      <extLst>
        <ext uri="{3e2802c4-a4d2-4d8b-9148-e3be6c30e623}">
          <xlrd:rvb i="16724"/>
        </ext>
      </extLst>
    </bk>
    <bk>
      <extLst>
        <ext uri="{3e2802c4-a4d2-4d8b-9148-e3be6c30e623}">
          <xlrd:rvb i="16725"/>
        </ext>
      </extLst>
    </bk>
    <bk>
      <extLst>
        <ext uri="{3e2802c4-a4d2-4d8b-9148-e3be6c30e623}">
          <xlrd:rvb i="16726"/>
        </ext>
      </extLst>
    </bk>
    <bk>
      <extLst>
        <ext uri="{3e2802c4-a4d2-4d8b-9148-e3be6c30e623}">
          <xlrd:rvb i="16727"/>
        </ext>
      </extLst>
    </bk>
    <bk>
      <extLst>
        <ext uri="{3e2802c4-a4d2-4d8b-9148-e3be6c30e623}">
          <xlrd:rvb i="16728"/>
        </ext>
      </extLst>
    </bk>
    <bk>
      <extLst>
        <ext uri="{3e2802c4-a4d2-4d8b-9148-e3be6c30e623}">
          <xlrd:rvb i="16729"/>
        </ext>
      </extLst>
    </bk>
    <bk>
      <extLst>
        <ext uri="{3e2802c4-a4d2-4d8b-9148-e3be6c30e623}">
          <xlrd:rvb i="16730"/>
        </ext>
      </extLst>
    </bk>
    <bk>
      <extLst>
        <ext uri="{3e2802c4-a4d2-4d8b-9148-e3be6c30e623}">
          <xlrd:rvb i="16731"/>
        </ext>
      </extLst>
    </bk>
    <bk>
      <extLst>
        <ext uri="{3e2802c4-a4d2-4d8b-9148-e3be6c30e623}">
          <xlrd:rvb i="16732"/>
        </ext>
      </extLst>
    </bk>
    <bk>
      <extLst>
        <ext uri="{3e2802c4-a4d2-4d8b-9148-e3be6c30e623}">
          <xlrd:rvb i="16733"/>
        </ext>
      </extLst>
    </bk>
    <bk>
      <extLst>
        <ext uri="{3e2802c4-a4d2-4d8b-9148-e3be6c30e623}">
          <xlrd:rvb i="16734"/>
        </ext>
      </extLst>
    </bk>
    <bk>
      <extLst>
        <ext uri="{3e2802c4-a4d2-4d8b-9148-e3be6c30e623}">
          <xlrd:rvb i="16735"/>
        </ext>
      </extLst>
    </bk>
    <bk>
      <extLst>
        <ext uri="{3e2802c4-a4d2-4d8b-9148-e3be6c30e623}">
          <xlrd:rvb i="16736"/>
        </ext>
      </extLst>
    </bk>
    <bk>
      <extLst>
        <ext uri="{3e2802c4-a4d2-4d8b-9148-e3be6c30e623}">
          <xlrd:rvb i="16737"/>
        </ext>
      </extLst>
    </bk>
    <bk>
      <extLst>
        <ext uri="{3e2802c4-a4d2-4d8b-9148-e3be6c30e623}">
          <xlrd:rvb i="16738"/>
        </ext>
      </extLst>
    </bk>
    <bk>
      <extLst>
        <ext uri="{3e2802c4-a4d2-4d8b-9148-e3be6c30e623}">
          <xlrd:rvb i="16739"/>
        </ext>
      </extLst>
    </bk>
    <bk>
      <extLst>
        <ext uri="{3e2802c4-a4d2-4d8b-9148-e3be6c30e623}">
          <xlrd:rvb i="16740"/>
        </ext>
      </extLst>
    </bk>
    <bk>
      <extLst>
        <ext uri="{3e2802c4-a4d2-4d8b-9148-e3be6c30e623}">
          <xlrd:rvb i="16741"/>
        </ext>
      </extLst>
    </bk>
    <bk>
      <extLst>
        <ext uri="{3e2802c4-a4d2-4d8b-9148-e3be6c30e623}">
          <xlrd:rvb i="16742"/>
        </ext>
      </extLst>
    </bk>
    <bk>
      <extLst>
        <ext uri="{3e2802c4-a4d2-4d8b-9148-e3be6c30e623}">
          <xlrd:rvb i="16743"/>
        </ext>
      </extLst>
    </bk>
    <bk>
      <extLst>
        <ext uri="{3e2802c4-a4d2-4d8b-9148-e3be6c30e623}">
          <xlrd:rvb i="16744"/>
        </ext>
      </extLst>
    </bk>
    <bk>
      <extLst>
        <ext uri="{3e2802c4-a4d2-4d8b-9148-e3be6c30e623}">
          <xlrd:rvb i="16745"/>
        </ext>
      </extLst>
    </bk>
    <bk>
      <extLst>
        <ext uri="{3e2802c4-a4d2-4d8b-9148-e3be6c30e623}">
          <xlrd:rvb i="16746"/>
        </ext>
      </extLst>
    </bk>
    <bk>
      <extLst>
        <ext uri="{3e2802c4-a4d2-4d8b-9148-e3be6c30e623}">
          <xlrd:rvb i="16747"/>
        </ext>
      </extLst>
    </bk>
    <bk>
      <extLst>
        <ext uri="{3e2802c4-a4d2-4d8b-9148-e3be6c30e623}">
          <xlrd:rvb i="16748"/>
        </ext>
      </extLst>
    </bk>
    <bk>
      <extLst>
        <ext uri="{3e2802c4-a4d2-4d8b-9148-e3be6c30e623}">
          <xlrd:rvb i="16749"/>
        </ext>
      </extLst>
    </bk>
    <bk>
      <extLst>
        <ext uri="{3e2802c4-a4d2-4d8b-9148-e3be6c30e623}">
          <xlrd:rvb i="16750"/>
        </ext>
      </extLst>
    </bk>
    <bk>
      <extLst>
        <ext uri="{3e2802c4-a4d2-4d8b-9148-e3be6c30e623}">
          <xlrd:rvb i="16751"/>
        </ext>
      </extLst>
    </bk>
    <bk>
      <extLst>
        <ext uri="{3e2802c4-a4d2-4d8b-9148-e3be6c30e623}">
          <xlrd:rvb i="16752"/>
        </ext>
      </extLst>
    </bk>
    <bk>
      <extLst>
        <ext uri="{3e2802c4-a4d2-4d8b-9148-e3be6c30e623}">
          <xlrd:rvb i="16753"/>
        </ext>
      </extLst>
    </bk>
    <bk>
      <extLst>
        <ext uri="{3e2802c4-a4d2-4d8b-9148-e3be6c30e623}">
          <xlrd:rvb i="16754"/>
        </ext>
      </extLst>
    </bk>
    <bk>
      <extLst>
        <ext uri="{3e2802c4-a4d2-4d8b-9148-e3be6c30e623}">
          <xlrd:rvb i="16755"/>
        </ext>
      </extLst>
    </bk>
    <bk>
      <extLst>
        <ext uri="{3e2802c4-a4d2-4d8b-9148-e3be6c30e623}">
          <xlrd:rvb i="16756"/>
        </ext>
      </extLst>
    </bk>
    <bk>
      <extLst>
        <ext uri="{3e2802c4-a4d2-4d8b-9148-e3be6c30e623}">
          <xlrd:rvb i="16757"/>
        </ext>
      </extLst>
    </bk>
    <bk>
      <extLst>
        <ext uri="{3e2802c4-a4d2-4d8b-9148-e3be6c30e623}">
          <xlrd:rvb i="16758"/>
        </ext>
      </extLst>
    </bk>
    <bk>
      <extLst>
        <ext uri="{3e2802c4-a4d2-4d8b-9148-e3be6c30e623}">
          <xlrd:rvb i="16759"/>
        </ext>
      </extLst>
    </bk>
    <bk>
      <extLst>
        <ext uri="{3e2802c4-a4d2-4d8b-9148-e3be6c30e623}">
          <xlrd:rvb i="16760"/>
        </ext>
      </extLst>
    </bk>
    <bk>
      <extLst>
        <ext uri="{3e2802c4-a4d2-4d8b-9148-e3be6c30e623}">
          <xlrd:rvb i="16761"/>
        </ext>
      </extLst>
    </bk>
    <bk>
      <extLst>
        <ext uri="{3e2802c4-a4d2-4d8b-9148-e3be6c30e623}">
          <xlrd:rvb i="16762"/>
        </ext>
      </extLst>
    </bk>
    <bk>
      <extLst>
        <ext uri="{3e2802c4-a4d2-4d8b-9148-e3be6c30e623}">
          <xlrd:rvb i="16763"/>
        </ext>
      </extLst>
    </bk>
    <bk>
      <extLst>
        <ext uri="{3e2802c4-a4d2-4d8b-9148-e3be6c30e623}">
          <xlrd:rvb i="16764"/>
        </ext>
      </extLst>
    </bk>
    <bk>
      <extLst>
        <ext uri="{3e2802c4-a4d2-4d8b-9148-e3be6c30e623}">
          <xlrd:rvb i="16765"/>
        </ext>
      </extLst>
    </bk>
    <bk>
      <extLst>
        <ext uri="{3e2802c4-a4d2-4d8b-9148-e3be6c30e623}">
          <xlrd:rvb i="16766"/>
        </ext>
      </extLst>
    </bk>
    <bk>
      <extLst>
        <ext uri="{3e2802c4-a4d2-4d8b-9148-e3be6c30e623}">
          <xlrd:rvb i="16767"/>
        </ext>
      </extLst>
    </bk>
    <bk>
      <extLst>
        <ext uri="{3e2802c4-a4d2-4d8b-9148-e3be6c30e623}">
          <xlrd:rvb i="16768"/>
        </ext>
      </extLst>
    </bk>
    <bk>
      <extLst>
        <ext uri="{3e2802c4-a4d2-4d8b-9148-e3be6c30e623}">
          <xlrd:rvb i="16769"/>
        </ext>
      </extLst>
    </bk>
    <bk>
      <extLst>
        <ext uri="{3e2802c4-a4d2-4d8b-9148-e3be6c30e623}">
          <xlrd:rvb i="16770"/>
        </ext>
      </extLst>
    </bk>
    <bk>
      <extLst>
        <ext uri="{3e2802c4-a4d2-4d8b-9148-e3be6c30e623}">
          <xlrd:rvb i="16771"/>
        </ext>
      </extLst>
    </bk>
    <bk>
      <extLst>
        <ext uri="{3e2802c4-a4d2-4d8b-9148-e3be6c30e623}">
          <xlrd:rvb i="16772"/>
        </ext>
      </extLst>
    </bk>
    <bk>
      <extLst>
        <ext uri="{3e2802c4-a4d2-4d8b-9148-e3be6c30e623}">
          <xlrd:rvb i="16773"/>
        </ext>
      </extLst>
    </bk>
    <bk>
      <extLst>
        <ext uri="{3e2802c4-a4d2-4d8b-9148-e3be6c30e623}">
          <xlrd:rvb i="16774"/>
        </ext>
      </extLst>
    </bk>
    <bk>
      <extLst>
        <ext uri="{3e2802c4-a4d2-4d8b-9148-e3be6c30e623}">
          <xlrd:rvb i="16775"/>
        </ext>
      </extLst>
    </bk>
    <bk>
      <extLst>
        <ext uri="{3e2802c4-a4d2-4d8b-9148-e3be6c30e623}">
          <xlrd:rvb i="16776"/>
        </ext>
      </extLst>
    </bk>
    <bk>
      <extLst>
        <ext uri="{3e2802c4-a4d2-4d8b-9148-e3be6c30e623}">
          <xlrd:rvb i="16777"/>
        </ext>
      </extLst>
    </bk>
    <bk>
      <extLst>
        <ext uri="{3e2802c4-a4d2-4d8b-9148-e3be6c30e623}">
          <xlrd:rvb i="16778"/>
        </ext>
      </extLst>
    </bk>
    <bk>
      <extLst>
        <ext uri="{3e2802c4-a4d2-4d8b-9148-e3be6c30e623}">
          <xlrd:rvb i="16779"/>
        </ext>
      </extLst>
    </bk>
    <bk>
      <extLst>
        <ext uri="{3e2802c4-a4d2-4d8b-9148-e3be6c30e623}">
          <xlrd:rvb i="16780"/>
        </ext>
      </extLst>
    </bk>
    <bk>
      <extLst>
        <ext uri="{3e2802c4-a4d2-4d8b-9148-e3be6c30e623}">
          <xlrd:rvb i="16781"/>
        </ext>
      </extLst>
    </bk>
    <bk>
      <extLst>
        <ext uri="{3e2802c4-a4d2-4d8b-9148-e3be6c30e623}">
          <xlrd:rvb i="16782"/>
        </ext>
      </extLst>
    </bk>
    <bk>
      <extLst>
        <ext uri="{3e2802c4-a4d2-4d8b-9148-e3be6c30e623}">
          <xlrd:rvb i="16783"/>
        </ext>
      </extLst>
    </bk>
    <bk>
      <extLst>
        <ext uri="{3e2802c4-a4d2-4d8b-9148-e3be6c30e623}">
          <xlrd:rvb i="16784"/>
        </ext>
      </extLst>
    </bk>
    <bk>
      <extLst>
        <ext uri="{3e2802c4-a4d2-4d8b-9148-e3be6c30e623}">
          <xlrd:rvb i="16785"/>
        </ext>
      </extLst>
    </bk>
    <bk>
      <extLst>
        <ext uri="{3e2802c4-a4d2-4d8b-9148-e3be6c30e623}">
          <xlrd:rvb i="16786"/>
        </ext>
      </extLst>
    </bk>
    <bk>
      <extLst>
        <ext uri="{3e2802c4-a4d2-4d8b-9148-e3be6c30e623}">
          <xlrd:rvb i="16787"/>
        </ext>
      </extLst>
    </bk>
    <bk>
      <extLst>
        <ext uri="{3e2802c4-a4d2-4d8b-9148-e3be6c30e623}">
          <xlrd:rvb i="16788"/>
        </ext>
      </extLst>
    </bk>
    <bk>
      <extLst>
        <ext uri="{3e2802c4-a4d2-4d8b-9148-e3be6c30e623}">
          <xlrd:rvb i="16789"/>
        </ext>
      </extLst>
    </bk>
    <bk>
      <extLst>
        <ext uri="{3e2802c4-a4d2-4d8b-9148-e3be6c30e623}">
          <xlrd:rvb i="16790"/>
        </ext>
      </extLst>
    </bk>
    <bk>
      <extLst>
        <ext uri="{3e2802c4-a4d2-4d8b-9148-e3be6c30e623}">
          <xlrd:rvb i="16791"/>
        </ext>
      </extLst>
    </bk>
    <bk>
      <extLst>
        <ext uri="{3e2802c4-a4d2-4d8b-9148-e3be6c30e623}">
          <xlrd:rvb i="16792"/>
        </ext>
      </extLst>
    </bk>
    <bk>
      <extLst>
        <ext uri="{3e2802c4-a4d2-4d8b-9148-e3be6c30e623}">
          <xlrd:rvb i="16793"/>
        </ext>
      </extLst>
    </bk>
    <bk>
      <extLst>
        <ext uri="{3e2802c4-a4d2-4d8b-9148-e3be6c30e623}">
          <xlrd:rvb i="16794"/>
        </ext>
      </extLst>
    </bk>
    <bk>
      <extLst>
        <ext uri="{3e2802c4-a4d2-4d8b-9148-e3be6c30e623}">
          <xlrd:rvb i="16795"/>
        </ext>
      </extLst>
    </bk>
    <bk>
      <extLst>
        <ext uri="{3e2802c4-a4d2-4d8b-9148-e3be6c30e623}">
          <xlrd:rvb i="16796"/>
        </ext>
      </extLst>
    </bk>
    <bk>
      <extLst>
        <ext uri="{3e2802c4-a4d2-4d8b-9148-e3be6c30e623}">
          <xlrd:rvb i="16797"/>
        </ext>
      </extLst>
    </bk>
    <bk>
      <extLst>
        <ext uri="{3e2802c4-a4d2-4d8b-9148-e3be6c30e623}">
          <xlrd:rvb i="16798"/>
        </ext>
      </extLst>
    </bk>
    <bk>
      <extLst>
        <ext uri="{3e2802c4-a4d2-4d8b-9148-e3be6c30e623}">
          <xlrd:rvb i="16799"/>
        </ext>
      </extLst>
    </bk>
    <bk>
      <extLst>
        <ext uri="{3e2802c4-a4d2-4d8b-9148-e3be6c30e623}">
          <xlrd:rvb i="16800"/>
        </ext>
      </extLst>
    </bk>
    <bk>
      <extLst>
        <ext uri="{3e2802c4-a4d2-4d8b-9148-e3be6c30e623}">
          <xlrd:rvb i="16801"/>
        </ext>
      </extLst>
    </bk>
    <bk>
      <extLst>
        <ext uri="{3e2802c4-a4d2-4d8b-9148-e3be6c30e623}">
          <xlrd:rvb i="16802"/>
        </ext>
      </extLst>
    </bk>
    <bk>
      <extLst>
        <ext uri="{3e2802c4-a4d2-4d8b-9148-e3be6c30e623}">
          <xlrd:rvb i="16803"/>
        </ext>
      </extLst>
    </bk>
    <bk>
      <extLst>
        <ext uri="{3e2802c4-a4d2-4d8b-9148-e3be6c30e623}">
          <xlrd:rvb i="16804"/>
        </ext>
      </extLst>
    </bk>
    <bk>
      <extLst>
        <ext uri="{3e2802c4-a4d2-4d8b-9148-e3be6c30e623}">
          <xlrd:rvb i="16805"/>
        </ext>
      </extLst>
    </bk>
    <bk>
      <extLst>
        <ext uri="{3e2802c4-a4d2-4d8b-9148-e3be6c30e623}">
          <xlrd:rvb i="16806"/>
        </ext>
      </extLst>
    </bk>
    <bk>
      <extLst>
        <ext uri="{3e2802c4-a4d2-4d8b-9148-e3be6c30e623}">
          <xlrd:rvb i="16807"/>
        </ext>
      </extLst>
    </bk>
    <bk>
      <extLst>
        <ext uri="{3e2802c4-a4d2-4d8b-9148-e3be6c30e623}">
          <xlrd:rvb i="16808"/>
        </ext>
      </extLst>
    </bk>
    <bk>
      <extLst>
        <ext uri="{3e2802c4-a4d2-4d8b-9148-e3be6c30e623}">
          <xlrd:rvb i="16809"/>
        </ext>
      </extLst>
    </bk>
    <bk>
      <extLst>
        <ext uri="{3e2802c4-a4d2-4d8b-9148-e3be6c30e623}">
          <xlrd:rvb i="16810"/>
        </ext>
      </extLst>
    </bk>
    <bk>
      <extLst>
        <ext uri="{3e2802c4-a4d2-4d8b-9148-e3be6c30e623}">
          <xlrd:rvb i="16811"/>
        </ext>
      </extLst>
    </bk>
    <bk>
      <extLst>
        <ext uri="{3e2802c4-a4d2-4d8b-9148-e3be6c30e623}">
          <xlrd:rvb i="16812"/>
        </ext>
      </extLst>
    </bk>
    <bk>
      <extLst>
        <ext uri="{3e2802c4-a4d2-4d8b-9148-e3be6c30e623}">
          <xlrd:rvb i="16813"/>
        </ext>
      </extLst>
    </bk>
    <bk>
      <extLst>
        <ext uri="{3e2802c4-a4d2-4d8b-9148-e3be6c30e623}">
          <xlrd:rvb i="16814"/>
        </ext>
      </extLst>
    </bk>
    <bk>
      <extLst>
        <ext uri="{3e2802c4-a4d2-4d8b-9148-e3be6c30e623}">
          <xlrd:rvb i="16815"/>
        </ext>
      </extLst>
    </bk>
    <bk>
      <extLst>
        <ext uri="{3e2802c4-a4d2-4d8b-9148-e3be6c30e623}">
          <xlrd:rvb i="16816"/>
        </ext>
      </extLst>
    </bk>
    <bk>
      <extLst>
        <ext uri="{3e2802c4-a4d2-4d8b-9148-e3be6c30e623}">
          <xlrd:rvb i="16817"/>
        </ext>
      </extLst>
    </bk>
    <bk>
      <extLst>
        <ext uri="{3e2802c4-a4d2-4d8b-9148-e3be6c30e623}">
          <xlrd:rvb i="16818"/>
        </ext>
      </extLst>
    </bk>
    <bk>
      <extLst>
        <ext uri="{3e2802c4-a4d2-4d8b-9148-e3be6c30e623}">
          <xlrd:rvb i="16819"/>
        </ext>
      </extLst>
    </bk>
    <bk>
      <extLst>
        <ext uri="{3e2802c4-a4d2-4d8b-9148-e3be6c30e623}">
          <xlrd:rvb i="16820"/>
        </ext>
      </extLst>
    </bk>
    <bk>
      <extLst>
        <ext uri="{3e2802c4-a4d2-4d8b-9148-e3be6c30e623}">
          <xlrd:rvb i="16821"/>
        </ext>
      </extLst>
    </bk>
    <bk>
      <extLst>
        <ext uri="{3e2802c4-a4d2-4d8b-9148-e3be6c30e623}">
          <xlrd:rvb i="16822"/>
        </ext>
      </extLst>
    </bk>
    <bk>
      <extLst>
        <ext uri="{3e2802c4-a4d2-4d8b-9148-e3be6c30e623}">
          <xlrd:rvb i="16823"/>
        </ext>
      </extLst>
    </bk>
    <bk>
      <extLst>
        <ext uri="{3e2802c4-a4d2-4d8b-9148-e3be6c30e623}">
          <xlrd:rvb i="16824"/>
        </ext>
      </extLst>
    </bk>
    <bk>
      <extLst>
        <ext uri="{3e2802c4-a4d2-4d8b-9148-e3be6c30e623}">
          <xlrd:rvb i="16825"/>
        </ext>
      </extLst>
    </bk>
    <bk>
      <extLst>
        <ext uri="{3e2802c4-a4d2-4d8b-9148-e3be6c30e623}">
          <xlrd:rvb i="16826"/>
        </ext>
      </extLst>
    </bk>
    <bk>
      <extLst>
        <ext uri="{3e2802c4-a4d2-4d8b-9148-e3be6c30e623}">
          <xlrd:rvb i="16827"/>
        </ext>
      </extLst>
    </bk>
    <bk>
      <extLst>
        <ext uri="{3e2802c4-a4d2-4d8b-9148-e3be6c30e623}">
          <xlrd:rvb i="16828"/>
        </ext>
      </extLst>
    </bk>
    <bk>
      <extLst>
        <ext uri="{3e2802c4-a4d2-4d8b-9148-e3be6c30e623}">
          <xlrd:rvb i="16829"/>
        </ext>
      </extLst>
    </bk>
    <bk>
      <extLst>
        <ext uri="{3e2802c4-a4d2-4d8b-9148-e3be6c30e623}">
          <xlrd:rvb i="16830"/>
        </ext>
      </extLst>
    </bk>
    <bk>
      <extLst>
        <ext uri="{3e2802c4-a4d2-4d8b-9148-e3be6c30e623}">
          <xlrd:rvb i="16831"/>
        </ext>
      </extLst>
    </bk>
    <bk>
      <extLst>
        <ext uri="{3e2802c4-a4d2-4d8b-9148-e3be6c30e623}">
          <xlrd:rvb i="16832"/>
        </ext>
      </extLst>
    </bk>
    <bk>
      <extLst>
        <ext uri="{3e2802c4-a4d2-4d8b-9148-e3be6c30e623}">
          <xlrd:rvb i="16833"/>
        </ext>
      </extLst>
    </bk>
    <bk>
      <extLst>
        <ext uri="{3e2802c4-a4d2-4d8b-9148-e3be6c30e623}">
          <xlrd:rvb i="16834"/>
        </ext>
      </extLst>
    </bk>
    <bk>
      <extLst>
        <ext uri="{3e2802c4-a4d2-4d8b-9148-e3be6c30e623}">
          <xlrd:rvb i="16835"/>
        </ext>
      </extLst>
    </bk>
    <bk>
      <extLst>
        <ext uri="{3e2802c4-a4d2-4d8b-9148-e3be6c30e623}">
          <xlrd:rvb i="16836"/>
        </ext>
      </extLst>
    </bk>
    <bk>
      <extLst>
        <ext uri="{3e2802c4-a4d2-4d8b-9148-e3be6c30e623}">
          <xlrd:rvb i="16837"/>
        </ext>
      </extLst>
    </bk>
    <bk>
      <extLst>
        <ext uri="{3e2802c4-a4d2-4d8b-9148-e3be6c30e623}">
          <xlrd:rvb i="16838"/>
        </ext>
      </extLst>
    </bk>
    <bk>
      <extLst>
        <ext uri="{3e2802c4-a4d2-4d8b-9148-e3be6c30e623}">
          <xlrd:rvb i="16839"/>
        </ext>
      </extLst>
    </bk>
    <bk>
      <extLst>
        <ext uri="{3e2802c4-a4d2-4d8b-9148-e3be6c30e623}">
          <xlrd:rvb i="16840"/>
        </ext>
      </extLst>
    </bk>
    <bk>
      <extLst>
        <ext uri="{3e2802c4-a4d2-4d8b-9148-e3be6c30e623}">
          <xlrd:rvb i="16841"/>
        </ext>
      </extLst>
    </bk>
    <bk>
      <extLst>
        <ext uri="{3e2802c4-a4d2-4d8b-9148-e3be6c30e623}">
          <xlrd:rvb i="16842"/>
        </ext>
      </extLst>
    </bk>
    <bk>
      <extLst>
        <ext uri="{3e2802c4-a4d2-4d8b-9148-e3be6c30e623}">
          <xlrd:rvb i="16843"/>
        </ext>
      </extLst>
    </bk>
    <bk>
      <extLst>
        <ext uri="{3e2802c4-a4d2-4d8b-9148-e3be6c30e623}">
          <xlrd:rvb i="16844"/>
        </ext>
      </extLst>
    </bk>
    <bk>
      <extLst>
        <ext uri="{3e2802c4-a4d2-4d8b-9148-e3be6c30e623}">
          <xlrd:rvb i="16845"/>
        </ext>
      </extLst>
    </bk>
    <bk>
      <extLst>
        <ext uri="{3e2802c4-a4d2-4d8b-9148-e3be6c30e623}">
          <xlrd:rvb i="16846"/>
        </ext>
      </extLst>
    </bk>
    <bk>
      <extLst>
        <ext uri="{3e2802c4-a4d2-4d8b-9148-e3be6c30e623}">
          <xlrd:rvb i="16847"/>
        </ext>
      </extLst>
    </bk>
    <bk>
      <extLst>
        <ext uri="{3e2802c4-a4d2-4d8b-9148-e3be6c30e623}">
          <xlrd:rvb i="16848"/>
        </ext>
      </extLst>
    </bk>
    <bk>
      <extLst>
        <ext uri="{3e2802c4-a4d2-4d8b-9148-e3be6c30e623}">
          <xlrd:rvb i="16849"/>
        </ext>
      </extLst>
    </bk>
    <bk>
      <extLst>
        <ext uri="{3e2802c4-a4d2-4d8b-9148-e3be6c30e623}">
          <xlrd:rvb i="16850"/>
        </ext>
      </extLst>
    </bk>
    <bk>
      <extLst>
        <ext uri="{3e2802c4-a4d2-4d8b-9148-e3be6c30e623}">
          <xlrd:rvb i="16851"/>
        </ext>
      </extLst>
    </bk>
    <bk>
      <extLst>
        <ext uri="{3e2802c4-a4d2-4d8b-9148-e3be6c30e623}">
          <xlrd:rvb i="16852"/>
        </ext>
      </extLst>
    </bk>
    <bk>
      <extLst>
        <ext uri="{3e2802c4-a4d2-4d8b-9148-e3be6c30e623}">
          <xlrd:rvb i="16853"/>
        </ext>
      </extLst>
    </bk>
    <bk>
      <extLst>
        <ext uri="{3e2802c4-a4d2-4d8b-9148-e3be6c30e623}">
          <xlrd:rvb i="16854"/>
        </ext>
      </extLst>
    </bk>
    <bk>
      <extLst>
        <ext uri="{3e2802c4-a4d2-4d8b-9148-e3be6c30e623}">
          <xlrd:rvb i="16855"/>
        </ext>
      </extLst>
    </bk>
    <bk>
      <extLst>
        <ext uri="{3e2802c4-a4d2-4d8b-9148-e3be6c30e623}">
          <xlrd:rvb i="16856"/>
        </ext>
      </extLst>
    </bk>
    <bk>
      <extLst>
        <ext uri="{3e2802c4-a4d2-4d8b-9148-e3be6c30e623}">
          <xlrd:rvb i="16857"/>
        </ext>
      </extLst>
    </bk>
    <bk>
      <extLst>
        <ext uri="{3e2802c4-a4d2-4d8b-9148-e3be6c30e623}">
          <xlrd:rvb i="16858"/>
        </ext>
      </extLst>
    </bk>
    <bk>
      <extLst>
        <ext uri="{3e2802c4-a4d2-4d8b-9148-e3be6c30e623}">
          <xlrd:rvb i="16859"/>
        </ext>
      </extLst>
    </bk>
    <bk>
      <extLst>
        <ext uri="{3e2802c4-a4d2-4d8b-9148-e3be6c30e623}">
          <xlrd:rvb i="16860"/>
        </ext>
      </extLst>
    </bk>
    <bk>
      <extLst>
        <ext uri="{3e2802c4-a4d2-4d8b-9148-e3be6c30e623}">
          <xlrd:rvb i="16861"/>
        </ext>
      </extLst>
    </bk>
    <bk>
      <extLst>
        <ext uri="{3e2802c4-a4d2-4d8b-9148-e3be6c30e623}">
          <xlrd:rvb i="16862"/>
        </ext>
      </extLst>
    </bk>
    <bk>
      <extLst>
        <ext uri="{3e2802c4-a4d2-4d8b-9148-e3be6c30e623}">
          <xlrd:rvb i="16863"/>
        </ext>
      </extLst>
    </bk>
    <bk>
      <extLst>
        <ext uri="{3e2802c4-a4d2-4d8b-9148-e3be6c30e623}">
          <xlrd:rvb i="16864"/>
        </ext>
      </extLst>
    </bk>
    <bk>
      <extLst>
        <ext uri="{3e2802c4-a4d2-4d8b-9148-e3be6c30e623}">
          <xlrd:rvb i="16865"/>
        </ext>
      </extLst>
    </bk>
    <bk>
      <extLst>
        <ext uri="{3e2802c4-a4d2-4d8b-9148-e3be6c30e623}">
          <xlrd:rvb i="16866"/>
        </ext>
      </extLst>
    </bk>
    <bk>
      <extLst>
        <ext uri="{3e2802c4-a4d2-4d8b-9148-e3be6c30e623}">
          <xlrd:rvb i="16867"/>
        </ext>
      </extLst>
    </bk>
    <bk>
      <extLst>
        <ext uri="{3e2802c4-a4d2-4d8b-9148-e3be6c30e623}">
          <xlrd:rvb i="16868"/>
        </ext>
      </extLst>
    </bk>
    <bk>
      <extLst>
        <ext uri="{3e2802c4-a4d2-4d8b-9148-e3be6c30e623}">
          <xlrd:rvb i="16869"/>
        </ext>
      </extLst>
    </bk>
    <bk>
      <extLst>
        <ext uri="{3e2802c4-a4d2-4d8b-9148-e3be6c30e623}">
          <xlrd:rvb i="16870"/>
        </ext>
      </extLst>
    </bk>
    <bk>
      <extLst>
        <ext uri="{3e2802c4-a4d2-4d8b-9148-e3be6c30e623}">
          <xlrd:rvb i="16871"/>
        </ext>
      </extLst>
    </bk>
    <bk>
      <extLst>
        <ext uri="{3e2802c4-a4d2-4d8b-9148-e3be6c30e623}">
          <xlrd:rvb i="16872"/>
        </ext>
      </extLst>
    </bk>
    <bk>
      <extLst>
        <ext uri="{3e2802c4-a4d2-4d8b-9148-e3be6c30e623}">
          <xlrd:rvb i="16873"/>
        </ext>
      </extLst>
    </bk>
    <bk>
      <extLst>
        <ext uri="{3e2802c4-a4d2-4d8b-9148-e3be6c30e623}">
          <xlrd:rvb i="16874"/>
        </ext>
      </extLst>
    </bk>
    <bk>
      <extLst>
        <ext uri="{3e2802c4-a4d2-4d8b-9148-e3be6c30e623}">
          <xlrd:rvb i="16875"/>
        </ext>
      </extLst>
    </bk>
    <bk>
      <extLst>
        <ext uri="{3e2802c4-a4d2-4d8b-9148-e3be6c30e623}">
          <xlrd:rvb i="16876"/>
        </ext>
      </extLst>
    </bk>
    <bk>
      <extLst>
        <ext uri="{3e2802c4-a4d2-4d8b-9148-e3be6c30e623}">
          <xlrd:rvb i="16877"/>
        </ext>
      </extLst>
    </bk>
    <bk>
      <extLst>
        <ext uri="{3e2802c4-a4d2-4d8b-9148-e3be6c30e623}">
          <xlrd:rvb i="16878"/>
        </ext>
      </extLst>
    </bk>
    <bk>
      <extLst>
        <ext uri="{3e2802c4-a4d2-4d8b-9148-e3be6c30e623}">
          <xlrd:rvb i="16879"/>
        </ext>
      </extLst>
    </bk>
    <bk>
      <extLst>
        <ext uri="{3e2802c4-a4d2-4d8b-9148-e3be6c30e623}">
          <xlrd:rvb i="16880"/>
        </ext>
      </extLst>
    </bk>
    <bk>
      <extLst>
        <ext uri="{3e2802c4-a4d2-4d8b-9148-e3be6c30e623}">
          <xlrd:rvb i="16881"/>
        </ext>
      </extLst>
    </bk>
    <bk>
      <extLst>
        <ext uri="{3e2802c4-a4d2-4d8b-9148-e3be6c30e623}">
          <xlrd:rvb i="16882"/>
        </ext>
      </extLst>
    </bk>
    <bk>
      <extLst>
        <ext uri="{3e2802c4-a4d2-4d8b-9148-e3be6c30e623}">
          <xlrd:rvb i="16883"/>
        </ext>
      </extLst>
    </bk>
    <bk>
      <extLst>
        <ext uri="{3e2802c4-a4d2-4d8b-9148-e3be6c30e623}">
          <xlrd:rvb i="16884"/>
        </ext>
      </extLst>
    </bk>
    <bk>
      <extLst>
        <ext uri="{3e2802c4-a4d2-4d8b-9148-e3be6c30e623}">
          <xlrd:rvb i="16885"/>
        </ext>
      </extLst>
    </bk>
    <bk>
      <extLst>
        <ext uri="{3e2802c4-a4d2-4d8b-9148-e3be6c30e623}">
          <xlrd:rvb i="16886"/>
        </ext>
      </extLst>
    </bk>
    <bk>
      <extLst>
        <ext uri="{3e2802c4-a4d2-4d8b-9148-e3be6c30e623}">
          <xlrd:rvb i="16887"/>
        </ext>
      </extLst>
    </bk>
    <bk>
      <extLst>
        <ext uri="{3e2802c4-a4d2-4d8b-9148-e3be6c30e623}">
          <xlrd:rvb i="16888"/>
        </ext>
      </extLst>
    </bk>
    <bk>
      <extLst>
        <ext uri="{3e2802c4-a4d2-4d8b-9148-e3be6c30e623}">
          <xlrd:rvb i="16889"/>
        </ext>
      </extLst>
    </bk>
    <bk>
      <extLst>
        <ext uri="{3e2802c4-a4d2-4d8b-9148-e3be6c30e623}">
          <xlrd:rvb i="16890"/>
        </ext>
      </extLst>
    </bk>
    <bk>
      <extLst>
        <ext uri="{3e2802c4-a4d2-4d8b-9148-e3be6c30e623}">
          <xlrd:rvb i="16891"/>
        </ext>
      </extLst>
    </bk>
    <bk>
      <extLst>
        <ext uri="{3e2802c4-a4d2-4d8b-9148-e3be6c30e623}">
          <xlrd:rvb i="16892"/>
        </ext>
      </extLst>
    </bk>
    <bk>
      <extLst>
        <ext uri="{3e2802c4-a4d2-4d8b-9148-e3be6c30e623}">
          <xlrd:rvb i="16893"/>
        </ext>
      </extLst>
    </bk>
    <bk>
      <extLst>
        <ext uri="{3e2802c4-a4d2-4d8b-9148-e3be6c30e623}">
          <xlrd:rvb i="16894"/>
        </ext>
      </extLst>
    </bk>
    <bk>
      <extLst>
        <ext uri="{3e2802c4-a4d2-4d8b-9148-e3be6c30e623}">
          <xlrd:rvb i="16895"/>
        </ext>
      </extLst>
    </bk>
    <bk>
      <extLst>
        <ext uri="{3e2802c4-a4d2-4d8b-9148-e3be6c30e623}">
          <xlrd:rvb i="16896"/>
        </ext>
      </extLst>
    </bk>
    <bk>
      <extLst>
        <ext uri="{3e2802c4-a4d2-4d8b-9148-e3be6c30e623}">
          <xlrd:rvb i="16897"/>
        </ext>
      </extLst>
    </bk>
    <bk>
      <extLst>
        <ext uri="{3e2802c4-a4d2-4d8b-9148-e3be6c30e623}">
          <xlrd:rvb i="16898"/>
        </ext>
      </extLst>
    </bk>
    <bk>
      <extLst>
        <ext uri="{3e2802c4-a4d2-4d8b-9148-e3be6c30e623}">
          <xlrd:rvb i="16899"/>
        </ext>
      </extLst>
    </bk>
    <bk>
      <extLst>
        <ext uri="{3e2802c4-a4d2-4d8b-9148-e3be6c30e623}">
          <xlrd:rvb i="16900"/>
        </ext>
      </extLst>
    </bk>
    <bk>
      <extLst>
        <ext uri="{3e2802c4-a4d2-4d8b-9148-e3be6c30e623}">
          <xlrd:rvb i="16901"/>
        </ext>
      </extLst>
    </bk>
    <bk>
      <extLst>
        <ext uri="{3e2802c4-a4d2-4d8b-9148-e3be6c30e623}">
          <xlrd:rvb i="16902"/>
        </ext>
      </extLst>
    </bk>
    <bk>
      <extLst>
        <ext uri="{3e2802c4-a4d2-4d8b-9148-e3be6c30e623}">
          <xlrd:rvb i="16903"/>
        </ext>
      </extLst>
    </bk>
    <bk>
      <extLst>
        <ext uri="{3e2802c4-a4d2-4d8b-9148-e3be6c30e623}">
          <xlrd:rvb i="16904"/>
        </ext>
      </extLst>
    </bk>
    <bk>
      <extLst>
        <ext uri="{3e2802c4-a4d2-4d8b-9148-e3be6c30e623}">
          <xlrd:rvb i="16905"/>
        </ext>
      </extLst>
    </bk>
    <bk>
      <extLst>
        <ext uri="{3e2802c4-a4d2-4d8b-9148-e3be6c30e623}">
          <xlrd:rvb i="16906"/>
        </ext>
      </extLst>
    </bk>
    <bk>
      <extLst>
        <ext uri="{3e2802c4-a4d2-4d8b-9148-e3be6c30e623}">
          <xlrd:rvb i="16907"/>
        </ext>
      </extLst>
    </bk>
    <bk>
      <extLst>
        <ext uri="{3e2802c4-a4d2-4d8b-9148-e3be6c30e623}">
          <xlrd:rvb i="16908"/>
        </ext>
      </extLst>
    </bk>
    <bk>
      <extLst>
        <ext uri="{3e2802c4-a4d2-4d8b-9148-e3be6c30e623}">
          <xlrd:rvb i="16909"/>
        </ext>
      </extLst>
    </bk>
    <bk>
      <extLst>
        <ext uri="{3e2802c4-a4d2-4d8b-9148-e3be6c30e623}">
          <xlrd:rvb i="16910"/>
        </ext>
      </extLst>
    </bk>
    <bk>
      <extLst>
        <ext uri="{3e2802c4-a4d2-4d8b-9148-e3be6c30e623}">
          <xlrd:rvb i="16911"/>
        </ext>
      </extLst>
    </bk>
    <bk>
      <extLst>
        <ext uri="{3e2802c4-a4d2-4d8b-9148-e3be6c30e623}">
          <xlrd:rvb i="16912"/>
        </ext>
      </extLst>
    </bk>
    <bk>
      <extLst>
        <ext uri="{3e2802c4-a4d2-4d8b-9148-e3be6c30e623}">
          <xlrd:rvb i="16913"/>
        </ext>
      </extLst>
    </bk>
    <bk>
      <extLst>
        <ext uri="{3e2802c4-a4d2-4d8b-9148-e3be6c30e623}">
          <xlrd:rvb i="16914"/>
        </ext>
      </extLst>
    </bk>
    <bk>
      <extLst>
        <ext uri="{3e2802c4-a4d2-4d8b-9148-e3be6c30e623}">
          <xlrd:rvb i="16915"/>
        </ext>
      </extLst>
    </bk>
    <bk>
      <extLst>
        <ext uri="{3e2802c4-a4d2-4d8b-9148-e3be6c30e623}">
          <xlrd:rvb i="16916"/>
        </ext>
      </extLst>
    </bk>
    <bk>
      <extLst>
        <ext uri="{3e2802c4-a4d2-4d8b-9148-e3be6c30e623}">
          <xlrd:rvb i="16917"/>
        </ext>
      </extLst>
    </bk>
    <bk>
      <extLst>
        <ext uri="{3e2802c4-a4d2-4d8b-9148-e3be6c30e623}">
          <xlrd:rvb i="16918"/>
        </ext>
      </extLst>
    </bk>
    <bk>
      <extLst>
        <ext uri="{3e2802c4-a4d2-4d8b-9148-e3be6c30e623}">
          <xlrd:rvb i="16919"/>
        </ext>
      </extLst>
    </bk>
    <bk>
      <extLst>
        <ext uri="{3e2802c4-a4d2-4d8b-9148-e3be6c30e623}">
          <xlrd:rvb i="16920"/>
        </ext>
      </extLst>
    </bk>
    <bk>
      <extLst>
        <ext uri="{3e2802c4-a4d2-4d8b-9148-e3be6c30e623}">
          <xlrd:rvb i="16921"/>
        </ext>
      </extLst>
    </bk>
    <bk>
      <extLst>
        <ext uri="{3e2802c4-a4d2-4d8b-9148-e3be6c30e623}">
          <xlrd:rvb i="16922"/>
        </ext>
      </extLst>
    </bk>
    <bk>
      <extLst>
        <ext uri="{3e2802c4-a4d2-4d8b-9148-e3be6c30e623}">
          <xlrd:rvb i="16923"/>
        </ext>
      </extLst>
    </bk>
    <bk>
      <extLst>
        <ext uri="{3e2802c4-a4d2-4d8b-9148-e3be6c30e623}">
          <xlrd:rvb i="16924"/>
        </ext>
      </extLst>
    </bk>
    <bk>
      <extLst>
        <ext uri="{3e2802c4-a4d2-4d8b-9148-e3be6c30e623}">
          <xlrd:rvb i="16925"/>
        </ext>
      </extLst>
    </bk>
    <bk>
      <extLst>
        <ext uri="{3e2802c4-a4d2-4d8b-9148-e3be6c30e623}">
          <xlrd:rvb i="16926"/>
        </ext>
      </extLst>
    </bk>
    <bk>
      <extLst>
        <ext uri="{3e2802c4-a4d2-4d8b-9148-e3be6c30e623}">
          <xlrd:rvb i="16927"/>
        </ext>
      </extLst>
    </bk>
    <bk>
      <extLst>
        <ext uri="{3e2802c4-a4d2-4d8b-9148-e3be6c30e623}">
          <xlrd:rvb i="16928"/>
        </ext>
      </extLst>
    </bk>
    <bk>
      <extLst>
        <ext uri="{3e2802c4-a4d2-4d8b-9148-e3be6c30e623}">
          <xlrd:rvb i="16929"/>
        </ext>
      </extLst>
    </bk>
    <bk>
      <extLst>
        <ext uri="{3e2802c4-a4d2-4d8b-9148-e3be6c30e623}">
          <xlrd:rvb i="16930"/>
        </ext>
      </extLst>
    </bk>
    <bk>
      <extLst>
        <ext uri="{3e2802c4-a4d2-4d8b-9148-e3be6c30e623}">
          <xlrd:rvb i="16931"/>
        </ext>
      </extLst>
    </bk>
    <bk>
      <extLst>
        <ext uri="{3e2802c4-a4d2-4d8b-9148-e3be6c30e623}">
          <xlrd:rvb i="16932"/>
        </ext>
      </extLst>
    </bk>
    <bk>
      <extLst>
        <ext uri="{3e2802c4-a4d2-4d8b-9148-e3be6c30e623}">
          <xlrd:rvb i="16933"/>
        </ext>
      </extLst>
    </bk>
    <bk>
      <extLst>
        <ext uri="{3e2802c4-a4d2-4d8b-9148-e3be6c30e623}">
          <xlrd:rvb i="16934"/>
        </ext>
      </extLst>
    </bk>
    <bk>
      <extLst>
        <ext uri="{3e2802c4-a4d2-4d8b-9148-e3be6c30e623}">
          <xlrd:rvb i="16935"/>
        </ext>
      </extLst>
    </bk>
    <bk>
      <extLst>
        <ext uri="{3e2802c4-a4d2-4d8b-9148-e3be6c30e623}">
          <xlrd:rvb i="16936"/>
        </ext>
      </extLst>
    </bk>
    <bk>
      <extLst>
        <ext uri="{3e2802c4-a4d2-4d8b-9148-e3be6c30e623}">
          <xlrd:rvb i="16937"/>
        </ext>
      </extLst>
    </bk>
    <bk>
      <extLst>
        <ext uri="{3e2802c4-a4d2-4d8b-9148-e3be6c30e623}">
          <xlrd:rvb i="16938"/>
        </ext>
      </extLst>
    </bk>
    <bk>
      <extLst>
        <ext uri="{3e2802c4-a4d2-4d8b-9148-e3be6c30e623}">
          <xlrd:rvb i="16939"/>
        </ext>
      </extLst>
    </bk>
    <bk>
      <extLst>
        <ext uri="{3e2802c4-a4d2-4d8b-9148-e3be6c30e623}">
          <xlrd:rvb i="16940"/>
        </ext>
      </extLst>
    </bk>
    <bk>
      <extLst>
        <ext uri="{3e2802c4-a4d2-4d8b-9148-e3be6c30e623}">
          <xlrd:rvb i="16941"/>
        </ext>
      </extLst>
    </bk>
    <bk>
      <extLst>
        <ext uri="{3e2802c4-a4d2-4d8b-9148-e3be6c30e623}">
          <xlrd:rvb i="16942"/>
        </ext>
      </extLst>
    </bk>
    <bk>
      <extLst>
        <ext uri="{3e2802c4-a4d2-4d8b-9148-e3be6c30e623}">
          <xlrd:rvb i="16943"/>
        </ext>
      </extLst>
    </bk>
    <bk>
      <extLst>
        <ext uri="{3e2802c4-a4d2-4d8b-9148-e3be6c30e623}">
          <xlrd:rvb i="16944"/>
        </ext>
      </extLst>
    </bk>
    <bk>
      <extLst>
        <ext uri="{3e2802c4-a4d2-4d8b-9148-e3be6c30e623}">
          <xlrd:rvb i="16945"/>
        </ext>
      </extLst>
    </bk>
    <bk>
      <extLst>
        <ext uri="{3e2802c4-a4d2-4d8b-9148-e3be6c30e623}">
          <xlrd:rvb i="16946"/>
        </ext>
      </extLst>
    </bk>
    <bk>
      <extLst>
        <ext uri="{3e2802c4-a4d2-4d8b-9148-e3be6c30e623}">
          <xlrd:rvb i="16947"/>
        </ext>
      </extLst>
    </bk>
    <bk>
      <extLst>
        <ext uri="{3e2802c4-a4d2-4d8b-9148-e3be6c30e623}">
          <xlrd:rvb i="16948"/>
        </ext>
      </extLst>
    </bk>
    <bk>
      <extLst>
        <ext uri="{3e2802c4-a4d2-4d8b-9148-e3be6c30e623}">
          <xlrd:rvb i="16949"/>
        </ext>
      </extLst>
    </bk>
    <bk>
      <extLst>
        <ext uri="{3e2802c4-a4d2-4d8b-9148-e3be6c30e623}">
          <xlrd:rvb i="16950"/>
        </ext>
      </extLst>
    </bk>
    <bk>
      <extLst>
        <ext uri="{3e2802c4-a4d2-4d8b-9148-e3be6c30e623}">
          <xlrd:rvb i="16951"/>
        </ext>
      </extLst>
    </bk>
    <bk>
      <extLst>
        <ext uri="{3e2802c4-a4d2-4d8b-9148-e3be6c30e623}">
          <xlrd:rvb i="16952"/>
        </ext>
      </extLst>
    </bk>
    <bk>
      <extLst>
        <ext uri="{3e2802c4-a4d2-4d8b-9148-e3be6c30e623}">
          <xlrd:rvb i="16953"/>
        </ext>
      </extLst>
    </bk>
    <bk>
      <extLst>
        <ext uri="{3e2802c4-a4d2-4d8b-9148-e3be6c30e623}">
          <xlrd:rvb i="16954"/>
        </ext>
      </extLst>
    </bk>
    <bk>
      <extLst>
        <ext uri="{3e2802c4-a4d2-4d8b-9148-e3be6c30e623}">
          <xlrd:rvb i="16955"/>
        </ext>
      </extLst>
    </bk>
    <bk>
      <extLst>
        <ext uri="{3e2802c4-a4d2-4d8b-9148-e3be6c30e623}">
          <xlrd:rvb i="16956"/>
        </ext>
      </extLst>
    </bk>
    <bk>
      <extLst>
        <ext uri="{3e2802c4-a4d2-4d8b-9148-e3be6c30e623}">
          <xlrd:rvb i="16957"/>
        </ext>
      </extLst>
    </bk>
    <bk>
      <extLst>
        <ext uri="{3e2802c4-a4d2-4d8b-9148-e3be6c30e623}">
          <xlrd:rvb i="16958"/>
        </ext>
      </extLst>
    </bk>
    <bk>
      <extLst>
        <ext uri="{3e2802c4-a4d2-4d8b-9148-e3be6c30e623}">
          <xlrd:rvb i="16959"/>
        </ext>
      </extLst>
    </bk>
    <bk>
      <extLst>
        <ext uri="{3e2802c4-a4d2-4d8b-9148-e3be6c30e623}">
          <xlrd:rvb i="16960"/>
        </ext>
      </extLst>
    </bk>
    <bk>
      <extLst>
        <ext uri="{3e2802c4-a4d2-4d8b-9148-e3be6c30e623}">
          <xlrd:rvb i="16961"/>
        </ext>
      </extLst>
    </bk>
    <bk>
      <extLst>
        <ext uri="{3e2802c4-a4d2-4d8b-9148-e3be6c30e623}">
          <xlrd:rvb i="16962"/>
        </ext>
      </extLst>
    </bk>
    <bk>
      <extLst>
        <ext uri="{3e2802c4-a4d2-4d8b-9148-e3be6c30e623}">
          <xlrd:rvb i="16963"/>
        </ext>
      </extLst>
    </bk>
    <bk>
      <extLst>
        <ext uri="{3e2802c4-a4d2-4d8b-9148-e3be6c30e623}">
          <xlrd:rvb i="16964"/>
        </ext>
      </extLst>
    </bk>
    <bk>
      <extLst>
        <ext uri="{3e2802c4-a4d2-4d8b-9148-e3be6c30e623}">
          <xlrd:rvb i="16965"/>
        </ext>
      </extLst>
    </bk>
    <bk>
      <extLst>
        <ext uri="{3e2802c4-a4d2-4d8b-9148-e3be6c30e623}">
          <xlrd:rvb i="16966"/>
        </ext>
      </extLst>
    </bk>
    <bk>
      <extLst>
        <ext uri="{3e2802c4-a4d2-4d8b-9148-e3be6c30e623}">
          <xlrd:rvb i="16967"/>
        </ext>
      </extLst>
    </bk>
    <bk>
      <extLst>
        <ext uri="{3e2802c4-a4d2-4d8b-9148-e3be6c30e623}">
          <xlrd:rvb i="16968"/>
        </ext>
      </extLst>
    </bk>
    <bk>
      <extLst>
        <ext uri="{3e2802c4-a4d2-4d8b-9148-e3be6c30e623}">
          <xlrd:rvb i="16969"/>
        </ext>
      </extLst>
    </bk>
    <bk>
      <extLst>
        <ext uri="{3e2802c4-a4d2-4d8b-9148-e3be6c30e623}">
          <xlrd:rvb i="16970"/>
        </ext>
      </extLst>
    </bk>
    <bk>
      <extLst>
        <ext uri="{3e2802c4-a4d2-4d8b-9148-e3be6c30e623}">
          <xlrd:rvb i="16971"/>
        </ext>
      </extLst>
    </bk>
    <bk>
      <extLst>
        <ext uri="{3e2802c4-a4d2-4d8b-9148-e3be6c30e623}">
          <xlrd:rvb i="16972"/>
        </ext>
      </extLst>
    </bk>
    <bk>
      <extLst>
        <ext uri="{3e2802c4-a4d2-4d8b-9148-e3be6c30e623}">
          <xlrd:rvb i="16973"/>
        </ext>
      </extLst>
    </bk>
    <bk>
      <extLst>
        <ext uri="{3e2802c4-a4d2-4d8b-9148-e3be6c30e623}">
          <xlrd:rvb i="16974"/>
        </ext>
      </extLst>
    </bk>
    <bk>
      <extLst>
        <ext uri="{3e2802c4-a4d2-4d8b-9148-e3be6c30e623}">
          <xlrd:rvb i="16975"/>
        </ext>
      </extLst>
    </bk>
    <bk>
      <extLst>
        <ext uri="{3e2802c4-a4d2-4d8b-9148-e3be6c30e623}">
          <xlrd:rvb i="16976"/>
        </ext>
      </extLst>
    </bk>
    <bk>
      <extLst>
        <ext uri="{3e2802c4-a4d2-4d8b-9148-e3be6c30e623}">
          <xlrd:rvb i="16977"/>
        </ext>
      </extLst>
    </bk>
    <bk>
      <extLst>
        <ext uri="{3e2802c4-a4d2-4d8b-9148-e3be6c30e623}">
          <xlrd:rvb i="16978"/>
        </ext>
      </extLst>
    </bk>
    <bk>
      <extLst>
        <ext uri="{3e2802c4-a4d2-4d8b-9148-e3be6c30e623}">
          <xlrd:rvb i="16979"/>
        </ext>
      </extLst>
    </bk>
    <bk>
      <extLst>
        <ext uri="{3e2802c4-a4d2-4d8b-9148-e3be6c30e623}">
          <xlrd:rvb i="16980"/>
        </ext>
      </extLst>
    </bk>
    <bk>
      <extLst>
        <ext uri="{3e2802c4-a4d2-4d8b-9148-e3be6c30e623}">
          <xlrd:rvb i="16981"/>
        </ext>
      </extLst>
    </bk>
    <bk>
      <extLst>
        <ext uri="{3e2802c4-a4d2-4d8b-9148-e3be6c30e623}">
          <xlrd:rvb i="16982"/>
        </ext>
      </extLst>
    </bk>
    <bk>
      <extLst>
        <ext uri="{3e2802c4-a4d2-4d8b-9148-e3be6c30e623}">
          <xlrd:rvb i="16983"/>
        </ext>
      </extLst>
    </bk>
    <bk>
      <extLst>
        <ext uri="{3e2802c4-a4d2-4d8b-9148-e3be6c30e623}">
          <xlrd:rvb i="16984"/>
        </ext>
      </extLst>
    </bk>
    <bk>
      <extLst>
        <ext uri="{3e2802c4-a4d2-4d8b-9148-e3be6c30e623}">
          <xlrd:rvb i="16985"/>
        </ext>
      </extLst>
    </bk>
    <bk>
      <extLst>
        <ext uri="{3e2802c4-a4d2-4d8b-9148-e3be6c30e623}">
          <xlrd:rvb i="16986"/>
        </ext>
      </extLst>
    </bk>
    <bk>
      <extLst>
        <ext uri="{3e2802c4-a4d2-4d8b-9148-e3be6c30e623}">
          <xlrd:rvb i="16987"/>
        </ext>
      </extLst>
    </bk>
    <bk>
      <extLst>
        <ext uri="{3e2802c4-a4d2-4d8b-9148-e3be6c30e623}">
          <xlrd:rvb i="16988"/>
        </ext>
      </extLst>
    </bk>
    <bk>
      <extLst>
        <ext uri="{3e2802c4-a4d2-4d8b-9148-e3be6c30e623}">
          <xlrd:rvb i="16989"/>
        </ext>
      </extLst>
    </bk>
    <bk>
      <extLst>
        <ext uri="{3e2802c4-a4d2-4d8b-9148-e3be6c30e623}">
          <xlrd:rvb i="16990"/>
        </ext>
      </extLst>
    </bk>
    <bk>
      <extLst>
        <ext uri="{3e2802c4-a4d2-4d8b-9148-e3be6c30e623}">
          <xlrd:rvb i="16991"/>
        </ext>
      </extLst>
    </bk>
    <bk>
      <extLst>
        <ext uri="{3e2802c4-a4d2-4d8b-9148-e3be6c30e623}">
          <xlrd:rvb i="16992"/>
        </ext>
      </extLst>
    </bk>
    <bk>
      <extLst>
        <ext uri="{3e2802c4-a4d2-4d8b-9148-e3be6c30e623}">
          <xlrd:rvb i="16993"/>
        </ext>
      </extLst>
    </bk>
    <bk>
      <extLst>
        <ext uri="{3e2802c4-a4d2-4d8b-9148-e3be6c30e623}">
          <xlrd:rvb i="16994"/>
        </ext>
      </extLst>
    </bk>
    <bk>
      <extLst>
        <ext uri="{3e2802c4-a4d2-4d8b-9148-e3be6c30e623}">
          <xlrd:rvb i="16995"/>
        </ext>
      </extLst>
    </bk>
    <bk>
      <extLst>
        <ext uri="{3e2802c4-a4d2-4d8b-9148-e3be6c30e623}">
          <xlrd:rvb i="16996"/>
        </ext>
      </extLst>
    </bk>
    <bk>
      <extLst>
        <ext uri="{3e2802c4-a4d2-4d8b-9148-e3be6c30e623}">
          <xlrd:rvb i="16997"/>
        </ext>
      </extLst>
    </bk>
    <bk>
      <extLst>
        <ext uri="{3e2802c4-a4d2-4d8b-9148-e3be6c30e623}">
          <xlrd:rvb i="16998"/>
        </ext>
      </extLst>
    </bk>
    <bk>
      <extLst>
        <ext uri="{3e2802c4-a4d2-4d8b-9148-e3be6c30e623}">
          <xlrd:rvb i="16999"/>
        </ext>
      </extLst>
    </bk>
    <bk>
      <extLst>
        <ext uri="{3e2802c4-a4d2-4d8b-9148-e3be6c30e623}">
          <xlrd:rvb i="17000"/>
        </ext>
      </extLst>
    </bk>
    <bk>
      <extLst>
        <ext uri="{3e2802c4-a4d2-4d8b-9148-e3be6c30e623}">
          <xlrd:rvb i="17001"/>
        </ext>
      </extLst>
    </bk>
    <bk>
      <extLst>
        <ext uri="{3e2802c4-a4d2-4d8b-9148-e3be6c30e623}">
          <xlrd:rvb i="17002"/>
        </ext>
      </extLst>
    </bk>
    <bk>
      <extLst>
        <ext uri="{3e2802c4-a4d2-4d8b-9148-e3be6c30e623}">
          <xlrd:rvb i="17003"/>
        </ext>
      </extLst>
    </bk>
    <bk>
      <extLst>
        <ext uri="{3e2802c4-a4d2-4d8b-9148-e3be6c30e623}">
          <xlrd:rvb i="17004"/>
        </ext>
      </extLst>
    </bk>
    <bk>
      <extLst>
        <ext uri="{3e2802c4-a4d2-4d8b-9148-e3be6c30e623}">
          <xlrd:rvb i="17005"/>
        </ext>
      </extLst>
    </bk>
    <bk>
      <extLst>
        <ext uri="{3e2802c4-a4d2-4d8b-9148-e3be6c30e623}">
          <xlrd:rvb i="17006"/>
        </ext>
      </extLst>
    </bk>
    <bk>
      <extLst>
        <ext uri="{3e2802c4-a4d2-4d8b-9148-e3be6c30e623}">
          <xlrd:rvb i="17007"/>
        </ext>
      </extLst>
    </bk>
    <bk>
      <extLst>
        <ext uri="{3e2802c4-a4d2-4d8b-9148-e3be6c30e623}">
          <xlrd:rvb i="17008"/>
        </ext>
      </extLst>
    </bk>
    <bk>
      <extLst>
        <ext uri="{3e2802c4-a4d2-4d8b-9148-e3be6c30e623}">
          <xlrd:rvb i="17009"/>
        </ext>
      </extLst>
    </bk>
    <bk>
      <extLst>
        <ext uri="{3e2802c4-a4d2-4d8b-9148-e3be6c30e623}">
          <xlrd:rvb i="17010"/>
        </ext>
      </extLst>
    </bk>
    <bk>
      <extLst>
        <ext uri="{3e2802c4-a4d2-4d8b-9148-e3be6c30e623}">
          <xlrd:rvb i="17011"/>
        </ext>
      </extLst>
    </bk>
    <bk>
      <extLst>
        <ext uri="{3e2802c4-a4d2-4d8b-9148-e3be6c30e623}">
          <xlrd:rvb i="17012"/>
        </ext>
      </extLst>
    </bk>
    <bk>
      <extLst>
        <ext uri="{3e2802c4-a4d2-4d8b-9148-e3be6c30e623}">
          <xlrd:rvb i="17013"/>
        </ext>
      </extLst>
    </bk>
    <bk>
      <extLst>
        <ext uri="{3e2802c4-a4d2-4d8b-9148-e3be6c30e623}">
          <xlrd:rvb i="17014"/>
        </ext>
      </extLst>
    </bk>
    <bk>
      <extLst>
        <ext uri="{3e2802c4-a4d2-4d8b-9148-e3be6c30e623}">
          <xlrd:rvb i="17015"/>
        </ext>
      </extLst>
    </bk>
    <bk>
      <extLst>
        <ext uri="{3e2802c4-a4d2-4d8b-9148-e3be6c30e623}">
          <xlrd:rvb i="17016"/>
        </ext>
      </extLst>
    </bk>
    <bk>
      <extLst>
        <ext uri="{3e2802c4-a4d2-4d8b-9148-e3be6c30e623}">
          <xlrd:rvb i="17017"/>
        </ext>
      </extLst>
    </bk>
    <bk>
      <extLst>
        <ext uri="{3e2802c4-a4d2-4d8b-9148-e3be6c30e623}">
          <xlrd:rvb i="17018"/>
        </ext>
      </extLst>
    </bk>
    <bk>
      <extLst>
        <ext uri="{3e2802c4-a4d2-4d8b-9148-e3be6c30e623}">
          <xlrd:rvb i="17019"/>
        </ext>
      </extLst>
    </bk>
    <bk>
      <extLst>
        <ext uri="{3e2802c4-a4d2-4d8b-9148-e3be6c30e623}">
          <xlrd:rvb i="17020"/>
        </ext>
      </extLst>
    </bk>
    <bk>
      <extLst>
        <ext uri="{3e2802c4-a4d2-4d8b-9148-e3be6c30e623}">
          <xlrd:rvb i="17021"/>
        </ext>
      </extLst>
    </bk>
    <bk>
      <extLst>
        <ext uri="{3e2802c4-a4d2-4d8b-9148-e3be6c30e623}">
          <xlrd:rvb i="17022"/>
        </ext>
      </extLst>
    </bk>
    <bk>
      <extLst>
        <ext uri="{3e2802c4-a4d2-4d8b-9148-e3be6c30e623}">
          <xlrd:rvb i="17023"/>
        </ext>
      </extLst>
    </bk>
    <bk>
      <extLst>
        <ext uri="{3e2802c4-a4d2-4d8b-9148-e3be6c30e623}">
          <xlrd:rvb i="17024"/>
        </ext>
      </extLst>
    </bk>
    <bk>
      <extLst>
        <ext uri="{3e2802c4-a4d2-4d8b-9148-e3be6c30e623}">
          <xlrd:rvb i="17025"/>
        </ext>
      </extLst>
    </bk>
    <bk>
      <extLst>
        <ext uri="{3e2802c4-a4d2-4d8b-9148-e3be6c30e623}">
          <xlrd:rvb i="17026"/>
        </ext>
      </extLst>
    </bk>
    <bk>
      <extLst>
        <ext uri="{3e2802c4-a4d2-4d8b-9148-e3be6c30e623}">
          <xlrd:rvb i="17027"/>
        </ext>
      </extLst>
    </bk>
    <bk>
      <extLst>
        <ext uri="{3e2802c4-a4d2-4d8b-9148-e3be6c30e623}">
          <xlrd:rvb i="17028"/>
        </ext>
      </extLst>
    </bk>
    <bk>
      <extLst>
        <ext uri="{3e2802c4-a4d2-4d8b-9148-e3be6c30e623}">
          <xlrd:rvb i="17029"/>
        </ext>
      </extLst>
    </bk>
    <bk>
      <extLst>
        <ext uri="{3e2802c4-a4d2-4d8b-9148-e3be6c30e623}">
          <xlrd:rvb i="17030"/>
        </ext>
      </extLst>
    </bk>
    <bk>
      <extLst>
        <ext uri="{3e2802c4-a4d2-4d8b-9148-e3be6c30e623}">
          <xlrd:rvb i="17031"/>
        </ext>
      </extLst>
    </bk>
    <bk>
      <extLst>
        <ext uri="{3e2802c4-a4d2-4d8b-9148-e3be6c30e623}">
          <xlrd:rvb i="17032"/>
        </ext>
      </extLst>
    </bk>
    <bk>
      <extLst>
        <ext uri="{3e2802c4-a4d2-4d8b-9148-e3be6c30e623}">
          <xlrd:rvb i="17033"/>
        </ext>
      </extLst>
    </bk>
    <bk>
      <extLst>
        <ext uri="{3e2802c4-a4d2-4d8b-9148-e3be6c30e623}">
          <xlrd:rvb i="17034"/>
        </ext>
      </extLst>
    </bk>
    <bk>
      <extLst>
        <ext uri="{3e2802c4-a4d2-4d8b-9148-e3be6c30e623}">
          <xlrd:rvb i="17035"/>
        </ext>
      </extLst>
    </bk>
    <bk>
      <extLst>
        <ext uri="{3e2802c4-a4d2-4d8b-9148-e3be6c30e623}">
          <xlrd:rvb i="17036"/>
        </ext>
      </extLst>
    </bk>
    <bk>
      <extLst>
        <ext uri="{3e2802c4-a4d2-4d8b-9148-e3be6c30e623}">
          <xlrd:rvb i="17037"/>
        </ext>
      </extLst>
    </bk>
    <bk>
      <extLst>
        <ext uri="{3e2802c4-a4d2-4d8b-9148-e3be6c30e623}">
          <xlrd:rvb i="17038"/>
        </ext>
      </extLst>
    </bk>
    <bk>
      <extLst>
        <ext uri="{3e2802c4-a4d2-4d8b-9148-e3be6c30e623}">
          <xlrd:rvb i="17039"/>
        </ext>
      </extLst>
    </bk>
    <bk>
      <extLst>
        <ext uri="{3e2802c4-a4d2-4d8b-9148-e3be6c30e623}">
          <xlrd:rvb i="17040"/>
        </ext>
      </extLst>
    </bk>
    <bk>
      <extLst>
        <ext uri="{3e2802c4-a4d2-4d8b-9148-e3be6c30e623}">
          <xlrd:rvb i="17041"/>
        </ext>
      </extLst>
    </bk>
    <bk>
      <extLst>
        <ext uri="{3e2802c4-a4d2-4d8b-9148-e3be6c30e623}">
          <xlrd:rvb i="17042"/>
        </ext>
      </extLst>
    </bk>
    <bk>
      <extLst>
        <ext uri="{3e2802c4-a4d2-4d8b-9148-e3be6c30e623}">
          <xlrd:rvb i="17043"/>
        </ext>
      </extLst>
    </bk>
    <bk>
      <extLst>
        <ext uri="{3e2802c4-a4d2-4d8b-9148-e3be6c30e623}">
          <xlrd:rvb i="17044"/>
        </ext>
      </extLst>
    </bk>
    <bk>
      <extLst>
        <ext uri="{3e2802c4-a4d2-4d8b-9148-e3be6c30e623}">
          <xlrd:rvb i="17045"/>
        </ext>
      </extLst>
    </bk>
    <bk>
      <extLst>
        <ext uri="{3e2802c4-a4d2-4d8b-9148-e3be6c30e623}">
          <xlrd:rvb i="17046"/>
        </ext>
      </extLst>
    </bk>
    <bk>
      <extLst>
        <ext uri="{3e2802c4-a4d2-4d8b-9148-e3be6c30e623}">
          <xlrd:rvb i="17047"/>
        </ext>
      </extLst>
    </bk>
    <bk>
      <extLst>
        <ext uri="{3e2802c4-a4d2-4d8b-9148-e3be6c30e623}">
          <xlrd:rvb i="17048"/>
        </ext>
      </extLst>
    </bk>
    <bk>
      <extLst>
        <ext uri="{3e2802c4-a4d2-4d8b-9148-e3be6c30e623}">
          <xlrd:rvb i="17049"/>
        </ext>
      </extLst>
    </bk>
    <bk>
      <extLst>
        <ext uri="{3e2802c4-a4d2-4d8b-9148-e3be6c30e623}">
          <xlrd:rvb i="17050"/>
        </ext>
      </extLst>
    </bk>
    <bk>
      <extLst>
        <ext uri="{3e2802c4-a4d2-4d8b-9148-e3be6c30e623}">
          <xlrd:rvb i="17051"/>
        </ext>
      </extLst>
    </bk>
    <bk>
      <extLst>
        <ext uri="{3e2802c4-a4d2-4d8b-9148-e3be6c30e623}">
          <xlrd:rvb i="17052"/>
        </ext>
      </extLst>
    </bk>
    <bk>
      <extLst>
        <ext uri="{3e2802c4-a4d2-4d8b-9148-e3be6c30e623}">
          <xlrd:rvb i="17053"/>
        </ext>
      </extLst>
    </bk>
    <bk>
      <extLst>
        <ext uri="{3e2802c4-a4d2-4d8b-9148-e3be6c30e623}">
          <xlrd:rvb i="17054"/>
        </ext>
      </extLst>
    </bk>
    <bk>
      <extLst>
        <ext uri="{3e2802c4-a4d2-4d8b-9148-e3be6c30e623}">
          <xlrd:rvb i="17055"/>
        </ext>
      </extLst>
    </bk>
    <bk>
      <extLst>
        <ext uri="{3e2802c4-a4d2-4d8b-9148-e3be6c30e623}">
          <xlrd:rvb i="17056"/>
        </ext>
      </extLst>
    </bk>
    <bk>
      <extLst>
        <ext uri="{3e2802c4-a4d2-4d8b-9148-e3be6c30e623}">
          <xlrd:rvb i="17057"/>
        </ext>
      </extLst>
    </bk>
    <bk>
      <extLst>
        <ext uri="{3e2802c4-a4d2-4d8b-9148-e3be6c30e623}">
          <xlrd:rvb i="17058"/>
        </ext>
      </extLst>
    </bk>
    <bk>
      <extLst>
        <ext uri="{3e2802c4-a4d2-4d8b-9148-e3be6c30e623}">
          <xlrd:rvb i="17059"/>
        </ext>
      </extLst>
    </bk>
    <bk>
      <extLst>
        <ext uri="{3e2802c4-a4d2-4d8b-9148-e3be6c30e623}">
          <xlrd:rvb i="17060"/>
        </ext>
      </extLst>
    </bk>
    <bk>
      <extLst>
        <ext uri="{3e2802c4-a4d2-4d8b-9148-e3be6c30e623}">
          <xlrd:rvb i="17061"/>
        </ext>
      </extLst>
    </bk>
    <bk>
      <extLst>
        <ext uri="{3e2802c4-a4d2-4d8b-9148-e3be6c30e623}">
          <xlrd:rvb i="17062"/>
        </ext>
      </extLst>
    </bk>
    <bk>
      <extLst>
        <ext uri="{3e2802c4-a4d2-4d8b-9148-e3be6c30e623}">
          <xlrd:rvb i="17063"/>
        </ext>
      </extLst>
    </bk>
    <bk>
      <extLst>
        <ext uri="{3e2802c4-a4d2-4d8b-9148-e3be6c30e623}">
          <xlrd:rvb i="17064"/>
        </ext>
      </extLst>
    </bk>
    <bk>
      <extLst>
        <ext uri="{3e2802c4-a4d2-4d8b-9148-e3be6c30e623}">
          <xlrd:rvb i="17065"/>
        </ext>
      </extLst>
    </bk>
    <bk>
      <extLst>
        <ext uri="{3e2802c4-a4d2-4d8b-9148-e3be6c30e623}">
          <xlrd:rvb i="17066"/>
        </ext>
      </extLst>
    </bk>
    <bk>
      <extLst>
        <ext uri="{3e2802c4-a4d2-4d8b-9148-e3be6c30e623}">
          <xlrd:rvb i="17067"/>
        </ext>
      </extLst>
    </bk>
    <bk>
      <extLst>
        <ext uri="{3e2802c4-a4d2-4d8b-9148-e3be6c30e623}">
          <xlrd:rvb i="17068"/>
        </ext>
      </extLst>
    </bk>
    <bk>
      <extLst>
        <ext uri="{3e2802c4-a4d2-4d8b-9148-e3be6c30e623}">
          <xlrd:rvb i="17069"/>
        </ext>
      </extLst>
    </bk>
    <bk>
      <extLst>
        <ext uri="{3e2802c4-a4d2-4d8b-9148-e3be6c30e623}">
          <xlrd:rvb i="17070"/>
        </ext>
      </extLst>
    </bk>
    <bk>
      <extLst>
        <ext uri="{3e2802c4-a4d2-4d8b-9148-e3be6c30e623}">
          <xlrd:rvb i="17071"/>
        </ext>
      </extLst>
    </bk>
    <bk>
      <extLst>
        <ext uri="{3e2802c4-a4d2-4d8b-9148-e3be6c30e623}">
          <xlrd:rvb i="17072"/>
        </ext>
      </extLst>
    </bk>
    <bk>
      <extLst>
        <ext uri="{3e2802c4-a4d2-4d8b-9148-e3be6c30e623}">
          <xlrd:rvb i="17073"/>
        </ext>
      </extLst>
    </bk>
    <bk>
      <extLst>
        <ext uri="{3e2802c4-a4d2-4d8b-9148-e3be6c30e623}">
          <xlrd:rvb i="17074"/>
        </ext>
      </extLst>
    </bk>
    <bk>
      <extLst>
        <ext uri="{3e2802c4-a4d2-4d8b-9148-e3be6c30e623}">
          <xlrd:rvb i="17075"/>
        </ext>
      </extLst>
    </bk>
    <bk>
      <extLst>
        <ext uri="{3e2802c4-a4d2-4d8b-9148-e3be6c30e623}">
          <xlrd:rvb i="17076"/>
        </ext>
      </extLst>
    </bk>
    <bk>
      <extLst>
        <ext uri="{3e2802c4-a4d2-4d8b-9148-e3be6c30e623}">
          <xlrd:rvb i="17077"/>
        </ext>
      </extLst>
    </bk>
    <bk>
      <extLst>
        <ext uri="{3e2802c4-a4d2-4d8b-9148-e3be6c30e623}">
          <xlrd:rvb i="17078"/>
        </ext>
      </extLst>
    </bk>
    <bk>
      <extLst>
        <ext uri="{3e2802c4-a4d2-4d8b-9148-e3be6c30e623}">
          <xlrd:rvb i="17079"/>
        </ext>
      </extLst>
    </bk>
    <bk>
      <extLst>
        <ext uri="{3e2802c4-a4d2-4d8b-9148-e3be6c30e623}">
          <xlrd:rvb i="17080"/>
        </ext>
      </extLst>
    </bk>
    <bk>
      <extLst>
        <ext uri="{3e2802c4-a4d2-4d8b-9148-e3be6c30e623}">
          <xlrd:rvb i="17081"/>
        </ext>
      </extLst>
    </bk>
    <bk>
      <extLst>
        <ext uri="{3e2802c4-a4d2-4d8b-9148-e3be6c30e623}">
          <xlrd:rvb i="17082"/>
        </ext>
      </extLst>
    </bk>
    <bk>
      <extLst>
        <ext uri="{3e2802c4-a4d2-4d8b-9148-e3be6c30e623}">
          <xlrd:rvb i="17083"/>
        </ext>
      </extLst>
    </bk>
    <bk>
      <extLst>
        <ext uri="{3e2802c4-a4d2-4d8b-9148-e3be6c30e623}">
          <xlrd:rvb i="17084"/>
        </ext>
      </extLst>
    </bk>
    <bk>
      <extLst>
        <ext uri="{3e2802c4-a4d2-4d8b-9148-e3be6c30e623}">
          <xlrd:rvb i="17085"/>
        </ext>
      </extLst>
    </bk>
    <bk>
      <extLst>
        <ext uri="{3e2802c4-a4d2-4d8b-9148-e3be6c30e623}">
          <xlrd:rvb i="17086"/>
        </ext>
      </extLst>
    </bk>
    <bk>
      <extLst>
        <ext uri="{3e2802c4-a4d2-4d8b-9148-e3be6c30e623}">
          <xlrd:rvb i="17087"/>
        </ext>
      </extLst>
    </bk>
    <bk>
      <extLst>
        <ext uri="{3e2802c4-a4d2-4d8b-9148-e3be6c30e623}">
          <xlrd:rvb i="17088"/>
        </ext>
      </extLst>
    </bk>
    <bk>
      <extLst>
        <ext uri="{3e2802c4-a4d2-4d8b-9148-e3be6c30e623}">
          <xlrd:rvb i="17089"/>
        </ext>
      </extLst>
    </bk>
    <bk>
      <extLst>
        <ext uri="{3e2802c4-a4d2-4d8b-9148-e3be6c30e623}">
          <xlrd:rvb i="17090"/>
        </ext>
      </extLst>
    </bk>
    <bk>
      <extLst>
        <ext uri="{3e2802c4-a4d2-4d8b-9148-e3be6c30e623}">
          <xlrd:rvb i="17091"/>
        </ext>
      </extLst>
    </bk>
    <bk>
      <extLst>
        <ext uri="{3e2802c4-a4d2-4d8b-9148-e3be6c30e623}">
          <xlrd:rvb i="17092"/>
        </ext>
      </extLst>
    </bk>
    <bk>
      <extLst>
        <ext uri="{3e2802c4-a4d2-4d8b-9148-e3be6c30e623}">
          <xlrd:rvb i="17093"/>
        </ext>
      </extLst>
    </bk>
    <bk>
      <extLst>
        <ext uri="{3e2802c4-a4d2-4d8b-9148-e3be6c30e623}">
          <xlrd:rvb i="17094"/>
        </ext>
      </extLst>
    </bk>
    <bk>
      <extLst>
        <ext uri="{3e2802c4-a4d2-4d8b-9148-e3be6c30e623}">
          <xlrd:rvb i="17095"/>
        </ext>
      </extLst>
    </bk>
    <bk>
      <extLst>
        <ext uri="{3e2802c4-a4d2-4d8b-9148-e3be6c30e623}">
          <xlrd:rvb i="17096"/>
        </ext>
      </extLst>
    </bk>
    <bk>
      <extLst>
        <ext uri="{3e2802c4-a4d2-4d8b-9148-e3be6c30e623}">
          <xlrd:rvb i="17097"/>
        </ext>
      </extLst>
    </bk>
    <bk>
      <extLst>
        <ext uri="{3e2802c4-a4d2-4d8b-9148-e3be6c30e623}">
          <xlrd:rvb i="17098"/>
        </ext>
      </extLst>
    </bk>
    <bk>
      <extLst>
        <ext uri="{3e2802c4-a4d2-4d8b-9148-e3be6c30e623}">
          <xlrd:rvb i="17099"/>
        </ext>
      </extLst>
    </bk>
    <bk>
      <extLst>
        <ext uri="{3e2802c4-a4d2-4d8b-9148-e3be6c30e623}">
          <xlrd:rvb i="17100"/>
        </ext>
      </extLst>
    </bk>
    <bk>
      <extLst>
        <ext uri="{3e2802c4-a4d2-4d8b-9148-e3be6c30e623}">
          <xlrd:rvb i="17101"/>
        </ext>
      </extLst>
    </bk>
    <bk>
      <extLst>
        <ext uri="{3e2802c4-a4d2-4d8b-9148-e3be6c30e623}">
          <xlrd:rvb i="17102"/>
        </ext>
      </extLst>
    </bk>
    <bk>
      <extLst>
        <ext uri="{3e2802c4-a4d2-4d8b-9148-e3be6c30e623}">
          <xlrd:rvb i="17103"/>
        </ext>
      </extLst>
    </bk>
    <bk>
      <extLst>
        <ext uri="{3e2802c4-a4d2-4d8b-9148-e3be6c30e623}">
          <xlrd:rvb i="17104"/>
        </ext>
      </extLst>
    </bk>
    <bk>
      <extLst>
        <ext uri="{3e2802c4-a4d2-4d8b-9148-e3be6c30e623}">
          <xlrd:rvb i="17105"/>
        </ext>
      </extLst>
    </bk>
    <bk>
      <extLst>
        <ext uri="{3e2802c4-a4d2-4d8b-9148-e3be6c30e623}">
          <xlrd:rvb i="17106"/>
        </ext>
      </extLst>
    </bk>
    <bk>
      <extLst>
        <ext uri="{3e2802c4-a4d2-4d8b-9148-e3be6c30e623}">
          <xlrd:rvb i="17107"/>
        </ext>
      </extLst>
    </bk>
    <bk>
      <extLst>
        <ext uri="{3e2802c4-a4d2-4d8b-9148-e3be6c30e623}">
          <xlrd:rvb i="17108"/>
        </ext>
      </extLst>
    </bk>
    <bk>
      <extLst>
        <ext uri="{3e2802c4-a4d2-4d8b-9148-e3be6c30e623}">
          <xlrd:rvb i="17109"/>
        </ext>
      </extLst>
    </bk>
    <bk>
      <extLst>
        <ext uri="{3e2802c4-a4d2-4d8b-9148-e3be6c30e623}">
          <xlrd:rvb i="17110"/>
        </ext>
      </extLst>
    </bk>
    <bk>
      <extLst>
        <ext uri="{3e2802c4-a4d2-4d8b-9148-e3be6c30e623}">
          <xlrd:rvb i="17111"/>
        </ext>
      </extLst>
    </bk>
    <bk>
      <extLst>
        <ext uri="{3e2802c4-a4d2-4d8b-9148-e3be6c30e623}">
          <xlrd:rvb i="17112"/>
        </ext>
      </extLst>
    </bk>
    <bk>
      <extLst>
        <ext uri="{3e2802c4-a4d2-4d8b-9148-e3be6c30e623}">
          <xlrd:rvb i="17113"/>
        </ext>
      </extLst>
    </bk>
    <bk>
      <extLst>
        <ext uri="{3e2802c4-a4d2-4d8b-9148-e3be6c30e623}">
          <xlrd:rvb i="17114"/>
        </ext>
      </extLst>
    </bk>
    <bk>
      <extLst>
        <ext uri="{3e2802c4-a4d2-4d8b-9148-e3be6c30e623}">
          <xlrd:rvb i="17115"/>
        </ext>
      </extLst>
    </bk>
    <bk>
      <extLst>
        <ext uri="{3e2802c4-a4d2-4d8b-9148-e3be6c30e623}">
          <xlrd:rvb i="17116"/>
        </ext>
      </extLst>
    </bk>
    <bk>
      <extLst>
        <ext uri="{3e2802c4-a4d2-4d8b-9148-e3be6c30e623}">
          <xlrd:rvb i="17117"/>
        </ext>
      </extLst>
    </bk>
    <bk>
      <extLst>
        <ext uri="{3e2802c4-a4d2-4d8b-9148-e3be6c30e623}">
          <xlrd:rvb i="17118"/>
        </ext>
      </extLst>
    </bk>
    <bk>
      <extLst>
        <ext uri="{3e2802c4-a4d2-4d8b-9148-e3be6c30e623}">
          <xlrd:rvb i="17119"/>
        </ext>
      </extLst>
    </bk>
    <bk>
      <extLst>
        <ext uri="{3e2802c4-a4d2-4d8b-9148-e3be6c30e623}">
          <xlrd:rvb i="17120"/>
        </ext>
      </extLst>
    </bk>
    <bk>
      <extLst>
        <ext uri="{3e2802c4-a4d2-4d8b-9148-e3be6c30e623}">
          <xlrd:rvb i="17121"/>
        </ext>
      </extLst>
    </bk>
    <bk>
      <extLst>
        <ext uri="{3e2802c4-a4d2-4d8b-9148-e3be6c30e623}">
          <xlrd:rvb i="17122"/>
        </ext>
      </extLst>
    </bk>
    <bk>
      <extLst>
        <ext uri="{3e2802c4-a4d2-4d8b-9148-e3be6c30e623}">
          <xlrd:rvb i="17123"/>
        </ext>
      </extLst>
    </bk>
    <bk>
      <extLst>
        <ext uri="{3e2802c4-a4d2-4d8b-9148-e3be6c30e623}">
          <xlrd:rvb i="17124"/>
        </ext>
      </extLst>
    </bk>
    <bk>
      <extLst>
        <ext uri="{3e2802c4-a4d2-4d8b-9148-e3be6c30e623}">
          <xlrd:rvb i="17125"/>
        </ext>
      </extLst>
    </bk>
    <bk>
      <extLst>
        <ext uri="{3e2802c4-a4d2-4d8b-9148-e3be6c30e623}">
          <xlrd:rvb i="17126"/>
        </ext>
      </extLst>
    </bk>
    <bk>
      <extLst>
        <ext uri="{3e2802c4-a4d2-4d8b-9148-e3be6c30e623}">
          <xlrd:rvb i="17127"/>
        </ext>
      </extLst>
    </bk>
    <bk>
      <extLst>
        <ext uri="{3e2802c4-a4d2-4d8b-9148-e3be6c30e623}">
          <xlrd:rvb i="17128"/>
        </ext>
      </extLst>
    </bk>
    <bk>
      <extLst>
        <ext uri="{3e2802c4-a4d2-4d8b-9148-e3be6c30e623}">
          <xlrd:rvb i="17129"/>
        </ext>
      </extLst>
    </bk>
    <bk>
      <extLst>
        <ext uri="{3e2802c4-a4d2-4d8b-9148-e3be6c30e623}">
          <xlrd:rvb i="17130"/>
        </ext>
      </extLst>
    </bk>
    <bk>
      <extLst>
        <ext uri="{3e2802c4-a4d2-4d8b-9148-e3be6c30e623}">
          <xlrd:rvb i="17131"/>
        </ext>
      </extLst>
    </bk>
    <bk>
      <extLst>
        <ext uri="{3e2802c4-a4d2-4d8b-9148-e3be6c30e623}">
          <xlrd:rvb i="17132"/>
        </ext>
      </extLst>
    </bk>
    <bk>
      <extLst>
        <ext uri="{3e2802c4-a4d2-4d8b-9148-e3be6c30e623}">
          <xlrd:rvb i="17133"/>
        </ext>
      </extLst>
    </bk>
    <bk>
      <extLst>
        <ext uri="{3e2802c4-a4d2-4d8b-9148-e3be6c30e623}">
          <xlrd:rvb i="17134"/>
        </ext>
      </extLst>
    </bk>
    <bk>
      <extLst>
        <ext uri="{3e2802c4-a4d2-4d8b-9148-e3be6c30e623}">
          <xlrd:rvb i="17135"/>
        </ext>
      </extLst>
    </bk>
    <bk>
      <extLst>
        <ext uri="{3e2802c4-a4d2-4d8b-9148-e3be6c30e623}">
          <xlrd:rvb i="17136"/>
        </ext>
      </extLst>
    </bk>
    <bk>
      <extLst>
        <ext uri="{3e2802c4-a4d2-4d8b-9148-e3be6c30e623}">
          <xlrd:rvb i="17137"/>
        </ext>
      </extLst>
    </bk>
    <bk>
      <extLst>
        <ext uri="{3e2802c4-a4d2-4d8b-9148-e3be6c30e623}">
          <xlrd:rvb i="17138"/>
        </ext>
      </extLst>
    </bk>
    <bk>
      <extLst>
        <ext uri="{3e2802c4-a4d2-4d8b-9148-e3be6c30e623}">
          <xlrd:rvb i="17139"/>
        </ext>
      </extLst>
    </bk>
    <bk>
      <extLst>
        <ext uri="{3e2802c4-a4d2-4d8b-9148-e3be6c30e623}">
          <xlrd:rvb i="17140"/>
        </ext>
      </extLst>
    </bk>
    <bk>
      <extLst>
        <ext uri="{3e2802c4-a4d2-4d8b-9148-e3be6c30e623}">
          <xlrd:rvb i="17141"/>
        </ext>
      </extLst>
    </bk>
    <bk>
      <extLst>
        <ext uri="{3e2802c4-a4d2-4d8b-9148-e3be6c30e623}">
          <xlrd:rvb i="17142"/>
        </ext>
      </extLst>
    </bk>
    <bk>
      <extLst>
        <ext uri="{3e2802c4-a4d2-4d8b-9148-e3be6c30e623}">
          <xlrd:rvb i="17143"/>
        </ext>
      </extLst>
    </bk>
    <bk>
      <extLst>
        <ext uri="{3e2802c4-a4d2-4d8b-9148-e3be6c30e623}">
          <xlrd:rvb i="17144"/>
        </ext>
      </extLst>
    </bk>
    <bk>
      <extLst>
        <ext uri="{3e2802c4-a4d2-4d8b-9148-e3be6c30e623}">
          <xlrd:rvb i="17145"/>
        </ext>
      </extLst>
    </bk>
    <bk>
      <extLst>
        <ext uri="{3e2802c4-a4d2-4d8b-9148-e3be6c30e623}">
          <xlrd:rvb i="17146"/>
        </ext>
      </extLst>
    </bk>
    <bk>
      <extLst>
        <ext uri="{3e2802c4-a4d2-4d8b-9148-e3be6c30e623}">
          <xlrd:rvb i="17147"/>
        </ext>
      </extLst>
    </bk>
    <bk>
      <extLst>
        <ext uri="{3e2802c4-a4d2-4d8b-9148-e3be6c30e623}">
          <xlrd:rvb i="17148"/>
        </ext>
      </extLst>
    </bk>
    <bk>
      <extLst>
        <ext uri="{3e2802c4-a4d2-4d8b-9148-e3be6c30e623}">
          <xlrd:rvb i="17149"/>
        </ext>
      </extLst>
    </bk>
    <bk>
      <extLst>
        <ext uri="{3e2802c4-a4d2-4d8b-9148-e3be6c30e623}">
          <xlrd:rvb i="17150"/>
        </ext>
      </extLst>
    </bk>
    <bk>
      <extLst>
        <ext uri="{3e2802c4-a4d2-4d8b-9148-e3be6c30e623}">
          <xlrd:rvb i="17151"/>
        </ext>
      </extLst>
    </bk>
    <bk>
      <extLst>
        <ext uri="{3e2802c4-a4d2-4d8b-9148-e3be6c30e623}">
          <xlrd:rvb i="17152"/>
        </ext>
      </extLst>
    </bk>
    <bk>
      <extLst>
        <ext uri="{3e2802c4-a4d2-4d8b-9148-e3be6c30e623}">
          <xlrd:rvb i="17153"/>
        </ext>
      </extLst>
    </bk>
    <bk>
      <extLst>
        <ext uri="{3e2802c4-a4d2-4d8b-9148-e3be6c30e623}">
          <xlrd:rvb i="17154"/>
        </ext>
      </extLst>
    </bk>
    <bk>
      <extLst>
        <ext uri="{3e2802c4-a4d2-4d8b-9148-e3be6c30e623}">
          <xlrd:rvb i="17155"/>
        </ext>
      </extLst>
    </bk>
    <bk>
      <extLst>
        <ext uri="{3e2802c4-a4d2-4d8b-9148-e3be6c30e623}">
          <xlrd:rvb i="17156"/>
        </ext>
      </extLst>
    </bk>
    <bk>
      <extLst>
        <ext uri="{3e2802c4-a4d2-4d8b-9148-e3be6c30e623}">
          <xlrd:rvb i="17157"/>
        </ext>
      </extLst>
    </bk>
    <bk>
      <extLst>
        <ext uri="{3e2802c4-a4d2-4d8b-9148-e3be6c30e623}">
          <xlrd:rvb i="17158"/>
        </ext>
      </extLst>
    </bk>
    <bk>
      <extLst>
        <ext uri="{3e2802c4-a4d2-4d8b-9148-e3be6c30e623}">
          <xlrd:rvb i="17159"/>
        </ext>
      </extLst>
    </bk>
    <bk>
      <extLst>
        <ext uri="{3e2802c4-a4d2-4d8b-9148-e3be6c30e623}">
          <xlrd:rvb i="17160"/>
        </ext>
      </extLst>
    </bk>
    <bk>
      <extLst>
        <ext uri="{3e2802c4-a4d2-4d8b-9148-e3be6c30e623}">
          <xlrd:rvb i="17161"/>
        </ext>
      </extLst>
    </bk>
    <bk>
      <extLst>
        <ext uri="{3e2802c4-a4d2-4d8b-9148-e3be6c30e623}">
          <xlrd:rvb i="17162"/>
        </ext>
      </extLst>
    </bk>
    <bk>
      <extLst>
        <ext uri="{3e2802c4-a4d2-4d8b-9148-e3be6c30e623}">
          <xlrd:rvb i="17163"/>
        </ext>
      </extLst>
    </bk>
    <bk>
      <extLst>
        <ext uri="{3e2802c4-a4d2-4d8b-9148-e3be6c30e623}">
          <xlrd:rvb i="17164"/>
        </ext>
      </extLst>
    </bk>
    <bk>
      <extLst>
        <ext uri="{3e2802c4-a4d2-4d8b-9148-e3be6c30e623}">
          <xlrd:rvb i="17165"/>
        </ext>
      </extLst>
    </bk>
    <bk>
      <extLst>
        <ext uri="{3e2802c4-a4d2-4d8b-9148-e3be6c30e623}">
          <xlrd:rvb i="17166"/>
        </ext>
      </extLst>
    </bk>
    <bk>
      <extLst>
        <ext uri="{3e2802c4-a4d2-4d8b-9148-e3be6c30e623}">
          <xlrd:rvb i="17167"/>
        </ext>
      </extLst>
    </bk>
    <bk>
      <extLst>
        <ext uri="{3e2802c4-a4d2-4d8b-9148-e3be6c30e623}">
          <xlrd:rvb i="17168"/>
        </ext>
      </extLst>
    </bk>
    <bk>
      <extLst>
        <ext uri="{3e2802c4-a4d2-4d8b-9148-e3be6c30e623}">
          <xlrd:rvb i="17169"/>
        </ext>
      </extLst>
    </bk>
    <bk>
      <extLst>
        <ext uri="{3e2802c4-a4d2-4d8b-9148-e3be6c30e623}">
          <xlrd:rvb i="17170"/>
        </ext>
      </extLst>
    </bk>
    <bk>
      <extLst>
        <ext uri="{3e2802c4-a4d2-4d8b-9148-e3be6c30e623}">
          <xlrd:rvb i="17171"/>
        </ext>
      </extLst>
    </bk>
    <bk>
      <extLst>
        <ext uri="{3e2802c4-a4d2-4d8b-9148-e3be6c30e623}">
          <xlrd:rvb i="17172"/>
        </ext>
      </extLst>
    </bk>
    <bk>
      <extLst>
        <ext uri="{3e2802c4-a4d2-4d8b-9148-e3be6c30e623}">
          <xlrd:rvb i="17173"/>
        </ext>
      </extLst>
    </bk>
    <bk>
      <extLst>
        <ext uri="{3e2802c4-a4d2-4d8b-9148-e3be6c30e623}">
          <xlrd:rvb i="17174"/>
        </ext>
      </extLst>
    </bk>
    <bk>
      <extLst>
        <ext uri="{3e2802c4-a4d2-4d8b-9148-e3be6c30e623}">
          <xlrd:rvb i="17175"/>
        </ext>
      </extLst>
    </bk>
    <bk>
      <extLst>
        <ext uri="{3e2802c4-a4d2-4d8b-9148-e3be6c30e623}">
          <xlrd:rvb i="17176"/>
        </ext>
      </extLst>
    </bk>
    <bk>
      <extLst>
        <ext uri="{3e2802c4-a4d2-4d8b-9148-e3be6c30e623}">
          <xlrd:rvb i="17177"/>
        </ext>
      </extLst>
    </bk>
    <bk>
      <extLst>
        <ext uri="{3e2802c4-a4d2-4d8b-9148-e3be6c30e623}">
          <xlrd:rvb i="17178"/>
        </ext>
      </extLst>
    </bk>
    <bk>
      <extLst>
        <ext uri="{3e2802c4-a4d2-4d8b-9148-e3be6c30e623}">
          <xlrd:rvb i="17179"/>
        </ext>
      </extLst>
    </bk>
    <bk>
      <extLst>
        <ext uri="{3e2802c4-a4d2-4d8b-9148-e3be6c30e623}">
          <xlrd:rvb i="17180"/>
        </ext>
      </extLst>
    </bk>
    <bk>
      <extLst>
        <ext uri="{3e2802c4-a4d2-4d8b-9148-e3be6c30e623}">
          <xlrd:rvb i="17181"/>
        </ext>
      </extLst>
    </bk>
    <bk>
      <extLst>
        <ext uri="{3e2802c4-a4d2-4d8b-9148-e3be6c30e623}">
          <xlrd:rvb i="17182"/>
        </ext>
      </extLst>
    </bk>
    <bk>
      <extLst>
        <ext uri="{3e2802c4-a4d2-4d8b-9148-e3be6c30e623}">
          <xlrd:rvb i="17183"/>
        </ext>
      </extLst>
    </bk>
    <bk>
      <extLst>
        <ext uri="{3e2802c4-a4d2-4d8b-9148-e3be6c30e623}">
          <xlrd:rvb i="17184"/>
        </ext>
      </extLst>
    </bk>
    <bk>
      <extLst>
        <ext uri="{3e2802c4-a4d2-4d8b-9148-e3be6c30e623}">
          <xlrd:rvb i="17185"/>
        </ext>
      </extLst>
    </bk>
    <bk>
      <extLst>
        <ext uri="{3e2802c4-a4d2-4d8b-9148-e3be6c30e623}">
          <xlrd:rvb i="17186"/>
        </ext>
      </extLst>
    </bk>
    <bk>
      <extLst>
        <ext uri="{3e2802c4-a4d2-4d8b-9148-e3be6c30e623}">
          <xlrd:rvb i="17187"/>
        </ext>
      </extLst>
    </bk>
    <bk>
      <extLst>
        <ext uri="{3e2802c4-a4d2-4d8b-9148-e3be6c30e623}">
          <xlrd:rvb i="17188"/>
        </ext>
      </extLst>
    </bk>
    <bk>
      <extLst>
        <ext uri="{3e2802c4-a4d2-4d8b-9148-e3be6c30e623}">
          <xlrd:rvb i="17189"/>
        </ext>
      </extLst>
    </bk>
    <bk>
      <extLst>
        <ext uri="{3e2802c4-a4d2-4d8b-9148-e3be6c30e623}">
          <xlrd:rvb i="17190"/>
        </ext>
      </extLst>
    </bk>
    <bk>
      <extLst>
        <ext uri="{3e2802c4-a4d2-4d8b-9148-e3be6c30e623}">
          <xlrd:rvb i="17191"/>
        </ext>
      </extLst>
    </bk>
    <bk>
      <extLst>
        <ext uri="{3e2802c4-a4d2-4d8b-9148-e3be6c30e623}">
          <xlrd:rvb i="17192"/>
        </ext>
      </extLst>
    </bk>
    <bk>
      <extLst>
        <ext uri="{3e2802c4-a4d2-4d8b-9148-e3be6c30e623}">
          <xlrd:rvb i="17193"/>
        </ext>
      </extLst>
    </bk>
    <bk>
      <extLst>
        <ext uri="{3e2802c4-a4d2-4d8b-9148-e3be6c30e623}">
          <xlrd:rvb i="17194"/>
        </ext>
      </extLst>
    </bk>
    <bk>
      <extLst>
        <ext uri="{3e2802c4-a4d2-4d8b-9148-e3be6c30e623}">
          <xlrd:rvb i="17195"/>
        </ext>
      </extLst>
    </bk>
    <bk>
      <extLst>
        <ext uri="{3e2802c4-a4d2-4d8b-9148-e3be6c30e623}">
          <xlrd:rvb i="17196"/>
        </ext>
      </extLst>
    </bk>
    <bk>
      <extLst>
        <ext uri="{3e2802c4-a4d2-4d8b-9148-e3be6c30e623}">
          <xlrd:rvb i="17197"/>
        </ext>
      </extLst>
    </bk>
    <bk>
      <extLst>
        <ext uri="{3e2802c4-a4d2-4d8b-9148-e3be6c30e623}">
          <xlrd:rvb i="17198"/>
        </ext>
      </extLst>
    </bk>
    <bk>
      <extLst>
        <ext uri="{3e2802c4-a4d2-4d8b-9148-e3be6c30e623}">
          <xlrd:rvb i="17199"/>
        </ext>
      </extLst>
    </bk>
    <bk>
      <extLst>
        <ext uri="{3e2802c4-a4d2-4d8b-9148-e3be6c30e623}">
          <xlrd:rvb i="17200"/>
        </ext>
      </extLst>
    </bk>
    <bk>
      <extLst>
        <ext uri="{3e2802c4-a4d2-4d8b-9148-e3be6c30e623}">
          <xlrd:rvb i="17201"/>
        </ext>
      </extLst>
    </bk>
    <bk>
      <extLst>
        <ext uri="{3e2802c4-a4d2-4d8b-9148-e3be6c30e623}">
          <xlrd:rvb i="17202"/>
        </ext>
      </extLst>
    </bk>
    <bk>
      <extLst>
        <ext uri="{3e2802c4-a4d2-4d8b-9148-e3be6c30e623}">
          <xlrd:rvb i="17203"/>
        </ext>
      </extLst>
    </bk>
    <bk>
      <extLst>
        <ext uri="{3e2802c4-a4d2-4d8b-9148-e3be6c30e623}">
          <xlrd:rvb i="17204"/>
        </ext>
      </extLst>
    </bk>
    <bk>
      <extLst>
        <ext uri="{3e2802c4-a4d2-4d8b-9148-e3be6c30e623}">
          <xlrd:rvb i="17205"/>
        </ext>
      </extLst>
    </bk>
    <bk>
      <extLst>
        <ext uri="{3e2802c4-a4d2-4d8b-9148-e3be6c30e623}">
          <xlrd:rvb i="17206"/>
        </ext>
      </extLst>
    </bk>
    <bk>
      <extLst>
        <ext uri="{3e2802c4-a4d2-4d8b-9148-e3be6c30e623}">
          <xlrd:rvb i="17207"/>
        </ext>
      </extLst>
    </bk>
    <bk>
      <extLst>
        <ext uri="{3e2802c4-a4d2-4d8b-9148-e3be6c30e623}">
          <xlrd:rvb i="17208"/>
        </ext>
      </extLst>
    </bk>
    <bk>
      <extLst>
        <ext uri="{3e2802c4-a4d2-4d8b-9148-e3be6c30e623}">
          <xlrd:rvb i="17209"/>
        </ext>
      </extLst>
    </bk>
    <bk>
      <extLst>
        <ext uri="{3e2802c4-a4d2-4d8b-9148-e3be6c30e623}">
          <xlrd:rvb i="17210"/>
        </ext>
      </extLst>
    </bk>
    <bk>
      <extLst>
        <ext uri="{3e2802c4-a4d2-4d8b-9148-e3be6c30e623}">
          <xlrd:rvb i="17211"/>
        </ext>
      </extLst>
    </bk>
    <bk>
      <extLst>
        <ext uri="{3e2802c4-a4d2-4d8b-9148-e3be6c30e623}">
          <xlrd:rvb i="17212"/>
        </ext>
      </extLst>
    </bk>
    <bk>
      <extLst>
        <ext uri="{3e2802c4-a4d2-4d8b-9148-e3be6c30e623}">
          <xlrd:rvb i="17213"/>
        </ext>
      </extLst>
    </bk>
    <bk>
      <extLst>
        <ext uri="{3e2802c4-a4d2-4d8b-9148-e3be6c30e623}">
          <xlrd:rvb i="17214"/>
        </ext>
      </extLst>
    </bk>
    <bk>
      <extLst>
        <ext uri="{3e2802c4-a4d2-4d8b-9148-e3be6c30e623}">
          <xlrd:rvb i="17215"/>
        </ext>
      </extLst>
    </bk>
    <bk>
      <extLst>
        <ext uri="{3e2802c4-a4d2-4d8b-9148-e3be6c30e623}">
          <xlrd:rvb i="17216"/>
        </ext>
      </extLst>
    </bk>
    <bk>
      <extLst>
        <ext uri="{3e2802c4-a4d2-4d8b-9148-e3be6c30e623}">
          <xlrd:rvb i="17217"/>
        </ext>
      </extLst>
    </bk>
    <bk>
      <extLst>
        <ext uri="{3e2802c4-a4d2-4d8b-9148-e3be6c30e623}">
          <xlrd:rvb i="17218"/>
        </ext>
      </extLst>
    </bk>
    <bk>
      <extLst>
        <ext uri="{3e2802c4-a4d2-4d8b-9148-e3be6c30e623}">
          <xlrd:rvb i="17219"/>
        </ext>
      </extLst>
    </bk>
    <bk>
      <extLst>
        <ext uri="{3e2802c4-a4d2-4d8b-9148-e3be6c30e623}">
          <xlrd:rvb i="17220"/>
        </ext>
      </extLst>
    </bk>
    <bk>
      <extLst>
        <ext uri="{3e2802c4-a4d2-4d8b-9148-e3be6c30e623}">
          <xlrd:rvb i="17221"/>
        </ext>
      </extLst>
    </bk>
    <bk>
      <extLst>
        <ext uri="{3e2802c4-a4d2-4d8b-9148-e3be6c30e623}">
          <xlrd:rvb i="17222"/>
        </ext>
      </extLst>
    </bk>
    <bk>
      <extLst>
        <ext uri="{3e2802c4-a4d2-4d8b-9148-e3be6c30e623}">
          <xlrd:rvb i="17223"/>
        </ext>
      </extLst>
    </bk>
    <bk>
      <extLst>
        <ext uri="{3e2802c4-a4d2-4d8b-9148-e3be6c30e623}">
          <xlrd:rvb i="17224"/>
        </ext>
      </extLst>
    </bk>
    <bk>
      <extLst>
        <ext uri="{3e2802c4-a4d2-4d8b-9148-e3be6c30e623}">
          <xlrd:rvb i="17225"/>
        </ext>
      </extLst>
    </bk>
    <bk>
      <extLst>
        <ext uri="{3e2802c4-a4d2-4d8b-9148-e3be6c30e623}">
          <xlrd:rvb i="17226"/>
        </ext>
      </extLst>
    </bk>
    <bk>
      <extLst>
        <ext uri="{3e2802c4-a4d2-4d8b-9148-e3be6c30e623}">
          <xlrd:rvb i="17227"/>
        </ext>
      </extLst>
    </bk>
    <bk>
      <extLst>
        <ext uri="{3e2802c4-a4d2-4d8b-9148-e3be6c30e623}">
          <xlrd:rvb i="17228"/>
        </ext>
      </extLst>
    </bk>
    <bk>
      <extLst>
        <ext uri="{3e2802c4-a4d2-4d8b-9148-e3be6c30e623}">
          <xlrd:rvb i="17229"/>
        </ext>
      </extLst>
    </bk>
    <bk>
      <extLst>
        <ext uri="{3e2802c4-a4d2-4d8b-9148-e3be6c30e623}">
          <xlrd:rvb i="17230"/>
        </ext>
      </extLst>
    </bk>
    <bk>
      <extLst>
        <ext uri="{3e2802c4-a4d2-4d8b-9148-e3be6c30e623}">
          <xlrd:rvb i="17231"/>
        </ext>
      </extLst>
    </bk>
    <bk>
      <extLst>
        <ext uri="{3e2802c4-a4d2-4d8b-9148-e3be6c30e623}">
          <xlrd:rvb i="17232"/>
        </ext>
      </extLst>
    </bk>
    <bk>
      <extLst>
        <ext uri="{3e2802c4-a4d2-4d8b-9148-e3be6c30e623}">
          <xlrd:rvb i="17233"/>
        </ext>
      </extLst>
    </bk>
    <bk>
      <extLst>
        <ext uri="{3e2802c4-a4d2-4d8b-9148-e3be6c30e623}">
          <xlrd:rvb i="17234"/>
        </ext>
      </extLst>
    </bk>
    <bk>
      <extLst>
        <ext uri="{3e2802c4-a4d2-4d8b-9148-e3be6c30e623}">
          <xlrd:rvb i="17235"/>
        </ext>
      </extLst>
    </bk>
    <bk>
      <extLst>
        <ext uri="{3e2802c4-a4d2-4d8b-9148-e3be6c30e623}">
          <xlrd:rvb i="17236"/>
        </ext>
      </extLst>
    </bk>
    <bk>
      <extLst>
        <ext uri="{3e2802c4-a4d2-4d8b-9148-e3be6c30e623}">
          <xlrd:rvb i="17237"/>
        </ext>
      </extLst>
    </bk>
    <bk>
      <extLst>
        <ext uri="{3e2802c4-a4d2-4d8b-9148-e3be6c30e623}">
          <xlrd:rvb i="17238"/>
        </ext>
      </extLst>
    </bk>
    <bk>
      <extLst>
        <ext uri="{3e2802c4-a4d2-4d8b-9148-e3be6c30e623}">
          <xlrd:rvb i="17239"/>
        </ext>
      </extLst>
    </bk>
    <bk>
      <extLst>
        <ext uri="{3e2802c4-a4d2-4d8b-9148-e3be6c30e623}">
          <xlrd:rvb i="17240"/>
        </ext>
      </extLst>
    </bk>
    <bk>
      <extLst>
        <ext uri="{3e2802c4-a4d2-4d8b-9148-e3be6c30e623}">
          <xlrd:rvb i="17241"/>
        </ext>
      </extLst>
    </bk>
    <bk>
      <extLst>
        <ext uri="{3e2802c4-a4d2-4d8b-9148-e3be6c30e623}">
          <xlrd:rvb i="17242"/>
        </ext>
      </extLst>
    </bk>
    <bk>
      <extLst>
        <ext uri="{3e2802c4-a4d2-4d8b-9148-e3be6c30e623}">
          <xlrd:rvb i="17243"/>
        </ext>
      </extLst>
    </bk>
    <bk>
      <extLst>
        <ext uri="{3e2802c4-a4d2-4d8b-9148-e3be6c30e623}">
          <xlrd:rvb i="17244"/>
        </ext>
      </extLst>
    </bk>
    <bk>
      <extLst>
        <ext uri="{3e2802c4-a4d2-4d8b-9148-e3be6c30e623}">
          <xlrd:rvb i="17245"/>
        </ext>
      </extLst>
    </bk>
    <bk>
      <extLst>
        <ext uri="{3e2802c4-a4d2-4d8b-9148-e3be6c30e623}">
          <xlrd:rvb i="17246"/>
        </ext>
      </extLst>
    </bk>
    <bk>
      <extLst>
        <ext uri="{3e2802c4-a4d2-4d8b-9148-e3be6c30e623}">
          <xlrd:rvb i="17247"/>
        </ext>
      </extLst>
    </bk>
    <bk>
      <extLst>
        <ext uri="{3e2802c4-a4d2-4d8b-9148-e3be6c30e623}">
          <xlrd:rvb i="17248"/>
        </ext>
      </extLst>
    </bk>
    <bk>
      <extLst>
        <ext uri="{3e2802c4-a4d2-4d8b-9148-e3be6c30e623}">
          <xlrd:rvb i="17249"/>
        </ext>
      </extLst>
    </bk>
    <bk>
      <extLst>
        <ext uri="{3e2802c4-a4d2-4d8b-9148-e3be6c30e623}">
          <xlrd:rvb i="17250"/>
        </ext>
      </extLst>
    </bk>
    <bk>
      <extLst>
        <ext uri="{3e2802c4-a4d2-4d8b-9148-e3be6c30e623}">
          <xlrd:rvb i="17251"/>
        </ext>
      </extLst>
    </bk>
    <bk>
      <extLst>
        <ext uri="{3e2802c4-a4d2-4d8b-9148-e3be6c30e623}">
          <xlrd:rvb i="17252"/>
        </ext>
      </extLst>
    </bk>
    <bk>
      <extLst>
        <ext uri="{3e2802c4-a4d2-4d8b-9148-e3be6c30e623}">
          <xlrd:rvb i="17253"/>
        </ext>
      </extLst>
    </bk>
    <bk>
      <extLst>
        <ext uri="{3e2802c4-a4d2-4d8b-9148-e3be6c30e623}">
          <xlrd:rvb i="17254"/>
        </ext>
      </extLst>
    </bk>
    <bk>
      <extLst>
        <ext uri="{3e2802c4-a4d2-4d8b-9148-e3be6c30e623}">
          <xlrd:rvb i="17255"/>
        </ext>
      </extLst>
    </bk>
    <bk>
      <extLst>
        <ext uri="{3e2802c4-a4d2-4d8b-9148-e3be6c30e623}">
          <xlrd:rvb i="17256"/>
        </ext>
      </extLst>
    </bk>
    <bk>
      <extLst>
        <ext uri="{3e2802c4-a4d2-4d8b-9148-e3be6c30e623}">
          <xlrd:rvb i="17257"/>
        </ext>
      </extLst>
    </bk>
    <bk>
      <extLst>
        <ext uri="{3e2802c4-a4d2-4d8b-9148-e3be6c30e623}">
          <xlrd:rvb i="17258"/>
        </ext>
      </extLst>
    </bk>
    <bk>
      <extLst>
        <ext uri="{3e2802c4-a4d2-4d8b-9148-e3be6c30e623}">
          <xlrd:rvb i="17259"/>
        </ext>
      </extLst>
    </bk>
    <bk>
      <extLst>
        <ext uri="{3e2802c4-a4d2-4d8b-9148-e3be6c30e623}">
          <xlrd:rvb i="17260"/>
        </ext>
      </extLst>
    </bk>
    <bk>
      <extLst>
        <ext uri="{3e2802c4-a4d2-4d8b-9148-e3be6c30e623}">
          <xlrd:rvb i="17261"/>
        </ext>
      </extLst>
    </bk>
    <bk>
      <extLst>
        <ext uri="{3e2802c4-a4d2-4d8b-9148-e3be6c30e623}">
          <xlrd:rvb i="17262"/>
        </ext>
      </extLst>
    </bk>
    <bk>
      <extLst>
        <ext uri="{3e2802c4-a4d2-4d8b-9148-e3be6c30e623}">
          <xlrd:rvb i="17263"/>
        </ext>
      </extLst>
    </bk>
    <bk>
      <extLst>
        <ext uri="{3e2802c4-a4d2-4d8b-9148-e3be6c30e623}">
          <xlrd:rvb i="17264"/>
        </ext>
      </extLst>
    </bk>
    <bk>
      <extLst>
        <ext uri="{3e2802c4-a4d2-4d8b-9148-e3be6c30e623}">
          <xlrd:rvb i="17265"/>
        </ext>
      </extLst>
    </bk>
    <bk>
      <extLst>
        <ext uri="{3e2802c4-a4d2-4d8b-9148-e3be6c30e623}">
          <xlrd:rvb i="17266"/>
        </ext>
      </extLst>
    </bk>
    <bk>
      <extLst>
        <ext uri="{3e2802c4-a4d2-4d8b-9148-e3be6c30e623}">
          <xlrd:rvb i="17267"/>
        </ext>
      </extLst>
    </bk>
    <bk>
      <extLst>
        <ext uri="{3e2802c4-a4d2-4d8b-9148-e3be6c30e623}">
          <xlrd:rvb i="17268"/>
        </ext>
      </extLst>
    </bk>
    <bk>
      <extLst>
        <ext uri="{3e2802c4-a4d2-4d8b-9148-e3be6c30e623}">
          <xlrd:rvb i="17269"/>
        </ext>
      </extLst>
    </bk>
    <bk>
      <extLst>
        <ext uri="{3e2802c4-a4d2-4d8b-9148-e3be6c30e623}">
          <xlrd:rvb i="17270"/>
        </ext>
      </extLst>
    </bk>
    <bk>
      <extLst>
        <ext uri="{3e2802c4-a4d2-4d8b-9148-e3be6c30e623}">
          <xlrd:rvb i="17271"/>
        </ext>
      </extLst>
    </bk>
    <bk>
      <extLst>
        <ext uri="{3e2802c4-a4d2-4d8b-9148-e3be6c30e623}">
          <xlrd:rvb i="17272"/>
        </ext>
      </extLst>
    </bk>
    <bk>
      <extLst>
        <ext uri="{3e2802c4-a4d2-4d8b-9148-e3be6c30e623}">
          <xlrd:rvb i="17273"/>
        </ext>
      </extLst>
    </bk>
    <bk>
      <extLst>
        <ext uri="{3e2802c4-a4d2-4d8b-9148-e3be6c30e623}">
          <xlrd:rvb i="17274"/>
        </ext>
      </extLst>
    </bk>
    <bk>
      <extLst>
        <ext uri="{3e2802c4-a4d2-4d8b-9148-e3be6c30e623}">
          <xlrd:rvb i="17275"/>
        </ext>
      </extLst>
    </bk>
    <bk>
      <extLst>
        <ext uri="{3e2802c4-a4d2-4d8b-9148-e3be6c30e623}">
          <xlrd:rvb i="17276"/>
        </ext>
      </extLst>
    </bk>
    <bk>
      <extLst>
        <ext uri="{3e2802c4-a4d2-4d8b-9148-e3be6c30e623}">
          <xlrd:rvb i="17277"/>
        </ext>
      </extLst>
    </bk>
    <bk>
      <extLst>
        <ext uri="{3e2802c4-a4d2-4d8b-9148-e3be6c30e623}">
          <xlrd:rvb i="17278"/>
        </ext>
      </extLst>
    </bk>
    <bk>
      <extLst>
        <ext uri="{3e2802c4-a4d2-4d8b-9148-e3be6c30e623}">
          <xlrd:rvb i="17279"/>
        </ext>
      </extLst>
    </bk>
    <bk>
      <extLst>
        <ext uri="{3e2802c4-a4d2-4d8b-9148-e3be6c30e623}">
          <xlrd:rvb i="17280"/>
        </ext>
      </extLst>
    </bk>
    <bk>
      <extLst>
        <ext uri="{3e2802c4-a4d2-4d8b-9148-e3be6c30e623}">
          <xlrd:rvb i="17281"/>
        </ext>
      </extLst>
    </bk>
    <bk>
      <extLst>
        <ext uri="{3e2802c4-a4d2-4d8b-9148-e3be6c30e623}">
          <xlrd:rvb i="17282"/>
        </ext>
      </extLst>
    </bk>
    <bk>
      <extLst>
        <ext uri="{3e2802c4-a4d2-4d8b-9148-e3be6c30e623}">
          <xlrd:rvb i="17283"/>
        </ext>
      </extLst>
    </bk>
    <bk>
      <extLst>
        <ext uri="{3e2802c4-a4d2-4d8b-9148-e3be6c30e623}">
          <xlrd:rvb i="17284"/>
        </ext>
      </extLst>
    </bk>
    <bk>
      <extLst>
        <ext uri="{3e2802c4-a4d2-4d8b-9148-e3be6c30e623}">
          <xlrd:rvb i="17285"/>
        </ext>
      </extLst>
    </bk>
    <bk>
      <extLst>
        <ext uri="{3e2802c4-a4d2-4d8b-9148-e3be6c30e623}">
          <xlrd:rvb i="17286"/>
        </ext>
      </extLst>
    </bk>
    <bk>
      <extLst>
        <ext uri="{3e2802c4-a4d2-4d8b-9148-e3be6c30e623}">
          <xlrd:rvb i="17287"/>
        </ext>
      </extLst>
    </bk>
    <bk>
      <extLst>
        <ext uri="{3e2802c4-a4d2-4d8b-9148-e3be6c30e623}">
          <xlrd:rvb i="17288"/>
        </ext>
      </extLst>
    </bk>
    <bk>
      <extLst>
        <ext uri="{3e2802c4-a4d2-4d8b-9148-e3be6c30e623}">
          <xlrd:rvb i="17289"/>
        </ext>
      </extLst>
    </bk>
    <bk>
      <extLst>
        <ext uri="{3e2802c4-a4d2-4d8b-9148-e3be6c30e623}">
          <xlrd:rvb i="17290"/>
        </ext>
      </extLst>
    </bk>
    <bk>
      <extLst>
        <ext uri="{3e2802c4-a4d2-4d8b-9148-e3be6c30e623}">
          <xlrd:rvb i="17291"/>
        </ext>
      </extLst>
    </bk>
    <bk>
      <extLst>
        <ext uri="{3e2802c4-a4d2-4d8b-9148-e3be6c30e623}">
          <xlrd:rvb i="17292"/>
        </ext>
      </extLst>
    </bk>
    <bk>
      <extLst>
        <ext uri="{3e2802c4-a4d2-4d8b-9148-e3be6c30e623}">
          <xlrd:rvb i="17293"/>
        </ext>
      </extLst>
    </bk>
    <bk>
      <extLst>
        <ext uri="{3e2802c4-a4d2-4d8b-9148-e3be6c30e623}">
          <xlrd:rvb i="17294"/>
        </ext>
      </extLst>
    </bk>
    <bk>
      <extLst>
        <ext uri="{3e2802c4-a4d2-4d8b-9148-e3be6c30e623}">
          <xlrd:rvb i="17295"/>
        </ext>
      </extLst>
    </bk>
    <bk>
      <extLst>
        <ext uri="{3e2802c4-a4d2-4d8b-9148-e3be6c30e623}">
          <xlrd:rvb i="17296"/>
        </ext>
      </extLst>
    </bk>
    <bk>
      <extLst>
        <ext uri="{3e2802c4-a4d2-4d8b-9148-e3be6c30e623}">
          <xlrd:rvb i="17297"/>
        </ext>
      </extLst>
    </bk>
    <bk>
      <extLst>
        <ext uri="{3e2802c4-a4d2-4d8b-9148-e3be6c30e623}">
          <xlrd:rvb i="17298"/>
        </ext>
      </extLst>
    </bk>
    <bk>
      <extLst>
        <ext uri="{3e2802c4-a4d2-4d8b-9148-e3be6c30e623}">
          <xlrd:rvb i="17299"/>
        </ext>
      </extLst>
    </bk>
    <bk>
      <extLst>
        <ext uri="{3e2802c4-a4d2-4d8b-9148-e3be6c30e623}">
          <xlrd:rvb i="17300"/>
        </ext>
      </extLst>
    </bk>
    <bk>
      <extLst>
        <ext uri="{3e2802c4-a4d2-4d8b-9148-e3be6c30e623}">
          <xlrd:rvb i="17301"/>
        </ext>
      </extLst>
    </bk>
    <bk>
      <extLst>
        <ext uri="{3e2802c4-a4d2-4d8b-9148-e3be6c30e623}">
          <xlrd:rvb i="17302"/>
        </ext>
      </extLst>
    </bk>
    <bk>
      <extLst>
        <ext uri="{3e2802c4-a4d2-4d8b-9148-e3be6c30e623}">
          <xlrd:rvb i="17303"/>
        </ext>
      </extLst>
    </bk>
    <bk>
      <extLst>
        <ext uri="{3e2802c4-a4d2-4d8b-9148-e3be6c30e623}">
          <xlrd:rvb i="17304"/>
        </ext>
      </extLst>
    </bk>
  </futureMetadata>
  <cellMetadata count="1">
    <bk>
      <rc t="1" v="0"/>
    </bk>
  </cellMetadata>
  <valueMetadata count="17287">
    <bk>
      <rc t="2" v="0"/>
    </bk>
    <bk>
      <rc t="2" v="1"/>
    </bk>
    <bk>
      <rc t="2" v="2"/>
    </bk>
    <bk>
      <rc t="2" v="3"/>
    </bk>
    <bk>
      <rc t="2" v="4"/>
    </bk>
    <bk>
      <rc t="2" v="5"/>
    </bk>
    <bk>
      <rc t="2" v="6"/>
    </bk>
    <bk>
      <rc t="2" v="7"/>
    </bk>
    <bk>
      <rc t="2" v="8"/>
    </bk>
    <bk>
      <rc t="2" v="9"/>
    </bk>
    <bk>
      <rc t="2" v="10"/>
    </bk>
    <bk>
      <rc t="2" v="11"/>
    </bk>
    <bk>
      <rc t="2" v="12"/>
    </bk>
    <bk>
      <rc t="2" v="13"/>
    </bk>
    <bk>
      <rc t="2" v="14"/>
    </bk>
    <bk>
      <rc t="2" v="15"/>
    </bk>
    <bk>
      <rc t="2" v="16"/>
    </bk>
    <bk>
      <rc t="2" v="17"/>
    </bk>
    <bk>
      <rc t="2" v="18"/>
    </bk>
    <bk>
      <rc t="2" v="19"/>
    </bk>
    <bk>
      <rc t="2" v="20"/>
    </bk>
    <bk>
      <rc t="2" v="21"/>
    </bk>
    <bk>
      <rc t="2" v="22"/>
    </bk>
    <bk>
      <rc t="2" v="23"/>
    </bk>
    <bk>
      <rc t="2" v="24"/>
    </bk>
    <bk>
      <rc t="2" v="25"/>
    </bk>
    <bk>
      <rc t="2" v="26"/>
    </bk>
    <bk>
      <rc t="2" v="27"/>
    </bk>
    <bk>
      <rc t="2" v="28"/>
    </bk>
    <bk>
      <rc t="2" v="29"/>
    </bk>
    <bk>
      <rc t="2" v="30"/>
    </bk>
    <bk>
      <rc t="2" v="31"/>
    </bk>
    <bk>
      <rc t="2" v="32"/>
    </bk>
    <bk>
      <rc t="2" v="33"/>
    </bk>
    <bk>
      <rc t="2" v="34"/>
    </bk>
    <bk>
      <rc t="2" v="35"/>
    </bk>
    <bk>
      <rc t="2" v="36"/>
    </bk>
    <bk>
      <rc t="2" v="37"/>
    </bk>
    <bk>
      <rc t="2" v="38"/>
    </bk>
    <bk>
      <rc t="2" v="39"/>
    </bk>
    <bk>
      <rc t="2" v="40"/>
    </bk>
    <bk>
      <rc t="2" v="41"/>
    </bk>
    <bk>
      <rc t="2" v="42"/>
    </bk>
    <bk>
      <rc t="2" v="43"/>
    </bk>
    <bk>
      <rc t="2" v="44"/>
    </bk>
    <bk>
      <rc t="2" v="45"/>
    </bk>
    <bk>
      <rc t="2" v="46"/>
    </bk>
    <bk>
      <rc t="2" v="47"/>
    </bk>
    <bk>
      <rc t="2" v="48"/>
    </bk>
    <bk>
      <rc t="2" v="49"/>
    </bk>
    <bk>
      <rc t="2" v="50"/>
    </bk>
    <bk>
      <rc t="2" v="51"/>
    </bk>
    <bk>
      <rc t="2" v="52"/>
    </bk>
    <bk>
      <rc t="2" v="53"/>
    </bk>
    <bk>
      <rc t="2" v="54"/>
    </bk>
    <bk>
      <rc t="2" v="55"/>
    </bk>
    <bk>
      <rc t="2" v="56"/>
    </bk>
    <bk>
      <rc t="2" v="57"/>
    </bk>
    <bk>
      <rc t="2" v="58"/>
    </bk>
    <bk>
      <rc t="2" v="59"/>
    </bk>
    <bk>
      <rc t="2" v="60"/>
    </bk>
    <bk>
      <rc t="2" v="61"/>
    </bk>
    <bk>
      <rc t="2" v="62"/>
    </bk>
    <bk>
      <rc t="2" v="63"/>
    </bk>
    <bk>
      <rc t="2" v="64"/>
    </bk>
    <bk>
      <rc t="2" v="65"/>
    </bk>
    <bk>
      <rc t="2" v="66"/>
    </bk>
    <bk>
      <rc t="2" v="67"/>
    </bk>
    <bk>
      <rc t="2" v="68"/>
    </bk>
    <bk>
      <rc t="2" v="69"/>
    </bk>
    <bk>
      <rc t="2" v="70"/>
    </bk>
    <bk>
      <rc t="2" v="71"/>
    </bk>
    <bk>
      <rc t="2" v="72"/>
    </bk>
    <bk>
      <rc t="2" v="73"/>
    </bk>
    <bk>
      <rc t="2" v="74"/>
    </bk>
    <bk>
      <rc t="2" v="75"/>
    </bk>
    <bk>
      <rc t="2" v="76"/>
    </bk>
    <bk>
      <rc t="2" v="77"/>
    </bk>
    <bk>
      <rc t="2" v="78"/>
    </bk>
    <bk>
      <rc t="2" v="79"/>
    </bk>
    <bk>
      <rc t="2" v="80"/>
    </bk>
    <bk>
      <rc t="2" v="81"/>
    </bk>
    <bk>
      <rc t="2" v="82"/>
    </bk>
    <bk>
      <rc t="2" v="83"/>
    </bk>
    <bk>
      <rc t="2" v="84"/>
    </bk>
    <bk>
      <rc t="2" v="85"/>
    </bk>
    <bk>
      <rc t="2" v="86"/>
    </bk>
    <bk>
      <rc t="2" v="87"/>
    </bk>
    <bk>
      <rc t="2" v="88"/>
    </bk>
    <bk>
      <rc t="2" v="89"/>
    </bk>
    <bk>
      <rc t="2" v="90"/>
    </bk>
    <bk>
      <rc t="2" v="91"/>
    </bk>
    <bk>
      <rc t="2" v="92"/>
    </bk>
    <bk>
      <rc t="2" v="93"/>
    </bk>
    <bk>
      <rc t="2" v="94"/>
    </bk>
    <bk>
      <rc t="2" v="95"/>
    </bk>
    <bk>
      <rc t="2" v="96"/>
    </bk>
    <bk>
      <rc t="2" v="97"/>
    </bk>
    <bk>
      <rc t="2" v="98"/>
    </bk>
    <bk>
      <rc t="2" v="99"/>
    </bk>
    <bk>
      <rc t="2" v="100"/>
    </bk>
    <bk>
      <rc t="2" v="101"/>
    </bk>
    <bk>
      <rc t="2" v="102"/>
    </bk>
    <bk>
      <rc t="2" v="103"/>
    </bk>
    <bk>
      <rc t="2" v="104"/>
    </bk>
    <bk>
      <rc t="2" v="105"/>
    </bk>
    <bk>
      <rc t="2" v="106"/>
    </bk>
    <bk>
      <rc t="2" v="107"/>
    </bk>
    <bk>
      <rc t="2" v="108"/>
    </bk>
    <bk>
      <rc t="2" v="109"/>
    </bk>
    <bk>
      <rc t="2" v="110"/>
    </bk>
    <bk>
      <rc t="2" v="111"/>
    </bk>
    <bk>
      <rc t="2" v="112"/>
    </bk>
    <bk>
      <rc t="2" v="113"/>
    </bk>
    <bk>
      <rc t="2" v="114"/>
    </bk>
    <bk>
      <rc t="2" v="115"/>
    </bk>
    <bk>
      <rc t="2" v="116"/>
    </bk>
    <bk>
      <rc t="2" v="117"/>
    </bk>
    <bk>
      <rc t="2" v="118"/>
    </bk>
    <bk>
      <rc t="2" v="119"/>
    </bk>
    <bk>
      <rc t="2" v="120"/>
    </bk>
    <bk>
      <rc t="2" v="121"/>
    </bk>
    <bk>
      <rc t="2" v="122"/>
    </bk>
    <bk>
      <rc t="2" v="123"/>
    </bk>
    <bk>
      <rc t="2" v="124"/>
    </bk>
    <bk>
      <rc t="2" v="125"/>
    </bk>
    <bk>
      <rc t="2" v="126"/>
    </bk>
    <bk>
      <rc t="2" v="127"/>
    </bk>
    <bk>
      <rc t="2" v="128"/>
    </bk>
    <bk>
      <rc t="2" v="129"/>
    </bk>
    <bk>
      <rc t="2" v="130"/>
    </bk>
    <bk>
      <rc t="2" v="131"/>
    </bk>
    <bk>
      <rc t="2" v="132"/>
    </bk>
    <bk>
      <rc t="2" v="133"/>
    </bk>
    <bk>
      <rc t="2" v="134"/>
    </bk>
    <bk>
      <rc t="2" v="135"/>
    </bk>
    <bk>
      <rc t="2" v="136"/>
    </bk>
    <bk>
      <rc t="2" v="137"/>
    </bk>
    <bk>
      <rc t="2" v="138"/>
    </bk>
    <bk>
      <rc t="2" v="139"/>
    </bk>
    <bk>
      <rc t="2" v="140"/>
    </bk>
    <bk>
      <rc t="2" v="141"/>
    </bk>
    <bk>
      <rc t="2" v="142"/>
    </bk>
    <bk>
      <rc t="2" v="143"/>
    </bk>
    <bk>
      <rc t="2" v="144"/>
    </bk>
    <bk>
      <rc t="2" v="145"/>
    </bk>
    <bk>
      <rc t="2" v="146"/>
    </bk>
    <bk>
      <rc t="2" v="147"/>
    </bk>
    <bk>
      <rc t="2" v="148"/>
    </bk>
    <bk>
      <rc t="2" v="149"/>
    </bk>
    <bk>
      <rc t="2" v="150"/>
    </bk>
    <bk>
      <rc t="2" v="151"/>
    </bk>
    <bk>
      <rc t="2" v="152"/>
    </bk>
    <bk>
      <rc t="2" v="153"/>
    </bk>
    <bk>
      <rc t="2" v="154"/>
    </bk>
    <bk>
      <rc t="2" v="155"/>
    </bk>
    <bk>
      <rc t="2" v="156"/>
    </bk>
    <bk>
      <rc t="2" v="157"/>
    </bk>
    <bk>
      <rc t="2" v="158"/>
    </bk>
    <bk>
      <rc t="2" v="159"/>
    </bk>
    <bk>
      <rc t="2" v="160"/>
    </bk>
    <bk>
      <rc t="2" v="161"/>
    </bk>
    <bk>
      <rc t="2" v="162"/>
    </bk>
    <bk>
      <rc t="2" v="163"/>
    </bk>
    <bk>
      <rc t="2" v="164"/>
    </bk>
    <bk>
      <rc t="2" v="165"/>
    </bk>
    <bk>
      <rc t="2" v="166"/>
    </bk>
    <bk>
      <rc t="2" v="167"/>
    </bk>
    <bk>
      <rc t="2" v="168"/>
    </bk>
    <bk>
      <rc t="2" v="169"/>
    </bk>
    <bk>
      <rc t="2" v="170"/>
    </bk>
    <bk>
      <rc t="2" v="171"/>
    </bk>
    <bk>
      <rc t="2" v="172"/>
    </bk>
    <bk>
      <rc t="2" v="173"/>
    </bk>
    <bk>
      <rc t="2" v="174"/>
    </bk>
    <bk>
      <rc t="2" v="175"/>
    </bk>
    <bk>
      <rc t="2" v="176"/>
    </bk>
    <bk>
      <rc t="2" v="177"/>
    </bk>
    <bk>
      <rc t="2" v="178"/>
    </bk>
    <bk>
      <rc t="2" v="179"/>
    </bk>
    <bk>
      <rc t="2" v="180"/>
    </bk>
    <bk>
      <rc t="2" v="181"/>
    </bk>
    <bk>
      <rc t="2" v="182"/>
    </bk>
    <bk>
      <rc t="2" v="183"/>
    </bk>
    <bk>
      <rc t="2" v="184"/>
    </bk>
    <bk>
      <rc t="2" v="185"/>
    </bk>
    <bk>
      <rc t="2" v="186"/>
    </bk>
    <bk>
      <rc t="2" v="187"/>
    </bk>
    <bk>
      <rc t="2" v="188"/>
    </bk>
    <bk>
      <rc t="2" v="189"/>
    </bk>
    <bk>
      <rc t="2" v="190"/>
    </bk>
    <bk>
      <rc t="2" v="191"/>
    </bk>
    <bk>
      <rc t="2" v="192"/>
    </bk>
    <bk>
      <rc t="2" v="193"/>
    </bk>
    <bk>
      <rc t="2" v="194"/>
    </bk>
    <bk>
      <rc t="2" v="195"/>
    </bk>
    <bk>
      <rc t="2" v="196"/>
    </bk>
    <bk>
      <rc t="2" v="197"/>
    </bk>
    <bk>
      <rc t="2" v="198"/>
    </bk>
    <bk>
      <rc t="2" v="199"/>
    </bk>
    <bk>
      <rc t="2" v="200"/>
    </bk>
    <bk>
      <rc t="2" v="201"/>
    </bk>
    <bk>
      <rc t="2" v="202"/>
    </bk>
    <bk>
      <rc t="2" v="203"/>
    </bk>
    <bk>
      <rc t="2" v="204"/>
    </bk>
    <bk>
      <rc t="2" v="205"/>
    </bk>
    <bk>
      <rc t="2" v="206"/>
    </bk>
    <bk>
      <rc t="2" v="207"/>
    </bk>
    <bk>
      <rc t="2" v="208"/>
    </bk>
    <bk>
      <rc t="2" v="209"/>
    </bk>
    <bk>
      <rc t="2" v="210"/>
    </bk>
    <bk>
      <rc t="2" v="211"/>
    </bk>
    <bk>
      <rc t="2" v="212"/>
    </bk>
    <bk>
      <rc t="2" v="213"/>
    </bk>
    <bk>
      <rc t="2" v="214"/>
    </bk>
    <bk>
      <rc t="2" v="215"/>
    </bk>
    <bk>
      <rc t="2" v="216"/>
    </bk>
    <bk>
      <rc t="2" v="217"/>
    </bk>
    <bk>
      <rc t="2" v="218"/>
    </bk>
    <bk>
      <rc t="2" v="219"/>
    </bk>
    <bk>
      <rc t="2" v="220"/>
    </bk>
    <bk>
      <rc t="2" v="221"/>
    </bk>
    <bk>
      <rc t="2" v="222"/>
    </bk>
    <bk>
      <rc t="2" v="223"/>
    </bk>
    <bk>
      <rc t="2" v="224"/>
    </bk>
    <bk>
      <rc t="2" v="225"/>
    </bk>
    <bk>
      <rc t="2" v="226"/>
    </bk>
    <bk>
      <rc t="2" v="227"/>
    </bk>
    <bk>
      <rc t="2" v="228"/>
    </bk>
    <bk>
      <rc t="2" v="229"/>
    </bk>
    <bk>
      <rc t="2" v="230"/>
    </bk>
    <bk>
      <rc t="2" v="231"/>
    </bk>
    <bk>
      <rc t="2" v="232"/>
    </bk>
    <bk>
      <rc t="2" v="233"/>
    </bk>
    <bk>
      <rc t="2" v="234"/>
    </bk>
    <bk>
      <rc t="2" v="235"/>
    </bk>
    <bk>
      <rc t="2" v="236"/>
    </bk>
    <bk>
      <rc t="2" v="237"/>
    </bk>
    <bk>
      <rc t="2" v="238"/>
    </bk>
    <bk>
      <rc t="2" v="239"/>
    </bk>
    <bk>
      <rc t="2" v="240"/>
    </bk>
    <bk>
      <rc t="2" v="241"/>
    </bk>
    <bk>
      <rc t="2" v="242"/>
    </bk>
    <bk>
      <rc t="2" v="243"/>
    </bk>
    <bk>
      <rc t="2" v="244"/>
    </bk>
    <bk>
      <rc t="2" v="245"/>
    </bk>
    <bk>
      <rc t="2" v="246"/>
    </bk>
    <bk>
      <rc t="2" v="247"/>
    </bk>
    <bk>
      <rc t="2" v="248"/>
    </bk>
    <bk>
      <rc t="2" v="249"/>
    </bk>
    <bk>
      <rc t="2" v="250"/>
    </bk>
    <bk>
      <rc t="2" v="251"/>
    </bk>
    <bk>
      <rc t="2" v="252"/>
    </bk>
    <bk>
      <rc t="2" v="253"/>
    </bk>
    <bk>
      <rc t="2" v="254"/>
    </bk>
    <bk>
      <rc t="2" v="255"/>
    </bk>
    <bk>
      <rc t="2" v="256"/>
    </bk>
    <bk>
      <rc t="2" v="257"/>
    </bk>
    <bk>
      <rc t="2" v="258"/>
    </bk>
    <bk>
      <rc t="2" v="259"/>
    </bk>
    <bk>
      <rc t="2" v="260"/>
    </bk>
    <bk>
      <rc t="2" v="261"/>
    </bk>
    <bk>
      <rc t="2" v="262"/>
    </bk>
    <bk>
      <rc t="2" v="263"/>
    </bk>
    <bk>
      <rc t="2" v="264"/>
    </bk>
    <bk>
      <rc t="2" v="265"/>
    </bk>
    <bk>
      <rc t="2" v="266"/>
    </bk>
    <bk>
      <rc t="2" v="267"/>
    </bk>
    <bk>
      <rc t="2" v="268"/>
    </bk>
    <bk>
      <rc t="2" v="269"/>
    </bk>
    <bk>
      <rc t="2" v="270"/>
    </bk>
    <bk>
      <rc t="2" v="271"/>
    </bk>
    <bk>
      <rc t="2" v="272"/>
    </bk>
    <bk>
      <rc t="2" v="273"/>
    </bk>
    <bk>
      <rc t="2" v="274"/>
    </bk>
    <bk>
      <rc t="2" v="275"/>
    </bk>
    <bk>
      <rc t="2" v="276"/>
    </bk>
    <bk>
      <rc t="2" v="277"/>
    </bk>
    <bk>
      <rc t="2" v="278"/>
    </bk>
    <bk>
      <rc t="2" v="279"/>
    </bk>
    <bk>
      <rc t="2" v="280"/>
    </bk>
    <bk>
      <rc t="2" v="281"/>
    </bk>
    <bk>
      <rc t="2" v="282"/>
    </bk>
    <bk>
      <rc t="2" v="283"/>
    </bk>
    <bk>
      <rc t="2" v="284"/>
    </bk>
    <bk>
      <rc t="2" v="285"/>
    </bk>
    <bk>
      <rc t="2" v="286"/>
    </bk>
    <bk>
      <rc t="2" v="287"/>
    </bk>
    <bk>
      <rc t="2" v="288"/>
    </bk>
    <bk>
      <rc t="2" v="289"/>
    </bk>
    <bk>
      <rc t="2" v="290"/>
    </bk>
    <bk>
      <rc t="2" v="291"/>
    </bk>
    <bk>
      <rc t="2" v="292"/>
    </bk>
    <bk>
      <rc t="2" v="293"/>
    </bk>
    <bk>
      <rc t="2" v="294"/>
    </bk>
    <bk>
      <rc t="2" v="295"/>
    </bk>
    <bk>
      <rc t="2" v="296"/>
    </bk>
    <bk>
      <rc t="2" v="297"/>
    </bk>
    <bk>
      <rc t="2" v="298"/>
    </bk>
    <bk>
      <rc t="2" v="299"/>
    </bk>
    <bk>
      <rc t="2" v="300"/>
    </bk>
    <bk>
      <rc t="2" v="301"/>
    </bk>
    <bk>
      <rc t="2" v="302"/>
    </bk>
    <bk>
      <rc t="2" v="303"/>
    </bk>
    <bk>
      <rc t="2" v="304"/>
    </bk>
    <bk>
      <rc t="2" v="305"/>
    </bk>
    <bk>
      <rc t="2" v="306"/>
    </bk>
    <bk>
      <rc t="2" v="307"/>
    </bk>
    <bk>
      <rc t="2" v="308"/>
    </bk>
    <bk>
      <rc t="2" v="309"/>
    </bk>
    <bk>
      <rc t="2" v="310"/>
    </bk>
    <bk>
      <rc t="2" v="311"/>
    </bk>
    <bk>
      <rc t="2" v="312"/>
    </bk>
    <bk>
      <rc t="2" v="313"/>
    </bk>
    <bk>
      <rc t="2" v="314"/>
    </bk>
    <bk>
      <rc t="2" v="315"/>
    </bk>
    <bk>
      <rc t="2" v="316"/>
    </bk>
    <bk>
      <rc t="2" v="317"/>
    </bk>
    <bk>
      <rc t="2" v="318"/>
    </bk>
    <bk>
      <rc t="2" v="319"/>
    </bk>
    <bk>
      <rc t="2" v="320"/>
    </bk>
    <bk>
      <rc t="2" v="321"/>
    </bk>
    <bk>
      <rc t="2" v="322"/>
    </bk>
    <bk>
      <rc t="2" v="323"/>
    </bk>
    <bk>
      <rc t="2" v="324"/>
    </bk>
    <bk>
      <rc t="2" v="325"/>
    </bk>
    <bk>
      <rc t="2" v="326"/>
    </bk>
    <bk>
      <rc t="2" v="327"/>
    </bk>
    <bk>
      <rc t="2" v="328"/>
    </bk>
    <bk>
      <rc t="2" v="329"/>
    </bk>
    <bk>
      <rc t="2" v="330"/>
    </bk>
    <bk>
      <rc t="2" v="331"/>
    </bk>
    <bk>
      <rc t="2" v="332"/>
    </bk>
    <bk>
      <rc t="2" v="333"/>
    </bk>
    <bk>
      <rc t="2" v="334"/>
    </bk>
    <bk>
      <rc t="2" v="335"/>
    </bk>
    <bk>
      <rc t="2" v="336"/>
    </bk>
    <bk>
      <rc t="2" v="337"/>
    </bk>
    <bk>
      <rc t="2" v="338"/>
    </bk>
    <bk>
      <rc t="2" v="339"/>
    </bk>
    <bk>
      <rc t="2" v="340"/>
    </bk>
    <bk>
      <rc t="2" v="341"/>
    </bk>
    <bk>
      <rc t="2" v="342"/>
    </bk>
    <bk>
      <rc t="2" v="343"/>
    </bk>
    <bk>
      <rc t="2" v="344"/>
    </bk>
    <bk>
      <rc t="2" v="345"/>
    </bk>
    <bk>
      <rc t="2" v="346"/>
    </bk>
    <bk>
      <rc t="2" v="347"/>
    </bk>
    <bk>
      <rc t="2" v="348"/>
    </bk>
    <bk>
      <rc t="2" v="349"/>
    </bk>
    <bk>
      <rc t="2" v="350"/>
    </bk>
    <bk>
      <rc t="2" v="351"/>
    </bk>
    <bk>
      <rc t="2" v="352"/>
    </bk>
    <bk>
      <rc t="2" v="353"/>
    </bk>
    <bk>
      <rc t="2" v="354"/>
    </bk>
    <bk>
      <rc t="2" v="355"/>
    </bk>
    <bk>
      <rc t="2" v="356"/>
    </bk>
    <bk>
      <rc t="2" v="357"/>
    </bk>
    <bk>
      <rc t="2" v="358"/>
    </bk>
    <bk>
      <rc t="2" v="359"/>
    </bk>
    <bk>
      <rc t="2" v="360"/>
    </bk>
    <bk>
      <rc t="2" v="361"/>
    </bk>
    <bk>
      <rc t="2" v="362"/>
    </bk>
    <bk>
      <rc t="2" v="363"/>
    </bk>
    <bk>
      <rc t="2" v="364"/>
    </bk>
    <bk>
      <rc t="2" v="365"/>
    </bk>
    <bk>
      <rc t="2" v="366"/>
    </bk>
    <bk>
      <rc t="2" v="367"/>
    </bk>
    <bk>
      <rc t="2" v="368"/>
    </bk>
    <bk>
      <rc t="2" v="369"/>
    </bk>
    <bk>
      <rc t="2" v="370"/>
    </bk>
    <bk>
      <rc t="2" v="371"/>
    </bk>
    <bk>
      <rc t="2" v="372"/>
    </bk>
    <bk>
      <rc t="2" v="373"/>
    </bk>
    <bk>
      <rc t="2" v="374"/>
    </bk>
    <bk>
      <rc t="2" v="375"/>
    </bk>
    <bk>
      <rc t="2" v="376"/>
    </bk>
    <bk>
      <rc t="2" v="377"/>
    </bk>
    <bk>
      <rc t="2" v="378"/>
    </bk>
    <bk>
      <rc t="2" v="379"/>
    </bk>
    <bk>
      <rc t="2" v="380"/>
    </bk>
    <bk>
      <rc t="2" v="381"/>
    </bk>
    <bk>
      <rc t="2" v="382"/>
    </bk>
    <bk>
      <rc t="2" v="383"/>
    </bk>
    <bk>
      <rc t="2" v="384"/>
    </bk>
    <bk>
      <rc t="2" v="385"/>
    </bk>
    <bk>
      <rc t="2" v="386"/>
    </bk>
    <bk>
      <rc t="2" v="387"/>
    </bk>
    <bk>
      <rc t="2" v="388"/>
    </bk>
    <bk>
      <rc t="2" v="389"/>
    </bk>
    <bk>
      <rc t="2" v="390"/>
    </bk>
    <bk>
      <rc t="2" v="391"/>
    </bk>
    <bk>
      <rc t="2" v="392"/>
    </bk>
    <bk>
      <rc t="2" v="393"/>
    </bk>
    <bk>
      <rc t="2" v="394"/>
    </bk>
    <bk>
      <rc t="2" v="395"/>
    </bk>
    <bk>
      <rc t="2" v="396"/>
    </bk>
    <bk>
      <rc t="2" v="397"/>
    </bk>
    <bk>
      <rc t="2" v="398"/>
    </bk>
    <bk>
      <rc t="2" v="399"/>
    </bk>
    <bk>
      <rc t="2" v="400"/>
    </bk>
    <bk>
      <rc t="2" v="401"/>
    </bk>
    <bk>
      <rc t="2" v="402"/>
    </bk>
    <bk>
      <rc t="2" v="403"/>
    </bk>
    <bk>
      <rc t="2" v="404"/>
    </bk>
    <bk>
      <rc t="2" v="405"/>
    </bk>
    <bk>
      <rc t="2" v="406"/>
    </bk>
    <bk>
      <rc t="2" v="407"/>
    </bk>
    <bk>
      <rc t="2" v="408"/>
    </bk>
    <bk>
      <rc t="2" v="409"/>
    </bk>
    <bk>
      <rc t="2" v="410"/>
    </bk>
    <bk>
      <rc t="2" v="411"/>
    </bk>
    <bk>
      <rc t="2" v="412"/>
    </bk>
    <bk>
      <rc t="2" v="413"/>
    </bk>
    <bk>
      <rc t="2" v="414"/>
    </bk>
    <bk>
      <rc t="2" v="415"/>
    </bk>
    <bk>
      <rc t="2" v="416"/>
    </bk>
    <bk>
      <rc t="2" v="417"/>
    </bk>
    <bk>
      <rc t="2" v="418"/>
    </bk>
    <bk>
      <rc t="2" v="419"/>
    </bk>
    <bk>
      <rc t="2" v="420"/>
    </bk>
    <bk>
      <rc t="2" v="421"/>
    </bk>
    <bk>
      <rc t="2" v="422"/>
    </bk>
    <bk>
      <rc t="2" v="423"/>
    </bk>
    <bk>
      <rc t="2" v="424"/>
    </bk>
    <bk>
      <rc t="2" v="425"/>
    </bk>
    <bk>
      <rc t="2" v="426"/>
    </bk>
    <bk>
      <rc t="2" v="427"/>
    </bk>
    <bk>
      <rc t="2" v="428"/>
    </bk>
    <bk>
      <rc t="2" v="429"/>
    </bk>
    <bk>
      <rc t="2" v="430"/>
    </bk>
    <bk>
      <rc t="2" v="431"/>
    </bk>
    <bk>
      <rc t="2" v="432"/>
    </bk>
    <bk>
      <rc t="2" v="433"/>
    </bk>
    <bk>
      <rc t="2" v="434"/>
    </bk>
    <bk>
      <rc t="2" v="435"/>
    </bk>
    <bk>
      <rc t="2" v="436"/>
    </bk>
    <bk>
      <rc t="2" v="437"/>
    </bk>
    <bk>
      <rc t="2" v="438"/>
    </bk>
    <bk>
      <rc t="2" v="439"/>
    </bk>
    <bk>
      <rc t="2" v="440"/>
    </bk>
    <bk>
      <rc t="2" v="441"/>
    </bk>
    <bk>
      <rc t="2" v="442"/>
    </bk>
    <bk>
      <rc t="2" v="443"/>
    </bk>
    <bk>
      <rc t="2" v="444"/>
    </bk>
    <bk>
      <rc t="2" v="445"/>
    </bk>
    <bk>
      <rc t="2" v="446"/>
    </bk>
    <bk>
      <rc t="2" v="447"/>
    </bk>
    <bk>
      <rc t="2" v="448"/>
    </bk>
    <bk>
      <rc t="2" v="449"/>
    </bk>
    <bk>
      <rc t="2" v="450"/>
    </bk>
    <bk>
      <rc t="2" v="451"/>
    </bk>
    <bk>
      <rc t="2" v="452"/>
    </bk>
    <bk>
      <rc t="2" v="453"/>
    </bk>
    <bk>
      <rc t="2" v="454"/>
    </bk>
    <bk>
      <rc t="2" v="455"/>
    </bk>
    <bk>
      <rc t="2" v="456"/>
    </bk>
    <bk>
      <rc t="2" v="457"/>
    </bk>
    <bk>
      <rc t="2" v="458"/>
    </bk>
    <bk>
      <rc t="2" v="459"/>
    </bk>
    <bk>
      <rc t="2" v="460"/>
    </bk>
    <bk>
      <rc t="2" v="461"/>
    </bk>
    <bk>
      <rc t="2" v="462"/>
    </bk>
    <bk>
      <rc t="2" v="463"/>
    </bk>
    <bk>
      <rc t="2" v="464"/>
    </bk>
    <bk>
      <rc t="2" v="465"/>
    </bk>
    <bk>
      <rc t="2" v="466"/>
    </bk>
    <bk>
      <rc t="2" v="467"/>
    </bk>
    <bk>
      <rc t="2" v="468"/>
    </bk>
    <bk>
      <rc t="2" v="469"/>
    </bk>
    <bk>
      <rc t="2" v="470"/>
    </bk>
    <bk>
      <rc t="2" v="471"/>
    </bk>
    <bk>
      <rc t="2" v="472"/>
    </bk>
    <bk>
      <rc t="2" v="473"/>
    </bk>
    <bk>
      <rc t="2" v="474"/>
    </bk>
    <bk>
      <rc t="2" v="475"/>
    </bk>
    <bk>
      <rc t="2" v="476"/>
    </bk>
    <bk>
      <rc t="2" v="477"/>
    </bk>
    <bk>
      <rc t="2" v="478"/>
    </bk>
    <bk>
      <rc t="2" v="479"/>
    </bk>
    <bk>
      <rc t="2" v="480"/>
    </bk>
    <bk>
      <rc t="2" v="481"/>
    </bk>
    <bk>
      <rc t="2" v="482"/>
    </bk>
    <bk>
      <rc t="2" v="483"/>
    </bk>
    <bk>
      <rc t="2" v="484"/>
    </bk>
    <bk>
      <rc t="2" v="485"/>
    </bk>
    <bk>
      <rc t="2" v="486"/>
    </bk>
    <bk>
      <rc t="2" v="487"/>
    </bk>
    <bk>
      <rc t="2" v="488"/>
    </bk>
    <bk>
      <rc t="2" v="489"/>
    </bk>
    <bk>
      <rc t="2" v="490"/>
    </bk>
    <bk>
      <rc t="2" v="491"/>
    </bk>
    <bk>
      <rc t="2" v="492"/>
    </bk>
    <bk>
      <rc t="2" v="493"/>
    </bk>
    <bk>
      <rc t="2" v="494"/>
    </bk>
    <bk>
      <rc t="2" v="495"/>
    </bk>
    <bk>
      <rc t="2" v="496"/>
    </bk>
    <bk>
      <rc t="2" v="497"/>
    </bk>
    <bk>
      <rc t="2" v="498"/>
    </bk>
    <bk>
      <rc t="2" v="499"/>
    </bk>
    <bk>
      <rc t="2" v="500"/>
    </bk>
    <bk>
      <rc t="2" v="501"/>
    </bk>
    <bk>
      <rc t="2" v="502"/>
    </bk>
    <bk>
      <rc t="2" v="503"/>
    </bk>
    <bk>
      <rc t="2" v="504"/>
    </bk>
    <bk>
      <rc t="2" v="505"/>
    </bk>
    <bk>
      <rc t="2" v="506"/>
    </bk>
    <bk>
      <rc t="2" v="507"/>
    </bk>
    <bk>
      <rc t="2" v="508"/>
    </bk>
    <bk>
      <rc t="2" v="509"/>
    </bk>
    <bk>
      <rc t="2" v="510"/>
    </bk>
    <bk>
      <rc t="2" v="511"/>
    </bk>
    <bk>
      <rc t="2" v="512"/>
    </bk>
    <bk>
      <rc t="2" v="513"/>
    </bk>
    <bk>
      <rc t="2" v="514"/>
    </bk>
    <bk>
      <rc t="2" v="515"/>
    </bk>
    <bk>
      <rc t="2" v="516"/>
    </bk>
    <bk>
      <rc t="2" v="517"/>
    </bk>
    <bk>
      <rc t="2" v="518"/>
    </bk>
    <bk>
      <rc t="2" v="519"/>
    </bk>
    <bk>
      <rc t="2" v="520"/>
    </bk>
    <bk>
      <rc t="2" v="521"/>
    </bk>
    <bk>
      <rc t="2" v="522"/>
    </bk>
    <bk>
      <rc t="2" v="523"/>
    </bk>
    <bk>
      <rc t="2" v="524"/>
    </bk>
    <bk>
      <rc t="2" v="525"/>
    </bk>
    <bk>
      <rc t="2" v="526"/>
    </bk>
    <bk>
      <rc t="2" v="527"/>
    </bk>
    <bk>
      <rc t="2" v="528"/>
    </bk>
    <bk>
      <rc t="2" v="529"/>
    </bk>
    <bk>
      <rc t="2" v="530"/>
    </bk>
    <bk>
      <rc t="2" v="531"/>
    </bk>
    <bk>
      <rc t="2" v="532"/>
    </bk>
    <bk>
      <rc t="2" v="533"/>
    </bk>
    <bk>
      <rc t="2" v="534"/>
    </bk>
    <bk>
      <rc t="2" v="535"/>
    </bk>
    <bk>
      <rc t="2" v="536"/>
    </bk>
    <bk>
      <rc t="2" v="537"/>
    </bk>
    <bk>
      <rc t="2" v="538"/>
    </bk>
    <bk>
      <rc t="2" v="539"/>
    </bk>
    <bk>
      <rc t="2" v="540"/>
    </bk>
    <bk>
      <rc t="2" v="541"/>
    </bk>
    <bk>
      <rc t="2" v="542"/>
    </bk>
    <bk>
      <rc t="2" v="543"/>
    </bk>
    <bk>
      <rc t="2" v="544"/>
    </bk>
    <bk>
      <rc t="2" v="545"/>
    </bk>
    <bk>
      <rc t="2" v="546"/>
    </bk>
    <bk>
      <rc t="2" v="547"/>
    </bk>
    <bk>
      <rc t="2" v="548"/>
    </bk>
    <bk>
      <rc t="2" v="549"/>
    </bk>
    <bk>
      <rc t="2" v="550"/>
    </bk>
    <bk>
      <rc t="2" v="551"/>
    </bk>
    <bk>
      <rc t="2" v="552"/>
    </bk>
    <bk>
      <rc t="2" v="553"/>
    </bk>
    <bk>
      <rc t="2" v="554"/>
    </bk>
    <bk>
      <rc t="2" v="555"/>
    </bk>
    <bk>
      <rc t="2" v="556"/>
    </bk>
    <bk>
      <rc t="2" v="557"/>
    </bk>
    <bk>
      <rc t="2" v="558"/>
    </bk>
    <bk>
      <rc t="2" v="559"/>
    </bk>
    <bk>
      <rc t="2" v="560"/>
    </bk>
    <bk>
      <rc t="2" v="561"/>
    </bk>
    <bk>
      <rc t="2" v="562"/>
    </bk>
    <bk>
      <rc t="2" v="563"/>
    </bk>
    <bk>
      <rc t="2" v="564"/>
    </bk>
    <bk>
      <rc t="2" v="565"/>
    </bk>
    <bk>
      <rc t="2" v="566"/>
    </bk>
    <bk>
      <rc t="2" v="567"/>
    </bk>
    <bk>
      <rc t="2" v="568"/>
    </bk>
    <bk>
      <rc t="2" v="569"/>
    </bk>
    <bk>
      <rc t="2" v="570"/>
    </bk>
    <bk>
      <rc t="2" v="571"/>
    </bk>
    <bk>
      <rc t="2" v="572"/>
    </bk>
    <bk>
      <rc t="2" v="573"/>
    </bk>
    <bk>
      <rc t="2" v="574"/>
    </bk>
    <bk>
      <rc t="2" v="575"/>
    </bk>
    <bk>
      <rc t="2" v="576"/>
    </bk>
    <bk>
      <rc t="2" v="577"/>
    </bk>
    <bk>
      <rc t="2" v="578"/>
    </bk>
    <bk>
      <rc t="2" v="579"/>
    </bk>
    <bk>
      <rc t="2" v="580"/>
    </bk>
    <bk>
      <rc t="2" v="581"/>
    </bk>
    <bk>
      <rc t="2" v="582"/>
    </bk>
    <bk>
      <rc t="2" v="583"/>
    </bk>
    <bk>
      <rc t="2" v="584"/>
    </bk>
    <bk>
      <rc t="2" v="585"/>
    </bk>
    <bk>
      <rc t="2" v="586"/>
    </bk>
    <bk>
      <rc t="2" v="587"/>
    </bk>
    <bk>
      <rc t="2" v="588"/>
    </bk>
    <bk>
      <rc t="2" v="589"/>
    </bk>
    <bk>
      <rc t="2" v="590"/>
    </bk>
    <bk>
      <rc t="2" v="591"/>
    </bk>
    <bk>
      <rc t="2" v="592"/>
    </bk>
    <bk>
      <rc t="2" v="593"/>
    </bk>
    <bk>
      <rc t="2" v="594"/>
    </bk>
    <bk>
      <rc t="2" v="595"/>
    </bk>
    <bk>
      <rc t="2" v="596"/>
    </bk>
    <bk>
      <rc t="2" v="597"/>
    </bk>
    <bk>
      <rc t="2" v="598"/>
    </bk>
    <bk>
      <rc t="2" v="599"/>
    </bk>
    <bk>
      <rc t="2" v="600"/>
    </bk>
    <bk>
      <rc t="2" v="601"/>
    </bk>
    <bk>
      <rc t="2" v="602"/>
    </bk>
    <bk>
      <rc t="2" v="603"/>
    </bk>
    <bk>
      <rc t="2" v="604"/>
    </bk>
    <bk>
      <rc t="2" v="605"/>
    </bk>
    <bk>
      <rc t="2" v="606"/>
    </bk>
    <bk>
      <rc t="2" v="607"/>
    </bk>
    <bk>
      <rc t="2" v="608"/>
    </bk>
    <bk>
      <rc t="2" v="609"/>
    </bk>
    <bk>
      <rc t="2" v="610"/>
    </bk>
    <bk>
      <rc t="2" v="611"/>
    </bk>
    <bk>
      <rc t="2" v="612"/>
    </bk>
    <bk>
      <rc t="2" v="613"/>
    </bk>
    <bk>
      <rc t="2" v="614"/>
    </bk>
    <bk>
      <rc t="2" v="615"/>
    </bk>
    <bk>
      <rc t="2" v="616"/>
    </bk>
    <bk>
      <rc t="2" v="617"/>
    </bk>
    <bk>
      <rc t="2" v="618"/>
    </bk>
    <bk>
      <rc t="2" v="619"/>
    </bk>
    <bk>
      <rc t="2" v="620"/>
    </bk>
    <bk>
      <rc t="2" v="621"/>
    </bk>
    <bk>
      <rc t="2" v="622"/>
    </bk>
    <bk>
      <rc t="2" v="623"/>
    </bk>
    <bk>
      <rc t="2" v="624"/>
    </bk>
    <bk>
      <rc t="2" v="625"/>
    </bk>
    <bk>
      <rc t="2" v="626"/>
    </bk>
    <bk>
      <rc t="2" v="627"/>
    </bk>
    <bk>
      <rc t="2" v="628"/>
    </bk>
    <bk>
      <rc t="2" v="629"/>
    </bk>
    <bk>
      <rc t="2" v="630"/>
    </bk>
    <bk>
      <rc t="2" v="631"/>
    </bk>
    <bk>
      <rc t="2" v="632"/>
    </bk>
    <bk>
      <rc t="2" v="633"/>
    </bk>
    <bk>
      <rc t="2" v="634"/>
    </bk>
    <bk>
      <rc t="2" v="635"/>
    </bk>
    <bk>
      <rc t="2" v="636"/>
    </bk>
    <bk>
      <rc t="2" v="637"/>
    </bk>
    <bk>
      <rc t="2" v="638"/>
    </bk>
    <bk>
      <rc t="2" v="639"/>
    </bk>
    <bk>
      <rc t="2" v="640"/>
    </bk>
    <bk>
      <rc t="2" v="641"/>
    </bk>
    <bk>
      <rc t="2" v="642"/>
    </bk>
    <bk>
      <rc t="2" v="643"/>
    </bk>
    <bk>
      <rc t="2" v="644"/>
    </bk>
    <bk>
      <rc t="2" v="645"/>
    </bk>
    <bk>
      <rc t="2" v="646"/>
    </bk>
    <bk>
      <rc t="2" v="647"/>
    </bk>
    <bk>
      <rc t="2" v="648"/>
    </bk>
    <bk>
      <rc t="2" v="649"/>
    </bk>
    <bk>
      <rc t="2" v="650"/>
    </bk>
    <bk>
      <rc t="2" v="651"/>
    </bk>
    <bk>
      <rc t="2" v="652"/>
    </bk>
    <bk>
      <rc t="2" v="653"/>
    </bk>
    <bk>
      <rc t="2" v="654"/>
    </bk>
    <bk>
      <rc t="2" v="655"/>
    </bk>
    <bk>
      <rc t="2" v="656"/>
    </bk>
    <bk>
      <rc t="2" v="657"/>
    </bk>
    <bk>
      <rc t="2" v="658"/>
    </bk>
    <bk>
      <rc t="2" v="659"/>
    </bk>
    <bk>
      <rc t="2" v="660"/>
    </bk>
    <bk>
      <rc t="2" v="661"/>
    </bk>
    <bk>
      <rc t="2" v="662"/>
    </bk>
    <bk>
      <rc t="2" v="663"/>
    </bk>
    <bk>
      <rc t="2" v="664"/>
    </bk>
    <bk>
      <rc t="2" v="665"/>
    </bk>
    <bk>
      <rc t="2" v="666"/>
    </bk>
    <bk>
      <rc t="2" v="667"/>
    </bk>
    <bk>
      <rc t="2" v="668"/>
    </bk>
    <bk>
      <rc t="2" v="669"/>
    </bk>
    <bk>
      <rc t="2" v="670"/>
    </bk>
    <bk>
      <rc t="2" v="671"/>
    </bk>
    <bk>
      <rc t="2" v="672"/>
    </bk>
    <bk>
      <rc t="2" v="673"/>
    </bk>
    <bk>
      <rc t="2" v="674"/>
    </bk>
    <bk>
      <rc t="2" v="675"/>
    </bk>
    <bk>
      <rc t="2" v="676"/>
    </bk>
    <bk>
      <rc t="2" v="677"/>
    </bk>
    <bk>
      <rc t="2" v="678"/>
    </bk>
    <bk>
      <rc t="2" v="679"/>
    </bk>
    <bk>
      <rc t="2" v="680"/>
    </bk>
    <bk>
      <rc t="2" v="681"/>
    </bk>
    <bk>
      <rc t="2" v="682"/>
    </bk>
    <bk>
      <rc t="2" v="683"/>
    </bk>
    <bk>
      <rc t="2" v="684"/>
    </bk>
    <bk>
      <rc t="2" v="685"/>
    </bk>
    <bk>
      <rc t="2" v="686"/>
    </bk>
    <bk>
      <rc t="2" v="687"/>
    </bk>
    <bk>
      <rc t="2" v="688"/>
    </bk>
    <bk>
      <rc t="2" v="689"/>
    </bk>
    <bk>
      <rc t="2" v="690"/>
    </bk>
    <bk>
      <rc t="2" v="691"/>
    </bk>
    <bk>
      <rc t="2" v="692"/>
    </bk>
    <bk>
      <rc t="2" v="693"/>
    </bk>
    <bk>
      <rc t="2" v="694"/>
    </bk>
    <bk>
      <rc t="2" v="695"/>
    </bk>
    <bk>
      <rc t="2" v="696"/>
    </bk>
    <bk>
      <rc t="2" v="697"/>
    </bk>
    <bk>
      <rc t="2" v="698"/>
    </bk>
    <bk>
      <rc t="2" v="699"/>
    </bk>
    <bk>
      <rc t="2" v="700"/>
    </bk>
    <bk>
      <rc t="2" v="701"/>
    </bk>
    <bk>
      <rc t="2" v="702"/>
    </bk>
    <bk>
      <rc t="2" v="703"/>
    </bk>
    <bk>
      <rc t="2" v="704"/>
    </bk>
    <bk>
      <rc t="2" v="705"/>
    </bk>
    <bk>
      <rc t="2" v="706"/>
    </bk>
    <bk>
      <rc t="2" v="707"/>
    </bk>
    <bk>
      <rc t="2" v="708"/>
    </bk>
    <bk>
      <rc t="2" v="709"/>
    </bk>
    <bk>
      <rc t="2" v="710"/>
    </bk>
    <bk>
      <rc t="2" v="711"/>
    </bk>
    <bk>
      <rc t="2" v="712"/>
    </bk>
    <bk>
      <rc t="2" v="713"/>
    </bk>
    <bk>
      <rc t="2" v="714"/>
    </bk>
    <bk>
      <rc t="2" v="715"/>
    </bk>
    <bk>
      <rc t="2" v="716"/>
    </bk>
    <bk>
      <rc t="2" v="717"/>
    </bk>
    <bk>
      <rc t="2" v="718"/>
    </bk>
    <bk>
      <rc t="2" v="719"/>
    </bk>
    <bk>
      <rc t="2" v="720"/>
    </bk>
    <bk>
      <rc t="2" v="721"/>
    </bk>
    <bk>
      <rc t="2" v="722"/>
    </bk>
    <bk>
      <rc t="2" v="723"/>
    </bk>
    <bk>
      <rc t="2" v="724"/>
    </bk>
    <bk>
      <rc t="2" v="725"/>
    </bk>
    <bk>
      <rc t="2" v="726"/>
    </bk>
    <bk>
      <rc t="2" v="727"/>
    </bk>
    <bk>
      <rc t="2" v="728"/>
    </bk>
    <bk>
      <rc t="2" v="729"/>
    </bk>
    <bk>
      <rc t="2" v="730"/>
    </bk>
    <bk>
      <rc t="2" v="731"/>
    </bk>
    <bk>
      <rc t="2" v="732"/>
    </bk>
    <bk>
      <rc t="2" v="733"/>
    </bk>
    <bk>
      <rc t="2" v="734"/>
    </bk>
    <bk>
      <rc t="2" v="735"/>
    </bk>
    <bk>
      <rc t="2" v="736"/>
    </bk>
    <bk>
      <rc t="2" v="737"/>
    </bk>
    <bk>
      <rc t="2" v="738"/>
    </bk>
    <bk>
      <rc t="2" v="739"/>
    </bk>
    <bk>
      <rc t="2" v="740"/>
    </bk>
    <bk>
      <rc t="2" v="741"/>
    </bk>
    <bk>
      <rc t="2" v="742"/>
    </bk>
    <bk>
      <rc t="2" v="743"/>
    </bk>
    <bk>
      <rc t="2" v="744"/>
    </bk>
    <bk>
      <rc t="2" v="745"/>
    </bk>
    <bk>
      <rc t="2" v="746"/>
    </bk>
    <bk>
      <rc t="2" v="747"/>
    </bk>
    <bk>
      <rc t="2" v="748"/>
    </bk>
    <bk>
      <rc t="2" v="749"/>
    </bk>
    <bk>
      <rc t="2" v="750"/>
    </bk>
    <bk>
      <rc t="2" v="751"/>
    </bk>
    <bk>
      <rc t="2" v="752"/>
    </bk>
    <bk>
      <rc t="2" v="753"/>
    </bk>
    <bk>
      <rc t="2" v="754"/>
    </bk>
    <bk>
      <rc t="2" v="755"/>
    </bk>
    <bk>
      <rc t="2" v="756"/>
    </bk>
    <bk>
      <rc t="2" v="757"/>
    </bk>
    <bk>
      <rc t="2" v="758"/>
    </bk>
    <bk>
      <rc t="2" v="759"/>
    </bk>
    <bk>
      <rc t="2" v="760"/>
    </bk>
    <bk>
      <rc t="2" v="761"/>
    </bk>
    <bk>
      <rc t="2" v="762"/>
    </bk>
    <bk>
      <rc t="2" v="763"/>
    </bk>
    <bk>
      <rc t="2" v="764"/>
    </bk>
    <bk>
      <rc t="2" v="765"/>
    </bk>
    <bk>
      <rc t="2" v="766"/>
    </bk>
    <bk>
      <rc t="2" v="767"/>
    </bk>
    <bk>
      <rc t="2" v="768"/>
    </bk>
    <bk>
      <rc t="2" v="769"/>
    </bk>
    <bk>
      <rc t="2" v="770"/>
    </bk>
    <bk>
      <rc t="2" v="771"/>
    </bk>
    <bk>
      <rc t="2" v="772"/>
    </bk>
    <bk>
      <rc t="2" v="773"/>
    </bk>
    <bk>
      <rc t="2" v="774"/>
    </bk>
    <bk>
      <rc t="2" v="775"/>
    </bk>
    <bk>
      <rc t="2" v="776"/>
    </bk>
    <bk>
      <rc t="2" v="777"/>
    </bk>
    <bk>
      <rc t="2" v="778"/>
    </bk>
    <bk>
      <rc t="2" v="779"/>
    </bk>
    <bk>
      <rc t="2" v="780"/>
    </bk>
    <bk>
      <rc t="2" v="781"/>
    </bk>
    <bk>
      <rc t="2" v="782"/>
    </bk>
    <bk>
      <rc t="2" v="783"/>
    </bk>
    <bk>
      <rc t="2" v="784"/>
    </bk>
    <bk>
      <rc t="2" v="785"/>
    </bk>
    <bk>
      <rc t="2" v="786"/>
    </bk>
    <bk>
      <rc t="2" v="787"/>
    </bk>
    <bk>
      <rc t="2" v="788"/>
    </bk>
    <bk>
      <rc t="2" v="789"/>
    </bk>
    <bk>
      <rc t="2" v="790"/>
    </bk>
    <bk>
      <rc t="2" v="791"/>
    </bk>
    <bk>
      <rc t="2" v="792"/>
    </bk>
    <bk>
      <rc t="2" v="793"/>
    </bk>
    <bk>
      <rc t="2" v="794"/>
    </bk>
    <bk>
      <rc t="2" v="795"/>
    </bk>
    <bk>
      <rc t="2" v="796"/>
    </bk>
    <bk>
      <rc t="2" v="797"/>
    </bk>
    <bk>
      <rc t="2" v="798"/>
    </bk>
    <bk>
      <rc t="2" v="799"/>
    </bk>
    <bk>
      <rc t="2" v="800"/>
    </bk>
    <bk>
      <rc t="2" v="801"/>
    </bk>
    <bk>
      <rc t="2" v="802"/>
    </bk>
    <bk>
      <rc t="2" v="803"/>
    </bk>
    <bk>
      <rc t="2" v="804"/>
    </bk>
    <bk>
      <rc t="2" v="805"/>
    </bk>
    <bk>
      <rc t="2" v="806"/>
    </bk>
    <bk>
      <rc t="2" v="807"/>
    </bk>
    <bk>
      <rc t="2" v="808"/>
    </bk>
    <bk>
      <rc t="2" v="809"/>
    </bk>
    <bk>
      <rc t="2" v="810"/>
    </bk>
    <bk>
      <rc t="2" v="811"/>
    </bk>
    <bk>
      <rc t="2" v="812"/>
    </bk>
    <bk>
      <rc t="2" v="813"/>
    </bk>
    <bk>
      <rc t="2" v="814"/>
    </bk>
    <bk>
      <rc t="2" v="815"/>
    </bk>
    <bk>
      <rc t="2" v="816"/>
    </bk>
    <bk>
      <rc t="2" v="817"/>
    </bk>
    <bk>
      <rc t="2" v="818"/>
    </bk>
    <bk>
      <rc t="2" v="819"/>
    </bk>
    <bk>
      <rc t="2" v="820"/>
    </bk>
    <bk>
      <rc t="2" v="821"/>
    </bk>
    <bk>
      <rc t="2" v="822"/>
    </bk>
    <bk>
      <rc t="2" v="823"/>
    </bk>
    <bk>
      <rc t="2" v="824"/>
    </bk>
    <bk>
      <rc t="2" v="825"/>
    </bk>
    <bk>
      <rc t="2" v="826"/>
    </bk>
    <bk>
      <rc t="2" v="827"/>
    </bk>
    <bk>
      <rc t="2" v="828"/>
    </bk>
    <bk>
      <rc t="2" v="829"/>
    </bk>
    <bk>
      <rc t="2" v="830"/>
    </bk>
    <bk>
      <rc t="2" v="831"/>
    </bk>
    <bk>
      <rc t="2" v="832"/>
    </bk>
    <bk>
      <rc t="2" v="833"/>
    </bk>
    <bk>
      <rc t="2" v="834"/>
    </bk>
    <bk>
      <rc t="2" v="835"/>
    </bk>
    <bk>
      <rc t="2" v="836"/>
    </bk>
    <bk>
      <rc t="2" v="837"/>
    </bk>
    <bk>
      <rc t="2" v="838"/>
    </bk>
    <bk>
      <rc t="2" v="839"/>
    </bk>
    <bk>
      <rc t="2" v="840"/>
    </bk>
    <bk>
      <rc t="2" v="841"/>
    </bk>
    <bk>
      <rc t="2" v="842"/>
    </bk>
    <bk>
      <rc t="2" v="843"/>
    </bk>
    <bk>
      <rc t="2" v="844"/>
    </bk>
    <bk>
      <rc t="2" v="845"/>
    </bk>
    <bk>
      <rc t="2" v="846"/>
    </bk>
    <bk>
      <rc t="2" v="847"/>
    </bk>
    <bk>
      <rc t="2" v="848"/>
    </bk>
    <bk>
      <rc t="2" v="849"/>
    </bk>
    <bk>
      <rc t="2" v="850"/>
    </bk>
    <bk>
      <rc t="2" v="851"/>
    </bk>
    <bk>
      <rc t="2" v="852"/>
    </bk>
    <bk>
      <rc t="2" v="853"/>
    </bk>
    <bk>
      <rc t="2" v="854"/>
    </bk>
    <bk>
      <rc t="2" v="855"/>
    </bk>
    <bk>
      <rc t="2" v="856"/>
    </bk>
    <bk>
      <rc t="2" v="857"/>
    </bk>
    <bk>
      <rc t="2" v="858"/>
    </bk>
    <bk>
      <rc t="2" v="859"/>
    </bk>
    <bk>
      <rc t="2" v="860"/>
    </bk>
    <bk>
      <rc t="2" v="861"/>
    </bk>
    <bk>
      <rc t="2" v="862"/>
    </bk>
    <bk>
      <rc t="2" v="863"/>
    </bk>
    <bk>
      <rc t="2" v="864"/>
    </bk>
    <bk>
      <rc t="2" v="865"/>
    </bk>
    <bk>
      <rc t="2" v="866"/>
    </bk>
    <bk>
      <rc t="2" v="867"/>
    </bk>
    <bk>
      <rc t="2" v="868"/>
    </bk>
    <bk>
      <rc t="2" v="869"/>
    </bk>
    <bk>
      <rc t="2" v="870"/>
    </bk>
    <bk>
      <rc t="2" v="871"/>
    </bk>
    <bk>
      <rc t="2" v="872"/>
    </bk>
    <bk>
      <rc t="2" v="873"/>
    </bk>
    <bk>
      <rc t="2" v="874"/>
    </bk>
    <bk>
      <rc t="2" v="875"/>
    </bk>
    <bk>
      <rc t="2" v="876"/>
    </bk>
    <bk>
      <rc t="2" v="877"/>
    </bk>
    <bk>
      <rc t="2" v="878"/>
    </bk>
    <bk>
      <rc t="2" v="879"/>
    </bk>
    <bk>
      <rc t="2" v="880"/>
    </bk>
    <bk>
      <rc t="2" v="881"/>
    </bk>
    <bk>
      <rc t="2" v="882"/>
    </bk>
    <bk>
      <rc t="2" v="883"/>
    </bk>
    <bk>
      <rc t="2" v="884"/>
    </bk>
    <bk>
      <rc t="2" v="885"/>
    </bk>
    <bk>
      <rc t="2" v="886"/>
    </bk>
    <bk>
      <rc t="2" v="887"/>
    </bk>
    <bk>
      <rc t="2" v="888"/>
    </bk>
    <bk>
      <rc t="2" v="889"/>
    </bk>
    <bk>
      <rc t="2" v="890"/>
    </bk>
    <bk>
      <rc t="2" v="891"/>
    </bk>
    <bk>
      <rc t="2" v="892"/>
    </bk>
    <bk>
      <rc t="2" v="893"/>
    </bk>
    <bk>
      <rc t="2" v="894"/>
    </bk>
    <bk>
      <rc t="2" v="895"/>
    </bk>
    <bk>
      <rc t="2" v="896"/>
    </bk>
    <bk>
      <rc t="2" v="897"/>
    </bk>
    <bk>
      <rc t="2" v="898"/>
    </bk>
    <bk>
      <rc t="2" v="899"/>
    </bk>
    <bk>
      <rc t="2" v="900"/>
    </bk>
    <bk>
      <rc t="2" v="901"/>
    </bk>
    <bk>
      <rc t="2" v="902"/>
    </bk>
    <bk>
      <rc t="2" v="903"/>
    </bk>
    <bk>
      <rc t="2" v="904"/>
    </bk>
    <bk>
      <rc t="2" v="905"/>
    </bk>
    <bk>
      <rc t="2" v="906"/>
    </bk>
    <bk>
      <rc t="2" v="907"/>
    </bk>
    <bk>
      <rc t="2" v="908"/>
    </bk>
    <bk>
      <rc t="2" v="909"/>
    </bk>
    <bk>
      <rc t="2" v="910"/>
    </bk>
    <bk>
      <rc t="2" v="911"/>
    </bk>
    <bk>
      <rc t="2" v="912"/>
    </bk>
    <bk>
      <rc t="2" v="913"/>
    </bk>
    <bk>
      <rc t="2" v="914"/>
    </bk>
    <bk>
      <rc t="2" v="915"/>
    </bk>
    <bk>
      <rc t="2" v="916"/>
    </bk>
    <bk>
      <rc t="2" v="917"/>
    </bk>
    <bk>
      <rc t="2" v="918"/>
    </bk>
    <bk>
      <rc t="2" v="919"/>
    </bk>
    <bk>
      <rc t="2" v="920"/>
    </bk>
    <bk>
      <rc t="2" v="921"/>
    </bk>
    <bk>
      <rc t="2" v="922"/>
    </bk>
    <bk>
      <rc t="2" v="923"/>
    </bk>
    <bk>
      <rc t="2" v="924"/>
    </bk>
    <bk>
      <rc t="2" v="925"/>
    </bk>
    <bk>
      <rc t="2" v="926"/>
    </bk>
    <bk>
      <rc t="2" v="927"/>
    </bk>
    <bk>
      <rc t="2" v="928"/>
    </bk>
    <bk>
      <rc t="2" v="929"/>
    </bk>
    <bk>
      <rc t="2" v="930"/>
    </bk>
    <bk>
      <rc t="2" v="931"/>
    </bk>
    <bk>
      <rc t="2" v="932"/>
    </bk>
    <bk>
      <rc t="2" v="933"/>
    </bk>
    <bk>
      <rc t="2" v="934"/>
    </bk>
    <bk>
      <rc t="2" v="935"/>
    </bk>
    <bk>
      <rc t="2" v="936"/>
    </bk>
    <bk>
      <rc t="2" v="937"/>
    </bk>
    <bk>
      <rc t="2" v="938"/>
    </bk>
    <bk>
      <rc t="2" v="939"/>
    </bk>
    <bk>
      <rc t="2" v="940"/>
    </bk>
    <bk>
      <rc t="2" v="941"/>
    </bk>
    <bk>
      <rc t="2" v="942"/>
    </bk>
    <bk>
      <rc t="2" v="943"/>
    </bk>
    <bk>
      <rc t="2" v="944"/>
    </bk>
    <bk>
      <rc t="2" v="945"/>
    </bk>
    <bk>
      <rc t="2" v="946"/>
    </bk>
    <bk>
      <rc t="2" v="947"/>
    </bk>
    <bk>
      <rc t="2" v="948"/>
    </bk>
    <bk>
      <rc t="2" v="949"/>
    </bk>
    <bk>
      <rc t="2" v="950"/>
    </bk>
    <bk>
      <rc t="2" v="951"/>
    </bk>
    <bk>
      <rc t="2" v="952"/>
    </bk>
    <bk>
      <rc t="2" v="953"/>
    </bk>
    <bk>
      <rc t="2" v="954"/>
    </bk>
    <bk>
      <rc t="2" v="955"/>
    </bk>
    <bk>
      <rc t="2" v="956"/>
    </bk>
    <bk>
      <rc t="2" v="957"/>
    </bk>
    <bk>
      <rc t="2" v="958"/>
    </bk>
    <bk>
      <rc t="2" v="959"/>
    </bk>
    <bk>
      <rc t="2" v="960"/>
    </bk>
    <bk>
      <rc t="2" v="961"/>
    </bk>
    <bk>
      <rc t="2" v="962"/>
    </bk>
    <bk>
      <rc t="2" v="963"/>
    </bk>
    <bk>
      <rc t="2" v="964"/>
    </bk>
    <bk>
      <rc t="2" v="965"/>
    </bk>
    <bk>
      <rc t="2" v="966"/>
    </bk>
    <bk>
      <rc t="2" v="967"/>
    </bk>
    <bk>
      <rc t="2" v="968"/>
    </bk>
    <bk>
      <rc t="2" v="969"/>
    </bk>
    <bk>
      <rc t="2" v="970"/>
    </bk>
    <bk>
      <rc t="2" v="971"/>
    </bk>
    <bk>
      <rc t="2" v="972"/>
    </bk>
    <bk>
      <rc t="2" v="973"/>
    </bk>
    <bk>
      <rc t="2" v="974"/>
    </bk>
    <bk>
      <rc t="2" v="975"/>
    </bk>
    <bk>
      <rc t="2" v="976"/>
    </bk>
    <bk>
      <rc t="2" v="977"/>
    </bk>
    <bk>
      <rc t="2" v="978"/>
    </bk>
    <bk>
      <rc t="2" v="979"/>
    </bk>
    <bk>
      <rc t="2" v="980"/>
    </bk>
    <bk>
      <rc t="2" v="981"/>
    </bk>
    <bk>
      <rc t="2" v="982"/>
    </bk>
    <bk>
      <rc t="2" v="983"/>
    </bk>
    <bk>
      <rc t="2" v="984"/>
    </bk>
    <bk>
      <rc t="2" v="985"/>
    </bk>
    <bk>
      <rc t="2" v="986"/>
    </bk>
    <bk>
      <rc t="2" v="987"/>
    </bk>
    <bk>
      <rc t="2" v="988"/>
    </bk>
    <bk>
      <rc t="2" v="989"/>
    </bk>
    <bk>
      <rc t="2" v="990"/>
    </bk>
    <bk>
      <rc t="2" v="991"/>
    </bk>
    <bk>
      <rc t="2" v="992"/>
    </bk>
    <bk>
      <rc t="2" v="993"/>
    </bk>
    <bk>
      <rc t="2" v="994"/>
    </bk>
    <bk>
      <rc t="2" v="995"/>
    </bk>
    <bk>
      <rc t="2" v="996"/>
    </bk>
    <bk>
      <rc t="2" v="997"/>
    </bk>
    <bk>
      <rc t="2" v="998"/>
    </bk>
    <bk>
      <rc t="2" v="999"/>
    </bk>
    <bk>
      <rc t="2" v="1000"/>
    </bk>
    <bk>
      <rc t="2" v="1001"/>
    </bk>
    <bk>
      <rc t="2" v="1002"/>
    </bk>
    <bk>
      <rc t="2" v="1003"/>
    </bk>
    <bk>
      <rc t="2" v="1004"/>
    </bk>
    <bk>
      <rc t="2" v="1005"/>
    </bk>
    <bk>
      <rc t="2" v="1006"/>
    </bk>
    <bk>
      <rc t="2" v="1007"/>
    </bk>
    <bk>
      <rc t="2" v="1008"/>
    </bk>
    <bk>
      <rc t="2" v="1009"/>
    </bk>
    <bk>
      <rc t="2" v="1010"/>
    </bk>
    <bk>
      <rc t="2" v="1011"/>
    </bk>
    <bk>
      <rc t="2" v="1012"/>
    </bk>
    <bk>
      <rc t="2" v="1013"/>
    </bk>
    <bk>
      <rc t="2" v="1014"/>
    </bk>
    <bk>
      <rc t="2" v="1015"/>
    </bk>
    <bk>
      <rc t="2" v="1016"/>
    </bk>
    <bk>
      <rc t="2" v="1017"/>
    </bk>
    <bk>
      <rc t="2" v="1018"/>
    </bk>
    <bk>
      <rc t="2" v="1019"/>
    </bk>
    <bk>
      <rc t="2" v="1020"/>
    </bk>
    <bk>
      <rc t="2" v="1021"/>
    </bk>
    <bk>
      <rc t="2" v="1022"/>
    </bk>
    <bk>
      <rc t="2" v="1023"/>
    </bk>
    <bk>
      <rc t="2" v="1024"/>
    </bk>
    <bk>
      <rc t="2" v="1025"/>
    </bk>
    <bk>
      <rc t="2" v="1026"/>
    </bk>
    <bk>
      <rc t="2" v="1027"/>
    </bk>
    <bk>
      <rc t="2" v="1028"/>
    </bk>
    <bk>
      <rc t="2" v="1029"/>
    </bk>
    <bk>
      <rc t="2" v="1030"/>
    </bk>
    <bk>
      <rc t="2" v="1031"/>
    </bk>
    <bk>
      <rc t="2" v="1032"/>
    </bk>
    <bk>
      <rc t="2" v="1033"/>
    </bk>
    <bk>
      <rc t="2" v="1034"/>
    </bk>
    <bk>
      <rc t="2" v="1035"/>
    </bk>
    <bk>
      <rc t="2" v="1036"/>
    </bk>
    <bk>
      <rc t="2" v="1037"/>
    </bk>
    <bk>
      <rc t="2" v="1038"/>
    </bk>
    <bk>
      <rc t="2" v="1039"/>
    </bk>
    <bk>
      <rc t="2" v="1040"/>
    </bk>
    <bk>
      <rc t="2" v="1041"/>
    </bk>
    <bk>
      <rc t="2" v="1042"/>
    </bk>
    <bk>
      <rc t="2" v="1043"/>
    </bk>
    <bk>
      <rc t="2" v="1044"/>
    </bk>
    <bk>
      <rc t="2" v="1045"/>
    </bk>
    <bk>
      <rc t="2" v="1046"/>
    </bk>
    <bk>
      <rc t="2" v="1047"/>
    </bk>
    <bk>
      <rc t="2" v="1048"/>
    </bk>
    <bk>
      <rc t="2" v="1049"/>
    </bk>
    <bk>
      <rc t="2" v="1050"/>
    </bk>
    <bk>
      <rc t="2" v="1051"/>
    </bk>
    <bk>
      <rc t="2" v="1052"/>
    </bk>
    <bk>
      <rc t="2" v="1053"/>
    </bk>
    <bk>
      <rc t="2" v="1054"/>
    </bk>
    <bk>
      <rc t="2" v="1055"/>
    </bk>
    <bk>
      <rc t="2" v="1056"/>
    </bk>
    <bk>
      <rc t="2" v="1057"/>
    </bk>
    <bk>
      <rc t="2" v="1058"/>
    </bk>
    <bk>
      <rc t="2" v="1059"/>
    </bk>
    <bk>
      <rc t="2" v="1060"/>
    </bk>
    <bk>
      <rc t="2" v="1061"/>
    </bk>
    <bk>
      <rc t="2" v="1062"/>
    </bk>
    <bk>
      <rc t="2" v="1063"/>
    </bk>
    <bk>
      <rc t="2" v="1064"/>
    </bk>
    <bk>
      <rc t="2" v="1065"/>
    </bk>
    <bk>
      <rc t="2" v="1066"/>
    </bk>
    <bk>
      <rc t="2" v="1067"/>
    </bk>
    <bk>
      <rc t="2" v="1068"/>
    </bk>
    <bk>
      <rc t="2" v="1069"/>
    </bk>
    <bk>
      <rc t="2" v="1070"/>
    </bk>
    <bk>
      <rc t="2" v="1071"/>
    </bk>
    <bk>
      <rc t="2" v="1072"/>
    </bk>
    <bk>
      <rc t="2" v="1073"/>
    </bk>
    <bk>
      <rc t="2" v="1074"/>
    </bk>
    <bk>
      <rc t="2" v="1075"/>
    </bk>
    <bk>
      <rc t="2" v="1076"/>
    </bk>
    <bk>
      <rc t="2" v="1077"/>
    </bk>
    <bk>
      <rc t="2" v="1078"/>
    </bk>
    <bk>
      <rc t="2" v="1079"/>
    </bk>
    <bk>
      <rc t="2" v="1080"/>
    </bk>
    <bk>
      <rc t="2" v="1081"/>
    </bk>
    <bk>
      <rc t="2" v="1082"/>
    </bk>
    <bk>
      <rc t="2" v="1083"/>
    </bk>
    <bk>
      <rc t="2" v="1084"/>
    </bk>
    <bk>
      <rc t="2" v="1085"/>
    </bk>
    <bk>
      <rc t="2" v="1086"/>
    </bk>
    <bk>
      <rc t="2" v="1087"/>
    </bk>
    <bk>
      <rc t="2" v="1088"/>
    </bk>
    <bk>
      <rc t="2" v="1089"/>
    </bk>
    <bk>
      <rc t="2" v="1090"/>
    </bk>
    <bk>
      <rc t="2" v="1091"/>
    </bk>
    <bk>
      <rc t="2" v="1092"/>
    </bk>
    <bk>
      <rc t="2" v="1093"/>
    </bk>
    <bk>
      <rc t="2" v="1094"/>
    </bk>
    <bk>
      <rc t="2" v="1095"/>
    </bk>
    <bk>
      <rc t="2" v="1096"/>
    </bk>
    <bk>
      <rc t="2" v="1097"/>
    </bk>
    <bk>
      <rc t="2" v="1098"/>
    </bk>
    <bk>
      <rc t="2" v="1099"/>
    </bk>
    <bk>
      <rc t="2" v="1100"/>
    </bk>
    <bk>
      <rc t="2" v="1101"/>
    </bk>
    <bk>
      <rc t="2" v="1102"/>
    </bk>
    <bk>
      <rc t="2" v="1103"/>
    </bk>
    <bk>
      <rc t="2" v="1104"/>
    </bk>
    <bk>
      <rc t="2" v="1105"/>
    </bk>
    <bk>
      <rc t="2" v="1106"/>
    </bk>
    <bk>
      <rc t="2" v="1107"/>
    </bk>
    <bk>
      <rc t="2" v="1108"/>
    </bk>
    <bk>
      <rc t="2" v="1109"/>
    </bk>
    <bk>
      <rc t="2" v="1110"/>
    </bk>
    <bk>
      <rc t="2" v="1111"/>
    </bk>
    <bk>
      <rc t="2" v="1112"/>
    </bk>
    <bk>
      <rc t="2" v="1113"/>
    </bk>
    <bk>
      <rc t="2" v="1114"/>
    </bk>
    <bk>
      <rc t="2" v="1115"/>
    </bk>
    <bk>
      <rc t="2" v="1116"/>
    </bk>
    <bk>
      <rc t="2" v="1117"/>
    </bk>
    <bk>
      <rc t="2" v="1118"/>
    </bk>
    <bk>
      <rc t="2" v="1119"/>
    </bk>
    <bk>
      <rc t="2" v="1120"/>
    </bk>
    <bk>
      <rc t="2" v="1121"/>
    </bk>
    <bk>
      <rc t="2" v="1122"/>
    </bk>
    <bk>
      <rc t="2" v="1123"/>
    </bk>
    <bk>
      <rc t="2" v="1124"/>
    </bk>
    <bk>
      <rc t="2" v="1125"/>
    </bk>
    <bk>
      <rc t="2" v="1126"/>
    </bk>
    <bk>
      <rc t="2" v="1127"/>
    </bk>
    <bk>
      <rc t="2" v="1128"/>
    </bk>
    <bk>
      <rc t="2" v="1129"/>
    </bk>
    <bk>
      <rc t="2" v="1130"/>
    </bk>
    <bk>
      <rc t="2" v="1131"/>
    </bk>
    <bk>
      <rc t="2" v="1132"/>
    </bk>
    <bk>
      <rc t="2" v="1133"/>
    </bk>
    <bk>
      <rc t="2" v="1134"/>
    </bk>
    <bk>
      <rc t="2" v="1135"/>
    </bk>
    <bk>
      <rc t="2" v="1136"/>
    </bk>
    <bk>
      <rc t="2" v="1137"/>
    </bk>
    <bk>
      <rc t="2" v="1138"/>
    </bk>
    <bk>
      <rc t="2" v="1139"/>
    </bk>
    <bk>
      <rc t="2" v="1140"/>
    </bk>
    <bk>
      <rc t="2" v="1141"/>
    </bk>
    <bk>
      <rc t="2" v="1142"/>
    </bk>
    <bk>
      <rc t="2" v="1143"/>
    </bk>
    <bk>
      <rc t="2" v="1144"/>
    </bk>
    <bk>
      <rc t="2" v="1145"/>
    </bk>
    <bk>
      <rc t="2" v="1146"/>
    </bk>
    <bk>
      <rc t="2" v="1147"/>
    </bk>
    <bk>
      <rc t="2" v="1148"/>
    </bk>
    <bk>
      <rc t="2" v="1149"/>
    </bk>
    <bk>
      <rc t="2" v="1150"/>
    </bk>
    <bk>
      <rc t="2" v="1151"/>
    </bk>
    <bk>
      <rc t="2" v="1152"/>
    </bk>
    <bk>
      <rc t="2" v="1153"/>
    </bk>
    <bk>
      <rc t="2" v="1154"/>
    </bk>
    <bk>
      <rc t="2" v="1155"/>
    </bk>
    <bk>
      <rc t="2" v="1156"/>
    </bk>
    <bk>
      <rc t="2" v="1157"/>
    </bk>
    <bk>
      <rc t="2" v="1158"/>
    </bk>
    <bk>
      <rc t="2" v="1159"/>
    </bk>
    <bk>
      <rc t="2" v="1160"/>
    </bk>
    <bk>
      <rc t="2" v="1161"/>
    </bk>
    <bk>
      <rc t="2" v="1162"/>
    </bk>
    <bk>
      <rc t="2" v="1163"/>
    </bk>
    <bk>
      <rc t="2" v="1164"/>
    </bk>
    <bk>
      <rc t="2" v="1165"/>
    </bk>
    <bk>
      <rc t="2" v="1166"/>
    </bk>
    <bk>
      <rc t="2" v="1167"/>
    </bk>
    <bk>
      <rc t="2" v="1168"/>
    </bk>
    <bk>
      <rc t="2" v="1169"/>
    </bk>
    <bk>
      <rc t="2" v="1170"/>
    </bk>
    <bk>
      <rc t="2" v="1171"/>
    </bk>
    <bk>
      <rc t="2" v="1172"/>
    </bk>
    <bk>
      <rc t="2" v="1173"/>
    </bk>
    <bk>
      <rc t="2" v="1174"/>
    </bk>
    <bk>
      <rc t="2" v="1175"/>
    </bk>
    <bk>
      <rc t="2" v="1176"/>
    </bk>
    <bk>
      <rc t="2" v="1177"/>
    </bk>
    <bk>
      <rc t="2" v="1178"/>
    </bk>
    <bk>
      <rc t="2" v="1179"/>
    </bk>
    <bk>
      <rc t="2" v="1180"/>
    </bk>
    <bk>
      <rc t="2" v="1181"/>
    </bk>
    <bk>
      <rc t="2" v="1182"/>
    </bk>
    <bk>
      <rc t="2" v="1183"/>
    </bk>
    <bk>
      <rc t="2" v="1184"/>
    </bk>
    <bk>
      <rc t="2" v="1185"/>
    </bk>
    <bk>
      <rc t="2" v="1186"/>
    </bk>
    <bk>
      <rc t="2" v="1187"/>
    </bk>
    <bk>
      <rc t="2" v="1188"/>
    </bk>
    <bk>
      <rc t="2" v="1189"/>
    </bk>
    <bk>
      <rc t="2" v="1190"/>
    </bk>
    <bk>
      <rc t="2" v="1191"/>
    </bk>
    <bk>
      <rc t="2" v="1192"/>
    </bk>
    <bk>
      <rc t="2" v="1193"/>
    </bk>
    <bk>
      <rc t="2" v="1194"/>
    </bk>
    <bk>
      <rc t="2" v="1195"/>
    </bk>
    <bk>
      <rc t="2" v="1196"/>
    </bk>
    <bk>
      <rc t="2" v="1197"/>
    </bk>
    <bk>
      <rc t="2" v="1198"/>
    </bk>
    <bk>
      <rc t="2" v="1199"/>
    </bk>
    <bk>
      <rc t="2" v="1200"/>
    </bk>
    <bk>
      <rc t="2" v="1201"/>
    </bk>
    <bk>
      <rc t="2" v="1202"/>
    </bk>
    <bk>
      <rc t="2" v="1203"/>
    </bk>
    <bk>
      <rc t="2" v="1204"/>
    </bk>
    <bk>
      <rc t="2" v="1205"/>
    </bk>
    <bk>
      <rc t="2" v="1206"/>
    </bk>
    <bk>
      <rc t="2" v="1207"/>
    </bk>
    <bk>
      <rc t="2" v="1208"/>
    </bk>
    <bk>
      <rc t="2" v="1209"/>
    </bk>
    <bk>
      <rc t="2" v="1210"/>
    </bk>
    <bk>
      <rc t="2" v="1211"/>
    </bk>
    <bk>
      <rc t="2" v="1212"/>
    </bk>
    <bk>
      <rc t="2" v="1213"/>
    </bk>
    <bk>
      <rc t="2" v="1214"/>
    </bk>
    <bk>
      <rc t="2" v="1215"/>
    </bk>
    <bk>
      <rc t="2" v="1216"/>
    </bk>
    <bk>
      <rc t="2" v="1217"/>
    </bk>
    <bk>
      <rc t="2" v="1218"/>
    </bk>
    <bk>
      <rc t="2" v="1219"/>
    </bk>
    <bk>
      <rc t="2" v="1220"/>
    </bk>
    <bk>
      <rc t="2" v="1221"/>
    </bk>
    <bk>
      <rc t="2" v="1222"/>
    </bk>
    <bk>
      <rc t="2" v="1223"/>
    </bk>
    <bk>
      <rc t="2" v="1224"/>
    </bk>
    <bk>
      <rc t="2" v="1225"/>
    </bk>
    <bk>
      <rc t="2" v="1226"/>
    </bk>
    <bk>
      <rc t="2" v="1227"/>
    </bk>
    <bk>
      <rc t="2" v="1228"/>
    </bk>
    <bk>
      <rc t="2" v="1229"/>
    </bk>
    <bk>
      <rc t="2" v="1230"/>
    </bk>
    <bk>
      <rc t="2" v="1231"/>
    </bk>
    <bk>
      <rc t="2" v="1232"/>
    </bk>
    <bk>
      <rc t="2" v="1233"/>
    </bk>
    <bk>
      <rc t="2" v="1234"/>
    </bk>
    <bk>
      <rc t="2" v="1235"/>
    </bk>
    <bk>
      <rc t="2" v="1236"/>
    </bk>
    <bk>
      <rc t="2" v="1237"/>
    </bk>
    <bk>
      <rc t="2" v="1238"/>
    </bk>
    <bk>
      <rc t="2" v="1239"/>
    </bk>
    <bk>
      <rc t="2" v="1240"/>
    </bk>
    <bk>
      <rc t="2" v="1241"/>
    </bk>
    <bk>
      <rc t="2" v="1242"/>
    </bk>
    <bk>
      <rc t="2" v="1243"/>
    </bk>
    <bk>
      <rc t="2" v="1244"/>
    </bk>
    <bk>
      <rc t="2" v="1245"/>
    </bk>
    <bk>
      <rc t="2" v="1246"/>
    </bk>
    <bk>
      <rc t="2" v="1247"/>
    </bk>
    <bk>
      <rc t="2" v="1248"/>
    </bk>
    <bk>
      <rc t="2" v="1249"/>
    </bk>
    <bk>
      <rc t="2" v="1250"/>
    </bk>
    <bk>
      <rc t="2" v="1251"/>
    </bk>
    <bk>
      <rc t="2" v="1252"/>
    </bk>
    <bk>
      <rc t="2" v="1253"/>
    </bk>
    <bk>
      <rc t="2" v="1254"/>
    </bk>
    <bk>
      <rc t="2" v="1255"/>
    </bk>
    <bk>
      <rc t="2" v="1256"/>
    </bk>
    <bk>
      <rc t="2" v="1257"/>
    </bk>
    <bk>
      <rc t="2" v="1258"/>
    </bk>
    <bk>
      <rc t="2" v="1259"/>
    </bk>
    <bk>
      <rc t="2" v="1260"/>
    </bk>
    <bk>
      <rc t="2" v="1261"/>
    </bk>
    <bk>
      <rc t="2" v="1262"/>
    </bk>
    <bk>
      <rc t="2" v="1263"/>
    </bk>
    <bk>
      <rc t="2" v="1264"/>
    </bk>
    <bk>
      <rc t="2" v="1265"/>
    </bk>
    <bk>
      <rc t="2" v="1266"/>
    </bk>
    <bk>
      <rc t="2" v="1267"/>
    </bk>
    <bk>
      <rc t="2" v="1268"/>
    </bk>
    <bk>
      <rc t="2" v="1269"/>
    </bk>
    <bk>
      <rc t="2" v="1270"/>
    </bk>
    <bk>
      <rc t="2" v="1271"/>
    </bk>
    <bk>
      <rc t="2" v="1272"/>
    </bk>
    <bk>
      <rc t="2" v="1273"/>
    </bk>
    <bk>
      <rc t="2" v="1274"/>
    </bk>
    <bk>
      <rc t="2" v="1275"/>
    </bk>
    <bk>
      <rc t="2" v="1276"/>
    </bk>
    <bk>
      <rc t="2" v="1277"/>
    </bk>
    <bk>
      <rc t="2" v="1278"/>
    </bk>
    <bk>
      <rc t="2" v="1279"/>
    </bk>
    <bk>
      <rc t="2" v="1280"/>
    </bk>
    <bk>
      <rc t="2" v="1281"/>
    </bk>
    <bk>
      <rc t="2" v="1282"/>
    </bk>
    <bk>
      <rc t="2" v="1283"/>
    </bk>
    <bk>
      <rc t="2" v="1284"/>
    </bk>
    <bk>
      <rc t="2" v="1285"/>
    </bk>
    <bk>
      <rc t="2" v="1286"/>
    </bk>
    <bk>
      <rc t="2" v="1287"/>
    </bk>
    <bk>
      <rc t="2" v="1288"/>
    </bk>
    <bk>
      <rc t="2" v="1289"/>
    </bk>
    <bk>
      <rc t="2" v="1290"/>
    </bk>
    <bk>
      <rc t="2" v="1291"/>
    </bk>
    <bk>
      <rc t="2" v="1292"/>
    </bk>
    <bk>
      <rc t="2" v="1293"/>
    </bk>
    <bk>
      <rc t="2" v="1294"/>
    </bk>
    <bk>
      <rc t="2" v="1295"/>
    </bk>
    <bk>
      <rc t="2" v="1296"/>
    </bk>
    <bk>
      <rc t="2" v="1297"/>
    </bk>
    <bk>
      <rc t="2" v="1298"/>
    </bk>
    <bk>
      <rc t="2" v="1299"/>
    </bk>
    <bk>
      <rc t="2" v="1300"/>
    </bk>
    <bk>
      <rc t="2" v="1301"/>
    </bk>
    <bk>
      <rc t="2" v="1302"/>
    </bk>
    <bk>
      <rc t="2" v="1303"/>
    </bk>
    <bk>
      <rc t="2" v="1304"/>
    </bk>
    <bk>
      <rc t="2" v="1305"/>
    </bk>
    <bk>
      <rc t="2" v="1306"/>
    </bk>
    <bk>
      <rc t="2" v="1307"/>
    </bk>
    <bk>
      <rc t="2" v="1308"/>
    </bk>
    <bk>
      <rc t="2" v="1309"/>
    </bk>
    <bk>
      <rc t="2" v="1310"/>
    </bk>
    <bk>
      <rc t="2" v="1311"/>
    </bk>
    <bk>
      <rc t="2" v="1312"/>
    </bk>
    <bk>
      <rc t="2" v="1313"/>
    </bk>
    <bk>
      <rc t="2" v="1314"/>
    </bk>
    <bk>
      <rc t="2" v="1315"/>
    </bk>
    <bk>
      <rc t="2" v="1316"/>
    </bk>
    <bk>
      <rc t="2" v="1317"/>
    </bk>
    <bk>
      <rc t="2" v="1318"/>
    </bk>
    <bk>
      <rc t="2" v="1319"/>
    </bk>
    <bk>
      <rc t="2" v="1320"/>
    </bk>
    <bk>
      <rc t="2" v="1321"/>
    </bk>
    <bk>
      <rc t="2" v="1322"/>
    </bk>
    <bk>
      <rc t="2" v="1323"/>
    </bk>
    <bk>
      <rc t="2" v="1324"/>
    </bk>
    <bk>
      <rc t="2" v="1325"/>
    </bk>
    <bk>
      <rc t="2" v="1326"/>
    </bk>
    <bk>
      <rc t="2" v="1327"/>
    </bk>
    <bk>
      <rc t="2" v="1328"/>
    </bk>
    <bk>
      <rc t="2" v="1329"/>
    </bk>
    <bk>
      <rc t="2" v="1330"/>
    </bk>
    <bk>
      <rc t="2" v="1331"/>
    </bk>
    <bk>
      <rc t="2" v="1332"/>
    </bk>
    <bk>
      <rc t="2" v="1333"/>
    </bk>
    <bk>
      <rc t="2" v="1334"/>
    </bk>
    <bk>
      <rc t="2" v="1335"/>
    </bk>
    <bk>
      <rc t="2" v="1336"/>
    </bk>
    <bk>
      <rc t="2" v="1337"/>
    </bk>
    <bk>
      <rc t="2" v="1338"/>
    </bk>
    <bk>
      <rc t="2" v="1339"/>
    </bk>
    <bk>
      <rc t="2" v="1340"/>
    </bk>
    <bk>
      <rc t="2" v="1341"/>
    </bk>
    <bk>
      <rc t="2" v="1342"/>
    </bk>
    <bk>
      <rc t="2" v="1343"/>
    </bk>
    <bk>
      <rc t="2" v="1344"/>
    </bk>
    <bk>
      <rc t="2" v="1345"/>
    </bk>
    <bk>
      <rc t="2" v="1346"/>
    </bk>
    <bk>
      <rc t="2" v="1347"/>
    </bk>
    <bk>
      <rc t="2" v="1348"/>
    </bk>
    <bk>
      <rc t="2" v="1349"/>
    </bk>
    <bk>
      <rc t="2" v="1350"/>
    </bk>
    <bk>
      <rc t="2" v="1351"/>
    </bk>
    <bk>
      <rc t="2" v="1352"/>
    </bk>
    <bk>
      <rc t="2" v="1353"/>
    </bk>
    <bk>
      <rc t="2" v="1354"/>
    </bk>
    <bk>
      <rc t="2" v="1355"/>
    </bk>
    <bk>
      <rc t="2" v="1356"/>
    </bk>
    <bk>
      <rc t="2" v="1357"/>
    </bk>
    <bk>
      <rc t="2" v="1358"/>
    </bk>
    <bk>
      <rc t="2" v="1359"/>
    </bk>
    <bk>
      <rc t="2" v="1360"/>
    </bk>
    <bk>
      <rc t="2" v="1361"/>
    </bk>
    <bk>
      <rc t="2" v="1362"/>
    </bk>
    <bk>
      <rc t="2" v="1363"/>
    </bk>
    <bk>
      <rc t="2" v="1364"/>
    </bk>
    <bk>
      <rc t="2" v="1365"/>
    </bk>
    <bk>
      <rc t="2" v="1366"/>
    </bk>
    <bk>
      <rc t="2" v="1367"/>
    </bk>
    <bk>
      <rc t="2" v="1368"/>
    </bk>
    <bk>
      <rc t="2" v="1369"/>
    </bk>
    <bk>
      <rc t="2" v="1370"/>
    </bk>
    <bk>
      <rc t="2" v="1371"/>
    </bk>
    <bk>
      <rc t="2" v="1372"/>
    </bk>
    <bk>
      <rc t="2" v="1373"/>
    </bk>
    <bk>
      <rc t="2" v="1374"/>
    </bk>
    <bk>
      <rc t="2" v="1375"/>
    </bk>
    <bk>
      <rc t="2" v="1376"/>
    </bk>
    <bk>
      <rc t="2" v="1377"/>
    </bk>
    <bk>
      <rc t="2" v="1378"/>
    </bk>
    <bk>
      <rc t="2" v="1379"/>
    </bk>
    <bk>
      <rc t="2" v="1380"/>
    </bk>
    <bk>
      <rc t="2" v="1381"/>
    </bk>
    <bk>
      <rc t="2" v="1382"/>
    </bk>
    <bk>
      <rc t="2" v="1383"/>
    </bk>
    <bk>
      <rc t="2" v="1384"/>
    </bk>
    <bk>
      <rc t="2" v="1385"/>
    </bk>
    <bk>
      <rc t="2" v="1386"/>
    </bk>
    <bk>
      <rc t="2" v="1387"/>
    </bk>
    <bk>
      <rc t="2" v="1388"/>
    </bk>
    <bk>
      <rc t="2" v="1389"/>
    </bk>
    <bk>
      <rc t="2" v="1390"/>
    </bk>
    <bk>
      <rc t="2" v="1391"/>
    </bk>
    <bk>
      <rc t="2" v="1392"/>
    </bk>
    <bk>
      <rc t="2" v="1393"/>
    </bk>
    <bk>
      <rc t="2" v="1394"/>
    </bk>
    <bk>
      <rc t="2" v="1395"/>
    </bk>
    <bk>
      <rc t="2" v="1396"/>
    </bk>
    <bk>
      <rc t="2" v="1397"/>
    </bk>
    <bk>
      <rc t="2" v="1398"/>
    </bk>
    <bk>
      <rc t="2" v="1399"/>
    </bk>
    <bk>
      <rc t="2" v="1400"/>
    </bk>
    <bk>
      <rc t="2" v="1401"/>
    </bk>
    <bk>
      <rc t="2" v="1402"/>
    </bk>
    <bk>
      <rc t="2" v="1403"/>
    </bk>
    <bk>
      <rc t="2" v="1404"/>
    </bk>
    <bk>
      <rc t="2" v="1405"/>
    </bk>
    <bk>
      <rc t="2" v="1406"/>
    </bk>
    <bk>
      <rc t="2" v="1407"/>
    </bk>
    <bk>
      <rc t="2" v="1408"/>
    </bk>
    <bk>
      <rc t="2" v="1409"/>
    </bk>
    <bk>
      <rc t="2" v="1410"/>
    </bk>
    <bk>
      <rc t="2" v="1411"/>
    </bk>
    <bk>
      <rc t="2" v="1412"/>
    </bk>
    <bk>
      <rc t="2" v="1413"/>
    </bk>
    <bk>
      <rc t="2" v="1414"/>
    </bk>
    <bk>
      <rc t="2" v="1415"/>
    </bk>
    <bk>
      <rc t="2" v="1416"/>
    </bk>
    <bk>
      <rc t="2" v="1417"/>
    </bk>
    <bk>
      <rc t="2" v="1418"/>
    </bk>
    <bk>
      <rc t="2" v="1419"/>
    </bk>
    <bk>
      <rc t="2" v="1420"/>
    </bk>
    <bk>
      <rc t="2" v="1421"/>
    </bk>
    <bk>
      <rc t="2" v="1422"/>
    </bk>
    <bk>
      <rc t="2" v="1423"/>
    </bk>
    <bk>
      <rc t="2" v="1424"/>
    </bk>
    <bk>
      <rc t="2" v="1425"/>
    </bk>
    <bk>
      <rc t="2" v="1426"/>
    </bk>
    <bk>
      <rc t="2" v="1427"/>
    </bk>
    <bk>
      <rc t="2" v="1428"/>
    </bk>
    <bk>
      <rc t="2" v="1429"/>
    </bk>
    <bk>
      <rc t="2" v="1430"/>
    </bk>
    <bk>
      <rc t="2" v="1431"/>
    </bk>
    <bk>
      <rc t="2" v="1432"/>
    </bk>
    <bk>
      <rc t="2" v="1433"/>
    </bk>
    <bk>
      <rc t="2" v="1434"/>
    </bk>
    <bk>
      <rc t="2" v="1435"/>
    </bk>
    <bk>
      <rc t="2" v="1436"/>
    </bk>
    <bk>
      <rc t="2" v="1437"/>
    </bk>
    <bk>
      <rc t="2" v="1438"/>
    </bk>
    <bk>
      <rc t="2" v="1439"/>
    </bk>
    <bk>
      <rc t="2" v="1440"/>
    </bk>
    <bk>
      <rc t="2" v="1441"/>
    </bk>
    <bk>
      <rc t="2" v="1442"/>
    </bk>
    <bk>
      <rc t="2" v="1443"/>
    </bk>
    <bk>
      <rc t="2" v="1444"/>
    </bk>
    <bk>
      <rc t="2" v="1445"/>
    </bk>
    <bk>
      <rc t="2" v="1446"/>
    </bk>
    <bk>
      <rc t="2" v="1447"/>
    </bk>
    <bk>
      <rc t="2" v="1448"/>
    </bk>
    <bk>
      <rc t="2" v="1449"/>
    </bk>
    <bk>
      <rc t="2" v="1450"/>
    </bk>
    <bk>
      <rc t="2" v="1451"/>
    </bk>
    <bk>
      <rc t="2" v="1452"/>
    </bk>
    <bk>
      <rc t="2" v="1453"/>
    </bk>
    <bk>
      <rc t="2" v="1454"/>
    </bk>
    <bk>
      <rc t="2" v="1455"/>
    </bk>
    <bk>
      <rc t="2" v="1456"/>
    </bk>
    <bk>
      <rc t="2" v="1457"/>
    </bk>
    <bk>
      <rc t="2" v="1458"/>
    </bk>
    <bk>
      <rc t="2" v="1459"/>
    </bk>
    <bk>
      <rc t="2" v="1460"/>
    </bk>
    <bk>
      <rc t="2" v="1461"/>
    </bk>
    <bk>
      <rc t="2" v="1462"/>
    </bk>
    <bk>
      <rc t="2" v="1463"/>
    </bk>
    <bk>
      <rc t="2" v="1464"/>
    </bk>
    <bk>
      <rc t="2" v="1465"/>
    </bk>
    <bk>
      <rc t="2" v="1466"/>
    </bk>
    <bk>
      <rc t="2" v="1467"/>
    </bk>
    <bk>
      <rc t="2" v="1468"/>
    </bk>
    <bk>
      <rc t="2" v="1469"/>
    </bk>
    <bk>
      <rc t="2" v="1470"/>
    </bk>
    <bk>
      <rc t="2" v="1471"/>
    </bk>
    <bk>
      <rc t="2" v="1472"/>
    </bk>
    <bk>
      <rc t="2" v="1473"/>
    </bk>
    <bk>
      <rc t="2" v="1474"/>
    </bk>
    <bk>
      <rc t="2" v="1475"/>
    </bk>
    <bk>
      <rc t="2" v="1476"/>
    </bk>
    <bk>
      <rc t="2" v="1477"/>
    </bk>
    <bk>
      <rc t="2" v="1478"/>
    </bk>
    <bk>
      <rc t="2" v="1479"/>
    </bk>
    <bk>
      <rc t="2" v="1480"/>
    </bk>
    <bk>
      <rc t="2" v="1481"/>
    </bk>
    <bk>
      <rc t="2" v="1482"/>
    </bk>
    <bk>
      <rc t="2" v="1483"/>
    </bk>
    <bk>
      <rc t="2" v="1484"/>
    </bk>
    <bk>
      <rc t="2" v="1485"/>
    </bk>
    <bk>
      <rc t="2" v="1486"/>
    </bk>
    <bk>
      <rc t="2" v="1487"/>
    </bk>
    <bk>
      <rc t="2" v="1488"/>
    </bk>
    <bk>
      <rc t="2" v="1489"/>
    </bk>
    <bk>
      <rc t="2" v="1490"/>
    </bk>
    <bk>
      <rc t="2" v="1491"/>
    </bk>
    <bk>
      <rc t="2" v="1492"/>
    </bk>
    <bk>
      <rc t="2" v="1493"/>
    </bk>
    <bk>
      <rc t="2" v="1494"/>
    </bk>
    <bk>
      <rc t="2" v="1495"/>
    </bk>
    <bk>
      <rc t="2" v="1496"/>
    </bk>
    <bk>
      <rc t="2" v="1497"/>
    </bk>
    <bk>
      <rc t="2" v="1498"/>
    </bk>
    <bk>
      <rc t="2" v="1499"/>
    </bk>
    <bk>
      <rc t="2" v="1500"/>
    </bk>
    <bk>
      <rc t="2" v="1501"/>
    </bk>
    <bk>
      <rc t="2" v="1502"/>
    </bk>
    <bk>
      <rc t="2" v="1503"/>
    </bk>
    <bk>
      <rc t="2" v="1504"/>
    </bk>
    <bk>
      <rc t="2" v="1505"/>
    </bk>
    <bk>
      <rc t="2" v="1506"/>
    </bk>
    <bk>
      <rc t="2" v="1507"/>
    </bk>
    <bk>
      <rc t="2" v="1508"/>
    </bk>
    <bk>
      <rc t="2" v="1509"/>
    </bk>
    <bk>
      <rc t="2" v="1510"/>
    </bk>
    <bk>
      <rc t="2" v="1511"/>
    </bk>
    <bk>
      <rc t="2" v="1512"/>
    </bk>
    <bk>
      <rc t="2" v="1513"/>
    </bk>
    <bk>
      <rc t="2" v="1514"/>
    </bk>
    <bk>
      <rc t="2" v="1515"/>
    </bk>
    <bk>
      <rc t="2" v="1516"/>
    </bk>
    <bk>
      <rc t="2" v="1517"/>
    </bk>
    <bk>
      <rc t="2" v="1518"/>
    </bk>
    <bk>
      <rc t="2" v="1519"/>
    </bk>
    <bk>
      <rc t="2" v="1520"/>
    </bk>
    <bk>
      <rc t="2" v="1521"/>
    </bk>
    <bk>
      <rc t="2" v="1522"/>
    </bk>
    <bk>
      <rc t="2" v="1523"/>
    </bk>
    <bk>
      <rc t="2" v="1524"/>
    </bk>
    <bk>
      <rc t="2" v="1525"/>
    </bk>
    <bk>
      <rc t="2" v="1526"/>
    </bk>
    <bk>
      <rc t="2" v="1527"/>
    </bk>
    <bk>
      <rc t="2" v="1528"/>
    </bk>
    <bk>
      <rc t="2" v="1529"/>
    </bk>
    <bk>
      <rc t="2" v="1530"/>
    </bk>
    <bk>
      <rc t="2" v="1531"/>
    </bk>
    <bk>
      <rc t="2" v="1532"/>
    </bk>
    <bk>
      <rc t="2" v="1533"/>
    </bk>
    <bk>
      <rc t="2" v="1534"/>
    </bk>
    <bk>
      <rc t="2" v="1535"/>
    </bk>
    <bk>
      <rc t="2" v="1536"/>
    </bk>
    <bk>
      <rc t="2" v="1537"/>
    </bk>
    <bk>
      <rc t="2" v="1538"/>
    </bk>
    <bk>
      <rc t="2" v="1539"/>
    </bk>
    <bk>
      <rc t="2" v="1540"/>
    </bk>
    <bk>
      <rc t="2" v="1541"/>
    </bk>
    <bk>
      <rc t="2" v="1542"/>
    </bk>
    <bk>
      <rc t="2" v="1543"/>
    </bk>
    <bk>
      <rc t="2" v="1544"/>
    </bk>
    <bk>
      <rc t="2" v="1545"/>
    </bk>
    <bk>
      <rc t="2" v="1546"/>
    </bk>
    <bk>
      <rc t="2" v="1547"/>
    </bk>
    <bk>
      <rc t="2" v="1548"/>
    </bk>
    <bk>
      <rc t="2" v="1549"/>
    </bk>
    <bk>
      <rc t="2" v="1550"/>
    </bk>
    <bk>
      <rc t="2" v="1551"/>
    </bk>
    <bk>
      <rc t="2" v="1552"/>
    </bk>
    <bk>
      <rc t="2" v="1553"/>
    </bk>
    <bk>
      <rc t="2" v="1554"/>
    </bk>
    <bk>
      <rc t="2" v="1555"/>
    </bk>
    <bk>
      <rc t="2" v="1556"/>
    </bk>
    <bk>
      <rc t="2" v="1557"/>
    </bk>
    <bk>
      <rc t="2" v="1558"/>
    </bk>
    <bk>
      <rc t="2" v="1559"/>
    </bk>
    <bk>
      <rc t="2" v="1560"/>
    </bk>
    <bk>
      <rc t="2" v="1561"/>
    </bk>
    <bk>
      <rc t="2" v="1562"/>
    </bk>
    <bk>
      <rc t="2" v="1563"/>
    </bk>
    <bk>
      <rc t="2" v="1564"/>
    </bk>
    <bk>
      <rc t="2" v="1565"/>
    </bk>
    <bk>
      <rc t="2" v="1566"/>
    </bk>
    <bk>
      <rc t="2" v="1567"/>
    </bk>
    <bk>
      <rc t="2" v="1568"/>
    </bk>
    <bk>
      <rc t="2" v="1569"/>
    </bk>
    <bk>
      <rc t="2" v="1570"/>
    </bk>
    <bk>
      <rc t="2" v="1571"/>
    </bk>
    <bk>
      <rc t="2" v="1572"/>
    </bk>
    <bk>
      <rc t="2" v="1573"/>
    </bk>
    <bk>
      <rc t="2" v="1574"/>
    </bk>
    <bk>
      <rc t="2" v="1575"/>
    </bk>
    <bk>
      <rc t="2" v="1576"/>
    </bk>
    <bk>
      <rc t="2" v="1577"/>
    </bk>
    <bk>
      <rc t="2" v="1578"/>
    </bk>
    <bk>
      <rc t="2" v="1579"/>
    </bk>
    <bk>
      <rc t="2" v="1580"/>
    </bk>
    <bk>
      <rc t="2" v="1581"/>
    </bk>
    <bk>
      <rc t="2" v="1582"/>
    </bk>
    <bk>
      <rc t="2" v="1583"/>
    </bk>
    <bk>
      <rc t="2" v="1584"/>
    </bk>
    <bk>
      <rc t="2" v="1585"/>
    </bk>
    <bk>
      <rc t="2" v="1586"/>
    </bk>
    <bk>
      <rc t="2" v="1587"/>
    </bk>
    <bk>
      <rc t="2" v="1588"/>
    </bk>
    <bk>
      <rc t="2" v="1589"/>
    </bk>
    <bk>
      <rc t="2" v="1590"/>
    </bk>
    <bk>
      <rc t="2" v="1591"/>
    </bk>
    <bk>
      <rc t="2" v="1592"/>
    </bk>
    <bk>
      <rc t="2" v="1593"/>
    </bk>
    <bk>
      <rc t="2" v="1594"/>
    </bk>
    <bk>
      <rc t="2" v="1595"/>
    </bk>
    <bk>
      <rc t="2" v="1596"/>
    </bk>
    <bk>
      <rc t="2" v="1597"/>
    </bk>
    <bk>
      <rc t="2" v="1598"/>
    </bk>
    <bk>
      <rc t="2" v="1599"/>
    </bk>
    <bk>
      <rc t="2" v="1600"/>
    </bk>
    <bk>
      <rc t="2" v="1601"/>
    </bk>
    <bk>
      <rc t="2" v="1602"/>
    </bk>
    <bk>
      <rc t="2" v="1603"/>
    </bk>
    <bk>
      <rc t="2" v="1604"/>
    </bk>
    <bk>
      <rc t="2" v="1605"/>
    </bk>
    <bk>
      <rc t="2" v="1606"/>
    </bk>
    <bk>
      <rc t="2" v="1607"/>
    </bk>
    <bk>
      <rc t="2" v="1608"/>
    </bk>
    <bk>
      <rc t="2" v="1609"/>
    </bk>
    <bk>
      <rc t="2" v="1610"/>
    </bk>
    <bk>
      <rc t="2" v="1611"/>
    </bk>
    <bk>
      <rc t="2" v="1612"/>
    </bk>
    <bk>
      <rc t="2" v="1613"/>
    </bk>
    <bk>
      <rc t="2" v="1614"/>
    </bk>
    <bk>
      <rc t="2" v="1615"/>
    </bk>
    <bk>
      <rc t="2" v="1616"/>
    </bk>
    <bk>
      <rc t="2" v="1617"/>
    </bk>
    <bk>
      <rc t="2" v="1618"/>
    </bk>
    <bk>
      <rc t="2" v="1619"/>
    </bk>
    <bk>
      <rc t="2" v="1620"/>
    </bk>
    <bk>
      <rc t="2" v="1621"/>
    </bk>
    <bk>
      <rc t="2" v="1622"/>
    </bk>
    <bk>
      <rc t="2" v="1623"/>
    </bk>
    <bk>
      <rc t="2" v="1624"/>
    </bk>
    <bk>
      <rc t="2" v="1625"/>
    </bk>
    <bk>
      <rc t="2" v="1626"/>
    </bk>
    <bk>
      <rc t="2" v="1627"/>
    </bk>
    <bk>
      <rc t="2" v="1628"/>
    </bk>
    <bk>
      <rc t="2" v="1629"/>
    </bk>
    <bk>
      <rc t="2" v="1630"/>
    </bk>
    <bk>
      <rc t="2" v="1631"/>
    </bk>
    <bk>
      <rc t="2" v="1632"/>
    </bk>
    <bk>
      <rc t="2" v="1633"/>
    </bk>
    <bk>
      <rc t="2" v="1634"/>
    </bk>
    <bk>
      <rc t="2" v="1635"/>
    </bk>
    <bk>
      <rc t="2" v="1636"/>
    </bk>
    <bk>
      <rc t="2" v="1637"/>
    </bk>
    <bk>
      <rc t="2" v="1638"/>
    </bk>
    <bk>
      <rc t="2" v="1639"/>
    </bk>
    <bk>
      <rc t="2" v="1640"/>
    </bk>
    <bk>
      <rc t="2" v="1641"/>
    </bk>
    <bk>
      <rc t="2" v="1642"/>
    </bk>
    <bk>
      <rc t="2" v="1643"/>
    </bk>
    <bk>
      <rc t="2" v="1644"/>
    </bk>
    <bk>
      <rc t="2" v="1645"/>
    </bk>
    <bk>
      <rc t="2" v="1646"/>
    </bk>
    <bk>
      <rc t="2" v="1647"/>
    </bk>
    <bk>
      <rc t="2" v="1648"/>
    </bk>
    <bk>
      <rc t="2" v="1649"/>
    </bk>
    <bk>
      <rc t="2" v="1650"/>
    </bk>
    <bk>
      <rc t="2" v="1651"/>
    </bk>
    <bk>
      <rc t="2" v="1652"/>
    </bk>
    <bk>
      <rc t="2" v="1653"/>
    </bk>
    <bk>
      <rc t="2" v="1654"/>
    </bk>
    <bk>
      <rc t="2" v="1655"/>
    </bk>
    <bk>
      <rc t="2" v="1656"/>
    </bk>
    <bk>
      <rc t="2" v="1657"/>
    </bk>
    <bk>
      <rc t="2" v="1658"/>
    </bk>
    <bk>
      <rc t="2" v="1659"/>
    </bk>
    <bk>
      <rc t="2" v="1660"/>
    </bk>
    <bk>
      <rc t="2" v="1661"/>
    </bk>
    <bk>
      <rc t="2" v="1662"/>
    </bk>
    <bk>
      <rc t="2" v="1663"/>
    </bk>
    <bk>
      <rc t="2" v="1664"/>
    </bk>
    <bk>
      <rc t="2" v="1665"/>
    </bk>
    <bk>
      <rc t="2" v="1666"/>
    </bk>
    <bk>
      <rc t="2" v="1667"/>
    </bk>
    <bk>
      <rc t="2" v="1668"/>
    </bk>
    <bk>
      <rc t="2" v="1669"/>
    </bk>
    <bk>
      <rc t="2" v="1670"/>
    </bk>
    <bk>
      <rc t="2" v="1671"/>
    </bk>
    <bk>
      <rc t="2" v="1672"/>
    </bk>
    <bk>
      <rc t="2" v="1673"/>
    </bk>
    <bk>
      <rc t="2" v="1674"/>
    </bk>
    <bk>
      <rc t="2" v="1675"/>
    </bk>
    <bk>
      <rc t="2" v="1676"/>
    </bk>
    <bk>
      <rc t="2" v="1677"/>
    </bk>
    <bk>
      <rc t="2" v="1678"/>
    </bk>
    <bk>
      <rc t="2" v="1679"/>
    </bk>
    <bk>
      <rc t="2" v="1680"/>
    </bk>
    <bk>
      <rc t="2" v="1681"/>
    </bk>
    <bk>
      <rc t="2" v="1682"/>
    </bk>
    <bk>
      <rc t="2" v="1683"/>
    </bk>
    <bk>
      <rc t="2" v="1684"/>
    </bk>
    <bk>
      <rc t="2" v="1685"/>
    </bk>
    <bk>
      <rc t="2" v="1686"/>
    </bk>
    <bk>
      <rc t="2" v="1687"/>
    </bk>
    <bk>
      <rc t="2" v="1688"/>
    </bk>
    <bk>
      <rc t="2" v="1689"/>
    </bk>
    <bk>
      <rc t="2" v="1690"/>
    </bk>
    <bk>
      <rc t="2" v="1691"/>
    </bk>
    <bk>
      <rc t="2" v="1692"/>
    </bk>
    <bk>
      <rc t="2" v="1693"/>
    </bk>
    <bk>
      <rc t="2" v="1694"/>
    </bk>
    <bk>
      <rc t="2" v="1695"/>
    </bk>
    <bk>
      <rc t="2" v="1696"/>
    </bk>
    <bk>
      <rc t="2" v="1697"/>
    </bk>
    <bk>
      <rc t="2" v="1698"/>
    </bk>
    <bk>
      <rc t="2" v="1699"/>
    </bk>
    <bk>
      <rc t="2" v="1700"/>
    </bk>
    <bk>
      <rc t="2" v="1701"/>
    </bk>
    <bk>
      <rc t="2" v="1702"/>
    </bk>
    <bk>
      <rc t="2" v="1703"/>
    </bk>
    <bk>
      <rc t="2" v="1704"/>
    </bk>
    <bk>
      <rc t="2" v="1705"/>
    </bk>
    <bk>
      <rc t="2" v="1706"/>
    </bk>
    <bk>
      <rc t="2" v="1707"/>
    </bk>
    <bk>
      <rc t="2" v="1708"/>
    </bk>
    <bk>
      <rc t="2" v="1709"/>
    </bk>
    <bk>
      <rc t="2" v="1710"/>
    </bk>
    <bk>
      <rc t="2" v="1711"/>
    </bk>
    <bk>
      <rc t="2" v="1712"/>
    </bk>
    <bk>
      <rc t="2" v="1713"/>
    </bk>
    <bk>
      <rc t="2" v="1714"/>
    </bk>
    <bk>
      <rc t="2" v="1715"/>
    </bk>
    <bk>
      <rc t="2" v="1716"/>
    </bk>
    <bk>
      <rc t="2" v="1717"/>
    </bk>
    <bk>
      <rc t="2" v="1718"/>
    </bk>
    <bk>
      <rc t="2" v="1719"/>
    </bk>
    <bk>
      <rc t="2" v="1720"/>
    </bk>
    <bk>
      <rc t="2" v="1721"/>
    </bk>
    <bk>
      <rc t="2" v="1722"/>
    </bk>
    <bk>
      <rc t="2" v="1723"/>
    </bk>
    <bk>
      <rc t="2" v="1724"/>
    </bk>
    <bk>
      <rc t="2" v="1725"/>
    </bk>
    <bk>
      <rc t="2" v="1726"/>
    </bk>
    <bk>
      <rc t="2" v="1727"/>
    </bk>
    <bk>
      <rc t="2" v="1728"/>
    </bk>
    <bk>
      <rc t="2" v="1729"/>
    </bk>
    <bk>
      <rc t="2" v="1730"/>
    </bk>
    <bk>
      <rc t="2" v="1731"/>
    </bk>
    <bk>
      <rc t="2" v="1732"/>
    </bk>
    <bk>
      <rc t="2" v="1733"/>
    </bk>
    <bk>
      <rc t="2" v="1734"/>
    </bk>
    <bk>
      <rc t="2" v="1735"/>
    </bk>
    <bk>
      <rc t="2" v="1736"/>
    </bk>
    <bk>
      <rc t="2" v="1737"/>
    </bk>
    <bk>
      <rc t="2" v="1738"/>
    </bk>
    <bk>
      <rc t="2" v="1739"/>
    </bk>
    <bk>
      <rc t="2" v="1740"/>
    </bk>
    <bk>
      <rc t="2" v="1741"/>
    </bk>
    <bk>
      <rc t="2" v="1742"/>
    </bk>
    <bk>
      <rc t="2" v="1743"/>
    </bk>
    <bk>
      <rc t="2" v="1744"/>
    </bk>
    <bk>
      <rc t="2" v="1745"/>
    </bk>
    <bk>
      <rc t="2" v="1746"/>
    </bk>
    <bk>
      <rc t="2" v="1747"/>
    </bk>
    <bk>
      <rc t="2" v="1748"/>
    </bk>
    <bk>
      <rc t="2" v="1749"/>
    </bk>
    <bk>
      <rc t="2" v="1750"/>
    </bk>
    <bk>
      <rc t="2" v="1751"/>
    </bk>
    <bk>
      <rc t="2" v="1752"/>
    </bk>
    <bk>
      <rc t="2" v="1753"/>
    </bk>
    <bk>
      <rc t="2" v="1754"/>
    </bk>
    <bk>
      <rc t="2" v="1755"/>
    </bk>
    <bk>
      <rc t="2" v="1756"/>
    </bk>
    <bk>
      <rc t="2" v="1757"/>
    </bk>
    <bk>
      <rc t="2" v="1758"/>
    </bk>
    <bk>
      <rc t="2" v="1759"/>
    </bk>
    <bk>
      <rc t="2" v="1760"/>
    </bk>
    <bk>
      <rc t="2" v="1761"/>
    </bk>
    <bk>
      <rc t="2" v="1762"/>
    </bk>
    <bk>
      <rc t="2" v="1763"/>
    </bk>
    <bk>
      <rc t="2" v="1764"/>
    </bk>
    <bk>
      <rc t="2" v="1765"/>
    </bk>
    <bk>
      <rc t="2" v="1766"/>
    </bk>
    <bk>
      <rc t="2" v="1767"/>
    </bk>
    <bk>
      <rc t="2" v="1768"/>
    </bk>
    <bk>
      <rc t="2" v="1769"/>
    </bk>
    <bk>
      <rc t="2" v="1770"/>
    </bk>
    <bk>
      <rc t="2" v="1771"/>
    </bk>
    <bk>
      <rc t="2" v="1772"/>
    </bk>
    <bk>
      <rc t="2" v="1773"/>
    </bk>
    <bk>
      <rc t="2" v="1774"/>
    </bk>
    <bk>
      <rc t="2" v="1775"/>
    </bk>
    <bk>
      <rc t="2" v="1776"/>
    </bk>
    <bk>
      <rc t="2" v="1777"/>
    </bk>
    <bk>
      <rc t="2" v="1778"/>
    </bk>
    <bk>
      <rc t="2" v="1779"/>
    </bk>
    <bk>
      <rc t="2" v="1780"/>
    </bk>
    <bk>
      <rc t="2" v="1781"/>
    </bk>
    <bk>
      <rc t="2" v="1782"/>
    </bk>
    <bk>
      <rc t="2" v="1783"/>
    </bk>
    <bk>
      <rc t="2" v="1784"/>
    </bk>
    <bk>
      <rc t="2" v="1785"/>
    </bk>
    <bk>
      <rc t="2" v="1786"/>
    </bk>
    <bk>
      <rc t="2" v="1787"/>
    </bk>
    <bk>
      <rc t="2" v="1788"/>
    </bk>
    <bk>
      <rc t="2" v="1789"/>
    </bk>
    <bk>
      <rc t="2" v="1790"/>
    </bk>
    <bk>
      <rc t="2" v="1791"/>
    </bk>
    <bk>
      <rc t="2" v="1792"/>
    </bk>
    <bk>
      <rc t="2" v="1793"/>
    </bk>
    <bk>
      <rc t="2" v="1794"/>
    </bk>
    <bk>
      <rc t="2" v="1795"/>
    </bk>
    <bk>
      <rc t="2" v="1796"/>
    </bk>
    <bk>
      <rc t="2" v="1797"/>
    </bk>
    <bk>
      <rc t="2" v="1798"/>
    </bk>
    <bk>
      <rc t="2" v="1799"/>
    </bk>
    <bk>
      <rc t="2" v="1800"/>
    </bk>
    <bk>
      <rc t="2" v="1801"/>
    </bk>
    <bk>
      <rc t="2" v="1802"/>
    </bk>
    <bk>
      <rc t="2" v="1803"/>
    </bk>
    <bk>
      <rc t="2" v="1804"/>
    </bk>
    <bk>
      <rc t="2" v="1805"/>
    </bk>
    <bk>
      <rc t="2" v="1806"/>
    </bk>
    <bk>
      <rc t="2" v="1807"/>
    </bk>
    <bk>
      <rc t="2" v="1808"/>
    </bk>
    <bk>
      <rc t="2" v="1809"/>
    </bk>
    <bk>
      <rc t="2" v="1810"/>
    </bk>
    <bk>
      <rc t="2" v="1811"/>
    </bk>
    <bk>
      <rc t="2" v="1812"/>
    </bk>
    <bk>
      <rc t="2" v="1813"/>
    </bk>
    <bk>
      <rc t="2" v="1814"/>
    </bk>
    <bk>
      <rc t="2" v="1815"/>
    </bk>
    <bk>
      <rc t="2" v="1816"/>
    </bk>
    <bk>
      <rc t="2" v="1817"/>
    </bk>
    <bk>
      <rc t="2" v="1818"/>
    </bk>
    <bk>
      <rc t="2" v="1819"/>
    </bk>
    <bk>
      <rc t="2" v="1820"/>
    </bk>
    <bk>
      <rc t="2" v="1821"/>
    </bk>
    <bk>
      <rc t="2" v="1822"/>
    </bk>
    <bk>
      <rc t="2" v="1823"/>
    </bk>
    <bk>
      <rc t="2" v="1824"/>
    </bk>
    <bk>
      <rc t="2" v="1825"/>
    </bk>
    <bk>
      <rc t="2" v="1826"/>
    </bk>
    <bk>
      <rc t="2" v="1827"/>
    </bk>
    <bk>
      <rc t="2" v="1828"/>
    </bk>
    <bk>
      <rc t="2" v="1829"/>
    </bk>
    <bk>
      <rc t="2" v="1830"/>
    </bk>
    <bk>
      <rc t="2" v="1831"/>
    </bk>
    <bk>
      <rc t="2" v="1832"/>
    </bk>
    <bk>
      <rc t="2" v="1833"/>
    </bk>
    <bk>
      <rc t="2" v="1834"/>
    </bk>
    <bk>
      <rc t="2" v="1835"/>
    </bk>
    <bk>
      <rc t="2" v="1836"/>
    </bk>
    <bk>
      <rc t="2" v="1837"/>
    </bk>
    <bk>
      <rc t="2" v="1838"/>
    </bk>
    <bk>
      <rc t="2" v="1839"/>
    </bk>
    <bk>
      <rc t="2" v="1840"/>
    </bk>
    <bk>
      <rc t="2" v="1841"/>
    </bk>
    <bk>
      <rc t="2" v="1842"/>
    </bk>
    <bk>
      <rc t="2" v="1843"/>
    </bk>
    <bk>
      <rc t="2" v="1844"/>
    </bk>
    <bk>
      <rc t="2" v="1845"/>
    </bk>
    <bk>
      <rc t="2" v="1846"/>
    </bk>
    <bk>
      <rc t="2" v="1847"/>
    </bk>
    <bk>
      <rc t="2" v="1848"/>
    </bk>
    <bk>
      <rc t="2" v="1849"/>
    </bk>
    <bk>
      <rc t="2" v="1850"/>
    </bk>
    <bk>
      <rc t="2" v="1851"/>
    </bk>
    <bk>
      <rc t="2" v="1852"/>
    </bk>
    <bk>
      <rc t="2" v="1853"/>
    </bk>
    <bk>
      <rc t="2" v="1854"/>
    </bk>
    <bk>
      <rc t="2" v="1855"/>
    </bk>
    <bk>
      <rc t="2" v="1856"/>
    </bk>
    <bk>
      <rc t="2" v="1857"/>
    </bk>
    <bk>
      <rc t="2" v="1858"/>
    </bk>
    <bk>
      <rc t="2" v="1859"/>
    </bk>
    <bk>
      <rc t="2" v="1860"/>
    </bk>
    <bk>
      <rc t="2" v="1861"/>
    </bk>
    <bk>
      <rc t="2" v="1862"/>
    </bk>
    <bk>
      <rc t="2" v="1863"/>
    </bk>
    <bk>
      <rc t="2" v="1864"/>
    </bk>
    <bk>
      <rc t="2" v="1865"/>
    </bk>
    <bk>
      <rc t="2" v="1866"/>
    </bk>
    <bk>
      <rc t="2" v="1867"/>
    </bk>
    <bk>
      <rc t="2" v="1868"/>
    </bk>
    <bk>
      <rc t="2" v="1869"/>
    </bk>
    <bk>
      <rc t="2" v="1870"/>
    </bk>
    <bk>
      <rc t="2" v="1871"/>
    </bk>
    <bk>
      <rc t="2" v="1872"/>
    </bk>
    <bk>
      <rc t="2" v="1873"/>
    </bk>
    <bk>
      <rc t="2" v="1874"/>
    </bk>
    <bk>
      <rc t="2" v="1875"/>
    </bk>
    <bk>
      <rc t="2" v="1876"/>
    </bk>
    <bk>
      <rc t="2" v="1877"/>
    </bk>
    <bk>
      <rc t="2" v="1878"/>
    </bk>
    <bk>
      <rc t="2" v="1879"/>
    </bk>
    <bk>
      <rc t="2" v="1880"/>
    </bk>
    <bk>
      <rc t="2" v="1881"/>
    </bk>
    <bk>
      <rc t="2" v="1882"/>
    </bk>
    <bk>
      <rc t="2" v="1883"/>
    </bk>
    <bk>
      <rc t="2" v="1884"/>
    </bk>
    <bk>
      <rc t="2" v="1885"/>
    </bk>
    <bk>
      <rc t="2" v="1886"/>
    </bk>
    <bk>
      <rc t="2" v="1887"/>
    </bk>
    <bk>
      <rc t="2" v="1888"/>
    </bk>
    <bk>
      <rc t="2" v="1889"/>
    </bk>
    <bk>
      <rc t="2" v="1890"/>
    </bk>
    <bk>
      <rc t="2" v="1891"/>
    </bk>
    <bk>
      <rc t="2" v="1892"/>
    </bk>
    <bk>
      <rc t="2" v="1893"/>
    </bk>
    <bk>
      <rc t="2" v="1894"/>
    </bk>
    <bk>
      <rc t="2" v="1895"/>
    </bk>
    <bk>
      <rc t="2" v="1896"/>
    </bk>
    <bk>
      <rc t="2" v="1897"/>
    </bk>
    <bk>
      <rc t="2" v="1898"/>
    </bk>
    <bk>
      <rc t="2" v="1899"/>
    </bk>
    <bk>
      <rc t="2" v="1900"/>
    </bk>
    <bk>
      <rc t="2" v="1901"/>
    </bk>
    <bk>
      <rc t="2" v="1902"/>
    </bk>
    <bk>
      <rc t="2" v="1903"/>
    </bk>
    <bk>
      <rc t="2" v="1904"/>
    </bk>
    <bk>
      <rc t="2" v="1905"/>
    </bk>
    <bk>
      <rc t="2" v="1906"/>
    </bk>
    <bk>
      <rc t="2" v="1907"/>
    </bk>
    <bk>
      <rc t="2" v="1908"/>
    </bk>
    <bk>
      <rc t="2" v="1909"/>
    </bk>
    <bk>
      <rc t="2" v="1910"/>
    </bk>
    <bk>
      <rc t="2" v="1911"/>
    </bk>
    <bk>
      <rc t="2" v="1912"/>
    </bk>
    <bk>
      <rc t="2" v="1913"/>
    </bk>
    <bk>
      <rc t="2" v="1914"/>
    </bk>
    <bk>
      <rc t="2" v="1915"/>
    </bk>
    <bk>
      <rc t="2" v="1916"/>
    </bk>
    <bk>
      <rc t="2" v="1917"/>
    </bk>
    <bk>
      <rc t="2" v="1918"/>
    </bk>
    <bk>
      <rc t="2" v="1919"/>
    </bk>
    <bk>
      <rc t="2" v="1920"/>
    </bk>
    <bk>
      <rc t="2" v="1921"/>
    </bk>
    <bk>
      <rc t="2" v="1922"/>
    </bk>
    <bk>
      <rc t="2" v="1923"/>
    </bk>
    <bk>
      <rc t="2" v="1924"/>
    </bk>
    <bk>
      <rc t="2" v="1925"/>
    </bk>
    <bk>
      <rc t="2" v="1926"/>
    </bk>
    <bk>
      <rc t="2" v="1927"/>
    </bk>
    <bk>
      <rc t="2" v="1928"/>
    </bk>
    <bk>
      <rc t="2" v="1929"/>
    </bk>
    <bk>
      <rc t="2" v="1930"/>
    </bk>
    <bk>
      <rc t="2" v="1931"/>
    </bk>
    <bk>
      <rc t="2" v="1932"/>
    </bk>
    <bk>
      <rc t="2" v="1933"/>
    </bk>
    <bk>
      <rc t="2" v="1934"/>
    </bk>
    <bk>
      <rc t="2" v="1935"/>
    </bk>
    <bk>
      <rc t="2" v="1936"/>
    </bk>
    <bk>
      <rc t="2" v="1937"/>
    </bk>
    <bk>
      <rc t="2" v="1938"/>
    </bk>
    <bk>
      <rc t="2" v="1939"/>
    </bk>
    <bk>
      <rc t="2" v="1940"/>
    </bk>
    <bk>
      <rc t="2" v="1941"/>
    </bk>
    <bk>
      <rc t="2" v="1942"/>
    </bk>
    <bk>
      <rc t="2" v="1943"/>
    </bk>
    <bk>
      <rc t="2" v="1944"/>
    </bk>
    <bk>
      <rc t="2" v="1945"/>
    </bk>
    <bk>
      <rc t="2" v="1946"/>
    </bk>
    <bk>
      <rc t="2" v="1947"/>
    </bk>
    <bk>
      <rc t="2" v="1948"/>
    </bk>
    <bk>
      <rc t="2" v="1949"/>
    </bk>
    <bk>
      <rc t="2" v="1950"/>
    </bk>
    <bk>
      <rc t="2" v="1951"/>
    </bk>
    <bk>
      <rc t="2" v="1952"/>
    </bk>
    <bk>
      <rc t="2" v="1953"/>
    </bk>
    <bk>
      <rc t="2" v="1954"/>
    </bk>
    <bk>
      <rc t="2" v="1955"/>
    </bk>
    <bk>
      <rc t="2" v="1956"/>
    </bk>
    <bk>
      <rc t="2" v="1957"/>
    </bk>
    <bk>
      <rc t="2" v="1958"/>
    </bk>
    <bk>
      <rc t="2" v="1959"/>
    </bk>
    <bk>
      <rc t="2" v="1960"/>
    </bk>
    <bk>
      <rc t="2" v="1961"/>
    </bk>
    <bk>
      <rc t="2" v="1962"/>
    </bk>
    <bk>
      <rc t="2" v="1963"/>
    </bk>
    <bk>
      <rc t="2" v="1964"/>
    </bk>
    <bk>
      <rc t="2" v="1965"/>
    </bk>
    <bk>
      <rc t="2" v="1966"/>
    </bk>
    <bk>
      <rc t="2" v="1967"/>
    </bk>
    <bk>
      <rc t="2" v="1968"/>
    </bk>
    <bk>
      <rc t="2" v="1969"/>
    </bk>
    <bk>
      <rc t="2" v="1970"/>
    </bk>
    <bk>
      <rc t="2" v="1971"/>
    </bk>
    <bk>
      <rc t="2" v="1972"/>
    </bk>
    <bk>
      <rc t="2" v="1973"/>
    </bk>
    <bk>
      <rc t="2" v="1974"/>
    </bk>
    <bk>
      <rc t="2" v="1975"/>
    </bk>
    <bk>
      <rc t="2" v="1976"/>
    </bk>
    <bk>
      <rc t="2" v="1977"/>
    </bk>
    <bk>
      <rc t="2" v="1978"/>
    </bk>
    <bk>
      <rc t="2" v="1979"/>
    </bk>
    <bk>
      <rc t="2" v="1980"/>
    </bk>
    <bk>
      <rc t="2" v="1981"/>
    </bk>
    <bk>
      <rc t="2" v="1982"/>
    </bk>
    <bk>
      <rc t="2" v="1983"/>
    </bk>
    <bk>
      <rc t="2" v="1984"/>
    </bk>
    <bk>
      <rc t="2" v="1985"/>
    </bk>
    <bk>
      <rc t="2" v="1986"/>
    </bk>
    <bk>
      <rc t="2" v="1987"/>
    </bk>
    <bk>
      <rc t="2" v="1988"/>
    </bk>
    <bk>
      <rc t="2" v="1989"/>
    </bk>
    <bk>
      <rc t="2" v="1990"/>
    </bk>
    <bk>
      <rc t="2" v="1991"/>
    </bk>
    <bk>
      <rc t="2" v="1992"/>
    </bk>
    <bk>
      <rc t="2" v="1993"/>
    </bk>
    <bk>
      <rc t="2" v="1994"/>
    </bk>
    <bk>
      <rc t="2" v="1995"/>
    </bk>
    <bk>
      <rc t="2" v="1996"/>
    </bk>
    <bk>
      <rc t="2" v="1997"/>
    </bk>
    <bk>
      <rc t="2" v="1998"/>
    </bk>
    <bk>
      <rc t="2" v="1999"/>
    </bk>
    <bk>
      <rc t="2" v="2000"/>
    </bk>
    <bk>
      <rc t="2" v="2001"/>
    </bk>
    <bk>
      <rc t="2" v="2002"/>
    </bk>
    <bk>
      <rc t="2" v="2003"/>
    </bk>
    <bk>
      <rc t="2" v="2004"/>
    </bk>
    <bk>
      <rc t="2" v="2005"/>
    </bk>
    <bk>
      <rc t="2" v="2006"/>
    </bk>
    <bk>
      <rc t="2" v="2007"/>
    </bk>
    <bk>
      <rc t="2" v="2008"/>
    </bk>
    <bk>
      <rc t="2" v="2009"/>
    </bk>
    <bk>
      <rc t="2" v="2010"/>
    </bk>
    <bk>
      <rc t="2" v="2011"/>
    </bk>
    <bk>
      <rc t="2" v="2012"/>
    </bk>
    <bk>
      <rc t="2" v="2013"/>
    </bk>
    <bk>
      <rc t="2" v="2014"/>
    </bk>
    <bk>
      <rc t="2" v="2015"/>
    </bk>
    <bk>
      <rc t="2" v="2016"/>
    </bk>
    <bk>
      <rc t="2" v="2017"/>
    </bk>
    <bk>
      <rc t="2" v="2018"/>
    </bk>
    <bk>
      <rc t="2" v="2019"/>
    </bk>
    <bk>
      <rc t="2" v="2020"/>
    </bk>
    <bk>
      <rc t="2" v="2021"/>
    </bk>
    <bk>
      <rc t="2" v="2022"/>
    </bk>
    <bk>
      <rc t="2" v="2023"/>
    </bk>
    <bk>
      <rc t="2" v="2024"/>
    </bk>
    <bk>
      <rc t="2" v="2025"/>
    </bk>
    <bk>
      <rc t="2" v="2026"/>
    </bk>
    <bk>
      <rc t="2" v="2027"/>
    </bk>
    <bk>
      <rc t="2" v="2028"/>
    </bk>
    <bk>
      <rc t="2" v="2029"/>
    </bk>
    <bk>
      <rc t="2" v="2030"/>
    </bk>
    <bk>
      <rc t="2" v="2031"/>
    </bk>
    <bk>
      <rc t="2" v="2032"/>
    </bk>
    <bk>
      <rc t="2" v="2033"/>
    </bk>
    <bk>
      <rc t="2" v="2034"/>
    </bk>
    <bk>
      <rc t="2" v="2035"/>
    </bk>
    <bk>
      <rc t="2" v="2036"/>
    </bk>
    <bk>
      <rc t="2" v="2037"/>
    </bk>
    <bk>
      <rc t="2" v="2038"/>
    </bk>
    <bk>
      <rc t="2" v="2039"/>
    </bk>
    <bk>
      <rc t="2" v="2040"/>
    </bk>
    <bk>
      <rc t="2" v="2041"/>
    </bk>
    <bk>
      <rc t="2" v="2042"/>
    </bk>
    <bk>
      <rc t="2" v="2043"/>
    </bk>
    <bk>
      <rc t="2" v="2044"/>
    </bk>
    <bk>
      <rc t="2" v="2045"/>
    </bk>
    <bk>
      <rc t="2" v="2046"/>
    </bk>
    <bk>
      <rc t="2" v="2047"/>
    </bk>
    <bk>
      <rc t="2" v="2048"/>
    </bk>
    <bk>
      <rc t="2" v="2049"/>
    </bk>
    <bk>
      <rc t="2" v="2050"/>
    </bk>
    <bk>
      <rc t="2" v="2051"/>
    </bk>
    <bk>
      <rc t="2" v="2052"/>
    </bk>
    <bk>
      <rc t="2" v="2053"/>
    </bk>
    <bk>
      <rc t="2" v="2054"/>
    </bk>
    <bk>
      <rc t="2" v="2055"/>
    </bk>
    <bk>
      <rc t="2" v="2056"/>
    </bk>
    <bk>
      <rc t="2" v="2057"/>
    </bk>
    <bk>
      <rc t="2" v="2058"/>
    </bk>
    <bk>
      <rc t="2" v="2059"/>
    </bk>
    <bk>
      <rc t="2" v="2060"/>
    </bk>
    <bk>
      <rc t="2" v="2061"/>
    </bk>
    <bk>
      <rc t="2" v="2062"/>
    </bk>
    <bk>
      <rc t="2" v="2063"/>
    </bk>
    <bk>
      <rc t="2" v="2064"/>
    </bk>
    <bk>
      <rc t="2" v="2065"/>
    </bk>
    <bk>
      <rc t="2" v="2066"/>
    </bk>
    <bk>
      <rc t="2" v="2067"/>
    </bk>
    <bk>
      <rc t="2" v="2068"/>
    </bk>
    <bk>
      <rc t="2" v="2069"/>
    </bk>
    <bk>
      <rc t="2" v="2070"/>
    </bk>
    <bk>
      <rc t="2" v="2071"/>
    </bk>
    <bk>
      <rc t="2" v="2072"/>
    </bk>
    <bk>
      <rc t="2" v="2073"/>
    </bk>
    <bk>
      <rc t="2" v="2074"/>
    </bk>
    <bk>
      <rc t="2" v="2075"/>
    </bk>
    <bk>
      <rc t="2" v="2076"/>
    </bk>
    <bk>
      <rc t="2" v="2077"/>
    </bk>
    <bk>
      <rc t="2" v="2078"/>
    </bk>
    <bk>
      <rc t="2" v="2079"/>
    </bk>
    <bk>
      <rc t="2" v="2080"/>
    </bk>
    <bk>
      <rc t="2" v="2081"/>
    </bk>
    <bk>
      <rc t="2" v="2082"/>
    </bk>
    <bk>
      <rc t="2" v="2083"/>
    </bk>
    <bk>
      <rc t="2" v="2084"/>
    </bk>
    <bk>
      <rc t="2" v="2085"/>
    </bk>
    <bk>
      <rc t="2" v="2086"/>
    </bk>
    <bk>
      <rc t="2" v="2087"/>
    </bk>
    <bk>
      <rc t="2" v="2088"/>
    </bk>
    <bk>
      <rc t="2" v="2089"/>
    </bk>
    <bk>
      <rc t="2" v="2090"/>
    </bk>
    <bk>
      <rc t="2" v="2091"/>
    </bk>
    <bk>
      <rc t="2" v="2092"/>
    </bk>
    <bk>
      <rc t="2" v="2093"/>
    </bk>
    <bk>
      <rc t="2" v="2094"/>
    </bk>
    <bk>
      <rc t="2" v="2095"/>
    </bk>
    <bk>
      <rc t="2" v="2096"/>
    </bk>
    <bk>
      <rc t="2" v="2097"/>
    </bk>
    <bk>
      <rc t="2" v="2098"/>
    </bk>
    <bk>
      <rc t="2" v="2099"/>
    </bk>
    <bk>
      <rc t="2" v="2100"/>
    </bk>
    <bk>
      <rc t="2" v="2101"/>
    </bk>
    <bk>
      <rc t="2" v="2102"/>
    </bk>
    <bk>
      <rc t="2" v="2103"/>
    </bk>
    <bk>
      <rc t="2" v="2104"/>
    </bk>
    <bk>
      <rc t="2" v="2105"/>
    </bk>
    <bk>
      <rc t="2" v="2106"/>
    </bk>
    <bk>
      <rc t="2" v="2107"/>
    </bk>
    <bk>
      <rc t="2" v="2108"/>
    </bk>
    <bk>
      <rc t="2" v="2109"/>
    </bk>
    <bk>
      <rc t="2" v="2110"/>
    </bk>
    <bk>
      <rc t="2" v="2111"/>
    </bk>
    <bk>
      <rc t="2" v="2112"/>
    </bk>
    <bk>
      <rc t="2" v="2113"/>
    </bk>
    <bk>
      <rc t="2" v="2114"/>
    </bk>
    <bk>
      <rc t="2" v="2115"/>
    </bk>
    <bk>
      <rc t="2" v="2116"/>
    </bk>
    <bk>
      <rc t="2" v="2117"/>
    </bk>
    <bk>
      <rc t="2" v="2118"/>
    </bk>
    <bk>
      <rc t="2" v="2119"/>
    </bk>
    <bk>
      <rc t="2" v="2120"/>
    </bk>
    <bk>
      <rc t="2" v="2121"/>
    </bk>
    <bk>
      <rc t="2" v="2122"/>
    </bk>
    <bk>
      <rc t="2" v="2123"/>
    </bk>
    <bk>
      <rc t="2" v="2124"/>
    </bk>
    <bk>
      <rc t="2" v="2125"/>
    </bk>
    <bk>
      <rc t="2" v="2126"/>
    </bk>
    <bk>
      <rc t="2" v="2127"/>
    </bk>
    <bk>
      <rc t="2" v="2128"/>
    </bk>
    <bk>
      <rc t="2" v="2129"/>
    </bk>
    <bk>
      <rc t="2" v="2130"/>
    </bk>
    <bk>
      <rc t="2" v="2131"/>
    </bk>
    <bk>
      <rc t="2" v="2132"/>
    </bk>
    <bk>
      <rc t="2" v="2133"/>
    </bk>
    <bk>
      <rc t="2" v="2134"/>
    </bk>
    <bk>
      <rc t="2" v="2135"/>
    </bk>
    <bk>
      <rc t="2" v="2136"/>
    </bk>
    <bk>
      <rc t="2" v="2137"/>
    </bk>
    <bk>
      <rc t="2" v="2138"/>
    </bk>
    <bk>
      <rc t="2" v="2139"/>
    </bk>
    <bk>
      <rc t="2" v="2140"/>
    </bk>
    <bk>
      <rc t="2" v="2141"/>
    </bk>
    <bk>
      <rc t="2" v="2142"/>
    </bk>
    <bk>
      <rc t="2" v="2143"/>
    </bk>
    <bk>
      <rc t="2" v="2144"/>
    </bk>
    <bk>
      <rc t="2" v="2145"/>
    </bk>
    <bk>
      <rc t="2" v="2146"/>
    </bk>
    <bk>
      <rc t="2" v="2147"/>
    </bk>
    <bk>
      <rc t="2" v="2148"/>
    </bk>
    <bk>
      <rc t="2" v="2149"/>
    </bk>
    <bk>
      <rc t="2" v="2150"/>
    </bk>
    <bk>
      <rc t="2" v="2151"/>
    </bk>
    <bk>
      <rc t="2" v="2152"/>
    </bk>
    <bk>
      <rc t="2" v="2153"/>
    </bk>
    <bk>
      <rc t="2" v="2154"/>
    </bk>
    <bk>
      <rc t="2" v="2155"/>
    </bk>
    <bk>
      <rc t="2" v="2156"/>
    </bk>
    <bk>
      <rc t="2" v="2157"/>
    </bk>
    <bk>
      <rc t="2" v="2158"/>
    </bk>
    <bk>
      <rc t="2" v="2159"/>
    </bk>
    <bk>
      <rc t="2" v="2160"/>
    </bk>
    <bk>
      <rc t="2" v="2161"/>
    </bk>
    <bk>
      <rc t="2" v="2162"/>
    </bk>
    <bk>
      <rc t="2" v="2163"/>
    </bk>
    <bk>
      <rc t="2" v="2164"/>
    </bk>
    <bk>
      <rc t="2" v="2165"/>
    </bk>
    <bk>
      <rc t="2" v="2166"/>
    </bk>
    <bk>
      <rc t="2" v="2167"/>
    </bk>
    <bk>
      <rc t="2" v="2168"/>
    </bk>
    <bk>
      <rc t="2" v="2169"/>
    </bk>
    <bk>
      <rc t="2" v="2170"/>
    </bk>
    <bk>
      <rc t="2" v="2171"/>
    </bk>
    <bk>
      <rc t="2" v="2172"/>
    </bk>
    <bk>
      <rc t="2" v="2173"/>
    </bk>
    <bk>
      <rc t="2" v="2174"/>
    </bk>
    <bk>
      <rc t="2" v="2175"/>
    </bk>
    <bk>
      <rc t="2" v="2176"/>
    </bk>
    <bk>
      <rc t="2" v="2177"/>
    </bk>
    <bk>
      <rc t="2" v="2178"/>
    </bk>
    <bk>
      <rc t="2" v="2179"/>
    </bk>
    <bk>
      <rc t="2" v="2180"/>
    </bk>
    <bk>
      <rc t="2" v="2181"/>
    </bk>
    <bk>
      <rc t="2" v="2182"/>
    </bk>
    <bk>
      <rc t="2" v="2183"/>
    </bk>
    <bk>
      <rc t="2" v="2184"/>
    </bk>
    <bk>
      <rc t="2" v="2185"/>
    </bk>
    <bk>
      <rc t="2" v="2186"/>
    </bk>
    <bk>
      <rc t="2" v="2187"/>
    </bk>
    <bk>
      <rc t="2" v="2188"/>
    </bk>
    <bk>
      <rc t="2" v="2189"/>
    </bk>
    <bk>
      <rc t="2" v="2190"/>
    </bk>
    <bk>
      <rc t="2" v="2191"/>
    </bk>
    <bk>
      <rc t="2" v="2192"/>
    </bk>
    <bk>
      <rc t="2" v="2193"/>
    </bk>
    <bk>
      <rc t="2" v="2194"/>
    </bk>
    <bk>
      <rc t="2" v="2195"/>
    </bk>
    <bk>
      <rc t="2" v="2196"/>
    </bk>
    <bk>
      <rc t="2" v="2197"/>
    </bk>
    <bk>
      <rc t="2" v="2198"/>
    </bk>
    <bk>
      <rc t="2" v="2199"/>
    </bk>
    <bk>
      <rc t="2" v="2200"/>
    </bk>
    <bk>
      <rc t="2" v="2201"/>
    </bk>
    <bk>
      <rc t="2" v="2202"/>
    </bk>
    <bk>
      <rc t="2" v="2203"/>
    </bk>
    <bk>
      <rc t="2" v="2204"/>
    </bk>
    <bk>
      <rc t="2" v="2205"/>
    </bk>
    <bk>
      <rc t="2" v="2206"/>
    </bk>
    <bk>
      <rc t="2" v="2207"/>
    </bk>
    <bk>
      <rc t="2" v="2208"/>
    </bk>
    <bk>
      <rc t="2" v="2209"/>
    </bk>
    <bk>
      <rc t="2" v="2210"/>
    </bk>
    <bk>
      <rc t="2" v="2211"/>
    </bk>
    <bk>
      <rc t="2" v="2212"/>
    </bk>
    <bk>
      <rc t="2" v="2213"/>
    </bk>
    <bk>
      <rc t="2" v="2214"/>
    </bk>
    <bk>
      <rc t="2" v="2215"/>
    </bk>
    <bk>
      <rc t="2" v="2216"/>
    </bk>
    <bk>
      <rc t="2" v="2217"/>
    </bk>
    <bk>
      <rc t="2" v="2218"/>
    </bk>
    <bk>
      <rc t="2" v="2219"/>
    </bk>
    <bk>
      <rc t="2" v="2220"/>
    </bk>
    <bk>
      <rc t="2" v="2221"/>
    </bk>
    <bk>
      <rc t="2" v="2222"/>
    </bk>
    <bk>
      <rc t="2" v="2223"/>
    </bk>
    <bk>
      <rc t="2" v="2224"/>
    </bk>
    <bk>
      <rc t="2" v="2225"/>
    </bk>
    <bk>
      <rc t="2" v="2226"/>
    </bk>
    <bk>
      <rc t="2" v="2227"/>
    </bk>
    <bk>
      <rc t="2" v="2228"/>
    </bk>
    <bk>
      <rc t="2" v="2229"/>
    </bk>
    <bk>
      <rc t="2" v="2230"/>
    </bk>
    <bk>
      <rc t="2" v="2231"/>
    </bk>
    <bk>
      <rc t="2" v="2232"/>
    </bk>
    <bk>
      <rc t="2" v="2233"/>
    </bk>
    <bk>
      <rc t="2" v="2234"/>
    </bk>
    <bk>
      <rc t="2" v="2235"/>
    </bk>
    <bk>
      <rc t="2" v="2236"/>
    </bk>
    <bk>
      <rc t="2" v="2237"/>
    </bk>
    <bk>
      <rc t="2" v="2238"/>
    </bk>
    <bk>
      <rc t="2" v="2239"/>
    </bk>
    <bk>
      <rc t="2" v="2240"/>
    </bk>
    <bk>
      <rc t="2" v="2241"/>
    </bk>
    <bk>
      <rc t="2" v="2242"/>
    </bk>
    <bk>
      <rc t="2" v="2243"/>
    </bk>
    <bk>
      <rc t="2" v="2244"/>
    </bk>
    <bk>
      <rc t="2" v="2245"/>
    </bk>
    <bk>
      <rc t="2" v="2246"/>
    </bk>
    <bk>
      <rc t="2" v="2247"/>
    </bk>
    <bk>
      <rc t="2" v="2248"/>
    </bk>
    <bk>
      <rc t="2" v="2249"/>
    </bk>
    <bk>
      <rc t="2" v="2250"/>
    </bk>
    <bk>
      <rc t="2" v="2251"/>
    </bk>
    <bk>
      <rc t="2" v="2252"/>
    </bk>
    <bk>
      <rc t="2" v="2253"/>
    </bk>
    <bk>
      <rc t="2" v="2254"/>
    </bk>
    <bk>
      <rc t="2" v="2255"/>
    </bk>
    <bk>
      <rc t="2" v="2256"/>
    </bk>
    <bk>
      <rc t="2" v="2257"/>
    </bk>
    <bk>
      <rc t="2" v="2258"/>
    </bk>
    <bk>
      <rc t="2" v="2259"/>
    </bk>
    <bk>
      <rc t="2" v="2260"/>
    </bk>
    <bk>
      <rc t="2" v="2261"/>
    </bk>
    <bk>
      <rc t="2" v="2262"/>
    </bk>
    <bk>
      <rc t="2" v="2263"/>
    </bk>
    <bk>
      <rc t="2" v="2264"/>
    </bk>
    <bk>
      <rc t="2" v="2265"/>
    </bk>
    <bk>
      <rc t="2" v="2266"/>
    </bk>
    <bk>
      <rc t="2" v="2267"/>
    </bk>
    <bk>
      <rc t="2" v="2268"/>
    </bk>
    <bk>
      <rc t="2" v="2269"/>
    </bk>
    <bk>
      <rc t="2" v="2270"/>
    </bk>
    <bk>
      <rc t="2" v="2271"/>
    </bk>
    <bk>
      <rc t="2" v="2272"/>
    </bk>
    <bk>
      <rc t="2" v="2273"/>
    </bk>
    <bk>
      <rc t="2" v="2274"/>
    </bk>
    <bk>
      <rc t="2" v="2275"/>
    </bk>
    <bk>
      <rc t="2" v="2276"/>
    </bk>
    <bk>
      <rc t="2" v="2277"/>
    </bk>
    <bk>
      <rc t="2" v="2278"/>
    </bk>
    <bk>
      <rc t="2" v="2279"/>
    </bk>
    <bk>
      <rc t="2" v="2280"/>
    </bk>
    <bk>
      <rc t="2" v="2281"/>
    </bk>
    <bk>
      <rc t="2" v="2282"/>
    </bk>
    <bk>
      <rc t="2" v="2283"/>
    </bk>
    <bk>
      <rc t="2" v="2284"/>
    </bk>
    <bk>
      <rc t="2" v="2285"/>
    </bk>
    <bk>
      <rc t="2" v="2286"/>
    </bk>
    <bk>
      <rc t="2" v="2287"/>
    </bk>
    <bk>
      <rc t="2" v="2288"/>
    </bk>
    <bk>
      <rc t="2" v="2289"/>
    </bk>
    <bk>
      <rc t="2" v="2290"/>
    </bk>
    <bk>
      <rc t="2" v="2291"/>
    </bk>
    <bk>
      <rc t="2" v="2292"/>
    </bk>
    <bk>
      <rc t="2" v="2293"/>
    </bk>
    <bk>
      <rc t="2" v="2294"/>
    </bk>
    <bk>
      <rc t="2" v="2295"/>
    </bk>
    <bk>
      <rc t="2" v="2296"/>
    </bk>
    <bk>
      <rc t="2" v="2297"/>
    </bk>
    <bk>
      <rc t="2" v="2298"/>
    </bk>
    <bk>
      <rc t="2" v="2299"/>
    </bk>
    <bk>
      <rc t="2" v="2300"/>
    </bk>
    <bk>
      <rc t="2" v="2301"/>
    </bk>
    <bk>
      <rc t="2" v="2302"/>
    </bk>
    <bk>
      <rc t="2" v="2303"/>
    </bk>
    <bk>
      <rc t="2" v="2304"/>
    </bk>
    <bk>
      <rc t="2" v="2305"/>
    </bk>
    <bk>
      <rc t="2" v="2306"/>
    </bk>
    <bk>
      <rc t="2" v="2307"/>
    </bk>
    <bk>
      <rc t="2" v="2308"/>
    </bk>
    <bk>
      <rc t="2" v="2309"/>
    </bk>
    <bk>
      <rc t="2" v="2310"/>
    </bk>
    <bk>
      <rc t="2" v="2311"/>
    </bk>
    <bk>
      <rc t="2" v="2312"/>
    </bk>
    <bk>
      <rc t="2" v="2313"/>
    </bk>
    <bk>
      <rc t="2" v="2314"/>
    </bk>
    <bk>
      <rc t="2" v="2315"/>
    </bk>
    <bk>
      <rc t="2" v="2316"/>
    </bk>
    <bk>
      <rc t="2" v="2317"/>
    </bk>
    <bk>
      <rc t="2" v="2318"/>
    </bk>
    <bk>
      <rc t="2" v="2319"/>
    </bk>
    <bk>
      <rc t="2" v="2320"/>
    </bk>
    <bk>
      <rc t="2" v="2321"/>
    </bk>
    <bk>
      <rc t="2" v="2322"/>
    </bk>
    <bk>
      <rc t="2" v="2323"/>
    </bk>
    <bk>
      <rc t="2" v="2324"/>
    </bk>
    <bk>
      <rc t="2" v="2325"/>
    </bk>
    <bk>
      <rc t="2" v="2326"/>
    </bk>
    <bk>
      <rc t="2" v="2327"/>
    </bk>
    <bk>
      <rc t="2" v="2328"/>
    </bk>
    <bk>
      <rc t="2" v="2329"/>
    </bk>
    <bk>
      <rc t="2" v="2330"/>
    </bk>
    <bk>
      <rc t="2" v="2331"/>
    </bk>
    <bk>
      <rc t="2" v="2332"/>
    </bk>
    <bk>
      <rc t="2" v="2333"/>
    </bk>
    <bk>
      <rc t="2" v="2334"/>
    </bk>
    <bk>
      <rc t="2" v="2335"/>
    </bk>
    <bk>
      <rc t="2" v="2336"/>
    </bk>
    <bk>
      <rc t="2" v="2337"/>
    </bk>
    <bk>
      <rc t="2" v="2338"/>
    </bk>
    <bk>
      <rc t="2" v="2339"/>
    </bk>
    <bk>
      <rc t="2" v="2340"/>
    </bk>
    <bk>
      <rc t="2" v="2341"/>
    </bk>
    <bk>
      <rc t="2" v="2342"/>
    </bk>
    <bk>
      <rc t="2" v="2343"/>
    </bk>
    <bk>
      <rc t="2" v="2344"/>
    </bk>
    <bk>
      <rc t="2" v="2345"/>
    </bk>
    <bk>
      <rc t="2" v="2346"/>
    </bk>
    <bk>
      <rc t="2" v="2347"/>
    </bk>
    <bk>
      <rc t="2" v="2348"/>
    </bk>
    <bk>
      <rc t="2" v="2349"/>
    </bk>
    <bk>
      <rc t="2" v="2350"/>
    </bk>
    <bk>
      <rc t="2" v="2351"/>
    </bk>
    <bk>
      <rc t="2" v="2352"/>
    </bk>
    <bk>
      <rc t="2" v="2353"/>
    </bk>
    <bk>
      <rc t="2" v="2354"/>
    </bk>
    <bk>
      <rc t="2" v="2355"/>
    </bk>
    <bk>
      <rc t="2" v="2356"/>
    </bk>
    <bk>
      <rc t="2" v="2357"/>
    </bk>
    <bk>
      <rc t="2" v="2358"/>
    </bk>
    <bk>
      <rc t="2" v="2359"/>
    </bk>
    <bk>
      <rc t="2" v="2360"/>
    </bk>
    <bk>
      <rc t="2" v="2361"/>
    </bk>
    <bk>
      <rc t="2" v="2362"/>
    </bk>
    <bk>
      <rc t="2" v="2363"/>
    </bk>
    <bk>
      <rc t="2" v="2364"/>
    </bk>
    <bk>
      <rc t="2" v="2365"/>
    </bk>
    <bk>
      <rc t="2" v="2366"/>
    </bk>
    <bk>
      <rc t="2" v="2367"/>
    </bk>
    <bk>
      <rc t="2" v="2368"/>
    </bk>
    <bk>
      <rc t="2" v="2369"/>
    </bk>
    <bk>
      <rc t="2" v="2370"/>
    </bk>
    <bk>
      <rc t="2" v="2371"/>
    </bk>
    <bk>
      <rc t="2" v="2372"/>
    </bk>
    <bk>
      <rc t="2" v="2373"/>
    </bk>
    <bk>
      <rc t="2" v="2374"/>
    </bk>
    <bk>
      <rc t="2" v="2375"/>
    </bk>
    <bk>
      <rc t="2" v="2376"/>
    </bk>
    <bk>
      <rc t="2" v="2377"/>
    </bk>
    <bk>
      <rc t="2" v="2378"/>
    </bk>
    <bk>
      <rc t="2" v="2379"/>
    </bk>
    <bk>
      <rc t="2" v="2380"/>
    </bk>
    <bk>
      <rc t="2" v="2381"/>
    </bk>
    <bk>
      <rc t="2" v="2382"/>
    </bk>
    <bk>
      <rc t="2" v="2383"/>
    </bk>
    <bk>
      <rc t="2" v="2384"/>
    </bk>
    <bk>
      <rc t="2" v="2385"/>
    </bk>
    <bk>
      <rc t="2" v="2386"/>
    </bk>
    <bk>
      <rc t="2" v="2387"/>
    </bk>
    <bk>
      <rc t="2" v="2388"/>
    </bk>
    <bk>
      <rc t="2" v="2389"/>
    </bk>
    <bk>
      <rc t="2" v="2390"/>
    </bk>
    <bk>
      <rc t="2" v="2391"/>
    </bk>
    <bk>
      <rc t="2" v="2392"/>
    </bk>
    <bk>
      <rc t="2" v="2393"/>
    </bk>
    <bk>
      <rc t="2" v="2394"/>
    </bk>
    <bk>
      <rc t="2" v="2395"/>
    </bk>
    <bk>
      <rc t="2" v="2396"/>
    </bk>
    <bk>
      <rc t="2" v="2397"/>
    </bk>
    <bk>
      <rc t="2" v="2398"/>
    </bk>
    <bk>
      <rc t="2" v="2399"/>
    </bk>
    <bk>
      <rc t="2" v="2400"/>
    </bk>
    <bk>
      <rc t="2" v="2401"/>
    </bk>
    <bk>
      <rc t="2" v="2402"/>
    </bk>
    <bk>
      <rc t="2" v="2403"/>
    </bk>
    <bk>
      <rc t="2" v="2404"/>
    </bk>
    <bk>
      <rc t="2" v="2405"/>
    </bk>
    <bk>
      <rc t="2" v="2406"/>
    </bk>
    <bk>
      <rc t="2" v="2407"/>
    </bk>
    <bk>
      <rc t="2" v="2408"/>
    </bk>
    <bk>
      <rc t="2" v="2409"/>
    </bk>
    <bk>
      <rc t="2" v="2410"/>
    </bk>
    <bk>
      <rc t="2" v="2411"/>
    </bk>
    <bk>
      <rc t="2" v="2412"/>
    </bk>
    <bk>
      <rc t="2" v="2413"/>
    </bk>
    <bk>
      <rc t="2" v="2414"/>
    </bk>
    <bk>
      <rc t="2" v="2415"/>
    </bk>
    <bk>
      <rc t="2" v="2416"/>
    </bk>
    <bk>
      <rc t="2" v="2417"/>
    </bk>
    <bk>
      <rc t="2" v="2418"/>
    </bk>
    <bk>
      <rc t="2" v="2419"/>
    </bk>
    <bk>
      <rc t="2" v="2420"/>
    </bk>
    <bk>
      <rc t="2" v="2421"/>
    </bk>
    <bk>
      <rc t="2" v="2422"/>
    </bk>
    <bk>
      <rc t="2" v="2423"/>
    </bk>
    <bk>
      <rc t="2" v="2424"/>
    </bk>
    <bk>
      <rc t="2" v="2425"/>
    </bk>
    <bk>
      <rc t="2" v="2426"/>
    </bk>
    <bk>
      <rc t="2" v="2427"/>
    </bk>
    <bk>
      <rc t="2" v="2428"/>
    </bk>
    <bk>
      <rc t="2" v="2429"/>
    </bk>
    <bk>
      <rc t="2" v="2430"/>
    </bk>
    <bk>
      <rc t="2" v="2431"/>
    </bk>
    <bk>
      <rc t="2" v="2432"/>
    </bk>
    <bk>
      <rc t="2" v="2433"/>
    </bk>
    <bk>
      <rc t="2" v="2434"/>
    </bk>
    <bk>
      <rc t="2" v="2435"/>
    </bk>
    <bk>
      <rc t="2" v="2436"/>
    </bk>
    <bk>
      <rc t="2" v="2437"/>
    </bk>
    <bk>
      <rc t="2" v="2438"/>
    </bk>
    <bk>
      <rc t="2" v="2439"/>
    </bk>
    <bk>
      <rc t="2" v="2440"/>
    </bk>
    <bk>
      <rc t="2" v="2441"/>
    </bk>
    <bk>
      <rc t="2" v="2442"/>
    </bk>
    <bk>
      <rc t="2" v="2443"/>
    </bk>
    <bk>
      <rc t="2" v="2444"/>
    </bk>
    <bk>
      <rc t="2" v="2445"/>
    </bk>
    <bk>
      <rc t="2" v="2446"/>
    </bk>
    <bk>
      <rc t="2" v="2447"/>
    </bk>
    <bk>
      <rc t="2" v="2448"/>
    </bk>
    <bk>
      <rc t="2" v="2449"/>
    </bk>
    <bk>
      <rc t="2" v="2450"/>
    </bk>
    <bk>
      <rc t="2" v="2451"/>
    </bk>
    <bk>
      <rc t="2" v="2452"/>
    </bk>
    <bk>
      <rc t="2" v="2453"/>
    </bk>
    <bk>
      <rc t="2" v="2454"/>
    </bk>
    <bk>
      <rc t="2" v="2455"/>
    </bk>
    <bk>
      <rc t="2" v="2456"/>
    </bk>
    <bk>
      <rc t="2" v="2457"/>
    </bk>
    <bk>
      <rc t="2" v="2458"/>
    </bk>
    <bk>
      <rc t="2" v="2459"/>
    </bk>
    <bk>
      <rc t="2" v="2460"/>
    </bk>
    <bk>
      <rc t="2" v="2461"/>
    </bk>
    <bk>
      <rc t="2" v="2462"/>
    </bk>
    <bk>
      <rc t="2" v="2463"/>
    </bk>
    <bk>
      <rc t="2" v="2464"/>
    </bk>
    <bk>
      <rc t="2" v="2465"/>
    </bk>
    <bk>
      <rc t="2" v="2466"/>
    </bk>
    <bk>
      <rc t="2" v="2467"/>
    </bk>
    <bk>
      <rc t="2" v="2468"/>
    </bk>
    <bk>
      <rc t="2" v="2469"/>
    </bk>
    <bk>
      <rc t="2" v="2470"/>
    </bk>
    <bk>
      <rc t="2" v="2471"/>
    </bk>
    <bk>
      <rc t="2" v="2472"/>
    </bk>
    <bk>
      <rc t="2" v="2473"/>
    </bk>
    <bk>
      <rc t="2" v="2474"/>
    </bk>
    <bk>
      <rc t="2" v="2475"/>
    </bk>
    <bk>
      <rc t="2" v="2476"/>
    </bk>
    <bk>
      <rc t="2" v="2477"/>
    </bk>
    <bk>
      <rc t="2" v="2478"/>
    </bk>
    <bk>
      <rc t="2" v="2479"/>
    </bk>
    <bk>
      <rc t="2" v="2480"/>
    </bk>
    <bk>
      <rc t="2" v="2481"/>
    </bk>
    <bk>
      <rc t="2" v="2482"/>
    </bk>
    <bk>
      <rc t="2" v="2483"/>
    </bk>
    <bk>
      <rc t="2" v="2484"/>
    </bk>
    <bk>
      <rc t="2" v="2485"/>
    </bk>
    <bk>
      <rc t="2" v="2486"/>
    </bk>
    <bk>
      <rc t="2" v="2487"/>
    </bk>
    <bk>
      <rc t="2" v="2488"/>
    </bk>
    <bk>
      <rc t="2" v="2489"/>
    </bk>
    <bk>
      <rc t="2" v="2490"/>
    </bk>
    <bk>
      <rc t="2" v="2491"/>
    </bk>
    <bk>
      <rc t="2" v="2492"/>
    </bk>
    <bk>
      <rc t="2" v="2493"/>
    </bk>
    <bk>
      <rc t="2" v="2494"/>
    </bk>
    <bk>
      <rc t="2" v="2495"/>
    </bk>
    <bk>
      <rc t="2" v="2496"/>
    </bk>
    <bk>
      <rc t="2" v="2497"/>
    </bk>
    <bk>
      <rc t="2" v="2498"/>
    </bk>
    <bk>
      <rc t="2" v="2499"/>
    </bk>
    <bk>
      <rc t="2" v="2500"/>
    </bk>
    <bk>
      <rc t="2" v="2501"/>
    </bk>
    <bk>
      <rc t="2" v="2502"/>
    </bk>
    <bk>
      <rc t="2" v="2503"/>
    </bk>
    <bk>
      <rc t="2" v="2504"/>
    </bk>
    <bk>
      <rc t="2" v="2505"/>
    </bk>
    <bk>
      <rc t="2" v="2506"/>
    </bk>
    <bk>
      <rc t="2" v="2507"/>
    </bk>
    <bk>
      <rc t="2" v="2508"/>
    </bk>
    <bk>
      <rc t="2" v="2509"/>
    </bk>
    <bk>
      <rc t="2" v="2510"/>
    </bk>
    <bk>
      <rc t="2" v="2511"/>
    </bk>
    <bk>
      <rc t="2" v="2512"/>
    </bk>
    <bk>
      <rc t="2" v="2513"/>
    </bk>
    <bk>
      <rc t="2" v="2514"/>
    </bk>
    <bk>
      <rc t="2" v="2515"/>
    </bk>
    <bk>
      <rc t="2" v="2516"/>
    </bk>
    <bk>
      <rc t="2" v="2517"/>
    </bk>
    <bk>
      <rc t="2" v="2518"/>
    </bk>
    <bk>
      <rc t="2" v="2519"/>
    </bk>
    <bk>
      <rc t="2" v="2520"/>
    </bk>
    <bk>
      <rc t="2" v="2521"/>
    </bk>
    <bk>
      <rc t="2" v="2522"/>
    </bk>
    <bk>
      <rc t="2" v="2523"/>
    </bk>
    <bk>
      <rc t="2" v="2524"/>
    </bk>
    <bk>
      <rc t="2" v="2525"/>
    </bk>
    <bk>
      <rc t="2" v="2526"/>
    </bk>
    <bk>
      <rc t="2" v="2527"/>
    </bk>
    <bk>
      <rc t="2" v="2528"/>
    </bk>
    <bk>
      <rc t="2" v="2529"/>
    </bk>
    <bk>
      <rc t="2" v="2530"/>
    </bk>
    <bk>
      <rc t="2" v="2531"/>
    </bk>
    <bk>
      <rc t="2" v="2532"/>
    </bk>
    <bk>
      <rc t="2" v="2533"/>
    </bk>
    <bk>
      <rc t="2" v="2534"/>
    </bk>
    <bk>
      <rc t="2" v="2535"/>
    </bk>
    <bk>
      <rc t="2" v="2536"/>
    </bk>
    <bk>
      <rc t="2" v="2537"/>
    </bk>
    <bk>
      <rc t="2" v="2538"/>
    </bk>
    <bk>
      <rc t="2" v="2539"/>
    </bk>
    <bk>
      <rc t="2" v="2540"/>
    </bk>
    <bk>
      <rc t="2" v="2541"/>
    </bk>
    <bk>
      <rc t="2" v="2542"/>
    </bk>
    <bk>
      <rc t="2" v="2543"/>
    </bk>
    <bk>
      <rc t="2" v="2544"/>
    </bk>
    <bk>
      <rc t="2" v="2545"/>
    </bk>
    <bk>
      <rc t="2" v="2546"/>
    </bk>
    <bk>
      <rc t="2" v="2547"/>
    </bk>
    <bk>
      <rc t="2" v="2548"/>
    </bk>
    <bk>
      <rc t="2" v="2549"/>
    </bk>
    <bk>
      <rc t="2" v="2550"/>
    </bk>
    <bk>
      <rc t="2" v="2551"/>
    </bk>
    <bk>
      <rc t="2" v="2552"/>
    </bk>
    <bk>
      <rc t="2" v="2553"/>
    </bk>
    <bk>
      <rc t="2" v="2554"/>
    </bk>
    <bk>
      <rc t="2" v="2555"/>
    </bk>
    <bk>
      <rc t="2" v="2556"/>
    </bk>
    <bk>
      <rc t="2" v="2557"/>
    </bk>
    <bk>
      <rc t="2" v="2558"/>
    </bk>
    <bk>
      <rc t="2" v="2559"/>
    </bk>
    <bk>
      <rc t="2" v="2560"/>
    </bk>
    <bk>
      <rc t="2" v="2561"/>
    </bk>
    <bk>
      <rc t="2" v="2562"/>
    </bk>
    <bk>
      <rc t="2" v="2563"/>
    </bk>
    <bk>
      <rc t="2" v="2564"/>
    </bk>
    <bk>
      <rc t="2" v="2565"/>
    </bk>
    <bk>
      <rc t="2" v="2566"/>
    </bk>
    <bk>
      <rc t="2" v="2567"/>
    </bk>
    <bk>
      <rc t="2" v="2568"/>
    </bk>
    <bk>
      <rc t="2" v="2569"/>
    </bk>
    <bk>
      <rc t="2" v="2570"/>
    </bk>
    <bk>
      <rc t="2" v="2571"/>
    </bk>
    <bk>
      <rc t="2" v="2572"/>
    </bk>
    <bk>
      <rc t="2" v="2573"/>
    </bk>
    <bk>
      <rc t="2" v="2574"/>
    </bk>
    <bk>
      <rc t="2" v="2575"/>
    </bk>
    <bk>
      <rc t="2" v="2576"/>
    </bk>
    <bk>
      <rc t="2" v="2577"/>
    </bk>
    <bk>
      <rc t="2" v="2578"/>
    </bk>
    <bk>
      <rc t="2" v="2579"/>
    </bk>
    <bk>
      <rc t="2" v="2580"/>
    </bk>
    <bk>
      <rc t="2" v="2581"/>
    </bk>
    <bk>
      <rc t="2" v="2582"/>
    </bk>
    <bk>
      <rc t="2" v="2583"/>
    </bk>
    <bk>
      <rc t="2" v="2584"/>
    </bk>
    <bk>
      <rc t="2" v="2585"/>
    </bk>
    <bk>
      <rc t="2" v="2586"/>
    </bk>
    <bk>
      <rc t="2" v="2587"/>
    </bk>
    <bk>
      <rc t="2" v="2588"/>
    </bk>
    <bk>
      <rc t="2" v="2589"/>
    </bk>
    <bk>
      <rc t="2" v="2590"/>
    </bk>
    <bk>
      <rc t="2" v="2591"/>
    </bk>
    <bk>
      <rc t="2" v="2592"/>
    </bk>
    <bk>
      <rc t="2" v="2593"/>
    </bk>
    <bk>
      <rc t="2" v="2594"/>
    </bk>
    <bk>
      <rc t="2" v="2595"/>
    </bk>
    <bk>
      <rc t="2" v="2596"/>
    </bk>
    <bk>
      <rc t="2" v="2597"/>
    </bk>
    <bk>
      <rc t="2" v="2598"/>
    </bk>
    <bk>
      <rc t="2" v="2599"/>
    </bk>
    <bk>
      <rc t="2" v="2600"/>
    </bk>
    <bk>
      <rc t="2" v="2601"/>
    </bk>
    <bk>
      <rc t="2" v="2602"/>
    </bk>
    <bk>
      <rc t="2" v="2603"/>
    </bk>
    <bk>
      <rc t="2" v="2604"/>
    </bk>
    <bk>
      <rc t="2" v="2605"/>
    </bk>
    <bk>
      <rc t="2" v="2606"/>
    </bk>
    <bk>
      <rc t="2" v="2607"/>
    </bk>
    <bk>
      <rc t="2" v="2608"/>
    </bk>
    <bk>
      <rc t="2" v="2609"/>
    </bk>
    <bk>
      <rc t="2" v="2610"/>
    </bk>
    <bk>
      <rc t="2" v="2611"/>
    </bk>
    <bk>
      <rc t="2" v="2612"/>
    </bk>
    <bk>
      <rc t="2" v="2613"/>
    </bk>
    <bk>
      <rc t="2" v="2614"/>
    </bk>
    <bk>
      <rc t="2" v="2615"/>
    </bk>
    <bk>
      <rc t="2" v="2616"/>
    </bk>
    <bk>
      <rc t="2" v="2617"/>
    </bk>
    <bk>
      <rc t="2" v="2618"/>
    </bk>
    <bk>
      <rc t="2" v="2619"/>
    </bk>
    <bk>
      <rc t="2" v="2620"/>
    </bk>
    <bk>
      <rc t="2" v="2621"/>
    </bk>
    <bk>
      <rc t="2" v="2622"/>
    </bk>
    <bk>
      <rc t="2" v="2623"/>
    </bk>
    <bk>
      <rc t="2" v="2624"/>
    </bk>
    <bk>
      <rc t="2" v="2625"/>
    </bk>
    <bk>
      <rc t="2" v="2626"/>
    </bk>
    <bk>
      <rc t="2" v="2627"/>
    </bk>
    <bk>
      <rc t="2" v="2628"/>
    </bk>
    <bk>
      <rc t="2" v="2629"/>
    </bk>
    <bk>
      <rc t="2" v="2630"/>
    </bk>
    <bk>
      <rc t="2" v="2631"/>
    </bk>
    <bk>
      <rc t="2" v="2632"/>
    </bk>
    <bk>
      <rc t="2" v="2633"/>
    </bk>
    <bk>
      <rc t="2" v="2634"/>
    </bk>
    <bk>
      <rc t="2" v="2635"/>
    </bk>
    <bk>
      <rc t="2" v="2636"/>
    </bk>
    <bk>
      <rc t="2" v="2637"/>
    </bk>
    <bk>
      <rc t="2" v="2638"/>
    </bk>
    <bk>
      <rc t="2" v="2639"/>
    </bk>
    <bk>
      <rc t="2" v="2640"/>
    </bk>
    <bk>
      <rc t="2" v="2641"/>
    </bk>
    <bk>
      <rc t="2" v="2642"/>
    </bk>
    <bk>
      <rc t="2" v="2643"/>
    </bk>
    <bk>
      <rc t="2" v="2644"/>
    </bk>
    <bk>
      <rc t="2" v="2645"/>
    </bk>
    <bk>
      <rc t="2" v="2646"/>
    </bk>
    <bk>
      <rc t="2" v="2647"/>
    </bk>
    <bk>
      <rc t="2" v="2648"/>
    </bk>
    <bk>
      <rc t="2" v="2649"/>
    </bk>
    <bk>
      <rc t="2" v="2650"/>
    </bk>
    <bk>
      <rc t="2" v="2651"/>
    </bk>
    <bk>
      <rc t="2" v="2652"/>
    </bk>
    <bk>
      <rc t="2" v="2653"/>
    </bk>
    <bk>
      <rc t="2" v="2654"/>
    </bk>
    <bk>
      <rc t="2" v="2655"/>
    </bk>
    <bk>
      <rc t="2" v="2656"/>
    </bk>
    <bk>
      <rc t="2" v="2657"/>
    </bk>
    <bk>
      <rc t="2" v="2658"/>
    </bk>
    <bk>
      <rc t="2" v="2659"/>
    </bk>
    <bk>
      <rc t="2" v="2660"/>
    </bk>
    <bk>
      <rc t="2" v="2661"/>
    </bk>
    <bk>
      <rc t="2" v="2662"/>
    </bk>
    <bk>
      <rc t="2" v="2663"/>
    </bk>
    <bk>
      <rc t="2" v="2664"/>
    </bk>
    <bk>
      <rc t="2" v="2665"/>
    </bk>
    <bk>
      <rc t="2" v="2666"/>
    </bk>
    <bk>
      <rc t="2" v="2667"/>
    </bk>
    <bk>
      <rc t="2" v="2668"/>
    </bk>
    <bk>
      <rc t="2" v="2669"/>
    </bk>
    <bk>
      <rc t="2" v="2670"/>
    </bk>
    <bk>
      <rc t="2" v="2671"/>
    </bk>
    <bk>
      <rc t="2" v="2672"/>
    </bk>
    <bk>
      <rc t="2" v="2673"/>
    </bk>
    <bk>
      <rc t="2" v="2674"/>
    </bk>
    <bk>
      <rc t="2" v="2675"/>
    </bk>
    <bk>
      <rc t="2" v="2676"/>
    </bk>
    <bk>
      <rc t="2" v="2677"/>
    </bk>
    <bk>
      <rc t="2" v="2678"/>
    </bk>
    <bk>
      <rc t="2" v="2679"/>
    </bk>
    <bk>
      <rc t="2" v="2680"/>
    </bk>
    <bk>
      <rc t="2" v="2681"/>
    </bk>
    <bk>
      <rc t="2" v="2682"/>
    </bk>
    <bk>
      <rc t="2" v="2683"/>
    </bk>
    <bk>
      <rc t="2" v="2684"/>
    </bk>
    <bk>
      <rc t="2" v="2685"/>
    </bk>
    <bk>
      <rc t="2" v="2686"/>
    </bk>
    <bk>
      <rc t="2" v="2687"/>
    </bk>
    <bk>
      <rc t="2" v="2688"/>
    </bk>
    <bk>
      <rc t="2" v="2689"/>
    </bk>
    <bk>
      <rc t="2" v="2690"/>
    </bk>
    <bk>
      <rc t="2" v="2691"/>
    </bk>
    <bk>
      <rc t="2" v="2692"/>
    </bk>
    <bk>
      <rc t="2" v="2693"/>
    </bk>
    <bk>
      <rc t="2" v="2694"/>
    </bk>
    <bk>
      <rc t="2" v="2695"/>
    </bk>
    <bk>
      <rc t="2" v="2696"/>
    </bk>
    <bk>
      <rc t="2" v="2697"/>
    </bk>
    <bk>
      <rc t="2" v="2698"/>
    </bk>
    <bk>
      <rc t="2" v="2699"/>
    </bk>
    <bk>
      <rc t="2" v="2700"/>
    </bk>
    <bk>
      <rc t="2" v="2701"/>
    </bk>
    <bk>
      <rc t="2" v="2702"/>
    </bk>
    <bk>
      <rc t="2" v="2703"/>
    </bk>
    <bk>
      <rc t="2" v="2704"/>
    </bk>
    <bk>
      <rc t="2" v="2705"/>
    </bk>
    <bk>
      <rc t="2" v="2706"/>
    </bk>
    <bk>
      <rc t="2" v="2707"/>
    </bk>
    <bk>
      <rc t="2" v="2708"/>
    </bk>
    <bk>
      <rc t="2" v="2709"/>
    </bk>
    <bk>
      <rc t="2" v="2710"/>
    </bk>
    <bk>
      <rc t="2" v="2711"/>
    </bk>
    <bk>
      <rc t="2" v="2712"/>
    </bk>
    <bk>
      <rc t="2" v="2713"/>
    </bk>
    <bk>
      <rc t="2" v="2714"/>
    </bk>
    <bk>
      <rc t="2" v="2715"/>
    </bk>
    <bk>
      <rc t="2" v="2716"/>
    </bk>
    <bk>
      <rc t="2" v="2717"/>
    </bk>
    <bk>
      <rc t="2" v="2718"/>
    </bk>
    <bk>
      <rc t="2" v="2719"/>
    </bk>
    <bk>
      <rc t="2" v="2720"/>
    </bk>
    <bk>
      <rc t="2" v="2721"/>
    </bk>
    <bk>
      <rc t="2" v="2722"/>
    </bk>
    <bk>
      <rc t="2" v="2723"/>
    </bk>
    <bk>
      <rc t="2" v="2724"/>
    </bk>
    <bk>
      <rc t="2" v="2725"/>
    </bk>
    <bk>
      <rc t="2" v="2726"/>
    </bk>
    <bk>
      <rc t="2" v="2727"/>
    </bk>
    <bk>
      <rc t="2" v="2728"/>
    </bk>
    <bk>
      <rc t="2" v="2729"/>
    </bk>
    <bk>
      <rc t="2" v="2730"/>
    </bk>
    <bk>
      <rc t="2" v="2731"/>
    </bk>
    <bk>
      <rc t="2" v="2732"/>
    </bk>
    <bk>
      <rc t="2" v="2733"/>
    </bk>
    <bk>
      <rc t="2" v="2734"/>
    </bk>
    <bk>
      <rc t="2" v="2735"/>
    </bk>
    <bk>
      <rc t="2" v="2736"/>
    </bk>
    <bk>
      <rc t="2" v="2737"/>
    </bk>
    <bk>
      <rc t="2" v="2738"/>
    </bk>
    <bk>
      <rc t="2" v="2739"/>
    </bk>
    <bk>
      <rc t="2" v="2740"/>
    </bk>
    <bk>
      <rc t="2" v="2741"/>
    </bk>
    <bk>
      <rc t="2" v="2742"/>
    </bk>
    <bk>
      <rc t="2" v="2743"/>
    </bk>
    <bk>
      <rc t="2" v="2744"/>
    </bk>
    <bk>
      <rc t="2" v="2745"/>
    </bk>
    <bk>
      <rc t="2" v="2746"/>
    </bk>
    <bk>
      <rc t="2" v="2747"/>
    </bk>
    <bk>
      <rc t="2" v="2748"/>
    </bk>
    <bk>
      <rc t="2" v="2749"/>
    </bk>
    <bk>
      <rc t="2" v="2750"/>
    </bk>
    <bk>
      <rc t="2" v="2751"/>
    </bk>
    <bk>
      <rc t="2" v="2752"/>
    </bk>
    <bk>
      <rc t="2" v="2753"/>
    </bk>
    <bk>
      <rc t="2" v="2754"/>
    </bk>
    <bk>
      <rc t="2" v="2755"/>
    </bk>
    <bk>
      <rc t="2" v="2756"/>
    </bk>
    <bk>
      <rc t="2" v="2757"/>
    </bk>
    <bk>
      <rc t="2" v="2758"/>
    </bk>
    <bk>
      <rc t="2" v="2759"/>
    </bk>
    <bk>
      <rc t="2" v="2760"/>
    </bk>
    <bk>
      <rc t="2" v="2761"/>
    </bk>
    <bk>
      <rc t="2" v="2762"/>
    </bk>
    <bk>
      <rc t="2" v="2763"/>
    </bk>
    <bk>
      <rc t="2" v="2764"/>
    </bk>
    <bk>
      <rc t="2" v="2765"/>
    </bk>
    <bk>
      <rc t="2" v="2766"/>
    </bk>
    <bk>
      <rc t="2" v="2767"/>
    </bk>
    <bk>
      <rc t="2" v="2768"/>
    </bk>
    <bk>
      <rc t="2" v="2769"/>
    </bk>
    <bk>
      <rc t="2" v="2770"/>
    </bk>
    <bk>
      <rc t="2" v="2771"/>
    </bk>
    <bk>
      <rc t="2" v="2772"/>
    </bk>
    <bk>
      <rc t="2" v="2773"/>
    </bk>
    <bk>
      <rc t="2" v="2774"/>
    </bk>
    <bk>
      <rc t="2" v="2775"/>
    </bk>
    <bk>
      <rc t="2" v="2776"/>
    </bk>
    <bk>
      <rc t="2" v="2777"/>
    </bk>
    <bk>
      <rc t="2" v="2778"/>
    </bk>
    <bk>
      <rc t="2" v="2779"/>
    </bk>
    <bk>
      <rc t="2" v="2780"/>
    </bk>
    <bk>
      <rc t="2" v="2781"/>
    </bk>
    <bk>
      <rc t="2" v="2782"/>
    </bk>
    <bk>
      <rc t="2" v="2783"/>
    </bk>
    <bk>
      <rc t="2" v="2784"/>
    </bk>
    <bk>
      <rc t="2" v="2785"/>
    </bk>
    <bk>
      <rc t="2" v="2786"/>
    </bk>
    <bk>
      <rc t="2" v="2787"/>
    </bk>
    <bk>
      <rc t="2" v="2788"/>
    </bk>
    <bk>
      <rc t="2" v="2789"/>
    </bk>
    <bk>
      <rc t="2" v="2790"/>
    </bk>
    <bk>
      <rc t="2" v="2791"/>
    </bk>
    <bk>
      <rc t="2" v="2792"/>
    </bk>
    <bk>
      <rc t="2" v="2793"/>
    </bk>
    <bk>
      <rc t="2" v="2794"/>
    </bk>
    <bk>
      <rc t="2" v="2795"/>
    </bk>
    <bk>
      <rc t="2" v="2796"/>
    </bk>
    <bk>
      <rc t="2" v="2797"/>
    </bk>
    <bk>
      <rc t="2" v="2798"/>
    </bk>
    <bk>
      <rc t="2" v="2799"/>
    </bk>
    <bk>
      <rc t="2" v="2800"/>
    </bk>
    <bk>
      <rc t="2" v="2801"/>
    </bk>
    <bk>
      <rc t="2" v="2802"/>
    </bk>
    <bk>
      <rc t="2" v="2803"/>
    </bk>
    <bk>
      <rc t="2" v="2804"/>
    </bk>
    <bk>
      <rc t="2" v="2805"/>
    </bk>
    <bk>
      <rc t="2" v="2806"/>
    </bk>
    <bk>
      <rc t="2" v="2807"/>
    </bk>
    <bk>
      <rc t="2" v="2808"/>
    </bk>
    <bk>
      <rc t="2" v="2809"/>
    </bk>
    <bk>
      <rc t="2" v="2810"/>
    </bk>
    <bk>
      <rc t="2" v="2811"/>
    </bk>
    <bk>
      <rc t="2" v="2812"/>
    </bk>
    <bk>
      <rc t="2" v="2813"/>
    </bk>
    <bk>
      <rc t="2" v="2814"/>
    </bk>
    <bk>
      <rc t="2" v="2815"/>
    </bk>
    <bk>
      <rc t="2" v="2816"/>
    </bk>
    <bk>
      <rc t="2" v="2817"/>
    </bk>
    <bk>
      <rc t="2" v="2818"/>
    </bk>
    <bk>
      <rc t="2" v="2819"/>
    </bk>
    <bk>
      <rc t="2" v="2820"/>
    </bk>
    <bk>
      <rc t="2" v="2821"/>
    </bk>
    <bk>
      <rc t="2" v="2822"/>
    </bk>
    <bk>
      <rc t="2" v="2823"/>
    </bk>
    <bk>
      <rc t="2" v="2824"/>
    </bk>
    <bk>
      <rc t="2" v="2825"/>
    </bk>
    <bk>
      <rc t="2" v="2826"/>
    </bk>
    <bk>
      <rc t="2" v="2827"/>
    </bk>
    <bk>
      <rc t="2" v="2828"/>
    </bk>
    <bk>
      <rc t="2" v="2829"/>
    </bk>
    <bk>
      <rc t="2" v="2830"/>
    </bk>
    <bk>
      <rc t="2" v="2831"/>
    </bk>
    <bk>
      <rc t="2" v="2832"/>
    </bk>
    <bk>
      <rc t="2" v="2833"/>
    </bk>
    <bk>
      <rc t="2" v="2834"/>
    </bk>
    <bk>
      <rc t="2" v="2835"/>
    </bk>
    <bk>
      <rc t="2" v="2836"/>
    </bk>
    <bk>
      <rc t="2" v="2837"/>
    </bk>
    <bk>
      <rc t="2" v="2838"/>
    </bk>
    <bk>
      <rc t="2" v="2839"/>
    </bk>
    <bk>
      <rc t="2" v="2840"/>
    </bk>
    <bk>
      <rc t="2" v="2841"/>
    </bk>
    <bk>
      <rc t="2" v="2842"/>
    </bk>
    <bk>
      <rc t="2" v="2843"/>
    </bk>
    <bk>
      <rc t="2" v="2844"/>
    </bk>
    <bk>
      <rc t="2" v="2845"/>
    </bk>
    <bk>
      <rc t="2" v="2846"/>
    </bk>
    <bk>
      <rc t="2" v="2847"/>
    </bk>
    <bk>
      <rc t="2" v="2848"/>
    </bk>
    <bk>
      <rc t="2" v="2849"/>
    </bk>
    <bk>
      <rc t="2" v="2850"/>
    </bk>
    <bk>
      <rc t="2" v="2851"/>
    </bk>
    <bk>
      <rc t="2" v="2852"/>
    </bk>
    <bk>
      <rc t="2" v="2853"/>
    </bk>
    <bk>
      <rc t="2" v="2854"/>
    </bk>
    <bk>
      <rc t="2" v="2855"/>
    </bk>
    <bk>
      <rc t="2" v="2856"/>
    </bk>
    <bk>
      <rc t="2" v="2857"/>
    </bk>
    <bk>
      <rc t="2" v="2858"/>
    </bk>
    <bk>
      <rc t="2" v="2859"/>
    </bk>
    <bk>
      <rc t="2" v="2860"/>
    </bk>
    <bk>
      <rc t="2" v="2861"/>
    </bk>
    <bk>
      <rc t="2" v="2862"/>
    </bk>
    <bk>
      <rc t="2" v="2863"/>
    </bk>
    <bk>
      <rc t="2" v="2864"/>
    </bk>
    <bk>
      <rc t="2" v="2865"/>
    </bk>
    <bk>
      <rc t="2" v="2866"/>
    </bk>
    <bk>
      <rc t="2" v="2867"/>
    </bk>
    <bk>
      <rc t="2" v="2868"/>
    </bk>
    <bk>
      <rc t="2" v="2869"/>
    </bk>
    <bk>
      <rc t="2" v="2870"/>
    </bk>
    <bk>
      <rc t="2" v="2871"/>
    </bk>
    <bk>
      <rc t="2" v="2872"/>
    </bk>
    <bk>
      <rc t="2" v="2873"/>
    </bk>
    <bk>
      <rc t="2" v="2874"/>
    </bk>
    <bk>
      <rc t="2" v="2875"/>
    </bk>
    <bk>
      <rc t="2" v="2876"/>
    </bk>
    <bk>
      <rc t="2" v="2877"/>
    </bk>
    <bk>
      <rc t="2" v="2878"/>
    </bk>
    <bk>
      <rc t="2" v="2879"/>
    </bk>
    <bk>
      <rc t="2" v="2880"/>
    </bk>
    <bk>
      <rc t="2" v="2881"/>
    </bk>
    <bk>
      <rc t="2" v="2882"/>
    </bk>
    <bk>
      <rc t="2" v="2883"/>
    </bk>
    <bk>
      <rc t="2" v="2884"/>
    </bk>
    <bk>
      <rc t="2" v="2885"/>
    </bk>
    <bk>
      <rc t="2" v="2886"/>
    </bk>
    <bk>
      <rc t="2" v="2887"/>
    </bk>
    <bk>
      <rc t="2" v="2888"/>
    </bk>
    <bk>
      <rc t="2" v="2889"/>
    </bk>
    <bk>
      <rc t="2" v="2890"/>
    </bk>
    <bk>
      <rc t="2" v="2891"/>
    </bk>
    <bk>
      <rc t="2" v="2892"/>
    </bk>
    <bk>
      <rc t="2" v="2893"/>
    </bk>
    <bk>
      <rc t="2" v="2894"/>
    </bk>
    <bk>
      <rc t="2" v="2895"/>
    </bk>
    <bk>
      <rc t="2" v="2896"/>
    </bk>
    <bk>
      <rc t="2" v="2897"/>
    </bk>
    <bk>
      <rc t="2" v="2898"/>
    </bk>
    <bk>
      <rc t="2" v="2899"/>
    </bk>
    <bk>
      <rc t="2" v="2900"/>
    </bk>
    <bk>
      <rc t="2" v="2901"/>
    </bk>
    <bk>
      <rc t="2" v="2902"/>
    </bk>
    <bk>
      <rc t="2" v="2903"/>
    </bk>
    <bk>
      <rc t="2" v="2904"/>
    </bk>
    <bk>
      <rc t="2" v="2905"/>
    </bk>
    <bk>
      <rc t="2" v="2906"/>
    </bk>
    <bk>
      <rc t="2" v="2907"/>
    </bk>
    <bk>
      <rc t="2" v="2908"/>
    </bk>
    <bk>
      <rc t="2" v="2909"/>
    </bk>
    <bk>
      <rc t="2" v="2910"/>
    </bk>
    <bk>
      <rc t="2" v="2911"/>
    </bk>
    <bk>
      <rc t="2" v="2912"/>
    </bk>
    <bk>
      <rc t="2" v="2913"/>
    </bk>
    <bk>
      <rc t="2" v="2914"/>
    </bk>
    <bk>
      <rc t="2" v="2915"/>
    </bk>
    <bk>
      <rc t="2" v="2916"/>
    </bk>
    <bk>
      <rc t="2" v="2917"/>
    </bk>
    <bk>
      <rc t="2" v="2918"/>
    </bk>
    <bk>
      <rc t="2" v="2919"/>
    </bk>
    <bk>
      <rc t="2" v="2920"/>
    </bk>
    <bk>
      <rc t="2" v="2921"/>
    </bk>
    <bk>
      <rc t="2" v="2922"/>
    </bk>
    <bk>
      <rc t="2" v="2923"/>
    </bk>
    <bk>
      <rc t="2" v="2924"/>
    </bk>
    <bk>
      <rc t="2" v="2925"/>
    </bk>
    <bk>
      <rc t="2" v="2926"/>
    </bk>
    <bk>
      <rc t="2" v="2927"/>
    </bk>
    <bk>
      <rc t="2" v="2928"/>
    </bk>
    <bk>
      <rc t="2" v="2929"/>
    </bk>
    <bk>
      <rc t="2" v="2930"/>
    </bk>
    <bk>
      <rc t="2" v="2931"/>
    </bk>
    <bk>
      <rc t="2" v="2932"/>
    </bk>
    <bk>
      <rc t="2" v="2933"/>
    </bk>
    <bk>
      <rc t="2" v="2934"/>
    </bk>
    <bk>
      <rc t="2" v="2935"/>
    </bk>
    <bk>
      <rc t="2" v="2936"/>
    </bk>
    <bk>
      <rc t="2" v="2937"/>
    </bk>
    <bk>
      <rc t="2" v="2938"/>
    </bk>
    <bk>
      <rc t="2" v="2939"/>
    </bk>
    <bk>
      <rc t="2" v="2940"/>
    </bk>
    <bk>
      <rc t="2" v="2941"/>
    </bk>
    <bk>
      <rc t="2" v="2942"/>
    </bk>
    <bk>
      <rc t="2" v="2943"/>
    </bk>
    <bk>
      <rc t="2" v="2944"/>
    </bk>
    <bk>
      <rc t="2" v="2945"/>
    </bk>
    <bk>
      <rc t="2" v="2946"/>
    </bk>
    <bk>
      <rc t="2" v="2947"/>
    </bk>
    <bk>
      <rc t="2" v="2948"/>
    </bk>
    <bk>
      <rc t="2" v="2949"/>
    </bk>
    <bk>
      <rc t="2" v="2950"/>
    </bk>
    <bk>
      <rc t="2" v="2951"/>
    </bk>
    <bk>
      <rc t="2" v="2952"/>
    </bk>
    <bk>
      <rc t="2" v="2953"/>
    </bk>
    <bk>
      <rc t="2" v="2954"/>
    </bk>
    <bk>
      <rc t="2" v="2955"/>
    </bk>
    <bk>
      <rc t="2" v="2956"/>
    </bk>
    <bk>
      <rc t="2" v="2957"/>
    </bk>
    <bk>
      <rc t="2" v="2958"/>
    </bk>
    <bk>
      <rc t="2" v="2959"/>
    </bk>
    <bk>
      <rc t="2" v="2960"/>
    </bk>
    <bk>
      <rc t="2" v="2961"/>
    </bk>
    <bk>
      <rc t="2" v="2962"/>
    </bk>
    <bk>
      <rc t="2" v="2963"/>
    </bk>
    <bk>
      <rc t="2" v="2964"/>
    </bk>
    <bk>
      <rc t="2" v="2965"/>
    </bk>
    <bk>
      <rc t="2" v="2966"/>
    </bk>
    <bk>
      <rc t="2" v="2967"/>
    </bk>
    <bk>
      <rc t="2" v="2968"/>
    </bk>
    <bk>
      <rc t="2" v="2969"/>
    </bk>
    <bk>
      <rc t="2" v="2970"/>
    </bk>
    <bk>
      <rc t="2" v="2971"/>
    </bk>
    <bk>
      <rc t="2" v="2972"/>
    </bk>
    <bk>
      <rc t="2" v="2973"/>
    </bk>
    <bk>
      <rc t="2" v="2974"/>
    </bk>
    <bk>
      <rc t="2" v="2975"/>
    </bk>
    <bk>
      <rc t="2" v="2976"/>
    </bk>
    <bk>
      <rc t="2" v="2977"/>
    </bk>
    <bk>
      <rc t="2" v="2978"/>
    </bk>
    <bk>
      <rc t="2" v="2979"/>
    </bk>
    <bk>
      <rc t="2" v="2980"/>
    </bk>
    <bk>
      <rc t="2" v="2981"/>
    </bk>
    <bk>
      <rc t="2" v="2982"/>
    </bk>
    <bk>
      <rc t="2" v="2983"/>
    </bk>
    <bk>
      <rc t="2" v="2984"/>
    </bk>
    <bk>
      <rc t="2" v="2985"/>
    </bk>
    <bk>
      <rc t="2" v="2986"/>
    </bk>
    <bk>
      <rc t="2" v="2987"/>
    </bk>
    <bk>
      <rc t="2" v="2988"/>
    </bk>
    <bk>
      <rc t="2" v="2989"/>
    </bk>
    <bk>
      <rc t="2" v="2990"/>
    </bk>
    <bk>
      <rc t="2" v="2991"/>
    </bk>
    <bk>
      <rc t="2" v="2992"/>
    </bk>
    <bk>
      <rc t="2" v="2993"/>
    </bk>
    <bk>
      <rc t="2" v="2994"/>
    </bk>
    <bk>
      <rc t="2" v="2995"/>
    </bk>
    <bk>
      <rc t="2" v="2996"/>
    </bk>
    <bk>
      <rc t="2" v="2997"/>
    </bk>
    <bk>
      <rc t="2" v="2998"/>
    </bk>
    <bk>
      <rc t="2" v="2999"/>
    </bk>
    <bk>
      <rc t="2" v="3000"/>
    </bk>
    <bk>
      <rc t="2" v="3001"/>
    </bk>
    <bk>
      <rc t="2" v="3002"/>
    </bk>
    <bk>
      <rc t="2" v="3003"/>
    </bk>
    <bk>
      <rc t="2" v="3004"/>
    </bk>
    <bk>
      <rc t="2" v="3005"/>
    </bk>
    <bk>
      <rc t="2" v="3006"/>
    </bk>
    <bk>
      <rc t="2" v="3007"/>
    </bk>
    <bk>
      <rc t="2" v="3008"/>
    </bk>
    <bk>
      <rc t="2" v="3009"/>
    </bk>
    <bk>
      <rc t="2" v="3010"/>
    </bk>
    <bk>
      <rc t="2" v="3011"/>
    </bk>
    <bk>
      <rc t="2" v="3012"/>
    </bk>
    <bk>
      <rc t="2" v="3013"/>
    </bk>
    <bk>
      <rc t="2" v="3014"/>
    </bk>
    <bk>
      <rc t="2" v="3015"/>
    </bk>
    <bk>
      <rc t="2" v="3016"/>
    </bk>
    <bk>
      <rc t="2" v="3017"/>
    </bk>
    <bk>
      <rc t="2" v="3018"/>
    </bk>
    <bk>
      <rc t="2" v="3019"/>
    </bk>
    <bk>
      <rc t="2" v="3020"/>
    </bk>
    <bk>
      <rc t="2" v="3021"/>
    </bk>
    <bk>
      <rc t="2" v="3022"/>
    </bk>
    <bk>
      <rc t="2" v="3023"/>
    </bk>
    <bk>
      <rc t="2" v="3024"/>
    </bk>
    <bk>
      <rc t="2" v="3025"/>
    </bk>
    <bk>
      <rc t="2" v="3026"/>
    </bk>
    <bk>
      <rc t="2" v="3027"/>
    </bk>
    <bk>
      <rc t="2" v="3028"/>
    </bk>
    <bk>
      <rc t="2" v="3029"/>
    </bk>
    <bk>
      <rc t="2" v="3030"/>
    </bk>
    <bk>
      <rc t="2" v="3031"/>
    </bk>
    <bk>
      <rc t="2" v="3032"/>
    </bk>
    <bk>
      <rc t="2" v="3033"/>
    </bk>
    <bk>
      <rc t="2" v="3034"/>
    </bk>
    <bk>
      <rc t="2" v="3035"/>
    </bk>
    <bk>
      <rc t="2" v="3036"/>
    </bk>
    <bk>
      <rc t="2" v="3037"/>
    </bk>
    <bk>
      <rc t="2" v="3038"/>
    </bk>
    <bk>
      <rc t="2" v="3039"/>
    </bk>
    <bk>
      <rc t="2" v="3040"/>
    </bk>
    <bk>
      <rc t="2" v="3041"/>
    </bk>
    <bk>
      <rc t="2" v="3042"/>
    </bk>
    <bk>
      <rc t="2" v="3043"/>
    </bk>
    <bk>
      <rc t="2" v="3044"/>
    </bk>
    <bk>
      <rc t="2" v="3045"/>
    </bk>
    <bk>
      <rc t="2" v="3046"/>
    </bk>
    <bk>
      <rc t="2" v="3047"/>
    </bk>
    <bk>
      <rc t="2" v="3048"/>
    </bk>
    <bk>
      <rc t="2" v="3049"/>
    </bk>
    <bk>
      <rc t="2" v="3050"/>
    </bk>
    <bk>
      <rc t="2" v="3051"/>
    </bk>
    <bk>
      <rc t="2" v="3052"/>
    </bk>
    <bk>
      <rc t="2" v="3053"/>
    </bk>
    <bk>
      <rc t="2" v="3054"/>
    </bk>
    <bk>
      <rc t="2" v="3055"/>
    </bk>
    <bk>
      <rc t="2" v="3056"/>
    </bk>
    <bk>
      <rc t="2" v="3057"/>
    </bk>
    <bk>
      <rc t="2" v="3058"/>
    </bk>
    <bk>
      <rc t="2" v="3059"/>
    </bk>
    <bk>
      <rc t="2" v="3060"/>
    </bk>
    <bk>
      <rc t="2" v="3061"/>
    </bk>
    <bk>
      <rc t="2" v="3062"/>
    </bk>
    <bk>
      <rc t="2" v="3063"/>
    </bk>
    <bk>
      <rc t="2" v="3064"/>
    </bk>
    <bk>
      <rc t="2" v="3065"/>
    </bk>
    <bk>
      <rc t="2" v="3066"/>
    </bk>
    <bk>
      <rc t="2" v="3067"/>
    </bk>
    <bk>
      <rc t="2" v="3068"/>
    </bk>
    <bk>
      <rc t="2" v="3069"/>
    </bk>
    <bk>
      <rc t="2" v="3070"/>
    </bk>
    <bk>
      <rc t="2" v="3071"/>
    </bk>
    <bk>
      <rc t="2" v="3072"/>
    </bk>
    <bk>
      <rc t="2" v="3073"/>
    </bk>
    <bk>
      <rc t="2" v="3074"/>
    </bk>
    <bk>
      <rc t="2" v="3075"/>
    </bk>
    <bk>
      <rc t="2" v="3076"/>
    </bk>
    <bk>
      <rc t="2" v="3077"/>
    </bk>
    <bk>
      <rc t="2" v="3078"/>
    </bk>
    <bk>
      <rc t="2" v="3079"/>
    </bk>
    <bk>
      <rc t="2" v="3080"/>
    </bk>
    <bk>
      <rc t="2" v="3081"/>
    </bk>
    <bk>
      <rc t="2" v="3082"/>
    </bk>
    <bk>
      <rc t="2" v="3083"/>
    </bk>
    <bk>
      <rc t="2" v="3084"/>
    </bk>
    <bk>
      <rc t="2" v="3085"/>
    </bk>
    <bk>
      <rc t="2" v="3086"/>
    </bk>
    <bk>
      <rc t="2" v="3087"/>
    </bk>
    <bk>
      <rc t="2" v="3088"/>
    </bk>
    <bk>
      <rc t="2" v="3089"/>
    </bk>
    <bk>
      <rc t="2" v="3090"/>
    </bk>
    <bk>
      <rc t="2" v="3091"/>
    </bk>
    <bk>
      <rc t="2" v="3092"/>
    </bk>
    <bk>
      <rc t="2" v="3093"/>
    </bk>
    <bk>
      <rc t="2" v="3094"/>
    </bk>
    <bk>
      <rc t="2" v="3095"/>
    </bk>
    <bk>
      <rc t="2" v="3096"/>
    </bk>
    <bk>
      <rc t="2" v="3097"/>
    </bk>
    <bk>
      <rc t="2" v="3098"/>
    </bk>
    <bk>
      <rc t="2" v="3099"/>
    </bk>
    <bk>
      <rc t="2" v="3100"/>
    </bk>
    <bk>
      <rc t="2" v="3101"/>
    </bk>
    <bk>
      <rc t="2" v="3102"/>
    </bk>
    <bk>
      <rc t="2" v="3103"/>
    </bk>
    <bk>
      <rc t="2" v="3104"/>
    </bk>
    <bk>
      <rc t="2" v="3105"/>
    </bk>
    <bk>
      <rc t="2" v="3106"/>
    </bk>
    <bk>
      <rc t="2" v="3107"/>
    </bk>
    <bk>
      <rc t="2" v="3108"/>
    </bk>
    <bk>
      <rc t="2" v="3109"/>
    </bk>
    <bk>
      <rc t="2" v="3110"/>
    </bk>
    <bk>
      <rc t="2" v="3111"/>
    </bk>
    <bk>
      <rc t="2" v="3112"/>
    </bk>
    <bk>
      <rc t="2" v="3113"/>
    </bk>
    <bk>
      <rc t="2" v="3114"/>
    </bk>
    <bk>
      <rc t="2" v="3115"/>
    </bk>
    <bk>
      <rc t="2" v="3116"/>
    </bk>
    <bk>
      <rc t="2" v="3117"/>
    </bk>
    <bk>
      <rc t="2" v="3118"/>
    </bk>
    <bk>
      <rc t="2" v="3119"/>
    </bk>
    <bk>
      <rc t="2" v="3120"/>
    </bk>
    <bk>
      <rc t="2" v="3121"/>
    </bk>
    <bk>
      <rc t="2" v="3122"/>
    </bk>
    <bk>
      <rc t="2" v="3123"/>
    </bk>
    <bk>
      <rc t="2" v="3124"/>
    </bk>
    <bk>
      <rc t="2" v="3125"/>
    </bk>
    <bk>
      <rc t="2" v="3126"/>
    </bk>
    <bk>
      <rc t="2" v="3127"/>
    </bk>
    <bk>
      <rc t="2" v="3128"/>
    </bk>
    <bk>
      <rc t="2" v="3129"/>
    </bk>
    <bk>
      <rc t="2" v="3130"/>
    </bk>
    <bk>
      <rc t="2" v="3131"/>
    </bk>
    <bk>
      <rc t="2" v="3132"/>
    </bk>
    <bk>
      <rc t="2" v="3133"/>
    </bk>
    <bk>
      <rc t="2" v="3134"/>
    </bk>
    <bk>
      <rc t="2" v="3135"/>
    </bk>
    <bk>
      <rc t="2" v="3136"/>
    </bk>
    <bk>
      <rc t="2" v="3137"/>
    </bk>
    <bk>
      <rc t="2" v="3138"/>
    </bk>
    <bk>
      <rc t="2" v="3139"/>
    </bk>
    <bk>
      <rc t="2" v="3140"/>
    </bk>
    <bk>
      <rc t="2" v="3141"/>
    </bk>
    <bk>
      <rc t="2" v="3142"/>
    </bk>
    <bk>
      <rc t="2" v="3143"/>
    </bk>
    <bk>
      <rc t="2" v="3144"/>
    </bk>
    <bk>
      <rc t="2" v="3145"/>
    </bk>
    <bk>
      <rc t="2" v="3146"/>
    </bk>
    <bk>
      <rc t="2" v="3147"/>
    </bk>
    <bk>
      <rc t="2" v="3148"/>
    </bk>
    <bk>
      <rc t="2" v="3149"/>
    </bk>
    <bk>
      <rc t="2" v="3150"/>
    </bk>
    <bk>
      <rc t="2" v="3151"/>
    </bk>
    <bk>
      <rc t="2" v="3152"/>
    </bk>
    <bk>
      <rc t="2" v="3153"/>
    </bk>
    <bk>
      <rc t="2" v="3154"/>
    </bk>
    <bk>
      <rc t="2" v="3155"/>
    </bk>
    <bk>
      <rc t="2" v="3156"/>
    </bk>
    <bk>
      <rc t="2" v="3157"/>
    </bk>
    <bk>
      <rc t="2" v="3158"/>
    </bk>
    <bk>
      <rc t="2" v="3159"/>
    </bk>
    <bk>
      <rc t="2" v="3160"/>
    </bk>
    <bk>
      <rc t="2" v="3161"/>
    </bk>
    <bk>
      <rc t="2" v="3162"/>
    </bk>
    <bk>
      <rc t="2" v="3163"/>
    </bk>
    <bk>
      <rc t="2" v="3164"/>
    </bk>
    <bk>
      <rc t="2" v="3165"/>
    </bk>
    <bk>
      <rc t="2" v="3166"/>
    </bk>
    <bk>
      <rc t="2" v="3167"/>
    </bk>
    <bk>
      <rc t="2" v="3168"/>
    </bk>
    <bk>
      <rc t="2" v="3169"/>
    </bk>
    <bk>
      <rc t="2" v="3170"/>
    </bk>
    <bk>
      <rc t="2" v="3171"/>
    </bk>
    <bk>
      <rc t="2" v="3172"/>
    </bk>
    <bk>
      <rc t="2" v="3173"/>
    </bk>
    <bk>
      <rc t="2" v="3174"/>
    </bk>
    <bk>
      <rc t="2" v="3175"/>
    </bk>
    <bk>
      <rc t="2" v="3176"/>
    </bk>
    <bk>
      <rc t="2" v="3177"/>
    </bk>
    <bk>
      <rc t="2" v="3178"/>
    </bk>
    <bk>
      <rc t="2" v="3179"/>
    </bk>
    <bk>
      <rc t="2" v="3180"/>
    </bk>
    <bk>
      <rc t="2" v="3181"/>
    </bk>
    <bk>
      <rc t="2" v="3182"/>
    </bk>
    <bk>
      <rc t="2" v="3183"/>
    </bk>
    <bk>
      <rc t="2" v="3184"/>
    </bk>
    <bk>
      <rc t="2" v="3185"/>
    </bk>
    <bk>
      <rc t="2" v="3186"/>
    </bk>
    <bk>
      <rc t="2" v="3187"/>
    </bk>
    <bk>
      <rc t="2" v="3188"/>
    </bk>
    <bk>
      <rc t="2" v="3189"/>
    </bk>
    <bk>
      <rc t="2" v="3190"/>
    </bk>
    <bk>
      <rc t="2" v="3191"/>
    </bk>
    <bk>
      <rc t="2" v="3192"/>
    </bk>
    <bk>
      <rc t="2" v="3193"/>
    </bk>
    <bk>
      <rc t="2" v="3194"/>
    </bk>
    <bk>
      <rc t="2" v="3195"/>
    </bk>
    <bk>
      <rc t="2" v="3196"/>
    </bk>
    <bk>
      <rc t="2" v="3197"/>
    </bk>
    <bk>
      <rc t="2" v="3198"/>
    </bk>
    <bk>
      <rc t="2" v="3199"/>
    </bk>
    <bk>
      <rc t="2" v="3200"/>
    </bk>
    <bk>
      <rc t="2" v="3201"/>
    </bk>
    <bk>
      <rc t="2" v="3202"/>
    </bk>
    <bk>
      <rc t="2" v="3203"/>
    </bk>
    <bk>
      <rc t="2" v="3204"/>
    </bk>
    <bk>
      <rc t="2" v="3205"/>
    </bk>
    <bk>
      <rc t="2" v="3206"/>
    </bk>
    <bk>
      <rc t="2" v="3207"/>
    </bk>
    <bk>
      <rc t="2" v="3208"/>
    </bk>
    <bk>
      <rc t="2" v="3209"/>
    </bk>
    <bk>
      <rc t="2" v="3210"/>
    </bk>
    <bk>
      <rc t="2" v="3211"/>
    </bk>
    <bk>
      <rc t="2" v="3212"/>
    </bk>
    <bk>
      <rc t="2" v="3213"/>
    </bk>
    <bk>
      <rc t="2" v="3214"/>
    </bk>
    <bk>
      <rc t="2" v="3215"/>
    </bk>
    <bk>
      <rc t="2" v="3216"/>
    </bk>
    <bk>
      <rc t="2" v="3217"/>
    </bk>
    <bk>
      <rc t="2" v="3218"/>
    </bk>
    <bk>
      <rc t="2" v="3219"/>
    </bk>
    <bk>
      <rc t="2" v="3220"/>
    </bk>
    <bk>
      <rc t="2" v="3221"/>
    </bk>
    <bk>
      <rc t="2" v="3222"/>
    </bk>
    <bk>
      <rc t="2" v="3223"/>
    </bk>
    <bk>
      <rc t="2" v="3224"/>
    </bk>
    <bk>
      <rc t="2" v="3225"/>
    </bk>
    <bk>
      <rc t="2" v="3226"/>
    </bk>
    <bk>
      <rc t="2" v="3227"/>
    </bk>
    <bk>
      <rc t="2" v="3228"/>
    </bk>
    <bk>
      <rc t="2" v="3229"/>
    </bk>
    <bk>
      <rc t="2" v="3230"/>
    </bk>
    <bk>
      <rc t="2" v="3231"/>
    </bk>
    <bk>
      <rc t="2" v="3232"/>
    </bk>
    <bk>
      <rc t="2" v="3233"/>
    </bk>
    <bk>
      <rc t="2" v="3234"/>
    </bk>
    <bk>
      <rc t="2" v="3235"/>
    </bk>
    <bk>
      <rc t="2" v="3236"/>
    </bk>
    <bk>
      <rc t="2" v="3237"/>
    </bk>
    <bk>
      <rc t="2" v="3238"/>
    </bk>
    <bk>
      <rc t="2" v="3239"/>
    </bk>
    <bk>
      <rc t="2" v="3240"/>
    </bk>
    <bk>
      <rc t="2" v="3241"/>
    </bk>
    <bk>
      <rc t="2" v="3242"/>
    </bk>
    <bk>
      <rc t="2" v="3243"/>
    </bk>
    <bk>
      <rc t="2" v="3244"/>
    </bk>
    <bk>
      <rc t="2" v="3245"/>
    </bk>
    <bk>
      <rc t="2" v="3246"/>
    </bk>
    <bk>
      <rc t="2" v="3247"/>
    </bk>
    <bk>
      <rc t="2" v="3248"/>
    </bk>
    <bk>
      <rc t="2" v="3249"/>
    </bk>
    <bk>
      <rc t="2" v="3250"/>
    </bk>
    <bk>
      <rc t="2" v="3251"/>
    </bk>
    <bk>
      <rc t="2" v="3252"/>
    </bk>
    <bk>
      <rc t="2" v="3253"/>
    </bk>
    <bk>
      <rc t="2" v="3254"/>
    </bk>
    <bk>
      <rc t="2" v="3255"/>
    </bk>
    <bk>
      <rc t="2" v="3256"/>
    </bk>
    <bk>
      <rc t="2" v="3257"/>
    </bk>
    <bk>
      <rc t="2" v="3258"/>
    </bk>
    <bk>
      <rc t="2" v="3259"/>
    </bk>
    <bk>
      <rc t="2" v="3260"/>
    </bk>
    <bk>
      <rc t="2" v="3261"/>
    </bk>
    <bk>
      <rc t="2" v="3262"/>
    </bk>
    <bk>
      <rc t="2" v="3263"/>
    </bk>
    <bk>
      <rc t="2" v="3264"/>
    </bk>
    <bk>
      <rc t="2" v="3265"/>
    </bk>
    <bk>
      <rc t="2" v="3266"/>
    </bk>
    <bk>
      <rc t="2" v="3267"/>
    </bk>
    <bk>
      <rc t="2" v="3268"/>
    </bk>
    <bk>
      <rc t="2" v="3269"/>
    </bk>
    <bk>
      <rc t="2" v="3270"/>
    </bk>
    <bk>
      <rc t="2" v="3271"/>
    </bk>
    <bk>
      <rc t="2" v="3272"/>
    </bk>
    <bk>
      <rc t="2" v="3273"/>
    </bk>
    <bk>
      <rc t="2" v="3274"/>
    </bk>
    <bk>
      <rc t="2" v="3275"/>
    </bk>
    <bk>
      <rc t="2" v="3276"/>
    </bk>
    <bk>
      <rc t="2" v="3277"/>
    </bk>
    <bk>
      <rc t="2" v="3278"/>
    </bk>
    <bk>
      <rc t="2" v="3279"/>
    </bk>
    <bk>
      <rc t="2" v="3280"/>
    </bk>
    <bk>
      <rc t="2" v="3281"/>
    </bk>
    <bk>
      <rc t="2" v="3282"/>
    </bk>
    <bk>
      <rc t="2" v="3283"/>
    </bk>
    <bk>
      <rc t="2" v="3284"/>
    </bk>
    <bk>
      <rc t="2" v="3285"/>
    </bk>
    <bk>
      <rc t="2" v="3286"/>
    </bk>
    <bk>
      <rc t="2" v="3287"/>
    </bk>
    <bk>
      <rc t="2" v="3288"/>
    </bk>
    <bk>
      <rc t="2" v="3289"/>
    </bk>
    <bk>
      <rc t="2" v="3290"/>
    </bk>
    <bk>
      <rc t="2" v="3291"/>
    </bk>
    <bk>
      <rc t="2" v="3292"/>
    </bk>
    <bk>
      <rc t="2" v="3293"/>
    </bk>
    <bk>
      <rc t="2" v="3294"/>
    </bk>
    <bk>
      <rc t="2" v="3295"/>
    </bk>
    <bk>
      <rc t="2" v="3296"/>
    </bk>
    <bk>
      <rc t="2" v="3297"/>
    </bk>
    <bk>
      <rc t="2" v="3298"/>
    </bk>
    <bk>
      <rc t="2" v="3299"/>
    </bk>
    <bk>
      <rc t="2" v="3300"/>
    </bk>
    <bk>
      <rc t="2" v="3301"/>
    </bk>
    <bk>
      <rc t="2" v="3302"/>
    </bk>
    <bk>
      <rc t="2" v="3303"/>
    </bk>
    <bk>
      <rc t="2" v="3304"/>
    </bk>
    <bk>
      <rc t="2" v="3305"/>
    </bk>
    <bk>
      <rc t="2" v="3306"/>
    </bk>
    <bk>
      <rc t="2" v="3307"/>
    </bk>
    <bk>
      <rc t="2" v="3308"/>
    </bk>
    <bk>
      <rc t="2" v="3309"/>
    </bk>
    <bk>
      <rc t="2" v="3310"/>
    </bk>
    <bk>
      <rc t="2" v="3311"/>
    </bk>
    <bk>
      <rc t="2" v="3312"/>
    </bk>
    <bk>
      <rc t="2" v="3313"/>
    </bk>
    <bk>
      <rc t="2" v="3314"/>
    </bk>
    <bk>
      <rc t="2" v="3315"/>
    </bk>
    <bk>
      <rc t="2" v="3316"/>
    </bk>
    <bk>
      <rc t="2" v="3317"/>
    </bk>
    <bk>
      <rc t="2" v="3318"/>
    </bk>
    <bk>
      <rc t="2" v="3319"/>
    </bk>
    <bk>
      <rc t="2" v="3320"/>
    </bk>
    <bk>
      <rc t="2" v="3321"/>
    </bk>
    <bk>
      <rc t="2" v="3322"/>
    </bk>
    <bk>
      <rc t="2" v="3323"/>
    </bk>
    <bk>
      <rc t="2" v="3324"/>
    </bk>
    <bk>
      <rc t="2" v="3325"/>
    </bk>
    <bk>
      <rc t="2" v="3326"/>
    </bk>
    <bk>
      <rc t="2" v="3327"/>
    </bk>
    <bk>
      <rc t="2" v="3328"/>
    </bk>
    <bk>
      <rc t="2" v="3329"/>
    </bk>
    <bk>
      <rc t="2" v="3330"/>
    </bk>
    <bk>
      <rc t="2" v="3331"/>
    </bk>
    <bk>
      <rc t="2" v="3332"/>
    </bk>
    <bk>
      <rc t="2" v="3333"/>
    </bk>
    <bk>
      <rc t="2" v="3334"/>
    </bk>
    <bk>
      <rc t="2" v="3335"/>
    </bk>
    <bk>
      <rc t="2" v="3336"/>
    </bk>
    <bk>
      <rc t="2" v="3337"/>
    </bk>
    <bk>
      <rc t="2" v="3338"/>
    </bk>
    <bk>
      <rc t="2" v="3339"/>
    </bk>
    <bk>
      <rc t="2" v="3340"/>
    </bk>
    <bk>
      <rc t="2" v="3341"/>
    </bk>
    <bk>
      <rc t="2" v="3342"/>
    </bk>
    <bk>
      <rc t="2" v="3343"/>
    </bk>
    <bk>
      <rc t="2" v="3344"/>
    </bk>
    <bk>
      <rc t="2" v="3345"/>
    </bk>
    <bk>
      <rc t="2" v="3346"/>
    </bk>
    <bk>
      <rc t="2" v="3347"/>
    </bk>
    <bk>
      <rc t="2" v="3348"/>
    </bk>
    <bk>
      <rc t="2" v="3349"/>
    </bk>
    <bk>
      <rc t="2" v="3350"/>
    </bk>
    <bk>
      <rc t="2" v="3351"/>
    </bk>
    <bk>
      <rc t="2" v="3352"/>
    </bk>
    <bk>
      <rc t="2" v="3353"/>
    </bk>
    <bk>
      <rc t="2" v="3354"/>
    </bk>
    <bk>
      <rc t="2" v="3355"/>
    </bk>
    <bk>
      <rc t="2" v="3356"/>
    </bk>
    <bk>
      <rc t="2" v="3357"/>
    </bk>
    <bk>
      <rc t="2" v="3358"/>
    </bk>
    <bk>
      <rc t="2" v="3359"/>
    </bk>
    <bk>
      <rc t="2" v="3360"/>
    </bk>
    <bk>
      <rc t="2" v="3361"/>
    </bk>
    <bk>
      <rc t="2" v="3362"/>
    </bk>
    <bk>
      <rc t="2" v="3363"/>
    </bk>
    <bk>
      <rc t="2" v="3364"/>
    </bk>
    <bk>
      <rc t="2" v="3365"/>
    </bk>
    <bk>
      <rc t="2" v="3366"/>
    </bk>
    <bk>
      <rc t="2" v="3367"/>
    </bk>
    <bk>
      <rc t="2" v="3368"/>
    </bk>
    <bk>
      <rc t="2" v="3369"/>
    </bk>
    <bk>
      <rc t="2" v="3370"/>
    </bk>
    <bk>
      <rc t="2" v="3371"/>
    </bk>
    <bk>
      <rc t="2" v="3372"/>
    </bk>
    <bk>
      <rc t="2" v="3373"/>
    </bk>
    <bk>
      <rc t="2" v="3374"/>
    </bk>
    <bk>
      <rc t="2" v="3375"/>
    </bk>
    <bk>
      <rc t="2" v="3376"/>
    </bk>
    <bk>
      <rc t="2" v="3377"/>
    </bk>
    <bk>
      <rc t="2" v="3378"/>
    </bk>
    <bk>
      <rc t="2" v="3379"/>
    </bk>
    <bk>
      <rc t="2" v="3380"/>
    </bk>
    <bk>
      <rc t="2" v="3381"/>
    </bk>
    <bk>
      <rc t="2" v="3382"/>
    </bk>
    <bk>
      <rc t="2" v="3383"/>
    </bk>
    <bk>
      <rc t="2" v="3384"/>
    </bk>
    <bk>
      <rc t="2" v="3385"/>
    </bk>
    <bk>
      <rc t="2" v="3386"/>
    </bk>
    <bk>
      <rc t="2" v="3387"/>
    </bk>
    <bk>
      <rc t="2" v="3388"/>
    </bk>
    <bk>
      <rc t="2" v="3389"/>
    </bk>
    <bk>
      <rc t="2" v="3390"/>
    </bk>
    <bk>
      <rc t="2" v="3391"/>
    </bk>
    <bk>
      <rc t="2" v="3392"/>
    </bk>
    <bk>
      <rc t="2" v="3393"/>
    </bk>
    <bk>
      <rc t="2" v="3394"/>
    </bk>
    <bk>
      <rc t="2" v="3395"/>
    </bk>
    <bk>
      <rc t="2" v="3396"/>
    </bk>
    <bk>
      <rc t="2" v="3397"/>
    </bk>
    <bk>
      <rc t="2" v="3398"/>
    </bk>
    <bk>
      <rc t="2" v="3399"/>
    </bk>
    <bk>
      <rc t="2" v="3400"/>
    </bk>
    <bk>
      <rc t="2" v="3401"/>
    </bk>
    <bk>
      <rc t="2" v="3402"/>
    </bk>
    <bk>
      <rc t="2" v="3403"/>
    </bk>
    <bk>
      <rc t="2" v="3404"/>
    </bk>
    <bk>
      <rc t="2" v="3405"/>
    </bk>
    <bk>
      <rc t="2" v="3406"/>
    </bk>
    <bk>
      <rc t="2" v="3407"/>
    </bk>
    <bk>
      <rc t="2" v="3408"/>
    </bk>
    <bk>
      <rc t="2" v="3409"/>
    </bk>
    <bk>
      <rc t="2" v="3410"/>
    </bk>
    <bk>
      <rc t="2" v="3411"/>
    </bk>
    <bk>
      <rc t="2" v="3412"/>
    </bk>
    <bk>
      <rc t="2" v="3413"/>
    </bk>
    <bk>
      <rc t="2" v="3414"/>
    </bk>
    <bk>
      <rc t="2" v="3415"/>
    </bk>
    <bk>
      <rc t="2" v="3416"/>
    </bk>
    <bk>
      <rc t="2" v="3417"/>
    </bk>
    <bk>
      <rc t="2" v="3418"/>
    </bk>
    <bk>
      <rc t="2" v="3419"/>
    </bk>
    <bk>
      <rc t="2" v="3420"/>
    </bk>
    <bk>
      <rc t="2" v="3421"/>
    </bk>
    <bk>
      <rc t="2" v="3422"/>
    </bk>
    <bk>
      <rc t="2" v="3423"/>
    </bk>
    <bk>
      <rc t="2" v="3424"/>
    </bk>
    <bk>
      <rc t="2" v="3425"/>
    </bk>
    <bk>
      <rc t="2" v="3426"/>
    </bk>
    <bk>
      <rc t="2" v="3427"/>
    </bk>
    <bk>
      <rc t="2" v="3428"/>
    </bk>
    <bk>
      <rc t="2" v="3429"/>
    </bk>
    <bk>
      <rc t="2" v="3430"/>
    </bk>
    <bk>
      <rc t="2" v="3431"/>
    </bk>
    <bk>
      <rc t="2" v="3432"/>
    </bk>
    <bk>
      <rc t="2" v="3433"/>
    </bk>
    <bk>
      <rc t="2" v="3434"/>
    </bk>
    <bk>
      <rc t="2" v="3435"/>
    </bk>
    <bk>
      <rc t="2" v="3436"/>
    </bk>
    <bk>
      <rc t="2" v="3437"/>
    </bk>
    <bk>
      <rc t="2" v="3438"/>
    </bk>
    <bk>
      <rc t="2" v="3439"/>
    </bk>
    <bk>
      <rc t="2" v="3440"/>
    </bk>
    <bk>
      <rc t="2" v="3441"/>
    </bk>
    <bk>
      <rc t="2" v="3442"/>
    </bk>
    <bk>
      <rc t="2" v="3443"/>
    </bk>
    <bk>
      <rc t="2" v="3444"/>
    </bk>
    <bk>
      <rc t="2" v="3445"/>
    </bk>
    <bk>
      <rc t="2" v="3446"/>
    </bk>
    <bk>
      <rc t="2" v="3447"/>
    </bk>
    <bk>
      <rc t="2" v="3448"/>
    </bk>
    <bk>
      <rc t="2" v="3449"/>
    </bk>
    <bk>
      <rc t="2" v="3450"/>
    </bk>
    <bk>
      <rc t="2" v="3451"/>
    </bk>
    <bk>
      <rc t="2" v="3452"/>
    </bk>
    <bk>
      <rc t="2" v="3453"/>
    </bk>
    <bk>
      <rc t="2" v="3454"/>
    </bk>
    <bk>
      <rc t="2" v="3455"/>
    </bk>
    <bk>
      <rc t="2" v="3456"/>
    </bk>
    <bk>
      <rc t="2" v="3457"/>
    </bk>
    <bk>
      <rc t="2" v="3458"/>
    </bk>
    <bk>
      <rc t="2" v="3459"/>
    </bk>
    <bk>
      <rc t="2" v="3460"/>
    </bk>
    <bk>
      <rc t="2" v="3461"/>
    </bk>
    <bk>
      <rc t="2" v="3462"/>
    </bk>
    <bk>
      <rc t="2" v="3463"/>
    </bk>
    <bk>
      <rc t="2" v="3464"/>
    </bk>
    <bk>
      <rc t="2" v="3465"/>
    </bk>
    <bk>
      <rc t="2" v="3466"/>
    </bk>
    <bk>
      <rc t="2" v="3467"/>
    </bk>
    <bk>
      <rc t="2" v="3468"/>
    </bk>
    <bk>
      <rc t="2" v="3469"/>
    </bk>
    <bk>
      <rc t="2" v="3470"/>
    </bk>
    <bk>
      <rc t="2" v="3471"/>
    </bk>
    <bk>
      <rc t="2" v="3472"/>
    </bk>
    <bk>
      <rc t="2" v="3473"/>
    </bk>
    <bk>
      <rc t="2" v="3474"/>
    </bk>
    <bk>
      <rc t="2" v="3475"/>
    </bk>
    <bk>
      <rc t="2" v="3476"/>
    </bk>
    <bk>
      <rc t="2" v="3477"/>
    </bk>
    <bk>
      <rc t="2" v="3478"/>
    </bk>
    <bk>
      <rc t="2" v="3479"/>
    </bk>
    <bk>
      <rc t="2" v="3480"/>
    </bk>
    <bk>
      <rc t="2" v="3481"/>
    </bk>
    <bk>
      <rc t="2" v="3482"/>
    </bk>
    <bk>
      <rc t="2" v="3483"/>
    </bk>
    <bk>
      <rc t="2" v="3484"/>
    </bk>
    <bk>
      <rc t="2" v="3485"/>
    </bk>
    <bk>
      <rc t="2" v="3486"/>
    </bk>
    <bk>
      <rc t="2" v="3487"/>
    </bk>
    <bk>
      <rc t="2" v="3488"/>
    </bk>
    <bk>
      <rc t="2" v="3489"/>
    </bk>
    <bk>
      <rc t="2" v="3490"/>
    </bk>
    <bk>
      <rc t="2" v="3491"/>
    </bk>
    <bk>
      <rc t="2" v="3492"/>
    </bk>
    <bk>
      <rc t="2" v="3493"/>
    </bk>
    <bk>
      <rc t="2" v="3494"/>
    </bk>
    <bk>
      <rc t="2" v="3495"/>
    </bk>
    <bk>
      <rc t="2" v="3496"/>
    </bk>
    <bk>
      <rc t="2" v="3497"/>
    </bk>
    <bk>
      <rc t="2" v="3498"/>
    </bk>
    <bk>
      <rc t="2" v="3499"/>
    </bk>
    <bk>
      <rc t="2" v="3500"/>
    </bk>
    <bk>
      <rc t="2" v="3501"/>
    </bk>
    <bk>
      <rc t="2" v="3502"/>
    </bk>
    <bk>
      <rc t="2" v="3503"/>
    </bk>
    <bk>
      <rc t="2" v="3504"/>
    </bk>
    <bk>
      <rc t="2" v="3505"/>
    </bk>
    <bk>
      <rc t="2" v="3506"/>
    </bk>
    <bk>
      <rc t="2" v="3507"/>
    </bk>
    <bk>
      <rc t="2" v="3508"/>
    </bk>
    <bk>
      <rc t="2" v="3509"/>
    </bk>
    <bk>
      <rc t="2" v="3510"/>
    </bk>
    <bk>
      <rc t="2" v="3511"/>
    </bk>
    <bk>
      <rc t="2" v="3512"/>
    </bk>
    <bk>
      <rc t="2" v="3513"/>
    </bk>
    <bk>
      <rc t="2" v="3514"/>
    </bk>
    <bk>
      <rc t="2" v="3515"/>
    </bk>
    <bk>
      <rc t="2" v="3516"/>
    </bk>
    <bk>
      <rc t="2" v="3517"/>
    </bk>
    <bk>
      <rc t="2" v="3518"/>
    </bk>
    <bk>
      <rc t="2" v="3519"/>
    </bk>
    <bk>
      <rc t="2" v="3520"/>
    </bk>
    <bk>
      <rc t="2" v="3521"/>
    </bk>
    <bk>
      <rc t="2" v="3522"/>
    </bk>
    <bk>
      <rc t="2" v="3523"/>
    </bk>
    <bk>
      <rc t="2" v="3524"/>
    </bk>
    <bk>
      <rc t="2" v="3525"/>
    </bk>
    <bk>
      <rc t="2" v="3526"/>
    </bk>
    <bk>
      <rc t="2" v="3527"/>
    </bk>
    <bk>
      <rc t="2" v="3528"/>
    </bk>
    <bk>
      <rc t="2" v="3529"/>
    </bk>
    <bk>
      <rc t="2" v="3530"/>
    </bk>
    <bk>
      <rc t="2" v="3531"/>
    </bk>
    <bk>
      <rc t="2" v="3532"/>
    </bk>
    <bk>
      <rc t="2" v="3533"/>
    </bk>
    <bk>
      <rc t="2" v="3534"/>
    </bk>
    <bk>
      <rc t="2" v="3535"/>
    </bk>
    <bk>
      <rc t="2" v="3536"/>
    </bk>
    <bk>
      <rc t="2" v="3537"/>
    </bk>
    <bk>
      <rc t="2" v="3538"/>
    </bk>
    <bk>
      <rc t="2" v="3539"/>
    </bk>
    <bk>
      <rc t="2" v="3540"/>
    </bk>
    <bk>
      <rc t="2" v="3541"/>
    </bk>
    <bk>
      <rc t="2" v="3542"/>
    </bk>
    <bk>
      <rc t="2" v="3543"/>
    </bk>
    <bk>
      <rc t="2" v="3544"/>
    </bk>
    <bk>
      <rc t="2" v="3545"/>
    </bk>
    <bk>
      <rc t="2" v="3546"/>
    </bk>
    <bk>
      <rc t="2" v="3547"/>
    </bk>
    <bk>
      <rc t="2" v="3548"/>
    </bk>
    <bk>
      <rc t="2" v="3549"/>
    </bk>
    <bk>
      <rc t="2" v="3550"/>
    </bk>
    <bk>
      <rc t="2" v="3551"/>
    </bk>
    <bk>
      <rc t="2" v="3552"/>
    </bk>
    <bk>
      <rc t="2" v="3553"/>
    </bk>
    <bk>
      <rc t="2" v="3554"/>
    </bk>
    <bk>
      <rc t="2" v="3555"/>
    </bk>
    <bk>
      <rc t="2" v="3556"/>
    </bk>
    <bk>
      <rc t="2" v="3557"/>
    </bk>
    <bk>
      <rc t="2" v="3558"/>
    </bk>
    <bk>
      <rc t="2" v="3559"/>
    </bk>
    <bk>
      <rc t="2" v="3560"/>
    </bk>
    <bk>
      <rc t="2" v="3561"/>
    </bk>
    <bk>
      <rc t="2" v="3562"/>
    </bk>
    <bk>
      <rc t="2" v="3563"/>
    </bk>
    <bk>
      <rc t="2" v="3564"/>
    </bk>
    <bk>
      <rc t="2" v="3565"/>
    </bk>
    <bk>
      <rc t="2" v="3566"/>
    </bk>
    <bk>
      <rc t="2" v="3567"/>
    </bk>
    <bk>
      <rc t="2" v="3568"/>
    </bk>
    <bk>
      <rc t="2" v="3569"/>
    </bk>
    <bk>
      <rc t="2" v="3570"/>
    </bk>
    <bk>
      <rc t="2" v="3571"/>
    </bk>
    <bk>
      <rc t="2" v="3572"/>
    </bk>
    <bk>
      <rc t="2" v="3573"/>
    </bk>
    <bk>
      <rc t="2" v="3574"/>
    </bk>
    <bk>
      <rc t="2" v="3575"/>
    </bk>
    <bk>
      <rc t="2" v="3576"/>
    </bk>
    <bk>
      <rc t="2" v="3577"/>
    </bk>
    <bk>
      <rc t="2" v="3578"/>
    </bk>
    <bk>
      <rc t="2" v="3579"/>
    </bk>
    <bk>
      <rc t="2" v="3580"/>
    </bk>
    <bk>
      <rc t="2" v="3581"/>
    </bk>
    <bk>
      <rc t="2" v="3582"/>
    </bk>
    <bk>
      <rc t="2" v="3583"/>
    </bk>
    <bk>
      <rc t="2" v="3584"/>
    </bk>
    <bk>
      <rc t="2" v="3585"/>
    </bk>
    <bk>
      <rc t="2" v="3586"/>
    </bk>
    <bk>
      <rc t="2" v="3587"/>
    </bk>
    <bk>
      <rc t="2" v="3588"/>
    </bk>
    <bk>
      <rc t="2" v="3589"/>
    </bk>
    <bk>
      <rc t="2" v="3590"/>
    </bk>
    <bk>
      <rc t="2" v="3591"/>
    </bk>
    <bk>
      <rc t="2" v="3592"/>
    </bk>
    <bk>
      <rc t="2" v="3593"/>
    </bk>
    <bk>
      <rc t="2" v="3594"/>
    </bk>
    <bk>
      <rc t="2" v="3595"/>
    </bk>
    <bk>
      <rc t="2" v="3596"/>
    </bk>
    <bk>
      <rc t="2" v="3597"/>
    </bk>
    <bk>
      <rc t="2" v="3598"/>
    </bk>
    <bk>
      <rc t="2" v="3599"/>
    </bk>
    <bk>
      <rc t="2" v="3600"/>
    </bk>
    <bk>
      <rc t="2" v="3601"/>
    </bk>
    <bk>
      <rc t="2" v="3602"/>
    </bk>
    <bk>
      <rc t="2" v="3603"/>
    </bk>
    <bk>
      <rc t="2" v="3604"/>
    </bk>
    <bk>
      <rc t="2" v="3605"/>
    </bk>
    <bk>
      <rc t="2" v="3606"/>
    </bk>
    <bk>
      <rc t="2" v="3607"/>
    </bk>
    <bk>
      <rc t="2" v="3608"/>
    </bk>
    <bk>
      <rc t="2" v="3609"/>
    </bk>
    <bk>
      <rc t="2" v="3610"/>
    </bk>
    <bk>
      <rc t="2" v="3611"/>
    </bk>
    <bk>
      <rc t="2" v="3612"/>
    </bk>
    <bk>
      <rc t="2" v="3613"/>
    </bk>
    <bk>
      <rc t="2" v="3614"/>
    </bk>
    <bk>
      <rc t="2" v="3615"/>
    </bk>
    <bk>
      <rc t="2" v="3616"/>
    </bk>
    <bk>
      <rc t="2" v="3617"/>
    </bk>
    <bk>
      <rc t="2" v="3618"/>
    </bk>
    <bk>
      <rc t="2" v="3619"/>
    </bk>
    <bk>
      <rc t="2" v="3620"/>
    </bk>
    <bk>
      <rc t="2" v="3621"/>
    </bk>
    <bk>
      <rc t="2" v="3622"/>
    </bk>
    <bk>
      <rc t="2" v="3623"/>
    </bk>
    <bk>
      <rc t="2" v="3624"/>
    </bk>
    <bk>
      <rc t="2" v="3625"/>
    </bk>
    <bk>
      <rc t="2" v="3626"/>
    </bk>
    <bk>
      <rc t="2" v="3627"/>
    </bk>
    <bk>
      <rc t="2" v="3628"/>
    </bk>
    <bk>
      <rc t="2" v="3629"/>
    </bk>
    <bk>
      <rc t="2" v="3630"/>
    </bk>
    <bk>
      <rc t="2" v="3631"/>
    </bk>
    <bk>
      <rc t="2" v="3632"/>
    </bk>
    <bk>
      <rc t="2" v="3633"/>
    </bk>
    <bk>
      <rc t="2" v="3634"/>
    </bk>
    <bk>
      <rc t="2" v="3635"/>
    </bk>
    <bk>
      <rc t="2" v="3636"/>
    </bk>
    <bk>
      <rc t="2" v="3637"/>
    </bk>
    <bk>
      <rc t="2" v="3638"/>
    </bk>
    <bk>
      <rc t="2" v="3639"/>
    </bk>
    <bk>
      <rc t="2" v="3640"/>
    </bk>
    <bk>
      <rc t="2" v="3641"/>
    </bk>
    <bk>
      <rc t="2" v="3642"/>
    </bk>
    <bk>
      <rc t="2" v="3643"/>
    </bk>
    <bk>
      <rc t="2" v="3644"/>
    </bk>
    <bk>
      <rc t="2" v="3645"/>
    </bk>
    <bk>
      <rc t="2" v="3646"/>
    </bk>
    <bk>
      <rc t="2" v="3647"/>
    </bk>
    <bk>
      <rc t="2" v="3648"/>
    </bk>
    <bk>
      <rc t="2" v="3649"/>
    </bk>
    <bk>
      <rc t="2" v="3650"/>
    </bk>
    <bk>
      <rc t="2" v="3651"/>
    </bk>
    <bk>
      <rc t="2" v="3652"/>
    </bk>
    <bk>
      <rc t="2" v="3653"/>
    </bk>
    <bk>
      <rc t="2" v="3654"/>
    </bk>
    <bk>
      <rc t="2" v="3655"/>
    </bk>
    <bk>
      <rc t="2" v="3656"/>
    </bk>
    <bk>
      <rc t="2" v="3657"/>
    </bk>
    <bk>
      <rc t="2" v="3658"/>
    </bk>
    <bk>
      <rc t="2" v="3659"/>
    </bk>
    <bk>
      <rc t="2" v="3660"/>
    </bk>
    <bk>
      <rc t="2" v="3661"/>
    </bk>
    <bk>
      <rc t="2" v="3662"/>
    </bk>
    <bk>
      <rc t="2" v="3663"/>
    </bk>
    <bk>
      <rc t="2" v="3664"/>
    </bk>
    <bk>
      <rc t="2" v="3665"/>
    </bk>
    <bk>
      <rc t="2" v="3666"/>
    </bk>
    <bk>
      <rc t="2" v="3667"/>
    </bk>
    <bk>
      <rc t="2" v="3668"/>
    </bk>
    <bk>
      <rc t="2" v="3669"/>
    </bk>
    <bk>
      <rc t="2" v="3670"/>
    </bk>
    <bk>
      <rc t="2" v="3671"/>
    </bk>
    <bk>
      <rc t="2" v="3672"/>
    </bk>
    <bk>
      <rc t="2" v="3673"/>
    </bk>
    <bk>
      <rc t="2" v="3674"/>
    </bk>
    <bk>
      <rc t="2" v="3675"/>
    </bk>
    <bk>
      <rc t="2" v="3676"/>
    </bk>
    <bk>
      <rc t="2" v="3677"/>
    </bk>
    <bk>
      <rc t="2" v="3678"/>
    </bk>
    <bk>
      <rc t="2" v="3679"/>
    </bk>
    <bk>
      <rc t="2" v="3680"/>
    </bk>
    <bk>
      <rc t="2" v="3681"/>
    </bk>
    <bk>
      <rc t="2" v="3682"/>
    </bk>
    <bk>
      <rc t="2" v="3683"/>
    </bk>
    <bk>
      <rc t="2" v="3684"/>
    </bk>
    <bk>
      <rc t="2" v="3685"/>
    </bk>
    <bk>
      <rc t="2" v="3686"/>
    </bk>
    <bk>
      <rc t="2" v="3687"/>
    </bk>
    <bk>
      <rc t="2" v="3688"/>
    </bk>
    <bk>
      <rc t="2" v="3689"/>
    </bk>
    <bk>
      <rc t="2" v="3690"/>
    </bk>
    <bk>
      <rc t="2" v="3691"/>
    </bk>
    <bk>
      <rc t="2" v="3692"/>
    </bk>
    <bk>
      <rc t="2" v="3693"/>
    </bk>
    <bk>
      <rc t="2" v="3694"/>
    </bk>
    <bk>
      <rc t="2" v="3695"/>
    </bk>
    <bk>
      <rc t="2" v="3696"/>
    </bk>
    <bk>
      <rc t="2" v="3697"/>
    </bk>
    <bk>
      <rc t="2" v="3698"/>
    </bk>
    <bk>
      <rc t="2" v="3699"/>
    </bk>
    <bk>
      <rc t="2" v="3700"/>
    </bk>
    <bk>
      <rc t="2" v="3701"/>
    </bk>
    <bk>
      <rc t="2" v="3702"/>
    </bk>
    <bk>
      <rc t="2" v="3703"/>
    </bk>
    <bk>
      <rc t="2" v="3704"/>
    </bk>
    <bk>
      <rc t="2" v="3705"/>
    </bk>
    <bk>
      <rc t="2" v="3706"/>
    </bk>
    <bk>
      <rc t="2" v="3707"/>
    </bk>
    <bk>
      <rc t="2" v="3708"/>
    </bk>
    <bk>
      <rc t="2" v="3709"/>
    </bk>
    <bk>
      <rc t="2" v="3710"/>
    </bk>
    <bk>
      <rc t="2" v="3711"/>
    </bk>
    <bk>
      <rc t="2" v="3712"/>
    </bk>
    <bk>
      <rc t="2" v="3713"/>
    </bk>
    <bk>
      <rc t="2" v="3714"/>
    </bk>
    <bk>
      <rc t="2" v="3715"/>
    </bk>
    <bk>
      <rc t="2" v="3716"/>
    </bk>
    <bk>
      <rc t="2" v="3717"/>
    </bk>
    <bk>
      <rc t="2" v="3718"/>
    </bk>
    <bk>
      <rc t="2" v="3719"/>
    </bk>
    <bk>
      <rc t="2" v="3720"/>
    </bk>
    <bk>
      <rc t="2" v="3721"/>
    </bk>
    <bk>
      <rc t="2" v="3722"/>
    </bk>
    <bk>
      <rc t="2" v="3723"/>
    </bk>
    <bk>
      <rc t="2" v="3724"/>
    </bk>
    <bk>
      <rc t="2" v="3725"/>
    </bk>
    <bk>
      <rc t="2" v="3726"/>
    </bk>
    <bk>
      <rc t="2" v="3727"/>
    </bk>
    <bk>
      <rc t="2" v="3728"/>
    </bk>
    <bk>
      <rc t="2" v="3729"/>
    </bk>
    <bk>
      <rc t="2" v="3730"/>
    </bk>
    <bk>
      <rc t="2" v="3731"/>
    </bk>
    <bk>
      <rc t="2" v="3732"/>
    </bk>
    <bk>
      <rc t="2" v="3733"/>
    </bk>
    <bk>
      <rc t="2" v="3734"/>
    </bk>
    <bk>
      <rc t="2" v="3735"/>
    </bk>
    <bk>
      <rc t="2" v="3736"/>
    </bk>
    <bk>
      <rc t="2" v="3737"/>
    </bk>
    <bk>
      <rc t="2" v="3738"/>
    </bk>
    <bk>
      <rc t="2" v="3739"/>
    </bk>
    <bk>
      <rc t="2" v="3740"/>
    </bk>
    <bk>
      <rc t="2" v="3741"/>
    </bk>
    <bk>
      <rc t="2" v="3742"/>
    </bk>
    <bk>
      <rc t="2" v="3743"/>
    </bk>
    <bk>
      <rc t="2" v="3744"/>
    </bk>
    <bk>
      <rc t="2" v="3745"/>
    </bk>
    <bk>
      <rc t="2" v="3746"/>
    </bk>
    <bk>
      <rc t="2" v="3747"/>
    </bk>
    <bk>
      <rc t="2" v="3748"/>
    </bk>
    <bk>
      <rc t="2" v="3749"/>
    </bk>
    <bk>
      <rc t="2" v="3750"/>
    </bk>
    <bk>
      <rc t="2" v="3751"/>
    </bk>
    <bk>
      <rc t="2" v="3752"/>
    </bk>
    <bk>
      <rc t="2" v="3753"/>
    </bk>
    <bk>
      <rc t="2" v="3754"/>
    </bk>
    <bk>
      <rc t="2" v="3755"/>
    </bk>
    <bk>
      <rc t="2" v="3756"/>
    </bk>
    <bk>
      <rc t="2" v="3757"/>
    </bk>
    <bk>
      <rc t="2" v="3758"/>
    </bk>
    <bk>
      <rc t="2" v="3759"/>
    </bk>
    <bk>
      <rc t="2" v="3760"/>
    </bk>
    <bk>
      <rc t="2" v="3761"/>
    </bk>
    <bk>
      <rc t="2" v="3762"/>
    </bk>
    <bk>
      <rc t="2" v="3763"/>
    </bk>
    <bk>
      <rc t="2" v="3764"/>
    </bk>
    <bk>
      <rc t="2" v="3765"/>
    </bk>
    <bk>
      <rc t="2" v="3766"/>
    </bk>
    <bk>
      <rc t="2" v="3767"/>
    </bk>
    <bk>
      <rc t="2" v="3768"/>
    </bk>
    <bk>
      <rc t="2" v="3769"/>
    </bk>
    <bk>
      <rc t="2" v="3770"/>
    </bk>
    <bk>
      <rc t="2" v="3771"/>
    </bk>
    <bk>
      <rc t="2" v="3772"/>
    </bk>
    <bk>
      <rc t="2" v="3773"/>
    </bk>
    <bk>
      <rc t="2" v="3774"/>
    </bk>
    <bk>
      <rc t="2" v="3775"/>
    </bk>
    <bk>
      <rc t="2" v="3776"/>
    </bk>
    <bk>
      <rc t="2" v="3777"/>
    </bk>
    <bk>
      <rc t="2" v="3778"/>
    </bk>
    <bk>
      <rc t="2" v="3779"/>
    </bk>
    <bk>
      <rc t="2" v="3780"/>
    </bk>
    <bk>
      <rc t="2" v="3781"/>
    </bk>
    <bk>
      <rc t="2" v="3782"/>
    </bk>
    <bk>
      <rc t="2" v="3783"/>
    </bk>
    <bk>
      <rc t="2" v="3784"/>
    </bk>
    <bk>
      <rc t="2" v="3785"/>
    </bk>
    <bk>
      <rc t="2" v="3786"/>
    </bk>
    <bk>
      <rc t="2" v="3787"/>
    </bk>
    <bk>
      <rc t="2" v="3788"/>
    </bk>
    <bk>
      <rc t="2" v="3789"/>
    </bk>
    <bk>
      <rc t="2" v="3790"/>
    </bk>
    <bk>
      <rc t="2" v="3791"/>
    </bk>
    <bk>
      <rc t="2" v="3792"/>
    </bk>
    <bk>
      <rc t="2" v="3793"/>
    </bk>
    <bk>
      <rc t="2" v="3794"/>
    </bk>
    <bk>
      <rc t="2" v="3795"/>
    </bk>
    <bk>
      <rc t="2" v="3796"/>
    </bk>
    <bk>
      <rc t="2" v="3797"/>
    </bk>
    <bk>
      <rc t="2" v="3798"/>
    </bk>
    <bk>
      <rc t="2" v="3799"/>
    </bk>
    <bk>
      <rc t="2" v="3800"/>
    </bk>
    <bk>
      <rc t="2" v="3801"/>
    </bk>
    <bk>
      <rc t="2" v="3802"/>
    </bk>
    <bk>
      <rc t="2" v="3803"/>
    </bk>
    <bk>
      <rc t="2" v="3804"/>
    </bk>
    <bk>
      <rc t="2" v="3805"/>
    </bk>
    <bk>
      <rc t="2" v="3806"/>
    </bk>
    <bk>
      <rc t="2" v="3807"/>
    </bk>
    <bk>
      <rc t="2" v="3808"/>
    </bk>
    <bk>
      <rc t="2" v="3809"/>
    </bk>
    <bk>
      <rc t="2" v="3810"/>
    </bk>
    <bk>
      <rc t="2" v="3811"/>
    </bk>
    <bk>
      <rc t="2" v="3812"/>
    </bk>
    <bk>
      <rc t="2" v="3813"/>
    </bk>
    <bk>
      <rc t="2" v="3814"/>
    </bk>
    <bk>
      <rc t="2" v="3815"/>
    </bk>
    <bk>
      <rc t="2" v="3816"/>
    </bk>
    <bk>
      <rc t="2" v="3817"/>
    </bk>
    <bk>
      <rc t="2" v="3818"/>
    </bk>
    <bk>
      <rc t="2" v="3819"/>
    </bk>
    <bk>
      <rc t="2" v="3820"/>
    </bk>
    <bk>
      <rc t="2" v="3821"/>
    </bk>
    <bk>
      <rc t="2" v="3822"/>
    </bk>
    <bk>
      <rc t="2" v="3823"/>
    </bk>
    <bk>
      <rc t="2" v="3824"/>
    </bk>
    <bk>
      <rc t="2" v="3825"/>
    </bk>
    <bk>
      <rc t="2" v="3826"/>
    </bk>
    <bk>
      <rc t="2" v="3827"/>
    </bk>
    <bk>
      <rc t="2" v="3828"/>
    </bk>
    <bk>
      <rc t="2" v="3829"/>
    </bk>
    <bk>
      <rc t="2" v="3830"/>
    </bk>
    <bk>
      <rc t="2" v="3831"/>
    </bk>
    <bk>
      <rc t="2" v="3832"/>
    </bk>
    <bk>
      <rc t="2" v="3833"/>
    </bk>
    <bk>
      <rc t="2" v="3834"/>
    </bk>
    <bk>
      <rc t="2" v="3835"/>
    </bk>
    <bk>
      <rc t="2" v="3836"/>
    </bk>
    <bk>
      <rc t="2" v="3837"/>
    </bk>
    <bk>
      <rc t="2" v="3838"/>
    </bk>
    <bk>
      <rc t="2" v="3839"/>
    </bk>
    <bk>
      <rc t="2" v="3840"/>
    </bk>
    <bk>
      <rc t="2" v="3841"/>
    </bk>
    <bk>
      <rc t="2" v="3842"/>
    </bk>
    <bk>
      <rc t="2" v="3843"/>
    </bk>
    <bk>
      <rc t="2" v="3844"/>
    </bk>
    <bk>
      <rc t="2" v="3845"/>
    </bk>
    <bk>
      <rc t="2" v="3846"/>
    </bk>
    <bk>
      <rc t="2" v="3847"/>
    </bk>
    <bk>
      <rc t="2" v="3848"/>
    </bk>
    <bk>
      <rc t="2" v="3849"/>
    </bk>
    <bk>
      <rc t="2" v="3850"/>
    </bk>
    <bk>
      <rc t="2" v="3851"/>
    </bk>
    <bk>
      <rc t="2" v="3852"/>
    </bk>
    <bk>
      <rc t="2" v="3853"/>
    </bk>
    <bk>
      <rc t="2" v="3854"/>
    </bk>
    <bk>
      <rc t="2" v="3855"/>
    </bk>
    <bk>
      <rc t="2" v="3856"/>
    </bk>
    <bk>
      <rc t="2" v="3857"/>
    </bk>
    <bk>
      <rc t="2" v="3858"/>
    </bk>
    <bk>
      <rc t="2" v="3859"/>
    </bk>
    <bk>
      <rc t="2" v="3860"/>
    </bk>
    <bk>
      <rc t="2" v="3861"/>
    </bk>
    <bk>
      <rc t="2" v="3862"/>
    </bk>
    <bk>
      <rc t="2" v="3863"/>
    </bk>
    <bk>
      <rc t="2" v="3864"/>
    </bk>
    <bk>
      <rc t="2" v="3865"/>
    </bk>
    <bk>
      <rc t="2" v="3866"/>
    </bk>
    <bk>
      <rc t="2" v="3867"/>
    </bk>
    <bk>
      <rc t="2" v="3868"/>
    </bk>
    <bk>
      <rc t="2" v="3869"/>
    </bk>
    <bk>
      <rc t="2" v="3870"/>
    </bk>
    <bk>
      <rc t="2" v="3871"/>
    </bk>
    <bk>
      <rc t="2" v="3872"/>
    </bk>
    <bk>
      <rc t="2" v="3873"/>
    </bk>
    <bk>
      <rc t="2" v="3874"/>
    </bk>
    <bk>
      <rc t="2" v="3875"/>
    </bk>
    <bk>
      <rc t="2" v="3876"/>
    </bk>
    <bk>
      <rc t="2" v="3877"/>
    </bk>
    <bk>
      <rc t="2" v="3878"/>
    </bk>
    <bk>
      <rc t="2" v="3879"/>
    </bk>
    <bk>
      <rc t="2" v="3880"/>
    </bk>
    <bk>
      <rc t="2" v="3881"/>
    </bk>
    <bk>
      <rc t="2" v="3882"/>
    </bk>
    <bk>
      <rc t="2" v="3883"/>
    </bk>
    <bk>
      <rc t="2" v="3884"/>
    </bk>
    <bk>
      <rc t="2" v="3885"/>
    </bk>
    <bk>
      <rc t="2" v="3886"/>
    </bk>
    <bk>
      <rc t="2" v="3887"/>
    </bk>
    <bk>
      <rc t="2" v="3888"/>
    </bk>
    <bk>
      <rc t="2" v="3889"/>
    </bk>
    <bk>
      <rc t="2" v="3890"/>
    </bk>
    <bk>
      <rc t="2" v="3891"/>
    </bk>
    <bk>
      <rc t="2" v="3892"/>
    </bk>
    <bk>
      <rc t="2" v="3893"/>
    </bk>
    <bk>
      <rc t="2" v="3894"/>
    </bk>
    <bk>
      <rc t="2" v="3895"/>
    </bk>
    <bk>
      <rc t="2" v="3896"/>
    </bk>
    <bk>
      <rc t="2" v="3897"/>
    </bk>
    <bk>
      <rc t="2" v="3898"/>
    </bk>
    <bk>
      <rc t="2" v="3899"/>
    </bk>
    <bk>
      <rc t="2" v="3900"/>
    </bk>
    <bk>
      <rc t="2" v="3901"/>
    </bk>
    <bk>
      <rc t="2" v="3902"/>
    </bk>
    <bk>
      <rc t="2" v="3903"/>
    </bk>
    <bk>
      <rc t="2" v="3904"/>
    </bk>
    <bk>
      <rc t="2" v="3905"/>
    </bk>
    <bk>
      <rc t="2" v="3906"/>
    </bk>
    <bk>
      <rc t="2" v="3907"/>
    </bk>
    <bk>
      <rc t="2" v="3908"/>
    </bk>
    <bk>
      <rc t="2" v="3909"/>
    </bk>
    <bk>
      <rc t="2" v="3910"/>
    </bk>
    <bk>
      <rc t="2" v="3911"/>
    </bk>
    <bk>
      <rc t="2" v="3912"/>
    </bk>
    <bk>
      <rc t="2" v="3913"/>
    </bk>
    <bk>
      <rc t="2" v="3914"/>
    </bk>
    <bk>
      <rc t="2" v="3915"/>
    </bk>
    <bk>
      <rc t="2" v="3916"/>
    </bk>
    <bk>
      <rc t="2" v="3917"/>
    </bk>
    <bk>
      <rc t="2" v="3918"/>
    </bk>
    <bk>
      <rc t="2" v="3919"/>
    </bk>
    <bk>
      <rc t="2" v="3920"/>
    </bk>
    <bk>
      <rc t="2" v="3921"/>
    </bk>
    <bk>
      <rc t="2" v="3922"/>
    </bk>
    <bk>
      <rc t="2" v="3923"/>
    </bk>
    <bk>
      <rc t="2" v="3924"/>
    </bk>
    <bk>
      <rc t="2" v="3925"/>
    </bk>
    <bk>
      <rc t="2" v="3926"/>
    </bk>
    <bk>
      <rc t="2" v="3927"/>
    </bk>
    <bk>
      <rc t="2" v="3928"/>
    </bk>
    <bk>
      <rc t="2" v="3929"/>
    </bk>
    <bk>
      <rc t="2" v="3930"/>
    </bk>
    <bk>
      <rc t="2" v="3931"/>
    </bk>
    <bk>
      <rc t="2" v="3932"/>
    </bk>
    <bk>
      <rc t="2" v="3933"/>
    </bk>
    <bk>
      <rc t="2" v="3934"/>
    </bk>
    <bk>
      <rc t="2" v="3935"/>
    </bk>
    <bk>
      <rc t="2" v="3936"/>
    </bk>
    <bk>
      <rc t="2" v="3937"/>
    </bk>
    <bk>
      <rc t="2" v="3938"/>
    </bk>
    <bk>
      <rc t="2" v="3939"/>
    </bk>
    <bk>
      <rc t="2" v="3940"/>
    </bk>
    <bk>
      <rc t="2" v="3941"/>
    </bk>
    <bk>
      <rc t="2" v="3942"/>
    </bk>
    <bk>
      <rc t="2" v="3943"/>
    </bk>
    <bk>
      <rc t="2" v="3944"/>
    </bk>
    <bk>
      <rc t="2" v="3945"/>
    </bk>
    <bk>
      <rc t="2" v="3946"/>
    </bk>
    <bk>
      <rc t="2" v="3947"/>
    </bk>
    <bk>
      <rc t="2" v="3948"/>
    </bk>
    <bk>
      <rc t="2" v="3949"/>
    </bk>
    <bk>
      <rc t="2" v="3950"/>
    </bk>
    <bk>
      <rc t="2" v="3951"/>
    </bk>
    <bk>
      <rc t="2" v="3952"/>
    </bk>
    <bk>
      <rc t="2" v="3953"/>
    </bk>
    <bk>
      <rc t="2" v="3954"/>
    </bk>
    <bk>
      <rc t="2" v="3955"/>
    </bk>
    <bk>
      <rc t="2" v="3956"/>
    </bk>
    <bk>
      <rc t="2" v="3957"/>
    </bk>
    <bk>
      <rc t="2" v="3958"/>
    </bk>
    <bk>
      <rc t="2" v="3959"/>
    </bk>
    <bk>
      <rc t="2" v="3960"/>
    </bk>
    <bk>
      <rc t="2" v="3961"/>
    </bk>
    <bk>
      <rc t="2" v="3962"/>
    </bk>
    <bk>
      <rc t="2" v="3963"/>
    </bk>
    <bk>
      <rc t="2" v="3964"/>
    </bk>
    <bk>
      <rc t="2" v="3965"/>
    </bk>
    <bk>
      <rc t="2" v="3966"/>
    </bk>
    <bk>
      <rc t="2" v="3967"/>
    </bk>
    <bk>
      <rc t="2" v="3968"/>
    </bk>
    <bk>
      <rc t="2" v="3969"/>
    </bk>
    <bk>
      <rc t="2" v="3970"/>
    </bk>
    <bk>
      <rc t="2" v="3971"/>
    </bk>
    <bk>
      <rc t="2" v="3972"/>
    </bk>
    <bk>
      <rc t="2" v="3973"/>
    </bk>
    <bk>
      <rc t="2" v="3974"/>
    </bk>
    <bk>
      <rc t="2" v="3975"/>
    </bk>
    <bk>
      <rc t="2" v="3976"/>
    </bk>
    <bk>
      <rc t="2" v="3977"/>
    </bk>
    <bk>
      <rc t="2" v="3978"/>
    </bk>
    <bk>
      <rc t="2" v="3979"/>
    </bk>
    <bk>
      <rc t="2" v="3980"/>
    </bk>
    <bk>
      <rc t="2" v="3981"/>
    </bk>
    <bk>
      <rc t="2" v="3982"/>
    </bk>
    <bk>
      <rc t="2" v="3983"/>
    </bk>
    <bk>
      <rc t="2" v="3984"/>
    </bk>
    <bk>
      <rc t="2" v="3985"/>
    </bk>
    <bk>
      <rc t="2" v="3986"/>
    </bk>
    <bk>
      <rc t="2" v="3987"/>
    </bk>
    <bk>
      <rc t="2" v="3988"/>
    </bk>
    <bk>
      <rc t="2" v="3989"/>
    </bk>
    <bk>
      <rc t="2" v="3990"/>
    </bk>
    <bk>
      <rc t="2" v="3991"/>
    </bk>
    <bk>
      <rc t="2" v="3992"/>
    </bk>
    <bk>
      <rc t="2" v="3993"/>
    </bk>
    <bk>
      <rc t="2" v="3994"/>
    </bk>
    <bk>
      <rc t="2" v="3995"/>
    </bk>
    <bk>
      <rc t="2" v="3996"/>
    </bk>
    <bk>
      <rc t="2" v="3997"/>
    </bk>
    <bk>
      <rc t="2" v="3998"/>
    </bk>
    <bk>
      <rc t="2" v="3999"/>
    </bk>
    <bk>
      <rc t="2" v="4000"/>
    </bk>
    <bk>
      <rc t="2" v="4001"/>
    </bk>
    <bk>
      <rc t="2" v="4002"/>
    </bk>
    <bk>
      <rc t="2" v="4003"/>
    </bk>
    <bk>
      <rc t="2" v="4004"/>
    </bk>
    <bk>
      <rc t="2" v="4005"/>
    </bk>
    <bk>
      <rc t="2" v="4006"/>
    </bk>
    <bk>
      <rc t="2" v="4007"/>
    </bk>
    <bk>
      <rc t="2" v="4008"/>
    </bk>
    <bk>
      <rc t="2" v="4009"/>
    </bk>
    <bk>
      <rc t="2" v="4010"/>
    </bk>
    <bk>
      <rc t="2" v="4011"/>
    </bk>
    <bk>
      <rc t="2" v="4012"/>
    </bk>
    <bk>
      <rc t="2" v="4013"/>
    </bk>
    <bk>
      <rc t="2" v="4014"/>
    </bk>
    <bk>
      <rc t="2" v="4015"/>
    </bk>
    <bk>
      <rc t="2" v="4016"/>
    </bk>
    <bk>
      <rc t="2" v="4017"/>
    </bk>
    <bk>
      <rc t="2" v="4018"/>
    </bk>
    <bk>
      <rc t="2" v="4019"/>
    </bk>
    <bk>
      <rc t="2" v="4020"/>
    </bk>
    <bk>
      <rc t="2" v="4021"/>
    </bk>
    <bk>
      <rc t="2" v="4022"/>
    </bk>
    <bk>
      <rc t="2" v="4023"/>
    </bk>
    <bk>
      <rc t="2" v="4024"/>
    </bk>
    <bk>
      <rc t="2" v="4025"/>
    </bk>
    <bk>
      <rc t="2" v="4026"/>
    </bk>
    <bk>
      <rc t="2" v="4027"/>
    </bk>
    <bk>
      <rc t="2" v="4028"/>
    </bk>
    <bk>
      <rc t="2" v="4029"/>
    </bk>
    <bk>
      <rc t="2" v="4030"/>
    </bk>
    <bk>
      <rc t="2" v="4031"/>
    </bk>
    <bk>
      <rc t="2" v="4032"/>
    </bk>
    <bk>
      <rc t="2" v="4033"/>
    </bk>
    <bk>
      <rc t="2" v="4034"/>
    </bk>
    <bk>
      <rc t="2" v="4035"/>
    </bk>
    <bk>
      <rc t="2" v="4036"/>
    </bk>
    <bk>
      <rc t="2" v="4037"/>
    </bk>
    <bk>
      <rc t="2" v="4038"/>
    </bk>
    <bk>
      <rc t="2" v="4039"/>
    </bk>
    <bk>
      <rc t="2" v="4040"/>
    </bk>
    <bk>
      <rc t="2" v="4041"/>
    </bk>
    <bk>
      <rc t="2" v="4042"/>
    </bk>
    <bk>
      <rc t="2" v="4043"/>
    </bk>
    <bk>
      <rc t="2" v="4044"/>
    </bk>
    <bk>
      <rc t="2" v="4045"/>
    </bk>
    <bk>
      <rc t="2" v="4046"/>
    </bk>
    <bk>
      <rc t="2" v="4047"/>
    </bk>
    <bk>
      <rc t="2" v="4048"/>
    </bk>
    <bk>
      <rc t="2" v="4049"/>
    </bk>
    <bk>
      <rc t="2" v="4050"/>
    </bk>
    <bk>
      <rc t="2" v="4051"/>
    </bk>
    <bk>
      <rc t="2" v="4052"/>
    </bk>
    <bk>
      <rc t="2" v="4053"/>
    </bk>
    <bk>
      <rc t="2" v="4054"/>
    </bk>
    <bk>
      <rc t="2" v="4055"/>
    </bk>
    <bk>
      <rc t="2" v="4056"/>
    </bk>
    <bk>
      <rc t="2" v="4057"/>
    </bk>
    <bk>
      <rc t="2" v="4058"/>
    </bk>
    <bk>
      <rc t="2" v="4059"/>
    </bk>
    <bk>
      <rc t="2" v="4060"/>
    </bk>
    <bk>
      <rc t="2" v="4061"/>
    </bk>
    <bk>
      <rc t="2" v="4062"/>
    </bk>
    <bk>
      <rc t="2" v="4063"/>
    </bk>
    <bk>
      <rc t="2" v="4064"/>
    </bk>
    <bk>
      <rc t="2" v="4065"/>
    </bk>
    <bk>
      <rc t="2" v="4066"/>
    </bk>
    <bk>
      <rc t="2" v="4067"/>
    </bk>
    <bk>
      <rc t="2" v="4068"/>
    </bk>
    <bk>
      <rc t="2" v="4069"/>
    </bk>
    <bk>
      <rc t="2" v="4070"/>
    </bk>
    <bk>
      <rc t="2" v="4071"/>
    </bk>
    <bk>
      <rc t="2" v="4072"/>
    </bk>
    <bk>
      <rc t="2" v="4073"/>
    </bk>
    <bk>
      <rc t="2" v="4074"/>
    </bk>
    <bk>
      <rc t="2" v="4075"/>
    </bk>
    <bk>
      <rc t="2" v="4076"/>
    </bk>
    <bk>
      <rc t="2" v="4077"/>
    </bk>
    <bk>
      <rc t="2" v="4078"/>
    </bk>
    <bk>
      <rc t="2" v="4079"/>
    </bk>
    <bk>
      <rc t="2" v="4080"/>
    </bk>
    <bk>
      <rc t="2" v="4081"/>
    </bk>
    <bk>
      <rc t="2" v="4082"/>
    </bk>
    <bk>
      <rc t="2" v="4083"/>
    </bk>
    <bk>
      <rc t="2" v="4084"/>
    </bk>
    <bk>
      <rc t="2" v="4085"/>
    </bk>
    <bk>
      <rc t="2" v="4086"/>
    </bk>
    <bk>
      <rc t="2" v="4087"/>
    </bk>
    <bk>
      <rc t="2" v="4088"/>
    </bk>
    <bk>
      <rc t="2" v="4089"/>
    </bk>
    <bk>
      <rc t="2" v="4090"/>
    </bk>
    <bk>
      <rc t="2" v="4091"/>
    </bk>
    <bk>
      <rc t="2" v="4092"/>
    </bk>
    <bk>
      <rc t="2" v="4093"/>
    </bk>
    <bk>
      <rc t="2" v="4094"/>
    </bk>
    <bk>
      <rc t="2" v="4095"/>
    </bk>
    <bk>
      <rc t="2" v="4096"/>
    </bk>
    <bk>
      <rc t="2" v="4097"/>
    </bk>
    <bk>
      <rc t="2" v="4098"/>
    </bk>
    <bk>
      <rc t="2" v="4099"/>
    </bk>
    <bk>
      <rc t="2" v="4100"/>
    </bk>
    <bk>
      <rc t="2" v="4101"/>
    </bk>
    <bk>
      <rc t="2" v="4102"/>
    </bk>
    <bk>
      <rc t="2" v="4103"/>
    </bk>
    <bk>
      <rc t="2" v="4104"/>
    </bk>
    <bk>
      <rc t="2" v="4105"/>
    </bk>
    <bk>
      <rc t="2" v="4106"/>
    </bk>
    <bk>
      <rc t="2" v="4107"/>
    </bk>
    <bk>
      <rc t="2" v="4108"/>
    </bk>
    <bk>
      <rc t="2" v="4109"/>
    </bk>
    <bk>
      <rc t="2" v="4110"/>
    </bk>
    <bk>
      <rc t="2" v="4111"/>
    </bk>
    <bk>
      <rc t="2" v="4112"/>
    </bk>
    <bk>
      <rc t="2" v="4113"/>
    </bk>
    <bk>
      <rc t="2" v="4114"/>
    </bk>
    <bk>
      <rc t="2" v="4115"/>
    </bk>
    <bk>
      <rc t="2" v="4116"/>
    </bk>
    <bk>
      <rc t="2" v="4117"/>
    </bk>
    <bk>
      <rc t="2" v="4118"/>
    </bk>
    <bk>
      <rc t="2" v="4119"/>
    </bk>
    <bk>
      <rc t="2" v="4120"/>
    </bk>
    <bk>
      <rc t="2" v="4121"/>
    </bk>
    <bk>
      <rc t="2" v="4122"/>
    </bk>
    <bk>
      <rc t="2" v="4123"/>
    </bk>
    <bk>
      <rc t="2" v="4124"/>
    </bk>
    <bk>
      <rc t="2" v="4125"/>
    </bk>
    <bk>
      <rc t="2" v="4126"/>
    </bk>
    <bk>
      <rc t="2" v="4127"/>
    </bk>
    <bk>
      <rc t="2" v="4128"/>
    </bk>
    <bk>
      <rc t="2" v="4129"/>
    </bk>
    <bk>
      <rc t="2" v="4130"/>
    </bk>
    <bk>
      <rc t="2" v="4131"/>
    </bk>
    <bk>
      <rc t="2" v="4132"/>
    </bk>
    <bk>
      <rc t="2" v="4133"/>
    </bk>
    <bk>
      <rc t="2" v="4134"/>
    </bk>
    <bk>
      <rc t="2" v="4135"/>
    </bk>
    <bk>
      <rc t="2" v="4136"/>
    </bk>
    <bk>
      <rc t="2" v="4137"/>
    </bk>
    <bk>
      <rc t="2" v="4138"/>
    </bk>
    <bk>
      <rc t="2" v="4139"/>
    </bk>
    <bk>
      <rc t="2" v="4140"/>
    </bk>
    <bk>
      <rc t="2" v="4141"/>
    </bk>
    <bk>
      <rc t="2" v="4142"/>
    </bk>
    <bk>
      <rc t="2" v="4143"/>
    </bk>
    <bk>
      <rc t="2" v="4144"/>
    </bk>
    <bk>
      <rc t="2" v="4145"/>
    </bk>
    <bk>
      <rc t="2" v="4146"/>
    </bk>
    <bk>
      <rc t="2" v="4147"/>
    </bk>
    <bk>
      <rc t="2" v="4148"/>
    </bk>
    <bk>
      <rc t="2" v="4149"/>
    </bk>
    <bk>
      <rc t="2" v="4150"/>
    </bk>
    <bk>
      <rc t="2" v="4151"/>
    </bk>
    <bk>
      <rc t="2" v="4152"/>
    </bk>
    <bk>
      <rc t="2" v="4153"/>
    </bk>
    <bk>
      <rc t="2" v="4154"/>
    </bk>
    <bk>
      <rc t="2" v="4155"/>
    </bk>
    <bk>
      <rc t="2" v="4156"/>
    </bk>
    <bk>
      <rc t="2" v="4157"/>
    </bk>
    <bk>
      <rc t="2" v="4158"/>
    </bk>
    <bk>
      <rc t="2" v="4159"/>
    </bk>
    <bk>
      <rc t="2" v="4160"/>
    </bk>
    <bk>
      <rc t="2" v="4161"/>
    </bk>
    <bk>
      <rc t="2" v="4162"/>
    </bk>
    <bk>
      <rc t="2" v="4163"/>
    </bk>
    <bk>
      <rc t="2" v="4164"/>
    </bk>
    <bk>
      <rc t="2" v="4165"/>
    </bk>
    <bk>
      <rc t="2" v="4166"/>
    </bk>
    <bk>
      <rc t="2" v="4167"/>
    </bk>
    <bk>
      <rc t="2" v="4168"/>
    </bk>
    <bk>
      <rc t="2" v="4169"/>
    </bk>
    <bk>
      <rc t="2" v="4170"/>
    </bk>
    <bk>
      <rc t="2" v="4171"/>
    </bk>
    <bk>
      <rc t="2" v="4172"/>
    </bk>
    <bk>
      <rc t="2" v="4173"/>
    </bk>
    <bk>
      <rc t="2" v="4174"/>
    </bk>
    <bk>
      <rc t="2" v="4175"/>
    </bk>
    <bk>
      <rc t="2" v="4176"/>
    </bk>
    <bk>
      <rc t="2" v="4177"/>
    </bk>
    <bk>
      <rc t="2" v="4178"/>
    </bk>
    <bk>
      <rc t="2" v="4179"/>
    </bk>
    <bk>
      <rc t="2" v="4180"/>
    </bk>
    <bk>
      <rc t="2" v="4181"/>
    </bk>
    <bk>
      <rc t="2" v="4182"/>
    </bk>
    <bk>
      <rc t="2" v="4183"/>
    </bk>
    <bk>
      <rc t="2" v="4184"/>
    </bk>
    <bk>
      <rc t="2" v="4185"/>
    </bk>
    <bk>
      <rc t="2" v="4186"/>
    </bk>
    <bk>
      <rc t="2" v="4187"/>
    </bk>
    <bk>
      <rc t="2" v="4188"/>
    </bk>
    <bk>
      <rc t="2" v="4189"/>
    </bk>
    <bk>
      <rc t="2" v="4190"/>
    </bk>
    <bk>
      <rc t="2" v="4191"/>
    </bk>
    <bk>
      <rc t="2" v="4192"/>
    </bk>
    <bk>
      <rc t="2" v="4193"/>
    </bk>
    <bk>
      <rc t="2" v="4194"/>
    </bk>
    <bk>
      <rc t="2" v="4195"/>
    </bk>
    <bk>
      <rc t="2" v="4196"/>
    </bk>
    <bk>
      <rc t="2" v="4197"/>
    </bk>
    <bk>
      <rc t="2" v="4198"/>
    </bk>
    <bk>
      <rc t="2" v="4199"/>
    </bk>
    <bk>
      <rc t="2" v="4200"/>
    </bk>
    <bk>
      <rc t="2" v="4201"/>
    </bk>
    <bk>
      <rc t="2" v="4202"/>
    </bk>
    <bk>
      <rc t="2" v="4203"/>
    </bk>
    <bk>
      <rc t="2" v="4204"/>
    </bk>
    <bk>
      <rc t="2" v="4205"/>
    </bk>
    <bk>
      <rc t="2" v="4206"/>
    </bk>
    <bk>
      <rc t="2" v="4207"/>
    </bk>
    <bk>
      <rc t="2" v="4208"/>
    </bk>
    <bk>
      <rc t="2" v="4209"/>
    </bk>
    <bk>
      <rc t="2" v="4210"/>
    </bk>
    <bk>
      <rc t="2" v="4211"/>
    </bk>
    <bk>
      <rc t="2" v="4212"/>
    </bk>
    <bk>
      <rc t="2" v="4213"/>
    </bk>
    <bk>
      <rc t="2" v="4214"/>
    </bk>
    <bk>
      <rc t="2" v="4215"/>
    </bk>
    <bk>
      <rc t="2" v="4216"/>
    </bk>
    <bk>
      <rc t="2" v="4217"/>
    </bk>
    <bk>
      <rc t="2" v="4218"/>
    </bk>
    <bk>
      <rc t="2" v="4219"/>
    </bk>
    <bk>
      <rc t="2" v="4220"/>
    </bk>
    <bk>
      <rc t="2" v="4221"/>
    </bk>
    <bk>
      <rc t="2" v="4222"/>
    </bk>
    <bk>
      <rc t="2" v="4223"/>
    </bk>
    <bk>
      <rc t="2" v="4224"/>
    </bk>
    <bk>
      <rc t="2" v="4225"/>
    </bk>
    <bk>
      <rc t="2" v="4226"/>
    </bk>
    <bk>
      <rc t="2" v="4227"/>
    </bk>
    <bk>
      <rc t="2" v="4228"/>
    </bk>
    <bk>
      <rc t="2" v="4229"/>
    </bk>
    <bk>
      <rc t="2" v="4230"/>
    </bk>
    <bk>
      <rc t="2" v="4231"/>
    </bk>
    <bk>
      <rc t="2" v="4232"/>
    </bk>
    <bk>
      <rc t="2" v="4233"/>
    </bk>
    <bk>
      <rc t="2" v="4234"/>
    </bk>
    <bk>
      <rc t="2" v="4235"/>
    </bk>
    <bk>
      <rc t="2" v="4236"/>
    </bk>
    <bk>
      <rc t="2" v="4237"/>
    </bk>
    <bk>
      <rc t="2" v="4238"/>
    </bk>
    <bk>
      <rc t="2" v="4239"/>
    </bk>
    <bk>
      <rc t="2" v="4240"/>
    </bk>
    <bk>
      <rc t="2" v="4241"/>
    </bk>
    <bk>
      <rc t="2" v="4242"/>
    </bk>
    <bk>
      <rc t="2" v="4243"/>
    </bk>
    <bk>
      <rc t="2" v="4244"/>
    </bk>
    <bk>
      <rc t="2" v="4245"/>
    </bk>
    <bk>
      <rc t="2" v="4246"/>
    </bk>
    <bk>
      <rc t="2" v="4247"/>
    </bk>
    <bk>
      <rc t="2" v="4248"/>
    </bk>
    <bk>
      <rc t="2" v="4249"/>
    </bk>
    <bk>
      <rc t="2" v="4250"/>
    </bk>
    <bk>
      <rc t="2" v="4251"/>
    </bk>
    <bk>
      <rc t="2" v="4252"/>
    </bk>
    <bk>
      <rc t="2" v="4253"/>
    </bk>
    <bk>
      <rc t="2" v="4254"/>
    </bk>
    <bk>
      <rc t="2" v="4255"/>
    </bk>
    <bk>
      <rc t="2" v="4256"/>
    </bk>
    <bk>
      <rc t="2" v="4257"/>
    </bk>
    <bk>
      <rc t="2" v="4258"/>
    </bk>
    <bk>
      <rc t="2" v="4259"/>
    </bk>
    <bk>
      <rc t="2" v="4260"/>
    </bk>
    <bk>
      <rc t="2" v="4261"/>
    </bk>
    <bk>
      <rc t="2" v="4262"/>
    </bk>
    <bk>
      <rc t="2" v="4263"/>
    </bk>
    <bk>
      <rc t="2" v="4264"/>
    </bk>
    <bk>
      <rc t="2" v="4265"/>
    </bk>
    <bk>
      <rc t="2" v="4266"/>
    </bk>
    <bk>
      <rc t="2" v="4267"/>
    </bk>
    <bk>
      <rc t="2" v="4268"/>
    </bk>
    <bk>
      <rc t="2" v="4269"/>
    </bk>
    <bk>
      <rc t="2" v="4270"/>
    </bk>
    <bk>
      <rc t="2" v="4271"/>
    </bk>
    <bk>
      <rc t="2" v="4272"/>
    </bk>
    <bk>
      <rc t="2" v="4273"/>
    </bk>
    <bk>
      <rc t="2" v="4274"/>
    </bk>
    <bk>
      <rc t="2" v="4275"/>
    </bk>
    <bk>
      <rc t="2" v="4276"/>
    </bk>
    <bk>
      <rc t="2" v="4277"/>
    </bk>
    <bk>
      <rc t="2" v="4278"/>
    </bk>
    <bk>
      <rc t="2" v="4279"/>
    </bk>
    <bk>
      <rc t="2" v="4280"/>
    </bk>
    <bk>
      <rc t="2" v="4281"/>
    </bk>
    <bk>
      <rc t="2" v="4282"/>
    </bk>
    <bk>
      <rc t="2" v="4283"/>
    </bk>
    <bk>
      <rc t="2" v="4284"/>
    </bk>
    <bk>
      <rc t="2" v="4285"/>
    </bk>
    <bk>
      <rc t="2" v="4286"/>
    </bk>
    <bk>
      <rc t="2" v="4287"/>
    </bk>
    <bk>
      <rc t="2" v="4288"/>
    </bk>
    <bk>
      <rc t="2" v="4289"/>
    </bk>
    <bk>
      <rc t="2" v="4290"/>
    </bk>
    <bk>
      <rc t="2" v="4291"/>
    </bk>
    <bk>
      <rc t="2" v="4292"/>
    </bk>
    <bk>
      <rc t="2" v="4293"/>
    </bk>
    <bk>
      <rc t="2" v="4294"/>
    </bk>
    <bk>
      <rc t="2" v="4295"/>
    </bk>
    <bk>
      <rc t="2" v="4296"/>
    </bk>
    <bk>
      <rc t="2" v="4297"/>
    </bk>
    <bk>
      <rc t="2" v="4298"/>
    </bk>
    <bk>
      <rc t="2" v="4299"/>
    </bk>
    <bk>
      <rc t="2" v="4300"/>
    </bk>
    <bk>
      <rc t="2" v="4301"/>
    </bk>
    <bk>
      <rc t="2" v="4302"/>
    </bk>
    <bk>
      <rc t="2" v="4303"/>
    </bk>
    <bk>
      <rc t="2" v="4304"/>
    </bk>
    <bk>
      <rc t="2" v="4305"/>
    </bk>
    <bk>
      <rc t="2" v="4306"/>
    </bk>
    <bk>
      <rc t="2" v="4307"/>
    </bk>
    <bk>
      <rc t="2" v="4308"/>
    </bk>
    <bk>
      <rc t="2" v="4309"/>
    </bk>
    <bk>
      <rc t="2" v="4310"/>
    </bk>
    <bk>
      <rc t="2" v="4311"/>
    </bk>
    <bk>
      <rc t="2" v="4312"/>
    </bk>
    <bk>
      <rc t="2" v="4313"/>
    </bk>
    <bk>
      <rc t="2" v="4314"/>
    </bk>
    <bk>
      <rc t="2" v="4315"/>
    </bk>
    <bk>
      <rc t="2" v="4316"/>
    </bk>
    <bk>
      <rc t="2" v="4317"/>
    </bk>
    <bk>
      <rc t="2" v="4318"/>
    </bk>
    <bk>
      <rc t="2" v="4319"/>
    </bk>
    <bk>
      <rc t="2" v="4320"/>
    </bk>
    <bk>
      <rc t="2" v="4321"/>
    </bk>
    <bk>
      <rc t="2" v="4322"/>
    </bk>
    <bk>
      <rc t="2" v="4323"/>
    </bk>
    <bk>
      <rc t="2" v="4324"/>
    </bk>
    <bk>
      <rc t="2" v="4325"/>
    </bk>
    <bk>
      <rc t="2" v="4326"/>
    </bk>
    <bk>
      <rc t="2" v="4327"/>
    </bk>
    <bk>
      <rc t="2" v="4328"/>
    </bk>
    <bk>
      <rc t="2" v="4329"/>
    </bk>
    <bk>
      <rc t="2" v="4330"/>
    </bk>
    <bk>
      <rc t="2" v="4331"/>
    </bk>
    <bk>
      <rc t="2" v="4332"/>
    </bk>
    <bk>
      <rc t="2" v="4333"/>
    </bk>
    <bk>
      <rc t="2" v="4334"/>
    </bk>
    <bk>
      <rc t="2" v="4335"/>
    </bk>
    <bk>
      <rc t="2" v="4336"/>
    </bk>
    <bk>
      <rc t="2" v="4337"/>
    </bk>
    <bk>
      <rc t="2" v="4338"/>
    </bk>
    <bk>
      <rc t="2" v="4339"/>
    </bk>
    <bk>
      <rc t="2" v="4340"/>
    </bk>
    <bk>
      <rc t="2" v="4341"/>
    </bk>
    <bk>
      <rc t="2" v="4342"/>
    </bk>
    <bk>
      <rc t="2" v="4343"/>
    </bk>
    <bk>
      <rc t="2" v="4344"/>
    </bk>
    <bk>
      <rc t="2" v="4345"/>
    </bk>
    <bk>
      <rc t="2" v="4346"/>
    </bk>
    <bk>
      <rc t="2" v="4347"/>
    </bk>
    <bk>
      <rc t="2" v="4348"/>
    </bk>
    <bk>
      <rc t="2" v="4349"/>
    </bk>
    <bk>
      <rc t="2" v="4350"/>
    </bk>
    <bk>
      <rc t="2" v="4351"/>
    </bk>
    <bk>
      <rc t="2" v="4352"/>
    </bk>
    <bk>
      <rc t="2" v="4353"/>
    </bk>
    <bk>
      <rc t="2" v="4354"/>
    </bk>
    <bk>
      <rc t="2" v="4355"/>
    </bk>
    <bk>
      <rc t="2" v="4356"/>
    </bk>
    <bk>
      <rc t="2" v="4357"/>
    </bk>
    <bk>
      <rc t="2" v="4358"/>
    </bk>
    <bk>
      <rc t="2" v="4359"/>
    </bk>
    <bk>
      <rc t="2" v="4360"/>
    </bk>
    <bk>
      <rc t="2" v="4361"/>
    </bk>
    <bk>
      <rc t="2" v="4362"/>
    </bk>
    <bk>
      <rc t="2" v="4363"/>
    </bk>
    <bk>
      <rc t="2" v="4364"/>
    </bk>
    <bk>
      <rc t="2" v="4365"/>
    </bk>
    <bk>
      <rc t="2" v="4366"/>
    </bk>
    <bk>
      <rc t="2" v="4367"/>
    </bk>
    <bk>
      <rc t="2" v="4368"/>
    </bk>
    <bk>
      <rc t="2" v="4369"/>
    </bk>
    <bk>
      <rc t="2" v="4370"/>
    </bk>
    <bk>
      <rc t="2" v="4371"/>
    </bk>
    <bk>
      <rc t="2" v="4372"/>
    </bk>
    <bk>
      <rc t="2" v="4373"/>
    </bk>
    <bk>
      <rc t="2" v="4374"/>
    </bk>
    <bk>
      <rc t="2" v="4375"/>
    </bk>
    <bk>
      <rc t="2" v="4376"/>
    </bk>
    <bk>
      <rc t="2" v="4377"/>
    </bk>
    <bk>
      <rc t="2" v="4378"/>
    </bk>
    <bk>
      <rc t="2" v="4379"/>
    </bk>
    <bk>
      <rc t="2" v="4380"/>
    </bk>
    <bk>
      <rc t="2" v="4381"/>
    </bk>
    <bk>
      <rc t="2" v="4382"/>
    </bk>
    <bk>
      <rc t="2" v="4383"/>
    </bk>
    <bk>
      <rc t="2" v="4384"/>
    </bk>
    <bk>
      <rc t="2" v="4385"/>
    </bk>
    <bk>
      <rc t="2" v="4386"/>
    </bk>
    <bk>
      <rc t="2" v="4387"/>
    </bk>
    <bk>
      <rc t="2" v="4388"/>
    </bk>
    <bk>
      <rc t="2" v="4389"/>
    </bk>
    <bk>
      <rc t="2" v="4390"/>
    </bk>
    <bk>
      <rc t="2" v="4391"/>
    </bk>
    <bk>
      <rc t="2" v="4392"/>
    </bk>
    <bk>
      <rc t="2" v="4393"/>
    </bk>
    <bk>
      <rc t="2" v="4394"/>
    </bk>
    <bk>
      <rc t="2" v="4395"/>
    </bk>
    <bk>
      <rc t="2" v="4396"/>
    </bk>
    <bk>
      <rc t="2" v="4397"/>
    </bk>
    <bk>
      <rc t="2" v="4398"/>
    </bk>
    <bk>
      <rc t="2" v="4399"/>
    </bk>
    <bk>
      <rc t="2" v="4400"/>
    </bk>
    <bk>
      <rc t="2" v="4401"/>
    </bk>
    <bk>
      <rc t="2" v="4402"/>
    </bk>
    <bk>
      <rc t="2" v="4403"/>
    </bk>
    <bk>
      <rc t="2" v="4404"/>
    </bk>
    <bk>
      <rc t="2" v="4405"/>
    </bk>
    <bk>
      <rc t="2" v="4406"/>
    </bk>
    <bk>
      <rc t="2" v="4407"/>
    </bk>
    <bk>
      <rc t="2" v="4408"/>
    </bk>
    <bk>
      <rc t="2" v="4409"/>
    </bk>
    <bk>
      <rc t="2" v="4410"/>
    </bk>
    <bk>
      <rc t="2" v="4411"/>
    </bk>
    <bk>
      <rc t="2" v="4412"/>
    </bk>
    <bk>
      <rc t="2" v="4413"/>
    </bk>
    <bk>
      <rc t="2" v="4414"/>
    </bk>
    <bk>
      <rc t="2" v="4415"/>
    </bk>
    <bk>
      <rc t="2" v="4416"/>
    </bk>
    <bk>
      <rc t="2" v="4417"/>
    </bk>
    <bk>
      <rc t="2" v="4418"/>
    </bk>
    <bk>
      <rc t="2" v="4419"/>
    </bk>
    <bk>
      <rc t="2" v="4420"/>
    </bk>
    <bk>
      <rc t="2" v="4421"/>
    </bk>
    <bk>
      <rc t="2" v="4422"/>
    </bk>
    <bk>
      <rc t="2" v="4423"/>
    </bk>
    <bk>
      <rc t="2" v="4424"/>
    </bk>
    <bk>
      <rc t="2" v="4425"/>
    </bk>
    <bk>
      <rc t="2" v="4426"/>
    </bk>
    <bk>
      <rc t="2" v="4427"/>
    </bk>
    <bk>
      <rc t="2" v="4428"/>
    </bk>
    <bk>
      <rc t="2" v="4429"/>
    </bk>
    <bk>
      <rc t="2" v="4430"/>
    </bk>
    <bk>
      <rc t="2" v="4431"/>
    </bk>
    <bk>
      <rc t="2" v="4432"/>
    </bk>
    <bk>
      <rc t="2" v="4433"/>
    </bk>
    <bk>
      <rc t="2" v="4434"/>
    </bk>
    <bk>
      <rc t="2" v="4435"/>
    </bk>
    <bk>
      <rc t="2" v="4436"/>
    </bk>
    <bk>
      <rc t="2" v="4437"/>
    </bk>
    <bk>
      <rc t="2" v="4438"/>
    </bk>
    <bk>
      <rc t="2" v="4439"/>
    </bk>
    <bk>
      <rc t="2" v="4440"/>
    </bk>
    <bk>
      <rc t="2" v="4441"/>
    </bk>
    <bk>
      <rc t="2" v="4442"/>
    </bk>
    <bk>
      <rc t="2" v="4443"/>
    </bk>
    <bk>
      <rc t="2" v="4444"/>
    </bk>
    <bk>
      <rc t="2" v="4445"/>
    </bk>
    <bk>
      <rc t="2" v="4446"/>
    </bk>
    <bk>
      <rc t="2" v="4447"/>
    </bk>
    <bk>
      <rc t="2" v="4448"/>
    </bk>
    <bk>
      <rc t="2" v="4449"/>
    </bk>
    <bk>
      <rc t="2" v="4450"/>
    </bk>
    <bk>
      <rc t="2" v="4451"/>
    </bk>
    <bk>
      <rc t="2" v="4452"/>
    </bk>
    <bk>
      <rc t="2" v="4453"/>
    </bk>
    <bk>
      <rc t="2" v="4454"/>
    </bk>
    <bk>
      <rc t="2" v="4455"/>
    </bk>
    <bk>
      <rc t="2" v="4456"/>
    </bk>
    <bk>
      <rc t="2" v="4457"/>
    </bk>
    <bk>
      <rc t="2" v="4458"/>
    </bk>
    <bk>
      <rc t="2" v="4459"/>
    </bk>
    <bk>
      <rc t="2" v="4460"/>
    </bk>
    <bk>
      <rc t="2" v="4461"/>
    </bk>
    <bk>
      <rc t="2" v="4462"/>
    </bk>
    <bk>
      <rc t="2" v="4463"/>
    </bk>
    <bk>
      <rc t="2" v="4464"/>
    </bk>
    <bk>
      <rc t="2" v="4465"/>
    </bk>
    <bk>
      <rc t="2" v="4466"/>
    </bk>
    <bk>
      <rc t="2" v="4467"/>
    </bk>
    <bk>
      <rc t="2" v="4468"/>
    </bk>
    <bk>
      <rc t="2" v="4469"/>
    </bk>
    <bk>
      <rc t="2" v="4470"/>
    </bk>
    <bk>
      <rc t="2" v="4471"/>
    </bk>
    <bk>
      <rc t="2" v="4472"/>
    </bk>
    <bk>
      <rc t="2" v="4473"/>
    </bk>
    <bk>
      <rc t="2" v="4474"/>
    </bk>
    <bk>
      <rc t="2" v="4475"/>
    </bk>
    <bk>
      <rc t="2" v="4476"/>
    </bk>
    <bk>
      <rc t="2" v="4477"/>
    </bk>
    <bk>
      <rc t="2" v="4478"/>
    </bk>
    <bk>
      <rc t="2" v="4479"/>
    </bk>
    <bk>
      <rc t="2" v="4480"/>
    </bk>
    <bk>
      <rc t="2" v="4481"/>
    </bk>
    <bk>
      <rc t="2" v="4482"/>
    </bk>
    <bk>
      <rc t="2" v="4483"/>
    </bk>
    <bk>
      <rc t="2" v="4484"/>
    </bk>
    <bk>
      <rc t="2" v="4485"/>
    </bk>
    <bk>
      <rc t="2" v="4486"/>
    </bk>
    <bk>
      <rc t="2" v="4487"/>
    </bk>
    <bk>
      <rc t="2" v="4488"/>
    </bk>
    <bk>
      <rc t="2" v="4489"/>
    </bk>
    <bk>
      <rc t="2" v="4490"/>
    </bk>
    <bk>
      <rc t="2" v="4491"/>
    </bk>
    <bk>
      <rc t="2" v="4492"/>
    </bk>
    <bk>
      <rc t="2" v="4493"/>
    </bk>
    <bk>
      <rc t="2" v="4494"/>
    </bk>
    <bk>
      <rc t="2" v="4495"/>
    </bk>
    <bk>
      <rc t="2" v="4496"/>
    </bk>
    <bk>
      <rc t="2" v="4497"/>
    </bk>
    <bk>
      <rc t="2" v="4498"/>
    </bk>
    <bk>
      <rc t="2" v="4499"/>
    </bk>
    <bk>
      <rc t="2" v="4500"/>
    </bk>
    <bk>
      <rc t="2" v="4501"/>
    </bk>
    <bk>
      <rc t="2" v="4502"/>
    </bk>
    <bk>
      <rc t="2" v="4503"/>
    </bk>
    <bk>
      <rc t="2" v="4504"/>
    </bk>
    <bk>
      <rc t="2" v="4505"/>
    </bk>
    <bk>
      <rc t="2" v="4506"/>
    </bk>
    <bk>
      <rc t="2" v="4507"/>
    </bk>
    <bk>
      <rc t="2" v="4508"/>
    </bk>
    <bk>
      <rc t="2" v="4509"/>
    </bk>
    <bk>
      <rc t="2" v="4510"/>
    </bk>
    <bk>
      <rc t="2" v="4511"/>
    </bk>
    <bk>
      <rc t="2" v="4512"/>
    </bk>
    <bk>
      <rc t="2" v="4513"/>
    </bk>
    <bk>
      <rc t="2" v="4514"/>
    </bk>
    <bk>
      <rc t="2" v="4515"/>
    </bk>
    <bk>
      <rc t="2" v="4516"/>
    </bk>
    <bk>
      <rc t="2" v="4517"/>
    </bk>
    <bk>
      <rc t="2" v="4518"/>
    </bk>
    <bk>
      <rc t="2" v="4519"/>
    </bk>
    <bk>
      <rc t="2" v="4520"/>
    </bk>
    <bk>
      <rc t="2" v="4521"/>
    </bk>
    <bk>
      <rc t="2" v="4522"/>
    </bk>
    <bk>
      <rc t="2" v="4523"/>
    </bk>
    <bk>
      <rc t="2" v="4524"/>
    </bk>
    <bk>
      <rc t="2" v="4525"/>
    </bk>
    <bk>
      <rc t="2" v="4526"/>
    </bk>
    <bk>
      <rc t="2" v="4527"/>
    </bk>
    <bk>
      <rc t="2" v="4528"/>
    </bk>
    <bk>
      <rc t="2" v="4529"/>
    </bk>
    <bk>
      <rc t="2" v="4530"/>
    </bk>
    <bk>
      <rc t="2" v="4531"/>
    </bk>
    <bk>
      <rc t="2" v="4532"/>
    </bk>
    <bk>
      <rc t="2" v="4533"/>
    </bk>
    <bk>
      <rc t="2" v="4534"/>
    </bk>
    <bk>
      <rc t="2" v="4535"/>
    </bk>
    <bk>
      <rc t="2" v="4536"/>
    </bk>
    <bk>
      <rc t="2" v="4537"/>
    </bk>
    <bk>
      <rc t="2" v="4538"/>
    </bk>
    <bk>
      <rc t="2" v="4539"/>
    </bk>
    <bk>
      <rc t="2" v="4540"/>
    </bk>
    <bk>
      <rc t="2" v="4541"/>
    </bk>
    <bk>
      <rc t="2" v="4542"/>
    </bk>
    <bk>
      <rc t="2" v="4543"/>
    </bk>
    <bk>
      <rc t="2" v="4544"/>
    </bk>
    <bk>
      <rc t="2" v="4545"/>
    </bk>
    <bk>
      <rc t="2" v="4546"/>
    </bk>
    <bk>
      <rc t="2" v="4547"/>
    </bk>
    <bk>
      <rc t="2" v="4548"/>
    </bk>
    <bk>
      <rc t="2" v="4549"/>
    </bk>
    <bk>
      <rc t="2" v="4550"/>
    </bk>
    <bk>
      <rc t="2" v="4551"/>
    </bk>
    <bk>
      <rc t="2" v="4552"/>
    </bk>
    <bk>
      <rc t="2" v="4553"/>
    </bk>
    <bk>
      <rc t="2" v="4554"/>
    </bk>
    <bk>
      <rc t="2" v="4555"/>
    </bk>
    <bk>
      <rc t="2" v="4556"/>
    </bk>
    <bk>
      <rc t="2" v="4557"/>
    </bk>
    <bk>
      <rc t="2" v="4558"/>
    </bk>
    <bk>
      <rc t="2" v="4559"/>
    </bk>
    <bk>
      <rc t="2" v="4560"/>
    </bk>
    <bk>
      <rc t="2" v="4561"/>
    </bk>
    <bk>
      <rc t="2" v="4562"/>
    </bk>
    <bk>
      <rc t="2" v="4563"/>
    </bk>
    <bk>
      <rc t="2" v="4564"/>
    </bk>
    <bk>
      <rc t="2" v="4565"/>
    </bk>
    <bk>
      <rc t="2" v="4566"/>
    </bk>
    <bk>
      <rc t="2" v="4567"/>
    </bk>
    <bk>
      <rc t="2" v="4568"/>
    </bk>
    <bk>
      <rc t="2" v="4569"/>
    </bk>
    <bk>
      <rc t="2" v="4570"/>
    </bk>
    <bk>
      <rc t="2" v="4571"/>
    </bk>
    <bk>
      <rc t="2" v="4572"/>
    </bk>
    <bk>
      <rc t="2" v="4573"/>
    </bk>
    <bk>
      <rc t="2" v="4574"/>
    </bk>
    <bk>
      <rc t="2" v="4575"/>
    </bk>
    <bk>
      <rc t="2" v="4576"/>
    </bk>
    <bk>
      <rc t="2" v="4577"/>
    </bk>
    <bk>
      <rc t="2" v="4578"/>
    </bk>
    <bk>
      <rc t="2" v="4579"/>
    </bk>
    <bk>
      <rc t="2" v="4580"/>
    </bk>
    <bk>
      <rc t="2" v="4581"/>
    </bk>
    <bk>
      <rc t="2" v="4582"/>
    </bk>
    <bk>
      <rc t="2" v="4583"/>
    </bk>
    <bk>
      <rc t="2" v="4584"/>
    </bk>
    <bk>
      <rc t="2" v="4585"/>
    </bk>
    <bk>
      <rc t="2" v="4586"/>
    </bk>
    <bk>
      <rc t="2" v="4587"/>
    </bk>
    <bk>
      <rc t="2" v="4588"/>
    </bk>
    <bk>
      <rc t="2" v="4589"/>
    </bk>
    <bk>
      <rc t="2" v="4590"/>
    </bk>
    <bk>
      <rc t="2" v="4591"/>
    </bk>
    <bk>
      <rc t="2" v="4592"/>
    </bk>
    <bk>
      <rc t="2" v="4593"/>
    </bk>
    <bk>
      <rc t="2" v="4594"/>
    </bk>
    <bk>
      <rc t="2" v="4595"/>
    </bk>
    <bk>
      <rc t="2" v="4596"/>
    </bk>
    <bk>
      <rc t="2" v="4597"/>
    </bk>
    <bk>
      <rc t="2" v="4598"/>
    </bk>
    <bk>
      <rc t="2" v="4599"/>
    </bk>
    <bk>
      <rc t="2" v="4600"/>
    </bk>
    <bk>
      <rc t="2" v="4601"/>
    </bk>
    <bk>
      <rc t="2" v="4602"/>
    </bk>
    <bk>
      <rc t="2" v="4603"/>
    </bk>
    <bk>
      <rc t="2" v="4604"/>
    </bk>
    <bk>
      <rc t="2" v="4605"/>
    </bk>
    <bk>
      <rc t="2" v="4606"/>
    </bk>
    <bk>
      <rc t="2" v="4607"/>
    </bk>
    <bk>
      <rc t="2" v="4608"/>
    </bk>
    <bk>
      <rc t="2" v="4609"/>
    </bk>
    <bk>
      <rc t="2" v="4610"/>
    </bk>
    <bk>
      <rc t="2" v="4611"/>
    </bk>
    <bk>
      <rc t="2" v="4612"/>
    </bk>
    <bk>
      <rc t="2" v="4613"/>
    </bk>
    <bk>
      <rc t="2" v="4614"/>
    </bk>
    <bk>
      <rc t="2" v="4615"/>
    </bk>
    <bk>
      <rc t="2" v="4616"/>
    </bk>
    <bk>
      <rc t="2" v="4617"/>
    </bk>
    <bk>
      <rc t="2" v="4618"/>
    </bk>
    <bk>
      <rc t="2" v="4619"/>
    </bk>
    <bk>
      <rc t="2" v="4620"/>
    </bk>
    <bk>
      <rc t="2" v="4621"/>
    </bk>
    <bk>
      <rc t="2" v="4622"/>
    </bk>
    <bk>
      <rc t="2" v="4623"/>
    </bk>
    <bk>
      <rc t="2" v="4624"/>
    </bk>
    <bk>
      <rc t="2" v="4625"/>
    </bk>
    <bk>
      <rc t="2" v="4626"/>
    </bk>
    <bk>
      <rc t="2" v="4627"/>
    </bk>
    <bk>
      <rc t="2" v="4628"/>
    </bk>
    <bk>
      <rc t="2" v="4629"/>
    </bk>
    <bk>
      <rc t="2" v="4630"/>
    </bk>
    <bk>
      <rc t="2" v="4631"/>
    </bk>
    <bk>
      <rc t="2" v="4632"/>
    </bk>
    <bk>
      <rc t="2" v="4633"/>
    </bk>
    <bk>
      <rc t="2" v="4634"/>
    </bk>
    <bk>
      <rc t="2" v="4635"/>
    </bk>
    <bk>
      <rc t="2" v="4636"/>
    </bk>
    <bk>
      <rc t="2" v="4637"/>
    </bk>
    <bk>
      <rc t="2" v="4638"/>
    </bk>
    <bk>
      <rc t="2" v="4639"/>
    </bk>
    <bk>
      <rc t="2" v="4640"/>
    </bk>
    <bk>
      <rc t="2" v="4641"/>
    </bk>
    <bk>
      <rc t="2" v="4642"/>
    </bk>
    <bk>
      <rc t="2" v="4643"/>
    </bk>
    <bk>
      <rc t="2" v="4644"/>
    </bk>
    <bk>
      <rc t="2" v="4645"/>
    </bk>
    <bk>
      <rc t="2" v="4646"/>
    </bk>
    <bk>
      <rc t="2" v="4647"/>
    </bk>
    <bk>
      <rc t="2" v="4648"/>
    </bk>
    <bk>
      <rc t="2" v="4649"/>
    </bk>
    <bk>
      <rc t="2" v="4650"/>
    </bk>
    <bk>
      <rc t="2" v="4651"/>
    </bk>
    <bk>
      <rc t="2" v="4652"/>
    </bk>
    <bk>
      <rc t="2" v="4653"/>
    </bk>
    <bk>
      <rc t="2" v="4654"/>
    </bk>
    <bk>
      <rc t="2" v="4655"/>
    </bk>
    <bk>
      <rc t="2" v="4656"/>
    </bk>
    <bk>
      <rc t="2" v="4657"/>
    </bk>
    <bk>
      <rc t="2" v="4658"/>
    </bk>
    <bk>
      <rc t="2" v="4659"/>
    </bk>
    <bk>
      <rc t="2" v="4660"/>
    </bk>
    <bk>
      <rc t="2" v="4661"/>
    </bk>
    <bk>
      <rc t="2" v="4662"/>
    </bk>
    <bk>
      <rc t="2" v="4663"/>
    </bk>
    <bk>
      <rc t="2" v="4664"/>
    </bk>
    <bk>
      <rc t="2" v="4665"/>
    </bk>
    <bk>
      <rc t="2" v="4666"/>
    </bk>
    <bk>
      <rc t="2" v="4667"/>
    </bk>
    <bk>
      <rc t="2" v="4668"/>
    </bk>
    <bk>
      <rc t="2" v="4669"/>
    </bk>
    <bk>
      <rc t="2" v="4670"/>
    </bk>
    <bk>
      <rc t="2" v="4671"/>
    </bk>
    <bk>
      <rc t="2" v="4672"/>
    </bk>
    <bk>
      <rc t="2" v="4673"/>
    </bk>
    <bk>
      <rc t="2" v="4674"/>
    </bk>
    <bk>
      <rc t="2" v="4675"/>
    </bk>
    <bk>
      <rc t="2" v="4676"/>
    </bk>
    <bk>
      <rc t="2" v="4677"/>
    </bk>
    <bk>
      <rc t="2" v="4678"/>
    </bk>
    <bk>
      <rc t="2" v="4679"/>
    </bk>
    <bk>
      <rc t="2" v="4680"/>
    </bk>
    <bk>
      <rc t="2" v="4681"/>
    </bk>
    <bk>
      <rc t="2" v="4682"/>
    </bk>
    <bk>
      <rc t="2" v="4683"/>
    </bk>
    <bk>
      <rc t="2" v="4684"/>
    </bk>
    <bk>
      <rc t="2" v="4685"/>
    </bk>
    <bk>
      <rc t="2" v="4686"/>
    </bk>
    <bk>
      <rc t="2" v="4687"/>
    </bk>
    <bk>
      <rc t="2" v="4688"/>
    </bk>
    <bk>
      <rc t="2" v="4689"/>
    </bk>
    <bk>
      <rc t="2" v="4690"/>
    </bk>
    <bk>
      <rc t="2" v="4691"/>
    </bk>
    <bk>
      <rc t="2" v="4692"/>
    </bk>
    <bk>
      <rc t="2" v="4693"/>
    </bk>
    <bk>
      <rc t="2" v="4694"/>
    </bk>
    <bk>
      <rc t="2" v="4695"/>
    </bk>
    <bk>
      <rc t="2" v="4696"/>
    </bk>
    <bk>
      <rc t="2" v="4697"/>
    </bk>
    <bk>
      <rc t="2" v="4698"/>
    </bk>
    <bk>
      <rc t="2" v="4699"/>
    </bk>
    <bk>
      <rc t="2" v="4700"/>
    </bk>
    <bk>
      <rc t="2" v="4701"/>
    </bk>
    <bk>
      <rc t="2" v="4702"/>
    </bk>
    <bk>
      <rc t="2" v="4703"/>
    </bk>
    <bk>
      <rc t="2" v="4704"/>
    </bk>
    <bk>
      <rc t="2" v="4705"/>
    </bk>
    <bk>
      <rc t="2" v="4706"/>
    </bk>
    <bk>
      <rc t="2" v="4707"/>
    </bk>
    <bk>
      <rc t="2" v="4708"/>
    </bk>
    <bk>
      <rc t="2" v="4709"/>
    </bk>
    <bk>
      <rc t="2" v="4710"/>
    </bk>
    <bk>
      <rc t="2" v="4711"/>
    </bk>
    <bk>
      <rc t="2" v="4712"/>
    </bk>
    <bk>
      <rc t="2" v="4713"/>
    </bk>
    <bk>
      <rc t="2" v="4714"/>
    </bk>
    <bk>
      <rc t="2" v="4715"/>
    </bk>
    <bk>
      <rc t="2" v="4716"/>
    </bk>
    <bk>
      <rc t="2" v="4717"/>
    </bk>
    <bk>
      <rc t="2" v="4718"/>
    </bk>
    <bk>
      <rc t="2" v="4719"/>
    </bk>
    <bk>
      <rc t="2" v="4720"/>
    </bk>
    <bk>
      <rc t="2" v="4721"/>
    </bk>
    <bk>
      <rc t="2" v="4722"/>
    </bk>
    <bk>
      <rc t="2" v="4723"/>
    </bk>
    <bk>
      <rc t="2" v="4724"/>
    </bk>
    <bk>
      <rc t="2" v="4725"/>
    </bk>
    <bk>
      <rc t="2" v="4726"/>
    </bk>
    <bk>
      <rc t="2" v="4727"/>
    </bk>
    <bk>
      <rc t="2" v="4728"/>
    </bk>
    <bk>
      <rc t="2" v="4729"/>
    </bk>
    <bk>
      <rc t="2" v="4730"/>
    </bk>
    <bk>
      <rc t="2" v="4731"/>
    </bk>
    <bk>
      <rc t="2" v="4732"/>
    </bk>
    <bk>
      <rc t="2" v="4733"/>
    </bk>
    <bk>
      <rc t="2" v="4734"/>
    </bk>
    <bk>
      <rc t="2" v="4735"/>
    </bk>
    <bk>
      <rc t="2" v="4736"/>
    </bk>
    <bk>
      <rc t="2" v="4737"/>
    </bk>
    <bk>
      <rc t="2" v="4738"/>
    </bk>
    <bk>
      <rc t="2" v="4739"/>
    </bk>
    <bk>
      <rc t="2" v="4740"/>
    </bk>
    <bk>
      <rc t="2" v="4741"/>
    </bk>
    <bk>
      <rc t="2" v="4742"/>
    </bk>
    <bk>
      <rc t="2" v="4743"/>
    </bk>
    <bk>
      <rc t="2" v="4744"/>
    </bk>
    <bk>
      <rc t="2" v="4745"/>
    </bk>
    <bk>
      <rc t="2" v="4746"/>
    </bk>
    <bk>
      <rc t="2" v="4747"/>
    </bk>
    <bk>
      <rc t="2" v="4748"/>
    </bk>
    <bk>
      <rc t="2" v="4749"/>
    </bk>
    <bk>
      <rc t="2" v="4750"/>
    </bk>
    <bk>
      <rc t="2" v="4751"/>
    </bk>
    <bk>
      <rc t="2" v="4752"/>
    </bk>
    <bk>
      <rc t="2" v="4753"/>
    </bk>
    <bk>
      <rc t="2" v="4754"/>
    </bk>
    <bk>
      <rc t="2" v="4755"/>
    </bk>
    <bk>
      <rc t="2" v="4756"/>
    </bk>
    <bk>
      <rc t="2" v="4757"/>
    </bk>
    <bk>
      <rc t="2" v="4758"/>
    </bk>
    <bk>
      <rc t="2" v="4759"/>
    </bk>
    <bk>
      <rc t="2" v="4760"/>
    </bk>
    <bk>
      <rc t="2" v="4761"/>
    </bk>
    <bk>
      <rc t="2" v="4762"/>
    </bk>
    <bk>
      <rc t="2" v="4763"/>
    </bk>
    <bk>
      <rc t="2" v="4764"/>
    </bk>
    <bk>
      <rc t="2" v="4765"/>
    </bk>
    <bk>
      <rc t="2" v="4766"/>
    </bk>
    <bk>
      <rc t="2" v="4767"/>
    </bk>
    <bk>
      <rc t="2" v="4768"/>
    </bk>
    <bk>
      <rc t="2" v="4769"/>
    </bk>
    <bk>
      <rc t="2" v="4770"/>
    </bk>
    <bk>
      <rc t="2" v="4771"/>
    </bk>
    <bk>
      <rc t="2" v="4772"/>
    </bk>
    <bk>
      <rc t="2" v="4773"/>
    </bk>
    <bk>
      <rc t="2" v="4774"/>
    </bk>
    <bk>
      <rc t="2" v="4775"/>
    </bk>
    <bk>
      <rc t="2" v="4776"/>
    </bk>
    <bk>
      <rc t="2" v="4777"/>
    </bk>
    <bk>
      <rc t="2" v="4778"/>
    </bk>
    <bk>
      <rc t="2" v="4779"/>
    </bk>
    <bk>
      <rc t="2" v="4780"/>
    </bk>
    <bk>
      <rc t="2" v="4781"/>
    </bk>
    <bk>
      <rc t="2" v="4782"/>
    </bk>
    <bk>
      <rc t="2" v="4783"/>
    </bk>
    <bk>
      <rc t="2" v="4784"/>
    </bk>
    <bk>
      <rc t="2" v="4785"/>
    </bk>
    <bk>
      <rc t="2" v="4786"/>
    </bk>
    <bk>
      <rc t="2" v="4787"/>
    </bk>
    <bk>
      <rc t="2" v="4788"/>
    </bk>
    <bk>
      <rc t="2" v="4789"/>
    </bk>
    <bk>
      <rc t="2" v="4790"/>
    </bk>
    <bk>
      <rc t="2" v="4791"/>
    </bk>
    <bk>
      <rc t="2" v="4792"/>
    </bk>
    <bk>
      <rc t="2" v="4793"/>
    </bk>
    <bk>
      <rc t="2" v="4794"/>
    </bk>
    <bk>
      <rc t="2" v="4795"/>
    </bk>
    <bk>
      <rc t="2" v="4796"/>
    </bk>
    <bk>
      <rc t="2" v="4797"/>
    </bk>
    <bk>
      <rc t="2" v="4798"/>
    </bk>
    <bk>
      <rc t="2" v="4799"/>
    </bk>
    <bk>
      <rc t="2" v="4800"/>
    </bk>
    <bk>
      <rc t="2" v="4801"/>
    </bk>
    <bk>
      <rc t="2" v="4802"/>
    </bk>
    <bk>
      <rc t="2" v="4803"/>
    </bk>
    <bk>
      <rc t="2" v="4804"/>
    </bk>
    <bk>
      <rc t="2" v="4805"/>
    </bk>
    <bk>
      <rc t="2" v="4806"/>
    </bk>
    <bk>
      <rc t="2" v="4807"/>
    </bk>
    <bk>
      <rc t="2" v="4808"/>
    </bk>
    <bk>
      <rc t="2" v="4809"/>
    </bk>
    <bk>
      <rc t="2" v="4810"/>
    </bk>
    <bk>
      <rc t="2" v="4811"/>
    </bk>
    <bk>
      <rc t="2" v="4812"/>
    </bk>
    <bk>
      <rc t="2" v="4813"/>
    </bk>
    <bk>
      <rc t="2" v="4814"/>
    </bk>
    <bk>
      <rc t="2" v="4815"/>
    </bk>
    <bk>
      <rc t="2" v="4816"/>
    </bk>
    <bk>
      <rc t="2" v="4817"/>
    </bk>
    <bk>
      <rc t="2" v="4818"/>
    </bk>
    <bk>
      <rc t="2" v="4819"/>
    </bk>
    <bk>
      <rc t="2" v="4820"/>
    </bk>
    <bk>
      <rc t="2" v="4821"/>
    </bk>
    <bk>
      <rc t="2" v="4822"/>
    </bk>
    <bk>
      <rc t="2" v="4823"/>
    </bk>
    <bk>
      <rc t="2" v="4824"/>
    </bk>
    <bk>
      <rc t="2" v="4825"/>
    </bk>
    <bk>
      <rc t="2" v="4826"/>
    </bk>
    <bk>
      <rc t="2" v="4827"/>
    </bk>
    <bk>
      <rc t="2" v="4828"/>
    </bk>
    <bk>
      <rc t="2" v="4829"/>
    </bk>
    <bk>
      <rc t="2" v="4830"/>
    </bk>
    <bk>
      <rc t="2" v="4831"/>
    </bk>
    <bk>
      <rc t="2" v="4832"/>
    </bk>
    <bk>
      <rc t="2" v="4833"/>
    </bk>
    <bk>
      <rc t="2" v="4834"/>
    </bk>
    <bk>
      <rc t="2" v="4835"/>
    </bk>
    <bk>
      <rc t="2" v="4836"/>
    </bk>
    <bk>
      <rc t="2" v="4837"/>
    </bk>
    <bk>
      <rc t="2" v="4838"/>
    </bk>
    <bk>
      <rc t="2" v="4839"/>
    </bk>
    <bk>
      <rc t="2" v="4840"/>
    </bk>
    <bk>
      <rc t="2" v="4841"/>
    </bk>
    <bk>
      <rc t="2" v="4842"/>
    </bk>
    <bk>
      <rc t="2" v="4843"/>
    </bk>
    <bk>
      <rc t="2" v="4844"/>
    </bk>
    <bk>
      <rc t="2" v="4845"/>
    </bk>
    <bk>
      <rc t="2" v="4846"/>
    </bk>
    <bk>
      <rc t="2" v="4847"/>
    </bk>
    <bk>
      <rc t="2" v="4848"/>
    </bk>
    <bk>
      <rc t="2" v="4849"/>
    </bk>
    <bk>
      <rc t="2" v="4850"/>
    </bk>
    <bk>
      <rc t="2" v="4851"/>
    </bk>
    <bk>
      <rc t="2" v="4852"/>
    </bk>
    <bk>
      <rc t="2" v="4853"/>
    </bk>
    <bk>
      <rc t="2" v="4854"/>
    </bk>
    <bk>
      <rc t="2" v="4855"/>
    </bk>
    <bk>
      <rc t="2" v="4856"/>
    </bk>
    <bk>
      <rc t="2" v="4857"/>
    </bk>
    <bk>
      <rc t="2" v="4858"/>
    </bk>
    <bk>
      <rc t="2" v="4859"/>
    </bk>
    <bk>
      <rc t="2" v="4860"/>
    </bk>
    <bk>
      <rc t="2" v="4861"/>
    </bk>
    <bk>
      <rc t="2" v="4862"/>
    </bk>
    <bk>
      <rc t="2" v="4863"/>
    </bk>
    <bk>
      <rc t="2" v="4864"/>
    </bk>
    <bk>
      <rc t="2" v="4865"/>
    </bk>
    <bk>
      <rc t="2" v="4866"/>
    </bk>
    <bk>
      <rc t="2" v="4867"/>
    </bk>
    <bk>
      <rc t="2" v="4868"/>
    </bk>
    <bk>
      <rc t="2" v="4869"/>
    </bk>
    <bk>
      <rc t="2" v="4870"/>
    </bk>
    <bk>
      <rc t="2" v="4871"/>
    </bk>
    <bk>
      <rc t="2" v="4872"/>
    </bk>
    <bk>
      <rc t="2" v="4873"/>
    </bk>
    <bk>
      <rc t="2" v="4874"/>
    </bk>
    <bk>
      <rc t="2" v="4875"/>
    </bk>
    <bk>
      <rc t="2" v="4876"/>
    </bk>
    <bk>
      <rc t="2" v="4877"/>
    </bk>
    <bk>
      <rc t="2" v="4878"/>
    </bk>
    <bk>
      <rc t="2" v="4879"/>
    </bk>
    <bk>
      <rc t="2" v="4880"/>
    </bk>
    <bk>
      <rc t="2" v="4881"/>
    </bk>
    <bk>
      <rc t="2" v="4882"/>
    </bk>
    <bk>
      <rc t="2" v="4883"/>
    </bk>
    <bk>
      <rc t="2" v="4884"/>
    </bk>
    <bk>
      <rc t="2" v="4885"/>
    </bk>
    <bk>
      <rc t="2" v="4886"/>
    </bk>
    <bk>
      <rc t="2" v="4887"/>
    </bk>
    <bk>
      <rc t="2" v="4888"/>
    </bk>
    <bk>
      <rc t="2" v="4889"/>
    </bk>
    <bk>
      <rc t="2" v="4890"/>
    </bk>
    <bk>
      <rc t="2" v="4891"/>
    </bk>
    <bk>
      <rc t="2" v="4892"/>
    </bk>
    <bk>
      <rc t="2" v="4893"/>
    </bk>
    <bk>
      <rc t="2" v="4894"/>
    </bk>
    <bk>
      <rc t="2" v="4895"/>
    </bk>
    <bk>
      <rc t="2" v="4896"/>
    </bk>
    <bk>
      <rc t="2" v="4897"/>
    </bk>
    <bk>
      <rc t="2" v="4898"/>
    </bk>
    <bk>
      <rc t="2" v="4899"/>
    </bk>
    <bk>
      <rc t="2" v="4900"/>
    </bk>
    <bk>
      <rc t="2" v="4901"/>
    </bk>
    <bk>
      <rc t="2" v="4902"/>
    </bk>
    <bk>
      <rc t="2" v="4903"/>
    </bk>
    <bk>
      <rc t="2" v="4904"/>
    </bk>
    <bk>
      <rc t="2" v="4905"/>
    </bk>
    <bk>
      <rc t="2" v="4906"/>
    </bk>
    <bk>
      <rc t="2" v="4907"/>
    </bk>
    <bk>
      <rc t="2" v="4908"/>
    </bk>
    <bk>
      <rc t="2" v="4909"/>
    </bk>
    <bk>
      <rc t="2" v="4910"/>
    </bk>
    <bk>
      <rc t="2" v="4911"/>
    </bk>
    <bk>
      <rc t="2" v="4912"/>
    </bk>
    <bk>
      <rc t="2" v="4913"/>
    </bk>
    <bk>
      <rc t="2" v="4914"/>
    </bk>
    <bk>
      <rc t="2" v="4915"/>
    </bk>
    <bk>
      <rc t="2" v="4916"/>
    </bk>
    <bk>
      <rc t="2" v="4917"/>
    </bk>
    <bk>
      <rc t="2" v="4918"/>
    </bk>
    <bk>
      <rc t="2" v="4919"/>
    </bk>
    <bk>
      <rc t="2" v="4920"/>
    </bk>
    <bk>
      <rc t="2" v="4921"/>
    </bk>
    <bk>
      <rc t="2" v="4922"/>
    </bk>
    <bk>
      <rc t="2" v="4923"/>
    </bk>
    <bk>
      <rc t="2" v="4924"/>
    </bk>
    <bk>
      <rc t="2" v="4925"/>
    </bk>
    <bk>
      <rc t="2" v="4926"/>
    </bk>
    <bk>
      <rc t="2" v="4927"/>
    </bk>
    <bk>
      <rc t="2" v="4928"/>
    </bk>
    <bk>
      <rc t="2" v="4929"/>
    </bk>
    <bk>
      <rc t="2" v="4930"/>
    </bk>
    <bk>
      <rc t="2" v="4931"/>
    </bk>
    <bk>
      <rc t="2" v="4932"/>
    </bk>
    <bk>
      <rc t="2" v="4933"/>
    </bk>
    <bk>
      <rc t="2" v="4934"/>
    </bk>
    <bk>
      <rc t="2" v="4935"/>
    </bk>
    <bk>
      <rc t="2" v="4936"/>
    </bk>
    <bk>
      <rc t="2" v="4937"/>
    </bk>
    <bk>
      <rc t="2" v="4938"/>
    </bk>
    <bk>
      <rc t="2" v="4939"/>
    </bk>
    <bk>
      <rc t="2" v="4940"/>
    </bk>
    <bk>
      <rc t="2" v="4941"/>
    </bk>
    <bk>
      <rc t="2" v="4942"/>
    </bk>
    <bk>
      <rc t="2" v="4943"/>
    </bk>
    <bk>
      <rc t="2" v="4944"/>
    </bk>
    <bk>
      <rc t="2" v="4945"/>
    </bk>
    <bk>
      <rc t="2" v="4946"/>
    </bk>
    <bk>
      <rc t="2" v="4947"/>
    </bk>
    <bk>
      <rc t="2" v="4948"/>
    </bk>
    <bk>
      <rc t="2" v="4949"/>
    </bk>
    <bk>
      <rc t="2" v="4950"/>
    </bk>
    <bk>
      <rc t="2" v="4951"/>
    </bk>
    <bk>
      <rc t="2" v="4952"/>
    </bk>
    <bk>
      <rc t="2" v="4953"/>
    </bk>
    <bk>
      <rc t="2" v="4954"/>
    </bk>
    <bk>
      <rc t="2" v="4955"/>
    </bk>
    <bk>
      <rc t="2" v="4956"/>
    </bk>
    <bk>
      <rc t="2" v="4957"/>
    </bk>
    <bk>
      <rc t="2" v="4958"/>
    </bk>
    <bk>
      <rc t="2" v="4959"/>
    </bk>
    <bk>
      <rc t="2" v="4960"/>
    </bk>
    <bk>
      <rc t="2" v="4961"/>
    </bk>
    <bk>
      <rc t="2" v="4962"/>
    </bk>
    <bk>
      <rc t="2" v="4963"/>
    </bk>
    <bk>
      <rc t="2" v="4964"/>
    </bk>
    <bk>
      <rc t="2" v="4965"/>
    </bk>
    <bk>
      <rc t="2" v="4966"/>
    </bk>
    <bk>
      <rc t="2" v="4967"/>
    </bk>
    <bk>
      <rc t="2" v="4968"/>
    </bk>
    <bk>
      <rc t="2" v="4969"/>
    </bk>
    <bk>
      <rc t="2" v="4970"/>
    </bk>
    <bk>
      <rc t="2" v="4971"/>
    </bk>
    <bk>
      <rc t="2" v="4972"/>
    </bk>
    <bk>
      <rc t="2" v="4973"/>
    </bk>
    <bk>
      <rc t="2" v="4974"/>
    </bk>
    <bk>
      <rc t="2" v="4975"/>
    </bk>
    <bk>
      <rc t="2" v="4976"/>
    </bk>
    <bk>
      <rc t="2" v="4977"/>
    </bk>
    <bk>
      <rc t="2" v="4978"/>
    </bk>
    <bk>
      <rc t="2" v="4979"/>
    </bk>
    <bk>
      <rc t="2" v="4980"/>
    </bk>
    <bk>
      <rc t="2" v="4981"/>
    </bk>
    <bk>
      <rc t="2" v="4982"/>
    </bk>
    <bk>
      <rc t="2" v="4983"/>
    </bk>
    <bk>
      <rc t="2" v="4984"/>
    </bk>
    <bk>
      <rc t="2" v="4985"/>
    </bk>
    <bk>
      <rc t="2" v="4986"/>
    </bk>
    <bk>
      <rc t="2" v="4987"/>
    </bk>
    <bk>
      <rc t="2" v="4988"/>
    </bk>
    <bk>
      <rc t="2" v="4989"/>
    </bk>
    <bk>
      <rc t="2" v="4990"/>
    </bk>
    <bk>
      <rc t="2" v="4991"/>
    </bk>
    <bk>
      <rc t="2" v="4992"/>
    </bk>
    <bk>
      <rc t="2" v="4993"/>
    </bk>
    <bk>
      <rc t="2" v="4994"/>
    </bk>
    <bk>
      <rc t="2" v="4995"/>
    </bk>
    <bk>
      <rc t="2" v="4996"/>
    </bk>
    <bk>
      <rc t="2" v="4997"/>
    </bk>
    <bk>
      <rc t="2" v="4998"/>
    </bk>
    <bk>
      <rc t="2" v="4999"/>
    </bk>
    <bk>
      <rc t="2" v="5000"/>
    </bk>
    <bk>
      <rc t="2" v="5001"/>
    </bk>
    <bk>
      <rc t="2" v="5002"/>
    </bk>
    <bk>
      <rc t="2" v="5003"/>
    </bk>
    <bk>
      <rc t="2" v="5004"/>
    </bk>
    <bk>
      <rc t="2" v="5005"/>
    </bk>
    <bk>
      <rc t="2" v="5006"/>
    </bk>
    <bk>
      <rc t="2" v="5007"/>
    </bk>
    <bk>
      <rc t="2" v="5008"/>
    </bk>
    <bk>
      <rc t="2" v="5009"/>
    </bk>
    <bk>
      <rc t="2" v="5010"/>
    </bk>
    <bk>
      <rc t="2" v="5011"/>
    </bk>
    <bk>
      <rc t="2" v="5012"/>
    </bk>
    <bk>
      <rc t="2" v="5013"/>
    </bk>
    <bk>
      <rc t="2" v="5014"/>
    </bk>
    <bk>
      <rc t="2" v="5015"/>
    </bk>
    <bk>
      <rc t="2" v="5016"/>
    </bk>
    <bk>
      <rc t="2" v="5017"/>
    </bk>
    <bk>
      <rc t="2" v="5018"/>
    </bk>
    <bk>
      <rc t="2" v="5019"/>
    </bk>
    <bk>
      <rc t="2" v="5020"/>
    </bk>
    <bk>
      <rc t="2" v="5021"/>
    </bk>
    <bk>
      <rc t="2" v="5022"/>
    </bk>
    <bk>
      <rc t="2" v="5023"/>
    </bk>
    <bk>
      <rc t="2" v="5024"/>
    </bk>
    <bk>
      <rc t="2" v="5025"/>
    </bk>
    <bk>
      <rc t="2" v="5026"/>
    </bk>
    <bk>
      <rc t="2" v="5027"/>
    </bk>
    <bk>
      <rc t="2" v="5028"/>
    </bk>
    <bk>
      <rc t="2" v="5029"/>
    </bk>
    <bk>
      <rc t="2" v="5030"/>
    </bk>
    <bk>
      <rc t="2" v="5031"/>
    </bk>
    <bk>
      <rc t="2" v="5032"/>
    </bk>
    <bk>
      <rc t="2" v="5033"/>
    </bk>
    <bk>
      <rc t="2" v="5034"/>
    </bk>
    <bk>
      <rc t="2" v="5035"/>
    </bk>
    <bk>
      <rc t="2" v="5036"/>
    </bk>
    <bk>
      <rc t="2" v="5037"/>
    </bk>
    <bk>
      <rc t="2" v="5038"/>
    </bk>
    <bk>
      <rc t="2" v="5039"/>
    </bk>
    <bk>
      <rc t="2" v="5040"/>
    </bk>
    <bk>
      <rc t="2" v="5041"/>
    </bk>
    <bk>
      <rc t="2" v="5042"/>
    </bk>
    <bk>
      <rc t="2" v="5043"/>
    </bk>
    <bk>
      <rc t="2" v="5044"/>
    </bk>
    <bk>
      <rc t="2" v="5045"/>
    </bk>
    <bk>
      <rc t="2" v="5046"/>
    </bk>
    <bk>
      <rc t="2" v="5047"/>
    </bk>
    <bk>
      <rc t="2" v="5048"/>
    </bk>
    <bk>
      <rc t="2" v="5049"/>
    </bk>
    <bk>
      <rc t="2" v="5050"/>
    </bk>
    <bk>
      <rc t="2" v="5051"/>
    </bk>
    <bk>
      <rc t="2" v="5052"/>
    </bk>
    <bk>
      <rc t="2" v="5053"/>
    </bk>
    <bk>
      <rc t="2" v="5054"/>
    </bk>
    <bk>
      <rc t="2" v="5055"/>
    </bk>
    <bk>
      <rc t="2" v="5056"/>
    </bk>
    <bk>
      <rc t="2" v="5057"/>
    </bk>
    <bk>
      <rc t="2" v="5058"/>
    </bk>
    <bk>
      <rc t="2" v="5059"/>
    </bk>
    <bk>
      <rc t="2" v="5060"/>
    </bk>
    <bk>
      <rc t="2" v="5061"/>
    </bk>
    <bk>
      <rc t="2" v="5062"/>
    </bk>
    <bk>
      <rc t="2" v="5063"/>
    </bk>
    <bk>
      <rc t="2" v="5064"/>
    </bk>
    <bk>
      <rc t="2" v="5065"/>
    </bk>
    <bk>
      <rc t="2" v="5066"/>
    </bk>
    <bk>
      <rc t="2" v="5067"/>
    </bk>
    <bk>
      <rc t="2" v="5068"/>
    </bk>
    <bk>
      <rc t="2" v="5069"/>
    </bk>
    <bk>
      <rc t="2" v="5070"/>
    </bk>
    <bk>
      <rc t="2" v="5071"/>
    </bk>
    <bk>
      <rc t="2" v="5072"/>
    </bk>
    <bk>
      <rc t="2" v="5073"/>
    </bk>
    <bk>
      <rc t="2" v="5074"/>
    </bk>
    <bk>
      <rc t="2" v="5075"/>
    </bk>
    <bk>
      <rc t="2" v="5076"/>
    </bk>
    <bk>
      <rc t="2" v="5077"/>
    </bk>
    <bk>
      <rc t="2" v="5078"/>
    </bk>
    <bk>
      <rc t="2" v="5079"/>
    </bk>
    <bk>
      <rc t="2" v="5080"/>
    </bk>
    <bk>
      <rc t="2" v="5081"/>
    </bk>
    <bk>
      <rc t="2" v="5082"/>
    </bk>
    <bk>
      <rc t="2" v="5083"/>
    </bk>
    <bk>
      <rc t="2" v="5084"/>
    </bk>
    <bk>
      <rc t="2" v="5085"/>
    </bk>
    <bk>
      <rc t="2" v="5086"/>
    </bk>
    <bk>
      <rc t="2" v="5087"/>
    </bk>
    <bk>
      <rc t="2" v="5088"/>
    </bk>
    <bk>
      <rc t="2" v="5089"/>
    </bk>
    <bk>
      <rc t="2" v="5090"/>
    </bk>
    <bk>
      <rc t="2" v="5091"/>
    </bk>
    <bk>
      <rc t="2" v="5092"/>
    </bk>
    <bk>
      <rc t="2" v="5093"/>
    </bk>
    <bk>
      <rc t="2" v="5094"/>
    </bk>
    <bk>
      <rc t="2" v="5095"/>
    </bk>
    <bk>
      <rc t="2" v="5096"/>
    </bk>
    <bk>
      <rc t="2" v="5097"/>
    </bk>
    <bk>
      <rc t="2" v="5098"/>
    </bk>
    <bk>
      <rc t="2" v="5099"/>
    </bk>
    <bk>
      <rc t="2" v="5100"/>
    </bk>
    <bk>
      <rc t="2" v="5101"/>
    </bk>
    <bk>
      <rc t="2" v="5102"/>
    </bk>
    <bk>
      <rc t="2" v="5103"/>
    </bk>
    <bk>
      <rc t="2" v="5104"/>
    </bk>
    <bk>
      <rc t="2" v="5105"/>
    </bk>
    <bk>
      <rc t="2" v="5106"/>
    </bk>
    <bk>
      <rc t="2" v="5107"/>
    </bk>
    <bk>
      <rc t="2" v="5108"/>
    </bk>
    <bk>
      <rc t="2" v="5109"/>
    </bk>
    <bk>
      <rc t="2" v="5110"/>
    </bk>
    <bk>
      <rc t="2" v="5111"/>
    </bk>
    <bk>
      <rc t="2" v="5112"/>
    </bk>
    <bk>
      <rc t="2" v="5113"/>
    </bk>
    <bk>
      <rc t="2" v="5114"/>
    </bk>
    <bk>
      <rc t="2" v="5115"/>
    </bk>
    <bk>
      <rc t="2" v="5116"/>
    </bk>
    <bk>
      <rc t="2" v="5117"/>
    </bk>
    <bk>
      <rc t="2" v="5118"/>
    </bk>
    <bk>
      <rc t="2" v="5119"/>
    </bk>
    <bk>
      <rc t="2" v="5120"/>
    </bk>
    <bk>
      <rc t="2" v="5121"/>
    </bk>
    <bk>
      <rc t="2" v="5122"/>
    </bk>
    <bk>
      <rc t="2" v="5123"/>
    </bk>
    <bk>
      <rc t="2" v="5124"/>
    </bk>
    <bk>
      <rc t="2" v="5125"/>
    </bk>
    <bk>
      <rc t="2" v="5126"/>
    </bk>
    <bk>
      <rc t="2" v="5127"/>
    </bk>
    <bk>
      <rc t="2" v="5128"/>
    </bk>
    <bk>
      <rc t="2" v="5129"/>
    </bk>
    <bk>
      <rc t="2" v="5130"/>
    </bk>
    <bk>
      <rc t="2" v="5131"/>
    </bk>
    <bk>
      <rc t="2" v="5132"/>
    </bk>
    <bk>
      <rc t="2" v="5133"/>
    </bk>
    <bk>
      <rc t="2" v="5134"/>
    </bk>
    <bk>
      <rc t="2" v="5135"/>
    </bk>
    <bk>
      <rc t="2" v="5136"/>
    </bk>
    <bk>
      <rc t="2" v="5137"/>
    </bk>
    <bk>
      <rc t="2" v="5138"/>
    </bk>
    <bk>
      <rc t="2" v="5139"/>
    </bk>
    <bk>
      <rc t="2" v="5140"/>
    </bk>
    <bk>
      <rc t="2" v="5141"/>
    </bk>
    <bk>
      <rc t="2" v="5142"/>
    </bk>
    <bk>
      <rc t="2" v="5143"/>
    </bk>
    <bk>
      <rc t="2" v="5144"/>
    </bk>
    <bk>
      <rc t="2" v="5145"/>
    </bk>
    <bk>
      <rc t="2" v="5146"/>
    </bk>
    <bk>
      <rc t="2" v="5147"/>
    </bk>
    <bk>
      <rc t="2" v="5148"/>
    </bk>
    <bk>
      <rc t="2" v="5149"/>
    </bk>
    <bk>
      <rc t="2" v="5150"/>
    </bk>
    <bk>
      <rc t="2" v="5151"/>
    </bk>
    <bk>
      <rc t="2" v="5152"/>
    </bk>
    <bk>
      <rc t="2" v="5153"/>
    </bk>
    <bk>
      <rc t="2" v="5154"/>
    </bk>
    <bk>
      <rc t="2" v="5155"/>
    </bk>
    <bk>
      <rc t="2" v="5156"/>
    </bk>
    <bk>
      <rc t="2" v="5157"/>
    </bk>
    <bk>
      <rc t="2" v="5158"/>
    </bk>
    <bk>
      <rc t="2" v="5159"/>
    </bk>
    <bk>
      <rc t="2" v="5160"/>
    </bk>
    <bk>
      <rc t="2" v="5161"/>
    </bk>
    <bk>
      <rc t="2" v="5162"/>
    </bk>
    <bk>
      <rc t="2" v="5163"/>
    </bk>
    <bk>
      <rc t="2" v="5164"/>
    </bk>
    <bk>
      <rc t="2" v="5165"/>
    </bk>
    <bk>
      <rc t="2" v="5166"/>
    </bk>
    <bk>
      <rc t="2" v="5167"/>
    </bk>
    <bk>
      <rc t="2" v="5168"/>
    </bk>
    <bk>
      <rc t="2" v="5169"/>
    </bk>
    <bk>
      <rc t="2" v="5170"/>
    </bk>
    <bk>
      <rc t="2" v="5171"/>
    </bk>
    <bk>
      <rc t="2" v="5172"/>
    </bk>
    <bk>
      <rc t="2" v="5173"/>
    </bk>
    <bk>
      <rc t="2" v="5174"/>
    </bk>
    <bk>
      <rc t="2" v="5175"/>
    </bk>
    <bk>
      <rc t="2" v="5176"/>
    </bk>
    <bk>
      <rc t="2" v="5177"/>
    </bk>
    <bk>
      <rc t="2" v="5178"/>
    </bk>
    <bk>
      <rc t="2" v="5179"/>
    </bk>
    <bk>
      <rc t="2" v="5180"/>
    </bk>
    <bk>
      <rc t="2" v="5181"/>
    </bk>
    <bk>
      <rc t="2" v="5182"/>
    </bk>
    <bk>
      <rc t="2" v="5183"/>
    </bk>
    <bk>
      <rc t="2" v="5184"/>
    </bk>
    <bk>
      <rc t="2" v="5185"/>
    </bk>
    <bk>
      <rc t="2" v="5186"/>
    </bk>
    <bk>
      <rc t="2" v="5187"/>
    </bk>
    <bk>
      <rc t="2" v="5188"/>
    </bk>
    <bk>
      <rc t="2" v="5189"/>
    </bk>
    <bk>
      <rc t="2" v="5190"/>
    </bk>
    <bk>
      <rc t="2" v="5191"/>
    </bk>
    <bk>
      <rc t="2" v="5192"/>
    </bk>
    <bk>
      <rc t="2" v="5193"/>
    </bk>
    <bk>
      <rc t="2" v="5194"/>
    </bk>
    <bk>
      <rc t="2" v="5195"/>
    </bk>
    <bk>
      <rc t="2" v="5196"/>
    </bk>
    <bk>
      <rc t="2" v="5197"/>
    </bk>
    <bk>
      <rc t="2" v="5198"/>
    </bk>
    <bk>
      <rc t="2" v="5199"/>
    </bk>
    <bk>
      <rc t="2" v="5200"/>
    </bk>
    <bk>
      <rc t="2" v="5201"/>
    </bk>
    <bk>
      <rc t="2" v="5202"/>
    </bk>
    <bk>
      <rc t="2" v="5203"/>
    </bk>
    <bk>
      <rc t="2" v="5204"/>
    </bk>
    <bk>
      <rc t="2" v="5205"/>
    </bk>
    <bk>
      <rc t="2" v="5206"/>
    </bk>
    <bk>
      <rc t="2" v="5207"/>
    </bk>
    <bk>
      <rc t="2" v="5208"/>
    </bk>
    <bk>
      <rc t="2" v="5209"/>
    </bk>
    <bk>
      <rc t="2" v="5210"/>
    </bk>
    <bk>
      <rc t="2" v="5211"/>
    </bk>
    <bk>
      <rc t="2" v="5212"/>
    </bk>
    <bk>
      <rc t="2" v="5213"/>
    </bk>
    <bk>
      <rc t="2" v="5214"/>
    </bk>
    <bk>
      <rc t="2" v="5215"/>
    </bk>
    <bk>
      <rc t="2" v="5216"/>
    </bk>
    <bk>
      <rc t="2" v="5217"/>
    </bk>
    <bk>
      <rc t="2" v="5218"/>
    </bk>
    <bk>
      <rc t="2" v="5219"/>
    </bk>
    <bk>
      <rc t="2" v="5220"/>
    </bk>
    <bk>
      <rc t="2" v="5221"/>
    </bk>
    <bk>
      <rc t="2" v="5222"/>
    </bk>
    <bk>
      <rc t="2" v="5223"/>
    </bk>
    <bk>
      <rc t="2" v="5224"/>
    </bk>
    <bk>
      <rc t="2" v="5225"/>
    </bk>
    <bk>
      <rc t="2" v="5226"/>
    </bk>
    <bk>
      <rc t="2" v="5227"/>
    </bk>
    <bk>
      <rc t="2" v="5228"/>
    </bk>
    <bk>
      <rc t="2" v="5229"/>
    </bk>
    <bk>
      <rc t="2" v="5230"/>
    </bk>
    <bk>
      <rc t="2" v="5231"/>
    </bk>
    <bk>
      <rc t="2" v="5232"/>
    </bk>
    <bk>
      <rc t="2" v="5233"/>
    </bk>
    <bk>
      <rc t="2" v="5234"/>
    </bk>
    <bk>
      <rc t="2" v="5235"/>
    </bk>
    <bk>
      <rc t="2" v="5236"/>
    </bk>
    <bk>
      <rc t="2" v="5237"/>
    </bk>
    <bk>
      <rc t="2" v="5238"/>
    </bk>
    <bk>
      <rc t="2" v="5239"/>
    </bk>
    <bk>
      <rc t="2" v="5240"/>
    </bk>
    <bk>
      <rc t="2" v="5241"/>
    </bk>
    <bk>
      <rc t="2" v="5242"/>
    </bk>
    <bk>
      <rc t="2" v="5243"/>
    </bk>
    <bk>
      <rc t="2" v="5244"/>
    </bk>
    <bk>
      <rc t="2" v="5245"/>
    </bk>
    <bk>
      <rc t="2" v="5246"/>
    </bk>
    <bk>
      <rc t="2" v="5247"/>
    </bk>
    <bk>
      <rc t="2" v="5248"/>
    </bk>
    <bk>
      <rc t="2" v="5249"/>
    </bk>
    <bk>
      <rc t="2" v="5250"/>
    </bk>
    <bk>
      <rc t="2" v="5251"/>
    </bk>
    <bk>
      <rc t="2" v="5252"/>
    </bk>
    <bk>
      <rc t="2" v="5253"/>
    </bk>
    <bk>
      <rc t="2" v="5254"/>
    </bk>
    <bk>
      <rc t="2" v="5255"/>
    </bk>
    <bk>
      <rc t="2" v="5256"/>
    </bk>
    <bk>
      <rc t="2" v="5257"/>
    </bk>
    <bk>
      <rc t="2" v="5258"/>
    </bk>
    <bk>
      <rc t="2" v="5259"/>
    </bk>
    <bk>
      <rc t="2" v="5260"/>
    </bk>
    <bk>
      <rc t="2" v="5261"/>
    </bk>
    <bk>
      <rc t="2" v="5262"/>
    </bk>
    <bk>
      <rc t="2" v="5263"/>
    </bk>
    <bk>
      <rc t="2" v="5264"/>
    </bk>
    <bk>
      <rc t="2" v="5265"/>
    </bk>
    <bk>
      <rc t="2" v="5266"/>
    </bk>
    <bk>
      <rc t="2" v="5267"/>
    </bk>
    <bk>
      <rc t="2" v="5268"/>
    </bk>
    <bk>
      <rc t="2" v="5269"/>
    </bk>
    <bk>
      <rc t="2" v="5270"/>
    </bk>
    <bk>
      <rc t="2" v="5271"/>
    </bk>
    <bk>
      <rc t="2" v="5272"/>
    </bk>
    <bk>
      <rc t="2" v="5273"/>
    </bk>
    <bk>
      <rc t="2" v="5274"/>
    </bk>
    <bk>
      <rc t="2" v="5275"/>
    </bk>
    <bk>
      <rc t="2" v="5276"/>
    </bk>
    <bk>
      <rc t="2" v="5277"/>
    </bk>
    <bk>
      <rc t="2" v="5278"/>
    </bk>
    <bk>
      <rc t="2" v="5279"/>
    </bk>
    <bk>
      <rc t="2" v="5280"/>
    </bk>
    <bk>
      <rc t="2" v="5281"/>
    </bk>
    <bk>
      <rc t="2" v="5282"/>
    </bk>
    <bk>
      <rc t="2" v="5283"/>
    </bk>
    <bk>
      <rc t="2" v="5284"/>
    </bk>
    <bk>
      <rc t="2" v="5285"/>
    </bk>
    <bk>
      <rc t="2" v="5286"/>
    </bk>
    <bk>
      <rc t="2" v="5287"/>
    </bk>
    <bk>
      <rc t="2" v="5288"/>
    </bk>
    <bk>
      <rc t="2" v="5289"/>
    </bk>
    <bk>
      <rc t="2" v="5290"/>
    </bk>
    <bk>
      <rc t="2" v="5291"/>
    </bk>
    <bk>
      <rc t="2" v="5292"/>
    </bk>
    <bk>
      <rc t="2" v="5293"/>
    </bk>
    <bk>
      <rc t="2" v="5294"/>
    </bk>
    <bk>
      <rc t="2" v="5295"/>
    </bk>
    <bk>
      <rc t="2" v="5296"/>
    </bk>
    <bk>
      <rc t="2" v="5297"/>
    </bk>
    <bk>
      <rc t="2" v="5298"/>
    </bk>
    <bk>
      <rc t="2" v="5299"/>
    </bk>
    <bk>
      <rc t="2" v="5300"/>
    </bk>
    <bk>
      <rc t="2" v="5301"/>
    </bk>
    <bk>
      <rc t="2" v="5302"/>
    </bk>
    <bk>
      <rc t="2" v="5303"/>
    </bk>
    <bk>
      <rc t="2" v="5304"/>
    </bk>
    <bk>
      <rc t="2" v="5305"/>
    </bk>
    <bk>
      <rc t="2" v="5306"/>
    </bk>
    <bk>
      <rc t="2" v="5307"/>
    </bk>
    <bk>
      <rc t="2" v="5308"/>
    </bk>
    <bk>
      <rc t="2" v="5309"/>
    </bk>
    <bk>
      <rc t="2" v="5310"/>
    </bk>
    <bk>
      <rc t="2" v="5311"/>
    </bk>
    <bk>
      <rc t="2" v="5312"/>
    </bk>
    <bk>
      <rc t="2" v="5313"/>
    </bk>
    <bk>
      <rc t="2" v="5314"/>
    </bk>
    <bk>
      <rc t="2" v="5315"/>
    </bk>
    <bk>
      <rc t="2" v="5316"/>
    </bk>
    <bk>
      <rc t="2" v="5317"/>
    </bk>
    <bk>
      <rc t="2" v="5318"/>
    </bk>
    <bk>
      <rc t="2" v="5319"/>
    </bk>
    <bk>
      <rc t="2" v="5320"/>
    </bk>
    <bk>
      <rc t="2" v="5321"/>
    </bk>
    <bk>
      <rc t="2" v="5322"/>
    </bk>
    <bk>
      <rc t="2" v="5323"/>
    </bk>
    <bk>
      <rc t="2" v="5324"/>
    </bk>
    <bk>
      <rc t="2" v="5325"/>
    </bk>
    <bk>
      <rc t="2" v="5326"/>
    </bk>
    <bk>
      <rc t="2" v="5327"/>
    </bk>
    <bk>
      <rc t="2" v="5328"/>
    </bk>
    <bk>
      <rc t="2" v="5329"/>
    </bk>
    <bk>
      <rc t="2" v="5330"/>
    </bk>
    <bk>
      <rc t="2" v="5331"/>
    </bk>
    <bk>
      <rc t="2" v="5332"/>
    </bk>
    <bk>
      <rc t="2" v="5333"/>
    </bk>
    <bk>
      <rc t="2" v="5334"/>
    </bk>
    <bk>
      <rc t="2" v="5335"/>
    </bk>
    <bk>
      <rc t="2" v="5336"/>
    </bk>
    <bk>
      <rc t="2" v="5337"/>
    </bk>
    <bk>
      <rc t="2" v="5338"/>
    </bk>
    <bk>
      <rc t="2" v="5339"/>
    </bk>
    <bk>
      <rc t="2" v="5340"/>
    </bk>
    <bk>
      <rc t="2" v="5341"/>
    </bk>
    <bk>
      <rc t="2" v="5342"/>
    </bk>
    <bk>
      <rc t="2" v="5343"/>
    </bk>
    <bk>
      <rc t="2" v="5344"/>
    </bk>
    <bk>
      <rc t="2" v="5345"/>
    </bk>
    <bk>
      <rc t="2" v="5346"/>
    </bk>
    <bk>
      <rc t="2" v="5347"/>
    </bk>
    <bk>
      <rc t="2" v="5348"/>
    </bk>
    <bk>
      <rc t="2" v="5349"/>
    </bk>
    <bk>
      <rc t="2" v="5350"/>
    </bk>
    <bk>
      <rc t="2" v="5351"/>
    </bk>
    <bk>
      <rc t="2" v="5352"/>
    </bk>
    <bk>
      <rc t="2" v="5353"/>
    </bk>
    <bk>
      <rc t="2" v="5354"/>
    </bk>
    <bk>
      <rc t="2" v="5355"/>
    </bk>
    <bk>
      <rc t="2" v="5356"/>
    </bk>
    <bk>
      <rc t="2" v="5357"/>
    </bk>
    <bk>
      <rc t="2" v="5358"/>
    </bk>
    <bk>
      <rc t="2" v="5359"/>
    </bk>
    <bk>
      <rc t="2" v="5360"/>
    </bk>
    <bk>
      <rc t="2" v="5361"/>
    </bk>
    <bk>
      <rc t="2" v="5362"/>
    </bk>
    <bk>
      <rc t="2" v="5363"/>
    </bk>
    <bk>
      <rc t="2" v="5364"/>
    </bk>
    <bk>
      <rc t="2" v="5365"/>
    </bk>
    <bk>
      <rc t="2" v="5366"/>
    </bk>
    <bk>
      <rc t="2" v="5367"/>
    </bk>
    <bk>
      <rc t="2" v="5368"/>
    </bk>
    <bk>
      <rc t="2" v="5369"/>
    </bk>
    <bk>
      <rc t="2" v="5370"/>
    </bk>
    <bk>
      <rc t="2" v="5371"/>
    </bk>
    <bk>
      <rc t="2" v="5372"/>
    </bk>
    <bk>
      <rc t="2" v="5373"/>
    </bk>
    <bk>
      <rc t="2" v="5374"/>
    </bk>
    <bk>
      <rc t="2" v="5375"/>
    </bk>
    <bk>
      <rc t="2" v="5376"/>
    </bk>
    <bk>
      <rc t="2" v="5377"/>
    </bk>
    <bk>
      <rc t="2" v="5378"/>
    </bk>
    <bk>
      <rc t="2" v="5379"/>
    </bk>
    <bk>
      <rc t="2" v="5380"/>
    </bk>
    <bk>
      <rc t="2" v="5381"/>
    </bk>
    <bk>
      <rc t="2" v="5382"/>
    </bk>
    <bk>
      <rc t="2" v="5383"/>
    </bk>
    <bk>
      <rc t="2" v="5384"/>
    </bk>
    <bk>
      <rc t="2" v="5385"/>
    </bk>
    <bk>
      <rc t="2" v="5386"/>
    </bk>
    <bk>
      <rc t="2" v="5387"/>
    </bk>
    <bk>
      <rc t="2" v="5388"/>
    </bk>
    <bk>
      <rc t="2" v="5389"/>
    </bk>
    <bk>
      <rc t="2" v="5390"/>
    </bk>
    <bk>
      <rc t="2" v="5391"/>
    </bk>
    <bk>
      <rc t="2" v="5392"/>
    </bk>
    <bk>
      <rc t="2" v="5393"/>
    </bk>
    <bk>
      <rc t="2" v="5394"/>
    </bk>
    <bk>
      <rc t="2" v="5395"/>
    </bk>
    <bk>
      <rc t="2" v="5396"/>
    </bk>
    <bk>
      <rc t="2" v="5397"/>
    </bk>
    <bk>
      <rc t="2" v="5398"/>
    </bk>
    <bk>
      <rc t="2" v="5399"/>
    </bk>
    <bk>
      <rc t="2" v="5400"/>
    </bk>
    <bk>
      <rc t="2" v="5401"/>
    </bk>
    <bk>
      <rc t="2" v="5402"/>
    </bk>
    <bk>
      <rc t="2" v="5403"/>
    </bk>
    <bk>
      <rc t="2" v="5404"/>
    </bk>
    <bk>
      <rc t="2" v="5405"/>
    </bk>
    <bk>
      <rc t="2" v="5406"/>
    </bk>
    <bk>
      <rc t="2" v="5407"/>
    </bk>
    <bk>
      <rc t="2" v="5408"/>
    </bk>
    <bk>
      <rc t="2" v="5409"/>
    </bk>
    <bk>
      <rc t="2" v="5410"/>
    </bk>
    <bk>
      <rc t="2" v="5411"/>
    </bk>
    <bk>
      <rc t="2" v="5412"/>
    </bk>
    <bk>
      <rc t="2" v="5413"/>
    </bk>
    <bk>
      <rc t="2" v="5414"/>
    </bk>
    <bk>
      <rc t="2" v="5415"/>
    </bk>
    <bk>
      <rc t="2" v="5416"/>
    </bk>
    <bk>
      <rc t="2" v="5417"/>
    </bk>
    <bk>
      <rc t="2" v="5418"/>
    </bk>
    <bk>
      <rc t="2" v="5419"/>
    </bk>
    <bk>
      <rc t="2" v="5420"/>
    </bk>
    <bk>
      <rc t="2" v="5421"/>
    </bk>
    <bk>
      <rc t="2" v="5422"/>
    </bk>
    <bk>
      <rc t="2" v="5423"/>
    </bk>
    <bk>
      <rc t="2" v="5424"/>
    </bk>
    <bk>
      <rc t="2" v="5425"/>
    </bk>
    <bk>
      <rc t="2" v="5426"/>
    </bk>
    <bk>
      <rc t="2" v="5427"/>
    </bk>
    <bk>
      <rc t="2" v="5428"/>
    </bk>
    <bk>
      <rc t="2" v="5429"/>
    </bk>
    <bk>
      <rc t="2" v="5430"/>
    </bk>
    <bk>
      <rc t="2" v="5431"/>
    </bk>
    <bk>
      <rc t="2" v="5432"/>
    </bk>
    <bk>
      <rc t="2" v="5433"/>
    </bk>
    <bk>
      <rc t="2" v="5434"/>
    </bk>
    <bk>
      <rc t="2" v="5435"/>
    </bk>
    <bk>
      <rc t="2" v="5436"/>
    </bk>
    <bk>
      <rc t="2" v="5437"/>
    </bk>
    <bk>
      <rc t="2" v="5438"/>
    </bk>
    <bk>
      <rc t="2" v="5439"/>
    </bk>
    <bk>
      <rc t="2" v="5440"/>
    </bk>
    <bk>
      <rc t="2" v="5441"/>
    </bk>
    <bk>
      <rc t="2" v="5442"/>
    </bk>
    <bk>
      <rc t="2" v="5443"/>
    </bk>
    <bk>
      <rc t="2" v="5444"/>
    </bk>
    <bk>
      <rc t="2" v="5445"/>
    </bk>
    <bk>
      <rc t="2" v="5446"/>
    </bk>
    <bk>
      <rc t="2" v="5447"/>
    </bk>
    <bk>
      <rc t="2" v="5448"/>
    </bk>
    <bk>
      <rc t="2" v="5449"/>
    </bk>
    <bk>
      <rc t="2" v="5450"/>
    </bk>
    <bk>
      <rc t="2" v="5451"/>
    </bk>
    <bk>
      <rc t="2" v="5452"/>
    </bk>
    <bk>
      <rc t="2" v="5453"/>
    </bk>
    <bk>
      <rc t="2" v="5454"/>
    </bk>
    <bk>
      <rc t="2" v="5455"/>
    </bk>
    <bk>
      <rc t="2" v="5456"/>
    </bk>
    <bk>
      <rc t="2" v="5457"/>
    </bk>
    <bk>
      <rc t="2" v="5458"/>
    </bk>
    <bk>
      <rc t="2" v="5459"/>
    </bk>
    <bk>
      <rc t="2" v="5460"/>
    </bk>
    <bk>
      <rc t="2" v="5461"/>
    </bk>
    <bk>
      <rc t="2" v="5462"/>
    </bk>
    <bk>
      <rc t="2" v="5463"/>
    </bk>
    <bk>
      <rc t="2" v="5464"/>
    </bk>
    <bk>
      <rc t="2" v="5465"/>
    </bk>
    <bk>
      <rc t="2" v="5466"/>
    </bk>
    <bk>
      <rc t="2" v="5467"/>
    </bk>
    <bk>
      <rc t="2" v="5468"/>
    </bk>
    <bk>
      <rc t="2" v="5469"/>
    </bk>
    <bk>
      <rc t="2" v="5470"/>
    </bk>
    <bk>
      <rc t="2" v="5471"/>
    </bk>
    <bk>
      <rc t="2" v="5472"/>
    </bk>
    <bk>
      <rc t="2" v="5473"/>
    </bk>
    <bk>
      <rc t="2" v="5474"/>
    </bk>
    <bk>
      <rc t="2" v="5475"/>
    </bk>
    <bk>
      <rc t="2" v="5476"/>
    </bk>
    <bk>
      <rc t="2" v="5477"/>
    </bk>
    <bk>
      <rc t="2" v="5478"/>
    </bk>
    <bk>
      <rc t="2" v="5479"/>
    </bk>
    <bk>
      <rc t="2" v="5480"/>
    </bk>
    <bk>
      <rc t="2" v="5481"/>
    </bk>
    <bk>
      <rc t="2" v="5482"/>
    </bk>
    <bk>
      <rc t="2" v="5483"/>
    </bk>
    <bk>
      <rc t="2" v="5484"/>
    </bk>
    <bk>
      <rc t="2" v="5485"/>
    </bk>
    <bk>
      <rc t="2" v="5486"/>
    </bk>
    <bk>
      <rc t="2" v="5487"/>
    </bk>
    <bk>
      <rc t="2" v="5488"/>
    </bk>
    <bk>
      <rc t="2" v="5489"/>
    </bk>
    <bk>
      <rc t="2" v="5490"/>
    </bk>
    <bk>
      <rc t="2" v="5491"/>
    </bk>
    <bk>
      <rc t="2" v="5492"/>
    </bk>
    <bk>
      <rc t="2" v="5493"/>
    </bk>
    <bk>
      <rc t="2" v="5494"/>
    </bk>
    <bk>
      <rc t="2" v="5495"/>
    </bk>
    <bk>
      <rc t="2" v="5496"/>
    </bk>
    <bk>
      <rc t="2" v="5497"/>
    </bk>
    <bk>
      <rc t="2" v="5498"/>
    </bk>
    <bk>
      <rc t="2" v="5499"/>
    </bk>
    <bk>
      <rc t="2" v="5500"/>
    </bk>
    <bk>
      <rc t="2" v="5501"/>
    </bk>
    <bk>
      <rc t="2" v="5502"/>
    </bk>
    <bk>
      <rc t="2" v="5503"/>
    </bk>
    <bk>
      <rc t="2" v="5504"/>
    </bk>
    <bk>
      <rc t="2" v="5505"/>
    </bk>
    <bk>
      <rc t="2" v="5506"/>
    </bk>
    <bk>
      <rc t="2" v="5507"/>
    </bk>
    <bk>
      <rc t="2" v="5508"/>
    </bk>
    <bk>
      <rc t="2" v="5509"/>
    </bk>
    <bk>
      <rc t="2" v="5510"/>
    </bk>
    <bk>
      <rc t="2" v="5511"/>
    </bk>
    <bk>
      <rc t="2" v="5512"/>
    </bk>
    <bk>
      <rc t="2" v="5513"/>
    </bk>
    <bk>
      <rc t="2" v="5514"/>
    </bk>
    <bk>
      <rc t="2" v="5515"/>
    </bk>
    <bk>
      <rc t="2" v="5516"/>
    </bk>
    <bk>
      <rc t="2" v="5517"/>
    </bk>
    <bk>
      <rc t="2" v="5518"/>
    </bk>
    <bk>
      <rc t="2" v="5519"/>
    </bk>
    <bk>
      <rc t="2" v="5520"/>
    </bk>
    <bk>
      <rc t="2" v="5521"/>
    </bk>
    <bk>
      <rc t="2" v="5522"/>
    </bk>
    <bk>
      <rc t="2" v="5523"/>
    </bk>
    <bk>
      <rc t="2" v="5524"/>
    </bk>
    <bk>
      <rc t="2" v="5525"/>
    </bk>
    <bk>
      <rc t="2" v="5526"/>
    </bk>
    <bk>
      <rc t="2" v="5527"/>
    </bk>
    <bk>
      <rc t="2" v="5528"/>
    </bk>
    <bk>
      <rc t="2" v="5529"/>
    </bk>
    <bk>
      <rc t="2" v="5530"/>
    </bk>
    <bk>
      <rc t="2" v="5531"/>
    </bk>
    <bk>
      <rc t="2" v="5532"/>
    </bk>
    <bk>
      <rc t="2" v="5533"/>
    </bk>
    <bk>
      <rc t="2" v="5534"/>
    </bk>
    <bk>
      <rc t="2" v="5535"/>
    </bk>
    <bk>
      <rc t="2" v="5536"/>
    </bk>
    <bk>
      <rc t="2" v="5537"/>
    </bk>
    <bk>
      <rc t="2" v="5538"/>
    </bk>
    <bk>
      <rc t="2" v="5539"/>
    </bk>
    <bk>
      <rc t="2" v="5540"/>
    </bk>
    <bk>
      <rc t="2" v="5541"/>
    </bk>
    <bk>
      <rc t="2" v="5542"/>
    </bk>
    <bk>
      <rc t="2" v="5543"/>
    </bk>
    <bk>
      <rc t="2" v="5544"/>
    </bk>
    <bk>
      <rc t="2" v="5545"/>
    </bk>
    <bk>
      <rc t="2" v="5546"/>
    </bk>
    <bk>
      <rc t="2" v="5547"/>
    </bk>
    <bk>
      <rc t="2" v="5548"/>
    </bk>
    <bk>
      <rc t="2" v="5549"/>
    </bk>
    <bk>
      <rc t="2" v="5550"/>
    </bk>
    <bk>
      <rc t="2" v="5551"/>
    </bk>
    <bk>
      <rc t="2" v="5552"/>
    </bk>
    <bk>
      <rc t="2" v="5553"/>
    </bk>
    <bk>
      <rc t="2" v="5554"/>
    </bk>
    <bk>
      <rc t="2" v="5555"/>
    </bk>
    <bk>
      <rc t="2" v="5556"/>
    </bk>
    <bk>
      <rc t="2" v="5557"/>
    </bk>
    <bk>
      <rc t="2" v="5558"/>
    </bk>
    <bk>
      <rc t="2" v="5559"/>
    </bk>
    <bk>
      <rc t="2" v="5560"/>
    </bk>
    <bk>
      <rc t="2" v="5561"/>
    </bk>
    <bk>
      <rc t="2" v="5562"/>
    </bk>
    <bk>
      <rc t="2" v="5563"/>
    </bk>
    <bk>
      <rc t="2" v="5564"/>
    </bk>
    <bk>
      <rc t="2" v="5565"/>
    </bk>
    <bk>
      <rc t="2" v="5566"/>
    </bk>
    <bk>
      <rc t="2" v="5567"/>
    </bk>
    <bk>
      <rc t="2" v="5568"/>
    </bk>
    <bk>
      <rc t="2" v="5569"/>
    </bk>
    <bk>
      <rc t="2" v="5570"/>
    </bk>
    <bk>
      <rc t="2" v="5571"/>
    </bk>
    <bk>
      <rc t="2" v="5572"/>
    </bk>
    <bk>
      <rc t="2" v="5573"/>
    </bk>
    <bk>
      <rc t="2" v="5574"/>
    </bk>
    <bk>
      <rc t="2" v="5575"/>
    </bk>
    <bk>
      <rc t="2" v="5576"/>
    </bk>
    <bk>
      <rc t="2" v="5577"/>
    </bk>
    <bk>
      <rc t="2" v="5578"/>
    </bk>
    <bk>
      <rc t="2" v="5579"/>
    </bk>
    <bk>
      <rc t="2" v="5580"/>
    </bk>
    <bk>
      <rc t="2" v="5581"/>
    </bk>
    <bk>
      <rc t="2" v="5582"/>
    </bk>
    <bk>
      <rc t="2" v="5583"/>
    </bk>
    <bk>
      <rc t="2" v="5584"/>
    </bk>
    <bk>
      <rc t="2" v="5585"/>
    </bk>
    <bk>
      <rc t="2" v="5586"/>
    </bk>
    <bk>
      <rc t="2" v="5587"/>
    </bk>
    <bk>
      <rc t="2" v="5588"/>
    </bk>
    <bk>
      <rc t="2" v="5589"/>
    </bk>
    <bk>
      <rc t="2" v="5590"/>
    </bk>
    <bk>
      <rc t="2" v="5591"/>
    </bk>
    <bk>
      <rc t="2" v="5592"/>
    </bk>
    <bk>
      <rc t="2" v="5593"/>
    </bk>
    <bk>
      <rc t="2" v="5594"/>
    </bk>
    <bk>
      <rc t="2" v="5595"/>
    </bk>
    <bk>
      <rc t="2" v="5596"/>
    </bk>
    <bk>
      <rc t="2" v="5597"/>
    </bk>
    <bk>
      <rc t="2" v="5598"/>
    </bk>
    <bk>
      <rc t="2" v="5599"/>
    </bk>
    <bk>
      <rc t="2" v="5600"/>
    </bk>
    <bk>
      <rc t="2" v="5601"/>
    </bk>
    <bk>
      <rc t="2" v="5602"/>
    </bk>
    <bk>
      <rc t="2" v="5603"/>
    </bk>
    <bk>
      <rc t="2" v="5604"/>
    </bk>
    <bk>
      <rc t="2" v="5605"/>
    </bk>
    <bk>
      <rc t="2" v="5606"/>
    </bk>
    <bk>
      <rc t="2" v="5607"/>
    </bk>
    <bk>
      <rc t="2" v="5608"/>
    </bk>
    <bk>
      <rc t="2" v="5609"/>
    </bk>
    <bk>
      <rc t="2" v="5610"/>
    </bk>
    <bk>
      <rc t="2" v="5611"/>
    </bk>
    <bk>
      <rc t="2" v="5612"/>
    </bk>
    <bk>
      <rc t="2" v="5613"/>
    </bk>
    <bk>
      <rc t="2" v="5614"/>
    </bk>
    <bk>
      <rc t="2" v="5615"/>
    </bk>
    <bk>
      <rc t="2" v="5616"/>
    </bk>
    <bk>
      <rc t="2" v="5617"/>
    </bk>
    <bk>
      <rc t="2" v="5618"/>
    </bk>
    <bk>
      <rc t="2" v="5619"/>
    </bk>
    <bk>
      <rc t="2" v="5620"/>
    </bk>
    <bk>
      <rc t="2" v="5621"/>
    </bk>
    <bk>
      <rc t="2" v="5622"/>
    </bk>
    <bk>
      <rc t="2" v="5623"/>
    </bk>
    <bk>
      <rc t="2" v="5624"/>
    </bk>
    <bk>
      <rc t="2" v="5625"/>
    </bk>
    <bk>
      <rc t="2" v="5626"/>
    </bk>
    <bk>
      <rc t="2" v="5627"/>
    </bk>
    <bk>
      <rc t="2" v="5628"/>
    </bk>
    <bk>
      <rc t="2" v="5629"/>
    </bk>
    <bk>
      <rc t="2" v="5630"/>
    </bk>
    <bk>
      <rc t="2" v="5631"/>
    </bk>
    <bk>
      <rc t="2" v="5632"/>
    </bk>
    <bk>
      <rc t="2" v="5633"/>
    </bk>
    <bk>
      <rc t="2" v="5634"/>
    </bk>
    <bk>
      <rc t="2" v="5635"/>
    </bk>
    <bk>
      <rc t="2" v="5636"/>
    </bk>
    <bk>
      <rc t="2" v="5637"/>
    </bk>
    <bk>
      <rc t="2" v="5638"/>
    </bk>
    <bk>
      <rc t="2" v="5639"/>
    </bk>
    <bk>
      <rc t="2" v="5640"/>
    </bk>
    <bk>
      <rc t="2" v="5641"/>
    </bk>
    <bk>
      <rc t="2" v="5642"/>
    </bk>
    <bk>
      <rc t="2" v="5643"/>
    </bk>
    <bk>
      <rc t="2" v="5644"/>
    </bk>
    <bk>
      <rc t="2" v="5645"/>
    </bk>
    <bk>
      <rc t="2" v="5646"/>
    </bk>
    <bk>
      <rc t="2" v="5647"/>
    </bk>
    <bk>
      <rc t="2" v="5648"/>
    </bk>
    <bk>
      <rc t="2" v="5649"/>
    </bk>
    <bk>
      <rc t="2" v="5650"/>
    </bk>
    <bk>
      <rc t="2" v="5651"/>
    </bk>
    <bk>
      <rc t="2" v="5652"/>
    </bk>
    <bk>
      <rc t="2" v="5653"/>
    </bk>
    <bk>
      <rc t="2" v="5654"/>
    </bk>
    <bk>
      <rc t="2" v="5655"/>
    </bk>
    <bk>
      <rc t="2" v="5656"/>
    </bk>
    <bk>
      <rc t="2" v="5657"/>
    </bk>
    <bk>
      <rc t="2" v="5658"/>
    </bk>
    <bk>
      <rc t="2" v="5659"/>
    </bk>
    <bk>
      <rc t="2" v="5660"/>
    </bk>
    <bk>
      <rc t="2" v="5661"/>
    </bk>
    <bk>
      <rc t="2" v="5662"/>
    </bk>
    <bk>
      <rc t="2" v="5663"/>
    </bk>
    <bk>
      <rc t="2" v="5664"/>
    </bk>
    <bk>
      <rc t="2" v="5665"/>
    </bk>
    <bk>
      <rc t="2" v="5666"/>
    </bk>
    <bk>
      <rc t="2" v="5667"/>
    </bk>
    <bk>
      <rc t="2" v="5668"/>
    </bk>
    <bk>
      <rc t="2" v="5669"/>
    </bk>
    <bk>
      <rc t="2" v="5670"/>
    </bk>
    <bk>
      <rc t="2" v="5671"/>
    </bk>
    <bk>
      <rc t="2" v="5672"/>
    </bk>
    <bk>
      <rc t="2" v="5673"/>
    </bk>
    <bk>
      <rc t="2" v="5674"/>
    </bk>
    <bk>
      <rc t="2" v="5675"/>
    </bk>
    <bk>
      <rc t="2" v="5676"/>
    </bk>
    <bk>
      <rc t="2" v="5677"/>
    </bk>
    <bk>
      <rc t="2" v="5678"/>
    </bk>
    <bk>
      <rc t="2" v="5679"/>
    </bk>
    <bk>
      <rc t="2" v="5680"/>
    </bk>
    <bk>
      <rc t="2" v="5681"/>
    </bk>
    <bk>
      <rc t="2" v="5682"/>
    </bk>
    <bk>
      <rc t="2" v="5683"/>
    </bk>
    <bk>
      <rc t="2" v="5684"/>
    </bk>
    <bk>
      <rc t="2" v="5685"/>
    </bk>
    <bk>
      <rc t="2" v="5686"/>
    </bk>
    <bk>
      <rc t="2" v="5687"/>
    </bk>
    <bk>
      <rc t="2" v="5688"/>
    </bk>
    <bk>
      <rc t="2" v="5689"/>
    </bk>
    <bk>
      <rc t="2" v="5690"/>
    </bk>
    <bk>
      <rc t="2" v="5691"/>
    </bk>
    <bk>
      <rc t="2" v="5692"/>
    </bk>
    <bk>
      <rc t="2" v="5693"/>
    </bk>
    <bk>
      <rc t="2" v="5694"/>
    </bk>
    <bk>
      <rc t="2" v="5695"/>
    </bk>
    <bk>
      <rc t="2" v="5696"/>
    </bk>
    <bk>
      <rc t="2" v="5697"/>
    </bk>
    <bk>
      <rc t="2" v="5698"/>
    </bk>
    <bk>
      <rc t="2" v="5699"/>
    </bk>
    <bk>
      <rc t="2" v="5700"/>
    </bk>
    <bk>
      <rc t="2" v="5701"/>
    </bk>
    <bk>
      <rc t="2" v="5702"/>
    </bk>
    <bk>
      <rc t="2" v="5703"/>
    </bk>
    <bk>
      <rc t="2" v="5704"/>
    </bk>
    <bk>
      <rc t="2" v="5705"/>
    </bk>
    <bk>
      <rc t="2" v="5706"/>
    </bk>
    <bk>
      <rc t="2" v="5707"/>
    </bk>
    <bk>
      <rc t="2" v="5708"/>
    </bk>
    <bk>
      <rc t="2" v="5709"/>
    </bk>
    <bk>
      <rc t="2" v="5710"/>
    </bk>
    <bk>
      <rc t="2" v="5711"/>
    </bk>
    <bk>
      <rc t="2" v="5712"/>
    </bk>
    <bk>
      <rc t="2" v="5713"/>
    </bk>
    <bk>
      <rc t="2" v="5714"/>
    </bk>
    <bk>
      <rc t="2" v="5715"/>
    </bk>
    <bk>
      <rc t="2" v="5716"/>
    </bk>
    <bk>
      <rc t="2" v="5717"/>
    </bk>
    <bk>
      <rc t="2" v="5718"/>
    </bk>
    <bk>
      <rc t="2" v="5719"/>
    </bk>
    <bk>
      <rc t="2" v="5720"/>
    </bk>
    <bk>
      <rc t="2" v="5721"/>
    </bk>
    <bk>
      <rc t="2" v="5722"/>
    </bk>
    <bk>
      <rc t="2" v="5723"/>
    </bk>
    <bk>
      <rc t="2" v="5724"/>
    </bk>
    <bk>
      <rc t="2" v="5725"/>
    </bk>
    <bk>
      <rc t="2" v="5726"/>
    </bk>
    <bk>
      <rc t="2" v="5727"/>
    </bk>
    <bk>
      <rc t="2" v="5728"/>
    </bk>
    <bk>
      <rc t="2" v="5729"/>
    </bk>
    <bk>
      <rc t="2" v="5730"/>
    </bk>
    <bk>
      <rc t="2" v="5731"/>
    </bk>
    <bk>
      <rc t="2" v="5732"/>
    </bk>
    <bk>
      <rc t="2" v="5733"/>
    </bk>
    <bk>
      <rc t="2" v="5734"/>
    </bk>
    <bk>
      <rc t="2" v="5735"/>
    </bk>
    <bk>
      <rc t="2" v="5736"/>
    </bk>
    <bk>
      <rc t="2" v="5737"/>
    </bk>
    <bk>
      <rc t="2" v="5738"/>
    </bk>
    <bk>
      <rc t="2" v="5739"/>
    </bk>
    <bk>
      <rc t="2" v="5740"/>
    </bk>
    <bk>
      <rc t="2" v="5741"/>
    </bk>
    <bk>
      <rc t="2" v="5742"/>
    </bk>
    <bk>
      <rc t="2" v="5743"/>
    </bk>
    <bk>
      <rc t="2" v="5744"/>
    </bk>
    <bk>
      <rc t="2" v="5745"/>
    </bk>
    <bk>
      <rc t="2" v="5746"/>
    </bk>
    <bk>
      <rc t="2" v="5747"/>
    </bk>
    <bk>
      <rc t="2" v="5748"/>
    </bk>
    <bk>
      <rc t="2" v="5749"/>
    </bk>
    <bk>
      <rc t="2" v="5750"/>
    </bk>
    <bk>
      <rc t="2" v="5751"/>
    </bk>
    <bk>
      <rc t="2" v="5752"/>
    </bk>
    <bk>
      <rc t="2" v="5753"/>
    </bk>
    <bk>
      <rc t="2" v="5754"/>
    </bk>
    <bk>
      <rc t="2" v="5755"/>
    </bk>
    <bk>
      <rc t="2" v="5756"/>
    </bk>
    <bk>
      <rc t="2" v="5757"/>
    </bk>
    <bk>
      <rc t="2" v="5758"/>
    </bk>
    <bk>
      <rc t="2" v="5759"/>
    </bk>
    <bk>
      <rc t="2" v="5760"/>
    </bk>
    <bk>
      <rc t="2" v="5761"/>
    </bk>
    <bk>
      <rc t="2" v="5762"/>
    </bk>
    <bk>
      <rc t="2" v="5763"/>
    </bk>
    <bk>
      <rc t="2" v="5764"/>
    </bk>
    <bk>
      <rc t="2" v="5765"/>
    </bk>
    <bk>
      <rc t="2" v="5766"/>
    </bk>
    <bk>
      <rc t="2" v="5767"/>
    </bk>
    <bk>
      <rc t="2" v="5768"/>
    </bk>
    <bk>
      <rc t="2" v="5769"/>
    </bk>
    <bk>
      <rc t="2" v="5770"/>
    </bk>
    <bk>
      <rc t="2" v="5771"/>
    </bk>
    <bk>
      <rc t="2" v="5772"/>
    </bk>
    <bk>
      <rc t="2" v="5773"/>
    </bk>
    <bk>
      <rc t="2" v="5774"/>
    </bk>
    <bk>
      <rc t="2" v="5775"/>
    </bk>
    <bk>
      <rc t="2" v="5776"/>
    </bk>
    <bk>
      <rc t="2" v="5777"/>
    </bk>
    <bk>
      <rc t="2" v="5778"/>
    </bk>
    <bk>
      <rc t="2" v="5779"/>
    </bk>
    <bk>
      <rc t="2" v="5780"/>
    </bk>
    <bk>
      <rc t="2" v="5781"/>
    </bk>
    <bk>
      <rc t="2" v="5782"/>
    </bk>
    <bk>
      <rc t="2" v="5783"/>
    </bk>
    <bk>
      <rc t="2" v="5784"/>
    </bk>
    <bk>
      <rc t="2" v="5785"/>
    </bk>
    <bk>
      <rc t="2" v="5786"/>
    </bk>
    <bk>
      <rc t="2" v="5787"/>
    </bk>
    <bk>
      <rc t="2" v="5788"/>
    </bk>
    <bk>
      <rc t="2" v="5789"/>
    </bk>
    <bk>
      <rc t="2" v="5790"/>
    </bk>
    <bk>
      <rc t="2" v="5791"/>
    </bk>
    <bk>
      <rc t="2" v="5792"/>
    </bk>
    <bk>
      <rc t="2" v="5793"/>
    </bk>
    <bk>
      <rc t="2" v="5794"/>
    </bk>
    <bk>
      <rc t="2" v="5795"/>
    </bk>
    <bk>
      <rc t="2" v="5796"/>
    </bk>
    <bk>
      <rc t="2" v="5797"/>
    </bk>
    <bk>
      <rc t="2" v="5798"/>
    </bk>
    <bk>
      <rc t="2" v="5799"/>
    </bk>
    <bk>
      <rc t="2" v="5800"/>
    </bk>
    <bk>
      <rc t="2" v="5801"/>
    </bk>
    <bk>
      <rc t="2" v="5802"/>
    </bk>
    <bk>
      <rc t="2" v="5803"/>
    </bk>
    <bk>
      <rc t="2" v="5804"/>
    </bk>
    <bk>
      <rc t="2" v="5805"/>
    </bk>
    <bk>
      <rc t="2" v="5806"/>
    </bk>
    <bk>
      <rc t="2" v="5807"/>
    </bk>
    <bk>
      <rc t="2" v="5808"/>
    </bk>
    <bk>
      <rc t="2" v="5809"/>
    </bk>
    <bk>
      <rc t="2" v="5810"/>
    </bk>
    <bk>
      <rc t="2" v="5811"/>
    </bk>
    <bk>
      <rc t="2" v="5812"/>
    </bk>
    <bk>
      <rc t="2" v="5813"/>
    </bk>
    <bk>
      <rc t="2" v="5814"/>
    </bk>
    <bk>
      <rc t="2" v="5815"/>
    </bk>
    <bk>
      <rc t="2" v="5816"/>
    </bk>
    <bk>
      <rc t="2" v="5817"/>
    </bk>
    <bk>
      <rc t="2" v="5818"/>
    </bk>
    <bk>
      <rc t="2" v="5819"/>
    </bk>
    <bk>
      <rc t="2" v="5820"/>
    </bk>
    <bk>
      <rc t="2" v="5821"/>
    </bk>
    <bk>
      <rc t="2" v="5822"/>
    </bk>
    <bk>
      <rc t="2" v="5823"/>
    </bk>
    <bk>
      <rc t="2" v="5824"/>
    </bk>
    <bk>
      <rc t="2" v="5825"/>
    </bk>
    <bk>
      <rc t="2" v="5826"/>
    </bk>
    <bk>
      <rc t="2" v="5827"/>
    </bk>
    <bk>
      <rc t="2" v="5828"/>
    </bk>
    <bk>
      <rc t="2" v="5829"/>
    </bk>
    <bk>
      <rc t="2" v="5830"/>
    </bk>
    <bk>
      <rc t="2" v="5831"/>
    </bk>
    <bk>
      <rc t="2" v="5832"/>
    </bk>
    <bk>
      <rc t="2" v="5833"/>
    </bk>
    <bk>
      <rc t="2" v="5834"/>
    </bk>
    <bk>
      <rc t="2" v="5835"/>
    </bk>
    <bk>
      <rc t="2" v="5836"/>
    </bk>
    <bk>
      <rc t="2" v="5837"/>
    </bk>
    <bk>
      <rc t="2" v="5838"/>
    </bk>
    <bk>
      <rc t="2" v="5839"/>
    </bk>
    <bk>
      <rc t="2" v="5840"/>
    </bk>
    <bk>
      <rc t="2" v="5841"/>
    </bk>
    <bk>
      <rc t="2" v="5842"/>
    </bk>
    <bk>
      <rc t="2" v="5843"/>
    </bk>
    <bk>
      <rc t="2" v="5844"/>
    </bk>
    <bk>
      <rc t="2" v="5845"/>
    </bk>
    <bk>
      <rc t="2" v="5846"/>
    </bk>
    <bk>
      <rc t="2" v="5847"/>
    </bk>
    <bk>
      <rc t="2" v="5848"/>
    </bk>
    <bk>
      <rc t="2" v="5849"/>
    </bk>
    <bk>
      <rc t="2" v="5850"/>
    </bk>
    <bk>
      <rc t="2" v="5851"/>
    </bk>
    <bk>
      <rc t="2" v="5852"/>
    </bk>
    <bk>
      <rc t="2" v="5853"/>
    </bk>
    <bk>
      <rc t="2" v="5854"/>
    </bk>
    <bk>
      <rc t="2" v="5855"/>
    </bk>
    <bk>
      <rc t="2" v="5856"/>
    </bk>
    <bk>
      <rc t="2" v="5857"/>
    </bk>
    <bk>
      <rc t="2" v="5858"/>
    </bk>
    <bk>
      <rc t="2" v="5859"/>
    </bk>
    <bk>
      <rc t="2" v="5860"/>
    </bk>
    <bk>
      <rc t="2" v="5861"/>
    </bk>
    <bk>
      <rc t="2" v="5862"/>
    </bk>
    <bk>
      <rc t="2" v="5863"/>
    </bk>
    <bk>
      <rc t="2" v="5864"/>
    </bk>
    <bk>
      <rc t="2" v="5865"/>
    </bk>
    <bk>
      <rc t="2" v="5866"/>
    </bk>
    <bk>
      <rc t="2" v="5867"/>
    </bk>
    <bk>
      <rc t="2" v="5868"/>
    </bk>
    <bk>
      <rc t="2" v="5869"/>
    </bk>
    <bk>
      <rc t="2" v="5870"/>
    </bk>
    <bk>
      <rc t="2" v="5871"/>
    </bk>
    <bk>
      <rc t="2" v="5872"/>
    </bk>
    <bk>
      <rc t="2" v="5873"/>
    </bk>
    <bk>
      <rc t="2" v="5874"/>
    </bk>
    <bk>
      <rc t="2" v="5875"/>
    </bk>
    <bk>
      <rc t="2" v="5876"/>
    </bk>
    <bk>
      <rc t="2" v="5877"/>
    </bk>
    <bk>
      <rc t="2" v="5878"/>
    </bk>
    <bk>
      <rc t="2" v="5879"/>
    </bk>
    <bk>
      <rc t="2" v="5880"/>
    </bk>
    <bk>
      <rc t="2" v="5881"/>
    </bk>
    <bk>
      <rc t="2" v="5882"/>
    </bk>
    <bk>
      <rc t="2" v="5883"/>
    </bk>
    <bk>
      <rc t="2" v="5884"/>
    </bk>
    <bk>
      <rc t="2" v="5885"/>
    </bk>
    <bk>
      <rc t="2" v="5886"/>
    </bk>
    <bk>
      <rc t="2" v="5887"/>
    </bk>
    <bk>
      <rc t="2" v="5888"/>
    </bk>
    <bk>
      <rc t="2" v="5889"/>
    </bk>
    <bk>
      <rc t="2" v="5890"/>
    </bk>
    <bk>
      <rc t="2" v="5891"/>
    </bk>
    <bk>
      <rc t="2" v="5892"/>
    </bk>
    <bk>
      <rc t="2" v="5893"/>
    </bk>
    <bk>
      <rc t="2" v="5894"/>
    </bk>
    <bk>
      <rc t="2" v="5895"/>
    </bk>
    <bk>
      <rc t="2" v="5896"/>
    </bk>
    <bk>
      <rc t="2" v="5897"/>
    </bk>
    <bk>
      <rc t="2" v="5898"/>
    </bk>
    <bk>
      <rc t="2" v="5899"/>
    </bk>
    <bk>
      <rc t="2" v="5900"/>
    </bk>
    <bk>
      <rc t="2" v="5901"/>
    </bk>
    <bk>
      <rc t="2" v="5902"/>
    </bk>
    <bk>
      <rc t="2" v="5903"/>
    </bk>
    <bk>
      <rc t="2" v="5904"/>
    </bk>
    <bk>
      <rc t="2" v="5905"/>
    </bk>
    <bk>
      <rc t="2" v="5906"/>
    </bk>
    <bk>
      <rc t="2" v="5907"/>
    </bk>
    <bk>
      <rc t="2" v="5908"/>
    </bk>
    <bk>
      <rc t="2" v="5909"/>
    </bk>
    <bk>
      <rc t="2" v="5910"/>
    </bk>
    <bk>
      <rc t="2" v="5911"/>
    </bk>
    <bk>
      <rc t="2" v="5912"/>
    </bk>
    <bk>
      <rc t="2" v="5913"/>
    </bk>
    <bk>
      <rc t="2" v="5914"/>
    </bk>
    <bk>
      <rc t="2" v="5915"/>
    </bk>
    <bk>
      <rc t="2" v="5916"/>
    </bk>
    <bk>
      <rc t="2" v="5917"/>
    </bk>
    <bk>
      <rc t="2" v="5918"/>
    </bk>
    <bk>
      <rc t="2" v="5919"/>
    </bk>
    <bk>
      <rc t="2" v="5920"/>
    </bk>
    <bk>
      <rc t="2" v="5921"/>
    </bk>
    <bk>
      <rc t="2" v="5922"/>
    </bk>
    <bk>
      <rc t="2" v="5923"/>
    </bk>
    <bk>
      <rc t="2" v="5924"/>
    </bk>
    <bk>
      <rc t="2" v="5925"/>
    </bk>
    <bk>
      <rc t="2" v="5926"/>
    </bk>
    <bk>
      <rc t="2" v="5927"/>
    </bk>
    <bk>
      <rc t="2" v="5928"/>
    </bk>
    <bk>
      <rc t="2" v="5929"/>
    </bk>
    <bk>
      <rc t="2" v="5930"/>
    </bk>
    <bk>
      <rc t="2" v="5931"/>
    </bk>
    <bk>
      <rc t="2" v="5932"/>
    </bk>
    <bk>
      <rc t="2" v="5933"/>
    </bk>
    <bk>
      <rc t="2" v="5934"/>
    </bk>
    <bk>
      <rc t="2" v="5935"/>
    </bk>
    <bk>
      <rc t="2" v="5936"/>
    </bk>
    <bk>
      <rc t="2" v="5937"/>
    </bk>
    <bk>
      <rc t="2" v="5938"/>
    </bk>
    <bk>
      <rc t="2" v="5939"/>
    </bk>
    <bk>
      <rc t="2" v="5940"/>
    </bk>
    <bk>
      <rc t="2" v="5941"/>
    </bk>
    <bk>
      <rc t="2" v="5942"/>
    </bk>
    <bk>
      <rc t="2" v="5943"/>
    </bk>
    <bk>
      <rc t="2" v="5944"/>
    </bk>
    <bk>
      <rc t="2" v="5945"/>
    </bk>
    <bk>
      <rc t="2" v="5946"/>
    </bk>
    <bk>
      <rc t="2" v="5947"/>
    </bk>
    <bk>
      <rc t="2" v="5948"/>
    </bk>
    <bk>
      <rc t="2" v="5949"/>
    </bk>
    <bk>
      <rc t="2" v="5950"/>
    </bk>
    <bk>
      <rc t="2" v="5951"/>
    </bk>
    <bk>
      <rc t="2" v="5952"/>
    </bk>
    <bk>
      <rc t="2" v="5953"/>
    </bk>
    <bk>
      <rc t="2" v="5954"/>
    </bk>
    <bk>
      <rc t="2" v="5955"/>
    </bk>
    <bk>
      <rc t="2" v="5956"/>
    </bk>
    <bk>
      <rc t="2" v="5957"/>
    </bk>
    <bk>
      <rc t="2" v="5958"/>
    </bk>
    <bk>
      <rc t="2" v="5959"/>
    </bk>
    <bk>
      <rc t="2" v="5960"/>
    </bk>
    <bk>
      <rc t="2" v="5961"/>
    </bk>
    <bk>
      <rc t="2" v="5962"/>
    </bk>
    <bk>
      <rc t="2" v="5963"/>
    </bk>
    <bk>
      <rc t="2" v="5964"/>
    </bk>
    <bk>
      <rc t="2" v="5965"/>
    </bk>
    <bk>
      <rc t="2" v="5966"/>
    </bk>
    <bk>
      <rc t="2" v="5967"/>
    </bk>
    <bk>
      <rc t="2" v="5968"/>
    </bk>
    <bk>
      <rc t="2" v="5969"/>
    </bk>
    <bk>
      <rc t="2" v="5970"/>
    </bk>
    <bk>
      <rc t="2" v="5971"/>
    </bk>
    <bk>
      <rc t="2" v="5972"/>
    </bk>
    <bk>
      <rc t="2" v="5973"/>
    </bk>
    <bk>
      <rc t="2" v="5974"/>
    </bk>
    <bk>
      <rc t="2" v="5975"/>
    </bk>
    <bk>
      <rc t="2" v="5976"/>
    </bk>
    <bk>
      <rc t="2" v="5977"/>
    </bk>
    <bk>
      <rc t="2" v="5978"/>
    </bk>
    <bk>
      <rc t="2" v="5979"/>
    </bk>
    <bk>
      <rc t="2" v="5980"/>
    </bk>
    <bk>
      <rc t="2" v="5981"/>
    </bk>
    <bk>
      <rc t="2" v="5982"/>
    </bk>
    <bk>
      <rc t="2" v="5983"/>
    </bk>
    <bk>
      <rc t="2" v="5984"/>
    </bk>
    <bk>
      <rc t="2" v="5985"/>
    </bk>
    <bk>
      <rc t="2" v="5986"/>
    </bk>
    <bk>
      <rc t="2" v="5987"/>
    </bk>
    <bk>
      <rc t="2" v="5988"/>
    </bk>
    <bk>
      <rc t="2" v="5989"/>
    </bk>
    <bk>
      <rc t="2" v="5990"/>
    </bk>
    <bk>
      <rc t="2" v="5991"/>
    </bk>
    <bk>
      <rc t="2" v="5992"/>
    </bk>
    <bk>
      <rc t="2" v="5993"/>
    </bk>
    <bk>
      <rc t="2" v="5994"/>
    </bk>
    <bk>
      <rc t="2" v="5995"/>
    </bk>
    <bk>
      <rc t="2" v="5996"/>
    </bk>
    <bk>
      <rc t="2" v="5997"/>
    </bk>
    <bk>
      <rc t="2" v="5998"/>
    </bk>
    <bk>
      <rc t="2" v="5999"/>
    </bk>
    <bk>
      <rc t="2" v="6000"/>
    </bk>
    <bk>
      <rc t="2" v="6001"/>
    </bk>
    <bk>
      <rc t="2" v="6002"/>
    </bk>
    <bk>
      <rc t="2" v="6003"/>
    </bk>
    <bk>
      <rc t="2" v="6004"/>
    </bk>
    <bk>
      <rc t="2" v="6005"/>
    </bk>
    <bk>
      <rc t="2" v="6006"/>
    </bk>
    <bk>
      <rc t="2" v="6007"/>
    </bk>
    <bk>
      <rc t="2" v="6008"/>
    </bk>
    <bk>
      <rc t="2" v="6009"/>
    </bk>
    <bk>
      <rc t="2" v="6010"/>
    </bk>
    <bk>
      <rc t="2" v="6011"/>
    </bk>
    <bk>
      <rc t="2" v="6012"/>
    </bk>
    <bk>
      <rc t="2" v="6013"/>
    </bk>
    <bk>
      <rc t="2" v="6014"/>
    </bk>
    <bk>
      <rc t="2" v="6015"/>
    </bk>
    <bk>
      <rc t="2" v="6016"/>
    </bk>
    <bk>
      <rc t="2" v="6017"/>
    </bk>
    <bk>
      <rc t="2" v="6018"/>
    </bk>
    <bk>
      <rc t="2" v="6019"/>
    </bk>
    <bk>
      <rc t="2" v="6020"/>
    </bk>
    <bk>
      <rc t="2" v="6021"/>
    </bk>
    <bk>
      <rc t="2" v="6022"/>
    </bk>
    <bk>
      <rc t="2" v="6023"/>
    </bk>
    <bk>
      <rc t="2" v="6024"/>
    </bk>
    <bk>
      <rc t="2" v="6025"/>
    </bk>
    <bk>
      <rc t="2" v="6026"/>
    </bk>
    <bk>
      <rc t="2" v="6027"/>
    </bk>
    <bk>
      <rc t="2" v="6028"/>
    </bk>
    <bk>
      <rc t="2" v="6029"/>
    </bk>
    <bk>
      <rc t="2" v="6030"/>
    </bk>
    <bk>
      <rc t="2" v="6031"/>
    </bk>
    <bk>
      <rc t="2" v="6032"/>
    </bk>
    <bk>
      <rc t="2" v="6033"/>
    </bk>
    <bk>
      <rc t="2" v="6034"/>
    </bk>
    <bk>
      <rc t="2" v="6035"/>
    </bk>
    <bk>
      <rc t="2" v="6036"/>
    </bk>
    <bk>
      <rc t="2" v="6037"/>
    </bk>
    <bk>
      <rc t="2" v="6038"/>
    </bk>
    <bk>
      <rc t="2" v="6039"/>
    </bk>
    <bk>
      <rc t="2" v="6040"/>
    </bk>
    <bk>
      <rc t="2" v="6041"/>
    </bk>
    <bk>
      <rc t="2" v="6042"/>
    </bk>
    <bk>
      <rc t="2" v="6043"/>
    </bk>
    <bk>
      <rc t="2" v="6044"/>
    </bk>
    <bk>
      <rc t="2" v="6045"/>
    </bk>
    <bk>
      <rc t="2" v="6046"/>
    </bk>
    <bk>
      <rc t="2" v="6047"/>
    </bk>
    <bk>
      <rc t="2" v="6048"/>
    </bk>
    <bk>
      <rc t="2" v="6049"/>
    </bk>
    <bk>
      <rc t="2" v="6050"/>
    </bk>
    <bk>
      <rc t="2" v="6051"/>
    </bk>
    <bk>
      <rc t="2" v="6052"/>
    </bk>
    <bk>
      <rc t="2" v="6053"/>
    </bk>
    <bk>
      <rc t="2" v="6054"/>
    </bk>
    <bk>
      <rc t="2" v="6055"/>
    </bk>
    <bk>
      <rc t="2" v="6056"/>
    </bk>
    <bk>
      <rc t="2" v="6057"/>
    </bk>
    <bk>
      <rc t="2" v="6058"/>
    </bk>
    <bk>
      <rc t="2" v="6059"/>
    </bk>
    <bk>
      <rc t="2" v="6060"/>
    </bk>
    <bk>
      <rc t="2" v="6061"/>
    </bk>
    <bk>
      <rc t="2" v="6062"/>
    </bk>
    <bk>
      <rc t="2" v="6063"/>
    </bk>
    <bk>
      <rc t="2" v="6064"/>
    </bk>
    <bk>
      <rc t="2" v="6065"/>
    </bk>
    <bk>
      <rc t="2" v="6066"/>
    </bk>
    <bk>
      <rc t="2" v="6067"/>
    </bk>
    <bk>
      <rc t="2" v="6068"/>
    </bk>
    <bk>
      <rc t="2" v="6069"/>
    </bk>
    <bk>
      <rc t="2" v="6070"/>
    </bk>
    <bk>
      <rc t="2" v="6071"/>
    </bk>
    <bk>
      <rc t="2" v="6072"/>
    </bk>
    <bk>
      <rc t="2" v="6073"/>
    </bk>
    <bk>
      <rc t="2" v="6074"/>
    </bk>
    <bk>
      <rc t="2" v="6075"/>
    </bk>
    <bk>
      <rc t="2" v="6076"/>
    </bk>
    <bk>
      <rc t="2" v="6077"/>
    </bk>
    <bk>
      <rc t="2" v="6078"/>
    </bk>
    <bk>
      <rc t="2" v="6079"/>
    </bk>
    <bk>
      <rc t="2" v="6080"/>
    </bk>
    <bk>
      <rc t="2" v="6081"/>
    </bk>
    <bk>
      <rc t="2" v="6082"/>
    </bk>
    <bk>
      <rc t="2" v="6083"/>
    </bk>
    <bk>
      <rc t="2" v="6084"/>
    </bk>
    <bk>
      <rc t="2" v="6085"/>
    </bk>
    <bk>
      <rc t="2" v="6086"/>
    </bk>
    <bk>
      <rc t="2" v="6087"/>
    </bk>
    <bk>
      <rc t="2" v="6088"/>
    </bk>
    <bk>
      <rc t="2" v="6089"/>
    </bk>
    <bk>
      <rc t="2" v="6090"/>
    </bk>
    <bk>
      <rc t="2" v="6091"/>
    </bk>
    <bk>
      <rc t="2" v="6092"/>
    </bk>
    <bk>
      <rc t="2" v="6093"/>
    </bk>
    <bk>
      <rc t="2" v="6094"/>
    </bk>
    <bk>
      <rc t="2" v="6095"/>
    </bk>
    <bk>
      <rc t="2" v="6096"/>
    </bk>
    <bk>
      <rc t="2" v="6097"/>
    </bk>
    <bk>
      <rc t="2" v="6098"/>
    </bk>
    <bk>
      <rc t="2" v="6099"/>
    </bk>
    <bk>
      <rc t="2" v="6100"/>
    </bk>
    <bk>
      <rc t="2" v="6101"/>
    </bk>
    <bk>
      <rc t="2" v="6102"/>
    </bk>
    <bk>
      <rc t="2" v="6103"/>
    </bk>
    <bk>
      <rc t="2" v="6104"/>
    </bk>
    <bk>
      <rc t="2" v="6105"/>
    </bk>
    <bk>
      <rc t="2" v="6106"/>
    </bk>
    <bk>
      <rc t="2" v="6107"/>
    </bk>
    <bk>
      <rc t="2" v="6108"/>
    </bk>
    <bk>
      <rc t="2" v="6109"/>
    </bk>
    <bk>
      <rc t="2" v="6110"/>
    </bk>
    <bk>
      <rc t="2" v="6111"/>
    </bk>
    <bk>
      <rc t="2" v="6112"/>
    </bk>
    <bk>
      <rc t="2" v="6113"/>
    </bk>
    <bk>
      <rc t="2" v="6114"/>
    </bk>
    <bk>
      <rc t="2" v="6115"/>
    </bk>
    <bk>
      <rc t="2" v="6116"/>
    </bk>
    <bk>
      <rc t="2" v="6117"/>
    </bk>
    <bk>
      <rc t="2" v="6118"/>
    </bk>
    <bk>
      <rc t="2" v="6119"/>
    </bk>
    <bk>
      <rc t="2" v="6120"/>
    </bk>
    <bk>
      <rc t="2" v="6121"/>
    </bk>
    <bk>
      <rc t="2" v="6122"/>
    </bk>
    <bk>
      <rc t="2" v="6123"/>
    </bk>
    <bk>
      <rc t="2" v="6124"/>
    </bk>
    <bk>
      <rc t="2" v="6125"/>
    </bk>
    <bk>
      <rc t="2" v="6126"/>
    </bk>
    <bk>
      <rc t="2" v="6127"/>
    </bk>
    <bk>
      <rc t="2" v="6128"/>
    </bk>
    <bk>
      <rc t="2" v="6129"/>
    </bk>
    <bk>
      <rc t="2" v="6130"/>
    </bk>
    <bk>
      <rc t="2" v="6131"/>
    </bk>
    <bk>
      <rc t="2" v="6132"/>
    </bk>
    <bk>
      <rc t="2" v="6133"/>
    </bk>
    <bk>
      <rc t="2" v="6134"/>
    </bk>
    <bk>
      <rc t="2" v="6135"/>
    </bk>
    <bk>
      <rc t="2" v="6136"/>
    </bk>
    <bk>
      <rc t="2" v="6137"/>
    </bk>
    <bk>
      <rc t="2" v="6138"/>
    </bk>
    <bk>
      <rc t="2" v="6139"/>
    </bk>
    <bk>
      <rc t="2" v="6140"/>
    </bk>
    <bk>
      <rc t="2" v="6141"/>
    </bk>
    <bk>
      <rc t="2" v="6142"/>
    </bk>
    <bk>
      <rc t="2" v="6143"/>
    </bk>
    <bk>
      <rc t="2" v="6144"/>
    </bk>
    <bk>
      <rc t="2" v="6145"/>
    </bk>
    <bk>
      <rc t="2" v="6146"/>
    </bk>
    <bk>
      <rc t="2" v="6147"/>
    </bk>
    <bk>
      <rc t="2" v="6148"/>
    </bk>
    <bk>
      <rc t="2" v="6149"/>
    </bk>
    <bk>
      <rc t="2" v="6150"/>
    </bk>
    <bk>
      <rc t="2" v="6151"/>
    </bk>
    <bk>
      <rc t="2" v="6152"/>
    </bk>
    <bk>
      <rc t="2" v="6153"/>
    </bk>
    <bk>
      <rc t="2" v="6154"/>
    </bk>
    <bk>
      <rc t="2" v="6155"/>
    </bk>
    <bk>
      <rc t="2" v="6156"/>
    </bk>
    <bk>
      <rc t="2" v="6157"/>
    </bk>
    <bk>
      <rc t="2" v="6158"/>
    </bk>
    <bk>
      <rc t="2" v="6159"/>
    </bk>
    <bk>
      <rc t="2" v="6160"/>
    </bk>
    <bk>
      <rc t="2" v="6161"/>
    </bk>
    <bk>
      <rc t="2" v="6162"/>
    </bk>
    <bk>
      <rc t="2" v="6163"/>
    </bk>
    <bk>
      <rc t="2" v="6164"/>
    </bk>
    <bk>
      <rc t="2" v="6165"/>
    </bk>
    <bk>
      <rc t="2" v="6166"/>
    </bk>
    <bk>
      <rc t="2" v="6167"/>
    </bk>
    <bk>
      <rc t="2" v="6168"/>
    </bk>
    <bk>
      <rc t="2" v="6169"/>
    </bk>
    <bk>
      <rc t="2" v="6170"/>
    </bk>
    <bk>
      <rc t="2" v="6171"/>
    </bk>
    <bk>
      <rc t="2" v="6172"/>
    </bk>
    <bk>
      <rc t="2" v="6173"/>
    </bk>
    <bk>
      <rc t="2" v="6174"/>
    </bk>
    <bk>
      <rc t="2" v="6175"/>
    </bk>
    <bk>
      <rc t="2" v="6176"/>
    </bk>
    <bk>
      <rc t="2" v="6177"/>
    </bk>
    <bk>
      <rc t="2" v="6178"/>
    </bk>
    <bk>
      <rc t="2" v="6179"/>
    </bk>
    <bk>
      <rc t="2" v="6180"/>
    </bk>
    <bk>
      <rc t="2" v="6181"/>
    </bk>
    <bk>
      <rc t="2" v="6182"/>
    </bk>
    <bk>
      <rc t="2" v="6183"/>
    </bk>
    <bk>
      <rc t="2" v="6184"/>
    </bk>
    <bk>
      <rc t="2" v="6185"/>
    </bk>
    <bk>
      <rc t="2" v="6186"/>
    </bk>
    <bk>
      <rc t="2" v="6187"/>
    </bk>
    <bk>
      <rc t="2" v="6188"/>
    </bk>
    <bk>
      <rc t="2" v="6189"/>
    </bk>
    <bk>
      <rc t="2" v="6190"/>
    </bk>
    <bk>
      <rc t="2" v="6191"/>
    </bk>
    <bk>
      <rc t="2" v="6192"/>
    </bk>
    <bk>
      <rc t="2" v="6193"/>
    </bk>
    <bk>
      <rc t="2" v="6194"/>
    </bk>
    <bk>
      <rc t="2" v="6195"/>
    </bk>
    <bk>
      <rc t="2" v="6196"/>
    </bk>
    <bk>
      <rc t="2" v="6197"/>
    </bk>
    <bk>
      <rc t="2" v="6198"/>
    </bk>
    <bk>
      <rc t="2" v="6199"/>
    </bk>
    <bk>
      <rc t="2" v="6200"/>
    </bk>
    <bk>
      <rc t="2" v="6201"/>
    </bk>
    <bk>
      <rc t="2" v="6202"/>
    </bk>
    <bk>
      <rc t="2" v="6203"/>
    </bk>
    <bk>
      <rc t="2" v="6204"/>
    </bk>
    <bk>
      <rc t="2" v="6205"/>
    </bk>
    <bk>
      <rc t="2" v="6206"/>
    </bk>
    <bk>
      <rc t="2" v="6207"/>
    </bk>
    <bk>
      <rc t="2" v="6208"/>
    </bk>
    <bk>
      <rc t="2" v="6209"/>
    </bk>
    <bk>
      <rc t="2" v="6210"/>
    </bk>
    <bk>
      <rc t="2" v="6211"/>
    </bk>
    <bk>
      <rc t="2" v="6212"/>
    </bk>
    <bk>
      <rc t="2" v="6213"/>
    </bk>
    <bk>
      <rc t="2" v="6214"/>
    </bk>
    <bk>
      <rc t="2" v="6215"/>
    </bk>
    <bk>
      <rc t="2" v="6216"/>
    </bk>
    <bk>
      <rc t="2" v="6217"/>
    </bk>
    <bk>
      <rc t="2" v="6218"/>
    </bk>
    <bk>
      <rc t="2" v="6219"/>
    </bk>
    <bk>
      <rc t="2" v="6220"/>
    </bk>
    <bk>
      <rc t="2" v="6221"/>
    </bk>
    <bk>
      <rc t="2" v="6222"/>
    </bk>
    <bk>
      <rc t="2" v="6223"/>
    </bk>
    <bk>
      <rc t="2" v="6224"/>
    </bk>
    <bk>
      <rc t="2" v="6225"/>
    </bk>
    <bk>
      <rc t="2" v="6226"/>
    </bk>
    <bk>
      <rc t="2" v="6227"/>
    </bk>
    <bk>
      <rc t="2" v="6228"/>
    </bk>
    <bk>
      <rc t="2" v="6229"/>
    </bk>
    <bk>
      <rc t="2" v="6230"/>
    </bk>
    <bk>
      <rc t="2" v="6231"/>
    </bk>
    <bk>
      <rc t="2" v="6232"/>
    </bk>
    <bk>
      <rc t="2" v="6233"/>
    </bk>
    <bk>
      <rc t="2" v="6234"/>
    </bk>
    <bk>
      <rc t="2" v="6235"/>
    </bk>
    <bk>
      <rc t="2" v="6236"/>
    </bk>
    <bk>
      <rc t="2" v="6237"/>
    </bk>
    <bk>
      <rc t="2" v="6238"/>
    </bk>
    <bk>
      <rc t="2" v="6239"/>
    </bk>
    <bk>
      <rc t="2" v="6240"/>
    </bk>
    <bk>
      <rc t="2" v="6241"/>
    </bk>
    <bk>
      <rc t="2" v="6242"/>
    </bk>
    <bk>
      <rc t="2" v="6243"/>
    </bk>
    <bk>
      <rc t="2" v="6244"/>
    </bk>
    <bk>
      <rc t="2" v="6245"/>
    </bk>
    <bk>
      <rc t="2" v="6246"/>
    </bk>
    <bk>
      <rc t="2" v="6247"/>
    </bk>
    <bk>
      <rc t="2" v="6248"/>
    </bk>
    <bk>
      <rc t="2" v="6249"/>
    </bk>
    <bk>
      <rc t="2" v="6250"/>
    </bk>
    <bk>
      <rc t="2" v="6251"/>
    </bk>
    <bk>
      <rc t="2" v="6252"/>
    </bk>
    <bk>
      <rc t="2" v="6253"/>
    </bk>
    <bk>
      <rc t="2" v="6254"/>
    </bk>
    <bk>
      <rc t="2" v="6255"/>
    </bk>
    <bk>
      <rc t="2" v="6256"/>
    </bk>
    <bk>
      <rc t="2" v="6257"/>
    </bk>
    <bk>
      <rc t="2" v="6258"/>
    </bk>
    <bk>
      <rc t="2" v="6259"/>
    </bk>
    <bk>
      <rc t="2" v="6260"/>
    </bk>
    <bk>
      <rc t="2" v="6261"/>
    </bk>
    <bk>
      <rc t="2" v="6262"/>
    </bk>
    <bk>
      <rc t="2" v="6263"/>
    </bk>
    <bk>
      <rc t="2" v="6264"/>
    </bk>
    <bk>
      <rc t="2" v="6265"/>
    </bk>
    <bk>
      <rc t="2" v="6266"/>
    </bk>
    <bk>
      <rc t="2" v="6267"/>
    </bk>
    <bk>
      <rc t="2" v="6268"/>
    </bk>
    <bk>
      <rc t="2" v="6269"/>
    </bk>
    <bk>
      <rc t="2" v="6270"/>
    </bk>
    <bk>
      <rc t="2" v="6271"/>
    </bk>
    <bk>
      <rc t="2" v="6272"/>
    </bk>
    <bk>
      <rc t="2" v="6273"/>
    </bk>
    <bk>
      <rc t="2" v="6274"/>
    </bk>
    <bk>
      <rc t="2" v="6275"/>
    </bk>
    <bk>
      <rc t="2" v="6276"/>
    </bk>
    <bk>
      <rc t="2" v="6277"/>
    </bk>
    <bk>
      <rc t="2" v="6278"/>
    </bk>
    <bk>
      <rc t="2" v="6279"/>
    </bk>
    <bk>
      <rc t="2" v="6280"/>
    </bk>
    <bk>
      <rc t="2" v="6281"/>
    </bk>
    <bk>
      <rc t="2" v="6282"/>
    </bk>
    <bk>
      <rc t="2" v="6283"/>
    </bk>
    <bk>
      <rc t="2" v="6284"/>
    </bk>
    <bk>
      <rc t="2" v="6285"/>
    </bk>
    <bk>
      <rc t="2" v="6286"/>
    </bk>
    <bk>
      <rc t="2" v="6287"/>
    </bk>
    <bk>
      <rc t="2" v="6288"/>
    </bk>
    <bk>
      <rc t="2" v="6289"/>
    </bk>
    <bk>
      <rc t="2" v="6290"/>
    </bk>
    <bk>
      <rc t="2" v="6291"/>
    </bk>
    <bk>
      <rc t="2" v="6292"/>
    </bk>
    <bk>
      <rc t="2" v="6293"/>
    </bk>
    <bk>
      <rc t="2" v="6294"/>
    </bk>
    <bk>
      <rc t="2" v="6295"/>
    </bk>
    <bk>
      <rc t="2" v="6296"/>
    </bk>
    <bk>
      <rc t="2" v="6297"/>
    </bk>
    <bk>
      <rc t="2" v="6298"/>
    </bk>
    <bk>
      <rc t="2" v="6299"/>
    </bk>
    <bk>
      <rc t="2" v="6300"/>
    </bk>
    <bk>
      <rc t="2" v="6301"/>
    </bk>
    <bk>
      <rc t="2" v="6302"/>
    </bk>
    <bk>
      <rc t="2" v="6303"/>
    </bk>
    <bk>
      <rc t="2" v="6304"/>
    </bk>
    <bk>
      <rc t="2" v="6305"/>
    </bk>
    <bk>
      <rc t="2" v="6306"/>
    </bk>
    <bk>
      <rc t="2" v="6307"/>
    </bk>
    <bk>
      <rc t="2" v="6308"/>
    </bk>
    <bk>
      <rc t="2" v="6309"/>
    </bk>
    <bk>
      <rc t="2" v="6310"/>
    </bk>
    <bk>
      <rc t="2" v="6311"/>
    </bk>
    <bk>
      <rc t="2" v="6312"/>
    </bk>
    <bk>
      <rc t="2" v="6313"/>
    </bk>
    <bk>
      <rc t="2" v="6314"/>
    </bk>
    <bk>
      <rc t="2" v="6315"/>
    </bk>
    <bk>
      <rc t="2" v="6316"/>
    </bk>
    <bk>
      <rc t="2" v="6317"/>
    </bk>
    <bk>
      <rc t="2" v="6318"/>
    </bk>
    <bk>
      <rc t="2" v="6319"/>
    </bk>
    <bk>
      <rc t="2" v="6320"/>
    </bk>
    <bk>
      <rc t="2" v="6321"/>
    </bk>
    <bk>
      <rc t="2" v="6322"/>
    </bk>
    <bk>
      <rc t="2" v="6323"/>
    </bk>
    <bk>
      <rc t="2" v="6324"/>
    </bk>
    <bk>
      <rc t="2" v="6325"/>
    </bk>
    <bk>
      <rc t="2" v="6326"/>
    </bk>
    <bk>
      <rc t="2" v="6327"/>
    </bk>
    <bk>
      <rc t="2" v="6328"/>
    </bk>
    <bk>
      <rc t="2" v="6329"/>
    </bk>
    <bk>
      <rc t="2" v="6330"/>
    </bk>
    <bk>
      <rc t="2" v="6331"/>
    </bk>
    <bk>
      <rc t="2" v="6332"/>
    </bk>
    <bk>
      <rc t="2" v="6333"/>
    </bk>
    <bk>
      <rc t="2" v="6334"/>
    </bk>
    <bk>
      <rc t="2" v="6335"/>
    </bk>
    <bk>
      <rc t="2" v="6336"/>
    </bk>
    <bk>
      <rc t="2" v="6337"/>
    </bk>
    <bk>
      <rc t="2" v="6338"/>
    </bk>
    <bk>
      <rc t="2" v="6339"/>
    </bk>
    <bk>
      <rc t="2" v="6340"/>
    </bk>
    <bk>
      <rc t="2" v="6341"/>
    </bk>
    <bk>
      <rc t="2" v="6342"/>
    </bk>
    <bk>
      <rc t="2" v="6343"/>
    </bk>
    <bk>
      <rc t="2" v="6344"/>
    </bk>
    <bk>
      <rc t="2" v="6345"/>
    </bk>
    <bk>
      <rc t="2" v="6346"/>
    </bk>
    <bk>
      <rc t="2" v="6347"/>
    </bk>
    <bk>
      <rc t="2" v="6348"/>
    </bk>
    <bk>
      <rc t="2" v="6349"/>
    </bk>
    <bk>
      <rc t="2" v="6350"/>
    </bk>
    <bk>
      <rc t="2" v="6351"/>
    </bk>
    <bk>
      <rc t="2" v="6352"/>
    </bk>
    <bk>
      <rc t="2" v="6353"/>
    </bk>
    <bk>
      <rc t="2" v="6354"/>
    </bk>
    <bk>
      <rc t="2" v="6355"/>
    </bk>
    <bk>
      <rc t="2" v="6356"/>
    </bk>
    <bk>
      <rc t="2" v="6357"/>
    </bk>
    <bk>
      <rc t="2" v="6358"/>
    </bk>
    <bk>
      <rc t="2" v="6359"/>
    </bk>
    <bk>
      <rc t="2" v="6360"/>
    </bk>
    <bk>
      <rc t="2" v="6361"/>
    </bk>
    <bk>
      <rc t="2" v="6362"/>
    </bk>
    <bk>
      <rc t="2" v="6363"/>
    </bk>
    <bk>
      <rc t="2" v="6364"/>
    </bk>
    <bk>
      <rc t="2" v="6365"/>
    </bk>
    <bk>
      <rc t="2" v="6366"/>
    </bk>
    <bk>
      <rc t="2" v="6367"/>
    </bk>
    <bk>
      <rc t="2" v="6368"/>
    </bk>
    <bk>
      <rc t="2" v="6369"/>
    </bk>
    <bk>
      <rc t="2" v="6370"/>
    </bk>
    <bk>
      <rc t="2" v="6371"/>
    </bk>
    <bk>
      <rc t="2" v="6372"/>
    </bk>
    <bk>
      <rc t="2" v="6373"/>
    </bk>
    <bk>
      <rc t="2" v="6374"/>
    </bk>
    <bk>
      <rc t="2" v="6375"/>
    </bk>
    <bk>
      <rc t="2" v="6376"/>
    </bk>
    <bk>
      <rc t="2" v="6377"/>
    </bk>
    <bk>
      <rc t="2" v="6378"/>
    </bk>
    <bk>
      <rc t="2" v="6379"/>
    </bk>
    <bk>
      <rc t="2" v="6380"/>
    </bk>
    <bk>
      <rc t="2" v="6381"/>
    </bk>
    <bk>
      <rc t="2" v="6382"/>
    </bk>
    <bk>
      <rc t="2" v="6383"/>
    </bk>
    <bk>
      <rc t="2" v="6384"/>
    </bk>
    <bk>
      <rc t="2" v="6385"/>
    </bk>
    <bk>
      <rc t="2" v="6386"/>
    </bk>
    <bk>
      <rc t="2" v="6387"/>
    </bk>
    <bk>
      <rc t="2" v="6388"/>
    </bk>
    <bk>
      <rc t="2" v="6389"/>
    </bk>
    <bk>
      <rc t="2" v="6390"/>
    </bk>
    <bk>
      <rc t="2" v="6391"/>
    </bk>
    <bk>
      <rc t="2" v="6392"/>
    </bk>
    <bk>
      <rc t="2" v="6393"/>
    </bk>
    <bk>
      <rc t="2" v="6394"/>
    </bk>
    <bk>
      <rc t="2" v="6395"/>
    </bk>
    <bk>
      <rc t="2" v="6396"/>
    </bk>
    <bk>
      <rc t="2" v="6397"/>
    </bk>
    <bk>
      <rc t="2" v="6398"/>
    </bk>
    <bk>
      <rc t="2" v="6399"/>
    </bk>
    <bk>
      <rc t="2" v="6400"/>
    </bk>
    <bk>
      <rc t="2" v="6401"/>
    </bk>
    <bk>
      <rc t="2" v="6402"/>
    </bk>
    <bk>
      <rc t="2" v="6403"/>
    </bk>
    <bk>
      <rc t="2" v="6404"/>
    </bk>
    <bk>
      <rc t="2" v="6405"/>
    </bk>
    <bk>
      <rc t="2" v="6406"/>
    </bk>
    <bk>
      <rc t="2" v="6407"/>
    </bk>
    <bk>
      <rc t="2" v="6408"/>
    </bk>
    <bk>
      <rc t="2" v="6409"/>
    </bk>
    <bk>
      <rc t="2" v="6410"/>
    </bk>
    <bk>
      <rc t="2" v="6411"/>
    </bk>
    <bk>
      <rc t="2" v="6412"/>
    </bk>
    <bk>
      <rc t="2" v="6413"/>
    </bk>
    <bk>
      <rc t="2" v="6414"/>
    </bk>
    <bk>
      <rc t="2" v="6415"/>
    </bk>
    <bk>
      <rc t="2" v="6416"/>
    </bk>
    <bk>
      <rc t="2" v="6417"/>
    </bk>
    <bk>
      <rc t="2" v="6418"/>
    </bk>
    <bk>
      <rc t="2" v="6419"/>
    </bk>
    <bk>
      <rc t="2" v="6420"/>
    </bk>
    <bk>
      <rc t="2" v="6421"/>
    </bk>
    <bk>
      <rc t="2" v="6422"/>
    </bk>
    <bk>
      <rc t="2" v="6423"/>
    </bk>
    <bk>
      <rc t="2" v="6424"/>
    </bk>
    <bk>
      <rc t="2" v="6425"/>
    </bk>
    <bk>
      <rc t="2" v="6426"/>
    </bk>
    <bk>
      <rc t="2" v="6427"/>
    </bk>
    <bk>
      <rc t="2" v="6428"/>
    </bk>
    <bk>
      <rc t="2" v="6429"/>
    </bk>
    <bk>
      <rc t="2" v="6430"/>
    </bk>
    <bk>
      <rc t="2" v="6431"/>
    </bk>
    <bk>
      <rc t="2" v="6432"/>
    </bk>
    <bk>
      <rc t="2" v="6433"/>
    </bk>
    <bk>
      <rc t="2" v="6434"/>
    </bk>
    <bk>
      <rc t="2" v="6435"/>
    </bk>
    <bk>
      <rc t="2" v="6436"/>
    </bk>
    <bk>
      <rc t="2" v="6437"/>
    </bk>
    <bk>
      <rc t="2" v="6438"/>
    </bk>
    <bk>
      <rc t="2" v="6439"/>
    </bk>
    <bk>
      <rc t="2" v="6440"/>
    </bk>
    <bk>
      <rc t="2" v="6441"/>
    </bk>
    <bk>
      <rc t="2" v="6442"/>
    </bk>
    <bk>
      <rc t="2" v="6443"/>
    </bk>
    <bk>
      <rc t="2" v="6444"/>
    </bk>
    <bk>
      <rc t="2" v="6445"/>
    </bk>
    <bk>
      <rc t="2" v="6446"/>
    </bk>
    <bk>
      <rc t="2" v="6447"/>
    </bk>
    <bk>
      <rc t="2" v="6448"/>
    </bk>
    <bk>
      <rc t="2" v="6449"/>
    </bk>
    <bk>
      <rc t="2" v="6450"/>
    </bk>
    <bk>
      <rc t="2" v="6451"/>
    </bk>
    <bk>
      <rc t="2" v="6452"/>
    </bk>
    <bk>
      <rc t="2" v="6453"/>
    </bk>
    <bk>
      <rc t="2" v="6454"/>
    </bk>
    <bk>
      <rc t="2" v="6455"/>
    </bk>
    <bk>
      <rc t="2" v="6456"/>
    </bk>
    <bk>
      <rc t="2" v="6457"/>
    </bk>
    <bk>
      <rc t="2" v="6458"/>
    </bk>
    <bk>
      <rc t="2" v="6459"/>
    </bk>
    <bk>
      <rc t="2" v="6460"/>
    </bk>
    <bk>
      <rc t="2" v="6461"/>
    </bk>
    <bk>
      <rc t="2" v="6462"/>
    </bk>
    <bk>
      <rc t="2" v="6463"/>
    </bk>
    <bk>
      <rc t="2" v="6464"/>
    </bk>
    <bk>
      <rc t="2" v="6465"/>
    </bk>
    <bk>
      <rc t="2" v="6466"/>
    </bk>
    <bk>
      <rc t="2" v="6467"/>
    </bk>
    <bk>
      <rc t="2" v="6468"/>
    </bk>
    <bk>
      <rc t="2" v="6469"/>
    </bk>
    <bk>
      <rc t="2" v="6470"/>
    </bk>
    <bk>
      <rc t="2" v="6471"/>
    </bk>
    <bk>
      <rc t="2" v="6472"/>
    </bk>
    <bk>
      <rc t="2" v="6473"/>
    </bk>
    <bk>
      <rc t="2" v="6474"/>
    </bk>
    <bk>
      <rc t="2" v="6475"/>
    </bk>
    <bk>
      <rc t="2" v="6476"/>
    </bk>
    <bk>
      <rc t="2" v="6477"/>
    </bk>
    <bk>
      <rc t="2" v="6478"/>
    </bk>
    <bk>
      <rc t="2" v="6479"/>
    </bk>
    <bk>
      <rc t="2" v="6480"/>
    </bk>
    <bk>
      <rc t="2" v="6481"/>
    </bk>
    <bk>
      <rc t="2" v="6482"/>
    </bk>
    <bk>
      <rc t="2" v="6483"/>
    </bk>
    <bk>
      <rc t="2" v="6484"/>
    </bk>
    <bk>
      <rc t="2" v="6485"/>
    </bk>
    <bk>
      <rc t="2" v="6486"/>
    </bk>
    <bk>
      <rc t="2" v="6487"/>
    </bk>
    <bk>
      <rc t="2" v="6488"/>
    </bk>
    <bk>
      <rc t="2" v="6489"/>
    </bk>
    <bk>
      <rc t="2" v="6490"/>
    </bk>
    <bk>
      <rc t="2" v="6491"/>
    </bk>
    <bk>
      <rc t="2" v="6492"/>
    </bk>
    <bk>
      <rc t="2" v="6493"/>
    </bk>
    <bk>
      <rc t="2" v="6494"/>
    </bk>
    <bk>
      <rc t="2" v="6495"/>
    </bk>
    <bk>
      <rc t="2" v="6496"/>
    </bk>
    <bk>
      <rc t="2" v="6497"/>
    </bk>
    <bk>
      <rc t="2" v="6498"/>
    </bk>
    <bk>
      <rc t="2" v="6499"/>
    </bk>
    <bk>
      <rc t="2" v="6500"/>
    </bk>
    <bk>
      <rc t="2" v="6501"/>
    </bk>
    <bk>
      <rc t="2" v="6502"/>
    </bk>
    <bk>
      <rc t="2" v="6503"/>
    </bk>
    <bk>
      <rc t="2" v="6504"/>
    </bk>
    <bk>
      <rc t="2" v="6505"/>
    </bk>
    <bk>
      <rc t="2" v="6506"/>
    </bk>
    <bk>
      <rc t="2" v="6507"/>
    </bk>
    <bk>
      <rc t="2" v="6508"/>
    </bk>
    <bk>
      <rc t="2" v="6509"/>
    </bk>
    <bk>
      <rc t="2" v="6510"/>
    </bk>
    <bk>
      <rc t="2" v="6511"/>
    </bk>
    <bk>
      <rc t="2" v="6512"/>
    </bk>
    <bk>
      <rc t="2" v="6513"/>
    </bk>
    <bk>
      <rc t="2" v="6514"/>
    </bk>
    <bk>
      <rc t="2" v="6515"/>
    </bk>
    <bk>
      <rc t="2" v="6516"/>
    </bk>
    <bk>
      <rc t="2" v="6517"/>
    </bk>
    <bk>
      <rc t="2" v="6518"/>
    </bk>
    <bk>
      <rc t="2" v="6519"/>
    </bk>
    <bk>
      <rc t="2" v="6520"/>
    </bk>
    <bk>
      <rc t="2" v="6521"/>
    </bk>
    <bk>
      <rc t="2" v="6522"/>
    </bk>
    <bk>
      <rc t="2" v="6523"/>
    </bk>
    <bk>
      <rc t="2" v="6524"/>
    </bk>
    <bk>
      <rc t="2" v="6525"/>
    </bk>
    <bk>
      <rc t="2" v="6526"/>
    </bk>
    <bk>
      <rc t="2" v="6527"/>
    </bk>
    <bk>
      <rc t="2" v="6528"/>
    </bk>
    <bk>
      <rc t="2" v="6529"/>
    </bk>
    <bk>
      <rc t="2" v="6530"/>
    </bk>
    <bk>
      <rc t="2" v="6531"/>
    </bk>
    <bk>
      <rc t="2" v="6532"/>
    </bk>
    <bk>
      <rc t="2" v="6533"/>
    </bk>
    <bk>
      <rc t="2" v="6534"/>
    </bk>
    <bk>
      <rc t="2" v="6535"/>
    </bk>
    <bk>
      <rc t="2" v="6536"/>
    </bk>
    <bk>
      <rc t="2" v="6537"/>
    </bk>
    <bk>
      <rc t="2" v="6538"/>
    </bk>
    <bk>
      <rc t="2" v="6539"/>
    </bk>
    <bk>
      <rc t="2" v="6540"/>
    </bk>
    <bk>
      <rc t="2" v="6541"/>
    </bk>
    <bk>
      <rc t="2" v="6542"/>
    </bk>
    <bk>
      <rc t="2" v="6543"/>
    </bk>
    <bk>
      <rc t="2" v="6544"/>
    </bk>
    <bk>
      <rc t="2" v="6545"/>
    </bk>
    <bk>
      <rc t="2" v="6546"/>
    </bk>
    <bk>
      <rc t="2" v="6547"/>
    </bk>
    <bk>
      <rc t="2" v="6548"/>
    </bk>
    <bk>
      <rc t="2" v="6549"/>
    </bk>
    <bk>
      <rc t="2" v="6550"/>
    </bk>
    <bk>
      <rc t="2" v="6551"/>
    </bk>
    <bk>
      <rc t="2" v="6552"/>
    </bk>
    <bk>
      <rc t="2" v="6553"/>
    </bk>
    <bk>
      <rc t="2" v="6554"/>
    </bk>
    <bk>
      <rc t="2" v="6555"/>
    </bk>
    <bk>
      <rc t="2" v="6556"/>
    </bk>
    <bk>
      <rc t="2" v="6557"/>
    </bk>
    <bk>
      <rc t="2" v="6558"/>
    </bk>
    <bk>
      <rc t="2" v="6559"/>
    </bk>
    <bk>
      <rc t="2" v="6560"/>
    </bk>
    <bk>
      <rc t="2" v="6561"/>
    </bk>
    <bk>
      <rc t="2" v="6562"/>
    </bk>
    <bk>
      <rc t="2" v="6563"/>
    </bk>
    <bk>
      <rc t="2" v="6564"/>
    </bk>
    <bk>
      <rc t="2" v="6565"/>
    </bk>
    <bk>
      <rc t="2" v="6566"/>
    </bk>
    <bk>
      <rc t="2" v="6567"/>
    </bk>
    <bk>
      <rc t="2" v="6568"/>
    </bk>
    <bk>
      <rc t="2" v="6569"/>
    </bk>
    <bk>
      <rc t="2" v="6570"/>
    </bk>
    <bk>
      <rc t="2" v="6571"/>
    </bk>
    <bk>
      <rc t="2" v="6572"/>
    </bk>
    <bk>
      <rc t="2" v="6573"/>
    </bk>
    <bk>
      <rc t="2" v="6574"/>
    </bk>
    <bk>
      <rc t="2" v="6575"/>
    </bk>
    <bk>
      <rc t="2" v="6576"/>
    </bk>
    <bk>
      <rc t="2" v="6577"/>
    </bk>
    <bk>
      <rc t="2" v="6578"/>
    </bk>
    <bk>
      <rc t="2" v="6579"/>
    </bk>
    <bk>
      <rc t="2" v="6580"/>
    </bk>
    <bk>
      <rc t="2" v="6581"/>
    </bk>
    <bk>
      <rc t="2" v="6582"/>
    </bk>
    <bk>
      <rc t="2" v="6583"/>
    </bk>
    <bk>
      <rc t="2" v="6584"/>
    </bk>
    <bk>
      <rc t="2" v="6585"/>
    </bk>
    <bk>
      <rc t="2" v="6586"/>
    </bk>
    <bk>
      <rc t="2" v="6587"/>
    </bk>
    <bk>
      <rc t="2" v="6588"/>
    </bk>
    <bk>
      <rc t="2" v="6589"/>
    </bk>
    <bk>
      <rc t="2" v="6590"/>
    </bk>
    <bk>
      <rc t="2" v="6591"/>
    </bk>
    <bk>
      <rc t="2" v="6592"/>
    </bk>
    <bk>
      <rc t="2" v="6593"/>
    </bk>
    <bk>
      <rc t="2" v="6594"/>
    </bk>
    <bk>
      <rc t="2" v="6595"/>
    </bk>
    <bk>
      <rc t="2" v="6596"/>
    </bk>
    <bk>
      <rc t="2" v="6597"/>
    </bk>
    <bk>
      <rc t="2" v="6598"/>
    </bk>
    <bk>
      <rc t="2" v="6599"/>
    </bk>
    <bk>
      <rc t="2" v="6600"/>
    </bk>
    <bk>
      <rc t="2" v="6601"/>
    </bk>
    <bk>
      <rc t="2" v="6602"/>
    </bk>
    <bk>
      <rc t="2" v="6603"/>
    </bk>
    <bk>
      <rc t="2" v="6604"/>
    </bk>
    <bk>
      <rc t="2" v="6605"/>
    </bk>
    <bk>
      <rc t="2" v="6606"/>
    </bk>
    <bk>
      <rc t="2" v="6607"/>
    </bk>
    <bk>
      <rc t="2" v="6608"/>
    </bk>
    <bk>
      <rc t="2" v="6609"/>
    </bk>
    <bk>
      <rc t="2" v="6610"/>
    </bk>
    <bk>
      <rc t="2" v="6611"/>
    </bk>
    <bk>
      <rc t="2" v="6612"/>
    </bk>
    <bk>
      <rc t="2" v="6613"/>
    </bk>
    <bk>
      <rc t="2" v="6614"/>
    </bk>
    <bk>
      <rc t="2" v="6615"/>
    </bk>
    <bk>
      <rc t="2" v="6616"/>
    </bk>
    <bk>
      <rc t="2" v="6617"/>
    </bk>
    <bk>
      <rc t="2" v="6618"/>
    </bk>
    <bk>
      <rc t="2" v="6619"/>
    </bk>
    <bk>
      <rc t="2" v="6620"/>
    </bk>
    <bk>
      <rc t="2" v="6621"/>
    </bk>
    <bk>
      <rc t="2" v="6622"/>
    </bk>
    <bk>
      <rc t="2" v="6623"/>
    </bk>
    <bk>
      <rc t="2" v="6624"/>
    </bk>
    <bk>
      <rc t="2" v="6625"/>
    </bk>
    <bk>
      <rc t="2" v="6626"/>
    </bk>
    <bk>
      <rc t="2" v="6627"/>
    </bk>
    <bk>
      <rc t="2" v="6628"/>
    </bk>
    <bk>
      <rc t="2" v="6629"/>
    </bk>
    <bk>
      <rc t="2" v="6630"/>
    </bk>
    <bk>
      <rc t="2" v="6631"/>
    </bk>
    <bk>
      <rc t="2" v="6632"/>
    </bk>
    <bk>
      <rc t="2" v="6633"/>
    </bk>
    <bk>
      <rc t="2" v="6634"/>
    </bk>
    <bk>
      <rc t="2" v="6635"/>
    </bk>
    <bk>
      <rc t="2" v="6636"/>
    </bk>
    <bk>
      <rc t="2" v="6637"/>
    </bk>
    <bk>
      <rc t="2" v="6638"/>
    </bk>
    <bk>
      <rc t="2" v="6639"/>
    </bk>
    <bk>
      <rc t="2" v="6640"/>
    </bk>
    <bk>
      <rc t="2" v="6641"/>
    </bk>
    <bk>
      <rc t="2" v="6642"/>
    </bk>
    <bk>
      <rc t="2" v="6643"/>
    </bk>
    <bk>
      <rc t="2" v="6644"/>
    </bk>
    <bk>
      <rc t="2" v="6645"/>
    </bk>
    <bk>
      <rc t="2" v="6646"/>
    </bk>
    <bk>
      <rc t="2" v="6647"/>
    </bk>
    <bk>
      <rc t="2" v="6648"/>
    </bk>
    <bk>
      <rc t="2" v="6649"/>
    </bk>
    <bk>
      <rc t="2" v="6650"/>
    </bk>
    <bk>
      <rc t="2" v="6651"/>
    </bk>
    <bk>
      <rc t="2" v="6652"/>
    </bk>
    <bk>
      <rc t="2" v="6653"/>
    </bk>
    <bk>
      <rc t="2" v="6654"/>
    </bk>
    <bk>
      <rc t="2" v="6655"/>
    </bk>
    <bk>
      <rc t="2" v="6656"/>
    </bk>
    <bk>
      <rc t="2" v="6657"/>
    </bk>
    <bk>
      <rc t="2" v="6658"/>
    </bk>
    <bk>
      <rc t="2" v="6659"/>
    </bk>
    <bk>
      <rc t="2" v="6660"/>
    </bk>
    <bk>
      <rc t="2" v="6661"/>
    </bk>
    <bk>
      <rc t="2" v="6662"/>
    </bk>
    <bk>
      <rc t="2" v="6663"/>
    </bk>
    <bk>
      <rc t="2" v="6664"/>
    </bk>
    <bk>
      <rc t="2" v="6665"/>
    </bk>
    <bk>
      <rc t="2" v="6666"/>
    </bk>
    <bk>
      <rc t="2" v="6667"/>
    </bk>
    <bk>
      <rc t="2" v="6668"/>
    </bk>
    <bk>
      <rc t="2" v="6669"/>
    </bk>
    <bk>
      <rc t="2" v="6670"/>
    </bk>
    <bk>
      <rc t="2" v="6671"/>
    </bk>
    <bk>
      <rc t="2" v="6672"/>
    </bk>
    <bk>
      <rc t="2" v="6673"/>
    </bk>
    <bk>
      <rc t="2" v="6674"/>
    </bk>
    <bk>
      <rc t="2" v="6675"/>
    </bk>
    <bk>
      <rc t="2" v="6676"/>
    </bk>
    <bk>
      <rc t="2" v="6677"/>
    </bk>
    <bk>
      <rc t="2" v="6678"/>
    </bk>
    <bk>
      <rc t="2" v="6679"/>
    </bk>
    <bk>
      <rc t="2" v="6680"/>
    </bk>
    <bk>
      <rc t="2" v="6681"/>
    </bk>
    <bk>
      <rc t="2" v="6682"/>
    </bk>
    <bk>
      <rc t="2" v="6683"/>
    </bk>
    <bk>
      <rc t="2" v="6684"/>
    </bk>
    <bk>
      <rc t="2" v="6685"/>
    </bk>
    <bk>
      <rc t="2" v="6686"/>
    </bk>
    <bk>
      <rc t="2" v="6687"/>
    </bk>
    <bk>
      <rc t="2" v="6688"/>
    </bk>
    <bk>
      <rc t="2" v="6689"/>
    </bk>
    <bk>
      <rc t="2" v="6690"/>
    </bk>
    <bk>
      <rc t="2" v="6691"/>
    </bk>
    <bk>
      <rc t="2" v="6692"/>
    </bk>
    <bk>
      <rc t="2" v="6693"/>
    </bk>
    <bk>
      <rc t="2" v="6694"/>
    </bk>
    <bk>
      <rc t="2" v="6695"/>
    </bk>
    <bk>
      <rc t="2" v="6696"/>
    </bk>
    <bk>
      <rc t="2" v="6697"/>
    </bk>
    <bk>
      <rc t="2" v="6698"/>
    </bk>
    <bk>
      <rc t="2" v="6699"/>
    </bk>
    <bk>
      <rc t="2" v="6700"/>
    </bk>
    <bk>
      <rc t="2" v="6701"/>
    </bk>
    <bk>
      <rc t="2" v="6702"/>
    </bk>
    <bk>
      <rc t="2" v="6703"/>
    </bk>
    <bk>
      <rc t="2" v="6704"/>
    </bk>
    <bk>
      <rc t="2" v="6705"/>
    </bk>
    <bk>
      <rc t="2" v="6706"/>
    </bk>
    <bk>
      <rc t="2" v="6707"/>
    </bk>
    <bk>
      <rc t="2" v="6708"/>
    </bk>
    <bk>
      <rc t="2" v="6709"/>
    </bk>
    <bk>
      <rc t="2" v="6710"/>
    </bk>
    <bk>
      <rc t="2" v="6711"/>
    </bk>
    <bk>
      <rc t="2" v="6712"/>
    </bk>
    <bk>
      <rc t="2" v="6713"/>
    </bk>
    <bk>
      <rc t="2" v="6714"/>
    </bk>
    <bk>
      <rc t="2" v="6715"/>
    </bk>
    <bk>
      <rc t="2" v="6716"/>
    </bk>
    <bk>
      <rc t="2" v="6717"/>
    </bk>
    <bk>
      <rc t="2" v="6718"/>
    </bk>
    <bk>
      <rc t="2" v="6719"/>
    </bk>
    <bk>
      <rc t="2" v="6720"/>
    </bk>
    <bk>
      <rc t="2" v="6721"/>
    </bk>
    <bk>
      <rc t="2" v="6722"/>
    </bk>
    <bk>
      <rc t="2" v="6723"/>
    </bk>
    <bk>
      <rc t="2" v="6724"/>
    </bk>
    <bk>
      <rc t="2" v="6725"/>
    </bk>
    <bk>
      <rc t="2" v="6726"/>
    </bk>
    <bk>
      <rc t="2" v="6727"/>
    </bk>
    <bk>
      <rc t="2" v="6728"/>
    </bk>
    <bk>
      <rc t="2" v="6729"/>
    </bk>
    <bk>
      <rc t="2" v="6730"/>
    </bk>
    <bk>
      <rc t="2" v="6731"/>
    </bk>
    <bk>
      <rc t="2" v="6732"/>
    </bk>
    <bk>
      <rc t="2" v="6733"/>
    </bk>
    <bk>
      <rc t="2" v="6734"/>
    </bk>
    <bk>
      <rc t="2" v="6735"/>
    </bk>
    <bk>
      <rc t="2" v="6736"/>
    </bk>
    <bk>
      <rc t="2" v="6737"/>
    </bk>
    <bk>
      <rc t="2" v="6738"/>
    </bk>
    <bk>
      <rc t="2" v="6739"/>
    </bk>
    <bk>
      <rc t="2" v="6740"/>
    </bk>
    <bk>
      <rc t="2" v="6741"/>
    </bk>
    <bk>
      <rc t="2" v="6742"/>
    </bk>
    <bk>
      <rc t="2" v="6743"/>
    </bk>
    <bk>
      <rc t="2" v="6744"/>
    </bk>
    <bk>
      <rc t="2" v="6745"/>
    </bk>
    <bk>
      <rc t="2" v="6746"/>
    </bk>
    <bk>
      <rc t="2" v="6747"/>
    </bk>
    <bk>
      <rc t="2" v="6748"/>
    </bk>
    <bk>
      <rc t="2" v="6749"/>
    </bk>
    <bk>
      <rc t="2" v="6750"/>
    </bk>
    <bk>
      <rc t="2" v="6751"/>
    </bk>
    <bk>
      <rc t="2" v="6752"/>
    </bk>
    <bk>
      <rc t="2" v="6753"/>
    </bk>
    <bk>
      <rc t="2" v="6754"/>
    </bk>
    <bk>
      <rc t="2" v="6755"/>
    </bk>
    <bk>
      <rc t="2" v="6756"/>
    </bk>
    <bk>
      <rc t="2" v="6757"/>
    </bk>
    <bk>
      <rc t="2" v="6758"/>
    </bk>
    <bk>
      <rc t="2" v="6759"/>
    </bk>
    <bk>
      <rc t="2" v="6760"/>
    </bk>
    <bk>
      <rc t="2" v="6761"/>
    </bk>
    <bk>
      <rc t="2" v="6762"/>
    </bk>
    <bk>
      <rc t="2" v="6763"/>
    </bk>
    <bk>
      <rc t="2" v="6764"/>
    </bk>
    <bk>
      <rc t="2" v="6765"/>
    </bk>
    <bk>
      <rc t="2" v="6766"/>
    </bk>
    <bk>
      <rc t="2" v="6767"/>
    </bk>
    <bk>
      <rc t="2" v="6768"/>
    </bk>
    <bk>
      <rc t="2" v="6769"/>
    </bk>
    <bk>
      <rc t="2" v="6770"/>
    </bk>
    <bk>
      <rc t="2" v="6771"/>
    </bk>
    <bk>
      <rc t="2" v="6772"/>
    </bk>
    <bk>
      <rc t="2" v="6773"/>
    </bk>
    <bk>
      <rc t="2" v="6774"/>
    </bk>
    <bk>
      <rc t="2" v="6775"/>
    </bk>
    <bk>
      <rc t="2" v="6776"/>
    </bk>
    <bk>
      <rc t="2" v="6777"/>
    </bk>
    <bk>
      <rc t="2" v="6778"/>
    </bk>
    <bk>
      <rc t="2" v="6779"/>
    </bk>
    <bk>
      <rc t="2" v="6780"/>
    </bk>
    <bk>
      <rc t="2" v="6781"/>
    </bk>
    <bk>
      <rc t="2" v="6782"/>
    </bk>
    <bk>
      <rc t="2" v="6783"/>
    </bk>
    <bk>
      <rc t="2" v="6784"/>
    </bk>
    <bk>
      <rc t="2" v="6785"/>
    </bk>
    <bk>
      <rc t="2" v="6786"/>
    </bk>
    <bk>
      <rc t="2" v="6787"/>
    </bk>
    <bk>
      <rc t="2" v="6788"/>
    </bk>
    <bk>
      <rc t="2" v="6789"/>
    </bk>
    <bk>
      <rc t="2" v="6790"/>
    </bk>
    <bk>
      <rc t="2" v="6791"/>
    </bk>
    <bk>
      <rc t="2" v="6792"/>
    </bk>
    <bk>
      <rc t="2" v="6793"/>
    </bk>
    <bk>
      <rc t="2" v="6794"/>
    </bk>
    <bk>
      <rc t="2" v="6795"/>
    </bk>
    <bk>
      <rc t="2" v="6796"/>
    </bk>
    <bk>
      <rc t="2" v="6797"/>
    </bk>
    <bk>
      <rc t="2" v="6798"/>
    </bk>
    <bk>
      <rc t="2" v="6799"/>
    </bk>
    <bk>
      <rc t="2" v="6800"/>
    </bk>
    <bk>
      <rc t="2" v="6801"/>
    </bk>
    <bk>
      <rc t="2" v="6802"/>
    </bk>
    <bk>
      <rc t="2" v="6803"/>
    </bk>
    <bk>
      <rc t="2" v="6804"/>
    </bk>
    <bk>
      <rc t="2" v="6805"/>
    </bk>
    <bk>
      <rc t="2" v="6806"/>
    </bk>
    <bk>
      <rc t="2" v="6807"/>
    </bk>
    <bk>
      <rc t="2" v="6808"/>
    </bk>
    <bk>
      <rc t="2" v="6809"/>
    </bk>
    <bk>
      <rc t="2" v="6810"/>
    </bk>
    <bk>
      <rc t="2" v="6811"/>
    </bk>
    <bk>
      <rc t="2" v="6812"/>
    </bk>
    <bk>
      <rc t="2" v="6813"/>
    </bk>
    <bk>
      <rc t="2" v="6814"/>
    </bk>
    <bk>
      <rc t="2" v="6815"/>
    </bk>
    <bk>
      <rc t="2" v="6816"/>
    </bk>
    <bk>
      <rc t="2" v="6817"/>
    </bk>
    <bk>
      <rc t="2" v="6818"/>
    </bk>
    <bk>
      <rc t="2" v="6819"/>
    </bk>
    <bk>
      <rc t="2" v="6820"/>
    </bk>
    <bk>
      <rc t="2" v="6821"/>
    </bk>
    <bk>
      <rc t="2" v="6822"/>
    </bk>
    <bk>
      <rc t="2" v="6823"/>
    </bk>
    <bk>
      <rc t="2" v="6824"/>
    </bk>
    <bk>
      <rc t="2" v="6825"/>
    </bk>
    <bk>
      <rc t="2" v="6826"/>
    </bk>
    <bk>
      <rc t="2" v="6827"/>
    </bk>
    <bk>
      <rc t="2" v="6828"/>
    </bk>
    <bk>
      <rc t="2" v="6829"/>
    </bk>
    <bk>
      <rc t="2" v="6830"/>
    </bk>
    <bk>
      <rc t="2" v="6831"/>
    </bk>
    <bk>
      <rc t="2" v="6832"/>
    </bk>
    <bk>
      <rc t="2" v="6833"/>
    </bk>
    <bk>
      <rc t="2" v="6834"/>
    </bk>
    <bk>
      <rc t="2" v="6835"/>
    </bk>
    <bk>
      <rc t="2" v="6836"/>
    </bk>
    <bk>
      <rc t="2" v="6837"/>
    </bk>
    <bk>
      <rc t="2" v="6838"/>
    </bk>
    <bk>
      <rc t="2" v="6839"/>
    </bk>
    <bk>
      <rc t="2" v="6840"/>
    </bk>
    <bk>
      <rc t="2" v="6841"/>
    </bk>
    <bk>
      <rc t="2" v="6842"/>
    </bk>
    <bk>
      <rc t="2" v="6843"/>
    </bk>
    <bk>
      <rc t="2" v="6844"/>
    </bk>
    <bk>
      <rc t="2" v="6845"/>
    </bk>
    <bk>
      <rc t="2" v="6846"/>
    </bk>
    <bk>
      <rc t="2" v="6847"/>
    </bk>
    <bk>
      <rc t="2" v="6848"/>
    </bk>
    <bk>
      <rc t="2" v="6849"/>
    </bk>
    <bk>
      <rc t="2" v="6850"/>
    </bk>
    <bk>
      <rc t="2" v="6851"/>
    </bk>
    <bk>
      <rc t="2" v="6852"/>
    </bk>
    <bk>
      <rc t="2" v="6853"/>
    </bk>
    <bk>
      <rc t="2" v="6854"/>
    </bk>
    <bk>
      <rc t="2" v="6855"/>
    </bk>
    <bk>
      <rc t="2" v="6856"/>
    </bk>
    <bk>
      <rc t="2" v="6857"/>
    </bk>
    <bk>
      <rc t="2" v="6858"/>
    </bk>
    <bk>
      <rc t="2" v="6859"/>
    </bk>
    <bk>
      <rc t="2" v="6860"/>
    </bk>
    <bk>
      <rc t="2" v="6861"/>
    </bk>
    <bk>
      <rc t="2" v="6862"/>
    </bk>
    <bk>
      <rc t="2" v="6863"/>
    </bk>
    <bk>
      <rc t="2" v="6864"/>
    </bk>
    <bk>
      <rc t="2" v="6865"/>
    </bk>
    <bk>
      <rc t="2" v="6866"/>
    </bk>
    <bk>
      <rc t="2" v="6867"/>
    </bk>
    <bk>
      <rc t="2" v="6868"/>
    </bk>
    <bk>
      <rc t="2" v="6869"/>
    </bk>
    <bk>
      <rc t="2" v="6870"/>
    </bk>
    <bk>
      <rc t="2" v="6871"/>
    </bk>
    <bk>
      <rc t="2" v="6872"/>
    </bk>
    <bk>
      <rc t="2" v="6873"/>
    </bk>
    <bk>
      <rc t="2" v="6874"/>
    </bk>
    <bk>
      <rc t="2" v="6875"/>
    </bk>
    <bk>
      <rc t="2" v="6876"/>
    </bk>
    <bk>
      <rc t="2" v="6877"/>
    </bk>
    <bk>
      <rc t="2" v="6878"/>
    </bk>
    <bk>
      <rc t="2" v="6879"/>
    </bk>
    <bk>
      <rc t="2" v="6880"/>
    </bk>
    <bk>
      <rc t="2" v="6881"/>
    </bk>
    <bk>
      <rc t="2" v="6882"/>
    </bk>
    <bk>
      <rc t="2" v="6883"/>
    </bk>
    <bk>
      <rc t="2" v="6884"/>
    </bk>
    <bk>
      <rc t="2" v="6885"/>
    </bk>
    <bk>
      <rc t="2" v="6886"/>
    </bk>
    <bk>
      <rc t="2" v="6887"/>
    </bk>
    <bk>
      <rc t="2" v="6888"/>
    </bk>
    <bk>
      <rc t="2" v="6889"/>
    </bk>
    <bk>
      <rc t="2" v="6890"/>
    </bk>
    <bk>
      <rc t="2" v="6891"/>
    </bk>
    <bk>
      <rc t="2" v="6892"/>
    </bk>
    <bk>
      <rc t="2" v="6893"/>
    </bk>
    <bk>
      <rc t="2" v="6894"/>
    </bk>
    <bk>
      <rc t="2" v="6895"/>
    </bk>
    <bk>
      <rc t="2" v="6896"/>
    </bk>
    <bk>
      <rc t="2" v="6897"/>
    </bk>
    <bk>
      <rc t="2" v="6898"/>
    </bk>
    <bk>
      <rc t="2" v="6899"/>
    </bk>
    <bk>
      <rc t="2" v="6900"/>
    </bk>
    <bk>
      <rc t="2" v="6901"/>
    </bk>
    <bk>
      <rc t="2" v="6902"/>
    </bk>
    <bk>
      <rc t="2" v="6903"/>
    </bk>
    <bk>
      <rc t="2" v="6904"/>
    </bk>
    <bk>
      <rc t="2" v="6905"/>
    </bk>
    <bk>
      <rc t="2" v="6906"/>
    </bk>
    <bk>
      <rc t="2" v="6907"/>
    </bk>
    <bk>
      <rc t="2" v="6908"/>
    </bk>
    <bk>
      <rc t="2" v="6909"/>
    </bk>
    <bk>
      <rc t="2" v="6910"/>
    </bk>
    <bk>
      <rc t="2" v="6911"/>
    </bk>
    <bk>
      <rc t="2" v="6912"/>
    </bk>
    <bk>
      <rc t="2" v="6913"/>
    </bk>
    <bk>
      <rc t="2" v="6914"/>
    </bk>
    <bk>
      <rc t="2" v="6915"/>
    </bk>
    <bk>
      <rc t="2" v="6916"/>
    </bk>
    <bk>
      <rc t="2" v="6917"/>
    </bk>
    <bk>
      <rc t="2" v="6918"/>
    </bk>
    <bk>
      <rc t="2" v="6919"/>
    </bk>
    <bk>
      <rc t="2" v="6920"/>
    </bk>
    <bk>
      <rc t="2" v="6921"/>
    </bk>
    <bk>
      <rc t="2" v="6922"/>
    </bk>
    <bk>
      <rc t="2" v="6923"/>
    </bk>
    <bk>
      <rc t="2" v="6924"/>
    </bk>
    <bk>
      <rc t="2" v="6925"/>
    </bk>
    <bk>
      <rc t="2" v="6926"/>
    </bk>
    <bk>
      <rc t="2" v="6927"/>
    </bk>
    <bk>
      <rc t="2" v="6928"/>
    </bk>
    <bk>
      <rc t="2" v="6929"/>
    </bk>
    <bk>
      <rc t="2" v="6930"/>
    </bk>
    <bk>
      <rc t="2" v="6931"/>
    </bk>
    <bk>
      <rc t="2" v="6932"/>
    </bk>
    <bk>
      <rc t="2" v="6933"/>
    </bk>
    <bk>
      <rc t="2" v="6934"/>
    </bk>
    <bk>
      <rc t="2" v="6935"/>
    </bk>
    <bk>
      <rc t="2" v="6936"/>
    </bk>
    <bk>
      <rc t="2" v="6937"/>
    </bk>
    <bk>
      <rc t="2" v="6938"/>
    </bk>
    <bk>
      <rc t="2" v="6939"/>
    </bk>
    <bk>
      <rc t="2" v="6940"/>
    </bk>
    <bk>
      <rc t="2" v="6941"/>
    </bk>
    <bk>
      <rc t="2" v="6942"/>
    </bk>
    <bk>
      <rc t="2" v="6943"/>
    </bk>
    <bk>
      <rc t="2" v="6944"/>
    </bk>
    <bk>
      <rc t="2" v="6945"/>
    </bk>
    <bk>
      <rc t="2" v="6946"/>
    </bk>
    <bk>
      <rc t="2" v="6947"/>
    </bk>
    <bk>
      <rc t="2" v="6948"/>
    </bk>
    <bk>
      <rc t="2" v="6949"/>
    </bk>
    <bk>
      <rc t="2" v="6950"/>
    </bk>
    <bk>
      <rc t="2" v="6951"/>
    </bk>
    <bk>
      <rc t="2" v="6952"/>
    </bk>
    <bk>
      <rc t="2" v="6953"/>
    </bk>
    <bk>
      <rc t="2" v="6954"/>
    </bk>
    <bk>
      <rc t="2" v="6955"/>
    </bk>
    <bk>
      <rc t="2" v="6956"/>
    </bk>
    <bk>
      <rc t="2" v="6957"/>
    </bk>
    <bk>
      <rc t="2" v="6958"/>
    </bk>
    <bk>
      <rc t="2" v="6959"/>
    </bk>
    <bk>
      <rc t="2" v="6960"/>
    </bk>
    <bk>
      <rc t="2" v="6961"/>
    </bk>
    <bk>
      <rc t="2" v="6962"/>
    </bk>
    <bk>
      <rc t="2" v="6963"/>
    </bk>
    <bk>
      <rc t="2" v="6964"/>
    </bk>
    <bk>
      <rc t="2" v="6965"/>
    </bk>
    <bk>
      <rc t="2" v="6966"/>
    </bk>
    <bk>
      <rc t="2" v="6967"/>
    </bk>
    <bk>
      <rc t="2" v="6968"/>
    </bk>
    <bk>
      <rc t="2" v="6969"/>
    </bk>
    <bk>
      <rc t="2" v="6970"/>
    </bk>
    <bk>
      <rc t="2" v="6971"/>
    </bk>
    <bk>
      <rc t="2" v="6972"/>
    </bk>
    <bk>
      <rc t="2" v="6973"/>
    </bk>
    <bk>
      <rc t="2" v="6974"/>
    </bk>
    <bk>
      <rc t="2" v="6975"/>
    </bk>
    <bk>
      <rc t="2" v="6976"/>
    </bk>
    <bk>
      <rc t="2" v="6977"/>
    </bk>
    <bk>
      <rc t="2" v="6978"/>
    </bk>
    <bk>
      <rc t="2" v="6979"/>
    </bk>
    <bk>
      <rc t="2" v="6980"/>
    </bk>
    <bk>
      <rc t="2" v="6981"/>
    </bk>
    <bk>
      <rc t="2" v="6982"/>
    </bk>
    <bk>
      <rc t="2" v="6983"/>
    </bk>
    <bk>
      <rc t="2" v="6984"/>
    </bk>
    <bk>
      <rc t="2" v="6985"/>
    </bk>
    <bk>
      <rc t="2" v="6986"/>
    </bk>
    <bk>
      <rc t="2" v="6987"/>
    </bk>
    <bk>
      <rc t="2" v="6988"/>
    </bk>
    <bk>
      <rc t="2" v="6989"/>
    </bk>
    <bk>
      <rc t="2" v="6990"/>
    </bk>
    <bk>
      <rc t="2" v="6991"/>
    </bk>
    <bk>
      <rc t="2" v="6992"/>
    </bk>
    <bk>
      <rc t="2" v="6993"/>
    </bk>
    <bk>
      <rc t="2" v="6994"/>
    </bk>
    <bk>
      <rc t="2" v="6995"/>
    </bk>
    <bk>
      <rc t="2" v="6996"/>
    </bk>
    <bk>
      <rc t="2" v="6997"/>
    </bk>
    <bk>
      <rc t="2" v="6998"/>
    </bk>
    <bk>
      <rc t="2" v="6999"/>
    </bk>
    <bk>
      <rc t="2" v="7000"/>
    </bk>
    <bk>
      <rc t="2" v="7001"/>
    </bk>
    <bk>
      <rc t="2" v="7002"/>
    </bk>
    <bk>
      <rc t="2" v="7003"/>
    </bk>
    <bk>
      <rc t="2" v="7004"/>
    </bk>
    <bk>
      <rc t="2" v="7005"/>
    </bk>
    <bk>
      <rc t="2" v="7006"/>
    </bk>
    <bk>
      <rc t="2" v="7007"/>
    </bk>
    <bk>
      <rc t="2" v="7008"/>
    </bk>
    <bk>
      <rc t="2" v="7009"/>
    </bk>
    <bk>
      <rc t="2" v="7010"/>
    </bk>
    <bk>
      <rc t="2" v="7011"/>
    </bk>
    <bk>
      <rc t="2" v="7012"/>
    </bk>
    <bk>
      <rc t="2" v="7013"/>
    </bk>
    <bk>
      <rc t="2" v="7014"/>
    </bk>
    <bk>
      <rc t="2" v="7015"/>
    </bk>
    <bk>
      <rc t="2" v="7016"/>
    </bk>
    <bk>
      <rc t="2" v="7017"/>
    </bk>
    <bk>
      <rc t="2" v="7018"/>
    </bk>
    <bk>
      <rc t="2" v="7019"/>
    </bk>
    <bk>
      <rc t="2" v="7020"/>
    </bk>
    <bk>
      <rc t="2" v="7021"/>
    </bk>
    <bk>
      <rc t="2" v="7022"/>
    </bk>
    <bk>
      <rc t="2" v="7023"/>
    </bk>
    <bk>
      <rc t="2" v="7024"/>
    </bk>
    <bk>
      <rc t="2" v="7025"/>
    </bk>
    <bk>
      <rc t="2" v="7026"/>
    </bk>
    <bk>
      <rc t="2" v="7027"/>
    </bk>
    <bk>
      <rc t="2" v="7028"/>
    </bk>
    <bk>
      <rc t="2" v="7029"/>
    </bk>
    <bk>
      <rc t="2" v="7030"/>
    </bk>
    <bk>
      <rc t="2" v="7031"/>
    </bk>
    <bk>
      <rc t="2" v="7032"/>
    </bk>
    <bk>
      <rc t="2" v="7033"/>
    </bk>
    <bk>
      <rc t="2" v="7034"/>
    </bk>
    <bk>
      <rc t="2" v="7035"/>
    </bk>
    <bk>
      <rc t="2" v="7036"/>
    </bk>
    <bk>
      <rc t="2" v="7037"/>
    </bk>
    <bk>
      <rc t="2" v="7038"/>
    </bk>
    <bk>
      <rc t="2" v="7039"/>
    </bk>
    <bk>
      <rc t="2" v="7040"/>
    </bk>
    <bk>
      <rc t="2" v="7041"/>
    </bk>
    <bk>
      <rc t="2" v="7042"/>
    </bk>
    <bk>
      <rc t="2" v="7043"/>
    </bk>
    <bk>
      <rc t="2" v="7044"/>
    </bk>
    <bk>
      <rc t="2" v="7045"/>
    </bk>
    <bk>
      <rc t="2" v="7046"/>
    </bk>
    <bk>
      <rc t="2" v="7047"/>
    </bk>
    <bk>
      <rc t="2" v="7048"/>
    </bk>
    <bk>
      <rc t="2" v="7049"/>
    </bk>
    <bk>
      <rc t="2" v="7050"/>
    </bk>
    <bk>
      <rc t="2" v="7051"/>
    </bk>
    <bk>
      <rc t="2" v="7052"/>
    </bk>
    <bk>
      <rc t="2" v="7053"/>
    </bk>
    <bk>
      <rc t="2" v="7054"/>
    </bk>
    <bk>
      <rc t="2" v="7055"/>
    </bk>
    <bk>
      <rc t="2" v="7056"/>
    </bk>
    <bk>
      <rc t="2" v="7057"/>
    </bk>
    <bk>
      <rc t="2" v="7058"/>
    </bk>
    <bk>
      <rc t="2" v="7059"/>
    </bk>
    <bk>
      <rc t="2" v="7060"/>
    </bk>
    <bk>
      <rc t="2" v="7061"/>
    </bk>
    <bk>
      <rc t="2" v="7062"/>
    </bk>
    <bk>
      <rc t="2" v="7063"/>
    </bk>
    <bk>
      <rc t="2" v="7064"/>
    </bk>
    <bk>
      <rc t="2" v="7065"/>
    </bk>
    <bk>
      <rc t="2" v="7066"/>
    </bk>
    <bk>
      <rc t="2" v="7067"/>
    </bk>
    <bk>
      <rc t="2" v="7068"/>
    </bk>
    <bk>
      <rc t="2" v="7069"/>
    </bk>
    <bk>
      <rc t="2" v="7070"/>
    </bk>
    <bk>
      <rc t="2" v="7071"/>
    </bk>
    <bk>
      <rc t="2" v="7072"/>
    </bk>
    <bk>
      <rc t="2" v="7073"/>
    </bk>
    <bk>
      <rc t="2" v="7074"/>
    </bk>
    <bk>
      <rc t="2" v="7075"/>
    </bk>
    <bk>
      <rc t="2" v="7076"/>
    </bk>
    <bk>
      <rc t="2" v="7077"/>
    </bk>
    <bk>
      <rc t="2" v="7078"/>
    </bk>
    <bk>
      <rc t="2" v="7079"/>
    </bk>
    <bk>
      <rc t="2" v="7080"/>
    </bk>
    <bk>
      <rc t="2" v="7081"/>
    </bk>
    <bk>
      <rc t="2" v="7082"/>
    </bk>
    <bk>
      <rc t="2" v="7083"/>
    </bk>
    <bk>
      <rc t="2" v="7084"/>
    </bk>
    <bk>
      <rc t="2" v="7085"/>
    </bk>
    <bk>
      <rc t="2" v="7086"/>
    </bk>
    <bk>
      <rc t="2" v="7087"/>
    </bk>
    <bk>
      <rc t="2" v="7088"/>
    </bk>
    <bk>
      <rc t="2" v="7089"/>
    </bk>
    <bk>
      <rc t="2" v="7090"/>
    </bk>
    <bk>
      <rc t="2" v="7091"/>
    </bk>
    <bk>
      <rc t="2" v="7092"/>
    </bk>
    <bk>
      <rc t="2" v="7093"/>
    </bk>
    <bk>
      <rc t="2" v="7094"/>
    </bk>
    <bk>
      <rc t="2" v="7095"/>
    </bk>
    <bk>
      <rc t="2" v="7096"/>
    </bk>
    <bk>
      <rc t="2" v="7097"/>
    </bk>
    <bk>
      <rc t="2" v="7098"/>
    </bk>
    <bk>
      <rc t="2" v="7099"/>
    </bk>
    <bk>
      <rc t="2" v="7100"/>
    </bk>
    <bk>
      <rc t="2" v="7101"/>
    </bk>
    <bk>
      <rc t="2" v="7102"/>
    </bk>
    <bk>
      <rc t="2" v="7103"/>
    </bk>
    <bk>
      <rc t="2" v="7104"/>
    </bk>
    <bk>
      <rc t="2" v="7105"/>
    </bk>
    <bk>
      <rc t="2" v="7106"/>
    </bk>
    <bk>
      <rc t="2" v="7107"/>
    </bk>
    <bk>
      <rc t="2" v="7108"/>
    </bk>
    <bk>
      <rc t="2" v="7109"/>
    </bk>
    <bk>
      <rc t="2" v="7110"/>
    </bk>
    <bk>
      <rc t="2" v="7111"/>
    </bk>
    <bk>
      <rc t="2" v="7112"/>
    </bk>
    <bk>
      <rc t="2" v="7113"/>
    </bk>
    <bk>
      <rc t="2" v="7114"/>
    </bk>
    <bk>
      <rc t="2" v="7115"/>
    </bk>
    <bk>
      <rc t="2" v="7116"/>
    </bk>
    <bk>
      <rc t="2" v="7117"/>
    </bk>
    <bk>
      <rc t="2" v="7118"/>
    </bk>
    <bk>
      <rc t="2" v="7119"/>
    </bk>
    <bk>
      <rc t="2" v="7120"/>
    </bk>
    <bk>
      <rc t="2" v="7121"/>
    </bk>
    <bk>
      <rc t="2" v="7122"/>
    </bk>
    <bk>
      <rc t="2" v="7123"/>
    </bk>
    <bk>
      <rc t="2" v="7124"/>
    </bk>
    <bk>
      <rc t="2" v="7125"/>
    </bk>
    <bk>
      <rc t="2" v="7126"/>
    </bk>
    <bk>
      <rc t="2" v="7127"/>
    </bk>
    <bk>
      <rc t="2" v="7128"/>
    </bk>
    <bk>
      <rc t="2" v="7129"/>
    </bk>
    <bk>
      <rc t="2" v="7130"/>
    </bk>
    <bk>
      <rc t="2" v="7131"/>
    </bk>
    <bk>
      <rc t="2" v="7132"/>
    </bk>
    <bk>
      <rc t="2" v="7133"/>
    </bk>
    <bk>
      <rc t="2" v="7134"/>
    </bk>
    <bk>
      <rc t="2" v="7135"/>
    </bk>
    <bk>
      <rc t="2" v="7136"/>
    </bk>
    <bk>
      <rc t="2" v="7137"/>
    </bk>
    <bk>
      <rc t="2" v="7138"/>
    </bk>
    <bk>
      <rc t="2" v="7139"/>
    </bk>
    <bk>
      <rc t="2" v="7140"/>
    </bk>
    <bk>
      <rc t="2" v="7141"/>
    </bk>
    <bk>
      <rc t="2" v="7142"/>
    </bk>
    <bk>
      <rc t="2" v="7143"/>
    </bk>
    <bk>
      <rc t="2" v="7144"/>
    </bk>
    <bk>
      <rc t="2" v="7145"/>
    </bk>
    <bk>
      <rc t="2" v="7146"/>
    </bk>
    <bk>
      <rc t="2" v="7147"/>
    </bk>
    <bk>
      <rc t="2" v="7148"/>
    </bk>
    <bk>
      <rc t="2" v="7149"/>
    </bk>
    <bk>
      <rc t="2" v="7150"/>
    </bk>
    <bk>
      <rc t="2" v="7151"/>
    </bk>
    <bk>
      <rc t="2" v="7152"/>
    </bk>
    <bk>
      <rc t="2" v="7153"/>
    </bk>
    <bk>
      <rc t="2" v="7154"/>
    </bk>
    <bk>
      <rc t="2" v="7155"/>
    </bk>
    <bk>
      <rc t="2" v="7156"/>
    </bk>
    <bk>
      <rc t="2" v="7157"/>
    </bk>
    <bk>
      <rc t="2" v="7158"/>
    </bk>
    <bk>
      <rc t="2" v="7159"/>
    </bk>
    <bk>
      <rc t="2" v="7160"/>
    </bk>
    <bk>
      <rc t="2" v="7161"/>
    </bk>
    <bk>
      <rc t="2" v="7162"/>
    </bk>
    <bk>
      <rc t="2" v="7163"/>
    </bk>
    <bk>
      <rc t="2" v="7164"/>
    </bk>
    <bk>
      <rc t="2" v="7165"/>
    </bk>
    <bk>
      <rc t="2" v="7166"/>
    </bk>
    <bk>
      <rc t="2" v="7167"/>
    </bk>
    <bk>
      <rc t="2" v="7168"/>
    </bk>
    <bk>
      <rc t="2" v="7169"/>
    </bk>
    <bk>
      <rc t="2" v="7170"/>
    </bk>
    <bk>
      <rc t="2" v="7171"/>
    </bk>
    <bk>
      <rc t="2" v="7172"/>
    </bk>
    <bk>
      <rc t="2" v="7173"/>
    </bk>
    <bk>
      <rc t="2" v="7174"/>
    </bk>
    <bk>
      <rc t="2" v="7175"/>
    </bk>
    <bk>
      <rc t="2" v="7176"/>
    </bk>
    <bk>
      <rc t="2" v="7177"/>
    </bk>
    <bk>
      <rc t="2" v="7178"/>
    </bk>
    <bk>
      <rc t="2" v="7179"/>
    </bk>
    <bk>
      <rc t="2" v="7180"/>
    </bk>
    <bk>
      <rc t="2" v="7181"/>
    </bk>
    <bk>
      <rc t="2" v="7182"/>
    </bk>
    <bk>
      <rc t="2" v="7183"/>
    </bk>
    <bk>
      <rc t="2" v="7184"/>
    </bk>
    <bk>
      <rc t="2" v="7185"/>
    </bk>
    <bk>
      <rc t="2" v="7186"/>
    </bk>
    <bk>
      <rc t="2" v="7187"/>
    </bk>
    <bk>
      <rc t="2" v="7188"/>
    </bk>
    <bk>
      <rc t="2" v="7189"/>
    </bk>
    <bk>
      <rc t="2" v="7190"/>
    </bk>
    <bk>
      <rc t="2" v="7191"/>
    </bk>
    <bk>
      <rc t="2" v="7192"/>
    </bk>
    <bk>
      <rc t="2" v="7193"/>
    </bk>
    <bk>
      <rc t="2" v="7194"/>
    </bk>
    <bk>
      <rc t="2" v="7195"/>
    </bk>
    <bk>
      <rc t="2" v="7196"/>
    </bk>
    <bk>
      <rc t="2" v="7197"/>
    </bk>
    <bk>
      <rc t="2" v="7198"/>
    </bk>
    <bk>
      <rc t="2" v="7199"/>
    </bk>
    <bk>
      <rc t="2" v="7200"/>
    </bk>
    <bk>
      <rc t="2" v="7201"/>
    </bk>
    <bk>
      <rc t="2" v="7202"/>
    </bk>
    <bk>
      <rc t="2" v="7203"/>
    </bk>
    <bk>
      <rc t="2" v="7204"/>
    </bk>
    <bk>
      <rc t="2" v="7205"/>
    </bk>
    <bk>
      <rc t="2" v="7206"/>
    </bk>
    <bk>
      <rc t="2" v="7207"/>
    </bk>
    <bk>
      <rc t="2" v="7208"/>
    </bk>
    <bk>
      <rc t="2" v="7209"/>
    </bk>
    <bk>
      <rc t="2" v="7210"/>
    </bk>
    <bk>
      <rc t="2" v="7211"/>
    </bk>
    <bk>
      <rc t="2" v="7212"/>
    </bk>
    <bk>
      <rc t="2" v="7213"/>
    </bk>
    <bk>
      <rc t="2" v="7214"/>
    </bk>
    <bk>
      <rc t="2" v="7215"/>
    </bk>
    <bk>
      <rc t="2" v="7216"/>
    </bk>
    <bk>
      <rc t="2" v="7217"/>
    </bk>
    <bk>
      <rc t="2" v="7218"/>
    </bk>
    <bk>
      <rc t="2" v="7219"/>
    </bk>
    <bk>
      <rc t="2" v="7220"/>
    </bk>
    <bk>
      <rc t="2" v="7221"/>
    </bk>
    <bk>
      <rc t="2" v="7222"/>
    </bk>
    <bk>
      <rc t="2" v="7223"/>
    </bk>
    <bk>
      <rc t="2" v="7224"/>
    </bk>
    <bk>
      <rc t="2" v="7225"/>
    </bk>
    <bk>
      <rc t="2" v="7226"/>
    </bk>
    <bk>
      <rc t="2" v="7227"/>
    </bk>
    <bk>
      <rc t="2" v="7228"/>
    </bk>
    <bk>
      <rc t="2" v="7229"/>
    </bk>
    <bk>
      <rc t="2" v="7230"/>
    </bk>
    <bk>
      <rc t="2" v="7231"/>
    </bk>
    <bk>
      <rc t="2" v="7232"/>
    </bk>
    <bk>
      <rc t="2" v="7233"/>
    </bk>
    <bk>
      <rc t="2" v="7234"/>
    </bk>
    <bk>
      <rc t="2" v="7235"/>
    </bk>
    <bk>
      <rc t="2" v="7236"/>
    </bk>
    <bk>
      <rc t="2" v="7237"/>
    </bk>
    <bk>
      <rc t="2" v="7238"/>
    </bk>
    <bk>
      <rc t="2" v="7239"/>
    </bk>
    <bk>
      <rc t="2" v="7240"/>
    </bk>
    <bk>
      <rc t="2" v="7241"/>
    </bk>
    <bk>
      <rc t="2" v="7242"/>
    </bk>
    <bk>
      <rc t="2" v="7243"/>
    </bk>
    <bk>
      <rc t="2" v="7244"/>
    </bk>
    <bk>
      <rc t="2" v="7245"/>
    </bk>
    <bk>
      <rc t="2" v="7246"/>
    </bk>
    <bk>
      <rc t="2" v="7247"/>
    </bk>
    <bk>
      <rc t="2" v="7248"/>
    </bk>
    <bk>
      <rc t="2" v="7249"/>
    </bk>
    <bk>
      <rc t="2" v="7250"/>
    </bk>
    <bk>
      <rc t="2" v="7251"/>
    </bk>
    <bk>
      <rc t="2" v="7252"/>
    </bk>
    <bk>
      <rc t="2" v="7253"/>
    </bk>
    <bk>
      <rc t="2" v="7254"/>
    </bk>
    <bk>
      <rc t="2" v="7255"/>
    </bk>
    <bk>
      <rc t="2" v="7256"/>
    </bk>
    <bk>
      <rc t="2" v="7257"/>
    </bk>
    <bk>
      <rc t="2" v="7258"/>
    </bk>
    <bk>
      <rc t="2" v="7259"/>
    </bk>
    <bk>
      <rc t="2" v="7260"/>
    </bk>
    <bk>
      <rc t="2" v="7261"/>
    </bk>
    <bk>
      <rc t="2" v="7262"/>
    </bk>
    <bk>
      <rc t="2" v="7263"/>
    </bk>
    <bk>
      <rc t="2" v="7264"/>
    </bk>
    <bk>
      <rc t="2" v="7265"/>
    </bk>
    <bk>
      <rc t="2" v="7266"/>
    </bk>
    <bk>
      <rc t="2" v="7267"/>
    </bk>
    <bk>
      <rc t="2" v="7268"/>
    </bk>
    <bk>
      <rc t="2" v="7269"/>
    </bk>
    <bk>
      <rc t="2" v="7270"/>
    </bk>
    <bk>
      <rc t="2" v="7271"/>
    </bk>
    <bk>
      <rc t="2" v="7272"/>
    </bk>
    <bk>
      <rc t="2" v="7273"/>
    </bk>
    <bk>
      <rc t="2" v="7274"/>
    </bk>
    <bk>
      <rc t="2" v="7275"/>
    </bk>
    <bk>
      <rc t="2" v="7276"/>
    </bk>
    <bk>
      <rc t="2" v="7277"/>
    </bk>
    <bk>
      <rc t="2" v="7278"/>
    </bk>
    <bk>
      <rc t="2" v="7279"/>
    </bk>
    <bk>
      <rc t="2" v="7280"/>
    </bk>
    <bk>
      <rc t="2" v="7281"/>
    </bk>
    <bk>
      <rc t="2" v="7282"/>
    </bk>
    <bk>
      <rc t="2" v="7283"/>
    </bk>
    <bk>
      <rc t="2" v="7284"/>
    </bk>
    <bk>
      <rc t="2" v="7285"/>
    </bk>
    <bk>
      <rc t="2" v="7286"/>
    </bk>
    <bk>
      <rc t="2" v="7287"/>
    </bk>
    <bk>
      <rc t="2" v="7288"/>
    </bk>
    <bk>
      <rc t="2" v="7289"/>
    </bk>
    <bk>
      <rc t="2" v="7290"/>
    </bk>
    <bk>
      <rc t="2" v="7291"/>
    </bk>
    <bk>
      <rc t="2" v="7292"/>
    </bk>
    <bk>
      <rc t="2" v="7293"/>
    </bk>
    <bk>
      <rc t="2" v="7294"/>
    </bk>
    <bk>
      <rc t="2" v="7295"/>
    </bk>
    <bk>
      <rc t="2" v="7296"/>
    </bk>
    <bk>
      <rc t="2" v="7297"/>
    </bk>
    <bk>
      <rc t="2" v="7298"/>
    </bk>
    <bk>
      <rc t="2" v="7299"/>
    </bk>
    <bk>
      <rc t="2" v="7300"/>
    </bk>
    <bk>
      <rc t="2" v="7301"/>
    </bk>
    <bk>
      <rc t="2" v="7302"/>
    </bk>
    <bk>
      <rc t="2" v="7303"/>
    </bk>
    <bk>
      <rc t="2" v="7304"/>
    </bk>
    <bk>
      <rc t="2" v="7305"/>
    </bk>
    <bk>
      <rc t="2" v="7306"/>
    </bk>
    <bk>
      <rc t="2" v="7307"/>
    </bk>
    <bk>
      <rc t="2" v="7308"/>
    </bk>
    <bk>
      <rc t="2" v="7309"/>
    </bk>
    <bk>
      <rc t="2" v="7310"/>
    </bk>
    <bk>
      <rc t="2" v="7311"/>
    </bk>
    <bk>
      <rc t="2" v="7312"/>
    </bk>
    <bk>
      <rc t="2" v="7313"/>
    </bk>
    <bk>
      <rc t="2" v="7314"/>
    </bk>
    <bk>
      <rc t="2" v="7315"/>
    </bk>
    <bk>
      <rc t="2" v="7316"/>
    </bk>
    <bk>
      <rc t="2" v="7317"/>
    </bk>
    <bk>
      <rc t="2" v="7318"/>
    </bk>
    <bk>
      <rc t="2" v="7319"/>
    </bk>
    <bk>
      <rc t="2" v="7320"/>
    </bk>
    <bk>
      <rc t="2" v="7321"/>
    </bk>
    <bk>
      <rc t="2" v="7322"/>
    </bk>
    <bk>
      <rc t="2" v="7323"/>
    </bk>
    <bk>
      <rc t="2" v="7324"/>
    </bk>
    <bk>
      <rc t="2" v="7325"/>
    </bk>
    <bk>
      <rc t="2" v="7326"/>
    </bk>
    <bk>
      <rc t="2" v="7327"/>
    </bk>
    <bk>
      <rc t="2" v="7328"/>
    </bk>
    <bk>
      <rc t="2" v="7329"/>
    </bk>
    <bk>
      <rc t="2" v="7330"/>
    </bk>
    <bk>
      <rc t="2" v="7331"/>
    </bk>
    <bk>
      <rc t="2" v="7332"/>
    </bk>
    <bk>
      <rc t="2" v="7333"/>
    </bk>
    <bk>
      <rc t="2" v="7334"/>
    </bk>
    <bk>
      <rc t="2" v="7335"/>
    </bk>
    <bk>
      <rc t="2" v="7336"/>
    </bk>
    <bk>
      <rc t="2" v="7337"/>
    </bk>
    <bk>
      <rc t="2" v="7338"/>
    </bk>
    <bk>
      <rc t="2" v="7339"/>
    </bk>
    <bk>
      <rc t="2" v="7340"/>
    </bk>
    <bk>
      <rc t="2" v="7341"/>
    </bk>
    <bk>
      <rc t="2" v="7342"/>
    </bk>
    <bk>
      <rc t="2" v="7343"/>
    </bk>
    <bk>
      <rc t="2" v="7344"/>
    </bk>
    <bk>
      <rc t="2" v="7345"/>
    </bk>
    <bk>
      <rc t="2" v="7346"/>
    </bk>
    <bk>
      <rc t="2" v="7347"/>
    </bk>
    <bk>
      <rc t="2" v="7348"/>
    </bk>
    <bk>
      <rc t="2" v="7349"/>
    </bk>
    <bk>
      <rc t="2" v="7350"/>
    </bk>
    <bk>
      <rc t="2" v="7351"/>
    </bk>
    <bk>
      <rc t="2" v="7352"/>
    </bk>
    <bk>
      <rc t="2" v="7353"/>
    </bk>
    <bk>
      <rc t="2" v="7354"/>
    </bk>
    <bk>
      <rc t="2" v="7355"/>
    </bk>
    <bk>
      <rc t="2" v="7356"/>
    </bk>
    <bk>
      <rc t="2" v="7357"/>
    </bk>
    <bk>
      <rc t="2" v="7358"/>
    </bk>
    <bk>
      <rc t="2" v="7359"/>
    </bk>
    <bk>
      <rc t="2" v="7360"/>
    </bk>
    <bk>
      <rc t="2" v="7361"/>
    </bk>
    <bk>
      <rc t="2" v="7362"/>
    </bk>
    <bk>
      <rc t="2" v="7363"/>
    </bk>
    <bk>
      <rc t="2" v="7364"/>
    </bk>
    <bk>
      <rc t="2" v="7365"/>
    </bk>
    <bk>
      <rc t="2" v="7366"/>
    </bk>
    <bk>
      <rc t="2" v="7367"/>
    </bk>
    <bk>
      <rc t="2" v="7368"/>
    </bk>
    <bk>
      <rc t="2" v="7369"/>
    </bk>
    <bk>
      <rc t="2" v="7370"/>
    </bk>
    <bk>
      <rc t="2" v="7371"/>
    </bk>
    <bk>
      <rc t="2" v="7372"/>
    </bk>
    <bk>
      <rc t="2" v="7373"/>
    </bk>
    <bk>
      <rc t="2" v="7374"/>
    </bk>
    <bk>
      <rc t="2" v="7375"/>
    </bk>
    <bk>
      <rc t="2" v="7376"/>
    </bk>
    <bk>
      <rc t="2" v="7377"/>
    </bk>
    <bk>
      <rc t="2" v="7378"/>
    </bk>
    <bk>
      <rc t="2" v="7379"/>
    </bk>
    <bk>
      <rc t="2" v="7380"/>
    </bk>
    <bk>
      <rc t="2" v="7381"/>
    </bk>
    <bk>
      <rc t="2" v="7382"/>
    </bk>
    <bk>
      <rc t="2" v="7383"/>
    </bk>
    <bk>
      <rc t="2" v="7384"/>
    </bk>
    <bk>
      <rc t="2" v="7385"/>
    </bk>
    <bk>
      <rc t="2" v="7386"/>
    </bk>
    <bk>
      <rc t="2" v="7387"/>
    </bk>
    <bk>
      <rc t="2" v="7388"/>
    </bk>
    <bk>
      <rc t="2" v="7389"/>
    </bk>
    <bk>
      <rc t="2" v="7390"/>
    </bk>
    <bk>
      <rc t="2" v="7391"/>
    </bk>
    <bk>
      <rc t="2" v="7392"/>
    </bk>
    <bk>
      <rc t="2" v="7393"/>
    </bk>
    <bk>
      <rc t="2" v="7394"/>
    </bk>
    <bk>
      <rc t="2" v="7395"/>
    </bk>
    <bk>
      <rc t="2" v="7396"/>
    </bk>
    <bk>
      <rc t="2" v="7397"/>
    </bk>
    <bk>
      <rc t="2" v="7398"/>
    </bk>
    <bk>
      <rc t="2" v="7399"/>
    </bk>
    <bk>
      <rc t="2" v="7400"/>
    </bk>
    <bk>
      <rc t="2" v="7401"/>
    </bk>
    <bk>
      <rc t="2" v="7402"/>
    </bk>
    <bk>
      <rc t="2" v="7403"/>
    </bk>
    <bk>
      <rc t="2" v="7404"/>
    </bk>
    <bk>
      <rc t="2" v="7405"/>
    </bk>
    <bk>
      <rc t="2" v="7406"/>
    </bk>
    <bk>
      <rc t="2" v="7407"/>
    </bk>
    <bk>
      <rc t="2" v="7408"/>
    </bk>
    <bk>
      <rc t="2" v="7409"/>
    </bk>
    <bk>
      <rc t="2" v="7410"/>
    </bk>
    <bk>
      <rc t="2" v="7411"/>
    </bk>
    <bk>
      <rc t="2" v="7412"/>
    </bk>
    <bk>
      <rc t="2" v="7413"/>
    </bk>
    <bk>
      <rc t="2" v="7414"/>
    </bk>
    <bk>
      <rc t="2" v="7415"/>
    </bk>
    <bk>
      <rc t="2" v="7416"/>
    </bk>
    <bk>
      <rc t="2" v="7417"/>
    </bk>
    <bk>
      <rc t="2" v="7418"/>
    </bk>
    <bk>
      <rc t="2" v="7419"/>
    </bk>
    <bk>
      <rc t="2" v="7420"/>
    </bk>
    <bk>
      <rc t="2" v="7421"/>
    </bk>
    <bk>
      <rc t="2" v="7422"/>
    </bk>
    <bk>
      <rc t="2" v="7423"/>
    </bk>
    <bk>
      <rc t="2" v="7424"/>
    </bk>
    <bk>
      <rc t="2" v="7425"/>
    </bk>
    <bk>
      <rc t="2" v="7426"/>
    </bk>
    <bk>
      <rc t="2" v="7427"/>
    </bk>
    <bk>
      <rc t="2" v="7428"/>
    </bk>
    <bk>
      <rc t="2" v="7429"/>
    </bk>
    <bk>
      <rc t="2" v="7430"/>
    </bk>
    <bk>
      <rc t="2" v="7431"/>
    </bk>
    <bk>
      <rc t="2" v="7432"/>
    </bk>
    <bk>
      <rc t="2" v="7433"/>
    </bk>
    <bk>
      <rc t="2" v="7434"/>
    </bk>
    <bk>
      <rc t="2" v="7435"/>
    </bk>
    <bk>
      <rc t="2" v="7436"/>
    </bk>
    <bk>
      <rc t="2" v="7437"/>
    </bk>
    <bk>
      <rc t="2" v="7438"/>
    </bk>
    <bk>
      <rc t="2" v="7439"/>
    </bk>
    <bk>
      <rc t="2" v="7440"/>
    </bk>
    <bk>
      <rc t="2" v="7441"/>
    </bk>
    <bk>
      <rc t="2" v="7442"/>
    </bk>
    <bk>
      <rc t="2" v="7443"/>
    </bk>
    <bk>
      <rc t="2" v="7444"/>
    </bk>
    <bk>
      <rc t="2" v="7445"/>
    </bk>
    <bk>
      <rc t="2" v="7446"/>
    </bk>
    <bk>
      <rc t="2" v="7447"/>
    </bk>
    <bk>
      <rc t="2" v="7448"/>
    </bk>
    <bk>
      <rc t="2" v="7449"/>
    </bk>
    <bk>
      <rc t="2" v="7450"/>
    </bk>
    <bk>
      <rc t="2" v="7451"/>
    </bk>
    <bk>
      <rc t="2" v="7452"/>
    </bk>
    <bk>
      <rc t="2" v="7453"/>
    </bk>
    <bk>
      <rc t="2" v="7454"/>
    </bk>
    <bk>
      <rc t="2" v="7455"/>
    </bk>
    <bk>
      <rc t="2" v="7456"/>
    </bk>
    <bk>
      <rc t="2" v="7457"/>
    </bk>
    <bk>
      <rc t="2" v="7458"/>
    </bk>
    <bk>
      <rc t="2" v="7459"/>
    </bk>
    <bk>
      <rc t="2" v="7460"/>
    </bk>
    <bk>
      <rc t="2" v="7461"/>
    </bk>
    <bk>
      <rc t="2" v="7462"/>
    </bk>
    <bk>
      <rc t="2" v="7463"/>
    </bk>
    <bk>
      <rc t="2" v="7464"/>
    </bk>
    <bk>
      <rc t="2" v="7465"/>
    </bk>
    <bk>
      <rc t="2" v="7466"/>
    </bk>
    <bk>
      <rc t="2" v="7467"/>
    </bk>
    <bk>
      <rc t="2" v="7468"/>
    </bk>
    <bk>
      <rc t="2" v="7469"/>
    </bk>
    <bk>
      <rc t="2" v="7470"/>
    </bk>
    <bk>
      <rc t="2" v="7471"/>
    </bk>
    <bk>
      <rc t="2" v="7472"/>
    </bk>
    <bk>
      <rc t="2" v="7473"/>
    </bk>
    <bk>
      <rc t="2" v="7474"/>
    </bk>
    <bk>
      <rc t="2" v="7475"/>
    </bk>
    <bk>
      <rc t="2" v="7476"/>
    </bk>
    <bk>
      <rc t="2" v="7477"/>
    </bk>
    <bk>
      <rc t="2" v="7478"/>
    </bk>
    <bk>
      <rc t="2" v="7479"/>
    </bk>
    <bk>
      <rc t="2" v="7480"/>
    </bk>
    <bk>
      <rc t="2" v="7481"/>
    </bk>
    <bk>
      <rc t="2" v="7482"/>
    </bk>
    <bk>
      <rc t="2" v="7483"/>
    </bk>
    <bk>
      <rc t="2" v="7484"/>
    </bk>
    <bk>
      <rc t="2" v="7485"/>
    </bk>
    <bk>
      <rc t="2" v="7486"/>
    </bk>
    <bk>
      <rc t="2" v="7487"/>
    </bk>
    <bk>
      <rc t="2" v="7488"/>
    </bk>
    <bk>
      <rc t="2" v="7489"/>
    </bk>
    <bk>
      <rc t="2" v="7490"/>
    </bk>
    <bk>
      <rc t="2" v="7491"/>
    </bk>
    <bk>
      <rc t="2" v="7492"/>
    </bk>
    <bk>
      <rc t="2" v="7493"/>
    </bk>
    <bk>
      <rc t="2" v="7494"/>
    </bk>
    <bk>
      <rc t="2" v="7495"/>
    </bk>
    <bk>
      <rc t="2" v="7496"/>
    </bk>
    <bk>
      <rc t="2" v="7497"/>
    </bk>
    <bk>
      <rc t="2" v="7498"/>
    </bk>
    <bk>
      <rc t="2" v="7499"/>
    </bk>
    <bk>
      <rc t="2" v="7500"/>
    </bk>
    <bk>
      <rc t="2" v="7501"/>
    </bk>
    <bk>
      <rc t="2" v="7502"/>
    </bk>
    <bk>
      <rc t="2" v="7503"/>
    </bk>
    <bk>
      <rc t="2" v="7504"/>
    </bk>
    <bk>
      <rc t="2" v="7505"/>
    </bk>
    <bk>
      <rc t="2" v="7506"/>
    </bk>
    <bk>
      <rc t="2" v="7507"/>
    </bk>
    <bk>
      <rc t="2" v="7508"/>
    </bk>
    <bk>
      <rc t="2" v="7509"/>
    </bk>
    <bk>
      <rc t="2" v="7510"/>
    </bk>
    <bk>
      <rc t="2" v="7511"/>
    </bk>
    <bk>
      <rc t="2" v="7512"/>
    </bk>
    <bk>
      <rc t="2" v="7513"/>
    </bk>
    <bk>
      <rc t="2" v="7514"/>
    </bk>
    <bk>
      <rc t="2" v="7515"/>
    </bk>
    <bk>
      <rc t="2" v="7516"/>
    </bk>
    <bk>
      <rc t="2" v="7517"/>
    </bk>
    <bk>
      <rc t="2" v="7518"/>
    </bk>
    <bk>
      <rc t="2" v="7519"/>
    </bk>
    <bk>
      <rc t="2" v="7520"/>
    </bk>
    <bk>
      <rc t="2" v="7521"/>
    </bk>
    <bk>
      <rc t="2" v="7522"/>
    </bk>
    <bk>
      <rc t="2" v="7523"/>
    </bk>
    <bk>
      <rc t="2" v="7524"/>
    </bk>
    <bk>
      <rc t="2" v="7525"/>
    </bk>
    <bk>
      <rc t="2" v="7526"/>
    </bk>
    <bk>
      <rc t="2" v="7527"/>
    </bk>
    <bk>
      <rc t="2" v="7528"/>
    </bk>
    <bk>
      <rc t="2" v="7529"/>
    </bk>
    <bk>
      <rc t="2" v="7530"/>
    </bk>
    <bk>
      <rc t="2" v="7531"/>
    </bk>
    <bk>
      <rc t="2" v="7532"/>
    </bk>
    <bk>
      <rc t="2" v="7533"/>
    </bk>
    <bk>
      <rc t="2" v="7534"/>
    </bk>
    <bk>
      <rc t="2" v="7535"/>
    </bk>
    <bk>
      <rc t="2" v="7536"/>
    </bk>
    <bk>
      <rc t="2" v="7537"/>
    </bk>
    <bk>
      <rc t="2" v="7538"/>
    </bk>
    <bk>
      <rc t="2" v="7539"/>
    </bk>
    <bk>
      <rc t="2" v="7540"/>
    </bk>
    <bk>
      <rc t="2" v="7541"/>
    </bk>
    <bk>
      <rc t="2" v="7542"/>
    </bk>
    <bk>
      <rc t="2" v="7543"/>
    </bk>
    <bk>
      <rc t="2" v="7544"/>
    </bk>
    <bk>
      <rc t="2" v="7545"/>
    </bk>
    <bk>
      <rc t="2" v="7546"/>
    </bk>
    <bk>
      <rc t="2" v="7547"/>
    </bk>
    <bk>
      <rc t="2" v="7548"/>
    </bk>
    <bk>
      <rc t="2" v="7549"/>
    </bk>
    <bk>
      <rc t="2" v="7550"/>
    </bk>
    <bk>
      <rc t="2" v="7551"/>
    </bk>
    <bk>
      <rc t="2" v="7552"/>
    </bk>
    <bk>
      <rc t="2" v="7553"/>
    </bk>
    <bk>
      <rc t="2" v="7554"/>
    </bk>
    <bk>
      <rc t="2" v="7555"/>
    </bk>
    <bk>
      <rc t="2" v="7556"/>
    </bk>
    <bk>
      <rc t="2" v="7557"/>
    </bk>
    <bk>
      <rc t="2" v="7558"/>
    </bk>
    <bk>
      <rc t="2" v="7559"/>
    </bk>
    <bk>
      <rc t="2" v="7560"/>
    </bk>
    <bk>
      <rc t="2" v="7561"/>
    </bk>
    <bk>
      <rc t="2" v="7562"/>
    </bk>
    <bk>
      <rc t="2" v="7563"/>
    </bk>
    <bk>
      <rc t="2" v="7564"/>
    </bk>
    <bk>
      <rc t="2" v="7565"/>
    </bk>
    <bk>
      <rc t="2" v="7566"/>
    </bk>
    <bk>
      <rc t="2" v="7567"/>
    </bk>
    <bk>
      <rc t="2" v="7568"/>
    </bk>
    <bk>
      <rc t="2" v="7569"/>
    </bk>
    <bk>
      <rc t="2" v="7570"/>
    </bk>
    <bk>
      <rc t="2" v="7571"/>
    </bk>
    <bk>
      <rc t="2" v="7572"/>
    </bk>
    <bk>
      <rc t="2" v="7573"/>
    </bk>
    <bk>
      <rc t="2" v="7574"/>
    </bk>
    <bk>
      <rc t="2" v="7575"/>
    </bk>
    <bk>
      <rc t="2" v="7576"/>
    </bk>
    <bk>
      <rc t="2" v="7577"/>
    </bk>
    <bk>
      <rc t="2" v="7578"/>
    </bk>
    <bk>
      <rc t="2" v="7579"/>
    </bk>
    <bk>
      <rc t="2" v="7580"/>
    </bk>
    <bk>
      <rc t="2" v="7581"/>
    </bk>
    <bk>
      <rc t="2" v="7582"/>
    </bk>
    <bk>
      <rc t="2" v="7583"/>
    </bk>
    <bk>
      <rc t="2" v="7584"/>
    </bk>
    <bk>
      <rc t="2" v="7585"/>
    </bk>
    <bk>
      <rc t="2" v="7586"/>
    </bk>
    <bk>
      <rc t="2" v="7587"/>
    </bk>
    <bk>
      <rc t="2" v="7588"/>
    </bk>
    <bk>
      <rc t="2" v="7589"/>
    </bk>
    <bk>
      <rc t="2" v="7590"/>
    </bk>
    <bk>
      <rc t="2" v="7591"/>
    </bk>
    <bk>
      <rc t="2" v="7592"/>
    </bk>
    <bk>
      <rc t="2" v="7593"/>
    </bk>
    <bk>
      <rc t="2" v="7594"/>
    </bk>
    <bk>
      <rc t="2" v="7595"/>
    </bk>
    <bk>
      <rc t="2" v="7596"/>
    </bk>
    <bk>
      <rc t="2" v="7597"/>
    </bk>
    <bk>
      <rc t="2" v="7598"/>
    </bk>
    <bk>
      <rc t="2" v="7599"/>
    </bk>
    <bk>
      <rc t="2" v="7600"/>
    </bk>
    <bk>
      <rc t="2" v="7601"/>
    </bk>
    <bk>
      <rc t="2" v="7602"/>
    </bk>
    <bk>
      <rc t="2" v="7603"/>
    </bk>
    <bk>
      <rc t="2" v="7604"/>
    </bk>
    <bk>
      <rc t="2" v="7605"/>
    </bk>
    <bk>
      <rc t="2" v="7606"/>
    </bk>
    <bk>
      <rc t="2" v="7607"/>
    </bk>
    <bk>
      <rc t="2" v="7608"/>
    </bk>
    <bk>
      <rc t="2" v="7609"/>
    </bk>
    <bk>
      <rc t="2" v="7610"/>
    </bk>
    <bk>
      <rc t="2" v="7611"/>
    </bk>
    <bk>
      <rc t="2" v="7612"/>
    </bk>
    <bk>
      <rc t="2" v="7613"/>
    </bk>
    <bk>
      <rc t="2" v="7614"/>
    </bk>
    <bk>
      <rc t="2" v="7615"/>
    </bk>
    <bk>
      <rc t="2" v="7616"/>
    </bk>
    <bk>
      <rc t="2" v="7617"/>
    </bk>
    <bk>
      <rc t="2" v="7618"/>
    </bk>
    <bk>
      <rc t="2" v="7619"/>
    </bk>
    <bk>
      <rc t="2" v="7620"/>
    </bk>
    <bk>
      <rc t="2" v="7621"/>
    </bk>
    <bk>
      <rc t="2" v="7622"/>
    </bk>
    <bk>
      <rc t="2" v="7623"/>
    </bk>
    <bk>
      <rc t="2" v="7624"/>
    </bk>
    <bk>
      <rc t="2" v="7625"/>
    </bk>
    <bk>
      <rc t="2" v="7626"/>
    </bk>
    <bk>
      <rc t="2" v="7627"/>
    </bk>
    <bk>
      <rc t="2" v="7628"/>
    </bk>
    <bk>
      <rc t="2" v="7629"/>
    </bk>
    <bk>
      <rc t="2" v="7630"/>
    </bk>
    <bk>
      <rc t="2" v="7631"/>
    </bk>
    <bk>
      <rc t="2" v="7632"/>
    </bk>
    <bk>
      <rc t="2" v="7633"/>
    </bk>
    <bk>
      <rc t="2" v="7634"/>
    </bk>
    <bk>
      <rc t="2" v="7635"/>
    </bk>
    <bk>
      <rc t="2" v="7636"/>
    </bk>
    <bk>
      <rc t="2" v="7637"/>
    </bk>
    <bk>
      <rc t="2" v="7638"/>
    </bk>
    <bk>
      <rc t="2" v="7639"/>
    </bk>
    <bk>
      <rc t="2" v="7640"/>
    </bk>
    <bk>
      <rc t="2" v="7641"/>
    </bk>
    <bk>
      <rc t="2" v="7642"/>
    </bk>
    <bk>
      <rc t="2" v="7643"/>
    </bk>
    <bk>
      <rc t="2" v="7644"/>
    </bk>
    <bk>
      <rc t="2" v="7645"/>
    </bk>
    <bk>
      <rc t="2" v="7646"/>
    </bk>
    <bk>
      <rc t="2" v="7647"/>
    </bk>
    <bk>
      <rc t="2" v="7648"/>
    </bk>
    <bk>
      <rc t="2" v="7649"/>
    </bk>
    <bk>
      <rc t="2" v="7650"/>
    </bk>
    <bk>
      <rc t="2" v="7651"/>
    </bk>
    <bk>
      <rc t="2" v="7652"/>
    </bk>
    <bk>
      <rc t="2" v="7653"/>
    </bk>
    <bk>
      <rc t="2" v="7654"/>
    </bk>
    <bk>
      <rc t="2" v="7655"/>
    </bk>
    <bk>
      <rc t="2" v="7656"/>
    </bk>
    <bk>
      <rc t="2" v="7657"/>
    </bk>
    <bk>
      <rc t="2" v="7658"/>
    </bk>
    <bk>
      <rc t="2" v="7659"/>
    </bk>
    <bk>
      <rc t="2" v="7660"/>
    </bk>
    <bk>
      <rc t="2" v="7661"/>
    </bk>
    <bk>
      <rc t="2" v="7662"/>
    </bk>
    <bk>
      <rc t="2" v="7663"/>
    </bk>
    <bk>
      <rc t="2" v="7664"/>
    </bk>
    <bk>
      <rc t="2" v="7665"/>
    </bk>
    <bk>
      <rc t="2" v="7666"/>
    </bk>
    <bk>
      <rc t="2" v="7667"/>
    </bk>
    <bk>
      <rc t="2" v="7668"/>
    </bk>
    <bk>
      <rc t="2" v="7669"/>
    </bk>
    <bk>
      <rc t="2" v="7670"/>
    </bk>
    <bk>
      <rc t="2" v="7671"/>
    </bk>
    <bk>
      <rc t="2" v="7672"/>
    </bk>
    <bk>
      <rc t="2" v="7673"/>
    </bk>
    <bk>
      <rc t="2" v="7674"/>
    </bk>
    <bk>
      <rc t="2" v="7675"/>
    </bk>
    <bk>
      <rc t="2" v="7676"/>
    </bk>
    <bk>
      <rc t="2" v="7677"/>
    </bk>
    <bk>
      <rc t="2" v="7678"/>
    </bk>
    <bk>
      <rc t="2" v="7679"/>
    </bk>
    <bk>
      <rc t="2" v="7680"/>
    </bk>
    <bk>
      <rc t="2" v="7681"/>
    </bk>
    <bk>
      <rc t="2" v="7682"/>
    </bk>
    <bk>
      <rc t="2" v="7683"/>
    </bk>
    <bk>
      <rc t="2" v="7684"/>
    </bk>
    <bk>
      <rc t="2" v="7685"/>
    </bk>
    <bk>
      <rc t="2" v="7686"/>
    </bk>
    <bk>
      <rc t="2" v="7687"/>
    </bk>
    <bk>
      <rc t="2" v="7688"/>
    </bk>
    <bk>
      <rc t="2" v="7689"/>
    </bk>
    <bk>
      <rc t="2" v="7690"/>
    </bk>
    <bk>
      <rc t="2" v="7691"/>
    </bk>
    <bk>
      <rc t="2" v="7692"/>
    </bk>
    <bk>
      <rc t="2" v="7693"/>
    </bk>
    <bk>
      <rc t="2" v="7694"/>
    </bk>
    <bk>
      <rc t="2" v="7695"/>
    </bk>
    <bk>
      <rc t="2" v="7696"/>
    </bk>
    <bk>
      <rc t="2" v="7697"/>
    </bk>
    <bk>
      <rc t="2" v="7698"/>
    </bk>
    <bk>
      <rc t="2" v="7699"/>
    </bk>
    <bk>
      <rc t="2" v="7700"/>
    </bk>
    <bk>
      <rc t="2" v="7701"/>
    </bk>
    <bk>
      <rc t="2" v="7702"/>
    </bk>
    <bk>
      <rc t="2" v="7703"/>
    </bk>
    <bk>
      <rc t="2" v="7704"/>
    </bk>
    <bk>
      <rc t="2" v="7705"/>
    </bk>
    <bk>
      <rc t="2" v="7706"/>
    </bk>
    <bk>
      <rc t="2" v="7707"/>
    </bk>
    <bk>
      <rc t="2" v="7708"/>
    </bk>
    <bk>
      <rc t="2" v="7709"/>
    </bk>
    <bk>
      <rc t="2" v="7710"/>
    </bk>
    <bk>
      <rc t="2" v="7711"/>
    </bk>
    <bk>
      <rc t="2" v="7712"/>
    </bk>
    <bk>
      <rc t="2" v="7713"/>
    </bk>
    <bk>
      <rc t="2" v="7714"/>
    </bk>
    <bk>
      <rc t="2" v="7715"/>
    </bk>
    <bk>
      <rc t="2" v="7716"/>
    </bk>
    <bk>
      <rc t="2" v="7717"/>
    </bk>
    <bk>
      <rc t="2" v="7718"/>
    </bk>
    <bk>
      <rc t="2" v="7719"/>
    </bk>
    <bk>
      <rc t="2" v="7720"/>
    </bk>
    <bk>
      <rc t="2" v="7721"/>
    </bk>
    <bk>
      <rc t="2" v="7722"/>
    </bk>
    <bk>
      <rc t="2" v="7723"/>
    </bk>
    <bk>
      <rc t="2" v="7724"/>
    </bk>
    <bk>
      <rc t="2" v="7725"/>
    </bk>
    <bk>
      <rc t="2" v="7726"/>
    </bk>
    <bk>
      <rc t="2" v="7727"/>
    </bk>
    <bk>
      <rc t="2" v="7728"/>
    </bk>
    <bk>
      <rc t="2" v="7729"/>
    </bk>
    <bk>
      <rc t="2" v="7730"/>
    </bk>
    <bk>
      <rc t="2" v="7731"/>
    </bk>
    <bk>
      <rc t="2" v="7732"/>
    </bk>
    <bk>
      <rc t="2" v="7733"/>
    </bk>
    <bk>
      <rc t="2" v="7734"/>
    </bk>
    <bk>
      <rc t="2" v="7735"/>
    </bk>
    <bk>
      <rc t="2" v="7736"/>
    </bk>
    <bk>
      <rc t="2" v="7737"/>
    </bk>
    <bk>
      <rc t="2" v="7738"/>
    </bk>
    <bk>
      <rc t="2" v="7739"/>
    </bk>
    <bk>
      <rc t="2" v="7740"/>
    </bk>
    <bk>
      <rc t="2" v="7741"/>
    </bk>
    <bk>
      <rc t="2" v="7742"/>
    </bk>
    <bk>
      <rc t="2" v="7743"/>
    </bk>
    <bk>
      <rc t="2" v="7744"/>
    </bk>
    <bk>
      <rc t="2" v="7745"/>
    </bk>
    <bk>
      <rc t="2" v="7746"/>
    </bk>
    <bk>
      <rc t="2" v="7747"/>
    </bk>
    <bk>
      <rc t="2" v="7748"/>
    </bk>
    <bk>
      <rc t="2" v="7749"/>
    </bk>
    <bk>
      <rc t="2" v="7750"/>
    </bk>
    <bk>
      <rc t="2" v="7751"/>
    </bk>
    <bk>
      <rc t="2" v="7752"/>
    </bk>
    <bk>
      <rc t="2" v="7753"/>
    </bk>
    <bk>
      <rc t="2" v="7754"/>
    </bk>
    <bk>
      <rc t="2" v="7755"/>
    </bk>
    <bk>
      <rc t="2" v="7756"/>
    </bk>
    <bk>
      <rc t="2" v="7757"/>
    </bk>
    <bk>
      <rc t="2" v="7758"/>
    </bk>
    <bk>
      <rc t="2" v="7759"/>
    </bk>
    <bk>
      <rc t="2" v="7760"/>
    </bk>
    <bk>
      <rc t="2" v="7761"/>
    </bk>
    <bk>
      <rc t="2" v="7762"/>
    </bk>
    <bk>
      <rc t="2" v="7763"/>
    </bk>
    <bk>
      <rc t="2" v="7764"/>
    </bk>
    <bk>
      <rc t="2" v="7765"/>
    </bk>
    <bk>
      <rc t="2" v="7766"/>
    </bk>
    <bk>
      <rc t="2" v="7767"/>
    </bk>
    <bk>
      <rc t="2" v="7768"/>
    </bk>
    <bk>
      <rc t="2" v="7769"/>
    </bk>
    <bk>
      <rc t="2" v="7770"/>
    </bk>
    <bk>
      <rc t="2" v="7771"/>
    </bk>
    <bk>
      <rc t="2" v="7772"/>
    </bk>
    <bk>
      <rc t="2" v="7773"/>
    </bk>
    <bk>
      <rc t="2" v="7774"/>
    </bk>
    <bk>
      <rc t="2" v="7775"/>
    </bk>
    <bk>
      <rc t="2" v="7776"/>
    </bk>
    <bk>
      <rc t="2" v="7777"/>
    </bk>
    <bk>
      <rc t="2" v="7778"/>
    </bk>
    <bk>
      <rc t="2" v="7779"/>
    </bk>
    <bk>
      <rc t="2" v="7780"/>
    </bk>
    <bk>
      <rc t="2" v="7781"/>
    </bk>
    <bk>
      <rc t="2" v="7782"/>
    </bk>
    <bk>
      <rc t="2" v="7783"/>
    </bk>
    <bk>
      <rc t="2" v="7784"/>
    </bk>
    <bk>
      <rc t="2" v="7785"/>
    </bk>
    <bk>
      <rc t="2" v="7786"/>
    </bk>
    <bk>
      <rc t="2" v="7787"/>
    </bk>
    <bk>
      <rc t="2" v="7788"/>
    </bk>
    <bk>
      <rc t="2" v="7789"/>
    </bk>
    <bk>
      <rc t="2" v="7790"/>
    </bk>
    <bk>
      <rc t="2" v="7791"/>
    </bk>
    <bk>
      <rc t="2" v="7792"/>
    </bk>
    <bk>
      <rc t="2" v="7793"/>
    </bk>
    <bk>
      <rc t="2" v="7794"/>
    </bk>
    <bk>
      <rc t="2" v="7795"/>
    </bk>
    <bk>
      <rc t="2" v="7796"/>
    </bk>
    <bk>
      <rc t="2" v="7797"/>
    </bk>
    <bk>
      <rc t="2" v="7798"/>
    </bk>
    <bk>
      <rc t="2" v="7799"/>
    </bk>
    <bk>
      <rc t="2" v="7800"/>
    </bk>
    <bk>
      <rc t="2" v="7801"/>
    </bk>
    <bk>
      <rc t="2" v="7802"/>
    </bk>
    <bk>
      <rc t="2" v="7803"/>
    </bk>
    <bk>
      <rc t="2" v="7804"/>
    </bk>
    <bk>
      <rc t="2" v="7805"/>
    </bk>
    <bk>
      <rc t="2" v="7806"/>
    </bk>
    <bk>
      <rc t="2" v="7807"/>
    </bk>
    <bk>
      <rc t="2" v="7808"/>
    </bk>
    <bk>
      <rc t="2" v="7809"/>
    </bk>
    <bk>
      <rc t="2" v="7810"/>
    </bk>
    <bk>
      <rc t="2" v="7811"/>
    </bk>
    <bk>
      <rc t="2" v="7812"/>
    </bk>
    <bk>
      <rc t="2" v="7813"/>
    </bk>
    <bk>
      <rc t="2" v="7814"/>
    </bk>
    <bk>
      <rc t="2" v="7815"/>
    </bk>
    <bk>
      <rc t="2" v="7816"/>
    </bk>
    <bk>
      <rc t="2" v="7817"/>
    </bk>
    <bk>
      <rc t="2" v="7818"/>
    </bk>
    <bk>
      <rc t="2" v="7819"/>
    </bk>
    <bk>
      <rc t="2" v="7820"/>
    </bk>
    <bk>
      <rc t="2" v="7821"/>
    </bk>
    <bk>
      <rc t="2" v="7822"/>
    </bk>
    <bk>
      <rc t="2" v="7823"/>
    </bk>
    <bk>
      <rc t="2" v="7824"/>
    </bk>
    <bk>
      <rc t="2" v="7825"/>
    </bk>
    <bk>
      <rc t="2" v="7826"/>
    </bk>
    <bk>
      <rc t="2" v="7827"/>
    </bk>
    <bk>
      <rc t="2" v="7828"/>
    </bk>
    <bk>
      <rc t="2" v="7829"/>
    </bk>
    <bk>
      <rc t="2" v="7830"/>
    </bk>
    <bk>
      <rc t="2" v="7831"/>
    </bk>
    <bk>
      <rc t="2" v="7832"/>
    </bk>
    <bk>
      <rc t="2" v="7833"/>
    </bk>
    <bk>
      <rc t="2" v="7834"/>
    </bk>
    <bk>
      <rc t="2" v="7835"/>
    </bk>
    <bk>
      <rc t="2" v="7836"/>
    </bk>
    <bk>
      <rc t="2" v="7837"/>
    </bk>
    <bk>
      <rc t="2" v="7838"/>
    </bk>
    <bk>
      <rc t="2" v="7839"/>
    </bk>
    <bk>
      <rc t="2" v="7840"/>
    </bk>
    <bk>
      <rc t="2" v="7841"/>
    </bk>
    <bk>
      <rc t="2" v="7842"/>
    </bk>
    <bk>
      <rc t="2" v="7843"/>
    </bk>
    <bk>
      <rc t="2" v="7844"/>
    </bk>
    <bk>
      <rc t="2" v="7845"/>
    </bk>
    <bk>
      <rc t="2" v="7846"/>
    </bk>
    <bk>
      <rc t="2" v="7847"/>
    </bk>
    <bk>
      <rc t="2" v="7848"/>
    </bk>
    <bk>
      <rc t="2" v="7849"/>
    </bk>
    <bk>
      <rc t="2" v="7850"/>
    </bk>
    <bk>
      <rc t="2" v="7851"/>
    </bk>
    <bk>
      <rc t="2" v="7852"/>
    </bk>
    <bk>
      <rc t="2" v="7853"/>
    </bk>
    <bk>
      <rc t="2" v="7854"/>
    </bk>
    <bk>
      <rc t="2" v="7855"/>
    </bk>
    <bk>
      <rc t="2" v="7856"/>
    </bk>
    <bk>
      <rc t="2" v="7857"/>
    </bk>
    <bk>
      <rc t="2" v="7858"/>
    </bk>
    <bk>
      <rc t="2" v="7859"/>
    </bk>
    <bk>
      <rc t="2" v="7860"/>
    </bk>
    <bk>
      <rc t="2" v="7861"/>
    </bk>
    <bk>
      <rc t="2" v="7862"/>
    </bk>
    <bk>
      <rc t="2" v="7863"/>
    </bk>
    <bk>
      <rc t="2" v="7864"/>
    </bk>
    <bk>
      <rc t="2" v="7865"/>
    </bk>
    <bk>
      <rc t="2" v="7866"/>
    </bk>
    <bk>
      <rc t="2" v="7867"/>
    </bk>
    <bk>
      <rc t="2" v="7868"/>
    </bk>
    <bk>
      <rc t="2" v="7869"/>
    </bk>
    <bk>
      <rc t="2" v="7870"/>
    </bk>
    <bk>
      <rc t="2" v="7871"/>
    </bk>
    <bk>
      <rc t="2" v="7872"/>
    </bk>
    <bk>
      <rc t="2" v="7873"/>
    </bk>
    <bk>
      <rc t="2" v="7874"/>
    </bk>
    <bk>
      <rc t="2" v="7875"/>
    </bk>
    <bk>
      <rc t="2" v="7876"/>
    </bk>
    <bk>
      <rc t="2" v="7877"/>
    </bk>
    <bk>
      <rc t="2" v="7878"/>
    </bk>
    <bk>
      <rc t="2" v="7879"/>
    </bk>
    <bk>
      <rc t="2" v="7880"/>
    </bk>
    <bk>
      <rc t="2" v="7881"/>
    </bk>
    <bk>
      <rc t="2" v="7882"/>
    </bk>
    <bk>
      <rc t="2" v="7883"/>
    </bk>
    <bk>
      <rc t="2" v="7884"/>
    </bk>
    <bk>
      <rc t="2" v="7885"/>
    </bk>
    <bk>
      <rc t="2" v="7886"/>
    </bk>
    <bk>
      <rc t="2" v="7887"/>
    </bk>
    <bk>
      <rc t="2" v="7888"/>
    </bk>
    <bk>
      <rc t="2" v="7889"/>
    </bk>
    <bk>
      <rc t="2" v="7890"/>
    </bk>
    <bk>
      <rc t="2" v="7891"/>
    </bk>
    <bk>
      <rc t="2" v="7892"/>
    </bk>
    <bk>
      <rc t="2" v="7893"/>
    </bk>
    <bk>
      <rc t="2" v="7894"/>
    </bk>
    <bk>
      <rc t="2" v="7895"/>
    </bk>
    <bk>
      <rc t="2" v="7896"/>
    </bk>
    <bk>
      <rc t="2" v="7897"/>
    </bk>
    <bk>
      <rc t="2" v="7898"/>
    </bk>
    <bk>
      <rc t="2" v="7899"/>
    </bk>
    <bk>
      <rc t="2" v="7900"/>
    </bk>
    <bk>
      <rc t="2" v="7901"/>
    </bk>
    <bk>
      <rc t="2" v="7902"/>
    </bk>
    <bk>
      <rc t="2" v="7903"/>
    </bk>
    <bk>
      <rc t="2" v="7904"/>
    </bk>
    <bk>
      <rc t="2" v="7905"/>
    </bk>
    <bk>
      <rc t="2" v="7906"/>
    </bk>
    <bk>
      <rc t="2" v="7907"/>
    </bk>
    <bk>
      <rc t="2" v="7908"/>
    </bk>
    <bk>
      <rc t="2" v="7909"/>
    </bk>
    <bk>
      <rc t="2" v="7910"/>
    </bk>
    <bk>
      <rc t="2" v="7911"/>
    </bk>
    <bk>
      <rc t="2" v="7912"/>
    </bk>
    <bk>
      <rc t="2" v="7913"/>
    </bk>
    <bk>
      <rc t="2" v="7914"/>
    </bk>
    <bk>
      <rc t="2" v="7915"/>
    </bk>
    <bk>
      <rc t="2" v="7916"/>
    </bk>
    <bk>
      <rc t="2" v="7917"/>
    </bk>
    <bk>
      <rc t="2" v="7918"/>
    </bk>
    <bk>
      <rc t="2" v="7919"/>
    </bk>
    <bk>
      <rc t="2" v="7920"/>
    </bk>
    <bk>
      <rc t="2" v="7921"/>
    </bk>
    <bk>
      <rc t="2" v="7922"/>
    </bk>
    <bk>
      <rc t="2" v="7923"/>
    </bk>
    <bk>
      <rc t="2" v="7924"/>
    </bk>
    <bk>
      <rc t="2" v="7925"/>
    </bk>
    <bk>
      <rc t="2" v="7926"/>
    </bk>
    <bk>
      <rc t="2" v="7927"/>
    </bk>
    <bk>
      <rc t="2" v="7928"/>
    </bk>
    <bk>
      <rc t="2" v="7929"/>
    </bk>
    <bk>
      <rc t="2" v="7930"/>
    </bk>
    <bk>
      <rc t="2" v="7931"/>
    </bk>
    <bk>
      <rc t="2" v="7932"/>
    </bk>
    <bk>
      <rc t="2" v="7933"/>
    </bk>
    <bk>
      <rc t="2" v="7934"/>
    </bk>
    <bk>
      <rc t="2" v="7935"/>
    </bk>
    <bk>
      <rc t="2" v="7936"/>
    </bk>
    <bk>
      <rc t="2" v="7937"/>
    </bk>
    <bk>
      <rc t="2" v="7938"/>
    </bk>
    <bk>
      <rc t="2" v="7939"/>
    </bk>
    <bk>
      <rc t="2" v="7940"/>
    </bk>
    <bk>
      <rc t="2" v="7941"/>
    </bk>
    <bk>
      <rc t="2" v="7942"/>
    </bk>
    <bk>
      <rc t="2" v="7943"/>
    </bk>
    <bk>
      <rc t="2" v="7944"/>
    </bk>
    <bk>
      <rc t="2" v="7945"/>
    </bk>
    <bk>
      <rc t="2" v="7946"/>
    </bk>
    <bk>
      <rc t="2" v="7947"/>
    </bk>
    <bk>
      <rc t="2" v="7948"/>
    </bk>
    <bk>
      <rc t="2" v="7949"/>
    </bk>
    <bk>
      <rc t="2" v="7950"/>
    </bk>
    <bk>
      <rc t="2" v="7951"/>
    </bk>
    <bk>
      <rc t="2" v="7952"/>
    </bk>
    <bk>
      <rc t="2" v="7953"/>
    </bk>
    <bk>
      <rc t="2" v="7954"/>
    </bk>
    <bk>
      <rc t="2" v="7955"/>
    </bk>
    <bk>
      <rc t="2" v="7956"/>
    </bk>
    <bk>
      <rc t="2" v="7957"/>
    </bk>
    <bk>
      <rc t="2" v="7958"/>
    </bk>
    <bk>
      <rc t="2" v="7959"/>
    </bk>
    <bk>
      <rc t="2" v="7960"/>
    </bk>
    <bk>
      <rc t="2" v="7961"/>
    </bk>
    <bk>
      <rc t="2" v="7962"/>
    </bk>
    <bk>
      <rc t="2" v="7963"/>
    </bk>
    <bk>
      <rc t="2" v="7964"/>
    </bk>
    <bk>
      <rc t="2" v="7965"/>
    </bk>
    <bk>
      <rc t="2" v="7966"/>
    </bk>
    <bk>
      <rc t="2" v="7967"/>
    </bk>
    <bk>
      <rc t="2" v="7968"/>
    </bk>
    <bk>
      <rc t="2" v="7969"/>
    </bk>
    <bk>
      <rc t="2" v="7970"/>
    </bk>
    <bk>
      <rc t="2" v="7971"/>
    </bk>
    <bk>
      <rc t="2" v="7972"/>
    </bk>
    <bk>
      <rc t="2" v="7973"/>
    </bk>
    <bk>
      <rc t="2" v="7974"/>
    </bk>
    <bk>
      <rc t="2" v="7975"/>
    </bk>
    <bk>
      <rc t="2" v="7976"/>
    </bk>
    <bk>
      <rc t="2" v="7977"/>
    </bk>
    <bk>
      <rc t="2" v="7978"/>
    </bk>
    <bk>
      <rc t="2" v="7979"/>
    </bk>
    <bk>
      <rc t="2" v="7980"/>
    </bk>
    <bk>
      <rc t="2" v="7981"/>
    </bk>
    <bk>
      <rc t="2" v="7982"/>
    </bk>
    <bk>
      <rc t="2" v="7983"/>
    </bk>
    <bk>
      <rc t="2" v="7984"/>
    </bk>
    <bk>
      <rc t="2" v="7985"/>
    </bk>
    <bk>
      <rc t="2" v="7986"/>
    </bk>
    <bk>
      <rc t="2" v="7987"/>
    </bk>
    <bk>
      <rc t="2" v="7988"/>
    </bk>
    <bk>
      <rc t="2" v="7989"/>
    </bk>
    <bk>
      <rc t="2" v="7990"/>
    </bk>
    <bk>
      <rc t="2" v="7991"/>
    </bk>
    <bk>
      <rc t="2" v="7992"/>
    </bk>
    <bk>
      <rc t="2" v="7993"/>
    </bk>
    <bk>
      <rc t="2" v="7994"/>
    </bk>
    <bk>
      <rc t="2" v="7995"/>
    </bk>
    <bk>
      <rc t="2" v="7996"/>
    </bk>
    <bk>
      <rc t="2" v="7997"/>
    </bk>
    <bk>
      <rc t="2" v="7998"/>
    </bk>
    <bk>
      <rc t="2" v="7999"/>
    </bk>
    <bk>
      <rc t="2" v="8000"/>
    </bk>
    <bk>
      <rc t="2" v="8001"/>
    </bk>
    <bk>
      <rc t="2" v="8002"/>
    </bk>
    <bk>
      <rc t="2" v="8003"/>
    </bk>
    <bk>
      <rc t="2" v="8004"/>
    </bk>
    <bk>
      <rc t="2" v="8005"/>
    </bk>
    <bk>
      <rc t="2" v="8006"/>
    </bk>
    <bk>
      <rc t="2" v="8007"/>
    </bk>
    <bk>
      <rc t="2" v="8008"/>
    </bk>
    <bk>
      <rc t="2" v="8009"/>
    </bk>
    <bk>
      <rc t="2" v="8010"/>
    </bk>
    <bk>
      <rc t="2" v="8011"/>
    </bk>
    <bk>
      <rc t="2" v="8012"/>
    </bk>
    <bk>
      <rc t="2" v="8013"/>
    </bk>
    <bk>
      <rc t="2" v="8014"/>
    </bk>
    <bk>
      <rc t="2" v="8015"/>
    </bk>
    <bk>
      <rc t="2" v="8016"/>
    </bk>
    <bk>
      <rc t="2" v="8017"/>
    </bk>
    <bk>
      <rc t="2" v="8018"/>
    </bk>
    <bk>
      <rc t="2" v="8019"/>
    </bk>
    <bk>
      <rc t="2" v="8020"/>
    </bk>
    <bk>
      <rc t="2" v="8021"/>
    </bk>
    <bk>
      <rc t="2" v="8022"/>
    </bk>
    <bk>
      <rc t="2" v="8023"/>
    </bk>
    <bk>
      <rc t="2" v="8024"/>
    </bk>
    <bk>
      <rc t="2" v="8025"/>
    </bk>
    <bk>
      <rc t="2" v="8026"/>
    </bk>
    <bk>
      <rc t="2" v="8027"/>
    </bk>
    <bk>
      <rc t="2" v="8028"/>
    </bk>
    <bk>
      <rc t="2" v="8029"/>
    </bk>
    <bk>
      <rc t="2" v="8030"/>
    </bk>
    <bk>
      <rc t="2" v="8031"/>
    </bk>
    <bk>
      <rc t="2" v="8032"/>
    </bk>
    <bk>
      <rc t="2" v="8033"/>
    </bk>
    <bk>
      <rc t="2" v="8034"/>
    </bk>
    <bk>
      <rc t="2" v="8035"/>
    </bk>
    <bk>
      <rc t="2" v="8036"/>
    </bk>
    <bk>
      <rc t="2" v="8037"/>
    </bk>
    <bk>
      <rc t="2" v="8038"/>
    </bk>
    <bk>
      <rc t="2" v="8039"/>
    </bk>
    <bk>
      <rc t="2" v="8040"/>
    </bk>
    <bk>
      <rc t="2" v="8041"/>
    </bk>
    <bk>
      <rc t="2" v="8042"/>
    </bk>
    <bk>
      <rc t="2" v="8043"/>
    </bk>
    <bk>
      <rc t="2" v="8044"/>
    </bk>
    <bk>
      <rc t="2" v="8045"/>
    </bk>
    <bk>
      <rc t="2" v="8046"/>
    </bk>
    <bk>
      <rc t="2" v="8047"/>
    </bk>
    <bk>
      <rc t="2" v="8048"/>
    </bk>
    <bk>
      <rc t="2" v="8049"/>
    </bk>
    <bk>
      <rc t="2" v="8050"/>
    </bk>
    <bk>
      <rc t="2" v="8051"/>
    </bk>
    <bk>
      <rc t="2" v="8052"/>
    </bk>
    <bk>
      <rc t="2" v="8053"/>
    </bk>
    <bk>
      <rc t="2" v="8054"/>
    </bk>
    <bk>
      <rc t="2" v="8055"/>
    </bk>
    <bk>
      <rc t="2" v="8056"/>
    </bk>
    <bk>
      <rc t="2" v="8057"/>
    </bk>
    <bk>
      <rc t="2" v="8058"/>
    </bk>
    <bk>
      <rc t="2" v="8059"/>
    </bk>
    <bk>
      <rc t="2" v="8060"/>
    </bk>
    <bk>
      <rc t="2" v="8061"/>
    </bk>
    <bk>
      <rc t="2" v="8062"/>
    </bk>
    <bk>
      <rc t="2" v="8063"/>
    </bk>
    <bk>
      <rc t="2" v="8064"/>
    </bk>
    <bk>
      <rc t="2" v="8065"/>
    </bk>
    <bk>
      <rc t="2" v="8066"/>
    </bk>
    <bk>
      <rc t="2" v="8067"/>
    </bk>
    <bk>
      <rc t="2" v="8068"/>
    </bk>
    <bk>
      <rc t="2" v="8069"/>
    </bk>
    <bk>
      <rc t="2" v="8070"/>
    </bk>
    <bk>
      <rc t="2" v="8071"/>
    </bk>
    <bk>
      <rc t="2" v="8072"/>
    </bk>
    <bk>
      <rc t="2" v="8073"/>
    </bk>
    <bk>
      <rc t="2" v="8074"/>
    </bk>
    <bk>
      <rc t="2" v="8075"/>
    </bk>
    <bk>
      <rc t="2" v="8076"/>
    </bk>
    <bk>
      <rc t="2" v="8077"/>
    </bk>
    <bk>
      <rc t="2" v="8078"/>
    </bk>
    <bk>
      <rc t="2" v="8079"/>
    </bk>
    <bk>
      <rc t="2" v="8080"/>
    </bk>
    <bk>
      <rc t="2" v="8081"/>
    </bk>
    <bk>
      <rc t="2" v="8082"/>
    </bk>
    <bk>
      <rc t="2" v="8083"/>
    </bk>
    <bk>
      <rc t="2" v="8084"/>
    </bk>
    <bk>
      <rc t="2" v="8085"/>
    </bk>
    <bk>
      <rc t="2" v="8086"/>
    </bk>
    <bk>
      <rc t="2" v="8087"/>
    </bk>
    <bk>
      <rc t="2" v="8088"/>
    </bk>
    <bk>
      <rc t="2" v="8089"/>
    </bk>
    <bk>
      <rc t="2" v="8090"/>
    </bk>
    <bk>
      <rc t="2" v="8091"/>
    </bk>
    <bk>
      <rc t="2" v="8092"/>
    </bk>
    <bk>
      <rc t="2" v="8093"/>
    </bk>
    <bk>
      <rc t="2" v="8094"/>
    </bk>
    <bk>
      <rc t="2" v="8095"/>
    </bk>
    <bk>
      <rc t="2" v="8096"/>
    </bk>
    <bk>
      <rc t="2" v="8097"/>
    </bk>
    <bk>
      <rc t="2" v="8098"/>
    </bk>
    <bk>
      <rc t="2" v="8099"/>
    </bk>
    <bk>
      <rc t="2" v="8100"/>
    </bk>
    <bk>
      <rc t="2" v="8101"/>
    </bk>
    <bk>
      <rc t="2" v="8102"/>
    </bk>
    <bk>
      <rc t="2" v="8103"/>
    </bk>
    <bk>
      <rc t="2" v="8104"/>
    </bk>
    <bk>
      <rc t="2" v="8105"/>
    </bk>
    <bk>
      <rc t="2" v="8106"/>
    </bk>
    <bk>
      <rc t="2" v="8107"/>
    </bk>
    <bk>
      <rc t="2" v="8108"/>
    </bk>
    <bk>
      <rc t="2" v="8109"/>
    </bk>
    <bk>
      <rc t="2" v="8110"/>
    </bk>
    <bk>
      <rc t="2" v="8111"/>
    </bk>
    <bk>
      <rc t="2" v="8112"/>
    </bk>
    <bk>
      <rc t="2" v="8113"/>
    </bk>
    <bk>
      <rc t="2" v="8114"/>
    </bk>
    <bk>
      <rc t="2" v="8115"/>
    </bk>
    <bk>
      <rc t="2" v="8116"/>
    </bk>
    <bk>
      <rc t="2" v="8117"/>
    </bk>
    <bk>
      <rc t="2" v="8118"/>
    </bk>
    <bk>
      <rc t="2" v="8119"/>
    </bk>
    <bk>
      <rc t="2" v="8120"/>
    </bk>
    <bk>
      <rc t="2" v="8121"/>
    </bk>
    <bk>
      <rc t="2" v="8122"/>
    </bk>
    <bk>
      <rc t="2" v="8123"/>
    </bk>
    <bk>
      <rc t="2" v="8124"/>
    </bk>
    <bk>
      <rc t="2" v="8125"/>
    </bk>
    <bk>
      <rc t="2" v="8126"/>
    </bk>
    <bk>
      <rc t="2" v="8127"/>
    </bk>
    <bk>
      <rc t="2" v="8128"/>
    </bk>
    <bk>
      <rc t="2" v="8129"/>
    </bk>
    <bk>
      <rc t="2" v="8130"/>
    </bk>
    <bk>
      <rc t="2" v="8131"/>
    </bk>
    <bk>
      <rc t="2" v="8132"/>
    </bk>
    <bk>
      <rc t="2" v="8133"/>
    </bk>
    <bk>
      <rc t="2" v="8134"/>
    </bk>
    <bk>
      <rc t="2" v="8135"/>
    </bk>
    <bk>
      <rc t="2" v="8136"/>
    </bk>
    <bk>
      <rc t="2" v="8137"/>
    </bk>
    <bk>
      <rc t="2" v="8138"/>
    </bk>
    <bk>
      <rc t="2" v="8139"/>
    </bk>
    <bk>
      <rc t="2" v="8140"/>
    </bk>
    <bk>
      <rc t="2" v="8141"/>
    </bk>
    <bk>
      <rc t="2" v="8142"/>
    </bk>
    <bk>
      <rc t="2" v="8143"/>
    </bk>
    <bk>
      <rc t="2" v="8144"/>
    </bk>
    <bk>
      <rc t="2" v="8145"/>
    </bk>
    <bk>
      <rc t="2" v="8146"/>
    </bk>
    <bk>
      <rc t="2" v="8147"/>
    </bk>
    <bk>
      <rc t="2" v="8148"/>
    </bk>
    <bk>
      <rc t="2" v="8149"/>
    </bk>
    <bk>
      <rc t="2" v="8150"/>
    </bk>
    <bk>
      <rc t="2" v="8151"/>
    </bk>
    <bk>
      <rc t="2" v="8152"/>
    </bk>
    <bk>
      <rc t="2" v="8153"/>
    </bk>
    <bk>
      <rc t="2" v="8154"/>
    </bk>
    <bk>
      <rc t="2" v="8155"/>
    </bk>
    <bk>
      <rc t="2" v="8156"/>
    </bk>
    <bk>
      <rc t="2" v="8157"/>
    </bk>
    <bk>
      <rc t="2" v="8158"/>
    </bk>
    <bk>
      <rc t="2" v="8159"/>
    </bk>
    <bk>
      <rc t="2" v="8160"/>
    </bk>
    <bk>
      <rc t="2" v="8161"/>
    </bk>
    <bk>
      <rc t="2" v="8162"/>
    </bk>
    <bk>
      <rc t="2" v="8163"/>
    </bk>
    <bk>
      <rc t="2" v="8164"/>
    </bk>
    <bk>
      <rc t="2" v="8165"/>
    </bk>
    <bk>
      <rc t="2" v="8166"/>
    </bk>
    <bk>
      <rc t="2" v="8167"/>
    </bk>
    <bk>
      <rc t="2" v="8168"/>
    </bk>
    <bk>
      <rc t="2" v="8169"/>
    </bk>
    <bk>
      <rc t="2" v="8170"/>
    </bk>
    <bk>
      <rc t="2" v="8171"/>
    </bk>
    <bk>
      <rc t="2" v="8172"/>
    </bk>
    <bk>
      <rc t="2" v="8173"/>
    </bk>
    <bk>
      <rc t="2" v="8174"/>
    </bk>
    <bk>
      <rc t="2" v="8175"/>
    </bk>
    <bk>
      <rc t="2" v="8176"/>
    </bk>
    <bk>
      <rc t="2" v="8177"/>
    </bk>
    <bk>
      <rc t="2" v="8178"/>
    </bk>
    <bk>
      <rc t="2" v="8179"/>
    </bk>
    <bk>
      <rc t="2" v="8180"/>
    </bk>
    <bk>
      <rc t="2" v="8181"/>
    </bk>
    <bk>
      <rc t="2" v="8182"/>
    </bk>
    <bk>
      <rc t="2" v="8183"/>
    </bk>
    <bk>
      <rc t="2" v="8184"/>
    </bk>
    <bk>
      <rc t="2" v="8185"/>
    </bk>
    <bk>
      <rc t="2" v="8186"/>
    </bk>
    <bk>
      <rc t="2" v="8187"/>
    </bk>
    <bk>
      <rc t="2" v="8188"/>
    </bk>
    <bk>
      <rc t="2" v="8189"/>
    </bk>
    <bk>
      <rc t="2" v="8190"/>
    </bk>
    <bk>
      <rc t="2" v="8191"/>
    </bk>
    <bk>
      <rc t="2" v="8192"/>
    </bk>
    <bk>
      <rc t="2" v="8193"/>
    </bk>
    <bk>
      <rc t="2" v="8194"/>
    </bk>
    <bk>
      <rc t="2" v="8195"/>
    </bk>
    <bk>
      <rc t="2" v="8196"/>
    </bk>
    <bk>
      <rc t="2" v="8197"/>
    </bk>
    <bk>
      <rc t="2" v="8198"/>
    </bk>
    <bk>
      <rc t="2" v="8199"/>
    </bk>
    <bk>
      <rc t="2" v="8200"/>
    </bk>
    <bk>
      <rc t="2" v="8201"/>
    </bk>
    <bk>
      <rc t="2" v="8202"/>
    </bk>
    <bk>
      <rc t="2" v="8203"/>
    </bk>
    <bk>
      <rc t="2" v="8204"/>
    </bk>
    <bk>
      <rc t="2" v="8205"/>
    </bk>
    <bk>
      <rc t="2" v="8206"/>
    </bk>
    <bk>
      <rc t="2" v="8207"/>
    </bk>
    <bk>
      <rc t="2" v="8208"/>
    </bk>
    <bk>
      <rc t="2" v="8209"/>
    </bk>
    <bk>
      <rc t="2" v="8210"/>
    </bk>
    <bk>
      <rc t="2" v="8211"/>
    </bk>
    <bk>
      <rc t="2" v="8212"/>
    </bk>
    <bk>
      <rc t="2" v="8213"/>
    </bk>
    <bk>
      <rc t="2" v="8214"/>
    </bk>
    <bk>
      <rc t="2" v="8215"/>
    </bk>
    <bk>
      <rc t="2" v="8216"/>
    </bk>
    <bk>
      <rc t="2" v="8217"/>
    </bk>
    <bk>
      <rc t="2" v="8218"/>
    </bk>
    <bk>
      <rc t="2" v="8219"/>
    </bk>
    <bk>
      <rc t="2" v="8220"/>
    </bk>
    <bk>
      <rc t="2" v="8221"/>
    </bk>
    <bk>
      <rc t="2" v="8222"/>
    </bk>
    <bk>
      <rc t="2" v="8223"/>
    </bk>
    <bk>
      <rc t="2" v="8224"/>
    </bk>
    <bk>
      <rc t="2" v="8225"/>
    </bk>
    <bk>
      <rc t="2" v="8226"/>
    </bk>
    <bk>
      <rc t="2" v="8227"/>
    </bk>
    <bk>
      <rc t="2" v="8228"/>
    </bk>
    <bk>
      <rc t="2" v="8229"/>
    </bk>
    <bk>
      <rc t="2" v="8230"/>
    </bk>
    <bk>
      <rc t="2" v="8231"/>
    </bk>
    <bk>
      <rc t="2" v="8232"/>
    </bk>
    <bk>
      <rc t="2" v="8233"/>
    </bk>
    <bk>
      <rc t="2" v="8234"/>
    </bk>
    <bk>
      <rc t="2" v="8235"/>
    </bk>
    <bk>
      <rc t="2" v="8236"/>
    </bk>
    <bk>
      <rc t="2" v="8237"/>
    </bk>
    <bk>
      <rc t="2" v="8238"/>
    </bk>
    <bk>
      <rc t="2" v="8239"/>
    </bk>
    <bk>
      <rc t="2" v="8240"/>
    </bk>
    <bk>
      <rc t="2" v="8241"/>
    </bk>
    <bk>
      <rc t="2" v="8242"/>
    </bk>
    <bk>
      <rc t="2" v="8243"/>
    </bk>
    <bk>
      <rc t="2" v="8244"/>
    </bk>
    <bk>
      <rc t="2" v="8245"/>
    </bk>
    <bk>
      <rc t="2" v="8246"/>
    </bk>
    <bk>
      <rc t="2" v="8247"/>
    </bk>
    <bk>
      <rc t="2" v="8248"/>
    </bk>
    <bk>
      <rc t="2" v="8249"/>
    </bk>
    <bk>
      <rc t="2" v="8250"/>
    </bk>
    <bk>
      <rc t="2" v="8251"/>
    </bk>
    <bk>
      <rc t="2" v="8252"/>
    </bk>
    <bk>
      <rc t="2" v="8253"/>
    </bk>
    <bk>
      <rc t="2" v="8254"/>
    </bk>
    <bk>
      <rc t="2" v="8255"/>
    </bk>
    <bk>
      <rc t="2" v="8256"/>
    </bk>
    <bk>
      <rc t="2" v="8257"/>
    </bk>
    <bk>
      <rc t="2" v="8258"/>
    </bk>
    <bk>
      <rc t="2" v="8259"/>
    </bk>
    <bk>
      <rc t="2" v="8260"/>
    </bk>
    <bk>
      <rc t="2" v="8261"/>
    </bk>
    <bk>
      <rc t="2" v="8262"/>
    </bk>
    <bk>
      <rc t="2" v="8263"/>
    </bk>
    <bk>
      <rc t="2" v="8264"/>
    </bk>
    <bk>
      <rc t="2" v="8265"/>
    </bk>
    <bk>
      <rc t="2" v="8266"/>
    </bk>
    <bk>
      <rc t="2" v="8267"/>
    </bk>
    <bk>
      <rc t="2" v="8268"/>
    </bk>
    <bk>
      <rc t="2" v="8269"/>
    </bk>
    <bk>
      <rc t="2" v="8270"/>
    </bk>
    <bk>
      <rc t="2" v="8271"/>
    </bk>
    <bk>
      <rc t="2" v="8272"/>
    </bk>
    <bk>
      <rc t="2" v="8273"/>
    </bk>
    <bk>
      <rc t="2" v="8274"/>
    </bk>
    <bk>
      <rc t="2" v="8275"/>
    </bk>
    <bk>
      <rc t="2" v="8276"/>
    </bk>
    <bk>
      <rc t="2" v="8277"/>
    </bk>
    <bk>
      <rc t="2" v="8278"/>
    </bk>
    <bk>
      <rc t="2" v="8279"/>
    </bk>
    <bk>
      <rc t="2" v="8280"/>
    </bk>
    <bk>
      <rc t="2" v="8281"/>
    </bk>
    <bk>
      <rc t="2" v="8282"/>
    </bk>
    <bk>
      <rc t="2" v="8283"/>
    </bk>
    <bk>
      <rc t="2" v="8284"/>
    </bk>
    <bk>
      <rc t="2" v="8285"/>
    </bk>
    <bk>
      <rc t="2" v="8286"/>
    </bk>
    <bk>
      <rc t="2" v="8287"/>
    </bk>
    <bk>
      <rc t="2" v="8288"/>
    </bk>
    <bk>
      <rc t="2" v="8289"/>
    </bk>
    <bk>
      <rc t="2" v="8290"/>
    </bk>
    <bk>
      <rc t="2" v="8291"/>
    </bk>
    <bk>
      <rc t="2" v="8292"/>
    </bk>
    <bk>
      <rc t="2" v="8293"/>
    </bk>
    <bk>
      <rc t="2" v="8294"/>
    </bk>
    <bk>
      <rc t="2" v="8295"/>
    </bk>
    <bk>
      <rc t="2" v="8296"/>
    </bk>
    <bk>
      <rc t="2" v="8297"/>
    </bk>
    <bk>
      <rc t="2" v="8298"/>
    </bk>
    <bk>
      <rc t="2" v="8299"/>
    </bk>
    <bk>
      <rc t="2" v="8300"/>
    </bk>
    <bk>
      <rc t="2" v="8301"/>
    </bk>
    <bk>
      <rc t="2" v="8302"/>
    </bk>
    <bk>
      <rc t="2" v="8303"/>
    </bk>
    <bk>
      <rc t="2" v="8304"/>
    </bk>
    <bk>
      <rc t="2" v="8305"/>
    </bk>
    <bk>
      <rc t="2" v="8306"/>
    </bk>
    <bk>
      <rc t="2" v="8307"/>
    </bk>
    <bk>
      <rc t="2" v="8308"/>
    </bk>
    <bk>
      <rc t="2" v="8309"/>
    </bk>
    <bk>
      <rc t="2" v="8310"/>
    </bk>
    <bk>
      <rc t="2" v="8311"/>
    </bk>
    <bk>
      <rc t="2" v="8312"/>
    </bk>
    <bk>
      <rc t="2" v="8313"/>
    </bk>
    <bk>
      <rc t="2" v="8314"/>
    </bk>
    <bk>
      <rc t="2" v="8315"/>
    </bk>
    <bk>
      <rc t="2" v="8316"/>
    </bk>
    <bk>
      <rc t="2" v="8317"/>
    </bk>
    <bk>
      <rc t="2" v="8318"/>
    </bk>
    <bk>
      <rc t="2" v="8319"/>
    </bk>
    <bk>
      <rc t="2" v="8320"/>
    </bk>
    <bk>
      <rc t="2" v="8321"/>
    </bk>
    <bk>
      <rc t="2" v="8322"/>
    </bk>
    <bk>
      <rc t="2" v="8323"/>
    </bk>
    <bk>
      <rc t="2" v="8324"/>
    </bk>
    <bk>
      <rc t="2" v="8325"/>
    </bk>
    <bk>
      <rc t="2" v="8326"/>
    </bk>
    <bk>
      <rc t="2" v="8327"/>
    </bk>
    <bk>
      <rc t="2" v="8328"/>
    </bk>
    <bk>
      <rc t="2" v="8329"/>
    </bk>
    <bk>
      <rc t="2" v="8330"/>
    </bk>
    <bk>
      <rc t="2" v="8331"/>
    </bk>
    <bk>
      <rc t="2" v="8332"/>
    </bk>
    <bk>
      <rc t="2" v="8333"/>
    </bk>
    <bk>
      <rc t="2" v="8334"/>
    </bk>
    <bk>
      <rc t="2" v="8335"/>
    </bk>
    <bk>
      <rc t="2" v="8336"/>
    </bk>
    <bk>
      <rc t="2" v="8337"/>
    </bk>
    <bk>
      <rc t="2" v="8338"/>
    </bk>
    <bk>
      <rc t="2" v="8339"/>
    </bk>
    <bk>
      <rc t="2" v="8340"/>
    </bk>
    <bk>
      <rc t="2" v="8341"/>
    </bk>
    <bk>
      <rc t="2" v="8342"/>
    </bk>
    <bk>
      <rc t="2" v="8343"/>
    </bk>
    <bk>
      <rc t="2" v="8344"/>
    </bk>
    <bk>
      <rc t="2" v="8345"/>
    </bk>
    <bk>
      <rc t="2" v="8346"/>
    </bk>
    <bk>
      <rc t="2" v="8347"/>
    </bk>
    <bk>
      <rc t="2" v="8348"/>
    </bk>
    <bk>
      <rc t="2" v="8349"/>
    </bk>
    <bk>
      <rc t="2" v="8350"/>
    </bk>
    <bk>
      <rc t="2" v="8351"/>
    </bk>
    <bk>
      <rc t="2" v="8352"/>
    </bk>
    <bk>
      <rc t="2" v="8353"/>
    </bk>
    <bk>
      <rc t="2" v="8354"/>
    </bk>
    <bk>
      <rc t="2" v="8355"/>
    </bk>
    <bk>
      <rc t="2" v="8356"/>
    </bk>
    <bk>
      <rc t="2" v="8357"/>
    </bk>
    <bk>
      <rc t="2" v="8358"/>
    </bk>
    <bk>
      <rc t="2" v="8359"/>
    </bk>
    <bk>
      <rc t="2" v="8360"/>
    </bk>
    <bk>
      <rc t="2" v="8361"/>
    </bk>
    <bk>
      <rc t="2" v="8362"/>
    </bk>
    <bk>
      <rc t="2" v="8363"/>
    </bk>
    <bk>
      <rc t="2" v="8364"/>
    </bk>
    <bk>
      <rc t="2" v="8365"/>
    </bk>
    <bk>
      <rc t="2" v="8366"/>
    </bk>
    <bk>
      <rc t="2" v="8367"/>
    </bk>
    <bk>
      <rc t="2" v="8368"/>
    </bk>
    <bk>
      <rc t="2" v="8369"/>
    </bk>
    <bk>
      <rc t="2" v="8370"/>
    </bk>
    <bk>
      <rc t="2" v="8371"/>
    </bk>
    <bk>
      <rc t="2" v="8372"/>
    </bk>
    <bk>
      <rc t="2" v="8373"/>
    </bk>
    <bk>
      <rc t="2" v="8374"/>
    </bk>
    <bk>
      <rc t="2" v="8375"/>
    </bk>
    <bk>
      <rc t="2" v="8376"/>
    </bk>
    <bk>
      <rc t="2" v="8377"/>
    </bk>
    <bk>
      <rc t="2" v="8378"/>
    </bk>
    <bk>
      <rc t="2" v="8379"/>
    </bk>
    <bk>
      <rc t="2" v="8380"/>
    </bk>
    <bk>
      <rc t="2" v="8381"/>
    </bk>
    <bk>
      <rc t="2" v="8382"/>
    </bk>
    <bk>
      <rc t="2" v="8383"/>
    </bk>
    <bk>
      <rc t="2" v="8384"/>
    </bk>
    <bk>
      <rc t="2" v="8385"/>
    </bk>
    <bk>
      <rc t="2" v="8386"/>
    </bk>
    <bk>
      <rc t="2" v="8387"/>
    </bk>
    <bk>
      <rc t="2" v="8388"/>
    </bk>
    <bk>
      <rc t="2" v="8389"/>
    </bk>
    <bk>
      <rc t="2" v="8390"/>
    </bk>
    <bk>
      <rc t="2" v="8391"/>
    </bk>
    <bk>
      <rc t="2" v="8392"/>
    </bk>
    <bk>
      <rc t="2" v="8393"/>
    </bk>
    <bk>
      <rc t="2" v="8394"/>
    </bk>
    <bk>
      <rc t="2" v="8395"/>
    </bk>
    <bk>
      <rc t="2" v="8396"/>
    </bk>
    <bk>
      <rc t="2" v="8397"/>
    </bk>
    <bk>
      <rc t="2" v="8398"/>
    </bk>
    <bk>
      <rc t="2" v="8399"/>
    </bk>
    <bk>
      <rc t="2" v="8400"/>
    </bk>
    <bk>
      <rc t="2" v="8401"/>
    </bk>
    <bk>
      <rc t="2" v="8402"/>
    </bk>
    <bk>
      <rc t="2" v="8403"/>
    </bk>
    <bk>
      <rc t="2" v="8404"/>
    </bk>
    <bk>
      <rc t="2" v="8405"/>
    </bk>
    <bk>
      <rc t="2" v="8406"/>
    </bk>
    <bk>
      <rc t="2" v="8407"/>
    </bk>
    <bk>
      <rc t="2" v="8408"/>
    </bk>
    <bk>
      <rc t="2" v="8409"/>
    </bk>
    <bk>
      <rc t="2" v="8410"/>
    </bk>
    <bk>
      <rc t="2" v="8411"/>
    </bk>
    <bk>
      <rc t="2" v="8412"/>
    </bk>
    <bk>
      <rc t="2" v="8413"/>
    </bk>
    <bk>
      <rc t="2" v="8414"/>
    </bk>
    <bk>
      <rc t="2" v="8415"/>
    </bk>
    <bk>
      <rc t="2" v="8416"/>
    </bk>
    <bk>
      <rc t="2" v="8417"/>
    </bk>
    <bk>
      <rc t="2" v="8418"/>
    </bk>
    <bk>
      <rc t="2" v="8419"/>
    </bk>
    <bk>
      <rc t="2" v="8420"/>
    </bk>
    <bk>
      <rc t="2" v="8421"/>
    </bk>
    <bk>
      <rc t="2" v="8422"/>
    </bk>
    <bk>
      <rc t="2" v="8423"/>
    </bk>
    <bk>
      <rc t="2" v="8424"/>
    </bk>
    <bk>
      <rc t="2" v="8425"/>
    </bk>
    <bk>
      <rc t="2" v="8426"/>
    </bk>
    <bk>
      <rc t="2" v="8427"/>
    </bk>
    <bk>
      <rc t="2" v="8428"/>
    </bk>
    <bk>
      <rc t="2" v="8429"/>
    </bk>
    <bk>
      <rc t="2" v="8430"/>
    </bk>
    <bk>
      <rc t="2" v="8431"/>
    </bk>
    <bk>
      <rc t="2" v="8432"/>
    </bk>
    <bk>
      <rc t="2" v="8433"/>
    </bk>
    <bk>
      <rc t="2" v="8434"/>
    </bk>
    <bk>
      <rc t="2" v="8435"/>
    </bk>
    <bk>
      <rc t="2" v="8436"/>
    </bk>
    <bk>
      <rc t="2" v="8437"/>
    </bk>
    <bk>
      <rc t="2" v="8438"/>
    </bk>
    <bk>
      <rc t="2" v="8439"/>
    </bk>
    <bk>
      <rc t="2" v="8440"/>
    </bk>
    <bk>
      <rc t="2" v="8441"/>
    </bk>
    <bk>
      <rc t="2" v="8442"/>
    </bk>
    <bk>
      <rc t="2" v="8443"/>
    </bk>
    <bk>
      <rc t="2" v="8444"/>
    </bk>
    <bk>
      <rc t="2" v="8445"/>
    </bk>
    <bk>
      <rc t="2" v="8446"/>
    </bk>
    <bk>
      <rc t="2" v="8447"/>
    </bk>
    <bk>
      <rc t="2" v="8448"/>
    </bk>
    <bk>
      <rc t="2" v="8449"/>
    </bk>
    <bk>
      <rc t="2" v="8450"/>
    </bk>
    <bk>
      <rc t="2" v="8451"/>
    </bk>
    <bk>
      <rc t="2" v="8452"/>
    </bk>
    <bk>
      <rc t="2" v="8453"/>
    </bk>
    <bk>
      <rc t="2" v="8454"/>
    </bk>
    <bk>
      <rc t="2" v="8455"/>
    </bk>
    <bk>
      <rc t="2" v="8456"/>
    </bk>
    <bk>
      <rc t="2" v="8457"/>
    </bk>
    <bk>
      <rc t="2" v="8458"/>
    </bk>
    <bk>
      <rc t="2" v="8459"/>
    </bk>
    <bk>
      <rc t="2" v="8460"/>
    </bk>
    <bk>
      <rc t="2" v="8461"/>
    </bk>
    <bk>
      <rc t="2" v="8462"/>
    </bk>
    <bk>
      <rc t="2" v="8463"/>
    </bk>
    <bk>
      <rc t="2" v="8464"/>
    </bk>
    <bk>
      <rc t="2" v="8465"/>
    </bk>
    <bk>
      <rc t="2" v="8466"/>
    </bk>
    <bk>
      <rc t="2" v="8467"/>
    </bk>
    <bk>
      <rc t="2" v="8468"/>
    </bk>
    <bk>
      <rc t="2" v="8469"/>
    </bk>
    <bk>
      <rc t="2" v="8470"/>
    </bk>
    <bk>
      <rc t="2" v="8471"/>
    </bk>
    <bk>
      <rc t="2" v="8472"/>
    </bk>
    <bk>
      <rc t="2" v="8473"/>
    </bk>
    <bk>
      <rc t="2" v="8474"/>
    </bk>
    <bk>
      <rc t="2" v="8475"/>
    </bk>
    <bk>
      <rc t="2" v="8476"/>
    </bk>
    <bk>
      <rc t="2" v="8477"/>
    </bk>
    <bk>
      <rc t="2" v="8478"/>
    </bk>
    <bk>
      <rc t="2" v="8479"/>
    </bk>
    <bk>
      <rc t="2" v="8480"/>
    </bk>
    <bk>
      <rc t="2" v="8481"/>
    </bk>
    <bk>
      <rc t="2" v="8482"/>
    </bk>
    <bk>
      <rc t="2" v="8483"/>
    </bk>
    <bk>
      <rc t="2" v="8484"/>
    </bk>
    <bk>
      <rc t="2" v="8485"/>
    </bk>
    <bk>
      <rc t="2" v="8486"/>
    </bk>
    <bk>
      <rc t="2" v="8487"/>
    </bk>
    <bk>
      <rc t="2" v="8488"/>
    </bk>
    <bk>
      <rc t="2" v="8489"/>
    </bk>
    <bk>
      <rc t="2" v="8490"/>
    </bk>
    <bk>
      <rc t="2" v="8491"/>
    </bk>
    <bk>
      <rc t="2" v="8492"/>
    </bk>
    <bk>
      <rc t="2" v="8493"/>
    </bk>
    <bk>
      <rc t="2" v="8494"/>
    </bk>
    <bk>
      <rc t="2" v="8495"/>
    </bk>
    <bk>
      <rc t="2" v="8496"/>
    </bk>
    <bk>
      <rc t="2" v="8497"/>
    </bk>
    <bk>
      <rc t="2" v="8498"/>
    </bk>
    <bk>
      <rc t="2" v="8499"/>
    </bk>
    <bk>
      <rc t="2" v="8500"/>
    </bk>
    <bk>
      <rc t="2" v="8501"/>
    </bk>
    <bk>
      <rc t="2" v="8502"/>
    </bk>
    <bk>
      <rc t="2" v="8503"/>
    </bk>
    <bk>
      <rc t="2" v="8504"/>
    </bk>
    <bk>
      <rc t="2" v="8505"/>
    </bk>
    <bk>
      <rc t="2" v="8506"/>
    </bk>
    <bk>
      <rc t="2" v="8507"/>
    </bk>
    <bk>
      <rc t="2" v="8508"/>
    </bk>
    <bk>
      <rc t="2" v="8509"/>
    </bk>
    <bk>
      <rc t="2" v="8510"/>
    </bk>
    <bk>
      <rc t="2" v="8511"/>
    </bk>
    <bk>
      <rc t="2" v="8512"/>
    </bk>
    <bk>
      <rc t="2" v="8513"/>
    </bk>
    <bk>
      <rc t="2" v="8514"/>
    </bk>
    <bk>
      <rc t="2" v="8515"/>
    </bk>
    <bk>
      <rc t="2" v="8516"/>
    </bk>
    <bk>
      <rc t="2" v="8517"/>
    </bk>
    <bk>
      <rc t="2" v="8518"/>
    </bk>
    <bk>
      <rc t="2" v="8519"/>
    </bk>
    <bk>
      <rc t="2" v="8520"/>
    </bk>
    <bk>
      <rc t="2" v="8521"/>
    </bk>
    <bk>
      <rc t="2" v="8522"/>
    </bk>
    <bk>
      <rc t="2" v="8523"/>
    </bk>
    <bk>
      <rc t="2" v="8524"/>
    </bk>
    <bk>
      <rc t="2" v="8525"/>
    </bk>
    <bk>
      <rc t="2" v="8526"/>
    </bk>
    <bk>
      <rc t="2" v="8527"/>
    </bk>
    <bk>
      <rc t="2" v="8528"/>
    </bk>
    <bk>
      <rc t="2" v="8529"/>
    </bk>
    <bk>
      <rc t="2" v="8530"/>
    </bk>
    <bk>
      <rc t="2" v="8531"/>
    </bk>
    <bk>
      <rc t="2" v="8532"/>
    </bk>
    <bk>
      <rc t="2" v="8533"/>
    </bk>
    <bk>
      <rc t="2" v="8534"/>
    </bk>
    <bk>
      <rc t="2" v="8535"/>
    </bk>
    <bk>
      <rc t="2" v="8536"/>
    </bk>
    <bk>
      <rc t="2" v="8537"/>
    </bk>
    <bk>
      <rc t="2" v="8538"/>
    </bk>
    <bk>
      <rc t="2" v="8539"/>
    </bk>
    <bk>
      <rc t="2" v="8540"/>
    </bk>
    <bk>
      <rc t="2" v="8541"/>
    </bk>
    <bk>
      <rc t="2" v="8542"/>
    </bk>
    <bk>
      <rc t="2" v="8543"/>
    </bk>
    <bk>
      <rc t="2" v="8544"/>
    </bk>
    <bk>
      <rc t="2" v="8545"/>
    </bk>
    <bk>
      <rc t="2" v="8546"/>
    </bk>
    <bk>
      <rc t="2" v="8547"/>
    </bk>
    <bk>
      <rc t="2" v="8548"/>
    </bk>
    <bk>
      <rc t="2" v="8549"/>
    </bk>
    <bk>
      <rc t="2" v="8550"/>
    </bk>
    <bk>
      <rc t="2" v="8551"/>
    </bk>
    <bk>
      <rc t="2" v="8552"/>
    </bk>
    <bk>
      <rc t="2" v="8553"/>
    </bk>
    <bk>
      <rc t="2" v="8554"/>
    </bk>
    <bk>
      <rc t="2" v="8555"/>
    </bk>
    <bk>
      <rc t="2" v="8556"/>
    </bk>
    <bk>
      <rc t="2" v="8557"/>
    </bk>
    <bk>
      <rc t="2" v="8558"/>
    </bk>
    <bk>
      <rc t="2" v="8559"/>
    </bk>
    <bk>
      <rc t="2" v="8560"/>
    </bk>
    <bk>
      <rc t="2" v="8561"/>
    </bk>
    <bk>
      <rc t="2" v="8562"/>
    </bk>
    <bk>
      <rc t="2" v="8563"/>
    </bk>
    <bk>
      <rc t="2" v="8564"/>
    </bk>
    <bk>
      <rc t="2" v="8565"/>
    </bk>
    <bk>
      <rc t="2" v="8566"/>
    </bk>
    <bk>
      <rc t="2" v="8567"/>
    </bk>
    <bk>
      <rc t="2" v="8568"/>
    </bk>
    <bk>
      <rc t="2" v="8569"/>
    </bk>
    <bk>
      <rc t="2" v="8570"/>
    </bk>
    <bk>
      <rc t="2" v="8571"/>
    </bk>
    <bk>
      <rc t="2" v="8572"/>
    </bk>
    <bk>
      <rc t="2" v="8573"/>
    </bk>
    <bk>
      <rc t="2" v="8574"/>
    </bk>
    <bk>
      <rc t="2" v="8575"/>
    </bk>
    <bk>
      <rc t="2" v="8576"/>
    </bk>
    <bk>
      <rc t="2" v="8577"/>
    </bk>
    <bk>
      <rc t="2" v="8578"/>
    </bk>
    <bk>
      <rc t="2" v="8579"/>
    </bk>
    <bk>
      <rc t="2" v="8580"/>
    </bk>
    <bk>
      <rc t="2" v="8581"/>
    </bk>
    <bk>
      <rc t="2" v="8582"/>
    </bk>
    <bk>
      <rc t="2" v="8583"/>
    </bk>
    <bk>
      <rc t="2" v="8584"/>
    </bk>
    <bk>
      <rc t="2" v="8585"/>
    </bk>
    <bk>
      <rc t="2" v="8586"/>
    </bk>
    <bk>
      <rc t="2" v="8587"/>
    </bk>
    <bk>
      <rc t="2" v="8588"/>
    </bk>
    <bk>
      <rc t="2" v="8589"/>
    </bk>
    <bk>
      <rc t="2" v="8590"/>
    </bk>
    <bk>
      <rc t="2" v="8591"/>
    </bk>
    <bk>
      <rc t="2" v="8592"/>
    </bk>
    <bk>
      <rc t="2" v="8593"/>
    </bk>
    <bk>
      <rc t="2" v="8594"/>
    </bk>
    <bk>
      <rc t="2" v="8595"/>
    </bk>
    <bk>
      <rc t="2" v="8596"/>
    </bk>
    <bk>
      <rc t="2" v="8597"/>
    </bk>
    <bk>
      <rc t="2" v="8598"/>
    </bk>
    <bk>
      <rc t="2" v="8599"/>
    </bk>
    <bk>
      <rc t="2" v="8600"/>
    </bk>
    <bk>
      <rc t="2" v="8601"/>
    </bk>
    <bk>
      <rc t="2" v="8602"/>
    </bk>
    <bk>
      <rc t="2" v="8603"/>
    </bk>
    <bk>
      <rc t="2" v="8604"/>
    </bk>
    <bk>
      <rc t="2" v="8605"/>
    </bk>
    <bk>
      <rc t="2" v="8606"/>
    </bk>
    <bk>
      <rc t="2" v="8607"/>
    </bk>
    <bk>
      <rc t="2" v="8608"/>
    </bk>
    <bk>
      <rc t="2" v="8609"/>
    </bk>
    <bk>
      <rc t="2" v="8610"/>
    </bk>
    <bk>
      <rc t="2" v="8611"/>
    </bk>
    <bk>
      <rc t="2" v="8612"/>
    </bk>
    <bk>
      <rc t="2" v="8613"/>
    </bk>
    <bk>
      <rc t="2" v="8614"/>
    </bk>
    <bk>
      <rc t="2" v="8615"/>
    </bk>
    <bk>
      <rc t="2" v="8616"/>
    </bk>
    <bk>
      <rc t="2" v="8617"/>
    </bk>
    <bk>
      <rc t="2" v="8618"/>
    </bk>
    <bk>
      <rc t="2" v="8619"/>
    </bk>
    <bk>
      <rc t="2" v="8620"/>
    </bk>
    <bk>
      <rc t="2" v="8621"/>
    </bk>
    <bk>
      <rc t="2" v="8622"/>
    </bk>
    <bk>
      <rc t="2" v="8623"/>
    </bk>
    <bk>
      <rc t="2" v="8624"/>
    </bk>
    <bk>
      <rc t="2" v="8625"/>
    </bk>
    <bk>
      <rc t="2" v="8626"/>
    </bk>
    <bk>
      <rc t="2" v="8627"/>
    </bk>
    <bk>
      <rc t="2" v="8628"/>
    </bk>
    <bk>
      <rc t="2" v="8629"/>
    </bk>
    <bk>
      <rc t="2" v="8630"/>
    </bk>
    <bk>
      <rc t="2" v="8631"/>
    </bk>
    <bk>
      <rc t="2" v="8632"/>
    </bk>
    <bk>
      <rc t="2" v="8633"/>
    </bk>
    <bk>
      <rc t="2" v="8634"/>
    </bk>
    <bk>
      <rc t="2" v="8635"/>
    </bk>
    <bk>
      <rc t="2" v="8636"/>
    </bk>
    <bk>
      <rc t="2" v="8637"/>
    </bk>
    <bk>
      <rc t="2" v="8638"/>
    </bk>
    <bk>
      <rc t="2" v="8639"/>
    </bk>
    <bk>
      <rc t="2" v="8640"/>
    </bk>
    <bk>
      <rc t="2" v="8641"/>
    </bk>
    <bk>
      <rc t="2" v="8642"/>
    </bk>
    <bk>
      <rc t="2" v="8643"/>
    </bk>
    <bk>
      <rc t="2" v="8644"/>
    </bk>
    <bk>
      <rc t="2" v="8645"/>
    </bk>
    <bk>
      <rc t="2" v="8646"/>
    </bk>
    <bk>
      <rc t="2" v="8647"/>
    </bk>
    <bk>
      <rc t="2" v="8648"/>
    </bk>
    <bk>
      <rc t="2" v="8649"/>
    </bk>
    <bk>
      <rc t="2" v="8650"/>
    </bk>
    <bk>
      <rc t="2" v="8651"/>
    </bk>
    <bk>
      <rc t="2" v="8652"/>
    </bk>
    <bk>
      <rc t="2" v="8653"/>
    </bk>
    <bk>
      <rc t="2" v="8654"/>
    </bk>
    <bk>
      <rc t="2" v="8655"/>
    </bk>
    <bk>
      <rc t="2" v="8656"/>
    </bk>
    <bk>
      <rc t="2" v="8657"/>
    </bk>
    <bk>
      <rc t="2" v="8658"/>
    </bk>
    <bk>
      <rc t="2" v="8659"/>
    </bk>
    <bk>
      <rc t="2" v="8660"/>
    </bk>
    <bk>
      <rc t="2" v="8661"/>
    </bk>
    <bk>
      <rc t="2" v="8662"/>
    </bk>
    <bk>
      <rc t="2" v="8663"/>
    </bk>
    <bk>
      <rc t="2" v="8664"/>
    </bk>
    <bk>
      <rc t="2" v="8665"/>
    </bk>
    <bk>
      <rc t="2" v="8666"/>
    </bk>
    <bk>
      <rc t="2" v="8667"/>
    </bk>
    <bk>
      <rc t="2" v="8668"/>
    </bk>
    <bk>
      <rc t="2" v="8669"/>
    </bk>
    <bk>
      <rc t="2" v="8670"/>
    </bk>
    <bk>
      <rc t="2" v="8671"/>
    </bk>
    <bk>
      <rc t="2" v="8672"/>
    </bk>
    <bk>
      <rc t="2" v="8673"/>
    </bk>
    <bk>
      <rc t="2" v="8674"/>
    </bk>
    <bk>
      <rc t="2" v="8675"/>
    </bk>
    <bk>
      <rc t="2" v="8676"/>
    </bk>
    <bk>
      <rc t="2" v="8677"/>
    </bk>
    <bk>
      <rc t="2" v="8678"/>
    </bk>
    <bk>
      <rc t="2" v="8679"/>
    </bk>
    <bk>
      <rc t="2" v="8680"/>
    </bk>
    <bk>
      <rc t="2" v="8681"/>
    </bk>
    <bk>
      <rc t="2" v="8682"/>
    </bk>
    <bk>
      <rc t="2" v="8683"/>
    </bk>
    <bk>
      <rc t="2" v="8684"/>
    </bk>
    <bk>
      <rc t="2" v="8685"/>
    </bk>
    <bk>
      <rc t="2" v="8686"/>
    </bk>
    <bk>
      <rc t="2" v="8687"/>
    </bk>
    <bk>
      <rc t="2" v="8688"/>
    </bk>
    <bk>
      <rc t="2" v="8689"/>
    </bk>
    <bk>
      <rc t="2" v="8690"/>
    </bk>
    <bk>
      <rc t="2" v="8691"/>
    </bk>
    <bk>
      <rc t="2" v="8692"/>
    </bk>
    <bk>
      <rc t="2" v="8693"/>
    </bk>
    <bk>
      <rc t="2" v="8694"/>
    </bk>
    <bk>
      <rc t="2" v="8695"/>
    </bk>
    <bk>
      <rc t="2" v="8696"/>
    </bk>
    <bk>
      <rc t="2" v="8697"/>
    </bk>
    <bk>
      <rc t="2" v="8698"/>
    </bk>
    <bk>
      <rc t="2" v="8699"/>
    </bk>
    <bk>
      <rc t="2" v="8700"/>
    </bk>
    <bk>
      <rc t="2" v="8701"/>
    </bk>
    <bk>
      <rc t="2" v="8702"/>
    </bk>
    <bk>
      <rc t="2" v="8703"/>
    </bk>
    <bk>
      <rc t="2" v="8704"/>
    </bk>
    <bk>
      <rc t="2" v="8705"/>
    </bk>
    <bk>
      <rc t="2" v="8706"/>
    </bk>
    <bk>
      <rc t="2" v="8707"/>
    </bk>
    <bk>
      <rc t="2" v="8708"/>
    </bk>
    <bk>
      <rc t="2" v="8709"/>
    </bk>
    <bk>
      <rc t="2" v="8710"/>
    </bk>
    <bk>
      <rc t="2" v="8711"/>
    </bk>
    <bk>
      <rc t="2" v="8712"/>
    </bk>
    <bk>
      <rc t="2" v="8713"/>
    </bk>
    <bk>
      <rc t="2" v="8714"/>
    </bk>
    <bk>
      <rc t="2" v="8715"/>
    </bk>
    <bk>
      <rc t="2" v="8716"/>
    </bk>
    <bk>
      <rc t="2" v="8717"/>
    </bk>
    <bk>
      <rc t="2" v="8718"/>
    </bk>
    <bk>
      <rc t="2" v="8719"/>
    </bk>
    <bk>
      <rc t="2" v="8720"/>
    </bk>
    <bk>
      <rc t="2" v="8721"/>
    </bk>
    <bk>
      <rc t="2" v="8722"/>
    </bk>
    <bk>
      <rc t="2" v="8723"/>
    </bk>
    <bk>
      <rc t="2" v="8724"/>
    </bk>
    <bk>
      <rc t="2" v="8725"/>
    </bk>
    <bk>
      <rc t="2" v="8726"/>
    </bk>
    <bk>
      <rc t="2" v="8727"/>
    </bk>
    <bk>
      <rc t="2" v="8728"/>
    </bk>
    <bk>
      <rc t="2" v="8729"/>
    </bk>
    <bk>
      <rc t="2" v="8730"/>
    </bk>
    <bk>
      <rc t="2" v="8731"/>
    </bk>
    <bk>
      <rc t="2" v="8732"/>
    </bk>
    <bk>
      <rc t="2" v="8733"/>
    </bk>
    <bk>
      <rc t="2" v="8734"/>
    </bk>
    <bk>
      <rc t="2" v="8735"/>
    </bk>
    <bk>
      <rc t="2" v="8736"/>
    </bk>
    <bk>
      <rc t="2" v="8737"/>
    </bk>
    <bk>
      <rc t="2" v="8738"/>
    </bk>
    <bk>
      <rc t="2" v="8739"/>
    </bk>
    <bk>
      <rc t="2" v="8740"/>
    </bk>
    <bk>
      <rc t="2" v="8741"/>
    </bk>
    <bk>
      <rc t="2" v="8742"/>
    </bk>
    <bk>
      <rc t="2" v="8743"/>
    </bk>
    <bk>
      <rc t="2" v="8744"/>
    </bk>
    <bk>
      <rc t="2" v="8745"/>
    </bk>
    <bk>
      <rc t="2" v="8746"/>
    </bk>
    <bk>
      <rc t="2" v="8747"/>
    </bk>
    <bk>
      <rc t="2" v="8748"/>
    </bk>
    <bk>
      <rc t="2" v="8749"/>
    </bk>
    <bk>
      <rc t="2" v="8750"/>
    </bk>
    <bk>
      <rc t="2" v="8751"/>
    </bk>
    <bk>
      <rc t="2" v="8752"/>
    </bk>
    <bk>
      <rc t="2" v="8753"/>
    </bk>
    <bk>
      <rc t="2" v="8754"/>
    </bk>
    <bk>
      <rc t="2" v="8755"/>
    </bk>
    <bk>
      <rc t="2" v="8756"/>
    </bk>
    <bk>
      <rc t="2" v="8757"/>
    </bk>
    <bk>
      <rc t="2" v="8758"/>
    </bk>
    <bk>
      <rc t="2" v="8759"/>
    </bk>
    <bk>
      <rc t="2" v="8760"/>
    </bk>
    <bk>
      <rc t="2" v="8761"/>
    </bk>
    <bk>
      <rc t="2" v="8762"/>
    </bk>
    <bk>
      <rc t="2" v="8763"/>
    </bk>
    <bk>
      <rc t="2" v="8764"/>
    </bk>
    <bk>
      <rc t="2" v="8765"/>
    </bk>
    <bk>
      <rc t="2" v="8766"/>
    </bk>
    <bk>
      <rc t="2" v="8767"/>
    </bk>
    <bk>
      <rc t="2" v="8768"/>
    </bk>
    <bk>
      <rc t="2" v="8769"/>
    </bk>
    <bk>
      <rc t="2" v="8770"/>
    </bk>
    <bk>
      <rc t="2" v="8771"/>
    </bk>
    <bk>
      <rc t="2" v="8772"/>
    </bk>
    <bk>
      <rc t="2" v="8773"/>
    </bk>
    <bk>
      <rc t="2" v="8774"/>
    </bk>
    <bk>
      <rc t="2" v="8775"/>
    </bk>
    <bk>
      <rc t="2" v="8776"/>
    </bk>
    <bk>
      <rc t="2" v="8777"/>
    </bk>
    <bk>
      <rc t="2" v="8778"/>
    </bk>
    <bk>
      <rc t="2" v="8779"/>
    </bk>
    <bk>
      <rc t="2" v="8780"/>
    </bk>
    <bk>
      <rc t="2" v="8781"/>
    </bk>
    <bk>
      <rc t="2" v="8782"/>
    </bk>
    <bk>
      <rc t="2" v="8783"/>
    </bk>
    <bk>
      <rc t="2" v="8784"/>
    </bk>
    <bk>
      <rc t="2" v="8785"/>
    </bk>
    <bk>
      <rc t="2" v="8786"/>
    </bk>
    <bk>
      <rc t="2" v="8787"/>
    </bk>
    <bk>
      <rc t="2" v="8788"/>
    </bk>
    <bk>
      <rc t="2" v="8789"/>
    </bk>
    <bk>
      <rc t="2" v="8790"/>
    </bk>
    <bk>
      <rc t="2" v="8791"/>
    </bk>
    <bk>
      <rc t="2" v="8792"/>
    </bk>
    <bk>
      <rc t="2" v="8793"/>
    </bk>
    <bk>
      <rc t="2" v="8794"/>
    </bk>
    <bk>
      <rc t="2" v="8795"/>
    </bk>
    <bk>
      <rc t="2" v="8796"/>
    </bk>
    <bk>
      <rc t="2" v="8797"/>
    </bk>
    <bk>
      <rc t="2" v="8798"/>
    </bk>
    <bk>
      <rc t="2" v="8799"/>
    </bk>
    <bk>
      <rc t="2" v="8800"/>
    </bk>
    <bk>
      <rc t="2" v="8801"/>
    </bk>
    <bk>
      <rc t="2" v="8802"/>
    </bk>
    <bk>
      <rc t="2" v="8803"/>
    </bk>
    <bk>
      <rc t="2" v="8804"/>
    </bk>
    <bk>
      <rc t="2" v="8805"/>
    </bk>
    <bk>
      <rc t="2" v="8806"/>
    </bk>
    <bk>
      <rc t="2" v="8807"/>
    </bk>
    <bk>
      <rc t="2" v="8808"/>
    </bk>
    <bk>
      <rc t="2" v="8809"/>
    </bk>
    <bk>
      <rc t="2" v="8810"/>
    </bk>
    <bk>
      <rc t="2" v="8811"/>
    </bk>
    <bk>
      <rc t="2" v="8812"/>
    </bk>
    <bk>
      <rc t="2" v="8813"/>
    </bk>
    <bk>
      <rc t="2" v="8814"/>
    </bk>
    <bk>
      <rc t="2" v="8815"/>
    </bk>
    <bk>
      <rc t="2" v="8816"/>
    </bk>
    <bk>
      <rc t="2" v="8817"/>
    </bk>
    <bk>
      <rc t="2" v="8818"/>
    </bk>
    <bk>
      <rc t="2" v="8819"/>
    </bk>
    <bk>
      <rc t="2" v="8820"/>
    </bk>
    <bk>
      <rc t="2" v="8821"/>
    </bk>
    <bk>
      <rc t="2" v="8822"/>
    </bk>
    <bk>
      <rc t="2" v="8823"/>
    </bk>
    <bk>
      <rc t="2" v="8824"/>
    </bk>
    <bk>
      <rc t="2" v="8825"/>
    </bk>
    <bk>
      <rc t="2" v="8826"/>
    </bk>
    <bk>
      <rc t="2" v="8827"/>
    </bk>
    <bk>
      <rc t="2" v="8828"/>
    </bk>
    <bk>
      <rc t="2" v="8829"/>
    </bk>
    <bk>
      <rc t="2" v="8830"/>
    </bk>
    <bk>
      <rc t="2" v="8831"/>
    </bk>
    <bk>
      <rc t="2" v="8832"/>
    </bk>
    <bk>
      <rc t="2" v="8833"/>
    </bk>
    <bk>
      <rc t="2" v="8834"/>
    </bk>
    <bk>
      <rc t="2" v="8835"/>
    </bk>
    <bk>
      <rc t="2" v="8836"/>
    </bk>
    <bk>
      <rc t="2" v="8837"/>
    </bk>
    <bk>
      <rc t="2" v="8838"/>
    </bk>
    <bk>
      <rc t="2" v="8839"/>
    </bk>
    <bk>
      <rc t="2" v="8840"/>
    </bk>
    <bk>
      <rc t="2" v="8841"/>
    </bk>
    <bk>
      <rc t="2" v="8842"/>
    </bk>
    <bk>
      <rc t="2" v="8843"/>
    </bk>
    <bk>
      <rc t="2" v="8844"/>
    </bk>
    <bk>
      <rc t="2" v="8845"/>
    </bk>
    <bk>
      <rc t="2" v="8846"/>
    </bk>
    <bk>
      <rc t="2" v="8847"/>
    </bk>
    <bk>
      <rc t="2" v="8848"/>
    </bk>
    <bk>
      <rc t="2" v="8849"/>
    </bk>
    <bk>
      <rc t="2" v="8850"/>
    </bk>
    <bk>
      <rc t="2" v="8851"/>
    </bk>
    <bk>
      <rc t="2" v="8852"/>
    </bk>
    <bk>
      <rc t="2" v="8853"/>
    </bk>
    <bk>
      <rc t="2" v="8854"/>
    </bk>
    <bk>
      <rc t="2" v="8855"/>
    </bk>
    <bk>
      <rc t="2" v="8856"/>
    </bk>
    <bk>
      <rc t="2" v="8857"/>
    </bk>
    <bk>
      <rc t="2" v="8858"/>
    </bk>
    <bk>
      <rc t="2" v="8859"/>
    </bk>
    <bk>
      <rc t="2" v="8860"/>
    </bk>
    <bk>
      <rc t="2" v="8861"/>
    </bk>
    <bk>
      <rc t="2" v="8862"/>
    </bk>
    <bk>
      <rc t="2" v="8863"/>
    </bk>
    <bk>
      <rc t="2" v="8864"/>
    </bk>
    <bk>
      <rc t="2" v="8865"/>
    </bk>
    <bk>
      <rc t="2" v="8866"/>
    </bk>
    <bk>
      <rc t="2" v="8867"/>
    </bk>
    <bk>
      <rc t="2" v="8868"/>
    </bk>
    <bk>
      <rc t="2" v="8869"/>
    </bk>
    <bk>
      <rc t="2" v="8870"/>
    </bk>
    <bk>
      <rc t="2" v="8871"/>
    </bk>
    <bk>
      <rc t="2" v="8872"/>
    </bk>
    <bk>
      <rc t="2" v="8873"/>
    </bk>
    <bk>
      <rc t="2" v="8874"/>
    </bk>
    <bk>
      <rc t="2" v="8875"/>
    </bk>
    <bk>
      <rc t="2" v="8876"/>
    </bk>
    <bk>
      <rc t="2" v="8877"/>
    </bk>
    <bk>
      <rc t="2" v="8878"/>
    </bk>
    <bk>
      <rc t="2" v="8879"/>
    </bk>
    <bk>
      <rc t="2" v="8880"/>
    </bk>
    <bk>
      <rc t="2" v="8881"/>
    </bk>
    <bk>
      <rc t="2" v="8882"/>
    </bk>
    <bk>
      <rc t="2" v="8883"/>
    </bk>
    <bk>
      <rc t="2" v="8884"/>
    </bk>
    <bk>
      <rc t="2" v="8885"/>
    </bk>
    <bk>
      <rc t="2" v="8886"/>
    </bk>
    <bk>
      <rc t="2" v="8887"/>
    </bk>
    <bk>
      <rc t="2" v="8888"/>
    </bk>
    <bk>
      <rc t="2" v="8889"/>
    </bk>
    <bk>
      <rc t="2" v="8890"/>
    </bk>
    <bk>
      <rc t="2" v="8891"/>
    </bk>
    <bk>
      <rc t="2" v="8892"/>
    </bk>
    <bk>
      <rc t="2" v="8893"/>
    </bk>
    <bk>
      <rc t="2" v="8894"/>
    </bk>
    <bk>
      <rc t="2" v="8895"/>
    </bk>
    <bk>
      <rc t="2" v="8896"/>
    </bk>
    <bk>
      <rc t="2" v="8897"/>
    </bk>
    <bk>
      <rc t="2" v="8898"/>
    </bk>
    <bk>
      <rc t="2" v="8899"/>
    </bk>
    <bk>
      <rc t="2" v="8900"/>
    </bk>
    <bk>
      <rc t="2" v="8901"/>
    </bk>
    <bk>
      <rc t="2" v="8902"/>
    </bk>
    <bk>
      <rc t="2" v="8903"/>
    </bk>
    <bk>
      <rc t="2" v="8904"/>
    </bk>
    <bk>
      <rc t="2" v="8905"/>
    </bk>
    <bk>
      <rc t="2" v="8906"/>
    </bk>
    <bk>
      <rc t="2" v="8907"/>
    </bk>
    <bk>
      <rc t="2" v="8908"/>
    </bk>
    <bk>
      <rc t="2" v="8909"/>
    </bk>
    <bk>
      <rc t="2" v="8910"/>
    </bk>
    <bk>
      <rc t="2" v="8911"/>
    </bk>
    <bk>
      <rc t="2" v="8912"/>
    </bk>
    <bk>
      <rc t="2" v="8913"/>
    </bk>
    <bk>
      <rc t="2" v="8914"/>
    </bk>
    <bk>
      <rc t="2" v="8915"/>
    </bk>
    <bk>
      <rc t="2" v="8916"/>
    </bk>
    <bk>
      <rc t="2" v="8917"/>
    </bk>
    <bk>
      <rc t="2" v="8918"/>
    </bk>
    <bk>
      <rc t="2" v="8919"/>
    </bk>
    <bk>
      <rc t="2" v="8920"/>
    </bk>
    <bk>
      <rc t="2" v="8921"/>
    </bk>
    <bk>
      <rc t="2" v="8922"/>
    </bk>
    <bk>
      <rc t="2" v="8923"/>
    </bk>
    <bk>
      <rc t="2" v="8924"/>
    </bk>
    <bk>
      <rc t="2" v="8925"/>
    </bk>
    <bk>
      <rc t="2" v="8926"/>
    </bk>
    <bk>
      <rc t="2" v="8927"/>
    </bk>
    <bk>
      <rc t="2" v="8928"/>
    </bk>
    <bk>
      <rc t="2" v="8929"/>
    </bk>
    <bk>
      <rc t="2" v="8930"/>
    </bk>
    <bk>
      <rc t="2" v="8931"/>
    </bk>
    <bk>
      <rc t="2" v="8932"/>
    </bk>
    <bk>
      <rc t="2" v="8933"/>
    </bk>
    <bk>
      <rc t="2" v="8934"/>
    </bk>
    <bk>
      <rc t="2" v="8935"/>
    </bk>
    <bk>
      <rc t="2" v="8936"/>
    </bk>
    <bk>
      <rc t="2" v="8937"/>
    </bk>
    <bk>
      <rc t="2" v="8938"/>
    </bk>
    <bk>
      <rc t="2" v="8939"/>
    </bk>
    <bk>
      <rc t="2" v="8940"/>
    </bk>
    <bk>
      <rc t="2" v="8941"/>
    </bk>
    <bk>
      <rc t="2" v="8942"/>
    </bk>
    <bk>
      <rc t="2" v="8943"/>
    </bk>
    <bk>
      <rc t="2" v="8944"/>
    </bk>
    <bk>
      <rc t="2" v="8945"/>
    </bk>
    <bk>
      <rc t="2" v="8946"/>
    </bk>
    <bk>
      <rc t="2" v="8947"/>
    </bk>
    <bk>
      <rc t="2" v="8948"/>
    </bk>
    <bk>
      <rc t="2" v="8949"/>
    </bk>
    <bk>
      <rc t="2" v="8950"/>
    </bk>
    <bk>
      <rc t="2" v="8951"/>
    </bk>
    <bk>
      <rc t="2" v="8952"/>
    </bk>
    <bk>
      <rc t="2" v="8953"/>
    </bk>
    <bk>
      <rc t="2" v="8954"/>
    </bk>
    <bk>
      <rc t="2" v="8955"/>
    </bk>
    <bk>
      <rc t="2" v="8956"/>
    </bk>
    <bk>
      <rc t="2" v="8957"/>
    </bk>
    <bk>
      <rc t="2" v="8958"/>
    </bk>
    <bk>
      <rc t="2" v="8959"/>
    </bk>
    <bk>
      <rc t="2" v="8960"/>
    </bk>
    <bk>
      <rc t="2" v="8961"/>
    </bk>
    <bk>
      <rc t="2" v="8962"/>
    </bk>
    <bk>
      <rc t="2" v="8963"/>
    </bk>
    <bk>
      <rc t="2" v="8964"/>
    </bk>
    <bk>
      <rc t="2" v="8965"/>
    </bk>
    <bk>
      <rc t="2" v="8966"/>
    </bk>
    <bk>
      <rc t="2" v="8967"/>
    </bk>
    <bk>
      <rc t="2" v="8968"/>
    </bk>
    <bk>
      <rc t="2" v="8969"/>
    </bk>
    <bk>
      <rc t="2" v="8970"/>
    </bk>
    <bk>
      <rc t="2" v="8971"/>
    </bk>
    <bk>
      <rc t="2" v="8972"/>
    </bk>
    <bk>
      <rc t="2" v="8973"/>
    </bk>
    <bk>
      <rc t="2" v="8974"/>
    </bk>
    <bk>
      <rc t="2" v="8975"/>
    </bk>
    <bk>
      <rc t="2" v="8976"/>
    </bk>
    <bk>
      <rc t="2" v="8977"/>
    </bk>
    <bk>
      <rc t="2" v="8978"/>
    </bk>
    <bk>
      <rc t="2" v="8979"/>
    </bk>
    <bk>
      <rc t="2" v="8980"/>
    </bk>
    <bk>
      <rc t="2" v="8981"/>
    </bk>
    <bk>
      <rc t="2" v="8982"/>
    </bk>
    <bk>
      <rc t="2" v="8983"/>
    </bk>
    <bk>
      <rc t="2" v="8984"/>
    </bk>
    <bk>
      <rc t="2" v="8985"/>
    </bk>
    <bk>
      <rc t="2" v="8986"/>
    </bk>
    <bk>
      <rc t="2" v="8987"/>
    </bk>
    <bk>
      <rc t="2" v="8988"/>
    </bk>
    <bk>
      <rc t="2" v="8989"/>
    </bk>
    <bk>
      <rc t="2" v="8990"/>
    </bk>
    <bk>
      <rc t="2" v="8991"/>
    </bk>
    <bk>
      <rc t="2" v="8992"/>
    </bk>
    <bk>
      <rc t="2" v="8993"/>
    </bk>
    <bk>
      <rc t="2" v="8994"/>
    </bk>
    <bk>
      <rc t="2" v="8995"/>
    </bk>
    <bk>
      <rc t="2" v="8996"/>
    </bk>
    <bk>
      <rc t="2" v="8997"/>
    </bk>
    <bk>
      <rc t="2" v="8998"/>
    </bk>
    <bk>
      <rc t="2" v="8999"/>
    </bk>
    <bk>
      <rc t="2" v="9000"/>
    </bk>
    <bk>
      <rc t="2" v="9001"/>
    </bk>
    <bk>
      <rc t="2" v="9002"/>
    </bk>
    <bk>
      <rc t="2" v="9003"/>
    </bk>
    <bk>
      <rc t="2" v="9004"/>
    </bk>
    <bk>
      <rc t="2" v="9005"/>
    </bk>
    <bk>
      <rc t="2" v="9006"/>
    </bk>
    <bk>
      <rc t="2" v="9007"/>
    </bk>
    <bk>
      <rc t="2" v="9008"/>
    </bk>
    <bk>
      <rc t="2" v="9009"/>
    </bk>
    <bk>
      <rc t="2" v="9010"/>
    </bk>
    <bk>
      <rc t="2" v="9011"/>
    </bk>
    <bk>
      <rc t="2" v="9012"/>
    </bk>
    <bk>
      <rc t="2" v="9013"/>
    </bk>
    <bk>
      <rc t="2" v="9014"/>
    </bk>
    <bk>
      <rc t="2" v="9015"/>
    </bk>
    <bk>
      <rc t="2" v="9016"/>
    </bk>
    <bk>
      <rc t="2" v="9017"/>
    </bk>
    <bk>
      <rc t="2" v="9018"/>
    </bk>
    <bk>
      <rc t="2" v="9019"/>
    </bk>
    <bk>
      <rc t="2" v="9020"/>
    </bk>
    <bk>
      <rc t="2" v="9021"/>
    </bk>
    <bk>
      <rc t="2" v="9022"/>
    </bk>
    <bk>
      <rc t="2" v="9023"/>
    </bk>
    <bk>
      <rc t="2" v="9024"/>
    </bk>
    <bk>
      <rc t="2" v="9025"/>
    </bk>
    <bk>
      <rc t="2" v="9026"/>
    </bk>
    <bk>
      <rc t="2" v="9027"/>
    </bk>
    <bk>
      <rc t="2" v="9028"/>
    </bk>
    <bk>
      <rc t="2" v="9029"/>
    </bk>
    <bk>
      <rc t="2" v="9030"/>
    </bk>
    <bk>
      <rc t="2" v="9031"/>
    </bk>
    <bk>
      <rc t="2" v="9032"/>
    </bk>
    <bk>
      <rc t="2" v="9033"/>
    </bk>
    <bk>
      <rc t="2" v="9034"/>
    </bk>
    <bk>
      <rc t="2" v="9035"/>
    </bk>
    <bk>
      <rc t="2" v="9036"/>
    </bk>
    <bk>
      <rc t="2" v="9037"/>
    </bk>
    <bk>
      <rc t="2" v="9038"/>
    </bk>
    <bk>
      <rc t="2" v="9039"/>
    </bk>
    <bk>
      <rc t="2" v="9040"/>
    </bk>
    <bk>
      <rc t="2" v="9041"/>
    </bk>
    <bk>
      <rc t="2" v="9042"/>
    </bk>
    <bk>
      <rc t="2" v="9043"/>
    </bk>
    <bk>
      <rc t="2" v="9044"/>
    </bk>
    <bk>
      <rc t="2" v="9045"/>
    </bk>
    <bk>
      <rc t="2" v="9046"/>
    </bk>
    <bk>
      <rc t="2" v="9047"/>
    </bk>
    <bk>
      <rc t="2" v="9048"/>
    </bk>
    <bk>
      <rc t="2" v="9049"/>
    </bk>
    <bk>
      <rc t="2" v="9050"/>
    </bk>
    <bk>
      <rc t="2" v="9051"/>
    </bk>
    <bk>
      <rc t="2" v="9052"/>
    </bk>
    <bk>
      <rc t="2" v="9053"/>
    </bk>
    <bk>
      <rc t="2" v="9054"/>
    </bk>
    <bk>
      <rc t="2" v="9055"/>
    </bk>
    <bk>
      <rc t="2" v="9056"/>
    </bk>
    <bk>
      <rc t="2" v="9057"/>
    </bk>
    <bk>
      <rc t="2" v="9058"/>
    </bk>
    <bk>
      <rc t="2" v="9059"/>
    </bk>
    <bk>
      <rc t="2" v="9060"/>
    </bk>
    <bk>
      <rc t="2" v="9061"/>
    </bk>
    <bk>
      <rc t="2" v="9062"/>
    </bk>
    <bk>
      <rc t="2" v="9063"/>
    </bk>
    <bk>
      <rc t="2" v="9064"/>
    </bk>
    <bk>
      <rc t="2" v="9065"/>
    </bk>
    <bk>
      <rc t="2" v="9066"/>
    </bk>
    <bk>
      <rc t="2" v="9067"/>
    </bk>
    <bk>
      <rc t="2" v="9068"/>
    </bk>
    <bk>
      <rc t="2" v="9069"/>
    </bk>
    <bk>
      <rc t="2" v="9070"/>
    </bk>
    <bk>
      <rc t="2" v="9071"/>
    </bk>
    <bk>
      <rc t="2" v="9072"/>
    </bk>
    <bk>
      <rc t="2" v="9073"/>
    </bk>
    <bk>
      <rc t="2" v="9074"/>
    </bk>
    <bk>
      <rc t="2" v="9075"/>
    </bk>
    <bk>
      <rc t="2" v="9076"/>
    </bk>
    <bk>
      <rc t="2" v="9077"/>
    </bk>
    <bk>
      <rc t="2" v="9078"/>
    </bk>
    <bk>
      <rc t="2" v="9079"/>
    </bk>
    <bk>
      <rc t="2" v="9080"/>
    </bk>
    <bk>
      <rc t="2" v="9081"/>
    </bk>
    <bk>
      <rc t="2" v="9082"/>
    </bk>
    <bk>
      <rc t="2" v="9083"/>
    </bk>
    <bk>
      <rc t="2" v="9084"/>
    </bk>
    <bk>
      <rc t="2" v="9085"/>
    </bk>
    <bk>
      <rc t="2" v="9086"/>
    </bk>
    <bk>
      <rc t="2" v="9087"/>
    </bk>
    <bk>
      <rc t="2" v="9088"/>
    </bk>
    <bk>
      <rc t="2" v="9089"/>
    </bk>
    <bk>
      <rc t="2" v="9090"/>
    </bk>
    <bk>
      <rc t="2" v="9091"/>
    </bk>
    <bk>
      <rc t="2" v="9092"/>
    </bk>
    <bk>
      <rc t="2" v="9093"/>
    </bk>
    <bk>
      <rc t="2" v="9094"/>
    </bk>
    <bk>
      <rc t="2" v="9095"/>
    </bk>
    <bk>
      <rc t="2" v="9096"/>
    </bk>
    <bk>
      <rc t="2" v="9097"/>
    </bk>
    <bk>
      <rc t="2" v="9098"/>
    </bk>
    <bk>
      <rc t="2" v="9099"/>
    </bk>
    <bk>
      <rc t="2" v="9100"/>
    </bk>
    <bk>
      <rc t="2" v="9101"/>
    </bk>
    <bk>
      <rc t="2" v="9102"/>
    </bk>
    <bk>
      <rc t="2" v="9103"/>
    </bk>
    <bk>
      <rc t="2" v="9104"/>
    </bk>
    <bk>
      <rc t="2" v="9105"/>
    </bk>
    <bk>
      <rc t="2" v="9106"/>
    </bk>
    <bk>
      <rc t="2" v="9107"/>
    </bk>
    <bk>
      <rc t="2" v="9108"/>
    </bk>
    <bk>
      <rc t="2" v="9109"/>
    </bk>
    <bk>
      <rc t="2" v="9110"/>
    </bk>
    <bk>
      <rc t="2" v="9111"/>
    </bk>
    <bk>
      <rc t="2" v="9112"/>
    </bk>
    <bk>
      <rc t="2" v="9113"/>
    </bk>
    <bk>
      <rc t="2" v="9114"/>
    </bk>
    <bk>
      <rc t="2" v="9115"/>
    </bk>
    <bk>
      <rc t="2" v="9116"/>
    </bk>
    <bk>
      <rc t="2" v="9117"/>
    </bk>
    <bk>
      <rc t="2" v="9118"/>
    </bk>
    <bk>
      <rc t="2" v="9119"/>
    </bk>
    <bk>
      <rc t="2" v="9120"/>
    </bk>
    <bk>
      <rc t="2" v="9121"/>
    </bk>
    <bk>
      <rc t="2" v="9122"/>
    </bk>
    <bk>
      <rc t="2" v="9123"/>
    </bk>
    <bk>
      <rc t="2" v="9124"/>
    </bk>
    <bk>
      <rc t="2" v="9125"/>
    </bk>
    <bk>
      <rc t="2" v="9126"/>
    </bk>
    <bk>
      <rc t="2" v="9127"/>
    </bk>
    <bk>
      <rc t="2" v="9128"/>
    </bk>
    <bk>
      <rc t="2" v="9129"/>
    </bk>
    <bk>
      <rc t="2" v="9130"/>
    </bk>
    <bk>
      <rc t="2" v="9131"/>
    </bk>
    <bk>
      <rc t="2" v="9132"/>
    </bk>
    <bk>
      <rc t="2" v="9133"/>
    </bk>
    <bk>
      <rc t="2" v="9134"/>
    </bk>
    <bk>
      <rc t="2" v="9135"/>
    </bk>
    <bk>
      <rc t="2" v="9136"/>
    </bk>
    <bk>
      <rc t="2" v="9137"/>
    </bk>
    <bk>
      <rc t="2" v="9138"/>
    </bk>
    <bk>
      <rc t="2" v="9139"/>
    </bk>
    <bk>
      <rc t="2" v="9140"/>
    </bk>
    <bk>
      <rc t="2" v="9141"/>
    </bk>
    <bk>
      <rc t="2" v="9142"/>
    </bk>
    <bk>
      <rc t="2" v="9143"/>
    </bk>
    <bk>
      <rc t="2" v="9144"/>
    </bk>
    <bk>
      <rc t="2" v="9145"/>
    </bk>
    <bk>
      <rc t="2" v="9146"/>
    </bk>
    <bk>
      <rc t="2" v="9147"/>
    </bk>
    <bk>
      <rc t="2" v="9148"/>
    </bk>
    <bk>
      <rc t="2" v="9149"/>
    </bk>
    <bk>
      <rc t="2" v="9150"/>
    </bk>
    <bk>
      <rc t="2" v="9151"/>
    </bk>
    <bk>
      <rc t="2" v="9152"/>
    </bk>
    <bk>
      <rc t="2" v="9153"/>
    </bk>
    <bk>
      <rc t="2" v="9154"/>
    </bk>
    <bk>
      <rc t="2" v="9155"/>
    </bk>
    <bk>
      <rc t="2" v="9156"/>
    </bk>
    <bk>
      <rc t="2" v="9157"/>
    </bk>
    <bk>
      <rc t="2" v="9158"/>
    </bk>
    <bk>
      <rc t="2" v="9159"/>
    </bk>
    <bk>
      <rc t="2" v="9160"/>
    </bk>
    <bk>
      <rc t="2" v="9161"/>
    </bk>
    <bk>
      <rc t="2" v="9162"/>
    </bk>
    <bk>
      <rc t="2" v="9163"/>
    </bk>
    <bk>
      <rc t="2" v="9164"/>
    </bk>
    <bk>
      <rc t="2" v="9165"/>
    </bk>
    <bk>
      <rc t="2" v="9166"/>
    </bk>
    <bk>
      <rc t="2" v="9167"/>
    </bk>
    <bk>
      <rc t="2" v="9168"/>
    </bk>
    <bk>
      <rc t="2" v="9169"/>
    </bk>
    <bk>
      <rc t="2" v="9170"/>
    </bk>
    <bk>
      <rc t="2" v="9171"/>
    </bk>
    <bk>
      <rc t="2" v="9172"/>
    </bk>
    <bk>
      <rc t="2" v="9173"/>
    </bk>
    <bk>
      <rc t="2" v="9174"/>
    </bk>
    <bk>
      <rc t="2" v="9175"/>
    </bk>
    <bk>
      <rc t="2" v="9176"/>
    </bk>
    <bk>
      <rc t="2" v="9177"/>
    </bk>
    <bk>
      <rc t="2" v="9178"/>
    </bk>
    <bk>
      <rc t="2" v="9179"/>
    </bk>
    <bk>
      <rc t="2" v="9180"/>
    </bk>
    <bk>
      <rc t="2" v="9181"/>
    </bk>
    <bk>
      <rc t="2" v="9182"/>
    </bk>
    <bk>
      <rc t="2" v="9183"/>
    </bk>
    <bk>
      <rc t="2" v="9184"/>
    </bk>
    <bk>
      <rc t="2" v="9185"/>
    </bk>
    <bk>
      <rc t="2" v="9186"/>
    </bk>
    <bk>
      <rc t="2" v="9187"/>
    </bk>
    <bk>
      <rc t="2" v="9188"/>
    </bk>
    <bk>
      <rc t="2" v="9189"/>
    </bk>
    <bk>
      <rc t="2" v="9190"/>
    </bk>
    <bk>
      <rc t="2" v="9191"/>
    </bk>
    <bk>
      <rc t="2" v="9192"/>
    </bk>
    <bk>
      <rc t="2" v="9193"/>
    </bk>
    <bk>
      <rc t="2" v="9194"/>
    </bk>
    <bk>
      <rc t="2" v="9195"/>
    </bk>
    <bk>
      <rc t="2" v="9196"/>
    </bk>
    <bk>
      <rc t="2" v="9197"/>
    </bk>
    <bk>
      <rc t="2" v="9198"/>
    </bk>
    <bk>
      <rc t="2" v="9199"/>
    </bk>
    <bk>
      <rc t="2" v="9200"/>
    </bk>
    <bk>
      <rc t="2" v="9201"/>
    </bk>
    <bk>
      <rc t="2" v="9202"/>
    </bk>
    <bk>
      <rc t="2" v="9203"/>
    </bk>
    <bk>
      <rc t="2" v="9204"/>
    </bk>
    <bk>
      <rc t="2" v="9205"/>
    </bk>
    <bk>
      <rc t="2" v="9206"/>
    </bk>
    <bk>
      <rc t="2" v="9207"/>
    </bk>
    <bk>
      <rc t="2" v="9208"/>
    </bk>
    <bk>
      <rc t="2" v="9209"/>
    </bk>
    <bk>
      <rc t="2" v="9210"/>
    </bk>
    <bk>
      <rc t="2" v="9211"/>
    </bk>
    <bk>
      <rc t="2" v="9212"/>
    </bk>
    <bk>
      <rc t="2" v="9213"/>
    </bk>
    <bk>
      <rc t="2" v="9214"/>
    </bk>
    <bk>
      <rc t="2" v="9215"/>
    </bk>
    <bk>
      <rc t="2" v="9216"/>
    </bk>
    <bk>
      <rc t="2" v="9217"/>
    </bk>
    <bk>
      <rc t="2" v="9218"/>
    </bk>
    <bk>
      <rc t="2" v="9219"/>
    </bk>
    <bk>
      <rc t="2" v="9220"/>
    </bk>
    <bk>
      <rc t="2" v="9221"/>
    </bk>
    <bk>
      <rc t="2" v="9222"/>
    </bk>
    <bk>
      <rc t="2" v="9223"/>
    </bk>
    <bk>
      <rc t="2" v="9224"/>
    </bk>
    <bk>
      <rc t="2" v="9225"/>
    </bk>
    <bk>
      <rc t="2" v="9226"/>
    </bk>
    <bk>
      <rc t="2" v="9227"/>
    </bk>
    <bk>
      <rc t="2" v="9228"/>
    </bk>
    <bk>
      <rc t="2" v="9229"/>
    </bk>
    <bk>
      <rc t="2" v="9230"/>
    </bk>
    <bk>
      <rc t="2" v="9231"/>
    </bk>
    <bk>
      <rc t="2" v="9232"/>
    </bk>
    <bk>
      <rc t="2" v="9233"/>
    </bk>
    <bk>
      <rc t="2" v="9234"/>
    </bk>
    <bk>
      <rc t="2" v="9235"/>
    </bk>
    <bk>
      <rc t="2" v="9236"/>
    </bk>
    <bk>
      <rc t="2" v="9237"/>
    </bk>
    <bk>
      <rc t="2" v="9238"/>
    </bk>
    <bk>
      <rc t="2" v="9239"/>
    </bk>
    <bk>
      <rc t="2" v="9240"/>
    </bk>
    <bk>
      <rc t="2" v="9241"/>
    </bk>
    <bk>
      <rc t="2" v="9242"/>
    </bk>
    <bk>
      <rc t="2" v="9243"/>
    </bk>
    <bk>
      <rc t="2" v="9244"/>
    </bk>
    <bk>
      <rc t="2" v="9245"/>
    </bk>
    <bk>
      <rc t="2" v="9246"/>
    </bk>
    <bk>
      <rc t="2" v="9247"/>
    </bk>
    <bk>
      <rc t="2" v="9248"/>
    </bk>
    <bk>
      <rc t="2" v="9249"/>
    </bk>
    <bk>
      <rc t="2" v="9250"/>
    </bk>
    <bk>
      <rc t="2" v="9251"/>
    </bk>
    <bk>
      <rc t="2" v="9252"/>
    </bk>
    <bk>
      <rc t="2" v="9253"/>
    </bk>
    <bk>
      <rc t="2" v="9254"/>
    </bk>
    <bk>
      <rc t="2" v="9255"/>
    </bk>
    <bk>
      <rc t="2" v="9256"/>
    </bk>
    <bk>
      <rc t="2" v="9257"/>
    </bk>
    <bk>
      <rc t="2" v="9258"/>
    </bk>
    <bk>
      <rc t="2" v="9259"/>
    </bk>
    <bk>
      <rc t="2" v="9260"/>
    </bk>
    <bk>
      <rc t="2" v="9261"/>
    </bk>
    <bk>
      <rc t="2" v="9262"/>
    </bk>
    <bk>
      <rc t="2" v="9263"/>
    </bk>
    <bk>
      <rc t="2" v="9264"/>
    </bk>
    <bk>
      <rc t="2" v="9265"/>
    </bk>
    <bk>
      <rc t="2" v="9266"/>
    </bk>
    <bk>
      <rc t="2" v="9267"/>
    </bk>
    <bk>
      <rc t="2" v="9268"/>
    </bk>
    <bk>
      <rc t="2" v="9269"/>
    </bk>
    <bk>
      <rc t="2" v="9270"/>
    </bk>
    <bk>
      <rc t="2" v="9271"/>
    </bk>
    <bk>
      <rc t="2" v="9272"/>
    </bk>
    <bk>
      <rc t="2" v="9273"/>
    </bk>
    <bk>
      <rc t="2" v="9274"/>
    </bk>
    <bk>
      <rc t="2" v="9275"/>
    </bk>
    <bk>
      <rc t="2" v="9276"/>
    </bk>
    <bk>
      <rc t="2" v="9277"/>
    </bk>
    <bk>
      <rc t="2" v="9278"/>
    </bk>
    <bk>
      <rc t="2" v="9279"/>
    </bk>
    <bk>
      <rc t="2" v="9280"/>
    </bk>
    <bk>
      <rc t="2" v="9281"/>
    </bk>
    <bk>
      <rc t="2" v="9282"/>
    </bk>
    <bk>
      <rc t="2" v="9283"/>
    </bk>
    <bk>
      <rc t="2" v="9284"/>
    </bk>
    <bk>
      <rc t="2" v="9285"/>
    </bk>
    <bk>
      <rc t="2" v="9286"/>
    </bk>
    <bk>
      <rc t="2" v="9287"/>
    </bk>
    <bk>
      <rc t="2" v="9288"/>
    </bk>
    <bk>
      <rc t="2" v="9289"/>
    </bk>
    <bk>
      <rc t="2" v="9290"/>
    </bk>
    <bk>
      <rc t="2" v="9291"/>
    </bk>
    <bk>
      <rc t="2" v="9292"/>
    </bk>
    <bk>
      <rc t="2" v="9293"/>
    </bk>
    <bk>
      <rc t="2" v="9294"/>
    </bk>
    <bk>
      <rc t="2" v="9295"/>
    </bk>
    <bk>
      <rc t="2" v="9296"/>
    </bk>
    <bk>
      <rc t="2" v="9297"/>
    </bk>
    <bk>
      <rc t="2" v="9298"/>
    </bk>
    <bk>
      <rc t="2" v="9299"/>
    </bk>
    <bk>
      <rc t="2" v="9300"/>
    </bk>
    <bk>
      <rc t="2" v="9301"/>
    </bk>
    <bk>
      <rc t="2" v="9302"/>
    </bk>
    <bk>
      <rc t="2" v="9303"/>
    </bk>
    <bk>
      <rc t="2" v="9304"/>
    </bk>
    <bk>
      <rc t="2" v="9305"/>
    </bk>
    <bk>
      <rc t="2" v="9306"/>
    </bk>
    <bk>
      <rc t="2" v="9307"/>
    </bk>
    <bk>
      <rc t="2" v="9308"/>
    </bk>
    <bk>
      <rc t="2" v="9309"/>
    </bk>
    <bk>
      <rc t="2" v="9310"/>
    </bk>
    <bk>
      <rc t="2" v="9311"/>
    </bk>
    <bk>
      <rc t="2" v="9312"/>
    </bk>
    <bk>
      <rc t="2" v="9313"/>
    </bk>
    <bk>
      <rc t="2" v="9314"/>
    </bk>
    <bk>
      <rc t="2" v="9315"/>
    </bk>
    <bk>
      <rc t="2" v="9316"/>
    </bk>
    <bk>
      <rc t="2" v="9317"/>
    </bk>
    <bk>
      <rc t="2" v="9318"/>
    </bk>
    <bk>
      <rc t="2" v="9319"/>
    </bk>
    <bk>
      <rc t="2" v="9320"/>
    </bk>
    <bk>
      <rc t="2" v="9321"/>
    </bk>
    <bk>
      <rc t="2" v="9322"/>
    </bk>
    <bk>
      <rc t="2" v="9323"/>
    </bk>
    <bk>
      <rc t="2" v="9324"/>
    </bk>
    <bk>
      <rc t="2" v="9325"/>
    </bk>
    <bk>
      <rc t="2" v="9326"/>
    </bk>
    <bk>
      <rc t="2" v="9327"/>
    </bk>
    <bk>
      <rc t="2" v="9328"/>
    </bk>
    <bk>
      <rc t="2" v="9329"/>
    </bk>
    <bk>
      <rc t="2" v="9330"/>
    </bk>
    <bk>
      <rc t="2" v="9331"/>
    </bk>
    <bk>
      <rc t="2" v="9332"/>
    </bk>
    <bk>
      <rc t="2" v="9333"/>
    </bk>
    <bk>
      <rc t="2" v="9334"/>
    </bk>
    <bk>
      <rc t="2" v="9335"/>
    </bk>
    <bk>
      <rc t="2" v="9336"/>
    </bk>
    <bk>
      <rc t="2" v="9337"/>
    </bk>
    <bk>
      <rc t="2" v="9338"/>
    </bk>
    <bk>
      <rc t="2" v="9339"/>
    </bk>
    <bk>
      <rc t="2" v="9340"/>
    </bk>
    <bk>
      <rc t="2" v="9341"/>
    </bk>
    <bk>
      <rc t="2" v="9342"/>
    </bk>
    <bk>
      <rc t="2" v="9343"/>
    </bk>
    <bk>
      <rc t="2" v="9344"/>
    </bk>
    <bk>
      <rc t="2" v="9345"/>
    </bk>
    <bk>
      <rc t="2" v="9346"/>
    </bk>
    <bk>
      <rc t="2" v="9347"/>
    </bk>
    <bk>
      <rc t="2" v="9348"/>
    </bk>
    <bk>
      <rc t="2" v="9349"/>
    </bk>
    <bk>
      <rc t="2" v="9350"/>
    </bk>
    <bk>
      <rc t="2" v="9351"/>
    </bk>
    <bk>
      <rc t="2" v="9352"/>
    </bk>
    <bk>
      <rc t="2" v="9353"/>
    </bk>
    <bk>
      <rc t="2" v="9354"/>
    </bk>
    <bk>
      <rc t="2" v="9355"/>
    </bk>
    <bk>
      <rc t="2" v="9356"/>
    </bk>
    <bk>
      <rc t="2" v="9357"/>
    </bk>
    <bk>
      <rc t="2" v="9358"/>
    </bk>
    <bk>
      <rc t="2" v="9359"/>
    </bk>
    <bk>
      <rc t="2" v="9360"/>
    </bk>
    <bk>
      <rc t="2" v="9361"/>
    </bk>
    <bk>
      <rc t="2" v="9362"/>
    </bk>
    <bk>
      <rc t="2" v="9363"/>
    </bk>
    <bk>
      <rc t="2" v="9364"/>
    </bk>
    <bk>
      <rc t="2" v="9365"/>
    </bk>
    <bk>
      <rc t="2" v="9366"/>
    </bk>
    <bk>
      <rc t="2" v="9367"/>
    </bk>
    <bk>
      <rc t="2" v="9368"/>
    </bk>
    <bk>
      <rc t="2" v="9369"/>
    </bk>
    <bk>
      <rc t="2" v="9370"/>
    </bk>
    <bk>
      <rc t="2" v="9371"/>
    </bk>
    <bk>
      <rc t="2" v="9372"/>
    </bk>
    <bk>
      <rc t="2" v="9373"/>
    </bk>
    <bk>
      <rc t="2" v="9374"/>
    </bk>
    <bk>
      <rc t="2" v="9375"/>
    </bk>
    <bk>
      <rc t="2" v="9376"/>
    </bk>
    <bk>
      <rc t="2" v="9377"/>
    </bk>
    <bk>
      <rc t="2" v="9378"/>
    </bk>
    <bk>
      <rc t="2" v="9379"/>
    </bk>
    <bk>
      <rc t="2" v="9380"/>
    </bk>
    <bk>
      <rc t="2" v="9381"/>
    </bk>
    <bk>
      <rc t="2" v="9382"/>
    </bk>
    <bk>
      <rc t="2" v="9383"/>
    </bk>
    <bk>
      <rc t="2" v="9384"/>
    </bk>
    <bk>
      <rc t="2" v="9385"/>
    </bk>
    <bk>
      <rc t="2" v="9386"/>
    </bk>
    <bk>
      <rc t="2" v="9387"/>
    </bk>
    <bk>
      <rc t="2" v="9388"/>
    </bk>
    <bk>
      <rc t="2" v="9389"/>
    </bk>
    <bk>
      <rc t="2" v="9390"/>
    </bk>
    <bk>
      <rc t="2" v="9391"/>
    </bk>
    <bk>
      <rc t="2" v="9392"/>
    </bk>
    <bk>
      <rc t="2" v="9393"/>
    </bk>
    <bk>
      <rc t="2" v="9394"/>
    </bk>
    <bk>
      <rc t="2" v="9395"/>
    </bk>
    <bk>
      <rc t="2" v="9396"/>
    </bk>
    <bk>
      <rc t="2" v="9397"/>
    </bk>
    <bk>
      <rc t="2" v="9398"/>
    </bk>
    <bk>
      <rc t="2" v="9399"/>
    </bk>
    <bk>
      <rc t="2" v="9400"/>
    </bk>
    <bk>
      <rc t="2" v="9401"/>
    </bk>
    <bk>
      <rc t="2" v="9402"/>
    </bk>
    <bk>
      <rc t="2" v="9403"/>
    </bk>
    <bk>
      <rc t="2" v="9404"/>
    </bk>
    <bk>
      <rc t="2" v="9405"/>
    </bk>
    <bk>
      <rc t="2" v="9406"/>
    </bk>
    <bk>
      <rc t="2" v="9407"/>
    </bk>
    <bk>
      <rc t="2" v="9408"/>
    </bk>
    <bk>
      <rc t="2" v="9409"/>
    </bk>
    <bk>
      <rc t="2" v="9410"/>
    </bk>
    <bk>
      <rc t="2" v="9411"/>
    </bk>
    <bk>
      <rc t="2" v="9412"/>
    </bk>
    <bk>
      <rc t="2" v="9413"/>
    </bk>
    <bk>
      <rc t="2" v="9414"/>
    </bk>
    <bk>
      <rc t="2" v="9415"/>
    </bk>
    <bk>
      <rc t="2" v="9416"/>
    </bk>
    <bk>
      <rc t="2" v="9417"/>
    </bk>
    <bk>
      <rc t="2" v="9418"/>
    </bk>
    <bk>
      <rc t="2" v="9419"/>
    </bk>
    <bk>
      <rc t="2" v="9420"/>
    </bk>
    <bk>
      <rc t="2" v="9421"/>
    </bk>
    <bk>
      <rc t="2" v="9422"/>
    </bk>
    <bk>
      <rc t="2" v="9423"/>
    </bk>
    <bk>
      <rc t="2" v="9424"/>
    </bk>
    <bk>
      <rc t="2" v="9425"/>
    </bk>
    <bk>
      <rc t="2" v="9426"/>
    </bk>
    <bk>
      <rc t="2" v="9427"/>
    </bk>
    <bk>
      <rc t="2" v="9428"/>
    </bk>
    <bk>
      <rc t="2" v="9429"/>
    </bk>
    <bk>
      <rc t="2" v="9430"/>
    </bk>
    <bk>
      <rc t="2" v="9431"/>
    </bk>
    <bk>
      <rc t="2" v="9432"/>
    </bk>
    <bk>
      <rc t="2" v="9433"/>
    </bk>
    <bk>
      <rc t="2" v="9434"/>
    </bk>
    <bk>
      <rc t="2" v="9435"/>
    </bk>
    <bk>
      <rc t="2" v="9436"/>
    </bk>
    <bk>
      <rc t="2" v="9437"/>
    </bk>
    <bk>
      <rc t="2" v="9438"/>
    </bk>
    <bk>
      <rc t="2" v="9439"/>
    </bk>
    <bk>
      <rc t="2" v="9440"/>
    </bk>
    <bk>
      <rc t="2" v="9441"/>
    </bk>
    <bk>
      <rc t="2" v="9442"/>
    </bk>
    <bk>
      <rc t="2" v="9443"/>
    </bk>
    <bk>
      <rc t="2" v="9444"/>
    </bk>
    <bk>
      <rc t="2" v="9445"/>
    </bk>
    <bk>
      <rc t="2" v="9446"/>
    </bk>
    <bk>
      <rc t="2" v="9447"/>
    </bk>
    <bk>
      <rc t="2" v="9448"/>
    </bk>
    <bk>
      <rc t="2" v="9449"/>
    </bk>
    <bk>
      <rc t="2" v="9450"/>
    </bk>
    <bk>
      <rc t="2" v="9451"/>
    </bk>
    <bk>
      <rc t="2" v="9452"/>
    </bk>
    <bk>
      <rc t="2" v="9453"/>
    </bk>
    <bk>
      <rc t="2" v="9454"/>
    </bk>
    <bk>
      <rc t="2" v="9455"/>
    </bk>
    <bk>
      <rc t="2" v="9456"/>
    </bk>
    <bk>
      <rc t="2" v="9457"/>
    </bk>
    <bk>
      <rc t="2" v="9458"/>
    </bk>
    <bk>
      <rc t="2" v="9459"/>
    </bk>
    <bk>
      <rc t="2" v="9460"/>
    </bk>
    <bk>
      <rc t="2" v="9461"/>
    </bk>
    <bk>
      <rc t="2" v="9462"/>
    </bk>
    <bk>
      <rc t="2" v="9463"/>
    </bk>
    <bk>
      <rc t="2" v="9464"/>
    </bk>
    <bk>
      <rc t="2" v="9465"/>
    </bk>
    <bk>
      <rc t="2" v="9466"/>
    </bk>
    <bk>
      <rc t="2" v="9467"/>
    </bk>
    <bk>
      <rc t="2" v="9468"/>
    </bk>
    <bk>
      <rc t="2" v="9469"/>
    </bk>
    <bk>
      <rc t="2" v="9470"/>
    </bk>
    <bk>
      <rc t="2" v="9471"/>
    </bk>
    <bk>
      <rc t="2" v="9472"/>
    </bk>
    <bk>
      <rc t="2" v="9473"/>
    </bk>
    <bk>
      <rc t="2" v="9474"/>
    </bk>
    <bk>
      <rc t="2" v="9475"/>
    </bk>
    <bk>
      <rc t="2" v="9476"/>
    </bk>
    <bk>
      <rc t="2" v="9477"/>
    </bk>
    <bk>
      <rc t="2" v="9478"/>
    </bk>
    <bk>
      <rc t="2" v="9479"/>
    </bk>
    <bk>
      <rc t="2" v="9480"/>
    </bk>
    <bk>
      <rc t="2" v="9481"/>
    </bk>
    <bk>
      <rc t="2" v="9482"/>
    </bk>
    <bk>
      <rc t="2" v="9483"/>
    </bk>
    <bk>
      <rc t="2" v="9484"/>
    </bk>
    <bk>
      <rc t="2" v="9485"/>
    </bk>
    <bk>
      <rc t="2" v="9486"/>
    </bk>
    <bk>
      <rc t="2" v="9487"/>
    </bk>
    <bk>
      <rc t="2" v="9488"/>
    </bk>
    <bk>
      <rc t="2" v="9489"/>
    </bk>
    <bk>
      <rc t="2" v="9490"/>
    </bk>
    <bk>
      <rc t="2" v="9491"/>
    </bk>
    <bk>
      <rc t="2" v="9492"/>
    </bk>
    <bk>
      <rc t="2" v="9493"/>
    </bk>
    <bk>
      <rc t="2" v="9494"/>
    </bk>
    <bk>
      <rc t="2" v="9495"/>
    </bk>
    <bk>
      <rc t="2" v="9496"/>
    </bk>
    <bk>
      <rc t="2" v="9497"/>
    </bk>
    <bk>
      <rc t="2" v="9498"/>
    </bk>
    <bk>
      <rc t="2" v="9499"/>
    </bk>
    <bk>
      <rc t="2" v="9500"/>
    </bk>
    <bk>
      <rc t="2" v="9501"/>
    </bk>
    <bk>
      <rc t="2" v="9502"/>
    </bk>
    <bk>
      <rc t="2" v="9503"/>
    </bk>
    <bk>
      <rc t="2" v="9504"/>
    </bk>
    <bk>
      <rc t="2" v="9505"/>
    </bk>
    <bk>
      <rc t="2" v="9506"/>
    </bk>
    <bk>
      <rc t="2" v="9507"/>
    </bk>
    <bk>
      <rc t="2" v="9508"/>
    </bk>
    <bk>
      <rc t="2" v="9509"/>
    </bk>
    <bk>
      <rc t="2" v="9510"/>
    </bk>
    <bk>
      <rc t="2" v="9511"/>
    </bk>
    <bk>
      <rc t="2" v="9512"/>
    </bk>
    <bk>
      <rc t="2" v="9513"/>
    </bk>
    <bk>
      <rc t="2" v="9514"/>
    </bk>
    <bk>
      <rc t="2" v="9515"/>
    </bk>
    <bk>
      <rc t="2" v="9516"/>
    </bk>
    <bk>
      <rc t="2" v="9517"/>
    </bk>
    <bk>
      <rc t="2" v="9518"/>
    </bk>
    <bk>
      <rc t="2" v="9519"/>
    </bk>
    <bk>
      <rc t="2" v="9520"/>
    </bk>
    <bk>
      <rc t="2" v="9521"/>
    </bk>
    <bk>
      <rc t="2" v="9522"/>
    </bk>
    <bk>
      <rc t="2" v="9523"/>
    </bk>
    <bk>
      <rc t="2" v="9524"/>
    </bk>
    <bk>
      <rc t="2" v="9525"/>
    </bk>
    <bk>
      <rc t="2" v="9526"/>
    </bk>
    <bk>
      <rc t="2" v="9527"/>
    </bk>
    <bk>
      <rc t="2" v="9528"/>
    </bk>
    <bk>
      <rc t="2" v="9529"/>
    </bk>
    <bk>
      <rc t="2" v="9530"/>
    </bk>
    <bk>
      <rc t="2" v="9531"/>
    </bk>
    <bk>
      <rc t="2" v="9532"/>
    </bk>
    <bk>
      <rc t="2" v="9533"/>
    </bk>
    <bk>
      <rc t="2" v="9534"/>
    </bk>
    <bk>
      <rc t="2" v="9535"/>
    </bk>
    <bk>
      <rc t="2" v="9536"/>
    </bk>
    <bk>
      <rc t="2" v="9537"/>
    </bk>
    <bk>
      <rc t="2" v="9538"/>
    </bk>
    <bk>
      <rc t="2" v="9539"/>
    </bk>
    <bk>
      <rc t="2" v="9540"/>
    </bk>
    <bk>
      <rc t="2" v="9541"/>
    </bk>
    <bk>
      <rc t="2" v="9542"/>
    </bk>
    <bk>
      <rc t="2" v="9543"/>
    </bk>
    <bk>
      <rc t="2" v="9544"/>
    </bk>
    <bk>
      <rc t="2" v="9545"/>
    </bk>
    <bk>
      <rc t="2" v="9546"/>
    </bk>
    <bk>
      <rc t="2" v="9547"/>
    </bk>
    <bk>
      <rc t="2" v="9548"/>
    </bk>
    <bk>
      <rc t="2" v="9549"/>
    </bk>
    <bk>
      <rc t="2" v="9550"/>
    </bk>
    <bk>
      <rc t="2" v="9551"/>
    </bk>
    <bk>
      <rc t="2" v="9552"/>
    </bk>
    <bk>
      <rc t="2" v="9553"/>
    </bk>
    <bk>
      <rc t="2" v="9554"/>
    </bk>
    <bk>
      <rc t="2" v="9555"/>
    </bk>
    <bk>
      <rc t="2" v="9556"/>
    </bk>
    <bk>
      <rc t="2" v="9557"/>
    </bk>
    <bk>
      <rc t="2" v="9558"/>
    </bk>
    <bk>
      <rc t="2" v="9559"/>
    </bk>
    <bk>
      <rc t="2" v="9560"/>
    </bk>
    <bk>
      <rc t="2" v="9561"/>
    </bk>
    <bk>
      <rc t="2" v="9562"/>
    </bk>
    <bk>
      <rc t="2" v="9563"/>
    </bk>
    <bk>
      <rc t="2" v="9564"/>
    </bk>
    <bk>
      <rc t="2" v="9565"/>
    </bk>
    <bk>
      <rc t="2" v="9566"/>
    </bk>
    <bk>
      <rc t="2" v="9567"/>
    </bk>
    <bk>
      <rc t="2" v="9568"/>
    </bk>
    <bk>
      <rc t="2" v="9569"/>
    </bk>
    <bk>
      <rc t="2" v="9570"/>
    </bk>
    <bk>
      <rc t="2" v="9571"/>
    </bk>
    <bk>
      <rc t="2" v="9572"/>
    </bk>
    <bk>
      <rc t="2" v="9573"/>
    </bk>
    <bk>
      <rc t="2" v="9574"/>
    </bk>
    <bk>
      <rc t="2" v="9575"/>
    </bk>
    <bk>
      <rc t="2" v="9576"/>
    </bk>
    <bk>
      <rc t="2" v="9577"/>
    </bk>
    <bk>
      <rc t="2" v="9578"/>
    </bk>
    <bk>
      <rc t="2" v="9579"/>
    </bk>
    <bk>
      <rc t="2" v="9580"/>
    </bk>
    <bk>
      <rc t="2" v="9581"/>
    </bk>
    <bk>
      <rc t="2" v="9582"/>
    </bk>
    <bk>
      <rc t="2" v="9583"/>
    </bk>
    <bk>
      <rc t="2" v="9584"/>
    </bk>
    <bk>
      <rc t="2" v="9585"/>
    </bk>
    <bk>
      <rc t="2" v="9586"/>
    </bk>
    <bk>
      <rc t="2" v="9587"/>
    </bk>
    <bk>
      <rc t="2" v="9588"/>
    </bk>
    <bk>
      <rc t="2" v="9589"/>
    </bk>
    <bk>
      <rc t="2" v="9590"/>
    </bk>
    <bk>
      <rc t="2" v="9591"/>
    </bk>
    <bk>
      <rc t="2" v="9592"/>
    </bk>
    <bk>
      <rc t="2" v="9593"/>
    </bk>
    <bk>
      <rc t="2" v="9594"/>
    </bk>
    <bk>
      <rc t="2" v="9595"/>
    </bk>
    <bk>
      <rc t="2" v="9596"/>
    </bk>
    <bk>
      <rc t="2" v="9597"/>
    </bk>
    <bk>
      <rc t="2" v="9598"/>
    </bk>
    <bk>
      <rc t="2" v="9599"/>
    </bk>
    <bk>
      <rc t="2" v="9600"/>
    </bk>
    <bk>
      <rc t="2" v="9601"/>
    </bk>
    <bk>
      <rc t="2" v="9602"/>
    </bk>
    <bk>
      <rc t="2" v="9603"/>
    </bk>
    <bk>
      <rc t="2" v="9604"/>
    </bk>
    <bk>
      <rc t="2" v="9605"/>
    </bk>
    <bk>
      <rc t="2" v="9606"/>
    </bk>
    <bk>
      <rc t="2" v="9607"/>
    </bk>
    <bk>
      <rc t="2" v="9608"/>
    </bk>
    <bk>
      <rc t="2" v="9609"/>
    </bk>
    <bk>
      <rc t="2" v="9610"/>
    </bk>
    <bk>
      <rc t="2" v="9611"/>
    </bk>
    <bk>
      <rc t="2" v="9612"/>
    </bk>
    <bk>
      <rc t="2" v="9613"/>
    </bk>
    <bk>
      <rc t="2" v="9614"/>
    </bk>
    <bk>
      <rc t="2" v="9615"/>
    </bk>
    <bk>
      <rc t="2" v="9616"/>
    </bk>
    <bk>
      <rc t="2" v="9617"/>
    </bk>
    <bk>
      <rc t="2" v="9618"/>
    </bk>
    <bk>
      <rc t="2" v="9619"/>
    </bk>
    <bk>
      <rc t="2" v="9620"/>
    </bk>
    <bk>
      <rc t="2" v="9621"/>
    </bk>
    <bk>
      <rc t="2" v="9622"/>
    </bk>
    <bk>
      <rc t="2" v="9623"/>
    </bk>
    <bk>
      <rc t="2" v="9624"/>
    </bk>
    <bk>
      <rc t="2" v="9625"/>
    </bk>
    <bk>
      <rc t="2" v="9626"/>
    </bk>
    <bk>
      <rc t="2" v="9627"/>
    </bk>
    <bk>
      <rc t="2" v="9628"/>
    </bk>
    <bk>
      <rc t="2" v="9629"/>
    </bk>
    <bk>
      <rc t="2" v="9630"/>
    </bk>
    <bk>
      <rc t="2" v="9631"/>
    </bk>
    <bk>
      <rc t="2" v="9632"/>
    </bk>
    <bk>
      <rc t="2" v="9633"/>
    </bk>
    <bk>
      <rc t="2" v="9634"/>
    </bk>
    <bk>
      <rc t="2" v="9635"/>
    </bk>
    <bk>
      <rc t="2" v="9636"/>
    </bk>
    <bk>
      <rc t="2" v="9637"/>
    </bk>
    <bk>
      <rc t="2" v="9638"/>
    </bk>
    <bk>
      <rc t="2" v="9639"/>
    </bk>
    <bk>
      <rc t="2" v="9640"/>
    </bk>
    <bk>
      <rc t="2" v="9641"/>
    </bk>
    <bk>
      <rc t="2" v="9642"/>
    </bk>
    <bk>
      <rc t="2" v="9643"/>
    </bk>
    <bk>
      <rc t="2" v="9644"/>
    </bk>
    <bk>
      <rc t="2" v="9645"/>
    </bk>
    <bk>
      <rc t="2" v="9646"/>
    </bk>
    <bk>
      <rc t="2" v="9647"/>
    </bk>
    <bk>
      <rc t="2" v="9648"/>
    </bk>
    <bk>
      <rc t="2" v="9649"/>
    </bk>
    <bk>
      <rc t="2" v="9650"/>
    </bk>
    <bk>
      <rc t="2" v="9651"/>
    </bk>
    <bk>
      <rc t="2" v="9652"/>
    </bk>
    <bk>
      <rc t="2" v="9653"/>
    </bk>
    <bk>
      <rc t="2" v="9654"/>
    </bk>
    <bk>
      <rc t="2" v="9655"/>
    </bk>
    <bk>
      <rc t="2" v="9656"/>
    </bk>
    <bk>
      <rc t="2" v="9657"/>
    </bk>
    <bk>
      <rc t="2" v="9658"/>
    </bk>
    <bk>
      <rc t="2" v="9659"/>
    </bk>
    <bk>
      <rc t="2" v="9660"/>
    </bk>
    <bk>
      <rc t="2" v="9661"/>
    </bk>
    <bk>
      <rc t="2" v="9662"/>
    </bk>
    <bk>
      <rc t="2" v="9663"/>
    </bk>
    <bk>
      <rc t="2" v="9664"/>
    </bk>
    <bk>
      <rc t="2" v="9665"/>
    </bk>
    <bk>
      <rc t="2" v="9666"/>
    </bk>
    <bk>
      <rc t="2" v="9667"/>
    </bk>
    <bk>
      <rc t="2" v="9668"/>
    </bk>
    <bk>
      <rc t="2" v="9669"/>
    </bk>
    <bk>
      <rc t="2" v="9670"/>
    </bk>
    <bk>
      <rc t="2" v="9671"/>
    </bk>
    <bk>
      <rc t="2" v="9672"/>
    </bk>
    <bk>
      <rc t="2" v="9673"/>
    </bk>
    <bk>
      <rc t="2" v="9674"/>
    </bk>
    <bk>
      <rc t="2" v="9675"/>
    </bk>
    <bk>
      <rc t="2" v="9676"/>
    </bk>
    <bk>
      <rc t="2" v="9677"/>
    </bk>
    <bk>
      <rc t="2" v="9678"/>
    </bk>
    <bk>
      <rc t="2" v="9679"/>
    </bk>
    <bk>
      <rc t="2" v="9680"/>
    </bk>
    <bk>
      <rc t="2" v="9681"/>
    </bk>
    <bk>
      <rc t="2" v="9682"/>
    </bk>
    <bk>
      <rc t="2" v="9683"/>
    </bk>
    <bk>
      <rc t="2" v="9684"/>
    </bk>
    <bk>
      <rc t="2" v="9685"/>
    </bk>
    <bk>
      <rc t="2" v="9686"/>
    </bk>
    <bk>
      <rc t="2" v="9687"/>
    </bk>
    <bk>
      <rc t="2" v="9688"/>
    </bk>
    <bk>
      <rc t="2" v="9689"/>
    </bk>
    <bk>
      <rc t="2" v="9690"/>
    </bk>
    <bk>
      <rc t="2" v="9691"/>
    </bk>
    <bk>
      <rc t="2" v="9692"/>
    </bk>
    <bk>
      <rc t="2" v="9693"/>
    </bk>
    <bk>
      <rc t="2" v="9694"/>
    </bk>
    <bk>
      <rc t="2" v="9695"/>
    </bk>
    <bk>
      <rc t="2" v="9696"/>
    </bk>
    <bk>
      <rc t="2" v="9697"/>
    </bk>
    <bk>
      <rc t="2" v="9698"/>
    </bk>
    <bk>
      <rc t="2" v="9699"/>
    </bk>
    <bk>
      <rc t="2" v="9700"/>
    </bk>
    <bk>
      <rc t="2" v="9701"/>
    </bk>
    <bk>
      <rc t="2" v="9702"/>
    </bk>
    <bk>
      <rc t="2" v="9703"/>
    </bk>
    <bk>
      <rc t="2" v="9704"/>
    </bk>
    <bk>
      <rc t="2" v="9705"/>
    </bk>
    <bk>
      <rc t="2" v="9706"/>
    </bk>
    <bk>
      <rc t="2" v="9707"/>
    </bk>
    <bk>
      <rc t="2" v="9708"/>
    </bk>
    <bk>
      <rc t="2" v="9709"/>
    </bk>
    <bk>
      <rc t="2" v="9710"/>
    </bk>
    <bk>
      <rc t="2" v="9711"/>
    </bk>
    <bk>
      <rc t="2" v="9712"/>
    </bk>
    <bk>
      <rc t="2" v="9713"/>
    </bk>
    <bk>
      <rc t="2" v="9714"/>
    </bk>
    <bk>
      <rc t="2" v="9715"/>
    </bk>
    <bk>
      <rc t="2" v="9716"/>
    </bk>
    <bk>
      <rc t="2" v="9717"/>
    </bk>
    <bk>
      <rc t="2" v="9718"/>
    </bk>
    <bk>
      <rc t="2" v="9719"/>
    </bk>
    <bk>
      <rc t="2" v="9720"/>
    </bk>
    <bk>
      <rc t="2" v="9721"/>
    </bk>
    <bk>
      <rc t="2" v="9722"/>
    </bk>
    <bk>
      <rc t="2" v="9723"/>
    </bk>
    <bk>
      <rc t="2" v="9724"/>
    </bk>
    <bk>
      <rc t="2" v="9725"/>
    </bk>
    <bk>
      <rc t="2" v="9726"/>
    </bk>
    <bk>
      <rc t="2" v="9727"/>
    </bk>
    <bk>
      <rc t="2" v="9728"/>
    </bk>
    <bk>
      <rc t="2" v="9729"/>
    </bk>
    <bk>
      <rc t="2" v="9730"/>
    </bk>
    <bk>
      <rc t="2" v="9731"/>
    </bk>
    <bk>
      <rc t="2" v="9732"/>
    </bk>
    <bk>
      <rc t="2" v="9733"/>
    </bk>
    <bk>
      <rc t="2" v="9734"/>
    </bk>
    <bk>
      <rc t="2" v="9735"/>
    </bk>
    <bk>
      <rc t="2" v="9736"/>
    </bk>
    <bk>
      <rc t="2" v="9737"/>
    </bk>
    <bk>
      <rc t="2" v="9738"/>
    </bk>
    <bk>
      <rc t="2" v="9739"/>
    </bk>
    <bk>
      <rc t="2" v="9740"/>
    </bk>
    <bk>
      <rc t="2" v="9741"/>
    </bk>
    <bk>
      <rc t="2" v="9742"/>
    </bk>
    <bk>
      <rc t="2" v="9743"/>
    </bk>
    <bk>
      <rc t="2" v="9744"/>
    </bk>
    <bk>
      <rc t="2" v="9745"/>
    </bk>
    <bk>
      <rc t="2" v="9746"/>
    </bk>
    <bk>
      <rc t="2" v="9747"/>
    </bk>
    <bk>
      <rc t="2" v="9748"/>
    </bk>
    <bk>
      <rc t="2" v="9749"/>
    </bk>
    <bk>
      <rc t="2" v="9750"/>
    </bk>
    <bk>
      <rc t="2" v="9751"/>
    </bk>
    <bk>
      <rc t="2" v="9752"/>
    </bk>
    <bk>
      <rc t="2" v="9753"/>
    </bk>
    <bk>
      <rc t="2" v="9754"/>
    </bk>
    <bk>
      <rc t="2" v="9755"/>
    </bk>
    <bk>
      <rc t="2" v="9756"/>
    </bk>
    <bk>
      <rc t="2" v="9757"/>
    </bk>
    <bk>
      <rc t="2" v="9758"/>
    </bk>
    <bk>
      <rc t="2" v="9759"/>
    </bk>
    <bk>
      <rc t="2" v="9760"/>
    </bk>
    <bk>
      <rc t="2" v="9761"/>
    </bk>
    <bk>
      <rc t="2" v="9762"/>
    </bk>
    <bk>
      <rc t="2" v="9763"/>
    </bk>
    <bk>
      <rc t="2" v="9764"/>
    </bk>
    <bk>
      <rc t="2" v="9765"/>
    </bk>
    <bk>
      <rc t="2" v="9766"/>
    </bk>
    <bk>
      <rc t="2" v="9767"/>
    </bk>
    <bk>
      <rc t="2" v="9768"/>
    </bk>
    <bk>
      <rc t="2" v="9769"/>
    </bk>
    <bk>
      <rc t="2" v="9770"/>
    </bk>
    <bk>
      <rc t="2" v="9771"/>
    </bk>
    <bk>
      <rc t="2" v="9772"/>
    </bk>
    <bk>
      <rc t="2" v="9773"/>
    </bk>
    <bk>
      <rc t="2" v="9774"/>
    </bk>
    <bk>
      <rc t="2" v="9775"/>
    </bk>
    <bk>
      <rc t="2" v="9776"/>
    </bk>
    <bk>
      <rc t="2" v="9777"/>
    </bk>
    <bk>
      <rc t="2" v="9778"/>
    </bk>
    <bk>
      <rc t="2" v="9779"/>
    </bk>
    <bk>
      <rc t="2" v="9780"/>
    </bk>
    <bk>
      <rc t="2" v="9781"/>
    </bk>
    <bk>
      <rc t="2" v="9782"/>
    </bk>
    <bk>
      <rc t="2" v="9783"/>
    </bk>
    <bk>
      <rc t="2" v="9784"/>
    </bk>
    <bk>
      <rc t="2" v="9785"/>
    </bk>
    <bk>
      <rc t="2" v="9786"/>
    </bk>
    <bk>
      <rc t="2" v="9787"/>
    </bk>
    <bk>
      <rc t="2" v="9788"/>
    </bk>
    <bk>
      <rc t="2" v="9789"/>
    </bk>
    <bk>
      <rc t="2" v="9790"/>
    </bk>
    <bk>
      <rc t="2" v="9791"/>
    </bk>
    <bk>
      <rc t="2" v="9792"/>
    </bk>
    <bk>
      <rc t="2" v="9793"/>
    </bk>
    <bk>
      <rc t="2" v="9794"/>
    </bk>
    <bk>
      <rc t="2" v="9795"/>
    </bk>
    <bk>
      <rc t="2" v="9796"/>
    </bk>
    <bk>
      <rc t="2" v="9797"/>
    </bk>
    <bk>
      <rc t="2" v="9798"/>
    </bk>
    <bk>
      <rc t="2" v="9799"/>
    </bk>
    <bk>
      <rc t="2" v="9800"/>
    </bk>
    <bk>
      <rc t="2" v="9801"/>
    </bk>
    <bk>
      <rc t="2" v="9802"/>
    </bk>
    <bk>
      <rc t="2" v="9803"/>
    </bk>
    <bk>
      <rc t="2" v="9804"/>
    </bk>
    <bk>
      <rc t="2" v="9805"/>
    </bk>
    <bk>
      <rc t="2" v="9806"/>
    </bk>
    <bk>
      <rc t="2" v="9807"/>
    </bk>
    <bk>
      <rc t="2" v="9808"/>
    </bk>
    <bk>
      <rc t="2" v="9809"/>
    </bk>
    <bk>
      <rc t="2" v="9810"/>
    </bk>
    <bk>
      <rc t="2" v="9811"/>
    </bk>
    <bk>
      <rc t="2" v="9812"/>
    </bk>
    <bk>
      <rc t="2" v="9813"/>
    </bk>
    <bk>
      <rc t="2" v="9814"/>
    </bk>
    <bk>
      <rc t="2" v="9815"/>
    </bk>
    <bk>
      <rc t="2" v="9816"/>
    </bk>
    <bk>
      <rc t="2" v="9817"/>
    </bk>
    <bk>
      <rc t="2" v="9818"/>
    </bk>
    <bk>
      <rc t="2" v="9819"/>
    </bk>
    <bk>
      <rc t="2" v="9820"/>
    </bk>
    <bk>
      <rc t="2" v="9821"/>
    </bk>
    <bk>
      <rc t="2" v="9822"/>
    </bk>
    <bk>
      <rc t="2" v="9823"/>
    </bk>
    <bk>
      <rc t="2" v="9824"/>
    </bk>
    <bk>
      <rc t="2" v="9825"/>
    </bk>
    <bk>
      <rc t="2" v="9826"/>
    </bk>
    <bk>
      <rc t="2" v="9827"/>
    </bk>
    <bk>
      <rc t="2" v="9828"/>
    </bk>
    <bk>
      <rc t="2" v="9829"/>
    </bk>
    <bk>
      <rc t="2" v="9830"/>
    </bk>
    <bk>
      <rc t="2" v="9831"/>
    </bk>
    <bk>
      <rc t="2" v="9832"/>
    </bk>
    <bk>
      <rc t="2" v="9833"/>
    </bk>
    <bk>
      <rc t="2" v="9834"/>
    </bk>
    <bk>
      <rc t="2" v="9835"/>
    </bk>
    <bk>
      <rc t="2" v="9836"/>
    </bk>
    <bk>
      <rc t="2" v="9837"/>
    </bk>
    <bk>
      <rc t="2" v="9838"/>
    </bk>
    <bk>
      <rc t="2" v="9839"/>
    </bk>
    <bk>
      <rc t="2" v="9840"/>
    </bk>
    <bk>
      <rc t="2" v="9841"/>
    </bk>
    <bk>
      <rc t="2" v="9842"/>
    </bk>
    <bk>
      <rc t="2" v="9843"/>
    </bk>
    <bk>
      <rc t="2" v="9844"/>
    </bk>
    <bk>
      <rc t="2" v="9845"/>
    </bk>
    <bk>
      <rc t="2" v="9846"/>
    </bk>
    <bk>
      <rc t="2" v="9847"/>
    </bk>
    <bk>
      <rc t="2" v="9848"/>
    </bk>
    <bk>
      <rc t="2" v="9849"/>
    </bk>
    <bk>
      <rc t="2" v="9850"/>
    </bk>
    <bk>
      <rc t="2" v="9851"/>
    </bk>
    <bk>
      <rc t="2" v="9852"/>
    </bk>
    <bk>
      <rc t="2" v="9853"/>
    </bk>
    <bk>
      <rc t="2" v="9854"/>
    </bk>
    <bk>
      <rc t="2" v="9855"/>
    </bk>
    <bk>
      <rc t="2" v="9856"/>
    </bk>
    <bk>
      <rc t="2" v="9857"/>
    </bk>
    <bk>
      <rc t="2" v="9858"/>
    </bk>
    <bk>
      <rc t="2" v="9859"/>
    </bk>
    <bk>
      <rc t="2" v="9860"/>
    </bk>
    <bk>
      <rc t="2" v="9861"/>
    </bk>
    <bk>
      <rc t="2" v="9862"/>
    </bk>
    <bk>
      <rc t="2" v="9863"/>
    </bk>
    <bk>
      <rc t="2" v="9864"/>
    </bk>
    <bk>
      <rc t="2" v="9865"/>
    </bk>
    <bk>
      <rc t="2" v="9866"/>
    </bk>
    <bk>
      <rc t="2" v="9867"/>
    </bk>
    <bk>
      <rc t="2" v="9868"/>
    </bk>
    <bk>
      <rc t="2" v="9869"/>
    </bk>
    <bk>
      <rc t="2" v="9870"/>
    </bk>
    <bk>
      <rc t="2" v="9871"/>
    </bk>
    <bk>
      <rc t="2" v="9872"/>
    </bk>
    <bk>
      <rc t="2" v="9873"/>
    </bk>
    <bk>
      <rc t="2" v="9874"/>
    </bk>
    <bk>
      <rc t="2" v="9875"/>
    </bk>
    <bk>
      <rc t="2" v="9876"/>
    </bk>
    <bk>
      <rc t="2" v="9877"/>
    </bk>
    <bk>
      <rc t="2" v="9878"/>
    </bk>
    <bk>
      <rc t="2" v="9879"/>
    </bk>
    <bk>
      <rc t="2" v="9880"/>
    </bk>
    <bk>
      <rc t="2" v="9881"/>
    </bk>
    <bk>
      <rc t="2" v="9882"/>
    </bk>
    <bk>
      <rc t="2" v="9883"/>
    </bk>
    <bk>
      <rc t="2" v="9884"/>
    </bk>
    <bk>
      <rc t="2" v="9885"/>
    </bk>
    <bk>
      <rc t="2" v="9886"/>
    </bk>
    <bk>
      <rc t="2" v="9887"/>
    </bk>
    <bk>
      <rc t="2" v="9888"/>
    </bk>
    <bk>
      <rc t="2" v="9889"/>
    </bk>
    <bk>
      <rc t="2" v="9890"/>
    </bk>
    <bk>
      <rc t="2" v="9891"/>
    </bk>
    <bk>
      <rc t="2" v="9892"/>
    </bk>
    <bk>
      <rc t="2" v="9893"/>
    </bk>
    <bk>
      <rc t="2" v="9894"/>
    </bk>
    <bk>
      <rc t="2" v="9895"/>
    </bk>
    <bk>
      <rc t="2" v="9896"/>
    </bk>
    <bk>
      <rc t="2" v="9897"/>
    </bk>
    <bk>
      <rc t="2" v="9898"/>
    </bk>
    <bk>
      <rc t="2" v="9899"/>
    </bk>
    <bk>
      <rc t="2" v="9900"/>
    </bk>
    <bk>
      <rc t="2" v="9901"/>
    </bk>
    <bk>
      <rc t="2" v="9902"/>
    </bk>
    <bk>
      <rc t="2" v="9903"/>
    </bk>
    <bk>
      <rc t="2" v="9904"/>
    </bk>
    <bk>
      <rc t="2" v="9905"/>
    </bk>
    <bk>
      <rc t="2" v="9906"/>
    </bk>
    <bk>
      <rc t="2" v="9907"/>
    </bk>
    <bk>
      <rc t="2" v="9908"/>
    </bk>
    <bk>
      <rc t="2" v="9909"/>
    </bk>
    <bk>
      <rc t="2" v="9910"/>
    </bk>
    <bk>
      <rc t="2" v="9911"/>
    </bk>
    <bk>
      <rc t="2" v="9912"/>
    </bk>
    <bk>
      <rc t="2" v="9913"/>
    </bk>
    <bk>
      <rc t="2" v="9914"/>
    </bk>
    <bk>
      <rc t="2" v="9915"/>
    </bk>
    <bk>
      <rc t="2" v="9916"/>
    </bk>
    <bk>
      <rc t="2" v="9917"/>
    </bk>
    <bk>
      <rc t="2" v="9918"/>
    </bk>
    <bk>
      <rc t="2" v="9919"/>
    </bk>
    <bk>
      <rc t="2" v="9920"/>
    </bk>
    <bk>
      <rc t="2" v="9921"/>
    </bk>
    <bk>
      <rc t="2" v="9922"/>
    </bk>
    <bk>
      <rc t="2" v="9923"/>
    </bk>
    <bk>
      <rc t="2" v="9924"/>
    </bk>
    <bk>
      <rc t="2" v="9925"/>
    </bk>
    <bk>
      <rc t="2" v="9926"/>
    </bk>
    <bk>
      <rc t="2" v="9927"/>
    </bk>
    <bk>
      <rc t="2" v="9928"/>
    </bk>
    <bk>
      <rc t="2" v="9929"/>
    </bk>
    <bk>
      <rc t="2" v="9930"/>
    </bk>
    <bk>
      <rc t="2" v="9931"/>
    </bk>
    <bk>
      <rc t="2" v="9932"/>
    </bk>
    <bk>
      <rc t="2" v="9933"/>
    </bk>
    <bk>
      <rc t="2" v="9934"/>
    </bk>
    <bk>
      <rc t="2" v="9935"/>
    </bk>
    <bk>
      <rc t="2" v="9936"/>
    </bk>
    <bk>
      <rc t="2" v="9937"/>
    </bk>
    <bk>
      <rc t="2" v="9938"/>
    </bk>
    <bk>
      <rc t="2" v="9939"/>
    </bk>
    <bk>
      <rc t="2" v="9940"/>
    </bk>
    <bk>
      <rc t="2" v="9941"/>
    </bk>
    <bk>
      <rc t="2" v="9942"/>
    </bk>
    <bk>
      <rc t="2" v="9943"/>
    </bk>
    <bk>
      <rc t="2" v="9944"/>
    </bk>
    <bk>
      <rc t="2" v="9945"/>
    </bk>
    <bk>
      <rc t="2" v="9946"/>
    </bk>
    <bk>
      <rc t="2" v="9947"/>
    </bk>
    <bk>
      <rc t="2" v="9948"/>
    </bk>
    <bk>
      <rc t="2" v="9949"/>
    </bk>
    <bk>
      <rc t="2" v="9950"/>
    </bk>
    <bk>
      <rc t="2" v="9951"/>
    </bk>
    <bk>
      <rc t="2" v="9952"/>
    </bk>
    <bk>
      <rc t="2" v="9953"/>
    </bk>
    <bk>
      <rc t="2" v="9954"/>
    </bk>
    <bk>
      <rc t="2" v="9955"/>
    </bk>
    <bk>
      <rc t="2" v="9956"/>
    </bk>
    <bk>
      <rc t="2" v="9957"/>
    </bk>
    <bk>
      <rc t="2" v="9958"/>
    </bk>
    <bk>
      <rc t="2" v="9959"/>
    </bk>
    <bk>
      <rc t="2" v="9960"/>
    </bk>
    <bk>
      <rc t="2" v="9961"/>
    </bk>
    <bk>
      <rc t="2" v="9962"/>
    </bk>
    <bk>
      <rc t="2" v="9963"/>
    </bk>
    <bk>
      <rc t="2" v="9964"/>
    </bk>
    <bk>
      <rc t="2" v="9965"/>
    </bk>
    <bk>
      <rc t="2" v="9966"/>
    </bk>
    <bk>
      <rc t="2" v="9967"/>
    </bk>
    <bk>
      <rc t="2" v="9968"/>
    </bk>
    <bk>
      <rc t="2" v="9969"/>
    </bk>
    <bk>
      <rc t="2" v="9970"/>
    </bk>
    <bk>
      <rc t="2" v="9971"/>
    </bk>
    <bk>
      <rc t="2" v="9972"/>
    </bk>
    <bk>
      <rc t="2" v="9973"/>
    </bk>
    <bk>
      <rc t="2" v="9974"/>
    </bk>
    <bk>
      <rc t="2" v="9975"/>
    </bk>
    <bk>
      <rc t="2" v="9976"/>
    </bk>
    <bk>
      <rc t="2" v="9977"/>
    </bk>
    <bk>
      <rc t="2" v="9978"/>
    </bk>
    <bk>
      <rc t="2" v="9979"/>
    </bk>
    <bk>
      <rc t="2" v="9980"/>
    </bk>
    <bk>
      <rc t="2" v="9981"/>
    </bk>
    <bk>
      <rc t="2" v="9982"/>
    </bk>
    <bk>
      <rc t="2" v="9983"/>
    </bk>
    <bk>
      <rc t="2" v="9984"/>
    </bk>
    <bk>
      <rc t="2" v="9985"/>
    </bk>
    <bk>
      <rc t="2" v="9986"/>
    </bk>
    <bk>
      <rc t="2" v="9987"/>
    </bk>
    <bk>
      <rc t="2" v="9988"/>
    </bk>
    <bk>
      <rc t="2" v="9989"/>
    </bk>
    <bk>
      <rc t="2" v="9990"/>
    </bk>
    <bk>
      <rc t="2" v="9991"/>
    </bk>
    <bk>
      <rc t="2" v="9992"/>
    </bk>
    <bk>
      <rc t="2" v="9993"/>
    </bk>
    <bk>
      <rc t="2" v="9994"/>
    </bk>
    <bk>
      <rc t="2" v="9995"/>
    </bk>
    <bk>
      <rc t="2" v="9996"/>
    </bk>
    <bk>
      <rc t="2" v="9997"/>
    </bk>
    <bk>
      <rc t="2" v="9998"/>
    </bk>
    <bk>
      <rc t="2" v="9999"/>
    </bk>
    <bk>
      <rc t="2" v="10000"/>
    </bk>
    <bk>
      <rc t="2" v="10001"/>
    </bk>
    <bk>
      <rc t="2" v="10002"/>
    </bk>
    <bk>
      <rc t="2" v="10003"/>
    </bk>
    <bk>
      <rc t="2" v="10004"/>
    </bk>
    <bk>
      <rc t="2" v="10005"/>
    </bk>
    <bk>
      <rc t="2" v="10006"/>
    </bk>
    <bk>
      <rc t="2" v="10007"/>
    </bk>
    <bk>
      <rc t="2" v="10008"/>
    </bk>
    <bk>
      <rc t="2" v="10009"/>
    </bk>
    <bk>
      <rc t="2" v="10010"/>
    </bk>
    <bk>
      <rc t="2" v="10011"/>
    </bk>
    <bk>
      <rc t="2" v="10012"/>
    </bk>
    <bk>
      <rc t="2" v="10013"/>
    </bk>
    <bk>
      <rc t="2" v="10014"/>
    </bk>
    <bk>
      <rc t="2" v="10015"/>
    </bk>
    <bk>
      <rc t="2" v="10016"/>
    </bk>
    <bk>
      <rc t="2" v="10017"/>
    </bk>
    <bk>
      <rc t="2" v="10018"/>
    </bk>
    <bk>
      <rc t="2" v="10019"/>
    </bk>
    <bk>
      <rc t="2" v="10020"/>
    </bk>
    <bk>
      <rc t="2" v="10021"/>
    </bk>
    <bk>
      <rc t="2" v="10022"/>
    </bk>
    <bk>
      <rc t="2" v="10023"/>
    </bk>
    <bk>
      <rc t="2" v="10024"/>
    </bk>
    <bk>
      <rc t="2" v="10025"/>
    </bk>
    <bk>
      <rc t="2" v="10026"/>
    </bk>
    <bk>
      <rc t="2" v="10027"/>
    </bk>
    <bk>
      <rc t="2" v="10028"/>
    </bk>
    <bk>
      <rc t="2" v="10029"/>
    </bk>
    <bk>
      <rc t="2" v="10030"/>
    </bk>
    <bk>
      <rc t="2" v="10031"/>
    </bk>
    <bk>
      <rc t="2" v="10032"/>
    </bk>
    <bk>
      <rc t="2" v="10033"/>
    </bk>
    <bk>
      <rc t="2" v="10034"/>
    </bk>
    <bk>
      <rc t="2" v="10035"/>
    </bk>
    <bk>
      <rc t="2" v="10036"/>
    </bk>
    <bk>
      <rc t="2" v="10037"/>
    </bk>
    <bk>
      <rc t="2" v="10038"/>
    </bk>
    <bk>
      <rc t="2" v="10039"/>
    </bk>
    <bk>
      <rc t="2" v="10040"/>
    </bk>
    <bk>
      <rc t="2" v="10041"/>
    </bk>
    <bk>
      <rc t="2" v="10042"/>
    </bk>
    <bk>
      <rc t="2" v="10043"/>
    </bk>
    <bk>
      <rc t="2" v="10044"/>
    </bk>
    <bk>
      <rc t="2" v="10045"/>
    </bk>
    <bk>
      <rc t="2" v="10046"/>
    </bk>
    <bk>
      <rc t="2" v="10047"/>
    </bk>
    <bk>
      <rc t="2" v="10048"/>
    </bk>
    <bk>
      <rc t="2" v="10049"/>
    </bk>
    <bk>
      <rc t="2" v="10050"/>
    </bk>
    <bk>
      <rc t="2" v="10051"/>
    </bk>
    <bk>
      <rc t="2" v="10052"/>
    </bk>
    <bk>
      <rc t="2" v="10053"/>
    </bk>
    <bk>
      <rc t="2" v="10054"/>
    </bk>
    <bk>
      <rc t="2" v="10055"/>
    </bk>
    <bk>
      <rc t="2" v="10056"/>
    </bk>
    <bk>
      <rc t="2" v="10057"/>
    </bk>
    <bk>
      <rc t="2" v="10058"/>
    </bk>
    <bk>
      <rc t="2" v="10059"/>
    </bk>
    <bk>
      <rc t="2" v="10060"/>
    </bk>
    <bk>
      <rc t="2" v="10061"/>
    </bk>
    <bk>
      <rc t="2" v="10062"/>
    </bk>
    <bk>
      <rc t="2" v="10063"/>
    </bk>
    <bk>
      <rc t="2" v="10064"/>
    </bk>
    <bk>
      <rc t="2" v="10065"/>
    </bk>
    <bk>
      <rc t="2" v="10066"/>
    </bk>
    <bk>
      <rc t="2" v="10067"/>
    </bk>
    <bk>
      <rc t="2" v="10068"/>
    </bk>
    <bk>
      <rc t="2" v="10069"/>
    </bk>
    <bk>
      <rc t="2" v="10070"/>
    </bk>
    <bk>
      <rc t="2" v="10071"/>
    </bk>
    <bk>
      <rc t="2" v="10072"/>
    </bk>
    <bk>
      <rc t="2" v="10073"/>
    </bk>
    <bk>
      <rc t="2" v="10074"/>
    </bk>
    <bk>
      <rc t="2" v="10075"/>
    </bk>
    <bk>
      <rc t="2" v="10076"/>
    </bk>
    <bk>
      <rc t="2" v="10077"/>
    </bk>
    <bk>
      <rc t="2" v="10078"/>
    </bk>
    <bk>
      <rc t="2" v="10079"/>
    </bk>
    <bk>
      <rc t="2" v="10080"/>
    </bk>
    <bk>
      <rc t="2" v="10081"/>
    </bk>
    <bk>
      <rc t="2" v="10082"/>
    </bk>
    <bk>
      <rc t="2" v="10083"/>
    </bk>
    <bk>
      <rc t="2" v="10084"/>
    </bk>
    <bk>
      <rc t="2" v="10085"/>
    </bk>
    <bk>
      <rc t="2" v="10086"/>
    </bk>
    <bk>
      <rc t="2" v="10087"/>
    </bk>
    <bk>
      <rc t="2" v="10088"/>
    </bk>
    <bk>
      <rc t="2" v="10089"/>
    </bk>
    <bk>
      <rc t="2" v="10090"/>
    </bk>
    <bk>
      <rc t="2" v="10091"/>
    </bk>
    <bk>
      <rc t="2" v="10092"/>
    </bk>
    <bk>
      <rc t="2" v="10093"/>
    </bk>
    <bk>
      <rc t="2" v="10094"/>
    </bk>
    <bk>
      <rc t="2" v="10095"/>
    </bk>
    <bk>
      <rc t="2" v="10096"/>
    </bk>
    <bk>
      <rc t="2" v="10097"/>
    </bk>
    <bk>
      <rc t="2" v="10098"/>
    </bk>
    <bk>
      <rc t="2" v="10099"/>
    </bk>
    <bk>
      <rc t="2" v="10100"/>
    </bk>
    <bk>
      <rc t="2" v="10101"/>
    </bk>
    <bk>
      <rc t="2" v="10102"/>
    </bk>
    <bk>
      <rc t="2" v="10103"/>
    </bk>
    <bk>
      <rc t="2" v="10104"/>
    </bk>
    <bk>
      <rc t="2" v="10105"/>
    </bk>
    <bk>
      <rc t="2" v="10106"/>
    </bk>
    <bk>
      <rc t="2" v="10107"/>
    </bk>
    <bk>
      <rc t="2" v="10108"/>
    </bk>
    <bk>
      <rc t="2" v="10109"/>
    </bk>
    <bk>
      <rc t="2" v="10110"/>
    </bk>
    <bk>
      <rc t="2" v="10111"/>
    </bk>
    <bk>
      <rc t="2" v="10112"/>
    </bk>
    <bk>
      <rc t="2" v="10113"/>
    </bk>
    <bk>
      <rc t="2" v="10114"/>
    </bk>
    <bk>
      <rc t="2" v="10115"/>
    </bk>
    <bk>
      <rc t="2" v="10116"/>
    </bk>
    <bk>
      <rc t="2" v="10117"/>
    </bk>
    <bk>
      <rc t="2" v="10118"/>
    </bk>
    <bk>
      <rc t="2" v="10119"/>
    </bk>
    <bk>
      <rc t="2" v="10120"/>
    </bk>
    <bk>
      <rc t="2" v="10121"/>
    </bk>
    <bk>
      <rc t="2" v="10122"/>
    </bk>
    <bk>
      <rc t="2" v="10123"/>
    </bk>
    <bk>
      <rc t="2" v="10124"/>
    </bk>
    <bk>
      <rc t="2" v="10125"/>
    </bk>
    <bk>
      <rc t="2" v="10126"/>
    </bk>
    <bk>
      <rc t="2" v="10127"/>
    </bk>
    <bk>
      <rc t="2" v="10128"/>
    </bk>
    <bk>
      <rc t="2" v="10129"/>
    </bk>
    <bk>
      <rc t="2" v="10130"/>
    </bk>
    <bk>
      <rc t="2" v="10131"/>
    </bk>
    <bk>
      <rc t="2" v="10132"/>
    </bk>
    <bk>
      <rc t="2" v="10133"/>
    </bk>
    <bk>
      <rc t="2" v="10134"/>
    </bk>
    <bk>
      <rc t="2" v="10135"/>
    </bk>
    <bk>
      <rc t="2" v="10136"/>
    </bk>
    <bk>
      <rc t="2" v="10137"/>
    </bk>
    <bk>
      <rc t="2" v="10138"/>
    </bk>
    <bk>
      <rc t="2" v="10139"/>
    </bk>
    <bk>
      <rc t="2" v="10140"/>
    </bk>
    <bk>
      <rc t="2" v="10141"/>
    </bk>
    <bk>
      <rc t="2" v="10142"/>
    </bk>
    <bk>
      <rc t="2" v="10143"/>
    </bk>
    <bk>
      <rc t="2" v="10144"/>
    </bk>
    <bk>
      <rc t="2" v="10145"/>
    </bk>
    <bk>
      <rc t="2" v="10146"/>
    </bk>
    <bk>
      <rc t="2" v="10147"/>
    </bk>
    <bk>
      <rc t="2" v="10148"/>
    </bk>
    <bk>
      <rc t="2" v="10149"/>
    </bk>
    <bk>
      <rc t="2" v="10150"/>
    </bk>
    <bk>
      <rc t="2" v="10151"/>
    </bk>
    <bk>
      <rc t="2" v="10152"/>
    </bk>
    <bk>
      <rc t="2" v="10153"/>
    </bk>
    <bk>
      <rc t="2" v="10154"/>
    </bk>
    <bk>
      <rc t="2" v="10155"/>
    </bk>
    <bk>
      <rc t="2" v="10156"/>
    </bk>
    <bk>
      <rc t="2" v="10157"/>
    </bk>
    <bk>
      <rc t="2" v="10158"/>
    </bk>
    <bk>
      <rc t="2" v="10159"/>
    </bk>
    <bk>
      <rc t="2" v="10160"/>
    </bk>
    <bk>
      <rc t="2" v="10161"/>
    </bk>
    <bk>
      <rc t="2" v="10162"/>
    </bk>
    <bk>
      <rc t="2" v="10163"/>
    </bk>
    <bk>
      <rc t="2" v="10164"/>
    </bk>
    <bk>
      <rc t="2" v="10165"/>
    </bk>
    <bk>
      <rc t="2" v="10166"/>
    </bk>
    <bk>
      <rc t="2" v="10167"/>
    </bk>
    <bk>
      <rc t="2" v="10168"/>
    </bk>
    <bk>
      <rc t="2" v="10169"/>
    </bk>
    <bk>
      <rc t="2" v="10170"/>
    </bk>
    <bk>
      <rc t="2" v="10171"/>
    </bk>
    <bk>
      <rc t="2" v="10172"/>
    </bk>
    <bk>
      <rc t="2" v="10173"/>
    </bk>
    <bk>
      <rc t="2" v="10174"/>
    </bk>
    <bk>
      <rc t="2" v="10175"/>
    </bk>
    <bk>
      <rc t="2" v="10176"/>
    </bk>
    <bk>
      <rc t="2" v="10177"/>
    </bk>
    <bk>
      <rc t="2" v="10178"/>
    </bk>
    <bk>
      <rc t="2" v="10179"/>
    </bk>
    <bk>
      <rc t="2" v="10180"/>
    </bk>
    <bk>
      <rc t="2" v="10181"/>
    </bk>
    <bk>
      <rc t="2" v="10182"/>
    </bk>
    <bk>
      <rc t="2" v="10183"/>
    </bk>
    <bk>
      <rc t="2" v="10184"/>
    </bk>
    <bk>
      <rc t="2" v="10185"/>
    </bk>
    <bk>
      <rc t="2" v="10186"/>
    </bk>
    <bk>
      <rc t="2" v="10187"/>
    </bk>
    <bk>
      <rc t="2" v="10188"/>
    </bk>
    <bk>
      <rc t="2" v="10189"/>
    </bk>
    <bk>
      <rc t="2" v="10190"/>
    </bk>
    <bk>
      <rc t="2" v="10191"/>
    </bk>
    <bk>
      <rc t="2" v="10192"/>
    </bk>
    <bk>
      <rc t="2" v="10193"/>
    </bk>
    <bk>
      <rc t="2" v="10194"/>
    </bk>
    <bk>
      <rc t="2" v="10195"/>
    </bk>
    <bk>
      <rc t="2" v="10196"/>
    </bk>
    <bk>
      <rc t="2" v="10197"/>
    </bk>
    <bk>
      <rc t="2" v="10198"/>
    </bk>
    <bk>
      <rc t="2" v="10199"/>
    </bk>
    <bk>
      <rc t="2" v="10200"/>
    </bk>
    <bk>
      <rc t="2" v="10201"/>
    </bk>
    <bk>
      <rc t="2" v="10202"/>
    </bk>
    <bk>
      <rc t="2" v="10203"/>
    </bk>
    <bk>
      <rc t="2" v="10204"/>
    </bk>
    <bk>
      <rc t="2" v="10205"/>
    </bk>
    <bk>
      <rc t="2" v="10206"/>
    </bk>
    <bk>
      <rc t="2" v="10207"/>
    </bk>
    <bk>
      <rc t="2" v="10208"/>
    </bk>
    <bk>
      <rc t="2" v="10209"/>
    </bk>
    <bk>
      <rc t="2" v="10210"/>
    </bk>
    <bk>
      <rc t="2" v="10211"/>
    </bk>
    <bk>
      <rc t="2" v="10212"/>
    </bk>
    <bk>
      <rc t="2" v="10213"/>
    </bk>
    <bk>
      <rc t="2" v="10214"/>
    </bk>
    <bk>
      <rc t="2" v="10215"/>
    </bk>
    <bk>
      <rc t="2" v="10216"/>
    </bk>
    <bk>
      <rc t="2" v="10217"/>
    </bk>
    <bk>
      <rc t="2" v="10218"/>
    </bk>
    <bk>
      <rc t="2" v="10219"/>
    </bk>
    <bk>
      <rc t="2" v="10220"/>
    </bk>
    <bk>
      <rc t="2" v="10221"/>
    </bk>
    <bk>
      <rc t="2" v="10222"/>
    </bk>
    <bk>
      <rc t="2" v="10223"/>
    </bk>
    <bk>
      <rc t="2" v="10224"/>
    </bk>
    <bk>
      <rc t="2" v="10225"/>
    </bk>
    <bk>
      <rc t="2" v="10226"/>
    </bk>
    <bk>
      <rc t="2" v="10227"/>
    </bk>
    <bk>
      <rc t="2" v="10228"/>
    </bk>
    <bk>
      <rc t="2" v="10229"/>
    </bk>
    <bk>
      <rc t="2" v="10230"/>
    </bk>
    <bk>
      <rc t="2" v="10231"/>
    </bk>
    <bk>
      <rc t="2" v="10232"/>
    </bk>
    <bk>
      <rc t="2" v="10233"/>
    </bk>
    <bk>
      <rc t="2" v="10234"/>
    </bk>
    <bk>
      <rc t="2" v="10235"/>
    </bk>
    <bk>
      <rc t="2" v="10236"/>
    </bk>
    <bk>
      <rc t="2" v="10237"/>
    </bk>
    <bk>
      <rc t="2" v="10238"/>
    </bk>
    <bk>
      <rc t="2" v="10239"/>
    </bk>
    <bk>
      <rc t="2" v="10240"/>
    </bk>
    <bk>
      <rc t="2" v="10241"/>
    </bk>
    <bk>
      <rc t="2" v="10242"/>
    </bk>
    <bk>
      <rc t="2" v="10243"/>
    </bk>
    <bk>
      <rc t="2" v="10244"/>
    </bk>
    <bk>
      <rc t="2" v="10245"/>
    </bk>
    <bk>
      <rc t="2" v="10246"/>
    </bk>
    <bk>
      <rc t="2" v="10247"/>
    </bk>
    <bk>
      <rc t="2" v="10248"/>
    </bk>
    <bk>
      <rc t="2" v="10249"/>
    </bk>
    <bk>
      <rc t="2" v="10250"/>
    </bk>
    <bk>
      <rc t="2" v="10251"/>
    </bk>
    <bk>
      <rc t="2" v="10252"/>
    </bk>
    <bk>
      <rc t="2" v="10253"/>
    </bk>
    <bk>
      <rc t="2" v="10254"/>
    </bk>
    <bk>
      <rc t="2" v="10255"/>
    </bk>
    <bk>
      <rc t="2" v="10256"/>
    </bk>
    <bk>
      <rc t="2" v="10257"/>
    </bk>
    <bk>
      <rc t="2" v="10258"/>
    </bk>
    <bk>
      <rc t="2" v="10259"/>
    </bk>
    <bk>
      <rc t="2" v="10260"/>
    </bk>
    <bk>
      <rc t="2" v="10261"/>
    </bk>
    <bk>
      <rc t="2" v="10262"/>
    </bk>
    <bk>
      <rc t="2" v="10263"/>
    </bk>
    <bk>
      <rc t="2" v="10264"/>
    </bk>
    <bk>
      <rc t="2" v="10265"/>
    </bk>
    <bk>
      <rc t="2" v="10266"/>
    </bk>
    <bk>
      <rc t="2" v="10267"/>
    </bk>
    <bk>
      <rc t="2" v="10268"/>
    </bk>
    <bk>
      <rc t="2" v="10269"/>
    </bk>
    <bk>
      <rc t="2" v="10270"/>
    </bk>
    <bk>
      <rc t="2" v="10271"/>
    </bk>
    <bk>
      <rc t="2" v="10272"/>
    </bk>
    <bk>
      <rc t="2" v="10273"/>
    </bk>
    <bk>
      <rc t="2" v="10274"/>
    </bk>
    <bk>
      <rc t="2" v="10275"/>
    </bk>
    <bk>
      <rc t="2" v="10276"/>
    </bk>
    <bk>
      <rc t="2" v="10277"/>
    </bk>
    <bk>
      <rc t="2" v="10278"/>
    </bk>
    <bk>
      <rc t="2" v="10279"/>
    </bk>
    <bk>
      <rc t="2" v="10280"/>
    </bk>
    <bk>
      <rc t="2" v="10281"/>
    </bk>
    <bk>
      <rc t="2" v="10282"/>
    </bk>
    <bk>
      <rc t="2" v="10283"/>
    </bk>
    <bk>
      <rc t="2" v="10284"/>
    </bk>
    <bk>
      <rc t="2" v="10285"/>
    </bk>
    <bk>
      <rc t="2" v="10286"/>
    </bk>
    <bk>
      <rc t="2" v="10287"/>
    </bk>
    <bk>
      <rc t="2" v="10288"/>
    </bk>
    <bk>
      <rc t="2" v="10289"/>
    </bk>
    <bk>
      <rc t="2" v="10290"/>
    </bk>
    <bk>
      <rc t="2" v="10291"/>
    </bk>
    <bk>
      <rc t="2" v="10292"/>
    </bk>
    <bk>
      <rc t="2" v="10293"/>
    </bk>
    <bk>
      <rc t="2" v="10294"/>
    </bk>
    <bk>
      <rc t="2" v="10295"/>
    </bk>
    <bk>
      <rc t="2" v="10296"/>
    </bk>
    <bk>
      <rc t="2" v="10297"/>
    </bk>
    <bk>
      <rc t="2" v="10298"/>
    </bk>
    <bk>
      <rc t="2" v="10299"/>
    </bk>
    <bk>
      <rc t="2" v="10300"/>
    </bk>
    <bk>
      <rc t="2" v="10301"/>
    </bk>
    <bk>
      <rc t="2" v="10302"/>
    </bk>
    <bk>
      <rc t="2" v="10303"/>
    </bk>
    <bk>
      <rc t="2" v="10304"/>
    </bk>
    <bk>
      <rc t="2" v="10305"/>
    </bk>
    <bk>
      <rc t="2" v="10306"/>
    </bk>
    <bk>
      <rc t="2" v="10307"/>
    </bk>
    <bk>
      <rc t="2" v="10308"/>
    </bk>
    <bk>
      <rc t="2" v="10309"/>
    </bk>
    <bk>
      <rc t="2" v="10310"/>
    </bk>
    <bk>
      <rc t="2" v="10311"/>
    </bk>
    <bk>
      <rc t="2" v="10312"/>
    </bk>
    <bk>
      <rc t="2" v="10313"/>
    </bk>
    <bk>
      <rc t="2" v="10314"/>
    </bk>
    <bk>
      <rc t="2" v="10315"/>
    </bk>
    <bk>
      <rc t="2" v="10316"/>
    </bk>
    <bk>
      <rc t="2" v="10317"/>
    </bk>
    <bk>
      <rc t="2" v="10318"/>
    </bk>
    <bk>
      <rc t="2" v="10319"/>
    </bk>
    <bk>
      <rc t="2" v="10320"/>
    </bk>
    <bk>
      <rc t="2" v="10321"/>
    </bk>
    <bk>
      <rc t="2" v="10322"/>
    </bk>
    <bk>
      <rc t="2" v="10323"/>
    </bk>
    <bk>
      <rc t="2" v="10324"/>
    </bk>
    <bk>
      <rc t="2" v="10325"/>
    </bk>
    <bk>
      <rc t="2" v="10326"/>
    </bk>
    <bk>
      <rc t="2" v="10327"/>
    </bk>
    <bk>
      <rc t="2" v="10328"/>
    </bk>
    <bk>
      <rc t="2" v="10329"/>
    </bk>
    <bk>
      <rc t="2" v="10330"/>
    </bk>
    <bk>
      <rc t="2" v="10331"/>
    </bk>
    <bk>
      <rc t="2" v="10332"/>
    </bk>
    <bk>
      <rc t="2" v="10333"/>
    </bk>
    <bk>
      <rc t="2" v="10334"/>
    </bk>
    <bk>
      <rc t="2" v="10335"/>
    </bk>
    <bk>
      <rc t="2" v="10336"/>
    </bk>
    <bk>
      <rc t="2" v="10337"/>
    </bk>
    <bk>
      <rc t="2" v="10338"/>
    </bk>
    <bk>
      <rc t="2" v="10339"/>
    </bk>
    <bk>
      <rc t="2" v="10340"/>
    </bk>
    <bk>
      <rc t="2" v="10341"/>
    </bk>
    <bk>
      <rc t="2" v="10342"/>
    </bk>
    <bk>
      <rc t="2" v="10343"/>
    </bk>
    <bk>
      <rc t="2" v="10344"/>
    </bk>
    <bk>
      <rc t="2" v="10345"/>
    </bk>
    <bk>
      <rc t="2" v="10346"/>
    </bk>
    <bk>
      <rc t="2" v="10347"/>
    </bk>
    <bk>
      <rc t="2" v="10348"/>
    </bk>
    <bk>
      <rc t="2" v="10349"/>
    </bk>
    <bk>
      <rc t="2" v="10350"/>
    </bk>
    <bk>
      <rc t="2" v="10351"/>
    </bk>
    <bk>
      <rc t="2" v="10352"/>
    </bk>
    <bk>
      <rc t="2" v="10353"/>
    </bk>
    <bk>
      <rc t="2" v="10354"/>
    </bk>
    <bk>
      <rc t="2" v="10355"/>
    </bk>
    <bk>
      <rc t="2" v="10356"/>
    </bk>
    <bk>
      <rc t="2" v="10357"/>
    </bk>
    <bk>
      <rc t="2" v="10358"/>
    </bk>
    <bk>
      <rc t="2" v="10359"/>
    </bk>
    <bk>
      <rc t="2" v="10360"/>
    </bk>
    <bk>
      <rc t="2" v="10361"/>
    </bk>
    <bk>
      <rc t="2" v="10362"/>
    </bk>
    <bk>
      <rc t="2" v="10363"/>
    </bk>
    <bk>
      <rc t="2" v="10364"/>
    </bk>
    <bk>
      <rc t="2" v="10365"/>
    </bk>
    <bk>
      <rc t="2" v="10366"/>
    </bk>
    <bk>
      <rc t="2" v="10367"/>
    </bk>
    <bk>
      <rc t="2" v="10368"/>
    </bk>
    <bk>
      <rc t="2" v="10369"/>
    </bk>
    <bk>
      <rc t="2" v="10370"/>
    </bk>
    <bk>
      <rc t="2" v="10371"/>
    </bk>
    <bk>
      <rc t="2" v="10372"/>
    </bk>
    <bk>
      <rc t="2" v="10373"/>
    </bk>
    <bk>
      <rc t="2" v="10374"/>
    </bk>
    <bk>
      <rc t="2" v="10375"/>
    </bk>
    <bk>
      <rc t="2" v="10376"/>
    </bk>
    <bk>
      <rc t="2" v="10377"/>
    </bk>
    <bk>
      <rc t="2" v="10378"/>
    </bk>
    <bk>
      <rc t="2" v="10379"/>
    </bk>
    <bk>
      <rc t="2" v="10380"/>
    </bk>
    <bk>
      <rc t="2" v="10381"/>
    </bk>
    <bk>
      <rc t="2" v="10382"/>
    </bk>
    <bk>
      <rc t="2" v="10383"/>
    </bk>
    <bk>
      <rc t="2" v="10384"/>
    </bk>
    <bk>
      <rc t="2" v="10385"/>
    </bk>
    <bk>
      <rc t="2" v="10386"/>
    </bk>
    <bk>
      <rc t="2" v="10387"/>
    </bk>
    <bk>
      <rc t="2" v="10388"/>
    </bk>
    <bk>
      <rc t="2" v="10389"/>
    </bk>
    <bk>
      <rc t="2" v="10390"/>
    </bk>
    <bk>
      <rc t="2" v="10391"/>
    </bk>
    <bk>
      <rc t="2" v="10392"/>
    </bk>
    <bk>
      <rc t="2" v="10393"/>
    </bk>
    <bk>
      <rc t="2" v="10394"/>
    </bk>
    <bk>
      <rc t="2" v="10395"/>
    </bk>
    <bk>
      <rc t="2" v="10396"/>
    </bk>
    <bk>
      <rc t="2" v="10397"/>
    </bk>
    <bk>
      <rc t="2" v="10398"/>
    </bk>
    <bk>
      <rc t="2" v="10399"/>
    </bk>
    <bk>
      <rc t="2" v="10400"/>
    </bk>
    <bk>
      <rc t="2" v="10401"/>
    </bk>
    <bk>
      <rc t="2" v="10402"/>
    </bk>
    <bk>
      <rc t="2" v="10403"/>
    </bk>
    <bk>
      <rc t="2" v="10404"/>
    </bk>
    <bk>
      <rc t="2" v="10405"/>
    </bk>
    <bk>
      <rc t="2" v="10406"/>
    </bk>
    <bk>
      <rc t="2" v="10407"/>
    </bk>
    <bk>
      <rc t="2" v="10408"/>
    </bk>
    <bk>
      <rc t="2" v="10409"/>
    </bk>
    <bk>
      <rc t="2" v="10410"/>
    </bk>
    <bk>
      <rc t="2" v="10411"/>
    </bk>
    <bk>
      <rc t="2" v="10412"/>
    </bk>
    <bk>
      <rc t="2" v="10413"/>
    </bk>
    <bk>
      <rc t="2" v="10414"/>
    </bk>
    <bk>
      <rc t="2" v="10415"/>
    </bk>
    <bk>
      <rc t="2" v="10416"/>
    </bk>
    <bk>
      <rc t="2" v="10417"/>
    </bk>
    <bk>
      <rc t="2" v="10418"/>
    </bk>
    <bk>
      <rc t="2" v="10419"/>
    </bk>
    <bk>
      <rc t="2" v="10420"/>
    </bk>
    <bk>
      <rc t="2" v="10421"/>
    </bk>
    <bk>
      <rc t="2" v="10422"/>
    </bk>
    <bk>
      <rc t="2" v="10423"/>
    </bk>
    <bk>
      <rc t="2" v="10424"/>
    </bk>
    <bk>
      <rc t="2" v="10425"/>
    </bk>
    <bk>
      <rc t="2" v="10426"/>
    </bk>
    <bk>
      <rc t="2" v="10427"/>
    </bk>
    <bk>
      <rc t="2" v="10428"/>
    </bk>
    <bk>
      <rc t="2" v="10429"/>
    </bk>
    <bk>
      <rc t="2" v="10430"/>
    </bk>
    <bk>
      <rc t="2" v="10431"/>
    </bk>
    <bk>
      <rc t="2" v="10432"/>
    </bk>
    <bk>
      <rc t="2" v="10433"/>
    </bk>
    <bk>
      <rc t="2" v="10434"/>
    </bk>
    <bk>
      <rc t="2" v="10435"/>
    </bk>
    <bk>
      <rc t="2" v="10436"/>
    </bk>
    <bk>
      <rc t="2" v="10437"/>
    </bk>
    <bk>
      <rc t="2" v="10438"/>
    </bk>
    <bk>
      <rc t="2" v="10439"/>
    </bk>
    <bk>
      <rc t="2" v="10440"/>
    </bk>
    <bk>
      <rc t="2" v="10441"/>
    </bk>
    <bk>
      <rc t="2" v="10442"/>
    </bk>
    <bk>
      <rc t="2" v="10443"/>
    </bk>
    <bk>
      <rc t="2" v="10444"/>
    </bk>
    <bk>
      <rc t="2" v="10445"/>
    </bk>
    <bk>
      <rc t="2" v="10446"/>
    </bk>
    <bk>
      <rc t="2" v="10447"/>
    </bk>
    <bk>
      <rc t="2" v="10448"/>
    </bk>
    <bk>
      <rc t="2" v="10449"/>
    </bk>
    <bk>
      <rc t="2" v="10450"/>
    </bk>
    <bk>
      <rc t="2" v="10451"/>
    </bk>
    <bk>
      <rc t="2" v="10452"/>
    </bk>
    <bk>
      <rc t="2" v="10453"/>
    </bk>
    <bk>
      <rc t="2" v="10454"/>
    </bk>
    <bk>
      <rc t="2" v="10455"/>
    </bk>
    <bk>
      <rc t="2" v="10456"/>
    </bk>
    <bk>
      <rc t="2" v="10457"/>
    </bk>
    <bk>
      <rc t="2" v="10458"/>
    </bk>
    <bk>
      <rc t="2" v="10459"/>
    </bk>
    <bk>
      <rc t="2" v="10460"/>
    </bk>
    <bk>
      <rc t="2" v="10461"/>
    </bk>
    <bk>
      <rc t="2" v="10462"/>
    </bk>
    <bk>
      <rc t="2" v="10463"/>
    </bk>
    <bk>
      <rc t="2" v="10464"/>
    </bk>
    <bk>
      <rc t="2" v="10465"/>
    </bk>
    <bk>
      <rc t="2" v="10466"/>
    </bk>
    <bk>
      <rc t="2" v="10467"/>
    </bk>
    <bk>
      <rc t="2" v="10468"/>
    </bk>
    <bk>
      <rc t="2" v="10469"/>
    </bk>
    <bk>
      <rc t="2" v="10470"/>
    </bk>
    <bk>
      <rc t="2" v="10471"/>
    </bk>
    <bk>
      <rc t="2" v="10472"/>
    </bk>
    <bk>
      <rc t="2" v="10473"/>
    </bk>
    <bk>
      <rc t="2" v="10474"/>
    </bk>
    <bk>
      <rc t="2" v="10475"/>
    </bk>
    <bk>
      <rc t="2" v="10476"/>
    </bk>
    <bk>
      <rc t="2" v="10477"/>
    </bk>
    <bk>
      <rc t="2" v="10478"/>
    </bk>
    <bk>
      <rc t="2" v="10479"/>
    </bk>
    <bk>
      <rc t="2" v="10480"/>
    </bk>
    <bk>
      <rc t="2" v="10481"/>
    </bk>
    <bk>
      <rc t="2" v="10482"/>
    </bk>
    <bk>
      <rc t="2" v="10483"/>
    </bk>
    <bk>
      <rc t="2" v="10484"/>
    </bk>
    <bk>
      <rc t="2" v="10485"/>
    </bk>
    <bk>
      <rc t="2" v="10486"/>
    </bk>
    <bk>
      <rc t="2" v="10487"/>
    </bk>
    <bk>
      <rc t="2" v="10488"/>
    </bk>
    <bk>
      <rc t="2" v="10489"/>
    </bk>
    <bk>
      <rc t="2" v="10490"/>
    </bk>
    <bk>
      <rc t="2" v="10491"/>
    </bk>
    <bk>
      <rc t="2" v="10492"/>
    </bk>
    <bk>
      <rc t="2" v="10493"/>
    </bk>
    <bk>
      <rc t="2" v="10494"/>
    </bk>
    <bk>
      <rc t="2" v="10495"/>
    </bk>
    <bk>
      <rc t="2" v="10496"/>
    </bk>
    <bk>
      <rc t="2" v="10497"/>
    </bk>
    <bk>
      <rc t="2" v="10498"/>
    </bk>
    <bk>
      <rc t="2" v="10499"/>
    </bk>
    <bk>
      <rc t="2" v="10500"/>
    </bk>
    <bk>
      <rc t="2" v="10501"/>
    </bk>
    <bk>
      <rc t="2" v="10502"/>
    </bk>
    <bk>
      <rc t="2" v="10503"/>
    </bk>
    <bk>
      <rc t="2" v="10504"/>
    </bk>
    <bk>
      <rc t="2" v="10505"/>
    </bk>
    <bk>
      <rc t="2" v="10506"/>
    </bk>
    <bk>
      <rc t="2" v="10507"/>
    </bk>
    <bk>
      <rc t="2" v="10508"/>
    </bk>
    <bk>
      <rc t="2" v="10509"/>
    </bk>
    <bk>
      <rc t="2" v="10510"/>
    </bk>
    <bk>
      <rc t="2" v="10511"/>
    </bk>
    <bk>
      <rc t="2" v="10512"/>
    </bk>
    <bk>
      <rc t="2" v="10513"/>
    </bk>
    <bk>
      <rc t="2" v="10514"/>
    </bk>
    <bk>
      <rc t="2" v="10515"/>
    </bk>
    <bk>
      <rc t="2" v="10516"/>
    </bk>
    <bk>
      <rc t="2" v="10517"/>
    </bk>
    <bk>
      <rc t="2" v="10518"/>
    </bk>
    <bk>
      <rc t="2" v="10519"/>
    </bk>
    <bk>
      <rc t="2" v="10520"/>
    </bk>
    <bk>
      <rc t="2" v="10521"/>
    </bk>
    <bk>
      <rc t="2" v="10522"/>
    </bk>
    <bk>
      <rc t="2" v="10523"/>
    </bk>
    <bk>
      <rc t="2" v="10524"/>
    </bk>
    <bk>
      <rc t="2" v="10525"/>
    </bk>
    <bk>
      <rc t="2" v="10526"/>
    </bk>
    <bk>
      <rc t="2" v="10527"/>
    </bk>
    <bk>
      <rc t="2" v="10528"/>
    </bk>
    <bk>
      <rc t="2" v="10529"/>
    </bk>
    <bk>
      <rc t="2" v="10530"/>
    </bk>
    <bk>
      <rc t="2" v="10531"/>
    </bk>
    <bk>
      <rc t="2" v="10532"/>
    </bk>
    <bk>
      <rc t="2" v="10533"/>
    </bk>
    <bk>
      <rc t="2" v="10534"/>
    </bk>
    <bk>
      <rc t="2" v="10535"/>
    </bk>
    <bk>
      <rc t="2" v="10536"/>
    </bk>
    <bk>
      <rc t="2" v="10537"/>
    </bk>
    <bk>
      <rc t="2" v="10538"/>
    </bk>
    <bk>
      <rc t="2" v="10539"/>
    </bk>
    <bk>
      <rc t="2" v="10540"/>
    </bk>
    <bk>
      <rc t="2" v="10541"/>
    </bk>
    <bk>
      <rc t="2" v="10542"/>
    </bk>
    <bk>
      <rc t="2" v="10543"/>
    </bk>
    <bk>
      <rc t="2" v="10544"/>
    </bk>
    <bk>
      <rc t="2" v="10545"/>
    </bk>
    <bk>
      <rc t="2" v="10546"/>
    </bk>
    <bk>
      <rc t="2" v="10547"/>
    </bk>
    <bk>
      <rc t="2" v="10548"/>
    </bk>
    <bk>
      <rc t="2" v="10549"/>
    </bk>
    <bk>
      <rc t="2" v="10550"/>
    </bk>
    <bk>
      <rc t="2" v="10551"/>
    </bk>
    <bk>
      <rc t="2" v="10552"/>
    </bk>
    <bk>
      <rc t="2" v="10553"/>
    </bk>
    <bk>
      <rc t="2" v="10554"/>
    </bk>
    <bk>
      <rc t="2" v="10555"/>
    </bk>
    <bk>
      <rc t="2" v="10556"/>
    </bk>
    <bk>
      <rc t="2" v="10557"/>
    </bk>
    <bk>
      <rc t="2" v="10558"/>
    </bk>
    <bk>
      <rc t="2" v="10559"/>
    </bk>
    <bk>
      <rc t="2" v="10560"/>
    </bk>
    <bk>
      <rc t="2" v="10561"/>
    </bk>
    <bk>
      <rc t="2" v="10562"/>
    </bk>
    <bk>
      <rc t="2" v="10563"/>
    </bk>
    <bk>
      <rc t="2" v="10564"/>
    </bk>
    <bk>
      <rc t="2" v="10565"/>
    </bk>
    <bk>
      <rc t="2" v="10566"/>
    </bk>
    <bk>
      <rc t="2" v="10567"/>
    </bk>
    <bk>
      <rc t="2" v="10568"/>
    </bk>
    <bk>
      <rc t="2" v="10569"/>
    </bk>
    <bk>
      <rc t="2" v="10570"/>
    </bk>
    <bk>
      <rc t="2" v="10571"/>
    </bk>
    <bk>
      <rc t="2" v="10572"/>
    </bk>
    <bk>
      <rc t="2" v="10573"/>
    </bk>
    <bk>
      <rc t="2" v="10574"/>
    </bk>
    <bk>
      <rc t="2" v="10575"/>
    </bk>
    <bk>
      <rc t="2" v="10576"/>
    </bk>
    <bk>
      <rc t="2" v="10577"/>
    </bk>
    <bk>
      <rc t="2" v="10578"/>
    </bk>
    <bk>
      <rc t="2" v="10579"/>
    </bk>
    <bk>
      <rc t="2" v="10580"/>
    </bk>
    <bk>
      <rc t="2" v="10581"/>
    </bk>
    <bk>
      <rc t="2" v="10582"/>
    </bk>
    <bk>
      <rc t="2" v="10583"/>
    </bk>
    <bk>
      <rc t="2" v="10584"/>
    </bk>
    <bk>
      <rc t="2" v="10585"/>
    </bk>
    <bk>
      <rc t="2" v="10586"/>
    </bk>
    <bk>
      <rc t="2" v="10587"/>
    </bk>
    <bk>
      <rc t="2" v="10588"/>
    </bk>
    <bk>
      <rc t="2" v="10589"/>
    </bk>
    <bk>
      <rc t="2" v="10590"/>
    </bk>
    <bk>
      <rc t="2" v="10591"/>
    </bk>
    <bk>
      <rc t="2" v="10592"/>
    </bk>
    <bk>
      <rc t="2" v="10593"/>
    </bk>
    <bk>
      <rc t="2" v="10594"/>
    </bk>
    <bk>
      <rc t="2" v="10595"/>
    </bk>
    <bk>
      <rc t="2" v="10596"/>
    </bk>
    <bk>
      <rc t="2" v="10597"/>
    </bk>
    <bk>
      <rc t="2" v="10598"/>
    </bk>
    <bk>
      <rc t="2" v="10599"/>
    </bk>
    <bk>
      <rc t="2" v="10600"/>
    </bk>
    <bk>
      <rc t="2" v="10601"/>
    </bk>
    <bk>
      <rc t="2" v="10602"/>
    </bk>
    <bk>
      <rc t="2" v="10603"/>
    </bk>
    <bk>
      <rc t="2" v="10604"/>
    </bk>
    <bk>
      <rc t="2" v="10605"/>
    </bk>
    <bk>
      <rc t="2" v="10606"/>
    </bk>
    <bk>
      <rc t="2" v="10607"/>
    </bk>
    <bk>
      <rc t="2" v="10608"/>
    </bk>
    <bk>
      <rc t="2" v="10609"/>
    </bk>
    <bk>
      <rc t="2" v="10610"/>
    </bk>
    <bk>
      <rc t="2" v="10611"/>
    </bk>
    <bk>
      <rc t="2" v="10612"/>
    </bk>
    <bk>
      <rc t="2" v="10613"/>
    </bk>
    <bk>
      <rc t="2" v="10614"/>
    </bk>
    <bk>
      <rc t="2" v="10615"/>
    </bk>
    <bk>
      <rc t="2" v="10616"/>
    </bk>
    <bk>
      <rc t="2" v="10617"/>
    </bk>
    <bk>
      <rc t="2" v="10618"/>
    </bk>
    <bk>
      <rc t="2" v="10619"/>
    </bk>
    <bk>
      <rc t="2" v="10620"/>
    </bk>
    <bk>
      <rc t="2" v="10621"/>
    </bk>
    <bk>
      <rc t="2" v="10622"/>
    </bk>
    <bk>
      <rc t="2" v="10623"/>
    </bk>
    <bk>
      <rc t="2" v="10624"/>
    </bk>
    <bk>
      <rc t="2" v="10625"/>
    </bk>
    <bk>
      <rc t="2" v="10626"/>
    </bk>
    <bk>
      <rc t="2" v="10627"/>
    </bk>
    <bk>
      <rc t="2" v="10628"/>
    </bk>
    <bk>
      <rc t="2" v="10629"/>
    </bk>
    <bk>
      <rc t="2" v="10630"/>
    </bk>
    <bk>
      <rc t="2" v="10631"/>
    </bk>
    <bk>
      <rc t="2" v="10632"/>
    </bk>
    <bk>
      <rc t="2" v="10633"/>
    </bk>
    <bk>
      <rc t="2" v="10634"/>
    </bk>
    <bk>
      <rc t="2" v="10635"/>
    </bk>
    <bk>
      <rc t="2" v="10636"/>
    </bk>
    <bk>
      <rc t="2" v="10637"/>
    </bk>
    <bk>
      <rc t="2" v="10638"/>
    </bk>
    <bk>
      <rc t="2" v="10639"/>
    </bk>
    <bk>
      <rc t="2" v="10640"/>
    </bk>
    <bk>
      <rc t="2" v="10641"/>
    </bk>
    <bk>
      <rc t="2" v="10642"/>
    </bk>
    <bk>
      <rc t="2" v="10643"/>
    </bk>
    <bk>
      <rc t="2" v="10644"/>
    </bk>
    <bk>
      <rc t="2" v="10645"/>
    </bk>
    <bk>
      <rc t="2" v="10646"/>
    </bk>
    <bk>
      <rc t="2" v="10647"/>
    </bk>
    <bk>
      <rc t="2" v="10648"/>
    </bk>
    <bk>
      <rc t="2" v="10649"/>
    </bk>
    <bk>
      <rc t="2" v="10650"/>
    </bk>
    <bk>
      <rc t="2" v="10651"/>
    </bk>
    <bk>
      <rc t="2" v="10652"/>
    </bk>
    <bk>
      <rc t="2" v="10653"/>
    </bk>
    <bk>
      <rc t="2" v="10654"/>
    </bk>
    <bk>
      <rc t="2" v="10655"/>
    </bk>
    <bk>
      <rc t="2" v="10656"/>
    </bk>
    <bk>
      <rc t="2" v="10657"/>
    </bk>
    <bk>
      <rc t="2" v="10658"/>
    </bk>
    <bk>
      <rc t="2" v="10659"/>
    </bk>
    <bk>
      <rc t="2" v="10660"/>
    </bk>
    <bk>
      <rc t="2" v="10661"/>
    </bk>
    <bk>
      <rc t="2" v="10662"/>
    </bk>
    <bk>
      <rc t="2" v="10663"/>
    </bk>
    <bk>
      <rc t="2" v="10664"/>
    </bk>
    <bk>
      <rc t="2" v="10665"/>
    </bk>
    <bk>
      <rc t="2" v="10666"/>
    </bk>
    <bk>
      <rc t="2" v="10667"/>
    </bk>
    <bk>
      <rc t="2" v="10668"/>
    </bk>
    <bk>
      <rc t="2" v="10669"/>
    </bk>
    <bk>
      <rc t="2" v="10670"/>
    </bk>
    <bk>
      <rc t="2" v="10671"/>
    </bk>
    <bk>
      <rc t="2" v="10672"/>
    </bk>
    <bk>
      <rc t="2" v="10673"/>
    </bk>
    <bk>
      <rc t="2" v="10674"/>
    </bk>
    <bk>
      <rc t="2" v="10675"/>
    </bk>
    <bk>
      <rc t="2" v="10676"/>
    </bk>
    <bk>
      <rc t="2" v="10677"/>
    </bk>
    <bk>
      <rc t="2" v="10678"/>
    </bk>
    <bk>
      <rc t="2" v="10679"/>
    </bk>
    <bk>
      <rc t="2" v="10680"/>
    </bk>
    <bk>
      <rc t="2" v="10681"/>
    </bk>
    <bk>
      <rc t="2" v="10682"/>
    </bk>
    <bk>
      <rc t="2" v="10683"/>
    </bk>
    <bk>
      <rc t="2" v="10684"/>
    </bk>
    <bk>
      <rc t="2" v="10685"/>
    </bk>
    <bk>
      <rc t="2" v="10686"/>
    </bk>
    <bk>
      <rc t="2" v="10687"/>
    </bk>
    <bk>
      <rc t="2" v="10688"/>
    </bk>
    <bk>
      <rc t="2" v="10689"/>
    </bk>
    <bk>
      <rc t="2" v="10690"/>
    </bk>
    <bk>
      <rc t="2" v="10691"/>
    </bk>
    <bk>
      <rc t="2" v="10692"/>
    </bk>
    <bk>
      <rc t="2" v="10693"/>
    </bk>
    <bk>
      <rc t="2" v="10694"/>
    </bk>
    <bk>
      <rc t="2" v="10695"/>
    </bk>
    <bk>
      <rc t="2" v="10696"/>
    </bk>
    <bk>
      <rc t="2" v="10697"/>
    </bk>
    <bk>
      <rc t="2" v="10698"/>
    </bk>
    <bk>
      <rc t="2" v="10699"/>
    </bk>
    <bk>
      <rc t="2" v="10700"/>
    </bk>
    <bk>
      <rc t="2" v="10701"/>
    </bk>
    <bk>
      <rc t="2" v="10702"/>
    </bk>
    <bk>
      <rc t="2" v="10703"/>
    </bk>
    <bk>
      <rc t="2" v="10704"/>
    </bk>
    <bk>
      <rc t="2" v="10705"/>
    </bk>
    <bk>
      <rc t="2" v="10706"/>
    </bk>
    <bk>
      <rc t="2" v="10707"/>
    </bk>
    <bk>
      <rc t="2" v="10708"/>
    </bk>
    <bk>
      <rc t="2" v="10709"/>
    </bk>
    <bk>
      <rc t="2" v="10710"/>
    </bk>
    <bk>
      <rc t="2" v="10711"/>
    </bk>
    <bk>
      <rc t="2" v="10712"/>
    </bk>
    <bk>
      <rc t="2" v="10713"/>
    </bk>
    <bk>
      <rc t="2" v="10714"/>
    </bk>
    <bk>
      <rc t="2" v="10715"/>
    </bk>
    <bk>
      <rc t="2" v="10716"/>
    </bk>
    <bk>
      <rc t="2" v="10717"/>
    </bk>
    <bk>
      <rc t="2" v="10718"/>
    </bk>
    <bk>
      <rc t="2" v="10719"/>
    </bk>
    <bk>
      <rc t="2" v="10720"/>
    </bk>
    <bk>
      <rc t="2" v="10721"/>
    </bk>
    <bk>
      <rc t="2" v="10722"/>
    </bk>
    <bk>
      <rc t="2" v="10723"/>
    </bk>
    <bk>
      <rc t="2" v="10724"/>
    </bk>
    <bk>
      <rc t="2" v="10725"/>
    </bk>
    <bk>
      <rc t="2" v="10726"/>
    </bk>
    <bk>
      <rc t="2" v="10727"/>
    </bk>
    <bk>
      <rc t="2" v="10728"/>
    </bk>
    <bk>
      <rc t="2" v="10729"/>
    </bk>
    <bk>
      <rc t="2" v="10730"/>
    </bk>
    <bk>
      <rc t="2" v="10731"/>
    </bk>
    <bk>
      <rc t="2" v="10732"/>
    </bk>
    <bk>
      <rc t="2" v="10733"/>
    </bk>
    <bk>
      <rc t="2" v="10734"/>
    </bk>
    <bk>
      <rc t="2" v="10735"/>
    </bk>
    <bk>
      <rc t="2" v="10736"/>
    </bk>
    <bk>
      <rc t="2" v="10737"/>
    </bk>
    <bk>
      <rc t="2" v="10738"/>
    </bk>
    <bk>
      <rc t="2" v="10739"/>
    </bk>
    <bk>
      <rc t="2" v="10740"/>
    </bk>
    <bk>
      <rc t="2" v="10741"/>
    </bk>
    <bk>
      <rc t="2" v="10742"/>
    </bk>
    <bk>
      <rc t="2" v="10743"/>
    </bk>
    <bk>
      <rc t="2" v="10744"/>
    </bk>
    <bk>
      <rc t="2" v="10745"/>
    </bk>
    <bk>
      <rc t="2" v="10746"/>
    </bk>
    <bk>
      <rc t="2" v="10747"/>
    </bk>
    <bk>
      <rc t="2" v="10748"/>
    </bk>
    <bk>
      <rc t="2" v="10749"/>
    </bk>
    <bk>
      <rc t="2" v="10750"/>
    </bk>
    <bk>
      <rc t="2" v="10751"/>
    </bk>
    <bk>
      <rc t="2" v="10752"/>
    </bk>
    <bk>
      <rc t="2" v="10753"/>
    </bk>
    <bk>
      <rc t="2" v="10754"/>
    </bk>
    <bk>
      <rc t="2" v="10755"/>
    </bk>
    <bk>
      <rc t="2" v="10756"/>
    </bk>
    <bk>
      <rc t="2" v="10757"/>
    </bk>
    <bk>
      <rc t="2" v="10758"/>
    </bk>
    <bk>
      <rc t="2" v="10759"/>
    </bk>
    <bk>
      <rc t="2" v="10760"/>
    </bk>
    <bk>
      <rc t="2" v="10761"/>
    </bk>
    <bk>
      <rc t="2" v="10762"/>
    </bk>
    <bk>
      <rc t="2" v="10763"/>
    </bk>
    <bk>
      <rc t="2" v="10764"/>
    </bk>
    <bk>
      <rc t="2" v="10765"/>
    </bk>
    <bk>
      <rc t="2" v="10766"/>
    </bk>
    <bk>
      <rc t="2" v="10767"/>
    </bk>
    <bk>
      <rc t="2" v="10768"/>
    </bk>
    <bk>
      <rc t="2" v="10769"/>
    </bk>
    <bk>
      <rc t="2" v="10770"/>
    </bk>
    <bk>
      <rc t="2" v="10771"/>
    </bk>
    <bk>
      <rc t="2" v="10772"/>
    </bk>
    <bk>
      <rc t="2" v="10773"/>
    </bk>
    <bk>
      <rc t="2" v="10774"/>
    </bk>
    <bk>
      <rc t="2" v="10775"/>
    </bk>
    <bk>
      <rc t="2" v="10776"/>
    </bk>
    <bk>
      <rc t="2" v="10777"/>
    </bk>
    <bk>
      <rc t="2" v="10778"/>
    </bk>
    <bk>
      <rc t="2" v="10779"/>
    </bk>
    <bk>
      <rc t="2" v="10780"/>
    </bk>
    <bk>
      <rc t="2" v="10781"/>
    </bk>
    <bk>
      <rc t="2" v="10782"/>
    </bk>
    <bk>
      <rc t="2" v="10783"/>
    </bk>
    <bk>
      <rc t="2" v="10784"/>
    </bk>
    <bk>
      <rc t="2" v="10785"/>
    </bk>
    <bk>
      <rc t="2" v="10786"/>
    </bk>
    <bk>
      <rc t="2" v="10787"/>
    </bk>
    <bk>
      <rc t="2" v="10788"/>
    </bk>
    <bk>
      <rc t="2" v="10789"/>
    </bk>
    <bk>
      <rc t="2" v="10790"/>
    </bk>
    <bk>
      <rc t="2" v="10791"/>
    </bk>
    <bk>
      <rc t="2" v="10792"/>
    </bk>
    <bk>
      <rc t="2" v="10793"/>
    </bk>
    <bk>
      <rc t="2" v="10794"/>
    </bk>
    <bk>
      <rc t="2" v="10795"/>
    </bk>
    <bk>
      <rc t="2" v="10796"/>
    </bk>
    <bk>
      <rc t="2" v="10797"/>
    </bk>
    <bk>
      <rc t="2" v="10798"/>
    </bk>
    <bk>
      <rc t="2" v="10799"/>
    </bk>
    <bk>
      <rc t="2" v="10800"/>
    </bk>
    <bk>
      <rc t="2" v="10801"/>
    </bk>
    <bk>
      <rc t="2" v="10802"/>
    </bk>
    <bk>
      <rc t="2" v="10803"/>
    </bk>
    <bk>
      <rc t="2" v="10804"/>
    </bk>
    <bk>
      <rc t="2" v="10805"/>
    </bk>
    <bk>
      <rc t="2" v="10806"/>
    </bk>
    <bk>
      <rc t="2" v="10807"/>
    </bk>
    <bk>
      <rc t="2" v="10808"/>
    </bk>
    <bk>
      <rc t="2" v="10809"/>
    </bk>
    <bk>
      <rc t="2" v="10810"/>
    </bk>
    <bk>
      <rc t="2" v="10811"/>
    </bk>
    <bk>
      <rc t="2" v="10812"/>
    </bk>
    <bk>
      <rc t="2" v="10813"/>
    </bk>
    <bk>
      <rc t="2" v="10814"/>
    </bk>
    <bk>
      <rc t="2" v="10815"/>
    </bk>
    <bk>
      <rc t="2" v="10816"/>
    </bk>
    <bk>
      <rc t="2" v="10817"/>
    </bk>
    <bk>
      <rc t="2" v="10818"/>
    </bk>
    <bk>
      <rc t="2" v="10819"/>
    </bk>
    <bk>
      <rc t="2" v="10820"/>
    </bk>
    <bk>
      <rc t="2" v="10821"/>
    </bk>
    <bk>
      <rc t="2" v="10822"/>
    </bk>
    <bk>
      <rc t="2" v="10823"/>
    </bk>
    <bk>
      <rc t="2" v="10824"/>
    </bk>
    <bk>
      <rc t="2" v="10825"/>
    </bk>
    <bk>
      <rc t="2" v="10826"/>
    </bk>
    <bk>
      <rc t="2" v="10827"/>
    </bk>
    <bk>
      <rc t="2" v="10828"/>
    </bk>
    <bk>
      <rc t="2" v="10829"/>
    </bk>
    <bk>
      <rc t="2" v="10830"/>
    </bk>
    <bk>
      <rc t="2" v="10831"/>
    </bk>
    <bk>
      <rc t="2" v="10832"/>
    </bk>
    <bk>
      <rc t="2" v="10833"/>
    </bk>
    <bk>
      <rc t="2" v="10834"/>
    </bk>
    <bk>
      <rc t="2" v="10835"/>
    </bk>
    <bk>
      <rc t="2" v="10836"/>
    </bk>
    <bk>
      <rc t="2" v="10837"/>
    </bk>
    <bk>
      <rc t="2" v="10838"/>
    </bk>
    <bk>
      <rc t="2" v="10839"/>
    </bk>
    <bk>
      <rc t="2" v="10840"/>
    </bk>
    <bk>
      <rc t="2" v="10841"/>
    </bk>
    <bk>
      <rc t="2" v="10842"/>
    </bk>
    <bk>
      <rc t="2" v="10843"/>
    </bk>
    <bk>
      <rc t="2" v="10844"/>
    </bk>
    <bk>
      <rc t="2" v="10845"/>
    </bk>
    <bk>
      <rc t="2" v="10846"/>
    </bk>
    <bk>
      <rc t="2" v="10847"/>
    </bk>
    <bk>
      <rc t="2" v="10848"/>
    </bk>
    <bk>
      <rc t="2" v="10849"/>
    </bk>
    <bk>
      <rc t="2" v="10850"/>
    </bk>
    <bk>
      <rc t="2" v="10851"/>
    </bk>
    <bk>
      <rc t="2" v="10852"/>
    </bk>
    <bk>
      <rc t="2" v="10853"/>
    </bk>
    <bk>
      <rc t="2" v="10854"/>
    </bk>
    <bk>
      <rc t="2" v="10855"/>
    </bk>
    <bk>
      <rc t="2" v="10856"/>
    </bk>
    <bk>
      <rc t="2" v="10857"/>
    </bk>
    <bk>
      <rc t="2" v="10858"/>
    </bk>
    <bk>
      <rc t="2" v="10859"/>
    </bk>
    <bk>
      <rc t="2" v="10860"/>
    </bk>
    <bk>
      <rc t="2" v="10861"/>
    </bk>
    <bk>
      <rc t="2" v="10862"/>
    </bk>
    <bk>
      <rc t="2" v="10863"/>
    </bk>
    <bk>
      <rc t="2" v="10864"/>
    </bk>
    <bk>
      <rc t="2" v="10865"/>
    </bk>
    <bk>
      <rc t="2" v="10866"/>
    </bk>
    <bk>
      <rc t="2" v="10867"/>
    </bk>
    <bk>
      <rc t="2" v="10868"/>
    </bk>
    <bk>
      <rc t="2" v="10869"/>
    </bk>
    <bk>
      <rc t="2" v="10870"/>
    </bk>
    <bk>
      <rc t="2" v="10871"/>
    </bk>
    <bk>
      <rc t="2" v="10872"/>
    </bk>
    <bk>
      <rc t="2" v="10873"/>
    </bk>
    <bk>
      <rc t="2" v="10874"/>
    </bk>
    <bk>
      <rc t="2" v="10875"/>
    </bk>
    <bk>
      <rc t="2" v="10876"/>
    </bk>
    <bk>
      <rc t="2" v="10877"/>
    </bk>
    <bk>
      <rc t="2" v="10878"/>
    </bk>
    <bk>
      <rc t="2" v="10879"/>
    </bk>
    <bk>
      <rc t="2" v="10880"/>
    </bk>
    <bk>
      <rc t="2" v="10881"/>
    </bk>
    <bk>
      <rc t="2" v="10882"/>
    </bk>
    <bk>
      <rc t="2" v="10883"/>
    </bk>
    <bk>
      <rc t="2" v="10884"/>
    </bk>
    <bk>
      <rc t="2" v="10885"/>
    </bk>
    <bk>
      <rc t="2" v="10886"/>
    </bk>
    <bk>
      <rc t="2" v="10887"/>
    </bk>
    <bk>
      <rc t="2" v="10888"/>
    </bk>
    <bk>
      <rc t="2" v="10889"/>
    </bk>
    <bk>
      <rc t="2" v="10890"/>
    </bk>
    <bk>
      <rc t="2" v="10891"/>
    </bk>
    <bk>
      <rc t="2" v="10892"/>
    </bk>
    <bk>
      <rc t="2" v="10893"/>
    </bk>
    <bk>
      <rc t="2" v="10894"/>
    </bk>
    <bk>
      <rc t="2" v="10895"/>
    </bk>
    <bk>
      <rc t="2" v="10896"/>
    </bk>
    <bk>
      <rc t="2" v="10897"/>
    </bk>
    <bk>
      <rc t="2" v="10898"/>
    </bk>
    <bk>
      <rc t="2" v="10899"/>
    </bk>
    <bk>
      <rc t="2" v="10900"/>
    </bk>
    <bk>
      <rc t="2" v="10901"/>
    </bk>
    <bk>
      <rc t="2" v="10902"/>
    </bk>
    <bk>
      <rc t="2" v="10903"/>
    </bk>
    <bk>
      <rc t="2" v="10904"/>
    </bk>
    <bk>
      <rc t="2" v="10905"/>
    </bk>
    <bk>
      <rc t="2" v="10906"/>
    </bk>
    <bk>
      <rc t="2" v="10907"/>
    </bk>
    <bk>
      <rc t="2" v="10908"/>
    </bk>
    <bk>
      <rc t="2" v="10909"/>
    </bk>
    <bk>
      <rc t="2" v="10910"/>
    </bk>
    <bk>
      <rc t="2" v="10911"/>
    </bk>
    <bk>
      <rc t="2" v="10912"/>
    </bk>
    <bk>
      <rc t="2" v="10913"/>
    </bk>
    <bk>
      <rc t="2" v="10914"/>
    </bk>
    <bk>
      <rc t="2" v="10915"/>
    </bk>
    <bk>
      <rc t="2" v="10916"/>
    </bk>
    <bk>
      <rc t="2" v="10917"/>
    </bk>
    <bk>
      <rc t="2" v="10918"/>
    </bk>
    <bk>
      <rc t="2" v="10919"/>
    </bk>
    <bk>
      <rc t="2" v="10920"/>
    </bk>
    <bk>
      <rc t="2" v="10921"/>
    </bk>
    <bk>
      <rc t="2" v="10922"/>
    </bk>
    <bk>
      <rc t="2" v="10923"/>
    </bk>
    <bk>
      <rc t="2" v="10924"/>
    </bk>
    <bk>
      <rc t="2" v="10925"/>
    </bk>
    <bk>
      <rc t="2" v="10926"/>
    </bk>
    <bk>
      <rc t="2" v="10927"/>
    </bk>
    <bk>
      <rc t="2" v="10928"/>
    </bk>
    <bk>
      <rc t="2" v="10929"/>
    </bk>
    <bk>
      <rc t="2" v="10930"/>
    </bk>
    <bk>
      <rc t="2" v="10931"/>
    </bk>
    <bk>
      <rc t="2" v="10932"/>
    </bk>
    <bk>
      <rc t="2" v="10933"/>
    </bk>
    <bk>
      <rc t="2" v="10934"/>
    </bk>
    <bk>
      <rc t="2" v="10935"/>
    </bk>
    <bk>
      <rc t="2" v="10936"/>
    </bk>
    <bk>
      <rc t="2" v="10937"/>
    </bk>
    <bk>
      <rc t="2" v="10938"/>
    </bk>
    <bk>
      <rc t="2" v="10939"/>
    </bk>
    <bk>
      <rc t="2" v="10940"/>
    </bk>
    <bk>
      <rc t="2" v="10941"/>
    </bk>
    <bk>
      <rc t="2" v="10942"/>
    </bk>
    <bk>
      <rc t="2" v="10943"/>
    </bk>
    <bk>
      <rc t="2" v="10944"/>
    </bk>
    <bk>
      <rc t="2" v="10945"/>
    </bk>
    <bk>
      <rc t="2" v="10946"/>
    </bk>
    <bk>
      <rc t="2" v="10947"/>
    </bk>
    <bk>
      <rc t="2" v="10948"/>
    </bk>
    <bk>
      <rc t="2" v="10949"/>
    </bk>
    <bk>
      <rc t="2" v="10950"/>
    </bk>
    <bk>
      <rc t="2" v="10951"/>
    </bk>
    <bk>
      <rc t="2" v="10952"/>
    </bk>
    <bk>
      <rc t="2" v="10953"/>
    </bk>
    <bk>
      <rc t="2" v="10954"/>
    </bk>
    <bk>
      <rc t="2" v="10955"/>
    </bk>
    <bk>
      <rc t="2" v="10956"/>
    </bk>
    <bk>
      <rc t="2" v="10957"/>
    </bk>
    <bk>
      <rc t="2" v="10958"/>
    </bk>
    <bk>
      <rc t="2" v="10959"/>
    </bk>
    <bk>
      <rc t="2" v="10960"/>
    </bk>
    <bk>
      <rc t="2" v="10961"/>
    </bk>
    <bk>
      <rc t="2" v="10962"/>
    </bk>
    <bk>
      <rc t="2" v="10963"/>
    </bk>
    <bk>
      <rc t="2" v="10964"/>
    </bk>
    <bk>
      <rc t="2" v="10965"/>
    </bk>
    <bk>
      <rc t="2" v="10966"/>
    </bk>
    <bk>
      <rc t="2" v="10967"/>
    </bk>
    <bk>
      <rc t="2" v="10968"/>
    </bk>
    <bk>
      <rc t="2" v="10969"/>
    </bk>
    <bk>
      <rc t="2" v="10970"/>
    </bk>
    <bk>
      <rc t="2" v="10971"/>
    </bk>
    <bk>
      <rc t="2" v="10972"/>
    </bk>
    <bk>
      <rc t="2" v="10973"/>
    </bk>
    <bk>
      <rc t="2" v="10974"/>
    </bk>
    <bk>
      <rc t="2" v="10975"/>
    </bk>
    <bk>
      <rc t="2" v="10976"/>
    </bk>
    <bk>
      <rc t="2" v="10977"/>
    </bk>
    <bk>
      <rc t="2" v="10978"/>
    </bk>
    <bk>
      <rc t="2" v="10979"/>
    </bk>
    <bk>
      <rc t="2" v="10980"/>
    </bk>
    <bk>
      <rc t="2" v="10981"/>
    </bk>
    <bk>
      <rc t="2" v="10982"/>
    </bk>
    <bk>
      <rc t="2" v="10983"/>
    </bk>
    <bk>
      <rc t="2" v="10984"/>
    </bk>
    <bk>
      <rc t="2" v="10985"/>
    </bk>
    <bk>
      <rc t="2" v="10986"/>
    </bk>
    <bk>
      <rc t="2" v="10987"/>
    </bk>
    <bk>
      <rc t="2" v="10988"/>
    </bk>
    <bk>
      <rc t="2" v="10989"/>
    </bk>
    <bk>
      <rc t="2" v="10990"/>
    </bk>
    <bk>
      <rc t="2" v="10991"/>
    </bk>
    <bk>
      <rc t="2" v="10992"/>
    </bk>
    <bk>
      <rc t="2" v="10993"/>
    </bk>
    <bk>
      <rc t="2" v="10994"/>
    </bk>
    <bk>
      <rc t="2" v="10995"/>
    </bk>
    <bk>
      <rc t="2" v="10996"/>
    </bk>
    <bk>
      <rc t="2" v="10997"/>
    </bk>
    <bk>
      <rc t="2" v="10998"/>
    </bk>
    <bk>
      <rc t="2" v="10999"/>
    </bk>
    <bk>
      <rc t="2" v="11000"/>
    </bk>
    <bk>
      <rc t="2" v="11001"/>
    </bk>
    <bk>
      <rc t="2" v="11002"/>
    </bk>
    <bk>
      <rc t="2" v="11003"/>
    </bk>
    <bk>
      <rc t="2" v="11004"/>
    </bk>
    <bk>
      <rc t="2" v="11005"/>
    </bk>
    <bk>
      <rc t="2" v="11006"/>
    </bk>
    <bk>
      <rc t="2" v="11007"/>
    </bk>
    <bk>
      <rc t="2" v="11008"/>
    </bk>
    <bk>
      <rc t="2" v="11009"/>
    </bk>
    <bk>
      <rc t="2" v="11010"/>
    </bk>
    <bk>
      <rc t="2" v="11011"/>
    </bk>
    <bk>
      <rc t="2" v="11012"/>
    </bk>
    <bk>
      <rc t="2" v="11013"/>
    </bk>
    <bk>
      <rc t="2" v="11014"/>
    </bk>
    <bk>
      <rc t="2" v="11015"/>
    </bk>
    <bk>
      <rc t="2" v="11016"/>
    </bk>
    <bk>
      <rc t="2" v="11017"/>
    </bk>
    <bk>
      <rc t="2" v="11018"/>
    </bk>
    <bk>
      <rc t="2" v="11019"/>
    </bk>
    <bk>
      <rc t="2" v="11020"/>
    </bk>
    <bk>
      <rc t="2" v="11021"/>
    </bk>
    <bk>
      <rc t="2" v="11022"/>
    </bk>
    <bk>
      <rc t="2" v="11023"/>
    </bk>
    <bk>
      <rc t="2" v="11024"/>
    </bk>
    <bk>
      <rc t="2" v="11025"/>
    </bk>
    <bk>
      <rc t="2" v="11026"/>
    </bk>
    <bk>
      <rc t="2" v="11027"/>
    </bk>
    <bk>
      <rc t="2" v="11028"/>
    </bk>
    <bk>
      <rc t="2" v="11029"/>
    </bk>
    <bk>
      <rc t="2" v="11030"/>
    </bk>
    <bk>
      <rc t="2" v="11031"/>
    </bk>
    <bk>
      <rc t="2" v="11032"/>
    </bk>
    <bk>
      <rc t="2" v="11033"/>
    </bk>
    <bk>
      <rc t="2" v="11034"/>
    </bk>
    <bk>
      <rc t="2" v="11035"/>
    </bk>
    <bk>
      <rc t="2" v="11036"/>
    </bk>
    <bk>
      <rc t="2" v="11037"/>
    </bk>
    <bk>
      <rc t="2" v="11038"/>
    </bk>
    <bk>
      <rc t="2" v="11039"/>
    </bk>
    <bk>
      <rc t="2" v="11040"/>
    </bk>
    <bk>
      <rc t="2" v="11041"/>
    </bk>
    <bk>
      <rc t="2" v="11042"/>
    </bk>
    <bk>
      <rc t="2" v="11043"/>
    </bk>
    <bk>
      <rc t="2" v="11044"/>
    </bk>
    <bk>
      <rc t="2" v="11045"/>
    </bk>
    <bk>
      <rc t="2" v="11046"/>
    </bk>
    <bk>
      <rc t="2" v="11047"/>
    </bk>
    <bk>
      <rc t="2" v="11048"/>
    </bk>
    <bk>
      <rc t="2" v="11049"/>
    </bk>
    <bk>
      <rc t="2" v="11050"/>
    </bk>
    <bk>
      <rc t="2" v="11051"/>
    </bk>
    <bk>
      <rc t="2" v="11052"/>
    </bk>
    <bk>
      <rc t="2" v="11053"/>
    </bk>
    <bk>
      <rc t="2" v="11054"/>
    </bk>
    <bk>
      <rc t="2" v="11055"/>
    </bk>
    <bk>
      <rc t="2" v="11056"/>
    </bk>
    <bk>
      <rc t="2" v="11057"/>
    </bk>
    <bk>
      <rc t="2" v="11058"/>
    </bk>
    <bk>
      <rc t="2" v="11059"/>
    </bk>
    <bk>
      <rc t="2" v="11060"/>
    </bk>
    <bk>
      <rc t="2" v="11061"/>
    </bk>
    <bk>
      <rc t="2" v="11062"/>
    </bk>
    <bk>
      <rc t="2" v="11063"/>
    </bk>
    <bk>
      <rc t="2" v="11064"/>
    </bk>
    <bk>
      <rc t="2" v="11065"/>
    </bk>
    <bk>
      <rc t="2" v="11066"/>
    </bk>
    <bk>
      <rc t="2" v="11067"/>
    </bk>
    <bk>
      <rc t="2" v="11068"/>
    </bk>
    <bk>
      <rc t="2" v="11069"/>
    </bk>
    <bk>
      <rc t="2" v="11070"/>
    </bk>
    <bk>
      <rc t="2" v="11071"/>
    </bk>
    <bk>
      <rc t="2" v="11072"/>
    </bk>
    <bk>
      <rc t="2" v="11073"/>
    </bk>
    <bk>
      <rc t="2" v="11074"/>
    </bk>
    <bk>
      <rc t="2" v="11075"/>
    </bk>
    <bk>
      <rc t="2" v="11076"/>
    </bk>
    <bk>
      <rc t="2" v="11077"/>
    </bk>
    <bk>
      <rc t="2" v="11078"/>
    </bk>
    <bk>
      <rc t="2" v="11079"/>
    </bk>
    <bk>
      <rc t="2" v="11080"/>
    </bk>
    <bk>
      <rc t="2" v="11081"/>
    </bk>
    <bk>
      <rc t="2" v="11082"/>
    </bk>
    <bk>
      <rc t="2" v="11083"/>
    </bk>
    <bk>
      <rc t="2" v="11084"/>
    </bk>
    <bk>
      <rc t="2" v="11085"/>
    </bk>
    <bk>
      <rc t="2" v="11086"/>
    </bk>
    <bk>
      <rc t="2" v="11087"/>
    </bk>
    <bk>
      <rc t="2" v="11088"/>
    </bk>
    <bk>
      <rc t="2" v="11089"/>
    </bk>
    <bk>
      <rc t="2" v="11090"/>
    </bk>
    <bk>
      <rc t="2" v="11091"/>
    </bk>
    <bk>
      <rc t="2" v="11092"/>
    </bk>
    <bk>
      <rc t="2" v="11093"/>
    </bk>
    <bk>
      <rc t="2" v="11094"/>
    </bk>
    <bk>
      <rc t="2" v="11095"/>
    </bk>
    <bk>
      <rc t="2" v="11096"/>
    </bk>
    <bk>
      <rc t="2" v="11097"/>
    </bk>
    <bk>
      <rc t="2" v="11098"/>
    </bk>
    <bk>
      <rc t="2" v="11099"/>
    </bk>
    <bk>
      <rc t="2" v="11100"/>
    </bk>
    <bk>
      <rc t="2" v="11101"/>
    </bk>
    <bk>
      <rc t="2" v="11102"/>
    </bk>
    <bk>
      <rc t="2" v="11103"/>
    </bk>
    <bk>
      <rc t="2" v="11104"/>
    </bk>
    <bk>
      <rc t="2" v="11105"/>
    </bk>
    <bk>
      <rc t="2" v="11106"/>
    </bk>
    <bk>
      <rc t="2" v="11107"/>
    </bk>
    <bk>
      <rc t="2" v="11108"/>
    </bk>
    <bk>
      <rc t="2" v="11109"/>
    </bk>
    <bk>
      <rc t="2" v="11110"/>
    </bk>
    <bk>
      <rc t="2" v="11111"/>
    </bk>
    <bk>
      <rc t="2" v="11112"/>
    </bk>
    <bk>
      <rc t="2" v="11113"/>
    </bk>
    <bk>
      <rc t="2" v="11114"/>
    </bk>
    <bk>
      <rc t="2" v="11115"/>
    </bk>
    <bk>
      <rc t="2" v="11116"/>
    </bk>
    <bk>
      <rc t="2" v="11117"/>
    </bk>
    <bk>
      <rc t="2" v="11118"/>
    </bk>
    <bk>
      <rc t="2" v="11119"/>
    </bk>
    <bk>
      <rc t="2" v="11120"/>
    </bk>
    <bk>
      <rc t="2" v="11121"/>
    </bk>
    <bk>
      <rc t="2" v="11122"/>
    </bk>
    <bk>
      <rc t="2" v="11123"/>
    </bk>
    <bk>
      <rc t="2" v="11124"/>
    </bk>
    <bk>
      <rc t="2" v="11125"/>
    </bk>
    <bk>
      <rc t="2" v="11126"/>
    </bk>
    <bk>
      <rc t="2" v="11127"/>
    </bk>
    <bk>
      <rc t="2" v="11128"/>
    </bk>
    <bk>
      <rc t="2" v="11129"/>
    </bk>
    <bk>
      <rc t="2" v="11130"/>
    </bk>
    <bk>
      <rc t="2" v="11131"/>
    </bk>
    <bk>
      <rc t="2" v="11132"/>
    </bk>
    <bk>
      <rc t="2" v="11133"/>
    </bk>
    <bk>
      <rc t="2" v="11134"/>
    </bk>
    <bk>
      <rc t="2" v="11135"/>
    </bk>
    <bk>
      <rc t="2" v="11136"/>
    </bk>
    <bk>
      <rc t="2" v="11137"/>
    </bk>
    <bk>
      <rc t="2" v="11138"/>
    </bk>
    <bk>
      <rc t="2" v="11139"/>
    </bk>
    <bk>
      <rc t="2" v="11140"/>
    </bk>
    <bk>
      <rc t="2" v="11141"/>
    </bk>
    <bk>
      <rc t="2" v="11142"/>
    </bk>
    <bk>
      <rc t="2" v="11143"/>
    </bk>
    <bk>
      <rc t="2" v="11144"/>
    </bk>
    <bk>
      <rc t="2" v="11145"/>
    </bk>
    <bk>
      <rc t="2" v="11146"/>
    </bk>
    <bk>
      <rc t="2" v="11147"/>
    </bk>
    <bk>
      <rc t="2" v="11148"/>
    </bk>
    <bk>
      <rc t="2" v="11149"/>
    </bk>
    <bk>
      <rc t="2" v="11150"/>
    </bk>
    <bk>
      <rc t="2" v="11151"/>
    </bk>
    <bk>
      <rc t="2" v="11152"/>
    </bk>
    <bk>
      <rc t="2" v="11153"/>
    </bk>
    <bk>
      <rc t="2" v="11154"/>
    </bk>
    <bk>
      <rc t="2" v="11155"/>
    </bk>
    <bk>
      <rc t="2" v="11156"/>
    </bk>
    <bk>
      <rc t="2" v="11157"/>
    </bk>
    <bk>
      <rc t="2" v="11158"/>
    </bk>
    <bk>
      <rc t="2" v="11159"/>
    </bk>
    <bk>
      <rc t="2" v="11160"/>
    </bk>
    <bk>
      <rc t="2" v="11161"/>
    </bk>
    <bk>
      <rc t="2" v="11162"/>
    </bk>
    <bk>
      <rc t="2" v="11163"/>
    </bk>
    <bk>
      <rc t="2" v="11164"/>
    </bk>
    <bk>
      <rc t="2" v="11165"/>
    </bk>
    <bk>
      <rc t="2" v="11166"/>
    </bk>
    <bk>
      <rc t="2" v="11167"/>
    </bk>
    <bk>
      <rc t="2" v="11168"/>
    </bk>
    <bk>
      <rc t="2" v="11169"/>
    </bk>
    <bk>
      <rc t="2" v="11170"/>
    </bk>
    <bk>
      <rc t="2" v="11171"/>
    </bk>
    <bk>
      <rc t="2" v="11172"/>
    </bk>
    <bk>
      <rc t="2" v="11173"/>
    </bk>
    <bk>
      <rc t="2" v="11174"/>
    </bk>
    <bk>
      <rc t="2" v="11175"/>
    </bk>
    <bk>
      <rc t="2" v="11176"/>
    </bk>
    <bk>
      <rc t="2" v="11177"/>
    </bk>
    <bk>
      <rc t="2" v="11178"/>
    </bk>
    <bk>
      <rc t="2" v="11179"/>
    </bk>
    <bk>
      <rc t="2" v="11180"/>
    </bk>
    <bk>
      <rc t="2" v="11181"/>
    </bk>
    <bk>
      <rc t="2" v="11182"/>
    </bk>
    <bk>
      <rc t="2" v="11183"/>
    </bk>
    <bk>
      <rc t="2" v="11184"/>
    </bk>
    <bk>
      <rc t="2" v="11185"/>
    </bk>
    <bk>
      <rc t="2" v="11186"/>
    </bk>
    <bk>
      <rc t="2" v="11187"/>
    </bk>
    <bk>
      <rc t="2" v="11188"/>
    </bk>
    <bk>
      <rc t="2" v="11189"/>
    </bk>
    <bk>
      <rc t="2" v="11190"/>
    </bk>
    <bk>
      <rc t="2" v="11191"/>
    </bk>
    <bk>
      <rc t="2" v="11192"/>
    </bk>
    <bk>
      <rc t="2" v="11193"/>
    </bk>
    <bk>
      <rc t="2" v="11194"/>
    </bk>
    <bk>
      <rc t="2" v="11195"/>
    </bk>
    <bk>
      <rc t="2" v="11196"/>
    </bk>
    <bk>
      <rc t="2" v="11197"/>
    </bk>
    <bk>
      <rc t="2" v="11198"/>
    </bk>
    <bk>
      <rc t="2" v="11199"/>
    </bk>
    <bk>
      <rc t="2" v="11200"/>
    </bk>
    <bk>
      <rc t="2" v="11201"/>
    </bk>
    <bk>
      <rc t="2" v="11202"/>
    </bk>
    <bk>
      <rc t="2" v="11203"/>
    </bk>
    <bk>
      <rc t="2" v="11204"/>
    </bk>
    <bk>
      <rc t="2" v="11205"/>
    </bk>
    <bk>
      <rc t="2" v="11206"/>
    </bk>
    <bk>
      <rc t="2" v="11207"/>
    </bk>
    <bk>
      <rc t="2" v="11208"/>
    </bk>
    <bk>
      <rc t="2" v="11209"/>
    </bk>
    <bk>
      <rc t="2" v="11210"/>
    </bk>
    <bk>
      <rc t="2" v="11211"/>
    </bk>
    <bk>
      <rc t="2" v="11212"/>
    </bk>
    <bk>
      <rc t="2" v="11213"/>
    </bk>
    <bk>
      <rc t="2" v="11214"/>
    </bk>
    <bk>
      <rc t="2" v="11215"/>
    </bk>
    <bk>
      <rc t="2" v="11216"/>
    </bk>
    <bk>
      <rc t="2" v="11217"/>
    </bk>
    <bk>
      <rc t="2" v="11218"/>
    </bk>
    <bk>
      <rc t="2" v="11219"/>
    </bk>
    <bk>
      <rc t="2" v="11220"/>
    </bk>
    <bk>
      <rc t="2" v="11221"/>
    </bk>
    <bk>
      <rc t="2" v="11222"/>
    </bk>
    <bk>
      <rc t="2" v="11223"/>
    </bk>
    <bk>
      <rc t="2" v="11224"/>
    </bk>
    <bk>
      <rc t="2" v="11225"/>
    </bk>
    <bk>
      <rc t="2" v="11226"/>
    </bk>
    <bk>
      <rc t="2" v="11227"/>
    </bk>
    <bk>
      <rc t="2" v="11228"/>
    </bk>
    <bk>
      <rc t="2" v="11229"/>
    </bk>
    <bk>
      <rc t="2" v="11230"/>
    </bk>
    <bk>
      <rc t="2" v="11231"/>
    </bk>
    <bk>
      <rc t="2" v="11232"/>
    </bk>
    <bk>
      <rc t="2" v="11233"/>
    </bk>
    <bk>
      <rc t="2" v="11234"/>
    </bk>
    <bk>
      <rc t="2" v="11235"/>
    </bk>
    <bk>
      <rc t="2" v="11236"/>
    </bk>
    <bk>
      <rc t="2" v="11237"/>
    </bk>
    <bk>
      <rc t="2" v="11238"/>
    </bk>
    <bk>
      <rc t="2" v="11239"/>
    </bk>
    <bk>
      <rc t="2" v="11240"/>
    </bk>
    <bk>
      <rc t="2" v="11241"/>
    </bk>
    <bk>
      <rc t="2" v="11242"/>
    </bk>
    <bk>
      <rc t="2" v="11243"/>
    </bk>
    <bk>
      <rc t="2" v="11244"/>
    </bk>
    <bk>
      <rc t="2" v="11245"/>
    </bk>
    <bk>
      <rc t="2" v="11246"/>
    </bk>
    <bk>
      <rc t="2" v="11247"/>
    </bk>
    <bk>
      <rc t="2" v="11248"/>
    </bk>
    <bk>
      <rc t="2" v="11249"/>
    </bk>
    <bk>
      <rc t="2" v="11250"/>
    </bk>
    <bk>
      <rc t="2" v="11251"/>
    </bk>
    <bk>
      <rc t="2" v="11252"/>
    </bk>
    <bk>
      <rc t="2" v="11253"/>
    </bk>
    <bk>
      <rc t="2" v="11254"/>
    </bk>
    <bk>
      <rc t="2" v="11255"/>
    </bk>
    <bk>
      <rc t="2" v="11256"/>
    </bk>
    <bk>
      <rc t="2" v="11257"/>
    </bk>
    <bk>
      <rc t="2" v="11258"/>
    </bk>
    <bk>
      <rc t="2" v="11259"/>
    </bk>
    <bk>
      <rc t="2" v="11260"/>
    </bk>
    <bk>
      <rc t="2" v="11261"/>
    </bk>
    <bk>
      <rc t="2" v="11262"/>
    </bk>
    <bk>
      <rc t="2" v="11263"/>
    </bk>
    <bk>
      <rc t="2" v="11264"/>
    </bk>
    <bk>
      <rc t="2" v="11265"/>
    </bk>
    <bk>
      <rc t="2" v="11266"/>
    </bk>
    <bk>
      <rc t="2" v="11267"/>
    </bk>
    <bk>
      <rc t="2" v="11268"/>
    </bk>
    <bk>
      <rc t="2" v="11269"/>
    </bk>
    <bk>
      <rc t="2" v="11270"/>
    </bk>
    <bk>
      <rc t="2" v="11271"/>
    </bk>
    <bk>
      <rc t="2" v="11272"/>
    </bk>
    <bk>
      <rc t="2" v="11273"/>
    </bk>
    <bk>
      <rc t="2" v="11274"/>
    </bk>
    <bk>
      <rc t="2" v="11275"/>
    </bk>
    <bk>
      <rc t="2" v="11276"/>
    </bk>
    <bk>
      <rc t="2" v="11277"/>
    </bk>
    <bk>
      <rc t="2" v="11278"/>
    </bk>
    <bk>
      <rc t="2" v="11279"/>
    </bk>
    <bk>
      <rc t="2" v="11280"/>
    </bk>
    <bk>
      <rc t="2" v="11281"/>
    </bk>
    <bk>
      <rc t="2" v="11282"/>
    </bk>
    <bk>
      <rc t="2" v="11283"/>
    </bk>
    <bk>
      <rc t="2" v="11284"/>
    </bk>
    <bk>
      <rc t="2" v="11285"/>
    </bk>
    <bk>
      <rc t="2" v="11286"/>
    </bk>
    <bk>
      <rc t="2" v="11287"/>
    </bk>
    <bk>
      <rc t="2" v="11288"/>
    </bk>
    <bk>
      <rc t="2" v="11289"/>
    </bk>
    <bk>
      <rc t="2" v="11290"/>
    </bk>
    <bk>
      <rc t="2" v="11291"/>
    </bk>
    <bk>
      <rc t="2" v="11292"/>
    </bk>
    <bk>
      <rc t="2" v="11293"/>
    </bk>
    <bk>
      <rc t="2" v="11294"/>
    </bk>
    <bk>
      <rc t="2" v="11295"/>
    </bk>
    <bk>
      <rc t="2" v="11296"/>
    </bk>
    <bk>
      <rc t="2" v="11297"/>
    </bk>
    <bk>
      <rc t="2" v="11298"/>
    </bk>
    <bk>
      <rc t="2" v="11299"/>
    </bk>
    <bk>
      <rc t="2" v="11300"/>
    </bk>
    <bk>
      <rc t="2" v="11301"/>
    </bk>
    <bk>
      <rc t="2" v="11302"/>
    </bk>
    <bk>
      <rc t="2" v="11303"/>
    </bk>
    <bk>
      <rc t="2" v="11304"/>
    </bk>
    <bk>
      <rc t="2" v="11305"/>
    </bk>
    <bk>
      <rc t="2" v="11306"/>
    </bk>
    <bk>
      <rc t="2" v="11307"/>
    </bk>
    <bk>
      <rc t="2" v="11308"/>
    </bk>
    <bk>
      <rc t="2" v="11309"/>
    </bk>
    <bk>
      <rc t="2" v="11310"/>
    </bk>
    <bk>
      <rc t="2" v="11311"/>
    </bk>
    <bk>
      <rc t="2" v="11312"/>
    </bk>
    <bk>
      <rc t="2" v="11313"/>
    </bk>
    <bk>
      <rc t="2" v="11314"/>
    </bk>
    <bk>
      <rc t="2" v="11315"/>
    </bk>
    <bk>
      <rc t="2" v="11316"/>
    </bk>
    <bk>
      <rc t="2" v="11317"/>
    </bk>
    <bk>
      <rc t="2" v="11318"/>
    </bk>
    <bk>
      <rc t="2" v="11319"/>
    </bk>
    <bk>
      <rc t="2" v="11320"/>
    </bk>
    <bk>
      <rc t="2" v="11321"/>
    </bk>
    <bk>
      <rc t="2" v="11322"/>
    </bk>
    <bk>
      <rc t="2" v="11323"/>
    </bk>
    <bk>
      <rc t="2" v="11324"/>
    </bk>
    <bk>
      <rc t="2" v="11325"/>
    </bk>
    <bk>
      <rc t="2" v="11326"/>
    </bk>
    <bk>
      <rc t="2" v="11327"/>
    </bk>
    <bk>
      <rc t="2" v="11328"/>
    </bk>
    <bk>
      <rc t="2" v="11329"/>
    </bk>
    <bk>
      <rc t="2" v="11330"/>
    </bk>
    <bk>
      <rc t="2" v="11331"/>
    </bk>
    <bk>
      <rc t="2" v="11332"/>
    </bk>
    <bk>
      <rc t="2" v="11333"/>
    </bk>
    <bk>
      <rc t="2" v="11334"/>
    </bk>
    <bk>
      <rc t="2" v="11335"/>
    </bk>
    <bk>
      <rc t="2" v="11336"/>
    </bk>
    <bk>
      <rc t="2" v="11337"/>
    </bk>
    <bk>
      <rc t="2" v="11338"/>
    </bk>
    <bk>
      <rc t="2" v="11339"/>
    </bk>
    <bk>
      <rc t="2" v="11340"/>
    </bk>
    <bk>
      <rc t="2" v="11341"/>
    </bk>
    <bk>
      <rc t="2" v="11342"/>
    </bk>
    <bk>
      <rc t="2" v="11343"/>
    </bk>
    <bk>
      <rc t="2" v="11344"/>
    </bk>
    <bk>
      <rc t="2" v="11345"/>
    </bk>
    <bk>
      <rc t="2" v="11346"/>
    </bk>
    <bk>
      <rc t="2" v="11347"/>
    </bk>
    <bk>
      <rc t="2" v="11348"/>
    </bk>
    <bk>
      <rc t="2" v="11349"/>
    </bk>
    <bk>
      <rc t="2" v="11350"/>
    </bk>
    <bk>
      <rc t="2" v="11351"/>
    </bk>
    <bk>
      <rc t="2" v="11352"/>
    </bk>
    <bk>
      <rc t="2" v="11353"/>
    </bk>
    <bk>
      <rc t="2" v="11354"/>
    </bk>
    <bk>
      <rc t="2" v="11355"/>
    </bk>
    <bk>
      <rc t="2" v="11356"/>
    </bk>
    <bk>
      <rc t="2" v="11357"/>
    </bk>
    <bk>
      <rc t="2" v="11358"/>
    </bk>
    <bk>
      <rc t="2" v="11359"/>
    </bk>
    <bk>
      <rc t="2" v="11360"/>
    </bk>
    <bk>
      <rc t="2" v="11361"/>
    </bk>
    <bk>
      <rc t="2" v="11362"/>
    </bk>
    <bk>
      <rc t="2" v="11363"/>
    </bk>
    <bk>
      <rc t="2" v="11364"/>
    </bk>
    <bk>
      <rc t="2" v="11365"/>
    </bk>
    <bk>
      <rc t="2" v="11366"/>
    </bk>
    <bk>
      <rc t="2" v="11367"/>
    </bk>
    <bk>
      <rc t="2" v="11368"/>
    </bk>
    <bk>
      <rc t="2" v="11369"/>
    </bk>
    <bk>
      <rc t="2" v="11370"/>
    </bk>
    <bk>
      <rc t="2" v="11371"/>
    </bk>
    <bk>
      <rc t="2" v="11372"/>
    </bk>
    <bk>
      <rc t="2" v="11373"/>
    </bk>
    <bk>
      <rc t="2" v="11374"/>
    </bk>
    <bk>
      <rc t="2" v="11375"/>
    </bk>
    <bk>
      <rc t="2" v="11376"/>
    </bk>
    <bk>
      <rc t="2" v="11377"/>
    </bk>
    <bk>
      <rc t="2" v="11378"/>
    </bk>
    <bk>
      <rc t="2" v="11379"/>
    </bk>
    <bk>
      <rc t="2" v="11380"/>
    </bk>
    <bk>
      <rc t="2" v="11381"/>
    </bk>
    <bk>
      <rc t="2" v="11382"/>
    </bk>
    <bk>
      <rc t="2" v="11383"/>
    </bk>
    <bk>
      <rc t="2" v="11384"/>
    </bk>
    <bk>
      <rc t="2" v="11385"/>
    </bk>
    <bk>
      <rc t="2" v="11386"/>
    </bk>
    <bk>
      <rc t="2" v="11387"/>
    </bk>
    <bk>
      <rc t="2" v="11388"/>
    </bk>
    <bk>
      <rc t="2" v="11389"/>
    </bk>
    <bk>
      <rc t="2" v="11390"/>
    </bk>
    <bk>
      <rc t="2" v="11391"/>
    </bk>
    <bk>
      <rc t="2" v="11392"/>
    </bk>
    <bk>
      <rc t="2" v="11393"/>
    </bk>
    <bk>
      <rc t="2" v="11394"/>
    </bk>
    <bk>
      <rc t="2" v="11395"/>
    </bk>
    <bk>
      <rc t="2" v="11396"/>
    </bk>
    <bk>
      <rc t="2" v="11397"/>
    </bk>
    <bk>
      <rc t="2" v="11398"/>
    </bk>
    <bk>
      <rc t="2" v="11399"/>
    </bk>
    <bk>
      <rc t="2" v="11400"/>
    </bk>
    <bk>
      <rc t="2" v="11401"/>
    </bk>
    <bk>
      <rc t="2" v="11402"/>
    </bk>
    <bk>
      <rc t="2" v="11403"/>
    </bk>
    <bk>
      <rc t="2" v="11404"/>
    </bk>
    <bk>
      <rc t="2" v="11405"/>
    </bk>
    <bk>
      <rc t="2" v="11406"/>
    </bk>
    <bk>
      <rc t="2" v="11407"/>
    </bk>
    <bk>
      <rc t="2" v="11408"/>
    </bk>
    <bk>
      <rc t="2" v="11409"/>
    </bk>
    <bk>
      <rc t="2" v="11410"/>
    </bk>
    <bk>
      <rc t="2" v="11411"/>
    </bk>
    <bk>
      <rc t="2" v="11412"/>
    </bk>
    <bk>
      <rc t="2" v="11413"/>
    </bk>
    <bk>
      <rc t="2" v="11414"/>
    </bk>
    <bk>
      <rc t="2" v="11415"/>
    </bk>
    <bk>
      <rc t="2" v="11416"/>
    </bk>
    <bk>
      <rc t="2" v="11417"/>
    </bk>
    <bk>
      <rc t="2" v="11418"/>
    </bk>
    <bk>
      <rc t="2" v="11419"/>
    </bk>
    <bk>
      <rc t="2" v="11420"/>
    </bk>
    <bk>
      <rc t="2" v="11421"/>
    </bk>
    <bk>
      <rc t="2" v="11422"/>
    </bk>
    <bk>
      <rc t="2" v="11423"/>
    </bk>
    <bk>
      <rc t="2" v="11424"/>
    </bk>
    <bk>
      <rc t="2" v="11425"/>
    </bk>
    <bk>
      <rc t="2" v="11426"/>
    </bk>
    <bk>
      <rc t="2" v="11427"/>
    </bk>
    <bk>
      <rc t="2" v="11428"/>
    </bk>
    <bk>
      <rc t="2" v="11429"/>
    </bk>
    <bk>
      <rc t="2" v="11430"/>
    </bk>
    <bk>
      <rc t="2" v="11431"/>
    </bk>
    <bk>
      <rc t="2" v="11432"/>
    </bk>
    <bk>
      <rc t="2" v="11433"/>
    </bk>
    <bk>
      <rc t="2" v="11434"/>
    </bk>
    <bk>
      <rc t="2" v="11435"/>
    </bk>
    <bk>
      <rc t="2" v="11436"/>
    </bk>
    <bk>
      <rc t="2" v="11437"/>
    </bk>
    <bk>
      <rc t="2" v="11438"/>
    </bk>
    <bk>
      <rc t="2" v="11439"/>
    </bk>
    <bk>
      <rc t="2" v="11440"/>
    </bk>
    <bk>
      <rc t="2" v="11441"/>
    </bk>
    <bk>
      <rc t="2" v="11442"/>
    </bk>
    <bk>
      <rc t="2" v="11443"/>
    </bk>
    <bk>
      <rc t="2" v="11444"/>
    </bk>
    <bk>
      <rc t="2" v="11445"/>
    </bk>
    <bk>
      <rc t="2" v="11446"/>
    </bk>
    <bk>
      <rc t="2" v="11447"/>
    </bk>
    <bk>
      <rc t="2" v="11448"/>
    </bk>
    <bk>
      <rc t="2" v="11449"/>
    </bk>
    <bk>
      <rc t="2" v="11450"/>
    </bk>
    <bk>
      <rc t="2" v="11451"/>
    </bk>
    <bk>
      <rc t="2" v="11452"/>
    </bk>
    <bk>
      <rc t="2" v="11453"/>
    </bk>
    <bk>
      <rc t="2" v="11454"/>
    </bk>
    <bk>
      <rc t="2" v="11455"/>
    </bk>
    <bk>
      <rc t="2" v="11456"/>
    </bk>
    <bk>
      <rc t="2" v="11457"/>
    </bk>
    <bk>
      <rc t="2" v="11458"/>
    </bk>
    <bk>
      <rc t="2" v="11459"/>
    </bk>
    <bk>
      <rc t="2" v="11460"/>
    </bk>
    <bk>
      <rc t="2" v="11461"/>
    </bk>
    <bk>
      <rc t="2" v="11462"/>
    </bk>
    <bk>
      <rc t="2" v="11463"/>
    </bk>
    <bk>
      <rc t="2" v="11464"/>
    </bk>
    <bk>
      <rc t="2" v="11465"/>
    </bk>
    <bk>
      <rc t="2" v="11466"/>
    </bk>
    <bk>
      <rc t="2" v="11467"/>
    </bk>
    <bk>
      <rc t="2" v="11468"/>
    </bk>
    <bk>
      <rc t="2" v="11469"/>
    </bk>
    <bk>
      <rc t="2" v="11470"/>
    </bk>
    <bk>
      <rc t="2" v="11471"/>
    </bk>
    <bk>
      <rc t="2" v="11472"/>
    </bk>
    <bk>
      <rc t="2" v="11473"/>
    </bk>
    <bk>
      <rc t="2" v="11474"/>
    </bk>
    <bk>
      <rc t="2" v="11475"/>
    </bk>
    <bk>
      <rc t="2" v="11476"/>
    </bk>
    <bk>
      <rc t="2" v="11477"/>
    </bk>
    <bk>
      <rc t="2" v="11478"/>
    </bk>
    <bk>
      <rc t="2" v="11479"/>
    </bk>
    <bk>
      <rc t="2" v="11480"/>
    </bk>
    <bk>
      <rc t="2" v="11481"/>
    </bk>
    <bk>
      <rc t="2" v="11482"/>
    </bk>
    <bk>
      <rc t="2" v="11483"/>
    </bk>
    <bk>
      <rc t="2" v="11484"/>
    </bk>
    <bk>
      <rc t="2" v="11485"/>
    </bk>
    <bk>
      <rc t="2" v="11486"/>
    </bk>
    <bk>
      <rc t="2" v="11487"/>
    </bk>
    <bk>
      <rc t="2" v="11488"/>
    </bk>
    <bk>
      <rc t="2" v="11489"/>
    </bk>
    <bk>
      <rc t="2" v="11490"/>
    </bk>
    <bk>
      <rc t="2" v="11491"/>
    </bk>
    <bk>
      <rc t="2" v="11492"/>
    </bk>
    <bk>
      <rc t="2" v="11493"/>
    </bk>
    <bk>
      <rc t="2" v="11494"/>
    </bk>
    <bk>
      <rc t="2" v="11495"/>
    </bk>
    <bk>
      <rc t="2" v="11496"/>
    </bk>
    <bk>
      <rc t="2" v="11497"/>
    </bk>
    <bk>
      <rc t="2" v="11498"/>
    </bk>
    <bk>
      <rc t="2" v="11499"/>
    </bk>
    <bk>
      <rc t="2" v="11500"/>
    </bk>
    <bk>
      <rc t="2" v="11501"/>
    </bk>
    <bk>
      <rc t="2" v="11502"/>
    </bk>
    <bk>
      <rc t="2" v="11503"/>
    </bk>
    <bk>
      <rc t="2" v="11504"/>
    </bk>
    <bk>
      <rc t="2" v="11505"/>
    </bk>
    <bk>
      <rc t="2" v="11506"/>
    </bk>
    <bk>
      <rc t="2" v="11507"/>
    </bk>
    <bk>
      <rc t="2" v="11508"/>
    </bk>
    <bk>
      <rc t="2" v="11509"/>
    </bk>
    <bk>
      <rc t="2" v="11510"/>
    </bk>
    <bk>
      <rc t="2" v="11511"/>
    </bk>
    <bk>
      <rc t="2" v="11512"/>
    </bk>
    <bk>
      <rc t="2" v="11513"/>
    </bk>
    <bk>
      <rc t="2" v="11514"/>
    </bk>
    <bk>
      <rc t="2" v="11515"/>
    </bk>
    <bk>
      <rc t="2" v="11516"/>
    </bk>
    <bk>
      <rc t="2" v="11517"/>
    </bk>
    <bk>
      <rc t="2" v="11518"/>
    </bk>
    <bk>
      <rc t="2" v="11519"/>
    </bk>
    <bk>
      <rc t="2" v="11520"/>
    </bk>
    <bk>
      <rc t="2" v="11521"/>
    </bk>
    <bk>
      <rc t="2" v="11522"/>
    </bk>
    <bk>
      <rc t="2" v="11523"/>
    </bk>
    <bk>
      <rc t="2" v="11524"/>
    </bk>
    <bk>
      <rc t="2" v="11525"/>
    </bk>
    <bk>
      <rc t="2" v="11526"/>
    </bk>
    <bk>
      <rc t="2" v="11527"/>
    </bk>
    <bk>
      <rc t="2" v="11528"/>
    </bk>
    <bk>
      <rc t="2" v="11529"/>
    </bk>
    <bk>
      <rc t="2" v="11530"/>
    </bk>
    <bk>
      <rc t="2" v="11531"/>
    </bk>
    <bk>
      <rc t="2" v="11532"/>
    </bk>
    <bk>
      <rc t="2" v="11533"/>
    </bk>
    <bk>
      <rc t="2" v="11534"/>
    </bk>
    <bk>
      <rc t="2" v="11535"/>
    </bk>
    <bk>
      <rc t="2" v="11536"/>
    </bk>
    <bk>
      <rc t="2" v="11537"/>
    </bk>
    <bk>
      <rc t="2" v="11538"/>
    </bk>
    <bk>
      <rc t="2" v="11539"/>
    </bk>
    <bk>
      <rc t="2" v="11540"/>
    </bk>
    <bk>
      <rc t="2" v="11541"/>
    </bk>
    <bk>
      <rc t="2" v="11542"/>
    </bk>
    <bk>
      <rc t="2" v="11543"/>
    </bk>
    <bk>
      <rc t="2" v="11544"/>
    </bk>
    <bk>
      <rc t="2" v="11545"/>
    </bk>
    <bk>
      <rc t="2" v="11546"/>
    </bk>
    <bk>
      <rc t="2" v="11547"/>
    </bk>
    <bk>
      <rc t="2" v="11548"/>
    </bk>
    <bk>
      <rc t="2" v="11549"/>
    </bk>
    <bk>
      <rc t="2" v="11550"/>
    </bk>
    <bk>
      <rc t="2" v="11551"/>
    </bk>
    <bk>
      <rc t="2" v="11552"/>
    </bk>
    <bk>
      <rc t="2" v="11553"/>
    </bk>
    <bk>
      <rc t="2" v="11554"/>
    </bk>
    <bk>
      <rc t="2" v="11555"/>
    </bk>
    <bk>
      <rc t="2" v="11556"/>
    </bk>
    <bk>
      <rc t="2" v="11557"/>
    </bk>
    <bk>
      <rc t="2" v="11558"/>
    </bk>
    <bk>
      <rc t="2" v="11559"/>
    </bk>
    <bk>
      <rc t="2" v="11560"/>
    </bk>
    <bk>
      <rc t="2" v="11561"/>
    </bk>
    <bk>
      <rc t="2" v="11562"/>
    </bk>
    <bk>
      <rc t="2" v="11563"/>
    </bk>
    <bk>
      <rc t="2" v="11564"/>
    </bk>
    <bk>
      <rc t="2" v="11565"/>
    </bk>
    <bk>
      <rc t="2" v="11566"/>
    </bk>
    <bk>
      <rc t="2" v="11567"/>
    </bk>
    <bk>
      <rc t="2" v="11568"/>
    </bk>
    <bk>
      <rc t="2" v="11569"/>
    </bk>
    <bk>
      <rc t="2" v="11570"/>
    </bk>
    <bk>
      <rc t="2" v="11571"/>
    </bk>
    <bk>
      <rc t="2" v="11572"/>
    </bk>
    <bk>
      <rc t="2" v="11573"/>
    </bk>
    <bk>
      <rc t="2" v="11574"/>
    </bk>
    <bk>
      <rc t="2" v="11575"/>
    </bk>
    <bk>
      <rc t="2" v="11576"/>
    </bk>
    <bk>
      <rc t="2" v="11577"/>
    </bk>
    <bk>
      <rc t="2" v="11578"/>
    </bk>
    <bk>
      <rc t="2" v="11579"/>
    </bk>
    <bk>
      <rc t="2" v="11580"/>
    </bk>
    <bk>
      <rc t="2" v="11581"/>
    </bk>
    <bk>
      <rc t="2" v="11582"/>
    </bk>
    <bk>
      <rc t="2" v="11583"/>
    </bk>
    <bk>
      <rc t="2" v="11584"/>
    </bk>
    <bk>
      <rc t="2" v="11585"/>
    </bk>
    <bk>
      <rc t="2" v="11586"/>
    </bk>
    <bk>
      <rc t="2" v="11587"/>
    </bk>
    <bk>
      <rc t="2" v="11588"/>
    </bk>
    <bk>
      <rc t="2" v="11589"/>
    </bk>
    <bk>
      <rc t="2" v="11590"/>
    </bk>
    <bk>
      <rc t="2" v="11591"/>
    </bk>
    <bk>
      <rc t="2" v="11592"/>
    </bk>
    <bk>
      <rc t="2" v="11593"/>
    </bk>
    <bk>
      <rc t="2" v="11594"/>
    </bk>
    <bk>
      <rc t="2" v="11595"/>
    </bk>
    <bk>
      <rc t="2" v="11596"/>
    </bk>
    <bk>
      <rc t="2" v="11597"/>
    </bk>
    <bk>
      <rc t="2" v="11598"/>
    </bk>
    <bk>
      <rc t="2" v="11599"/>
    </bk>
    <bk>
      <rc t="2" v="11600"/>
    </bk>
    <bk>
      <rc t="2" v="11601"/>
    </bk>
    <bk>
      <rc t="2" v="11602"/>
    </bk>
    <bk>
      <rc t="2" v="11603"/>
    </bk>
    <bk>
      <rc t="2" v="11604"/>
    </bk>
    <bk>
      <rc t="2" v="11605"/>
    </bk>
    <bk>
      <rc t="2" v="11606"/>
    </bk>
    <bk>
      <rc t="2" v="11607"/>
    </bk>
    <bk>
      <rc t="2" v="11608"/>
    </bk>
    <bk>
      <rc t="2" v="11609"/>
    </bk>
    <bk>
      <rc t="2" v="11610"/>
    </bk>
    <bk>
      <rc t="2" v="11611"/>
    </bk>
    <bk>
      <rc t="2" v="11612"/>
    </bk>
    <bk>
      <rc t="2" v="11613"/>
    </bk>
    <bk>
      <rc t="2" v="11614"/>
    </bk>
    <bk>
      <rc t="2" v="11615"/>
    </bk>
    <bk>
      <rc t="2" v="11616"/>
    </bk>
    <bk>
      <rc t="2" v="11617"/>
    </bk>
    <bk>
      <rc t="2" v="11618"/>
    </bk>
    <bk>
      <rc t="2" v="11619"/>
    </bk>
    <bk>
      <rc t="2" v="11620"/>
    </bk>
    <bk>
      <rc t="2" v="11621"/>
    </bk>
    <bk>
      <rc t="2" v="11622"/>
    </bk>
    <bk>
      <rc t="2" v="11623"/>
    </bk>
    <bk>
      <rc t="2" v="11624"/>
    </bk>
    <bk>
      <rc t="2" v="11625"/>
    </bk>
    <bk>
      <rc t="2" v="11626"/>
    </bk>
    <bk>
      <rc t="2" v="11627"/>
    </bk>
    <bk>
      <rc t="2" v="11628"/>
    </bk>
    <bk>
      <rc t="2" v="11629"/>
    </bk>
    <bk>
      <rc t="2" v="11630"/>
    </bk>
    <bk>
      <rc t="2" v="11631"/>
    </bk>
    <bk>
      <rc t="2" v="11632"/>
    </bk>
    <bk>
      <rc t="2" v="11633"/>
    </bk>
    <bk>
      <rc t="2" v="11634"/>
    </bk>
    <bk>
      <rc t="2" v="11635"/>
    </bk>
    <bk>
      <rc t="2" v="11636"/>
    </bk>
    <bk>
      <rc t="2" v="11637"/>
    </bk>
    <bk>
      <rc t="2" v="11638"/>
    </bk>
    <bk>
      <rc t="2" v="11639"/>
    </bk>
    <bk>
      <rc t="2" v="11640"/>
    </bk>
    <bk>
      <rc t="2" v="11641"/>
    </bk>
    <bk>
      <rc t="2" v="11642"/>
    </bk>
    <bk>
      <rc t="2" v="11643"/>
    </bk>
    <bk>
      <rc t="2" v="11644"/>
    </bk>
    <bk>
      <rc t="2" v="11645"/>
    </bk>
    <bk>
      <rc t="2" v="11646"/>
    </bk>
    <bk>
      <rc t="2" v="11647"/>
    </bk>
    <bk>
      <rc t="2" v="11648"/>
    </bk>
    <bk>
      <rc t="2" v="11649"/>
    </bk>
    <bk>
      <rc t="2" v="11650"/>
    </bk>
    <bk>
      <rc t="2" v="11651"/>
    </bk>
    <bk>
      <rc t="2" v="11652"/>
    </bk>
    <bk>
      <rc t="2" v="11653"/>
    </bk>
    <bk>
      <rc t="2" v="11654"/>
    </bk>
    <bk>
      <rc t="2" v="11655"/>
    </bk>
    <bk>
      <rc t="2" v="11656"/>
    </bk>
    <bk>
      <rc t="2" v="11657"/>
    </bk>
    <bk>
      <rc t="2" v="11658"/>
    </bk>
    <bk>
      <rc t="2" v="11659"/>
    </bk>
    <bk>
      <rc t="2" v="11660"/>
    </bk>
    <bk>
      <rc t="2" v="11661"/>
    </bk>
    <bk>
      <rc t="2" v="11662"/>
    </bk>
    <bk>
      <rc t="2" v="11663"/>
    </bk>
    <bk>
      <rc t="2" v="11664"/>
    </bk>
    <bk>
      <rc t="2" v="11665"/>
    </bk>
    <bk>
      <rc t="2" v="11666"/>
    </bk>
    <bk>
      <rc t="2" v="11667"/>
    </bk>
    <bk>
      <rc t="2" v="11668"/>
    </bk>
    <bk>
      <rc t="2" v="11669"/>
    </bk>
    <bk>
      <rc t="2" v="11670"/>
    </bk>
    <bk>
      <rc t="2" v="11671"/>
    </bk>
    <bk>
      <rc t="2" v="11672"/>
    </bk>
    <bk>
      <rc t="2" v="11673"/>
    </bk>
    <bk>
      <rc t="2" v="11674"/>
    </bk>
    <bk>
      <rc t="2" v="11675"/>
    </bk>
    <bk>
      <rc t="2" v="11676"/>
    </bk>
    <bk>
      <rc t="2" v="11677"/>
    </bk>
    <bk>
      <rc t="2" v="11678"/>
    </bk>
    <bk>
      <rc t="2" v="11679"/>
    </bk>
    <bk>
      <rc t="2" v="11680"/>
    </bk>
    <bk>
      <rc t="2" v="11681"/>
    </bk>
    <bk>
      <rc t="2" v="11682"/>
    </bk>
    <bk>
      <rc t="2" v="11683"/>
    </bk>
    <bk>
      <rc t="2" v="11684"/>
    </bk>
    <bk>
      <rc t="2" v="11685"/>
    </bk>
    <bk>
      <rc t="2" v="11686"/>
    </bk>
    <bk>
      <rc t="2" v="11687"/>
    </bk>
    <bk>
      <rc t="2" v="11688"/>
    </bk>
    <bk>
      <rc t="2" v="11689"/>
    </bk>
    <bk>
      <rc t="2" v="11690"/>
    </bk>
    <bk>
      <rc t="2" v="11691"/>
    </bk>
    <bk>
      <rc t="2" v="11692"/>
    </bk>
    <bk>
      <rc t="2" v="11693"/>
    </bk>
    <bk>
      <rc t="2" v="11694"/>
    </bk>
    <bk>
      <rc t="2" v="11695"/>
    </bk>
    <bk>
      <rc t="2" v="11696"/>
    </bk>
    <bk>
      <rc t="2" v="11697"/>
    </bk>
    <bk>
      <rc t="2" v="11698"/>
    </bk>
    <bk>
      <rc t="2" v="11699"/>
    </bk>
    <bk>
      <rc t="2" v="11700"/>
    </bk>
    <bk>
      <rc t="2" v="11701"/>
    </bk>
    <bk>
      <rc t="2" v="11702"/>
    </bk>
    <bk>
      <rc t="2" v="11703"/>
    </bk>
    <bk>
      <rc t="2" v="11704"/>
    </bk>
    <bk>
      <rc t="2" v="11705"/>
    </bk>
    <bk>
      <rc t="2" v="11706"/>
    </bk>
    <bk>
      <rc t="2" v="11707"/>
    </bk>
    <bk>
      <rc t="2" v="11708"/>
    </bk>
    <bk>
      <rc t="2" v="11709"/>
    </bk>
    <bk>
      <rc t="2" v="11710"/>
    </bk>
    <bk>
      <rc t="2" v="11711"/>
    </bk>
    <bk>
      <rc t="2" v="11712"/>
    </bk>
    <bk>
      <rc t="2" v="11713"/>
    </bk>
    <bk>
      <rc t="2" v="11714"/>
    </bk>
    <bk>
      <rc t="2" v="11715"/>
    </bk>
    <bk>
      <rc t="2" v="11716"/>
    </bk>
    <bk>
      <rc t="2" v="11717"/>
    </bk>
    <bk>
      <rc t="2" v="11718"/>
    </bk>
    <bk>
      <rc t="2" v="11719"/>
    </bk>
    <bk>
      <rc t="2" v="11720"/>
    </bk>
    <bk>
      <rc t="2" v="11721"/>
    </bk>
    <bk>
      <rc t="2" v="11722"/>
    </bk>
    <bk>
      <rc t="2" v="11723"/>
    </bk>
    <bk>
      <rc t="2" v="11724"/>
    </bk>
    <bk>
      <rc t="2" v="11725"/>
    </bk>
    <bk>
      <rc t="2" v="11726"/>
    </bk>
    <bk>
      <rc t="2" v="11727"/>
    </bk>
    <bk>
      <rc t="2" v="11728"/>
    </bk>
    <bk>
      <rc t="2" v="11729"/>
    </bk>
    <bk>
      <rc t="2" v="11730"/>
    </bk>
    <bk>
      <rc t="2" v="11731"/>
    </bk>
    <bk>
      <rc t="2" v="11732"/>
    </bk>
    <bk>
      <rc t="2" v="11733"/>
    </bk>
    <bk>
      <rc t="2" v="11734"/>
    </bk>
    <bk>
      <rc t="2" v="11735"/>
    </bk>
    <bk>
      <rc t="2" v="11736"/>
    </bk>
    <bk>
      <rc t="2" v="11737"/>
    </bk>
    <bk>
      <rc t="2" v="11738"/>
    </bk>
    <bk>
      <rc t="2" v="11739"/>
    </bk>
    <bk>
      <rc t="2" v="11740"/>
    </bk>
    <bk>
      <rc t="2" v="11741"/>
    </bk>
    <bk>
      <rc t="2" v="11742"/>
    </bk>
    <bk>
      <rc t="2" v="11743"/>
    </bk>
    <bk>
      <rc t="2" v="11744"/>
    </bk>
    <bk>
      <rc t="2" v="11745"/>
    </bk>
    <bk>
      <rc t="2" v="11746"/>
    </bk>
    <bk>
      <rc t="2" v="11747"/>
    </bk>
    <bk>
      <rc t="2" v="11748"/>
    </bk>
    <bk>
      <rc t="2" v="11749"/>
    </bk>
    <bk>
      <rc t="2" v="11750"/>
    </bk>
    <bk>
      <rc t="2" v="11751"/>
    </bk>
    <bk>
      <rc t="2" v="11752"/>
    </bk>
    <bk>
      <rc t="2" v="11753"/>
    </bk>
    <bk>
      <rc t="2" v="11754"/>
    </bk>
    <bk>
      <rc t="2" v="11755"/>
    </bk>
    <bk>
      <rc t="2" v="11756"/>
    </bk>
    <bk>
      <rc t="2" v="11757"/>
    </bk>
    <bk>
      <rc t="2" v="11758"/>
    </bk>
    <bk>
      <rc t="2" v="11759"/>
    </bk>
    <bk>
      <rc t="2" v="11760"/>
    </bk>
    <bk>
      <rc t="2" v="11761"/>
    </bk>
    <bk>
      <rc t="2" v="11762"/>
    </bk>
    <bk>
      <rc t="2" v="11763"/>
    </bk>
    <bk>
      <rc t="2" v="11764"/>
    </bk>
    <bk>
      <rc t="2" v="11765"/>
    </bk>
    <bk>
      <rc t="2" v="11766"/>
    </bk>
    <bk>
      <rc t="2" v="11767"/>
    </bk>
    <bk>
      <rc t="2" v="11768"/>
    </bk>
    <bk>
      <rc t="2" v="11769"/>
    </bk>
    <bk>
      <rc t="2" v="11770"/>
    </bk>
    <bk>
      <rc t="2" v="11771"/>
    </bk>
    <bk>
      <rc t="2" v="11772"/>
    </bk>
    <bk>
      <rc t="2" v="11773"/>
    </bk>
    <bk>
      <rc t="2" v="11774"/>
    </bk>
    <bk>
      <rc t="2" v="11775"/>
    </bk>
    <bk>
      <rc t="2" v="11776"/>
    </bk>
    <bk>
      <rc t="2" v="11777"/>
    </bk>
    <bk>
      <rc t="2" v="11778"/>
    </bk>
    <bk>
      <rc t="2" v="11779"/>
    </bk>
    <bk>
      <rc t="2" v="11780"/>
    </bk>
    <bk>
      <rc t="2" v="11781"/>
    </bk>
    <bk>
      <rc t="2" v="11782"/>
    </bk>
    <bk>
      <rc t="2" v="11783"/>
    </bk>
    <bk>
      <rc t="2" v="11784"/>
    </bk>
    <bk>
      <rc t="2" v="11785"/>
    </bk>
    <bk>
      <rc t="2" v="11786"/>
    </bk>
    <bk>
      <rc t="2" v="11787"/>
    </bk>
    <bk>
      <rc t="2" v="11788"/>
    </bk>
    <bk>
      <rc t="2" v="11789"/>
    </bk>
    <bk>
      <rc t="2" v="11790"/>
    </bk>
    <bk>
      <rc t="2" v="11791"/>
    </bk>
    <bk>
      <rc t="2" v="11792"/>
    </bk>
    <bk>
      <rc t="2" v="11793"/>
    </bk>
    <bk>
      <rc t="2" v="11794"/>
    </bk>
    <bk>
      <rc t="2" v="11795"/>
    </bk>
    <bk>
      <rc t="2" v="11796"/>
    </bk>
    <bk>
      <rc t="2" v="11797"/>
    </bk>
    <bk>
      <rc t="2" v="11798"/>
    </bk>
    <bk>
      <rc t="2" v="11799"/>
    </bk>
    <bk>
      <rc t="2" v="11800"/>
    </bk>
    <bk>
      <rc t="2" v="11801"/>
    </bk>
    <bk>
      <rc t="2" v="11802"/>
    </bk>
    <bk>
      <rc t="2" v="11803"/>
    </bk>
    <bk>
      <rc t="2" v="11804"/>
    </bk>
    <bk>
      <rc t="2" v="11805"/>
    </bk>
    <bk>
      <rc t="2" v="11806"/>
    </bk>
    <bk>
      <rc t="2" v="11807"/>
    </bk>
    <bk>
      <rc t="2" v="11808"/>
    </bk>
    <bk>
      <rc t="2" v="11809"/>
    </bk>
    <bk>
      <rc t="2" v="11810"/>
    </bk>
    <bk>
      <rc t="2" v="11811"/>
    </bk>
    <bk>
      <rc t="2" v="11812"/>
    </bk>
    <bk>
      <rc t="2" v="11813"/>
    </bk>
    <bk>
      <rc t="2" v="11814"/>
    </bk>
    <bk>
      <rc t="2" v="11815"/>
    </bk>
    <bk>
      <rc t="2" v="11816"/>
    </bk>
    <bk>
      <rc t="2" v="11817"/>
    </bk>
    <bk>
      <rc t="2" v="11818"/>
    </bk>
    <bk>
      <rc t="2" v="11819"/>
    </bk>
    <bk>
      <rc t="2" v="11820"/>
    </bk>
    <bk>
      <rc t="2" v="11821"/>
    </bk>
    <bk>
      <rc t="2" v="11822"/>
    </bk>
    <bk>
      <rc t="2" v="11823"/>
    </bk>
    <bk>
      <rc t="2" v="11824"/>
    </bk>
    <bk>
      <rc t="2" v="11825"/>
    </bk>
    <bk>
      <rc t="2" v="11826"/>
    </bk>
    <bk>
      <rc t="2" v="11827"/>
    </bk>
    <bk>
      <rc t="2" v="11828"/>
    </bk>
    <bk>
      <rc t="2" v="11829"/>
    </bk>
    <bk>
      <rc t="2" v="11830"/>
    </bk>
    <bk>
      <rc t="2" v="11831"/>
    </bk>
    <bk>
      <rc t="2" v="11832"/>
    </bk>
    <bk>
      <rc t="2" v="11833"/>
    </bk>
    <bk>
      <rc t="2" v="11834"/>
    </bk>
    <bk>
      <rc t="2" v="11835"/>
    </bk>
    <bk>
      <rc t="2" v="11836"/>
    </bk>
    <bk>
      <rc t="2" v="11837"/>
    </bk>
    <bk>
      <rc t="2" v="11838"/>
    </bk>
    <bk>
      <rc t="2" v="11839"/>
    </bk>
    <bk>
      <rc t="2" v="11840"/>
    </bk>
    <bk>
      <rc t="2" v="11841"/>
    </bk>
    <bk>
      <rc t="2" v="11842"/>
    </bk>
    <bk>
      <rc t="2" v="11843"/>
    </bk>
    <bk>
      <rc t="2" v="11844"/>
    </bk>
    <bk>
      <rc t="2" v="11845"/>
    </bk>
    <bk>
      <rc t="2" v="11846"/>
    </bk>
    <bk>
      <rc t="2" v="11847"/>
    </bk>
    <bk>
      <rc t="2" v="11848"/>
    </bk>
    <bk>
      <rc t="2" v="11849"/>
    </bk>
    <bk>
      <rc t="2" v="11850"/>
    </bk>
    <bk>
      <rc t="2" v="11851"/>
    </bk>
    <bk>
      <rc t="2" v="11852"/>
    </bk>
    <bk>
      <rc t="2" v="11853"/>
    </bk>
    <bk>
      <rc t="2" v="11854"/>
    </bk>
    <bk>
      <rc t="2" v="11855"/>
    </bk>
    <bk>
      <rc t="2" v="11856"/>
    </bk>
    <bk>
      <rc t="2" v="11857"/>
    </bk>
    <bk>
      <rc t="2" v="11858"/>
    </bk>
    <bk>
      <rc t="2" v="11859"/>
    </bk>
    <bk>
      <rc t="2" v="11860"/>
    </bk>
    <bk>
      <rc t="2" v="11861"/>
    </bk>
    <bk>
      <rc t="2" v="11862"/>
    </bk>
    <bk>
      <rc t="2" v="11863"/>
    </bk>
    <bk>
      <rc t="2" v="11864"/>
    </bk>
    <bk>
      <rc t="2" v="11865"/>
    </bk>
    <bk>
      <rc t="2" v="11866"/>
    </bk>
    <bk>
      <rc t="2" v="11867"/>
    </bk>
    <bk>
      <rc t="2" v="11868"/>
    </bk>
    <bk>
      <rc t="2" v="11869"/>
    </bk>
    <bk>
      <rc t="2" v="11870"/>
    </bk>
    <bk>
      <rc t="2" v="11871"/>
    </bk>
    <bk>
      <rc t="2" v="11872"/>
    </bk>
    <bk>
      <rc t="2" v="11873"/>
    </bk>
    <bk>
      <rc t="2" v="11874"/>
    </bk>
    <bk>
      <rc t="2" v="11875"/>
    </bk>
    <bk>
      <rc t="2" v="11876"/>
    </bk>
    <bk>
      <rc t="2" v="11877"/>
    </bk>
    <bk>
      <rc t="2" v="11878"/>
    </bk>
    <bk>
      <rc t="2" v="11879"/>
    </bk>
    <bk>
      <rc t="2" v="11880"/>
    </bk>
    <bk>
      <rc t="2" v="11881"/>
    </bk>
    <bk>
      <rc t="2" v="11882"/>
    </bk>
    <bk>
      <rc t="2" v="11883"/>
    </bk>
    <bk>
      <rc t="2" v="11884"/>
    </bk>
    <bk>
      <rc t="2" v="11885"/>
    </bk>
    <bk>
      <rc t="2" v="11886"/>
    </bk>
    <bk>
      <rc t="2" v="11887"/>
    </bk>
    <bk>
      <rc t="2" v="11888"/>
    </bk>
    <bk>
      <rc t="2" v="11889"/>
    </bk>
    <bk>
      <rc t="2" v="11890"/>
    </bk>
    <bk>
      <rc t="2" v="11891"/>
    </bk>
    <bk>
      <rc t="2" v="11892"/>
    </bk>
    <bk>
      <rc t="2" v="11893"/>
    </bk>
    <bk>
      <rc t="2" v="11894"/>
    </bk>
    <bk>
      <rc t="2" v="11895"/>
    </bk>
    <bk>
      <rc t="2" v="11896"/>
    </bk>
    <bk>
      <rc t="2" v="11897"/>
    </bk>
    <bk>
      <rc t="2" v="11898"/>
    </bk>
    <bk>
      <rc t="2" v="11899"/>
    </bk>
    <bk>
      <rc t="2" v="11900"/>
    </bk>
    <bk>
      <rc t="2" v="11901"/>
    </bk>
    <bk>
      <rc t="2" v="11902"/>
    </bk>
    <bk>
      <rc t="2" v="11903"/>
    </bk>
    <bk>
      <rc t="2" v="11904"/>
    </bk>
    <bk>
      <rc t="2" v="11905"/>
    </bk>
    <bk>
      <rc t="2" v="11906"/>
    </bk>
    <bk>
      <rc t="2" v="11907"/>
    </bk>
    <bk>
      <rc t="2" v="11908"/>
    </bk>
    <bk>
      <rc t="2" v="11909"/>
    </bk>
    <bk>
      <rc t="2" v="11910"/>
    </bk>
    <bk>
      <rc t="2" v="11911"/>
    </bk>
    <bk>
      <rc t="2" v="11912"/>
    </bk>
    <bk>
      <rc t="2" v="11913"/>
    </bk>
    <bk>
      <rc t="2" v="11914"/>
    </bk>
    <bk>
      <rc t="2" v="11915"/>
    </bk>
    <bk>
      <rc t="2" v="11916"/>
    </bk>
    <bk>
      <rc t="2" v="11917"/>
    </bk>
    <bk>
      <rc t="2" v="11918"/>
    </bk>
    <bk>
      <rc t="2" v="11919"/>
    </bk>
    <bk>
      <rc t="2" v="11920"/>
    </bk>
    <bk>
      <rc t="2" v="11921"/>
    </bk>
    <bk>
      <rc t="2" v="11922"/>
    </bk>
    <bk>
      <rc t="2" v="11923"/>
    </bk>
    <bk>
      <rc t="2" v="11924"/>
    </bk>
    <bk>
      <rc t="2" v="11925"/>
    </bk>
    <bk>
      <rc t="2" v="11926"/>
    </bk>
    <bk>
      <rc t="2" v="11927"/>
    </bk>
    <bk>
      <rc t="2" v="11928"/>
    </bk>
    <bk>
      <rc t="2" v="11929"/>
    </bk>
    <bk>
      <rc t="2" v="11930"/>
    </bk>
    <bk>
      <rc t="2" v="11931"/>
    </bk>
    <bk>
      <rc t="2" v="11932"/>
    </bk>
    <bk>
      <rc t="2" v="11933"/>
    </bk>
    <bk>
      <rc t="2" v="11934"/>
    </bk>
    <bk>
      <rc t="2" v="11935"/>
    </bk>
    <bk>
      <rc t="2" v="11936"/>
    </bk>
    <bk>
      <rc t="2" v="11937"/>
    </bk>
    <bk>
      <rc t="2" v="11938"/>
    </bk>
    <bk>
      <rc t="2" v="11939"/>
    </bk>
    <bk>
      <rc t="2" v="11940"/>
    </bk>
    <bk>
      <rc t="2" v="11941"/>
    </bk>
    <bk>
      <rc t="2" v="11942"/>
    </bk>
    <bk>
      <rc t="2" v="11943"/>
    </bk>
    <bk>
      <rc t="2" v="11944"/>
    </bk>
    <bk>
      <rc t="2" v="11945"/>
    </bk>
    <bk>
      <rc t="2" v="11946"/>
    </bk>
    <bk>
      <rc t="2" v="11947"/>
    </bk>
    <bk>
      <rc t="2" v="11948"/>
    </bk>
    <bk>
      <rc t="2" v="11949"/>
    </bk>
    <bk>
      <rc t="2" v="11950"/>
    </bk>
    <bk>
      <rc t="2" v="11951"/>
    </bk>
    <bk>
      <rc t="2" v="11952"/>
    </bk>
    <bk>
      <rc t="2" v="11953"/>
    </bk>
    <bk>
      <rc t="2" v="11954"/>
    </bk>
    <bk>
      <rc t="2" v="11955"/>
    </bk>
    <bk>
      <rc t="2" v="11956"/>
    </bk>
    <bk>
      <rc t="2" v="11957"/>
    </bk>
    <bk>
      <rc t="2" v="11958"/>
    </bk>
    <bk>
      <rc t="2" v="11959"/>
    </bk>
    <bk>
      <rc t="2" v="11960"/>
    </bk>
    <bk>
      <rc t="2" v="11961"/>
    </bk>
    <bk>
      <rc t="2" v="11962"/>
    </bk>
    <bk>
      <rc t="2" v="11963"/>
    </bk>
    <bk>
      <rc t="2" v="11964"/>
    </bk>
    <bk>
      <rc t="2" v="11965"/>
    </bk>
    <bk>
      <rc t="2" v="11966"/>
    </bk>
    <bk>
      <rc t="2" v="11967"/>
    </bk>
    <bk>
      <rc t="2" v="11968"/>
    </bk>
    <bk>
      <rc t="2" v="11969"/>
    </bk>
    <bk>
      <rc t="2" v="11970"/>
    </bk>
    <bk>
      <rc t="2" v="11971"/>
    </bk>
    <bk>
      <rc t="2" v="11972"/>
    </bk>
    <bk>
      <rc t="2" v="11973"/>
    </bk>
    <bk>
      <rc t="2" v="11974"/>
    </bk>
    <bk>
      <rc t="2" v="11975"/>
    </bk>
    <bk>
      <rc t="2" v="11976"/>
    </bk>
    <bk>
      <rc t="2" v="11977"/>
    </bk>
    <bk>
      <rc t="2" v="11978"/>
    </bk>
    <bk>
      <rc t="2" v="11979"/>
    </bk>
    <bk>
      <rc t="2" v="11980"/>
    </bk>
    <bk>
      <rc t="2" v="11981"/>
    </bk>
    <bk>
      <rc t="2" v="11982"/>
    </bk>
    <bk>
      <rc t="2" v="11983"/>
    </bk>
    <bk>
      <rc t="2" v="11984"/>
    </bk>
    <bk>
      <rc t="2" v="11985"/>
    </bk>
    <bk>
      <rc t="2" v="11986"/>
    </bk>
    <bk>
      <rc t="2" v="11987"/>
    </bk>
    <bk>
      <rc t="2" v="11988"/>
    </bk>
    <bk>
      <rc t="2" v="11989"/>
    </bk>
    <bk>
      <rc t="2" v="11990"/>
    </bk>
    <bk>
      <rc t="2" v="11991"/>
    </bk>
    <bk>
      <rc t="2" v="11992"/>
    </bk>
    <bk>
      <rc t="2" v="11993"/>
    </bk>
    <bk>
      <rc t="2" v="11994"/>
    </bk>
    <bk>
      <rc t="2" v="11995"/>
    </bk>
    <bk>
      <rc t="2" v="11996"/>
    </bk>
    <bk>
      <rc t="2" v="11997"/>
    </bk>
    <bk>
      <rc t="2" v="11998"/>
    </bk>
    <bk>
      <rc t="2" v="11999"/>
    </bk>
    <bk>
      <rc t="2" v="12000"/>
    </bk>
    <bk>
      <rc t="2" v="12001"/>
    </bk>
    <bk>
      <rc t="2" v="12002"/>
    </bk>
    <bk>
      <rc t="2" v="12003"/>
    </bk>
    <bk>
      <rc t="2" v="12004"/>
    </bk>
    <bk>
      <rc t="2" v="12005"/>
    </bk>
    <bk>
      <rc t="2" v="12006"/>
    </bk>
    <bk>
      <rc t="2" v="12007"/>
    </bk>
    <bk>
      <rc t="2" v="12008"/>
    </bk>
    <bk>
      <rc t="2" v="12009"/>
    </bk>
    <bk>
      <rc t="2" v="12010"/>
    </bk>
    <bk>
      <rc t="2" v="12011"/>
    </bk>
    <bk>
      <rc t="2" v="12012"/>
    </bk>
    <bk>
      <rc t="2" v="12013"/>
    </bk>
    <bk>
      <rc t="2" v="12014"/>
    </bk>
    <bk>
      <rc t="2" v="12015"/>
    </bk>
    <bk>
      <rc t="2" v="12016"/>
    </bk>
    <bk>
      <rc t="2" v="12017"/>
    </bk>
    <bk>
      <rc t="2" v="12018"/>
    </bk>
    <bk>
      <rc t="2" v="12019"/>
    </bk>
    <bk>
      <rc t="2" v="12020"/>
    </bk>
    <bk>
      <rc t="2" v="12021"/>
    </bk>
    <bk>
      <rc t="2" v="12022"/>
    </bk>
    <bk>
      <rc t="2" v="12023"/>
    </bk>
    <bk>
      <rc t="2" v="12024"/>
    </bk>
    <bk>
      <rc t="2" v="12025"/>
    </bk>
    <bk>
      <rc t="2" v="12026"/>
    </bk>
    <bk>
      <rc t="2" v="12027"/>
    </bk>
    <bk>
      <rc t="2" v="12028"/>
    </bk>
    <bk>
      <rc t="2" v="12029"/>
    </bk>
    <bk>
      <rc t="2" v="12030"/>
    </bk>
    <bk>
      <rc t="2" v="12031"/>
    </bk>
    <bk>
      <rc t="2" v="12032"/>
    </bk>
    <bk>
      <rc t="2" v="12033"/>
    </bk>
    <bk>
      <rc t="2" v="12034"/>
    </bk>
    <bk>
      <rc t="2" v="12035"/>
    </bk>
    <bk>
      <rc t="2" v="12036"/>
    </bk>
    <bk>
      <rc t="2" v="12037"/>
    </bk>
    <bk>
      <rc t="2" v="12038"/>
    </bk>
    <bk>
      <rc t="2" v="12039"/>
    </bk>
    <bk>
      <rc t="2" v="12040"/>
    </bk>
    <bk>
      <rc t="2" v="12041"/>
    </bk>
    <bk>
      <rc t="2" v="12042"/>
    </bk>
    <bk>
      <rc t="2" v="12043"/>
    </bk>
    <bk>
      <rc t="2" v="12044"/>
    </bk>
    <bk>
      <rc t="2" v="12045"/>
    </bk>
    <bk>
      <rc t="2" v="12046"/>
    </bk>
    <bk>
      <rc t="2" v="12047"/>
    </bk>
    <bk>
      <rc t="2" v="12048"/>
    </bk>
    <bk>
      <rc t="2" v="12049"/>
    </bk>
    <bk>
      <rc t="2" v="12050"/>
    </bk>
    <bk>
      <rc t="2" v="12051"/>
    </bk>
    <bk>
      <rc t="2" v="12052"/>
    </bk>
    <bk>
      <rc t="2" v="12053"/>
    </bk>
    <bk>
      <rc t="2" v="12054"/>
    </bk>
    <bk>
      <rc t="2" v="12055"/>
    </bk>
    <bk>
      <rc t="2" v="12056"/>
    </bk>
    <bk>
      <rc t="2" v="12057"/>
    </bk>
    <bk>
      <rc t="2" v="12058"/>
    </bk>
    <bk>
      <rc t="2" v="12059"/>
    </bk>
    <bk>
      <rc t="2" v="12060"/>
    </bk>
    <bk>
      <rc t="2" v="12061"/>
    </bk>
    <bk>
      <rc t="2" v="12062"/>
    </bk>
    <bk>
      <rc t="2" v="12063"/>
    </bk>
    <bk>
      <rc t="2" v="12064"/>
    </bk>
    <bk>
      <rc t="2" v="12065"/>
    </bk>
    <bk>
      <rc t="2" v="12066"/>
    </bk>
    <bk>
      <rc t="2" v="12067"/>
    </bk>
    <bk>
      <rc t="2" v="12068"/>
    </bk>
    <bk>
      <rc t="2" v="12069"/>
    </bk>
    <bk>
      <rc t="2" v="12070"/>
    </bk>
    <bk>
      <rc t="2" v="12071"/>
    </bk>
    <bk>
      <rc t="2" v="12072"/>
    </bk>
    <bk>
      <rc t="2" v="12073"/>
    </bk>
    <bk>
      <rc t="2" v="12074"/>
    </bk>
    <bk>
      <rc t="2" v="12075"/>
    </bk>
    <bk>
      <rc t="2" v="12076"/>
    </bk>
    <bk>
      <rc t="2" v="12077"/>
    </bk>
    <bk>
      <rc t="2" v="12078"/>
    </bk>
    <bk>
      <rc t="2" v="12079"/>
    </bk>
    <bk>
      <rc t="2" v="12080"/>
    </bk>
    <bk>
      <rc t="2" v="12081"/>
    </bk>
    <bk>
      <rc t="2" v="12082"/>
    </bk>
    <bk>
      <rc t="2" v="12083"/>
    </bk>
    <bk>
      <rc t="2" v="12084"/>
    </bk>
    <bk>
      <rc t="2" v="12085"/>
    </bk>
    <bk>
      <rc t="2" v="12086"/>
    </bk>
    <bk>
      <rc t="2" v="12087"/>
    </bk>
    <bk>
      <rc t="2" v="12088"/>
    </bk>
    <bk>
      <rc t="2" v="12089"/>
    </bk>
    <bk>
      <rc t="2" v="12090"/>
    </bk>
    <bk>
      <rc t="2" v="12091"/>
    </bk>
    <bk>
      <rc t="2" v="12092"/>
    </bk>
    <bk>
      <rc t="2" v="12093"/>
    </bk>
    <bk>
      <rc t="2" v="12094"/>
    </bk>
    <bk>
      <rc t="2" v="12095"/>
    </bk>
    <bk>
      <rc t="2" v="12096"/>
    </bk>
    <bk>
      <rc t="2" v="12097"/>
    </bk>
    <bk>
      <rc t="2" v="12098"/>
    </bk>
    <bk>
      <rc t="2" v="12099"/>
    </bk>
    <bk>
      <rc t="2" v="12100"/>
    </bk>
    <bk>
      <rc t="2" v="12101"/>
    </bk>
    <bk>
      <rc t="2" v="12102"/>
    </bk>
    <bk>
      <rc t="2" v="12103"/>
    </bk>
    <bk>
      <rc t="2" v="12104"/>
    </bk>
    <bk>
      <rc t="2" v="12105"/>
    </bk>
    <bk>
      <rc t="2" v="12106"/>
    </bk>
    <bk>
      <rc t="2" v="12107"/>
    </bk>
    <bk>
      <rc t="2" v="12108"/>
    </bk>
    <bk>
      <rc t="2" v="12109"/>
    </bk>
    <bk>
      <rc t="2" v="12110"/>
    </bk>
    <bk>
      <rc t="2" v="12111"/>
    </bk>
    <bk>
      <rc t="2" v="12112"/>
    </bk>
    <bk>
      <rc t="2" v="12113"/>
    </bk>
    <bk>
      <rc t="2" v="12114"/>
    </bk>
    <bk>
      <rc t="2" v="12115"/>
    </bk>
    <bk>
      <rc t="2" v="12116"/>
    </bk>
    <bk>
      <rc t="2" v="12117"/>
    </bk>
    <bk>
      <rc t="2" v="12118"/>
    </bk>
    <bk>
      <rc t="2" v="12119"/>
    </bk>
    <bk>
      <rc t="2" v="12120"/>
    </bk>
    <bk>
      <rc t="2" v="12121"/>
    </bk>
    <bk>
      <rc t="2" v="12122"/>
    </bk>
    <bk>
      <rc t="2" v="12123"/>
    </bk>
    <bk>
      <rc t="2" v="12124"/>
    </bk>
    <bk>
      <rc t="2" v="12125"/>
    </bk>
    <bk>
      <rc t="2" v="12126"/>
    </bk>
    <bk>
      <rc t="2" v="12127"/>
    </bk>
    <bk>
      <rc t="2" v="12128"/>
    </bk>
    <bk>
      <rc t="2" v="12129"/>
    </bk>
    <bk>
      <rc t="2" v="12130"/>
    </bk>
    <bk>
      <rc t="2" v="12131"/>
    </bk>
    <bk>
      <rc t="2" v="12132"/>
    </bk>
    <bk>
      <rc t="2" v="12133"/>
    </bk>
    <bk>
      <rc t="2" v="12134"/>
    </bk>
    <bk>
      <rc t="2" v="12135"/>
    </bk>
    <bk>
      <rc t="2" v="12136"/>
    </bk>
    <bk>
      <rc t="2" v="12137"/>
    </bk>
    <bk>
      <rc t="2" v="12138"/>
    </bk>
    <bk>
      <rc t="2" v="12139"/>
    </bk>
    <bk>
      <rc t="2" v="12140"/>
    </bk>
    <bk>
      <rc t="2" v="12141"/>
    </bk>
    <bk>
      <rc t="2" v="12142"/>
    </bk>
    <bk>
      <rc t="2" v="12143"/>
    </bk>
    <bk>
      <rc t="2" v="12144"/>
    </bk>
    <bk>
      <rc t="2" v="12145"/>
    </bk>
    <bk>
      <rc t="2" v="12146"/>
    </bk>
    <bk>
      <rc t="2" v="12147"/>
    </bk>
    <bk>
      <rc t="2" v="12148"/>
    </bk>
    <bk>
      <rc t="2" v="12149"/>
    </bk>
    <bk>
      <rc t="2" v="12150"/>
    </bk>
    <bk>
      <rc t="2" v="12151"/>
    </bk>
    <bk>
      <rc t="2" v="12152"/>
    </bk>
    <bk>
      <rc t="2" v="12153"/>
    </bk>
    <bk>
      <rc t="2" v="12154"/>
    </bk>
    <bk>
      <rc t="2" v="12155"/>
    </bk>
    <bk>
      <rc t="2" v="12156"/>
    </bk>
    <bk>
      <rc t="2" v="12157"/>
    </bk>
    <bk>
      <rc t="2" v="12158"/>
    </bk>
    <bk>
      <rc t="2" v="12159"/>
    </bk>
    <bk>
      <rc t="2" v="12160"/>
    </bk>
    <bk>
      <rc t="2" v="12161"/>
    </bk>
    <bk>
      <rc t="2" v="12162"/>
    </bk>
    <bk>
      <rc t="2" v="12163"/>
    </bk>
    <bk>
      <rc t="2" v="12164"/>
    </bk>
    <bk>
      <rc t="2" v="12165"/>
    </bk>
    <bk>
      <rc t="2" v="12166"/>
    </bk>
    <bk>
      <rc t="2" v="12167"/>
    </bk>
    <bk>
      <rc t="2" v="12168"/>
    </bk>
    <bk>
      <rc t="2" v="12169"/>
    </bk>
    <bk>
      <rc t="2" v="12170"/>
    </bk>
    <bk>
      <rc t="2" v="12171"/>
    </bk>
    <bk>
      <rc t="2" v="12172"/>
    </bk>
    <bk>
      <rc t="2" v="12173"/>
    </bk>
    <bk>
      <rc t="2" v="12174"/>
    </bk>
    <bk>
      <rc t="2" v="12175"/>
    </bk>
    <bk>
      <rc t="2" v="12176"/>
    </bk>
    <bk>
      <rc t="2" v="12177"/>
    </bk>
    <bk>
      <rc t="2" v="12178"/>
    </bk>
    <bk>
      <rc t="2" v="12179"/>
    </bk>
    <bk>
      <rc t="2" v="12180"/>
    </bk>
    <bk>
      <rc t="2" v="12181"/>
    </bk>
    <bk>
      <rc t="2" v="12182"/>
    </bk>
    <bk>
      <rc t="2" v="12183"/>
    </bk>
    <bk>
      <rc t="2" v="12184"/>
    </bk>
    <bk>
      <rc t="2" v="12185"/>
    </bk>
    <bk>
      <rc t="2" v="12186"/>
    </bk>
    <bk>
      <rc t="2" v="12187"/>
    </bk>
    <bk>
      <rc t="2" v="12188"/>
    </bk>
    <bk>
      <rc t="2" v="12189"/>
    </bk>
    <bk>
      <rc t="2" v="12190"/>
    </bk>
    <bk>
      <rc t="2" v="12191"/>
    </bk>
    <bk>
      <rc t="2" v="12192"/>
    </bk>
    <bk>
      <rc t="2" v="12193"/>
    </bk>
    <bk>
      <rc t="2" v="12194"/>
    </bk>
    <bk>
      <rc t="2" v="12195"/>
    </bk>
    <bk>
      <rc t="2" v="12196"/>
    </bk>
    <bk>
      <rc t="2" v="12197"/>
    </bk>
    <bk>
      <rc t="2" v="12198"/>
    </bk>
    <bk>
      <rc t="2" v="12199"/>
    </bk>
    <bk>
      <rc t="2" v="12200"/>
    </bk>
    <bk>
      <rc t="2" v="12201"/>
    </bk>
    <bk>
      <rc t="2" v="12202"/>
    </bk>
    <bk>
      <rc t="2" v="12203"/>
    </bk>
    <bk>
      <rc t="2" v="12204"/>
    </bk>
    <bk>
      <rc t="2" v="12205"/>
    </bk>
    <bk>
      <rc t="2" v="12206"/>
    </bk>
    <bk>
      <rc t="2" v="12207"/>
    </bk>
    <bk>
      <rc t="2" v="12208"/>
    </bk>
    <bk>
      <rc t="2" v="12209"/>
    </bk>
    <bk>
      <rc t="2" v="12210"/>
    </bk>
    <bk>
      <rc t="2" v="12211"/>
    </bk>
    <bk>
      <rc t="2" v="12212"/>
    </bk>
    <bk>
      <rc t="2" v="12213"/>
    </bk>
    <bk>
      <rc t="2" v="12214"/>
    </bk>
    <bk>
      <rc t="2" v="12215"/>
    </bk>
    <bk>
      <rc t="2" v="12216"/>
    </bk>
    <bk>
      <rc t="2" v="12217"/>
    </bk>
    <bk>
      <rc t="2" v="12218"/>
    </bk>
    <bk>
      <rc t="2" v="12219"/>
    </bk>
    <bk>
      <rc t="2" v="12220"/>
    </bk>
    <bk>
      <rc t="2" v="12221"/>
    </bk>
    <bk>
      <rc t="2" v="12222"/>
    </bk>
    <bk>
      <rc t="2" v="12223"/>
    </bk>
    <bk>
      <rc t="2" v="12224"/>
    </bk>
    <bk>
      <rc t="2" v="12225"/>
    </bk>
    <bk>
      <rc t="2" v="12226"/>
    </bk>
    <bk>
      <rc t="2" v="12227"/>
    </bk>
    <bk>
      <rc t="2" v="12228"/>
    </bk>
    <bk>
      <rc t="2" v="12229"/>
    </bk>
    <bk>
      <rc t="2" v="12230"/>
    </bk>
    <bk>
      <rc t="2" v="12231"/>
    </bk>
    <bk>
      <rc t="2" v="12232"/>
    </bk>
    <bk>
      <rc t="2" v="12233"/>
    </bk>
    <bk>
      <rc t="2" v="12234"/>
    </bk>
    <bk>
      <rc t="2" v="12235"/>
    </bk>
    <bk>
      <rc t="2" v="12236"/>
    </bk>
    <bk>
      <rc t="2" v="12237"/>
    </bk>
    <bk>
      <rc t="2" v="12238"/>
    </bk>
    <bk>
      <rc t="2" v="12239"/>
    </bk>
    <bk>
      <rc t="2" v="12240"/>
    </bk>
    <bk>
      <rc t="2" v="12241"/>
    </bk>
    <bk>
      <rc t="2" v="12242"/>
    </bk>
    <bk>
      <rc t="2" v="12243"/>
    </bk>
    <bk>
      <rc t="2" v="12244"/>
    </bk>
    <bk>
      <rc t="2" v="12245"/>
    </bk>
    <bk>
      <rc t="2" v="12246"/>
    </bk>
    <bk>
      <rc t="2" v="12247"/>
    </bk>
    <bk>
      <rc t="2" v="12248"/>
    </bk>
    <bk>
      <rc t="2" v="12249"/>
    </bk>
    <bk>
      <rc t="2" v="12250"/>
    </bk>
    <bk>
      <rc t="2" v="12251"/>
    </bk>
    <bk>
      <rc t="2" v="12252"/>
    </bk>
    <bk>
      <rc t="2" v="12253"/>
    </bk>
    <bk>
      <rc t="2" v="12254"/>
    </bk>
    <bk>
      <rc t="2" v="12255"/>
    </bk>
    <bk>
      <rc t="2" v="12256"/>
    </bk>
    <bk>
      <rc t="2" v="12257"/>
    </bk>
    <bk>
      <rc t="2" v="12258"/>
    </bk>
    <bk>
      <rc t="2" v="12259"/>
    </bk>
    <bk>
      <rc t="2" v="12260"/>
    </bk>
    <bk>
      <rc t="2" v="12261"/>
    </bk>
    <bk>
      <rc t="2" v="12262"/>
    </bk>
    <bk>
      <rc t="2" v="12263"/>
    </bk>
    <bk>
      <rc t="2" v="12264"/>
    </bk>
    <bk>
      <rc t="2" v="12265"/>
    </bk>
    <bk>
      <rc t="2" v="12266"/>
    </bk>
    <bk>
      <rc t="2" v="12267"/>
    </bk>
    <bk>
      <rc t="2" v="12268"/>
    </bk>
    <bk>
      <rc t="2" v="12269"/>
    </bk>
    <bk>
      <rc t="2" v="12270"/>
    </bk>
    <bk>
      <rc t="2" v="12271"/>
    </bk>
    <bk>
      <rc t="2" v="12272"/>
    </bk>
    <bk>
      <rc t="2" v="12273"/>
    </bk>
    <bk>
      <rc t="2" v="12274"/>
    </bk>
    <bk>
      <rc t="2" v="12275"/>
    </bk>
    <bk>
      <rc t="2" v="12276"/>
    </bk>
    <bk>
      <rc t="2" v="12277"/>
    </bk>
    <bk>
      <rc t="2" v="12278"/>
    </bk>
    <bk>
      <rc t="2" v="12279"/>
    </bk>
    <bk>
      <rc t="2" v="12280"/>
    </bk>
    <bk>
      <rc t="2" v="12281"/>
    </bk>
    <bk>
      <rc t="2" v="12282"/>
    </bk>
    <bk>
      <rc t="2" v="12283"/>
    </bk>
    <bk>
      <rc t="2" v="12284"/>
    </bk>
    <bk>
      <rc t="2" v="12285"/>
    </bk>
    <bk>
      <rc t="2" v="12286"/>
    </bk>
    <bk>
      <rc t="2" v="12287"/>
    </bk>
    <bk>
      <rc t="2" v="12288"/>
    </bk>
    <bk>
      <rc t="2" v="12289"/>
    </bk>
    <bk>
      <rc t="2" v="12290"/>
    </bk>
    <bk>
      <rc t="2" v="12291"/>
    </bk>
    <bk>
      <rc t="2" v="12292"/>
    </bk>
    <bk>
      <rc t="2" v="12293"/>
    </bk>
    <bk>
      <rc t="2" v="12294"/>
    </bk>
    <bk>
      <rc t="2" v="12295"/>
    </bk>
    <bk>
      <rc t="2" v="12296"/>
    </bk>
    <bk>
      <rc t="2" v="12297"/>
    </bk>
    <bk>
      <rc t="2" v="12298"/>
    </bk>
    <bk>
      <rc t="2" v="12299"/>
    </bk>
    <bk>
      <rc t="2" v="12300"/>
    </bk>
    <bk>
      <rc t="2" v="12301"/>
    </bk>
    <bk>
      <rc t="2" v="12302"/>
    </bk>
    <bk>
      <rc t="2" v="12303"/>
    </bk>
    <bk>
      <rc t="2" v="12304"/>
    </bk>
    <bk>
      <rc t="2" v="12305"/>
    </bk>
    <bk>
      <rc t="2" v="12306"/>
    </bk>
    <bk>
      <rc t="2" v="12307"/>
    </bk>
    <bk>
      <rc t="2" v="12308"/>
    </bk>
    <bk>
      <rc t="2" v="12309"/>
    </bk>
    <bk>
      <rc t="2" v="12310"/>
    </bk>
    <bk>
      <rc t="2" v="12311"/>
    </bk>
    <bk>
      <rc t="2" v="12312"/>
    </bk>
    <bk>
      <rc t="2" v="12313"/>
    </bk>
    <bk>
      <rc t="2" v="12314"/>
    </bk>
    <bk>
      <rc t="2" v="12315"/>
    </bk>
    <bk>
      <rc t="2" v="12316"/>
    </bk>
    <bk>
      <rc t="2" v="12317"/>
    </bk>
    <bk>
      <rc t="2" v="12318"/>
    </bk>
    <bk>
      <rc t="2" v="12319"/>
    </bk>
    <bk>
      <rc t="2" v="12320"/>
    </bk>
    <bk>
      <rc t="2" v="12321"/>
    </bk>
    <bk>
      <rc t="2" v="12322"/>
    </bk>
    <bk>
      <rc t="2" v="12323"/>
    </bk>
    <bk>
      <rc t="2" v="12324"/>
    </bk>
    <bk>
      <rc t="2" v="12325"/>
    </bk>
    <bk>
      <rc t="2" v="12326"/>
    </bk>
    <bk>
      <rc t="2" v="12327"/>
    </bk>
    <bk>
      <rc t="2" v="12328"/>
    </bk>
    <bk>
      <rc t="2" v="12329"/>
    </bk>
    <bk>
      <rc t="2" v="12330"/>
    </bk>
    <bk>
      <rc t="2" v="12331"/>
    </bk>
    <bk>
      <rc t="2" v="12332"/>
    </bk>
    <bk>
      <rc t="2" v="12333"/>
    </bk>
    <bk>
      <rc t="2" v="12334"/>
    </bk>
    <bk>
      <rc t="2" v="12335"/>
    </bk>
    <bk>
      <rc t="2" v="12336"/>
    </bk>
    <bk>
      <rc t="2" v="12337"/>
    </bk>
    <bk>
      <rc t="2" v="12338"/>
    </bk>
    <bk>
      <rc t="2" v="12339"/>
    </bk>
    <bk>
      <rc t="2" v="12340"/>
    </bk>
    <bk>
      <rc t="2" v="12341"/>
    </bk>
    <bk>
      <rc t="2" v="12342"/>
    </bk>
    <bk>
      <rc t="2" v="12343"/>
    </bk>
    <bk>
      <rc t="2" v="12344"/>
    </bk>
    <bk>
      <rc t="2" v="12345"/>
    </bk>
    <bk>
      <rc t="2" v="12346"/>
    </bk>
    <bk>
      <rc t="2" v="12347"/>
    </bk>
    <bk>
      <rc t="2" v="12348"/>
    </bk>
    <bk>
      <rc t="2" v="12349"/>
    </bk>
    <bk>
      <rc t="2" v="12350"/>
    </bk>
    <bk>
      <rc t="2" v="12351"/>
    </bk>
    <bk>
      <rc t="2" v="12352"/>
    </bk>
    <bk>
      <rc t="2" v="12353"/>
    </bk>
    <bk>
      <rc t="2" v="12354"/>
    </bk>
    <bk>
      <rc t="2" v="12355"/>
    </bk>
    <bk>
      <rc t="2" v="12356"/>
    </bk>
    <bk>
      <rc t="2" v="12357"/>
    </bk>
    <bk>
      <rc t="2" v="12358"/>
    </bk>
    <bk>
      <rc t="2" v="12359"/>
    </bk>
    <bk>
      <rc t="2" v="12360"/>
    </bk>
    <bk>
      <rc t="2" v="12361"/>
    </bk>
    <bk>
      <rc t="2" v="12362"/>
    </bk>
    <bk>
      <rc t="2" v="12363"/>
    </bk>
    <bk>
      <rc t="2" v="12364"/>
    </bk>
    <bk>
      <rc t="2" v="12365"/>
    </bk>
    <bk>
      <rc t="2" v="12366"/>
    </bk>
    <bk>
      <rc t="2" v="12367"/>
    </bk>
    <bk>
      <rc t="2" v="12368"/>
    </bk>
    <bk>
      <rc t="2" v="12369"/>
    </bk>
    <bk>
      <rc t="2" v="12370"/>
    </bk>
    <bk>
      <rc t="2" v="12371"/>
    </bk>
    <bk>
      <rc t="2" v="12372"/>
    </bk>
    <bk>
      <rc t="2" v="12373"/>
    </bk>
    <bk>
      <rc t="2" v="12374"/>
    </bk>
    <bk>
      <rc t="2" v="12375"/>
    </bk>
    <bk>
      <rc t="2" v="12376"/>
    </bk>
    <bk>
      <rc t="2" v="12377"/>
    </bk>
    <bk>
      <rc t="2" v="12378"/>
    </bk>
    <bk>
      <rc t="2" v="12379"/>
    </bk>
    <bk>
      <rc t="2" v="12380"/>
    </bk>
    <bk>
      <rc t="2" v="12381"/>
    </bk>
    <bk>
      <rc t="2" v="12382"/>
    </bk>
    <bk>
      <rc t="2" v="12383"/>
    </bk>
    <bk>
      <rc t="2" v="12384"/>
    </bk>
    <bk>
      <rc t="2" v="12385"/>
    </bk>
    <bk>
      <rc t="2" v="12386"/>
    </bk>
    <bk>
      <rc t="2" v="12387"/>
    </bk>
    <bk>
      <rc t="2" v="12388"/>
    </bk>
    <bk>
      <rc t="2" v="12389"/>
    </bk>
    <bk>
      <rc t="2" v="12390"/>
    </bk>
    <bk>
      <rc t="2" v="12391"/>
    </bk>
    <bk>
      <rc t="2" v="12392"/>
    </bk>
    <bk>
      <rc t="2" v="12393"/>
    </bk>
    <bk>
      <rc t="2" v="12394"/>
    </bk>
    <bk>
      <rc t="2" v="12395"/>
    </bk>
    <bk>
      <rc t="2" v="12396"/>
    </bk>
    <bk>
      <rc t="2" v="12397"/>
    </bk>
    <bk>
      <rc t="2" v="12398"/>
    </bk>
    <bk>
      <rc t="2" v="12399"/>
    </bk>
    <bk>
      <rc t="2" v="12400"/>
    </bk>
    <bk>
      <rc t="2" v="12401"/>
    </bk>
    <bk>
      <rc t="2" v="12402"/>
    </bk>
    <bk>
      <rc t="2" v="12403"/>
    </bk>
    <bk>
      <rc t="2" v="12404"/>
    </bk>
    <bk>
      <rc t="2" v="12405"/>
    </bk>
    <bk>
      <rc t="2" v="12406"/>
    </bk>
    <bk>
      <rc t="2" v="12407"/>
    </bk>
    <bk>
      <rc t="2" v="12408"/>
    </bk>
    <bk>
      <rc t="2" v="12409"/>
    </bk>
    <bk>
      <rc t="2" v="12410"/>
    </bk>
    <bk>
      <rc t="2" v="12411"/>
    </bk>
    <bk>
      <rc t="2" v="12412"/>
    </bk>
    <bk>
      <rc t="2" v="12413"/>
    </bk>
    <bk>
      <rc t="2" v="12414"/>
    </bk>
    <bk>
      <rc t="2" v="12415"/>
    </bk>
    <bk>
      <rc t="2" v="12416"/>
    </bk>
    <bk>
      <rc t="2" v="12417"/>
    </bk>
    <bk>
      <rc t="2" v="12418"/>
    </bk>
    <bk>
      <rc t="2" v="12419"/>
    </bk>
    <bk>
      <rc t="2" v="12420"/>
    </bk>
    <bk>
      <rc t="2" v="12421"/>
    </bk>
    <bk>
      <rc t="2" v="12422"/>
    </bk>
    <bk>
      <rc t="2" v="12423"/>
    </bk>
    <bk>
      <rc t="2" v="12424"/>
    </bk>
    <bk>
      <rc t="2" v="12425"/>
    </bk>
    <bk>
      <rc t="2" v="12426"/>
    </bk>
    <bk>
      <rc t="2" v="12427"/>
    </bk>
    <bk>
      <rc t="2" v="12428"/>
    </bk>
    <bk>
      <rc t="2" v="12429"/>
    </bk>
    <bk>
      <rc t="2" v="12430"/>
    </bk>
    <bk>
      <rc t="2" v="12431"/>
    </bk>
    <bk>
      <rc t="2" v="12432"/>
    </bk>
    <bk>
      <rc t="2" v="12433"/>
    </bk>
    <bk>
      <rc t="2" v="12434"/>
    </bk>
    <bk>
      <rc t="2" v="12435"/>
    </bk>
    <bk>
      <rc t="2" v="12436"/>
    </bk>
    <bk>
      <rc t="2" v="12437"/>
    </bk>
    <bk>
      <rc t="2" v="12438"/>
    </bk>
    <bk>
      <rc t="2" v="12439"/>
    </bk>
    <bk>
      <rc t="2" v="12440"/>
    </bk>
    <bk>
      <rc t="2" v="12441"/>
    </bk>
    <bk>
      <rc t="2" v="12442"/>
    </bk>
    <bk>
      <rc t="2" v="12443"/>
    </bk>
    <bk>
      <rc t="2" v="12444"/>
    </bk>
    <bk>
      <rc t="2" v="12445"/>
    </bk>
    <bk>
      <rc t="2" v="12446"/>
    </bk>
    <bk>
      <rc t="2" v="12447"/>
    </bk>
    <bk>
      <rc t="2" v="12448"/>
    </bk>
    <bk>
      <rc t="2" v="12449"/>
    </bk>
    <bk>
      <rc t="2" v="12450"/>
    </bk>
    <bk>
      <rc t="2" v="12451"/>
    </bk>
    <bk>
      <rc t="2" v="12452"/>
    </bk>
    <bk>
      <rc t="2" v="12453"/>
    </bk>
    <bk>
      <rc t="2" v="12454"/>
    </bk>
    <bk>
      <rc t="2" v="12455"/>
    </bk>
    <bk>
      <rc t="2" v="12456"/>
    </bk>
    <bk>
      <rc t="2" v="12457"/>
    </bk>
    <bk>
      <rc t="2" v="12458"/>
    </bk>
    <bk>
      <rc t="2" v="12459"/>
    </bk>
    <bk>
      <rc t="2" v="12460"/>
    </bk>
    <bk>
      <rc t="2" v="12461"/>
    </bk>
    <bk>
      <rc t="2" v="12462"/>
    </bk>
    <bk>
      <rc t="2" v="12463"/>
    </bk>
    <bk>
      <rc t="2" v="12464"/>
    </bk>
    <bk>
      <rc t="2" v="12465"/>
    </bk>
    <bk>
      <rc t="2" v="12466"/>
    </bk>
    <bk>
      <rc t="2" v="12467"/>
    </bk>
    <bk>
      <rc t="2" v="12468"/>
    </bk>
    <bk>
      <rc t="2" v="12469"/>
    </bk>
    <bk>
      <rc t="2" v="12470"/>
    </bk>
    <bk>
      <rc t="2" v="12471"/>
    </bk>
    <bk>
      <rc t="2" v="12472"/>
    </bk>
    <bk>
      <rc t="2" v="12473"/>
    </bk>
    <bk>
      <rc t="2" v="12474"/>
    </bk>
    <bk>
      <rc t="2" v="12475"/>
    </bk>
    <bk>
      <rc t="2" v="12476"/>
    </bk>
    <bk>
      <rc t="2" v="12477"/>
    </bk>
    <bk>
      <rc t="2" v="12478"/>
    </bk>
    <bk>
      <rc t="2" v="12479"/>
    </bk>
    <bk>
      <rc t="2" v="12480"/>
    </bk>
    <bk>
      <rc t="2" v="12481"/>
    </bk>
    <bk>
      <rc t="2" v="12482"/>
    </bk>
    <bk>
      <rc t="2" v="12483"/>
    </bk>
    <bk>
      <rc t="2" v="12484"/>
    </bk>
    <bk>
      <rc t="2" v="12485"/>
    </bk>
    <bk>
      <rc t="2" v="12486"/>
    </bk>
    <bk>
      <rc t="2" v="12487"/>
    </bk>
    <bk>
      <rc t="2" v="12488"/>
    </bk>
    <bk>
      <rc t="2" v="12489"/>
    </bk>
    <bk>
      <rc t="2" v="12490"/>
    </bk>
    <bk>
      <rc t="2" v="12491"/>
    </bk>
    <bk>
      <rc t="2" v="12492"/>
    </bk>
    <bk>
      <rc t="2" v="12493"/>
    </bk>
    <bk>
      <rc t="2" v="12494"/>
    </bk>
    <bk>
      <rc t="2" v="12495"/>
    </bk>
    <bk>
      <rc t="2" v="12496"/>
    </bk>
    <bk>
      <rc t="2" v="12497"/>
    </bk>
    <bk>
      <rc t="2" v="12498"/>
    </bk>
    <bk>
      <rc t="2" v="12499"/>
    </bk>
    <bk>
      <rc t="2" v="12500"/>
    </bk>
    <bk>
      <rc t="2" v="12501"/>
    </bk>
    <bk>
      <rc t="2" v="12502"/>
    </bk>
    <bk>
      <rc t="2" v="12503"/>
    </bk>
    <bk>
      <rc t="2" v="12504"/>
    </bk>
    <bk>
      <rc t="2" v="12505"/>
    </bk>
    <bk>
      <rc t="2" v="12506"/>
    </bk>
    <bk>
      <rc t="2" v="12507"/>
    </bk>
    <bk>
      <rc t="2" v="12508"/>
    </bk>
    <bk>
      <rc t="2" v="12509"/>
    </bk>
    <bk>
      <rc t="2" v="12510"/>
    </bk>
    <bk>
      <rc t="2" v="12511"/>
    </bk>
    <bk>
      <rc t="2" v="12512"/>
    </bk>
    <bk>
      <rc t="2" v="12513"/>
    </bk>
    <bk>
      <rc t="2" v="12514"/>
    </bk>
    <bk>
      <rc t="2" v="12515"/>
    </bk>
    <bk>
      <rc t="2" v="12516"/>
    </bk>
    <bk>
      <rc t="2" v="12517"/>
    </bk>
    <bk>
      <rc t="2" v="12518"/>
    </bk>
    <bk>
      <rc t="2" v="12519"/>
    </bk>
    <bk>
      <rc t="2" v="12520"/>
    </bk>
    <bk>
      <rc t="2" v="12521"/>
    </bk>
    <bk>
      <rc t="2" v="12522"/>
    </bk>
    <bk>
      <rc t="2" v="12523"/>
    </bk>
    <bk>
      <rc t="2" v="12524"/>
    </bk>
    <bk>
      <rc t="2" v="12525"/>
    </bk>
    <bk>
      <rc t="2" v="12526"/>
    </bk>
    <bk>
      <rc t="2" v="12527"/>
    </bk>
    <bk>
      <rc t="2" v="12528"/>
    </bk>
    <bk>
      <rc t="2" v="12529"/>
    </bk>
    <bk>
      <rc t="2" v="12530"/>
    </bk>
    <bk>
      <rc t="2" v="12531"/>
    </bk>
    <bk>
      <rc t="2" v="12532"/>
    </bk>
    <bk>
      <rc t="2" v="12533"/>
    </bk>
    <bk>
      <rc t="2" v="12534"/>
    </bk>
    <bk>
      <rc t="2" v="12535"/>
    </bk>
    <bk>
      <rc t="2" v="12536"/>
    </bk>
    <bk>
      <rc t="2" v="12537"/>
    </bk>
    <bk>
      <rc t="2" v="12538"/>
    </bk>
    <bk>
      <rc t="2" v="12539"/>
    </bk>
    <bk>
      <rc t="2" v="12540"/>
    </bk>
    <bk>
      <rc t="2" v="12541"/>
    </bk>
    <bk>
      <rc t="2" v="12542"/>
    </bk>
    <bk>
      <rc t="2" v="12543"/>
    </bk>
    <bk>
      <rc t="2" v="12544"/>
    </bk>
    <bk>
      <rc t="2" v="12545"/>
    </bk>
    <bk>
      <rc t="2" v="12546"/>
    </bk>
    <bk>
      <rc t="2" v="12547"/>
    </bk>
    <bk>
      <rc t="2" v="12548"/>
    </bk>
    <bk>
      <rc t="2" v="12549"/>
    </bk>
    <bk>
      <rc t="2" v="12550"/>
    </bk>
    <bk>
      <rc t="2" v="12551"/>
    </bk>
    <bk>
      <rc t="2" v="12552"/>
    </bk>
    <bk>
      <rc t="2" v="12553"/>
    </bk>
    <bk>
      <rc t="2" v="12554"/>
    </bk>
    <bk>
      <rc t="2" v="12555"/>
    </bk>
    <bk>
      <rc t="2" v="12556"/>
    </bk>
    <bk>
      <rc t="2" v="12557"/>
    </bk>
    <bk>
      <rc t="2" v="12558"/>
    </bk>
    <bk>
      <rc t="2" v="12559"/>
    </bk>
    <bk>
      <rc t="2" v="12560"/>
    </bk>
    <bk>
      <rc t="2" v="12561"/>
    </bk>
    <bk>
      <rc t="2" v="12562"/>
    </bk>
    <bk>
      <rc t="2" v="12563"/>
    </bk>
    <bk>
      <rc t="2" v="12564"/>
    </bk>
    <bk>
      <rc t="2" v="12565"/>
    </bk>
    <bk>
      <rc t="2" v="12566"/>
    </bk>
    <bk>
      <rc t="2" v="12567"/>
    </bk>
    <bk>
      <rc t="2" v="12568"/>
    </bk>
    <bk>
      <rc t="2" v="12569"/>
    </bk>
    <bk>
      <rc t="2" v="12570"/>
    </bk>
    <bk>
      <rc t="2" v="12571"/>
    </bk>
    <bk>
      <rc t="2" v="12572"/>
    </bk>
    <bk>
      <rc t="2" v="12573"/>
    </bk>
    <bk>
      <rc t="2" v="12574"/>
    </bk>
    <bk>
      <rc t="2" v="12575"/>
    </bk>
    <bk>
      <rc t="2" v="12576"/>
    </bk>
    <bk>
      <rc t="2" v="12577"/>
    </bk>
    <bk>
      <rc t="2" v="12578"/>
    </bk>
    <bk>
      <rc t="2" v="12579"/>
    </bk>
    <bk>
      <rc t="2" v="12580"/>
    </bk>
    <bk>
      <rc t="2" v="12581"/>
    </bk>
    <bk>
      <rc t="2" v="12582"/>
    </bk>
    <bk>
      <rc t="2" v="12583"/>
    </bk>
    <bk>
      <rc t="2" v="12584"/>
    </bk>
    <bk>
      <rc t="2" v="12585"/>
    </bk>
    <bk>
      <rc t="2" v="12586"/>
    </bk>
    <bk>
      <rc t="2" v="12587"/>
    </bk>
    <bk>
      <rc t="2" v="12588"/>
    </bk>
    <bk>
      <rc t="2" v="12589"/>
    </bk>
    <bk>
      <rc t="2" v="12590"/>
    </bk>
    <bk>
      <rc t="2" v="12591"/>
    </bk>
    <bk>
      <rc t="2" v="12592"/>
    </bk>
    <bk>
      <rc t="2" v="12593"/>
    </bk>
    <bk>
      <rc t="2" v="12594"/>
    </bk>
    <bk>
      <rc t="2" v="12595"/>
    </bk>
    <bk>
      <rc t="2" v="12596"/>
    </bk>
    <bk>
      <rc t="2" v="12597"/>
    </bk>
    <bk>
      <rc t="2" v="12598"/>
    </bk>
    <bk>
      <rc t="2" v="12599"/>
    </bk>
    <bk>
      <rc t="2" v="12600"/>
    </bk>
    <bk>
      <rc t="2" v="12601"/>
    </bk>
    <bk>
      <rc t="2" v="12602"/>
    </bk>
    <bk>
      <rc t="2" v="12603"/>
    </bk>
    <bk>
      <rc t="2" v="12604"/>
    </bk>
    <bk>
      <rc t="2" v="12605"/>
    </bk>
    <bk>
      <rc t="2" v="12606"/>
    </bk>
    <bk>
      <rc t="2" v="12607"/>
    </bk>
    <bk>
      <rc t="2" v="12608"/>
    </bk>
    <bk>
      <rc t="2" v="12609"/>
    </bk>
    <bk>
      <rc t="2" v="12610"/>
    </bk>
    <bk>
      <rc t="2" v="12611"/>
    </bk>
    <bk>
      <rc t="2" v="12612"/>
    </bk>
    <bk>
      <rc t="2" v="12613"/>
    </bk>
    <bk>
      <rc t="2" v="12614"/>
    </bk>
    <bk>
      <rc t="2" v="12615"/>
    </bk>
    <bk>
      <rc t="2" v="12616"/>
    </bk>
    <bk>
      <rc t="2" v="12617"/>
    </bk>
    <bk>
      <rc t="2" v="12618"/>
    </bk>
    <bk>
      <rc t="2" v="12619"/>
    </bk>
    <bk>
      <rc t="2" v="12620"/>
    </bk>
    <bk>
      <rc t="2" v="12621"/>
    </bk>
    <bk>
      <rc t="2" v="12622"/>
    </bk>
    <bk>
      <rc t="2" v="12623"/>
    </bk>
    <bk>
      <rc t="2" v="12624"/>
    </bk>
    <bk>
      <rc t="2" v="12625"/>
    </bk>
    <bk>
      <rc t="2" v="12626"/>
    </bk>
    <bk>
      <rc t="2" v="12627"/>
    </bk>
    <bk>
      <rc t="2" v="12628"/>
    </bk>
    <bk>
      <rc t="2" v="12629"/>
    </bk>
    <bk>
      <rc t="2" v="12630"/>
    </bk>
    <bk>
      <rc t="2" v="12631"/>
    </bk>
    <bk>
      <rc t="2" v="12632"/>
    </bk>
    <bk>
      <rc t="2" v="12633"/>
    </bk>
    <bk>
      <rc t="2" v="12634"/>
    </bk>
    <bk>
      <rc t="2" v="12635"/>
    </bk>
    <bk>
      <rc t="2" v="12636"/>
    </bk>
    <bk>
      <rc t="2" v="12637"/>
    </bk>
    <bk>
      <rc t="2" v="12638"/>
    </bk>
    <bk>
      <rc t="2" v="12639"/>
    </bk>
    <bk>
      <rc t="2" v="12640"/>
    </bk>
    <bk>
      <rc t="2" v="12641"/>
    </bk>
    <bk>
      <rc t="2" v="12642"/>
    </bk>
    <bk>
      <rc t="2" v="12643"/>
    </bk>
    <bk>
      <rc t="2" v="12644"/>
    </bk>
    <bk>
      <rc t="2" v="12645"/>
    </bk>
    <bk>
      <rc t="2" v="12646"/>
    </bk>
    <bk>
      <rc t="2" v="12647"/>
    </bk>
    <bk>
      <rc t="2" v="12648"/>
    </bk>
    <bk>
      <rc t="2" v="12649"/>
    </bk>
    <bk>
      <rc t="2" v="12650"/>
    </bk>
    <bk>
      <rc t="2" v="12651"/>
    </bk>
    <bk>
      <rc t="2" v="12652"/>
    </bk>
    <bk>
      <rc t="2" v="12653"/>
    </bk>
    <bk>
      <rc t="2" v="12654"/>
    </bk>
    <bk>
      <rc t="2" v="12655"/>
    </bk>
    <bk>
      <rc t="2" v="12656"/>
    </bk>
    <bk>
      <rc t="2" v="12657"/>
    </bk>
    <bk>
      <rc t="2" v="12658"/>
    </bk>
    <bk>
      <rc t="2" v="12659"/>
    </bk>
    <bk>
      <rc t="2" v="12660"/>
    </bk>
    <bk>
      <rc t="2" v="12661"/>
    </bk>
    <bk>
      <rc t="2" v="12662"/>
    </bk>
    <bk>
      <rc t="2" v="12663"/>
    </bk>
    <bk>
      <rc t="2" v="12664"/>
    </bk>
    <bk>
      <rc t="2" v="12665"/>
    </bk>
    <bk>
      <rc t="2" v="12666"/>
    </bk>
    <bk>
      <rc t="2" v="12667"/>
    </bk>
    <bk>
      <rc t="2" v="12668"/>
    </bk>
    <bk>
      <rc t="2" v="12669"/>
    </bk>
    <bk>
      <rc t="2" v="12670"/>
    </bk>
    <bk>
      <rc t="2" v="12671"/>
    </bk>
    <bk>
      <rc t="2" v="12672"/>
    </bk>
    <bk>
      <rc t="2" v="12673"/>
    </bk>
    <bk>
      <rc t="2" v="12674"/>
    </bk>
    <bk>
      <rc t="2" v="12675"/>
    </bk>
    <bk>
      <rc t="2" v="12676"/>
    </bk>
    <bk>
      <rc t="2" v="12677"/>
    </bk>
    <bk>
      <rc t="2" v="12678"/>
    </bk>
    <bk>
      <rc t="2" v="12679"/>
    </bk>
    <bk>
      <rc t="2" v="12680"/>
    </bk>
    <bk>
      <rc t="2" v="12681"/>
    </bk>
    <bk>
      <rc t="2" v="12682"/>
    </bk>
    <bk>
      <rc t="2" v="12683"/>
    </bk>
    <bk>
      <rc t="2" v="12684"/>
    </bk>
    <bk>
      <rc t="2" v="12685"/>
    </bk>
    <bk>
      <rc t="2" v="12686"/>
    </bk>
    <bk>
      <rc t="2" v="12687"/>
    </bk>
    <bk>
      <rc t="2" v="12688"/>
    </bk>
    <bk>
      <rc t="2" v="12689"/>
    </bk>
    <bk>
      <rc t="2" v="12690"/>
    </bk>
    <bk>
      <rc t="2" v="12691"/>
    </bk>
    <bk>
      <rc t="2" v="12692"/>
    </bk>
    <bk>
      <rc t="2" v="12693"/>
    </bk>
    <bk>
      <rc t="2" v="12694"/>
    </bk>
    <bk>
      <rc t="2" v="12695"/>
    </bk>
    <bk>
      <rc t="2" v="12696"/>
    </bk>
    <bk>
      <rc t="2" v="12697"/>
    </bk>
    <bk>
      <rc t="2" v="12698"/>
    </bk>
    <bk>
      <rc t="2" v="12699"/>
    </bk>
    <bk>
      <rc t="2" v="12700"/>
    </bk>
    <bk>
      <rc t="2" v="12701"/>
    </bk>
    <bk>
      <rc t="2" v="12702"/>
    </bk>
    <bk>
      <rc t="2" v="12703"/>
    </bk>
    <bk>
      <rc t="2" v="12704"/>
    </bk>
    <bk>
      <rc t="2" v="12705"/>
    </bk>
    <bk>
      <rc t="2" v="12706"/>
    </bk>
    <bk>
      <rc t="2" v="12707"/>
    </bk>
    <bk>
      <rc t="2" v="12708"/>
    </bk>
    <bk>
      <rc t="2" v="12709"/>
    </bk>
    <bk>
      <rc t="2" v="12710"/>
    </bk>
    <bk>
      <rc t="2" v="12711"/>
    </bk>
    <bk>
      <rc t="2" v="12712"/>
    </bk>
    <bk>
      <rc t="2" v="12713"/>
    </bk>
    <bk>
      <rc t="2" v="12714"/>
    </bk>
    <bk>
      <rc t="2" v="12715"/>
    </bk>
    <bk>
      <rc t="2" v="12716"/>
    </bk>
    <bk>
      <rc t="2" v="12717"/>
    </bk>
    <bk>
      <rc t="2" v="12718"/>
    </bk>
    <bk>
      <rc t="2" v="12719"/>
    </bk>
    <bk>
      <rc t="2" v="12720"/>
    </bk>
    <bk>
      <rc t="2" v="12721"/>
    </bk>
    <bk>
      <rc t="2" v="12722"/>
    </bk>
    <bk>
      <rc t="2" v="12723"/>
    </bk>
    <bk>
      <rc t="2" v="12724"/>
    </bk>
    <bk>
      <rc t="2" v="12725"/>
    </bk>
    <bk>
      <rc t="2" v="12726"/>
    </bk>
    <bk>
      <rc t="2" v="12727"/>
    </bk>
    <bk>
      <rc t="2" v="12728"/>
    </bk>
    <bk>
      <rc t="2" v="12729"/>
    </bk>
    <bk>
      <rc t="2" v="12730"/>
    </bk>
    <bk>
      <rc t="2" v="12731"/>
    </bk>
    <bk>
      <rc t="2" v="12732"/>
    </bk>
    <bk>
      <rc t="2" v="12733"/>
    </bk>
    <bk>
      <rc t="2" v="12734"/>
    </bk>
    <bk>
      <rc t="2" v="12735"/>
    </bk>
    <bk>
      <rc t="2" v="12736"/>
    </bk>
    <bk>
      <rc t="2" v="12737"/>
    </bk>
    <bk>
      <rc t="2" v="12738"/>
    </bk>
    <bk>
      <rc t="2" v="12739"/>
    </bk>
    <bk>
      <rc t="2" v="12740"/>
    </bk>
    <bk>
      <rc t="2" v="12741"/>
    </bk>
    <bk>
      <rc t="2" v="12742"/>
    </bk>
    <bk>
      <rc t="2" v="12743"/>
    </bk>
    <bk>
      <rc t="2" v="12744"/>
    </bk>
    <bk>
      <rc t="2" v="12745"/>
    </bk>
    <bk>
      <rc t="2" v="12746"/>
    </bk>
    <bk>
      <rc t="2" v="12747"/>
    </bk>
    <bk>
      <rc t="2" v="12748"/>
    </bk>
    <bk>
      <rc t="2" v="12749"/>
    </bk>
    <bk>
      <rc t="2" v="12750"/>
    </bk>
    <bk>
      <rc t="2" v="12751"/>
    </bk>
    <bk>
      <rc t="2" v="12752"/>
    </bk>
    <bk>
      <rc t="2" v="12753"/>
    </bk>
    <bk>
      <rc t="2" v="12754"/>
    </bk>
    <bk>
      <rc t="2" v="12755"/>
    </bk>
    <bk>
      <rc t="2" v="12756"/>
    </bk>
    <bk>
      <rc t="2" v="12757"/>
    </bk>
    <bk>
      <rc t="2" v="12758"/>
    </bk>
    <bk>
      <rc t="2" v="12759"/>
    </bk>
    <bk>
      <rc t="2" v="12760"/>
    </bk>
    <bk>
      <rc t="2" v="12761"/>
    </bk>
    <bk>
      <rc t="2" v="12762"/>
    </bk>
    <bk>
      <rc t="2" v="12763"/>
    </bk>
    <bk>
      <rc t="2" v="12764"/>
    </bk>
    <bk>
      <rc t="2" v="12765"/>
    </bk>
    <bk>
      <rc t="2" v="12766"/>
    </bk>
    <bk>
      <rc t="2" v="12767"/>
    </bk>
    <bk>
      <rc t="2" v="12768"/>
    </bk>
    <bk>
      <rc t="2" v="12769"/>
    </bk>
    <bk>
      <rc t="2" v="12770"/>
    </bk>
    <bk>
      <rc t="2" v="12771"/>
    </bk>
    <bk>
      <rc t="2" v="12772"/>
    </bk>
    <bk>
      <rc t="2" v="12773"/>
    </bk>
    <bk>
      <rc t="2" v="12774"/>
    </bk>
    <bk>
      <rc t="2" v="12775"/>
    </bk>
    <bk>
      <rc t="2" v="12776"/>
    </bk>
    <bk>
      <rc t="2" v="12777"/>
    </bk>
    <bk>
      <rc t="2" v="12778"/>
    </bk>
    <bk>
      <rc t="2" v="12779"/>
    </bk>
    <bk>
      <rc t="2" v="12780"/>
    </bk>
    <bk>
      <rc t="2" v="12781"/>
    </bk>
    <bk>
      <rc t="2" v="12782"/>
    </bk>
    <bk>
      <rc t="2" v="12783"/>
    </bk>
    <bk>
      <rc t="2" v="12784"/>
    </bk>
    <bk>
      <rc t="2" v="12785"/>
    </bk>
    <bk>
      <rc t="2" v="12786"/>
    </bk>
    <bk>
      <rc t="2" v="12787"/>
    </bk>
    <bk>
      <rc t="2" v="12788"/>
    </bk>
    <bk>
      <rc t="2" v="12789"/>
    </bk>
    <bk>
      <rc t="2" v="12790"/>
    </bk>
    <bk>
      <rc t="2" v="12791"/>
    </bk>
    <bk>
      <rc t="2" v="12792"/>
    </bk>
    <bk>
      <rc t="2" v="12793"/>
    </bk>
    <bk>
      <rc t="2" v="12794"/>
    </bk>
    <bk>
      <rc t="2" v="12795"/>
    </bk>
    <bk>
      <rc t="2" v="12796"/>
    </bk>
    <bk>
      <rc t="2" v="12797"/>
    </bk>
    <bk>
      <rc t="2" v="12798"/>
    </bk>
    <bk>
      <rc t="2" v="12799"/>
    </bk>
    <bk>
      <rc t="2" v="12800"/>
    </bk>
    <bk>
      <rc t="2" v="12801"/>
    </bk>
    <bk>
      <rc t="2" v="12802"/>
    </bk>
    <bk>
      <rc t="2" v="12803"/>
    </bk>
    <bk>
      <rc t="2" v="12804"/>
    </bk>
    <bk>
      <rc t="2" v="12805"/>
    </bk>
    <bk>
      <rc t="2" v="12806"/>
    </bk>
    <bk>
      <rc t="2" v="12807"/>
    </bk>
    <bk>
      <rc t="2" v="12808"/>
    </bk>
    <bk>
      <rc t="2" v="12809"/>
    </bk>
    <bk>
      <rc t="2" v="12810"/>
    </bk>
    <bk>
      <rc t="2" v="12811"/>
    </bk>
    <bk>
      <rc t="2" v="12812"/>
    </bk>
    <bk>
      <rc t="2" v="12813"/>
    </bk>
    <bk>
      <rc t="2" v="12814"/>
    </bk>
    <bk>
      <rc t="2" v="12815"/>
    </bk>
    <bk>
      <rc t="2" v="12816"/>
    </bk>
    <bk>
      <rc t="2" v="12817"/>
    </bk>
    <bk>
      <rc t="2" v="12818"/>
    </bk>
    <bk>
      <rc t="2" v="12819"/>
    </bk>
    <bk>
      <rc t="2" v="12820"/>
    </bk>
    <bk>
      <rc t="2" v="12821"/>
    </bk>
    <bk>
      <rc t="2" v="12822"/>
    </bk>
    <bk>
      <rc t="2" v="12823"/>
    </bk>
    <bk>
      <rc t="2" v="12824"/>
    </bk>
    <bk>
      <rc t="2" v="12825"/>
    </bk>
    <bk>
      <rc t="2" v="12826"/>
    </bk>
    <bk>
      <rc t="2" v="12827"/>
    </bk>
    <bk>
      <rc t="2" v="12828"/>
    </bk>
    <bk>
      <rc t="2" v="12829"/>
    </bk>
    <bk>
      <rc t="2" v="12830"/>
    </bk>
    <bk>
      <rc t="2" v="12831"/>
    </bk>
    <bk>
      <rc t="2" v="12832"/>
    </bk>
    <bk>
      <rc t="2" v="12833"/>
    </bk>
    <bk>
      <rc t="2" v="12834"/>
    </bk>
    <bk>
      <rc t="2" v="12835"/>
    </bk>
    <bk>
      <rc t="2" v="12836"/>
    </bk>
    <bk>
      <rc t="2" v="12837"/>
    </bk>
    <bk>
      <rc t="2" v="12838"/>
    </bk>
    <bk>
      <rc t="2" v="12839"/>
    </bk>
    <bk>
      <rc t="2" v="12840"/>
    </bk>
    <bk>
      <rc t="2" v="12841"/>
    </bk>
    <bk>
      <rc t="2" v="12842"/>
    </bk>
    <bk>
      <rc t="2" v="12843"/>
    </bk>
    <bk>
      <rc t="2" v="12844"/>
    </bk>
    <bk>
      <rc t="2" v="12845"/>
    </bk>
    <bk>
      <rc t="2" v="12846"/>
    </bk>
    <bk>
      <rc t="2" v="12847"/>
    </bk>
    <bk>
      <rc t="2" v="12848"/>
    </bk>
    <bk>
      <rc t="2" v="12849"/>
    </bk>
    <bk>
      <rc t="2" v="12850"/>
    </bk>
    <bk>
      <rc t="2" v="12851"/>
    </bk>
    <bk>
      <rc t="2" v="12852"/>
    </bk>
    <bk>
      <rc t="2" v="12853"/>
    </bk>
    <bk>
      <rc t="2" v="12854"/>
    </bk>
    <bk>
      <rc t="2" v="12855"/>
    </bk>
    <bk>
      <rc t="2" v="12856"/>
    </bk>
    <bk>
      <rc t="2" v="12857"/>
    </bk>
    <bk>
      <rc t="2" v="12858"/>
    </bk>
    <bk>
      <rc t="2" v="12859"/>
    </bk>
    <bk>
      <rc t="2" v="12860"/>
    </bk>
    <bk>
      <rc t="2" v="12861"/>
    </bk>
    <bk>
      <rc t="2" v="12862"/>
    </bk>
    <bk>
      <rc t="2" v="12863"/>
    </bk>
    <bk>
      <rc t="2" v="12864"/>
    </bk>
    <bk>
      <rc t="2" v="12865"/>
    </bk>
    <bk>
      <rc t="2" v="12866"/>
    </bk>
    <bk>
      <rc t="2" v="12867"/>
    </bk>
    <bk>
      <rc t="2" v="12868"/>
    </bk>
    <bk>
      <rc t="2" v="12869"/>
    </bk>
    <bk>
      <rc t="2" v="12870"/>
    </bk>
    <bk>
      <rc t="2" v="12871"/>
    </bk>
    <bk>
      <rc t="2" v="12872"/>
    </bk>
    <bk>
      <rc t="2" v="12873"/>
    </bk>
    <bk>
      <rc t="2" v="12874"/>
    </bk>
    <bk>
      <rc t="2" v="12875"/>
    </bk>
    <bk>
      <rc t="2" v="12876"/>
    </bk>
    <bk>
      <rc t="2" v="12877"/>
    </bk>
    <bk>
      <rc t="2" v="12878"/>
    </bk>
    <bk>
      <rc t="2" v="12879"/>
    </bk>
    <bk>
      <rc t="2" v="12880"/>
    </bk>
    <bk>
      <rc t="2" v="12881"/>
    </bk>
    <bk>
      <rc t="2" v="12882"/>
    </bk>
    <bk>
      <rc t="2" v="12883"/>
    </bk>
    <bk>
      <rc t="2" v="12884"/>
    </bk>
    <bk>
      <rc t="2" v="12885"/>
    </bk>
    <bk>
      <rc t="2" v="12886"/>
    </bk>
    <bk>
      <rc t="2" v="12887"/>
    </bk>
    <bk>
      <rc t="2" v="12888"/>
    </bk>
    <bk>
      <rc t="2" v="12889"/>
    </bk>
    <bk>
      <rc t="2" v="12890"/>
    </bk>
    <bk>
      <rc t="2" v="12891"/>
    </bk>
    <bk>
      <rc t="2" v="12892"/>
    </bk>
    <bk>
      <rc t="2" v="12893"/>
    </bk>
    <bk>
      <rc t="2" v="12894"/>
    </bk>
    <bk>
      <rc t="2" v="12895"/>
    </bk>
    <bk>
      <rc t="2" v="12896"/>
    </bk>
    <bk>
      <rc t="2" v="12897"/>
    </bk>
    <bk>
      <rc t="2" v="12898"/>
    </bk>
    <bk>
      <rc t="2" v="12899"/>
    </bk>
    <bk>
      <rc t="2" v="12900"/>
    </bk>
    <bk>
      <rc t="2" v="12901"/>
    </bk>
    <bk>
      <rc t="2" v="12902"/>
    </bk>
    <bk>
      <rc t="2" v="12903"/>
    </bk>
    <bk>
      <rc t="2" v="12904"/>
    </bk>
    <bk>
      <rc t="2" v="12905"/>
    </bk>
    <bk>
      <rc t="2" v="12906"/>
    </bk>
    <bk>
      <rc t="2" v="12907"/>
    </bk>
    <bk>
      <rc t="2" v="12908"/>
    </bk>
    <bk>
      <rc t="2" v="12909"/>
    </bk>
    <bk>
      <rc t="2" v="12910"/>
    </bk>
    <bk>
      <rc t="2" v="12911"/>
    </bk>
    <bk>
      <rc t="2" v="12912"/>
    </bk>
    <bk>
      <rc t="2" v="12913"/>
    </bk>
    <bk>
      <rc t="2" v="12914"/>
    </bk>
    <bk>
      <rc t="2" v="12915"/>
    </bk>
    <bk>
      <rc t="2" v="12916"/>
    </bk>
    <bk>
      <rc t="2" v="12917"/>
    </bk>
    <bk>
      <rc t="2" v="12918"/>
    </bk>
    <bk>
      <rc t="2" v="12919"/>
    </bk>
    <bk>
      <rc t="2" v="12920"/>
    </bk>
    <bk>
      <rc t="2" v="12921"/>
    </bk>
    <bk>
      <rc t="2" v="12922"/>
    </bk>
    <bk>
      <rc t="2" v="12923"/>
    </bk>
    <bk>
      <rc t="2" v="12924"/>
    </bk>
    <bk>
      <rc t="2" v="12925"/>
    </bk>
    <bk>
      <rc t="2" v="12926"/>
    </bk>
    <bk>
      <rc t="2" v="12927"/>
    </bk>
    <bk>
      <rc t="2" v="12928"/>
    </bk>
    <bk>
      <rc t="2" v="12929"/>
    </bk>
    <bk>
      <rc t="2" v="12930"/>
    </bk>
    <bk>
      <rc t="2" v="12931"/>
    </bk>
    <bk>
      <rc t="2" v="12932"/>
    </bk>
    <bk>
      <rc t="2" v="12933"/>
    </bk>
    <bk>
      <rc t="2" v="12934"/>
    </bk>
    <bk>
      <rc t="2" v="12935"/>
    </bk>
    <bk>
      <rc t="2" v="12936"/>
    </bk>
    <bk>
      <rc t="2" v="12937"/>
    </bk>
    <bk>
      <rc t="2" v="12938"/>
    </bk>
    <bk>
      <rc t="2" v="12939"/>
    </bk>
    <bk>
      <rc t="2" v="12940"/>
    </bk>
    <bk>
      <rc t="2" v="12941"/>
    </bk>
    <bk>
      <rc t="2" v="12942"/>
    </bk>
    <bk>
      <rc t="2" v="12943"/>
    </bk>
    <bk>
      <rc t="2" v="12944"/>
    </bk>
    <bk>
      <rc t="2" v="12945"/>
    </bk>
    <bk>
      <rc t="2" v="12946"/>
    </bk>
    <bk>
      <rc t="2" v="12947"/>
    </bk>
    <bk>
      <rc t="2" v="12948"/>
    </bk>
    <bk>
      <rc t="2" v="12949"/>
    </bk>
    <bk>
      <rc t="2" v="12950"/>
    </bk>
    <bk>
      <rc t="2" v="12951"/>
    </bk>
    <bk>
      <rc t="2" v="12952"/>
    </bk>
    <bk>
      <rc t="2" v="12953"/>
    </bk>
    <bk>
      <rc t="2" v="12954"/>
    </bk>
    <bk>
      <rc t="2" v="12955"/>
    </bk>
    <bk>
      <rc t="2" v="12956"/>
    </bk>
    <bk>
      <rc t="2" v="12957"/>
    </bk>
    <bk>
      <rc t="2" v="12958"/>
    </bk>
    <bk>
      <rc t="2" v="12959"/>
    </bk>
    <bk>
      <rc t="2" v="12960"/>
    </bk>
    <bk>
      <rc t="2" v="12961"/>
    </bk>
    <bk>
      <rc t="2" v="12962"/>
    </bk>
    <bk>
      <rc t="2" v="12963"/>
    </bk>
    <bk>
      <rc t="2" v="12964"/>
    </bk>
    <bk>
      <rc t="2" v="12965"/>
    </bk>
    <bk>
      <rc t="2" v="12966"/>
    </bk>
    <bk>
      <rc t="2" v="12967"/>
    </bk>
    <bk>
      <rc t="2" v="12968"/>
    </bk>
    <bk>
      <rc t="2" v="12969"/>
    </bk>
    <bk>
      <rc t="2" v="12970"/>
    </bk>
    <bk>
      <rc t="2" v="12971"/>
    </bk>
    <bk>
      <rc t="2" v="12972"/>
    </bk>
    <bk>
      <rc t="2" v="12973"/>
    </bk>
    <bk>
      <rc t="2" v="12974"/>
    </bk>
    <bk>
      <rc t="2" v="12975"/>
    </bk>
    <bk>
      <rc t="2" v="12976"/>
    </bk>
    <bk>
      <rc t="2" v="12977"/>
    </bk>
    <bk>
      <rc t="2" v="12978"/>
    </bk>
    <bk>
      <rc t="2" v="12979"/>
    </bk>
    <bk>
      <rc t="2" v="12980"/>
    </bk>
    <bk>
      <rc t="2" v="12981"/>
    </bk>
    <bk>
      <rc t="2" v="12982"/>
    </bk>
    <bk>
      <rc t="2" v="12983"/>
    </bk>
    <bk>
      <rc t="2" v="12984"/>
    </bk>
    <bk>
      <rc t="2" v="12985"/>
    </bk>
    <bk>
      <rc t="2" v="12986"/>
    </bk>
    <bk>
      <rc t="2" v="12987"/>
    </bk>
    <bk>
      <rc t="2" v="12988"/>
    </bk>
    <bk>
      <rc t="2" v="12989"/>
    </bk>
    <bk>
      <rc t="2" v="12990"/>
    </bk>
    <bk>
      <rc t="2" v="12991"/>
    </bk>
    <bk>
      <rc t="2" v="12992"/>
    </bk>
    <bk>
      <rc t="2" v="12993"/>
    </bk>
    <bk>
      <rc t="2" v="12994"/>
    </bk>
    <bk>
      <rc t="2" v="12995"/>
    </bk>
    <bk>
      <rc t="2" v="12996"/>
    </bk>
    <bk>
      <rc t="2" v="12997"/>
    </bk>
    <bk>
      <rc t="2" v="12998"/>
    </bk>
    <bk>
      <rc t="2" v="12999"/>
    </bk>
    <bk>
      <rc t="2" v="13000"/>
    </bk>
    <bk>
      <rc t="2" v="13001"/>
    </bk>
    <bk>
      <rc t="2" v="13002"/>
    </bk>
    <bk>
      <rc t="2" v="13003"/>
    </bk>
    <bk>
      <rc t="2" v="13004"/>
    </bk>
    <bk>
      <rc t="2" v="13005"/>
    </bk>
    <bk>
      <rc t="2" v="13006"/>
    </bk>
    <bk>
      <rc t="2" v="13007"/>
    </bk>
    <bk>
      <rc t="2" v="13008"/>
    </bk>
    <bk>
      <rc t="2" v="13009"/>
    </bk>
    <bk>
      <rc t="2" v="13010"/>
    </bk>
    <bk>
      <rc t="2" v="13011"/>
    </bk>
    <bk>
      <rc t="2" v="13012"/>
    </bk>
    <bk>
      <rc t="2" v="13013"/>
    </bk>
    <bk>
      <rc t="2" v="13014"/>
    </bk>
    <bk>
      <rc t="2" v="13015"/>
    </bk>
    <bk>
      <rc t="2" v="13016"/>
    </bk>
    <bk>
      <rc t="2" v="13017"/>
    </bk>
    <bk>
      <rc t="2" v="13018"/>
    </bk>
    <bk>
      <rc t="2" v="13019"/>
    </bk>
    <bk>
      <rc t="2" v="13020"/>
    </bk>
    <bk>
      <rc t="2" v="13021"/>
    </bk>
    <bk>
      <rc t="2" v="13022"/>
    </bk>
    <bk>
      <rc t="2" v="13023"/>
    </bk>
    <bk>
      <rc t="2" v="13024"/>
    </bk>
    <bk>
      <rc t="2" v="13025"/>
    </bk>
    <bk>
      <rc t="2" v="13026"/>
    </bk>
    <bk>
      <rc t="2" v="13027"/>
    </bk>
    <bk>
      <rc t="2" v="13028"/>
    </bk>
    <bk>
      <rc t="2" v="13029"/>
    </bk>
    <bk>
      <rc t="2" v="13030"/>
    </bk>
    <bk>
      <rc t="2" v="13031"/>
    </bk>
    <bk>
      <rc t="2" v="13032"/>
    </bk>
    <bk>
      <rc t="2" v="13033"/>
    </bk>
    <bk>
      <rc t="2" v="13034"/>
    </bk>
    <bk>
      <rc t="2" v="13035"/>
    </bk>
    <bk>
      <rc t="2" v="13036"/>
    </bk>
    <bk>
      <rc t="2" v="13037"/>
    </bk>
    <bk>
      <rc t="2" v="13038"/>
    </bk>
    <bk>
      <rc t="2" v="13039"/>
    </bk>
    <bk>
      <rc t="2" v="13040"/>
    </bk>
    <bk>
      <rc t="2" v="13041"/>
    </bk>
    <bk>
      <rc t="2" v="13042"/>
    </bk>
    <bk>
      <rc t="2" v="13043"/>
    </bk>
    <bk>
      <rc t="2" v="13044"/>
    </bk>
    <bk>
      <rc t="2" v="13045"/>
    </bk>
    <bk>
      <rc t="2" v="13046"/>
    </bk>
    <bk>
      <rc t="2" v="13047"/>
    </bk>
    <bk>
      <rc t="2" v="13048"/>
    </bk>
    <bk>
      <rc t="2" v="13049"/>
    </bk>
    <bk>
      <rc t="2" v="13050"/>
    </bk>
    <bk>
      <rc t="2" v="13051"/>
    </bk>
    <bk>
      <rc t="2" v="13052"/>
    </bk>
    <bk>
      <rc t="2" v="13053"/>
    </bk>
    <bk>
      <rc t="2" v="13054"/>
    </bk>
    <bk>
      <rc t="2" v="13055"/>
    </bk>
    <bk>
      <rc t="2" v="13056"/>
    </bk>
    <bk>
      <rc t="2" v="13057"/>
    </bk>
    <bk>
      <rc t="2" v="13058"/>
    </bk>
    <bk>
      <rc t="2" v="13059"/>
    </bk>
    <bk>
      <rc t="2" v="13060"/>
    </bk>
    <bk>
      <rc t="2" v="13061"/>
    </bk>
    <bk>
      <rc t="2" v="13062"/>
    </bk>
    <bk>
      <rc t="2" v="13063"/>
    </bk>
    <bk>
      <rc t="2" v="13064"/>
    </bk>
    <bk>
      <rc t="2" v="13065"/>
    </bk>
    <bk>
      <rc t="2" v="13066"/>
    </bk>
    <bk>
      <rc t="2" v="13067"/>
    </bk>
    <bk>
      <rc t="2" v="13068"/>
    </bk>
    <bk>
      <rc t="2" v="13069"/>
    </bk>
    <bk>
      <rc t="2" v="13070"/>
    </bk>
    <bk>
      <rc t="2" v="13071"/>
    </bk>
    <bk>
      <rc t="2" v="13072"/>
    </bk>
    <bk>
      <rc t="2" v="13073"/>
    </bk>
    <bk>
      <rc t="2" v="13074"/>
    </bk>
    <bk>
      <rc t="2" v="13075"/>
    </bk>
    <bk>
      <rc t="2" v="13076"/>
    </bk>
    <bk>
      <rc t="2" v="13077"/>
    </bk>
    <bk>
      <rc t="2" v="13078"/>
    </bk>
    <bk>
      <rc t="2" v="13079"/>
    </bk>
    <bk>
      <rc t="2" v="13080"/>
    </bk>
    <bk>
      <rc t="2" v="13081"/>
    </bk>
    <bk>
      <rc t="2" v="13082"/>
    </bk>
    <bk>
      <rc t="2" v="13083"/>
    </bk>
    <bk>
      <rc t="2" v="13084"/>
    </bk>
    <bk>
      <rc t="2" v="13085"/>
    </bk>
    <bk>
      <rc t="2" v="13086"/>
    </bk>
    <bk>
      <rc t="2" v="13087"/>
    </bk>
    <bk>
      <rc t="2" v="13088"/>
    </bk>
    <bk>
      <rc t="2" v="13089"/>
    </bk>
    <bk>
      <rc t="2" v="13090"/>
    </bk>
    <bk>
      <rc t="2" v="13091"/>
    </bk>
    <bk>
      <rc t="2" v="13092"/>
    </bk>
    <bk>
      <rc t="2" v="13093"/>
    </bk>
    <bk>
      <rc t="2" v="13094"/>
    </bk>
    <bk>
      <rc t="2" v="13095"/>
    </bk>
    <bk>
      <rc t="2" v="13096"/>
    </bk>
    <bk>
      <rc t="2" v="13097"/>
    </bk>
    <bk>
      <rc t="2" v="13098"/>
    </bk>
    <bk>
      <rc t="2" v="13099"/>
    </bk>
    <bk>
      <rc t="2" v="13100"/>
    </bk>
    <bk>
      <rc t="2" v="13101"/>
    </bk>
    <bk>
      <rc t="2" v="13102"/>
    </bk>
    <bk>
      <rc t="2" v="13103"/>
    </bk>
    <bk>
      <rc t="2" v="13104"/>
    </bk>
    <bk>
      <rc t="2" v="13105"/>
    </bk>
    <bk>
      <rc t="2" v="13106"/>
    </bk>
    <bk>
      <rc t="2" v="13107"/>
    </bk>
    <bk>
      <rc t="2" v="13108"/>
    </bk>
    <bk>
      <rc t="2" v="13109"/>
    </bk>
    <bk>
      <rc t="2" v="13110"/>
    </bk>
    <bk>
      <rc t="2" v="13111"/>
    </bk>
    <bk>
      <rc t="2" v="13112"/>
    </bk>
    <bk>
      <rc t="2" v="13113"/>
    </bk>
    <bk>
      <rc t="2" v="13114"/>
    </bk>
    <bk>
      <rc t="2" v="13115"/>
    </bk>
    <bk>
      <rc t="2" v="13116"/>
    </bk>
    <bk>
      <rc t="2" v="13117"/>
    </bk>
    <bk>
      <rc t="2" v="13118"/>
    </bk>
    <bk>
      <rc t="2" v="13119"/>
    </bk>
    <bk>
      <rc t="2" v="13120"/>
    </bk>
    <bk>
      <rc t="2" v="13121"/>
    </bk>
    <bk>
      <rc t="2" v="13122"/>
    </bk>
    <bk>
      <rc t="2" v="13123"/>
    </bk>
    <bk>
      <rc t="2" v="13124"/>
    </bk>
    <bk>
      <rc t="2" v="13125"/>
    </bk>
    <bk>
      <rc t="2" v="13126"/>
    </bk>
    <bk>
      <rc t="2" v="13127"/>
    </bk>
    <bk>
      <rc t="2" v="13128"/>
    </bk>
    <bk>
      <rc t="2" v="13129"/>
    </bk>
    <bk>
      <rc t="2" v="13130"/>
    </bk>
    <bk>
      <rc t="2" v="13131"/>
    </bk>
    <bk>
      <rc t="2" v="13132"/>
    </bk>
    <bk>
      <rc t="2" v="13133"/>
    </bk>
    <bk>
      <rc t="2" v="13134"/>
    </bk>
    <bk>
      <rc t="2" v="13135"/>
    </bk>
    <bk>
      <rc t="2" v="13136"/>
    </bk>
    <bk>
      <rc t="2" v="13137"/>
    </bk>
    <bk>
      <rc t="2" v="13138"/>
    </bk>
    <bk>
      <rc t="2" v="13139"/>
    </bk>
    <bk>
      <rc t="2" v="13140"/>
    </bk>
    <bk>
      <rc t="2" v="13141"/>
    </bk>
    <bk>
      <rc t="2" v="13142"/>
    </bk>
    <bk>
      <rc t="2" v="13143"/>
    </bk>
    <bk>
      <rc t="2" v="13144"/>
    </bk>
    <bk>
      <rc t="2" v="13145"/>
    </bk>
    <bk>
      <rc t="2" v="13146"/>
    </bk>
    <bk>
      <rc t="2" v="13147"/>
    </bk>
    <bk>
      <rc t="2" v="13148"/>
    </bk>
    <bk>
      <rc t="2" v="13149"/>
    </bk>
    <bk>
      <rc t="2" v="13150"/>
    </bk>
    <bk>
      <rc t="2" v="13151"/>
    </bk>
    <bk>
      <rc t="2" v="13152"/>
    </bk>
    <bk>
      <rc t="2" v="13153"/>
    </bk>
    <bk>
      <rc t="2" v="13154"/>
    </bk>
    <bk>
      <rc t="2" v="13155"/>
    </bk>
    <bk>
      <rc t="2" v="13156"/>
    </bk>
    <bk>
      <rc t="2" v="13157"/>
    </bk>
    <bk>
      <rc t="2" v="13158"/>
    </bk>
    <bk>
      <rc t="2" v="13159"/>
    </bk>
    <bk>
      <rc t="2" v="13160"/>
    </bk>
    <bk>
      <rc t="2" v="13161"/>
    </bk>
    <bk>
      <rc t="2" v="13162"/>
    </bk>
    <bk>
      <rc t="2" v="13163"/>
    </bk>
    <bk>
      <rc t="2" v="13164"/>
    </bk>
    <bk>
      <rc t="2" v="13165"/>
    </bk>
    <bk>
      <rc t="2" v="13166"/>
    </bk>
    <bk>
      <rc t="2" v="13167"/>
    </bk>
    <bk>
      <rc t="2" v="13168"/>
    </bk>
    <bk>
      <rc t="2" v="13169"/>
    </bk>
    <bk>
      <rc t="2" v="13170"/>
    </bk>
    <bk>
      <rc t="2" v="13171"/>
    </bk>
    <bk>
      <rc t="2" v="13172"/>
    </bk>
    <bk>
      <rc t="2" v="13173"/>
    </bk>
    <bk>
      <rc t="2" v="13174"/>
    </bk>
    <bk>
      <rc t="2" v="13175"/>
    </bk>
    <bk>
      <rc t="2" v="13176"/>
    </bk>
    <bk>
      <rc t="2" v="13177"/>
    </bk>
    <bk>
      <rc t="2" v="13178"/>
    </bk>
    <bk>
      <rc t="2" v="13179"/>
    </bk>
    <bk>
      <rc t="2" v="13180"/>
    </bk>
    <bk>
      <rc t="2" v="13181"/>
    </bk>
    <bk>
      <rc t="2" v="13182"/>
    </bk>
    <bk>
      <rc t="2" v="13183"/>
    </bk>
    <bk>
      <rc t="2" v="13184"/>
    </bk>
    <bk>
      <rc t="2" v="13185"/>
    </bk>
    <bk>
      <rc t="2" v="13186"/>
    </bk>
    <bk>
      <rc t="2" v="13187"/>
    </bk>
    <bk>
      <rc t="2" v="13188"/>
    </bk>
    <bk>
      <rc t="2" v="13189"/>
    </bk>
    <bk>
      <rc t="2" v="13190"/>
    </bk>
    <bk>
      <rc t="2" v="13191"/>
    </bk>
    <bk>
      <rc t="2" v="13192"/>
    </bk>
    <bk>
      <rc t="2" v="13193"/>
    </bk>
    <bk>
      <rc t="2" v="13194"/>
    </bk>
    <bk>
      <rc t="2" v="13195"/>
    </bk>
    <bk>
      <rc t="2" v="13196"/>
    </bk>
    <bk>
      <rc t="2" v="13197"/>
    </bk>
    <bk>
      <rc t="2" v="13198"/>
    </bk>
    <bk>
      <rc t="2" v="13199"/>
    </bk>
    <bk>
      <rc t="2" v="13200"/>
    </bk>
    <bk>
      <rc t="2" v="13201"/>
    </bk>
    <bk>
      <rc t="2" v="13202"/>
    </bk>
    <bk>
      <rc t="2" v="13203"/>
    </bk>
    <bk>
      <rc t="2" v="13204"/>
    </bk>
    <bk>
      <rc t="2" v="13205"/>
    </bk>
    <bk>
      <rc t="2" v="13206"/>
    </bk>
    <bk>
      <rc t="2" v="13207"/>
    </bk>
    <bk>
      <rc t="2" v="13208"/>
    </bk>
    <bk>
      <rc t="2" v="13209"/>
    </bk>
    <bk>
      <rc t="2" v="13210"/>
    </bk>
    <bk>
      <rc t="2" v="13211"/>
    </bk>
    <bk>
      <rc t="2" v="13212"/>
    </bk>
    <bk>
      <rc t="2" v="13213"/>
    </bk>
    <bk>
      <rc t="2" v="13214"/>
    </bk>
    <bk>
      <rc t="2" v="13215"/>
    </bk>
    <bk>
      <rc t="2" v="13216"/>
    </bk>
    <bk>
      <rc t="2" v="13217"/>
    </bk>
    <bk>
      <rc t="2" v="13218"/>
    </bk>
    <bk>
      <rc t="2" v="13219"/>
    </bk>
    <bk>
      <rc t="2" v="13220"/>
    </bk>
    <bk>
      <rc t="2" v="13221"/>
    </bk>
    <bk>
      <rc t="2" v="13222"/>
    </bk>
    <bk>
      <rc t="2" v="13223"/>
    </bk>
    <bk>
      <rc t="2" v="13224"/>
    </bk>
    <bk>
      <rc t="2" v="13225"/>
    </bk>
    <bk>
      <rc t="2" v="13226"/>
    </bk>
    <bk>
      <rc t="2" v="13227"/>
    </bk>
    <bk>
      <rc t="2" v="13228"/>
    </bk>
    <bk>
      <rc t="2" v="13229"/>
    </bk>
    <bk>
      <rc t="2" v="13230"/>
    </bk>
    <bk>
      <rc t="2" v="13231"/>
    </bk>
    <bk>
      <rc t="2" v="13232"/>
    </bk>
    <bk>
      <rc t="2" v="13233"/>
    </bk>
    <bk>
      <rc t="2" v="13234"/>
    </bk>
    <bk>
      <rc t="2" v="13235"/>
    </bk>
    <bk>
      <rc t="2" v="13236"/>
    </bk>
    <bk>
      <rc t="2" v="13237"/>
    </bk>
    <bk>
      <rc t="2" v="13238"/>
    </bk>
    <bk>
      <rc t="2" v="13239"/>
    </bk>
    <bk>
      <rc t="2" v="13240"/>
    </bk>
    <bk>
      <rc t="2" v="13241"/>
    </bk>
    <bk>
      <rc t="2" v="13242"/>
    </bk>
    <bk>
      <rc t="2" v="13243"/>
    </bk>
    <bk>
      <rc t="2" v="13244"/>
    </bk>
    <bk>
      <rc t="2" v="13245"/>
    </bk>
    <bk>
      <rc t="2" v="13246"/>
    </bk>
    <bk>
      <rc t="2" v="13247"/>
    </bk>
    <bk>
      <rc t="2" v="13248"/>
    </bk>
    <bk>
      <rc t="2" v="13249"/>
    </bk>
    <bk>
      <rc t="2" v="13250"/>
    </bk>
    <bk>
      <rc t="2" v="13251"/>
    </bk>
    <bk>
      <rc t="2" v="13252"/>
    </bk>
    <bk>
      <rc t="2" v="13253"/>
    </bk>
    <bk>
      <rc t="2" v="13254"/>
    </bk>
    <bk>
      <rc t="2" v="13255"/>
    </bk>
    <bk>
      <rc t="2" v="13256"/>
    </bk>
    <bk>
      <rc t="2" v="13257"/>
    </bk>
    <bk>
      <rc t="2" v="13258"/>
    </bk>
    <bk>
      <rc t="2" v="13259"/>
    </bk>
    <bk>
      <rc t="2" v="13260"/>
    </bk>
    <bk>
      <rc t="2" v="13261"/>
    </bk>
    <bk>
      <rc t="2" v="13262"/>
    </bk>
    <bk>
      <rc t="2" v="13263"/>
    </bk>
    <bk>
      <rc t="2" v="13264"/>
    </bk>
    <bk>
      <rc t="2" v="13265"/>
    </bk>
    <bk>
      <rc t="2" v="13266"/>
    </bk>
    <bk>
      <rc t="2" v="13267"/>
    </bk>
    <bk>
      <rc t="2" v="13268"/>
    </bk>
    <bk>
      <rc t="2" v="13269"/>
    </bk>
    <bk>
      <rc t="2" v="13270"/>
    </bk>
    <bk>
      <rc t="2" v="13271"/>
    </bk>
    <bk>
      <rc t="2" v="13272"/>
    </bk>
    <bk>
      <rc t="2" v="13273"/>
    </bk>
    <bk>
      <rc t="2" v="13274"/>
    </bk>
    <bk>
      <rc t="2" v="13275"/>
    </bk>
    <bk>
      <rc t="2" v="13276"/>
    </bk>
    <bk>
      <rc t="2" v="13277"/>
    </bk>
    <bk>
      <rc t="2" v="13278"/>
    </bk>
    <bk>
      <rc t="2" v="13279"/>
    </bk>
    <bk>
      <rc t="2" v="13280"/>
    </bk>
    <bk>
      <rc t="2" v="13281"/>
    </bk>
    <bk>
      <rc t="2" v="13282"/>
    </bk>
    <bk>
      <rc t="2" v="13283"/>
    </bk>
    <bk>
      <rc t="2" v="13284"/>
    </bk>
    <bk>
      <rc t="2" v="13285"/>
    </bk>
    <bk>
      <rc t="2" v="13286"/>
    </bk>
    <bk>
      <rc t="2" v="13287"/>
    </bk>
    <bk>
      <rc t="2" v="13288"/>
    </bk>
    <bk>
      <rc t="2" v="13289"/>
    </bk>
    <bk>
      <rc t="2" v="13290"/>
    </bk>
    <bk>
      <rc t="2" v="13291"/>
    </bk>
    <bk>
      <rc t="2" v="13292"/>
    </bk>
    <bk>
      <rc t="2" v="13293"/>
    </bk>
    <bk>
      <rc t="2" v="13294"/>
    </bk>
    <bk>
      <rc t="2" v="13295"/>
    </bk>
    <bk>
      <rc t="2" v="13296"/>
    </bk>
    <bk>
      <rc t="2" v="13297"/>
    </bk>
    <bk>
      <rc t="2" v="13298"/>
    </bk>
    <bk>
      <rc t="2" v="13299"/>
    </bk>
    <bk>
      <rc t="2" v="13300"/>
    </bk>
    <bk>
      <rc t="2" v="13301"/>
    </bk>
    <bk>
      <rc t="2" v="13302"/>
    </bk>
    <bk>
      <rc t="2" v="13303"/>
    </bk>
    <bk>
      <rc t="2" v="13304"/>
    </bk>
    <bk>
      <rc t="2" v="13305"/>
    </bk>
    <bk>
      <rc t="2" v="13306"/>
    </bk>
    <bk>
      <rc t="2" v="13307"/>
    </bk>
    <bk>
      <rc t="2" v="13308"/>
    </bk>
    <bk>
      <rc t="2" v="13309"/>
    </bk>
    <bk>
      <rc t="2" v="13310"/>
    </bk>
    <bk>
      <rc t="2" v="13311"/>
    </bk>
    <bk>
      <rc t="2" v="13312"/>
    </bk>
    <bk>
      <rc t="2" v="13313"/>
    </bk>
    <bk>
      <rc t="2" v="13314"/>
    </bk>
    <bk>
      <rc t="2" v="13315"/>
    </bk>
    <bk>
      <rc t="2" v="13316"/>
    </bk>
    <bk>
      <rc t="2" v="13317"/>
    </bk>
    <bk>
      <rc t="2" v="13318"/>
    </bk>
    <bk>
      <rc t="2" v="13319"/>
    </bk>
    <bk>
      <rc t="2" v="13320"/>
    </bk>
    <bk>
      <rc t="2" v="13321"/>
    </bk>
    <bk>
      <rc t="2" v="13322"/>
    </bk>
    <bk>
      <rc t="2" v="13323"/>
    </bk>
    <bk>
      <rc t="2" v="13324"/>
    </bk>
    <bk>
      <rc t="2" v="13325"/>
    </bk>
    <bk>
      <rc t="2" v="13326"/>
    </bk>
    <bk>
      <rc t="2" v="13327"/>
    </bk>
    <bk>
      <rc t="2" v="13328"/>
    </bk>
    <bk>
      <rc t="2" v="13329"/>
    </bk>
    <bk>
      <rc t="2" v="13330"/>
    </bk>
    <bk>
      <rc t="2" v="13331"/>
    </bk>
    <bk>
      <rc t="2" v="13332"/>
    </bk>
    <bk>
      <rc t="2" v="13333"/>
    </bk>
    <bk>
      <rc t="2" v="13334"/>
    </bk>
    <bk>
      <rc t="2" v="13335"/>
    </bk>
    <bk>
      <rc t="2" v="13336"/>
    </bk>
    <bk>
      <rc t="2" v="13337"/>
    </bk>
    <bk>
      <rc t="2" v="13338"/>
    </bk>
    <bk>
      <rc t="2" v="13339"/>
    </bk>
    <bk>
      <rc t="2" v="13340"/>
    </bk>
    <bk>
      <rc t="2" v="13341"/>
    </bk>
    <bk>
      <rc t="2" v="13342"/>
    </bk>
    <bk>
      <rc t="2" v="13343"/>
    </bk>
    <bk>
      <rc t="2" v="13344"/>
    </bk>
    <bk>
      <rc t="2" v="13345"/>
    </bk>
    <bk>
      <rc t="2" v="13346"/>
    </bk>
    <bk>
      <rc t="2" v="13347"/>
    </bk>
    <bk>
      <rc t="2" v="13348"/>
    </bk>
    <bk>
      <rc t="2" v="13349"/>
    </bk>
    <bk>
      <rc t="2" v="13350"/>
    </bk>
    <bk>
      <rc t="2" v="13351"/>
    </bk>
    <bk>
      <rc t="2" v="13352"/>
    </bk>
    <bk>
      <rc t="2" v="13353"/>
    </bk>
    <bk>
      <rc t="2" v="13354"/>
    </bk>
    <bk>
      <rc t="2" v="13355"/>
    </bk>
    <bk>
      <rc t="2" v="13356"/>
    </bk>
    <bk>
      <rc t="2" v="13357"/>
    </bk>
    <bk>
      <rc t="2" v="13358"/>
    </bk>
    <bk>
      <rc t="2" v="13359"/>
    </bk>
    <bk>
      <rc t="2" v="13360"/>
    </bk>
    <bk>
      <rc t="2" v="13361"/>
    </bk>
    <bk>
      <rc t="2" v="13362"/>
    </bk>
    <bk>
      <rc t="2" v="13363"/>
    </bk>
    <bk>
      <rc t="2" v="13364"/>
    </bk>
    <bk>
      <rc t="2" v="13365"/>
    </bk>
    <bk>
      <rc t="2" v="13366"/>
    </bk>
    <bk>
      <rc t="2" v="13367"/>
    </bk>
    <bk>
      <rc t="2" v="13368"/>
    </bk>
    <bk>
      <rc t="2" v="13369"/>
    </bk>
    <bk>
      <rc t="2" v="13370"/>
    </bk>
    <bk>
      <rc t="2" v="13371"/>
    </bk>
    <bk>
      <rc t="2" v="13372"/>
    </bk>
    <bk>
      <rc t="2" v="13373"/>
    </bk>
    <bk>
      <rc t="2" v="13374"/>
    </bk>
    <bk>
      <rc t="2" v="13375"/>
    </bk>
    <bk>
      <rc t="2" v="13376"/>
    </bk>
    <bk>
      <rc t="2" v="13377"/>
    </bk>
    <bk>
      <rc t="2" v="13378"/>
    </bk>
    <bk>
      <rc t="2" v="13379"/>
    </bk>
    <bk>
      <rc t="2" v="13380"/>
    </bk>
    <bk>
      <rc t="2" v="13381"/>
    </bk>
    <bk>
      <rc t="2" v="13382"/>
    </bk>
    <bk>
      <rc t="2" v="13383"/>
    </bk>
    <bk>
      <rc t="2" v="13384"/>
    </bk>
    <bk>
      <rc t="2" v="13385"/>
    </bk>
    <bk>
      <rc t="2" v="13386"/>
    </bk>
    <bk>
      <rc t="2" v="13387"/>
    </bk>
    <bk>
      <rc t="2" v="13388"/>
    </bk>
    <bk>
      <rc t="2" v="13389"/>
    </bk>
    <bk>
      <rc t="2" v="13390"/>
    </bk>
    <bk>
      <rc t="2" v="13391"/>
    </bk>
    <bk>
      <rc t="2" v="13392"/>
    </bk>
    <bk>
      <rc t="2" v="13393"/>
    </bk>
    <bk>
      <rc t="2" v="13394"/>
    </bk>
    <bk>
      <rc t="2" v="13395"/>
    </bk>
    <bk>
      <rc t="2" v="13396"/>
    </bk>
    <bk>
      <rc t="2" v="13397"/>
    </bk>
    <bk>
      <rc t="2" v="13398"/>
    </bk>
    <bk>
      <rc t="2" v="13399"/>
    </bk>
    <bk>
      <rc t="2" v="13400"/>
    </bk>
    <bk>
      <rc t="2" v="13401"/>
    </bk>
    <bk>
      <rc t="2" v="13402"/>
    </bk>
    <bk>
      <rc t="2" v="13403"/>
    </bk>
    <bk>
      <rc t="2" v="13404"/>
    </bk>
    <bk>
      <rc t="2" v="13405"/>
    </bk>
    <bk>
      <rc t="2" v="13406"/>
    </bk>
    <bk>
      <rc t="2" v="13407"/>
    </bk>
    <bk>
      <rc t="2" v="13408"/>
    </bk>
    <bk>
      <rc t="2" v="13409"/>
    </bk>
    <bk>
      <rc t="2" v="13410"/>
    </bk>
    <bk>
      <rc t="2" v="13411"/>
    </bk>
    <bk>
      <rc t="2" v="13412"/>
    </bk>
    <bk>
      <rc t="2" v="13413"/>
    </bk>
    <bk>
      <rc t="2" v="13414"/>
    </bk>
    <bk>
      <rc t="2" v="13415"/>
    </bk>
    <bk>
      <rc t="2" v="13416"/>
    </bk>
    <bk>
      <rc t="2" v="13417"/>
    </bk>
    <bk>
      <rc t="2" v="13418"/>
    </bk>
    <bk>
      <rc t="2" v="13419"/>
    </bk>
    <bk>
      <rc t="2" v="13420"/>
    </bk>
    <bk>
      <rc t="2" v="13421"/>
    </bk>
    <bk>
      <rc t="2" v="13422"/>
    </bk>
    <bk>
      <rc t="2" v="13423"/>
    </bk>
    <bk>
      <rc t="2" v="13424"/>
    </bk>
    <bk>
      <rc t="2" v="13425"/>
    </bk>
    <bk>
      <rc t="2" v="13426"/>
    </bk>
    <bk>
      <rc t="2" v="13427"/>
    </bk>
    <bk>
      <rc t="2" v="13428"/>
    </bk>
    <bk>
      <rc t="2" v="13429"/>
    </bk>
    <bk>
      <rc t="2" v="13430"/>
    </bk>
    <bk>
      <rc t="2" v="13431"/>
    </bk>
    <bk>
      <rc t="2" v="13432"/>
    </bk>
    <bk>
      <rc t="2" v="13433"/>
    </bk>
    <bk>
      <rc t="2" v="13434"/>
    </bk>
    <bk>
      <rc t="2" v="13435"/>
    </bk>
    <bk>
      <rc t="2" v="13436"/>
    </bk>
    <bk>
      <rc t="2" v="13437"/>
    </bk>
    <bk>
      <rc t="2" v="13438"/>
    </bk>
    <bk>
      <rc t="2" v="13439"/>
    </bk>
    <bk>
      <rc t="2" v="13440"/>
    </bk>
    <bk>
      <rc t="2" v="13441"/>
    </bk>
    <bk>
      <rc t="2" v="13442"/>
    </bk>
    <bk>
      <rc t="2" v="13443"/>
    </bk>
    <bk>
      <rc t="2" v="13444"/>
    </bk>
    <bk>
      <rc t="2" v="13445"/>
    </bk>
    <bk>
      <rc t="2" v="13446"/>
    </bk>
    <bk>
      <rc t="2" v="13447"/>
    </bk>
    <bk>
      <rc t="2" v="13448"/>
    </bk>
    <bk>
      <rc t="2" v="13449"/>
    </bk>
    <bk>
      <rc t="2" v="13450"/>
    </bk>
    <bk>
      <rc t="2" v="13451"/>
    </bk>
    <bk>
      <rc t="2" v="13452"/>
    </bk>
    <bk>
      <rc t="2" v="13453"/>
    </bk>
    <bk>
      <rc t="2" v="13454"/>
    </bk>
    <bk>
      <rc t="2" v="13455"/>
    </bk>
    <bk>
      <rc t="2" v="13456"/>
    </bk>
    <bk>
      <rc t="2" v="13457"/>
    </bk>
    <bk>
      <rc t="2" v="13458"/>
    </bk>
    <bk>
      <rc t="2" v="13459"/>
    </bk>
    <bk>
      <rc t="2" v="13460"/>
    </bk>
    <bk>
      <rc t="2" v="13461"/>
    </bk>
    <bk>
      <rc t="2" v="13462"/>
    </bk>
    <bk>
      <rc t="2" v="13463"/>
    </bk>
    <bk>
      <rc t="2" v="13464"/>
    </bk>
    <bk>
      <rc t="2" v="13465"/>
    </bk>
    <bk>
      <rc t="2" v="13466"/>
    </bk>
    <bk>
      <rc t="2" v="13467"/>
    </bk>
    <bk>
      <rc t="2" v="13468"/>
    </bk>
    <bk>
      <rc t="2" v="13469"/>
    </bk>
    <bk>
      <rc t="2" v="13470"/>
    </bk>
    <bk>
      <rc t="2" v="13471"/>
    </bk>
    <bk>
      <rc t="2" v="13472"/>
    </bk>
    <bk>
      <rc t="2" v="13473"/>
    </bk>
    <bk>
      <rc t="2" v="13474"/>
    </bk>
    <bk>
      <rc t="2" v="13475"/>
    </bk>
    <bk>
      <rc t="2" v="13476"/>
    </bk>
    <bk>
      <rc t="2" v="13477"/>
    </bk>
    <bk>
      <rc t="2" v="13478"/>
    </bk>
    <bk>
      <rc t="2" v="13479"/>
    </bk>
    <bk>
      <rc t="2" v="13480"/>
    </bk>
    <bk>
      <rc t="2" v="13481"/>
    </bk>
    <bk>
      <rc t="2" v="13482"/>
    </bk>
    <bk>
      <rc t="2" v="13483"/>
    </bk>
    <bk>
      <rc t="2" v="13484"/>
    </bk>
    <bk>
      <rc t="2" v="13485"/>
    </bk>
    <bk>
      <rc t="2" v="13486"/>
    </bk>
    <bk>
      <rc t="2" v="13487"/>
    </bk>
    <bk>
      <rc t="2" v="13488"/>
    </bk>
    <bk>
      <rc t="2" v="13489"/>
    </bk>
    <bk>
      <rc t="2" v="13490"/>
    </bk>
    <bk>
      <rc t="2" v="13491"/>
    </bk>
    <bk>
      <rc t="2" v="13492"/>
    </bk>
    <bk>
      <rc t="2" v="13493"/>
    </bk>
    <bk>
      <rc t="2" v="13494"/>
    </bk>
    <bk>
      <rc t="2" v="13495"/>
    </bk>
    <bk>
      <rc t="2" v="13496"/>
    </bk>
    <bk>
      <rc t="2" v="13497"/>
    </bk>
    <bk>
      <rc t="2" v="13498"/>
    </bk>
    <bk>
      <rc t="2" v="13499"/>
    </bk>
    <bk>
      <rc t="2" v="13500"/>
    </bk>
    <bk>
      <rc t="2" v="13501"/>
    </bk>
    <bk>
      <rc t="2" v="13502"/>
    </bk>
    <bk>
      <rc t="2" v="13503"/>
    </bk>
    <bk>
      <rc t="2" v="13504"/>
    </bk>
    <bk>
      <rc t="2" v="13505"/>
    </bk>
    <bk>
      <rc t="2" v="13506"/>
    </bk>
    <bk>
      <rc t="2" v="13507"/>
    </bk>
    <bk>
      <rc t="2" v="13508"/>
    </bk>
    <bk>
      <rc t="2" v="13509"/>
    </bk>
    <bk>
      <rc t="2" v="13510"/>
    </bk>
    <bk>
      <rc t="2" v="13511"/>
    </bk>
    <bk>
      <rc t="2" v="13512"/>
    </bk>
    <bk>
      <rc t="2" v="13513"/>
    </bk>
    <bk>
      <rc t="2" v="13514"/>
    </bk>
    <bk>
      <rc t="2" v="13515"/>
    </bk>
    <bk>
      <rc t="2" v="13516"/>
    </bk>
    <bk>
      <rc t="2" v="13517"/>
    </bk>
    <bk>
      <rc t="2" v="13518"/>
    </bk>
    <bk>
      <rc t="2" v="13519"/>
    </bk>
    <bk>
      <rc t="2" v="13520"/>
    </bk>
    <bk>
      <rc t="2" v="13521"/>
    </bk>
    <bk>
      <rc t="2" v="13522"/>
    </bk>
    <bk>
      <rc t="2" v="13523"/>
    </bk>
    <bk>
      <rc t="2" v="13524"/>
    </bk>
    <bk>
      <rc t="2" v="13525"/>
    </bk>
    <bk>
      <rc t="2" v="13526"/>
    </bk>
    <bk>
      <rc t="2" v="13527"/>
    </bk>
    <bk>
      <rc t="2" v="13528"/>
    </bk>
    <bk>
      <rc t="2" v="13529"/>
    </bk>
    <bk>
      <rc t="2" v="13530"/>
    </bk>
    <bk>
      <rc t="2" v="13531"/>
    </bk>
    <bk>
      <rc t="2" v="13532"/>
    </bk>
    <bk>
      <rc t="2" v="13533"/>
    </bk>
    <bk>
      <rc t="2" v="13534"/>
    </bk>
    <bk>
      <rc t="2" v="13535"/>
    </bk>
    <bk>
      <rc t="2" v="13536"/>
    </bk>
    <bk>
      <rc t="2" v="13537"/>
    </bk>
    <bk>
      <rc t="2" v="13538"/>
    </bk>
    <bk>
      <rc t="2" v="13539"/>
    </bk>
    <bk>
      <rc t="2" v="13540"/>
    </bk>
    <bk>
      <rc t="2" v="13541"/>
    </bk>
    <bk>
      <rc t="2" v="13542"/>
    </bk>
    <bk>
      <rc t="2" v="13543"/>
    </bk>
    <bk>
      <rc t="2" v="13544"/>
    </bk>
    <bk>
      <rc t="2" v="13545"/>
    </bk>
    <bk>
      <rc t="2" v="13546"/>
    </bk>
    <bk>
      <rc t="2" v="13547"/>
    </bk>
    <bk>
      <rc t="2" v="13548"/>
    </bk>
    <bk>
      <rc t="2" v="13549"/>
    </bk>
    <bk>
      <rc t="2" v="13550"/>
    </bk>
    <bk>
      <rc t="2" v="13551"/>
    </bk>
    <bk>
      <rc t="2" v="13552"/>
    </bk>
    <bk>
      <rc t="2" v="13553"/>
    </bk>
    <bk>
      <rc t="2" v="13554"/>
    </bk>
    <bk>
      <rc t="2" v="13555"/>
    </bk>
    <bk>
      <rc t="2" v="13556"/>
    </bk>
    <bk>
      <rc t="2" v="13557"/>
    </bk>
    <bk>
      <rc t="2" v="13558"/>
    </bk>
    <bk>
      <rc t="2" v="13559"/>
    </bk>
    <bk>
      <rc t="2" v="13560"/>
    </bk>
    <bk>
      <rc t="2" v="13561"/>
    </bk>
    <bk>
      <rc t="2" v="13562"/>
    </bk>
    <bk>
      <rc t="2" v="13563"/>
    </bk>
    <bk>
      <rc t="2" v="13564"/>
    </bk>
    <bk>
      <rc t="2" v="13565"/>
    </bk>
    <bk>
      <rc t="2" v="13566"/>
    </bk>
    <bk>
      <rc t="2" v="13567"/>
    </bk>
    <bk>
      <rc t="2" v="13568"/>
    </bk>
    <bk>
      <rc t="2" v="13569"/>
    </bk>
    <bk>
      <rc t="2" v="13570"/>
    </bk>
    <bk>
      <rc t="2" v="13571"/>
    </bk>
    <bk>
      <rc t="2" v="13572"/>
    </bk>
    <bk>
      <rc t="2" v="13573"/>
    </bk>
    <bk>
      <rc t="2" v="13574"/>
    </bk>
    <bk>
      <rc t="2" v="13575"/>
    </bk>
    <bk>
      <rc t="2" v="13576"/>
    </bk>
    <bk>
      <rc t="2" v="13577"/>
    </bk>
    <bk>
      <rc t="2" v="13578"/>
    </bk>
    <bk>
      <rc t="2" v="13579"/>
    </bk>
    <bk>
      <rc t="2" v="13580"/>
    </bk>
    <bk>
      <rc t="2" v="13581"/>
    </bk>
    <bk>
      <rc t="2" v="13582"/>
    </bk>
    <bk>
      <rc t="2" v="13583"/>
    </bk>
    <bk>
      <rc t="2" v="13584"/>
    </bk>
    <bk>
      <rc t="2" v="13585"/>
    </bk>
    <bk>
      <rc t="2" v="13586"/>
    </bk>
    <bk>
      <rc t="2" v="13587"/>
    </bk>
    <bk>
      <rc t="2" v="13588"/>
    </bk>
    <bk>
      <rc t="2" v="13589"/>
    </bk>
    <bk>
      <rc t="2" v="13590"/>
    </bk>
    <bk>
      <rc t="2" v="13591"/>
    </bk>
    <bk>
      <rc t="2" v="13592"/>
    </bk>
    <bk>
      <rc t="2" v="13593"/>
    </bk>
    <bk>
      <rc t="2" v="13594"/>
    </bk>
    <bk>
      <rc t="2" v="13595"/>
    </bk>
    <bk>
      <rc t="2" v="13596"/>
    </bk>
    <bk>
      <rc t="2" v="13597"/>
    </bk>
    <bk>
      <rc t="2" v="13598"/>
    </bk>
    <bk>
      <rc t="2" v="13599"/>
    </bk>
    <bk>
      <rc t="2" v="13600"/>
    </bk>
    <bk>
      <rc t="2" v="13601"/>
    </bk>
    <bk>
      <rc t="2" v="13602"/>
    </bk>
    <bk>
      <rc t="2" v="13603"/>
    </bk>
    <bk>
      <rc t="2" v="13604"/>
    </bk>
    <bk>
      <rc t="2" v="13605"/>
    </bk>
    <bk>
      <rc t="2" v="13606"/>
    </bk>
    <bk>
      <rc t="2" v="13607"/>
    </bk>
    <bk>
      <rc t="2" v="13608"/>
    </bk>
    <bk>
      <rc t="2" v="13609"/>
    </bk>
    <bk>
      <rc t="2" v="13610"/>
    </bk>
    <bk>
      <rc t="2" v="13611"/>
    </bk>
    <bk>
      <rc t="2" v="13612"/>
    </bk>
    <bk>
      <rc t="2" v="13613"/>
    </bk>
    <bk>
      <rc t="2" v="13614"/>
    </bk>
    <bk>
      <rc t="2" v="13615"/>
    </bk>
    <bk>
      <rc t="2" v="13616"/>
    </bk>
    <bk>
      <rc t="2" v="13617"/>
    </bk>
    <bk>
      <rc t="2" v="13618"/>
    </bk>
    <bk>
      <rc t="2" v="13619"/>
    </bk>
    <bk>
      <rc t="2" v="13620"/>
    </bk>
    <bk>
      <rc t="2" v="13621"/>
    </bk>
    <bk>
      <rc t="2" v="13622"/>
    </bk>
    <bk>
      <rc t="2" v="13623"/>
    </bk>
    <bk>
      <rc t="2" v="13624"/>
    </bk>
    <bk>
      <rc t="2" v="13625"/>
    </bk>
    <bk>
      <rc t="2" v="13626"/>
    </bk>
    <bk>
      <rc t="2" v="13627"/>
    </bk>
    <bk>
      <rc t="2" v="13628"/>
    </bk>
    <bk>
      <rc t="2" v="13629"/>
    </bk>
    <bk>
      <rc t="2" v="13630"/>
    </bk>
    <bk>
      <rc t="2" v="13631"/>
    </bk>
    <bk>
      <rc t="2" v="13632"/>
    </bk>
    <bk>
      <rc t="2" v="13633"/>
    </bk>
    <bk>
      <rc t="2" v="13634"/>
    </bk>
    <bk>
      <rc t="2" v="13635"/>
    </bk>
    <bk>
      <rc t="2" v="13636"/>
    </bk>
    <bk>
      <rc t="2" v="13637"/>
    </bk>
    <bk>
      <rc t="2" v="13638"/>
    </bk>
    <bk>
      <rc t="2" v="13639"/>
    </bk>
    <bk>
      <rc t="2" v="13640"/>
    </bk>
    <bk>
      <rc t="2" v="13641"/>
    </bk>
    <bk>
      <rc t="2" v="13642"/>
    </bk>
    <bk>
      <rc t="2" v="13643"/>
    </bk>
    <bk>
      <rc t="2" v="13644"/>
    </bk>
    <bk>
      <rc t="2" v="13645"/>
    </bk>
    <bk>
      <rc t="2" v="13646"/>
    </bk>
    <bk>
      <rc t="2" v="13647"/>
    </bk>
    <bk>
      <rc t="2" v="13648"/>
    </bk>
    <bk>
      <rc t="2" v="13649"/>
    </bk>
    <bk>
      <rc t="2" v="13650"/>
    </bk>
    <bk>
      <rc t="2" v="13651"/>
    </bk>
    <bk>
      <rc t="2" v="13652"/>
    </bk>
    <bk>
      <rc t="2" v="13653"/>
    </bk>
    <bk>
      <rc t="2" v="13654"/>
    </bk>
    <bk>
      <rc t="2" v="13655"/>
    </bk>
    <bk>
      <rc t="2" v="13656"/>
    </bk>
    <bk>
      <rc t="2" v="13657"/>
    </bk>
    <bk>
      <rc t="2" v="13658"/>
    </bk>
    <bk>
      <rc t="2" v="13659"/>
    </bk>
    <bk>
      <rc t="2" v="13660"/>
    </bk>
    <bk>
      <rc t="2" v="13661"/>
    </bk>
    <bk>
      <rc t="2" v="13662"/>
    </bk>
    <bk>
      <rc t="2" v="13663"/>
    </bk>
    <bk>
      <rc t="2" v="13664"/>
    </bk>
    <bk>
      <rc t="2" v="13665"/>
    </bk>
    <bk>
      <rc t="2" v="13666"/>
    </bk>
    <bk>
      <rc t="2" v="13667"/>
    </bk>
    <bk>
      <rc t="2" v="13668"/>
    </bk>
    <bk>
      <rc t="2" v="13669"/>
    </bk>
    <bk>
      <rc t="2" v="13670"/>
    </bk>
    <bk>
      <rc t="2" v="13671"/>
    </bk>
    <bk>
      <rc t="2" v="13672"/>
    </bk>
    <bk>
      <rc t="2" v="13673"/>
    </bk>
    <bk>
      <rc t="2" v="13674"/>
    </bk>
    <bk>
      <rc t="2" v="13675"/>
    </bk>
    <bk>
      <rc t="2" v="13676"/>
    </bk>
    <bk>
      <rc t="2" v="13677"/>
    </bk>
    <bk>
      <rc t="2" v="13678"/>
    </bk>
    <bk>
      <rc t="2" v="13679"/>
    </bk>
    <bk>
      <rc t="2" v="13680"/>
    </bk>
    <bk>
      <rc t="2" v="13681"/>
    </bk>
    <bk>
      <rc t="2" v="13682"/>
    </bk>
    <bk>
      <rc t="2" v="13683"/>
    </bk>
    <bk>
      <rc t="2" v="13684"/>
    </bk>
    <bk>
      <rc t="2" v="13685"/>
    </bk>
    <bk>
      <rc t="2" v="13686"/>
    </bk>
    <bk>
      <rc t="2" v="13687"/>
    </bk>
    <bk>
      <rc t="2" v="13688"/>
    </bk>
    <bk>
      <rc t="2" v="13689"/>
    </bk>
    <bk>
      <rc t="2" v="13690"/>
    </bk>
    <bk>
      <rc t="2" v="13691"/>
    </bk>
    <bk>
      <rc t="2" v="13692"/>
    </bk>
    <bk>
      <rc t="2" v="13693"/>
    </bk>
    <bk>
      <rc t="2" v="13694"/>
    </bk>
    <bk>
      <rc t="2" v="13695"/>
    </bk>
    <bk>
      <rc t="2" v="13696"/>
    </bk>
    <bk>
      <rc t="2" v="13697"/>
    </bk>
    <bk>
      <rc t="2" v="13698"/>
    </bk>
    <bk>
      <rc t="2" v="13699"/>
    </bk>
    <bk>
      <rc t="2" v="13700"/>
    </bk>
    <bk>
      <rc t="2" v="13701"/>
    </bk>
    <bk>
      <rc t="2" v="13702"/>
    </bk>
    <bk>
      <rc t="2" v="13703"/>
    </bk>
    <bk>
      <rc t="2" v="13704"/>
    </bk>
    <bk>
      <rc t="2" v="13705"/>
    </bk>
    <bk>
      <rc t="2" v="13706"/>
    </bk>
    <bk>
      <rc t="2" v="13707"/>
    </bk>
    <bk>
      <rc t="2" v="13708"/>
    </bk>
    <bk>
      <rc t="2" v="13709"/>
    </bk>
    <bk>
      <rc t="2" v="13710"/>
    </bk>
    <bk>
      <rc t="2" v="13711"/>
    </bk>
    <bk>
      <rc t="2" v="13712"/>
    </bk>
    <bk>
      <rc t="2" v="13713"/>
    </bk>
    <bk>
      <rc t="2" v="13714"/>
    </bk>
    <bk>
      <rc t="2" v="13715"/>
    </bk>
    <bk>
      <rc t="2" v="13716"/>
    </bk>
    <bk>
      <rc t="2" v="13717"/>
    </bk>
    <bk>
      <rc t="2" v="13718"/>
    </bk>
    <bk>
      <rc t="2" v="13719"/>
    </bk>
    <bk>
      <rc t="2" v="13720"/>
    </bk>
    <bk>
      <rc t="2" v="13721"/>
    </bk>
    <bk>
      <rc t="2" v="13722"/>
    </bk>
    <bk>
      <rc t="2" v="13723"/>
    </bk>
    <bk>
      <rc t="2" v="13724"/>
    </bk>
    <bk>
      <rc t="2" v="13725"/>
    </bk>
    <bk>
      <rc t="2" v="13726"/>
    </bk>
    <bk>
      <rc t="2" v="13727"/>
    </bk>
    <bk>
      <rc t="2" v="13728"/>
    </bk>
    <bk>
      <rc t="2" v="13729"/>
    </bk>
    <bk>
      <rc t="2" v="13730"/>
    </bk>
    <bk>
      <rc t="2" v="13731"/>
    </bk>
    <bk>
      <rc t="2" v="13732"/>
    </bk>
    <bk>
      <rc t="2" v="13733"/>
    </bk>
    <bk>
      <rc t="2" v="13734"/>
    </bk>
    <bk>
      <rc t="2" v="13735"/>
    </bk>
    <bk>
      <rc t="2" v="13736"/>
    </bk>
    <bk>
      <rc t="2" v="13737"/>
    </bk>
    <bk>
      <rc t="2" v="13738"/>
    </bk>
    <bk>
      <rc t="2" v="13739"/>
    </bk>
    <bk>
      <rc t="2" v="13740"/>
    </bk>
    <bk>
      <rc t="2" v="13741"/>
    </bk>
    <bk>
      <rc t="2" v="13742"/>
    </bk>
    <bk>
      <rc t="2" v="13743"/>
    </bk>
    <bk>
      <rc t="2" v="13744"/>
    </bk>
    <bk>
      <rc t="2" v="13745"/>
    </bk>
    <bk>
      <rc t="2" v="13746"/>
    </bk>
    <bk>
      <rc t="2" v="13747"/>
    </bk>
    <bk>
      <rc t="2" v="13748"/>
    </bk>
    <bk>
      <rc t="2" v="13749"/>
    </bk>
    <bk>
      <rc t="2" v="13750"/>
    </bk>
    <bk>
      <rc t="2" v="13751"/>
    </bk>
    <bk>
      <rc t="2" v="13752"/>
    </bk>
    <bk>
      <rc t="2" v="13753"/>
    </bk>
    <bk>
      <rc t="2" v="13754"/>
    </bk>
    <bk>
      <rc t="2" v="13755"/>
    </bk>
    <bk>
      <rc t="2" v="13756"/>
    </bk>
    <bk>
      <rc t="2" v="13757"/>
    </bk>
    <bk>
      <rc t="2" v="13758"/>
    </bk>
    <bk>
      <rc t="2" v="13759"/>
    </bk>
    <bk>
      <rc t="2" v="13760"/>
    </bk>
    <bk>
      <rc t="2" v="13761"/>
    </bk>
    <bk>
      <rc t="2" v="13762"/>
    </bk>
    <bk>
      <rc t="2" v="13763"/>
    </bk>
    <bk>
      <rc t="2" v="13764"/>
    </bk>
    <bk>
      <rc t="2" v="13765"/>
    </bk>
    <bk>
      <rc t="2" v="13766"/>
    </bk>
    <bk>
      <rc t="2" v="13767"/>
    </bk>
    <bk>
      <rc t="2" v="13768"/>
    </bk>
    <bk>
      <rc t="2" v="13769"/>
    </bk>
    <bk>
      <rc t="2" v="13770"/>
    </bk>
    <bk>
      <rc t="2" v="13771"/>
    </bk>
    <bk>
      <rc t="2" v="13772"/>
    </bk>
    <bk>
      <rc t="2" v="13773"/>
    </bk>
    <bk>
      <rc t="2" v="13774"/>
    </bk>
    <bk>
      <rc t="2" v="13775"/>
    </bk>
    <bk>
      <rc t="2" v="13776"/>
    </bk>
    <bk>
      <rc t="2" v="13777"/>
    </bk>
    <bk>
      <rc t="2" v="13778"/>
    </bk>
    <bk>
      <rc t="2" v="13779"/>
    </bk>
    <bk>
      <rc t="2" v="13780"/>
    </bk>
    <bk>
      <rc t="2" v="13781"/>
    </bk>
    <bk>
      <rc t="2" v="13782"/>
    </bk>
    <bk>
      <rc t="2" v="13783"/>
    </bk>
    <bk>
      <rc t="2" v="13784"/>
    </bk>
    <bk>
      <rc t="2" v="13785"/>
    </bk>
    <bk>
      <rc t="2" v="13786"/>
    </bk>
    <bk>
      <rc t="2" v="13787"/>
    </bk>
    <bk>
      <rc t="2" v="13788"/>
    </bk>
    <bk>
      <rc t="2" v="13789"/>
    </bk>
    <bk>
      <rc t="2" v="13790"/>
    </bk>
    <bk>
      <rc t="2" v="13791"/>
    </bk>
    <bk>
      <rc t="2" v="13792"/>
    </bk>
    <bk>
      <rc t="2" v="13793"/>
    </bk>
    <bk>
      <rc t="2" v="13794"/>
    </bk>
    <bk>
      <rc t="2" v="13795"/>
    </bk>
    <bk>
      <rc t="2" v="13796"/>
    </bk>
    <bk>
      <rc t="2" v="13797"/>
    </bk>
    <bk>
      <rc t="2" v="13798"/>
    </bk>
    <bk>
      <rc t="2" v="13799"/>
    </bk>
    <bk>
      <rc t="2" v="13800"/>
    </bk>
    <bk>
      <rc t="2" v="13801"/>
    </bk>
    <bk>
      <rc t="2" v="13802"/>
    </bk>
    <bk>
      <rc t="2" v="13803"/>
    </bk>
    <bk>
      <rc t="2" v="13804"/>
    </bk>
    <bk>
      <rc t="2" v="13805"/>
    </bk>
    <bk>
      <rc t="2" v="13806"/>
    </bk>
    <bk>
      <rc t="2" v="13807"/>
    </bk>
    <bk>
      <rc t="2" v="13808"/>
    </bk>
    <bk>
      <rc t="2" v="13809"/>
    </bk>
    <bk>
      <rc t="2" v="13810"/>
    </bk>
    <bk>
      <rc t="2" v="13811"/>
    </bk>
    <bk>
      <rc t="2" v="13812"/>
    </bk>
    <bk>
      <rc t="2" v="13813"/>
    </bk>
    <bk>
      <rc t="2" v="13814"/>
    </bk>
    <bk>
      <rc t="2" v="13815"/>
    </bk>
    <bk>
      <rc t="2" v="13816"/>
    </bk>
    <bk>
      <rc t="2" v="13817"/>
    </bk>
    <bk>
      <rc t="2" v="13818"/>
    </bk>
    <bk>
      <rc t="2" v="13819"/>
    </bk>
    <bk>
      <rc t="2" v="13820"/>
    </bk>
    <bk>
      <rc t="2" v="13821"/>
    </bk>
    <bk>
      <rc t="2" v="13822"/>
    </bk>
    <bk>
      <rc t="2" v="13823"/>
    </bk>
    <bk>
      <rc t="2" v="13824"/>
    </bk>
    <bk>
      <rc t="2" v="13825"/>
    </bk>
    <bk>
      <rc t="2" v="13826"/>
    </bk>
    <bk>
      <rc t="2" v="13827"/>
    </bk>
    <bk>
      <rc t="2" v="13828"/>
    </bk>
    <bk>
      <rc t="2" v="13829"/>
    </bk>
    <bk>
      <rc t="2" v="13830"/>
    </bk>
    <bk>
      <rc t="2" v="13831"/>
    </bk>
    <bk>
      <rc t="2" v="13832"/>
    </bk>
    <bk>
      <rc t="2" v="13833"/>
    </bk>
    <bk>
      <rc t="2" v="13834"/>
    </bk>
    <bk>
      <rc t="2" v="13835"/>
    </bk>
    <bk>
      <rc t="2" v="13836"/>
    </bk>
    <bk>
      <rc t="2" v="13837"/>
    </bk>
    <bk>
      <rc t="2" v="13838"/>
    </bk>
    <bk>
      <rc t="2" v="13839"/>
    </bk>
    <bk>
      <rc t="2" v="13840"/>
    </bk>
    <bk>
      <rc t="2" v="13841"/>
    </bk>
    <bk>
      <rc t="2" v="13842"/>
    </bk>
    <bk>
      <rc t="2" v="13843"/>
    </bk>
    <bk>
      <rc t="2" v="13844"/>
    </bk>
    <bk>
      <rc t="2" v="13845"/>
    </bk>
    <bk>
      <rc t="2" v="13846"/>
    </bk>
    <bk>
      <rc t="2" v="13847"/>
    </bk>
    <bk>
      <rc t="2" v="13848"/>
    </bk>
    <bk>
      <rc t="2" v="13849"/>
    </bk>
    <bk>
      <rc t="2" v="13850"/>
    </bk>
    <bk>
      <rc t="2" v="13851"/>
    </bk>
    <bk>
      <rc t="2" v="13852"/>
    </bk>
    <bk>
      <rc t="2" v="13853"/>
    </bk>
    <bk>
      <rc t="2" v="13854"/>
    </bk>
    <bk>
      <rc t="2" v="13855"/>
    </bk>
    <bk>
      <rc t="2" v="13856"/>
    </bk>
    <bk>
      <rc t="2" v="13857"/>
    </bk>
    <bk>
      <rc t="2" v="13858"/>
    </bk>
    <bk>
      <rc t="2" v="13859"/>
    </bk>
    <bk>
      <rc t="2" v="13860"/>
    </bk>
    <bk>
      <rc t="2" v="13861"/>
    </bk>
    <bk>
      <rc t="2" v="13862"/>
    </bk>
    <bk>
      <rc t="2" v="13863"/>
    </bk>
    <bk>
      <rc t="2" v="13864"/>
    </bk>
    <bk>
      <rc t="2" v="13865"/>
    </bk>
    <bk>
      <rc t="2" v="13866"/>
    </bk>
    <bk>
      <rc t="2" v="13867"/>
    </bk>
    <bk>
      <rc t="2" v="13868"/>
    </bk>
    <bk>
      <rc t="2" v="13869"/>
    </bk>
    <bk>
      <rc t="2" v="13870"/>
    </bk>
    <bk>
      <rc t="2" v="13871"/>
    </bk>
    <bk>
      <rc t="2" v="13872"/>
    </bk>
    <bk>
      <rc t="2" v="13873"/>
    </bk>
    <bk>
      <rc t="2" v="13874"/>
    </bk>
    <bk>
      <rc t="2" v="13875"/>
    </bk>
    <bk>
      <rc t="2" v="13876"/>
    </bk>
    <bk>
      <rc t="2" v="13877"/>
    </bk>
    <bk>
      <rc t="2" v="13878"/>
    </bk>
    <bk>
      <rc t="2" v="13879"/>
    </bk>
    <bk>
      <rc t="2" v="13880"/>
    </bk>
    <bk>
      <rc t="2" v="13881"/>
    </bk>
    <bk>
      <rc t="2" v="13882"/>
    </bk>
    <bk>
      <rc t="2" v="13883"/>
    </bk>
    <bk>
      <rc t="2" v="13884"/>
    </bk>
    <bk>
      <rc t="2" v="13885"/>
    </bk>
    <bk>
      <rc t="2" v="13886"/>
    </bk>
    <bk>
      <rc t="2" v="13887"/>
    </bk>
    <bk>
      <rc t="2" v="13888"/>
    </bk>
    <bk>
      <rc t="2" v="13889"/>
    </bk>
    <bk>
      <rc t="2" v="13890"/>
    </bk>
    <bk>
      <rc t="2" v="13891"/>
    </bk>
    <bk>
      <rc t="2" v="13892"/>
    </bk>
    <bk>
      <rc t="2" v="13893"/>
    </bk>
    <bk>
      <rc t="2" v="13894"/>
    </bk>
    <bk>
      <rc t="2" v="13895"/>
    </bk>
    <bk>
      <rc t="2" v="13896"/>
    </bk>
    <bk>
      <rc t="2" v="13897"/>
    </bk>
    <bk>
      <rc t="2" v="13898"/>
    </bk>
    <bk>
      <rc t="2" v="13899"/>
    </bk>
    <bk>
      <rc t="2" v="13900"/>
    </bk>
    <bk>
      <rc t="2" v="13901"/>
    </bk>
    <bk>
      <rc t="2" v="13902"/>
    </bk>
    <bk>
      <rc t="2" v="13903"/>
    </bk>
    <bk>
      <rc t="2" v="13904"/>
    </bk>
    <bk>
      <rc t="2" v="13905"/>
    </bk>
    <bk>
      <rc t="2" v="13906"/>
    </bk>
    <bk>
      <rc t="2" v="13907"/>
    </bk>
    <bk>
      <rc t="2" v="13908"/>
    </bk>
    <bk>
      <rc t="2" v="13909"/>
    </bk>
    <bk>
      <rc t="2" v="13910"/>
    </bk>
    <bk>
      <rc t="2" v="13911"/>
    </bk>
    <bk>
      <rc t="2" v="13912"/>
    </bk>
    <bk>
      <rc t="2" v="13913"/>
    </bk>
    <bk>
      <rc t="2" v="13914"/>
    </bk>
    <bk>
      <rc t="2" v="13915"/>
    </bk>
    <bk>
      <rc t="2" v="13916"/>
    </bk>
    <bk>
      <rc t="2" v="13917"/>
    </bk>
    <bk>
      <rc t="2" v="13918"/>
    </bk>
    <bk>
      <rc t="2" v="13919"/>
    </bk>
    <bk>
      <rc t="2" v="13920"/>
    </bk>
    <bk>
      <rc t="2" v="13921"/>
    </bk>
    <bk>
      <rc t="2" v="13922"/>
    </bk>
    <bk>
      <rc t="2" v="13923"/>
    </bk>
    <bk>
      <rc t="2" v="13924"/>
    </bk>
    <bk>
      <rc t="2" v="13925"/>
    </bk>
    <bk>
      <rc t="2" v="13926"/>
    </bk>
    <bk>
      <rc t="2" v="13927"/>
    </bk>
    <bk>
      <rc t="2" v="13928"/>
    </bk>
    <bk>
      <rc t="2" v="13929"/>
    </bk>
    <bk>
      <rc t="2" v="13930"/>
    </bk>
    <bk>
      <rc t="2" v="13931"/>
    </bk>
    <bk>
      <rc t="2" v="13932"/>
    </bk>
    <bk>
      <rc t="2" v="13933"/>
    </bk>
    <bk>
      <rc t="2" v="13934"/>
    </bk>
    <bk>
      <rc t="2" v="13935"/>
    </bk>
    <bk>
      <rc t="2" v="13936"/>
    </bk>
    <bk>
      <rc t="2" v="13937"/>
    </bk>
    <bk>
      <rc t="2" v="13938"/>
    </bk>
    <bk>
      <rc t="2" v="13939"/>
    </bk>
    <bk>
      <rc t="2" v="13940"/>
    </bk>
    <bk>
      <rc t="2" v="13941"/>
    </bk>
    <bk>
      <rc t="2" v="13942"/>
    </bk>
    <bk>
      <rc t="2" v="13943"/>
    </bk>
    <bk>
      <rc t="2" v="13944"/>
    </bk>
    <bk>
      <rc t="2" v="13945"/>
    </bk>
    <bk>
      <rc t="2" v="13946"/>
    </bk>
    <bk>
      <rc t="2" v="13947"/>
    </bk>
    <bk>
      <rc t="2" v="13948"/>
    </bk>
    <bk>
      <rc t="2" v="13949"/>
    </bk>
    <bk>
      <rc t="2" v="13950"/>
    </bk>
    <bk>
      <rc t="2" v="13951"/>
    </bk>
    <bk>
      <rc t="2" v="13952"/>
    </bk>
    <bk>
      <rc t="2" v="13953"/>
    </bk>
    <bk>
      <rc t="2" v="13954"/>
    </bk>
    <bk>
      <rc t="2" v="13955"/>
    </bk>
    <bk>
      <rc t="2" v="13956"/>
    </bk>
    <bk>
      <rc t="2" v="13957"/>
    </bk>
    <bk>
      <rc t="2" v="13958"/>
    </bk>
    <bk>
      <rc t="2" v="13959"/>
    </bk>
    <bk>
      <rc t="2" v="13960"/>
    </bk>
    <bk>
      <rc t="2" v="13961"/>
    </bk>
    <bk>
      <rc t="2" v="13962"/>
    </bk>
    <bk>
      <rc t="2" v="13963"/>
    </bk>
    <bk>
      <rc t="2" v="13964"/>
    </bk>
    <bk>
      <rc t="2" v="13965"/>
    </bk>
    <bk>
      <rc t="2" v="13966"/>
    </bk>
    <bk>
      <rc t="2" v="13967"/>
    </bk>
    <bk>
      <rc t="2" v="13968"/>
    </bk>
    <bk>
      <rc t="2" v="13969"/>
    </bk>
    <bk>
      <rc t="2" v="13970"/>
    </bk>
    <bk>
      <rc t="2" v="13971"/>
    </bk>
    <bk>
      <rc t="2" v="13972"/>
    </bk>
    <bk>
      <rc t="2" v="13973"/>
    </bk>
    <bk>
      <rc t="2" v="13974"/>
    </bk>
    <bk>
      <rc t="2" v="13975"/>
    </bk>
    <bk>
      <rc t="2" v="13976"/>
    </bk>
    <bk>
      <rc t="2" v="13977"/>
    </bk>
    <bk>
      <rc t="2" v="13978"/>
    </bk>
    <bk>
      <rc t="2" v="13979"/>
    </bk>
    <bk>
      <rc t="2" v="13980"/>
    </bk>
    <bk>
      <rc t="2" v="13981"/>
    </bk>
    <bk>
      <rc t="2" v="13982"/>
    </bk>
    <bk>
      <rc t="2" v="13983"/>
    </bk>
    <bk>
      <rc t="2" v="13984"/>
    </bk>
    <bk>
      <rc t="2" v="13985"/>
    </bk>
    <bk>
      <rc t="2" v="13986"/>
    </bk>
    <bk>
      <rc t="2" v="13987"/>
    </bk>
    <bk>
      <rc t="2" v="13988"/>
    </bk>
    <bk>
      <rc t="2" v="13989"/>
    </bk>
    <bk>
      <rc t="2" v="13990"/>
    </bk>
    <bk>
      <rc t="2" v="13991"/>
    </bk>
    <bk>
      <rc t="2" v="13992"/>
    </bk>
    <bk>
      <rc t="2" v="13993"/>
    </bk>
    <bk>
      <rc t="2" v="13994"/>
    </bk>
    <bk>
      <rc t="2" v="13995"/>
    </bk>
    <bk>
      <rc t="2" v="13996"/>
    </bk>
    <bk>
      <rc t="2" v="13997"/>
    </bk>
    <bk>
      <rc t="2" v="13998"/>
    </bk>
    <bk>
      <rc t="2" v="13999"/>
    </bk>
    <bk>
      <rc t="2" v="14000"/>
    </bk>
    <bk>
      <rc t="2" v="14001"/>
    </bk>
    <bk>
      <rc t="2" v="14002"/>
    </bk>
    <bk>
      <rc t="2" v="14003"/>
    </bk>
    <bk>
      <rc t="2" v="14004"/>
    </bk>
    <bk>
      <rc t="2" v="14005"/>
    </bk>
    <bk>
      <rc t="2" v="14006"/>
    </bk>
    <bk>
      <rc t="2" v="14007"/>
    </bk>
    <bk>
      <rc t="2" v="14008"/>
    </bk>
    <bk>
      <rc t="2" v="14009"/>
    </bk>
    <bk>
      <rc t="2" v="14010"/>
    </bk>
    <bk>
      <rc t="2" v="14011"/>
    </bk>
    <bk>
      <rc t="2" v="14012"/>
    </bk>
    <bk>
      <rc t="2" v="14013"/>
    </bk>
    <bk>
      <rc t="2" v="14014"/>
    </bk>
    <bk>
      <rc t="2" v="14015"/>
    </bk>
    <bk>
      <rc t="2" v="14016"/>
    </bk>
    <bk>
      <rc t="2" v="14017"/>
    </bk>
    <bk>
      <rc t="2" v="14018"/>
    </bk>
    <bk>
      <rc t="2" v="14019"/>
    </bk>
    <bk>
      <rc t="2" v="14020"/>
    </bk>
    <bk>
      <rc t="2" v="14021"/>
    </bk>
    <bk>
      <rc t="2" v="14022"/>
    </bk>
    <bk>
      <rc t="2" v="14023"/>
    </bk>
    <bk>
      <rc t="2" v="14024"/>
    </bk>
    <bk>
      <rc t="2" v="14025"/>
    </bk>
    <bk>
      <rc t="2" v="14026"/>
    </bk>
    <bk>
      <rc t="2" v="14027"/>
    </bk>
    <bk>
      <rc t="2" v="14028"/>
    </bk>
    <bk>
      <rc t="2" v="14029"/>
    </bk>
    <bk>
      <rc t="2" v="14030"/>
    </bk>
    <bk>
      <rc t="2" v="14031"/>
    </bk>
    <bk>
      <rc t="2" v="14032"/>
    </bk>
    <bk>
      <rc t="2" v="14033"/>
    </bk>
    <bk>
      <rc t="2" v="14034"/>
    </bk>
    <bk>
      <rc t="2" v="14035"/>
    </bk>
    <bk>
      <rc t="2" v="14036"/>
    </bk>
    <bk>
      <rc t="2" v="14037"/>
    </bk>
    <bk>
      <rc t="2" v="14038"/>
    </bk>
    <bk>
      <rc t="2" v="14039"/>
    </bk>
    <bk>
      <rc t="2" v="14040"/>
    </bk>
    <bk>
      <rc t="2" v="14041"/>
    </bk>
    <bk>
      <rc t="2" v="14042"/>
    </bk>
    <bk>
      <rc t="2" v="14043"/>
    </bk>
    <bk>
      <rc t="2" v="14044"/>
    </bk>
    <bk>
      <rc t="2" v="14045"/>
    </bk>
    <bk>
      <rc t="2" v="14046"/>
    </bk>
    <bk>
      <rc t="2" v="14047"/>
    </bk>
    <bk>
      <rc t="2" v="14048"/>
    </bk>
    <bk>
      <rc t="2" v="14049"/>
    </bk>
    <bk>
      <rc t="2" v="14050"/>
    </bk>
    <bk>
      <rc t="2" v="14051"/>
    </bk>
    <bk>
      <rc t="2" v="14052"/>
    </bk>
    <bk>
      <rc t="2" v="14053"/>
    </bk>
    <bk>
      <rc t="2" v="14054"/>
    </bk>
    <bk>
      <rc t="2" v="14055"/>
    </bk>
    <bk>
      <rc t="2" v="14056"/>
    </bk>
    <bk>
      <rc t="2" v="14057"/>
    </bk>
    <bk>
      <rc t="2" v="14058"/>
    </bk>
    <bk>
      <rc t="2" v="14059"/>
    </bk>
    <bk>
      <rc t="2" v="14060"/>
    </bk>
    <bk>
      <rc t="2" v="14061"/>
    </bk>
    <bk>
      <rc t="2" v="14062"/>
    </bk>
    <bk>
      <rc t="2" v="14063"/>
    </bk>
    <bk>
      <rc t="2" v="14064"/>
    </bk>
    <bk>
      <rc t="2" v="14065"/>
    </bk>
    <bk>
      <rc t="2" v="14066"/>
    </bk>
    <bk>
      <rc t="2" v="14067"/>
    </bk>
    <bk>
      <rc t="2" v="14068"/>
    </bk>
    <bk>
      <rc t="2" v="14069"/>
    </bk>
    <bk>
      <rc t="2" v="14070"/>
    </bk>
    <bk>
      <rc t="2" v="14071"/>
    </bk>
    <bk>
      <rc t="2" v="14072"/>
    </bk>
    <bk>
      <rc t="2" v="14073"/>
    </bk>
    <bk>
      <rc t="2" v="14074"/>
    </bk>
    <bk>
      <rc t="2" v="14075"/>
    </bk>
    <bk>
      <rc t="2" v="14076"/>
    </bk>
    <bk>
      <rc t="2" v="14077"/>
    </bk>
    <bk>
      <rc t="2" v="14078"/>
    </bk>
    <bk>
      <rc t="2" v="14079"/>
    </bk>
    <bk>
      <rc t="2" v="14080"/>
    </bk>
    <bk>
      <rc t="2" v="14081"/>
    </bk>
    <bk>
      <rc t="2" v="14082"/>
    </bk>
    <bk>
      <rc t="2" v="14083"/>
    </bk>
    <bk>
      <rc t="2" v="14084"/>
    </bk>
    <bk>
      <rc t="2" v="14085"/>
    </bk>
    <bk>
      <rc t="2" v="14086"/>
    </bk>
    <bk>
      <rc t="2" v="14087"/>
    </bk>
    <bk>
      <rc t="2" v="14088"/>
    </bk>
    <bk>
      <rc t="2" v="14089"/>
    </bk>
    <bk>
      <rc t="2" v="14090"/>
    </bk>
    <bk>
      <rc t="2" v="14091"/>
    </bk>
    <bk>
      <rc t="2" v="14092"/>
    </bk>
    <bk>
      <rc t="2" v="14093"/>
    </bk>
    <bk>
      <rc t="2" v="14094"/>
    </bk>
    <bk>
      <rc t="2" v="14095"/>
    </bk>
    <bk>
      <rc t="2" v="14096"/>
    </bk>
    <bk>
      <rc t="2" v="14097"/>
    </bk>
    <bk>
      <rc t="2" v="14098"/>
    </bk>
    <bk>
      <rc t="2" v="14099"/>
    </bk>
    <bk>
      <rc t="2" v="14100"/>
    </bk>
    <bk>
      <rc t="2" v="14101"/>
    </bk>
    <bk>
      <rc t="2" v="14102"/>
    </bk>
    <bk>
      <rc t="2" v="14103"/>
    </bk>
    <bk>
      <rc t="2" v="14104"/>
    </bk>
    <bk>
      <rc t="2" v="14105"/>
    </bk>
    <bk>
      <rc t="2" v="14106"/>
    </bk>
    <bk>
      <rc t="2" v="14107"/>
    </bk>
    <bk>
      <rc t="2" v="14108"/>
    </bk>
    <bk>
      <rc t="2" v="14109"/>
    </bk>
    <bk>
      <rc t="2" v="14110"/>
    </bk>
    <bk>
      <rc t="2" v="14111"/>
    </bk>
    <bk>
      <rc t="2" v="14112"/>
    </bk>
    <bk>
      <rc t="2" v="14113"/>
    </bk>
    <bk>
      <rc t="2" v="14114"/>
    </bk>
    <bk>
      <rc t="2" v="14115"/>
    </bk>
    <bk>
      <rc t="2" v="14116"/>
    </bk>
    <bk>
      <rc t="2" v="14117"/>
    </bk>
    <bk>
      <rc t="2" v="14118"/>
    </bk>
    <bk>
      <rc t="2" v="14119"/>
    </bk>
    <bk>
      <rc t="2" v="14120"/>
    </bk>
    <bk>
      <rc t="2" v="14121"/>
    </bk>
    <bk>
      <rc t="2" v="14122"/>
    </bk>
    <bk>
      <rc t="2" v="14123"/>
    </bk>
    <bk>
      <rc t="2" v="14124"/>
    </bk>
    <bk>
      <rc t="2" v="14125"/>
    </bk>
    <bk>
      <rc t="2" v="14126"/>
    </bk>
    <bk>
      <rc t="2" v="14127"/>
    </bk>
    <bk>
      <rc t="2" v="14128"/>
    </bk>
    <bk>
      <rc t="2" v="14129"/>
    </bk>
    <bk>
      <rc t="2" v="14130"/>
    </bk>
    <bk>
      <rc t="2" v="14131"/>
    </bk>
    <bk>
      <rc t="2" v="14132"/>
    </bk>
    <bk>
      <rc t="2" v="14133"/>
    </bk>
    <bk>
      <rc t="2" v="14134"/>
    </bk>
    <bk>
      <rc t="2" v="14135"/>
    </bk>
    <bk>
      <rc t="2" v="14136"/>
    </bk>
    <bk>
      <rc t="2" v="14137"/>
    </bk>
    <bk>
      <rc t="2" v="14138"/>
    </bk>
    <bk>
      <rc t="2" v="14139"/>
    </bk>
    <bk>
      <rc t="2" v="14140"/>
    </bk>
    <bk>
      <rc t="2" v="14141"/>
    </bk>
    <bk>
      <rc t="2" v="14142"/>
    </bk>
    <bk>
      <rc t="2" v="14143"/>
    </bk>
    <bk>
      <rc t="2" v="14144"/>
    </bk>
    <bk>
      <rc t="2" v="14145"/>
    </bk>
    <bk>
      <rc t="2" v="14146"/>
    </bk>
    <bk>
      <rc t="2" v="14147"/>
    </bk>
    <bk>
      <rc t="2" v="14148"/>
    </bk>
    <bk>
      <rc t="2" v="14149"/>
    </bk>
    <bk>
      <rc t="2" v="14150"/>
    </bk>
    <bk>
      <rc t="2" v="14151"/>
    </bk>
    <bk>
      <rc t="2" v="14152"/>
    </bk>
    <bk>
      <rc t="2" v="14153"/>
    </bk>
    <bk>
      <rc t="2" v="14154"/>
    </bk>
    <bk>
      <rc t="2" v="14155"/>
    </bk>
    <bk>
      <rc t="2" v="14156"/>
    </bk>
    <bk>
      <rc t="2" v="14157"/>
    </bk>
    <bk>
      <rc t="2" v="14158"/>
    </bk>
    <bk>
      <rc t="2" v="14159"/>
    </bk>
    <bk>
      <rc t="2" v="14160"/>
    </bk>
    <bk>
      <rc t="2" v="14161"/>
    </bk>
    <bk>
      <rc t="2" v="14162"/>
    </bk>
    <bk>
      <rc t="2" v="14163"/>
    </bk>
    <bk>
      <rc t="2" v="14164"/>
    </bk>
    <bk>
      <rc t="2" v="14165"/>
    </bk>
    <bk>
      <rc t="2" v="14166"/>
    </bk>
    <bk>
      <rc t="2" v="14167"/>
    </bk>
    <bk>
      <rc t="2" v="14168"/>
    </bk>
    <bk>
      <rc t="2" v="14169"/>
    </bk>
    <bk>
      <rc t="2" v="14170"/>
    </bk>
    <bk>
      <rc t="2" v="14171"/>
    </bk>
    <bk>
      <rc t="2" v="14172"/>
    </bk>
    <bk>
      <rc t="2" v="14173"/>
    </bk>
    <bk>
      <rc t="2" v="14174"/>
    </bk>
    <bk>
      <rc t="2" v="14175"/>
    </bk>
    <bk>
      <rc t="2" v="14176"/>
    </bk>
    <bk>
      <rc t="2" v="14177"/>
    </bk>
    <bk>
      <rc t="2" v="14178"/>
    </bk>
    <bk>
      <rc t="2" v="14179"/>
    </bk>
    <bk>
      <rc t="2" v="14180"/>
    </bk>
    <bk>
      <rc t="2" v="14181"/>
    </bk>
    <bk>
      <rc t="2" v="14182"/>
    </bk>
    <bk>
      <rc t="2" v="14183"/>
    </bk>
    <bk>
      <rc t="2" v="14184"/>
    </bk>
    <bk>
      <rc t="2" v="14185"/>
    </bk>
    <bk>
      <rc t="2" v="14186"/>
    </bk>
    <bk>
      <rc t="2" v="14187"/>
    </bk>
    <bk>
      <rc t="2" v="14188"/>
    </bk>
    <bk>
      <rc t="2" v="14189"/>
    </bk>
    <bk>
      <rc t="2" v="14190"/>
    </bk>
    <bk>
      <rc t="2" v="14191"/>
    </bk>
    <bk>
      <rc t="2" v="14192"/>
    </bk>
    <bk>
      <rc t="2" v="14193"/>
    </bk>
    <bk>
      <rc t="2" v="14194"/>
    </bk>
    <bk>
      <rc t="2" v="14195"/>
    </bk>
    <bk>
      <rc t="2" v="14196"/>
    </bk>
    <bk>
      <rc t="2" v="14197"/>
    </bk>
    <bk>
      <rc t="2" v="14198"/>
    </bk>
    <bk>
      <rc t="2" v="14199"/>
    </bk>
    <bk>
      <rc t="2" v="14200"/>
    </bk>
    <bk>
      <rc t="2" v="14201"/>
    </bk>
    <bk>
      <rc t="2" v="14202"/>
    </bk>
    <bk>
      <rc t="2" v="14203"/>
    </bk>
    <bk>
      <rc t="2" v="14204"/>
    </bk>
    <bk>
      <rc t="2" v="14205"/>
    </bk>
    <bk>
      <rc t="2" v="14206"/>
    </bk>
    <bk>
      <rc t="2" v="14207"/>
    </bk>
    <bk>
      <rc t="2" v="14208"/>
    </bk>
    <bk>
      <rc t="2" v="14209"/>
    </bk>
    <bk>
      <rc t="2" v="14210"/>
    </bk>
    <bk>
      <rc t="2" v="14211"/>
    </bk>
    <bk>
      <rc t="2" v="14212"/>
    </bk>
    <bk>
      <rc t="2" v="14213"/>
    </bk>
    <bk>
      <rc t="2" v="14214"/>
    </bk>
    <bk>
      <rc t="2" v="14215"/>
    </bk>
    <bk>
      <rc t="2" v="14216"/>
    </bk>
    <bk>
      <rc t="2" v="14217"/>
    </bk>
    <bk>
      <rc t="2" v="14218"/>
    </bk>
    <bk>
      <rc t="2" v="14219"/>
    </bk>
    <bk>
      <rc t="2" v="14220"/>
    </bk>
    <bk>
      <rc t="2" v="14221"/>
    </bk>
    <bk>
      <rc t="2" v="14222"/>
    </bk>
    <bk>
      <rc t="2" v="14223"/>
    </bk>
    <bk>
      <rc t="2" v="14224"/>
    </bk>
    <bk>
      <rc t="2" v="14225"/>
    </bk>
    <bk>
      <rc t="2" v="14226"/>
    </bk>
    <bk>
      <rc t="2" v="14227"/>
    </bk>
    <bk>
      <rc t="2" v="14228"/>
    </bk>
    <bk>
      <rc t="2" v="14229"/>
    </bk>
    <bk>
      <rc t="2" v="14230"/>
    </bk>
    <bk>
      <rc t="2" v="14231"/>
    </bk>
    <bk>
      <rc t="2" v="14232"/>
    </bk>
    <bk>
      <rc t="2" v="14233"/>
    </bk>
    <bk>
      <rc t="2" v="14234"/>
    </bk>
    <bk>
      <rc t="2" v="14235"/>
    </bk>
    <bk>
      <rc t="2" v="14236"/>
    </bk>
    <bk>
      <rc t="2" v="14237"/>
    </bk>
    <bk>
      <rc t="2" v="14238"/>
    </bk>
    <bk>
      <rc t="2" v="14239"/>
    </bk>
    <bk>
      <rc t="2" v="14240"/>
    </bk>
    <bk>
      <rc t="2" v="14241"/>
    </bk>
    <bk>
      <rc t="2" v="14242"/>
    </bk>
    <bk>
      <rc t="2" v="14243"/>
    </bk>
    <bk>
      <rc t="2" v="14244"/>
    </bk>
    <bk>
      <rc t="2" v="14245"/>
    </bk>
    <bk>
      <rc t="2" v="14246"/>
    </bk>
    <bk>
      <rc t="2" v="14247"/>
    </bk>
    <bk>
      <rc t="2" v="14248"/>
    </bk>
    <bk>
      <rc t="2" v="14249"/>
    </bk>
    <bk>
      <rc t="2" v="14250"/>
    </bk>
    <bk>
      <rc t="2" v="14251"/>
    </bk>
    <bk>
      <rc t="2" v="14252"/>
    </bk>
    <bk>
      <rc t="2" v="14253"/>
    </bk>
    <bk>
      <rc t="2" v="14254"/>
    </bk>
    <bk>
      <rc t="2" v="14255"/>
    </bk>
    <bk>
      <rc t="2" v="14256"/>
    </bk>
    <bk>
      <rc t="2" v="14257"/>
    </bk>
    <bk>
      <rc t="2" v="14258"/>
    </bk>
    <bk>
      <rc t="2" v="14259"/>
    </bk>
    <bk>
      <rc t="2" v="14260"/>
    </bk>
    <bk>
      <rc t="2" v="14261"/>
    </bk>
    <bk>
      <rc t="2" v="14262"/>
    </bk>
    <bk>
      <rc t="2" v="14263"/>
    </bk>
    <bk>
      <rc t="2" v="14264"/>
    </bk>
    <bk>
      <rc t="2" v="14265"/>
    </bk>
    <bk>
      <rc t="2" v="14266"/>
    </bk>
    <bk>
      <rc t="2" v="14267"/>
    </bk>
    <bk>
      <rc t="2" v="14268"/>
    </bk>
    <bk>
      <rc t="2" v="14269"/>
    </bk>
    <bk>
      <rc t="2" v="14270"/>
    </bk>
    <bk>
      <rc t="2" v="14271"/>
    </bk>
    <bk>
      <rc t="2" v="14272"/>
    </bk>
    <bk>
      <rc t="2" v="14273"/>
    </bk>
    <bk>
      <rc t="2" v="14274"/>
    </bk>
    <bk>
      <rc t="2" v="14275"/>
    </bk>
    <bk>
      <rc t="2" v="14276"/>
    </bk>
    <bk>
      <rc t="2" v="14277"/>
    </bk>
    <bk>
      <rc t="2" v="14278"/>
    </bk>
    <bk>
      <rc t="2" v="14279"/>
    </bk>
    <bk>
      <rc t="2" v="14280"/>
    </bk>
    <bk>
      <rc t="2" v="14281"/>
    </bk>
    <bk>
      <rc t="2" v="14282"/>
    </bk>
    <bk>
      <rc t="2" v="14283"/>
    </bk>
    <bk>
      <rc t="2" v="14284"/>
    </bk>
    <bk>
      <rc t="2" v="14285"/>
    </bk>
    <bk>
      <rc t="2" v="14286"/>
    </bk>
    <bk>
      <rc t="2" v="14287"/>
    </bk>
    <bk>
      <rc t="2" v="14288"/>
    </bk>
    <bk>
      <rc t="2" v="14289"/>
    </bk>
    <bk>
      <rc t="2" v="14290"/>
    </bk>
    <bk>
      <rc t="2" v="14291"/>
    </bk>
    <bk>
      <rc t="2" v="14292"/>
    </bk>
    <bk>
      <rc t="2" v="14293"/>
    </bk>
    <bk>
      <rc t="2" v="14294"/>
    </bk>
    <bk>
      <rc t="2" v="14295"/>
    </bk>
    <bk>
      <rc t="2" v="14296"/>
    </bk>
    <bk>
      <rc t="2" v="14297"/>
    </bk>
    <bk>
      <rc t="2" v="14298"/>
    </bk>
    <bk>
      <rc t="2" v="14299"/>
    </bk>
    <bk>
      <rc t="2" v="14300"/>
    </bk>
    <bk>
      <rc t="2" v="14301"/>
    </bk>
    <bk>
      <rc t="2" v="14302"/>
    </bk>
    <bk>
      <rc t="2" v="14303"/>
    </bk>
    <bk>
      <rc t="2" v="14304"/>
    </bk>
    <bk>
      <rc t="2" v="14305"/>
    </bk>
    <bk>
      <rc t="2" v="14306"/>
    </bk>
    <bk>
      <rc t="2" v="14307"/>
    </bk>
    <bk>
      <rc t="2" v="14308"/>
    </bk>
    <bk>
      <rc t="2" v="14309"/>
    </bk>
    <bk>
      <rc t="2" v="14310"/>
    </bk>
    <bk>
      <rc t="2" v="14311"/>
    </bk>
    <bk>
      <rc t="2" v="14312"/>
    </bk>
    <bk>
      <rc t="2" v="14313"/>
    </bk>
    <bk>
      <rc t="2" v="14314"/>
    </bk>
    <bk>
      <rc t="2" v="14315"/>
    </bk>
    <bk>
      <rc t="2" v="14316"/>
    </bk>
    <bk>
      <rc t="2" v="14317"/>
    </bk>
    <bk>
      <rc t="2" v="14318"/>
    </bk>
    <bk>
      <rc t="2" v="14319"/>
    </bk>
    <bk>
      <rc t="2" v="14320"/>
    </bk>
    <bk>
      <rc t="2" v="14321"/>
    </bk>
    <bk>
      <rc t="2" v="14322"/>
    </bk>
    <bk>
      <rc t="2" v="14323"/>
    </bk>
    <bk>
      <rc t="2" v="14324"/>
    </bk>
    <bk>
      <rc t="2" v="14325"/>
    </bk>
    <bk>
      <rc t="2" v="14326"/>
    </bk>
    <bk>
      <rc t="2" v="14327"/>
    </bk>
    <bk>
      <rc t="2" v="14328"/>
    </bk>
    <bk>
      <rc t="2" v="14329"/>
    </bk>
    <bk>
      <rc t="2" v="14330"/>
    </bk>
    <bk>
      <rc t="2" v="14331"/>
    </bk>
    <bk>
      <rc t="2" v="14332"/>
    </bk>
    <bk>
      <rc t="2" v="14333"/>
    </bk>
    <bk>
      <rc t="2" v="14334"/>
    </bk>
    <bk>
      <rc t="2" v="14335"/>
    </bk>
    <bk>
      <rc t="2" v="14336"/>
    </bk>
    <bk>
      <rc t="2" v="14337"/>
    </bk>
    <bk>
      <rc t="2" v="14338"/>
    </bk>
    <bk>
      <rc t="2" v="14339"/>
    </bk>
    <bk>
      <rc t="2" v="14340"/>
    </bk>
    <bk>
      <rc t="2" v="14341"/>
    </bk>
    <bk>
      <rc t="2" v="14342"/>
    </bk>
    <bk>
      <rc t="2" v="14343"/>
    </bk>
    <bk>
      <rc t="2" v="14344"/>
    </bk>
    <bk>
      <rc t="2" v="14345"/>
    </bk>
    <bk>
      <rc t="2" v="14346"/>
    </bk>
    <bk>
      <rc t="2" v="14347"/>
    </bk>
    <bk>
      <rc t="2" v="14348"/>
    </bk>
    <bk>
      <rc t="2" v="14349"/>
    </bk>
    <bk>
      <rc t="2" v="14350"/>
    </bk>
    <bk>
      <rc t="2" v="14351"/>
    </bk>
    <bk>
      <rc t="2" v="14352"/>
    </bk>
    <bk>
      <rc t="2" v="14353"/>
    </bk>
    <bk>
      <rc t="2" v="14354"/>
    </bk>
    <bk>
      <rc t="2" v="14355"/>
    </bk>
    <bk>
      <rc t="2" v="14356"/>
    </bk>
    <bk>
      <rc t="2" v="14357"/>
    </bk>
    <bk>
      <rc t="2" v="14358"/>
    </bk>
    <bk>
      <rc t="2" v="14359"/>
    </bk>
    <bk>
      <rc t="2" v="14360"/>
    </bk>
    <bk>
      <rc t="2" v="14361"/>
    </bk>
    <bk>
      <rc t="2" v="14362"/>
    </bk>
    <bk>
      <rc t="2" v="14363"/>
    </bk>
    <bk>
      <rc t="2" v="14364"/>
    </bk>
    <bk>
      <rc t="2" v="14365"/>
    </bk>
    <bk>
      <rc t="2" v="14366"/>
    </bk>
    <bk>
      <rc t="2" v="14367"/>
    </bk>
    <bk>
      <rc t="2" v="14368"/>
    </bk>
    <bk>
      <rc t="2" v="14369"/>
    </bk>
    <bk>
      <rc t="2" v="14370"/>
    </bk>
    <bk>
      <rc t="2" v="14371"/>
    </bk>
    <bk>
      <rc t="2" v="14372"/>
    </bk>
    <bk>
      <rc t="2" v="14373"/>
    </bk>
    <bk>
      <rc t="2" v="14374"/>
    </bk>
    <bk>
      <rc t="2" v="14375"/>
    </bk>
    <bk>
      <rc t="2" v="14376"/>
    </bk>
    <bk>
      <rc t="2" v="14377"/>
    </bk>
    <bk>
      <rc t="2" v="14378"/>
    </bk>
    <bk>
      <rc t="2" v="14379"/>
    </bk>
    <bk>
      <rc t="2" v="14380"/>
    </bk>
    <bk>
      <rc t="2" v="14381"/>
    </bk>
    <bk>
      <rc t="2" v="14382"/>
    </bk>
    <bk>
      <rc t="2" v="14383"/>
    </bk>
    <bk>
      <rc t="2" v="14384"/>
    </bk>
    <bk>
      <rc t="2" v="14385"/>
    </bk>
    <bk>
      <rc t="2" v="14386"/>
    </bk>
    <bk>
      <rc t="2" v="14387"/>
    </bk>
    <bk>
      <rc t="2" v="14388"/>
    </bk>
    <bk>
      <rc t="2" v="14389"/>
    </bk>
    <bk>
      <rc t="2" v="14390"/>
    </bk>
    <bk>
      <rc t="2" v="14391"/>
    </bk>
    <bk>
      <rc t="2" v="14392"/>
    </bk>
    <bk>
      <rc t="2" v="14393"/>
    </bk>
    <bk>
      <rc t="2" v="14394"/>
    </bk>
    <bk>
      <rc t="2" v="14395"/>
    </bk>
    <bk>
      <rc t="2" v="14396"/>
    </bk>
    <bk>
      <rc t="2" v="14397"/>
    </bk>
    <bk>
      <rc t="2" v="14398"/>
    </bk>
    <bk>
      <rc t="2" v="14399"/>
    </bk>
    <bk>
      <rc t="2" v="14400"/>
    </bk>
    <bk>
      <rc t="2" v="14401"/>
    </bk>
    <bk>
      <rc t="2" v="14402"/>
    </bk>
    <bk>
      <rc t="2" v="14403"/>
    </bk>
    <bk>
      <rc t="2" v="14404"/>
    </bk>
    <bk>
      <rc t="2" v="14405"/>
    </bk>
    <bk>
      <rc t="2" v="14406"/>
    </bk>
    <bk>
      <rc t="2" v="14407"/>
    </bk>
    <bk>
      <rc t="2" v="14408"/>
    </bk>
    <bk>
      <rc t="2" v="14409"/>
    </bk>
    <bk>
      <rc t="2" v="14410"/>
    </bk>
    <bk>
      <rc t="2" v="14411"/>
    </bk>
    <bk>
      <rc t="2" v="14412"/>
    </bk>
    <bk>
      <rc t="2" v="14413"/>
    </bk>
    <bk>
      <rc t="2" v="14414"/>
    </bk>
    <bk>
      <rc t="2" v="14415"/>
    </bk>
    <bk>
      <rc t="2" v="14416"/>
    </bk>
    <bk>
      <rc t="2" v="14417"/>
    </bk>
    <bk>
      <rc t="2" v="14418"/>
    </bk>
    <bk>
      <rc t="2" v="14419"/>
    </bk>
    <bk>
      <rc t="2" v="14420"/>
    </bk>
    <bk>
      <rc t="2" v="14421"/>
    </bk>
    <bk>
      <rc t="2" v="14422"/>
    </bk>
    <bk>
      <rc t="2" v="14423"/>
    </bk>
    <bk>
      <rc t="2" v="14424"/>
    </bk>
    <bk>
      <rc t="2" v="14425"/>
    </bk>
    <bk>
      <rc t="2" v="14426"/>
    </bk>
    <bk>
      <rc t="2" v="14427"/>
    </bk>
    <bk>
      <rc t="2" v="14428"/>
    </bk>
    <bk>
      <rc t="2" v="14429"/>
    </bk>
    <bk>
      <rc t="2" v="14430"/>
    </bk>
    <bk>
      <rc t="2" v="14431"/>
    </bk>
    <bk>
      <rc t="2" v="14432"/>
    </bk>
    <bk>
      <rc t="2" v="14433"/>
    </bk>
    <bk>
      <rc t="2" v="14434"/>
    </bk>
    <bk>
      <rc t="2" v="14435"/>
    </bk>
    <bk>
      <rc t="2" v="14436"/>
    </bk>
    <bk>
      <rc t="2" v="14437"/>
    </bk>
    <bk>
      <rc t="2" v="14438"/>
    </bk>
    <bk>
      <rc t="2" v="14439"/>
    </bk>
    <bk>
      <rc t="2" v="14440"/>
    </bk>
    <bk>
      <rc t="2" v="14441"/>
    </bk>
    <bk>
      <rc t="2" v="14442"/>
    </bk>
    <bk>
      <rc t="2" v="14443"/>
    </bk>
    <bk>
      <rc t="2" v="14444"/>
    </bk>
    <bk>
      <rc t="2" v="14445"/>
    </bk>
    <bk>
      <rc t="2" v="14446"/>
    </bk>
    <bk>
      <rc t="2" v="14447"/>
    </bk>
    <bk>
      <rc t="2" v="14448"/>
    </bk>
    <bk>
      <rc t="2" v="14449"/>
    </bk>
    <bk>
      <rc t="2" v="14450"/>
    </bk>
    <bk>
      <rc t="2" v="14451"/>
    </bk>
    <bk>
      <rc t="2" v="14452"/>
    </bk>
    <bk>
      <rc t="2" v="14453"/>
    </bk>
    <bk>
      <rc t="2" v="14454"/>
    </bk>
    <bk>
      <rc t="2" v="14455"/>
    </bk>
    <bk>
      <rc t="2" v="14456"/>
    </bk>
    <bk>
      <rc t="2" v="14457"/>
    </bk>
    <bk>
      <rc t="2" v="14458"/>
    </bk>
    <bk>
      <rc t="2" v="14459"/>
    </bk>
    <bk>
      <rc t="2" v="14460"/>
    </bk>
    <bk>
      <rc t="2" v="14461"/>
    </bk>
    <bk>
      <rc t="2" v="14462"/>
    </bk>
    <bk>
      <rc t="2" v="14463"/>
    </bk>
    <bk>
      <rc t="2" v="14464"/>
    </bk>
    <bk>
      <rc t="2" v="14465"/>
    </bk>
    <bk>
      <rc t="2" v="14466"/>
    </bk>
    <bk>
      <rc t="2" v="14467"/>
    </bk>
    <bk>
      <rc t="2" v="14468"/>
    </bk>
    <bk>
      <rc t="2" v="14469"/>
    </bk>
    <bk>
      <rc t="2" v="14470"/>
    </bk>
    <bk>
      <rc t="2" v="14471"/>
    </bk>
    <bk>
      <rc t="2" v="14472"/>
    </bk>
    <bk>
      <rc t="2" v="14473"/>
    </bk>
    <bk>
      <rc t="2" v="14474"/>
    </bk>
    <bk>
      <rc t="2" v="14475"/>
    </bk>
    <bk>
      <rc t="2" v="14476"/>
    </bk>
    <bk>
      <rc t="2" v="14477"/>
    </bk>
    <bk>
      <rc t="2" v="14478"/>
    </bk>
    <bk>
      <rc t="2" v="14479"/>
    </bk>
    <bk>
      <rc t="2" v="14480"/>
    </bk>
    <bk>
      <rc t="2" v="14481"/>
    </bk>
    <bk>
      <rc t="2" v="14482"/>
    </bk>
    <bk>
      <rc t="2" v="14483"/>
    </bk>
    <bk>
      <rc t="2" v="14484"/>
    </bk>
    <bk>
      <rc t="2" v="14485"/>
    </bk>
    <bk>
      <rc t="2" v="14486"/>
    </bk>
    <bk>
      <rc t="2" v="14487"/>
    </bk>
    <bk>
      <rc t="2" v="14488"/>
    </bk>
    <bk>
      <rc t="2" v="14489"/>
    </bk>
    <bk>
      <rc t="2" v="14490"/>
    </bk>
    <bk>
      <rc t="2" v="14491"/>
    </bk>
    <bk>
      <rc t="2" v="14492"/>
    </bk>
    <bk>
      <rc t="2" v="14493"/>
    </bk>
    <bk>
      <rc t="2" v="14494"/>
    </bk>
    <bk>
      <rc t="2" v="14495"/>
    </bk>
    <bk>
      <rc t="2" v="14496"/>
    </bk>
    <bk>
      <rc t="2" v="14497"/>
    </bk>
    <bk>
      <rc t="2" v="14498"/>
    </bk>
    <bk>
      <rc t="2" v="14499"/>
    </bk>
    <bk>
      <rc t="2" v="14500"/>
    </bk>
    <bk>
      <rc t="2" v="14501"/>
    </bk>
    <bk>
      <rc t="2" v="14502"/>
    </bk>
    <bk>
      <rc t="2" v="14503"/>
    </bk>
    <bk>
      <rc t="2" v="14504"/>
    </bk>
    <bk>
      <rc t="2" v="14505"/>
    </bk>
    <bk>
      <rc t="2" v="14506"/>
    </bk>
    <bk>
      <rc t="2" v="14507"/>
    </bk>
    <bk>
      <rc t="2" v="14508"/>
    </bk>
    <bk>
      <rc t="2" v="14509"/>
    </bk>
    <bk>
      <rc t="2" v="14510"/>
    </bk>
    <bk>
      <rc t="2" v="14511"/>
    </bk>
    <bk>
      <rc t="2" v="14512"/>
    </bk>
    <bk>
      <rc t="2" v="14513"/>
    </bk>
    <bk>
      <rc t="2" v="14514"/>
    </bk>
    <bk>
      <rc t="2" v="14515"/>
    </bk>
    <bk>
      <rc t="2" v="14516"/>
    </bk>
    <bk>
      <rc t="2" v="14517"/>
    </bk>
    <bk>
      <rc t="2" v="14518"/>
    </bk>
    <bk>
      <rc t="2" v="14519"/>
    </bk>
    <bk>
      <rc t="2" v="14520"/>
    </bk>
    <bk>
      <rc t="2" v="14521"/>
    </bk>
    <bk>
      <rc t="2" v="14522"/>
    </bk>
    <bk>
      <rc t="2" v="14523"/>
    </bk>
    <bk>
      <rc t="2" v="14524"/>
    </bk>
    <bk>
      <rc t="2" v="14525"/>
    </bk>
    <bk>
      <rc t="2" v="14526"/>
    </bk>
    <bk>
      <rc t="2" v="14527"/>
    </bk>
    <bk>
      <rc t="2" v="14528"/>
    </bk>
    <bk>
      <rc t="2" v="14529"/>
    </bk>
    <bk>
      <rc t="2" v="14530"/>
    </bk>
    <bk>
      <rc t="2" v="14531"/>
    </bk>
    <bk>
      <rc t="2" v="14532"/>
    </bk>
    <bk>
      <rc t="2" v="14533"/>
    </bk>
    <bk>
      <rc t="2" v="14534"/>
    </bk>
    <bk>
      <rc t="2" v="14535"/>
    </bk>
    <bk>
      <rc t="2" v="14536"/>
    </bk>
    <bk>
      <rc t="2" v="14537"/>
    </bk>
    <bk>
      <rc t="2" v="14538"/>
    </bk>
    <bk>
      <rc t="2" v="14539"/>
    </bk>
    <bk>
      <rc t="2" v="14540"/>
    </bk>
    <bk>
      <rc t="2" v="14541"/>
    </bk>
    <bk>
      <rc t="2" v="14542"/>
    </bk>
    <bk>
      <rc t="2" v="14543"/>
    </bk>
    <bk>
      <rc t="2" v="14544"/>
    </bk>
    <bk>
      <rc t="2" v="14545"/>
    </bk>
    <bk>
      <rc t="2" v="14546"/>
    </bk>
    <bk>
      <rc t="2" v="14547"/>
    </bk>
    <bk>
      <rc t="2" v="14548"/>
    </bk>
    <bk>
      <rc t="2" v="14549"/>
    </bk>
    <bk>
      <rc t="2" v="14550"/>
    </bk>
    <bk>
      <rc t="2" v="14551"/>
    </bk>
    <bk>
      <rc t="2" v="14552"/>
    </bk>
    <bk>
      <rc t="2" v="14553"/>
    </bk>
    <bk>
      <rc t="2" v="14554"/>
    </bk>
    <bk>
      <rc t="2" v="14555"/>
    </bk>
    <bk>
      <rc t="2" v="14556"/>
    </bk>
    <bk>
      <rc t="2" v="14557"/>
    </bk>
    <bk>
      <rc t="2" v="14558"/>
    </bk>
    <bk>
      <rc t="2" v="14559"/>
    </bk>
    <bk>
      <rc t="2" v="14560"/>
    </bk>
    <bk>
      <rc t="2" v="14561"/>
    </bk>
    <bk>
      <rc t="2" v="14562"/>
    </bk>
    <bk>
      <rc t="2" v="14563"/>
    </bk>
    <bk>
      <rc t="2" v="14564"/>
    </bk>
    <bk>
      <rc t="2" v="14565"/>
    </bk>
    <bk>
      <rc t="2" v="14566"/>
    </bk>
    <bk>
      <rc t="2" v="14567"/>
    </bk>
    <bk>
      <rc t="2" v="14568"/>
    </bk>
    <bk>
      <rc t="2" v="14569"/>
    </bk>
    <bk>
      <rc t="2" v="14570"/>
    </bk>
    <bk>
      <rc t="2" v="14571"/>
    </bk>
    <bk>
      <rc t="2" v="14572"/>
    </bk>
    <bk>
      <rc t="2" v="14573"/>
    </bk>
    <bk>
      <rc t="2" v="14574"/>
    </bk>
    <bk>
      <rc t="2" v="14575"/>
    </bk>
    <bk>
      <rc t="2" v="14576"/>
    </bk>
    <bk>
      <rc t="2" v="14577"/>
    </bk>
    <bk>
      <rc t="2" v="14578"/>
    </bk>
    <bk>
      <rc t="2" v="14579"/>
    </bk>
    <bk>
      <rc t="2" v="14580"/>
    </bk>
    <bk>
      <rc t="2" v="14581"/>
    </bk>
    <bk>
      <rc t="2" v="14582"/>
    </bk>
    <bk>
      <rc t="2" v="14583"/>
    </bk>
    <bk>
      <rc t="2" v="14584"/>
    </bk>
    <bk>
      <rc t="2" v="14585"/>
    </bk>
    <bk>
      <rc t="2" v="14586"/>
    </bk>
    <bk>
      <rc t="2" v="14587"/>
    </bk>
    <bk>
      <rc t="2" v="14588"/>
    </bk>
    <bk>
      <rc t="2" v="14589"/>
    </bk>
    <bk>
      <rc t="2" v="14590"/>
    </bk>
    <bk>
      <rc t="2" v="14591"/>
    </bk>
    <bk>
      <rc t="2" v="14592"/>
    </bk>
    <bk>
      <rc t="2" v="14593"/>
    </bk>
    <bk>
      <rc t="2" v="14594"/>
    </bk>
    <bk>
      <rc t="2" v="14595"/>
    </bk>
    <bk>
      <rc t="2" v="14596"/>
    </bk>
    <bk>
      <rc t="2" v="14597"/>
    </bk>
    <bk>
      <rc t="2" v="14598"/>
    </bk>
    <bk>
      <rc t="2" v="14599"/>
    </bk>
    <bk>
      <rc t="2" v="14600"/>
    </bk>
    <bk>
      <rc t="2" v="14601"/>
    </bk>
    <bk>
      <rc t="2" v="14602"/>
    </bk>
    <bk>
      <rc t="2" v="14603"/>
    </bk>
    <bk>
      <rc t="2" v="14604"/>
    </bk>
    <bk>
      <rc t="2" v="14605"/>
    </bk>
    <bk>
      <rc t="2" v="14606"/>
    </bk>
    <bk>
      <rc t="2" v="14607"/>
    </bk>
    <bk>
      <rc t="2" v="14608"/>
    </bk>
    <bk>
      <rc t="2" v="14609"/>
    </bk>
    <bk>
      <rc t="2" v="14610"/>
    </bk>
    <bk>
      <rc t="2" v="14611"/>
    </bk>
    <bk>
      <rc t="2" v="14612"/>
    </bk>
    <bk>
      <rc t="2" v="14613"/>
    </bk>
    <bk>
      <rc t="2" v="14614"/>
    </bk>
    <bk>
      <rc t="2" v="14615"/>
    </bk>
    <bk>
      <rc t="2" v="14616"/>
    </bk>
    <bk>
      <rc t="2" v="14617"/>
    </bk>
    <bk>
      <rc t="2" v="14618"/>
    </bk>
    <bk>
      <rc t="2" v="14619"/>
    </bk>
    <bk>
      <rc t="2" v="14620"/>
    </bk>
    <bk>
      <rc t="2" v="14621"/>
    </bk>
    <bk>
      <rc t="2" v="14622"/>
    </bk>
    <bk>
      <rc t="2" v="14623"/>
    </bk>
    <bk>
      <rc t="2" v="14624"/>
    </bk>
    <bk>
      <rc t="2" v="14625"/>
    </bk>
    <bk>
      <rc t="2" v="14626"/>
    </bk>
    <bk>
      <rc t="2" v="14627"/>
    </bk>
    <bk>
      <rc t="2" v="14628"/>
    </bk>
    <bk>
      <rc t="2" v="14629"/>
    </bk>
    <bk>
      <rc t="2" v="14630"/>
    </bk>
    <bk>
      <rc t="2" v="14631"/>
    </bk>
    <bk>
      <rc t="2" v="14632"/>
    </bk>
    <bk>
      <rc t="2" v="14633"/>
    </bk>
    <bk>
      <rc t="2" v="14634"/>
    </bk>
    <bk>
      <rc t="2" v="14635"/>
    </bk>
    <bk>
      <rc t="2" v="14636"/>
    </bk>
    <bk>
      <rc t="2" v="14637"/>
    </bk>
    <bk>
      <rc t="2" v="14638"/>
    </bk>
    <bk>
      <rc t="2" v="14639"/>
    </bk>
    <bk>
      <rc t="2" v="14640"/>
    </bk>
    <bk>
      <rc t="2" v="14641"/>
    </bk>
    <bk>
      <rc t="2" v="14642"/>
    </bk>
    <bk>
      <rc t="2" v="14643"/>
    </bk>
    <bk>
      <rc t="2" v="14644"/>
    </bk>
    <bk>
      <rc t="2" v="14645"/>
    </bk>
    <bk>
      <rc t="2" v="14646"/>
    </bk>
    <bk>
      <rc t="2" v="14647"/>
    </bk>
    <bk>
      <rc t="2" v="14648"/>
    </bk>
    <bk>
      <rc t="2" v="14649"/>
    </bk>
    <bk>
      <rc t="2" v="14650"/>
    </bk>
    <bk>
      <rc t="2" v="14651"/>
    </bk>
    <bk>
      <rc t="2" v="14652"/>
    </bk>
    <bk>
      <rc t="2" v="14653"/>
    </bk>
    <bk>
      <rc t="2" v="14654"/>
    </bk>
    <bk>
      <rc t="2" v="14655"/>
    </bk>
    <bk>
      <rc t="2" v="14656"/>
    </bk>
    <bk>
      <rc t="2" v="14657"/>
    </bk>
    <bk>
      <rc t="2" v="14658"/>
    </bk>
    <bk>
      <rc t="2" v="14659"/>
    </bk>
    <bk>
      <rc t="2" v="14660"/>
    </bk>
    <bk>
      <rc t="2" v="14661"/>
    </bk>
    <bk>
      <rc t="2" v="14662"/>
    </bk>
    <bk>
      <rc t="2" v="14663"/>
    </bk>
    <bk>
      <rc t="2" v="14664"/>
    </bk>
    <bk>
      <rc t="2" v="14665"/>
    </bk>
    <bk>
      <rc t="2" v="14666"/>
    </bk>
    <bk>
      <rc t="2" v="14667"/>
    </bk>
    <bk>
      <rc t="2" v="14668"/>
    </bk>
    <bk>
      <rc t="2" v="14669"/>
    </bk>
    <bk>
      <rc t="2" v="14670"/>
    </bk>
    <bk>
      <rc t="2" v="14671"/>
    </bk>
    <bk>
      <rc t="2" v="14672"/>
    </bk>
    <bk>
      <rc t="2" v="14673"/>
    </bk>
    <bk>
      <rc t="2" v="14674"/>
    </bk>
    <bk>
      <rc t="2" v="14675"/>
    </bk>
    <bk>
      <rc t="2" v="14676"/>
    </bk>
    <bk>
      <rc t="2" v="14677"/>
    </bk>
    <bk>
      <rc t="2" v="14678"/>
    </bk>
    <bk>
      <rc t="2" v="14679"/>
    </bk>
    <bk>
      <rc t="2" v="14680"/>
    </bk>
    <bk>
      <rc t="2" v="14681"/>
    </bk>
    <bk>
      <rc t="2" v="14682"/>
    </bk>
    <bk>
      <rc t="2" v="14683"/>
    </bk>
    <bk>
      <rc t="2" v="14684"/>
    </bk>
    <bk>
      <rc t="2" v="14685"/>
    </bk>
    <bk>
      <rc t="2" v="14686"/>
    </bk>
    <bk>
      <rc t="2" v="14687"/>
    </bk>
    <bk>
      <rc t="2" v="14688"/>
    </bk>
    <bk>
      <rc t="2" v="14689"/>
    </bk>
    <bk>
      <rc t="2" v="14690"/>
    </bk>
    <bk>
      <rc t="2" v="14691"/>
    </bk>
    <bk>
      <rc t="2" v="14692"/>
    </bk>
    <bk>
      <rc t="2" v="14693"/>
    </bk>
    <bk>
      <rc t="2" v="14694"/>
    </bk>
    <bk>
      <rc t="2" v="14695"/>
    </bk>
    <bk>
      <rc t="2" v="14696"/>
    </bk>
    <bk>
      <rc t="2" v="14697"/>
    </bk>
    <bk>
      <rc t="2" v="14698"/>
    </bk>
    <bk>
      <rc t="2" v="14699"/>
    </bk>
    <bk>
      <rc t="2" v="14700"/>
    </bk>
    <bk>
      <rc t="2" v="14701"/>
    </bk>
    <bk>
      <rc t="2" v="14702"/>
    </bk>
    <bk>
      <rc t="2" v="14703"/>
    </bk>
    <bk>
      <rc t="2" v="14704"/>
    </bk>
    <bk>
      <rc t="2" v="14705"/>
    </bk>
    <bk>
      <rc t="2" v="14706"/>
    </bk>
    <bk>
      <rc t="2" v="14707"/>
    </bk>
    <bk>
      <rc t="2" v="14708"/>
    </bk>
    <bk>
      <rc t="2" v="14709"/>
    </bk>
    <bk>
      <rc t="2" v="14710"/>
    </bk>
    <bk>
      <rc t="2" v="14711"/>
    </bk>
    <bk>
      <rc t="2" v="14712"/>
    </bk>
    <bk>
      <rc t="2" v="14713"/>
    </bk>
    <bk>
      <rc t="2" v="14714"/>
    </bk>
    <bk>
      <rc t="2" v="14715"/>
    </bk>
    <bk>
      <rc t="2" v="14716"/>
    </bk>
    <bk>
      <rc t="2" v="14717"/>
    </bk>
    <bk>
      <rc t="2" v="14718"/>
    </bk>
    <bk>
      <rc t="2" v="14719"/>
    </bk>
    <bk>
      <rc t="2" v="14720"/>
    </bk>
    <bk>
      <rc t="2" v="14721"/>
    </bk>
    <bk>
      <rc t="2" v="14722"/>
    </bk>
    <bk>
      <rc t="2" v="14723"/>
    </bk>
    <bk>
      <rc t="2" v="14724"/>
    </bk>
    <bk>
      <rc t="2" v="14725"/>
    </bk>
    <bk>
      <rc t="2" v="14726"/>
    </bk>
    <bk>
      <rc t="2" v="14727"/>
    </bk>
    <bk>
      <rc t="2" v="14728"/>
    </bk>
    <bk>
      <rc t="2" v="14729"/>
    </bk>
    <bk>
      <rc t="2" v="14730"/>
    </bk>
    <bk>
      <rc t="2" v="14731"/>
    </bk>
    <bk>
      <rc t="2" v="14732"/>
    </bk>
    <bk>
      <rc t="2" v="14733"/>
    </bk>
    <bk>
      <rc t="2" v="14734"/>
    </bk>
    <bk>
      <rc t="2" v="14735"/>
    </bk>
    <bk>
      <rc t="2" v="14736"/>
    </bk>
    <bk>
      <rc t="2" v="14737"/>
    </bk>
    <bk>
      <rc t="2" v="14738"/>
    </bk>
    <bk>
      <rc t="2" v="14739"/>
    </bk>
    <bk>
      <rc t="2" v="14740"/>
    </bk>
    <bk>
      <rc t="2" v="14741"/>
    </bk>
    <bk>
      <rc t="2" v="14742"/>
    </bk>
    <bk>
      <rc t="2" v="14743"/>
    </bk>
    <bk>
      <rc t="2" v="14744"/>
    </bk>
    <bk>
      <rc t="2" v="14745"/>
    </bk>
    <bk>
      <rc t="2" v="14746"/>
    </bk>
    <bk>
      <rc t="2" v="14747"/>
    </bk>
    <bk>
      <rc t="2" v="14748"/>
    </bk>
    <bk>
      <rc t="2" v="14749"/>
    </bk>
    <bk>
      <rc t="2" v="14750"/>
    </bk>
    <bk>
      <rc t="2" v="14751"/>
    </bk>
    <bk>
      <rc t="2" v="14752"/>
    </bk>
    <bk>
      <rc t="2" v="14753"/>
    </bk>
    <bk>
      <rc t="2" v="14754"/>
    </bk>
    <bk>
      <rc t="2" v="14755"/>
    </bk>
    <bk>
      <rc t="2" v="14756"/>
    </bk>
    <bk>
      <rc t="2" v="14757"/>
    </bk>
    <bk>
      <rc t="2" v="14758"/>
    </bk>
    <bk>
      <rc t="2" v="14759"/>
    </bk>
    <bk>
      <rc t="2" v="14760"/>
    </bk>
    <bk>
      <rc t="2" v="14761"/>
    </bk>
    <bk>
      <rc t="2" v="14762"/>
    </bk>
    <bk>
      <rc t="2" v="14763"/>
    </bk>
    <bk>
      <rc t="2" v="14764"/>
    </bk>
    <bk>
      <rc t="2" v="14765"/>
    </bk>
    <bk>
      <rc t="2" v="14766"/>
    </bk>
    <bk>
      <rc t="2" v="14767"/>
    </bk>
    <bk>
      <rc t="2" v="14768"/>
    </bk>
    <bk>
      <rc t="2" v="14769"/>
    </bk>
    <bk>
      <rc t="2" v="14770"/>
    </bk>
    <bk>
      <rc t="2" v="14771"/>
    </bk>
    <bk>
      <rc t="2" v="14772"/>
    </bk>
    <bk>
      <rc t="2" v="14773"/>
    </bk>
    <bk>
      <rc t="2" v="14774"/>
    </bk>
    <bk>
      <rc t="2" v="14775"/>
    </bk>
    <bk>
      <rc t="2" v="14776"/>
    </bk>
    <bk>
      <rc t="2" v="14777"/>
    </bk>
    <bk>
      <rc t="2" v="14778"/>
    </bk>
    <bk>
      <rc t="2" v="14779"/>
    </bk>
    <bk>
      <rc t="2" v="14780"/>
    </bk>
    <bk>
      <rc t="2" v="14781"/>
    </bk>
    <bk>
      <rc t="2" v="14782"/>
    </bk>
    <bk>
      <rc t="2" v="14783"/>
    </bk>
    <bk>
      <rc t="2" v="14784"/>
    </bk>
    <bk>
      <rc t="2" v="14785"/>
    </bk>
    <bk>
      <rc t="2" v="14786"/>
    </bk>
    <bk>
      <rc t="2" v="14787"/>
    </bk>
    <bk>
      <rc t="2" v="14788"/>
    </bk>
    <bk>
      <rc t="2" v="14789"/>
    </bk>
    <bk>
      <rc t="2" v="14790"/>
    </bk>
    <bk>
      <rc t="2" v="14791"/>
    </bk>
    <bk>
      <rc t="2" v="14792"/>
    </bk>
    <bk>
      <rc t="2" v="14793"/>
    </bk>
    <bk>
      <rc t="2" v="14794"/>
    </bk>
    <bk>
      <rc t="2" v="14795"/>
    </bk>
    <bk>
      <rc t="2" v="14796"/>
    </bk>
    <bk>
      <rc t="2" v="14797"/>
    </bk>
    <bk>
      <rc t="2" v="14798"/>
    </bk>
    <bk>
      <rc t="2" v="14799"/>
    </bk>
    <bk>
      <rc t="2" v="14800"/>
    </bk>
    <bk>
      <rc t="2" v="14801"/>
    </bk>
    <bk>
      <rc t="2" v="14802"/>
    </bk>
    <bk>
      <rc t="2" v="14803"/>
    </bk>
    <bk>
      <rc t="2" v="14804"/>
    </bk>
    <bk>
      <rc t="2" v="14805"/>
    </bk>
    <bk>
      <rc t="2" v="14806"/>
    </bk>
    <bk>
      <rc t="2" v="14807"/>
    </bk>
    <bk>
      <rc t="2" v="14808"/>
    </bk>
    <bk>
      <rc t="2" v="14809"/>
    </bk>
    <bk>
      <rc t="2" v="14810"/>
    </bk>
    <bk>
      <rc t="2" v="14811"/>
    </bk>
    <bk>
      <rc t="2" v="14812"/>
    </bk>
    <bk>
      <rc t="2" v="14813"/>
    </bk>
    <bk>
      <rc t="2" v="14814"/>
    </bk>
    <bk>
      <rc t="2" v="14815"/>
    </bk>
    <bk>
      <rc t="2" v="14816"/>
    </bk>
    <bk>
      <rc t="2" v="14817"/>
    </bk>
    <bk>
      <rc t="2" v="14818"/>
    </bk>
    <bk>
      <rc t="2" v="14819"/>
    </bk>
    <bk>
      <rc t="2" v="14820"/>
    </bk>
    <bk>
      <rc t="2" v="14821"/>
    </bk>
    <bk>
      <rc t="2" v="14822"/>
    </bk>
    <bk>
      <rc t="2" v="14823"/>
    </bk>
    <bk>
      <rc t="2" v="14824"/>
    </bk>
    <bk>
      <rc t="2" v="14825"/>
    </bk>
    <bk>
      <rc t="2" v="14826"/>
    </bk>
    <bk>
      <rc t="2" v="14827"/>
    </bk>
    <bk>
      <rc t="2" v="14828"/>
    </bk>
    <bk>
      <rc t="2" v="14829"/>
    </bk>
    <bk>
      <rc t="2" v="14830"/>
    </bk>
    <bk>
      <rc t="2" v="14831"/>
    </bk>
    <bk>
      <rc t="2" v="14832"/>
    </bk>
    <bk>
      <rc t="2" v="14833"/>
    </bk>
    <bk>
      <rc t="2" v="14834"/>
    </bk>
    <bk>
      <rc t="2" v="14835"/>
    </bk>
    <bk>
      <rc t="2" v="14836"/>
    </bk>
    <bk>
      <rc t="2" v="14837"/>
    </bk>
    <bk>
      <rc t="2" v="14838"/>
    </bk>
    <bk>
      <rc t="2" v="14839"/>
    </bk>
    <bk>
      <rc t="2" v="14840"/>
    </bk>
    <bk>
      <rc t="2" v="14841"/>
    </bk>
    <bk>
      <rc t="2" v="14842"/>
    </bk>
    <bk>
      <rc t="2" v="14843"/>
    </bk>
    <bk>
      <rc t="2" v="14844"/>
    </bk>
    <bk>
      <rc t="2" v="14845"/>
    </bk>
    <bk>
      <rc t="2" v="14846"/>
    </bk>
    <bk>
      <rc t="2" v="14847"/>
    </bk>
    <bk>
      <rc t="2" v="14848"/>
    </bk>
    <bk>
      <rc t="2" v="14849"/>
    </bk>
    <bk>
      <rc t="2" v="14850"/>
    </bk>
    <bk>
      <rc t="2" v="14851"/>
    </bk>
    <bk>
      <rc t="2" v="14852"/>
    </bk>
    <bk>
      <rc t="2" v="14853"/>
    </bk>
    <bk>
      <rc t="2" v="14854"/>
    </bk>
    <bk>
      <rc t="2" v="14855"/>
    </bk>
    <bk>
      <rc t="2" v="14856"/>
    </bk>
    <bk>
      <rc t="2" v="14857"/>
    </bk>
    <bk>
      <rc t="2" v="14858"/>
    </bk>
    <bk>
      <rc t="2" v="14859"/>
    </bk>
    <bk>
      <rc t="2" v="14860"/>
    </bk>
    <bk>
      <rc t="2" v="14861"/>
    </bk>
    <bk>
      <rc t="2" v="14862"/>
    </bk>
    <bk>
      <rc t="2" v="14863"/>
    </bk>
    <bk>
      <rc t="2" v="14864"/>
    </bk>
    <bk>
      <rc t="2" v="14865"/>
    </bk>
    <bk>
      <rc t="2" v="14866"/>
    </bk>
    <bk>
      <rc t="2" v="14867"/>
    </bk>
    <bk>
      <rc t="2" v="14868"/>
    </bk>
    <bk>
      <rc t="2" v="14869"/>
    </bk>
    <bk>
      <rc t="2" v="14870"/>
    </bk>
    <bk>
      <rc t="2" v="14871"/>
    </bk>
    <bk>
      <rc t="2" v="14872"/>
    </bk>
    <bk>
      <rc t="2" v="14873"/>
    </bk>
    <bk>
      <rc t="2" v="14874"/>
    </bk>
    <bk>
      <rc t="2" v="14875"/>
    </bk>
    <bk>
      <rc t="2" v="14876"/>
    </bk>
    <bk>
      <rc t="2" v="14877"/>
    </bk>
    <bk>
      <rc t="2" v="14878"/>
    </bk>
    <bk>
      <rc t="2" v="14879"/>
    </bk>
    <bk>
      <rc t="2" v="14880"/>
    </bk>
    <bk>
      <rc t="2" v="14881"/>
    </bk>
    <bk>
      <rc t="2" v="14882"/>
    </bk>
    <bk>
      <rc t="2" v="14883"/>
    </bk>
    <bk>
      <rc t="2" v="14884"/>
    </bk>
    <bk>
      <rc t="2" v="14885"/>
    </bk>
    <bk>
      <rc t="2" v="14886"/>
    </bk>
    <bk>
      <rc t="2" v="14887"/>
    </bk>
    <bk>
      <rc t="2" v="14888"/>
    </bk>
    <bk>
      <rc t="2" v="14889"/>
    </bk>
    <bk>
      <rc t="2" v="14890"/>
    </bk>
    <bk>
      <rc t="2" v="14891"/>
    </bk>
    <bk>
      <rc t="2" v="14892"/>
    </bk>
    <bk>
      <rc t="2" v="14893"/>
    </bk>
    <bk>
      <rc t="2" v="14894"/>
    </bk>
    <bk>
      <rc t="2" v="14895"/>
    </bk>
    <bk>
      <rc t="2" v="14896"/>
    </bk>
    <bk>
      <rc t="2" v="14897"/>
    </bk>
    <bk>
      <rc t="2" v="14898"/>
    </bk>
    <bk>
      <rc t="2" v="14899"/>
    </bk>
    <bk>
      <rc t="2" v="14900"/>
    </bk>
    <bk>
      <rc t="2" v="14901"/>
    </bk>
    <bk>
      <rc t="2" v="14902"/>
    </bk>
    <bk>
      <rc t="2" v="14903"/>
    </bk>
    <bk>
      <rc t="2" v="14904"/>
    </bk>
    <bk>
      <rc t="2" v="14905"/>
    </bk>
    <bk>
      <rc t="2" v="14906"/>
    </bk>
    <bk>
      <rc t="2" v="14907"/>
    </bk>
    <bk>
      <rc t="2" v="14908"/>
    </bk>
    <bk>
      <rc t="2" v="14909"/>
    </bk>
    <bk>
      <rc t="2" v="14910"/>
    </bk>
    <bk>
      <rc t="2" v="14911"/>
    </bk>
    <bk>
      <rc t="2" v="14912"/>
    </bk>
    <bk>
      <rc t="2" v="14913"/>
    </bk>
    <bk>
      <rc t="2" v="14914"/>
    </bk>
    <bk>
      <rc t="2" v="14915"/>
    </bk>
    <bk>
      <rc t="2" v="14916"/>
    </bk>
    <bk>
      <rc t="2" v="14917"/>
    </bk>
    <bk>
      <rc t="2" v="14918"/>
    </bk>
    <bk>
      <rc t="2" v="14919"/>
    </bk>
    <bk>
      <rc t="2" v="14920"/>
    </bk>
    <bk>
      <rc t="2" v="14921"/>
    </bk>
    <bk>
      <rc t="2" v="14922"/>
    </bk>
    <bk>
      <rc t="2" v="14923"/>
    </bk>
    <bk>
      <rc t="2" v="14924"/>
    </bk>
    <bk>
      <rc t="2" v="14925"/>
    </bk>
    <bk>
      <rc t="2" v="14926"/>
    </bk>
    <bk>
      <rc t="2" v="14927"/>
    </bk>
    <bk>
      <rc t="2" v="14928"/>
    </bk>
    <bk>
      <rc t="2" v="14929"/>
    </bk>
    <bk>
      <rc t="2" v="14930"/>
    </bk>
    <bk>
      <rc t="2" v="14931"/>
    </bk>
    <bk>
      <rc t="2" v="14932"/>
    </bk>
    <bk>
      <rc t="2" v="14933"/>
    </bk>
    <bk>
      <rc t="2" v="14934"/>
    </bk>
    <bk>
      <rc t="2" v="14935"/>
    </bk>
    <bk>
      <rc t="2" v="14936"/>
    </bk>
    <bk>
      <rc t="2" v="14937"/>
    </bk>
    <bk>
      <rc t="2" v="14938"/>
    </bk>
    <bk>
      <rc t="2" v="14939"/>
    </bk>
    <bk>
      <rc t="2" v="14940"/>
    </bk>
    <bk>
      <rc t="2" v="14941"/>
    </bk>
    <bk>
      <rc t="2" v="14942"/>
    </bk>
    <bk>
      <rc t="2" v="14943"/>
    </bk>
    <bk>
      <rc t="2" v="14944"/>
    </bk>
    <bk>
      <rc t="2" v="14945"/>
    </bk>
    <bk>
      <rc t="2" v="14946"/>
    </bk>
    <bk>
      <rc t="2" v="14947"/>
    </bk>
    <bk>
      <rc t="2" v="14948"/>
    </bk>
    <bk>
      <rc t="2" v="14949"/>
    </bk>
    <bk>
      <rc t="2" v="14950"/>
    </bk>
    <bk>
      <rc t="2" v="14951"/>
    </bk>
    <bk>
      <rc t="2" v="14952"/>
    </bk>
    <bk>
      <rc t="2" v="14953"/>
    </bk>
    <bk>
      <rc t="2" v="14954"/>
    </bk>
    <bk>
      <rc t="2" v="14955"/>
    </bk>
    <bk>
      <rc t="2" v="14956"/>
    </bk>
    <bk>
      <rc t="2" v="14957"/>
    </bk>
    <bk>
      <rc t="2" v="14958"/>
    </bk>
    <bk>
      <rc t="2" v="14959"/>
    </bk>
    <bk>
      <rc t="2" v="14960"/>
    </bk>
    <bk>
      <rc t="2" v="14961"/>
    </bk>
    <bk>
      <rc t="2" v="14962"/>
    </bk>
    <bk>
      <rc t="2" v="14963"/>
    </bk>
    <bk>
      <rc t="2" v="14964"/>
    </bk>
    <bk>
      <rc t="2" v="14965"/>
    </bk>
    <bk>
      <rc t="2" v="14966"/>
    </bk>
    <bk>
      <rc t="2" v="14967"/>
    </bk>
    <bk>
      <rc t="2" v="14968"/>
    </bk>
    <bk>
      <rc t="2" v="14969"/>
    </bk>
    <bk>
      <rc t="2" v="14970"/>
    </bk>
    <bk>
      <rc t="2" v="14971"/>
    </bk>
    <bk>
      <rc t="2" v="14972"/>
    </bk>
    <bk>
      <rc t="2" v="14973"/>
    </bk>
    <bk>
      <rc t="2" v="14974"/>
    </bk>
    <bk>
      <rc t="2" v="14975"/>
    </bk>
    <bk>
      <rc t="2" v="14976"/>
    </bk>
    <bk>
      <rc t="2" v="14977"/>
    </bk>
    <bk>
      <rc t="2" v="14978"/>
    </bk>
    <bk>
      <rc t="2" v="14979"/>
    </bk>
    <bk>
      <rc t="2" v="14980"/>
    </bk>
    <bk>
      <rc t="2" v="14981"/>
    </bk>
    <bk>
      <rc t="2" v="14982"/>
    </bk>
    <bk>
      <rc t="2" v="14983"/>
    </bk>
    <bk>
      <rc t="2" v="14984"/>
    </bk>
    <bk>
      <rc t="2" v="14985"/>
    </bk>
    <bk>
      <rc t="2" v="14986"/>
    </bk>
    <bk>
      <rc t="2" v="14987"/>
    </bk>
    <bk>
      <rc t="2" v="14988"/>
    </bk>
    <bk>
      <rc t="2" v="14989"/>
    </bk>
    <bk>
      <rc t="2" v="14990"/>
    </bk>
    <bk>
      <rc t="2" v="14991"/>
    </bk>
    <bk>
      <rc t="2" v="14992"/>
    </bk>
    <bk>
      <rc t="2" v="14993"/>
    </bk>
    <bk>
      <rc t="2" v="14994"/>
    </bk>
    <bk>
      <rc t="2" v="14995"/>
    </bk>
    <bk>
      <rc t="2" v="14996"/>
    </bk>
    <bk>
      <rc t="2" v="14997"/>
    </bk>
    <bk>
      <rc t="2" v="14998"/>
    </bk>
    <bk>
      <rc t="2" v="14999"/>
    </bk>
    <bk>
      <rc t="2" v="15000"/>
    </bk>
    <bk>
      <rc t="2" v="15001"/>
    </bk>
    <bk>
      <rc t="2" v="15002"/>
    </bk>
    <bk>
      <rc t="2" v="15003"/>
    </bk>
    <bk>
      <rc t="2" v="15004"/>
    </bk>
    <bk>
      <rc t="2" v="15005"/>
    </bk>
    <bk>
      <rc t="2" v="15006"/>
    </bk>
    <bk>
      <rc t="2" v="15007"/>
    </bk>
    <bk>
      <rc t="2" v="15008"/>
    </bk>
    <bk>
      <rc t="2" v="15009"/>
    </bk>
    <bk>
      <rc t="2" v="15010"/>
    </bk>
    <bk>
      <rc t="2" v="15011"/>
    </bk>
    <bk>
      <rc t="2" v="15012"/>
    </bk>
    <bk>
      <rc t="2" v="15013"/>
    </bk>
    <bk>
      <rc t="2" v="15014"/>
    </bk>
    <bk>
      <rc t="2" v="15015"/>
    </bk>
    <bk>
      <rc t="2" v="15016"/>
    </bk>
    <bk>
      <rc t="2" v="15017"/>
    </bk>
    <bk>
      <rc t="2" v="15018"/>
    </bk>
    <bk>
      <rc t="2" v="15019"/>
    </bk>
    <bk>
      <rc t="2" v="15020"/>
    </bk>
    <bk>
      <rc t="2" v="15021"/>
    </bk>
    <bk>
      <rc t="2" v="15022"/>
    </bk>
    <bk>
      <rc t="2" v="15023"/>
    </bk>
    <bk>
      <rc t="2" v="15024"/>
    </bk>
    <bk>
      <rc t="2" v="15025"/>
    </bk>
    <bk>
      <rc t="2" v="15026"/>
    </bk>
    <bk>
      <rc t="2" v="15027"/>
    </bk>
    <bk>
      <rc t="2" v="15028"/>
    </bk>
    <bk>
      <rc t="2" v="15029"/>
    </bk>
    <bk>
      <rc t="2" v="15030"/>
    </bk>
    <bk>
      <rc t="2" v="15031"/>
    </bk>
    <bk>
      <rc t="2" v="15032"/>
    </bk>
    <bk>
      <rc t="2" v="15033"/>
    </bk>
    <bk>
      <rc t="2" v="15034"/>
    </bk>
    <bk>
      <rc t="2" v="15035"/>
    </bk>
    <bk>
      <rc t="2" v="15036"/>
    </bk>
    <bk>
      <rc t="2" v="15037"/>
    </bk>
    <bk>
      <rc t="2" v="15038"/>
    </bk>
    <bk>
      <rc t="2" v="15039"/>
    </bk>
    <bk>
      <rc t="2" v="15040"/>
    </bk>
    <bk>
      <rc t="2" v="15041"/>
    </bk>
    <bk>
      <rc t="2" v="15042"/>
    </bk>
    <bk>
      <rc t="2" v="15043"/>
    </bk>
    <bk>
      <rc t="2" v="15044"/>
    </bk>
    <bk>
      <rc t="2" v="15045"/>
    </bk>
    <bk>
      <rc t="2" v="15046"/>
    </bk>
    <bk>
      <rc t="2" v="15047"/>
    </bk>
    <bk>
      <rc t="2" v="15048"/>
    </bk>
    <bk>
      <rc t="2" v="15049"/>
    </bk>
    <bk>
      <rc t="2" v="15050"/>
    </bk>
    <bk>
      <rc t="2" v="15051"/>
    </bk>
    <bk>
      <rc t="2" v="15052"/>
    </bk>
    <bk>
      <rc t="2" v="15053"/>
    </bk>
    <bk>
      <rc t="2" v="15054"/>
    </bk>
    <bk>
      <rc t="2" v="15055"/>
    </bk>
    <bk>
      <rc t="2" v="15056"/>
    </bk>
    <bk>
      <rc t="2" v="15057"/>
    </bk>
    <bk>
      <rc t="2" v="15058"/>
    </bk>
    <bk>
      <rc t="2" v="15059"/>
    </bk>
    <bk>
      <rc t="2" v="15060"/>
    </bk>
    <bk>
      <rc t="2" v="15061"/>
    </bk>
    <bk>
      <rc t="2" v="15062"/>
    </bk>
    <bk>
      <rc t="2" v="15063"/>
    </bk>
    <bk>
      <rc t="2" v="15064"/>
    </bk>
    <bk>
      <rc t="2" v="15065"/>
    </bk>
    <bk>
      <rc t="2" v="15066"/>
    </bk>
    <bk>
      <rc t="2" v="15067"/>
    </bk>
    <bk>
      <rc t="2" v="15068"/>
    </bk>
    <bk>
      <rc t="2" v="15069"/>
    </bk>
    <bk>
      <rc t="2" v="15070"/>
    </bk>
    <bk>
      <rc t="2" v="15071"/>
    </bk>
    <bk>
      <rc t="2" v="15072"/>
    </bk>
    <bk>
      <rc t="2" v="15073"/>
    </bk>
    <bk>
      <rc t="2" v="15074"/>
    </bk>
    <bk>
      <rc t="2" v="15075"/>
    </bk>
    <bk>
      <rc t="2" v="15076"/>
    </bk>
    <bk>
      <rc t="2" v="15077"/>
    </bk>
    <bk>
      <rc t="2" v="15078"/>
    </bk>
    <bk>
      <rc t="2" v="15079"/>
    </bk>
    <bk>
      <rc t="2" v="15080"/>
    </bk>
    <bk>
      <rc t="2" v="15081"/>
    </bk>
    <bk>
      <rc t="2" v="15082"/>
    </bk>
    <bk>
      <rc t="2" v="15083"/>
    </bk>
    <bk>
      <rc t="2" v="15084"/>
    </bk>
    <bk>
      <rc t="2" v="15085"/>
    </bk>
    <bk>
      <rc t="2" v="15086"/>
    </bk>
    <bk>
      <rc t="2" v="15087"/>
    </bk>
    <bk>
      <rc t="2" v="15088"/>
    </bk>
    <bk>
      <rc t="2" v="15089"/>
    </bk>
    <bk>
      <rc t="2" v="15090"/>
    </bk>
    <bk>
      <rc t="2" v="15091"/>
    </bk>
    <bk>
      <rc t="2" v="15092"/>
    </bk>
    <bk>
      <rc t="2" v="15093"/>
    </bk>
    <bk>
      <rc t="2" v="15094"/>
    </bk>
    <bk>
      <rc t="2" v="15095"/>
    </bk>
    <bk>
      <rc t="2" v="15096"/>
    </bk>
    <bk>
      <rc t="2" v="15097"/>
    </bk>
    <bk>
      <rc t="2" v="15098"/>
    </bk>
    <bk>
      <rc t="2" v="15099"/>
    </bk>
    <bk>
      <rc t="2" v="15100"/>
    </bk>
    <bk>
      <rc t="2" v="15101"/>
    </bk>
    <bk>
      <rc t="2" v="15102"/>
    </bk>
    <bk>
      <rc t="2" v="15103"/>
    </bk>
    <bk>
      <rc t="2" v="15104"/>
    </bk>
    <bk>
      <rc t="2" v="15105"/>
    </bk>
    <bk>
      <rc t="2" v="15106"/>
    </bk>
    <bk>
      <rc t="2" v="15107"/>
    </bk>
    <bk>
      <rc t="2" v="15108"/>
    </bk>
    <bk>
      <rc t="2" v="15109"/>
    </bk>
    <bk>
      <rc t="2" v="15110"/>
    </bk>
    <bk>
      <rc t="2" v="15111"/>
    </bk>
    <bk>
      <rc t="2" v="15112"/>
    </bk>
    <bk>
      <rc t="2" v="15113"/>
    </bk>
    <bk>
      <rc t="2" v="15114"/>
    </bk>
    <bk>
      <rc t="2" v="15115"/>
    </bk>
    <bk>
      <rc t="2" v="15116"/>
    </bk>
    <bk>
      <rc t="2" v="15117"/>
    </bk>
    <bk>
      <rc t="2" v="15118"/>
    </bk>
    <bk>
      <rc t="2" v="15119"/>
    </bk>
    <bk>
      <rc t="2" v="15120"/>
    </bk>
    <bk>
      <rc t="2" v="15121"/>
    </bk>
    <bk>
      <rc t="2" v="15122"/>
    </bk>
    <bk>
      <rc t="2" v="15123"/>
    </bk>
    <bk>
      <rc t="2" v="15124"/>
    </bk>
    <bk>
      <rc t="2" v="15125"/>
    </bk>
    <bk>
      <rc t="2" v="15126"/>
    </bk>
    <bk>
      <rc t="2" v="15127"/>
    </bk>
    <bk>
      <rc t="2" v="15128"/>
    </bk>
    <bk>
      <rc t="2" v="15129"/>
    </bk>
    <bk>
      <rc t="2" v="15130"/>
    </bk>
    <bk>
      <rc t="2" v="15131"/>
    </bk>
    <bk>
      <rc t="2" v="15132"/>
    </bk>
    <bk>
      <rc t="2" v="15133"/>
    </bk>
    <bk>
      <rc t="2" v="15134"/>
    </bk>
    <bk>
      <rc t="2" v="15135"/>
    </bk>
    <bk>
      <rc t="2" v="15136"/>
    </bk>
    <bk>
      <rc t="2" v="15137"/>
    </bk>
    <bk>
      <rc t="2" v="15138"/>
    </bk>
    <bk>
      <rc t="2" v="15139"/>
    </bk>
    <bk>
      <rc t="2" v="15140"/>
    </bk>
    <bk>
      <rc t="2" v="15141"/>
    </bk>
    <bk>
      <rc t="2" v="15142"/>
    </bk>
    <bk>
      <rc t="2" v="15143"/>
    </bk>
    <bk>
      <rc t="2" v="15144"/>
    </bk>
    <bk>
      <rc t="2" v="15145"/>
    </bk>
    <bk>
      <rc t="2" v="15146"/>
    </bk>
    <bk>
      <rc t="2" v="15147"/>
    </bk>
    <bk>
      <rc t="2" v="15148"/>
    </bk>
    <bk>
      <rc t="2" v="15149"/>
    </bk>
    <bk>
      <rc t="2" v="15150"/>
    </bk>
    <bk>
      <rc t="2" v="15151"/>
    </bk>
    <bk>
      <rc t="2" v="15152"/>
    </bk>
    <bk>
      <rc t="2" v="15153"/>
    </bk>
    <bk>
      <rc t="2" v="15154"/>
    </bk>
    <bk>
      <rc t="2" v="15155"/>
    </bk>
    <bk>
      <rc t="2" v="15156"/>
    </bk>
    <bk>
      <rc t="2" v="15157"/>
    </bk>
    <bk>
      <rc t="2" v="15158"/>
    </bk>
    <bk>
      <rc t="2" v="15159"/>
    </bk>
    <bk>
      <rc t="2" v="15160"/>
    </bk>
    <bk>
      <rc t="2" v="15161"/>
    </bk>
    <bk>
      <rc t="2" v="15162"/>
    </bk>
    <bk>
      <rc t="2" v="15163"/>
    </bk>
    <bk>
      <rc t="2" v="15164"/>
    </bk>
    <bk>
      <rc t="2" v="15165"/>
    </bk>
    <bk>
      <rc t="2" v="15166"/>
    </bk>
    <bk>
      <rc t="2" v="15167"/>
    </bk>
    <bk>
      <rc t="2" v="15168"/>
    </bk>
    <bk>
      <rc t="2" v="15169"/>
    </bk>
    <bk>
      <rc t="2" v="15170"/>
    </bk>
    <bk>
      <rc t="2" v="15171"/>
    </bk>
    <bk>
      <rc t="2" v="15172"/>
    </bk>
    <bk>
      <rc t="2" v="15173"/>
    </bk>
    <bk>
      <rc t="2" v="15174"/>
    </bk>
    <bk>
      <rc t="2" v="15175"/>
    </bk>
    <bk>
      <rc t="2" v="15176"/>
    </bk>
    <bk>
      <rc t="2" v="15177"/>
    </bk>
    <bk>
      <rc t="2" v="15178"/>
    </bk>
    <bk>
      <rc t="2" v="15179"/>
    </bk>
    <bk>
      <rc t="2" v="15180"/>
    </bk>
    <bk>
      <rc t="2" v="15181"/>
    </bk>
    <bk>
      <rc t="2" v="15182"/>
    </bk>
    <bk>
      <rc t="2" v="15183"/>
    </bk>
    <bk>
      <rc t="2" v="15184"/>
    </bk>
    <bk>
      <rc t="2" v="15185"/>
    </bk>
    <bk>
      <rc t="2" v="15186"/>
    </bk>
    <bk>
      <rc t="2" v="15187"/>
    </bk>
    <bk>
      <rc t="2" v="15188"/>
    </bk>
    <bk>
      <rc t="2" v="15189"/>
    </bk>
    <bk>
      <rc t="2" v="15190"/>
    </bk>
    <bk>
      <rc t="2" v="15191"/>
    </bk>
    <bk>
      <rc t="2" v="15192"/>
    </bk>
    <bk>
      <rc t="2" v="15193"/>
    </bk>
    <bk>
      <rc t="2" v="15194"/>
    </bk>
    <bk>
      <rc t="2" v="15195"/>
    </bk>
    <bk>
      <rc t="2" v="15196"/>
    </bk>
    <bk>
      <rc t="2" v="15197"/>
    </bk>
    <bk>
      <rc t="2" v="15198"/>
    </bk>
    <bk>
      <rc t="2" v="15199"/>
    </bk>
    <bk>
      <rc t="2" v="15200"/>
    </bk>
    <bk>
      <rc t="2" v="15201"/>
    </bk>
    <bk>
      <rc t="2" v="15202"/>
    </bk>
    <bk>
      <rc t="2" v="15203"/>
    </bk>
    <bk>
      <rc t="2" v="15204"/>
    </bk>
    <bk>
      <rc t="2" v="15205"/>
    </bk>
    <bk>
      <rc t="2" v="15206"/>
    </bk>
    <bk>
      <rc t="2" v="15207"/>
    </bk>
    <bk>
      <rc t="2" v="15208"/>
    </bk>
    <bk>
      <rc t="2" v="15209"/>
    </bk>
    <bk>
      <rc t="2" v="15210"/>
    </bk>
    <bk>
      <rc t="2" v="15211"/>
    </bk>
    <bk>
      <rc t="2" v="15212"/>
    </bk>
    <bk>
      <rc t="2" v="15213"/>
    </bk>
    <bk>
      <rc t="2" v="15214"/>
    </bk>
    <bk>
      <rc t="2" v="15215"/>
    </bk>
    <bk>
      <rc t="2" v="15216"/>
    </bk>
    <bk>
      <rc t="2" v="15217"/>
    </bk>
    <bk>
      <rc t="2" v="15218"/>
    </bk>
    <bk>
      <rc t="2" v="15219"/>
    </bk>
    <bk>
      <rc t="2" v="15220"/>
    </bk>
    <bk>
      <rc t="2" v="15221"/>
    </bk>
    <bk>
      <rc t="2" v="15222"/>
    </bk>
    <bk>
      <rc t="2" v="15223"/>
    </bk>
    <bk>
      <rc t="2" v="15224"/>
    </bk>
    <bk>
      <rc t="2" v="15225"/>
    </bk>
    <bk>
      <rc t="2" v="15226"/>
    </bk>
    <bk>
      <rc t="2" v="15227"/>
    </bk>
    <bk>
      <rc t="2" v="15228"/>
    </bk>
    <bk>
      <rc t="2" v="15229"/>
    </bk>
    <bk>
      <rc t="2" v="15230"/>
    </bk>
    <bk>
      <rc t="2" v="15231"/>
    </bk>
    <bk>
      <rc t="2" v="15232"/>
    </bk>
    <bk>
      <rc t="2" v="15233"/>
    </bk>
    <bk>
      <rc t="2" v="15234"/>
    </bk>
    <bk>
      <rc t="2" v="15235"/>
    </bk>
    <bk>
      <rc t="2" v="15236"/>
    </bk>
    <bk>
      <rc t="2" v="15237"/>
    </bk>
    <bk>
      <rc t="2" v="15238"/>
    </bk>
    <bk>
      <rc t="2" v="15239"/>
    </bk>
    <bk>
      <rc t="2" v="15240"/>
    </bk>
    <bk>
      <rc t="2" v="15241"/>
    </bk>
    <bk>
      <rc t="2" v="15242"/>
    </bk>
    <bk>
      <rc t="2" v="15243"/>
    </bk>
    <bk>
      <rc t="2" v="15244"/>
    </bk>
    <bk>
      <rc t="2" v="15245"/>
    </bk>
    <bk>
      <rc t="2" v="15246"/>
    </bk>
    <bk>
      <rc t="2" v="15247"/>
    </bk>
    <bk>
      <rc t="2" v="15248"/>
    </bk>
    <bk>
      <rc t="2" v="15249"/>
    </bk>
    <bk>
      <rc t="2" v="15250"/>
    </bk>
    <bk>
      <rc t="2" v="15251"/>
    </bk>
    <bk>
      <rc t="2" v="15252"/>
    </bk>
    <bk>
      <rc t="2" v="15253"/>
    </bk>
    <bk>
      <rc t="2" v="15254"/>
    </bk>
    <bk>
      <rc t="2" v="15255"/>
    </bk>
    <bk>
      <rc t="2" v="15256"/>
    </bk>
    <bk>
      <rc t="2" v="15257"/>
    </bk>
    <bk>
      <rc t="2" v="15258"/>
    </bk>
    <bk>
      <rc t="2" v="15259"/>
    </bk>
    <bk>
      <rc t="2" v="15260"/>
    </bk>
    <bk>
      <rc t="2" v="15261"/>
    </bk>
    <bk>
      <rc t="2" v="15262"/>
    </bk>
    <bk>
      <rc t="2" v="15263"/>
    </bk>
    <bk>
      <rc t="2" v="15264"/>
    </bk>
    <bk>
      <rc t="2" v="15265"/>
    </bk>
    <bk>
      <rc t="2" v="15266"/>
    </bk>
    <bk>
      <rc t="2" v="15267"/>
    </bk>
    <bk>
      <rc t="2" v="15268"/>
    </bk>
    <bk>
      <rc t="2" v="15269"/>
    </bk>
    <bk>
      <rc t="2" v="15270"/>
    </bk>
    <bk>
      <rc t="2" v="15271"/>
    </bk>
    <bk>
      <rc t="2" v="15272"/>
    </bk>
    <bk>
      <rc t="2" v="15273"/>
    </bk>
    <bk>
      <rc t="2" v="15274"/>
    </bk>
    <bk>
      <rc t="2" v="15275"/>
    </bk>
    <bk>
      <rc t="2" v="15276"/>
    </bk>
    <bk>
      <rc t="2" v="15277"/>
    </bk>
    <bk>
      <rc t="2" v="15278"/>
    </bk>
    <bk>
      <rc t="2" v="15279"/>
    </bk>
    <bk>
      <rc t="2" v="15280"/>
    </bk>
    <bk>
      <rc t="2" v="15281"/>
    </bk>
    <bk>
      <rc t="2" v="15282"/>
    </bk>
    <bk>
      <rc t="2" v="15283"/>
    </bk>
    <bk>
      <rc t="2" v="15284"/>
    </bk>
    <bk>
      <rc t="2" v="15285"/>
    </bk>
    <bk>
      <rc t="2" v="15286"/>
    </bk>
    <bk>
      <rc t="2" v="15287"/>
    </bk>
    <bk>
      <rc t="2" v="15288"/>
    </bk>
    <bk>
      <rc t="2" v="15289"/>
    </bk>
    <bk>
      <rc t="2" v="15290"/>
    </bk>
    <bk>
      <rc t="2" v="15291"/>
    </bk>
    <bk>
      <rc t="2" v="15292"/>
    </bk>
    <bk>
      <rc t="2" v="15293"/>
    </bk>
    <bk>
      <rc t="2" v="15294"/>
    </bk>
    <bk>
      <rc t="2" v="15295"/>
    </bk>
    <bk>
      <rc t="2" v="15296"/>
    </bk>
    <bk>
      <rc t="2" v="15297"/>
    </bk>
    <bk>
      <rc t="2" v="15298"/>
    </bk>
    <bk>
      <rc t="2" v="15299"/>
    </bk>
    <bk>
      <rc t="2" v="15300"/>
    </bk>
    <bk>
      <rc t="2" v="15301"/>
    </bk>
    <bk>
      <rc t="2" v="15302"/>
    </bk>
    <bk>
      <rc t="2" v="15303"/>
    </bk>
    <bk>
      <rc t="2" v="15304"/>
    </bk>
    <bk>
      <rc t="2" v="15305"/>
    </bk>
    <bk>
      <rc t="2" v="15306"/>
    </bk>
    <bk>
      <rc t="2" v="15307"/>
    </bk>
    <bk>
      <rc t="2" v="15308"/>
    </bk>
    <bk>
      <rc t="2" v="15309"/>
    </bk>
    <bk>
      <rc t="2" v="15310"/>
    </bk>
    <bk>
      <rc t="2" v="15311"/>
    </bk>
    <bk>
      <rc t="2" v="15312"/>
    </bk>
    <bk>
      <rc t="2" v="15313"/>
    </bk>
    <bk>
      <rc t="2" v="15314"/>
    </bk>
    <bk>
      <rc t="2" v="15315"/>
    </bk>
    <bk>
      <rc t="2" v="15316"/>
    </bk>
    <bk>
      <rc t="2" v="15317"/>
    </bk>
    <bk>
      <rc t="2" v="15318"/>
    </bk>
    <bk>
      <rc t="2" v="15319"/>
    </bk>
    <bk>
      <rc t="2" v="15320"/>
    </bk>
    <bk>
      <rc t="2" v="15321"/>
    </bk>
    <bk>
      <rc t="2" v="15322"/>
    </bk>
    <bk>
      <rc t="2" v="15323"/>
    </bk>
    <bk>
      <rc t="2" v="15324"/>
    </bk>
    <bk>
      <rc t="2" v="15325"/>
    </bk>
    <bk>
      <rc t="2" v="15326"/>
    </bk>
    <bk>
      <rc t="2" v="15327"/>
    </bk>
    <bk>
      <rc t="2" v="15328"/>
    </bk>
    <bk>
      <rc t="2" v="15329"/>
    </bk>
    <bk>
      <rc t="2" v="15330"/>
    </bk>
    <bk>
      <rc t="2" v="15331"/>
    </bk>
    <bk>
      <rc t="2" v="15332"/>
    </bk>
    <bk>
      <rc t="2" v="15333"/>
    </bk>
    <bk>
      <rc t="2" v="15334"/>
    </bk>
    <bk>
      <rc t="2" v="15335"/>
    </bk>
    <bk>
      <rc t="2" v="15336"/>
    </bk>
    <bk>
      <rc t="2" v="15337"/>
    </bk>
    <bk>
      <rc t="2" v="15338"/>
    </bk>
    <bk>
      <rc t="2" v="15339"/>
    </bk>
    <bk>
      <rc t="2" v="15340"/>
    </bk>
    <bk>
      <rc t="2" v="15341"/>
    </bk>
    <bk>
      <rc t="2" v="15342"/>
    </bk>
    <bk>
      <rc t="2" v="15343"/>
    </bk>
    <bk>
      <rc t="2" v="15344"/>
    </bk>
    <bk>
      <rc t="2" v="15345"/>
    </bk>
    <bk>
      <rc t="2" v="15346"/>
    </bk>
    <bk>
      <rc t="2" v="15347"/>
    </bk>
    <bk>
      <rc t="2" v="15348"/>
    </bk>
    <bk>
      <rc t="2" v="15349"/>
    </bk>
    <bk>
      <rc t="2" v="15350"/>
    </bk>
    <bk>
      <rc t="2" v="15351"/>
    </bk>
    <bk>
      <rc t="2" v="15352"/>
    </bk>
    <bk>
      <rc t="2" v="15353"/>
    </bk>
    <bk>
      <rc t="2" v="15354"/>
    </bk>
    <bk>
      <rc t="2" v="15355"/>
    </bk>
    <bk>
      <rc t="2" v="15356"/>
    </bk>
    <bk>
      <rc t="2" v="15357"/>
    </bk>
    <bk>
      <rc t="2" v="15358"/>
    </bk>
    <bk>
      <rc t="2" v="15359"/>
    </bk>
    <bk>
      <rc t="2" v="15360"/>
    </bk>
    <bk>
      <rc t="2" v="15361"/>
    </bk>
    <bk>
      <rc t="2" v="15362"/>
    </bk>
    <bk>
      <rc t="2" v="15363"/>
    </bk>
    <bk>
      <rc t="2" v="15364"/>
    </bk>
    <bk>
      <rc t="2" v="15365"/>
    </bk>
    <bk>
      <rc t="2" v="15366"/>
    </bk>
    <bk>
      <rc t="2" v="15367"/>
    </bk>
    <bk>
      <rc t="2" v="15368"/>
    </bk>
    <bk>
      <rc t="2" v="15369"/>
    </bk>
    <bk>
      <rc t="2" v="15370"/>
    </bk>
    <bk>
      <rc t="2" v="15371"/>
    </bk>
    <bk>
      <rc t="2" v="15372"/>
    </bk>
    <bk>
      <rc t="2" v="15373"/>
    </bk>
    <bk>
      <rc t="2" v="15374"/>
    </bk>
    <bk>
      <rc t="2" v="15375"/>
    </bk>
    <bk>
      <rc t="2" v="15376"/>
    </bk>
    <bk>
      <rc t="2" v="15377"/>
    </bk>
    <bk>
      <rc t="2" v="15378"/>
    </bk>
    <bk>
      <rc t="2" v="15379"/>
    </bk>
    <bk>
      <rc t="2" v="15380"/>
    </bk>
    <bk>
      <rc t="2" v="15381"/>
    </bk>
    <bk>
      <rc t="2" v="15382"/>
    </bk>
    <bk>
      <rc t="2" v="15383"/>
    </bk>
    <bk>
      <rc t="2" v="15384"/>
    </bk>
    <bk>
      <rc t="2" v="15385"/>
    </bk>
    <bk>
      <rc t="2" v="15386"/>
    </bk>
    <bk>
      <rc t="2" v="15387"/>
    </bk>
    <bk>
      <rc t="2" v="15388"/>
    </bk>
    <bk>
      <rc t="2" v="15389"/>
    </bk>
    <bk>
      <rc t="2" v="15390"/>
    </bk>
    <bk>
      <rc t="2" v="15391"/>
    </bk>
    <bk>
      <rc t="2" v="15392"/>
    </bk>
    <bk>
      <rc t="2" v="15393"/>
    </bk>
    <bk>
      <rc t="2" v="15394"/>
    </bk>
    <bk>
      <rc t="2" v="15395"/>
    </bk>
    <bk>
      <rc t="2" v="15396"/>
    </bk>
    <bk>
      <rc t="2" v="15397"/>
    </bk>
    <bk>
      <rc t="2" v="15398"/>
    </bk>
    <bk>
      <rc t="2" v="15399"/>
    </bk>
    <bk>
      <rc t="2" v="15400"/>
    </bk>
    <bk>
      <rc t="2" v="15401"/>
    </bk>
    <bk>
      <rc t="2" v="15402"/>
    </bk>
    <bk>
      <rc t="2" v="15403"/>
    </bk>
    <bk>
      <rc t="2" v="15404"/>
    </bk>
    <bk>
      <rc t="2" v="15405"/>
    </bk>
    <bk>
      <rc t="2" v="15406"/>
    </bk>
    <bk>
      <rc t="2" v="15407"/>
    </bk>
    <bk>
      <rc t="2" v="15408"/>
    </bk>
    <bk>
      <rc t="2" v="15409"/>
    </bk>
    <bk>
      <rc t="2" v="15410"/>
    </bk>
    <bk>
      <rc t="2" v="15411"/>
    </bk>
    <bk>
      <rc t="2" v="15412"/>
    </bk>
    <bk>
      <rc t="2" v="15413"/>
    </bk>
    <bk>
      <rc t="2" v="15414"/>
    </bk>
    <bk>
      <rc t="2" v="15415"/>
    </bk>
    <bk>
      <rc t="2" v="15416"/>
    </bk>
    <bk>
      <rc t="2" v="15417"/>
    </bk>
    <bk>
      <rc t="2" v="15418"/>
    </bk>
    <bk>
      <rc t="2" v="15419"/>
    </bk>
    <bk>
      <rc t="2" v="15420"/>
    </bk>
    <bk>
      <rc t="2" v="15421"/>
    </bk>
    <bk>
      <rc t="2" v="15422"/>
    </bk>
    <bk>
      <rc t="2" v="15423"/>
    </bk>
    <bk>
      <rc t="2" v="15424"/>
    </bk>
    <bk>
      <rc t="2" v="15425"/>
    </bk>
    <bk>
      <rc t="2" v="15426"/>
    </bk>
    <bk>
      <rc t="2" v="15427"/>
    </bk>
    <bk>
      <rc t="2" v="15428"/>
    </bk>
    <bk>
      <rc t="2" v="15429"/>
    </bk>
    <bk>
      <rc t="2" v="15430"/>
    </bk>
    <bk>
      <rc t="2" v="15431"/>
    </bk>
    <bk>
      <rc t="2" v="15432"/>
    </bk>
    <bk>
      <rc t="2" v="15433"/>
    </bk>
    <bk>
      <rc t="2" v="15434"/>
    </bk>
    <bk>
      <rc t="2" v="15435"/>
    </bk>
    <bk>
      <rc t="2" v="15436"/>
    </bk>
    <bk>
      <rc t="2" v="15437"/>
    </bk>
    <bk>
      <rc t="2" v="15438"/>
    </bk>
    <bk>
      <rc t="2" v="15439"/>
    </bk>
    <bk>
      <rc t="2" v="15440"/>
    </bk>
    <bk>
      <rc t="2" v="15441"/>
    </bk>
    <bk>
      <rc t="2" v="15442"/>
    </bk>
    <bk>
      <rc t="2" v="15443"/>
    </bk>
    <bk>
      <rc t="2" v="15444"/>
    </bk>
    <bk>
      <rc t="2" v="15445"/>
    </bk>
    <bk>
      <rc t="2" v="15446"/>
    </bk>
    <bk>
      <rc t="2" v="15447"/>
    </bk>
    <bk>
      <rc t="2" v="15448"/>
    </bk>
    <bk>
      <rc t="2" v="15449"/>
    </bk>
    <bk>
      <rc t="2" v="15450"/>
    </bk>
    <bk>
      <rc t="2" v="15451"/>
    </bk>
    <bk>
      <rc t="2" v="15452"/>
    </bk>
    <bk>
      <rc t="2" v="15453"/>
    </bk>
    <bk>
      <rc t="2" v="15454"/>
    </bk>
    <bk>
      <rc t="2" v="15455"/>
    </bk>
    <bk>
      <rc t="2" v="15456"/>
    </bk>
    <bk>
      <rc t="2" v="15457"/>
    </bk>
    <bk>
      <rc t="2" v="15458"/>
    </bk>
    <bk>
      <rc t="2" v="15459"/>
    </bk>
    <bk>
      <rc t="2" v="15460"/>
    </bk>
    <bk>
      <rc t="2" v="15461"/>
    </bk>
    <bk>
      <rc t="2" v="15462"/>
    </bk>
    <bk>
      <rc t="2" v="15463"/>
    </bk>
    <bk>
      <rc t="2" v="15464"/>
    </bk>
    <bk>
      <rc t="2" v="15465"/>
    </bk>
    <bk>
      <rc t="2" v="15466"/>
    </bk>
    <bk>
      <rc t="2" v="15467"/>
    </bk>
    <bk>
      <rc t="2" v="15468"/>
    </bk>
    <bk>
      <rc t="2" v="15469"/>
    </bk>
    <bk>
      <rc t="2" v="15470"/>
    </bk>
    <bk>
      <rc t="2" v="15471"/>
    </bk>
    <bk>
      <rc t="2" v="15472"/>
    </bk>
    <bk>
      <rc t="2" v="15473"/>
    </bk>
    <bk>
      <rc t="2" v="15474"/>
    </bk>
    <bk>
      <rc t="2" v="15475"/>
    </bk>
    <bk>
      <rc t="2" v="15476"/>
    </bk>
    <bk>
      <rc t="2" v="15477"/>
    </bk>
    <bk>
      <rc t="2" v="15478"/>
    </bk>
    <bk>
      <rc t="2" v="15479"/>
    </bk>
    <bk>
      <rc t="2" v="15480"/>
    </bk>
    <bk>
      <rc t="2" v="15481"/>
    </bk>
    <bk>
      <rc t="2" v="15482"/>
    </bk>
    <bk>
      <rc t="2" v="15483"/>
    </bk>
    <bk>
      <rc t="2" v="15484"/>
    </bk>
    <bk>
      <rc t="2" v="15485"/>
    </bk>
    <bk>
      <rc t="2" v="15486"/>
    </bk>
    <bk>
      <rc t="2" v="15487"/>
    </bk>
    <bk>
      <rc t="2" v="15488"/>
    </bk>
    <bk>
      <rc t="2" v="15489"/>
    </bk>
    <bk>
      <rc t="2" v="15490"/>
    </bk>
    <bk>
      <rc t="2" v="15491"/>
    </bk>
    <bk>
      <rc t="2" v="15492"/>
    </bk>
    <bk>
      <rc t="2" v="15493"/>
    </bk>
    <bk>
      <rc t="2" v="15494"/>
    </bk>
    <bk>
      <rc t="2" v="15495"/>
    </bk>
    <bk>
      <rc t="2" v="15496"/>
    </bk>
    <bk>
      <rc t="2" v="15497"/>
    </bk>
    <bk>
      <rc t="2" v="15498"/>
    </bk>
    <bk>
      <rc t="2" v="15499"/>
    </bk>
    <bk>
      <rc t="2" v="15500"/>
    </bk>
    <bk>
      <rc t="2" v="15501"/>
    </bk>
    <bk>
      <rc t="2" v="15502"/>
    </bk>
    <bk>
      <rc t="2" v="15503"/>
    </bk>
    <bk>
      <rc t="2" v="15504"/>
    </bk>
    <bk>
      <rc t="2" v="15505"/>
    </bk>
    <bk>
      <rc t="2" v="15506"/>
    </bk>
    <bk>
      <rc t="2" v="15507"/>
    </bk>
    <bk>
      <rc t="2" v="15508"/>
    </bk>
    <bk>
      <rc t="2" v="15509"/>
    </bk>
    <bk>
      <rc t="2" v="15510"/>
    </bk>
    <bk>
      <rc t="2" v="15511"/>
    </bk>
    <bk>
      <rc t="2" v="15512"/>
    </bk>
    <bk>
      <rc t="2" v="15513"/>
    </bk>
    <bk>
      <rc t="2" v="15514"/>
    </bk>
    <bk>
      <rc t="2" v="15515"/>
    </bk>
    <bk>
      <rc t="2" v="15516"/>
    </bk>
    <bk>
      <rc t="2" v="15517"/>
    </bk>
    <bk>
      <rc t="2" v="15518"/>
    </bk>
    <bk>
      <rc t="2" v="15519"/>
    </bk>
    <bk>
      <rc t="2" v="15520"/>
    </bk>
    <bk>
      <rc t="2" v="15521"/>
    </bk>
    <bk>
      <rc t="2" v="15522"/>
    </bk>
    <bk>
      <rc t="2" v="15523"/>
    </bk>
    <bk>
      <rc t="2" v="15524"/>
    </bk>
    <bk>
      <rc t="2" v="15525"/>
    </bk>
    <bk>
      <rc t="2" v="15526"/>
    </bk>
    <bk>
      <rc t="2" v="15527"/>
    </bk>
    <bk>
      <rc t="2" v="15528"/>
    </bk>
    <bk>
      <rc t="2" v="15529"/>
    </bk>
    <bk>
      <rc t="2" v="15530"/>
    </bk>
    <bk>
      <rc t="2" v="15531"/>
    </bk>
    <bk>
      <rc t="2" v="15532"/>
    </bk>
    <bk>
      <rc t="2" v="15533"/>
    </bk>
    <bk>
      <rc t="2" v="15534"/>
    </bk>
    <bk>
      <rc t="2" v="15535"/>
    </bk>
    <bk>
      <rc t="2" v="15536"/>
    </bk>
    <bk>
      <rc t="2" v="15537"/>
    </bk>
    <bk>
      <rc t="2" v="15538"/>
    </bk>
    <bk>
      <rc t="2" v="15539"/>
    </bk>
    <bk>
      <rc t="2" v="15540"/>
    </bk>
    <bk>
      <rc t="2" v="15541"/>
    </bk>
    <bk>
      <rc t="2" v="15542"/>
    </bk>
    <bk>
      <rc t="2" v="15543"/>
    </bk>
    <bk>
      <rc t="2" v="15544"/>
    </bk>
    <bk>
      <rc t="2" v="15545"/>
    </bk>
    <bk>
      <rc t="2" v="15546"/>
    </bk>
    <bk>
      <rc t="2" v="15547"/>
    </bk>
    <bk>
      <rc t="2" v="15548"/>
    </bk>
    <bk>
      <rc t="2" v="15549"/>
    </bk>
    <bk>
      <rc t="2" v="15550"/>
    </bk>
    <bk>
      <rc t="2" v="15551"/>
    </bk>
    <bk>
      <rc t="2" v="15552"/>
    </bk>
    <bk>
      <rc t="2" v="15553"/>
    </bk>
    <bk>
      <rc t="2" v="15554"/>
    </bk>
    <bk>
      <rc t="2" v="15555"/>
    </bk>
    <bk>
      <rc t="2" v="15556"/>
    </bk>
    <bk>
      <rc t="2" v="15557"/>
    </bk>
    <bk>
      <rc t="2" v="15558"/>
    </bk>
    <bk>
      <rc t="2" v="15559"/>
    </bk>
    <bk>
      <rc t="2" v="15560"/>
    </bk>
    <bk>
      <rc t="2" v="15561"/>
    </bk>
    <bk>
      <rc t="2" v="15562"/>
    </bk>
    <bk>
      <rc t="2" v="15563"/>
    </bk>
    <bk>
      <rc t="2" v="15564"/>
    </bk>
    <bk>
      <rc t="2" v="15565"/>
    </bk>
    <bk>
      <rc t="2" v="15566"/>
    </bk>
    <bk>
      <rc t="2" v="15567"/>
    </bk>
    <bk>
      <rc t="2" v="15568"/>
    </bk>
    <bk>
      <rc t="2" v="15569"/>
    </bk>
    <bk>
      <rc t="2" v="15570"/>
    </bk>
    <bk>
      <rc t="2" v="15571"/>
    </bk>
    <bk>
      <rc t="2" v="15572"/>
    </bk>
    <bk>
      <rc t="2" v="15573"/>
    </bk>
    <bk>
      <rc t="2" v="15574"/>
    </bk>
    <bk>
      <rc t="2" v="15575"/>
    </bk>
    <bk>
      <rc t="2" v="15576"/>
    </bk>
    <bk>
      <rc t="2" v="15577"/>
    </bk>
    <bk>
      <rc t="2" v="15578"/>
    </bk>
    <bk>
      <rc t="2" v="15579"/>
    </bk>
    <bk>
      <rc t="2" v="15580"/>
    </bk>
    <bk>
      <rc t="2" v="15581"/>
    </bk>
    <bk>
      <rc t="2" v="15582"/>
    </bk>
    <bk>
      <rc t="2" v="15583"/>
    </bk>
    <bk>
      <rc t="2" v="15584"/>
    </bk>
    <bk>
      <rc t="2" v="15585"/>
    </bk>
    <bk>
      <rc t="2" v="15586"/>
    </bk>
    <bk>
      <rc t="2" v="15587"/>
    </bk>
    <bk>
      <rc t="2" v="15588"/>
    </bk>
    <bk>
      <rc t="2" v="15589"/>
    </bk>
    <bk>
      <rc t="2" v="15590"/>
    </bk>
    <bk>
      <rc t="2" v="15591"/>
    </bk>
    <bk>
      <rc t="2" v="15592"/>
    </bk>
    <bk>
      <rc t="2" v="15593"/>
    </bk>
    <bk>
      <rc t="2" v="15594"/>
    </bk>
    <bk>
      <rc t="2" v="15595"/>
    </bk>
    <bk>
      <rc t="2" v="15596"/>
    </bk>
    <bk>
      <rc t="2" v="15597"/>
    </bk>
    <bk>
      <rc t="2" v="15598"/>
    </bk>
    <bk>
      <rc t="2" v="15599"/>
    </bk>
    <bk>
      <rc t="2" v="15600"/>
    </bk>
    <bk>
      <rc t="2" v="15601"/>
    </bk>
    <bk>
      <rc t="2" v="15602"/>
    </bk>
    <bk>
      <rc t="2" v="15603"/>
    </bk>
    <bk>
      <rc t="2" v="15604"/>
    </bk>
    <bk>
      <rc t="2" v="15605"/>
    </bk>
    <bk>
      <rc t="2" v="15606"/>
    </bk>
    <bk>
      <rc t="2" v="15607"/>
    </bk>
    <bk>
      <rc t="2" v="15608"/>
    </bk>
    <bk>
      <rc t="2" v="15609"/>
    </bk>
    <bk>
      <rc t="2" v="15610"/>
    </bk>
    <bk>
      <rc t="2" v="15611"/>
    </bk>
    <bk>
      <rc t="2" v="15612"/>
    </bk>
    <bk>
      <rc t="2" v="15613"/>
    </bk>
    <bk>
      <rc t="2" v="15614"/>
    </bk>
    <bk>
      <rc t="2" v="15615"/>
    </bk>
    <bk>
      <rc t="2" v="15616"/>
    </bk>
    <bk>
      <rc t="2" v="15617"/>
    </bk>
    <bk>
      <rc t="2" v="15618"/>
    </bk>
    <bk>
      <rc t="2" v="15619"/>
    </bk>
    <bk>
      <rc t="2" v="15620"/>
    </bk>
    <bk>
      <rc t="2" v="15621"/>
    </bk>
    <bk>
      <rc t="2" v="15622"/>
    </bk>
    <bk>
      <rc t="2" v="15623"/>
    </bk>
    <bk>
      <rc t="2" v="15624"/>
    </bk>
    <bk>
      <rc t="2" v="15625"/>
    </bk>
    <bk>
      <rc t="2" v="15626"/>
    </bk>
    <bk>
      <rc t="2" v="15627"/>
    </bk>
    <bk>
      <rc t="2" v="15628"/>
    </bk>
    <bk>
      <rc t="2" v="15629"/>
    </bk>
    <bk>
      <rc t="2" v="15630"/>
    </bk>
    <bk>
      <rc t="2" v="15631"/>
    </bk>
    <bk>
      <rc t="2" v="15632"/>
    </bk>
    <bk>
      <rc t="2" v="15633"/>
    </bk>
    <bk>
      <rc t="2" v="15634"/>
    </bk>
    <bk>
      <rc t="2" v="15635"/>
    </bk>
    <bk>
      <rc t="2" v="15636"/>
    </bk>
    <bk>
      <rc t="2" v="15637"/>
    </bk>
    <bk>
      <rc t="2" v="15638"/>
    </bk>
    <bk>
      <rc t="2" v="15639"/>
    </bk>
    <bk>
      <rc t="2" v="15640"/>
    </bk>
    <bk>
      <rc t="2" v="15641"/>
    </bk>
    <bk>
      <rc t="2" v="15642"/>
    </bk>
    <bk>
      <rc t="2" v="15643"/>
    </bk>
    <bk>
      <rc t="2" v="15644"/>
    </bk>
    <bk>
      <rc t="2" v="15645"/>
    </bk>
    <bk>
      <rc t="2" v="15646"/>
    </bk>
    <bk>
      <rc t="2" v="15647"/>
    </bk>
    <bk>
      <rc t="2" v="15648"/>
    </bk>
    <bk>
      <rc t="2" v="15649"/>
    </bk>
    <bk>
      <rc t="2" v="15650"/>
    </bk>
    <bk>
      <rc t="2" v="15651"/>
    </bk>
    <bk>
      <rc t="2" v="15652"/>
    </bk>
    <bk>
      <rc t="2" v="15653"/>
    </bk>
    <bk>
      <rc t="2" v="15654"/>
    </bk>
    <bk>
      <rc t="2" v="15655"/>
    </bk>
    <bk>
      <rc t="2" v="15656"/>
    </bk>
    <bk>
      <rc t="2" v="15657"/>
    </bk>
    <bk>
      <rc t="2" v="15658"/>
    </bk>
    <bk>
      <rc t="2" v="15659"/>
    </bk>
    <bk>
      <rc t="2" v="15660"/>
    </bk>
    <bk>
      <rc t="2" v="15661"/>
    </bk>
    <bk>
      <rc t="2" v="15662"/>
    </bk>
    <bk>
      <rc t="2" v="15663"/>
    </bk>
    <bk>
      <rc t="2" v="15664"/>
    </bk>
    <bk>
      <rc t="2" v="15665"/>
    </bk>
    <bk>
      <rc t="2" v="15666"/>
    </bk>
    <bk>
      <rc t="2" v="15667"/>
    </bk>
    <bk>
      <rc t="2" v="15668"/>
    </bk>
    <bk>
      <rc t="2" v="15669"/>
    </bk>
    <bk>
      <rc t="2" v="15670"/>
    </bk>
    <bk>
      <rc t="2" v="15671"/>
    </bk>
    <bk>
      <rc t="2" v="15672"/>
    </bk>
    <bk>
      <rc t="2" v="15673"/>
    </bk>
    <bk>
      <rc t="2" v="15674"/>
    </bk>
    <bk>
      <rc t="2" v="15675"/>
    </bk>
    <bk>
      <rc t="2" v="15676"/>
    </bk>
    <bk>
      <rc t="2" v="15677"/>
    </bk>
    <bk>
      <rc t="2" v="15678"/>
    </bk>
    <bk>
      <rc t="2" v="15679"/>
    </bk>
    <bk>
      <rc t="2" v="15680"/>
    </bk>
    <bk>
      <rc t="2" v="15681"/>
    </bk>
    <bk>
      <rc t="2" v="15682"/>
    </bk>
    <bk>
      <rc t="2" v="15683"/>
    </bk>
    <bk>
      <rc t="2" v="15684"/>
    </bk>
    <bk>
      <rc t="2" v="15685"/>
    </bk>
    <bk>
      <rc t="2" v="15686"/>
    </bk>
    <bk>
      <rc t="2" v="15687"/>
    </bk>
    <bk>
      <rc t="2" v="15688"/>
    </bk>
    <bk>
      <rc t="2" v="15689"/>
    </bk>
    <bk>
      <rc t="2" v="15690"/>
    </bk>
    <bk>
      <rc t="2" v="15691"/>
    </bk>
    <bk>
      <rc t="2" v="15692"/>
    </bk>
    <bk>
      <rc t="2" v="15693"/>
    </bk>
    <bk>
      <rc t="2" v="15694"/>
    </bk>
    <bk>
      <rc t="2" v="15695"/>
    </bk>
    <bk>
      <rc t="2" v="15696"/>
    </bk>
    <bk>
      <rc t="2" v="15697"/>
    </bk>
    <bk>
      <rc t="2" v="15698"/>
    </bk>
    <bk>
      <rc t="2" v="15699"/>
    </bk>
    <bk>
      <rc t="2" v="15700"/>
    </bk>
    <bk>
      <rc t="2" v="15701"/>
    </bk>
    <bk>
      <rc t="2" v="15702"/>
    </bk>
    <bk>
      <rc t="2" v="15703"/>
    </bk>
    <bk>
      <rc t="2" v="15704"/>
    </bk>
    <bk>
      <rc t="2" v="15705"/>
    </bk>
    <bk>
      <rc t="2" v="15706"/>
    </bk>
    <bk>
      <rc t="2" v="15707"/>
    </bk>
    <bk>
      <rc t="2" v="15708"/>
    </bk>
    <bk>
      <rc t="2" v="15709"/>
    </bk>
    <bk>
      <rc t="2" v="15710"/>
    </bk>
    <bk>
      <rc t="2" v="15711"/>
    </bk>
    <bk>
      <rc t="2" v="15712"/>
    </bk>
    <bk>
      <rc t="2" v="15713"/>
    </bk>
    <bk>
      <rc t="2" v="15714"/>
    </bk>
    <bk>
      <rc t="2" v="15715"/>
    </bk>
    <bk>
      <rc t="2" v="15716"/>
    </bk>
    <bk>
      <rc t="2" v="15717"/>
    </bk>
    <bk>
      <rc t="2" v="15718"/>
    </bk>
    <bk>
      <rc t="2" v="15719"/>
    </bk>
    <bk>
      <rc t="2" v="15720"/>
    </bk>
    <bk>
      <rc t="2" v="15721"/>
    </bk>
    <bk>
      <rc t="2" v="15722"/>
    </bk>
    <bk>
      <rc t="2" v="15723"/>
    </bk>
    <bk>
      <rc t="2" v="15724"/>
    </bk>
    <bk>
      <rc t="2" v="15725"/>
    </bk>
    <bk>
      <rc t="2" v="15726"/>
    </bk>
    <bk>
      <rc t="2" v="15727"/>
    </bk>
    <bk>
      <rc t="2" v="15728"/>
    </bk>
    <bk>
      <rc t="2" v="15729"/>
    </bk>
    <bk>
      <rc t="2" v="15730"/>
    </bk>
    <bk>
      <rc t="2" v="15731"/>
    </bk>
    <bk>
      <rc t="2" v="15732"/>
    </bk>
    <bk>
      <rc t="2" v="15733"/>
    </bk>
    <bk>
      <rc t="2" v="15734"/>
    </bk>
    <bk>
      <rc t="2" v="15735"/>
    </bk>
    <bk>
      <rc t="2" v="15736"/>
    </bk>
    <bk>
      <rc t="2" v="15737"/>
    </bk>
    <bk>
      <rc t="2" v="15738"/>
    </bk>
    <bk>
      <rc t="2" v="15739"/>
    </bk>
    <bk>
      <rc t="2" v="15740"/>
    </bk>
    <bk>
      <rc t="2" v="15741"/>
    </bk>
    <bk>
      <rc t="2" v="15742"/>
    </bk>
    <bk>
      <rc t="2" v="15743"/>
    </bk>
    <bk>
      <rc t="2" v="15744"/>
    </bk>
    <bk>
      <rc t="2" v="15745"/>
    </bk>
    <bk>
      <rc t="2" v="15746"/>
    </bk>
    <bk>
      <rc t="2" v="15747"/>
    </bk>
    <bk>
      <rc t="2" v="15748"/>
    </bk>
    <bk>
      <rc t="2" v="15749"/>
    </bk>
    <bk>
      <rc t="2" v="15750"/>
    </bk>
    <bk>
      <rc t="2" v="15751"/>
    </bk>
    <bk>
      <rc t="2" v="15752"/>
    </bk>
    <bk>
      <rc t="2" v="15753"/>
    </bk>
    <bk>
      <rc t="2" v="15754"/>
    </bk>
    <bk>
      <rc t="2" v="15755"/>
    </bk>
    <bk>
      <rc t="2" v="15756"/>
    </bk>
    <bk>
      <rc t="2" v="15757"/>
    </bk>
    <bk>
      <rc t="2" v="15758"/>
    </bk>
    <bk>
      <rc t="2" v="15759"/>
    </bk>
    <bk>
      <rc t="2" v="15760"/>
    </bk>
    <bk>
      <rc t="2" v="15761"/>
    </bk>
    <bk>
      <rc t="2" v="15762"/>
    </bk>
    <bk>
      <rc t="2" v="15763"/>
    </bk>
    <bk>
      <rc t="2" v="15764"/>
    </bk>
    <bk>
      <rc t="2" v="15765"/>
    </bk>
    <bk>
      <rc t="2" v="15766"/>
    </bk>
    <bk>
      <rc t="2" v="15767"/>
    </bk>
    <bk>
      <rc t="2" v="15768"/>
    </bk>
    <bk>
      <rc t="2" v="15769"/>
    </bk>
    <bk>
      <rc t="2" v="15770"/>
    </bk>
    <bk>
      <rc t="2" v="15771"/>
    </bk>
    <bk>
      <rc t="2" v="15772"/>
    </bk>
    <bk>
      <rc t="2" v="15773"/>
    </bk>
    <bk>
      <rc t="2" v="15774"/>
    </bk>
    <bk>
      <rc t="2" v="15775"/>
    </bk>
    <bk>
      <rc t="2" v="15776"/>
    </bk>
    <bk>
      <rc t="2" v="15777"/>
    </bk>
    <bk>
      <rc t="2" v="15778"/>
    </bk>
    <bk>
      <rc t="2" v="15779"/>
    </bk>
    <bk>
      <rc t="2" v="15780"/>
    </bk>
    <bk>
      <rc t="2" v="15781"/>
    </bk>
    <bk>
      <rc t="2" v="15782"/>
    </bk>
    <bk>
      <rc t="2" v="15783"/>
    </bk>
    <bk>
      <rc t="2" v="15784"/>
    </bk>
    <bk>
      <rc t="2" v="15785"/>
    </bk>
    <bk>
      <rc t="2" v="15786"/>
    </bk>
    <bk>
      <rc t="2" v="15787"/>
    </bk>
    <bk>
      <rc t="2" v="15788"/>
    </bk>
    <bk>
      <rc t="2" v="15789"/>
    </bk>
    <bk>
      <rc t="2" v="15790"/>
    </bk>
    <bk>
      <rc t="2" v="15791"/>
    </bk>
    <bk>
      <rc t="2" v="15792"/>
    </bk>
    <bk>
      <rc t="2" v="15793"/>
    </bk>
    <bk>
      <rc t="2" v="15794"/>
    </bk>
    <bk>
      <rc t="2" v="15795"/>
    </bk>
    <bk>
      <rc t="2" v="15796"/>
    </bk>
    <bk>
      <rc t="2" v="15797"/>
    </bk>
    <bk>
      <rc t="2" v="15798"/>
    </bk>
    <bk>
      <rc t="2" v="15799"/>
    </bk>
    <bk>
      <rc t="2" v="15800"/>
    </bk>
    <bk>
      <rc t="2" v="15801"/>
    </bk>
    <bk>
      <rc t="2" v="15802"/>
    </bk>
    <bk>
      <rc t="2" v="15803"/>
    </bk>
    <bk>
      <rc t="2" v="15804"/>
    </bk>
    <bk>
      <rc t="2" v="15805"/>
    </bk>
    <bk>
      <rc t="2" v="15806"/>
    </bk>
    <bk>
      <rc t="2" v="15807"/>
    </bk>
    <bk>
      <rc t="2" v="15808"/>
    </bk>
    <bk>
      <rc t="2" v="15809"/>
    </bk>
    <bk>
      <rc t="2" v="15810"/>
    </bk>
    <bk>
      <rc t="2" v="15811"/>
    </bk>
    <bk>
      <rc t="2" v="15812"/>
    </bk>
    <bk>
      <rc t="2" v="15813"/>
    </bk>
    <bk>
      <rc t="2" v="15814"/>
    </bk>
    <bk>
      <rc t="2" v="15815"/>
    </bk>
    <bk>
      <rc t="2" v="15816"/>
    </bk>
    <bk>
      <rc t="2" v="15817"/>
    </bk>
    <bk>
      <rc t="2" v="15818"/>
    </bk>
    <bk>
      <rc t="2" v="15819"/>
    </bk>
    <bk>
      <rc t="2" v="15820"/>
    </bk>
    <bk>
      <rc t="2" v="15821"/>
    </bk>
    <bk>
      <rc t="2" v="15822"/>
    </bk>
    <bk>
      <rc t="2" v="15823"/>
    </bk>
    <bk>
      <rc t="2" v="15824"/>
    </bk>
    <bk>
      <rc t="2" v="15825"/>
    </bk>
    <bk>
      <rc t="2" v="15826"/>
    </bk>
    <bk>
      <rc t="2" v="15827"/>
    </bk>
    <bk>
      <rc t="2" v="15828"/>
    </bk>
    <bk>
      <rc t="2" v="15829"/>
    </bk>
    <bk>
      <rc t="2" v="15830"/>
    </bk>
    <bk>
      <rc t="2" v="15831"/>
    </bk>
    <bk>
      <rc t="2" v="15832"/>
    </bk>
    <bk>
      <rc t="2" v="15833"/>
    </bk>
    <bk>
      <rc t="2" v="15834"/>
    </bk>
    <bk>
      <rc t="2" v="15835"/>
    </bk>
    <bk>
      <rc t="2" v="15836"/>
    </bk>
    <bk>
      <rc t="2" v="15837"/>
    </bk>
    <bk>
      <rc t="2" v="15838"/>
    </bk>
    <bk>
      <rc t="2" v="15839"/>
    </bk>
    <bk>
      <rc t="2" v="15840"/>
    </bk>
    <bk>
      <rc t="2" v="15841"/>
    </bk>
    <bk>
      <rc t="2" v="15842"/>
    </bk>
    <bk>
      <rc t="2" v="15843"/>
    </bk>
    <bk>
      <rc t="2" v="15844"/>
    </bk>
    <bk>
      <rc t="2" v="15845"/>
    </bk>
    <bk>
      <rc t="2" v="15846"/>
    </bk>
    <bk>
      <rc t="2" v="15847"/>
    </bk>
    <bk>
      <rc t="2" v="15848"/>
    </bk>
    <bk>
      <rc t="2" v="15849"/>
    </bk>
    <bk>
      <rc t="2" v="15850"/>
    </bk>
    <bk>
      <rc t="2" v="15851"/>
    </bk>
    <bk>
      <rc t="2" v="15852"/>
    </bk>
    <bk>
      <rc t="2" v="15853"/>
    </bk>
    <bk>
      <rc t="2" v="15854"/>
    </bk>
    <bk>
      <rc t="2" v="15855"/>
    </bk>
    <bk>
      <rc t="2" v="15856"/>
    </bk>
    <bk>
      <rc t="2" v="15857"/>
    </bk>
    <bk>
      <rc t="2" v="15858"/>
    </bk>
    <bk>
      <rc t="2" v="15859"/>
    </bk>
    <bk>
      <rc t="2" v="15860"/>
    </bk>
    <bk>
      <rc t="2" v="15861"/>
    </bk>
    <bk>
      <rc t="2" v="15862"/>
    </bk>
    <bk>
      <rc t="2" v="15863"/>
    </bk>
    <bk>
      <rc t="2" v="15864"/>
    </bk>
    <bk>
      <rc t="2" v="15865"/>
    </bk>
    <bk>
      <rc t="2" v="15866"/>
    </bk>
    <bk>
      <rc t="2" v="15867"/>
    </bk>
    <bk>
      <rc t="2" v="15868"/>
    </bk>
    <bk>
      <rc t="2" v="15869"/>
    </bk>
    <bk>
      <rc t="2" v="15870"/>
    </bk>
    <bk>
      <rc t="2" v="15871"/>
    </bk>
    <bk>
      <rc t="2" v="15872"/>
    </bk>
    <bk>
      <rc t="2" v="15873"/>
    </bk>
    <bk>
      <rc t="2" v="15874"/>
    </bk>
    <bk>
      <rc t="2" v="15875"/>
    </bk>
    <bk>
      <rc t="2" v="15876"/>
    </bk>
    <bk>
      <rc t="2" v="15877"/>
    </bk>
    <bk>
      <rc t="2" v="15878"/>
    </bk>
    <bk>
      <rc t="2" v="15879"/>
    </bk>
    <bk>
      <rc t="2" v="15880"/>
    </bk>
    <bk>
      <rc t="2" v="15881"/>
    </bk>
    <bk>
      <rc t="2" v="15882"/>
    </bk>
    <bk>
      <rc t="2" v="15883"/>
    </bk>
    <bk>
      <rc t="2" v="15884"/>
    </bk>
    <bk>
      <rc t="2" v="15885"/>
    </bk>
    <bk>
      <rc t="2" v="15886"/>
    </bk>
    <bk>
      <rc t="2" v="15887"/>
    </bk>
    <bk>
      <rc t="2" v="15888"/>
    </bk>
    <bk>
      <rc t="2" v="15889"/>
    </bk>
    <bk>
      <rc t="2" v="15890"/>
    </bk>
    <bk>
      <rc t="2" v="15891"/>
    </bk>
    <bk>
      <rc t="2" v="15892"/>
    </bk>
    <bk>
      <rc t="2" v="15893"/>
    </bk>
    <bk>
      <rc t="2" v="15894"/>
    </bk>
    <bk>
      <rc t="2" v="15895"/>
    </bk>
    <bk>
      <rc t="2" v="15896"/>
    </bk>
    <bk>
      <rc t="2" v="15897"/>
    </bk>
    <bk>
      <rc t="2" v="15898"/>
    </bk>
    <bk>
      <rc t="2" v="15899"/>
    </bk>
    <bk>
      <rc t="2" v="15900"/>
    </bk>
    <bk>
      <rc t="2" v="15901"/>
    </bk>
    <bk>
      <rc t="2" v="15902"/>
    </bk>
    <bk>
      <rc t="2" v="15903"/>
    </bk>
    <bk>
      <rc t="2" v="15904"/>
    </bk>
    <bk>
      <rc t="2" v="15905"/>
    </bk>
    <bk>
      <rc t="2" v="15906"/>
    </bk>
    <bk>
      <rc t="2" v="15907"/>
    </bk>
    <bk>
      <rc t="2" v="15908"/>
    </bk>
    <bk>
      <rc t="2" v="15909"/>
    </bk>
    <bk>
      <rc t="2" v="15910"/>
    </bk>
    <bk>
      <rc t="2" v="15911"/>
    </bk>
    <bk>
      <rc t="2" v="15912"/>
    </bk>
    <bk>
      <rc t="2" v="15913"/>
    </bk>
    <bk>
      <rc t="2" v="15914"/>
    </bk>
    <bk>
      <rc t="2" v="15915"/>
    </bk>
    <bk>
      <rc t="2" v="15916"/>
    </bk>
    <bk>
      <rc t="2" v="15917"/>
    </bk>
    <bk>
      <rc t="2" v="15918"/>
    </bk>
    <bk>
      <rc t="2" v="15919"/>
    </bk>
    <bk>
      <rc t="2" v="15920"/>
    </bk>
    <bk>
      <rc t="2" v="15921"/>
    </bk>
    <bk>
      <rc t="2" v="15922"/>
    </bk>
    <bk>
      <rc t="2" v="15923"/>
    </bk>
    <bk>
      <rc t="2" v="15924"/>
    </bk>
    <bk>
      <rc t="2" v="15925"/>
    </bk>
    <bk>
      <rc t="2" v="15926"/>
    </bk>
    <bk>
      <rc t="2" v="15927"/>
    </bk>
    <bk>
      <rc t="2" v="15928"/>
    </bk>
    <bk>
      <rc t="2" v="15929"/>
    </bk>
    <bk>
      <rc t="2" v="15930"/>
    </bk>
    <bk>
      <rc t="2" v="15931"/>
    </bk>
    <bk>
      <rc t="2" v="15932"/>
    </bk>
    <bk>
      <rc t="2" v="15933"/>
    </bk>
    <bk>
      <rc t="2" v="15934"/>
    </bk>
    <bk>
      <rc t="2" v="15935"/>
    </bk>
    <bk>
      <rc t="2" v="15936"/>
    </bk>
    <bk>
      <rc t="2" v="15937"/>
    </bk>
    <bk>
      <rc t="2" v="15938"/>
    </bk>
    <bk>
      <rc t="2" v="15939"/>
    </bk>
    <bk>
      <rc t="2" v="15940"/>
    </bk>
    <bk>
      <rc t="2" v="15941"/>
    </bk>
    <bk>
      <rc t="2" v="15942"/>
    </bk>
    <bk>
      <rc t="2" v="15943"/>
    </bk>
    <bk>
      <rc t="2" v="15944"/>
    </bk>
    <bk>
      <rc t="2" v="15945"/>
    </bk>
    <bk>
      <rc t="2" v="15946"/>
    </bk>
    <bk>
      <rc t="2" v="15947"/>
    </bk>
    <bk>
      <rc t="2" v="15948"/>
    </bk>
    <bk>
      <rc t="2" v="15949"/>
    </bk>
    <bk>
      <rc t="2" v="15950"/>
    </bk>
    <bk>
      <rc t="2" v="15951"/>
    </bk>
    <bk>
      <rc t="2" v="15952"/>
    </bk>
    <bk>
      <rc t="2" v="15953"/>
    </bk>
    <bk>
      <rc t="2" v="15954"/>
    </bk>
    <bk>
      <rc t="2" v="15955"/>
    </bk>
    <bk>
      <rc t="2" v="15956"/>
    </bk>
    <bk>
      <rc t="2" v="15957"/>
    </bk>
    <bk>
      <rc t="2" v="15958"/>
    </bk>
    <bk>
      <rc t="2" v="15959"/>
    </bk>
    <bk>
      <rc t="2" v="15960"/>
    </bk>
    <bk>
      <rc t="2" v="15961"/>
    </bk>
    <bk>
      <rc t="2" v="15962"/>
    </bk>
    <bk>
      <rc t="2" v="15963"/>
    </bk>
    <bk>
      <rc t="2" v="15964"/>
    </bk>
    <bk>
      <rc t="2" v="15965"/>
    </bk>
    <bk>
      <rc t="2" v="15966"/>
    </bk>
    <bk>
      <rc t="2" v="15967"/>
    </bk>
    <bk>
      <rc t="2" v="15968"/>
    </bk>
    <bk>
      <rc t="2" v="15969"/>
    </bk>
    <bk>
      <rc t="2" v="15970"/>
    </bk>
    <bk>
      <rc t="2" v="15971"/>
    </bk>
    <bk>
      <rc t="2" v="15972"/>
    </bk>
    <bk>
      <rc t="2" v="15973"/>
    </bk>
    <bk>
      <rc t="2" v="15974"/>
    </bk>
    <bk>
      <rc t="2" v="15975"/>
    </bk>
    <bk>
      <rc t="2" v="15976"/>
    </bk>
    <bk>
      <rc t="2" v="15977"/>
    </bk>
    <bk>
      <rc t="2" v="15978"/>
    </bk>
    <bk>
      <rc t="2" v="15979"/>
    </bk>
    <bk>
      <rc t="2" v="15980"/>
    </bk>
    <bk>
      <rc t="2" v="15981"/>
    </bk>
    <bk>
      <rc t="2" v="15982"/>
    </bk>
    <bk>
      <rc t="2" v="15983"/>
    </bk>
    <bk>
      <rc t="2" v="15984"/>
    </bk>
    <bk>
      <rc t="2" v="15985"/>
    </bk>
    <bk>
      <rc t="2" v="15986"/>
    </bk>
    <bk>
      <rc t="2" v="15987"/>
    </bk>
    <bk>
      <rc t="2" v="15988"/>
    </bk>
    <bk>
      <rc t="2" v="15989"/>
    </bk>
    <bk>
      <rc t="2" v="15990"/>
    </bk>
    <bk>
      <rc t="2" v="15991"/>
    </bk>
    <bk>
      <rc t="2" v="15992"/>
    </bk>
    <bk>
      <rc t="2" v="15993"/>
    </bk>
    <bk>
      <rc t="2" v="15994"/>
    </bk>
    <bk>
      <rc t="2" v="15995"/>
    </bk>
    <bk>
      <rc t="2" v="15996"/>
    </bk>
    <bk>
      <rc t="2" v="15997"/>
    </bk>
    <bk>
      <rc t="2" v="15998"/>
    </bk>
    <bk>
      <rc t="2" v="15999"/>
    </bk>
    <bk>
      <rc t="2" v="16000"/>
    </bk>
    <bk>
      <rc t="2" v="16001"/>
    </bk>
    <bk>
      <rc t="2" v="16002"/>
    </bk>
    <bk>
      <rc t="2" v="16003"/>
    </bk>
    <bk>
      <rc t="2" v="16004"/>
    </bk>
    <bk>
      <rc t="2" v="16005"/>
    </bk>
    <bk>
      <rc t="2" v="16006"/>
    </bk>
    <bk>
      <rc t="2" v="16007"/>
    </bk>
    <bk>
      <rc t="2" v="16008"/>
    </bk>
    <bk>
      <rc t="2" v="16009"/>
    </bk>
    <bk>
      <rc t="2" v="16010"/>
    </bk>
    <bk>
      <rc t="2" v="16011"/>
    </bk>
    <bk>
      <rc t="2" v="16012"/>
    </bk>
    <bk>
      <rc t="2" v="16013"/>
    </bk>
    <bk>
      <rc t="2" v="16014"/>
    </bk>
    <bk>
      <rc t="2" v="16015"/>
    </bk>
    <bk>
      <rc t="2" v="16016"/>
    </bk>
    <bk>
      <rc t="2" v="16017"/>
    </bk>
    <bk>
      <rc t="2" v="16018"/>
    </bk>
    <bk>
      <rc t="2" v="16019"/>
    </bk>
    <bk>
      <rc t="2" v="16020"/>
    </bk>
    <bk>
      <rc t="2" v="16021"/>
    </bk>
    <bk>
      <rc t="2" v="16022"/>
    </bk>
    <bk>
      <rc t="2" v="16023"/>
    </bk>
    <bk>
      <rc t="2" v="16024"/>
    </bk>
    <bk>
      <rc t="2" v="16025"/>
    </bk>
    <bk>
      <rc t="2" v="16026"/>
    </bk>
    <bk>
      <rc t="2" v="16027"/>
    </bk>
    <bk>
      <rc t="2" v="16028"/>
    </bk>
    <bk>
      <rc t="2" v="16029"/>
    </bk>
    <bk>
      <rc t="2" v="16030"/>
    </bk>
    <bk>
      <rc t="2" v="16031"/>
    </bk>
    <bk>
      <rc t="2" v="16032"/>
    </bk>
    <bk>
      <rc t="2" v="16033"/>
    </bk>
    <bk>
      <rc t="2" v="16034"/>
    </bk>
    <bk>
      <rc t="2" v="16035"/>
    </bk>
    <bk>
      <rc t="2" v="16036"/>
    </bk>
    <bk>
      <rc t="2" v="16037"/>
    </bk>
    <bk>
      <rc t="2" v="16038"/>
    </bk>
    <bk>
      <rc t="2" v="16039"/>
    </bk>
    <bk>
      <rc t="2" v="16040"/>
    </bk>
    <bk>
      <rc t="2" v="16041"/>
    </bk>
    <bk>
      <rc t="2" v="16042"/>
    </bk>
    <bk>
      <rc t="2" v="16043"/>
    </bk>
    <bk>
      <rc t="2" v="16044"/>
    </bk>
    <bk>
      <rc t="2" v="16045"/>
    </bk>
    <bk>
      <rc t="2" v="16046"/>
    </bk>
    <bk>
      <rc t="2" v="16047"/>
    </bk>
    <bk>
      <rc t="2" v="16048"/>
    </bk>
    <bk>
      <rc t="2" v="16049"/>
    </bk>
    <bk>
      <rc t="2" v="16050"/>
    </bk>
    <bk>
      <rc t="2" v="16051"/>
    </bk>
    <bk>
      <rc t="2" v="16052"/>
    </bk>
    <bk>
      <rc t="2" v="16053"/>
    </bk>
    <bk>
      <rc t="2" v="16054"/>
    </bk>
    <bk>
      <rc t="2" v="16055"/>
    </bk>
    <bk>
      <rc t="2" v="16056"/>
    </bk>
    <bk>
      <rc t="2" v="16057"/>
    </bk>
    <bk>
      <rc t="2" v="16058"/>
    </bk>
    <bk>
      <rc t="2" v="16059"/>
    </bk>
    <bk>
      <rc t="2" v="16060"/>
    </bk>
    <bk>
      <rc t="2" v="16061"/>
    </bk>
    <bk>
      <rc t="2" v="16062"/>
    </bk>
    <bk>
      <rc t="2" v="16063"/>
    </bk>
    <bk>
      <rc t="2" v="16064"/>
    </bk>
    <bk>
      <rc t="2" v="16065"/>
    </bk>
    <bk>
      <rc t="2" v="16066"/>
    </bk>
    <bk>
      <rc t="2" v="16067"/>
    </bk>
    <bk>
      <rc t="2" v="16068"/>
    </bk>
    <bk>
      <rc t="2" v="16069"/>
    </bk>
    <bk>
      <rc t="2" v="16070"/>
    </bk>
    <bk>
      <rc t="2" v="16071"/>
    </bk>
    <bk>
      <rc t="2" v="16072"/>
    </bk>
    <bk>
      <rc t="2" v="16073"/>
    </bk>
    <bk>
      <rc t="2" v="16074"/>
    </bk>
    <bk>
      <rc t="2" v="16075"/>
    </bk>
    <bk>
      <rc t="2" v="16076"/>
    </bk>
    <bk>
      <rc t="2" v="16077"/>
    </bk>
    <bk>
      <rc t="2" v="16078"/>
    </bk>
    <bk>
      <rc t="2" v="16079"/>
    </bk>
    <bk>
      <rc t="2" v="16080"/>
    </bk>
    <bk>
      <rc t="2" v="16081"/>
    </bk>
    <bk>
      <rc t="2" v="16082"/>
    </bk>
    <bk>
      <rc t="2" v="16083"/>
    </bk>
    <bk>
      <rc t="2" v="16084"/>
    </bk>
    <bk>
      <rc t="2" v="16085"/>
    </bk>
    <bk>
      <rc t="2" v="16086"/>
    </bk>
    <bk>
      <rc t="2" v="16087"/>
    </bk>
    <bk>
      <rc t="2" v="16088"/>
    </bk>
    <bk>
      <rc t="2" v="16089"/>
    </bk>
    <bk>
      <rc t="2" v="16090"/>
    </bk>
    <bk>
      <rc t="2" v="16091"/>
    </bk>
    <bk>
      <rc t="2" v="16092"/>
    </bk>
    <bk>
      <rc t="2" v="16093"/>
    </bk>
    <bk>
      <rc t="2" v="16094"/>
    </bk>
    <bk>
      <rc t="2" v="16095"/>
    </bk>
    <bk>
      <rc t="2" v="16096"/>
    </bk>
    <bk>
      <rc t="2" v="16097"/>
    </bk>
    <bk>
      <rc t="2" v="16098"/>
    </bk>
    <bk>
      <rc t="2" v="16099"/>
    </bk>
    <bk>
      <rc t="2" v="16100"/>
    </bk>
    <bk>
      <rc t="2" v="16101"/>
    </bk>
    <bk>
      <rc t="2" v="16102"/>
    </bk>
    <bk>
      <rc t="2" v="16103"/>
    </bk>
    <bk>
      <rc t="2" v="16104"/>
    </bk>
    <bk>
      <rc t="2" v="16105"/>
    </bk>
    <bk>
      <rc t="2" v="16106"/>
    </bk>
    <bk>
      <rc t="2" v="16107"/>
    </bk>
    <bk>
      <rc t="2" v="16108"/>
    </bk>
    <bk>
      <rc t="2" v="16109"/>
    </bk>
    <bk>
      <rc t="2" v="16110"/>
    </bk>
    <bk>
      <rc t="2" v="16111"/>
    </bk>
    <bk>
      <rc t="2" v="16112"/>
    </bk>
    <bk>
      <rc t="2" v="16113"/>
    </bk>
    <bk>
      <rc t="2" v="16114"/>
    </bk>
    <bk>
      <rc t="2" v="16115"/>
    </bk>
    <bk>
      <rc t="2" v="16116"/>
    </bk>
    <bk>
      <rc t="2" v="16117"/>
    </bk>
    <bk>
      <rc t="2" v="16118"/>
    </bk>
    <bk>
      <rc t="2" v="16119"/>
    </bk>
    <bk>
      <rc t="2" v="16120"/>
    </bk>
    <bk>
      <rc t="2" v="16121"/>
    </bk>
    <bk>
      <rc t="2" v="16122"/>
    </bk>
    <bk>
      <rc t="2" v="16123"/>
    </bk>
    <bk>
      <rc t="2" v="16124"/>
    </bk>
    <bk>
      <rc t="2" v="16125"/>
    </bk>
    <bk>
      <rc t="2" v="16126"/>
    </bk>
    <bk>
      <rc t="2" v="16127"/>
    </bk>
    <bk>
      <rc t="2" v="16128"/>
    </bk>
    <bk>
      <rc t="2" v="16129"/>
    </bk>
    <bk>
      <rc t="2" v="16130"/>
    </bk>
    <bk>
      <rc t="2" v="16131"/>
    </bk>
    <bk>
      <rc t="2" v="16132"/>
    </bk>
    <bk>
      <rc t="2" v="16133"/>
    </bk>
    <bk>
      <rc t="2" v="16134"/>
    </bk>
    <bk>
      <rc t="2" v="16135"/>
    </bk>
    <bk>
      <rc t="2" v="16136"/>
    </bk>
    <bk>
      <rc t="2" v="16137"/>
    </bk>
    <bk>
      <rc t="2" v="16138"/>
    </bk>
    <bk>
      <rc t="2" v="16139"/>
    </bk>
    <bk>
      <rc t="2" v="16140"/>
    </bk>
    <bk>
      <rc t="2" v="16141"/>
    </bk>
    <bk>
      <rc t="2" v="16142"/>
    </bk>
    <bk>
      <rc t="2" v="16143"/>
    </bk>
    <bk>
      <rc t="2" v="16144"/>
    </bk>
    <bk>
      <rc t="2" v="16145"/>
    </bk>
    <bk>
      <rc t="2" v="16146"/>
    </bk>
    <bk>
      <rc t="2" v="16147"/>
    </bk>
    <bk>
      <rc t="2" v="16148"/>
    </bk>
    <bk>
      <rc t="2" v="16149"/>
    </bk>
    <bk>
      <rc t="2" v="16150"/>
    </bk>
    <bk>
      <rc t="2" v="16151"/>
    </bk>
    <bk>
      <rc t="2" v="16152"/>
    </bk>
    <bk>
      <rc t="2" v="16153"/>
    </bk>
    <bk>
      <rc t="2" v="16154"/>
    </bk>
    <bk>
      <rc t="2" v="16155"/>
    </bk>
    <bk>
      <rc t="2" v="16156"/>
    </bk>
    <bk>
      <rc t="2" v="16157"/>
    </bk>
    <bk>
      <rc t="2" v="16158"/>
    </bk>
    <bk>
      <rc t="2" v="16159"/>
    </bk>
    <bk>
      <rc t="2" v="16160"/>
    </bk>
    <bk>
      <rc t="2" v="16161"/>
    </bk>
    <bk>
      <rc t="2" v="16162"/>
    </bk>
    <bk>
      <rc t="2" v="16163"/>
    </bk>
    <bk>
      <rc t="2" v="16164"/>
    </bk>
    <bk>
      <rc t="2" v="16165"/>
    </bk>
    <bk>
      <rc t="2" v="16166"/>
    </bk>
    <bk>
      <rc t="2" v="16167"/>
    </bk>
    <bk>
      <rc t="2" v="16168"/>
    </bk>
    <bk>
      <rc t="2" v="16169"/>
    </bk>
    <bk>
      <rc t="2" v="16170"/>
    </bk>
    <bk>
      <rc t="2" v="16171"/>
    </bk>
    <bk>
      <rc t="2" v="16172"/>
    </bk>
    <bk>
      <rc t="2" v="16173"/>
    </bk>
    <bk>
      <rc t="2" v="16174"/>
    </bk>
    <bk>
      <rc t="2" v="16175"/>
    </bk>
    <bk>
      <rc t="2" v="16176"/>
    </bk>
    <bk>
      <rc t="2" v="16177"/>
    </bk>
    <bk>
      <rc t="2" v="16178"/>
    </bk>
    <bk>
      <rc t="2" v="16179"/>
    </bk>
    <bk>
      <rc t="2" v="16180"/>
    </bk>
    <bk>
      <rc t="2" v="16181"/>
    </bk>
    <bk>
      <rc t="2" v="16182"/>
    </bk>
    <bk>
      <rc t="2" v="16183"/>
    </bk>
    <bk>
      <rc t="2" v="16184"/>
    </bk>
    <bk>
      <rc t="2" v="16185"/>
    </bk>
    <bk>
      <rc t="2" v="16186"/>
    </bk>
    <bk>
      <rc t="2" v="16187"/>
    </bk>
    <bk>
      <rc t="2" v="16188"/>
    </bk>
    <bk>
      <rc t="2" v="16189"/>
    </bk>
    <bk>
      <rc t="2" v="16190"/>
    </bk>
    <bk>
      <rc t="2" v="16191"/>
    </bk>
    <bk>
      <rc t="2" v="16192"/>
    </bk>
    <bk>
      <rc t="2" v="16193"/>
    </bk>
    <bk>
      <rc t="2" v="16194"/>
    </bk>
    <bk>
      <rc t="2" v="16195"/>
    </bk>
    <bk>
      <rc t="2" v="16196"/>
    </bk>
    <bk>
      <rc t="2" v="16197"/>
    </bk>
    <bk>
      <rc t="2" v="16198"/>
    </bk>
    <bk>
      <rc t="2" v="16199"/>
    </bk>
    <bk>
      <rc t="2" v="16200"/>
    </bk>
    <bk>
      <rc t="2" v="16201"/>
    </bk>
    <bk>
      <rc t="2" v="16202"/>
    </bk>
    <bk>
      <rc t="2" v="16203"/>
    </bk>
    <bk>
      <rc t="2" v="16204"/>
    </bk>
    <bk>
      <rc t="2" v="16205"/>
    </bk>
    <bk>
      <rc t="2" v="16206"/>
    </bk>
    <bk>
      <rc t="2" v="16207"/>
    </bk>
    <bk>
      <rc t="2" v="16208"/>
    </bk>
    <bk>
      <rc t="2" v="16209"/>
    </bk>
    <bk>
      <rc t="2" v="16210"/>
    </bk>
    <bk>
      <rc t="2" v="16211"/>
    </bk>
    <bk>
      <rc t="2" v="16212"/>
    </bk>
    <bk>
      <rc t="2" v="16213"/>
    </bk>
    <bk>
      <rc t="2" v="16214"/>
    </bk>
    <bk>
      <rc t="2" v="16215"/>
    </bk>
    <bk>
      <rc t="2" v="16216"/>
    </bk>
    <bk>
      <rc t="2" v="16217"/>
    </bk>
    <bk>
      <rc t="2" v="16218"/>
    </bk>
    <bk>
      <rc t="2" v="16219"/>
    </bk>
    <bk>
      <rc t="2" v="16220"/>
    </bk>
    <bk>
      <rc t="2" v="16221"/>
    </bk>
    <bk>
      <rc t="2" v="16222"/>
    </bk>
    <bk>
      <rc t="2" v="16223"/>
    </bk>
    <bk>
      <rc t="2" v="16224"/>
    </bk>
    <bk>
      <rc t="2" v="16225"/>
    </bk>
    <bk>
      <rc t="2" v="16226"/>
    </bk>
    <bk>
      <rc t="2" v="16227"/>
    </bk>
    <bk>
      <rc t="2" v="16228"/>
    </bk>
    <bk>
      <rc t="2" v="16229"/>
    </bk>
    <bk>
      <rc t="2" v="16230"/>
    </bk>
    <bk>
      <rc t="2" v="16231"/>
    </bk>
    <bk>
      <rc t="2" v="16232"/>
    </bk>
    <bk>
      <rc t="2" v="16233"/>
    </bk>
    <bk>
      <rc t="2" v="16234"/>
    </bk>
    <bk>
      <rc t="2" v="16235"/>
    </bk>
    <bk>
      <rc t="2" v="16236"/>
    </bk>
    <bk>
      <rc t="2" v="16237"/>
    </bk>
    <bk>
      <rc t="2" v="16238"/>
    </bk>
    <bk>
      <rc t="2" v="16239"/>
    </bk>
    <bk>
      <rc t="2" v="16240"/>
    </bk>
    <bk>
      <rc t="2" v="16241"/>
    </bk>
    <bk>
      <rc t="2" v="16242"/>
    </bk>
    <bk>
      <rc t="2" v="16243"/>
    </bk>
    <bk>
      <rc t="2" v="16244"/>
    </bk>
    <bk>
      <rc t="2" v="16245"/>
    </bk>
    <bk>
      <rc t="2" v="16246"/>
    </bk>
    <bk>
      <rc t="2" v="16247"/>
    </bk>
    <bk>
      <rc t="2" v="16248"/>
    </bk>
    <bk>
      <rc t="2" v="16249"/>
    </bk>
    <bk>
      <rc t="2" v="16250"/>
    </bk>
    <bk>
      <rc t="2" v="16251"/>
    </bk>
    <bk>
      <rc t="2" v="16252"/>
    </bk>
    <bk>
      <rc t="2" v="16253"/>
    </bk>
    <bk>
      <rc t="2" v="16254"/>
    </bk>
    <bk>
      <rc t="2" v="16255"/>
    </bk>
    <bk>
      <rc t="2" v="16256"/>
    </bk>
    <bk>
      <rc t="2" v="16257"/>
    </bk>
    <bk>
      <rc t="2" v="16258"/>
    </bk>
    <bk>
      <rc t="2" v="16259"/>
    </bk>
    <bk>
      <rc t="2" v="16260"/>
    </bk>
    <bk>
      <rc t="2" v="16261"/>
    </bk>
    <bk>
      <rc t="2" v="16262"/>
    </bk>
    <bk>
      <rc t="2" v="16263"/>
    </bk>
    <bk>
      <rc t="2" v="16264"/>
    </bk>
    <bk>
      <rc t="2" v="16265"/>
    </bk>
    <bk>
      <rc t="2" v="16266"/>
    </bk>
    <bk>
      <rc t="2" v="16267"/>
    </bk>
    <bk>
      <rc t="2" v="16268"/>
    </bk>
    <bk>
      <rc t="2" v="16269"/>
    </bk>
    <bk>
      <rc t="2" v="16270"/>
    </bk>
    <bk>
      <rc t="2" v="16271"/>
    </bk>
    <bk>
      <rc t="2" v="16272"/>
    </bk>
    <bk>
      <rc t="2" v="16273"/>
    </bk>
    <bk>
      <rc t="2" v="16274"/>
    </bk>
    <bk>
      <rc t="2" v="16275"/>
    </bk>
    <bk>
      <rc t="2" v="16276"/>
    </bk>
    <bk>
      <rc t="2" v="16277"/>
    </bk>
    <bk>
      <rc t="2" v="16278"/>
    </bk>
    <bk>
      <rc t="2" v="16279"/>
    </bk>
    <bk>
      <rc t="2" v="16280"/>
    </bk>
    <bk>
      <rc t="2" v="16281"/>
    </bk>
    <bk>
      <rc t="2" v="16282"/>
    </bk>
    <bk>
      <rc t="2" v="16283"/>
    </bk>
    <bk>
      <rc t="2" v="16284"/>
    </bk>
    <bk>
      <rc t="2" v="16285"/>
    </bk>
    <bk>
      <rc t="2" v="16286"/>
    </bk>
    <bk>
      <rc t="2" v="16287"/>
    </bk>
    <bk>
      <rc t="2" v="16288"/>
    </bk>
    <bk>
      <rc t="2" v="16289"/>
    </bk>
    <bk>
      <rc t="2" v="16290"/>
    </bk>
    <bk>
      <rc t="2" v="16291"/>
    </bk>
    <bk>
      <rc t="2" v="16292"/>
    </bk>
    <bk>
      <rc t="2" v="16293"/>
    </bk>
    <bk>
      <rc t="2" v="16294"/>
    </bk>
    <bk>
      <rc t="2" v="16295"/>
    </bk>
    <bk>
      <rc t="2" v="16296"/>
    </bk>
    <bk>
      <rc t="2" v="16297"/>
    </bk>
    <bk>
      <rc t="2" v="16298"/>
    </bk>
    <bk>
      <rc t="2" v="16299"/>
    </bk>
    <bk>
      <rc t="2" v="16300"/>
    </bk>
    <bk>
      <rc t="2" v="16301"/>
    </bk>
    <bk>
      <rc t="2" v="16302"/>
    </bk>
    <bk>
      <rc t="2" v="16303"/>
    </bk>
    <bk>
      <rc t="2" v="16304"/>
    </bk>
    <bk>
      <rc t="2" v="16305"/>
    </bk>
    <bk>
      <rc t="2" v="16306"/>
    </bk>
    <bk>
      <rc t="2" v="16307"/>
    </bk>
    <bk>
      <rc t="2" v="16308"/>
    </bk>
    <bk>
      <rc t="2" v="16309"/>
    </bk>
    <bk>
      <rc t="2" v="16310"/>
    </bk>
    <bk>
      <rc t="2" v="16311"/>
    </bk>
    <bk>
      <rc t="2" v="16312"/>
    </bk>
    <bk>
      <rc t="2" v="16313"/>
    </bk>
    <bk>
      <rc t="2" v="16314"/>
    </bk>
    <bk>
      <rc t="2" v="16315"/>
    </bk>
    <bk>
      <rc t="2" v="16316"/>
    </bk>
    <bk>
      <rc t="2" v="16317"/>
    </bk>
    <bk>
      <rc t="2" v="16318"/>
    </bk>
    <bk>
      <rc t="2" v="16319"/>
    </bk>
    <bk>
      <rc t="2" v="16320"/>
    </bk>
    <bk>
      <rc t="2" v="16321"/>
    </bk>
    <bk>
      <rc t="2" v="16322"/>
    </bk>
    <bk>
      <rc t="2" v="16323"/>
    </bk>
    <bk>
      <rc t="2" v="16324"/>
    </bk>
    <bk>
      <rc t="2" v="16325"/>
    </bk>
    <bk>
      <rc t="2" v="16326"/>
    </bk>
    <bk>
      <rc t="2" v="16327"/>
    </bk>
    <bk>
      <rc t="2" v="16328"/>
    </bk>
    <bk>
      <rc t="2" v="16329"/>
    </bk>
    <bk>
      <rc t="2" v="16330"/>
    </bk>
    <bk>
      <rc t="2" v="16331"/>
    </bk>
    <bk>
      <rc t="2" v="16332"/>
    </bk>
    <bk>
      <rc t="2" v="16333"/>
    </bk>
    <bk>
      <rc t="2" v="16334"/>
    </bk>
    <bk>
      <rc t="2" v="16335"/>
    </bk>
    <bk>
      <rc t="2" v="16336"/>
    </bk>
    <bk>
      <rc t="2" v="16337"/>
    </bk>
    <bk>
      <rc t="2" v="16338"/>
    </bk>
    <bk>
      <rc t="2" v="16339"/>
    </bk>
    <bk>
      <rc t="2" v="16340"/>
    </bk>
    <bk>
      <rc t="2" v="16341"/>
    </bk>
    <bk>
      <rc t="2" v="16342"/>
    </bk>
    <bk>
      <rc t="2" v="16343"/>
    </bk>
    <bk>
      <rc t="2" v="16344"/>
    </bk>
    <bk>
      <rc t="2" v="16345"/>
    </bk>
    <bk>
      <rc t="2" v="16346"/>
    </bk>
    <bk>
      <rc t="2" v="16347"/>
    </bk>
    <bk>
      <rc t="2" v="16348"/>
    </bk>
    <bk>
      <rc t="2" v="16349"/>
    </bk>
    <bk>
      <rc t="2" v="16350"/>
    </bk>
    <bk>
      <rc t="2" v="16351"/>
    </bk>
    <bk>
      <rc t="2" v="16352"/>
    </bk>
    <bk>
      <rc t="2" v="16353"/>
    </bk>
    <bk>
      <rc t="2" v="16354"/>
    </bk>
    <bk>
      <rc t="2" v="16355"/>
    </bk>
    <bk>
      <rc t="2" v="16356"/>
    </bk>
    <bk>
      <rc t="2" v="16357"/>
    </bk>
    <bk>
      <rc t="2" v="16358"/>
    </bk>
    <bk>
      <rc t="2" v="16359"/>
    </bk>
    <bk>
      <rc t="2" v="16360"/>
    </bk>
    <bk>
      <rc t="2" v="16361"/>
    </bk>
    <bk>
      <rc t="2" v="16362"/>
    </bk>
    <bk>
      <rc t="2" v="16363"/>
    </bk>
    <bk>
      <rc t="2" v="16364"/>
    </bk>
    <bk>
      <rc t="2" v="16365"/>
    </bk>
    <bk>
      <rc t="2" v="16366"/>
    </bk>
    <bk>
      <rc t="2" v="16367"/>
    </bk>
    <bk>
      <rc t="2" v="16368"/>
    </bk>
    <bk>
      <rc t="2" v="16369"/>
    </bk>
    <bk>
      <rc t="2" v="16370"/>
    </bk>
    <bk>
      <rc t="2" v="16371"/>
    </bk>
    <bk>
      <rc t="2" v="16372"/>
    </bk>
    <bk>
      <rc t="2" v="16373"/>
    </bk>
    <bk>
      <rc t="2" v="16374"/>
    </bk>
    <bk>
      <rc t="2" v="16375"/>
    </bk>
    <bk>
      <rc t="2" v="16376"/>
    </bk>
    <bk>
      <rc t="2" v="16377"/>
    </bk>
    <bk>
      <rc t="2" v="16378"/>
    </bk>
    <bk>
      <rc t="2" v="16379"/>
    </bk>
    <bk>
      <rc t="2" v="16380"/>
    </bk>
    <bk>
      <rc t="2" v="16381"/>
    </bk>
    <bk>
      <rc t="2" v="16382"/>
    </bk>
    <bk>
      <rc t="2" v="16383"/>
    </bk>
    <bk>
      <rc t="2" v="16384"/>
    </bk>
    <bk>
      <rc t="2" v="16385"/>
    </bk>
    <bk>
      <rc t="2" v="16386"/>
    </bk>
    <bk>
      <rc t="2" v="16387"/>
    </bk>
    <bk>
      <rc t="2" v="16388"/>
    </bk>
    <bk>
      <rc t="2" v="16389"/>
    </bk>
    <bk>
      <rc t="2" v="16390"/>
    </bk>
    <bk>
      <rc t="2" v="16391"/>
    </bk>
    <bk>
      <rc t="2" v="16392"/>
    </bk>
    <bk>
      <rc t="2" v="16393"/>
    </bk>
    <bk>
      <rc t="2" v="16394"/>
    </bk>
    <bk>
      <rc t="2" v="16395"/>
    </bk>
    <bk>
      <rc t="2" v="16396"/>
    </bk>
    <bk>
      <rc t="2" v="16397"/>
    </bk>
    <bk>
      <rc t="2" v="16398"/>
    </bk>
    <bk>
      <rc t="2" v="16399"/>
    </bk>
    <bk>
      <rc t="2" v="16400"/>
    </bk>
    <bk>
      <rc t="2" v="16401"/>
    </bk>
    <bk>
      <rc t="2" v="16402"/>
    </bk>
    <bk>
      <rc t="2" v="16403"/>
    </bk>
    <bk>
      <rc t="2" v="16404"/>
    </bk>
    <bk>
      <rc t="2" v="16405"/>
    </bk>
    <bk>
      <rc t="2" v="16406"/>
    </bk>
    <bk>
      <rc t="2" v="16407"/>
    </bk>
    <bk>
      <rc t="2" v="16408"/>
    </bk>
    <bk>
      <rc t="2" v="16409"/>
    </bk>
    <bk>
      <rc t="2" v="16410"/>
    </bk>
    <bk>
      <rc t="2" v="16411"/>
    </bk>
    <bk>
      <rc t="2" v="16412"/>
    </bk>
    <bk>
      <rc t="2" v="16413"/>
    </bk>
    <bk>
      <rc t="2" v="16414"/>
    </bk>
    <bk>
      <rc t="2" v="16415"/>
    </bk>
    <bk>
      <rc t="2" v="16416"/>
    </bk>
    <bk>
      <rc t="2" v="16417"/>
    </bk>
    <bk>
      <rc t="2" v="16418"/>
    </bk>
    <bk>
      <rc t="2" v="16419"/>
    </bk>
    <bk>
      <rc t="2" v="16420"/>
    </bk>
    <bk>
      <rc t="2" v="16421"/>
    </bk>
    <bk>
      <rc t="2" v="16422"/>
    </bk>
    <bk>
      <rc t="2" v="16423"/>
    </bk>
    <bk>
      <rc t="2" v="16424"/>
    </bk>
    <bk>
      <rc t="2" v="16425"/>
    </bk>
    <bk>
      <rc t="2" v="16426"/>
    </bk>
    <bk>
      <rc t="2" v="16427"/>
    </bk>
    <bk>
      <rc t="2" v="16428"/>
    </bk>
    <bk>
      <rc t="2" v="16429"/>
    </bk>
    <bk>
      <rc t="2" v="16430"/>
    </bk>
    <bk>
      <rc t="2" v="16431"/>
    </bk>
    <bk>
      <rc t="2" v="16432"/>
    </bk>
    <bk>
      <rc t="2" v="16433"/>
    </bk>
    <bk>
      <rc t="2" v="16434"/>
    </bk>
    <bk>
      <rc t="2" v="16435"/>
    </bk>
    <bk>
      <rc t="2" v="16436"/>
    </bk>
    <bk>
      <rc t="2" v="16437"/>
    </bk>
    <bk>
      <rc t="2" v="16438"/>
    </bk>
    <bk>
      <rc t="2" v="16439"/>
    </bk>
    <bk>
      <rc t="2" v="16440"/>
    </bk>
    <bk>
      <rc t="2" v="16441"/>
    </bk>
    <bk>
      <rc t="2" v="16442"/>
    </bk>
    <bk>
      <rc t="2" v="16443"/>
    </bk>
    <bk>
      <rc t="2" v="16444"/>
    </bk>
    <bk>
      <rc t="2" v="16445"/>
    </bk>
    <bk>
      <rc t="2" v="16446"/>
    </bk>
    <bk>
      <rc t="2" v="16447"/>
    </bk>
    <bk>
      <rc t="2" v="16448"/>
    </bk>
    <bk>
      <rc t="2" v="16449"/>
    </bk>
    <bk>
      <rc t="2" v="16450"/>
    </bk>
    <bk>
      <rc t="2" v="16451"/>
    </bk>
    <bk>
      <rc t="2" v="16452"/>
    </bk>
    <bk>
      <rc t="2" v="16453"/>
    </bk>
    <bk>
      <rc t="2" v="16454"/>
    </bk>
    <bk>
      <rc t="2" v="16455"/>
    </bk>
    <bk>
      <rc t="2" v="16456"/>
    </bk>
    <bk>
      <rc t="2" v="16457"/>
    </bk>
    <bk>
      <rc t="2" v="16458"/>
    </bk>
    <bk>
      <rc t="2" v="16459"/>
    </bk>
    <bk>
      <rc t="2" v="16460"/>
    </bk>
    <bk>
      <rc t="2" v="16461"/>
    </bk>
    <bk>
      <rc t="2" v="16462"/>
    </bk>
    <bk>
      <rc t="2" v="16463"/>
    </bk>
    <bk>
      <rc t="2" v="16464"/>
    </bk>
    <bk>
      <rc t="2" v="16465"/>
    </bk>
    <bk>
      <rc t="2" v="16466"/>
    </bk>
    <bk>
      <rc t="2" v="16467"/>
    </bk>
    <bk>
      <rc t="2" v="16468"/>
    </bk>
    <bk>
      <rc t="2" v="16469"/>
    </bk>
    <bk>
      <rc t="2" v="16470"/>
    </bk>
    <bk>
      <rc t="2" v="16471"/>
    </bk>
    <bk>
      <rc t="2" v="16472"/>
    </bk>
    <bk>
      <rc t="2" v="16473"/>
    </bk>
    <bk>
      <rc t="2" v="16474"/>
    </bk>
    <bk>
      <rc t="2" v="16475"/>
    </bk>
    <bk>
      <rc t="2" v="16476"/>
    </bk>
    <bk>
      <rc t="2" v="16477"/>
    </bk>
    <bk>
      <rc t="2" v="16478"/>
    </bk>
    <bk>
      <rc t="2" v="16479"/>
    </bk>
    <bk>
      <rc t="2" v="16480"/>
    </bk>
    <bk>
      <rc t="2" v="16481"/>
    </bk>
    <bk>
      <rc t="2" v="16482"/>
    </bk>
    <bk>
      <rc t="2" v="16483"/>
    </bk>
    <bk>
      <rc t="2" v="16484"/>
    </bk>
    <bk>
      <rc t="2" v="16485"/>
    </bk>
    <bk>
      <rc t="2" v="16486"/>
    </bk>
    <bk>
      <rc t="2" v="16487"/>
    </bk>
    <bk>
      <rc t="2" v="16488"/>
    </bk>
    <bk>
      <rc t="2" v="16489"/>
    </bk>
    <bk>
      <rc t="2" v="16490"/>
    </bk>
    <bk>
      <rc t="2" v="16491"/>
    </bk>
    <bk>
      <rc t="2" v="16492"/>
    </bk>
    <bk>
      <rc t="2" v="16493"/>
    </bk>
    <bk>
      <rc t="2" v="16494"/>
    </bk>
    <bk>
      <rc t="2" v="16495"/>
    </bk>
    <bk>
      <rc t="2" v="16496"/>
    </bk>
    <bk>
      <rc t="2" v="16497"/>
    </bk>
    <bk>
      <rc t="2" v="16498"/>
    </bk>
    <bk>
      <rc t="2" v="16499"/>
    </bk>
    <bk>
      <rc t="2" v="16500"/>
    </bk>
    <bk>
      <rc t="2" v="16501"/>
    </bk>
    <bk>
      <rc t="2" v="16502"/>
    </bk>
    <bk>
      <rc t="2" v="16503"/>
    </bk>
    <bk>
      <rc t="2" v="16504"/>
    </bk>
    <bk>
      <rc t="2" v="16505"/>
    </bk>
    <bk>
      <rc t="2" v="16506"/>
    </bk>
    <bk>
      <rc t="2" v="16507"/>
    </bk>
    <bk>
      <rc t="2" v="16508"/>
    </bk>
    <bk>
      <rc t="2" v="16509"/>
    </bk>
    <bk>
      <rc t="2" v="16510"/>
    </bk>
    <bk>
      <rc t="2" v="16511"/>
    </bk>
    <bk>
      <rc t="2" v="16512"/>
    </bk>
    <bk>
      <rc t="2" v="16513"/>
    </bk>
    <bk>
      <rc t="2" v="16514"/>
    </bk>
    <bk>
      <rc t="2" v="16515"/>
    </bk>
    <bk>
      <rc t="2" v="16516"/>
    </bk>
    <bk>
      <rc t="2" v="16517"/>
    </bk>
    <bk>
      <rc t="2" v="16518"/>
    </bk>
    <bk>
      <rc t="2" v="16519"/>
    </bk>
    <bk>
      <rc t="2" v="16520"/>
    </bk>
    <bk>
      <rc t="2" v="16521"/>
    </bk>
    <bk>
      <rc t="2" v="16522"/>
    </bk>
    <bk>
      <rc t="2" v="16523"/>
    </bk>
    <bk>
      <rc t="2" v="16524"/>
    </bk>
    <bk>
      <rc t="2" v="16525"/>
    </bk>
    <bk>
      <rc t="2" v="16526"/>
    </bk>
    <bk>
      <rc t="2" v="16527"/>
    </bk>
    <bk>
      <rc t="2" v="16528"/>
    </bk>
    <bk>
      <rc t="2" v="16529"/>
    </bk>
    <bk>
      <rc t="2" v="16530"/>
    </bk>
    <bk>
      <rc t="2" v="16531"/>
    </bk>
    <bk>
      <rc t="2" v="16532"/>
    </bk>
    <bk>
      <rc t="2" v="16533"/>
    </bk>
    <bk>
      <rc t="2" v="16534"/>
    </bk>
    <bk>
      <rc t="2" v="16535"/>
    </bk>
    <bk>
      <rc t="2" v="16536"/>
    </bk>
    <bk>
      <rc t="2" v="16537"/>
    </bk>
    <bk>
      <rc t="2" v="16538"/>
    </bk>
    <bk>
      <rc t="2" v="16539"/>
    </bk>
    <bk>
      <rc t="2" v="16540"/>
    </bk>
    <bk>
      <rc t="2" v="16541"/>
    </bk>
    <bk>
      <rc t="2" v="16542"/>
    </bk>
    <bk>
      <rc t="2" v="16543"/>
    </bk>
    <bk>
      <rc t="2" v="16544"/>
    </bk>
    <bk>
      <rc t="2" v="16545"/>
    </bk>
    <bk>
      <rc t="2" v="16546"/>
    </bk>
    <bk>
      <rc t="2" v="16547"/>
    </bk>
    <bk>
      <rc t="2" v="16548"/>
    </bk>
    <bk>
      <rc t="2" v="16549"/>
    </bk>
    <bk>
      <rc t="2" v="16550"/>
    </bk>
    <bk>
      <rc t="2" v="16551"/>
    </bk>
    <bk>
      <rc t="2" v="16552"/>
    </bk>
    <bk>
      <rc t="2" v="16553"/>
    </bk>
    <bk>
      <rc t="2" v="16554"/>
    </bk>
    <bk>
      <rc t="2" v="16555"/>
    </bk>
    <bk>
      <rc t="2" v="16556"/>
    </bk>
    <bk>
      <rc t="2" v="16557"/>
    </bk>
    <bk>
      <rc t="2" v="16558"/>
    </bk>
    <bk>
      <rc t="2" v="16559"/>
    </bk>
    <bk>
      <rc t="2" v="16560"/>
    </bk>
    <bk>
      <rc t="2" v="16561"/>
    </bk>
    <bk>
      <rc t="2" v="16562"/>
    </bk>
    <bk>
      <rc t="2" v="16563"/>
    </bk>
    <bk>
      <rc t="2" v="16564"/>
    </bk>
    <bk>
      <rc t="2" v="16565"/>
    </bk>
    <bk>
      <rc t="2" v="16566"/>
    </bk>
    <bk>
      <rc t="2" v="16567"/>
    </bk>
    <bk>
      <rc t="2" v="16568"/>
    </bk>
    <bk>
      <rc t="2" v="16569"/>
    </bk>
    <bk>
      <rc t="2" v="16570"/>
    </bk>
    <bk>
      <rc t="2" v="16571"/>
    </bk>
    <bk>
      <rc t="2" v="16572"/>
    </bk>
    <bk>
      <rc t="2" v="16573"/>
    </bk>
    <bk>
      <rc t="2" v="16574"/>
    </bk>
    <bk>
      <rc t="2" v="16575"/>
    </bk>
    <bk>
      <rc t="2" v="16576"/>
    </bk>
    <bk>
      <rc t="2" v="16577"/>
    </bk>
    <bk>
      <rc t="2" v="16578"/>
    </bk>
    <bk>
      <rc t="2" v="16579"/>
    </bk>
    <bk>
      <rc t="2" v="16580"/>
    </bk>
    <bk>
      <rc t="2" v="16581"/>
    </bk>
    <bk>
      <rc t="2" v="16582"/>
    </bk>
    <bk>
      <rc t="2" v="16583"/>
    </bk>
    <bk>
      <rc t="2" v="16584"/>
    </bk>
    <bk>
      <rc t="2" v="16585"/>
    </bk>
    <bk>
      <rc t="2" v="16586"/>
    </bk>
    <bk>
      <rc t="2" v="16587"/>
    </bk>
    <bk>
      <rc t="2" v="16588"/>
    </bk>
    <bk>
      <rc t="2" v="16589"/>
    </bk>
    <bk>
      <rc t="2" v="16590"/>
    </bk>
    <bk>
      <rc t="2" v="16591"/>
    </bk>
    <bk>
      <rc t="2" v="16592"/>
    </bk>
    <bk>
      <rc t="2" v="16593"/>
    </bk>
    <bk>
      <rc t="2" v="16594"/>
    </bk>
    <bk>
      <rc t="2" v="16595"/>
    </bk>
    <bk>
      <rc t="2" v="16596"/>
    </bk>
    <bk>
      <rc t="2" v="16597"/>
    </bk>
    <bk>
      <rc t="2" v="16598"/>
    </bk>
    <bk>
      <rc t="2" v="16599"/>
    </bk>
    <bk>
      <rc t="2" v="16600"/>
    </bk>
    <bk>
      <rc t="2" v="16601"/>
    </bk>
    <bk>
      <rc t="2" v="16602"/>
    </bk>
    <bk>
      <rc t="2" v="16603"/>
    </bk>
    <bk>
      <rc t="2" v="16604"/>
    </bk>
    <bk>
      <rc t="2" v="16605"/>
    </bk>
    <bk>
      <rc t="2" v="16606"/>
    </bk>
    <bk>
      <rc t="2" v="16607"/>
    </bk>
    <bk>
      <rc t="2" v="16608"/>
    </bk>
    <bk>
      <rc t="2" v="16609"/>
    </bk>
    <bk>
      <rc t="2" v="16610"/>
    </bk>
    <bk>
      <rc t="2" v="16611"/>
    </bk>
    <bk>
      <rc t="2" v="16612"/>
    </bk>
    <bk>
      <rc t="2" v="16613"/>
    </bk>
    <bk>
      <rc t="2" v="16614"/>
    </bk>
    <bk>
      <rc t="2" v="16615"/>
    </bk>
    <bk>
      <rc t="2" v="16616"/>
    </bk>
    <bk>
      <rc t="2" v="16617"/>
    </bk>
    <bk>
      <rc t="2" v="16618"/>
    </bk>
    <bk>
      <rc t="2" v="16619"/>
    </bk>
    <bk>
      <rc t="2" v="16620"/>
    </bk>
    <bk>
      <rc t="2" v="16621"/>
    </bk>
    <bk>
      <rc t="2" v="16622"/>
    </bk>
    <bk>
      <rc t="2" v="16623"/>
    </bk>
    <bk>
      <rc t="2" v="16624"/>
    </bk>
    <bk>
      <rc t="2" v="16625"/>
    </bk>
    <bk>
      <rc t="2" v="16626"/>
    </bk>
    <bk>
      <rc t="2" v="16627"/>
    </bk>
    <bk>
      <rc t="2" v="16628"/>
    </bk>
    <bk>
      <rc t="2" v="16629"/>
    </bk>
    <bk>
      <rc t="2" v="16630"/>
    </bk>
    <bk>
      <rc t="2" v="16631"/>
    </bk>
    <bk>
      <rc t="2" v="16632"/>
    </bk>
    <bk>
      <rc t="2" v="16633"/>
    </bk>
    <bk>
      <rc t="2" v="16634"/>
    </bk>
    <bk>
      <rc t="2" v="16635"/>
    </bk>
    <bk>
      <rc t="2" v="16636"/>
    </bk>
    <bk>
      <rc t="2" v="16637"/>
    </bk>
    <bk>
      <rc t="2" v="16638"/>
    </bk>
    <bk>
      <rc t="2" v="16639"/>
    </bk>
    <bk>
      <rc t="2" v="16640"/>
    </bk>
    <bk>
      <rc t="2" v="16641"/>
    </bk>
    <bk>
      <rc t="2" v="16642"/>
    </bk>
    <bk>
      <rc t="2" v="16643"/>
    </bk>
    <bk>
      <rc t="2" v="16644"/>
    </bk>
    <bk>
      <rc t="2" v="16645"/>
    </bk>
    <bk>
      <rc t="2" v="16646"/>
    </bk>
    <bk>
      <rc t="2" v="16647"/>
    </bk>
    <bk>
      <rc t="2" v="16648"/>
    </bk>
    <bk>
      <rc t="2" v="16649"/>
    </bk>
    <bk>
      <rc t="2" v="16650"/>
    </bk>
    <bk>
      <rc t="2" v="16651"/>
    </bk>
    <bk>
      <rc t="2" v="16652"/>
    </bk>
    <bk>
      <rc t="2" v="16653"/>
    </bk>
    <bk>
      <rc t="2" v="16654"/>
    </bk>
    <bk>
      <rc t="2" v="16655"/>
    </bk>
    <bk>
      <rc t="2" v="16656"/>
    </bk>
    <bk>
      <rc t="2" v="16657"/>
    </bk>
    <bk>
      <rc t="2" v="16658"/>
    </bk>
    <bk>
      <rc t="2" v="16659"/>
    </bk>
    <bk>
      <rc t="2" v="16660"/>
    </bk>
    <bk>
      <rc t="2" v="16661"/>
    </bk>
    <bk>
      <rc t="2" v="16662"/>
    </bk>
    <bk>
      <rc t="2" v="16663"/>
    </bk>
    <bk>
      <rc t="2" v="16664"/>
    </bk>
    <bk>
      <rc t="2" v="16665"/>
    </bk>
    <bk>
      <rc t="2" v="16666"/>
    </bk>
    <bk>
      <rc t="2" v="16667"/>
    </bk>
    <bk>
      <rc t="2" v="16668"/>
    </bk>
    <bk>
      <rc t="2" v="16669"/>
    </bk>
    <bk>
      <rc t="2" v="16670"/>
    </bk>
    <bk>
      <rc t="2" v="16671"/>
    </bk>
    <bk>
      <rc t="2" v="16672"/>
    </bk>
    <bk>
      <rc t="2" v="16673"/>
    </bk>
    <bk>
      <rc t="2" v="16674"/>
    </bk>
    <bk>
      <rc t="2" v="16675"/>
    </bk>
    <bk>
      <rc t="2" v="16676"/>
    </bk>
    <bk>
      <rc t="2" v="16677"/>
    </bk>
    <bk>
      <rc t="2" v="16678"/>
    </bk>
    <bk>
      <rc t="2" v="16679"/>
    </bk>
    <bk>
      <rc t="2" v="16680"/>
    </bk>
    <bk>
      <rc t="2" v="16681"/>
    </bk>
    <bk>
      <rc t="2" v="16682"/>
    </bk>
    <bk>
      <rc t="2" v="16683"/>
    </bk>
    <bk>
      <rc t="2" v="16684"/>
    </bk>
    <bk>
      <rc t="2" v="16685"/>
    </bk>
    <bk>
      <rc t="2" v="16686"/>
    </bk>
    <bk>
      <rc t="2" v="16687"/>
    </bk>
    <bk>
      <rc t="2" v="16688"/>
    </bk>
    <bk>
      <rc t="2" v="16689"/>
    </bk>
    <bk>
      <rc t="2" v="16690"/>
    </bk>
    <bk>
      <rc t="2" v="16691"/>
    </bk>
    <bk>
      <rc t="2" v="16692"/>
    </bk>
    <bk>
      <rc t="2" v="16693"/>
    </bk>
    <bk>
      <rc t="2" v="16694"/>
    </bk>
    <bk>
      <rc t="2" v="16695"/>
    </bk>
    <bk>
      <rc t="2" v="16696"/>
    </bk>
    <bk>
      <rc t="2" v="16697"/>
    </bk>
    <bk>
      <rc t="2" v="16698"/>
    </bk>
    <bk>
      <rc t="2" v="16699"/>
    </bk>
    <bk>
      <rc t="2" v="16700"/>
    </bk>
    <bk>
      <rc t="2" v="16701"/>
    </bk>
    <bk>
      <rc t="2" v="16702"/>
    </bk>
    <bk>
      <rc t="2" v="16703"/>
    </bk>
    <bk>
      <rc t="2" v="16704"/>
    </bk>
    <bk>
      <rc t="2" v="16705"/>
    </bk>
    <bk>
      <rc t="2" v="16706"/>
    </bk>
    <bk>
      <rc t="2" v="16707"/>
    </bk>
    <bk>
      <rc t="2" v="16708"/>
    </bk>
    <bk>
      <rc t="2" v="16709"/>
    </bk>
    <bk>
      <rc t="2" v="16710"/>
    </bk>
    <bk>
      <rc t="2" v="16711"/>
    </bk>
    <bk>
      <rc t="2" v="16712"/>
    </bk>
    <bk>
      <rc t="2" v="16713"/>
    </bk>
    <bk>
      <rc t="2" v="16714"/>
    </bk>
    <bk>
      <rc t="2" v="16715"/>
    </bk>
    <bk>
      <rc t="2" v="16716"/>
    </bk>
    <bk>
      <rc t="2" v="16717"/>
    </bk>
    <bk>
      <rc t="2" v="16718"/>
    </bk>
    <bk>
      <rc t="2" v="16719"/>
    </bk>
    <bk>
      <rc t="2" v="16720"/>
    </bk>
    <bk>
      <rc t="2" v="16721"/>
    </bk>
    <bk>
      <rc t="2" v="16722"/>
    </bk>
    <bk>
      <rc t="2" v="16723"/>
    </bk>
    <bk>
      <rc t="2" v="16724"/>
    </bk>
    <bk>
      <rc t="2" v="16725"/>
    </bk>
    <bk>
      <rc t="2" v="16726"/>
    </bk>
    <bk>
      <rc t="2" v="16727"/>
    </bk>
    <bk>
      <rc t="2" v="16728"/>
    </bk>
    <bk>
      <rc t="2" v="16729"/>
    </bk>
    <bk>
      <rc t="2" v="16730"/>
    </bk>
    <bk>
      <rc t="2" v="16731"/>
    </bk>
    <bk>
      <rc t="2" v="16732"/>
    </bk>
    <bk>
      <rc t="2" v="16733"/>
    </bk>
    <bk>
      <rc t="2" v="16734"/>
    </bk>
    <bk>
      <rc t="2" v="16735"/>
    </bk>
    <bk>
      <rc t="2" v="16736"/>
    </bk>
    <bk>
      <rc t="2" v="16737"/>
    </bk>
    <bk>
      <rc t="2" v="16738"/>
    </bk>
    <bk>
      <rc t="2" v="16739"/>
    </bk>
    <bk>
      <rc t="2" v="16740"/>
    </bk>
    <bk>
      <rc t="2" v="16741"/>
    </bk>
    <bk>
      <rc t="2" v="16742"/>
    </bk>
    <bk>
      <rc t="2" v="16743"/>
    </bk>
    <bk>
      <rc t="2" v="16744"/>
    </bk>
    <bk>
      <rc t="2" v="16745"/>
    </bk>
    <bk>
      <rc t="2" v="16746"/>
    </bk>
    <bk>
      <rc t="2" v="16747"/>
    </bk>
    <bk>
      <rc t="2" v="16748"/>
    </bk>
    <bk>
      <rc t="2" v="16749"/>
    </bk>
    <bk>
      <rc t="2" v="16750"/>
    </bk>
    <bk>
      <rc t="2" v="16751"/>
    </bk>
    <bk>
      <rc t="2" v="16752"/>
    </bk>
    <bk>
      <rc t="2" v="16753"/>
    </bk>
    <bk>
      <rc t="2" v="16754"/>
    </bk>
    <bk>
      <rc t="2" v="16755"/>
    </bk>
    <bk>
      <rc t="2" v="16756"/>
    </bk>
    <bk>
      <rc t="2" v="16757"/>
    </bk>
    <bk>
      <rc t="2" v="16758"/>
    </bk>
    <bk>
      <rc t="2" v="16759"/>
    </bk>
    <bk>
      <rc t="2" v="16760"/>
    </bk>
    <bk>
      <rc t="2" v="16761"/>
    </bk>
    <bk>
      <rc t="2" v="16762"/>
    </bk>
    <bk>
      <rc t="2" v="16763"/>
    </bk>
    <bk>
      <rc t="2" v="16764"/>
    </bk>
    <bk>
      <rc t="2" v="16765"/>
    </bk>
    <bk>
      <rc t="2" v="16766"/>
    </bk>
    <bk>
      <rc t="2" v="16767"/>
    </bk>
    <bk>
      <rc t="2" v="16768"/>
    </bk>
    <bk>
      <rc t="2" v="16769"/>
    </bk>
    <bk>
      <rc t="2" v="16770"/>
    </bk>
    <bk>
      <rc t="2" v="16771"/>
    </bk>
    <bk>
      <rc t="2" v="16772"/>
    </bk>
    <bk>
      <rc t="2" v="16773"/>
    </bk>
    <bk>
      <rc t="2" v="16774"/>
    </bk>
    <bk>
      <rc t="2" v="16775"/>
    </bk>
    <bk>
      <rc t="2" v="16776"/>
    </bk>
    <bk>
      <rc t="2" v="16777"/>
    </bk>
    <bk>
      <rc t="2" v="16778"/>
    </bk>
    <bk>
      <rc t="2" v="16779"/>
    </bk>
    <bk>
      <rc t="2" v="16780"/>
    </bk>
    <bk>
      <rc t="2" v="16781"/>
    </bk>
    <bk>
      <rc t="2" v="16782"/>
    </bk>
    <bk>
      <rc t="2" v="16783"/>
    </bk>
    <bk>
      <rc t="2" v="16784"/>
    </bk>
    <bk>
      <rc t="2" v="16785"/>
    </bk>
    <bk>
      <rc t="2" v="16786"/>
    </bk>
    <bk>
      <rc t="2" v="16787"/>
    </bk>
    <bk>
      <rc t="2" v="16788"/>
    </bk>
    <bk>
      <rc t="2" v="16789"/>
    </bk>
    <bk>
      <rc t="2" v="16790"/>
    </bk>
    <bk>
      <rc t="2" v="16791"/>
    </bk>
    <bk>
      <rc t="2" v="16792"/>
    </bk>
    <bk>
      <rc t="2" v="16793"/>
    </bk>
    <bk>
      <rc t="2" v="16794"/>
    </bk>
    <bk>
      <rc t="2" v="16795"/>
    </bk>
    <bk>
      <rc t="2" v="16796"/>
    </bk>
    <bk>
      <rc t="2" v="16797"/>
    </bk>
    <bk>
      <rc t="2" v="16798"/>
    </bk>
    <bk>
      <rc t="2" v="16799"/>
    </bk>
    <bk>
      <rc t="2" v="16800"/>
    </bk>
    <bk>
      <rc t="2" v="16801"/>
    </bk>
    <bk>
      <rc t="2" v="16802"/>
    </bk>
    <bk>
      <rc t="2" v="16803"/>
    </bk>
    <bk>
      <rc t="2" v="16804"/>
    </bk>
    <bk>
      <rc t="2" v="16805"/>
    </bk>
    <bk>
      <rc t="2" v="16806"/>
    </bk>
    <bk>
      <rc t="2" v="16807"/>
    </bk>
    <bk>
      <rc t="2" v="16808"/>
    </bk>
    <bk>
      <rc t="2" v="16809"/>
    </bk>
    <bk>
      <rc t="2" v="16810"/>
    </bk>
    <bk>
      <rc t="2" v="16811"/>
    </bk>
    <bk>
      <rc t="2" v="16812"/>
    </bk>
    <bk>
      <rc t="2" v="16813"/>
    </bk>
    <bk>
      <rc t="2" v="16814"/>
    </bk>
    <bk>
      <rc t="2" v="16815"/>
    </bk>
    <bk>
      <rc t="2" v="16816"/>
    </bk>
    <bk>
      <rc t="2" v="16817"/>
    </bk>
    <bk>
      <rc t="2" v="16818"/>
    </bk>
    <bk>
      <rc t="2" v="16819"/>
    </bk>
    <bk>
      <rc t="2" v="16820"/>
    </bk>
    <bk>
      <rc t="2" v="16821"/>
    </bk>
    <bk>
      <rc t="2" v="16822"/>
    </bk>
    <bk>
      <rc t="2" v="16823"/>
    </bk>
    <bk>
      <rc t="2" v="16824"/>
    </bk>
    <bk>
      <rc t="2" v="16825"/>
    </bk>
    <bk>
      <rc t="2" v="16826"/>
    </bk>
    <bk>
      <rc t="2" v="16827"/>
    </bk>
    <bk>
      <rc t="2" v="16828"/>
    </bk>
    <bk>
      <rc t="2" v="16829"/>
    </bk>
    <bk>
      <rc t="2" v="16830"/>
    </bk>
    <bk>
      <rc t="2" v="16831"/>
    </bk>
    <bk>
      <rc t="2" v="16832"/>
    </bk>
    <bk>
      <rc t="2" v="16833"/>
    </bk>
    <bk>
      <rc t="2" v="16834"/>
    </bk>
    <bk>
      <rc t="2" v="16835"/>
    </bk>
    <bk>
      <rc t="2" v="16836"/>
    </bk>
    <bk>
      <rc t="2" v="16837"/>
    </bk>
    <bk>
      <rc t="2" v="16838"/>
    </bk>
    <bk>
      <rc t="2" v="16839"/>
    </bk>
    <bk>
      <rc t="2" v="16840"/>
    </bk>
    <bk>
      <rc t="2" v="16841"/>
    </bk>
    <bk>
      <rc t="2" v="16842"/>
    </bk>
    <bk>
      <rc t="2" v="16843"/>
    </bk>
    <bk>
      <rc t="2" v="16844"/>
    </bk>
    <bk>
      <rc t="2" v="16845"/>
    </bk>
    <bk>
      <rc t="2" v="16846"/>
    </bk>
    <bk>
      <rc t="2" v="16847"/>
    </bk>
    <bk>
      <rc t="2" v="16848"/>
    </bk>
    <bk>
      <rc t="2" v="16849"/>
    </bk>
    <bk>
      <rc t="2" v="16850"/>
    </bk>
    <bk>
      <rc t="2" v="16851"/>
    </bk>
    <bk>
      <rc t="2" v="16852"/>
    </bk>
    <bk>
      <rc t="2" v="16853"/>
    </bk>
    <bk>
      <rc t="2" v="16854"/>
    </bk>
    <bk>
      <rc t="2" v="16855"/>
    </bk>
    <bk>
      <rc t="2" v="16856"/>
    </bk>
    <bk>
      <rc t="2" v="16857"/>
    </bk>
    <bk>
      <rc t="2" v="16858"/>
    </bk>
    <bk>
      <rc t="2" v="16859"/>
    </bk>
    <bk>
      <rc t="2" v="16860"/>
    </bk>
    <bk>
      <rc t="2" v="16861"/>
    </bk>
    <bk>
      <rc t="2" v="16862"/>
    </bk>
    <bk>
      <rc t="2" v="16863"/>
    </bk>
    <bk>
      <rc t="2" v="16864"/>
    </bk>
    <bk>
      <rc t="2" v="16865"/>
    </bk>
    <bk>
      <rc t="2" v="16866"/>
    </bk>
    <bk>
      <rc t="2" v="16867"/>
    </bk>
    <bk>
      <rc t="2" v="16868"/>
    </bk>
    <bk>
      <rc t="2" v="16869"/>
    </bk>
    <bk>
      <rc t="2" v="16870"/>
    </bk>
    <bk>
      <rc t="2" v="16871"/>
    </bk>
    <bk>
      <rc t="2" v="16872"/>
    </bk>
    <bk>
      <rc t="2" v="16873"/>
    </bk>
    <bk>
      <rc t="2" v="16874"/>
    </bk>
    <bk>
      <rc t="2" v="16875"/>
    </bk>
    <bk>
      <rc t="2" v="16876"/>
    </bk>
    <bk>
      <rc t="2" v="16877"/>
    </bk>
    <bk>
      <rc t="2" v="16878"/>
    </bk>
    <bk>
      <rc t="2" v="16879"/>
    </bk>
    <bk>
      <rc t="2" v="16880"/>
    </bk>
    <bk>
      <rc t="2" v="16881"/>
    </bk>
    <bk>
      <rc t="2" v="16882"/>
    </bk>
    <bk>
      <rc t="2" v="16883"/>
    </bk>
    <bk>
      <rc t="2" v="16884"/>
    </bk>
    <bk>
      <rc t="2" v="16885"/>
    </bk>
    <bk>
      <rc t="2" v="16886"/>
    </bk>
    <bk>
      <rc t="2" v="16887"/>
    </bk>
    <bk>
      <rc t="2" v="16888"/>
    </bk>
    <bk>
      <rc t="2" v="16889"/>
    </bk>
    <bk>
      <rc t="2" v="16890"/>
    </bk>
    <bk>
      <rc t="2" v="16891"/>
    </bk>
    <bk>
      <rc t="2" v="16892"/>
    </bk>
    <bk>
      <rc t="2" v="16893"/>
    </bk>
    <bk>
      <rc t="2" v="16894"/>
    </bk>
    <bk>
      <rc t="2" v="16895"/>
    </bk>
    <bk>
      <rc t="2" v="16896"/>
    </bk>
    <bk>
      <rc t="2" v="16897"/>
    </bk>
    <bk>
      <rc t="2" v="16898"/>
    </bk>
    <bk>
      <rc t="2" v="16899"/>
    </bk>
    <bk>
      <rc t="2" v="16900"/>
    </bk>
    <bk>
      <rc t="2" v="16901"/>
    </bk>
    <bk>
      <rc t="2" v="16902"/>
    </bk>
    <bk>
      <rc t="2" v="16903"/>
    </bk>
    <bk>
      <rc t="2" v="16904"/>
    </bk>
    <bk>
      <rc t="2" v="16905"/>
    </bk>
    <bk>
      <rc t="2" v="16906"/>
    </bk>
    <bk>
      <rc t="2" v="16907"/>
    </bk>
    <bk>
      <rc t="2" v="16908"/>
    </bk>
    <bk>
      <rc t="2" v="16909"/>
    </bk>
    <bk>
      <rc t="2" v="16910"/>
    </bk>
    <bk>
      <rc t="2" v="16911"/>
    </bk>
    <bk>
      <rc t="2" v="16912"/>
    </bk>
    <bk>
      <rc t="2" v="16913"/>
    </bk>
    <bk>
      <rc t="2" v="16914"/>
    </bk>
    <bk>
      <rc t="2" v="16915"/>
    </bk>
    <bk>
      <rc t="2" v="16916"/>
    </bk>
    <bk>
      <rc t="2" v="16917"/>
    </bk>
    <bk>
      <rc t="2" v="16918"/>
    </bk>
    <bk>
      <rc t="2" v="16919"/>
    </bk>
    <bk>
      <rc t="2" v="16920"/>
    </bk>
    <bk>
      <rc t="2" v="16921"/>
    </bk>
    <bk>
      <rc t="2" v="16922"/>
    </bk>
    <bk>
      <rc t="2" v="16923"/>
    </bk>
    <bk>
      <rc t="2" v="16924"/>
    </bk>
    <bk>
      <rc t="2" v="16925"/>
    </bk>
    <bk>
      <rc t="2" v="16926"/>
    </bk>
    <bk>
      <rc t="2" v="16927"/>
    </bk>
    <bk>
      <rc t="2" v="16928"/>
    </bk>
    <bk>
      <rc t="2" v="16929"/>
    </bk>
    <bk>
      <rc t="2" v="16930"/>
    </bk>
    <bk>
      <rc t="2" v="16931"/>
    </bk>
    <bk>
      <rc t="2" v="16932"/>
    </bk>
    <bk>
      <rc t="2" v="16933"/>
    </bk>
    <bk>
      <rc t="2" v="16934"/>
    </bk>
    <bk>
      <rc t="2" v="16935"/>
    </bk>
    <bk>
      <rc t="2" v="16936"/>
    </bk>
    <bk>
      <rc t="2" v="16937"/>
    </bk>
    <bk>
      <rc t="2" v="16938"/>
    </bk>
    <bk>
      <rc t="2" v="16939"/>
    </bk>
    <bk>
      <rc t="2" v="16940"/>
    </bk>
    <bk>
      <rc t="2" v="16941"/>
    </bk>
    <bk>
      <rc t="2" v="16942"/>
    </bk>
    <bk>
      <rc t="2" v="16943"/>
    </bk>
    <bk>
      <rc t="2" v="16944"/>
    </bk>
    <bk>
      <rc t="2" v="16945"/>
    </bk>
    <bk>
      <rc t="2" v="16946"/>
    </bk>
    <bk>
      <rc t="2" v="16947"/>
    </bk>
    <bk>
      <rc t="2" v="16948"/>
    </bk>
    <bk>
      <rc t="2" v="16949"/>
    </bk>
    <bk>
      <rc t="2" v="16950"/>
    </bk>
    <bk>
      <rc t="2" v="16951"/>
    </bk>
    <bk>
      <rc t="2" v="16952"/>
    </bk>
    <bk>
      <rc t="2" v="16953"/>
    </bk>
    <bk>
      <rc t="2" v="16954"/>
    </bk>
    <bk>
      <rc t="2" v="16955"/>
    </bk>
    <bk>
      <rc t="2" v="16956"/>
    </bk>
    <bk>
      <rc t="2" v="16957"/>
    </bk>
    <bk>
      <rc t="2" v="16958"/>
    </bk>
    <bk>
      <rc t="2" v="16959"/>
    </bk>
    <bk>
      <rc t="2" v="16960"/>
    </bk>
    <bk>
      <rc t="2" v="16961"/>
    </bk>
    <bk>
      <rc t="2" v="16962"/>
    </bk>
    <bk>
      <rc t="2" v="16963"/>
    </bk>
    <bk>
      <rc t="2" v="16964"/>
    </bk>
    <bk>
      <rc t="2" v="16965"/>
    </bk>
    <bk>
      <rc t="2" v="16966"/>
    </bk>
    <bk>
      <rc t="2" v="16967"/>
    </bk>
    <bk>
      <rc t="2" v="16968"/>
    </bk>
    <bk>
      <rc t="2" v="16969"/>
    </bk>
    <bk>
      <rc t="2" v="16970"/>
    </bk>
    <bk>
      <rc t="2" v="16971"/>
    </bk>
    <bk>
      <rc t="2" v="16972"/>
    </bk>
    <bk>
      <rc t="2" v="16973"/>
    </bk>
    <bk>
      <rc t="2" v="16974"/>
    </bk>
    <bk>
      <rc t="2" v="16975"/>
    </bk>
    <bk>
      <rc t="2" v="16976"/>
    </bk>
    <bk>
      <rc t="2" v="16977"/>
    </bk>
    <bk>
      <rc t="2" v="16978"/>
    </bk>
    <bk>
      <rc t="2" v="16979"/>
    </bk>
    <bk>
      <rc t="2" v="16980"/>
    </bk>
    <bk>
      <rc t="2" v="16981"/>
    </bk>
    <bk>
      <rc t="2" v="16982"/>
    </bk>
    <bk>
      <rc t="2" v="16983"/>
    </bk>
    <bk>
      <rc t="2" v="16984"/>
    </bk>
    <bk>
      <rc t="2" v="16985"/>
    </bk>
    <bk>
      <rc t="2" v="16986"/>
    </bk>
    <bk>
      <rc t="2" v="16987"/>
    </bk>
    <bk>
      <rc t="2" v="16988"/>
    </bk>
    <bk>
      <rc t="2" v="16989"/>
    </bk>
    <bk>
      <rc t="2" v="16990"/>
    </bk>
    <bk>
      <rc t="2" v="16991"/>
    </bk>
    <bk>
      <rc t="2" v="16992"/>
    </bk>
    <bk>
      <rc t="2" v="16993"/>
    </bk>
    <bk>
      <rc t="2" v="16994"/>
    </bk>
    <bk>
      <rc t="2" v="16995"/>
    </bk>
    <bk>
      <rc t="2" v="16996"/>
    </bk>
    <bk>
      <rc t="2" v="16997"/>
    </bk>
    <bk>
      <rc t="2" v="16998"/>
    </bk>
    <bk>
      <rc t="2" v="16999"/>
    </bk>
    <bk>
      <rc t="2" v="17000"/>
    </bk>
    <bk>
      <rc t="2" v="17001"/>
    </bk>
    <bk>
      <rc t="2" v="17002"/>
    </bk>
    <bk>
      <rc t="2" v="17003"/>
    </bk>
    <bk>
      <rc t="2" v="17004"/>
    </bk>
    <bk>
      <rc t="2" v="17005"/>
    </bk>
    <bk>
      <rc t="2" v="17006"/>
    </bk>
    <bk>
      <rc t="2" v="17007"/>
    </bk>
    <bk>
      <rc t="2" v="17008"/>
    </bk>
    <bk>
      <rc t="2" v="17009"/>
    </bk>
    <bk>
      <rc t="2" v="17010"/>
    </bk>
    <bk>
      <rc t="2" v="17011"/>
    </bk>
    <bk>
      <rc t="2" v="17012"/>
    </bk>
    <bk>
      <rc t="2" v="17013"/>
    </bk>
    <bk>
      <rc t="2" v="17014"/>
    </bk>
    <bk>
      <rc t="2" v="17015"/>
    </bk>
    <bk>
      <rc t="2" v="17016"/>
    </bk>
    <bk>
      <rc t="2" v="17017"/>
    </bk>
    <bk>
      <rc t="2" v="17018"/>
    </bk>
    <bk>
      <rc t="2" v="17019"/>
    </bk>
    <bk>
      <rc t="2" v="17020"/>
    </bk>
    <bk>
      <rc t="2" v="17021"/>
    </bk>
    <bk>
      <rc t="2" v="17022"/>
    </bk>
    <bk>
      <rc t="2" v="17023"/>
    </bk>
    <bk>
      <rc t="2" v="17024"/>
    </bk>
    <bk>
      <rc t="2" v="17025"/>
    </bk>
    <bk>
      <rc t="2" v="17026"/>
    </bk>
    <bk>
      <rc t="2" v="17027"/>
    </bk>
    <bk>
      <rc t="2" v="17028"/>
    </bk>
    <bk>
      <rc t="2" v="17029"/>
    </bk>
    <bk>
      <rc t="2" v="17030"/>
    </bk>
    <bk>
      <rc t="2" v="17031"/>
    </bk>
    <bk>
      <rc t="2" v="17032"/>
    </bk>
    <bk>
      <rc t="2" v="17033"/>
    </bk>
    <bk>
      <rc t="2" v="17034"/>
    </bk>
    <bk>
      <rc t="2" v="17035"/>
    </bk>
    <bk>
      <rc t="2" v="17036"/>
    </bk>
    <bk>
      <rc t="2" v="17037"/>
    </bk>
    <bk>
      <rc t="2" v="17038"/>
    </bk>
    <bk>
      <rc t="2" v="17039"/>
    </bk>
    <bk>
      <rc t="2" v="17040"/>
    </bk>
    <bk>
      <rc t="2" v="17041"/>
    </bk>
    <bk>
      <rc t="2" v="17042"/>
    </bk>
    <bk>
      <rc t="2" v="17043"/>
    </bk>
    <bk>
      <rc t="2" v="17044"/>
    </bk>
    <bk>
      <rc t="2" v="17045"/>
    </bk>
    <bk>
      <rc t="2" v="17046"/>
    </bk>
    <bk>
      <rc t="2" v="17047"/>
    </bk>
    <bk>
      <rc t="2" v="17048"/>
    </bk>
    <bk>
      <rc t="2" v="17049"/>
    </bk>
    <bk>
      <rc t="2" v="17050"/>
    </bk>
    <bk>
      <rc t="2" v="17051"/>
    </bk>
    <bk>
      <rc t="2" v="17052"/>
    </bk>
    <bk>
      <rc t="2" v="17053"/>
    </bk>
    <bk>
      <rc t="2" v="17054"/>
    </bk>
    <bk>
      <rc t="2" v="17055"/>
    </bk>
    <bk>
      <rc t="2" v="17056"/>
    </bk>
    <bk>
      <rc t="2" v="17057"/>
    </bk>
    <bk>
      <rc t="2" v="17058"/>
    </bk>
    <bk>
      <rc t="2" v="17059"/>
    </bk>
    <bk>
      <rc t="2" v="17060"/>
    </bk>
    <bk>
      <rc t="2" v="17061"/>
    </bk>
    <bk>
      <rc t="2" v="17062"/>
    </bk>
    <bk>
      <rc t="2" v="17063"/>
    </bk>
    <bk>
      <rc t="2" v="17064"/>
    </bk>
    <bk>
      <rc t="2" v="17065"/>
    </bk>
    <bk>
      <rc t="2" v="17066"/>
    </bk>
    <bk>
      <rc t="2" v="17067"/>
    </bk>
    <bk>
      <rc t="2" v="17068"/>
    </bk>
    <bk>
      <rc t="2" v="17069"/>
    </bk>
    <bk>
      <rc t="2" v="17070"/>
    </bk>
    <bk>
      <rc t="2" v="17071"/>
    </bk>
    <bk>
      <rc t="2" v="17072"/>
    </bk>
    <bk>
      <rc t="2" v="17073"/>
    </bk>
    <bk>
      <rc t="2" v="17074"/>
    </bk>
    <bk>
      <rc t="2" v="17075"/>
    </bk>
    <bk>
      <rc t="2" v="17076"/>
    </bk>
    <bk>
      <rc t="2" v="17077"/>
    </bk>
    <bk>
      <rc t="2" v="17078"/>
    </bk>
    <bk>
      <rc t="2" v="17079"/>
    </bk>
    <bk>
      <rc t="2" v="17080"/>
    </bk>
    <bk>
      <rc t="2" v="17081"/>
    </bk>
    <bk>
      <rc t="2" v="17082"/>
    </bk>
    <bk>
      <rc t="2" v="17083"/>
    </bk>
    <bk>
      <rc t="2" v="17084"/>
    </bk>
    <bk>
      <rc t="2" v="17085"/>
    </bk>
    <bk>
      <rc t="2" v="17086"/>
    </bk>
    <bk>
      <rc t="2" v="17087"/>
    </bk>
    <bk>
      <rc t="2" v="17088"/>
    </bk>
    <bk>
      <rc t="2" v="17089"/>
    </bk>
    <bk>
      <rc t="2" v="17090"/>
    </bk>
    <bk>
      <rc t="2" v="17091"/>
    </bk>
    <bk>
      <rc t="2" v="17092"/>
    </bk>
    <bk>
      <rc t="2" v="17093"/>
    </bk>
    <bk>
      <rc t="2" v="17094"/>
    </bk>
    <bk>
      <rc t="2" v="17095"/>
    </bk>
    <bk>
      <rc t="2" v="17096"/>
    </bk>
    <bk>
      <rc t="2" v="17097"/>
    </bk>
    <bk>
      <rc t="2" v="17098"/>
    </bk>
    <bk>
      <rc t="2" v="17099"/>
    </bk>
    <bk>
      <rc t="2" v="17100"/>
    </bk>
    <bk>
      <rc t="2" v="17101"/>
    </bk>
    <bk>
      <rc t="2" v="17102"/>
    </bk>
    <bk>
      <rc t="2" v="17103"/>
    </bk>
    <bk>
      <rc t="2" v="17104"/>
    </bk>
    <bk>
      <rc t="2" v="17105"/>
    </bk>
    <bk>
      <rc t="2" v="17106"/>
    </bk>
    <bk>
      <rc t="2" v="17107"/>
    </bk>
    <bk>
      <rc t="2" v="17108"/>
    </bk>
    <bk>
      <rc t="2" v="17109"/>
    </bk>
    <bk>
      <rc t="2" v="17110"/>
    </bk>
    <bk>
      <rc t="2" v="17111"/>
    </bk>
    <bk>
      <rc t="2" v="17112"/>
    </bk>
    <bk>
      <rc t="2" v="17113"/>
    </bk>
    <bk>
      <rc t="2" v="17114"/>
    </bk>
    <bk>
      <rc t="2" v="17115"/>
    </bk>
    <bk>
      <rc t="2" v="17116"/>
    </bk>
    <bk>
      <rc t="2" v="17117"/>
    </bk>
    <bk>
      <rc t="2" v="17118"/>
    </bk>
    <bk>
      <rc t="2" v="17119"/>
    </bk>
    <bk>
      <rc t="2" v="17120"/>
    </bk>
    <bk>
      <rc t="2" v="17121"/>
    </bk>
    <bk>
      <rc t="2" v="17122"/>
    </bk>
    <bk>
      <rc t="2" v="17123"/>
    </bk>
    <bk>
      <rc t="2" v="17124"/>
    </bk>
    <bk>
      <rc t="2" v="17125"/>
    </bk>
    <bk>
      <rc t="2" v="17126"/>
    </bk>
    <bk>
      <rc t="2" v="17127"/>
    </bk>
    <bk>
      <rc t="2" v="17128"/>
    </bk>
    <bk>
      <rc t="2" v="17129"/>
    </bk>
    <bk>
      <rc t="2" v="17130"/>
    </bk>
    <bk>
      <rc t="2" v="17131"/>
    </bk>
    <bk>
      <rc t="2" v="17132"/>
    </bk>
    <bk>
      <rc t="2" v="17133"/>
    </bk>
    <bk>
      <rc t="2" v="17134"/>
    </bk>
    <bk>
      <rc t="2" v="17135"/>
    </bk>
    <bk>
      <rc t="2" v="17136"/>
    </bk>
    <bk>
      <rc t="2" v="17137"/>
    </bk>
    <bk>
      <rc t="2" v="17138"/>
    </bk>
    <bk>
      <rc t="2" v="17139"/>
    </bk>
    <bk>
      <rc t="2" v="17140"/>
    </bk>
    <bk>
      <rc t="2" v="17141"/>
    </bk>
    <bk>
      <rc t="2" v="17142"/>
    </bk>
    <bk>
      <rc t="2" v="17143"/>
    </bk>
    <bk>
      <rc t="2" v="17144"/>
    </bk>
    <bk>
      <rc t="2" v="17145"/>
    </bk>
    <bk>
      <rc t="2" v="17146"/>
    </bk>
    <bk>
      <rc t="2" v="17147"/>
    </bk>
    <bk>
      <rc t="2" v="17148"/>
    </bk>
    <bk>
      <rc t="2" v="17149"/>
    </bk>
    <bk>
      <rc t="2" v="17150"/>
    </bk>
    <bk>
      <rc t="2" v="17151"/>
    </bk>
    <bk>
      <rc t="2" v="17152"/>
    </bk>
    <bk>
      <rc t="2" v="17153"/>
    </bk>
    <bk>
      <rc t="2" v="17154"/>
    </bk>
    <bk>
      <rc t="2" v="17155"/>
    </bk>
    <bk>
      <rc t="2" v="17156"/>
    </bk>
    <bk>
      <rc t="2" v="17157"/>
    </bk>
    <bk>
      <rc t="2" v="17158"/>
    </bk>
    <bk>
      <rc t="2" v="17159"/>
    </bk>
    <bk>
      <rc t="2" v="17160"/>
    </bk>
    <bk>
      <rc t="2" v="17161"/>
    </bk>
    <bk>
      <rc t="2" v="17162"/>
    </bk>
    <bk>
      <rc t="2" v="17163"/>
    </bk>
    <bk>
      <rc t="2" v="17164"/>
    </bk>
    <bk>
      <rc t="2" v="17165"/>
    </bk>
    <bk>
      <rc t="2" v="17166"/>
    </bk>
    <bk>
      <rc t="2" v="17167"/>
    </bk>
    <bk>
      <rc t="2" v="17168"/>
    </bk>
    <bk>
      <rc t="2" v="17169"/>
    </bk>
    <bk>
      <rc t="2" v="17170"/>
    </bk>
    <bk>
      <rc t="2" v="17171"/>
    </bk>
    <bk>
      <rc t="2" v="17172"/>
    </bk>
    <bk>
      <rc t="2" v="17173"/>
    </bk>
    <bk>
      <rc t="2" v="17174"/>
    </bk>
    <bk>
      <rc t="2" v="17175"/>
    </bk>
    <bk>
      <rc t="2" v="17176"/>
    </bk>
    <bk>
      <rc t="2" v="17177"/>
    </bk>
    <bk>
      <rc t="2" v="17178"/>
    </bk>
    <bk>
      <rc t="2" v="17179"/>
    </bk>
    <bk>
      <rc t="2" v="17180"/>
    </bk>
    <bk>
      <rc t="2" v="17181"/>
    </bk>
    <bk>
      <rc t="2" v="17182"/>
    </bk>
    <bk>
      <rc t="2" v="17183"/>
    </bk>
    <bk>
      <rc t="2" v="17184"/>
    </bk>
    <bk>
      <rc t="2" v="17185"/>
    </bk>
    <bk>
      <rc t="2" v="17186"/>
    </bk>
    <bk>
      <rc t="2" v="17187"/>
    </bk>
    <bk>
      <rc t="2" v="17188"/>
    </bk>
    <bk>
      <rc t="2" v="17189"/>
    </bk>
    <bk>
      <rc t="2" v="17190"/>
    </bk>
    <bk>
      <rc t="2" v="17191"/>
    </bk>
    <bk>
      <rc t="2" v="17192"/>
    </bk>
    <bk>
      <rc t="2" v="17193"/>
    </bk>
    <bk>
      <rc t="2" v="17194"/>
    </bk>
    <bk>
      <rc t="2" v="17195"/>
    </bk>
    <bk>
      <rc t="2" v="17196"/>
    </bk>
    <bk>
      <rc t="2" v="17197"/>
    </bk>
    <bk>
      <rc t="2" v="17198"/>
    </bk>
    <bk>
      <rc t="2" v="17199"/>
    </bk>
    <bk>
      <rc t="2" v="17200"/>
    </bk>
    <bk>
      <rc t="2" v="17201"/>
    </bk>
    <bk>
      <rc t="2" v="17202"/>
    </bk>
    <bk>
      <rc t="2" v="17203"/>
    </bk>
    <bk>
      <rc t="2" v="17204"/>
    </bk>
    <bk>
      <rc t="2" v="17205"/>
    </bk>
    <bk>
      <rc t="2" v="17206"/>
    </bk>
    <bk>
      <rc t="2" v="17207"/>
    </bk>
    <bk>
      <rc t="2" v="17208"/>
    </bk>
    <bk>
      <rc t="2" v="17209"/>
    </bk>
    <bk>
      <rc t="2" v="17210"/>
    </bk>
    <bk>
      <rc t="2" v="17211"/>
    </bk>
    <bk>
      <rc t="2" v="17212"/>
    </bk>
    <bk>
      <rc t="2" v="17213"/>
    </bk>
    <bk>
      <rc t="2" v="17214"/>
    </bk>
    <bk>
      <rc t="2" v="17215"/>
    </bk>
    <bk>
      <rc t="2" v="17216"/>
    </bk>
    <bk>
      <rc t="2" v="17217"/>
    </bk>
    <bk>
      <rc t="2" v="17218"/>
    </bk>
    <bk>
      <rc t="2" v="17219"/>
    </bk>
    <bk>
      <rc t="2" v="17220"/>
    </bk>
    <bk>
      <rc t="2" v="17221"/>
    </bk>
    <bk>
      <rc t="2" v="17222"/>
    </bk>
    <bk>
      <rc t="2" v="17223"/>
    </bk>
    <bk>
      <rc t="2" v="17224"/>
    </bk>
    <bk>
      <rc t="2" v="17225"/>
    </bk>
    <bk>
      <rc t="2" v="17226"/>
    </bk>
    <bk>
      <rc t="2" v="17227"/>
    </bk>
    <bk>
      <rc t="2" v="17228"/>
    </bk>
    <bk>
      <rc t="2" v="17229"/>
    </bk>
    <bk>
      <rc t="2" v="17230"/>
    </bk>
    <bk>
      <rc t="2" v="17231"/>
    </bk>
    <bk>
      <rc t="2" v="17232"/>
    </bk>
    <bk>
      <rc t="2" v="17233"/>
    </bk>
    <bk>
      <rc t="2" v="17234"/>
    </bk>
    <bk>
      <rc t="2" v="17235"/>
    </bk>
    <bk>
      <rc t="2" v="17236"/>
    </bk>
    <bk>
      <rc t="2" v="17237"/>
    </bk>
    <bk>
      <rc t="2" v="17238"/>
    </bk>
    <bk>
      <rc t="2" v="17239"/>
    </bk>
    <bk>
      <rc t="2" v="17240"/>
    </bk>
    <bk>
      <rc t="2" v="17241"/>
    </bk>
    <bk>
      <rc t="2" v="17242"/>
    </bk>
    <bk>
      <rc t="2" v="17243"/>
    </bk>
    <bk>
      <rc t="2" v="17244"/>
    </bk>
    <bk>
      <rc t="2" v="17245"/>
    </bk>
    <bk>
      <rc t="2" v="17246"/>
    </bk>
    <bk>
      <rc t="2" v="17247"/>
    </bk>
    <bk>
      <rc t="2" v="17248"/>
    </bk>
    <bk>
      <rc t="2" v="17249"/>
    </bk>
    <bk>
      <rc t="2" v="17250"/>
    </bk>
    <bk>
      <rc t="2" v="17251"/>
    </bk>
    <bk>
      <rc t="2" v="17252"/>
    </bk>
    <bk>
      <rc t="2" v="17253"/>
    </bk>
    <bk>
      <rc t="2" v="17254"/>
    </bk>
    <bk>
      <rc t="2" v="17255"/>
    </bk>
    <bk>
      <rc t="2" v="17256"/>
    </bk>
    <bk>
      <rc t="2" v="17257"/>
    </bk>
    <bk>
      <rc t="2" v="17258"/>
    </bk>
    <bk>
      <rc t="2" v="17259"/>
    </bk>
    <bk>
      <rc t="2" v="17260"/>
    </bk>
    <bk>
      <rc t="2" v="17261"/>
    </bk>
    <bk>
      <rc t="2" v="17262"/>
    </bk>
    <bk>
      <rc t="2" v="17263"/>
    </bk>
    <bk>
      <rc t="2" v="17264"/>
    </bk>
    <bk>
      <rc t="2" v="17265"/>
    </bk>
    <bk>
      <rc t="2" v="17266"/>
    </bk>
    <bk>
      <rc t="2" v="17267"/>
    </bk>
    <bk>
      <rc t="2" v="17268"/>
    </bk>
    <bk>
      <rc t="2" v="17269"/>
    </bk>
    <bk>
      <rc t="2" v="17270"/>
    </bk>
    <bk>
      <rc t="2" v="17271"/>
    </bk>
    <bk>
      <rc t="2" v="17272"/>
    </bk>
    <bk>
      <rc t="2" v="17273"/>
    </bk>
    <bk>
      <rc t="2" v="17274"/>
    </bk>
    <bk>
      <rc t="2" v="17275"/>
    </bk>
    <bk>
      <rc t="2" v="17276"/>
    </bk>
    <bk>
      <rc t="2" v="17277"/>
    </bk>
    <bk>
      <rc t="2" v="17278"/>
    </bk>
    <bk>
      <rc t="2" v="17279"/>
    </bk>
    <bk>
      <rc t="2" v="17280"/>
    </bk>
    <bk>
      <rc t="2" v="17281"/>
    </bk>
    <bk>
      <rc t="2" v="17282"/>
    </bk>
    <bk>
      <rc t="2" v="17283"/>
    </bk>
    <bk>
      <rc t="2" v="17284"/>
    </bk>
    <bk>
      <rc t="2" v="17285"/>
    </bk>
    <bk>
      <rc t="2" v="17286"/>
    </bk>
  </valueMetadata>
</metadata>
</file>

<file path=xl/sharedStrings.xml><?xml version="1.0" encoding="utf-8"?>
<sst xmlns="http://schemas.openxmlformats.org/spreadsheetml/2006/main" count="99" uniqueCount="30">
  <si>
    <t>BEFORE you do anything with this file, CLICK HERE and carefully read</t>
  </si>
  <si>
    <t>HONESTY WARNING (do not edit, hide, or move this)</t>
  </si>
  <si>
    <t>Spring 2025</t>
  </si>
  <si>
    <t>Cordier-06</t>
  </si>
  <si>
    <t>AAPL</t>
  </si>
  <si>
    <t>HPQ</t>
  </si>
  <si>
    <t>TSLA</t>
  </si>
  <si>
    <t>MSTR</t>
  </si>
  <si>
    <t>AMZN</t>
  </si>
  <si>
    <t>NFLX</t>
  </si>
  <si>
    <t xml:space="preserve">Weekly Averge </t>
  </si>
  <si>
    <t>Weekly Averge</t>
  </si>
  <si>
    <t>Weekly Average</t>
  </si>
  <si>
    <t>Weekly Variance</t>
  </si>
  <si>
    <t>SD</t>
  </si>
  <si>
    <t>Lemuel Williams Picks</t>
  </si>
  <si>
    <t>My Picks</t>
  </si>
  <si>
    <t>52 wk High</t>
  </si>
  <si>
    <t>52 wk Low</t>
  </si>
  <si>
    <t>Result Table</t>
  </si>
  <si>
    <t>NIVIDIA</t>
  </si>
  <si>
    <t>Previous Closing Price</t>
  </si>
  <si>
    <t>52 week min price</t>
  </si>
  <si>
    <t>52 week max price</t>
  </si>
  <si>
    <t>Volume</t>
  </si>
  <si>
    <t>Market Captilaztion</t>
  </si>
  <si>
    <t>Price to Earnings</t>
  </si>
  <si>
    <t>Earnings per share</t>
  </si>
  <si>
    <t>APPLE</t>
  </si>
  <si>
    <t>STOCK PICKS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</si>
</sst>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4" formatCode="_(&quot;$&quot;* #,##0.00_);_(&quot;$&quot;* \(#,##0.00\);_(&quot;$&quot;* &quot;-&quot;??_);_(@_)"/>
    <numFmt numFmtId="164" formatCode="_([$$-409]* #,##0.00_);_([$$-409]* \(#,##0.00\);_([$$-409]* &quot;-&quot;??_);_(@_)"/>
    <numFmt numFmtId="165" formatCode="#,##0.0"/>
    <numFmt numFmtId="166" formatCode="_([$$-409]* #,##0.000_);_([$$-409]* \(#,##0.000\);_([$$-409]* &quot;-&quot;??_);_(@_)"/>
    <numFmt numFmtId="167" formatCode="_([$$-409]* #,##0_);_([$$-409]* \(#,##0\);_([$$-409]* &quot;-&quot;_);_(@_)"/>
  </numFmts>
  <fonts count="20" x14ac:knownFonts="1">
    <font>
      <sz val="11"/>
      <color theme="1"/>
      <name val="Calibri"/>
      <family val="2"/>
      <scheme val="minor"/>
    </font>
    <font>
      <sz val="11"/>
      <color theme="0"/>
      <name val="Calibri"/>
      <family val="2"/>
      <scheme val="minor"/>
    </font>
    <font>
      <sz val="12"/>
      <color indexed="16"/>
      <name val="Tahoma"/>
      <family val="2"/>
    </font>
    <font>
      <sz val="8"/>
      <color indexed="16"/>
      <name val="Tahoma"/>
      <family val="2"/>
    </font>
    <font>
      <i/>
      <sz val="16"/>
      <color indexed="16"/>
      <name val="Monotype Corsiva"/>
      <family val="4"/>
    </font>
    <font>
      <u/>
      <sz val="8"/>
      <color indexed="16"/>
      <name val="Tahoma"/>
      <family val="2"/>
    </font>
    <font>
      <b/>
      <sz val="11"/>
      <color indexed="16"/>
      <name val="Tahoma"/>
      <family val="2"/>
    </font>
    <font>
      <i/>
      <u/>
      <sz val="8"/>
      <color indexed="16"/>
      <name val="Tahoma"/>
      <family val="2"/>
    </font>
    <font>
      <b/>
      <i/>
      <sz val="11"/>
      <color indexed="16"/>
      <name val="Tahoma"/>
      <family val="2"/>
    </font>
    <font>
      <b/>
      <i/>
      <sz val="8"/>
      <color indexed="16"/>
      <name val="Tahoma"/>
      <family val="2"/>
    </font>
    <font>
      <sz val="10"/>
      <color theme="0"/>
      <name val="Calibri"/>
      <family val="2"/>
      <scheme val="minor"/>
    </font>
    <font>
      <b/>
      <i/>
      <sz val="16.5"/>
      <color indexed="16"/>
      <name val="Monotype Corsiva"/>
      <family val="4"/>
    </font>
    <font>
      <sz val="11"/>
      <color theme="1"/>
      <name val="Calibri"/>
      <family val="2"/>
      <scheme val="minor"/>
    </font>
    <font>
      <b/>
      <sz val="13"/>
      <color theme="3"/>
      <name val="Calibri"/>
      <family val="2"/>
      <scheme val="minor"/>
    </font>
    <font>
      <sz val="11"/>
      <color rgb="FFFF0000"/>
      <name val="Calibri"/>
      <family val="2"/>
      <scheme val="minor"/>
    </font>
    <font>
      <b/>
      <sz val="13"/>
      <color theme="7"/>
      <name val="Calibri"/>
      <family val="2"/>
      <scheme val="minor"/>
    </font>
    <font>
      <sz val="11"/>
      <color theme="7"/>
      <name val="Calibri"/>
      <family val="2"/>
      <scheme val="minor"/>
    </font>
    <font>
      <sz val="24"/>
      <color theme="1"/>
      <name val="Calibri"/>
      <family val="2"/>
      <scheme val="minor"/>
    </font>
    <font>
      <sz val="26"/>
      <color theme="1"/>
      <name val="Calibri"/>
      <family val="2"/>
      <scheme val="minor"/>
    </font>
    <font>
      <sz val="28"/>
      <color theme="1"/>
      <name val="Calibri"/>
      <family val="2"/>
      <scheme val="minor"/>
    </font>
  </fonts>
  <fills count="16">
    <fill>
      <patternFill patternType="none"/>
    </fill>
    <fill>
      <patternFill patternType="gray125"/>
    </fill>
    <fill>
      <patternFill patternType="solid">
        <fgColor rgb="FFFF0000"/>
        <bgColor indexed="64"/>
      </patternFill>
    </fill>
    <fill>
      <patternFill patternType="solid">
        <fgColor theme="2"/>
        <bgColor indexed="64"/>
      </patternFill>
    </fill>
    <fill>
      <patternFill patternType="solid">
        <fgColor theme="4"/>
        <bgColor indexed="64"/>
      </patternFill>
    </fill>
    <fill>
      <patternFill patternType="solid">
        <fgColor theme="8"/>
        <bgColor indexed="64"/>
      </patternFill>
    </fill>
    <fill>
      <patternFill patternType="solid">
        <fgColor theme="9"/>
        <bgColor indexed="64"/>
      </patternFill>
    </fill>
    <fill>
      <patternFill patternType="solid">
        <fgColor theme="7" tint="0.79998168889431442"/>
        <bgColor indexed="64"/>
      </patternFill>
    </fill>
    <fill>
      <patternFill patternType="solid">
        <fgColor theme="7" tint="0.39997558519241921"/>
        <bgColor indexed="64"/>
      </patternFill>
    </fill>
    <fill>
      <patternFill patternType="solid">
        <fgColor theme="5" tint="0.39997558519241921"/>
        <bgColor indexed="64"/>
      </patternFill>
    </fill>
    <fill>
      <patternFill patternType="solid">
        <fgColor rgb="FF00B050"/>
        <bgColor indexed="64"/>
      </patternFill>
    </fill>
    <fill>
      <patternFill patternType="solid">
        <fgColor rgb="FF92D050"/>
        <bgColor indexed="64"/>
      </patternFill>
    </fill>
    <fill>
      <patternFill patternType="solid">
        <fgColor theme="4" tint="0.59999389629810485"/>
        <bgColor indexed="64"/>
      </patternFill>
    </fill>
    <fill>
      <patternFill patternType="solid">
        <fgColor theme="2" tint="-9.9978637043366805E-2"/>
        <bgColor indexed="64"/>
      </patternFill>
    </fill>
    <fill>
      <patternFill patternType="solid">
        <fgColor theme="6"/>
        <bgColor indexed="64"/>
      </patternFill>
    </fill>
    <fill>
      <patternFill patternType="solid">
        <fgColor theme="4" tint="0.39997558519241921"/>
        <bgColor indexed="64"/>
      </patternFill>
    </fill>
  </fills>
  <borders count="14">
    <border>
      <left/>
      <right/>
      <top/>
      <bottom/>
      <diagonal/>
    </border>
    <border>
      <left/>
      <right/>
      <top/>
      <bottom style="thick">
        <color theme="4" tint="0.499984740745262"/>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style="medium">
        <color indexed="64"/>
      </right>
      <top style="thin">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4">
    <xf numFmtId="0" fontId="0" fillId="0" borderId="0"/>
    <xf numFmtId="44" fontId="12" fillId="0" borderId="0" applyFont="0" applyFill="0" applyBorder="0" applyAlignment="0" applyProtection="0"/>
    <xf numFmtId="9" fontId="12" fillId="0" borderId="0" applyFont="0" applyFill="0" applyBorder="0" applyAlignment="0" applyProtection="0"/>
    <xf numFmtId="0" fontId="13" fillId="0" borderId="1" applyNumberFormat="0" applyFill="0" applyAlignment="0" applyProtection="0"/>
  </cellStyleXfs>
  <cellXfs count="160">
    <xf numFmtId="0" fontId="0" fillId="0" borderId="0" xfId="0"/>
    <xf numFmtId="14" fontId="0" fillId="0" borderId="0" xfId="0" applyNumberFormat="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3" borderId="2" xfId="0" applyFill="1" applyBorder="1"/>
    <xf numFmtId="0" fontId="0" fillId="3" borderId="3" xfId="0" applyFill="1" applyBorder="1"/>
    <xf numFmtId="1" fontId="0" fillId="3" borderId="4" xfId="0" applyNumberFormat="1" applyFill="1" applyBorder="1"/>
    <xf numFmtId="0" fontId="0" fillId="3" borderId="5" xfId="0" applyFill="1" applyBorder="1"/>
    <xf numFmtId="0" fontId="0" fillId="3" borderId="0" xfId="0" applyFill="1"/>
    <xf numFmtId="9" fontId="0" fillId="3" borderId="6" xfId="2" applyFont="1" applyFill="1" applyBorder="1"/>
    <xf numFmtId="0" fontId="0" fillId="3" borderId="6" xfId="0" applyFill="1" applyBorder="1"/>
    <xf numFmtId="44" fontId="0" fillId="3" borderId="6" xfId="1" applyFont="1" applyFill="1" applyBorder="1" applyAlignment="1"/>
    <xf numFmtId="0" fontId="0" fillId="3" borderId="7" xfId="0" applyFill="1" applyBorder="1"/>
    <xf numFmtId="0" fontId="0" fillId="3" borderId="8" xfId="0" applyFill="1" applyBorder="1"/>
    <xf numFmtId="44" fontId="0" fillId="3" borderId="10" xfId="1" applyFont="1" applyFill="1" applyBorder="1" applyAlignment="1"/>
    <xf numFmtId="0" fontId="0" fillId="5" borderId="2" xfId="0" applyFill="1" applyBorder="1"/>
    <xf numFmtId="0" fontId="0" fillId="5" borderId="3" xfId="0" applyFill="1" applyBorder="1"/>
    <xf numFmtId="44" fontId="0" fillId="5" borderId="4" xfId="1" applyFont="1" applyFill="1" applyBorder="1"/>
    <xf numFmtId="0" fontId="0" fillId="5" borderId="5" xfId="0" applyFill="1" applyBorder="1"/>
    <xf numFmtId="0" fontId="0" fillId="5" borderId="0" xfId="0" applyFill="1"/>
    <xf numFmtId="0" fontId="0" fillId="5" borderId="6" xfId="0" applyFill="1" applyBorder="1"/>
    <xf numFmtId="44" fontId="0" fillId="5" borderId="6" xfId="1" applyFont="1" applyFill="1" applyBorder="1"/>
    <xf numFmtId="0" fontId="0" fillId="5" borderId="7" xfId="0" applyFill="1" applyBorder="1"/>
    <xf numFmtId="0" fontId="0" fillId="5" borderId="8" xfId="0" applyFill="1" applyBorder="1"/>
    <xf numFmtId="44" fontId="0" fillId="5" borderId="10" xfId="1" applyFont="1" applyFill="1" applyBorder="1"/>
    <xf numFmtId="0" fontId="0" fillId="6" borderId="2" xfId="0" applyFill="1" applyBorder="1"/>
    <xf numFmtId="0" fontId="0" fillId="6" borderId="3" xfId="0" applyFill="1" applyBorder="1"/>
    <xf numFmtId="1" fontId="0" fillId="6" borderId="4" xfId="0" applyNumberFormat="1" applyFill="1" applyBorder="1"/>
    <xf numFmtId="0" fontId="0" fillId="6" borderId="5" xfId="0" applyFill="1" applyBorder="1"/>
    <xf numFmtId="0" fontId="0" fillId="6" borderId="0" xfId="0" applyFill="1"/>
    <xf numFmtId="0" fontId="0" fillId="6" borderId="6" xfId="0" applyFill="1" applyBorder="1"/>
    <xf numFmtId="44" fontId="0" fillId="6" borderId="6" xfId="1" applyFont="1" applyFill="1" applyBorder="1"/>
    <xf numFmtId="0" fontId="0" fillId="6" borderId="7" xfId="0" applyFill="1" applyBorder="1"/>
    <xf numFmtId="0" fontId="0" fillId="6" borderId="8" xfId="0" applyFill="1" applyBorder="1"/>
    <xf numFmtId="44" fontId="0" fillId="6" borderId="10" xfId="1" applyFont="1" applyFill="1" applyBorder="1"/>
    <xf numFmtId="0" fontId="0" fillId="7" borderId="2" xfId="0" applyFill="1" applyBorder="1"/>
    <xf numFmtId="0" fontId="0" fillId="7" borderId="3" xfId="0" applyFill="1" applyBorder="1"/>
    <xf numFmtId="1" fontId="0" fillId="7" borderId="4" xfId="0" applyNumberFormat="1" applyFill="1" applyBorder="1"/>
    <xf numFmtId="0" fontId="0" fillId="7" borderId="5" xfId="0" applyFill="1" applyBorder="1"/>
    <xf numFmtId="0" fontId="0" fillId="7" borderId="0" xfId="0" applyFill="1"/>
    <xf numFmtId="0" fontId="0" fillId="7" borderId="6" xfId="0" applyFill="1" applyBorder="1"/>
    <xf numFmtId="44" fontId="0" fillId="7" borderId="6" xfId="1" applyFont="1" applyFill="1" applyBorder="1"/>
    <xf numFmtId="0" fontId="0" fillId="7" borderId="7" xfId="0" applyFill="1" applyBorder="1"/>
    <xf numFmtId="0" fontId="0" fillId="7" borderId="8" xfId="0" applyFill="1" applyBorder="1"/>
    <xf numFmtId="44" fontId="0" fillId="7" borderId="9" xfId="1" applyFont="1" applyFill="1" applyBorder="1"/>
    <xf numFmtId="0" fontId="0" fillId="8" borderId="2" xfId="0" applyFill="1" applyBorder="1"/>
    <xf numFmtId="0" fontId="0" fillId="8" borderId="3" xfId="0" applyFill="1" applyBorder="1"/>
    <xf numFmtId="1" fontId="0" fillId="8" borderId="4" xfId="0" applyNumberFormat="1" applyFill="1" applyBorder="1"/>
    <xf numFmtId="0" fontId="0" fillId="8" borderId="5" xfId="0" applyFill="1" applyBorder="1"/>
    <xf numFmtId="0" fontId="0" fillId="8" borderId="0" xfId="0" applyFill="1"/>
    <xf numFmtId="0" fontId="0" fillId="8" borderId="6" xfId="0" applyFill="1" applyBorder="1"/>
    <xf numFmtId="44" fontId="0" fillId="8" borderId="6" xfId="1" applyFont="1" applyFill="1" applyBorder="1"/>
    <xf numFmtId="0" fontId="0" fillId="8" borderId="7" xfId="0" applyFill="1" applyBorder="1"/>
    <xf numFmtId="0" fontId="0" fillId="8" borderId="8" xfId="0" applyFill="1" applyBorder="1"/>
    <xf numFmtId="44" fontId="0" fillId="8" borderId="9" xfId="1" applyFont="1" applyFill="1" applyBorder="1"/>
    <xf numFmtId="0" fontId="0" fillId="9" borderId="2" xfId="0" applyFill="1" applyBorder="1"/>
    <xf numFmtId="0" fontId="0" fillId="9" borderId="3" xfId="0" applyFill="1" applyBorder="1"/>
    <xf numFmtId="1" fontId="0" fillId="9" borderId="4" xfId="0" applyNumberFormat="1" applyFill="1" applyBorder="1"/>
    <xf numFmtId="0" fontId="0" fillId="9" borderId="5" xfId="0" applyFill="1" applyBorder="1"/>
    <xf numFmtId="0" fontId="0" fillId="9" borderId="0" xfId="0" applyFill="1"/>
    <xf numFmtId="0" fontId="0" fillId="9" borderId="6" xfId="0" applyFill="1" applyBorder="1"/>
    <xf numFmtId="44" fontId="0" fillId="9" borderId="6" xfId="1" applyFont="1" applyFill="1" applyBorder="1"/>
    <xf numFmtId="0" fontId="0" fillId="9" borderId="7" xfId="0" applyFill="1" applyBorder="1"/>
    <xf numFmtId="0" fontId="0" fillId="9" borderId="8" xfId="0" applyFill="1" applyBorder="1"/>
    <xf numFmtId="44" fontId="0" fillId="9" borderId="9" xfId="1" applyFont="1" applyFill="1" applyBorder="1"/>
    <xf numFmtId="0" fontId="0" fillId="2" borderId="2" xfId="0" applyFill="1" applyBorder="1"/>
    <xf numFmtId="0" fontId="0" fillId="2" borderId="3" xfId="0" applyFill="1" applyBorder="1"/>
    <xf numFmtId="1" fontId="0" fillId="2" borderId="4" xfId="0" applyNumberFormat="1" applyFill="1" applyBorder="1"/>
    <xf numFmtId="0" fontId="0" fillId="2" borderId="5" xfId="0" applyFill="1" applyBorder="1"/>
    <xf numFmtId="0" fontId="0" fillId="2" borderId="0" xfId="0" applyFill="1"/>
    <xf numFmtId="0" fontId="0" fillId="2" borderId="6" xfId="0" applyFill="1" applyBorder="1"/>
    <xf numFmtId="44" fontId="0" fillId="2" borderId="6" xfId="1" applyFont="1" applyFill="1" applyBorder="1"/>
    <xf numFmtId="0" fontId="0" fillId="2" borderId="7" xfId="0" applyFill="1" applyBorder="1"/>
    <xf numFmtId="0" fontId="0" fillId="2" borderId="8" xfId="0" applyFill="1" applyBorder="1"/>
    <xf numFmtId="44" fontId="0" fillId="2" borderId="10" xfId="1" applyFont="1" applyFill="1" applyBorder="1"/>
    <xf numFmtId="0" fontId="14" fillId="10" borderId="0" xfId="0" applyFont="1" applyFill="1"/>
    <xf numFmtId="0" fontId="0" fillId="9" borderId="4" xfId="0" applyFill="1" applyBorder="1"/>
    <xf numFmtId="164" fontId="0" fillId="9" borderId="0" xfId="0" applyNumberFormat="1" applyFill="1"/>
    <xf numFmtId="0" fontId="0" fillId="9" borderId="9" xfId="0" applyFill="1" applyBorder="1"/>
    <xf numFmtId="0" fontId="0" fillId="11" borderId="2" xfId="0" applyFill="1" applyBorder="1"/>
    <xf numFmtId="0" fontId="0" fillId="11" borderId="3" xfId="0" applyFill="1" applyBorder="1"/>
    <xf numFmtId="0" fontId="0" fillId="11" borderId="4" xfId="0" applyFill="1" applyBorder="1"/>
    <xf numFmtId="0" fontId="0" fillId="11" borderId="5" xfId="0" applyFill="1" applyBorder="1"/>
    <xf numFmtId="0" fontId="0" fillId="11" borderId="0" xfId="0" applyFill="1"/>
    <xf numFmtId="0" fontId="0" fillId="11" borderId="6" xfId="0" applyFill="1" applyBorder="1"/>
    <xf numFmtId="0" fontId="0" fillId="11" borderId="7" xfId="0" applyFill="1" applyBorder="1"/>
    <xf numFmtId="0" fontId="0" fillId="11" borderId="8" xfId="0" applyFill="1" applyBorder="1"/>
    <xf numFmtId="0" fontId="0" fillId="11" borderId="9" xfId="0" applyFill="1" applyBorder="1"/>
    <xf numFmtId="0" fontId="16" fillId="6" borderId="0" xfId="0" applyFont="1" applyFill="1"/>
    <xf numFmtId="0" fontId="1" fillId="2" borderId="0" xfId="0" applyFont="1" applyFill="1" applyAlignment="1">
      <alignment horizontal="center"/>
    </xf>
    <xf numFmtId="0" fontId="10" fillId="2" borderId="0" xfId="0" applyFont="1" applyFill="1" applyAlignment="1">
      <alignment horizontal="center"/>
    </xf>
    <xf numFmtId="0" fontId="15" fillId="4" borderId="11" xfId="3" applyFont="1" applyFill="1" applyBorder="1" applyAlignment="1">
      <alignment horizontal="center"/>
    </xf>
    <xf numFmtId="0" fontId="13" fillId="4" borderId="12" xfId="3" applyFill="1" applyBorder="1" applyAlignment="1">
      <alignment horizontal="center"/>
    </xf>
    <xf numFmtId="0" fontId="13" fillId="4" borderId="13" xfId="3" applyFill="1" applyBorder="1" applyAlignment="1">
      <alignment horizontal="center"/>
    </xf>
    <xf numFmtId="0" fontId="0" fillId="12" borderId="2" xfId="0" applyFill="1" applyBorder="1"/>
    <xf numFmtId="0" fontId="0" fillId="12" borderId="3" xfId="0" applyFill="1" applyBorder="1"/>
    <xf numFmtId="0" fontId="0" fillId="12" borderId="4" xfId="0" applyFill="1" applyBorder="1"/>
    <xf numFmtId="0" fontId="0" fillId="12" borderId="5" xfId="0" applyFill="1" applyBorder="1"/>
    <xf numFmtId="0" fontId="0" fillId="12" borderId="0" xfId="0" applyFill="1" applyBorder="1"/>
    <xf numFmtId="0" fontId="0" fillId="12" borderId="6" xfId="0" applyFill="1" applyBorder="1"/>
    <xf numFmtId="14" fontId="0" fillId="12" borderId="5" xfId="0" applyNumberFormat="1" applyFill="1" applyBorder="1"/>
    <xf numFmtId="3" fontId="0" fillId="12" borderId="6" xfId="0" applyNumberFormat="1" applyFill="1" applyBorder="1"/>
    <xf numFmtId="0" fontId="0" fillId="12" borderId="7" xfId="0" applyFill="1" applyBorder="1"/>
    <xf numFmtId="0" fontId="0" fillId="12" borderId="8" xfId="0" applyFill="1" applyBorder="1"/>
    <xf numFmtId="0" fontId="0" fillId="12" borderId="9" xfId="0" applyFill="1" applyBorder="1"/>
    <xf numFmtId="165" fontId="0" fillId="12" borderId="6" xfId="0" applyNumberFormat="1" applyFill="1" applyBorder="1"/>
    <xf numFmtId="0" fontId="0" fillId="13" borderId="2" xfId="0" applyFill="1" applyBorder="1"/>
    <xf numFmtId="0" fontId="0" fillId="13" borderId="3" xfId="0" applyFill="1" applyBorder="1"/>
    <xf numFmtId="1" fontId="0" fillId="13" borderId="4" xfId="0" applyNumberFormat="1" applyFill="1" applyBorder="1"/>
    <xf numFmtId="0" fontId="0" fillId="13" borderId="5" xfId="0" applyFill="1" applyBorder="1"/>
    <xf numFmtId="0" fontId="0" fillId="13" borderId="0" xfId="0" applyFill="1" applyBorder="1"/>
    <xf numFmtId="0" fontId="0" fillId="13" borderId="6" xfId="0" applyFill="1" applyBorder="1"/>
    <xf numFmtId="1" fontId="0" fillId="13" borderId="6" xfId="0" applyNumberFormat="1" applyFill="1" applyBorder="1"/>
    <xf numFmtId="44" fontId="0" fillId="13" borderId="6" xfId="1" applyFont="1" applyFill="1" applyBorder="1"/>
    <xf numFmtId="0" fontId="0" fillId="13" borderId="7" xfId="0" applyFill="1" applyBorder="1"/>
    <xf numFmtId="0" fontId="0" fillId="13" borderId="8" xfId="0" applyFill="1" applyBorder="1"/>
    <xf numFmtId="44" fontId="0" fillId="13" borderId="9" xfId="1" applyFont="1" applyFill="1" applyBorder="1"/>
    <xf numFmtId="0" fontId="0" fillId="13" borderId="0" xfId="0" applyFill="1"/>
    <xf numFmtId="9" fontId="0" fillId="13" borderId="6" xfId="2" applyFont="1" applyFill="1" applyBorder="1"/>
    <xf numFmtId="44" fontId="0" fillId="13" borderId="6" xfId="1" applyFont="1" applyFill="1" applyBorder="1" applyAlignment="1"/>
    <xf numFmtId="44" fontId="0" fillId="13" borderId="9" xfId="1" applyFont="1" applyFill="1" applyBorder="1" applyAlignment="1"/>
    <xf numFmtId="0" fontId="0" fillId="14" borderId="0" xfId="0" applyFill="1"/>
    <xf numFmtId="1" fontId="0" fillId="14" borderId="0" xfId="0" applyNumberFormat="1" applyFill="1"/>
    <xf numFmtId="44" fontId="0" fillId="14" borderId="0" xfId="1" applyFont="1" applyFill="1"/>
    <xf numFmtId="0" fontId="0" fillId="14" borderId="2" xfId="0" applyFill="1" applyBorder="1"/>
    <xf numFmtId="0" fontId="0" fillId="14" borderId="3" xfId="0" applyFill="1" applyBorder="1"/>
    <xf numFmtId="1" fontId="0" fillId="14" borderId="4" xfId="0" applyNumberFormat="1" applyFill="1" applyBorder="1"/>
    <xf numFmtId="0" fontId="0" fillId="14" borderId="5" xfId="0" applyFill="1" applyBorder="1"/>
    <xf numFmtId="0" fontId="0" fillId="14" borderId="0" xfId="0" applyFill="1" applyBorder="1"/>
    <xf numFmtId="0" fontId="0" fillId="14" borderId="6" xfId="0" applyFill="1" applyBorder="1"/>
    <xf numFmtId="1" fontId="0" fillId="14" borderId="6" xfId="0" applyNumberFormat="1" applyFill="1" applyBorder="1"/>
    <xf numFmtId="44" fontId="0" fillId="14" borderId="6" xfId="1" applyFont="1" applyFill="1" applyBorder="1"/>
    <xf numFmtId="0" fontId="0" fillId="14" borderId="7" xfId="0" applyFill="1" applyBorder="1"/>
    <xf numFmtId="0" fontId="0" fillId="14" borderId="8" xfId="0" applyFill="1" applyBorder="1"/>
    <xf numFmtId="44" fontId="0" fillId="14" borderId="9" xfId="1" applyFont="1" applyFill="1" applyBorder="1"/>
    <xf numFmtId="166" fontId="0" fillId="12" borderId="0" xfId="0" applyNumberFormat="1" applyFill="1" applyBorder="1"/>
    <xf numFmtId="166" fontId="0" fillId="12" borderId="8" xfId="0" applyNumberFormat="1" applyFill="1" applyBorder="1"/>
    <xf numFmtId="0" fontId="17" fillId="7" borderId="0" xfId="0" applyFont="1" applyFill="1"/>
    <xf numFmtId="0" fontId="18" fillId="7" borderId="0" xfId="0" applyFont="1" applyFill="1"/>
    <xf numFmtId="0" fontId="19" fillId="7" borderId="0" xfId="0" applyFont="1" applyFill="1"/>
    <xf numFmtId="0" fontId="18" fillId="15" borderId="11" xfId="0" applyFont="1" applyFill="1" applyBorder="1"/>
    <xf numFmtId="0" fontId="0" fillId="15" borderId="12" xfId="0" applyFill="1" applyBorder="1"/>
    <xf numFmtId="0" fontId="0" fillId="15" borderId="13" xfId="0" applyFill="1" applyBorder="1"/>
    <xf numFmtId="0" fontId="14" fillId="3" borderId="2" xfId="0" applyFont="1" applyFill="1" applyBorder="1"/>
    <xf numFmtId="0" fontId="14" fillId="3" borderId="3" xfId="0" applyFont="1" applyFill="1" applyBorder="1"/>
    <xf numFmtId="0" fontId="14" fillId="3" borderId="4" xfId="0" applyFont="1" applyFill="1" applyBorder="1"/>
    <xf numFmtId="0" fontId="14" fillId="3" borderId="5" xfId="0" applyFont="1" applyFill="1" applyBorder="1"/>
    <xf numFmtId="0" fontId="14" fillId="3" borderId="0" xfId="0" applyFont="1" applyFill="1" applyBorder="1"/>
    <xf numFmtId="0" fontId="14" fillId="3" borderId="6" xfId="0" applyFont="1" applyFill="1" applyBorder="1"/>
    <xf numFmtId="164" fontId="14" fillId="3" borderId="0" xfId="0" applyNumberFormat="1" applyFont="1" applyFill="1" applyBorder="1"/>
    <xf numFmtId="3" fontId="14" fillId="3" borderId="0" xfId="0" applyNumberFormat="1" applyFont="1" applyFill="1" applyBorder="1"/>
    <xf numFmtId="167" fontId="14" fillId="3" borderId="0" xfId="0" applyNumberFormat="1" applyFont="1" applyFill="1" applyBorder="1"/>
    <xf numFmtId="4" fontId="14" fillId="3" borderId="0" xfId="0" applyNumberFormat="1" applyFont="1" applyFill="1" applyBorder="1"/>
    <xf numFmtId="1" fontId="14" fillId="3" borderId="6" xfId="0" applyNumberFormat="1" applyFont="1" applyFill="1" applyBorder="1"/>
    <xf numFmtId="0" fontId="14" fillId="3" borderId="7" xfId="0" applyFont="1" applyFill="1" applyBorder="1"/>
    <xf numFmtId="0" fontId="14" fillId="3" borderId="8" xfId="0" applyFont="1" applyFill="1" applyBorder="1"/>
    <xf numFmtId="0" fontId="14" fillId="3" borderId="9" xfId="0" applyFont="1" applyFill="1" applyBorder="1"/>
  </cellXfs>
  <cellStyles count="4">
    <cellStyle name="Currency" xfId="1" builtinId="4"/>
    <cellStyle name="Heading 2" xfId="3" builtinId="17"/>
    <cellStyle name="Normal" xfId="0" builtinId="0"/>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1.xml"/><Relationship Id="rId18" Type="http://schemas.microsoft.com/office/2017/06/relationships/rdRichValue" Target="richData/rdrichvalue.xml"/><Relationship Id="rId3" Type="http://schemas.openxmlformats.org/officeDocument/2006/relationships/worksheet" Target="worksheets/sheet3.xml"/><Relationship Id="rId21" Type="http://schemas.microsoft.com/office/2017/06/relationships/richStyles" Target="richData/rich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eetMetadata" Target="metadata.xml"/><Relationship Id="rId25"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20" Type="http://schemas.microsoft.com/office/2017/06/relationships/rdArray" Target="richData/rdarray.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17/06/relationships/rdRichValueTypes" Target="richData/rdRichValueTypes.xml"/><Relationship Id="rId5" Type="http://schemas.openxmlformats.org/officeDocument/2006/relationships/worksheet" Target="worksheets/sheet5.xml"/><Relationship Id="rId15" Type="http://schemas.openxmlformats.org/officeDocument/2006/relationships/styles" Target="styles.xml"/><Relationship Id="rId23" Type="http://schemas.microsoft.com/office/2017/06/relationships/rdSupportingPropertyBag" Target="richData/rdsupportingpropertybag.xml"/><Relationship Id="rId10" Type="http://schemas.openxmlformats.org/officeDocument/2006/relationships/worksheet" Target="worksheets/sheet10.xml"/><Relationship Id="rId19" Type="http://schemas.microsoft.com/office/2017/06/relationships/rdRichValueStructure" Target="richData/rdrichvaluestructure.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 Id="rId22" Type="http://schemas.microsoft.com/office/2017/06/relationships/rdSupportingPropertyBagStructure" Target="richData/rdsupportingpropertybagstructure.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AAPLClosing</a:t>
            </a:r>
            <a:r>
              <a:rPr lang="en-US" baseline="0"/>
              <a:t> Stock Price 10 year History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cked"/>
        <c:varyColors val="0"/>
        <c:ser>
          <c:idx val="0"/>
          <c:order val="0"/>
          <c:tx>
            <c:strRef>
              <c:f>Apple!$D$6</c:f>
              <c:strCache>
                <c:ptCount val="1"/>
                <c:pt idx="0">
                  <c:v>Close</c:v>
                </c:pt>
              </c:strCache>
            </c:strRef>
          </c:tx>
          <c:spPr>
            <a:ln w="28575" cap="rnd">
              <a:solidFill>
                <a:schemeClr val="accent1"/>
              </a:solidFill>
              <a:round/>
            </a:ln>
            <a:effectLst/>
          </c:spPr>
          <c:marker>
            <c:symbol val="none"/>
          </c:marker>
          <c:cat>
            <c:numRef>
              <c:f>Apple!$C$7:$C$529</c:f>
              <c:numCache>
                <c:formatCode>m/d/yyyy</c:formatCode>
                <c:ptCount val="523"/>
                <c:pt idx="0">
                  <c:v>42121</c:v>
                </c:pt>
                <c:pt idx="1">
                  <c:v>42128</c:v>
                </c:pt>
                <c:pt idx="2">
                  <c:v>42135</c:v>
                </c:pt>
                <c:pt idx="3">
                  <c:v>42142</c:v>
                </c:pt>
                <c:pt idx="4">
                  <c:v>42150</c:v>
                </c:pt>
                <c:pt idx="5">
                  <c:v>42156</c:v>
                </c:pt>
                <c:pt idx="6">
                  <c:v>42163</c:v>
                </c:pt>
                <c:pt idx="7">
                  <c:v>42170</c:v>
                </c:pt>
                <c:pt idx="8">
                  <c:v>42177</c:v>
                </c:pt>
                <c:pt idx="9">
                  <c:v>42184</c:v>
                </c:pt>
                <c:pt idx="10">
                  <c:v>42191</c:v>
                </c:pt>
                <c:pt idx="11">
                  <c:v>42198</c:v>
                </c:pt>
                <c:pt idx="12">
                  <c:v>42205</c:v>
                </c:pt>
                <c:pt idx="13">
                  <c:v>42212</c:v>
                </c:pt>
                <c:pt idx="14">
                  <c:v>42219</c:v>
                </c:pt>
                <c:pt idx="15">
                  <c:v>42226</c:v>
                </c:pt>
                <c:pt idx="16">
                  <c:v>42233</c:v>
                </c:pt>
                <c:pt idx="17">
                  <c:v>42240</c:v>
                </c:pt>
                <c:pt idx="18">
                  <c:v>42247</c:v>
                </c:pt>
                <c:pt idx="19">
                  <c:v>42255</c:v>
                </c:pt>
                <c:pt idx="20">
                  <c:v>42261</c:v>
                </c:pt>
                <c:pt idx="21">
                  <c:v>42268</c:v>
                </c:pt>
                <c:pt idx="22">
                  <c:v>42275</c:v>
                </c:pt>
                <c:pt idx="23">
                  <c:v>42282</c:v>
                </c:pt>
                <c:pt idx="24">
                  <c:v>42289</c:v>
                </c:pt>
                <c:pt idx="25">
                  <c:v>42296</c:v>
                </c:pt>
                <c:pt idx="26">
                  <c:v>42303</c:v>
                </c:pt>
                <c:pt idx="27">
                  <c:v>42310</c:v>
                </c:pt>
                <c:pt idx="28">
                  <c:v>42317</c:v>
                </c:pt>
                <c:pt idx="29">
                  <c:v>42324</c:v>
                </c:pt>
                <c:pt idx="30">
                  <c:v>42331</c:v>
                </c:pt>
                <c:pt idx="31">
                  <c:v>42338</c:v>
                </c:pt>
                <c:pt idx="32">
                  <c:v>42345</c:v>
                </c:pt>
                <c:pt idx="33">
                  <c:v>42352</c:v>
                </c:pt>
                <c:pt idx="34">
                  <c:v>42359</c:v>
                </c:pt>
                <c:pt idx="35">
                  <c:v>42366</c:v>
                </c:pt>
                <c:pt idx="36">
                  <c:v>42373</c:v>
                </c:pt>
                <c:pt idx="37">
                  <c:v>42380</c:v>
                </c:pt>
                <c:pt idx="38">
                  <c:v>42388</c:v>
                </c:pt>
                <c:pt idx="39">
                  <c:v>42394</c:v>
                </c:pt>
                <c:pt idx="40">
                  <c:v>42401</c:v>
                </c:pt>
                <c:pt idx="41">
                  <c:v>42408</c:v>
                </c:pt>
                <c:pt idx="42">
                  <c:v>42416</c:v>
                </c:pt>
                <c:pt idx="43">
                  <c:v>42422</c:v>
                </c:pt>
                <c:pt idx="44">
                  <c:v>42429</c:v>
                </c:pt>
                <c:pt idx="45">
                  <c:v>42436</c:v>
                </c:pt>
                <c:pt idx="46">
                  <c:v>42443</c:v>
                </c:pt>
                <c:pt idx="47">
                  <c:v>42450</c:v>
                </c:pt>
                <c:pt idx="48">
                  <c:v>42457</c:v>
                </c:pt>
                <c:pt idx="49">
                  <c:v>42464</c:v>
                </c:pt>
                <c:pt idx="50">
                  <c:v>42471</c:v>
                </c:pt>
                <c:pt idx="51">
                  <c:v>42478</c:v>
                </c:pt>
                <c:pt idx="52">
                  <c:v>42485</c:v>
                </c:pt>
                <c:pt idx="53">
                  <c:v>42492</c:v>
                </c:pt>
                <c:pt idx="54">
                  <c:v>42499</c:v>
                </c:pt>
                <c:pt idx="55">
                  <c:v>42506</c:v>
                </c:pt>
                <c:pt idx="56">
                  <c:v>42513</c:v>
                </c:pt>
                <c:pt idx="57">
                  <c:v>42521</c:v>
                </c:pt>
                <c:pt idx="58">
                  <c:v>42527</c:v>
                </c:pt>
                <c:pt idx="59">
                  <c:v>42534</c:v>
                </c:pt>
                <c:pt idx="60">
                  <c:v>42541</c:v>
                </c:pt>
                <c:pt idx="61">
                  <c:v>42548</c:v>
                </c:pt>
                <c:pt idx="62">
                  <c:v>42556</c:v>
                </c:pt>
                <c:pt idx="63">
                  <c:v>42562</c:v>
                </c:pt>
                <c:pt idx="64">
                  <c:v>42569</c:v>
                </c:pt>
                <c:pt idx="65">
                  <c:v>42576</c:v>
                </c:pt>
                <c:pt idx="66">
                  <c:v>42583</c:v>
                </c:pt>
                <c:pt idx="67">
                  <c:v>42590</c:v>
                </c:pt>
                <c:pt idx="68">
                  <c:v>42597</c:v>
                </c:pt>
                <c:pt idx="69">
                  <c:v>42604</c:v>
                </c:pt>
                <c:pt idx="70">
                  <c:v>42611</c:v>
                </c:pt>
                <c:pt idx="71">
                  <c:v>42619</c:v>
                </c:pt>
                <c:pt idx="72">
                  <c:v>42625</c:v>
                </c:pt>
                <c:pt idx="73">
                  <c:v>42632</c:v>
                </c:pt>
                <c:pt idx="74">
                  <c:v>42639</c:v>
                </c:pt>
                <c:pt idx="75">
                  <c:v>42646</c:v>
                </c:pt>
                <c:pt idx="76">
                  <c:v>42653</c:v>
                </c:pt>
                <c:pt idx="77">
                  <c:v>42660</c:v>
                </c:pt>
                <c:pt idx="78">
                  <c:v>42667</c:v>
                </c:pt>
                <c:pt idx="79">
                  <c:v>42674</c:v>
                </c:pt>
                <c:pt idx="80">
                  <c:v>42681</c:v>
                </c:pt>
                <c:pt idx="81">
                  <c:v>42688</c:v>
                </c:pt>
                <c:pt idx="82">
                  <c:v>42695</c:v>
                </c:pt>
                <c:pt idx="83">
                  <c:v>42702</c:v>
                </c:pt>
                <c:pt idx="84">
                  <c:v>42709</c:v>
                </c:pt>
                <c:pt idx="85">
                  <c:v>42716</c:v>
                </c:pt>
                <c:pt idx="86">
                  <c:v>42723</c:v>
                </c:pt>
                <c:pt idx="87">
                  <c:v>42731</c:v>
                </c:pt>
                <c:pt idx="88">
                  <c:v>42738</c:v>
                </c:pt>
                <c:pt idx="89">
                  <c:v>42744</c:v>
                </c:pt>
                <c:pt idx="90">
                  <c:v>42752</c:v>
                </c:pt>
                <c:pt idx="91">
                  <c:v>42758</c:v>
                </c:pt>
                <c:pt idx="92">
                  <c:v>42765</c:v>
                </c:pt>
                <c:pt idx="93">
                  <c:v>42772</c:v>
                </c:pt>
                <c:pt idx="94">
                  <c:v>42779</c:v>
                </c:pt>
                <c:pt idx="95">
                  <c:v>42787</c:v>
                </c:pt>
                <c:pt idx="96">
                  <c:v>42793</c:v>
                </c:pt>
                <c:pt idx="97">
                  <c:v>42800</c:v>
                </c:pt>
                <c:pt idx="98">
                  <c:v>42807</c:v>
                </c:pt>
                <c:pt idx="99">
                  <c:v>42814</c:v>
                </c:pt>
                <c:pt idx="100">
                  <c:v>42821</c:v>
                </c:pt>
                <c:pt idx="101">
                  <c:v>42828</c:v>
                </c:pt>
                <c:pt idx="102">
                  <c:v>42835</c:v>
                </c:pt>
                <c:pt idx="103">
                  <c:v>42842</c:v>
                </c:pt>
                <c:pt idx="104">
                  <c:v>42849</c:v>
                </c:pt>
                <c:pt idx="105">
                  <c:v>42856</c:v>
                </c:pt>
                <c:pt idx="106">
                  <c:v>42863</c:v>
                </c:pt>
                <c:pt idx="107">
                  <c:v>42870</c:v>
                </c:pt>
                <c:pt idx="108">
                  <c:v>42877</c:v>
                </c:pt>
                <c:pt idx="109">
                  <c:v>42885</c:v>
                </c:pt>
                <c:pt idx="110">
                  <c:v>42891</c:v>
                </c:pt>
                <c:pt idx="111">
                  <c:v>42898</c:v>
                </c:pt>
                <c:pt idx="112">
                  <c:v>42905</c:v>
                </c:pt>
                <c:pt idx="113">
                  <c:v>42912</c:v>
                </c:pt>
                <c:pt idx="114">
                  <c:v>42919</c:v>
                </c:pt>
                <c:pt idx="115">
                  <c:v>42926</c:v>
                </c:pt>
                <c:pt idx="116">
                  <c:v>42933</c:v>
                </c:pt>
                <c:pt idx="117">
                  <c:v>42940</c:v>
                </c:pt>
                <c:pt idx="118">
                  <c:v>42947</c:v>
                </c:pt>
                <c:pt idx="119">
                  <c:v>42954</c:v>
                </c:pt>
                <c:pt idx="120">
                  <c:v>42961</c:v>
                </c:pt>
                <c:pt idx="121">
                  <c:v>42968</c:v>
                </c:pt>
                <c:pt idx="122">
                  <c:v>42975</c:v>
                </c:pt>
                <c:pt idx="123">
                  <c:v>42983</c:v>
                </c:pt>
                <c:pt idx="124">
                  <c:v>42989</c:v>
                </c:pt>
                <c:pt idx="125">
                  <c:v>42996</c:v>
                </c:pt>
                <c:pt idx="126">
                  <c:v>43003</c:v>
                </c:pt>
                <c:pt idx="127">
                  <c:v>43010</c:v>
                </c:pt>
                <c:pt idx="128">
                  <c:v>43017</c:v>
                </c:pt>
                <c:pt idx="129">
                  <c:v>43024</c:v>
                </c:pt>
                <c:pt idx="130">
                  <c:v>43031</c:v>
                </c:pt>
                <c:pt idx="131">
                  <c:v>43038</c:v>
                </c:pt>
                <c:pt idx="132">
                  <c:v>43045</c:v>
                </c:pt>
                <c:pt idx="133">
                  <c:v>43052</c:v>
                </c:pt>
                <c:pt idx="134">
                  <c:v>43059</c:v>
                </c:pt>
                <c:pt idx="135">
                  <c:v>43066</c:v>
                </c:pt>
                <c:pt idx="136">
                  <c:v>43073</c:v>
                </c:pt>
                <c:pt idx="137">
                  <c:v>43080</c:v>
                </c:pt>
                <c:pt idx="138">
                  <c:v>43087</c:v>
                </c:pt>
                <c:pt idx="139">
                  <c:v>43095</c:v>
                </c:pt>
                <c:pt idx="140">
                  <c:v>43102</c:v>
                </c:pt>
                <c:pt idx="141">
                  <c:v>43108</c:v>
                </c:pt>
                <c:pt idx="142">
                  <c:v>43116</c:v>
                </c:pt>
                <c:pt idx="143">
                  <c:v>43122</c:v>
                </c:pt>
                <c:pt idx="144">
                  <c:v>43129</c:v>
                </c:pt>
                <c:pt idx="145">
                  <c:v>43136</c:v>
                </c:pt>
                <c:pt idx="146">
                  <c:v>43143</c:v>
                </c:pt>
                <c:pt idx="147">
                  <c:v>43151</c:v>
                </c:pt>
                <c:pt idx="148">
                  <c:v>43157</c:v>
                </c:pt>
                <c:pt idx="149">
                  <c:v>43164</c:v>
                </c:pt>
                <c:pt idx="150">
                  <c:v>43171</c:v>
                </c:pt>
                <c:pt idx="151">
                  <c:v>43178</c:v>
                </c:pt>
                <c:pt idx="152">
                  <c:v>43185</c:v>
                </c:pt>
                <c:pt idx="153">
                  <c:v>43192</c:v>
                </c:pt>
                <c:pt idx="154">
                  <c:v>43199</c:v>
                </c:pt>
                <c:pt idx="155">
                  <c:v>43206</c:v>
                </c:pt>
                <c:pt idx="156">
                  <c:v>43213</c:v>
                </c:pt>
                <c:pt idx="157">
                  <c:v>43220</c:v>
                </c:pt>
                <c:pt idx="158">
                  <c:v>43227</c:v>
                </c:pt>
                <c:pt idx="159">
                  <c:v>43234</c:v>
                </c:pt>
                <c:pt idx="160">
                  <c:v>43241</c:v>
                </c:pt>
                <c:pt idx="161">
                  <c:v>43249</c:v>
                </c:pt>
                <c:pt idx="162">
                  <c:v>43255</c:v>
                </c:pt>
                <c:pt idx="163">
                  <c:v>43262</c:v>
                </c:pt>
                <c:pt idx="164">
                  <c:v>43269</c:v>
                </c:pt>
                <c:pt idx="165">
                  <c:v>43276</c:v>
                </c:pt>
                <c:pt idx="166">
                  <c:v>43283</c:v>
                </c:pt>
                <c:pt idx="167">
                  <c:v>43290</c:v>
                </c:pt>
                <c:pt idx="168">
                  <c:v>43297</c:v>
                </c:pt>
                <c:pt idx="169">
                  <c:v>43304</c:v>
                </c:pt>
                <c:pt idx="170">
                  <c:v>43311</c:v>
                </c:pt>
                <c:pt idx="171">
                  <c:v>43318</c:v>
                </c:pt>
                <c:pt idx="172">
                  <c:v>43325</c:v>
                </c:pt>
                <c:pt idx="173">
                  <c:v>43332</c:v>
                </c:pt>
                <c:pt idx="174">
                  <c:v>43339</c:v>
                </c:pt>
                <c:pt idx="175">
                  <c:v>43347</c:v>
                </c:pt>
                <c:pt idx="176">
                  <c:v>43353</c:v>
                </c:pt>
                <c:pt idx="177">
                  <c:v>43360</c:v>
                </c:pt>
                <c:pt idx="178">
                  <c:v>43367</c:v>
                </c:pt>
                <c:pt idx="179">
                  <c:v>43374</c:v>
                </c:pt>
                <c:pt idx="180">
                  <c:v>43381</c:v>
                </c:pt>
                <c:pt idx="181">
                  <c:v>43388</c:v>
                </c:pt>
                <c:pt idx="182">
                  <c:v>43395</c:v>
                </c:pt>
                <c:pt idx="183">
                  <c:v>43402</c:v>
                </c:pt>
                <c:pt idx="184">
                  <c:v>43409</c:v>
                </c:pt>
                <c:pt idx="185">
                  <c:v>43416</c:v>
                </c:pt>
                <c:pt idx="186">
                  <c:v>43423</c:v>
                </c:pt>
                <c:pt idx="187">
                  <c:v>43430</c:v>
                </c:pt>
                <c:pt idx="188">
                  <c:v>43437</c:v>
                </c:pt>
                <c:pt idx="189">
                  <c:v>43444</c:v>
                </c:pt>
                <c:pt idx="190">
                  <c:v>43451</c:v>
                </c:pt>
                <c:pt idx="191">
                  <c:v>43458</c:v>
                </c:pt>
                <c:pt idx="192">
                  <c:v>43465</c:v>
                </c:pt>
                <c:pt idx="193">
                  <c:v>43472</c:v>
                </c:pt>
                <c:pt idx="194">
                  <c:v>43479</c:v>
                </c:pt>
                <c:pt idx="195">
                  <c:v>43487</c:v>
                </c:pt>
                <c:pt idx="196">
                  <c:v>43493</c:v>
                </c:pt>
                <c:pt idx="197">
                  <c:v>43500</c:v>
                </c:pt>
                <c:pt idx="198">
                  <c:v>43507</c:v>
                </c:pt>
                <c:pt idx="199">
                  <c:v>43515</c:v>
                </c:pt>
                <c:pt idx="200">
                  <c:v>43521</c:v>
                </c:pt>
                <c:pt idx="201">
                  <c:v>43528</c:v>
                </c:pt>
                <c:pt idx="202">
                  <c:v>43535</c:v>
                </c:pt>
                <c:pt idx="203">
                  <c:v>43542</c:v>
                </c:pt>
                <c:pt idx="204">
                  <c:v>43549</c:v>
                </c:pt>
                <c:pt idx="205">
                  <c:v>43556</c:v>
                </c:pt>
                <c:pt idx="206">
                  <c:v>43563</c:v>
                </c:pt>
                <c:pt idx="207">
                  <c:v>43570</c:v>
                </c:pt>
                <c:pt idx="208">
                  <c:v>43577</c:v>
                </c:pt>
                <c:pt idx="209">
                  <c:v>43584</c:v>
                </c:pt>
                <c:pt idx="210">
                  <c:v>43591</c:v>
                </c:pt>
                <c:pt idx="211">
                  <c:v>43598</c:v>
                </c:pt>
                <c:pt idx="212">
                  <c:v>43605</c:v>
                </c:pt>
                <c:pt idx="213">
                  <c:v>43613</c:v>
                </c:pt>
                <c:pt idx="214">
                  <c:v>43619</c:v>
                </c:pt>
                <c:pt idx="215">
                  <c:v>43626</c:v>
                </c:pt>
                <c:pt idx="216">
                  <c:v>43633</c:v>
                </c:pt>
                <c:pt idx="217">
                  <c:v>43640</c:v>
                </c:pt>
                <c:pt idx="218">
                  <c:v>43647</c:v>
                </c:pt>
                <c:pt idx="219">
                  <c:v>43654</c:v>
                </c:pt>
                <c:pt idx="220">
                  <c:v>43661</c:v>
                </c:pt>
                <c:pt idx="221">
                  <c:v>43668</c:v>
                </c:pt>
                <c:pt idx="222">
                  <c:v>43675</c:v>
                </c:pt>
                <c:pt idx="223">
                  <c:v>43682</c:v>
                </c:pt>
                <c:pt idx="224">
                  <c:v>43689</c:v>
                </c:pt>
                <c:pt idx="225">
                  <c:v>43696</c:v>
                </c:pt>
                <c:pt idx="226">
                  <c:v>43703</c:v>
                </c:pt>
                <c:pt idx="227">
                  <c:v>43711</c:v>
                </c:pt>
                <c:pt idx="228">
                  <c:v>43717</c:v>
                </c:pt>
                <c:pt idx="229">
                  <c:v>43724</c:v>
                </c:pt>
                <c:pt idx="230">
                  <c:v>43731</c:v>
                </c:pt>
                <c:pt idx="231">
                  <c:v>43738</c:v>
                </c:pt>
                <c:pt idx="232">
                  <c:v>43745</c:v>
                </c:pt>
                <c:pt idx="233">
                  <c:v>43752</c:v>
                </c:pt>
                <c:pt idx="234">
                  <c:v>43759</c:v>
                </c:pt>
                <c:pt idx="235">
                  <c:v>43766</c:v>
                </c:pt>
                <c:pt idx="236">
                  <c:v>43773</c:v>
                </c:pt>
                <c:pt idx="237">
                  <c:v>43780</c:v>
                </c:pt>
                <c:pt idx="238">
                  <c:v>43787</c:v>
                </c:pt>
                <c:pt idx="239">
                  <c:v>43794</c:v>
                </c:pt>
                <c:pt idx="240">
                  <c:v>43801</c:v>
                </c:pt>
                <c:pt idx="241">
                  <c:v>43808</c:v>
                </c:pt>
                <c:pt idx="242">
                  <c:v>43815</c:v>
                </c:pt>
                <c:pt idx="243">
                  <c:v>43822</c:v>
                </c:pt>
                <c:pt idx="244">
                  <c:v>43829</c:v>
                </c:pt>
                <c:pt idx="245">
                  <c:v>43836</c:v>
                </c:pt>
                <c:pt idx="246">
                  <c:v>43843</c:v>
                </c:pt>
                <c:pt idx="247">
                  <c:v>43851</c:v>
                </c:pt>
                <c:pt idx="248">
                  <c:v>43857</c:v>
                </c:pt>
                <c:pt idx="249">
                  <c:v>43864</c:v>
                </c:pt>
                <c:pt idx="250">
                  <c:v>43871</c:v>
                </c:pt>
                <c:pt idx="251">
                  <c:v>43879</c:v>
                </c:pt>
                <c:pt idx="252">
                  <c:v>43885</c:v>
                </c:pt>
                <c:pt idx="253">
                  <c:v>43892</c:v>
                </c:pt>
                <c:pt idx="254">
                  <c:v>43899</c:v>
                </c:pt>
                <c:pt idx="255">
                  <c:v>43906</c:v>
                </c:pt>
                <c:pt idx="256">
                  <c:v>43913</c:v>
                </c:pt>
                <c:pt idx="257">
                  <c:v>43920</c:v>
                </c:pt>
                <c:pt idx="258">
                  <c:v>43927</c:v>
                </c:pt>
                <c:pt idx="259">
                  <c:v>43934</c:v>
                </c:pt>
                <c:pt idx="260">
                  <c:v>43941</c:v>
                </c:pt>
                <c:pt idx="261">
                  <c:v>43948</c:v>
                </c:pt>
                <c:pt idx="262">
                  <c:v>43955</c:v>
                </c:pt>
                <c:pt idx="263">
                  <c:v>43962</c:v>
                </c:pt>
                <c:pt idx="264">
                  <c:v>43969</c:v>
                </c:pt>
                <c:pt idx="265">
                  <c:v>43977</c:v>
                </c:pt>
                <c:pt idx="266">
                  <c:v>43983</c:v>
                </c:pt>
                <c:pt idx="267">
                  <c:v>43990</c:v>
                </c:pt>
                <c:pt idx="268">
                  <c:v>43997</c:v>
                </c:pt>
                <c:pt idx="269">
                  <c:v>44004</c:v>
                </c:pt>
                <c:pt idx="270">
                  <c:v>44011</c:v>
                </c:pt>
                <c:pt idx="271">
                  <c:v>44018</c:v>
                </c:pt>
                <c:pt idx="272">
                  <c:v>44025</c:v>
                </c:pt>
                <c:pt idx="273">
                  <c:v>44032</c:v>
                </c:pt>
                <c:pt idx="274">
                  <c:v>44039</c:v>
                </c:pt>
                <c:pt idx="275">
                  <c:v>44046</c:v>
                </c:pt>
                <c:pt idx="276">
                  <c:v>44053</c:v>
                </c:pt>
                <c:pt idx="277">
                  <c:v>44060</c:v>
                </c:pt>
                <c:pt idx="278">
                  <c:v>44067</c:v>
                </c:pt>
                <c:pt idx="279">
                  <c:v>44074</c:v>
                </c:pt>
                <c:pt idx="280">
                  <c:v>44082</c:v>
                </c:pt>
                <c:pt idx="281">
                  <c:v>44088</c:v>
                </c:pt>
                <c:pt idx="282">
                  <c:v>44095</c:v>
                </c:pt>
                <c:pt idx="283">
                  <c:v>44102</c:v>
                </c:pt>
                <c:pt idx="284">
                  <c:v>44109</c:v>
                </c:pt>
                <c:pt idx="285">
                  <c:v>44116</c:v>
                </c:pt>
                <c:pt idx="286">
                  <c:v>44123</c:v>
                </c:pt>
                <c:pt idx="287">
                  <c:v>44130</c:v>
                </c:pt>
                <c:pt idx="288">
                  <c:v>44137</c:v>
                </c:pt>
                <c:pt idx="289">
                  <c:v>44144</c:v>
                </c:pt>
                <c:pt idx="290">
                  <c:v>44151</c:v>
                </c:pt>
                <c:pt idx="291">
                  <c:v>44158</c:v>
                </c:pt>
                <c:pt idx="292">
                  <c:v>44165</c:v>
                </c:pt>
                <c:pt idx="293">
                  <c:v>44172</c:v>
                </c:pt>
                <c:pt idx="294">
                  <c:v>44179</c:v>
                </c:pt>
                <c:pt idx="295">
                  <c:v>44186</c:v>
                </c:pt>
                <c:pt idx="296">
                  <c:v>44193</c:v>
                </c:pt>
                <c:pt idx="297">
                  <c:v>44200</c:v>
                </c:pt>
                <c:pt idx="298">
                  <c:v>44207</c:v>
                </c:pt>
                <c:pt idx="299">
                  <c:v>44215</c:v>
                </c:pt>
                <c:pt idx="300">
                  <c:v>44221</c:v>
                </c:pt>
                <c:pt idx="301">
                  <c:v>44228</c:v>
                </c:pt>
                <c:pt idx="302">
                  <c:v>44235</c:v>
                </c:pt>
                <c:pt idx="303">
                  <c:v>44243</c:v>
                </c:pt>
                <c:pt idx="304">
                  <c:v>44249</c:v>
                </c:pt>
                <c:pt idx="305">
                  <c:v>44256</c:v>
                </c:pt>
                <c:pt idx="306">
                  <c:v>44263</c:v>
                </c:pt>
                <c:pt idx="307">
                  <c:v>44270</c:v>
                </c:pt>
                <c:pt idx="308">
                  <c:v>44277</c:v>
                </c:pt>
                <c:pt idx="309">
                  <c:v>44284</c:v>
                </c:pt>
                <c:pt idx="310">
                  <c:v>44291</c:v>
                </c:pt>
                <c:pt idx="311">
                  <c:v>44298</c:v>
                </c:pt>
                <c:pt idx="312">
                  <c:v>44305</c:v>
                </c:pt>
                <c:pt idx="313">
                  <c:v>44312</c:v>
                </c:pt>
                <c:pt idx="314">
                  <c:v>44319</c:v>
                </c:pt>
                <c:pt idx="315">
                  <c:v>44326</c:v>
                </c:pt>
                <c:pt idx="316">
                  <c:v>44333</c:v>
                </c:pt>
                <c:pt idx="317">
                  <c:v>44340</c:v>
                </c:pt>
                <c:pt idx="318">
                  <c:v>44348</c:v>
                </c:pt>
                <c:pt idx="319">
                  <c:v>44354</c:v>
                </c:pt>
                <c:pt idx="320">
                  <c:v>44361</c:v>
                </c:pt>
                <c:pt idx="321">
                  <c:v>44368</c:v>
                </c:pt>
                <c:pt idx="322">
                  <c:v>44375</c:v>
                </c:pt>
                <c:pt idx="323">
                  <c:v>44383</c:v>
                </c:pt>
                <c:pt idx="324">
                  <c:v>44389</c:v>
                </c:pt>
                <c:pt idx="325">
                  <c:v>44396</c:v>
                </c:pt>
                <c:pt idx="326">
                  <c:v>44403</c:v>
                </c:pt>
                <c:pt idx="327">
                  <c:v>44410</c:v>
                </c:pt>
                <c:pt idx="328">
                  <c:v>44417</c:v>
                </c:pt>
                <c:pt idx="329">
                  <c:v>44424</c:v>
                </c:pt>
                <c:pt idx="330">
                  <c:v>44431</c:v>
                </c:pt>
                <c:pt idx="331">
                  <c:v>44438</c:v>
                </c:pt>
                <c:pt idx="332">
                  <c:v>44446</c:v>
                </c:pt>
                <c:pt idx="333">
                  <c:v>44452</c:v>
                </c:pt>
                <c:pt idx="334">
                  <c:v>44459</c:v>
                </c:pt>
                <c:pt idx="335">
                  <c:v>44466</c:v>
                </c:pt>
                <c:pt idx="336">
                  <c:v>44473</c:v>
                </c:pt>
                <c:pt idx="337">
                  <c:v>44480</c:v>
                </c:pt>
                <c:pt idx="338">
                  <c:v>44487</c:v>
                </c:pt>
                <c:pt idx="339">
                  <c:v>44494</c:v>
                </c:pt>
                <c:pt idx="340">
                  <c:v>44501</c:v>
                </c:pt>
                <c:pt idx="341">
                  <c:v>44508</c:v>
                </c:pt>
                <c:pt idx="342">
                  <c:v>44515</c:v>
                </c:pt>
                <c:pt idx="343">
                  <c:v>44522</c:v>
                </c:pt>
                <c:pt idx="344">
                  <c:v>44529</c:v>
                </c:pt>
                <c:pt idx="345">
                  <c:v>44536</c:v>
                </c:pt>
                <c:pt idx="346">
                  <c:v>44543</c:v>
                </c:pt>
                <c:pt idx="347">
                  <c:v>44550</c:v>
                </c:pt>
                <c:pt idx="348">
                  <c:v>44557</c:v>
                </c:pt>
                <c:pt idx="349">
                  <c:v>44564</c:v>
                </c:pt>
                <c:pt idx="350">
                  <c:v>44571</c:v>
                </c:pt>
                <c:pt idx="351">
                  <c:v>44579</c:v>
                </c:pt>
                <c:pt idx="352">
                  <c:v>44585</c:v>
                </c:pt>
                <c:pt idx="353">
                  <c:v>44592</c:v>
                </c:pt>
                <c:pt idx="354">
                  <c:v>44599</c:v>
                </c:pt>
                <c:pt idx="355">
                  <c:v>44606</c:v>
                </c:pt>
                <c:pt idx="356">
                  <c:v>44614</c:v>
                </c:pt>
                <c:pt idx="357">
                  <c:v>44620</c:v>
                </c:pt>
                <c:pt idx="358">
                  <c:v>44627</c:v>
                </c:pt>
                <c:pt idx="359">
                  <c:v>44634</c:v>
                </c:pt>
                <c:pt idx="360">
                  <c:v>44641</c:v>
                </c:pt>
                <c:pt idx="361">
                  <c:v>44648</c:v>
                </c:pt>
                <c:pt idx="362">
                  <c:v>44655</c:v>
                </c:pt>
                <c:pt idx="363">
                  <c:v>44662</c:v>
                </c:pt>
                <c:pt idx="364">
                  <c:v>44669</c:v>
                </c:pt>
                <c:pt idx="365">
                  <c:v>44676</c:v>
                </c:pt>
                <c:pt idx="366">
                  <c:v>44683</c:v>
                </c:pt>
                <c:pt idx="367">
                  <c:v>44690</c:v>
                </c:pt>
                <c:pt idx="368">
                  <c:v>44697</c:v>
                </c:pt>
                <c:pt idx="369">
                  <c:v>44704</c:v>
                </c:pt>
                <c:pt idx="370">
                  <c:v>44712</c:v>
                </c:pt>
                <c:pt idx="371">
                  <c:v>44718</c:v>
                </c:pt>
                <c:pt idx="372">
                  <c:v>44725</c:v>
                </c:pt>
                <c:pt idx="373">
                  <c:v>44733</c:v>
                </c:pt>
                <c:pt idx="374">
                  <c:v>44739</c:v>
                </c:pt>
                <c:pt idx="375">
                  <c:v>44747</c:v>
                </c:pt>
                <c:pt idx="376">
                  <c:v>44753</c:v>
                </c:pt>
                <c:pt idx="377">
                  <c:v>44760</c:v>
                </c:pt>
                <c:pt idx="378">
                  <c:v>44767</c:v>
                </c:pt>
                <c:pt idx="379">
                  <c:v>44774</c:v>
                </c:pt>
                <c:pt idx="380">
                  <c:v>44781</c:v>
                </c:pt>
                <c:pt idx="381">
                  <c:v>44788</c:v>
                </c:pt>
                <c:pt idx="382">
                  <c:v>44795</c:v>
                </c:pt>
                <c:pt idx="383">
                  <c:v>44802</c:v>
                </c:pt>
                <c:pt idx="384">
                  <c:v>44810</c:v>
                </c:pt>
                <c:pt idx="385">
                  <c:v>44816</c:v>
                </c:pt>
                <c:pt idx="386">
                  <c:v>44823</c:v>
                </c:pt>
                <c:pt idx="387">
                  <c:v>44830</c:v>
                </c:pt>
                <c:pt idx="388">
                  <c:v>44837</c:v>
                </c:pt>
                <c:pt idx="389">
                  <c:v>44844</c:v>
                </c:pt>
                <c:pt idx="390">
                  <c:v>44851</c:v>
                </c:pt>
                <c:pt idx="391">
                  <c:v>44858</c:v>
                </c:pt>
                <c:pt idx="392">
                  <c:v>44865</c:v>
                </c:pt>
                <c:pt idx="393">
                  <c:v>44872</c:v>
                </c:pt>
                <c:pt idx="394">
                  <c:v>44879</c:v>
                </c:pt>
                <c:pt idx="395">
                  <c:v>44886</c:v>
                </c:pt>
                <c:pt idx="396">
                  <c:v>44893</c:v>
                </c:pt>
                <c:pt idx="397">
                  <c:v>44900</c:v>
                </c:pt>
                <c:pt idx="398">
                  <c:v>44907</c:v>
                </c:pt>
                <c:pt idx="399">
                  <c:v>44914</c:v>
                </c:pt>
                <c:pt idx="400">
                  <c:v>44922</c:v>
                </c:pt>
                <c:pt idx="401">
                  <c:v>44929</c:v>
                </c:pt>
                <c:pt idx="402">
                  <c:v>44935</c:v>
                </c:pt>
                <c:pt idx="403">
                  <c:v>44943</c:v>
                </c:pt>
                <c:pt idx="404">
                  <c:v>44949</c:v>
                </c:pt>
                <c:pt idx="405">
                  <c:v>44956</c:v>
                </c:pt>
                <c:pt idx="406">
                  <c:v>44963</c:v>
                </c:pt>
                <c:pt idx="407">
                  <c:v>44970</c:v>
                </c:pt>
                <c:pt idx="408">
                  <c:v>44978</c:v>
                </c:pt>
                <c:pt idx="409">
                  <c:v>44984</c:v>
                </c:pt>
                <c:pt idx="410">
                  <c:v>44991</c:v>
                </c:pt>
                <c:pt idx="411">
                  <c:v>44998</c:v>
                </c:pt>
                <c:pt idx="412">
                  <c:v>45005</c:v>
                </c:pt>
                <c:pt idx="413">
                  <c:v>45012</c:v>
                </c:pt>
                <c:pt idx="414">
                  <c:v>45019</c:v>
                </c:pt>
                <c:pt idx="415">
                  <c:v>45026</c:v>
                </c:pt>
                <c:pt idx="416">
                  <c:v>45033</c:v>
                </c:pt>
                <c:pt idx="417">
                  <c:v>45040</c:v>
                </c:pt>
                <c:pt idx="418">
                  <c:v>45047</c:v>
                </c:pt>
                <c:pt idx="419">
                  <c:v>45054</c:v>
                </c:pt>
                <c:pt idx="420">
                  <c:v>45061</c:v>
                </c:pt>
                <c:pt idx="421">
                  <c:v>45068</c:v>
                </c:pt>
                <c:pt idx="422">
                  <c:v>45076</c:v>
                </c:pt>
                <c:pt idx="423">
                  <c:v>45082</c:v>
                </c:pt>
                <c:pt idx="424">
                  <c:v>45089</c:v>
                </c:pt>
                <c:pt idx="425">
                  <c:v>45097</c:v>
                </c:pt>
                <c:pt idx="426">
                  <c:v>45103</c:v>
                </c:pt>
                <c:pt idx="427">
                  <c:v>45110</c:v>
                </c:pt>
                <c:pt idx="428">
                  <c:v>45117</c:v>
                </c:pt>
                <c:pt idx="429">
                  <c:v>45124</c:v>
                </c:pt>
                <c:pt idx="430">
                  <c:v>45131</c:v>
                </c:pt>
                <c:pt idx="431">
                  <c:v>45138</c:v>
                </c:pt>
                <c:pt idx="432">
                  <c:v>45145</c:v>
                </c:pt>
                <c:pt idx="433">
                  <c:v>45152</c:v>
                </c:pt>
                <c:pt idx="434">
                  <c:v>45159</c:v>
                </c:pt>
                <c:pt idx="435">
                  <c:v>45166</c:v>
                </c:pt>
                <c:pt idx="436">
                  <c:v>45174</c:v>
                </c:pt>
                <c:pt idx="437">
                  <c:v>45180</c:v>
                </c:pt>
                <c:pt idx="438">
                  <c:v>45187</c:v>
                </c:pt>
                <c:pt idx="439">
                  <c:v>45194</c:v>
                </c:pt>
                <c:pt idx="440">
                  <c:v>45201</c:v>
                </c:pt>
                <c:pt idx="441">
                  <c:v>45208</c:v>
                </c:pt>
                <c:pt idx="442">
                  <c:v>45215</c:v>
                </c:pt>
                <c:pt idx="443">
                  <c:v>45222</c:v>
                </c:pt>
                <c:pt idx="444">
                  <c:v>45229</c:v>
                </c:pt>
                <c:pt idx="445">
                  <c:v>45236</c:v>
                </c:pt>
                <c:pt idx="446">
                  <c:v>45243</c:v>
                </c:pt>
                <c:pt idx="447">
                  <c:v>45250</c:v>
                </c:pt>
                <c:pt idx="448">
                  <c:v>45257</c:v>
                </c:pt>
                <c:pt idx="449">
                  <c:v>45264</c:v>
                </c:pt>
                <c:pt idx="450">
                  <c:v>45271</c:v>
                </c:pt>
                <c:pt idx="451">
                  <c:v>45278</c:v>
                </c:pt>
                <c:pt idx="452">
                  <c:v>45286</c:v>
                </c:pt>
                <c:pt idx="453">
                  <c:v>45293</c:v>
                </c:pt>
                <c:pt idx="454">
                  <c:v>45299</c:v>
                </c:pt>
                <c:pt idx="455">
                  <c:v>45307</c:v>
                </c:pt>
                <c:pt idx="456">
                  <c:v>45313</c:v>
                </c:pt>
                <c:pt idx="457">
                  <c:v>45320</c:v>
                </c:pt>
                <c:pt idx="458">
                  <c:v>45327</c:v>
                </c:pt>
                <c:pt idx="459">
                  <c:v>45334</c:v>
                </c:pt>
                <c:pt idx="460">
                  <c:v>45342</c:v>
                </c:pt>
                <c:pt idx="461">
                  <c:v>45348</c:v>
                </c:pt>
                <c:pt idx="462">
                  <c:v>45355</c:v>
                </c:pt>
                <c:pt idx="463">
                  <c:v>45362</c:v>
                </c:pt>
                <c:pt idx="464">
                  <c:v>45369</c:v>
                </c:pt>
                <c:pt idx="465">
                  <c:v>45376</c:v>
                </c:pt>
                <c:pt idx="466">
                  <c:v>45383</c:v>
                </c:pt>
                <c:pt idx="467">
                  <c:v>45390</c:v>
                </c:pt>
                <c:pt idx="468">
                  <c:v>45397</c:v>
                </c:pt>
                <c:pt idx="469">
                  <c:v>45404</c:v>
                </c:pt>
                <c:pt idx="470">
                  <c:v>45411</c:v>
                </c:pt>
                <c:pt idx="471">
                  <c:v>45418</c:v>
                </c:pt>
                <c:pt idx="472">
                  <c:v>45425</c:v>
                </c:pt>
                <c:pt idx="473">
                  <c:v>45432</c:v>
                </c:pt>
                <c:pt idx="474">
                  <c:v>45440</c:v>
                </c:pt>
                <c:pt idx="475">
                  <c:v>45446</c:v>
                </c:pt>
                <c:pt idx="476">
                  <c:v>45453</c:v>
                </c:pt>
                <c:pt idx="477">
                  <c:v>45460</c:v>
                </c:pt>
                <c:pt idx="478">
                  <c:v>45467</c:v>
                </c:pt>
                <c:pt idx="479">
                  <c:v>45474</c:v>
                </c:pt>
                <c:pt idx="480">
                  <c:v>45481</c:v>
                </c:pt>
                <c:pt idx="481">
                  <c:v>45488</c:v>
                </c:pt>
                <c:pt idx="482">
                  <c:v>45495</c:v>
                </c:pt>
                <c:pt idx="483">
                  <c:v>45502</c:v>
                </c:pt>
                <c:pt idx="484">
                  <c:v>45509</c:v>
                </c:pt>
                <c:pt idx="485">
                  <c:v>45516</c:v>
                </c:pt>
                <c:pt idx="486">
                  <c:v>45523</c:v>
                </c:pt>
                <c:pt idx="487">
                  <c:v>45530</c:v>
                </c:pt>
                <c:pt idx="488">
                  <c:v>45538</c:v>
                </c:pt>
                <c:pt idx="489">
                  <c:v>45544</c:v>
                </c:pt>
                <c:pt idx="490">
                  <c:v>45551</c:v>
                </c:pt>
                <c:pt idx="491">
                  <c:v>45558</c:v>
                </c:pt>
                <c:pt idx="492">
                  <c:v>45565</c:v>
                </c:pt>
                <c:pt idx="493">
                  <c:v>45572</c:v>
                </c:pt>
                <c:pt idx="494">
                  <c:v>45579</c:v>
                </c:pt>
                <c:pt idx="495">
                  <c:v>45586</c:v>
                </c:pt>
                <c:pt idx="496">
                  <c:v>45593</c:v>
                </c:pt>
                <c:pt idx="497">
                  <c:v>45600</c:v>
                </c:pt>
                <c:pt idx="498">
                  <c:v>45607</c:v>
                </c:pt>
                <c:pt idx="499">
                  <c:v>45614</c:v>
                </c:pt>
                <c:pt idx="500">
                  <c:v>45621</c:v>
                </c:pt>
                <c:pt idx="501">
                  <c:v>45628</c:v>
                </c:pt>
                <c:pt idx="502">
                  <c:v>45635</c:v>
                </c:pt>
                <c:pt idx="503">
                  <c:v>45642</c:v>
                </c:pt>
                <c:pt idx="504">
                  <c:v>45649</c:v>
                </c:pt>
                <c:pt idx="505">
                  <c:v>45656</c:v>
                </c:pt>
                <c:pt idx="506">
                  <c:v>45663</c:v>
                </c:pt>
                <c:pt idx="507">
                  <c:v>45670</c:v>
                </c:pt>
                <c:pt idx="508">
                  <c:v>45678</c:v>
                </c:pt>
                <c:pt idx="509">
                  <c:v>45684</c:v>
                </c:pt>
                <c:pt idx="510">
                  <c:v>45691</c:v>
                </c:pt>
                <c:pt idx="511">
                  <c:v>45698</c:v>
                </c:pt>
                <c:pt idx="512">
                  <c:v>45706</c:v>
                </c:pt>
                <c:pt idx="513">
                  <c:v>45712</c:v>
                </c:pt>
                <c:pt idx="514">
                  <c:v>45719</c:v>
                </c:pt>
                <c:pt idx="515">
                  <c:v>45726</c:v>
                </c:pt>
                <c:pt idx="516">
                  <c:v>45733</c:v>
                </c:pt>
                <c:pt idx="517">
                  <c:v>45740</c:v>
                </c:pt>
                <c:pt idx="518">
                  <c:v>45747</c:v>
                </c:pt>
                <c:pt idx="519">
                  <c:v>45754</c:v>
                </c:pt>
                <c:pt idx="520">
                  <c:v>45761</c:v>
                </c:pt>
                <c:pt idx="521">
                  <c:v>45768</c:v>
                </c:pt>
                <c:pt idx="522">
                  <c:v>45775</c:v>
                </c:pt>
              </c:numCache>
            </c:numRef>
          </c:cat>
          <c:val>
            <c:numRef>
              <c:f>Apple!$D$7:$D$529</c:f>
              <c:numCache>
                <c:formatCode>_([$$-409]* #,##0.00_);_([$$-409]* \(#,##0.00\);_([$$-409]* "-"??_);_(@_)</c:formatCode>
                <c:ptCount val="523"/>
                <c:pt idx="0">
                  <c:v>32.237499999999997</c:v>
                </c:pt>
                <c:pt idx="1">
                  <c:v>31.905000000000001</c:v>
                </c:pt>
                <c:pt idx="2">
                  <c:v>32.192500000000003</c:v>
                </c:pt>
                <c:pt idx="3">
                  <c:v>33.134999999999998</c:v>
                </c:pt>
                <c:pt idx="4">
                  <c:v>32.57</c:v>
                </c:pt>
                <c:pt idx="5">
                  <c:v>32.162500000000001</c:v>
                </c:pt>
                <c:pt idx="6">
                  <c:v>31.7925</c:v>
                </c:pt>
                <c:pt idx="7">
                  <c:v>31.65</c:v>
                </c:pt>
                <c:pt idx="8">
                  <c:v>31.6875</c:v>
                </c:pt>
                <c:pt idx="9">
                  <c:v>31.61</c:v>
                </c:pt>
                <c:pt idx="10">
                  <c:v>30.82</c:v>
                </c:pt>
                <c:pt idx="11">
                  <c:v>32.405000000000001</c:v>
                </c:pt>
                <c:pt idx="12">
                  <c:v>31.125</c:v>
                </c:pt>
                <c:pt idx="13">
                  <c:v>30.324999999999999</c:v>
                </c:pt>
                <c:pt idx="14">
                  <c:v>28.88</c:v>
                </c:pt>
                <c:pt idx="15">
                  <c:v>28.99</c:v>
                </c:pt>
                <c:pt idx="16">
                  <c:v>26.44</c:v>
                </c:pt>
                <c:pt idx="17">
                  <c:v>28.322500000000002</c:v>
                </c:pt>
                <c:pt idx="18">
                  <c:v>27.317499999999999</c:v>
                </c:pt>
                <c:pt idx="19">
                  <c:v>28.552499999999998</c:v>
                </c:pt>
                <c:pt idx="20">
                  <c:v>28.362500000000001</c:v>
                </c:pt>
                <c:pt idx="21">
                  <c:v>28.677499999999998</c:v>
                </c:pt>
                <c:pt idx="22">
                  <c:v>27.594999999999999</c:v>
                </c:pt>
                <c:pt idx="23">
                  <c:v>28.03</c:v>
                </c:pt>
                <c:pt idx="24">
                  <c:v>27.76</c:v>
                </c:pt>
                <c:pt idx="25">
                  <c:v>29.77</c:v>
                </c:pt>
                <c:pt idx="26">
                  <c:v>29.875</c:v>
                </c:pt>
                <c:pt idx="27">
                  <c:v>30.265000000000001</c:v>
                </c:pt>
                <c:pt idx="28">
                  <c:v>28.085000000000001</c:v>
                </c:pt>
                <c:pt idx="29">
                  <c:v>29.824999999999999</c:v>
                </c:pt>
                <c:pt idx="30">
                  <c:v>29.452500000000001</c:v>
                </c:pt>
                <c:pt idx="31">
                  <c:v>29.7575</c:v>
                </c:pt>
                <c:pt idx="32">
                  <c:v>28.295000000000002</c:v>
                </c:pt>
                <c:pt idx="33">
                  <c:v>26.5075</c:v>
                </c:pt>
                <c:pt idx="34">
                  <c:v>27.0075</c:v>
                </c:pt>
                <c:pt idx="35">
                  <c:v>26.315000000000001</c:v>
                </c:pt>
                <c:pt idx="36">
                  <c:v>24.24</c:v>
                </c:pt>
                <c:pt idx="37">
                  <c:v>24.282499999999999</c:v>
                </c:pt>
                <c:pt idx="38">
                  <c:v>25.355</c:v>
                </c:pt>
                <c:pt idx="39">
                  <c:v>24.335000000000001</c:v>
                </c:pt>
                <c:pt idx="40">
                  <c:v>23.504999999999999</c:v>
                </c:pt>
                <c:pt idx="41">
                  <c:v>23.497499999999999</c:v>
                </c:pt>
                <c:pt idx="42">
                  <c:v>24.01</c:v>
                </c:pt>
                <c:pt idx="43">
                  <c:v>24.227499999999999</c:v>
                </c:pt>
                <c:pt idx="44">
                  <c:v>25.752500000000001</c:v>
                </c:pt>
                <c:pt idx="45">
                  <c:v>25.565000000000001</c:v>
                </c:pt>
                <c:pt idx="46">
                  <c:v>26.48</c:v>
                </c:pt>
                <c:pt idx="47">
                  <c:v>26.4175</c:v>
                </c:pt>
                <c:pt idx="48">
                  <c:v>27.497499999999999</c:v>
                </c:pt>
                <c:pt idx="49">
                  <c:v>27.164999999999999</c:v>
                </c:pt>
                <c:pt idx="50">
                  <c:v>27.462499999999999</c:v>
                </c:pt>
                <c:pt idx="51">
                  <c:v>26.42</c:v>
                </c:pt>
                <c:pt idx="52">
                  <c:v>23.434999999999999</c:v>
                </c:pt>
                <c:pt idx="53">
                  <c:v>23.18</c:v>
                </c:pt>
                <c:pt idx="54">
                  <c:v>22.63</c:v>
                </c:pt>
                <c:pt idx="55">
                  <c:v>23.805</c:v>
                </c:pt>
                <c:pt idx="56">
                  <c:v>25.087499999999999</c:v>
                </c:pt>
                <c:pt idx="57">
                  <c:v>24.48</c:v>
                </c:pt>
                <c:pt idx="58">
                  <c:v>24.7075</c:v>
                </c:pt>
                <c:pt idx="59">
                  <c:v>23.8325</c:v>
                </c:pt>
                <c:pt idx="60">
                  <c:v>23.35</c:v>
                </c:pt>
                <c:pt idx="61">
                  <c:v>23.9725</c:v>
                </c:pt>
                <c:pt idx="62">
                  <c:v>24.17</c:v>
                </c:pt>
                <c:pt idx="63">
                  <c:v>24.695</c:v>
                </c:pt>
                <c:pt idx="64">
                  <c:v>24.664999999999999</c:v>
                </c:pt>
                <c:pt idx="65">
                  <c:v>26.052499999999998</c:v>
                </c:pt>
                <c:pt idx="66">
                  <c:v>26.87</c:v>
                </c:pt>
                <c:pt idx="67">
                  <c:v>27.045000000000002</c:v>
                </c:pt>
                <c:pt idx="68">
                  <c:v>27.34</c:v>
                </c:pt>
                <c:pt idx="69">
                  <c:v>26.734999999999999</c:v>
                </c:pt>
                <c:pt idx="70">
                  <c:v>26.932500000000001</c:v>
                </c:pt>
                <c:pt idx="71">
                  <c:v>25.782499999999999</c:v>
                </c:pt>
                <c:pt idx="72">
                  <c:v>28.73</c:v>
                </c:pt>
                <c:pt idx="73">
                  <c:v>28.177499999999998</c:v>
                </c:pt>
                <c:pt idx="74">
                  <c:v>28.262499999999999</c:v>
                </c:pt>
                <c:pt idx="75">
                  <c:v>28.515000000000001</c:v>
                </c:pt>
                <c:pt idx="76">
                  <c:v>29.407499999999999</c:v>
                </c:pt>
                <c:pt idx="77">
                  <c:v>29.15</c:v>
                </c:pt>
                <c:pt idx="78">
                  <c:v>28.43</c:v>
                </c:pt>
                <c:pt idx="79">
                  <c:v>27.21</c:v>
                </c:pt>
                <c:pt idx="80">
                  <c:v>27.107500000000002</c:v>
                </c:pt>
                <c:pt idx="81">
                  <c:v>27.515000000000001</c:v>
                </c:pt>
                <c:pt idx="82">
                  <c:v>27.947500000000002</c:v>
                </c:pt>
                <c:pt idx="83">
                  <c:v>27.475000000000001</c:v>
                </c:pt>
                <c:pt idx="84">
                  <c:v>28.487500000000001</c:v>
                </c:pt>
                <c:pt idx="85">
                  <c:v>28.9925</c:v>
                </c:pt>
                <c:pt idx="86">
                  <c:v>29.13</c:v>
                </c:pt>
                <c:pt idx="87">
                  <c:v>28.954999999999998</c:v>
                </c:pt>
                <c:pt idx="88">
                  <c:v>29.477499999999999</c:v>
                </c:pt>
                <c:pt idx="89">
                  <c:v>29.76</c:v>
                </c:pt>
                <c:pt idx="90">
                  <c:v>30</c:v>
                </c:pt>
                <c:pt idx="91">
                  <c:v>30.487500000000001</c:v>
                </c:pt>
                <c:pt idx="92">
                  <c:v>32.270000000000003</c:v>
                </c:pt>
                <c:pt idx="93">
                  <c:v>33.03</c:v>
                </c:pt>
                <c:pt idx="94">
                  <c:v>33.93</c:v>
                </c:pt>
                <c:pt idx="95">
                  <c:v>34.164999999999999</c:v>
                </c:pt>
                <c:pt idx="96">
                  <c:v>34.945</c:v>
                </c:pt>
                <c:pt idx="97">
                  <c:v>34.784999999999997</c:v>
                </c:pt>
                <c:pt idx="98">
                  <c:v>34.997500000000002</c:v>
                </c:pt>
                <c:pt idx="99">
                  <c:v>35.159999999999997</c:v>
                </c:pt>
                <c:pt idx="100">
                  <c:v>35.914999999999999</c:v>
                </c:pt>
                <c:pt idx="101">
                  <c:v>35.835000000000001</c:v>
                </c:pt>
                <c:pt idx="102">
                  <c:v>35.262500000000003</c:v>
                </c:pt>
                <c:pt idx="103">
                  <c:v>35.567500000000003</c:v>
                </c:pt>
                <c:pt idx="104">
                  <c:v>35.912500000000001</c:v>
                </c:pt>
                <c:pt idx="105">
                  <c:v>37.24</c:v>
                </c:pt>
                <c:pt idx="106">
                  <c:v>39.024999999999999</c:v>
                </c:pt>
                <c:pt idx="107">
                  <c:v>38.265000000000001</c:v>
                </c:pt>
                <c:pt idx="108">
                  <c:v>38.402500000000003</c:v>
                </c:pt>
                <c:pt idx="109">
                  <c:v>38.862499999999997</c:v>
                </c:pt>
                <c:pt idx="110">
                  <c:v>37.244999999999997</c:v>
                </c:pt>
                <c:pt idx="111">
                  <c:v>35.567500000000003</c:v>
                </c:pt>
                <c:pt idx="112">
                  <c:v>36.57</c:v>
                </c:pt>
                <c:pt idx="113">
                  <c:v>36.005000000000003</c:v>
                </c:pt>
                <c:pt idx="114">
                  <c:v>36.045000000000002</c:v>
                </c:pt>
                <c:pt idx="115">
                  <c:v>37.26</c:v>
                </c:pt>
                <c:pt idx="116">
                  <c:v>37.567500000000003</c:v>
                </c:pt>
                <c:pt idx="117">
                  <c:v>37.375</c:v>
                </c:pt>
                <c:pt idx="118">
                  <c:v>39.097499999999997</c:v>
                </c:pt>
                <c:pt idx="119">
                  <c:v>39.369999999999997</c:v>
                </c:pt>
                <c:pt idx="120">
                  <c:v>39.375</c:v>
                </c:pt>
                <c:pt idx="121">
                  <c:v>39.965000000000003</c:v>
                </c:pt>
                <c:pt idx="122">
                  <c:v>41.012500000000003</c:v>
                </c:pt>
                <c:pt idx="123">
                  <c:v>39.657499999999999</c:v>
                </c:pt>
                <c:pt idx="124">
                  <c:v>39.97</c:v>
                </c:pt>
                <c:pt idx="125">
                  <c:v>37.972499999999997</c:v>
                </c:pt>
                <c:pt idx="126">
                  <c:v>38.53</c:v>
                </c:pt>
                <c:pt idx="127">
                  <c:v>38.825000000000003</c:v>
                </c:pt>
                <c:pt idx="128">
                  <c:v>39.247500000000002</c:v>
                </c:pt>
                <c:pt idx="129">
                  <c:v>39.0625</c:v>
                </c:pt>
                <c:pt idx="130">
                  <c:v>40.762500000000003</c:v>
                </c:pt>
                <c:pt idx="131">
                  <c:v>43.125</c:v>
                </c:pt>
                <c:pt idx="132">
                  <c:v>43.667499999999997</c:v>
                </c:pt>
                <c:pt idx="133">
                  <c:v>42.537500000000001</c:v>
                </c:pt>
                <c:pt idx="134">
                  <c:v>43.7425</c:v>
                </c:pt>
                <c:pt idx="135">
                  <c:v>42.762500000000003</c:v>
                </c:pt>
                <c:pt idx="136">
                  <c:v>42.342500000000001</c:v>
                </c:pt>
                <c:pt idx="137">
                  <c:v>43.4925</c:v>
                </c:pt>
                <c:pt idx="138">
                  <c:v>43.752499999999998</c:v>
                </c:pt>
                <c:pt idx="139">
                  <c:v>42.307499999999997</c:v>
                </c:pt>
                <c:pt idx="140">
                  <c:v>43.75</c:v>
                </c:pt>
                <c:pt idx="141">
                  <c:v>44.272500000000001</c:v>
                </c:pt>
                <c:pt idx="142">
                  <c:v>44.615000000000002</c:v>
                </c:pt>
                <c:pt idx="143">
                  <c:v>42.877499999999998</c:v>
                </c:pt>
                <c:pt idx="144">
                  <c:v>40.125</c:v>
                </c:pt>
                <c:pt idx="145">
                  <c:v>39.102499999999999</c:v>
                </c:pt>
                <c:pt idx="146">
                  <c:v>43.107500000000002</c:v>
                </c:pt>
                <c:pt idx="147">
                  <c:v>43.875</c:v>
                </c:pt>
                <c:pt idx="148">
                  <c:v>44.052500000000002</c:v>
                </c:pt>
                <c:pt idx="149">
                  <c:v>44.994999999999997</c:v>
                </c:pt>
                <c:pt idx="150">
                  <c:v>44.505000000000003</c:v>
                </c:pt>
                <c:pt idx="151">
                  <c:v>41.234999999999999</c:v>
                </c:pt>
                <c:pt idx="152">
                  <c:v>41.945</c:v>
                </c:pt>
                <c:pt idx="153">
                  <c:v>42.094999999999999</c:v>
                </c:pt>
                <c:pt idx="154">
                  <c:v>43.682499999999997</c:v>
                </c:pt>
                <c:pt idx="155">
                  <c:v>41.43</c:v>
                </c:pt>
                <c:pt idx="156">
                  <c:v>40.58</c:v>
                </c:pt>
                <c:pt idx="157">
                  <c:v>45.957500000000003</c:v>
                </c:pt>
                <c:pt idx="158">
                  <c:v>47.147500000000001</c:v>
                </c:pt>
                <c:pt idx="159">
                  <c:v>46.577500000000001</c:v>
                </c:pt>
                <c:pt idx="160">
                  <c:v>47.145000000000003</c:v>
                </c:pt>
                <c:pt idx="161">
                  <c:v>47.56</c:v>
                </c:pt>
                <c:pt idx="162">
                  <c:v>47.924999999999997</c:v>
                </c:pt>
                <c:pt idx="163">
                  <c:v>47.21</c:v>
                </c:pt>
                <c:pt idx="164">
                  <c:v>46.23</c:v>
                </c:pt>
                <c:pt idx="165">
                  <c:v>46.277500000000003</c:v>
                </c:pt>
                <c:pt idx="166">
                  <c:v>46.9925</c:v>
                </c:pt>
                <c:pt idx="167">
                  <c:v>47.832500000000003</c:v>
                </c:pt>
                <c:pt idx="168">
                  <c:v>47.86</c:v>
                </c:pt>
                <c:pt idx="169">
                  <c:v>47.744999999999997</c:v>
                </c:pt>
                <c:pt idx="170">
                  <c:v>51.997500000000002</c:v>
                </c:pt>
                <c:pt idx="171">
                  <c:v>51.8825</c:v>
                </c:pt>
                <c:pt idx="172">
                  <c:v>54.395000000000003</c:v>
                </c:pt>
                <c:pt idx="173">
                  <c:v>54.04</c:v>
                </c:pt>
                <c:pt idx="174">
                  <c:v>56.907499999999999</c:v>
                </c:pt>
                <c:pt idx="175">
                  <c:v>55.325000000000003</c:v>
                </c:pt>
                <c:pt idx="176">
                  <c:v>55.96</c:v>
                </c:pt>
                <c:pt idx="177">
                  <c:v>54.414999999999999</c:v>
                </c:pt>
                <c:pt idx="178">
                  <c:v>56.435000000000002</c:v>
                </c:pt>
                <c:pt idx="179">
                  <c:v>56.072499999999998</c:v>
                </c:pt>
                <c:pt idx="180">
                  <c:v>55.527500000000003</c:v>
                </c:pt>
                <c:pt idx="181">
                  <c:v>54.827500000000001</c:v>
                </c:pt>
                <c:pt idx="182">
                  <c:v>54.075000000000003</c:v>
                </c:pt>
                <c:pt idx="183">
                  <c:v>51.87</c:v>
                </c:pt>
                <c:pt idx="184">
                  <c:v>51.1175</c:v>
                </c:pt>
                <c:pt idx="185">
                  <c:v>48.3825</c:v>
                </c:pt>
                <c:pt idx="186">
                  <c:v>43.072499999999998</c:v>
                </c:pt>
                <c:pt idx="187">
                  <c:v>44.645000000000003</c:v>
                </c:pt>
                <c:pt idx="188">
                  <c:v>42.122500000000002</c:v>
                </c:pt>
                <c:pt idx="189">
                  <c:v>41.37</c:v>
                </c:pt>
                <c:pt idx="190">
                  <c:v>37.682499999999997</c:v>
                </c:pt>
                <c:pt idx="191">
                  <c:v>39.057499999999997</c:v>
                </c:pt>
                <c:pt idx="192">
                  <c:v>37.064999999999998</c:v>
                </c:pt>
                <c:pt idx="193">
                  <c:v>38.072499999999998</c:v>
                </c:pt>
                <c:pt idx="194">
                  <c:v>39.204999999999998</c:v>
                </c:pt>
                <c:pt idx="195">
                  <c:v>39.44</c:v>
                </c:pt>
                <c:pt idx="196">
                  <c:v>41.63</c:v>
                </c:pt>
                <c:pt idx="197">
                  <c:v>42.602499999999999</c:v>
                </c:pt>
                <c:pt idx="198">
                  <c:v>42.604999999999997</c:v>
                </c:pt>
                <c:pt idx="199">
                  <c:v>43.2425</c:v>
                </c:pt>
                <c:pt idx="200">
                  <c:v>43.7425</c:v>
                </c:pt>
                <c:pt idx="201">
                  <c:v>43.227499999999999</c:v>
                </c:pt>
                <c:pt idx="202">
                  <c:v>46.53</c:v>
                </c:pt>
                <c:pt idx="203">
                  <c:v>47.762500000000003</c:v>
                </c:pt>
                <c:pt idx="204">
                  <c:v>47.487499999999997</c:v>
                </c:pt>
                <c:pt idx="205">
                  <c:v>49.25</c:v>
                </c:pt>
                <c:pt idx="206">
                  <c:v>49.717500000000001</c:v>
                </c:pt>
                <c:pt idx="207">
                  <c:v>50.965000000000003</c:v>
                </c:pt>
                <c:pt idx="208">
                  <c:v>51.075000000000003</c:v>
                </c:pt>
                <c:pt idx="209">
                  <c:v>52.9375</c:v>
                </c:pt>
                <c:pt idx="210">
                  <c:v>49.295000000000002</c:v>
                </c:pt>
                <c:pt idx="211">
                  <c:v>47.25</c:v>
                </c:pt>
                <c:pt idx="212">
                  <c:v>44.7425</c:v>
                </c:pt>
                <c:pt idx="213">
                  <c:v>43.767499999999998</c:v>
                </c:pt>
                <c:pt idx="214">
                  <c:v>47.537500000000001</c:v>
                </c:pt>
                <c:pt idx="215">
                  <c:v>48.185000000000002</c:v>
                </c:pt>
                <c:pt idx="216">
                  <c:v>49.695</c:v>
                </c:pt>
                <c:pt idx="217">
                  <c:v>49.48</c:v>
                </c:pt>
                <c:pt idx="218">
                  <c:v>51.057499999999997</c:v>
                </c:pt>
                <c:pt idx="219">
                  <c:v>50.825000000000003</c:v>
                </c:pt>
                <c:pt idx="220">
                  <c:v>50.647500000000001</c:v>
                </c:pt>
                <c:pt idx="221">
                  <c:v>51.935000000000002</c:v>
                </c:pt>
                <c:pt idx="222">
                  <c:v>51.005000000000003</c:v>
                </c:pt>
                <c:pt idx="223">
                  <c:v>50.247500000000002</c:v>
                </c:pt>
                <c:pt idx="224">
                  <c:v>51.625</c:v>
                </c:pt>
                <c:pt idx="225">
                  <c:v>50.66</c:v>
                </c:pt>
                <c:pt idx="226">
                  <c:v>52.185000000000002</c:v>
                </c:pt>
                <c:pt idx="227">
                  <c:v>53.314999999999998</c:v>
                </c:pt>
                <c:pt idx="228">
                  <c:v>54.6875</c:v>
                </c:pt>
                <c:pt idx="229">
                  <c:v>54.432499999999997</c:v>
                </c:pt>
                <c:pt idx="230">
                  <c:v>54.704999999999998</c:v>
                </c:pt>
                <c:pt idx="231">
                  <c:v>56.752499999999998</c:v>
                </c:pt>
                <c:pt idx="232">
                  <c:v>59.052500000000002</c:v>
                </c:pt>
                <c:pt idx="233">
                  <c:v>59.102499999999999</c:v>
                </c:pt>
                <c:pt idx="234">
                  <c:v>61.645000000000003</c:v>
                </c:pt>
                <c:pt idx="235">
                  <c:v>63.954999999999998</c:v>
                </c:pt>
                <c:pt idx="236">
                  <c:v>65.034999999999997</c:v>
                </c:pt>
                <c:pt idx="237">
                  <c:v>66.44</c:v>
                </c:pt>
                <c:pt idx="238">
                  <c:v>65.444999999999993</c:v>
                </c:pt>
                <c:pt idx="239">
                  <c:v>66.8125</c:v>
                </c:pt>
                <c:pt idx="240">
                  <c:v>67.677499999999995</c:v>
                </c:pt>
                <c:pt idx="241">
                  <c:v>68.787499999999994</c:v>
                </c:pt>
                <c:pt idx="242">
                  <c:v>69.86</c:v>
                </c:pt>
                <c:pt idx="243">
                  <c:v>72.45</c:v>
                </c:pt>
                <c:pt idx="244">
                  <c:v>74.357500000000002</c:v>
                </c:pt>
                <c:pt idx="245">
                  <c:v>77.582499999999996</c:v>
                </c:pt>
                <c:pt idx="246">
                  <c:v>79.682500000000005</c:v>
                </c:pt>
                <c:pt idx="247">
                  <c:v>79.577500000000001</c:v>
                </c:pt>
                <c:pt idx="248">
                  <c:v>77.377499999999998</c:v>
                </c:pt>
                <c:pt idx="249">
                  <c:v>80.007499999999993</c:v>
                </c:pt>
                <c:pt idx="250">
                  <c:v>81.237499999999997</c:v>
                </c:pt>
                <c:pt idx="251">
                  <c:v>78.262500000000003</c:v>
                </c:pt>
                <c:pt idx="252">
                  <c:v>68.34</c:v>
                </c:pt>
                <c:pt idx="253">
                  <c:v>72.257499999999993</c:v>
                </c:pt>
                <c:pt idx="254">
                  <c:v>69.492500000000007</c:v>
                </c:pt>
                <c:pt idx="255">
                  <c:v>57.31</c:v>
                </c:pt>
                <c:pt idx="256">
                  <c:v>61.935000000000002</c:v>
                </c:pt>
                <c:pt idx="257">
                  <c:v>60.352499999999999</c:v>
                </c:pt>
                <c:pt idx="258">
                  <c:v>66.997500000000002</c:v>
                </c:pt>
                <c:pt idx="259">
                  <c:v>70.7</c:v>
                </c:pt>
                <c:pt idx="260">
                  <c:v>70.742500000000007</c:v>
                </c:pt>
                <c:pt idx="261">
                  <c:v>72.267499999999998</c:v>
                </c:pt>
                <c:pt idx="262">
                  <c:v>77.532499999999999</c:v>
                </c:pt>
                <c:pt idx="263">
                  <c:v>76.927499999999995</c:v>
                </c:pt>
                <c:pt idx="264">
                  <c:v>79.722499999999997</c:v>
                </c:pt>
                <c:pt idx="265">
                  <c:v>79.484999999999999</c:v>
                </c:pt>
                <c:pt idx="266">
                  <c:v>82.875</c:v>
                </c:pt>
                <c:pt idx="267">
                  <c:v>84.7</c:v>
                </c:pt>
                <c:pt idx="268">
                  <c:v>87.43</c:v>
                </c:pt>
                <c:pt idx="269">
                  <c:v>88.407499999999999</c:v>
                </c:pt>
                <c:pt idx="270">
                  <c:v>91.027500000000003</c:v>
                </c:pt>
                <c:pt idx="271">
                  <c:v>95.92</c:v>
                </c:pt>
                <c:pt idx="272">
                  <c:v>96.327500000000001</c:v>
                </c:pt>
                <c:pt idx="273">
                  <c:v>92.614999999999995</c:v>
                </c:pt>
                <c:pt idx="274">
                  <c:v>106.26</c:v>
                </c:pt>
                <c:pt idx="275">
                  <c:v>111.1125</c:v>
                </c:pt>
                <c:pt idx="276">
                  <c:v>114.9075</c:v>
                </c:pt>
                <c:pt idx="277">
                  <c:v>124.37</c:v>
                </c:pt>
                <c:pt idx="278">
                  <c:v>124.8075</c:v>
                </c:pt>
                <c:pt idx="279">
                  <c:v>120.96</c:v>
                </c:pt>
                <c:pt idx="280">
                  <c:v>112</c:v>
                </c:pt>
                <c:pt idx="281">
                  <c:v>106.84</c:v>
                </c:pt>
                <c:pt idx="282">
                  <c:v>112.28</c:v>
                </c:pt>
                <c:pt idx="283">
                  <c:v>113.02</c:v>
                </c:pt>
                <c:pt idx="284">
                  <c:v>116.97</c:v>
                </c:pt>
                <c:pt idx="285">
                  <c:v>119.02</c:v>
                </c:pt>
                <c:pt idx="286">
                  <c:v>115.04</c:v>
                </c:pt>
                <c:pt idx="287">
                  <c:v>108.86</c:v>
                </c:pt>
                <c:pt idx="288">
                  <c:v>118.69</c:v>
                </c:pt>
                <c:pt idx="289">
                  <c:v>119.26</c:v>
                </c:pt>
                <c:pt idx="290">
                  <c:v>117.34</c:v>
                </c:pt>
                <c:pt idx="291">
                  <c:v>116.59</c:v>
                </c:pt>
                <c:pt idx="292">
                  <c:v>122.25</c:v>
                </c:pt>
                <c:pt idx="293">
                  <c:v>122.41</c:v>
                </c:pt>
                <c:pt idx="294">
                  <c:v>126.655</c:v>
                </c:pt>
                <c:pt idx="295">
                  <c:v>131.97</c:v>
                </c:pt>
                <c:pt idx="296">
                  <c:v>132.69</c:v>
                </c:pt>
                <c:pt idx="297">
                  <c:v>132.05000000000001</c:v>
                </c:pt>
                <c:pt idx="298">
                  <c:v>127.14</c:v>
                </c:pt>
                <c:pt idx="299">
                  <c:v>139.07</c:v>
                </c:pt>
                <c:pt idx="300">
                  <c:v>131.96</c:v>
                </c:pt>
                <c:pt idx="301">
                  <c:v>136.76</c:v>
                </c:pt>
                <c:pt idx="302">
                  <c:v>135.37</c:v>
                </c:pt>
                <c:pt idx="303">
                  <c:v>129.87</c:v>
                </c:pt>
                <c:pt idx="304">
                  <c:v>121.26</c:v>
                </c:pt>
                <c:pt idx="305">
                  <c:v>121.42</c:v>
                </c:pt>
                <c:pt idx="306">
                  <c:v>121.03</c:v>
                </c:pt>
                <c:pt idx="307">
                  <c:v>119.99</c:v>
                </c:pt>
                <c:pt idx="308">
                  <c:v>121.21</c:v>
                </c:pt>
                <c:pt idx="309">
                  <c:v>123</c:v>
                </c:pt>
                <c:pt idx="310">
                  <c:v>132.995</c:v>
                </c:pt>
                <c:pt idx="311">
                  <c:v>134.16</c:v>
                </c:pt>
                <c:pt idx="312">
                  <c:v>134.32</c:v>
                </c:pt>
                <c:pt idx="313">
                  <c:v>131.46</c:v>
                </c:pt>
                <c:pt idx="314">
                  <c:v>130.21</c:v>
                </c:pt>
                <c:pt idx="315">
                  <c:v>127.45</c:v>
                </c:pt>
                <c:pt idx="316">
                  <c:v>125.43</c:v>
                </c:pt>
                <c:pt idx="317">
                  <c:v>124.61</c:v>
                </c:pt>
                <c:pt idx="318">
                  <c:v>125.89</c:v>
                </c:pt>
                <c:pt idx="319">
                  <c:v>127.35</c:v>
                </c:pt>
                <c:pt idx="320">
                  <c:v>130.46</c:v>
                </c:pt>
                <c:pt idx="321">
                  <c:v>133.11000000000001</c:v>
                </c:pt>
                <c:pt idx="322">
                  <c:v>139.96</c:v>
                </c:pt>
                <c:pt idx="323">
                  <c:v>145.11000000000001</c:v>
                </c:pt>
                <c:pt idx="324">
                  <c:v>146.38999999999999</c:v>
                </c:pt>
                <c:pt idx="325">
                  <c:v>148.56</c:v>
                </c:pt>
                <c:pt idx="326">
                  <c:v>145.86000000000001</c:v>
                </c:pt>
                <c:pt idx="327">
                  <c:v>146.13999999999999</c:v>
                </c:pt>
                <c:pt idx="328">
                  <c:v>149.1</c:v>
                </c:pt>
                <c:pt idx="329">
                  <c:v>148.19</c:v>
                </c:pt>
                <c:pt idx="330">
                  <c:v>148.6</c:v>
                </c:pt>
                <c:pt idx="331">
                  <c:v>154.30000000000001</c:v>
                </c:pt>
                <c:pt idx="332">
                  <c:v>148.97</c:v>
                </c:pt>
                <c:pt idx="333">
                  <c:v>146.06</c:v>
                </c:pt>
                <c:pt idx="334">
                  <c:v>146.91999999999999</c:v>
                </c:pt>
                <c:pt idx="335">
                  <c:v>142.65</c:v>
                </c:pt>
                <c:pt idx="336">
                  <c:v>142.9</c:v>
                </c:pt>
                <c:pt idx="337">
                  <c:v>144.84</c:v>
                </c:pt>
                <c:pt idx="338">
                  <c:v>148.69</c:v>
                </c:pt>
                <c:pt idx="339">
                  <c:v>149.80000000000001</c:v>
                </c:pt>
                <c:pt idx="340">
                  <c:v>151.28</c:v>
                </c:pt>
                <c:pt idx="341">
                  <c:v>149.99</c:v>
                </c:pt>
                <c:pt idx="342">
                  <c:v>160.55000000000001</c:v>
                </c:pt>
                <c:pt idx="343">
                  <c:v>156.81</c:v>
                </c:pt>
                <c:pt idx="344">
                  <c:v>161.84</c:v>
                </c:pt>
                <c:pt idx="345">
                  <c:v>179.45</c:v>
                </c:pt>
                <c:pt idx="346">
                  <c:v>171.14</c:v>
                </c:pt>
                <c:pt idx="347">
                  <c:v>176.28</c:v>
                </c:pt>
                <c:pt idx="348">
                  <c:v>177.57</c:v>
                </c:pt>
                <c:pt idx="349">
                  <c:v>172.17</c:v>
                </c:pt>
                <c:pt idx="350">
                  <c:v>173.07</c:v>
                </c:pt>
                <c:pt idx="351">
                  <c:v>162.41</c:v>
                </c:pt>
                <c:pt idx="352">
                  <c:v>170.33</c:v>
                </c:pt>
                <c:pt idx="353">
                  <c:v>172.39</c:v>
                </c:pt>
                <c:pt idx="354">
                  <c:v>168.64</c:v>
                </c:pt>
                <c:pt idx="355">
                  <c:v>167.3</c:v>
                </c:pt>
                <c:pt idx="356">
                  <c:v>164.85</c:v>
                </c:pt>
                <c:pt idx="357">
                  <c:v>163.16999999999999</c:v>
                </c:pt>
                <c:pt idx="358">
                  <c:v>154.72999999999999</c:v>
                </c:pt>
                <c:pt idx="359">
                  <c:v>163.98</c:v>
                </c:pt>
                <c:pt idx="360">
                  <c:v>174.72</c:v>
                </c:pt>
                <c:pt idx="361">
                  <c:v>174.31</c:v>
                </c:pt>
                <c:pt idx="362">
                  <c:v>170.09</c:v>
                </c:pt>
                <c:pt idx="363">
                  <c:v>165.29</c:v>
                </c:pt>
                <c:pt idx="364">
                  <c:v>161.79</c:v>
                </c:pt>
                <c:pt idx="365">
                  <c:v>157.65</c:v>
                </c:pt>
                <c:pt idx="366">
                  <c:v>157.28</c:v>
                </c:pt>
                <c:pt idx="367">
                  <c:v>147.11000000000001</c:v>
                </c:pt>
                <c:pt idx="368">
                  <c:v>137.59</c:v>
                </c:pt>
                <c:pt idx="369">
                  <c:v>149.63999999999999</c:v>
                </c:pt>
                <c:pt idx="370">
                  <c:v>145.38</c:v>
                </c:pt>
                <c:pt idx="371">
                  <c:v>137.13</c:v>
                </c:pt>
                <c:pt idx="372">
                  <c:v>131.56</c:v>
                </c:pt>
                <c:pt idx="373">
                  <c:v>141.66</c:v>
                </c:pt>
                <c:pt idx="374">
                  <c:v>138.93</c:v>
                </c:pt>
                <c:pt idx="375">
                  <c:v>147.04</c:v>
                </c:pt>
                <c:pt idx="376">
                  <c:v>150.16999999999999</c:v>
                </c:pt>
                <c:pt idx="377">
                  <c:v>154.09</c:v>
                </c:pt>
                <c:pt idx="378">
                  <c:v>162.51</c:v>
                </c:pt>
                <c:pt idx="379">
                  <c:v>165.35</c:v>
                </c:pt>
                <c:pt idx="380">
                  <c:v>172.1</c:v>
                </c:pt>
                <c:pt idx="381">
                  <c:v>171.52</c:v>
                </c:pt>
                <c:pt idx="382">
                  <c:v>163.62</c:v>
                </c:pt>
                <c:pt idx="383">
                  <c:v>155.81</c:v>
                </c:pt>
                <c:pt idx="384">
                  <c:v>157.37</c:v>
                </c:pt>
                <c:pt idx="385">
                  <c:v>150.69999999999999</c:v>
                </c:pt>
                <c:pt idx="386">
                  <c:v>150.43</c:v>
                </c:pt>
                <c:pt idx="387">
                  <c:v>138.19999999999999</c:v>
                </c:pt>
                <c:pt idx="388">
                  <c:v>140.09</c:v>
                </c:pt>
                <c:pt idx="389">
                  <c:v>138.38</c:v>
                </c:pt>
                <c:pt idx="390">
                  <c:v>147.27000000000001</c:v>
                </c:pt>
                <c:pt idx="391">
                  <c:v>155.74</c:v>
                </c:pt>
                <c:pt idx="392">
                  <c:v>138.38</c:v>
                </c:pt>
                <c:pt idx="393">
                  <c:v>149.69999999999999</c:v>
                </c:pt>
                <c:pt idx="394">
                  <c:v>151.29</c:v>
                </c:pt>
                <c:pt idx="395">
                  <c:v>148.11000000000001</c:v>
                </c:pt>
                <c:pt idx="396">
                  <c:v>147.81</c:v>
                </c:pt>
                <c:pt idx="397">
                  <c:v>142.16</c:v>
                </c:pt>
                <c:pt idx="398">
                  <c:v>134.51</c:v>
                </c:pt>
                <c:pt idx="399">
                  <c:v>131.86000000000001</c:v>
                </c:pt>
                <c:pt idx="400">
                  <c:v>129.93</c:v>
                </c:pt>
                <c:pt idx="401">
                  <c:v>129.62</c:v>
                </c:pt>
                <c:pt idx="402">
                  <c:v>134.76</c:v>
                </c:pt>
                <c:pt idx="403">
                  <c:v>137.87</c:v>
                </c:pt>
                <c:pt idx="404">
                  <c:v>145.93</c:v>
                </c:pt>
                <c:pt idx="405">
                  <c:v>154.5</c:v>
                </c:pt>
                <c:pt idx="406">
                  <c:v>151.01</c:v>
                </c:pt>
                <c:pt idx="407">
                  <c:v>152.55000000000001</c:v>
                </c:pt>
                <c:pt idx="408">
                  <c:v>146.71</c:v>
                </c:pt>
                <c:pt idx="409">
                  <c:v>151.03</c:v>
                </c:pt>
                <c:pt idx="410">
                  <c:v>148.5</c:v>
                </c:pt>
                <c:pt idx="411">
                  <c:v>155</c:v>
                </c:pt>
                <c:pt idx="412">
                  <c:v>160.25</c:v>
                </c:pt>
                <c:pt idx="413">
                  <c:v>164.9</c:v>
                </c:pt>
                <c:pt idx="414">
                  <c:v>164.66</c:v>
                </c:pt>
                <c:pt idx="415">
                  <c:v>165.21</c:v>
                </c:pt>
                <c:pt idx="416">
                  <c:v>165.02</c:v>
                </c:pt>
                <c:pt idx="417">
                  <c:v>169.68</c:v>
                </c:pt>
                <c:pt idx="418">
                  <c:v>173.57</c:v>
                </c:pt>
                <c:pt idx="419">
                  <c:v>172.57</c:v>
                </c:pt>
                <c:pt idx="420">
                  <c:v>175.16</c:v>
                </c:pt>
                <c:pt idx="421">
                  <c:v>175.43</c:v>
                </c:pt>
                <c:pt idx="422">
                  <c:v>180.95</c:v>
                </c:pt>
                <c:pt idx="423">
                  <c:v>180.96</c:v>
                </c:pt>
                <c:pt idx="424">
                  <c:v>184.92</c:v>
                </c:pt>
                <c:pt idx="425">
                  <c:v>186.68</c:v>
                </c:pt>
                <c:pt idx="426">
                  <c:v>193.97</c:v>
                </c:pt>
                <c:pt idx="427">
                  <c:v>190.68</c:v>
                </c:pt>
                <c:pt idx="428">
                  <c:v>190.69</c:v>
                </c:pt>
                <c:pt idx="429">
                  <c:v>191.94</c:v>
                </c:pt>
                <c:pt idx="430">
                  <c:v>195.83</c:v>
                </c:pt>
                <c:pt idx="431">
                  <c:v>181.99</c:v>
                </c:pt>
                <c:pt idx="432">
                  <c:v>177.79</c:v>
                </c:pt>
                <c:pt idx="433">
                  <c:v>174.49</c:v>
                </c:pt>
                <c:pt idx="434">
                  <c:v>178.61</c:v>
                </c:pt>
                <c:pt idx="435">
                  <c:v>189.46</c:v>
                </c:pt>
                <c:pt idx="436">
                  <c:v>178.18</c:v>
                </c:pt>
                <c:pt idx="437">
                  <c:v>175.01</c:v>
                </c:pt>
                <c:pt idx="438">
                  <c:v>174.79</c:v>
                </c:pt>
                <c:pt idx="439">
                  <c:v>171.21</c:v>
                </c:pt>
                <c:pt idx="440">
                  <c:v>177.49</c:v>
                </c:pt>
                <c:pt idx="441">
                  <c:v>178.85</c:v>
                </c:pt>
                <c:pt idx="442">
                  <c:v>172.88</c:v>
                </c:pt>
                <c:pt idx="443">
                  <c:v>168.22</c:v>
                </c:pt>
                <c:pt idx="444">
                  <c:v>176.65</c:v>
                </c:pt>
                <c:pt idx="445">
                  <c:v>186.4</c:v>
                </c:pt>
                <c:pt idx="446">
                  <c:v>189.69</c:v>
                </c:pt>
                <c:pt idx="447">
                  <c:v>189.97</c:v>
                </c:pt>
                <c:pt idx="448">
                  <c:v>191.24</c:v>
                </c:pt>
                <c:pt idx="449">
                  <c:v>195.71</c:v>
                </c:pt>
                <c:pt idx="450">
                  <c:v>197.57</c:v>
                </c:pt>
                <c:pt idx="451">
                  <c:v>193.6</c:v>
                </c:pt>
                <c:pt idx="452">
                  <c:v>192.53</c:v>
                </c:pt>
                <c:pt idx="453">
                  <c:v>181.18</c:v>
                </c:pt>
                <c:pt idx="454">
                  <c:v>185.92</c:v>
                </c:pt>
                <c:pt idx="455">
                  <c:v>191.56</c:v>
                </c:pt>
                <c:pt idx="456">
                  <c:v>192.42</c:v>
                </c:pt>
                <c:pt idx="457">
                  <c:v>185.85</c:v>
                </c:pt>
                <c:pt idx="458">
                  <c:v>188.85</c:v>
                </c:pt>
                <c:pt idx="459">
                  <c:v>182.31</c:v>
                </c:pt>
                <c:pt idx="460">
                  <c:v>182.52</c:v>
                </c:pt>
                <c:pt idx="461">
                  <c:v>179.66</c:v>
                </c:pt>
                <c:pt idx="462">
                  <c:v>170.73</c:v>
                </c:pt>
                <c:pt idx="463">
                  <c:v>172.62</c:v>
                </c:pt>
                <c:pt idx="464">
                  <c:v>172.28</c:v>
                </c:pt>
                <c:pt idx="465">
                  <c:v>171.48</c:v>
                </c:pt>
                <c:pt idx="466">
                  <c:v>169.58</c:v>
                </c:pt>
                <c:pt idx="467">
                  <c:v>176.55</c:v>
                </c:pt>
                <c:pt idx="468">
                  <c:v>165</c:v>
                </c:pt>
                <c:pt idx="469">
                  <c:v>169.3</c:v>
                </c:pt>
                <c:pt idx="470">
                  <c:v>183.38</c:v>
                </c:pt>
                <c:pt idx="471">
                  <c:v>183.05</c:v>
                </c:pt>
                <c:pt idx="472">
                  <c:v>189.87</c:v>
                </c:pt>
                <c:pt idx="473">
                  <c:v>189.98</c:v>
                </c:pt>
                <c:pt idx="474">
                  <c:v>192.25</c:v>
                </c:pt>
                <c:pt idx="475">
                  <c:v>196.89</c:v>
                </c:pt>
                <c:pt idx="476">
                  <c:v>212.49</c:v>
                </c:pt>
                <c:pt idx="477">
                  <c:v>207.49</c:v>
                </c:pt>
                <c:pt idx="478">
                  <c:v>210.62</c:v>
                </c:pt>
                <c:pt idx="479">
                  <c:v>226.34</c:v>
                </c:pt>
                <c:pt idx="480">
                  <c:v>230.54</c:v>
                </c:pt>
                <c:pt idx="481">
                  <c:v>224.31</c:v>
                </c:pt>
                <c:pt idx="482">
                  <c:v>217.96</c:v>
                </c:pt>
                <c:pt idx="483">
                  <c:v>219.86</c:v>
                </c:pt>
                <c:pt idx="484">
                  <c:v>216.24</c:v>
                </c:pt>
                <c:pt idx="485">
                  <c:v>226.05</c:v>
                </c:pt>
                <c:pt idx="486">
                  <c:v>226.84</c:v>
                </c:pt>
                <c:pt idx="487">
                  <c:v>229</c:v>
                </c:pt>
                <c:pt idx="488">
                  <c:v>220.82</c:v>
                </c:pt>
                <c:pt idx="489">
                  <c:v>222.5</c:v>
                </c:pt>
                <c:pt idx="490">
                  <c:v>228.2</c:v>
                </c:pt>
                <c:pt idx="491">
                  <c:v>227.79</c:v>
                </c:pt>
                <c:pt idx="492">
                  <c:v>226.8</c:v>
                </c:pt>
                <c:pt idx="493">
                  <c:v>227.55</c:v>
                </c:pt>
                <c:pt idx="494">
                  <c:v>235</c:v>
                </c:pt>
                <c:pt idx="495">
                  <c:v>231.41</c:v>
                </c:pt>
                <c:pt idx="496">
                  <c:v>222.91</c:v>
                </c:pt>
                <c:pt idx="497">
                  <c:v>226.96</c:v>
                </c:pt>
                <c:pt idx="498">
                  <c:v>225</c:v>
                </c:pt>
                <c:pt idx="499">
                  <c:v>229.87</c:v>
                </c:pt>
                <c:pt idx="500">
                  <c:v>237.33</c:v>
                </c:pt>
                <c:pt idx="501">
                  <c:v>242.84</c:v>
                </c:pt>
                <c:pt idx="502">
                  <c:v>248.13</c:v>
                </c:pt>
                <c:pt idx="503">
                  <c:v>254.49</c:v>
                </c:pt>
                <c:pt idx="504">
                  <c:v>255.59</c:v>
                </c:pt>
                <c:pt idx="505">
                  <c:v>243.36</c:v>
                </c:pt>
                <c:pt idx="506">
                  <c:v>236.85</c:v>
                </c:pt>
                <c:pt idx="507">
                  <c:v>229.98</c:v>
                </c:pt>
                <c:pt idx="508">
                  <c:v>222.78</c:v>
                </c:pt>
                <c:pt idx="509">
                  <c:v>236</c:v>
                </c:pt>
                <c:pt idx="510">
                  <c:v>227.63</c:v>
                </c:pt>
                <c:pt idx="511">
                  <c:v>244.6</c:v>
                </c:pt>
                <c:pt idx="512">
                  <c:v>245.55</c:v>
                </c:pt>
                <c:pt idx="513">
                  <c:v>241.84</c:v>
                </c:pt>
                <c:pt idx="514">
                  <c:v>239.07</c:v>
                </c:pt>
                <c:pt idx="515">
                  <c:v>213.49</c:v>
                </c:pt>
                <c:pt idx="516">
                  <c:v>218.27</c:v>
                </c:pt>
                <c:pt idx="517">
                  <c:v>217.9</c:v>
                </c:pt>
                <c:pt idx="518">
                  <c:v>188.38</c:v>
                </c:pt>
                <c:pt idx="519">
                  <c:v>198.15</c:v>
                </c:pt>
                <c:pt idx="520">
                  <c:v>196.98</c:v>
                </c:pt>
                <c:pt idx="521">
                  <c:v>209.28</c:v>
                </c:pt>
                <c:pt idx="522">
                  <c:v>205.35</c:v>
                </c:pt>
              </c:numCache>
            </c:numRef>
          </c:val>
          <c:smooth val="0"/>
          <c:extLst>
            <c:ext xmlns:c16="http://schemas.microsoft.com/office/drawing/2014/chart" uri="{C3380CC4-5D6E-409C-BE32-E72D297353CC}">
              <c16:uniqueId val="{00000000-15C8-401C-AB04-454AEDE73D85}"/>
            </c:ext>
          </c:extLst>
        </c:ser>
        <c:dLbls>
          <c:showLegendKey val="0"/>
          <c:showVal val="0"/>
          <c:showCatName val="0"/>
          <c:showSerName val="0"/>
          <c:showPercent val="0"/>
          <c:showBubbleSize val="0"/>
        </c:dLbls>
        <c:smooth val="0"/>
        <c:axId val="579503487"/>
        <c:axId val="579504927"/>
      </c:lineChart>
      <c:dateAx>
        <c:axId val="579503487"/>
        <c:scaling>
          <c:orientation val="minMax"/>
        </c:scaling>
        <c:delete val="0"/>
        <c:axPos val="b"/>
        <c:numFmt formatCode="m/d/yy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9504927"/>
        <c:crosses val="autoZero"/>
        <c:auto val="1"/>
        <c:lblOffset val="100"/>
        <c:baseTimeUnit val="days"/>
      </c:dateAx>
      <c:valAx>
        <c:axId val="579504927"/>
        <c:scaling>
          <c:orientation val="minMax"/>
        </c:scaling>
        <c:delete val="0"/>
        <c:axPos val="l"/>
        <c:majorGridlines>
          <c:spPr>
            <a:ln w="9525" cap="flat" cmpd="sng" algn="ctr">
              <a:solidFill>
                <a:schemeClr val="tx1">
                  <a:lumMod val="15000"/>
                  <a:lumOff val="85000"/>
                </a:schemeClr>
              </a:solidFill>
              <a:round/>
            </a:ln>
            <a:effectLst/>
          </c:spPr>
        </c:majorGridlines>
        <c:numFmt formatCode="_([$$-409]* #,##0.00_);_([$$-409]* \(#,##0.00\);_([$$-409]*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9503487"/>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HPQ Closing</a:t>
            </a:r>
            <a:r>
              <a:rPr lang="en-US" baseline="0"/>
              <a:t> Stock Price 10 Year History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cked"/>
        <c:varyColors val="0"/>
        <c:ser>
          <c:idx val="0"/>
          <c:order val="0"/>
          <c:tx>
            <c:strRef>
              <c:f>HPQ!$D$5</c:f>
              <c:strCache>
                <c:ptCount val="1"/>
                <c:pt idx="0">
                  <c:v>Close</c:v>
                </c:pt>
              </c:strCache>
            </c:strRef>
          </c:tx>
          <c:spPr>
            <a:ln w="28575" cap="rnd">
              <a:solidFill>
                <a:schemeClr val="accent1"/>
              </a:solidFill>
              <a:round/>
            </a:ln>
            <a:effectLst/>
          </c:spPr>
          <c:marker>
            <c:symbol val="none"/>
          </c:marker>
          <c:cat>
            <c:numRef>
              <c:f>HPQ!$C$6:$C$528</c:f>
              <c:numCache>
                <c:formatCode>m/d/yyyy</c:formatCode>
                <c:ptCount val="523"/>
                <c:pt idx="0">
                  <c:v>42121</c:v>
                </c:pt>
                <c:pt idx="1">
                  <c:v>42128</c:v>
                </c:pt>
                <c:pt idx="2">
                  <c:v>42135</c:v>
                </c:pt>
                <c:pt idx="3">
                  <c:v>42142</c:v>
                </c:pt>
                <c:pt idx="4">
                  <c:v>42150</c:v>
                </c:pt>
                <c:pt idx="5">
                  <c:v>42156</c:v>
                </c:pt>
                <c:pt idx="6">
                  <c:v>42163</c:v>
                </c:pt>
                <c:pt idx="7">
                  <c:v>42170</c:v>
                </c:pt>
                <c:pt idx="8">
                  <c:v>42177</c:v>
                </c:pt>
                <c:pt idx="9">
                  <c:v>42184</c:v>
                </c:pt>
                <c:pt idx="10">
                  <c:v>42191</c:v>
                </c:pt>
                <c:pt idx="11">
                  <c:v>42198</c:v>
                </c:pt>
                <c:pt idx="12">
                  <c:v>42205</c:v>
                </c:pt>
                <c:pt idx="13">
                  <c:v>42212</c:v>
                </c:pt>
                <c:pt idx="14">
                  <c:v>42219</c:v>
                </c:pt>
                <c:pt idx="15">
                  <c:v>42226</c:v>
                </c:pt>
                <c:pt idx="16">
                  <c:v>42233</c:v>
                </c:pt>
                <c:pt idx="17">
                  <c:v>42240</c:v>
                </c:pt>
                <c:pt idx="18">
                  <c:v>42247</c:v>
                </c:pt>
                <c:pt idx="19">
                  <c:v>42255</c:v>
                </c:pt>
                <c:pt idx="20">
                  <c:v>42261</c:v>
                </c:pt>
                <c:pt idx="21">
                  <c:v>42268</c:v>
                </c:pt>
                <c:pt idx="22">
                  <c:v>42275</c:v>
                </c:pt>
                <c:pt idx="23">
                  <c:v>42282</c:v>
                </c:pt>
                <c:pt idx="24">
                  <c:v>42289</c:v>
                </c:pt>
                <c:pt idx="25">
                  <c:v>42296</c:v>
                </c:pt>
                <c:pt idx="26">
                  <c:v>42303</c:v>
                </c:pt>
                <c:pt idx="27">
                  <c:v>42310</c:v>
                </c:pt>
                <c:pt idx="28">
                  <c:v>42317</c:v>
                </c:pt>
                <c:pt idx="29">
                  <c:v>42324</c:v>
                </c:pt>
                <c:pt idx="30">
                  <c:v>42331</c:v>
                </c:pt>
                <c:pt idx="31">
                  <c:v>42338</c:v>
                </c:pt>
                <c:pt idx="32">
                  <c:v>42345</c:v>
                </c:pt>
                <c:pt idx="33">
                  <c:v>42352</c:v>
                </c:pt>
                <c:pt idx="34">
                  <c:v>42359</c:v>
                </c:pt>
                <c:pt idx="35">
                  <c:v>42366</c:v>
                </c:pt>
                <c:pt idx="36">
                  <c:v>42373</c:v>
                </c:pt>
                <c:pt idx="37">
                  <c:v>42380</c:v>
                </c:pt>
                <c:pt idx="38">
                  <c:v>42388</c:v>
                </c:pt>
                <c:pt idx="39">
                  <c:v>42394</c:v>
                </c:pt>
                <c:pt idx="40">
                  <c:v>42401</c:v>
                </c:pt>
                <c:pt idx="41">
                  <c:v>42408</c:v>
                </c:pt>
                <c:pt idx="42">
                  <c:v>42416</c:v>
                </c:pt>
                <c:pt idx="43">
                  <c:v>42422</c:v>
                </c:pt>
                <c:pt idx="44">
                  <c:v>42429</c:v>
                </c:pt>
                <c:pt idx="45">
                  <c:v>42436</c:v>
                </c:pt>
                <c:pt idx="46">
                  <c:v>42443</c:v>
                </c:pt>
                <c:pt idx="47">
                  <c:v>42450</c:v>
                </c:pt>
                <c:pt idx="48">
                  <c:v>42457</c:v>
                </c:pt>
                <c:pt idx="49">
                  <c:v>42464</c:v>
                </c:pt>
                <c:pt idx="50">
                  <c:v>42471</c:v>
                </c:pt>
                <c:pt idx="51">
                  <c:v>42478</c:v>
                </c:pt>
                <c:pt idx="52">
                  <c:v>42485</c:v>
                </c:pt>
                <c:pt idx="53">
                  <c:v>42492</c:v>
                </c:pt>
                <c:pt idx="54">
                  <c:v>42499</c:v>
                </c:pt>
                <c:pt idx="55">
                  <c:v>42506</c:v>
                </c:pt>
                <c:pt idx="56">
                  <c:v>42513</c:v>
                </c:pt>
                <c:pt idx="57">
                  <c:v>42521</c:v>
                </c:pt>
                <c:pt idx="58">
                  <c:v>42527</c:v>
                </c:pt>
                <c:pt idx="59">
                  <c:v>42534</c:v>
                </c:pt>
                <c:pt idx="60">
                  <c:v>42541</c:v>
                </c:pt>
                <c:pt idx="61">
                  <c:v>42548</c:v>
                </c:pt>
                <c:pt idx="62">
                  <c:v>42556</c:v>
                </c:pt>
                <c:pt idx="63">
                  <c:v>42562</c:v>
                </c:pt>
                <c:pt idx="64">
                  <c:v>42569</c:v>
                </c:pt>
                <c:pt idx="65">
                  <c:v>42576</c:v>
                </c:pt>
                <c:pt idx="66">
                  <c:v>42583</c:v>
                </c:pt>
                <c:pt idx="67">
                  <c:v>42590</c:v>
                </c:pt>
                <c:pt idx="68">
                  <c:v>42597</c:v>
                </c:pt>
                <c:pt idx="69">
                  <c:v>42604</c:v>
                </c:pt>
                <c:pt idx="70">
                  <c:v>42611</c:v>
                </c:pt>
                <c:pt idx="71">
                  <c:v>42619</c:v>
                </c:pt>
                <c:pt idx="72">
                  <c:v>42625</c:v>
                </c:pt>
                <c:pt idx="73">
                  <c:v>42632</c:v>
                </c:pt>
                <c:pt idx="74">
                  <c:v>42639</c:v>
                </c:pt>
                <c:pt idx="75">
                  <c:v>42646</c:v>
                </c:pt>
                <c:pt idx="76">
                  <c:v>42653</c:v>
                </c:pt>
                <c:pt idx="77">
                  <c:v>42660</c:v>
                </c:pt>
                <c:pt idx="78">
                  <c:v>42667</c:v>
                </c:pt>
                <c:pt idx="79">
                  <c:v>42674</c:v>
                </c:pt>
                <c:pt idx="80">
                  <c:v>42681</c:v>
                </c:pt>
                <c:pt idx="81">
                  <c:v>42688</c:v>
                </c:pt>
                <c:pt idx="82">
                  <c:v>42695</c:v>
                </c:pt>
                <c:pt idx="83">
                  <c:v>42702</c:v>
                </c:pt>
                <c:pt idx="84">
                  <c:v>42709</c:v>
                </c:pt>
                <c:pt idx="85">
                  <c:v>42716</c:v>
                </c:pt>
                <c:pt idx="86">
                  <c:v>42723</c:v>
                </c:pt>
                <c:pt idx="87">
                  <c:v>42731</c:v>
                </c:pt>
                <c:pt idx="88">
                  <c:v>42738</c:v>
                </c:pt>
                <c:pt idx="89">
                  <c:v>42744</c:v>
                </c:pt>
                <c:pt idx="90">
                  <c:v>42752</c:v>
                </c:pt>
                <c:pt idx="91">
                  <c:v>42758</c:v>
                </c:pt>
                <c:pt idx="92">
                  <c:v>42765</c:v>
                </c:pt>
                <c:pt idx="93">
                  <c:v>42772</c:v>
                </c:pt>
                <c:pt idx="94">
                  <c:v>42779</c:v>
                </c:pt>
                <c:pt idx="95">
                  <c:v>42787</c:v>
                </c:pt>
                <c:pt idx="96">
                  <c:v>42793</c:v>
                </c:pt>
                <c:pt idx="97">
                  <c:v>42800</c:v>
                </c:pt>
                <c:pt idx="98">
                  <c:v>42807</c:v>
                </c:pt>
                <c:pt idx="99">
                  <c:v>42814</c:v>
                </c:pt>
                <c:pt idx="100">
                  <c:v>42821</c:v>
                </c:pt>
                <c:pt idx="101">
                  <c:v>42828</c:v>
                </c:pt>
                <c:pt idx="102">
                  <c:v>42835</c:v>
                </c:pt>
                <c:pt idx="103">
                  <c:v>42842</c:v>
                </c:pt>
                <c:pt idx="104">
                  <c:v>42849</c:v>
                </c:pt>
                <c:pt idx="105">
                  <c:v>42856</c:v>
                </c:pt>
                <c:pt idx="106">
                  <c:v>42863</c:v>
                </c:pt>
                <c:pt idx="107">
                  <c:v>42870</c:v>
                </c:pt>
                <c:pt idx="108">
                  <c:v>42877</c:v>
                </c:pt>
                <c:pt idx="109">
                  <c:v>42885</c:v>
                </c:pt>
                <c:pt idx="110">
                  <c:v>42891</c:v>
                </c:pt>
                <c:pt idx="111">
                  <c:v>42898</c:v>
                </c:pt>
                <c:pt idx="112">
                  <c:v>42905</c:v>
                </c:pt>
                <c:pt idx="113">
                  <c:v>42912</c:v>
                </c:pt>
                <c:pt idx="114">
                  <c:v>42919</c:v>
                </c:pt>
                <c:pt idx="115">
                  <c:v>42926</c:v>
                </c:pt>
                <c:pt idx="116">
                  <c:v>42933</c:v>
                </c:pt>
                <c:pt idx="117">
                  <c:v>42940</c:v>
                </c:pt>
                <c:pt idx="118">
                  <c:v>42947</c:v>
                </c:pt>
                <c:pt idx="119">
                  <c:v>42954</c:v>
                </c:pt>
                <c:pt idx="120">
                  <c:v>42961</c:v>
                </c:pt>
                <c:pt idx="121">
                  <c:v>42968</c:v>
                </c:pt>
                <c:pt idx="122">
                  <c:v>42975</c:v>
                </c:pt>
                <c:pt idx="123">
                  <c:v>42983</c:v>
                </c:pt>
                <c:pt idx="124">
                  <c:v>42989</c:v>
                </c:pt>
                <c:pt idx="125">
                  <c:v>42996</c:v>
                </c:pt>
                <c:pt idx="126">
                  <c:v>43003</c:v>
                </c:pt>
                <c:pt idx="127">
                  <c:v>43010</c:v>
                </c:pt>
                <c:pt idx="128">
                  <c:v>43017</c:v>
                </c:pt>
                <c:pt idx="129">
                  <c:v>43024</c:v>
                </c:pt>
                <c:pt idx="130">
                  <c:v>43031</c:v>
                </c:pt>
                <c:pt idx="131">
                  <c:v>43038</c:v>
                </c:pt>
                <c:pt idx="132">
                  <c:v>43045</c:v>
                </c:pt>
                <c:pt idx="133">
                  <c:v>43052</c:v>
                </c:pt>
                <c:pt idx="134">
                  <c:v>43059</c:v>
                </c:pt>
                <c:pt idx="135">
                  <c:v>43066</c:v>
                </c:pt>
                <c:pt idx="136">
                  <c:v>43073</c:v>
                </c:pt>
                <c:pt idx="137">
                  <c:v>43080</c:v>
                </c:pt>
                <c:pt idx="138">
                  <c:v>43087</c:v>
                </c:pt>
                <c:pt idx="139">
                  <c:v>43095</c:v>
                </c:pt>
                <c:pt idx="140">
                  <c:v>43102</c:v>
                </c:pt>
                <c:pt idx="141">
                  <c:v>43108</c:v>
                </c:pt>
                <c:pt idx="142">
                  <c:v>43116</c:v>
                </c:pt>
                <c:pt idx="143">
                  <c:v>43122</c:v>
                </c:pt>
                <c:pt idx="144">
                  <c:v>43129</c:v>
                </c:pt>
                <c:pt idx="145">
                  <c:v>43136</c:v>
                </c:pt>
                <c:pt idx="146">
                  <c:v>43143</c:v>
                </c:pt>
                <c:pt idx="147">
                  <c:v>43151</c:v>
                </c:pt>
                <c:pt idx="148">
                  <c:v>43157</c:v>
                </c:pt>
                <c:pt idx="149">
                  <c:v>43164</c:v>
                </c:pt>
                <c:pt idx="150">
                  <c:v>43171</c:v>
                </c:pt>
                <c:pt idx="151">
                  <c:v>43178</c:v>
                </c:pt>
                <c:pt idx="152">
                  <c:v>43185</c:v>
                </c:pt>
                <c:pt idx="153">
                  <c:v>43192</c:v>
                </c:pt>
                <c:pt idx="154">
                  <c:v>43199</c:v>
                </c:pt>
                <c:pt idx="155">
                  <c:v>43206</c:v>
                </c:pt>
                <c:pt idx="156">
                  <c:v>43213</c:v>
                </c:pt>
                <c:pt idx="157">
                  <c:v>43220</c:v>
                </c:pt>
                <c:pt idx="158">
                  <c:v>43227</c:v>
                </c:pt>
                <c:pt idx="159">
                  <c:v>43234</c:v>
                </c:pt>
                <c:pt idx="160">
                  <c:v>43241</c:v>
                </c:pt>
                <c:pt idx="161">
                  <c:v>43249</c:v>
                </c:pt>
                <c:pt idx="162">
                  <c:v>43255</c:v>
                </c:pt>
                <c:pt idx="163">
                  <c:v>43262</c:v>
                </c:pt>
                <c:pt idx="164">
                  <c:v>43269</c:v>
                </c:pt>
                <c:pt idx="165">
                  <c:v>43276</c:v>
                </c:pt>
                <c:pt idx="166">
                  <c:v>43283</c:v>
                </c:pt>
                <c:pt idx="167">
                  <c:v>43290</c:v>
                </c:pt>
                <c:pt idx="168">
                  <c:v>43297</c:v>
                </c:pt>
                <c:pt idx="169">
                  <c:v>43304</c:v>
                </c:pt>
                <c:pt idx="170">
                  <c:v>43311</c:v>
                </c:pt>
                <c:pt idx="171">
                  <c:v>43318</c:v>
                </c:pt>
                <c:pt idx="172">
                  <c:v>43325</c:v>
                </c:pt>
                <c:pt idx="173">
                  <c:v>43332</c:v>
                </c:pt>
                <c:pt idx="174">
                  <c:v>43339</c:v>
                </c:pt>
                <c:pt idx="175">
                  <c:v>43347</c:v>
                </c:pt>
                <c:pt idx="176">
                  <c:v>43353</c:v>
                </c:pt>
                <c:pt idx="177">
                  <c:v>43360</c:v>
                </c:pt>
                <c:pt idx="178">
                  <c:v>43367</c:v>
                </c:pt>
                <c:pt idx="179">
                  <c:v>43374</c:v>
                </c:pt>
                <c:pt idx="180">
                  <c:v>43381</c:v>
                </c:pt>
                <c:pt idx="181">
                  <c:v>43388</c:v>
                </c:pt>
                <c:pt idx="182">
                  <c:v>43395</c:v>
                </c:pt>
                <c:pt idx="183">
                  <c:v>43402</c:v>
                </c:pt>
                <c:pt idx="184">
                  <c:v>43409</c:v>
                </c:pt>
                <c:pt idx="185">
                  <c:v>43416</c:v>
                </c:pt>
                <c:pt idx="186">
                  <c:v>43423</c:v>
                </c:pt>
                <c:pt idx="187">
                  <c:v>43430</c:v>
                </c:pt>
                <c:pt idx="188">
                  <c:v>43437</c:v>
                </c:pt>
                <c:pt idx="189">
                  <c:v>43444</c:v>
                </c:pt>
                <c:pt idx="190">
                  <c:v>43451</c:v>
                </c:pt>
                <c:pt idx="191">
                  <c:v>43458</c:v>
                </c:pt>
                <c:pt idx="192">
                  <c:v>43465</c:v>
                </c:pt>
                <c:pt idx="193">
                  <c:v>43472</c:v>
                </c:pt>
                <c:pt idx="194">
                  <c:v>43479</c:v>
                </c:pt>
                <c:pt idx="195">
                  <c:v>43487</c:v>
                </c:pt>
                <c:pt idx="196">
                  <c:v>43493</c:v>
                </c:pt>
                <c:pt idx="197">
                  <c:v>43500</c:v>
                </c:pt>
                <c:pt idx="198">
                  <c:v>43507</c:v>
                </c:pt>
                <c:pt idx="199">
                  <c:v>43515</c:v>
                </c:pt>
                <c:pt idx="200">
                  <c:v>43521</c:v>
                </c:pt>
                <c:pt idx="201">
                  <c:v>43528</c:v>
                </c:pt>
                <c:pt idx="202">
                  <c:v>43535</c:v>
                </c:pt>
                <c:pt idx="203">
                  <c:v>43542</c:v>
                </c:pt>
                <c:pt idx="204">
                  <c:v>43549</c:v>
                </c:pt>
                <c:pt idx="205">
                  <c:v>43556</c:v>
                </c:pt>
                <c:pt idx="206">
                  <c:v>43563</c:v>
                </c:pt>
                <c:pt idx="207">
                  <c:v>43570</c:v>
                </c:pt>
                <c:pt idx="208">
                  <c:v>43577</c:v>
                </c:pt>
                <c:pt idx="209">
                  <c:v>43584</c:v>
                </c:pt>
                <c:pt idx="210">
                  <c:v>43591</c:v>
                </c:pt>
                <c:pt idx="211">
                  <c:v>43598</c:v>
                </c:pt>
                <c:pt idx="212">
                  <c:v>43605</c:v>
                </c:pt>
                <c:pt idx="213">
                  <c:v>43613</c:v>
                </c:pt>
                <c:pt idx="214">
                  <c:v>43619</c:v>
                </c:pt>
                <c:pt idx="215">
                  <c:v>43626</c:v>
                </c:pt>
                <c:pt idx="216">
                  <c:v>43633</c:v>
                </c:pt>
                <c:pt idx="217">
                  <c:v>43640</c:v>
                </c:pt>
                <c:pt idx="218">
                  <c:v>43647</c:v>
                </c:pt>
                <c:pt idx="219">
                  <c:v>43654</c:v>
                </c:pt>
                <c:pt idx="220">
                  <c:v>43661</c:v>
                </c:pt>
                <c:pt idx="221">
                  <c:v>43668</c:v>
                </c:pt>
                <c:pt idx="222">
                  <c:v>43675</c:v>
                </c:pt>
                <c:pt idx="223">
                  <c:v>43682</c:v>
                </c:pt>
                <c:pt idx="224">
                  <c:v>43689</c:v>
                </c:pt>
                <c:pt idx="225">
                  <c:v>43696</c:v>
                </c:pt>
                <c:pt idx="226">
                  <c:v>43703</c:v>
                </c:pt>
                <c:pt idx="227">
                  <c:v>43711</c:v>
                </c:pt>
                <c:pt idx="228">
                  <c:v>43717</c:v>
                </c:pt>
                <c:pt idx="229">
                  <c:v>43724</c:v>
                </c:pt>
                <c:pt idx="230">
                  <c:v>43731</c:v>
                </c:pt>
                <c:pt idx="231">
                  <c:v>43738</c:v>
                </c:pt>
                <c:pt idx="232">
                  <c:v>43745</c:v>
                </c:pt>
                <c:pt idx="233">
                  <c:v>43752</c:v>
                </c:pt>
                <c:pt idx="234">
                  <c:v>43759</c:v>
                </c:pt>
                <c:pt idx="235">
                  <c:v>43766</c:v>
                </c:pt>
                <c:pt idx="236">
                  <c:v>43773</c:v>
                </c:pt>
                <c:pt idx="237">
                  <c:v>43780</c:v>
                </c:pt>
                <c:pt idx="238">
                  <c:v>43787</c:v>
                </c:pt>
                <c:pt idx="239">
                  <c:v>43794</c:v>
                </c:pt>
                <c:pt idx="240">
                  <c:v>43801</c:v>
                </c:pt>
                <c:pt idx="241">
                  <c:v>43808</c:v>
                </c:pt>
                <c:pt idx="242">
                  <c:v>43815</c:v>
                </c:pt>
                <c:pt idx="243">
                  <c:v>43822</c:v>
                </c:pt>
                <c:pt idx="244">
                  <c:v>43829</c:v>
                </c:pt>
                <c:pt idx="245">
                  <c:v>43836</c:v>
                </c:pt>
                <c:pt idx="246">
                  <c:v>43843</c:v>
                </c:pt>
                <c:pt idx="247">
                  <c:v>43851</c:v>
                </c:pt>
                <c:pt idx="248">
                  <c:v>43857</c:v>
                </c:pt>
                <c:pt idx="249">
                  <c:v>43864</c:v>
                </c:pt>
                <c:pt idx="250">
                  <c:v>43871</c:v>
                </c:pt>
                <c:pt idx="251">
                  <c:v>43879</c:v>
                </c:pt>
                <c:pt idx="252">
                  <c:v>43885</c:v>
                </c:pt>
                <c:pt idx="253">
                  <c:v>43892</c:v>
                </c:pt>
                <c:pt idx="254">
                  <c:v>43899</c:v>
                </c:pt>
                <c:pt idx="255">
                  <c:v>43906</c:v>
                </c:pt>
                <c:pt idx="256">
                  <c:v>43913</c:v>
                </c:pt>
                <c:pt idx="257">
                  <c:v>43920</c:v>
                </c:pt>
                <c:pt idx="258">
                  <c:v>43927</c:v>
                </c:pt>
                <c:pt idx="259">
                  <c:v>43934</c:v>
                </c:pt>
                <c:pt idx="260">
                  <c:v>43941</c:v>
                </c:pt>
                <c:pt idx="261">
                  <c:v>43948</c:v>
                </c:pt>
                <c:pt idx="262">
                  <c:v>43955</c:v>
                </c:pt>
                <c:pt idx="263">
                  <c:v>43962</c:v>
                </c:pt>
                <c:pt idx="264">
                  <c:v>43969</c:v>
                </c:pt>
                <c:pt idx="265">
                  <c:v>43977</c:v>
                </c:pt>
                <c:pt idx="266">
                  <c:v>43983</c:v>
                </c:pt>
                <c:pt idx="267">
                  <c:v>43990</c:v>
                </c:pt>
                <c:pt idx="268">
                  <c:v>43997</c:v>
                </c:pt>
                <c:pt idx="269">
                  <c:v>44004</c:v>
                </c:pt>
                <c:pt idx="270">
                  <c:v>44011</c:v>
                </c:pt>
                <c:pt idx="271">
                  <c:v>44018</c:v>
                </c:pt>
                <c:pt idx="272">
                  <c:v>44025</c:v>
                </c:pt>
                <c:pt idx="273">
                  <c:v>44032</c:v>
                </c:pt>
                <c:pt idx="274">
                  <c:v>44039</c:v>
                </c:pt>
                <c:pt idx="275">
                  <c:v>44046</c:v>
                </c:pt>
                <c:pt idx="276">
                  <c:v>44053</c:v>
                </c:pt>
                <c:pt idx="277">
                  <c:v>44060</c:v>
                </c:pt>
                <c:pt idx="278">
                  <c:v>44067</c:v>
                </c:pt>
                <c:pt idx="279">
                  <c:v>44074</c:v>
                </c:pt>
                <c:pt idx="280">
                  <c:v>44082</c:v>
                </c:pt>
                <c:pt idx="281">
                  <c:v>44088</c:v>
                </c:pt>
                <c:pt idx="282">
                  <c:v>44095</c:v>
                </c:pt>
                <c:pt idx="283">
                  <c:v>44102</c:v>
                </c:pt>
                <c:pt idx="284">
                  <c:v>44109</c:v>
                </c:pt>
                <c:pt idx="285">
                  <c:v>44116</c:v>
                </c:pt>
                <c:pt idx="286">
                  <c:v>44123</c:v>
                </c:pt>
                <c:pt idx="287">
                  <c:v>44130</c:v>
                </c:pt>
                <c:pt idx="288">
                  <c:v>44137</c:v>
                </c:pt>
                <c:pt idx="289">
                  <c:v>44144</c:v>
                </c:pt>
                <c:pt idx="290">
                  <c:v>44151</c:v>
                </c:pt>
                <c:pt idx="291">
                  <c:v>44158</c:v>
                </c:pt>
                <c:pt idx="292">
                  <c:v>44165</c:v>
                </c:pt>
                <c:pt idx="293">
                  <c:v>44172</c:v>
                </c:pt>
                <c:pt idx="294">
                  <c:v>44179</c:v>
                </c:pt>
                <c:pt idx="295">
                  <c:v>44186</c:v>
                </c:pt>
                <c:pt idx="296">
                  <c:v>44193</c:v>
                </c:pt>
                <c:pt idx="297">
                  <c:v>44200</c:v>
                </c:pt>
                <c:pt idx="298">
                  <c:v>44207</c:v>
                </c:pt>
                <c:pt idx="299">
                  <c:v>44215</c:v>
                </c:pt>
                <c:pt idx="300">
                  <c:v>44221</c:v>
                </c:pt>
                <c:pt idx="301">
                  <c:v>44228</c:v>
                </c:pt>
                <c:pt idx="302">
                  <c:v>44235</c:v>
                </c:pt>
                <c:pt idx="303">
                  <c:v>44243</c:v>
                </c:pt>
                <c:pt idx="304">
                  <c:v>44249</c:v>
                </c:pt>
                <c:pt idx="305">
                  <c:v>44256</c:v>
                </c:pt>
                <c:pt idx="306">
                  <c:v>44263</c:v>
                </c:pt>
                <c:pt idx="307">
                  <c:v>44270</c:v>
                </c:pt>
                <c:pt idx="308">
                  <c:v>44277</c:v>
                </c:pt>
                <c:pt idx="309">
                  <c:v>44284</c:v>
                </c:pt>
                <c:pt idx="310">
                  <c:v>44291</c:v>
                </c:pt>
                <c:pt idx="311">
                  <c:v>44298</c:v>
                </c:pt>
                <c:pt idx="312">
                  <c:v>44305</c:v>
                </c:pt>
                <c:pt idx="313">
                  <c:v>44312</c:v>
                </c:pt>
                <c:pt idx="314">
                  <c:v>44319</c:v>
                </c:pt>
                <c:pt idx="315">
                  <c:v>44326</c:v>
                </c:pt>
                <c:pt idx="316">
                  <c:v>44333</c:v>
                </c:pt>
                <c:pt idx="317">
                  <c:v>44340</c:v>
                </c:pt>
                <c:pt idx="318">
                  <c:v>44348</c:v>
                </c:pt>
                <c:pt idx="319">
                  <c:v>44354</c:v>
                </c:pt>
                <c:pt idx="320">
                  <c:v>44361</c:v>
                </c:pt>
                <c:pt idx="321">
                  <c:v>44368</c:v>
                </c:pt>
                <c:pt idx="322">
                  <c:v>44375</c:v>
                </c:pt>
                <c:pt idx="323">
                  <c:v>44383</c:v>
                </c:pt>
                <c:pt idx="324">
                  <c:v>44389</c:v>
                </c:pt>
                <c:pt idx="325">
                  <c:v>44396</c:v>
                </c:pt>
                <c:pt idx="326">
                  <c:v>44403</c:v>
                </c:pt>
                <c:pt idx="327">
                  <c:v>44410</c:v>
                </c:pt>
                <c:pt idx="328">
                  <c:v>44417</c:v>
                </c:pt>
                <c:pt idx="329">
                  <c:v>44424</c:v>
                </c:pt>
                <c:pt idx="330">
                  <c:v>44431</c:v>
                </c:pt>
                <c:pt idx="331">
                  <c:v>44438</c:v>
                </c:pt>
                <c:pt idx="332">
                  <c:v>44446</c:v>
                </c:pt>
                <c:pt idx="333">
                  <c:v>44452</c:v>
                </c:pt>
                <c:pt idx="334">
                  <c:v>44459</c:v>
                </c:pt>
                <c:pt idx="335">
                  <c:v>44466</c:v>
                </c:pt>
                <c:pt idx="336">
                  <c:v>44473</c:v>
                </c:pt>
                <c:pt idx="337">
                  <c:v>44480</c:v>
                </c:pt>
                <c:pt idx="338">
                  <c:v>44487</c:v>
                </c:pt>
                <c:pt idx="339">
                  <c:v>44494</c:v>
                </c:pt>
                <c:pt idx="340">
                  <c:v>44501</c:v>
                </c:pt>
                <c:pt idx="341">
                  <c:v>44508</c:v>
                </c:pt>
                <c:pt idx="342">
                  <c:v>44515</c:v>
                </c:pt>
                <c:pt idx="343">
                  <c:v>44522</c:v>
                </c:pt>
                <c:pt idx="344">
                  <c:v>44529</c:v>
                </c:pt>
                <c:pt idx="345">
                  <c:v>44536</c:v>
                </c:pt>
                <c:pt idx="346">
                  <c:v>44543</c:v>
                </c:pt>
                <c:pt idx="347">
                  <c:v>44550</c:v>
                </c:pt>
                <c:pt idx="348">
                  <c:v>44557</c:v>
                </c:pt>
                <c:pt idx="349">
                  <c:v>44564</c:v>
                </c:pt>
                <c:pt idx="350">
                  <c:v>44571</c:v>
                </c:pt>
                <c:pt idx="351">
                  <c:v>44579</c:v>
                </c:pt>
                <c:pt idx="352">
                  <c:v>44585</c:v>
                </c:pt>
                <c:pt idx="353">
                  <c:v>44592</c:v>
                </c:pt>
                <c:pt idx="354">
                  <c:v>44599</c:v>
                </c:pt>
                <c:pt idx="355">
                  <c:v>44606</c:v>
                </c:pt>
                <c:pt idx="356">
                  <c:v>44614</c:v>
                </c:pt>
                <c:pt idx="357">
                  <c:v>44620</c:v>
                </c:pt>
                <c:pt idx="358">
                  <c:v>44627</c:v>
                </c:pt>
                <c:pt idx="359">
                  <c:v>44634</c:v>
                </c:pt>
                <c:pt idx="360">
                  <c:v>44641</c:v>
                </c:pt>
                <c:pt idx="361">
                  <c:v>44648</c:v>
                </c:pt>
                <c:pt idx="362">
                  <c:v>44655</c:v>
                </c:pt>
                <c:pt idx="363">
                  <c:v>44662</c:v>
                </c:pt>
                <c:pt idx="364">
                  <c:v>44669</c:v>
                </c:pt>
                <c:pt idx="365">
                  <c:v>44676</c:v>
                </c:pt>
                <c:pt idx="366">
                  <c:v>44683</c:v>
                </c:pt>
                <c:pt idx="367">
                  <c:v>44690</c:v>
                </c:pt>
                <c:pt idx="368">
                  <c:v>44697</c:v>
                </c:pt>
                <c:pt idx="369">
                  <c:v>44704</c:v>
                </c:pt>
                <c:pt idx="370">
                  <c:v>44712</c:v>
                </c:pt>
                <c:pt idx="371">
                  <c:v>44718</c:v>
                </c:pt>
                <c:pt idx="372">
                  <c:v>44725</c:v>
                </c:pt>
                <c:pt idx="373">
                  <c:v>44733</c:v>
                </c:pt>
                <c:pt idx="374">
                  <c:v>44739</c:v>
                </c:pt>
                <c:pt idx="375">
                  <c:v>44747</c:v>
                </c:pt>
                <c:pt idx="376">
                  <c:v>44753</c:v>
                </c:pt>
                <c:pt idx="377">
                  <c:v>44760</c:v>
                </c:pt>
                <c:pt idx="378">
                  <c:v>44767</c:v>
                </c:pt>
                <c:pt idx="379">
                  <c:v>44774</c:v>
                </c:pt>
                <c:pt idx="380">
                  <c:v>44781</c:v>
                </c:pt>
                <c:pt idx="381">
                  <c:v>44788</c:v>
                </c:pt>
                <c:pt idx="382">
                  <c:v>44795</c:v>
                </c:pt>
                <c:pt idx="383">
                  <c:v>44802</c:v>
                </c:pt>
                <c:pt idx="384">
                  <c:v>44810</c:v>
                </c:pt>
                <c:pt idx="385">
                  <c:v>44816</c:v>
                </c:pt>
                <c:pt idx="386">
                  <c:v>44823</c:v>
                </c:pt>
                <c:pt idx="387">
                  <c:v>44830</c:v>
                </c:pt>
                <c:pt idx="388">
                  <c:v>44837</c:v>
                </c:pt>
                <c:pt idx="389">
                  <c:v>44844</c:v>
                </c:pt>
                <c:pt idx="390">
                  <c:v>44851</c:v>
                </c:pt>
                <c:pt idx="391">
                  <c:v>44858</c:v>
                </c:pt>
                <c:pt idx="392">
                  <c:v>44865</c:v>
                </c:pt>
                <c:pt idx="393">
                  <c:v>44872</c:v>
                </c:pt>
                <c:pt idx="394">
                  <c:v>44879</c:v>
                </c:pt>
                <c:pt idx="395">
                  <c:v>44886</c:v>
                </c:pt>
                <c:pt idx="396">
                  <c:v>44893</c:v>
                </c:pt>
                <c:pt idx="397">
                  <c:v>44900</c:v>
                </c:pt>
                <c:pt idx="398">
                  <c:v>44907</c:v>
                </c:pt>
                <c:pt idx="399">
                  <c:v>44914</c:v>
                </c:pt>
                <c:pt idx="400">
                  <c:v>44922</c:v>
                </c:pt>
                <c:pt idx="401">
                  <c:v>44929</c:v>
                </c:pt>
                <c:pt idx="402">
                  <c:v>44935</c:v>
                </c:pt>
                <c:pt idx="403">
                  <c:v>44943</c:v>
                </c:pt>
                <c:pt idx="404">
                  <c:v>44949</c:v>
                </c:pt>
                <c:pt idx="405">
                  <c:v>44956</c:v>
                </c:pt>
                <c:pt idx="406">
                  <c:v>44963</c:v>
                </c:pt>
                <c:pt idx="407">
                  <c:v>44970</c:v>
                </c:pt>
                <c:pt idx="408">
                  <c:v>44978</c:v>
                </c:pt>
                <c:pt idx="409">
                  <c:v>44984</c:v>
                </c:pt>
                <c:pt idx="410">
                  <c:v>44991</c:v>
                </c:pt>
                <c:pt idx="411">
                  <c:v>44998</c:v>
                </c:pt>
                <c:pt idx="412">
                  <c:v>45005</c:v>
                </c:pt>
                <c:pt idx="413">
                  <c:v>45012</c:v>
                </c:pt>
                <c:pt idx="414">
                  <c:v>45019</c:v>
                </c:pt>
                <c:pt idx="415">
                  <c:v>45026</c:v>
                </c:pt>
                <c:pt idx="416">
                  <c:v>45033</c:v>
                </c:pt>
                <c:pt idx="417">
                  <c:v>45040</c:v>
                </c:pt>
                <c:pt idx="418">
                  <c:v>45047</c:v>
                </c:pt>
                <c:pt idx="419">
                  <c:v>45054</c:v>
                </c:pt>
                <c:pt idx="420">
                  <c:v>45061</c:v>
                </c:pt>
                <c:pt idx="421">
                  <c:v>45068</c:v>
                </c:pt>
                <c:pt idx="422">
                  <c:v>45076</c:v>
                </c:pt>
                <c:pt idx="423">
                  <c:v>45082</c:v>
                </c:pt>
                <c:pt idx="424">
                  <c:v>45089</c:v>
                </c:pt>
                <c:pt idx="425">
                  <c:v>45097</c:v>
                </c:pt>
                <c:pt idx="426">
                  <c:v>45103</c:v>
                </c:pt>
                <c:pt idx="427">
                  <c:v>45110</c:v>
                </c:pt>
                <c:pt idx="428">
                  <c:v>45117</c:v>
                </c:pt>
                <c:pt idx="429">
                  <c:v>45124</c:v>
                </c:pt>
                <c:pt idx="430">
                  <c:v>45131</c:v>
                </c:pt>
                <c:pt idx="431">
                  <c:v>45138</c:v>
                </c:pt>
                <c:pt idx="432">
                  <c:v>45145</c:v>
                </c:pt>
                <c:pt idx="433">
                  <c:v>45152</c:v>
                </c:pt>
                <c:pt idx="434">
                  <c:v>45159</c:v>
                </c:pt>
                <c:pt idx="435">
                  <c:v>45166</c:v>
                </c:pt>
                <c:pt idx="436">
                  <c:v>45174</c:v>
                </c:pt>
                <c:pt idx="437">
                  <c:v>45180</c:v>
                </c:pt>
                <c:pt idx="438">
                  <c:v>45187</c:v>
                </c:pt>
                <c:pt idx="439">
                  <c:v>45194</c:v>
                </c:pt>
                <c:pt idx="440">
                  <c:v>45201</c:v>
                </c:pt>
                <c:pt idx="441">
                  <c:v>45208</c:v>
                </c:pt>
                <c:pt idx="442">
                  <c:v>45215</c:v>
                </c:pt>
                <c:pt idx="443">
                  <c:v>45222</c:v>
                </c:pt>
                <c:pt idx="444">
                  <c:v>45229</c:v>
                </c:pt>
                <c:pt idx="445">
                  <c:v>45236</c:v>
                </c:pt>
                <c:pt idx="446">
                  <c:v>45243</c:v>
                </c:pt>
                <c:pt idx="447">
                  <c:v>45250</c:v>
                </c:pt>
                <c:pt idx="448">
                  <c:v>45257</c:v>
                </c:pt>
                <c:pt idx="449">
                  <c:v>45264</c:v>
                </c:pt>
                <c:pt idx="450">
                  <c:v>45271</c:v>
                </c:pt>
                <c:pt idx="451">
                  <c:v>45278</c:v>
                </c:pt>
                <c:pt idx="452">
                  <c:v>45286</c:v>
                </c:pt>
                <c:pt idx="453">
                  <c:v>45293</c:v>
                </c:pt>
                <c:pt idx="454">
                  <c:v>45299</c:v>
                </c:pt>
                <c:pt idx="455">
                  <c:v>45307</c:v>
                </c:pt>
                <c:pt idx="456">
                  <c:v>45313</c:v>
                </c:pt>
                <c:pt idx="457">
                  <c:v>45320</c:v>
                </c:pt>
                <c:pt idx="458">
                  <c:v>45327</c:v>
                </c:pt>
                <c:pt idx="459">
                  <c:v>45334</c:v>
                </c:pt>
                <c:pt idx="460">
                  <c:v>45342</c:v>
                </c:pt>
                <c:pt idx="461">
                  <c:v>45348</c:v>
                </c:pt>
                <c:pt idx="462">
                  <c:v>45355</c:v>
                </c:pt>
                <c:pt idx="463">
                  <c:v>45362</c:v>
                </c:pt>
                <c:pt idx="464">
                  <c:v>45369</c:v>
                </c:pt>
                <c:pt idx="465">
                  <c:v>45376</c:v>
                </c:pt>
                <c:pt idx="466">
                  <c:v>45383</c:v>
                </c:pt>
                <c:pt idx="467">
                  <c:v>45390</c:v>
                </c:pt>
                <c:pt idx="468">
                  <c:v>45397</c:v>
                </c:pt>
                <c:pt idx="469">
                  <c:v>45404</c:v>
                </c:pt>
                <c:pt idx="470">
                  <c:v>45411</c:v>
                </c:pt>
                <c:pt idx="471">
                  <c:v>45418</c:v>
                </c:pt>
                <c:pt idx="472">
                  <c:v>45425</c:v>
                </c:pt>
                <c:pt idx="473">
                  <c:v>45432</c:v>
                </c:pt>
                <c:pt idx="474">
                  <c:v>45440</c:v>
                </c:pt>
                <c:pt idx="475">
                  <c:v>45446</c:v>
                </c:pt>
                <c:pt idx="476">
                  <c:v>45453</c:v>
                </c:pt>
                <c:pt idx="477">
                  <c:v>45460</c:v>
                </c:pt>
                <c:pt idx="478">
                  <c:v>45467</c:v>
                </c:pt>
                <c:pt idx="479">
                  <c:v>45474</c:v>
                </c:pt>
                <c:pt idx="480">
                  <c:v>45481</c:v>
                </c:pt>
                <c:pt idx="481">
                  <c:v>45488</c:v>
                </c:pt>
                <c:pt idx="482">
                  <c:v>45495</c:v>
                </c:pt>
                <c:pt idx="483">
                  <c:v>45502</c:v>
                </c:pt>
                <c:pt idx="484">
                  <c:v>45509</c:v>
                </c:pt>
                <c:pt idx="485">
                  <c:v>45516</c:v>
                </c:pt>
                <c:pt idx="486">
                  <c:v>45523</c:v>
                </c:pt>
                <c:pt idx="487">
                  <c:v>45530</c:v>
                </c:pt>
                <c:pt idx="488">
                  <c:v>45538</c:v>
                </c:pt>
                <c:pt idx="489">
                  <c:v>45544</c:v>
                </c:pt>
                <c:pt idx="490">
                  <c:v>45551</c:v>
                </c:pt>
                <c:pt idx="491">
                  <c:v>45558</c:v>
                </c:pt>
                <c:pt idx="492">
                  <c:v>45565</c:v>
                </c:pt>
                <c:pt idx="493">
                  <c:v>45572</c:v>
                </c:pt>
                <c:pt idx="494">
                  <c:v>45579</c:v>
                </c:pt>
                <c:pt idx="495">
                  <c:v>45586</c:v>
                </c:pt>
                <c:pt idx="496">
                  <c:v>45593</c:v>
                </c:pt>
                <c:pt idx="497">
                  <c:v>45600</c:v>
                </c:pt>
                <c:pt idx="498">
                  <c:v>45607</c:v>
                </c:pt>
                <c:pt idx="499">
                  <c:v>45614</c:v>
                </c:pt>
                <c:pt idx="500">
                  <c:v>45621</c:v>
                </c:pt>
                <c:pt idx="501">
                  <c:v>45628</c:v>
                </c:pt>
                <c:pt idx="502">
                  <c:v>45635</c:v>
                </c:pt>
                <c:pt idx="503">
                  <c:v>45642</c:v>
                </c:pt>
                <c:pt idx="504">
                  <c:v>45649</c:v>
                </c:pt>
                <c:pt idx="505">
                  <c:v>45656</c:v>
                </c:pt>
                <c:pt idx="506">
                  <c:v>45663</c:v>
                </c:pt>
                <c:pt idx="507">
                  <c:v>45670</c:v>
                </c:pt>
                <c:pt idx="508">
                  <c:v>45678</c:v>
                </c:pt>
                <c:pt idx="509">
                  <c:v>45684</c:v>
                </c:pt>
                <c:pt idx="510">
                  <c:v>45691</c:v>
                </c:pt>
                <c:pt idx="511">
                  <c:v>45698</c:v>
                </c:pt>
                <c:pt idx="512">
                  <c:v>45706</c:v>
                </c:pt>
                <c:pt idx="513">
                  <c:v>45712</c:v>
                </c:pt>
                <c:pt idx="514">
                  <c:v>45719</c:v>
                </c:pt>
                <c:pt idx="515">
                  <c:v>45726</c:v>
                </c:pt>
                <c:pt idx="516">
                  <c:v>45733</c:v>
                </c:pt>
                <c:pt idx="517">
                  <c:v>45740</c:v>
                </c:pt>
                <c:pt idx="518">
                  <c:v>45747</c:v>
                </c:pt>
                <c:pt idx="519">
                  <c:v>45754</c:v>
                </c:pt>
                <c:pt idx="520">
                  <c:v>45761</c:v>
                </c:pt>
                <c:pt idx="521">
                  <c:v>45768</c:v>
                </c:pt>
                <c:pt idx="522">
                  <c:v>45775</c:v>
                </c:pt>
              </c:numCache>
            </c:numRef>
          </c:cat>
          <c:val>
            <c:numRef>
              <c:f>HPQ!$D$6:$D$528</c:f>
              <c:numCache>
                <c:formatCode>_([$$-409]* #,##0.00_);_([$$-409]* \(#,##0.00\);_([$$-409]* "-"??_);_(@_)</c:formatCode>
                <c:ptCount val="523"/>
                <c:pt idx="0">
                  <c:v>15.3454</c:v>
                </c:pt>
                <c:pt idx="1">
                  <c:v>15.1683</c:v>
                </c:pt>
                <c:pt idx="2">
                  <c:v>15.2546</c:v>
                </c:pt>
                <c:pt idx="3">
                  <c:v>15.7812</c:v>
                </c:pt>
                <c:pt idx="4">
                  <c:v>15.1638</c:v>
                </c:pt>
                <c:pt idx="5">
                  <c:v>14.9459</c:v>
                </c:pt>
                <c:pt idx="6">
                  <c:v>14.7143</c:v>
                </c:pt>
                <c:pt idx="7">
                  <c:v>14.4374</c:v>
                </c:pt>
                <c:pt idx="8">
                  <c:v>13.860799999999999</c:v>
                </c:pt>
                <c:pt idx="9">
                  <c:v>13.933400000000001</c:v>
                </c:pt>
                <c:pt idx="10">
                  <c:v>13.9153</c:v>
                </c:pt>
                <c:pt idx="11">
                  <c:v>13.7836</c:v>
                </c:pt>
                <c:pt idx="12">
                  <c:v>13.9879</c:v>
                </c:pt>
                <c:pt idx="13">
                  <c:v>13.856299999999999</c:v>
                </c:pt>
                <c:pt idx="14">
                  <c:v>13.3523</c:v>
                </c:pt>
                <c:pt idx="15">
                  <c:v>13.0345</c:v>
                </c:pt>
                <c:pt idx="16">
                  <c:v>12.471500000000001</c:v>
                </c:pt>
                <c:pt idx="17">
                  <c:v>12.7258</c:v>
                </c:pt>
                <c:pt idx="18">
                  <c:v>12.2536</c:v>
                </c:pt>
                <c:pt idx="19">
                  <c:v>12.3263</c:v>
                </c:pt>
                <c:pt idx="20">
                  <c:v>12.049300000000001</c:v>
                </c:pt>
                <c:pt idx="21">
                  <c:v>11.354699999999999</c:v>
                </c:pt>
                <c:pt idx="22">
                  <c:v>11.835900000000001</c:v>
                </c:pt>
                <c:pt idx="23">
                  <c:v>13.3024</c:v>
                </c:pt>
                <c:pt idx="24">
                  <c:v>13.102600000000001</c:v>
                </c:pt>
                <c:pt idx="25">
                  <c:v>13.1798</c:v>
                </c:pt>
                <c:pt idx="26">
                  <c:v>12.24</c:v>
                </c:pt>
                <c:pt idx="27">
                  <c:v>14.01</c:v>
                </c:pt>
                <c:pt idx="28">
                  <c:v>13.11</c:v>
                </c:pt>
                <c:pt idx="29">
                  <c:v>14.06</c:v>
                </c:pt>
                <c:pt idx="30">
                  <c:v>12.61</c:v>
                </c:pt>
                <c:pt idx="31">
                  <c:v>12.32</c:v>
                </c:pt>
                <c:pt idx="32">
                  <c:v>12.21</c:v>
                </c:pt>
                <c:pt idx="33">
                  <c:v>11.51</c:v>
                </c:pt>
                <c:pt idx="34">
                  <c:v>11.73</c:v>
                </c:pt>
                <c:pt idx="35">
                  <c:v>11.84</c:v>
                </c:pt>
                <c:pt idx="36">
                  <c:v>10.58</c:v>
                </c:pt>
                <c:pt idx="37">
                  <c:v>10.11</c:v>
                </c:pt>
                <c:pt idx="38">
                  <c:v>9.8000000000000007</c:v>
                </c:pt>
                <c:pt idx="39">
                  <c:v>9.7100000000000009</c:v>
                </c:pt>
                <c:pt idx="40">
                  <c:v>9.91</c:v>
                </c:pt>
                <c:pt idx="41">
                  <c:v>9.42</c:v>
                </c:pt>
                <c:pt idx="42">
                  <c:v>10.32</c:v>
                </c:pt>
                <c:pt idx="43">
                  <c:v>10.64</c:v>
                </c:pt>
                <c:pt idx="44">
                  <c:v>11.18</c:v>
                </c:pt>
                <c:pt idx="45">
                  <c:v>11.7</c:v>
                </c:pt>
                <c:pt idx="46">
                  <c:v>12.18</c:v>
                </c:pt>
                <c:pt idx="47">
                  <c:v>12.07</c:v>
                </c:pt>
                <c:pt idx="48">
                  <c:v>12.26</c:v>
                </c:pt>
                <c:pt idx="49">
                  <c:v>12.06</c:v>
                </c:pt>
                <c:pt idx="50">
                  <c:v>12.52</c:v>
                </c:pt>
                <c:pt idx="51">
                  <c:v>12.61</c:v>
                </c:pt>
                <c:pt idx="52">
                  <c:v>12.27</c:v>
                </c:pt>
                <c:pt idx="53">
                  <c:v>11.59</c:v>
                </c:pt>
                <c:pt idx="54">
                  <c:v>11.5</c:v>
                </c:pt>
                <c:pt idx="55">
                  <c:v>11.66</c:v>
                </c:pt>
                <c:pt idx="56">
                  <c:v>13.17</c:v>
                </c:pt>
                <c:pt idx="57">
                  <c:v>13.44</c:v>
                </c:pt>
                <c:pt idx="58">
                  <c:v>13.5</c:v>
                </c:pt>
                <c:pt idx="59">
                  <c:v>13.12</c:v>
                </c:pt>
                <c:pt idx="60">
                  <c:v>12.26</c:v>
                </c:pt>
                <c:pt idx="61">
                  <c:v>12.73</c:v>
                </c:pt>
                <c:pt idx="62">
                  <c:v>13.08</c:v>
                </c:pt>
                <c:pt idx="63">
                  <c:v>13.85</c:v>
                </c:pt>
                <c:pt idx="64">
                  <c:v>14.11</c:v>
                </c:pt>
                <c:pt idx="65">
                  <c:v>14.01</c:v>
                </c:pt>
                <c:pt idx="66">
                  <c:v>14.28</c:v>
                </c:pt>
                <c:pt idx="67">
                  <c:v>14.28</c:v>
                </c:pt>
                <c:pt idx="68">
                  <c:v>14.42</c:v>
                </c:pt>
                <c:pt idx="69">
                  <c:v>14.39</c:v>
                </c:pt>
                <c:pt idx="70">
                  <c:v>14.49</c:v>
                </c:pt>
                <c:pt idx="71">
                  <c:v>14.07</c:v>
                </c:pt>
                <c:pt idx="72">
                  <c:v>14.53</c:v>
                </c:pt>
                <c:pt idx="73">
                  <c:v>15.09</c:v>
                </c:pt>
                <c:pt idx="74">
                  <c:v>15.53</c:v>
                </c:pt>
                <c:pt idx="75">
                  <c:v>15.58</c:v>
                </c:pt>
                <c:pt idx="76">
                  <c:v>14.48</c:v>
                </c:pt>
                <c:pt idx="77">
                  <c:v>13.8</c:v>
                </c:pt>
                <c:pt idx="78">
                  <c:v>14.09</c:v>
                </c:pt>
                <c:pt idx="79">
                  <c:v>14.71</c:v>
                </c:pt>
                <c:pt idx="80">
                  <c:v>15.82</c:v>
                </c:pt>
                <c:pt idx="81">
                  <c:v>15.87</c:v>
                </c:pt>
                <c:pt idx="82">
                  <c:v>15.18</c:v>
                </c:pt>
                <c:pt idx="83">
                  <c:v>15.12</c:v>
                </c:pt>
                <c:pt idx="84">
                  <c:v>15.78</c:v>
                </c:pt>
                <c:pt idx="85">
                  <c:v>15.05</c:v>
                </c:pt>
                <c:pt idx="86">
                  <c:v>15.1</c:v>
                </c:pt>
                <c:pt idx="87">
                  <c:v>14.84</c:v>
                </c:pt>
                <c:pt idx="88">
                  <c:v>15</c:v>
                </c:pt>
                <c:pt idx="89">
                  <c:v>14.77</c:v>
                </c:pt>
                <c:pt idx="90">
                  <c:v>14.73</c:v>
                </c:pt>
                <c:pt idx="91">
                  <c:v>14.8</c:v>
                </c:pt>
                <c:pt idx="92">
                  <c:v>15.27</c:v>
                </c:pt>
                <c:pt idx="93">
                  <c:v>15.72</c:v>
                </c:pt>
                <c:pt idx="94">
                  <c:v>15.95</c:v>
                </c:pt>
                <c:pt idx="95">
                  <c:v>17.649999999999999</c:v>
                </c:pt>
                <c:pt idx="96">
                  <c:v>17.350000000000001</c:v>
                </c:pt>
                <c:pt idx="97">
                  <c:v>17.39</c:v>
                </c:pt>
                <c:pt idx="98">
                  <c:v>17.559999999999999</c:v>
                </c:pt>
                <c:pt idx="99">
                  <c:v>17.23</c:v>
                </c:pt>
                <c:pt idx="100">
                  <c:v>17.88</c:v>
                </c:pt>
                <c:pt idx="101">
                  <c:v>17.37</c:v>
                </c:pt>
                <c:pt idx="102">
                  <c:v>18.2</c:v>
                </c:pt>
                <c:pt idx="103">
                  <c:v>18.29</c:v>
                </c:pt>
                <c:pt idx="104">
                  <c:v>18.82</c:v>
                </c:pt>
                <c:pt idx="105">
                  <c:v>18.91</c:v>
                </c:pt>
                <c:pt idx="106">
                  <c:v>19.3</c:v>
                </c:pt>
                <c:pt idx="107">
                  <c:v>19</c:v>
                </c:pt>
                <c:pt idx="108">
                  <c:v>18.47</c:v>
                </c:pt>
                <c:pt idx="109">
                  <c:v>18.98</c:v>
                </c:pt>
                <c:pt idx="110">
                  <c:v>17.8</c:v>
                </c:pt>
                <c:pt idx="111">
                  <c:v>17.350000000000001</c:v>
                </c:pt>
                <c:pt idx="112">
                  <c:v>17.8</c:v>
                </c:pt>
                <c:pt idx="113">
                  <c:v>17.48</c:v>
                </c:pt>
                <c:pt idx="114">
                  <c:v>17.350000000000001</c:v>
                </c:pt>
                <c:pt idx="115">
                  <c:v>18.420000000000002</c:v>
                </c:pt>
                <c:pt idx="116">
                  <c:v>19.149999999999999</c:v>
                </c:pt>
                <c:pt idx="117">
                  <c:v>19.170000000000002</c:v>
                </c:pt>
                <c:pt idx="118">
                  <c:v>19.37</c:v>
                </c:pt>
                <c:pt idx="119">
                  <c:v>18.899999999999999</c:v>
                </c:pt>
                <c:pt idx="120">
                  <c:v>18.510000000000002</c:v>
                </c:pt>
                <c:pt idx="121">
                  <c:v>19.309999999999999</c:v>
                </c:pt>
                <c:pt idx="122">
                  <c:v>19.36</c:v>
                </c:pt>
                <c:pt idx="123">
                  <c:v>19.12</c:v>
                </c:pt>
                <c:pt idx="124">
                  <c:v>19.47</c:v>
                </c:pt>
                <c:pt idx="125">
                  <c:v>19.940000000000001</c:v>
                </c:pt>
                <c:pt idx="126">
                  <c:v>19.96</c:v>
                </c:pt>
                <c:pt idx="127">
                  <c:v>20.58</c:v>
                </c:pt>
                <c:pt idx="128">
                  <c:v>21.71</c:v>
                </c:pt>
                <c:pt idx="129">
                  <c:v>22.02</c:v>
                </c:pt>
                <c:pt idx="130">
                  <c:v>21.5</c:v>
                </c:pt>
                <c:pt idx="131">
                  <c:v>21.47</c:v>
                </c:pt>
                <c:pt idx="132">
                  <c:v>21.23</c:v>
                </c:pt>
                <c:pt idx="133">
                  <c:v>21.75</c:v>
                </c:pt>
                <c:pt idx="134">
                  <c:v>21.24</c:v>
                </c:pt>
                <c:pt idx="135">
                  <c:v>21.41</c:v>
                </c:pt>
                <c:pt idx="136">
                  <c:v>21.07</c:v>
                </c:pt>
                <c:pt idx="137">
                  <c:v>20.92</c:v>
                </c:pt>
                <c:pt idx="138">
                  <c:v>21.26</c:v>
                </c:pt>
                <c:pt idx="139">
                  <c:v>21.01</c:v>
                </c:pt>
                <c:pt idx="140">
                  <c:v>21.75</c:v>
                </c:pt>
                <c:pt idx="141">
                  <c:v>22.92</c:v>
                </c:pt>
                <c:pt idx="142">
                  <c:v>23.7</c:v>
                </c:pt>
                <c:pt idx="143">
                  <c:v>23.91</c:v>
                </c:pt>
                <c:pt idx="144">
                  <c:v>22.48</c:v>
                </c:pt>
                <c:pt idx="145">
                  <c:v>20.11</c:v>
                </c:pt>
                <c:pt idx="146">
                  <c:v>21.4</c:v>
                </c:pt>
                <c:pt idx="147">
                  <c:v>22.13</c:v>
                </c:pt>
                <c:pt idx="148">
                  <c:v>23.57</c:v>
                </c:pt>
                <c:pt idx="149">
                  <c:v>24.65</c:v>
                </c:pt>
                <c:pt idx="150">
                  <c:v>23.51</c:v>
                </c:pt>
                <c:pt idx="151">
                  <c:v>21.85</c:v>
                </c:pt>
                <c:pt idx="152">
                  <c:v>21.92</c:v>
                </c:pt>
                <c:pt idx="153">
                  <c:v>20.78</c:v>
                </c:pt>
                <c:pt idx="154">
                  <c:v>21.77</c:v>
                </c:pt>
                <c:pt idx="155">
                  <c:v>21.53</c:v>
                </c:pt>
                <c:pt idx="156">
                  <c:v>21.61</c:v>
                </c:pt>
                <c:pt idx="157">
                  <c:v>21.68</c:v>
                </c:pt>
                <c:pt idx="158">
                  <c:v>22.71</c:v>
                </c:pt>
                <c:pt idx="159">
                  <c:v>22.14</c:v>
                </c:pt>
                <c:pt idx="160">
                  <c:v>21.91</c:v>
                </c:pt>
                <c:pt idx="161">
                  <c:v>22.68</c:v>
                </c:pt>
                <c:pt idx="162">
                  <c:v>23.71</c:v>
                </c:pt>
                <c:pt idx="163">
                  <c:v>23.59</c:v>
                </c:pt>
                <c:pt idx="164">
                  <c:v>23.8</c:v>
                </c:pt>
                <c:pt idx="165">
                  <c:v>22.69</c:v>
                </c:pt>
                <c:pt idx="166">
                  <c:v>23.01</c:v>
                </c:pt>
                <c:pt idx="167">
                  <c:v>23.71</c:v>
                </c:pt>
                <c:pt idx="168">
                  <c:v>22.94</c:v>
                </c:pt>
                <c:pt idx="169">
                  <c:v>23.23</c:v>
                </c:pt>
                <c:pt idx="170">
                  <c:v>23.34</c:v>
                </c:pt>
                <c:pt idx="171">
                  <c:v>23.99</c:v>
                </c:pt>
                <c:pt idx="172">
                  <c:v>24.54</c:v>
                </c:pt>
                <c:pt idx="173">
                  <c:v>24.15</c:v>
                </c:pt>
                <c:pt idx="174">
                  <c:v>24.65</c:v>
                </c:pt>
                <c:pt idx="175">
                  <c:v>24.71</c:v>
                </c:pt>
                <c:pt idx="176">
                  <c:v>25.04</c:v>
                </c:pt>
                <c:pt idx="177">
                  <c:v>25.83</c:v>
                </c:pt>
                <c:pt idx="178">
                  <c:v>25.77</c:v>
                </c:pt>
                <c:pt idx="179">
                  <c:v>25.34</c:v>
                </c:pt>
                <c:pt idx="180">
                  <c:v>23.67</c:v>
                </c:pt>
                <c:pt idx="181">
                  <c:v>23.84</c:v>
                </c:pt>
                <c:pt idx="182">
                  <c:v>23.13</c:v>
                </c:pt>
                <c:pt idx="183">
                  <c:v>24.63</c:v>
                </c:pt>
                <c:pt idx="184">
                  <c:v>25</c:v>
                </c:pt>
                <c:pt idx="185">
                  <c:v>24.16</c:v>
                </c:pt>
                <c:pt idx="186">
                  <c:v>22.51</c:v>
                </c:pt>
                <c:pt idx="187">
                  <c:v>23</c:v>
                </c:pt>
                <c:pt idx="188">
                  <c:v>22.93</c:v>
                </c:pt>
                <c:pt idx="189">
                  <c:v>22.01</c:v>
                </c:pt>
                <c:pt idx="190">
                  <c:v>19.649999999999999</c:v>
                </c:pt>
                <c:pt idx="191">
                  <c:v>20.34</c:v>
                </c:pt>
                <c:pt idx="192">
                  <c:v>20.72</c:v>
                </c:pt>
                <c:pt idx="193">
                  <c:v>21.17</c:v>
                </c:pt>
                <c:pt idx="194">
                  <c:v>21.75</c:v>
                </c:pt>
                <c:pt idx="195">
                  <c:v>22.1</c:v>
                </c:pt>
                <c:pt idx="196">
                  <c:v>22.26</c:v>
                </c:pt>
                <c:pt idx="197">
                  <c:v>22.92</c:v>
                </c:pt>
                <c:pt idx="198">
                  <c:v>23.28</c:v>
                </c:pt>
                <c:pt idx="199">
                  <c:v>23.74</c:v>
                </c:pt>
                <c:pt idx="200">
                  <c:v>19.600000000000001</c:v>
                </c:pt>
                <c:pt idx="201">
                  <c:v>18.739999999999998</c:v>
                </c:pt>
                <c:pt idx="202">
                  <c:v>19.940000000000001</c:v>
                </c:pt>
                <c:pt idx="203">
                  <c:v>19.34</c:v>
                </c:pt>
                <c:pt idx="204">
                  <c:v>19.43</c:v>
                </c:pt>
                <c:pt idx="205">
                  <c:v>19.79</c:v>
                </c:pt>
                <c:pt idx="206">
                  <c:v>20.21</c:v>
                </c:pt>
                <c:pt idx="207">
                  <c:v>20.52</c:v>
                </c:pt>
                <c:pt idx="208">
                  <c:v>19.41</c:v>
                </c:pt>
                <c:pt idx="209">
                  <c:v>20.29</c:v>
                </c:pt>
                <c:pt idx="210">
                  <c:v>19.12</c:v>
                </c:pt>
                <c:pt idx="211">
                  <c:v>19.02</c:v>
                </c:pt>
                <c:pt idx="212">
                  <c:v>20.03</c:v>
                </c:pt>
                <c:pt idx="213">
                  <c:v>18.68</c:v>
                </c:pt>
                <c:pt idx="214">
                  <c:v>19.71</c:v>
                </c:pt>
                <c:pt idx="215">
                  <c:v>19.91</c:v>
                </c:pt>
                <c:pt idx="216">
                  <c:v>20.7</c:v>
                </c:pt>
                <c:pt idx="217">
                  <c:v>20.79</c:v>
                </c:pt>
                <c:pt idx="218">
                  <c:v>21.16</c:v>
                </c:pt>
                <c:pt idx="219">
                  <c:v>21.23</c:v>
                </c:pt>
                <c:pt idx="220">
                  <c:v>21.39</c:v>
                </c:pt>
                <c:pt idx="221">
                  <c:v>21.52</c:v>
                </c:pt>
                <c:pt idx="222">
                  <c:v>20.14</c:v>
                </c:pt>
                <c:pt idx="223">
                  <c:v>19.28</c:v>
                </c:pt>
                <c:pt idx="224">
                  <c:v>19.079999999999998</c:v>
                </c:pt>
                <c:pt idx="225">
                  <c:v>17.809999999999999</c:v>
                </c:pt>
                <c:pt idx="226">
                  <c:v>18.29</c:v>
                </c:pt>
                <c:pt idx="227">
                  <c:v>19.100000000000001</c:v>
                </c:pt>
                <c:pt idx="228">
                  <c:v>19.079999999999998</c:v>
                </c:pt>
                <c:pt idx="229">
                  <c:v>18.47</c:v>
                </c:pt>
                <c:pt idx="230">
                  <c:v>18.53</c:v>
                </c:pt>
                <c:pt idx="231">
                  <c:v>16.64</c:v>
                </c:pt>
                <c:pt idx="232">
                  <c:v>16.239999999999998</c:v>
                </c:pt>
                <c:pt idx="233">
                  <c:v>16.850000000000001</c:v>
                </c:pt>
                <c:pt idx="234">
                  <c:v>17.329999999999998</c:v>
                </c:pt>
                <c:pt idx="235">
                  <c:v>17.78</c:v>
                </c:pt>
                <c:pt idx="236">
                  <c:v>19.52</c:v>
                </c:pt>
                <c:pt idx="237">
                  <c:v>20.18</c:v>
                </c:pt>
                <c:pt idx="238">
                  <c:v>19.940000000000001</c:v>
                </c:pt>
                <c:pt idx="239">
                  <c:v>20.079999999999998</c:v>
                </c:pt>
                <c:pt idx="240">
                  <c:v>20.5</c:v>
                </c:pt>
                <c:pt idx="241">
                  <c:v>20.350000000000001</c:v>
                </c:pt>
                <c:pt idx="242">
                  <c:v>20.56</c:v>
                </c:pt>
                <c:pt idx="243">
                  <c:v>20.53</c:v>
                </c:pt>
                <c:pt idx="244">
                  <c:v>20.53</c:v>
                </c:pt>
                <c:pt idx="245">
                  <c:v>21.38</c:v>
                </c:pt>
                <c:pt idx="246">
                  <c:v>21.97</c:v>
                </c:pt>
                <c:pt idx="247">
                  <c:v>21.98</c:v>
                </c:pt>
                <c:pt idx="248">
                  <c:v>21.32</c:v>
                </c:pt>
                <c:pt idx="249">
                  <c:v>21.73</c:v>
                </c:pt>
                <c:pt idx="250">
                  <c:v>22.37</c:v>
                </c:pt>
                <c:pt idx="251">
                  <c:v>22.7</c:v>
                </c:pt>
                <c:pt idx="252">
                  <c:v>20.79</c:v>
                </c:pt>
                <c:pt idx="253">
                  <c:v>21.41</c:v>
                </c:pt>
                <c:pt idx="254">
                  <c:v>17.18</c:v>
                </c:pt>
                <c:pt idx="255">
                  <c:v>13.95</c:v>
                </c:pt>
                <c:pt idx="256">
                  <c:v>16.86</c:v>
                </c:pt>
                <c:pt idx="257">
                  <c:v>14.48</c:v>
                </c:pt>
                <c:pt idx="258">
                  <c:v>15.97</c:v>
                </c:pt>
                <c:pt idx="259">
                  <c:v>15.52</c:v>
                </c:pt>
                <c:pt idx="260">
                  <c:v>15</c:v>
                </c:pt>
                <c:pt idx="261">
                  <c:v>14.71</c:v>
                </c:pt>
                <c:pt idx="262">
                  <c:v>15.66</c:v>
                </c:pt>
                <c:pt idx="263">
                  <c:v>14.86</c:v>
                </c:pt>
                <c:pt idx="264">
                  <c:v>17</c:v>
                </c:pt>
                <c:pt idx="265">
                  <c:v>15.14</c:v>
                </c:pt>
                <c:pt idx="266">
                  <c:v>17.41</c:v>
                </c:pt>
                <c:pt idx="267">
                  <c:v>16.28</c:v>
                </c:pt>
                <c:pt idx="268">
                  <c:v>16.78</c:v>
                </c:pt>
                <c:pt idx="269">
                  <c:v>16.61</c:v>
                </c:pt>
                <c:pt idx="270">
                  <c:v>17.07</c:v>
                </c:pt>
                <c:pt idx="271">
                  <c:v>16.989999999999998</c:v>
                </c:pt>
                <c:pt idx="272">
                  <c:v>17.55</c:v>
                </c:pt>
                <c:pt idx="273">
                  <c:v>17.5</c:v>
                </c:pt>
                <c:pt idx="274">
                  <c:v>17.579999999999998</c:v>
                </c:pt>
                <c:pt idx="275">
                  <c:v>18.47</c:v>
                </c:pt>
                <c:pt idx="276">
                  <c:v>18.18</c:v>
                </c:pt>
                <c:pt idx="277">
                  <c:v>18.23</c:v>
                </c:pt>
                <c:pt idx="278">
                  <c:v>19.850000000000001</c:v>
                </c:pt>
                <c:pt idx="279">
                  <c:v>19.23</c:v>
                </c:pt>
                <c:pt idx="280">
                  <c:v>19.29</c:v>
                </c:pt>
                <c:pt idx="281">
                  <c:v>18.95</c:v>
                </c:pt>
                <c:pt idx="282">
                  <c:v>18.3</c:v>
                </c:pt>
                <c:pt idx="283">
                  <c:v>19.09</c:v>
                </c:pt>
                <c:pt idx="284">
                  <c:v>19.37</c:v>
                </c:pt>
                <c:pt idx="285">
                  <c:v>19.600000000000001</c:v>
                </c:pt>
                <c:pt idx="286">
                  <c:v>19.12</c:v>
                </c:pt>
                <c:pt idx="287">
                  <c:v>17.96</c:v>
                </c:pt>
                <c:pt idx="288">
                  <c:v>19.25</c:v>
                </c:pt>
                <c:pt idx="289">
                  <c:v>19.61</c:v>
                </c:pt>
                <c:pt idx="290">
                  <c:v>20.45</c:v>
                </c:pt>
                <c:pt idx="291">
                  <c:v>22.27</c:v>
                </c:pt>
                <c:pt idx="292">
                  <c:v>23.78</c:v>
                </c:pt>
                <c:pt idx="293">
                  <c:v>23.11</c:v>
                </c:pt>
                <c:pt idx="294">
                  <c:v>24.46</c:v>
                </c:pt>
                <c:pt idx="295">
                  <c:v>24.26</c:v>
                </c:pt>
                <c:pt idx="296">
                  <c:v>24.59</c:v>
                </c:pt>
                <c:pt idx="297">
                  <c:v>25.53</c:v>
                </c:pt>
                <c:pt idx="298">
                  <c:v>25.17</c:v>
                </c:pt>
                <c:pt idx="299">
                  <c:v>25.27</c:v>
                </c:pt>
                <c:pt idx="300">
                  <c:v>24.34</c:v>
                </c:pt>
                <c:pt idx="301">
                  <c:v>26.15</c:v>
                </c:pt>
                <c:pt idx="302">
                  <c:v>27.49</c:v>
                </c:pt>
                <c:pt idx="303">
                  <c:v>27.1</c:v>
                </c:pt>
                <c:pt idx="304">
                  <c:v>28.97</c:v>
                </c:pt>
                <c:pt idx="305">
                  <c:v>29.75</c:v>
                </c:pt>
                <c:pt idx="306">
                  <c:v>30.28</c:v>
                </c:pt>
                <c:pt idx="307">
                  <c:v>30.08</c:v>
                </c:pt>
                <c:pt idx="308">
                  <c:v>31.66</c:v>
                </c:pt>
                <c:pt idx="309">
                  <c:v>32.049999999999997</c:v>
                </c:pt>
                <c:pt idx="310">
                  <c:v>32.979999999999997</c:v>
                </c:pt>
                <c:pt idx="311">
                  <c:v>33.979999999999997</c:v>
                </c:pt>
                <c:pt idx="312">
                  <c:v>34.42</c:v>
                </c:pt>
                <c:pt idx="313">
                  <c:v>34.11</c:v>
                </c:pt>
                <c:pt idx="314">
                  <c:v>35.57</c:v>
                </c:pt>
                <c:pt idx="315">
                  <c:v>32.92</c:v>
                </c:pt>
                <c:pt idx="316">
                  <c:v>31.66</c:v>
                </c:pt>
                <c:pt idx="317">
                  <c:v>29.23</c:v>
                </c:pt>
                <c:pt idx="318">
                  <c:v>30.63</c:v>
                </c:pt>
                <c:pt idx="319">
                  <c:v>30.08</c:v>
                </c:pt>
                <c:pt idx="320">
                  <c:v>28.67</c:v>
                </c:pt>
                <c:pt idx="321">
                  <c:v>29.71</c:v>
                </c:pt>
                <c:pt idx="322">
                  <c:v>30.7</c:v>
                </c:pt>
                <c:pt idx="323">
                  <c:v>30.04</c:v>
                </c:pt>
                <c:pt idx="324">
                  <c:v>27.52</c:v>
                </c:pt>
                <c:pt idx="325">
                  <c:v>28.2</c:v>
                </c:pt>
                <c:pt idx="326">
                  <c:v>28.87</c:v>
                </c:pt>
                <c:pt idx="327">
                  <c:v>29.32</c:v>
                </c:pt>
                <c:pt idx="328">
                  <c:v>29.01</c:v>
                </c:pt>
                <c:pt idx="329">
                  <c:v>28.22</c:v>
                </c:pt>
                <c:pt idx="330">
                  <c:v>28.92</c:v>
                </c:pt>
                <c:pt idx="331">
                  <c:v>29.86</c:v>
                </c:pt>
                <c:pt idx="332">
                  <c:v>28</c:v>
                </c:pt>
                <c:pt idx="333">
                  <c:v>27.68</c:v>
                </c:pt>
                <c:pt idx="334">
                  <c:v>27.89</c:v>
                </c:pt>
                <c:pt idx="335">
                  <c:v>28.07</c:v>
                </c:pt>
                <c:pt idx="336">
                  <c:v>27.89</c:v>
                </c:pt>
                <c:pt idx="337">
                  <c:v>28.28</c:v>
                </c:pt>
                <c:pt idx="338">
                  <c:v>30.47</c:v>
                </c:pt>
                <c:pt idx="339">
                  <c:v>30.33</c:v>
                </c:pt>
                <c:pt idx="340">
                  <c:v>31.95</c:v>
                </c:pt>
                <c:pt idx="341">
                  <c:v>31.82</c:v>
                </c:pt>
                <c:pt idx="342">
                  <c:v>31.45</c:v>
                </c:pt>
                <c:pt idx="343">
                  <c:v>34.58</c:v>
                </c:pt>
                <c:pt idx="344">
                  <c:v>37.549999999999997</c:v>
                </c:pt>
                <c:pt idx="345">
                  <c:v>36.43</c:v>
                </c:pt>
                <c:pt idx="346">
                  <c:v>36.57</c:v>
                </c:pt>
                <c:pt idx="347">
                  <c:v>37.65</c:v>
                </c:pt>
                <c:pt idx="348">
                  <c:v>37.67</c:v>
                </c:pt>
                <c:pt idx="349">
                  <c:v>38.65</c:v>
                </c:pt>
                <c:pt idx="350">
                  <c:v>38.42</c:v>
                </c:pt>
                <c:pt idx="351">
                  <c:v>34.86</c:v>
                </c:pt>
                <c:pt idx="352">
                  <c:v>36.299999999999997</c:v>
                </c:pt>
                <c:pt idx="353">
                  <c:v>37.6</c:v>
                </c:pt>
                <c:pt idx="354">
                  <c:v>37.33</c:v>
                </c:pt>
                <c:pt idx="355">
                  <c:v>36.200000000000003</c:v>
                </c:pt>
                <c:pt idx="356">
                  <c:v>34.450000000000003</c:v>
                </c:pt>
                <c:pt idx="357">
                  <c:v>36.35</c:v>
                </c:pt>
                <c:pt idx="358">
                  <c:v>36.29</c:v>
                </c:pt>
                <c:pt idx="359">
                  <c:v>37.090000000000003</c:v>
                </c:pt>
                <c:pt idx="360">
                  <c:v>39.840000000000003</c:v>
                </c:pt>
                <c:pt idx="361">
                  <c:v>35.6</c:v>
                </c:pt>
                <c:pt idx="362">
                  <c:v>38.630000000000003</c:v>
                </c:pt>
                <c:pt idx="363">
                  <c:v>37.47</c:v>
                </c:pt>
                <c:pt idx="364">
                  <c:v>36.79</c:v>
                </c:pt>
                <c:pt idx="365">
                  <c:v>36.630000000000003</c:v>
                </c:pt>
                <c:pt idx="366">
                  <c:v>37.090000000000003</c:v>
                </c:pt>
                <c:pt idx="367">
                  <c:v>36.78</c:v>
                </c:pt>
                <c:pt idx="368">
                  <c:v>34.65</c:v>
                </c:pt>
                <c:pt idx="369">
                  <c:v>38.75</c:v>
                </c:pt>
                <c:pt idx="370">
                  <c:v>39.81</c:v>
                </c:pt>
                <c:pt idx="371">
                  <c:v>35.28</c:v>
                </c:pt>
                <c:pt idx="372">
                  <c:v>33.549999999999997</c:v>
                </c:pt>
                <c:pt idx="373">
                  <c:v>35.229999999999997</c:v>
                </c:pt>
                <c:pt idx="374">
                  <c:v>31.87</c:v>
                </c:pt>
                <c:pt idx="375">
                  <c:v>32.11</c:v>
                </c:pt>
                <c:pt idx="376">
                  <c:v>31.66</c:v>
                </c:pt>
                <c:pt idx="377">
                  <c:v>32.47</c:v>
                </c:pt>
                <c:pt idx="378">
                  <c:v>33.39</c:v>
                </c:pt>
                <c:pt idx="379">
                  <c:v>33.58</c:v>
                </c:pt>
                <c:pt idx="380">
                  <c:v>34.65</c:v>
                </c:pt>
                <c:pt idx="381">
                  <c:v>34.229999999999997</c:v>
                </c:pt>
                <c:pt idx="382">
                  <c:v>31.39</c:v>
                </c:pt>
                <c:pt idx="383">
                  <c:v>27.64</c:v>
                </c:pt>
                <c:pt idx="384">
                  <c:v>28.26</c:v>
                </c:pt>
                <c:pt idx="385">
                  <c:v>27.23</c:v>
                </c:pt>
                <c:pt idx="386">
                  <c:v>25.35</c:v>
                </c:pt>
                <c:pt idx="387">
                  <c:v>24.92</c:v>
                </c:pt>
                <c:pt idx="388">
                  <c:v>25.04</c:v>
                </c:pt>
                <c:pt idx="389">
                  <c:v>25.44</c:v>
                </c:pt>
                <c:pt idx="390">
                  <c:v>26.79</c:v>
                </c:pt>
                <c:pt idx="391">
                  <c:v>28.05</c:v>
                </c:pt>
                <c:pt idx="392">
                  <c:v>28.29</c:v>
                </c:pt>
                <c:pt idx="393">
                  <c:v>30.55</c:v>
                </c:pt>
                <c:pt idx="394">
                  <c:v>29.48</c:v>
                </c:pt>
                <c:pt idx="395">
                  <c:v>30.15</c:v>
                </c:pt>
                <c:pt idx="396">
                  <c:v>29.64</c:v>
                </c:pt>
                <c:pt idx="397">
                  <c:v>28.21</c:v>
                </c:pt>
                <c:pt idx="398">
                  <c:v>26.72</c:v>
                </c:pt>
                <c:pt idx="399">
                  <c:v>26.76</c:v>
                </c:pt>
                <c:pt idx="400">
                  <c:v>26.87</c:v>
                </c:pt>
                <c:pt idx="401">
                  <c:v>28.36</c:v>
                </c:pt>
                <c:pt idx="402">
                  <c:v>27.91</c:v>
                </c:pt>
                <c:pt idx="403">
                  <c:v>27.91</c:v>
                </c:pt>
                <c:pt idx="404">
                  <c:v>29.23</c:v>
                </c:pt>
                <c:pt idx="405">
                  <c:v>30.51</c:v>
                </c:pt>
                <c:pt idx="406">
                  <c:v>29.97</c:v>
                </c:pt>
                <c:pt idx="407">
                  <c:v>30.16</c:v>
                </c:pt>
                <c:pt idx="408">
                  <c:v>29.22</c:v>
                </c:pt>
                <c:pt idx="409">
                  <c:v>28.61</c:v>
                </c:pt>
                <c:pt idx="410">
                  <c:v>27.45</c:v>
                </c:pt>
                <c:pt idx="411">
                  <c:v>28.04</c:v>
                </c:pt>
                <c:pt idx="412">
                  <c:v>27.72</c:v>
                </c:pt>
                <c:pt idx="413">
                  <c:v>29.35</c:v>
                </c:pt>
                <c:pt idx="414">
                  <c:v>29.29</c:v>
                </c:pt>
                <c:pt idx="415">
                  <c:v>29.82</c:v>
                </c:pt>
                <c:pt idx="416">
                  <c:v>29.48</c:v>
                </c:pt>
                <c:pt idx="417">
                  <c:v>29.71</c:v>
                </c:pt>
                <c:pt idx="418">
                  <c:v>30.13</c:v>
                </c:pt>
                <c:pt idx="419">
                  <c:v>28.9</c:v>
                </c:pt>
                <c:pt idx="420">
                  <c:v>30.54</c:v>
                </c:pt>
                <c:pt idx="421">
                  <c:v>31.3</c:v>
                </c:pt>
                <c:pt idx="422">
                  <c:v>30.55</c:v>
                </c:pt>
                <c:pt idx="423">
                  <c:v>29.8</c:v>
                </c:pt>
                <c:pt idx="424">
                  <c:v>31</c:v>
                </c:pt>
                <c:pt idx="425">
                  <c:v>29.61</c:v>
                </c:pt>
                <c:pt idx="426">
                  <c:v>30.71</c:v>
                </c:pt>
                <c:pt idx="427">
                  <c:v>31.13</c:v>
                </c:pt>
                <c:pt idx="428">
                  <c:v>32.79</c:v>
                </c:pt>
                <c:pt idx="429">
                  <c:v>32.24</c:v>
                </c:pt>
                <c:pt idx="430">
                  <c:v>32.630000000000003</c:v>
                </c:pt>
                <c:pt idx="431">
                  <c:v>32.43</c:v>
                </c:pt>
                <c:pt idx="432">
                  <c:v>32.770000000000003</c:v>
                </c:pt>
                <c:pt idx="433">
                  <c:v>31.06</c:v>
                </c:pt>
                <c:pt idx="434">
                  <c:v>30.84</c:v>
                </c:pt>
                <c:pt idx="435">
                  <c:v>30.37</c:v>
                </c:pt>
                <c:pt idx="436">
                  <c:v>29.45</c:v>
                </c:pt>
                <c:pt idx="437">
                  <c:v>27.34</c:v>
                </c:pt>
                <c:pt idx="438">
                  <c:v>26.77</c:v>
                </c:pt>
                <c:pt idx="439">
                  <c:v>25.7</c:v>
                </c:pt>
                <c:pt idx="440">
                  <c:v>25.9</c:v>
                </c:pt>
                <c:pt idx="441">
                  <c:v>26.5</c:v>
                </c:pt>
                <c:pt idx="442">
                  <c:v>26.01</c:v>
                </c:pt>
                <c:pt idx="443">
                  <c:v>25.84</c:v>
                </c:pt>
                <c:pt idx="444">
                  <c:v>27.42</c:v>
                </c:pt>
                <c:pt idx="445">
                  <c:v>27.62</c:v>
                </c:pt>
                <c:pt idx="446">
                  <c:v>28.31</c:v>
                </c:pt>
                <c:pt idx="447">
                  <c:v>28.64</c:v>
                </c:pt>
                <c:pt idx="448">
                  <c:v>29.5</c:v>
                </c:pt>
                <c:pt idx="449">
                  <c:v>29.46</c:v>
                </c:pt>
                <c:pt idx="450">
                  <c:v>30.78</c:v>
                </c:pt>
                <c:pt idx="451">
                  <c:v>30.18</c:v>
                </c:pt>
                <c:pt idx="452">
                  <c:v>30.09</c:v>
                </c:pt>
                <c:pt idx="453">
                  <c:v>29.95</c:v>
                </c:pt>
                <c:pt idx="454">
                  <c:v>29.81</c:v>
                </c:pt>
                <c:pt idx="455">
                  <c:v>29.12</c:v>
                </c:pt>
                <c:pt idx="456">
                  <c:v>30</c:v>
                </c:pt>
                <c:pt idx="457">
                  <c:v>28.68</c:v>
                </c:pt>
                <c:pt idx="458">
                  <c:v>28.42</c:v>
                </c:pt>
                <c:pt idx="459">
                  <c:v>28.58</c:v>
                </c:pt>
                <c:pt idx="460">
                  <c:v>29.27</c:v>
                </c:pt>
                <c:pt idx="461">
                  <c:v>29.41</c:v>
                </c:pt>
                <c:pt idx="462">
                  <c:v>30.74</c:v>
                </c:pt>
                <c:pt idx="463">
                  <c:v>30.42</c:v>
                </c:pt>
                <c:pt idx="464">
                  <c:v>30.05</c:v>
                </c:pt>
                <c:pt idx="465">
                  <c:v>30.22</c:v>
                </c:pt>
                <c:pt idx="466">
                  <c:v>29.11</c:v>
                </c:pt>
                <c:pt idx="467">
                  <c:v>28.53</c:v>
                </c:pt>
                <c:pt idx="468">
                  <c:v>27.81</c:v>
                </c:pt>
                <c:pt idx="469">
                  <c:v>28</c:v>
                </c:pt>
                <c:pt idx="470">
                  <c:v>28.18</c:v>
                </c:pt>
                <c:pt idx="471">
                  <c:v>29.72</c:v>
                </c:pt>
                <c:pt idx="472">
                  <c:v>31.19</c:v>
                </c:pt>
                <c:pt idx="473">
                  <c:v>32.75</c:v>
                </c:pt>
                <c:pt idx="474">
                  <c:v>36.5</c:v>
                </c:pt>
                <c:pt idx="475">
                  <c:v>36.450000000000003</c:v>
                </c:pt>
                <c:pt idx="476">
                  <c:v>35.51</c:v>
                </c:pt>
                <c:pt idx="477">
                  <c:v>36.369999999999997</c:v>
                </c:pt>
                <c:pt idx="478">
                  <c:v>35.020000000000003</c:v>
                </c:pt>
                <c:pt idx="479">
                  <c:v>34.630000000000003</c:v>
                </c:pt>
                <c:pt idx="480">
                  <c:v>36.729999999999997</c:v>
                </c:pt>
                <c:pt idx="481">
                  <c:v>37.15</c:v>
                </c:pt>
                <c:pt idx="482">
                  <c:v>36.340000000000003</c:v>
                </c:pt>
                <c:pt idx="483">
                  <c:v>33.72</c:v>
                </c:pt>
                <c:pt idx="484">
                  <c:v>33.54</c:v>
                </c:pt>
                <c:pt idx="485">
                  <c:v>35.909999999999997</c:v>
                </c:pt>
                <c:pt idx="486">
                  <c:v>35.659999999999997</c:v>
                </c:pt>
                <c:pt idx="487">
                  <c:v>36.18</c:v>
                </c:pt>
                <c:pt idx="488">
                  <c:v>33.82</c:v>
                </c:pt>
                <c:pt idx="489">
                  <c:v>33.32</c:v>
                </c:pt>
                <c:pt idx="490">
                  <c:v>34.76</c:v>
                </c:pt>
                <c:pt idx="491">
                  <c:v>35.409999999999997</c:v>
                </c:pt>
                <c:pt idx="492">
                  <c:v>35.99</c:v>
                </c:pt>
                <c:pt idx="493">
                  <c:v>37.01</c:v>
                </c:pt>
                <c:pt idx="494">
                  <c:v>37.28</c:v>
                </c:pt>
                <c:pt idx="495">
                  <c:v>36.880000000000003</c:v>
                </c:pt>
                <c:pt idx="496">
                  <c:v>36.28</c:v>
                </c:pt>
                <c:pt idx="497">
                  <c:v>36.82</c:v>
                </c:pt>
                <c:pt idx="498">
                  <c:v>36.72</c:v>
                </c:pt>
                <c:pt idx="499">
                  <c:v>38.130000000000003</c:v>
                </c:pt>
                <c:pt idx="500">
                  <c:v>35.43</c:v>
                </c:pt>
                <c:pt idx="501">
                  <c:v>36.200000000000003</c:v>
                </c:pt>
                <c:pt idx="502">
                  <c:v>34.549999999999997</c:v>
                </c:pt>
                <c:pt idx="503">
                  <c:v>32.94</c:v>
                </c:pt>
                <c:pt idx="504">
                  <c:v>33.28</c:v>
                </c:pt>
                <c:pt idx="505">
                  <c:v>33.14</c:v>
                </c:pt>
                <c:pt idx="506">
                  <c:v>33.200000000000003</c:v>
                </c:pt>
                <c:pt idx="507">
                  <c:v>32.51</c:v>
                </c:pt>
                <c:pt idx="508">
                  <c:v>32.729999999999997</c:v>
                </c:pt>
                <c:pt idx="509">
                  <c:v>32.5</c:v>
                </c:pt>
                <c:pt idx="510">
                  <c:v>32.270000000000003</c:v>
                </c:pt>
                <c:pt idx="511">
                  <c:v>33.64</c:v>
                </c:pt>
                <c:pt idx="512">
                  <c:v>34.630000000000003</c:v>
                </c:pt>
                <c:pt idx="513">
                  <c:v>30.87</c:v>
                </c:pt>
                <c:pt idx="514">
                  <c:v>30.54</c:v>
                </c:pt>
                <c:pt idx="515">
                  <c:v>28.41</c:v>
                </c:pt>
                <c:pt idx="516">
                  <c:v>28.68</c:v>
                </c:pt>
                <c:pt idx="517">
                  <c:v>27.9</c:v>
                </c:pt>
                <c:pt idx="518">
                  <c:v>22.61</c:v>
                </c:pt>
                <c:pt idx="519">
                  <c:v>23.44</c:v>
                </c:pt>
                <c:pt idx="520">
                  <c:v>23.83</c:v>
                </c:pt>
                <c:pt idx="521">
                  <c:v>25.28</c:v>
                </c:pt>
                <c:pt idx="522">
                  <c:v>25.95</c:v>
                </c:pt>
              </c:numCache>
            </c:numRef>
          </c:val>
          <c:smooth val="0"/>
          <c:extLst>
            <c:ext xmlns:c16="http://schemas.microsoft.com/office/drawing/2014/chart" uri="{C3380CC4-5D6E-409C-BE32-E72D297353CC}">
              <c16:uniqueId val="{00000000-6B84-4A40-A878-5ED77A941B5A}"/>
            </c:ext>
          </c:extLst>
        </c:ser>
        <c:dLbls>
          <c:showLegendKey val="0"/>
          <c:showVal val="0"/>
          <c:showCatName val="0"/>
          <c:showSerName val="0"/>
          <c:showPercent val="0"/>
          <c:showBubbleSize val="0"/>
        </c:dLbls>
        <c:smooth val="0"/>
        <c:axId val="171655487"/>
        <c:axId val="171654047"/>
      </c:lineChart>
      <c:dateAx>
        <c:axId val="17165548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Date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m/d/yy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654047"/>
        <c:crosses val="autoZero"/>
        <c:auto val="1"/>
        <c:lblOffset val="100"/>
        <c:baseTimeUnit val="days"/>
      </c:dateAx>
      <c:valAx>
        <c:axId val="17165404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Price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409]* #,##0.00_);_([$$-409]* \(#,##0.00\);_([$$-409]*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655487"/>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NIVIDIA Closing</a:t>
            </a:r>
            <a:r>
              <a:rPr lang="en-US" baseline="0"/>
              <a:t> Stock Price 10 Year Price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cked"/>
        <c:varyColors val="0"/>
        <c:ser>
          <c:idx val="0"/>
          <c:order val="0"/>
          <c:tx>
            <c:strRef>
              <c:f>NIVIDIA!$E$6</c:f>
              <c:strCache>
                <c:ptCount val="1"/>
                <c:pt idx="0">
                  <c:v>Close</c:v>
                </c:pt>
              </c:strCache>
            </c:strRef>
          </c:tx>
          <c:spPr>
            <a:ln w="28575" cap="rnd">
              <a:solidFill>
                <a:schemeClr val="accent1"/>
              </a:solidFill>
              <a:round/>
            </a:ln>
            <a:effectLst/>
          </c:spPr>
          <c:marker>
            <c:symbol val="none"/>
          </c:marker>
          <c:cat>
            <c:numRef>
              <c:f>NIVIDIA!$D$7:$D$529</c:f>
              <c:numCache>
                <c:formatCode>m/d/yyyy</c:formatCode>
                <c:ptCount val="523"/>
                <c:pt idx="0">
                  <c:v>42121</c:v>
                </c:pt>
                <c:pt idx="1">
                  <c:v>42128</c:v>
                </c:pt>
                <c:pt idx="2">
                  <c:v>42135</c:v>
                </c:pt>
                <c:pt idx="3">
                  <c:v>42142</c:v>
                </c:pt>
                <c:pt idx="4">
                  <c:v>42150</c:v>
                </c:pt>
                <c:pt idx="5">
                  <c:v>42156</c:v>
                </c:pt>
                <c:pt idx="6">
                  <c:v>42163</c:v>
                </c:pt>
                <c:pt idx="7">
                  <c:v>42170</c:v>
                </c:pt>
                <c:pt idx="8">
                  <c:v>42177</c:v>
                </c:pt>
                <c:pt idx="9">
                  <c:v>42184</c:v>
                </c:pt>
                <c:pt idx="10">
                  <c:v>42191</c:v>
                </c:pt>
                <c:pt idx="11">
                  <c:v>42198</c:v>
                </c:pt>
                <c:pt idx="12">
                  <c:v>42205</c:v>
                </c:pt>
                <c:pt idx="13">
                  <c:v>42212</c:v>
                </c:pt>
                <c:pt idx="14">
                  <c:v>42219</c:v>
                </c:pt>
                <c:pt idx="15">
                  <c:v>42226</c:v>
                </c:pt>
                <c:pt idx="16">
                  <c:v>42233</c:v>
                </c:pt>
                <c:pt idx="17">
                  <c:v>42240</c:v>
                </c:pt>
                <c:pt idx="18">
                  <c:v>42247</c:v>
                </c:pt>
                <c:pt idx="19">
                  <c:v>42255</c:v>
                </c:pt>
                <c:pt idx="20">
                  <c:v>42261</c:v>
                </c:pt>
                <c:pt idx="21">
                  <c:v>42268</c:v>
                </c:pt>
                <c:pt idx="22">
                  <c:v>42275</c:v>
                </c:pt>
                <c:pt idx="23">
                  <c:v>42282</c:v>
                </c:pt>
                <c:pt idx="24">
                  <c:v>42289</c:v>
                </c:pt>
                <c:pt idx="25">
                  <c:v>42296</c:v>
                </c:pt>
                <c:pt idx="26">
                  <c:v>42303</c:v>
                </c:pt>
                <c:pt idx="27">
                  <c:v>42310</c:v>
                </c:pt>
                <c:pt idx="28">
                  <c:v>42317</c:v>
                </c:pt>
                <c:pt idx="29">
                  <c:v>42324</c:v>
                </c:pt>
                <c:pt idx="30">
                  <c:v>42331</c:v>
                </c:pt>
                <c:pt idx="31">
                  <c:v>42338</c:v>
                </c:pt>
                <c:pt idx="32">
                  <c:v>42345</c:v>
                </c:pt>
                <c:pt idx="33">
                  <c:v>42352</c:v>
                </c:pt>
                <c:pt idx="34">
                  <c:v>42359</c:v>
                </c:pt>
                <c:pt idx="35">
                  <c:v>42366</c:v>
                </c:pt>
                <c:pt idx="36">
                  <c:v>42373</c:v>
                </c:pt>
                <c:pt idx="37">
                  <c:v>42380</c:v>
                </c:pt>
                <c:pt idx="38">
                  <c:v>42388</c:v>
                </c:pt>
                <c:pt idx="39">
                  <c:v>42394</c:v>
                </c:pt>
                <c:pt idx="40">
                  <c:v>42401</c:v>
                </c:pt>
                <c:pt idx="41">
                  <c:v>42408</c:v>
                </c:pt>
                <c:pt idx="42">
                  <c:v>42416</c:v>
                </c:pt>
                <c:pt idx="43">
                  <c:v>42422</c:v>
                </c:pt>
                <c:pt idx="44">
                  <c:v>42429</c:v>
                </c:pt>
                <c:pt idx="45">
                  <c:v>42436</c:v>
                </c:pt>
                <c:pt idx="46">
                  <c:v>42443</c:v>
                </c:pt>
                <c:pt idx="47">
                  <c:v>42450</c:v>
                </c:pt>
                <c:pt idx="48">
                  <c:v>42457</c:v>
                </c:pt>
                <c:pt idx="49">
                  <c:v>42464</c:v>
                </c:pt>
                <c:pt idx="50">
                  <c:v>42471</c:v>
                </c:pt>
                <c:pt idx="51">
                  <c:v>42478</c:v>
                </c:pt>
                <c:pt idx="52">
                  <c:v>42485</c:v>
                </c:pt>
                <c:pt idx="53">
                  <c:v>42492</c:v>
                </c:pt>
                <c:pt idx="54">
                  <c:v>42499</c:v>
                </c:pt>
                <c:pt idx="55">
                  <c:v>42506</c:v>
                </c:pt>
                <c:pt idx="56">
                  <c:v>42513</c:v>
                </c:pt>
                <c:pt idx="57">
                  <c:v>42521</c:v>
                </c:pt>
                <c:pt idx="58">
                  <c:v>42527</c:v>
                </c:pt>
                <c:pt idx="59">
                  <c:v>42534</c:v>
                </c:pt>
                <c:pt idx="60">
                  <c:v>42541</c:v>
                </c:pt>
                <c:pt idx="61">
                  <c:v>42548</c:v>
                </c:pt>
                <c:pt idx="62">
                  <c:v>42556</c:v>
                </c:pt>
                <c:pt idx="63">
                  <c:v>42562</c:v>
                </c:pt>
                <c:pt idx="64">
                  <c:v>42569</c:v>
                </c:pt>
                <c:pt idx="65">
                  <c:v>42576</c:v>
                </c:pt>
                <c:pt idx="66">
                  <c:v>42583</c:v>
                </c:pt>
                <c:pt idx="67">
                  <c:v>42590</c:v>
                </c:pt>
                <c:pt idx="68">
                  <c:v>42597</c:v>
                </c:pt>
                <c:pt idx="69">
                  <c:v>42604</c:v>
                </c:pt>
                <c:pt idx="70">
                  <c:v>42611</c:v>
                </c:pt>
                <c:pt idx="71">
                  <c:v>42619</c:v>
                </c:pt>
                <c:pt idx="72">
                  <c:v>42625</c:v>
                </c:pt>
                <c:pt idx="73">
                  <c:v>42632</c:v>
                </c:pt>
                <c:pt idx="74">
                  <c:v>42639</c:v>
                </c:pt>
                <c:pt idx="75">
                  <c:v>42646</c:v>
                </c:pt>
                <c:pt idx="76">
                  <c:v>42653</c:v>
                </c:pt>
                <c:pt idx="77">
                  <c:v>42660</c:v>
                </c:pt>
                <c:pt idx="78">
                  <c:v>42667</c:v>
                </c:pt>
                <c:pt idx="79">
                  <c:v>42674</c:v>
                </c:pt>
                <c:pt idx="80">
                  <c:v>42681</c:v>
                </c:pt>
                <c:pt idx="81">
                  <c:v>42688</c:v>
                </c:pt>
                <c:pt idx="82">
                  <c:v>42695</c:v>
                </c:pt>
                <c:pt idx="83">
                  <c:v>42702</c:v>
                </c:pt>
                <c:pt idx="84">
                  <c:v>42709</c:v>
                </c:pt>
                <c:pt idx="85">
                  <c:v>42716</c:v>
                </c:pt>
                <c:pt idx="86">
                  <c:v>42723</c:v>
                </c:pt>
                <c:pt idx="87">
                  <c:v>42731</c:v>
                </c:pt>
                <c:pt idx="88">
                  <c:v>42738</c:v>
                </c:pt>
                <c:pt idx="89">
                  <c:v>42744</c:v>
                </c:pt>
                <c:pt idx="90">
                  <c:v>42752</c:v>
                </c:pt>
                <c:pt idx="91">
                  <c:v>42758</c:v>
                </c:pt>
                <c:pt idx="92">
                  <c:v>42765</c:v>
                </c:pt>
                <c:pt idx="93">
                  <c:v>42772</c:v>
                </c:pt>
                <c:pt idx="94">
                  <c:v>42779</c:v>
                </c:pt>
                <c:pt idx="95">
                  <c:v>42787</c:v>
                </c:pt>
                <c:pt idx="96">
                  <c:v>42793</c:v>
                </c:pt>
                <c:pt idx="97">
                  <c:v>42800</c:v>
                </c:pt>
                <c:pt idx="98">
                  <c:v>42807</c:v>
                </c:pt>
                <c:pt idx="99">
                  <c:v>42814</c:v>
                </c:pt>
                <c:pt idx="100">
                  <c:v>42821</c:v>
                </c:pt>
                <c:pt idx="101">
                  <c:v>42828</c:v>
                </c:pt>
                <c:pt idx="102">
                  <c:v>42835</c:v>
                </c:pt>
                <c:pt idx="103">
                  <c:v>42842</c:v>
                </c:pt>
                <c:pt idx="104">
                  <c:v>42849</c:v>
                </c:pt>
                <c:pt idx="105">
                  <c:v>42856</c:v>
                </c:pt>
                <c:pt idx="106">
                  <c:v>42863</c:v>
                </c:pt>
                <c:pt idx="107">
                  <c:v>42870</c:v>
                </c:pt>
                <c:pt idx="108">
                  <c:v>42877</c:v>
                </c:pt>
                <c:pt idx="109">
                  <c:v>42885</c:v>
                </c:pt>
                <c:pt idx="110">
                  <c:v>42891</c:v>
                </c:pt>
                <c:pt idx="111">
                  <c:v>42898</c:v>
                </c:pt>
                <c:pt idx="112">
                  <c:v>42905</c:v>
                </c:pt>
                <c:pt idx="113">
                  <c:v>42912</c:v>
                </c:pt>
                <c:pt idx="114">
                  <c:v>42919</c:v>
                </c:pt>
                <c:pt idx="115">
                  <c:v>42926</c:v>
                </c:pt>
                <c:pt idx="116">
                  <c:v>42933</c:v>
                </c:pt>
                <c:pt idx="117">
                  <c:v>42940</c:v>
                </c:pt>
                <c:pt idx="118">
                  <c:v>42947</c:v>
                </c:pt>
                <c:pt idx="119">
                  <c:v>42954</c:v>
                </c:pt>
                <c:pt idx="120">
                  <c:v>42961</c:v>
                </c:pt>
                <c:pt idx="121">
                  <c:v>42968</c:v>
                </c:pt>
                <c:pt idx="122">
                  <c:v>42975</c:v>
                </c:pt>
                <c:pt idx="123">
                  <c:v>42983</c:v>
                </c:pt>
                <c:pt idx="124">
                  <c:v>42989</c:v>
                </c:pt>
                <c:pt idx="125">
                  <c:v>42996</c:v>
                </c:pt>
                <c:pt idx="126">
                  <c:v>43003</c:v>
                </c:pt>
                <c:pt idx="127">
                  <c:v>43010</c:v>
                </c:pt>
                <c:pt idx="128">
                  <c:v>43017</c:v>
                </c:pt>
                <c:pt idx="129">
                  <c:v>43024</c:v>
                </c:pt>
                <c:pt idx="130">
                  <c:v>43031</c:v>
                </c:pt>
                <c:pt idx="131">
                  <c:v>43038</c:v>
                </c:pt>
                <c:pt idx="132">
                  <c:v>43045</c:v>
                </c:pt>
                <c:pt idx="133">
                  <c:v>43052</c:v>
                </c:pt>
                <c:pt idx="134">
                  <c:v>43059</c:v>
                </c:pt>
                <c:pt idx="135">
                  <c:v>43066</c:v>
                </c:pt>
                <c:pt idx="136">
                  <c:v>43073</c:v>
                </c:pt>
                <c:pt idx="137">
                  <c:v>43080</c:v>
                </c:pt>
                <c:pt idx="138">
                  <c:v>43087</c:v>
                </c:pt>
                <c:pt idx="139">
                  <c:v>43095</c:v>
                </c:pt>
                <c:pt idx="140">
                  <c:v>43102</c:v>
                </c:pt>
                <c:pt idx="141">
                  <c:v>43108</c:v>
                </c:pt>
                <c:pt idx="142">
                  <c:v>43116</c:v>
                </c:pt>
                <c:pt idx="143">
                  <c:v>43122</c:v>
                </c:pt>
                <c:pt idx="144">
                  <c:v>43129</c:v>
                </c:pt>
                <c:pt idx="145">
                  <c:v>43136</c:v>
                </c:pt>
                <c:pt idx="146">
                  <c:v>43143</c:v>
                </c:pt>
                <c:pt idx="147">
                  <c:v>43151</c:v>
                </c:pt>
                <c:pt idx="148">
                  <c:v>43157</c:v>
                </c:pt>
                <c:pt idx="149">
                  <c:v>43164</c:v>
                </c:pt>
                <c:pt idx="150">
                  <c:v>43171</c:v>
                </c:pt>
                <c:pt idx="151">
                  <c:v>43178</c:v>
                </c:pt>
                <c:pt idx="152">
                  <c:v>43185</c:v>
                </c:pt>
                <c:pt idx="153">
                  <c:v>43192</c:v>
                </c:pt>
                <c:pt idx="154">
                  <c:v>43199</c:v>
                </c:pt>
                <c:pt idx="155">
                  <c:v>43206</c:v>
                </c:pt>
                <c:pt idx="156">
                  <c:v>43213</c:v>
                </c:pt>
                <c:pt idx="157">
                  <c:v>43220</c:v>
                </c:pt>
                <c:pt idx="158">
                  <c:v>43227</c:v>
                </c:pt>
                <c:pt idx="159">
                  <c:v>43234</c:v>
                </c:pt>
                <c:pt idx="160">
                  <c:v>43241</c:v>
                </c:pt>
                <c:pt idx="161">
                  <c:v>43249</c:v>
                </c:pt>
                <c:pt idx="162">
                  <c:v>43255</c:v>
                </c:pt>
                <c:pt idx="163">
                  <c:v>43262</c:v>
                </c:pt>
                <c:pt idx="164">
                  <c:v>43269</c:v>
                </c:pt>
                <c:pt idx="165">
                  <c:v>43276</c:v>
                </c:pt>
                <c:pt idx="166">
                  <c:v>43283</c:v>
                </c:pt>
                <c:pt idx="167">
                  <c:v>43290</c:v>
                </c:pt>
                <c:pt idx="168">
                  <c:v>43297</c:v>
                </c:pt>
                <c:pt idx="169">
                  <c:v>43304</c:v>
                </c:pt>
                <c:pt idx="170">
                  <c:v>43311</c:v>
                </c:pt>
                <c:pt idx="171">
                  <c:v>43318</c:v>
                </c:pt>
                <c:pt idx="172">
                  <c:v>43325</c:v>
                </c:pt>
                <c:pt idx="173">
                  <c:v>43332</c:v>
                </c:pt>
                <c:pt idx="174">
                  <c:v>43339</c:v>
                </c:pt>
                <c:pt idx="175">
                  <c:v>43347</c:v>
                </c:pt>
                <c:pt idx="176">
                  <c:v>43353</c:v>
                </c:pt>
                <c:pt idx="177">
                  <c:v>43360</c:v>
                </c:pt>
                <c:pt idx="178">
                  <c:v>43367</c:v>
                </c:pt>
                <c:pt idx="179">
                  <c:v>43374</c:v>
                </c:pt>
                <c:pt idx="180">
                  <c:v>43381</c:v>
                </c:pt>
                <c:pt idx="181">
                  <c:v>43388</c:v>
                </c:pt>
                <c:pt idx="182">
                  <c:v>43395</c:v>
                </c:pt>
                <c:pt idx="183">
                  <c:v>43402</c:v>
                </c:pt>
                <c:pt idx="184">
                  <c:v>43409</c:v>
                </c:pt>
                <c:pt idx="185">
                  <c:v>43416</c:v>
                </c:pt>
                <c:pt idx="186">
                  <c:v>43423</c:v>
                </c:pt>
                <c:pt idx="187">
                  <c:v>43430</c:v>
                </c:pt>
                <c:pt idx="188">
                  <c:v>43437</c:v>
                </c:pt>
                <c:pt idx="189">
                  <c:v>43444</c:v>
                </c:pt>
                <c:pt idx="190">
                  <c:v>43451</c:v>
                </c:pt>
                <c:pt idx="191">
                  <c:v>43458</c:v>
                </c:pt>
                <c:pt idx="192">
                  <c:v>43465</c:v>
                </c:pt>
                <c:pt idx="193">
                  <c:v>43472</c:v>
                </c:pt>
                <c:pt idx="194">
                  <c:v>43479</c:v>
                </c:pt>
                <c:pt idx="195">
                  <c:v>43487</c:v>
                </c:pt>
                <c:pt idx="196">
                  <c:v>43493</c:v>
                </c:pt>
                <c:pt idx="197">
                  <c:v>43500</c:v>
                </c:pt>
                <c:pt idx="198">
                  <c:v>43507</c:v>
                </c:pt>
                <c:pt idx="199">
                  <c:v>43515</c:v>
                </c:pt>
                <c:pt idx="200">
                  <c:v>43521</c:v>
                </c:pt>
                <c:pt idx="201">
                  <c:v>43528</c:v>
                </c:pt>
                <c:pt idx="202">
                  <c:v>43535</c:v>
                </c:pt>
                <c:pt idx="203">
                  <c:v>43542</c:v>
                </c:pt>
                <c:pt idx="204">
                  <c:v>43549</c:v>
                </c:pt>
                <c:pt idx="205">
                  <c:v>43556</c:v>
                </c:pt>
                <c:pt idx="206">
                  <c:v>43563</c:v>
                </c:pt>
                <c:pt idx="207">
                  <c:v>43570</c:v>
                </c:pt>
                <c:pt idx="208">
                  <c:v>43577</c:v>
                </c:pt>
                <c:pt idx="209">
                  <c:v>43584</c:v>
                </c:pt>
                <c:pt idx="210">
                  <c:v>43591</c:v>
                </c:pt>
                <c:pt idx="211">
                  <c:v>43598</c:v>
                </c:pt>
                <c:pt idx="212">
                  <c:v>43605</c:v>
                </c:pt>
                <c:pt idx="213">
                  <c:v>43613</c:v>
                </c:pt>
                <c:pt idx="214">
                  <c:v>43619</c:v>
                </c:pt>
                <c:pt idx="215">
                  <c:v>43626</c:v>
                </c:pt>
                <c:pt idx="216">
                  <c:v>43633</c:v>
                </c:pt>
                <c:pt idx="217">
                  <c:v>43640</c:v>
                </c:pt>
                <c:pt idx="218">
                  <c:v>43647</c:v>
                </c:pt>
                <c:pt idx="219">
                  <c:v>43654</c:v>
                </c:pt>
                <c:pt idx="220">
                  <c:v>43661</c:v>
                </c:pt>
                <c:pt idx="221">
                  <c:v>43668</c:v>
                </c:pt>
                <c:pt idx="222">
                  <c:v>43675</c:v>
                </c:pt>
                <c:pt idx="223">
                  <c:v>43682</c:v>
                </c:pt>
                <c:pt idx="224">
                  <c:v>43689</c:v>
                </c:pt>
                <c:pt idx="225">
                  <c:v>43696</c:v>
                </c:pt>
                <c:pt idx="226">
                  <c:v>43703</c:v>
                </c:pt>
                <c:pt idx="227">
                  <c:v>43711</c:v>
                </c:pt>
                <c:pt idx="228">
                  <c:v>43717</c:v>
                </c:pt>
                <c:pt idx="229">
                  <c:v>43724</c:v>
                </c:pt>
                <c:pt idx="230">
                  <c:v>43731</c:v>
                </c:pt>
                <c:pt idx="231">
                  <c:v>43738</c:v>
                </c:pt>
                <c:pt idx="232">
                  <c:v>43745</c:v>
                </c:pt>
                <c:pt idx="233">
                  <c:v>43752</c:v>
                </c:pt>
                <c:pt idx="234">
                  <c:v>43759</c:v>
                </c:pt>
                <c:pt idx="235">
                  <c:v>43766</c:v>
                </c:pt>
                <c:pt idx="236">
                  <c:v>43773</c:v>
                </c:pt>
                <c:pt idx="237">
                  <c:v>43780</c:v>
                </c:pt>
                <c:pt idx="238">
                  <c:v>43787</c:v>
                </c:pt>
                <c:pt idx="239">
                  <c:v>43794</c:v>
                </c:pt>
                <c:pt idx="240">
                  <c:v>43801</c:v>
                </c:pt>
                <c:pt idx="241">
                  <c:v>43808</c:v>
                </c:pt>
                <c:pt idx="242">
                  <c:v>43815</c:v>
                </c:pt>
                <c:pt idx="243">
                  <c:v>43822</c:v>
                </c:pt>
                <c:pt idx="244">
                  <c:v>43829</c:v>
                </c:pt>
                <c:pt idx="245">
                  <c:v>43836</c:v>
                </c:pt>
                <c:pt idx="246">
                  <c:v>43843</c:v>
                </c:pt>
                <c:pt idx="247">
                  <c:v>43851</c:v>
                </c:pt>
                <c:pt idx="248">
                  <c:v>43857</c:v>
                </c:pt>
                <c:pt idx="249">
                  <c:v>43864</c:v>
                </c:pt>
                <c:pt idx="250">
                  <c:v>43871</c:v>
                </c:pt>
                <c:pt idx="251">
                  <c:v>43879</c:v>
                </c:pt>
                <c:pt idx="252">
                  <c:v>43885</c:v>
                </c:pt>
                <c:pt idx="253">
                  <c:v>43892</c:v>
                </c:pt>
                <c:pt idx="254">
                  <c:v>43899</c:v>
                </c:pt>
                <c:pt idx="255">
                  <c:v>43906</c:v>
                </c:pt>
                <c:pt idx="256">
                  <c:v>43913</c:v>
                </c:pt>
                <c:pt idx="257">
                  <c:v>43920</c:v>
                </c:pt>
                <c:pt idx="258">
                  <c:v>43927</c:v>
                </c:pt>
                <c:pt idx="259">
                  <c:v>43934</c:v>
                </c:pt>
                <c:pt idx="260">
                  <c:v>43941</c:v>
                </c:pt>
                <c:pt idx="261">
                  <c:v>43948</c:v>
                </c:pt>
                <c:pt idx="262">
                  <c:v>43955</c:v>
                </c:pt>
                <c:pt idx="263">
                  <c:v>43962</c:v>
                </c:pt>
                <c:pt idx="264">
                  <c:v>43969</c:v>
                </c:pt>
                <c:pt idx="265">
                  <c:v>43977</c:v>
                </c:pt>
                <c:pt idx="266">
                  <c:v>43983</c:v>
                </c:pt>
                <c:pt idx="267">
                  <c:v>43990</c:v>
                </c:pt>
                <c:pt idx="268">
                  <c:v>43997</c:v>
                </c:pt>
                <c:pt idx="269">
                  <c:v>44004</c:v>
                </c:pt>
                <c:pt idx="270">
                  <c:v>44011</c:v>
                </c:pt>
                <c:pt idx="271">
                  <c:v>44018</c:v>
                </c:pt>
                <c:pt idx="272">
                  <c:v>44025</c:v>
                </c:pt>
                <c:pt idx="273">
                  <c:v>44032</c:v>
                </c:pt>
                <c:pt idx="274">
                  <c:v>44039</c:v>
                </c:pt>
                <c:pt idx="275">
                  <c:v>44046</c:v>
                </c:pt>
                <c:pt idx="276">
                  <c:v>44053</c:v>
                </c:pt>
                <c:pt idx="277">
                  <c:v>44060</c:v>
                </c:pt>
                <c:pt idx="278">
                  <c:v>44067</c:v>
                </c:pt>
                <c:pt idx="279">
                  <c:v>44074</c:v>
                </c:pt>
                <c:pt idx="280">
                  <c:v>44082</c:v>
                </c:pt>
                <c:pt idx="281">
                  <c:v>44088</c:v>
                </c:pt>
                <c:pt idx="282">
                  <c:v>44095</c:v>
                </c:pt>
                <c:pt idx="283">
                  <c:v>44102</c:v>
                </c:pt>
                <c:pt idx="284">
                  <c:v>44109</c:v>
                </c:pt>
                <c:pt idx="285">
                  <c:v>44116</c:v>
                </c:pt>
                <c:pt idx="286">
                  <c:v>44123</c:v>
                </c:pt>
                <c:pt idx="287">
                  <c:v>44130</c:v>
                </c:pt>
                <c:pt idx="288">
                  <c:v>44137</c:v>
                </c:pt>
                <c:pt idx="289">
                  <c:v>44144</c:v>
                </c:pt>
                <c:pt idx="290">
                  <c:v>44151</c:v>
                </c:pt>
                <c:pt idx="291">
                  <c:v>44158</c:v>
                </c:pt>
                <c:pt idx="292">
                  <c:v>44165</c:v>
                </c:pt>
                <c:pt idx="293">
                  <c:v>44172</c:v>
                </c:pt>
                <c:pt idx="294">
                  <c:v>44179</c:v>
                </c:pt>
                <c:pt idx="295">
                  <c:v>44186</c:v>
                </c:pt>
                <c:pt idx="296">
                  <c:v>44193</c:v>
                </c:pt>
                <c:pt idx="297">
                  <c:v>44200</c:v>
                </c:pt>
                <c:pt idx="298">
                  <c:v>44207</c:v>
                </c:pt>
                <c:pt idx="299">
                  <c:v>44215</c:v>
                </c:pt>
                <c:pt idx="300">
                  <c:v>44221</c:v>
                </c:pt>
                <c:pt idx="301">
                  <c:v>44228</c:v>
                </c:pt>
                <c:pt idx="302">
                  <c:v>44235</c:v>
                </c:pt>
                <c:pt idx="303">
                  <c:v>44243</c:v>
                </c:pt>
                <c:pt idx="304">
                  <c:v>44249</c:v>
                </c:pt>
                <c:pt idx="305">
                  <c:v>44256</c:v>
                </c:pt>
                <c:pt idx="306">
                  <c:v>44263</c:v>
                </c:pt>
                <c:pt idx="307">
                  <c:v>44270</c:v>
                </c:pt>
                <c:pt idx="308">
                  <c:v>44277</c:v>
                </c:pt>
                <c:pt idx="309">
                  <c:v>44284</c:v>
                </c:pt>
                <c:pt idx="310">
                  <c:v>44291</c:v>
                </c:pt>
                <c:pt idx="311">
                  <c:v>44298</c:v>
                </c:pt>
                <c:pt idx="312">
                  <c:v>44305</c:v>
                </c:pt>
                <c:pt idx="313">
                  <c:v>44312</c:v>
                </c:pt>
                <c:pt idx="314">
                  <c:v>44319</c:v>
                </c:pt>
                <c:pt idx="315">
                  <c:v>44326</c:v>
                </c:pt>
                <c:pt idx="316">
                  <c:v>44333</c:v>
                </c:pt>
                <c:pt idx="317">
                  <c:v>44340</c:v>
                </c:pt>
                <c:pt idx="318">
                  <c:v>44348</c:v>
                </c:pt>
                <c:pt idx="319">
                  <c:v>44354</c:v>
                </c:pt>
                <c:pt idx="320">
                  <c:v>44361</c:v>
                </c:pt>
                <c:pt idx="321">
                  <c:v>44368</c:v>
                </c:pt>
                <c:pt idx="322">
                  <c:v>44375</c:v>
                </c:pt>
                <c:pt idx="323">
                  <c:v>44383</c:v>
                </c:pt>
                <c:pt idx="324">
                  <c:v>44389</c:v>
                </c:pt>
                <c:pt idx="325">
                  <c:v>44396</c:v>
                </c:pt>
                <c:pt idx="326">
                  <c:v>44403</c:v>
                </c:pt>
                <c:pt idx="327">
                  <c:v>44410</c:v>
                </c:pt>
                <c:pt idx="328">
                  <c:v>44417</c:v>
                </c:pt>
                <c:pt idx="329">
                  <c:v>44424</c:v>
                </c:pt>
                <c:pt idx="330">
                  <c:v>44431</c:v>
                </c:pt>
                <c:pt idx="331">
                  <c:v>44438</c:v>
                </c:pt>
                <c:pt idx="332">
                  <c:v>44446</c:v>
                </c:pt>
                <c:pt idx="333">
                  <c:v>44452</c:v>
                </c:pt>
                <c:pt idx="334">
                  <c:v>44459</c:v>
                </c:pt>
                <c:pt idx="335">
                  <c:v>44466</c:v>
                </c:pt>
                <c:pt idx="336">
                  <c:v>44473</c:v>
                </c:pt>
                <c:pt idx="337">
                  <c:v>44480</c:v>
                </c:pt>
                <c:pt idx="338">
                  <c:v>44487</c:v>
                </c:pt>
                <c:pt idx="339">
                  <c:v>44494</c:v>
                </c:pt>
                <c:pt idx="340">
                  <c:v>44501</c:v>
                </c:pt>
                <c:pt idx="341">
                  <c:v>44508</c:v>
                </c:pt>
                <c:pt idx="342">
                  <c:v>44515</c:v>
                </c:pt>
                <c:pt idx="343">
                  <c:v>44522</c:v>
                </c:pt>
                <c:pt idx="344">
                  <c:v>44529</c:v>
                </c:pt>
                <c:pt idx="345">
                  <c:v>44536</c:v>
                </c:pt>
                <c:pt idx="346">
                  <c:v>44543</c:v>
                </c:pt>
                <c:pt idx="347">
                  <c:v>44550</c:v>
                </c:pt>
                <c:pt idx="348">
                  <c:v>44557</c:v>
                </c:pt>
                <c:pt idx="349">
                  <c:v>44564</c:v>
                </c:pt>
                <c:pt idx="350">
                  <c:v>44571</c:v>
                </c:pt>
                <c:pt idx="351">
                  <c:v>44579</c:v>
                </c:pt>
                <c:pt idx="352">
                  <c:v>44585</c:v>
                </c:pt>
                <c:pt idx="353">
                  <c:v>44592</c:v>
                </c:pt>
                <c:pt idx="354">
                  <c:v>44599</c:v>
                </c:pt>
                <c:pt idx="355">
                  <c:v>44606</c:v>
                </c:pt>
                <c:pt idx="356">
                  <c:v>44614</c:v>
                </c:pt>
                <c:pt idx="357">
                  <c:v>44620</c:v>
                </c:pt>
                <c:pt idx="358">
                  <c:v>44627</c:v>
                </c:pt>
                <c:pt idx="359">
                  <c:v>44634</c:v>
                </c:pt>
                <c:pt idx="360">
                  <c:v>44641</c:v>
                </c:pt>
                <c:pt idx="361">
                  <c:v>44648</c:v>
                </c:pt>
                <c:pt idx="362">
                  <c:v>44655</c:v>
                </c:pt>
                <c:pt idx="363">
                  <c:v>44662</c:v>
                </c:pt>
                <c:pt idx="364">
                  <c:v>44669</c:v>
                </c:pt>
                <c:pt idx="365">
                  <c:v>44676</c:v>
                </c:pt>
                <c:pt idx="366">
                  <c:v>44683</c:v>
                </c:pt>
                <c:pt idx="367">
                  <c:v>44690</c:v>
                </c:pt>
                <c:pt idx="368">
                  <c:v>44697</c:v>
                </c:pt>
                <c:pt idx="369">
                  <c:v>44704</c:v>
                </c:pt>
                <c:pt idx="370">
                  <c:v>44712</c:v>
                </c:pt>
                <c:pt idx="371">
                  <c:v>44718</c:v>
                </c:pt>
                <c:pt idx="372">
                  <c:v>44725</c:v>
                </c:pt>
                <c:pt idx="373">
                  <c:v>44733</c:v>
                </c:pt>
                <c:pt idx="374">
                  <c:v>44739</c:v>
                </c:pt>
                <c:pt idx="375">
                  <c:v>44747</c:v>
                </c:pt>
                <c:pt idx="376">
                  <c:v>44753</c:v>
                </c:pt>
                <c:pt idx="377">
                  <c:v>44760</c:v>
                </c:pt>
                <c:pt idx="378">
                  <c:v>44767</c:v>
                </c:pt>
                <c:pt idx="379">
                  <c:v>44774</c:v>
                </c:pt>
                <c:pt idx="380">
                  <c:v>44781</c:v>
                </c:pt>
                <c:pt idx="381">
                  <c:v>44788</c:v>
                </c:pt>
                <c:pt idx="382">
                  <c:v>44795</c:v>
                </c:pt>
                <c:pt idx="383">
                  <c:v>44802</c:v>
                </c:pt>
                <c:pt idx="384">
                  <c:v>44810</c:v>
                </c:pt>
                <c:pt idx="385">
                  <c:v>44816</c:v>
                </c:pt>
                <c:pt idx="386">
                  <c:v>44823</c:v>
                </c:pt>
                <c:pt idx="387">
                  <c:v>44830</c:v>
                </c:pt>
                <c:pt idx="388">
                  <c:v>44837</c:v>
                </c:pt>
                <c:pt idx="389">
                  <c:v>44844</c:v>
                </c:pt>
                <c:pt idx="390">
                  <c:v>44851</c:v>
                </c:pt>
                <c:pt idx="391">
                  <c:v>44858</c:v>
                </c:pt>
                <c:pt idx="392">
                  <c:v>44865</c:v>
                </c:pt>
                <c:pt idx="393">
                  <c:v>44872</c:v>
                </c:pt>
                <c:pt idx="394">
                  <c:v>44879</c:v>
                </c:pt>
                <c:pt idx="395">
                  <c:v>44886</c:v>
                </c:pt>
                <c:pt idx="396">
                  <c:v>44893</c:v>
                </c:pt>
                <c:pt idx="397">
                  <c:v>44900</c:v>
                </c:pt>
                <c:pt idx="398">
                  <c:v>44907</c:v>
                </c:pt>
                <c:pt idx="399">
                  <c:v>44914</c:v>
                </c:pt>
                <c:pt idx="400">
                  <c:v>44922</c:v>
                </c:pt>
                <c:pt idx="401">
                  <c:v>44929</c:v>
                </c:pt>
                <c:pt idx="402">
                  <c:v>44935</c:v>
                </c:pt>
                <c:pt idx="403">
                  <c:v>44943</c:v>
                </c:pt>
                <c:pt idx="404">
                  <c:v>44949</c:v>
                </c:pt>
                <c:pt idx="405">
                  <c:v>44956</c:v>
                </c:pt>
                <c:pt idx="406">
                  <c:v>44963</c:v>
                </c:pt>
                <c:pt idx="407">
                  <c:v>44970</c:v>
                </c:pt>
                <c:pt idx="408">
                  <c:v>44978</c:v>
                </c:pt>
                <c:pt idx="409">
                  <c:v>44984</c:v>
                </c:pt>
                <c:pt idx="410">
                  <c:v>44991</c:v>
                </c:pt>
                <c:pt idx="411">
                  <c:v>44998</c:v>
                </c:pt>
                <c:pt idx="412">
                  <c:v>45005</c:v>
                </c:pt>
                <c:pt idx="413">
                  <c:v>45012</c:v>
                </c:pt>
                <c:pt idx="414">
                  <c:v>45019</c:v>
                </c:pt>
                <c:pt idx="415">
                  <c:v>45026</c:v>
                </c:pt>
                <c:pt idx="416">
                  <c:v>45033</c:v>
                </c:pt>
                <c:pt idx="417">
                  <c:v>45040</c:v>
                </c:pt>
                <c:pt idx="418">
                  <c:v>45047</c:v>
                </c:pt>
                <c:pt idx="419">
                  <c:v>45054</c:v>
                </c:pt>
                <c:pt idx="420">
                  <c:v>45061</c:v>
                </c:pt>
                <c:pt idx="421">
                  <c:v>45068</c:v>
                </c:pt>
                <c:pt idx="422">
                  <c:v>45076</c:v>
                </c:pt>
                <c:pt idx="423">
                  <c:v>45082</c:v>
                </c:pt>
                <c:pt idx="424">
                  <c:v>45089</c:v>
                </c:pt>
                <c:pt idx="425">
                  <c:v>45097</c:v>
                </c:pt>
                <c:pt idx="426">
                  <c:v>45103</c:v>
                </c:pt>
                <c:pt idx="427">
                  <c:v>45110</c:v>
                </c:pt>
                <c:pt idx="428">
                  <c:v>45117</c:v>
                </c:pt>
                <c:pt idx="429">
                  <c:v>45124</c:v>
                </c:pt>
                <c:pt idx="430">
                  <c:v>45131</c:v>
                </c:pt>
                <c:pt idx="431">
                  <c:v>45138</c:v>
                </c:pt>
                <c:pt idx="432">
                  <c:v>45145</c:v>
                </c:pt>
                <c:pt idx="433">
                  <c:v>45152</c:v>
                </c:pt>
                <c:pt idx="434">
                  <c:v>45159</c:v>
                </c:pt>
                <c:pt idx="435">
                  <c:v>45166</c:v>
                </c:pt>
                <c:pt idx="436">
                  <c:v>45174</c:v>
                </c:pt>
                <c:pt idx="437">
                  <c:v>45180</c:v>
                </c:pt>
                <c:pt idx="438">
                  <c:v>45187</c:v>
                </c:pt>
                <c:pt idx="439">
                  <c:v>45194</c:v>
                </c:pt>
                <c:pt idx="440">
                  <c:v>45201</c:v>
                </c:pt>
                <c:pt idx="441">
                  <c:v>45208</c:v>
                </c:pt>
                <c:pt idx="442">
                  <c:v>45215</c:v>
                </c:pt>
                <c:pt idx="443">
                  <c:v>45222</c:v>
                </c:pt>
                <c:pt idx="444">
                  <c:v>45229</c:v>
                </c:pt>
                <c:pt idx="445">
                  <c:v>45236</c:v>
                </c:pt>
                <c:pt idx="446">
                  <c:v>45243</c:v>
                </c:pt>
                <c:pt idx="447">
                  <c:v>45250</c:v>
                </c:pt>
                <c:pt idx="448">
                  <c:v>45257</c:v>
                </c:pt>
                <c:pt idx="449">
                  <c:v>45264</c:v>
                </c:pt>
                <c:pt idx="450">
                  <c:v>45271</c:v>
                </c:pt>
                <c:pt idx="451">
                  <c:v>45278</c:v>
                </c:pt>
                <c:pt idx="452">
                  <c:v>45286</c:v>
                </c:pt>
                <c:pt idx="453">
                  <c:v>45293</c:v>
                </c:pt>
                <c:pt idx="454">
                  <c:v>45299</c:v>
                </c:pt>
                <c:pt idx="455">
                  <c:v>45307</c:v>
                </c:pt>
                <c:pt idx="456">
                  <c:v>45313</c:v>
                </c:pt>
                <c:pt idx="457">
                  <c:v>45320</c:v>
                </c:pt>
                <c:pt idx="458">
                  <c:v>45327</c:v>
                </c:pt>
                <c:pt idx="459">
                  <c:v>45334</c:v>
                </c:pt>
                <c:pt idx="460">
                  <c:v>45342</c:v>
                </c:pt>
                <c:pt idx="461">
                  <c:v>45348</c:v>
                </c:pt>
                <c:pt idx="462">
                  <c:v>45355</c:v>
                </c:pt>
                <c:pt idx="463">
                  <c:v>45362</c:v>
                </c:pt>
                <c:pt idx="464">
                  <c:v>45369</c:v>
                </c:pt>
                <c:pt idx="465">
                  <c:v>45376</c:v>
                </c:pt>
                <c:pt idx="466">
                  <c:v>45383</c:v>
                </c:pt>
                <c:pt idx="467">
                  <c:v>45390</c:v>
                </c:pt>
                <c:pt idx="468">
                  <c:v>45397</c:v>
                </c:pt>
                <c:pt idx="469">
                  <c:v>45404</c:v>
                </c:pt>
                <c:pt idx="470">
                  <c:v>45411</c:v>
                </c:pt>
                <c:pt idx="471">
                  <c:v>45418</c:v>
                </c:pt>
                <c:pt idx="472">
                  <c:v>45425</c:v>
                </c:pt>
                <c:pt idx="473">
                  <c:v>45432</c:v>
                </c:pt>
                <c:pt idx="474">
                  <c:v>45440</c:v>
                </c:pt>
                <c:pt idx="475">
                  <c:v>45446</c:v>
                </c:pt>
                <c:pt idx="476">
                  <c:v>45453</c:v>
                </c:pt>
                <c:pt idx="477">
                  <c:v>45460</c:v>
                </c:pt>
                <c:pt idx="478">
                  <c:v>45467</c:v>
                </c:pt>
                <c:pt idx="479">
                  <c:v>45474</c:v>
                </c:pt>
                <c:pt idx="480">
                  <c:v>45481</c:v>
                </c:pt>
                <c:pt idx="481">
                  <c:v>45488</c:v>
                </c:pt>
                <c:pt idx="482">
                  <c:v>45495</c:v>
                </c:pt>
                <c:pt idx="483">
                  <c:v>45502</c:v>
                </c:pt>
                <c:pt idx="484">
                  <c:v>45509</c:v>
                </c:pt>
                <c:pt idx="485">
                  <c:v>45516</c:v>
                </c:pt>
                <c:pt idx="486">
                  <c:v>45523</c:v>
                </c:pt>
                <c:pt idx="487">
                  <c:v>45530</c:v>
                </c:pt>
                <c:pt idx="488">
                  <c:v>45538</c:v>
                </c:pt>
                <c:pt idx="489">
                  <c:v>45544</c:v>
                </c:pt>
                <c:pt idx="490">
                  <c:v>45551</c:v>
                </c:pt>
                <c:pt idx="491">
                  <c:v>45558</c:v>
                </c:pt>
                <c:pt idx="492">
                  <c:v>45565</c:v>
                </c:pt>
                <c:pt idx="493">
                  <c:v>45572</c:v>
                </c:pt>
                <c:pt idx="494">
                  <c:v>45579</c:v>
                </c:pt>
                <c:pt idx="495">
                  <c:v>45586</c:v>
                </c:pt>
                <c:pt idx="496">
                  <c:v>45593</c:v>
                </c:pt>
                <c:pt idx="497">
                  <c:v>45600</c:v>
                </c:pt>
                <c:pt idx="498">
                  <c:v>45607</c:v>
                </c:pt>
                <c:pt idx="499">
                  <c:v>45614</c:v>
                </c:pt>
                <c:pt idx="500">
                  <c:v>45621</c:v>
                </c:pt>
                <c:pt idx="501">
                  <c:v>45628</c:v>
                </c:pt>
                <c:pt idx="502">
                  <c:v>45635</c:v>
                </c:pt>
                <c:pt idx="503">
                  <c:v>45642</c:v>
                </c:pt>
                <c:pt idx="504">
                  <c:v>45649</c:v>
                </c:pt>
                <c:pt idx="505">
                  <c:v>45656</c:v>
                </c:pt>
                <c:pt idx="506">
                  <c:v>45663</c:v>
                </c:pt>
                <c:pt idx="507">
                  <c:v>45670</c:v>
                </c:pt>
                <c:pt idx="508">
                  <c:v>45678</c:v>
                </c:pt>
                <c:pt idx="509">
                  <c:v>45684</c:v>
                </c:pt>
                <c:pt idx="510">
                  <c:v>45691</c:v>
                </c:pt>
                <c:pt idx="511">
                  <c:v>45698</c:v>
                </c:pt>
                <c:pt idx="512">
                  <c:v>45706</c:v>
                </c:pt>
                <c:pt idx="513">
                  <c:v>45712</c:v>
                </c:pt>
                <c:pt idx="514">
                  <c:v>45719</c:v>
                </c:pt>
                <c:pt idx="515">
                  <c:v>45726</c:v>
                </c:pt>
                <c:pt idx="516">
                  <c:v>45733</c:v>
                </c:pt>
                <c:pt idx="517">
                  <c:v>45740</c:v>
                </c:pt>
                <c:pt idx="518">
                  <c:v>45747</c:v>
                </c:pt>
                <c:pt idx="519">
                  <c:v>45754</c:v>
                </c:pt>
                <c:pt idx="520">
                  <c:v>45761</c:v>
                </c:pt>
                <c:pt idx="521">
                  <c:v>45768</c:v>
                </c:pt>
                <c:pt idx="522">
                  <c:v>45775</c:v>
                </c:pt>
              </c:numCache>
            </c:numRef>
          </c:cat>
          <c:val>
            <c:numRef>
              <c:f>NIVIDIA!$E$7:$E$529</c:f>
              <c:numCache>
                <c:formatCode>_([$$-409]* #,##0.00_);_([$$-409]* \(#,##0.00\);_([$$-409]* "-"??_);_(@_)</c:formatCode>
                <c:ptCount val="523"/>
                <c:pt idx="0">
                  <c:v>0.56879999999999997</c:v>
                </c:pt>
                <c:pt idx="1">
                  <c:v>0.52059999999999995</c:v>
                </c:pt>
                <c:pt idx="2">
                  <c:v>0.53249999999999997</c:v>
                </c:pt>
                <c:pt idx="3">
                  <c:v>0.52149999999999996</c:v>
                </c:pt>
                <c:pt idx="4">
                  <c:v>0.55330000000000001</c:v>
                </c:pt>
                <c:pt idx="5">
                  <c:v>0.55649999999999999</c:v>
                </c:pt>
                <c:pt idx="6">
                  <c:v>0.52780000000000005</c:v>
                </c:pt>
                <c:pt idx="7">
                  <c:v>0.54679999999999995</c:v>
                </c:pt>
                <c:pt idx="8">
                  <c:v>0.51849999999999996</c:v>
                </c:pt>
                <c:pt idx="9">
                  <c:v>0.51049999999999995</c:v>
                </c:pt>
                <c:pt idx="10">
                  <c:v>0.49380000000000002</c:v>
                </c:pt>
                <c:pt idx="11">
                  <c:v>0.50180000000000002</c:v>
                </c:pt>
                <c:pt idx="12">
                  <c:v>0.48549999999999999</c:v>
                </c:pt>
                <c:pt idx="13">
                  <c:v>0.49880000000000002</c:v>
                </c:pt>
                <c:pt idx="14">
                  <c:v>0.57450000000000001</c:v>
                </c:pt>
                <c:pt idx="15">
                  <c:v>0.58850000000000002</c:v>
                </c:pt>
                <c:pt idx="16">
                  <c:v>0.53669999999999995</c:v>
                </c:pt>
                <c:pt idx="17">
                  <c:v>0.56830000000000003</c:v>
                </c:pt>
                <c:pt idx="18">
                  <c:v>0.54379999999999995</c:v>
                </c:pt>
                <c:pt idx="19">
                  <c:v>0.56630000000000003</c:v>
                </c:pt>
                <c:pt idx="20">
                  <c:v>0.58230000000000004</c:v>
                </c:pt>
                <c:pt idx="21">
                  <c:v>0.59030000000000005</c:v>
                </c:pt>
                <c:pt idx="22">
                  <c:v>0.62</c:v>
                </c:pt>
                <c:pt idx="23">
                  <c:v>0.65180000000000005</c:v>
                </c:pt>
                <c:pt idx="24">
                  <c:v>0.69650000000000001</c:v>
                </c:pt>
                <c:pt idx="25">
                  <c:v>0.71479999999999999</c:v>
                </c:pt>
                <c:pt idx="26">
                  <c:v>0.70930000000000004</c:v>
                </c:pt>
                <c:pt idx="27">
                  <c:v>0.78879999999999995</c:v>
                </c:pt>
                <c:pt idx="28">
                  <c:v>0.745</c:v>
                </c:pt>
                <c:pt idx="29">
                  <c:v>0.78480000000000005</c:v>
                </c:pt>
                <c:pt idx="30">
                  <c:v>0.78480000000000005</c:v>
                </c:pt>
                <c:pt idx="31">
                  <c:v>0.84379999999999999</c:v>
                </c:pt>
                <c:pt idx="32">
                  <c:v>0.81230000000000002</c:v>
                </c:pt>
                <c:pt idx="33">
                  <c:v>0.80349999999999999</c:v>
                </c:pt>
                <c:pt idx="34">
                  <c:v>0.82930000000000004</c:v>
                </c:pt>
                <c:pt idx="35">
                  <c:v>0.82399999999999995</c:v>
                </c:pt>
                <c:pt idx="36">
                  <c:v>0.74080000000000001</c:v>
                </c:pt>
                <c:pt idx="37">
                  <c:v>0.67779999999999996</c:v>
                </c:pt>
                <c:pt idx="38">
                  <c:v>0.71130000000000004</c:v>
                </c:pt>
                <c:pt idx="39">
                  <c:v>0.73229999999999995</c:v>
                </c:pt>
                <c:pt idx="40">
                  <c:v>0.66080000000000005</c:v>
                </c:pt>
                <c:pt idx="41">
                  <c:v>0.64329999999999998</c:v>
                </c:pt>
                <c:pt idx="42">
                  <c:v>0.76100000000000001</c:v>
                </c:pt>
                <c:pt idx="43">
                  <c:v>0.79200000000000004</c:v>
                </c:pt>
                <c:pt idx="44">
                  <c:v>0.81379999999999997</c:v>
                </c:pt>
                <c:pt idx="45">
                  <c:v>0.80549999999999999</c:v>
                </c:pt>
                <c:pt idx="46">
                  <c:v>0.84530000000000005</c:v>
                </c:pt>
                <c:pt idx="47">
                  <c:v>0.86199999999999999</c:v>
                </c:pt>
                <c:pt idx="48">
                  <c:v>0.90380000000000005</c:v>
                </c:pt>
                <c:pt idx="49">
                  <c:v>0.89149999999999996</c:v>
                </c:pt>
                <c:pt idx="50">
                  <c:v>0.92830000000000001</c:v>
                </c:pt>
                <c:pt idx="51">
                  <c:v>0.90680000000000005</c:v>
                </c:pt>
                <c:pt idx="52">
                  <c:v>0.88829999999999998</c:v>
                </c:pt>
                <c:pt idx="53">
                  <c:v>0.88329999999999997</c:v>
                </c:pt>
                <c:pt idx="54">
                  <c:v>1.0245</c:v>
                </c:pt>
                <c:pt idx="55">
                  <c:v>1.1083000000000001</c:v>
                </c:pt>
                <c:pt idx="56">
                  <c:v>1.1475</c:v>
                </c:pt>
                <c:pt idx="57">
                  <c:v>1.1619999999999999</c:v>
                </c:pt>
                <c:pt idx="58">
                  <c:v>1.155</c:v>
                </c:pt>
                <c:pt idx="59">
                  <c:v>1.1679999999999999</c:v>
                </c:pt>
                <c:pt idx="60">
                  <c:v>1.1432</c:v>
                </c:pt>
                <c:pt idx="61">
                  <c:v>1.1665000000000001</c:v>
                </c:pt>
                <c:pt idx="62">
                  <c:v>1.2713000000000001</c:v>
                </c:pt>
                <c:pt idx="63">
                  <c:v>1.3174999999999999</c:v>
                </c:pt>
                <c:pt idx="64">
                  <c:v>1.3668</c:v>
                </c:pt>
                <c:pt idx="65">
                  <c:v>1.4275</c:v>
                </c:pt>
                <c:pt idx="66">
                  <c:v>1.4550000000000001</c:v>
                </c:pt>
                <c:pt idx="67">
                  <c:v>1.5760000000000001</c:v>
                </c:pt>
                <c:pt idx="68">
                  <c:v>1.5565</c:v>
                </c:pt>
                <c:pt idx="69">
                  <c:v>1.5508</c:v>
                </c:pt>
                <c:pt idx="70">
                  <c:v>1.5632999999999999</c:v>
                </c:pt>
                <c:pt idx="71">
                  <c:v>1.488</c:v>
                </c:pt>
                <c:pt idx="72">
                  <c:v>1.571</c:v>
                </c:pt>
                <c:pt idx="73">
                  <c:v>1.6237999999999999</c:v>
                </c:pt>
                <c:pt idx="74">
                  <c:v>1.7130000000000001</c:v>
                </c:pt>
                <c:pt idx="75">
                  <c:v>1.6713</c:v>
                </c:pt>
                <c:pt idx="76">
                  <c:v>1.6497999999999999</c:v>
                </c:pt>
                <c:pt idx="77">
                  <c:v>1.6884999999999999</c:v>
                </c:pt>
                <c:pt idx="78">
                  <c:v>1.764</c:v>
                </c:pt>
                <c:pt idx="79">
                  <c:v>1.6893</c:v>
                </c:pt>
                <c:pt idx="80">
                  <c:v>2.1993</c:v>
                </c:pt>
                <c:pt idx="81">
                  <c:v>2.3340000000000001</c:v>
                </c:pt>
                <c:pt idx="82">
                  <c:v>2.3540000000000001</c:v>
                </c:pt>
                <c:pt idx="83">
                  <c:v>2.2113</c:v>
                </c:pt>
                <c:pt idx="84">
                  <c:v>2.2955000000000001</c:v>
                </c:pt>
                <c:pt idx="85">
                  <c:v>2.5103</c:v>
                </c:pt>
                <c:pt idx="86">
                  <c:v>2.7444999999999999</c:v>
                </c:pt>
                <c:pt idx="87">
                  <c:v>2.6684999999999999</c:v>
                </c:pt>
                <c:pt idx="88">
                  <c:v>2.5775000000000001</c:v>
                </c:pt>
                <c:pt idx="89">
                  <c:v>2.5857999999999999</c:v>
                </c:pt>
                <c:pt idx="90">
                  <c:v>2.6002999999999998</c:v>
                </c:pt>
                <c:pt idx="91">
                  <c:v>2.7942999999999998</c:v>
                </c:pt>
                <c:pt idx="92">
                  <c:v>2.8595000000000002</c:v>
                </c:pt>
                <c:pt idx="93">
                  <c:v>2.8405</c:v>
                </c:pt>
                <c:pt idx="94">
                  <c:v>2.6808000000000001</c:v>
                </c:pt>
                <c:pt idx="95">
                  <c:v>2.5365000000000002</c:v>
                </c:pt>
                <c:pt idx="96">
                  <c:v>2.4607999999999999</c:v>
                </c:pt>
                <c:pt idx="97">
                  <c:v>2.4780000000000002</c:v>
                </c:pt>
                <c:pt idx="98">
                  <c:v>2.6518000000000002</c:v>
                </c:pt>
                <c:pt idx="99">
                  <c:v>2.6867999999999999</c:v>
                </c:pt>
                <c:pt idx="100">
                  <c:v>2.7233000000000001</c:v>
                </c:pt>
                <c:pt idx="101">
                  <c:v>2.5083000000000002</c:v>
                </c:pt>
                <c:pt idx="102">
                  <c:v>2.3873000000000002</c:v>
                </c:pt>
                <c:pt idx="103">
                  <c:v>2.5419999999999998</c:v>
                </c:pt>
                <c:pt idx="104">
                  <c:v>2.6074999999999999</c:v>
                </c:pt>
                <c:pt idx="105">
                  <c:v>2.5964999999999998</c:v>
                </c:pt>
                <c:pt idx="106">
                  <c:v>3.1972999999999998</c:v>
                </c:pt>
                <c:pt idx="107">
                  <c:v>3.4</c:v>
                </c:pt>
                <c:pt idx="108">
                  <c:v>3.5459999999999998</c:v>
                </c:pt>
                <c:pt idx="109">
                  <c:v>3.5910000000000002</c:v>
                </c:pt>
                <c:pt idx="110">
                  <c:v>3.74</c:v>
                </c:pt>
                <c:pt idx="111">
                  <c:v>3.7905000000000002</c:v>
                </c:pt>
                <c:pt idx="112">
                  <c:v>3.8458000000000001</c:v>
                </c:pt>
                <c:pt idx="113">
                  <c:v>3.6139999999999999</c:v>
                </c:pt>
                <c:pt idx="114">
                  <c:v>3.669</c:v>
                </c:pt>
                <c:pt idx="115">
                  <c:v>4.1238000000000001</c:v>
                </c:pt>
                <c:pt idx="116">
                  <c:v>4.2024999999999997</c:v>
                </c:pt>
                <c:pt idx="117">
                  <c:v>4.1097999999999999</c:v>
                </c:pt>
                <c:pt idx="118">
                  <c:v>4.1802999999999999</c:v>
                </c:pt>
                <c:pt idx="119">
                  <c:v>3.899</c:v>
                </c:pt>
                <c:pt idx="120">
                  <c:v>4.0374999999999996</c:v>
                </c:pt>
                <c:pt idx="121">
                  <c:v>4.0952999999999999</c:v>
                </c:pt>
                <c:pt idx="122">
                  <c:v>4.2614999999999998</c:v>
                </c:pt>
                <c:pt idx="123">
                  <c:v>4.0922999999999998</c:v>
                </c:pt>
                <c:pt idx="124">
                  <c:v>4.5027999999999997</c:v>
                </c:pt>
                <c:pt idx="125">
                  <c:v>4.4749999999999996</c:v>
                </c:pt>
                <c:pt idx="126">
                  <c:v>4.4692999999999996</c:v>
                </c:pt>
                <c:pt idx="127">
                  <c:v>4.5324999999999998</c:v>
                </c:pt>
                <c:pt idx="128">
                  <c:v>4.8647999999999998</c:v>
                </c:pt>
                <c:pt idx="129">
                  <c:v>4.9225000000000003</c:v>
                </c:pt>
                <c:pt idx="130">
                  <c:v>5.0465</c:v>
                </c:pt>
                <c:pt idx="131">
                  <c:v>5.2172999999999998</c:v>
                </c:pt>
                <c:pt idx="132">
                  <c:v>5.4035000000000002</c:v>
                </c:pt>
                <c:pt idx="133">
                  <c:v>5.2839999999999998</c:v>
                </c:pt>
                <c:pt idx="134">
                  <c:v>5.4240000000000004</c:v>
                </c:pt>
                <c:pt idx="135">
                  <c:v>4.9420000000000002</c:v>
                </c:pt>
                <c:pt idx="136">
                  <c:v>4.7873000000000001</c:v>
                </c:pt>
                <c:pt idx="137">
                  <c:v>4.7889999999999997</c:v>
                </c:pt>
                <c:pt idx="138">
                  <c:v>4.8818000000000001</c:v>
                </c:pt>
                <c:pt idx="139">
                  <c:v>4.8375000000000004</c:v>
                </c:pt>
                <c:pt idx="140">
                  <c:v>5.3849999999999998</c:v>
                </c:pt>
                <c:pt idx="141">
                  <c:v>5.5744999999999996</c:v>
                </c:pt>
                <c:pt idx="142">
                  <c:v>5.7527999999999997</c:v>
                </c:pt>
                <c:pt idx="143">
                  <c:v>6.0833000000000004</c:v>
                </c:pt>
                <c:pt idx="144">
                  <c:v>5.8380000000000001</c:v>
                </c:pt>
                <c:pt idx="145">
                  <c:v>5.8019999999999996</c:v>
                </c:pt>
                <c:pt idx="146">
                  <c:v>6.0960000000000001</c:v>
                </c:pt>
                <c:pt idx="147">
                  <c:v>6.1482999999999999</c:v>
                </c:pt>
                <c:pt idx="148">
                  <c:v>5.9135</c:v>
                </c:pt>
                <c:pt idx="149">
                  <c:v>6.1333000000000002</c:v>
                </c:pt>
                <c:pt idx="150">
                  <c:v>6.2619999999999996</c:v>
                </c:pt>
                <c:pt idx="151">
                  <c:v>5.8243</c:v>
                </c:pt>
                <c:pt idx="152">
                  <c:v>5.7897999999999996</c:v>
                </c:pt>
                <c:pt idx="153">
                  <c:v>5.3563000000000001</c:v>
                </c:pt>
                <c:pt idx="154">
                  <c:v>5.7874999999999996</c:v>
                </c:pt>
                <c:pt idx="155">
                  <c:v>5.7178000000000004</c:v>
                </c:pt>
                <c:pt idx="156">
                  <c:v>5.6582999999999997</c:v>
                </c:pt>
                <c:pt idx="157">
                  <c:v>5.9764999999999997</c:v>
                </c:pt>
                <c:pt idx="158">
                  <c:v>6.3632999999999997</c:v>
                </c:pt>
                <c:pt idx="159">
                  <c:v>6.1485000000000003</c:v>
                </c:pt>
                <c:pt idx="160">
                  <c:v>6.2320000000000002</c:v>
                </c:pt>
                <c:pt idx="161">
                  <c:v>6.4405000000000001</c:v>
                </c:pt>
                <c:pt idx="162">
                  <c:v>6.5570000000000004</c:v>
                </c:pt>
                <c:pt idx="163">
                  <c:v>6.6315</c:v>
                </c:pt>
                <c:pt idx="164">
                  <c:v>6.2737999999999996</c:v>
                </c:pt>
                <c:pt idx="165">
                  <c:v>5.9225000000000003</c:v>
                </c:pt>
                <c:pt idx="166">
                  <c:v>6.1833</c:v>
                </c:pt>
                <c:pt idx="167">
                  <c:v>6.2329999999999997</c:v>
                </c:pt>
                <c:pt idx="168">
                  <c:v>6.2723000000000004</c:v>
                </c:pt>
                <c:pt idx="169">
                  <c:v>6.3005000000000004</c:v>
                </c:pt>
                <c:pt idx="170">
                  <c:v>6.3025000000000002</c:v>
                </c:pt>
                <c:pt idx="171">
                  <c:v>6.3697999999999997</c:v>
                </c:pt>
                <c:pt idx="172">
                  <c:v>6.1204999999999998</c:v>
                </c:pt>
                <c:pt idx="173">
                  <c:v>6.8055000000000003</c:v>
                </c:pt>
                <c:pt idx="174">
                  <c:v>7.0170000000000003</c:v>
                </c:pt>
                <c:pt idx="175">
                  <c:v>6.7965</c:v>
                </c:pt>
                <c:pt idx="176">
                  <c:v>6.9108000000000001</c:v>
                </c:pt>
                <c:pt idx="177">
                  <c:v>6.5862999999999996</c:v>
                </c:pt>
                <c:pt idx="178">
                  <c:v>7.0255000000000001</c:v>
                </c:pt>
                <c:pt idx="179">
                  <c:v>6.7465000000000002</c:v>
                </c:pt>
                <c:pt idx="180">
                  <c:v>6.1635</c:v>
                </c:pt>
                <c:pt idx="181">
                  <c:v>5.7293000000000003</c:v>
                </c:pt>
                <c:pt idx="182">
                  <c:v>4.9573</c:v>
                </c:pt>
                <c:pt idx="183">
                  <c:v>5.3730000000000002</c:v>
                </c:pt>
                <c:pt idx="184">
                  <c:v>5.1417999999999999</c:v>
                </c:pt>
                <c:pt idx="185">
                  <c:v>4.1108000000000002</c:v>
                </c:pt>
                <c:pt idx="186">
                  <c:v>3.625</c:v>
                </c:pt>
                <c:pt idx="187">
                  <c:v>4.0857999999999999</c:v>
                </c:pt>
                <c:pt idx="188">
                  <c:v>3.6903000000000001</c:v>
                </c:pt>
                <c:pt idx="189">
                  <c:v>3.6613000000000002</c:v>
                </c:pt>
                <c:pt idx="190">
                  <c:v>3.2393000000000001</c:v>
                </c:pt>
                <c:pt idx="191">
                  <c:v>3.3412999999999999</c:v>
                </c:pt>
                <c:pt idx="192">
                  <c:v>3.4047999999999998</c:v>
                </c:pt>
                <c:pt idx="193">
                  <c:v>3.7208000000000001</c:v>
                </c:pt>
                <c:pt idx="194">
                  <c:v>3.9232999999999998</c:v>
                </c:pt>
                <c:pt idx="195">
                  <c:v>4.0038</c:v>
                </c:pt>
                <c:pt idx="196">
                  <c:v>3.6183000000000001</c:v>
                </c:pt>
                <c:pt idx="197">
                  <c:v>3.7042999999999999</c:v>
                </c:pt>
                <c:pt idx="198">
                  <c:v>3.9335</c:v>
                </c:pt>
                <c:pt idx="199">
                  <c:v>3.9798</c:v>
                </c:pt>
                <c:pt idx="200">
                  <c:v>3.9113000000000002</c:v>
                </c:pt>
                <c:pt idx="201">
                  <c:v>3.766</c:v>
                </c:pt>
                <c:pt idx="202">
                  <c:v>4.2453000000000003</c:v>
                </c:pt>
                <c:pt idx="203">
                  <c:v>4.4375</c:v>
                </c:pt>
                <c:pt idx="204">
                  <c:v>4.4889999999999999</c:v>
                </c:pt>
                <c:pt idx="205">
                  <c:v>4.7737999999999996</c:v>
                </c:pt>
                <c:pt idx="206">
                  <c:v>4.7503000000000002</c:v>
                </c:pt>
                <c:pt idx="207">
                  <c:v>4.6574999999999998</c:v>
                </c:pt>
                <c:pt idx="208">
                  <c:v>4.4523000000000001</c:v>
                </c:pt>
                <c:pt idx="209">
                  <c:v>4.5751999999999997</c:v>
                </c:pt>
                <c:pt idx="210">
                  <c:v>4.2205000000000004</c:v>
                </c:pt>
                <c:pt idx="211">
                  <c:v>3.9133</c:v>
                </c:pt>
                <c:pt idx="212">
                  <c:v>3.6288</c:v>
                </c:pt>
                <c:pt idx="213">
                  <c:v>3.3864999999999998</c:v>
                </c:pt>
                <c:pt idx="214">
                  <c:v>3.6375000000000002</c:v>
                </c:pt>
                <c:pt idx="215">
                  <c:v>3.6160000000000001</c:v>
                </c:pt>
                <c:pt idx="216">
                  <c:v>3.794</c:v>
                </c:pt>
                <c:pt idx="217">
                  <c:v>4.1056999999999997</c:v>
                </c:pt>
                <c:pt idx="218">
                  <c:v>4.0057999999999998</c:v>
                </c:pt>
                <c:pt idx="219">
                  <c:v>4.1902999999999997</c:v>
                </c:pt>
                <c:pt idx="220">
                  <c:v>4.2110000000000003</c:v>
                </c:pt>
                <c:pt idx="221">
                  <c:v>4.3768000000000002</c:v>
                </c:pt>
                <c:pt idx="222">
                  <c:v>4.0297999999999998</c:v>
                </c:pt>
                <c:pt idx="223">
                  <c:v>3.8544999999999998</c:v>
                </c:pt>
                <c:pt idx="224">
                  <c:v>3.9889999999999999</c:v>
                </c:pt>
                <c:pt idx="225">
                  <c:v>4.0609999999999999</c:v>
                </c:pt>
                <c:pt idx="226">
                  <c:v>4.1878000000000002</c:v>
                </c:pt>
                <c:pt idx="227">
                  <c:v>4.4663000000000004</c:v>
                </c:pt>
                <c:pt idx="228">
                  <c:v>4.5484999999999998</c:v>
                </c:pt>
                <c:pt idx="229">
                  <c:v>4.3173000000000004</c:v>
                </c:pt>
                <c:pt idx="230">
                  <c:v>4.2939999999999996</c:v>
                </c:pt>
                <c:pt idx="231">
                  <c:v>4.5492999999999997</c:v>
                </c:pt>
                <c:pt idx="232">
                  <c:v>4.6497999999999999</c:v>
                </c:pt>
                <c:pt idx="233">
                  <c:v>4.7622999999999998</c:v>
                </c:pt>
                <c:pt idx="234">
                  <c:v>5.1135000000000002</c:v>
                </c:pt>
                <c:pt idx="235">
                  <c:v>5.0648</c:v>
                </c:pt>
                <c:pt idx="236">
                  <c:v>5.1944999999999997</c:v>
                </c:pt>
                <c:pt idx="237">
                  <c:v>5.1048</c:v>
                </c:pt>
                <c:pt idx="238">
                  <c:v>5.2723000000000004</c:v>
                </c:pt>
                <c:pt idx="239">
                  <c:v>5.4184999999999999</c:v>
                </c:pt>
                <c:pt idx="240">
                  <c:v>5.3042999999999996</c:v>
                </c:pt>
                <c:pt idx="241">
                  <c:v>5.5998000000000001</c:v>
                </c:pt>
                <c:pt idx="242">
                  <c:v>5.9843000000000002</c:v>
                </c:pt>
                <c:pt idx="243">
                  <c:v>5.9218000000000002</c:v>
                </c:pt>
                <c:pt idx="244">
                  <c:v>5.9017999999999997</c:v>
                </c:pt>
                <c:pt idx="245">
                  <c:v>6.1079999999999997</c:v>
                </c:pt>
                <c:pt idx="246">
                  <c:v>6.2320000000000002</c:v>
                </c:pt>
                <c:pt idx="247">
                  <c:v>6.2619999999999996</c:v>
                </c:pt>
                <c:pt idx="248">
                  <c:v>5.9108000000000001</c:v>
                </c:pt>
                <c:pt idx="249">
                  <c:v>6.2897999999999996</c:v>
                </c:pt>
                <c:pt idx="250">
                  <c:v>7.2447999999999997</c:v>
                </c:pt>
                <c:pt idx="251">
                  <c:v>7.3517999999999999</c:v>
                </c:pt>
                <c:pt idx="252">
                  <c:v>6.7518000000000002</c:v>
                </c:pt>
                <c:pt idx="253">
                  <c:v>6.6509999999999998</c:v>
                </c:pt>
                <c:pt idx="254">
                  <c:v>6.0209999999999999</c:v>
                </c:pt>
                <c:pt idx="255">
                  <c:v>5.1437999999999997</c:v>
                </c:pt>
                <c:pt idx="256">
                  <c:v>6.3182999999999998</c:v>
                </c:pt>
                <c:pt idx="257">
                  <c:v>6.0978000000000003</c:v>
                </c:pt>
                <c:pt idx="258">
                  <c:v>6.5738000000000003</c:v>
                </c:pt>
                <c:pt idx="259">
                  <c:v>7.3079999999999998</c:v>
                </c:pt>
                <c:pt idx="260">
                  <c:v>7.2397999999999998</c:v>
                </c:pt>
                <c:pt idx="261">
                  <c:v>7.0694999999999997</c:v>
                </c:pt>
                <c:pt idx="262">
                  <c:v>7.8125</c:v>
                </c:pt>
                <c:pt idx="263">
                  <c:v>8.4908000000000001</c:v>
                </c:pt>
                <c:pt idx="264">
                  <c:v>9.0263000000000009</c:v>
                </c:pt>
                <c:pt idx="265">
                  <c:v>8.8755000000000006</c:v>
                </c:pt>
                <c:pt idx="266">
                  <c:v>8.92</c:v>
                </c:pt>
                <c:pt idx="267">
                  <c:v>8.9324999999999992</c:v>
                </c:pt>
                <c:pt idx="268">
                  <c:v>9.2613000000000003</c:v>
                </c:pt>
                <c:pt idx="269">
                  <c:v>9.1549999999999994</c:v>
                </c:pt>
                <c:pt idx="270">
                  <c:v>9.6122999999999994</c:v>
                </c:pt>
                <c:pt idx="271">
                  <c:v>10.4793</c:v>
                </c:pt>
                <c:pt idx="272">
                  <c:v>10.201499999999999</c:v>
                </c:pt>
                <c:pt idx="273">
                  <c:v>10.1945</c:v>
                </c:pt>
                <c:pt idx="274">
                  <c:v>10.614800000000001</c:v>
                </c:pt>
                <c:pt idx="275">
                  <c:v>11.1995</c:v>
                </c:pt>
                <c:pt idx="276">
                  <c:v>11.564</c:v>
                </c:pt>
                <c:pt idx="277">
                  <c:v>12.6835</c:v>
                </c:pt>
                <c:pt idx="278">
                  <c:v>13.1478</c:v>
                </c:pt>
                <c:pt idx="279">
                  <c:v>12.6225</c:v>
                </c:pt>
                <c:pt idx="280">
                  <c:v>12.1645</c:v>
                </c:pt>
                <c:pt idx="281">
                  <c:v>12.189299999999999</c:v>
                </c:pt>
                <c:pt idx="282">
                  <c:v>12.873799999999999</c:v>
                </c:pt>
                <c:pt idx="283">
                  <c:v>13.0623</c:v>
                </c:pt>
                <c:pt idx="284">
                  <c:v>13.7628</c:v>
                </c:pt>
                <c:pt idx="285">
                  <c:v>13.811500000000001</c:v>
                </c:pt>
                <c:pt idx="286">
                  <c:v>13.590299999999999</c:v>
                </c:pt>
                <c:pt idx="287">
                  <c:v>12.534000000000001</c:v>
                </c:pt>
                <c:pt idx="288">
                  <c:v>14.561999999999999</c:v>
                </c:pt>
                <c:pt idx="289">
                  <c:v>13.297000000000001</c:v>
                </c:pt>
                <c:pt idx="290">
                  <c:v>13.0878</c:v>
                </c:pt>
                <c:pt idx="291">
                  <c:v>13.2613</c:v>
                </c:pt>
                <c:pt idx="292">
                  <c:v>13.558299999999999</c:v>
                </c:pt>
                <c:pt idx="293">
                  <c:v>13.013299999999999</c:v>
                </c:pt>
                <c:pt idx="294">
                  <c:v>13.272</c:v>
                </c:pt>
                <c:pt idx="295">
                  <c:v>12.9938</c:v>
                </c:pt>
                <c:pt idx="296">
                  <c:v>13.055</c:v>
                </c:pt>
                <c:pt idx="297">
                  <c:v>13.2768</c:v>
                </c:pt>
                <c:pt idx="298">
                  <c:v>12.859500000000001</c:v>
                </c:pt>
                <c:pt idx="299">
                  <c:v>13.7125</c:v>
                </c:pt>
                <c:pt idx="300">
                  <c:v>12.989800000000001</c:v>
                </c:pt>
                <c:pt idx="301">
                  <c:v>13.590999999999999</c:v>
                </c:pt>
                <c:pt idx="302">
                  <c:v>14.9613</c:v>
                </c:pt>
                <c:pt idx="303">
                  <c:v>14.926500000000001</c:v>
                </c:pt>
                <c:pt idx="304">
                  <c:v>13.714499999999999</c:v>
                </c:pt>
                <c:pt idx="305">
                  <c:v>12.461499999999999</c:v>
                </c:pt>
                <c:pt idx="306">
                  <c:v>12.856</c:v>
                </c:pt>
                <c:pt idx="307">
                  <c:v>12.845800000000001</c:v>
                </c:pt>
                <c:pt idx="308">
                  <c:v>12.8393</c:v>
                </c:pt>
                <c:pt idx="309">
                  <c:v>13.8118</c:v>
                </c:pt>
                <c:pt idx="310">
                  <c:v>14.4</c:v>
                </c:pt>
                <c:pt idx="311">
                  <c:v>15.9125</c:v>
                </c:pt>
                <c:pt idx="312">
                  <c:v>15.2653</c:v>
                </c:pt>
                <c:pt idx="313">
                  <c:v>15.009499999999999</c:v>
                </c:pt>
                <c:pt idx="314">
                  <c:v>14.8123</c:v>
                </c:pt>
                <c:pt idx="315">
                  <c:v>14.243</c:v>
                </c:pt>
                <c:pt idx="316">
                  <c:v>14.9918</c:v>
                </c:pt>
                <c:pt idx="317">
                  <c:v>16.244499999999999</c:v>
                </c:pt>
                <c:pt idx="318">
                  <c:v>17.578299999999999</c:v>
                </c:pt>
                <c:pt idx="319">
                  <c:v>17.825299999999999</c:v>
                </c:pt>
                <c:pt idx="320">
                  <c:v>18.6387</c:v>
                </c:pt>
                <c:pt idx="321">
                  <c:v>19.030999999999999</c:v>
                </c:pt>
                <c:pt idx="322">
                  <c:v>20.486999999999998</c:v>
                </c:pt>
                <c:pt idx="323">
                  <c:v>20.0503</c:v>
                </c:pt>
                <c:pt idx="324">
                  <c:v>18.161000000000001</c:v>
                </c:pt>
                <c:pt idx="325">
                  <c:v>19.558</c:v>
                </c:pt>
                <c:pt idx="326">
                  <c:v>19.498999999999999</c:v>
                </c:pt>
                <c:pt idx="327">
                  <c:v>20.366</c:v>
                </c:pt>
                <c:pt idx="328">
                  <c:v>20.187999999999999</c:v>
                </c:pt>
                <c:pt idx="329">
                  <c:v>20.815999999999999</c:v>
                </c:pt>
                <c:pt idx="330">
                  <c:v>22.635999999999999</c:v>
                </c:pt>
                <c:pt idx="331">
                  <c:v>22.843</c:v>
                </c:pt>
                <c:pt idx="332">
                  <c:v>22.478000000000002</c:v>
                </c:pt>
                <c:pt idx="333">
                  <c:v>21.9</c:v>
                </c:pt>
                <c:pt idx="334">
                  <c:v>22.081</c:v>
                </c:pt>
                <c:pt idx="335">
                  <c:v>20.742000000000001</c:v>
                </c:pt>
                <c:pt idx="336">
                  <c:v>20.831</c:v>
                </c:pt>
                <c:pt idx="337">
                  <c:v>21.861999999999998</c:v>
                </c:pt>
                <c:pt idx="338">
                  <c:v>22.725999999999999</c:v>
                </c:pt>
                <c:pt idx="339">
                  <c:v>25.567</c:v>
                </c:pt>
                <c:pt idx="340">
                  <c:v>29.751999999999999</c:v>
                </c:pt>
                <c:pt idx="341">
                  <c:v>30.39</c:v>
                </c:pt>
                <c:pt idx="342">
                  <c:v>32.984999999999999</c:v>
                </c:pt>
                <c:pt idx="343">
                  <c:v>31.503</c:v>
                </c:pt>
                <c:pt idx="344">
                  <c:v>30.693000000000001</c:v>
                </c:pt>
                <c:pt idx="345">
                  <c:v>30.198</c:v>
                </c:pt>
                <c:pt idx="346">
                  <c:v>27.800999999999998</c:v>
                </c:pt>
                <c:pt idx="347">
                  <c:v>29.64</c:v>
                </c:pt>
                <c:pt idx="348">
                  <c:v>29.411000000000001</c:v>
                </c:pt>
                <c:pt idx="349">
                  <c:v>27.247</c:v>
                </c:pt>
                <c:pt idx="350">
                  <c:v>26.942</c:v>
                </c:pt>
                <c:pt idx="351">
                  <c:v>23.373999999999999</c:v>
                </c:pt>
                <c:pt idx="352">
                  <c:v>22.84</c:v>
                </c:pt>
                <c:pt idx="353">
                  <c:v>24.318999999999999</c:v>
                </c:pt>
                <c:pt idx="354">
                  <c:v>23.949000000000002</c:v>
                </c:pt>
                <c:pt idx="355">
                  <c:v>23.641999999999999</c:v>
                </c:pt>
                <c:pt idx="356">
                  <c:v>24.157</c:v>
                </c:pt>
                <c:pt idx="357">
                  <c:v>22.936</c:v>
                </c:pt>
                <c:pt idx="358">
                  <c:v>22.1</c:v>
                </c:pt>
                <c:pt idx="359">
                  <c:v>26.452999999999999</c:v>
                </c:pt>
                <c:pt idx="360">
                  <c:v>27.692</c:v>
                </c:pt>
                <c:pt idx="361">
                  <c:v>26.712</c:v>
                </c:pt>
                <c:pt idx="362">
                  <c:v>23.119</c:v>
                </c:pt>
                <c:pt idx="363">
                  <c:v>21.257999999999999</c:v>
                </c:pt>
                <c:pt idx="364">
                  <c:v>19.515000000000001</c:v>
                </c:pt>
                <c:pt idx="365">
                  <c:v>18.547000000000001</c:v>
                </c:pt>
                <c:pt idx="366">
                  <c:v>18.675000000000001</c:v>
                </c:pt>
                <c:pt idx="367">
                  <c:v>17.706</c:v>
                </c:pt>
                <c:pt idx="368">
                  <c:v>16.693999999999999</c:v>
                </c:pt>
                <c:pt idx="369">
                  <c:v>18.811</c:v>
                </c:pt>
                <c:pt idx="370">
                  <c:v>18.72</c:v>
                </c:pt>
                <c:pt idx="371">
                  <c:v>16.974</c:v>
                </c:pt>
                <c:pt idx="372">
                  <c:v>15.88</c:v>
                </c:pt>
                <c:pt idx="373">
                  <c:v>17.126000000000001</c:v>
                </c:pt>
                <c:pt idx="374">
                  <c:v>14.523</c:v>
                </c:pt>
                <c:pt idx="375">
                  <c:v>15.837999999999999</c:v>
                </c:pt>
                <c:pt idx="376">
                  <c:v>15.762</c:v>
                </c:pt>
                <c:pt idx="377">
                  <c:v>17.318999999999999</c:v>
                </c:pt>
                <c:pt idx="378">
                  <c:v>18.163</c:v>
                </c:pt>
                <c:pt idx="379">
                  <c:v>18.989000000000001</c:v>
                </c:pt>
                <c:pt idx="380">
                  <c:v>18.709</c:v>
                </c:pt>
                <c:pt idx="381">
                  <c:v>17.849</c:v>
                </c:pt>
                <c:pt idx="382">
                  <c:v>16.260000000000002</c:v>
                </c:pt>
                <c:pt idx="383">
                  <c:v>13.647</c:v>
                </c:pt>
                <c:pt idx="384">
                  <c:v>14.387</c:v>
                </c:pt>
                <c:pt idx="385">
                  <c:v>13.198</c:v>
                </c:pt>
                <c:pt idx="386">
                  <c:v>12.516</c:v>
                </c:pt>
                <c:pt idx="387">
                  <c:v>12.138999999999999</c:v>
                </c:pt>
                <c:pt idx="388">
                  <c:v>12.076000000000001</c:v>
                </c:pt>
                <c:pt idx="389">
                  <c:v>11.227</c:v>
                </c:pt>
                <c:pt idx="390">
                  <c:v>12.465999999999999</c:v>
                </c:pt>
                <c:pt idx="391">
                  <c:v>13.834</c:v>
                </c:pt>
                <c:pt idx="392">
                  <c:v>14.156000000000001</c:v>
                </c:pt>
                <c:pt idx="393">
                  <c:v>16.327000000000002</c:v>
                </c:pt>
                <c:pt idx="394">
                  <c:v>15.409000000000001</c:v>
                </c:pt>
                <c:pt idx="395">
                  <c:v>16.27</c:v>
                </c:pt>
                <c:pt idx="396">
                  <c:v>16.876000000000001</c:v>
                </c:pt>
                <c:pt idx="397">
                  <c:v>17.001000000000001</c:v>
                </c:pt>
                <c:pt idx="398">
                  <c:v>16.571000000000002</c:v>
                </c:pt>
                <c:pt idx="399">
                  <c:v>15.206</c:v>
                </c:pt>
                <c:pt idx="400">
                  <c:v>14.614000000000001</c:v>
                </c:pt>
                <c:pt idx="401">
                  <c:v>14.859</c:v>
                </c:pt>
                <c:pt idx="402">
                  <c:v>16.899000000000001</c:v>
                </c:pt>
                <c:pt idx="403">
                  <c:v>17.838999999999999</c:v>
                </c:pt>
                <c:pt idx="404">
                  <c:v>20.364999999999998</c:v>
                </c:pt>
                <c:pt idx="405">
                  <c:v>21.1</c:v>
                </c:pt>
                <c:pt idx="406">
                  <c:v>21.265000000000001</c:v>
                </c:pt>
                <c:pt idx="407">
                  <c:v>21.388000000000002</c:v>
                </c:pt>
                <c:pt idx="408">
                  <c:v>23.286000000000001</c:v>
                </c:pt>
                <c:pt idx="409">
                  <c:v>23.89</c:v>
                </c:pt>
                <c:pt idx="410">
                  <c:v>22.965</c:v>
                </c:pt>
                <c:pt idx="411">
                  <c:v>25.725000000000001</c:v>
                </c:pt>
                <c:pt idx="412">
                  <c:v>26.779</c:v>
                </c:pt>
                <c:pt idx="413">
                  <c:v>27.777000000000001</c:v>
                </c:pt>
                <c:pt idx="414">
                  <c:v>27.036999999999999</c:v>
                </c:pt>
                <c:pt idx="415">
                  <c:v>26.757999999999999</c:v>
                </c:pt>
                <c:pt idx="416">
                  <c:v>27.119</c:v>
                </c:pt>
                <c:pt idx="417">
                  <c:v>27.748999999999999</c:v>
                </c:pt>
                <c:pt idx="418">
                  <c:v>28.68</c:v>
                </c:pt>
                <c:pt idx="419">
                  <c:v>28.34</c:v>
                </c:pt>
                <c:pt idx="420">
                  <c:v>31.263999999999999</c:v>
                </c:pt>
                <c:pt idx="421">
                  <c:v>38.945999999999998</c:v>
                </c:pt>
                <c:pt idx="422">
                  <c:v>39.326999999999998</c:v>
                </c:pt>
                <c:pt idx="423">
                  <c:v>38.770000000000003</c:v>
                </c:pt>
                <c:pt idx="424">
                  <c:v>42.692</c:v>
                </c:pt>
                <c:pt idx="425">
                  <c:v>42.209000000000003</c:v>
                </c:pt>
                <c:pt idx="426">
                  <c:v>42.302</c:v>
                </c:pt>
                <c:pt idx="427">
                  <c:v>42.503</c:v>
                </c:pt>
                <c:pt idx="428">
                  <c:v>45.469000000000001</c:v>
                </c:pt>
                <c:pt idx="429">
                  <c:v>44.308999999999997</c:v>
                </c:pt>
                <c:pt idx="430">
                  <c:v>46.75</c:v>
                </c:pt>
                <c:pt idx="431">
                  <c:v>44.68</c:v>
                </c:pt>
                <c:pt idx="432">
                  <c:v>40.854999999999997</c:v>
                </c:pt>
                <c:pt idx="433">
                  <c:v>43.298999999999999</c:v>
                </c:pt>
                <c:pt idx="434">
                  <c:v>46.018000000000001</c:v>
                </c:pt>
                <c:pt idx="435">
                  <c:v>48.509</c:v>
                </c:pt>
                <c:pt idx="436">
                  <c:v>45.572000000000003</c:v>
                </c:pt>
                <c:pt idx="437">
                  <c:v>43.9</c:v>
                </c:pt>
                <c:pt idx="438">
                  <c:v>41.61</c:v>
                </c:pt>
                <c:pt idx="439">
                  <c:v>43.499000000000002</c:v>
                </c:pt>
                <c:pt idx="440">
                  <c:v>45.762</c:v>
                </c:pt>
                <c:pt idx="441">
                  <c:v>45.460999999999999</c:v>
                </c:pt>
                <c:pt idx="442">
                  <c:v>41.387</c:v>
                </c:pt>
                <c:pt idx="443">
                  <c:v>40.5</c:v>
                </c:pt>
                <c:pt idx="444">
                  <c:v>45.005000000000003</c:v>
                </c:pt>
                <c:pt idx="445">
                  <c:v>48.335000000000001</c:v>
                </c:pt>
                <c:pt idx="446">
                  <c:v>49.298000000000002</c:v>
                </c:pt>
                <c:pt idx="447">
                  <c:v>47.776000000000003</c:v>
                </c:pt>
                <c:pt idx="448">
                  <c:v>46.765000000000001</c:v>
                </c:pt>
                <c:pt idx="449">
                  <c:v>47.506</c:v>
                </c:pt>
                <c:pt idx="450">
                  <c:v>48.89</c:v>
                </c:pt>
                <c:pt idx="451">
                  <c:v>48.83</c:v>
                </c:pt>
                <c:pt idx="452">
                  <c:v>49.521999999999998</c:v>
                </c:pt>
                <c:pt idx="453">
                  <c:v>49.097000000000001</c:v>
                </c:pt>
                <c:pt idx="454">
                  <c:v>54.71</c:v>
                </c:pt>
                <c:pt idx="455">
                  <c:v>59.491</c:v>
                </c:pt>
                <c:pt idx="456">
                  <c:v>61.030999999999999</c:v>
                </c:pt>
                <c:pt idx="457">
                  <c:v>66.16</c:v>
                </c:pt>
                <c:pt idx="458">
                  <c:v>72.132999999999996</c:v>
                </c:pt>
                <c:pt idx="459">
                  <c:v>72.613</c:v>
                </c:pt>
                <c:pt idx="460">
                  <c:v>78.816999999999993</c:v>
                </c:pt>
                <c:pt idx="461">
                  <c:v>82.278999999999996</c:v>
                </c:pt>
                <c:pt idx="462">
                  <c:v>87.528000000000006</c:v>
                </c:pt>
                <c:pt idx="463">
                  <c:v>87.836500000000001</c:v>
                </c:pt>
                <c:pt idx="464">
                  <c:v>94.289000000000001</c:v>
                </c:pt>
                <c:pt idx="465">
                  <c:v>90.355999999999995</c:v>
                </c:pt>
                <c:pt idx="466">
                  <c:v>88.007999999999996</c:v>
                </c:pt>
                <c:pt idx="467">
                  <c:v>88.186000000000007</c:v>
                </c:pt>
                <c:pt idx="468">
                  <c:v>76.2</c:v>
                </c:pt>
                <c:pt idx="469">
                  <c:v>87.734999999999999</c:v>
                </c:pt>
                <c:pt idx="470">
                  <c:v>88.789000000000001</c:v>
                </c:pt>
                <c:pt idx="471">
                  <c:v>89.878</c:v>
                </c:pt>
                <c:pt idx="472">
                  <c:v>92.478999999999999</c:v>
                </c:pt>
                <c:pt idx="473">
                  <c:v>106.46899999999999</c:v>
                </c:pt>
                <c:pt idx="474">
                  <c:v>109.633</c:v>
                </c:pt>
                <c:pt idx="475">
                  <c:v>120.88800000000001</c:v>
                </c:pt>
                <c:pt idx="476">
                  <c:v>131.88</c:v>
                </c:pt>
                <c:pt idx="477">
                  <c:v>126.57</c:v>
                </c:pt>
                <c:pt idx="478">
                  <c:v>123.54</c:v>
                </c:pt>
                <c:pt idx="479">
                  <c:v>125.83</c:v>
                </c:pt>
                <c:pt idx="480">
                  <c:v>129.24</c:v>
                </c:pt>
                <c:pt idx="481">
                  <c:v>117.93</c:v>
                </c:pt>
                <c:pt idx="482">
                  <c:v>113.06</c:v>
                </c:pt>
                <c:pt idx="483">
                  <c:v>107.27</c:v>
                </c:pt>
                <c:pt idx="484">
                  <c:v>104.75</c:v>
                </c:pt>
                <c:pt idx="485">
                  <c:v>124.58</c:v>
                </c:pt>
                <c:pt idx="486">
                  <c:v>129.37</c:v>
                </c:pt>
                <c:pt idx="487">
                  <c:v>119.37</c:v>
                </c:pt>
                <c:pt idx="488">
                  <c:v>102.83</c:v>
                </c:pt>
                <c:pt idx="489">
                  <c:v>119.1</c:v>
                </c:pt>
                <c:pt idx="490">
                  <c:v>116</c:v>
                </c:pt>
                <c:pt idx="491">
                  <c:v>121.4</c:v>
                </c:pt>
                <c:pt idx="492">
                  <c:v>124.92</c:v>
                </c:pt>
                <c:pt idx="493">
                  <c:v>134.80000000000001</c:v>
                </c:pt>
                <c:pt idx="494">
                  <c:v>138</c:v>
                </c:pt>
                <c:pt idx="495">
                  <c:v>141.54</c:v>
                </c:pt>
                <c:pt idx="496">
                  <c:v>135.4</c:v>
                </c:pt>
                <c:pt idx="497">
                  <c:v>147.63</c:v>
                </c:pt>
                <c:pt idx="498">
                  <c:v>141.97999999999999</c:v>
                </c:pt>
                <c:pt idx="499">
                  <c:v>141.94999999999999</c:v>
                </c:pt>
                <c:pt idx="500">
                  <c:v>138.25</c:v>
                </c:pt>
                <c:pt idx="501">
                  <c:v>142.44</c:v>
                </c:pt>
                <c:pt idx="502">
                  <c:v>134.25</c:v>
                </c:pt>
                <c:pt idx="503">
                  <c:v>134.69999999999999</c:v>
                </c:pt>
                <c:pt idx="504">
                  <c:v>137.01</c:v>
                </c:pt>
                <c:pt idx="505">
                  <c:v>144.47</c:v>
                </c:pt>
                <c:pt idx="506">
                  <c:v>135.91</c:v>
                </c:pt>
                <c:pt idx="507">
                  <c:v>137.71</c:v>
                </c:pt>
                <c:pt idx="508">
                  <c:v>142.62</c:v>
                </c:pt>
                <c:pt idx="509">
                  <c:v>120.07</c:v>
                </c:pt>
                <c:pt idx="510">
                  <c:v>129.84</c:v>
                </c:pt>
                <c:pt idx="511">
                  <c:v>138.85</c:v>
                </c:pt>
                <c:pt idx="512">
                  <c:v>134.43</c:v>
                </c:pt>
                <c:pt idx="513">
                  <c:v>124.92</c:v>
                </c:pt>
                <c:pt idx="514">
                  <c:v>112.69</c:v>
                </c:pt>
                <c:pt idx="515">
                  <c:v>121.67</c:v>
                </c:pt>
                <c:pt idx="516">
                  <c:v>117.7</c:v>
                </c:pt>
                <c:pt idx="517">
                  <c:v>109.67</c:v>
                </c:pt>
                <c:pt idx="518">
                  <c:v>94.31</c:v>
                </c:pt>
                <c:pt idx="519">
                  <c:v>110.93</c:v>
                </c:pt>
                <c:pt idx="520">
                  <c:v>101.49</c:v>
                </c:pt>
                <c:pt idx="521">
                  <c:v>111.01</c:v>
                </c:pt>
                <c:pt idx="522">
                  <c:v>114.5</c:v>
                </c:pt>
              </c:numCache>
            </c:numRef>
          </c:val>
          <c:smooth val="0"/>
          <c:extLst>
            <c:ext xmlns:c16="http://schemas.microsoft.com/office/drawing/2014/chart" uri="{C3380CC4-5D6E-409C-BE32-E72D297353CC}">
              <c16:uniqueId val="{00000000-038D-4C19-9776-CEE795B0AD4C}"/>
            </c:ext>
          </c:extLst>
        </c:ser>
        <c:dLbls>
          <c:showLegendKey val="0"/>
          <c:showVal val="0"/>
          <c:showCatName val="0"/>
          <c:showSerName val="0"/>
          <c:showPercent val="0"/>
          <c:showBubbleSize val="0"/>
        </c:dLbls>
        <c:smooth val="0"/>
        <c:axId val="646824319"/>
        <c:axId val="646829119"/>
      </c:lineChart>
      <c:dateAx>
        <c:axId val="64682431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Date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m/d/yy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6829119"/>
        <c:crosses val="autoZero"/>
        <c:auto val="1"/>
        <c:lblOffset val="100"/>
        <c:baseTimeUnit val="days"/>
      </c:dateAx>
      <c:valAx>
        <c:axId val="64682911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Price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409]* #,##0.00_);_([$$-409]* \(#,##0.00\);_([$$-409]*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6824319"/>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Closinng</a:t>
            </a:r>
            <a:r>
              <a:rPr lang="en-US" baseline="0"/>
              <a:t> Stock Price 10 Year History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cked"/>
        <c:varyColors val="0"/>
        <c:ser>
          <c:idx val="0"/>
          <c:order val="0"/>
          <c:tx>
            <c:strRef>
              <c:f>TSLA!$E$6</c:f>
              <c:strCache>
                <c:ptCount val="1"/>
                <c:pt idx="0">
                  <c:v>Close</c:v>
                </c:pt>
              </c:strCache>
            </c:strRef>
          </c:tx>
          <c:spPr>
            <a:ln w="28575" cap="rnd">
              <a:solidFill>
                <a:schemeClr val="accent1"/>
              </a:solidFill>
              <a:round/>
            </a:ln>
            <a:effectLst/>
          </c:spPr>
          <c:marker>
            <c:symbol val="none"/>
          </c:marker>
          <c:cat>
            <c:numRef>
              <c:f>TSLA!$D$7:$D$529</c:f>
              <c:numCache>
                <c:formatCode>m/d/yyyy</c:formatCode>
                <c:ptCount val="523"/>
                <c:pt idx="0">
                  <c:v>42121</c:v>
                </c:pt>
                <c:pt idx="1">
                  <c:v>42128</c:v>
                </c:pt>
                <c:pt idx="2">
                  <c:v>42135</c:v>
                </c:pt>
                <c:pt idx="3">
                  <c:v>42142</c:v>
                </c:pt>
                <c:pt idx="4">
                  <c:v>42150</c:v>
                </c:pt>
                <c:pt idx="5">
                  <c:v>42156</c:v>
                </c:pt>
                <c:pt idx="6">
                  <c:v>42163</c:v>
                </c:pt>
                <c:pt idx="7">
                  <c:v>42170</c:v>
                </c:pt>
                <c:pt idx="8">
                  <c:v>42177</c:v>
                </c:pt>
                <c:pt idx="9">
                  <c:v>42184</c:v>
                </c:pt>
                <c:pt idx="10">
                  <c:v>42191</c:v>
                </c:pt>
                <c:pt idx="11">
                  <c:v>42198</c:v>
                </c:pt>
                <c:pt idx="12">
                  <c:v>42205</c:v>
                </c:pt>
                <c:pt idx="13">
                  <c:v>42212</c:v>
                </c:pt>
                <c:pt idx="14">
                  <c:v>42219</c:v>
                </c:pt>
                <c:pt idx="15">
                  <c:v>42226</c:v>
                </c:pt>
                <c:pt idx="16">
                  <c:v>42233</c:v>
                </c:pt>
                <c:pt idx="17">
                  <c:v>42240</c:v>
                </c:pt>
                <c:pt idx="18">
                  <c:v>42247</c:v>
                </c:pt>
                <c:pt idx="19">
                  <c:v>42255</c:v>
                </c:pt>
                <c:pt idx="20">
                  <c:v>42261</c:v>
                </c:pt>
                <c:pt idx="21">
                  <c:v>42268</c:v>
                </c:pt>
                <c:pt idx="22">
                  <c:v>42275</c:v>
                </c:pt>
                <c:pt idx="23">
                  <c:v>42282</c:v>
                </c:pt>
                <c:pt idx="24">
                  <c:v>42289</c:v>
                </c:pt>
                <c:pt idx="25">
                  <c:v>42296</c:v>
                </c:pt>
                <c:pt idx="26">
                  <c:v>42303</c:v>
                </c:pt>
                <c:pt idx="27">
                  <c:v>42310</c:v>
                </c:pt>
                <c:pt idx="28">
                  <c:v>42317</c:v>
                </c:pt>
                <c:pt idx="29">
                  <c:v>42324</c:v>
                </c:pt>
                <c:pt idx="30">
                  <c:v>42331</c:v>
                </c:pt>
                <c:pt idx="31">
                  <c:v>42338</c:v>
                </c:pt>
                <c:pt idx="32">
                  <c:v>42345</c:v>
                </c:pt>
                <c:pt idx="33">
                  <c:v>42352</c:v>
                </c:pt>
                <c:pt idx="34">
                  <c:v>42359</c:v>
                </c:pt>
                <c:pt idx="35">
                  <c:v>42366</c:v>
                </c:pt>
                <c:pt idx="36">
                  <c:v>42373</c:v>
                </c:pt>
                <c:pt idx="37">
                  <c:v>42380</c:v>
                </c:pt>
                <c:pt idx="38">
                  <c:v>42388</c:v>
                </c:pt>
                <c:pt idx="39">
                  <c:v>42394</c:v>
                </c:pt>
                <c:pt idx="40">
                  <c:v>42401</c:v>
                </c:pt>
                <c:pt idx="41">
                  <c:v>42408</c:v>
                </c:pt>
                <c:pt idx="42">
                  <c:v>42416</c:v>
                </c:pt>
                <c:pt idx="43">
                  <c:v>42422</c:v>
                </c:pt>
                <c:pt idx="44">
                  <c:v>42429</c:v>
                </c:pt>
                <c:pt idx="45">
                  <c:v>42436</c:v>
                </c:pt>
                <c:pt idx="46">
                  <c:v>42443</c:v>
                </c:pt>
                <c:pt idx="47">
                  <c:v>42450</c:v>
                </c:pt>
                <c:pt idx="48">
                  <c:v>42457</c:v>
                </c:pt>
                <c:pt idx="49">
                  <c:v>42464</c:v>
                </c:pt>
                <c:pt idx="50">
                  <c:v>42471</c:v>
                </c:pt>
                <c:pt idx="51">
                  <c:v>42478</c:v>
                </c:pt>
                <c:pt idx="52">
                  <c:v>42485</c:v>
                </c:pt>
                <c:pt idx="53">
                  <c:v>42492</c:v>
                </c:pt>
                <c:pt idx="54">
                  <c:v>42499</c:v>
                </c:pt>
                <c:pt idx="55">
                  <c:v>42506</c:v>
                </c:pt>
                <c:pt idx="56">
                  <c:v>42513</c:v>
                </c:pt>
                <c:pt idx="57">
                  <c:v>42521</c:v>
                </c:pt>
                <c:pt idx="58">
                  <c:v>42527</c:v>
                </c:pt>
                <c:pt idx="59">
                  <c:v>42534</c:v>
                </c:pt>
                <c:pt idx="60">
                  <c:v>42541</c:v>
                </c:pt>
                <c:pt idx="61">
                  <c:v>42548</c:v>
                </c:pt>
                <c:pt idx="62">
                  <c:v>42556</c:v>
                </c:pt>
                <c:pt idx="63">
                  <c:v>42562</c:v>
                </c:pt>
                <c:pt idx="64">
                  <c:v>42569</c:v>
                </c:pt>
                <c:pt idx="65">
                  <c:v>42576</c:v>
                </c:pt>
                <c:pt idx="66">
                  <c:v>42583</c:v>
                </c:pt>
                <c:pt idx="67">
                  <c:v>42590</c:v>
                </c:pt>
                <c:pt idx="68">
                  <c:v>42597</c:v>
                </c:pt>
                <c:pt idx="69">
                  <c:v>42604</c:v>
                </c:pt>
                <c:pt idx="70">
                  <c:v>42611</c:v>
                </c:pt>
                <c:pt idx="71">
                  <c:v>42619</c:v>
                </c:pt>
                <c:pt idx="72">
                  <c:v>42625</c:v>
                </c:pt>
                <c:pt idx="73">
                  <c:v>42632</c:v>
                </c:pt>
                <c:pt idx="74">
                  <c:v>42639</c:v>
                </c:pt>
                <c:pt idx="75">
                  <c:v>42646</c:v>
                </c:pt>
                <c:pt idx="76">
                  <c:v>42653</c:v>
                </c:pt>
                <c:pt idx="77">
                  <c:v>42660</c:v>
                </c:pt>
                <c:pt idx="78">
                  <c:v>42667</c:v>
                </c:pt>
                <c:pt idx="79">
                  <c:v>42674</c:v>
                </c:pt>
                <c:pt idx="80">
                  <c:v>42681</c:v>
                </c:pt>
                <c:pt idx="81">
                  <c:v>42688</c:v>
                </c:pt>
                <c:pt idx="82">
                  <c:v>42695</c:v>
                </c:pt>
                <c:pt idx="83">
                  <c:v>42702</c:v>
                </c:pt>
                <c:pt idx="84">
                  <c:v>42709</c:v>
                </c:pt>
                <c:pt idx="85">
                  <c:v>42716</c:v>
                </c:pt>
                <c:pt idx="86">
                  <c:v>42723</c:v>
                </c:pt>
                <c:pt idx="87">
                  <c:v>42731</c:v>
                </c:pt>
                <c:pt idx="88">
                  <c:v>42738</c:v>
                </c:pt>
                <c:pt idx="89">
                  <c:v>42744</c:v>
                </c:pt>
                <c:pt idx="90">
                  <c:v>42752</c:v>
                </c:pt>
                <c:pt idx="91">
                  <c:v>42758</c:v>
                </c:pt>
                <c:pt idx="92">
                  <c:v>42765</c:v>
                </c:pt>
                <c:pt idx="93">
                  <c:v>42772</c:v>
                </c:pt>
                <c:pt idx="94">
                  <c:v>42779</c:v>
                </c:pt>
                <c:pt idx="95">
                  <c:v>42787</c:v>
                </c:pt>
                <c:pt idx="96">
                  <c:v>42793</c:v>
                </c:pt>
                <c:pt idx="97">
                  <c:v>42800</c:v>
                </c:pt>
                <c:pt idx="98">
                  <c:v>42807</c:v>
                </c:pt>
                <c:pt idx="99">
                  <c:v>42814</c:v>
                </c:pt>
                <c:pt idx="100">
                  <c:v>42821</c:v>
                </c:pt>
                <c:pt idx="101">
                  <c:v>42828</c:v>
                </c:pt>
                <c:pt idx="102">
                  <c:v>42835</c:v>
                </c:pt>
                <c:pt idx="103">
                  <c:v>42842</c:v>
                </c:pt>
                <c:pt idx="104">
                  <c:v>42849</c:v>
                </c:pt>
                <c:pt idx="105">
                  <c:v>42856</c:v>
                </c:pt>
                <c:pt idx="106">
                  <c:v>42863</c:v>
                </c:pt>
                <c:pt idx="107">
                  <c:v>42870</c:v>
                </c:pt>
                <c:pt idx="108">
                  <c:v>42877</c:v>
                </c:pt>
                <c:pt idx="109">
                  <c:v>42885</c:v>
                </c:pt>
                <c:pt idx="110">
                  <c:v>42891</c:v>
                </c:pt>
                <c:pt idx="111">
                  <c:v>42898</c:v>
                </c:pt>
                <c:pt idx="112">
                  <c:v>42905</c:v>
                </c:pt>
                <c:pt idx="113">
                  <c:v>42912</c:v>
                </c:pt>
                <c:pt idx="114">
                  <c:v>42919</c:v>
                </c:pt>
                <c:pt idx="115">
                  <c:v>42926</c:v>
                </c:pt>
                <c:pt idx="116">
                  <c:v>42933</c:v>
                </c:pt>
                <c:pt idx="117">
                  <c:v>42940</c:v>
                </c:pt>
                <c:pt idx="118">
                  <c:v>42947</c:v>
                </c:pt>
                <c:pt idx="119">
                  <c:v>42954</c:v>
                </c:pt>
                <c:pt idx="120">
                  <c:v>42961</c:v>
                </c:pt>
                <c:pt idx="121">
                  <c:v>42968</c:v>
                </c:pt>
                <c:pt idx="122">
                  <c:v>42975</c:v>
                </c:pt>
                <c:pt idx="123">
                  <c:v>42983</c:v>
                </c:pt>
                <c:pt idx="124">
                  <c:v>42989</c:v>
                </c:pt>
                <c:pt idx="125">
                  <c:v>42996</c:v>
                </c:pt>
                <c:pt idx="126">
                  <c:v>43003</c:v>
                </c:pt>
                <c:pt idx="127">
                  <c:v>43010</c:v>
                </c:pt>
                <c:pt idx="128">
                  <c:v>43017</c:v>
                </c:pt>
                <c:pt idx="129">
                  <c:v>43024</c:v>
                </c:pt>
                <c:pt idx="130">
                  <c:v>43031</c:v>
                </c:pt>
                <c:pt idx="131">
                  <c:v>43038</c:v>
                </c:pt>
                <c:pt idx="132">
                  <c:v>43045</c:v>
                </c:pt>
                <c:pt idx="133">
                  <c:v>43052</c:v>
                </c:pt>
                <c:pt idx="134">
                  <c:v>43059</c:v>
                </c:pt>
                <c:pt idx="135">
                  <c:v>43066</c:v>
                </c:pt>
                <c:pt idx="136">
                  <c:v>43073</c:v>
                </c:pt>
                <c:pt idx="137">
                  <c:v>43080</c:v>
                </c:pt>
                <c:pt idx="138">
                  <c:v>43087</c:v>
                </c:pt>
                <c:pt idx="139">
                  <c:v>43095</c:v>
                </c:pt>
                <c:pt idx="140">
                  <c:v>43102</c:v>
                </c:pt>
                <c:pt idx="141">
                  <c:v>43108</c:v>
                </c:pt>
                <c:pt idx="142">
                  <c:v>43116</c:v>
                </c:pt>
                <c:pt idx="143">
                  <c:v>43122</c:v>
                </c:pt>
                <c:pt idx="144">
                  <c:v>43129</c:v>
                </c:pt>
                <c:pt idx="145">
                  <c:v>43136</c:v>
                </c:pt>
                <c:pt idx="146">
                  <c:v>43143</c:v>
                </c:pt>
                <c:pt idx="147">
                  <c:v>43151</c:v>
                </c:pt>
                <c:pt idx="148">
                  <c:v>43157</c:v>
                </c:pt>
                <c:pt idx="149">
                  <c:v>43164</c:v>
                </c:pt>
                <c:pt idx="150">
                  <c:v>43171</c:v>
                </c:pt>
                <c:pt idx="151">
                  <c:v>43178</c:v>
                </c:pt>
                <c:pt idx="152">
                  <c:v>43185</c:v>
                </c:pt>
                <c:pt idx="153">
                  <c:v>43192</c:v>
                </c:pt>
                <c:pt idx="154">
                  <c:v>43199</c:v>
                </c:pt>
                <c:pt idx="155">
                  <c:v>43206</c:v>
                </c:pt>
                <c:pt idx="156">
                  <c:v>43213</c:v>
                </c:pt>
                <c:pt idx="157">
                  <c:v>43220</c:v>
                </c:pt>
                <c:pt idx="158">
                  <c:v>43227</c:v>
                </c:pt>
                <c:pt idx="159">
                  <c:v>43234</c:v>
                </c:pt>
                <c:pt idx="160">
                  <c:v>43241</c:v>
                </c:pt>
                <c:pt idx="161">
                  <c:v>43249</c:v>
                </c:pt>
                <c:pt idx="162">
                  <c:v>43255</c:v>
                </c:pt>
                <c:pt idx="163">
                  <c:v>43262</c:v>
                </c:pt>
                <c:pt idx="164">
                  <c:v>43269</c:v>
                </c:pt>
                <c:pt idx="165">
                  <c:v>43276</c:v>
                </c:pt>
                <c:pt idx="166">
                  <c:v>43283</c:v>
                </c:pt>
                <c:pt idx="167">
                  <c:v>43290</c:v>
                </c:pt>
                <c:pt idx="168">
                  <c:v>43297</c:v>
                </c:pt>
                <c:pt idx="169">
                  <c:v>43304</c:v>
                </c:pt>
                <c:pt idx="170">
                  <c:v>43311</c:v>
                </c:pt>
                <c:pt idx="171">
                  <c:v>43318</c:v>
                </c:pt>
                <c:pt idx="172">
                  <c:v>43325</c:v>
                </c:pt>
                <c:pt idx="173">
                  <c:v>43332</c:v>
                </c:pt>
                <c:pt idx="174">
                  <c:v>43339</c:v>
                </c:pt>
                <c:pt idx="175">
                  <c:v>43347</c:v>
                </c:pt>
                <c:pt idx="176">
                  <c:v>43353</c:v>
                </c:pt>
                <c:pt idx="177">
                  <c:v>43360</c:v>
                </c:pt>
                <c:pt idx="178">
                  <c:v>43367</c:v>
                </c:pt>
                <c:pt idx="179">
                  <c:v>43374</c:v>
                </c:pt>
                <c:pt idx="180">
                  <c:v>43381</c:v>
                </c:pt>
                <c:pt idx="181">
                  <c:v>43388</c:v>
                </c:pt>
                <c:pt idx="182">
                  <c:v>43395</c:v>
                </c:pt>
                <c:pt idx="183">
                  <c:v>43402</c:v>
                </c:pt>
                <c:pt idx="184">
                  <c:v>43409</c:v>
                </c:pt>
                <c:pt idx="185">
                  <c:v>43416</c:v>
                </c:pt>
                <c:pt idx="186">
                  <c:v>43423</c:v>
                </c:pt>
                <c:pt idx="187">
                  <c:v>43430</c:v>
                </c:pt>
                <c:pt idx="188">
                  <c:v>43437</c:v>
                </c:pt>
                <c:pt idx="189">
                  <c:v>43444</c:v>
                </c:pt>
                <c:pt idx="190">
                  <c:v>43451</c:v>
                </c:pt>
                <c:pt idx="191">
                  <c:v>43458</c:v>
                </c:pt>
                <c:pt idx="192">
                  <c:v>43465</c:v>
                </c:pt>
                <c:pt idx="193">
                  <c:v>43472</c:v>
                </c:pt>
                <c:pt idx="194">
                  <c:v>43479</c:v>
                </c:pt>
                <c:pt idx="195">
                  <c:v>43487</c:v>
                </c:pt>
                <c:pt idx="196">
                  <c:v>43493</c:v>
                </c:pt>
                <c:pt idx="197">
                  <c:v>43500</c:v>
                </c:pt>
                <c:pt idx="198">
                  <c:v>43507</c:v>
                </c:pt>
                <c:pt idx="199">
                  <c:v>43515</c:v>
                </c:pt>
                <c:pt idx="200">
                  <c:v>43521</c:v>
                </c:pt>
                <c:pt idx="201">
                  <c:v>43528</c:v>
                </c:pt>
                <c:pt idx="202">
                  <c:v>43535</c:v>
                </c:pt>
                <c:pt idx="203">
                  <c:v>43542</c:v>
                </c:pt>
                <c:pt idx="204">
                  <c:v>43549</c:v>
                </c:pt>
                <c:pt idx="205">
                  <c:v>43556</c:v>
                </c:pt>
                <c:pt idx="206">
                  <c:v>43563</c:v>
                </c:pt>
                <c:pt idx="207">
                  <c:v>43570</c:v>
                </c:pt>
                <c:pt idx="208">
                  <c:v>43577</c:v>
                </c:pt>
                <c:pt idx="209">
                  <c:v>43584</c:v>
                </c:pt>
                <c:pt idx="210">
                  <c:v>43591</c:v>
                </c:pt>
                <c:pt idx="211">
                  <c:v>43598</c:v>
                </c:pt>
                <c:pt idx="212">
                  <c:v>43605</c:v>
                </c:pt>
                <c:pt idx="213">
                  <c:v>43613</c:v>
                </c:pt>
                <c:pt idx="214">
                  <c:v>43619</c:v>
                </c:pt>
                <c:pt idx="215">
                  <c:v>43626</c:v>
                </c:pt>
                <c:pt idx="216">
                  <c:v>43633</c:v>
                </c:pt>
                <c:pt idx="217">
                  <c:v>43640</c:v>
                </c:pt>
                <c:pt idx="218">
                  <c:v>43647</c:v>
                </c:pt>
                <c:pt idx="219">
                  <c:v>43654</c:v>
                </c:pt>
                <c:pt idx="220">
                  <c:v>43661</c:v>
                </c:pt>
                <c:pt idx="221">
                  <c:v>43668</c:v>
                </c:pt>
                <c:pt idx="222">
                  <c:v>43675</c:v>
                </c:pt>
                <c:pt idx="223">
                  <c:v>43682</c:v>
                </c:pt>
                <c:pt idx="224">
                  <c:v>43689</c:v>
                </c:pt>
                <c:pt idx="225">
                  <c:v>43696</c:v>
                </c:pt>
                <c:pt idx="226">
                  <c:v>43703</c:v>
                </c:pt>
                <c:pt idx="227">
                  <c:v>43711</c:v>
                </c:pt>
                <c:pt idx="228">
                  <c:v>43717</c:v>
                </c:pt>
                <c:pt idx="229">
                  <c:v>43724</c:v>
                </c:pt>
                <c:pt idx="230">
                  <c:v>43731</c:v>
                </c:pt>
                <c:pt idx="231">
                  <c:v>43738</c:v>
                </c:pt>
                <c:pt idx="232">
                  <c:v>43745</c:v>
                </c:pt>
                <c:pt idx="233">
                  <c:v>43752</c:v>
                </c:pt>
                <c:pt idx="234">
                  <c:v>43759</c:v>
                </c:pt>
                <c:pt idx="235">
                  <c:v>43766</c:v>
                </c:pt>
                <c:pt idx="236">
                  <c:v>43773</c:v>
                </c:pt>
                <c:pt idx="237">
                  <c:v>43780</c:v>
                </c:pt>
                <c:pt idx="238">
                  <c:v>43787</c:v>
                </c:pt>
                <c:pt idx="239">
                  <c:v>43794</c:v>
                </c:pt>
                <c:pt idx="240">
                  <c:v>43801</c:v>
                </c:pt>
                <c:pt idx="241">
                  <c:v>43808</c:v>
                </c:pt>
                <c:pt idx="242">
                  <c:v>43815</c:v>
                </c:pt>
                <c:pt idx="243">
                  <c:v>43822</c:v>
                </c:pt>
                <c:pt idx="244">
                  <c:v>43829</c:v>
                </c:pt>
                <c:pt idx="245">
                  <c:v>43836</c:v>
                </c:pt>
                <c:pt idx="246">
                  <c:v>43843</c:v>
                </c:pt>
                <c:pt idx="247">
                  <c:v>43851</c:v>
                </c:pt>
                <c:pt idx="248">
                  <c:v>43857</c:v>
                </c:pt>
                <c:pt idx="249">
                  <c:v>43864</c:v>
                </c:pt>
                <c:pt idx="250">
                  <c:v>43871</c:v>
                </c:pt>
                <c:pt idx="251">
                  <c:v>43879</c:v>
                </c:pt>
                <c:pt idx="252">
                  <c:v>43885</c:v>
                </c:pt>
                <c:pt idx="253">
                  <c:v>43892</c:v>
                </c:pt>
                <c:pt idx="254">
                  <c:v>43899</c:v>
                </c:pt>
                <c:pt idx="255">
                  <c:v>43906</c:v>
                </c:pt>
                <c:pt idx="256">
                  <c:v>43913</c:v>
                </c:pt>
                <c:pt idx="257">
                  <c:v>43920</c:v>
                </c:pt>
                <c:pt idx="258">
                  <c:v>43927</c:v>
                </c:pt>
                <c:pt idx="259">
                  <c:v>43934</c:v>
                </c:pt>
                <c:pt idx="260">
                  <c:v>43941</c:v>
                </c:pt>
                <c:pt idx="261">
                  <c:v>43948</c:v>
                </c:pt>
                <c:pt idx="262">
                  <c:v>43955</c:v>
                </c:pt>
                <c:pt idx="263">
                  <c:v>43962</c:v>
                </c:pt>
                <c:pt idx="264">
                  <c:v>43969</c:v>
                </c:pt>
                <c:pt idx="265">
                  <c:v>43977</c:v>
                </c:pt>
                <c:pt idx="266">
                  <c:v>43983</c:v>
                </c:pt>
                <c:pt idx="267">
                  <c:v>43990</c:v>
                </c:pt>
                <c:pt idx="268">
                  <c:v>43997</c:v>
                </c:pt>
                <c:pt idx="269">
                  <c:v>44004</c:v>
                </c:pt>
                <c:pt idx="270">
                  <c:v>44011</c:v>
                </c:pt>
                <c:pt idx="271">
                  <c:v>44018</c:v>
                </c:pt>
                <c:pt idx="272">
                  <c:v>44025</c:v>
                </c:pt>
                <c:pt idx="273">
                  <c:v>44032</c:v>
                </c:pt>
                <c:pt idx="274">
                  <c:v>44039</c:v>
                </c:pt>
                <c:pt idx="275">
                  <c:v>44046</c:v>
                </c:pt>
                <c:pt idx="276">
                  <c:v>44053</c:v>
                </c:pt>
                <c:pt idx="277">
                  <c:v>44060</c:v>
                </c:pt>
                <c:pt idx="278">
                  <c:v>44067</c:v>
                </c:pt>
                <c:pt idx="279">
                  <c:v>44074</c:v>
                </c:pt>
                <c:pt idx="280">
                  <c:v>44082</c:v>
                </c:pt>
                <c:pt idx="281">
                  <c:v>44088</c:v>
                </c:pt>
                <c:pt idx="282">
                  <c:v>44095</c:v>
                </c:pt>
                <c:pt idx="283">
                  <c:v>44102</c:v>
                </c:pt>
                <c:pt idx="284">
                  <c:v>44109</c:v>
                </c:pt>
                <c:pt idx="285">
                  <c:v>44116</c:v>
                </c:pt>
                <c:pt idx="286">
                  <c:v>44123</c:v>
                </c:pt>
                <c:pt idx="287">
                  <c:v>44130</c:v>
                </c:pt>
                <c:pt idx="288">
                  <c:v>44137</c:v>
                </c:pt>
                <c:pt idx="289">
                  <c:v>44144</c:v>
                </c:pt>
                <c:pt idx="290">
                  <c:v>44151</c:v>
                </c:pt>
                <c:pt idx="291">
                  <c:v>44158</c:v>
                </c:pt>
                <c:pt idx="292">
                  <c:v>44165</c:v>
                </c:pt>
                <c:pt idx="293">
                  <c:v>44172</c:v>
                </c:pt>
                <c:pt idx="294">
                  <c:v>44179</c:v>
                </c:pt>
                <c:pt idx="295">
                  <c:v>44186</c:v>
                </c:pt>
                <c:pt idx="296">
                  <c:v>44193</c:v>
                </c:pt>
                <c:pt idx="297">
                  <c:v>44200</c:v>
                </c:pt>
                <c:pt idx="298">
                  <c:v>44207</c:v>
                </c:pt>
                <c:pt idx="299">
                  <c:v>44215</c:v>
                </c:pt>
                <c:pt idx="300">
                  <c:v>44221</c:v>
                </c:pt>
                <c:pt idx="301">
                  <c:v>44228</c:v>
                </c:pt>
                <c:pt idx="302">
                  <c:v>44235</c:v>
                </c:pt>
                <c:pt idx="303">
                  <c:v>44243</c:v>
                </c:pt>
                <c:pt idx="304">
                  <c:v>44249</c:v>
                </c:pt>
                <c:pt idx="305">
                  <c:v>44256</c:v>
                </c:pt>
                <c:pt idx="306">
                  <c:v>44263</c:v>
                </c:pt>
                <c:pt idx="307">
                  <c:v>44270</c:v>
                </c:pt>
                <c:pt idx="308">
                  <c:v>44277</c:v>
                </c:pt>
                <c:pt idx="309">
                  <c:v>44284</c:v>
                </c:pt>
                <c:pt idx="310">
                  <c:v>44291</c:v>
                </c:pt>
                <c:pt idx="311">
                  <c:v>44298</c:v>
                </c:pt>
                <c:pt idx="312">
                  <c:v>44305</c:v>
                </c:pt>
                <c:pt idx="313">
                  <c:v>44312</c:v>
                </c:pt>
                <c:pt idx="314">
                  <c:v>44319</c:v>
                </c:pt>
                <c:pt idx="315">
                  <c:v>44326</c:v>
                </c:pt>
                <c:pt idx="316">
                  <c:v>44333</c:v>
                </c:pt>
                <c:pt idx="317">
                  <c:v>44340</c:v>
                </c:pt>
                <c:pt idx="318">
                  <c:v>44348</c:v>
                </c:pt>
                <c:pt idx="319">
                  <c:v>44354</c:v>
                </c:pt>
                <c:pt idx="320">
                  <c:v>44361</c:v>
                </c:pt>
                <c:pt idx="321">
                  <c:v>44368</c:v>
                </c:pt>
                <c:pt idx="322">
                  <c:v>44375</c:v>
                </c:pt>
                <c:pt idx="323">
                  <c:v>44383</c:v>
                </c:pt>
                <c:pt idx="324">
                  <c:v>44389</c:v>
                </c:pt>
                <c:pt idx="325">
                  <c:v>44396</c:v>
                </c:pt>
                <c:pt idx="326">
                  <c:v>44403</c:v>
                </c:pt>
                <c:pt idx="327">
                  <c:v>44410</c:v>
                </c:pt>
                <c:pt idx="328">
                  <c:v>44417</c:v>
                </c:pt>
                <c:pt idx="329">
                  <c:v>44424</c:v>
                </c:pt>
                <c:pt idx="330">
                  <c:v>44431</c:v>
                </c:pt>
                <c:pt idx="331">
                  <c:v>44438</c:v>
                </c:pt>
                <c:pt idx="332">
                  <c:v>44446</c:v>
                </c:pt>
                <c:pt idx="333">
                  <c:v>44452</c:v>
                </c:pt>
                <c:pt idx="334">
                  <c:v>44459</c:v>
                </c:pt>
                <c:pt idx="335">
                  <c:v>44466</c:v>
                </c:pt>
                <c:pt idx="336">
                  <c:v>44473</c:v>
                </c:pt>
                <c:pt idx="337">
                  <c:v>44480</c:v>
                </c:pt>
                <c:pt idx="338">
                  <c:v>44487</c:v>
                </c:pt>
                <c:pt idx="339">
                  <c:v>44494</c:v>
                </c:pt>
                <c:pt idx="340">
                  <c:v>44501</c:v>
                </c:pt>
                <c:pt idx="341">
                  <c:v>44508</c:v>
                </c:pt>
                <c:pt idx="342">
                  <c:v>44515</c:v>
                </c:pt>
                <c:pt idx="343">
                  <c:v>44522</c:v>
                </c:pt>
                <c:pt idx="344">
                  <c:v>44529</c:v>
                </c:pt>
                <c:pt idx="345">
                  <c:v>44536</c:v>
                </c:pt>
                <c:pt idx="346">
                  <c:v>44543</c:v>
                </c:pt>
                <c:pt idx="347">
                  <c:v>44550</c:v>
                </c:pt>
                <c:pt idx="348">
                  <c:v>44557</c:v>
                </c:pt>
                <c:pt idx="349">
                  <c:v>44564</c:v>
                </c:pt>
                <c:pt idx="350">
                  <c:v>44571</c:v>
                </c:pt>
                <c:pt idx="351">
                  <c:v>44579</c:v>
                </c:pt>
                <c:pt idx="352">
                  <c:v>44585</c:v>
                </c:pt>
                <c:pt idx="353">
                  <c:v>44592</c:v>
                </c:pt>
                <c:pt idx="354">
                  <c:v>44599</c:v>
                </c:pt>
                <c:pt idx="355">
                  <c:v>44606</c:v>
                </c:pt>
                <c:pt idx="356">
                  <c:v>44614</c:v>
                </c:pt>
                <c:pt idx="357">
                  <c:v>44620</c:v>
                </c:pt>
                <c:pt idx="358">
                  <c:v>44627</c:v>
                </c:pt>
                <c:pt idx="359">
                  <c:v>44634</c:v>
                </c:pt>
                <c:pt idx="360">
                  <c:v>44641</c:v>
                </c:pt>
                <c:pt idx="361">
                  <c:v>44648</c:v>
                </c:pt>
                <c:pt idx="362">
                  <c:v>44655</c:v>
                </c:pt>
                <c:pt idx="363">
                  <c:v>44662</c:v>
                </c:pt>
                <c:pt idx="364">
                  <c:v>44669</c:v>
                </c:pt>
                <c:pt idx="365">
                  <c:v>44676</c:v>
                </c:pt>
                <c:pt idx="366">
                  <c:v>44683</c:v>
                </c:pt>
                <c:pt idx="367">
                  <c:v>44690</c:v>
                </c:pt>
                <c:pt idx="368">
                  <c:v>44697</c:v>
                </c:pt>
                <c:pt idx="369">
                  <c:v>44704</c:v>
                </c:pt>
                <c:pt idx="370">
                  <c:v>44712</c:v>
                </c:pt>
                <c:pt idx="371">
                  <c:v>44718</c:v>
                </c:pt>
                <c:pt idx="372">
                  <c:v>44725</c:v>
                </c:pt>
                <c:pt idx="373">
                  <c:v>44733</c:v>
                </c:pt>
                <c:pt idx="374">
                  <c:v>44739</c:v>
                </c:pt>
                <c:pt idx="375">
                  <c:v>44747</c:v>
                </c:pt>
                <c:pt idx="376">
                  <c:v>44753</c:v>
                </c:pt>
                <c:pt idx="377">
                  <c:v>44760</c:v>
                </c:pt>
                <c:pt idx="378">
                  <c:v>44767</c:v>
                </c:pt>
                <c:pt idx="379">
                  <c:v>44774</c:v>
                </c:pt>
                <c:pt idx="380">
                  <c:v>44781</c:v>
                </c:pt>
                <c:pt idx="381">
                  <c:v>44788</c:v>
                </c:pt>
                <c:pt idx="382">
                  <c:v>44795</c:v>
                </c:pt>
                <c:pt idx="383">
                  <c:v>44802</c:v>
                </c:pt>
                <c:pt idx="384">
                  <c:v>44810</c:v>
                </c:pt>
                <c:pt idx="385">
                  <c:v>44816</c:v>
                </c:pt>
                <c:pt idx="386">
                  <c:v>44823</c:v>
                </c:pt>
                <c:pt idx="387">
                  <c:v>44830</c:v>
                </c:pt>
                <c:pt idx="388">
                  <c:v>44837</c:v>
                </c:pt>
                <c:pt idx="389">
                  <c:v>44844</c:v>
                </c:pt>
                <c:pt idx="390">
                  <c:v>44851</c:v>
                </c:pt>
                <c:pt idx="391">
                  <c:v>44858</c:v>
                </c:pt>
                <c:pt idx="392">
                  <c:v>44865</c:v>
                </c:pt>
                <c:pt idx="393">
                  <c:v>44872</c:v>
                </c:pt>
                <c:pt idx="394">
                  <c:v>44879</c:v>
                </c:pt>
                <c:pt idx="395">
                  <c:v>44886</c:v>
                </c:pt>
                <c:pt idx="396">
                  <c:v>44893</c:v>
                </c:pt>
                <c:pt idx="397">
                  <c:v>44900</c:v>
                </c:pt>
                <c:pt idx="398">
                  <c:v>44907</c:v>
                </c:pt>
                <c:pt idx="399">
                  <c:v>44914</c:v>
                </c:pt>
                <c:pt idx="400">
                  <c:v>44922</c:v>
                </c:pt>
                <c:pt idx="401">
                  <c:v>44929</c:v>
                </c:pt>
                <c:pt idx="402">
                  <c:v>44935</c:v>
                </c:pt>
                <c:pt idx="403">
                  <c:v>44943</c:v>
                </c:pt>
                <c:pt idx="404">
                  <c:v>44949</c:v>
                </c:pt>
                <c:pt idx="405">
                  <c:v>44956</c:v>
                </c:pt>
                <c:pt idx="406">
                  <c:v>44963</c:v>
                </c:pt>
                <c:pt idx="407">
                  <c:v>44970</c:v>
                </c:pt>
                <c:pt idx="408">
                  <c:v>44978</c:v>
                </c:pt>
                <c:pt idx="409">
                  <c:v>44984</c:v>
                </c:pt>
                <c:pt idx="410">
                  <c:v>44991</c:v>
                </c:pt>
                <c:pt idx="411">
                  <c:v>44998</c:v>
                </c:pt>
                <c:pt idx="412">
                  <c:v>45005</c:v>
                </c:pt>
                <c:pt idx="413">
                  <c:v>45012</c:v>
                </c:pt>
                <c:pt idx="414">
                  <c:v>45019</c:v>
                </c:pt>
                <c:pt idx="415">
                  <c:v>45026</c:v>
                </c:pt>
                <c:pt idx="416">
                  <c:v>45033</c:v>
                </c:pt>
                <c:pt idx="417">
                  <c:v>45040</c:v>
                </c:pt>
                <c:pt idx="418">
                  <c:v>45047</c:v>
                </c:pt>
                <c:pt idx="419">
                  <c:v>45054</c:v>
                </c:pt>
                <c:pt idx="420">
                  <c:v>45061</c:v>
                </c:pt>
                <c:pt idx="421">
                  <c:v>45068</c:v>
                </c:pt>
                <c:pt idx="422">
                  <c:v>45076</c:v>
                </c:pt>
                <c:pt idx="423">
                  <c:v>45082</c:v>
                </c:pt>
                <c:pt idx="424">
                  <c:v>45089</c:v>
                </c:pt>
                <c:pt idx="425">
                  <c:v>45097</c:v>
                </c:pt>
                <c:pt idx="426">
                  <c:v>45103</c:v>
                </c:pt>
                <c:pt idx="427">
                  <c:v>45110</c:v>
                </c:pt>
                <c:pt idx="428">
                  <c:v>45117</c:v>
                </c:pt>
                <c:pt idx="429">
                  <c:v>45124</c:v>
                </c:pt>
                <c:pt idx="430">
                  <c:v>45131</c:v>
                </c:pt>
                <c:pt idx="431">
                  <c:v>45138</c:v>
                </c:pt>
                <c:pt idx="432">
                  <c:v>45145</c:v>
                </c:pt>
                <c:pt idx="433">
                  <c:v>45152</c:v>
                </c:pt>
                <c:pt idx="434">
                  <c:v>45159</c:v>
                </c:pt>
                <c:pt idx="435">
                  <c:v>45166</c:v>
                </c:pt>
                <c:pt idx="436">
                  <c:v>45174</c:v>
                </c:pt>
                <c:pt idx="437">
                  <c:v>45180</c:v>
                </c:pt>
                <c:pt idx="438">
                  <c:v>45187</c:v>
                </c:pt>
                <c:pt idx="439">
                  <c:v>45194</c:v>
                </c:pt>
                <c:pt idx="440">
                  <c:v>45201</c:v>
                </c:pt>
                <c:pt idx="441">
                  <c:v>45208</c:v>
                </c:pt>
                <c:pt idx="442">
                  <c:v>45215</c:v>
                </c:pt>
                <c:pt idx="443">
                  <c:v>45222</c:v>
                </c:pt>
                <c:pt idx="444">
                  <c:v>45229</c:v>
                </c:pt>
                <c:pt idx="445">
                  <c:v>45236</c:v>
                </c:pt>
                <c:pt idx="446">
                  <c:v>45243</c:v>
                </c:pt>
                <c:pt idx="447">
                  <c:v>45250</c:v>
                </c:pt>
                <c:pt idx="448">
                  <c:v>45257</c:v>
                </c:pt>
                <c:pt idx="449">
                  <c:v>45264</c:v>
                </c:pt>
                <c:pt idx="450">
                  <c:v>45271</c:v>
                </c:pt>
                <c:pt idx="451">
                  <c:v>45278</c:v>
                </c:pt>
                <c:pt idx="452">
                  <c:v>45286</c:v>
                </c:pt>
                <c:pt idx="453">
                  <c:v>45293</c:v>
                </c:pt>
                <c:pt idx="454">
                  <c:v>45299</c:v>
                </c:pt>
                <c:pt idx="455">
                  <c:v>45307</c:v>
                </c:pt>
                <c:pt idx="456">
                  <c:v>45313</c:v>
                </c:pt>
                <c:pt idx="457">
                  <c:v>45320</c:v>
                </c:pt>
                <c:pt idx="458">
                  <c:v>45327</c:v>
                </c:pt>
                <c:pt idx="459">
                  <c:v>45334</c:v>
                </c:pt>
                <c:pt idx="460">
                  <c:v>45342</c:v>
                </c:pt>
                <c:pt idx="461">
                  <c:v>45348</c:v>
                </c:pt>
                <c:pt idx="462">
                  <c:v>45355</c:v>
                </c:pt>
                <c:pt idx="463">
                  <c:v>45362</c:v>
                </c:pt>
                <c:pt idx="464">
                  <c:v>45369</c:v>
                </c:pt>
                <c:pt idx="465">
                  <c:v>45376</c:v>
                </c:pt>
                <c:pt idx="466">
                  <c:v>45383</c:v>
                </c:pt>
                <c:pt idx="467">
                  <c:v>45390</c:v>
                </c:pt>
                <c:pt idx="468">
                  <c:v>45397</c:v>
                </c:pt>
                <c:pt idx="469">
                  <c:v>45404</c:v>
                </c:pt>
                <c:pt idx="470">
                  <c:v>45411</c:v>
                </c:pt>
                <c:pt idx="471">
                  <c:v>45418</c:v>
                </c:pt>
                <c:pt idx="472">
                  <c:v>45425</c:v>
                </c:pt>
                <c:pt idx="473">
                  <c:v>45432</c:v>
                </c:pt>
                <c:pt idx="474">
                  <c:v>45440</c:v>
                </c:pt>
                <c:pt idx="475">
                  <c:v>45446</c:v>
                </c:pt>
                <c:pt idx="476">
                  <c:v>45453</c:v>
                </c:pt>
                <c:pt idx="477">
                  <c:v>45460</c:v>
                </c:pt>
                <c:pt idx="478">
                  <c:v>45467</c:v>
                </c:pt>
                <c:pt idx="479">
                  <c:v>45474</c:v>
                </c:pt>
                <c:pt idx="480">
                  <c:v>45481</c:v>
                </c:pt>
                <c:pt idx="481">
                  <c:v>45488</c:v>
                </c:pt>
                <c:pt idx="482">
                  <c:v>45495</c:v>
                </c:pt>
                <c:pt idx="483">
                  <c:v>45502</c:v>
                </c:pt>
                <c:pt idx="484">
                  <c:v>45509</c:v>
                </c:pt>
                <c:pt idx="485">
                  <c:v>45516</c:v>
                </c:pt>
                <c:pt idx="486">
                  <c:v>45523</c:v>
                </c:pt>
                <c:pt idx="487">
                  <c:v>45530</c:v>
                </c:pt>
                <c:pt idx="488">
                  <c:v>45538</c:v>
                </c:pt>
                <c:pt idx="489">
                  <c:v>45544</c:v>
                </c:pt>
                <c:pt idx="490">
                  <c:v>45551</c:v>
                </c:pt>
                <c:pt idx="491">
                  <c:v>45558</c:v>
                </c:pt>
                <c:pt idx="492">
                  <c:v>45565</c:v>
                </c:pt>
                <c:pt idx="493">
                  <c:v>45572</c:v>
                </c:pt>
                <c:pt idx="494">
                  <c:v>45579</c:v>
                </c:pt>
                <c:pt idx="495">
                  <c:v>45586</c:v>
                </c:pt>
                <c:pt idx="496">
                  <c:v>45593</c:v>
                </c:pt>
                <c:pt idx="497">
                  <c:v>45600</c:v>
                </c:pt>
                <c:pt idx="498">
                  <c:v>45607</c:v>
                </c:pt>
                <c:pt idx="499">
                  <c:v>45614</c:v>
                </c:pt>
                <c:pt idx="500">
                  <c:v>45621</c:v>
                </c:pt>
                <c:pt idx="501">
                  <c:v>45628</c:v>
                </c:pt>
                <c:pt idx="502">
                  <c:v>45635</c:v>
                </c:pt>
                <c:pt idx="503">
                  <c:v>45642</c:v>
                </c:pt>
                <c:pt idx="504">
                  <c:v>45649</c:v>
                </c:pt>
                <c:pt idx="505">
                  <c:v>45656</c:v>
                </c:pt>
                <c:pt idx="506">
                  <c:v>45663</c:v>
                </c:pt>
                <c:pt idx="507">
                  <c:v>45670</c:v>
                </c:pt>
                <c:pt idx="508">
                  <c:v>45678</c:v>
                </c:pt>
                <c:pt idx="509">
                  <c:v>45684</c:v>
                </c:pt>
                <c:pt idx="510">
                  <c:v>45691</c:v>
                </c:pt>
                <c:pt idx="511">
                  <c:v>45698</c:v>
                </c:pt>
                <c:pt idx="512">
                  <c:v>45706</c:v>
                </c:pt>
                <c:pt idx="513">
                  <c:v>45712</c:v>
                </c:pt>
                <c:pt idx="514">
                  <c:v>45719</c:v>
                </c:pt>
                <c:pt idx="515">
                  <c:v>45726</c:v>
                </c:pt>
                <c:pt idx="516">
                  <c:v>45733</c:v>
                </c:pt>
                <c:pt idx="517">
                  <c:v>45740</c:v>
                </c:pt>
                <c:pt idx="518">
                  <c:v>45747</c:v>
                </c:pt>
                <c:pt idx="519">
                  <c:v>45754</c:v>
                </c:pt>
                <c:pt idx="520">
                  <c:v>45761</c:v>
                </c:pt>
                <c:pt idx="521">
                  <c:v>45768</c:v>
                </c:pt>
                <c:pt idx="522">
                  <c:v>45775</c:v>
                </c:pt>
              </c:numCache>
            </c:numRef>
          </c:cat>
          <c:val>
            <c:numRef>
              <c:f>TSLA!$E$7:$E$529</c:f>
              <c:numCache>
                <c:formatCode>_([$$-409]* #,##0.00_);_([$$-409]* \(#,##0.00\);_([$$-409]* "-"??_);_(@_)</c:formatCode>
                <c:ptCount val="523"/>
                <c:pt idx="0">
                  <c:v>15.0685</c:v>
                </c:pt>
                <c:pt idx="1">
                  <c:v>15.7738</c:v>
                </c:pt>
                <c:pt idx="2">
                  <c:v>16.589200000000002</c:v>
                </c:pt>
                <c:pt idx="3">
                  <c:v>16.5152</c:v>
                </c:pt>
                <c:pt idx="4">
                  <c:v>16.719799999999999</c:v>
                </c:pt>
                <c:pt idx="5">
                  <c:v>16.609200000000001</c:v>
                </c:pt>
                <c:pt idx="6">
                  <c:v>16.712499999999999</c:v>
                </c:pt>
                <c:pt idx="7">
                  <c:v>17.500499999999999</c:v>
                </c:pt>
                <c:pt idx="8">
                  <c:v>17.805800000000001</c:v>
                </c:pt>
                <c:pt idx="9">
                  <c:v>18.6678</c:v>
                </c:pt>
                <c:pt idx="10">
                  <c:v>17.276499999999999</c:v>
                </c:pt>
                <c:pt idx="11">
                  <c:v>18.310500000000001</c:v>
                </c:pt>
                <c:pt idx="12">
                  <c:v>17.6938</c:v>
                </c:pt>
                <c:pt idx="13">
                  <c:v>17.743200000000002</c:v>
                </c:pt>
                <c:pt idx="14">
                  <c:v>16.167200000000001</c:v>
                </c:pt>
                <c:pt idx="15">
                  <c:v>16.209800000000001</c:v>
                </c:pt>
                <c:pt idx="16">
                  <c:v>15.384499999999999</c:v>
                </c:pt>
                <c:pt idx="17">
                  <c:v>16.565200000000001</c:v>
                </c:pt>
                <c:pt idx="18">
                  <c:v>16.128499999999999</c:v>
                </c:pt>
                <c:pt idx="19">
                  <c:v>16.682500000000001</c:v>
                </c:pt>
                <c:pt idx="20">
                  <c:v>17.374500000000001</c:v>
                </c:pt>
                <c:pt idx="21">
                  <c:v>17.127199999999998</c:v>
                </c:pt>
                <c:pt idx="22">
                  <c:v>16.5045</c:v>
                </c:pt>
                <c:pt idx="23">
                  <c:v>14.7125</c:v>
                </c:pt>
                <c:pt idx="24">
                  <c:v>15.133800000000001</c:v>
                </c:pt>
                <c:pt idx="25">
                  <c:v>13.9392</c:v>
                </c:pt>
                <c:pt idx="26">
                  <c:v>13.795199999999999</c:v>
                </c:pt>
                <c:pt idx="27">
                  <c:v>15.490500000000001</c:v>
                </c:pt>
                <c:pt idx="28">
                  <c:v>13.8125</c:v>
                </c:pt>
                <c:pt idx="29">
                  <c:v>14.667199999999999</c:v>
                </c:pt>
                <c:pt idx="30">
                  <c:v>15.4405</c:v>
                </c:pt>
                <c:pt idx="31">
                  <c:v>15.358499999999999</c:v>
                </c:pt>
                <c:pt idx="32">
                  <c:v>14.4679</c:v>
                </c:pt>
                <c:pt idx="33">
                  <c:v>15.363799999999999</c:v>
                </c:pt>
                <c:pt idx="34">
                  <c:v>15.3712</c:v>
                </c:pt>
                <c:pt idx="35">
                  <c:v>16.000499999999999</c:v>
                </c:pt>
                <c:pt idx="36">
                  <c:v>14.0665</c:v>
                </c:pt>
                <c:pt idx="37">
                  <c:v>13.665900000000001</c:v>
                </c:pt>
                <c:pt idx="38">
                  <c:v>13.5032</c:v>
                </c:pt>
                <c:pt idx="39">
                  <c:v>12.746499999999999</c:v>
                </c:pt>
                <c:pt idx="40">
                  <c:v>10.8399</c:v>
                </c:pt>
                <c:pt idx="41">
                  <c:v>10.0692</c:v>
                </c:pt>
                <c:pt idx="42">
                  <c:v>11.1052</c:v>
                </c:pt>
                <c:pt idx="43">
                  <c:v>12.6892</c:v>
                </c:pt>
                <c:pt idx="44">
                  <c:v>13.4025</c:v>
                </c:pt>
                <c:pt idx="45">
                  <c:v>13.8332</c:v>
                </c:pt>
                <c:pt idx="46">
                  <c:v>15.5158</c:v>
                </c:pt>
                <c:pt idx="47">
                  <c:v>15.183199999999999</c:v>
                </c:pt>
                <c:pt idx="48">
                  <c:v>15.8392</c:v>
                </c:pt>
                <c:pt idx="49">
                  <c:v>16.671199999999999</c:v>
                </c:pt>
                <c:pt idx="50">
                  <c:v>16.967199999999998</c:v>
                </c:pt>
                <c:pt idx="51">
                  <c:v>16.916499999999999</c:v>
                </c:pt>
                <c:pt idx="52">
                  <c:v>16.0505</c:v>
                </c:pt>
                <c:pt idx="53">
                  <c:v>14.3285</c:v>
                </c:pt>
                <c:pt idx="54">
                  <c:v>13.8405</c:v>
                </c:pt>
                <c:pt idx="55">
                  <c:v>14.6852</c:v>
                </c:pt>
                <c:pt idx="56">
                  <c:v>14.869199999999999</c:v>
                </c:pt>
                <c:pt idx="57">
                  <c:v>14.5992</c:v>
                </c:pt>
                <c:pt idx="58">
                  <c:v>14.585900000000001</c:v>
                </c:pt>
                <c:pt idx="59">
                  <c:v>14.3645</c:v>
                </c:pt>
                <c:pt idx="60">
                  <c:v>12.8765</c:v>
                </c:pt>
                <c:pt idx="61">
                  <c:v>14.433199999999999</c:v>
                </c:pt>
                <c:pt idx="62">
                  <c:v>14.4519</c:v>
                </c:pt>
                <c:pt idx="63">
                  <c:v>14.693199999999999</c:v>
                </c:pt>
                <c:pt idx="64">
                  <c:v>14.8179</c:v>
                </c:pt>
                <c:pt idx="65">
                  <c:v>15.6525</c:v>
                </c:pt>
                <c:pt idx="66">
                  <c:v>15.3352</c:v>
                </c:pt>
                <c:pt idx="67">
                  <c:v>15.0405</c:v>
                </c:pt>
                <c:pt idx="68">
                  <c:v>14.9999</c:v>
                </c:pt>
                <c:pt idx="69">
                  <c:v>14.665900000000001</c:v>
                </c:pt>
                <c:pt idx="70">
                  <c:v>13.1852</c:v>
                </c:pt>
                <c:pt idx="71">
                  <c:v>12.964499999999999</c:v>
                </c:pt>
                <c:pt idx="72">
                  <c:v>13.693199999999999</c:v>
                </c:pt>
                <c:pt idx="73">
                  <c:v>13.8299</c:v>
                </c:pt>
                <c:pt idx="74">
                  <c:v>13.601900000000001</c:v>
                </c:pt>
                <c:pt idx="75">
                  <c:v>13.107200000000001</c:v>
                </c:pt>
                <c:pt idx="76">
                  <c:v>13.1005</c:v>
                </c:pt>
                <c:pt idx="77">
                  <c:v>13.3392</c:v>
                </c:pt>
                <c:pt idx="78">
                  <c:v>13.331200000000001</c:v>
                </c:pt>
                <c:pt idx="79">
                  <c:v>12.703900000000001</c:v>
                </c:pt>
                <c:pt idx="80">
                  <c:v>12.570499999999999</c:v>
                </c:pt>
                <c:pt idx="81">
                  <c:v>12.3345</c:v>
                </c:pt>
                <c:pt idx="82">
                  <c:v>13.1099</c:v>
                </c:pt>
                <c:pt idx="83">
                  <c:v>12.097899999999999</c:v>
                </c:pt>
                <c:pt idx="84">
                  <c:v>12.8119</c:v>
                </c:pt>
                <c:pt idx="85">
                  <c:v>13.4992</c:v>
                </c:pt>
                <c:pt idx="86">
                  <c:v>14.2225</c:v>
                </c:pt>
                <c:pt idx="87">
                  <c:v>14.245900000000001</c:v>
                </c:pt>
                <c:pt idx="88">
                  <c:v>15.267200000000001</c:v>
                </c:pt>
                <c:pt idx="89">
                  <c:v>15.8498</c:v>
                </c:pt>
                <c:pt idx="90">
                  <c:v>16.315200000000001</c:v>
                </c:pt>
                <c:pt idx="91">
                  <c:v>16.863199999999999</c:v>
                </c:pt>
                <c:pt idx="92">
                  <c:v>16.755199999999999</c:v>
                </c:pt>
                <c:pt idx="93">
                  <c:v>17.948499999999999</c:v>
                </c:pt>
                <c:pt idx="94">
                  <c:v>18.148499999999999</c:v>
                </c:pt>
                <c:pt idx="95">
                  <c:v>17.133199999999999</c:v>
                </c:pt>
                <c:pt idx="96">
                  <c:v>16.7712</c:v>
                </c:pt>
                <c:pt idx="97">
                  <c:v>16.245799999999999</c:v>
                </c:pt>
                <c:pt idx="98">
                  <c:v>17.433199999999999</c:v>
                </c:pt>
                <c:pt idx="99">
                  <c:v>17.543800000000001</c:v>
                </c:pt>
                <c:pt idx="100">
                  <c:v>18.553100000000001</c:v>
                </c:pt>
                <c:pt idx="101">
                  <c:v>20.1691</c:v>
                </c:pt>
                <c:pt idx="102">
                  <c:v>20.266500000000001</c:v>
                </c:pt>
                <c:pt idx="103">
                  <c:v>20.373100000000001</c:v>
                </c:pt>
                <c:pt idx="104">
                  <c:v>20.937799999999999</c:v>
                </c:pt>
                <c:pt idx="105">
                  <c:v>20.5565</c:v>
                </c:pt>
                <c:pt idx="106">
                  <c:v>21.6538</c:v>
                </c:pt>
                <c:pt idx="107">
                  <c:v>20.721800000000002</c:v>
                </c:pt>
                <c:pt idx="108">
                  <c:v>21.675799999999999</c:v>
                </c:pt>
                <c:pt idx="109">
                  <c:v>22.656400000000001</c:v>
                </c:pt>
                <c:pt idx="110">
                  <c:v>23.821100000000001</c:v>
                </c:pt>
                <c:pt idx="111">
                  <c:v>24.759799999999998</c:v>
                </c:pt>
                <c:pt idx="112">
                  <c:v>25.563099999999999</c:v>
                </c:pt>
                <c:pt idx="113">
                  <c:v>24.107099999999999</c:v>
                </c:pt>
                <c:pt idx="114">
                  <c:v>20.8811</c:v>
                </c:pt>
                <c:pt idx="115">
                  <c:v>21.851800000000001</c:v>
                </c:pt>
                <c:pt idx="116">
                  <c:v>21.8931</c:v>
                </c:pt>
                <c:pt idx="117">
                  <c:v>22.337800000000001</c:v>
                </c:pt>
                <c:pt idx="118">
                  <c:v>23.793800000000001</c:v>
                </c:pt>
                <c:pt idx="119">
                  <c:v>23.857800000000001</c:v>
                </c:pt>
                <c:pt idx="120">
                  <c:v>23.163799999999998</c:v>
                </c:pt>
                <c:pt idx="121">
                  <c:v>23.203099999999999</c:v>
                </c:pt>
                <c:pt idx="122">
                  <c:v>23.693100000000001</c:v>
                </c:pt>
                <c:pt idx="123">
                  <c:v>22.8931</c:v>
                </c:pt>
                <c:pt idx="124">
                  <c:v>25.320399999999999</c:v>
                </c:pt>
                <c:pt idx="125">
                  <c:v>23.405799999999999</c:v>
                </c:pt>
                <c:pt idx="126">
                  <c:v>22.739799999999999</c:v>
                </c:pt>
                <c:pt idx="127">
                  <c:v>23.791799999999999</c:v>
                </c:pt>
                <c:pt idx="128">
                  <c:v>23.7044</c:v>
                </c:pt>
                <c:pt idx="129">
                  <c:v>23.006399999999999</c:v>
                </c:pt>
                <c:pt idx="130">
                  <c:v>21.391100000000002</c:v>
                </c:pt>
                <c:pt idx="131">
                  <c:v>20.405799999999999</c:v>
                </c:pt>
                <c:pt idx="132">
                  <c:v>20.199100000000001</c:v>
                </c:pt>
                <c:pt idx="133">
                  <c:v>21.0031</c:v>
                </c:pt>
                <c:pt idx="134">
                  <c:v>21.0365</c:v>
                </c:pt>
                <c:pt idx="135">
                  <c:v>20.435099999999998</c:v>
                </c:pt>
                <c:pt idx="136">
                  <c:v>21.008500000000002</c:v>
                </c:pt>
                <c:pt idx="137">
                  <c:v>22.8964</c:v>
                </c:pt>
                <c:pt idx="138">
                  <c:v>21.6798</c:v>
                </c:pt>
                <c:pt idx="139">
                  <c:v>20.756499999999999</c:v>
                </c:pt>
                <c:pt idx="140">
                  <c:v>21.1051</c:v>
                </c:pt>
                <c:pt idx="141">
                  <c:v>22.414400000000001</c:v>
                </c:pt>
                <c:pt idx="142">
                  <c:v>23.334399999999999</c:v>
                </c:pt>
                <c:pt idx="143">
                  <c:v>22.856400000000001</c:v>
                </c:pt>
                <c:pt idx="144">
                  <c:v>22.916399999999999</c:v>
                </c:pt>
                <c:pt idx="145">
                  <c:v>20.694500000000001</c:v>
                </c:pt>
                <c:pt idx="146">
                  <c:v>22.3658</c:v>
                </c:pt>
                <c:pt idx="147">
                  <c:v>23.469799999999999</c:v>
                </c:pt>
                <c:pt idx="148">
                  <c:v>22.341100000000001</c:v>
                </c:pt>
                <c:pt idx="149">
                  <c:v>21.8111</c:v>
                </c:pt>
                <c:pt idx="150">
                  <c:v>21.423100000000002</c:v>
                </c:pt>
                <c:pt idx="151">
                  <c:v>20.102499999999999</c:v>
                </c:pt>
                <c:pt idx="152">
                  <c:v>17.741800000000001</c:v>
                </c:pt>
                <c:pt idx="153">
                  <c:v>19.953099999999999</c:v>
                </c:pt>
                <c:pt idx="154">
                  <c:v>20.022500000000001</c:v>
                </c:pt>
                <c:pt idx="155">
                  <c:v>19.3491</c:v>
                </c:pt>
                <c:pt idx="156">
                  <c:v>19.604800000000001</c:v>
                </c:pt>
                <c:pt idx="157">
                  <c:v>19.605799999999999</c:v>
                </c:pt>
                <c:pt idx="158">
                  <c:v>20.070499999999999</c:v>
                </c:pt>
                <c:pt idx="159">
                  <c:v>18.454499999999999</c:v>
                </c:pt>
                <c:pt idx="160">
                  <c:v>18.5898</c:v>
                </c:pt>
                <c:pt idx="161">
                  <c:v>19.454499999999999</c:v>
                </c:pt>
                <c:pt idx="162">
                  <c:v>21.177099999999999</c:v>
                </c:pt>
                <c:pt idx="163">
                  <c:v>23.877800000000001</c:v>
                </c:pt>
                <c:pt idx="164">
                  <c:v>22.241800000000001</c:v>
                </c:pt>
                <c:pt idx="165">
                  <c:v>22.863099999999999</c:v>
                </c:pt>
                <c:pt idx="166">
                  <c:v>20.5931</c:v>
                </c:pt>
                <c:pt idx="167">
                  <c:v>21.2578</c:v>
                </c:pt>
                <c:pt idx="168">
                  <c:v>20.905100000000001</c:v>
                </c:pt>
                <c:pt idx="169">
                  <c:v>19.811800000000002</c:v>
                </c:pt>
                <c:pt idx="170">
                  <c:v>23.211099999999998</c:v>
                </c:pt>
                <c:pt idx="171">
                  <c:v>23.699100000000001</c:v>
                </c:pt>
                <c:pt idx="172">
                  <c:v>20.366499999999998</c:v>
                </c:pt>
                <c:pt idx="173">
                  <c:v>21.521100000000001</c:v>
                </c:pt>
                <c:pt idx="174">
                  <c:v>20.110499999999998</c:v>
                </c:pt>
                <c:pt idx="175">
                  <c:v>17.549199999999999</c:v>
                </c:pt>
                <c:pt idx="176">
                  <c:v>19.6798</c:v>
                </c:pt>
                <c:pt idx="177">
                  <c:v>19.939800000000002</c:v>
                </c:pt>
                <c:pt idx="178">
                  <c:v>17.651199999999999</c:v>
                </c:pt>
                <c:pt idx="179">
                  <c:v>17.463200000000001</c:v>
                </c:pt>
                <c:pt idx="180">
                  <c:v>17.251799999999999</c:v>
                </c:pt>
                <c:pt idx="181">
                  <c:v>17.333200000000001</c:v>
                </c:pt>
                <c:pt idx="182">
                  <c:v>22.059799999999999</c:v>
                </c:pt>
                <c:pt idx="183">
                  <c:v>23.093800000000002</c:v>
                </c:pt>
                <c:pt idx="184">
                  <c:v>23.367100000000001</c:v>
                </c:pt>
                <c:pt idx="185">
                  <c:v>23.6204</c:v>
                </c:pt>
                <c:pt idx="186">
                  <c:v>21.721800000000002</c:v>
                </c:pt>
                <c:pt idx="187">
                  <c:v>23.365100000000002</c:v>
                </c:pt>
                <c:pt idx="188">
                  <c:v>23.864100000000001</c:v>
                </c:pt>
                <c:pt idx="189">
                  <c:v>24.380400000000002</c:v>
                </c:pt>
                <c:pt idx="190">
                  <c:v>21.317799999999998</c:v>
                </c:pt>
                <c:pt idx="191">
                  <c:v>22.2578</c:v>
                </c:pt>
                <c:pt idx="192">
                  <c:v>21.179099999999998</c:v>
                </c:pt>
                <c:pt idx="193">
                  <c:v>23.150400000000001</c:v>
                </c:pt>
                <c:pt idx="194">
                  <c:v>20.150500000000001</c:v>
                </c:pt>
                <c:pt idx="195">
                  <c:v>19.802499999999998</c:v>
                </c:pt>
                <c:pt idx="196">
                  <c:v>20.813800000000001</c:v>
                </c:pt>
                <c:pt idx="197">
                  <c:v>20.386500000000002</c:v>
                </c:pt>
                <c:pt idx="198">
                  <c:v>20.525099999999998</c:v>
                </c:pt>
                <c:pt idx="199">
                  <c:v>19.647099999999998</c:v>
                </c:pt>
                <c:pt idx="200">
                  <c:v>19.6525</c:v>
                </c:pt>
                <c:pt idx="201">
                  <c:v>18.942499999999999</c:v>
                </c:pt>
                <c:pt idx="202">
                  <c:v>18.361799999999999</c:v>
                </c:pt>
                <c:pt idx="203">
                  <c:v>17.635200000000001</c:v>
                </c:pt>
                <c:pt idx="204">
                  <c:v>18.6571</c:v>
                </c:pt>
                <c:pt idx="205">
                  <c:v>18.330500000000001</c:v>
                </c:pt>
                <c:pt idx="206">
                  <c:v>17.846499999999999</c:v>
                </c:pt>
                <c:pt idx="207">
                  <c:v>18.217199999999998</c:v>
                </c:pt>
                <c:pt idx="208">
                  <c:v>15.675800000000001</c:v>
                </c:pt>
                <c:pt idx="209">
                  <c:v>17.001799999999999</c:v>
                </c:pt>
                <c:pt idx="210">
                  <c:v>15.9678</c:v>
                </c:pt>
                <c:pt idx="211">
                  <c:v>14.0685</c:v>
                </c:pt>
                <c:pt idx="212">
                  <c:v>12.708500000000001</c:v>
                </c:pt>
                <c:pt idx="213">
                  <c:v>12.3439</c:v>
                </c:pt>
                <c:pt idx="214">
                  <c:v>13.6332</c:v>
                </c:pt>
                <c:pt idx="215">
                  <c:v>14.3279</c:v>
                </c:pt>
                <c:pt idx="216">
                  <c:v>14.7905</c:v>
                </c:pt>
                <c:pt idx="217">
                  <c:v>14.8972</c:v>
                </c:pt>
                <c:pt idx="218">
                  <c:v>15.5398</c:v>
                </c:pt>
                <c:pt idx="219">
                  <c:v>16.3385</c:v>
                </c:pt>
                <c:pt idx="220">
                  <c:v>17.2118</c:v>
                </c:pt>
                <c:pt idx="221">
                  <c:v>15.202500000000001</c:v>
                </c:pt>
                <c:pt idx="222">
                  <c:v>15.6225</c:v>
                </c:pt>
                <c:pt idx="223">
                  <c:v>15.667199999999999</c:v>
                </c:pt>
                <c:pt idx="224">
                  <c:v>14.6625</c:v>
                </c:pt>
                <c:pt idx="225">
                  <c:v>14.0932</c:v>
                </c:pt>
                <c:pt idx="226">
                  <c:v>15.0405</c:v>
                </c:pt>
                <c:pt idx="227">
                  <c:v>15.1632</c:v>
                </c:pt>
                <c:pt idx="228">
                  <c:v>16.346499999999999</c:v>
                </c:pt>
                <c:pt idx="229">
                  <c:v>16.0412</c:v>
                </c:pt>
                <c:pt idx="230">
                  <c:v>16.1418</c:v>
                </c:pt>
                <c:pt idx="231">
                  <c:v>15.4285</c:v>
                </c:pt>
                <c:pt idx="232">
                  <c:v>16.5258</c:v>
                </c:pt>
                <c:pt idx="233">
                  <c:v>17.129799999999999</c:v>
                </c:pt>
                <c:pt idx="234">
                  <c:v>21.8751</c:v>
                </c:pt>
                <c:pt idx="235">
                  <c:v>20.8871</c:v>
                </c:pt>
                <c:pt idx="236">
                  <c:v>22.4758</c:v>
                </c:pt>
                <c:pt idx="237">
                  <c:v>23.477799999999998</c:v>
                </c:pt>
                <c:pt idx="238">
                  <c:v>22.202400000000001</c:v>
                </c:pt>
                <c:pt idx="239">
                  <c:v>21.995799999999999</c:v>
                </c:pt>
                <c:pt idx="240">
                  <c:v>22.392399999999999</c:v>
                </c:pt>
                <c:pt idx="241">
                  <c:v>23.892399999999999</c:v>
                </c:pt>
                <c:pt idx="242">
                  <c:v>27.039100000000001</c:v>
                </c:pt>
                <c:pt idx="243">
                  <c:v>28.691700000000001</c:v>
                </c:pt>
                <c:pt idx="244">
                  <c:v>29.5337</c:v>
                </c:pt>
                <c:pt idx="245">
                  <c:v>31.876300000000001</c:v>
                </c:pt>
                <c:pt idx="246">
                  <c:v>34.033000000000001</c:v>
                </c:pt>
                <c:pt idx="247">
                  <c:v>37.654299999999999</c:v>
                </c:pt>
                <c:pt idx="248">
                  <c:v>43.370899999999999</c:v>
                </c:pt>
                <c:pt idx="249">
                  <c:v>49.870800000000003</c:v>
                </c:pt>
                <c:pt idx="250">
                  <c:v>53.334800000000001</c:v>
                </c:pt>
                <c:pt idx="251">
                  <c:v>60.066099999999999</c:v>
                </c:pt>
                <c:pt idx="252">
                  <c:v>44.532200000000003</c:v>
                </c:pt>
                <c:pt idx="253">
                  <c:v>46.898200000000003</c:v>
                </c:pt>
                <c:pt idx="254">
                  <c:v>36.441000000000003</c:v>
                </c:pt>
                <c:pt idx="255">
                  <c:v>28.5017</c:v>
                </c:pt>
                <c:pt idx="256">
                  <c:v>34.290300000000002</c:v>
                </c:pt>
                <c:pt idx="257">
                  <c:v>32.000300000000003</c:v>
                </c:pt>
                <c:pt idx="258">
                  <c:v>38.199599999999997</c:v>
                </c:pt>
                <c:pt idx="259">
                  <c:v>50.258800000000001</c:v>
                </c:pt>
                <c:pt idx="260">
                  <c:v>48.342799999999997</c:v>
                </c:pt>
                <c:pt idx="261">
                  <c:v>46.754199999999997</c:v>
                </c:pt>
                <c:pt idx="262">
                  <c:v>54.627499999999998</c:v>
                </c:pt>
                <c:pt idx="263">
                  <c:v>53.277500000000003</c:v>
                </c:pt>
                <c:pt idx="264">
                  <c:v>54.458100000000002</c:v>
                </c:pt>
                <c:pt idx="265">
                  <c:v>55.6661</c:v>
                </c:pt>
                <c:pt idx="266">
                  <c:v>59.043399999999998</c:v>
                </c:pt>
                <c:pt idx="267">
                  <c:v>62.351399999999998</c:v>
                </c:pt>
                <c:pt idx="268">
                  <c:v>66.725999999999999</c:v>
                </c:pt>
                <c:pt idx="269">
                  <c:v>63.981999999999999</c:v>
                </c:pt>
                <c:pt idx="270">
                  <c:v>80.576499999999996</c:v>
                </c:pt>
                <c:pt idx="271">
                  <c:v>102.9756</c:v>
                </c:pt>
                <c:pt idx="272">
                  <c:v>100.05500000000001</c:v>
                </c:pt>
                <c:pt idx="273">
                  <c:v>94.465699999999998</c:v>
                </c:pt>
                <c:pt idx="274">
                  <c:v>95.382999999999996</c:v>
                </c:pt>
                <c:pt idx="275">
                  <c:v>96.846400000000003</c:v>
                </c:pt>
                <c:pt idx="276">
                  <c:v>110.0462</c:v>
                </c:pt>
                <c:pt idx="277">
                  <c:v>136.66399999999999</c:v>
                </c:pt>
                <c:pt idx="278">
                  <c:v>147.55850000000001</c:v>
                </c:pt>
                <c:pt idx="279">
                  <c:v>139.43860000000001</c:v>
                </c:pt>
                <c:pt idx="280">
                  <c:v>124.2388</c:v>
                </c:pt>
                <c:pt idx="281">
                  <c:v>147.3819</c:v>
                </c:pt>
                <c:pt idx="282">
                  <c:v>135.77860000000001</c:v>
                </c:pt>
                <c:pt idx="283">
                  <c:v>138.36189999999999</c:v>
                </c:pt>
                <c:pt idx="284">
                  <c:v>144.6652</c:v>
                </c:pt>
                <c:pt idx="285">
                  <c:v>146.55520000000001</c:v>
                </c:pt>
                <c:pt idx="286">
                  <c:v>140.20859999999999</c:v>
                </c:pt>
                <c:pt idx="287">
                  <c:v>129.34540000000001</c:v>
                </c:pt>
                <c:pt idx="288">
                  <c:v>143.3152</c:v>
                </c:pt>
                <c:pt idx="289">
                  <c:v>136.1653</c:v>
                </c:pt>
                <c:pt idx="290">
                  <c:v>163.20169999999999</c:v>
                </c:pt>
                <c:pt idx="291">
                  <c:v>195.25139999999999</c:v>
                </c:pt>
                <c:pt idx="292">
                  <c:v>199.678</c:v>
                </c:pt>
                <c:pt idx="293">
                  <c:v>203.328</c:v>
                </c:pt>
                <c:pt idx="294">
                  <c:v>231.6644</c:v>
                </c:pt>
                <c:pt idx="295">
                  <c:v>220.58779999999999</c:v>
                </c:pt>
                <c:pt idx="296">
                  <c:v>235.221</c:v>
                </c:pt>
                <c:pt idx="297">
                  <c:v>293.33710000000002</c:v>
                </c:pt>
                <c:pt idx="298">
                  <c:v>275.38389999999998</c:v>
                </c:pt>
                <c:pt idx="299">
                  <c:v>282.21050000000002</c:v>
                </c:pt>
                <c:pt idx="300">
                  <c:v>264.50740000000002</c:v>
                </c:pt>
                <c:pt idx="301">
                  <c:v>284.07380000000001</c:v>
                </c:pt>
                <c:pt idx="302">
                  <c:v>272.03730000000002</c:v>
                </c:pt>
                <c:pt idx="303">
                  <c:v>260.4307</c:v>
                </c:pt>
                <c:pt idx="304">
                  <c:v>225.1644</c:v>
                </c:pt>
                <c:pt idx="305">
                  <c:v>199.31469999999999</c:v>
                </c:pt>
                <c:pt idx="306">
                  <c:v>231.24100000000001</c:v>
                </c:pt>
                <c:pt idx="307">
                  <c:v>218.2878</c:v>
                </c:pt>
                <c:pt idx="308">
                  <c:v>206.2346</c:v>
                </c:pt>
                <c:pt idx="309">
                  <c:v>220.58109999999999</c:v>
                </c:pt>
                <c:pt idx="310">
                  <c:v>225.6711</c:v>
                </c:pt>
                <c:pt idx="311">
                  <c:v>246.5909</c:v>
                </c:pt>
                <c:pt idx="312">
                  <c:v>243.1309</c:v>
                </c:pt>
                <c:pt idx="313">
                  <c:v>236.4776</c:v>
                </c:pt>
                <c:pt idx="314">
                  <c:v>224.12110000000001</c:v>
                </c:pt>
                <c:pt idx="315">
                  <c:v>196.578</c:v>
                </c:pt>
                <c:pt idx="316">
                  <c:v>193.62469999999999</c:v>
                </c:pt>
                <c:pt idx="317">
                  <c:v>208.40459999999999</c:v>
                </c:pt>
                <c:pt idx="318">
                  <c:v>199.68129999999999</c:v>
                </c:pt>
                <c:pt idx="319">
                  <c:v>203.2946</c:v>
                </c:pt>
                <c:pt idx="320">
                  <c:v>207.7679</c:v>
                </c:pt>
                <c:pt idx="321">
                  <c:v>223.95439999999999</c:v>
                </c:pt>
                <c:pt idx="322">
                  <c:v>226.29769999999999</c:v>
                </c:pt>
                <c:pt idx="323">
                  <c:v>218.9811</c:v>
                </c:pt>
                <c:pt idx="324">
                  <c:v>214.7379</c:v>
                </c:pt>
                <c:pt idx="325">
                  <c:v>214.4579</c:v>
                </c:pt>
                <c:pt idx="326">
                  <c:v>229.06440000000001</c:v>
                </c:pt>
                <c:pt idx="327">
                  <c:v>233.03100000000001</c:v>
                </c:pt>
                <c:pt idx="328">
                  <c:v>239.05430000000001</c:v>
                </c:pt>
                <c:pt idx="329">
                  <c:v>226.75110000000001</c:v>
                </c:pt>
                <c:pt idx="330">
                  <c:v>237.30430000000001</c:v>
                </c:pt>
                <c:pt idx="331">
                  <c:v>244.52090000000001</c:v>
                </c:pt>
                <c:pt idx="332">
                  <c:v>245.42089999999999</c:v>
                </c:pt>
                <c:pt idx="333">
                  <c:v>253.16079999999999</c:v>
                </c:pt>
                <c:pt idx="334">
                  <c:v>258.12740000000002</c:v>
                </c:pt>
                <c:pt idx="335">
                  <c:v>258.40410000000003</c:v>
                </c:pt>
                <c:pt idx="336">
                  <c:v>261.82740000000001</c:v>
                </c:pt>
                <c:pt idx="337">
                  <c:v>281.00720000000001</c:v>
                </c:pt>
                <c:pt idx="338">
                  <c:v>303.22359999999998</c:v>
                </c:pt>
                <c:pt idx="339">
                  <c:v>371.32960000000003</c:v>
                </c:pt>
                <c:pt idx="340">
                  <c:v>407.35930000000002</c:v>
                </c:pt>
                <c:pt idx="341">
                  <c:v>344.4699</c:v>
                </c:pt>
                <c:pt idx="342">
                  <c:v>379.01620000000003</c:v>
                </c:pt>
                <c:pt idx="343">
                  <c:v>360.63639999999998</c:v>
                </c:pt>
                <c:pt idx="344">
                  <c:v>338.32</c:v>
                </c:pt>
                <c:pt idx="345">
                  <c:v>339.00659999999999</c:v>
                </c:pt>
                <c:pt idx="346">
                  <c:v>310.85359999999997</c:v>
                </c:pt>
                <c:pt idx="347">
                  <c:v>355.66309999999999</c:v>
                </c:pt>
                <c:pt idx="348">
                  <c:v>352.25650000000002</c:v>
                </c:pt>
                <c:pt idx="349">
                  <c:v>342.31659999999999</c:v>
                </c:pt>
                <c:pt idx="350">
                  <c:v>349.86649999999997</c:v>
                </c:pt>
                <c:pt idx="351">
                  <c:v>314.6302</c:v>
                </c:pt>
                <c:pt idx="352">
                  <c:v>282.11380000000003</c:v>
                </c:pt>
                <c:pt idx="353">
                  <c:v>307.77030000000002</c:v>
                </c:pt>
                <c:pt idx="354">
                  <c:v>286.66379999999998</c:v>
                </c:pt>
                <c:pt idx="355">
                  <c:v>285.65710000000001</c:v>
                </c:pt>
                <c:pt idx="356">
                  <c:v>269.95400000000001</c:v>
                </c:pt>
                <c:pt idx="357">
                  <c:v>279.42720000000003</c:v>
                </c:pt>
                <c:pt idx="358">
                  <c:v>265.11399999999998</c:v>
                </c:pt>
                <c:pt idx="359">
                  <c:v>301.79360000000003</c:v>
                </c:pt>
                <c:pt idx="360">
                  <c:v>336.8766</c:v>
                </c:pt>
                <c:pt idx="361">
                  <c:v>361.52640000000002</c:v>
                </c:pt>
                <c:pt idx="362">
                  <c:v>341.82659999999998</c:v>
                </c:pt>
                <c:pt idx="363">
                  <c:v>328.33010000000002</c:v>
                </c:pt>
                <c:pt idx="364">
                  <c:v>335.01330000000002</c:v>
                </c:pt>
                <c:pt idx="365">
                  <c:v>290.25040000000001</c:v>
                </c:pt>
                <c:pt idx="366">
                  <c:v>288.5471</c:v>
                </c:pt>
                <c:pt idx="367">
                  <c:v>256.5274</c:v>
                </c:pt>
                <c:pt idx="368">
                  <c:v>221.2978</c:v>
                </c:pt>
                <c:pt idx="369">
                  <c:v>253.20750000000001</c:v>
                </c:pt>
                <c:pt idx="370">
                  <c:v>234.51429999999999</c:v>
                </c:pt>
                <c:pt idx="371">
                  <c:v>232.2277</c:v>
                </c:pt>
                <c:pt idx="372">
                  <c:v>216.7578</c:v>
                </c:pt>
                <c:pt idx="373">
                  <c:v>245.70419999999999</c:v>
                </c:pt>
                <c:pt idx="374">
                  <c:v>227.2611</c:v>
                </c:pt>
                <c:pt idx="375">
                  <c:v>250.76079999999999</c:v>
                </c:pt>
                <c:pt idx="376">
                  <c:v>240.0643</c:v>
                </c:pt>
                <c:pt idx="377">
                  <c:v>272.24059999999997</c:v>
                </c:pt>
                <c:pt idx="378">
                  <c:v>297.14699999999999</c:v>
                </c:pt>
                <c:pt idx="379">
                  <c:v>288.1671</c:v>
                </c:pt>
                <c:pt idx="380">
                  <c:v>300.02699999999999</c:v>
                </c:pt>
                <c:pt idx="381">
                  <c:v>296.66370000000001</c:v>
                </c:pt>
                <c:pt idx="382">
                  <c:v>288.08999999999997</c:v>
                </c:pt>
                <c:pt idx="383">
                  <c:v>270.20999999999998</c:v>
                </c:pt>
                <c:pt idx="384">
                  <c:v>299.68</c:v>
                </c:pt>
                <c:pt idx="385">
                  <c:v>303.35000000000002</c:v>
                </c:pt>
                <c:pt idx="386">
                  <c:v>275.33</c:v>
                </c:pt>
                <c:pt idx="387">
                  <c:v>265.25</c:v>
                </c:pt>
                <c:pt idx="388">
                  <c:v>223.07</c:v>
                </c:pt>
                <c:pt idx="389">
                  <c:v>204.99</c:v>
                </c:pt>
                <c:pt idx="390">
                  <c:v>214.44</c:v>
                </c:pt>
                <c:pt idx="391">
                  <c:v>228.52</c:v>
                </c:pt>
                <c:pt idx="392">
                  <c:v>207.47</c:v>
                </c:pt>
                <c:pt idx="393">
                  <c:v>195.97</c:v>
                </c:pt>
                <c:pt idx="394">
                  <c:v>180.19</c:v>
                </c:pt>
                <c:pt idx="395">
                  <c:v>182.86</c:v>
                </c:pt>
                <c:pt idx="396">
                  <c:v>194.86</c:v>
                </c:pt>
                <c:pt idx="397">
                  <c:v>179.05</c:v>
                </c:pt>
                <c:pt idx="398">
                  <c:v>150.22999999999999</c:v>
                </c:pt>
                <c:pt idx="399">
                  <c:v>123.15</c:v>
                </c:pt>
                <c:pt idx="400">
                  <c:v>123.18</c:v>
                </c:pt>
                <c:pt idx="401">
                  <c:v>113.06</c:v>
                </c:pt>
                <c:pt idx="402">
                  <c:v>122.4</c:v>
                </c:pt>
                <c:pt idx="403">
                  <c:v>133.41999999999999</c:v>
                </c:pt>
                <c:pt idx="404">
                  <c:v>177.9</c:v>
                </c:pt>
                <c:pt idx="405">
                  <c:v>189.98</c:v>
                </c:pt>
                <c:pt idx="406">
                  <c:v>196.89</c:v>
                </c:pt>
                <c:pt idx="407">
                  <c:v>208.31</c:v>
                </c:pt>
                <c:pt idx="408">
                  <c:v>196.88</c:v>
                </c:pt>
                <c:pt idx="409">
                  <c:v>197.79</c:v>
                </c:pt>
                <c:pt idx="410">
                  <c:v>173.44</c:v>
                </c:pt>
                <c:pt idx="411">
                  <c:v>180.13</c:v>
                </c:pt>
                <c:pt idx="412">
                  <c:v>190.41</c:v>
                </c:pt>
                <c:pt idx="413">
                  <c:v>207.46</c:v>
                </c:pt>
                <c:pt idx="414">
                  <c:v>185.06</c:v>
                </c:pt>
                <c:pt idx="415">
                  <c:v>185</c:v>
                </c:pt>
                <c:pt idx="416">
                  <c:v>165.08</c:v>
                </c:pt>
                <c:pt idx="417">
                  <c:v>164.31</c:v>
                </c:pt>
                <c:pt idx="418">
                  <c:v>170.06</c:v>
                </c:pt>
                <c:pt idx="419">
                  <c:v>167.98</c:v>
                </c:pt>
                <c:pt idx="420">
                  <c:v>180.14</c:v>
                </c:pt>
                <c:pt idx="421">
                  <c:v>193.17</c:v>
                </c:pt>
                <c:pt idx="422">
                  <c:v>213.97</c:v>
                </c:pt>
                <c:pt idx="423">
                  <c:v>244.4</c:v>
                </c:pt>
                <c:pt idx="424">
                  <c:v>260.54000000000002</c:v>
                </c:pt>
                <c:pt idx="425">
                  <c:v>256.60000000000002</c:v>
                </c:pt>
                <c:pt idx="426">
                  <c:v>261.77</c:v>
                </c:pt>
                <c:pt idx="427">
                  <c:v>274.43</c:v>
                </c:pt>
                <c:pt idx="428">
                  <c:v>281.38</c:v>
                </c:pt>
                <c:pt idx="429">
                  <c:v>260.02</c:v>
                </c:pt>
                <c:pt idx="430">
                  <c:v>266.44</c:v>
                </c:pt>
                <c:pt idx="431">
                  <c:v>253.86</c:v>
                </c:pt>
                <c:pt idx="432">
                  <c:v>242.65</c:v>
                </c:pt>
                <c:pt idx="433">
                  <c:v>215.49</c:v>
                </c:pt>
                <c:pt idx="434">
                  <c:v>238.59</c:v>
                </c:pt>
                <c:pt idx="435">
                  <c:v>245.01</c:v>
                </c:pt>
                <c:pt idx="436">
                  <c:v>248.5</c:v>
                </c:pt>
                <c:pt idx="437">
                  <c:v>274.39</c:v>
                </c:pt>
                <c:pt idx="438">
                  <c:v>244.88</c:v>
                </c:pt>
                <c:pt idx="439">
                  <c:v>250.22</c:v>
                </c:pt>
                <c:pt idx="440">
                  <c:v>260.52999999999997</c:v>
                </c:pt>
                <c:pt idx="441">
                  <c:v>251.12</c:v>
                </c:pt>
                <c:pt idx="442">
                  <c:v>211.99</c:v>
                </c:pt>
                <c:pt idx="443">
                  <c:v>207.3</c:v>
                </c:pt>
                <c:pt idx="444">
                  <c:v>219.96</c:v>
                </c:pt>
                <c:pt idx="445">
                  <c:v>214.65</c:v>
                </c:pt>
                <c:pt idx="446">
                  <c:v>234.3</c:v>
                </c:pt>
                <c:pt idx="447">
                  <c:v>235.45</c:v>
                </c:pt>
                <c:pt idx="448">
                  <c:v>238.83</c:v>
                </c:pt>
                <c:pt idx="449">
                  <c:v>243.84</c:v>
                </c:pt>
                <c:pt idx="450">
                  <c:v>253.5</c:v>
                </c:pt>
                <c:pt idx="451">
                  <c:v>252.54</c:v>
                </c:pt>
                <c:pt idx="452">
                  <c:v>248.48</c:v>
                </c:pt>
                <c:pt idx="453">
                  <c:v>237.49</c:v>
                </c:pt>
                <c:pt idx="454">
                  <c:v>218.89</c:v>
                </c:pt>
                <c:pt idx="455">
                  <c:v>212.19</c:v>
                </c:pt>
                <c:pt idx="456">
                  <c:v>183.25</c:v>
                </c:pt>
                <c:pt idx="457">
                  <c:v>187.91</c:v>
                </c:pt>
                <c:pt idx="458">
                  <c:v>193.57</c:v>
                </c:pt>
                <c:pt idx="459">
                  <c:v>199.95</c:v>
                </c:pt>
                <c:pt idx="460">
                  <c:v>191.97</c:v>
                </c:pt>
                <c:pt idx="461">
                  <c:v>202.64</c:v>
                </c:pt>
                <c:pt idx="462">
                  <c:v>175.34</c:v>
                </c:pt>
                <c:pt idx="463">
                  <c:v>163.57</c:v>
                </c:pt>
                <c:pt idx="464">
                  <c:v>170.83</c:v>
                </c:pt>
                <c:pt idx="465">
                  <c:v>175.79</c:v>
                </c:pt>
                <c:pt idx="466">
                  <c:v>164.9</c:v>
                </c:pt>
                <c:pt idx="467">
                  <c:v>171.05</c:v>
                </c:pt>
                <c:pt idx="468">
                  <c:v>147.05000000000001</c:v>
                </c:pt>
                <c:pt idx="469">
                  <c:v>168.29</c:v>
                </c:pt>
                <c:pt idx="470">
                  <c:v>181.19</c:v>
                </c:pt>
                <c:pt idx="471">
                  <c:v>168.47</c:v>
                </c:pt>
                <c:pt idx="472">
                  <c:v>177.46</c:v>
                </c:pt>
                <c:pt idx="473">
                  <c:v>179.24</c:v>
                </c:pt>
                <c:pt idx="474">
                  <c:v>178.08</c:v>
                </c:pt>
                <c:pt idx="475">
                  <c:v>177.48</c:v>
                </c:pt>
                <c:pt idx="476">
                  <c:v>178.01</c:v>
                </c:pt>
                <c:pt idx="477">
                  <c:v>183.01</c:v>
                </c:pt>
                <c:pt idx="478">
                  <c:v>197.88</c:v>
                </c:pt>
                <c:pt idx="479">
                  <c:v>251.52</c:v>
                </c:pt>
                <c:pt idx="480">
                  <c:v>248.23</c:v>
                </c:pt>
                <c:pt idx="481">
                  <c:v>239.2</c:v>
                </c:pt>
                <c:pt idx="482">
                  <c:v>219.8</c:v>
                </c:pt>
                <c:pt idx="483">
                  <c:v>207.67</c:v>
                </c:pt>
                <c:pt idx="484">
                  <c:v>200</c:v>
                </c:pt>
                <c:pt idx="485">
                  <c:v>216.12</c:v>
                </c:pt>
                <c:pt idx="486">
                  <c:v>220.32</c:v>
                </c:pt>
                <c:pt idx="487">
                  <c:v>214.11</c:v>
                </c:pt>
                <c:pt idx="488">
                  <c:v>210.73</c:v>
                </c:pt>
                <c:pt idx="489">
                  <c:v>230.29</c:v>
                </c:pt>
                <c:pt idx="490">
                  <c:v>238.25</c:v>
                </c:pt>
                <c:pt idx="491">
                  <c:v>260.45999999999998</c:v>
                </c:pt>
                <c:pt idx="492">
                  <c:v>250.08</c:v>
                </c:pt>
                <c:pt idx="493">
                  <c:v>217.8</c:v>
                </c:pt>
                <c:pt idx="494">
                  <c:v>220.7</c:v>
                </c:pt>
                <c:pt idx="495">
                  <c:v>269.19</c:v>
                </c:pt>
                <c:pt idx="496">
                  <c:v>248.98</c:v>
                </c:pt>
                <c:pt idx="497">
                  <c:v>321.22000000000003</c:v>
                </c:pt>
                <c:pt idx="498">
                  <c:v>320.72000000000003</c:v>
                </c:pt>
                <c:pt idx="499">
                  <c:v>352.56</c:v>
                </c:pt>
                <c:pt idx="500">
                  <c:v>345.16</c:v>
                </c:pt>
                <c:pt idx="501">
                  <c:v>389.22</c:v>
                </c:pt>
                <c:pt idx="502">
                  <c:v>436.23</c:v>
                </c:pt>
                <c:pt idx="503">
                  <c:v>421.06</c:v>
                </c:pt>
                <c:pt idx="504">
                  <c:v>431.66</c:v>
                </c:pt>
                <c:pt idx="505">
                  <c:v>410.44</c:v>
                </c:pt>
                <c:pt idx="506">
                  <c:v>394.74</c:v>
                </c:pt>
                <c:pt idx="507">
                  <c:v>426.5</c:v>
                </c:pt>
                <c:pt idx="508">
                  <c:v>406.58</c:v>
                </c:pt>
                <c:pt idx="509">
                  <c:v>404.6</c:v>
                </c:pt>
                <c:pt idx="510">
                  <c:v>361.62</c:v>
                </c:pt>
                <c:pt idx="511">
                  <c:v>355.84</c:v>
                </c:pt>
                <c:pt idx="512">
                  <c:v>337.8</c:v>
                </c:pt>
                <c:pt idx="513">
                  <c:v>292.98</c:v>
                </c:pt>
                <c:pt idx="514">
                  <c:v>262.67</c:v>
                </c:pt>
                <c:pt idx="515">
                  <c:v>249.98</c:v>
                </c:pt>
                <c:pt idx="516">
                  <c:v>248.71</c:v>
                </c:pt>
                <c:pt idx="517">
                  <c:v>263.55</c:v>
                </c:pt>
                <c:pt idx="518">
                  <c:v>239.43</c:v>
                </c:pt>
                <c:pt idx="519">
                  <c:v>252.31</c:v>
                </c:pt>
                <c:pt idx="520">
                  <c:v>241.37</c:v>
                </c:pt>
                <c:pt idx="521">
                  <c:v>284.95</c:v>
                </c:pt>
                <c:pt idx="522">
                  <c:v>287.20999999999998</c:v>
                </c:pt>
              </c:numCache>
            </c:numRef>
          </c:val>
          <c:smooth val="0"/>
          <c:extLst>
            <c:ext xmlns:c16="http://schemas.microsoft.com/office/drawing/2014/chart" uri="{C3380CC4-5D6E-409C-BE32-E72D297353CC}">
              <c16:uniqueId val="{00000000-3872-4EF9-A2D9-23AD331B30E6}"/>
            </c:ext>
          </c:extLst>
        </c:ser>
        <c:dLbls>
          <c:showLegendKey val="0"/>
          <c:showVal val="0"/>
          <c:showCatName val="0"/>
          <c:showSerName val="0"/>
          <c:showPercent val="0"/>
          <c:showBubbleSize val="0"/>
        </c:dLbls>
        <c:smooth val="0"/>
        <c:axId val="171656927"/>
        <c:axId val="171657407"/>
      </c:lineChart>
      <c:dateAx>
        <c:axId val="17165692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Date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m/d/yy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657407"/>
        <c:crosses val="autoZero"/>
        <c:auto val="1"/>
        <c:lblOffset val="100"/>
        <c:baseTimeUnit val="days"/>
      </c:dateAx>
      <c:valAx>
        <c:axId val="17165740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Price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409]* #,##0.00_);_([$$-409]* \(#,##0.00\);_([$$-409]*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656927"/>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MSTR Closing Stock Price History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cked"/>
        <c:varyColors val="0"/>
        <c:ser>
          <c:idx val="0"/>
          <c:order val="0"/>
          <c:spPr>
            <a:ln w="28575" cap="rnd">
              <a:solidFill>
                <a:schemeClr val="accent1"/>
              </a:solidFill>
              <a:round/>
            </a:ln>
            <a:effectLst/>
          </c:spPr>
          <c:marker>
            <c:symbol val="none"/>
          </c:marker>
          <c:val>
            <c:numRef>
              <c:f>MSTR!$D$6:$D$6</c:f>
              <c:numCache>
                <c:formatCode>General</c:formatCode>
                <c:ptCount val="1"/>
                <c:pt idx="0">
                  <c:v>0</c:v>
                </c:pt>
              </c:numCache>
            </c:numRef>
          </c:val>
          <c:smooth val="0"/>
          <c:extLst>
            <c:ext xmlns:c16="http://schemas.microsoft.com/office/drawing/2014/chart" uri="{C3380CC4-5D6E-409C-BE32-E72D297353CC}">
              <c16:uniqueId val="{00000000-AF14-4909-9CDA-AF230831E0E7}"/>
            </c:ext>
          </c:extLst>
        </c:ser>
        <c:ser>
          <c:idx val="1"/>
          <c:order val="1"/>
          <c:spPr>
            <a:ln w="28575" cap="rnd">
              <a:solidFill>
                <a:schemeClr val="accent2"/>
              </a:solidFill>
              <a:round/>
            </a:ln>
            <a:effectLst/>
          </c:spPr>
          <c:marker>
            <c:symbol val="none"/>
          </c:marker>
          <c:val>
            <c:numRef>
              <c:f>MSTR!$E$6:$E$6</c:f>
              <c:numCache>
                <c:formatCode>General</c:formatCode>
                <c:ptCount val="1"/>
                <c:pt idx="0">
                  <c:v>0</c:v>
                </c:pt>
              </c:numCache>
            </c:numRef>
          </c:val>
          <c:smooth val="0"/>
          <c:extLst>
            <c:ext xmlns:c16="http://schemas.microsoft.com/office/drawing/2014/chart" uri="{C3380CC4-5D6E-409C-BE32-E72D297353CC}">
              <c16:uniqueId val="{00000001-AF14-4909-9CDA-AF230831E0E7}"/>
            </c:ext>
          </c:extLst>
        </c:ser>
        <c:dLbls>
          <c:showLegendKey val="0"/>
          <c:showVal val="0"/>
          <c:showCatName val="0"/>
          <c:showSerName val="0"/>
          <c:showPercent val="0"/>
          <c:showBubbleSize val="0"/>
        </c:dLbls>
        <c:smooth val="0"/>
        <c:axId val="239767583"/>
        <c:axId val="239767103"/>
      </c:lineChart>
      <c:catAx>
        <c:axId val="23976758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Date</a:t>
                </a:r>
              </a:p>
            </c:rich>
          </c:tx>
          <c:layout>
            <c:manualLayout>
              <c:xMode val="edge"/>
              <c:yMode val="edge"/>
              <c:x val="0.47468000874890637"/>
              <c:y val="0.89256926217556143"/>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m/d/yy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9767103"/>
        <c:crosses val="autoZero"/>
        <c:auto val="1"/>
        <c:lblAlgn val="ctr"/>
        <c:lblOffset val="100"/>
        <c:noMultiLvlLbl val="0"/>
      </c:catAx>
      <c:valAx>
        <c:axId val="23976710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Price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9767583"/>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MSTR Closing</a:t>
            </a:r>
            <a:r>
              <a:rPr lang="en-US" baseline="0"/>
              <a:t> Stock Price 10 Year History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cked"/>
        <c:varyColors val="0"/>
        <c:ser>
          <c:idx val="0"/>
          <c:order val="0"/>
          <c:tx>
            <c:strRef>
              <c:f>MSTR!$E$6</c:f>
              <c:strCache>
                <c:ptCount val="1"/>
                <c:pt idx="0">
                  <c:v>Close</c:v>
                </c:pt>
              </c:strCache>
            </c:strRef>
          </c:tx>
          <c:spPr>
            <a:ln w="28575" cap="rnd">
              <a:solidFill>
                <a:schemeClr val="accent1"/>
              </a:solidFill>
              <a:round/>
            </a:ln>
            <a:effectLst/>
          </c:spPr>
          <c:marker>
            <c:symbol val="none"/>
          </c:marker>
          <c:cat>
            <c:numRef>
              <c:f>MSTR!$D$7:$D$529</c:f>
              <c:numCache>
                <c:formatCode>m/d/yyyy</c:formatCode>
                <c:ptCount val="523"/>
                <c:pt idx="0">
                  <c:v>42121</c:v>
                </c:pt>
                <c:pt idx="1">
                  <c:v>42128</c:v>
                </c:pt>
                <c:pt idx="2">
                  <c:v>42135</c:v>
                </c:pt>
                <c:pt idx="3">
                  <c:v>42142</c:v>
                </c:pt>
                <c:pt idx="4">
                  <c:v>42150</c:v>
                </c:pt>
                <c:pt idx="5">
                  <c:v>42156</c:v>
                </c:pt>
                <c:pt idx="6">
                  <c:v>42163</c:v>
                </c:pt>
                <c:pt idx="7">
                  <c:v>42170</c:v>
                </c:pt>
                <c:pt idx="8">
                  <c:v>42177</c:v>
                </c:pt>
                <c:pt idx="9">
                  <c:v>42184</c:v>
                </c:pt>
                <c:pt idx="10">
                  <c:v>42191</c:v>
                </c:pt>
                <c:pt idx="11">
                  <c:v>42198</c:v>
                </c:pt>
                <c:pt idx="12">
                  <c:v>42205</c:v>
                </c:pt>
                <c:pt idx="13">
                  <c:v>42212</c:v>
                </c:pt>
                <c:pt idx="14">
                  <c:v>42219</c:v>
                </c:pt>
                <c:pt idx="15">
                  <c:v>42226</c:v>
                </c:pt>
                <c:pt idx="16">
                  <c:v>42233</c:v>
                </c:pt>
                <c:pt idx="17">
                  <c:v>42240</c:v>
                </c:pt>
                <c:pt idx="18">
                  <c:v>42247</c:v>
                </c:pt>
                <c:pt idx="19">
                  <c:v>42255</c:v>
                </c:pt>
                <c:pt idx="20">
                  <c:v>42261</c:v>
                </c:pt>
                <c:pt idx="21">
                  <c:v>42268</c:v>
                </c:pt>
                <c:pt idx="22">
                  <c:v>42275</c:v>
                </c:pt>
                <c:pt idx="23">
                  <c:v>42282</c:v>
                </c:pt>
                <c:pt idx="24">
                  <c:v>42289</c:v>
                </c:pt>
                <c:pt idx="25">
                  <c:v>42296</c:v>
                </c:pt>
                <c:pt idx="26">
                  <c:v>42303</c:v>
                </c:pt>
                <c:pt idx="27">
                  <c:v>42310</c:v>
                </c:pt>
                <c:pt idx="28">
                  <c:v>42317</c:v>
                </c:pt>
                <c:pt idx="29">
                  <c:v>42324</c:v>
                </c:pt>
                <c:pt idx="30">
                  <c:v>42331</c:v>
                </c:pt>
                <c:pt idx="31">
                  <c:v>42338</c:v>
                </c:pt>
                <c:pt idx="32">
                  <c:v>42345</c:v>
                </c:pt>
                <c:pt idx="33">
                  <c:v>42352</c:v>
                </c:pt>
                <c:pt idx="34">
                  <c:v>42359</c:v>
                </c:pt>
                <c:pt idx="35">
                  <c:v>42366</c:v>
                </c:pt>
                <c:pt idx="36">
                  <c:v>42373</c:v>
                </c:pt>
                <c:pt idx="37">
                  <c:v>42380</c:v>
                </c:pt>
                <c:pt idx="38">
                  <c:v>42388</c:v>
                </c:pt>
                <c:pt idx="39">
                  <c:v>42394</c:v>
                </c:pt>
                <c:pt idx="40">
                  <c:v>42401</c:v>
                </c:pt>
                <c:pt idx="41">
                  <c:v>42408</c:v>
                </c:pt>
                <c:pt idx="42">
                  <c:v>42416</c:v>
                </c:pt>
                <c:pt idx="43">
                  <c:v>42422</c:v>
                </c:pt>
                <c:pt idx="44">
                  <c:v>42429</c:v>
                </c:pt>
                <c:pt idx="45">
                  <c:v>42436</c:v>
                </c:pt>
                <c:pt idx="46">
                  <c:v>42443</c:v>
                </c:pt>
                <c:pt idx="47">
                  <c:v>42450</c:v>
                </c:pt>
                <c:pt idx="48">
                  <c:v>42457</c:v>
                </c:pt>
                <c:pt idx="49">
                  <c:v>42464</c:v>
                </c:pt>
                <c:pt idx="50">
                  <c:v>42471</c:v>
                </c:pt>
                <c:pt idx="51">
                  <c:v>42478</c:v>
                </c:pt>
                <c:pt idx="52">
                  <c:v>42485</c:v>
                </c:pt>
                <c:pt idx="53">
                  <c:v>42492</c:v>
                </c:pt>
                <c:pt idx="54">
                  <c:v>42499</c:v>
                </c:pt>
                <c:pt idx="55">
                  <c:v>42506</c:v>
                </c:pt>
                <c:pt idx="56">
                  <c:v>42513</c:v>
                </c:pt>
                <c:pt idx="57">
                  <c:v>42521</c:v>
                </c:pt>
                <c:pt idx="58">
                  <c:v>42527</c:v>
                </c:pt>
                <c:pt idx="59">
                  <c:v>42534</c:v>
                </c:pt>
                <c:pt idx="60">
                  <c:v>42541</c:v>
                </c:pt>
                <c:pt idx="61">
                  <c:v>42548</c:v>
                </c:pt>
                <c:pt idx="62">
                  <c:v>42556</c:v>
                </c:pt>
                <c:pt idx="63">
                  <c:v>42562</c:v>
                </c:pt>
                <c:pt idx="64">
                  <c:v>42569</c:v>
                </c:pt>
                <c:pt idx="65">
                  <c:v>42576</c:v>
                </c:pt>
                <c:pt idx="66">
                  <c:v>42583</c:v>
                </c:pt>
                <c:pt idx="67">
                  <c:v>42590</c:v>
                </c:pt>
                <c:pt idx="68">
                  <c:v>42597</c:v>
                </c:pt>
                <c:pt idx="69">
                  <c:v>42604</c:v>
                </c:pt>
                <c:pt idx="70">
                  <c:v>42611</c:v>
                </c:pt>
                <c:pt idx="71">
                  <c:v>42619</c:v>
                </c:pt>
                <c:pt idx="72">
                  <c:v>42625</c:v>
                </c:pt>
                <c:pt idx="73">
                  <c:v>42632</c:v>
                </c:pt>
                <c:pt idx="74">
                  <c:v>42639</c:v>
                </c:pt>
                <c:pt idx="75">
                  <c:v>42646</c:v>
                </c:pt>
                <c:pt idx="76">
                  <c:v>42653</c:v>
                </c:pt>
                <c:pt idx="77">
                  <c:v>42660</c:v>
                </c:pt>
                <c:pt idx="78">
                  <c:v>42667</c:v>
                </c:pt>
                <c:pt idx="79">
                  <c:v>42674</c:v>
                </c:pt>
                <c:pt idx="80">
                  <c:v>42681</c:v>
                </c:pt>
                <c:pt idx="81">
                  <c:v>42688</c:v>
                </c:pt>
                <c:pt idx="82">
                  <c:v>42695</c:v>
                </c:pt>
                <c:pt idx="83">
                  <c:v>42702</c:v>
                </c:pt>
                <c:pt idx="84">
                  <c:v>42709</c:v>
                </c:pt>
                <c:pt idx="85">
                  <c:v>42716</c:v>
                </c:pt>
                <c:pt idx="86">
                  <c:v>42723</c:v>
                </c:pt>
                <c:pt idx="87">
                  <c:v>42731</c:v>
                </c:pt>
                <c:pt idx="88">
                  <c:v>42738</c:v>
                </c:pt>
                <c:pt idx="89">
                  <c:v>42744</c:v>
                </c:pt>
                <c:pt idx="90">
                  <c:v>42752</c:v>
                </c:pt>
                <c:pt idx="91">
                  <c:v>42758</c:v>
                </c:pt>
                <c:pt idx="92">
                  <c:v>42765</c:v>
                </c:pt>
                <c:pt idx="93">
                  <c:v>42772</c:v>
                </c:pt>
                <c:pt idx="94">
                  <c:v>42779</c:v>
                </c:pt>
                <c:pt idx="95">
                  <c:v>42787</c:v>
                </c:pt>
                <c:pt idx="96">
                  <c:v>42793</c:v>
                </c:pt>
                <c:pt idx="97">
                  <c:v>42800</c:v>
                </c:pt>
                <c:pt idx="98">
                  <c:v>42807</c:v>
                </c:pt>
                <c:pt idx="99">
                  <c:v>42814</c:v>
                </c:pt>
                <c:pt idx="100">
                  <c:v>42821</c:v>
                </c:pt>
                <c:pt idx="101">
                  <c:v>42828</c:v>
                </c:pt>
                <c:pt idx="102">
                  <c:v>42835</c:v>
                </c:pt>
                <c:pt idx="103">
                  <c:v>42842</c:v>
                </c:pt>
                <c:pt idx="104">
                  <c:v>42849</c:v>
                </c:pt>
                <c:pt idx="105">
                  <c:v>42856</c:v>
                </c:pt>
                <c:pt idx="106">
                  <c:v>42863</c:v>
                </c:pt>
                <c:pt idx="107">
                  <c:v>42870</c:v>
                </c:pt>
                <c:pt idx="108">
                  <c:v>42877</c:v>
                </c:pt>
                <c:pt idx="109">
                  <c:v>42885</c:v>
                </c:pt>
                <c:pt idx="110">
                  <c:v>42891</c:v>
                </c:pt>
                <c:pt idx="111">
                  <c:v>42898</c:v>
                </c:pt>
                <c:pt idx="112">
                  <c:v>42905</c:v>
                </c:pt>
                <c:pt idx="113">
                  <c:v>42912</c:v>
                </c:pt>
                <c:pt idx="114">
                  <c:v>42919</c:v>
                </c:pt>
                <c:pt idx="115">
                  <c:v>42926</c:v>
                </c:pt>
                <c:pt idx="116">
                  <c:v>42933</c:v>
                </c:pt>
                <c:pt idx="117">
                  <c:v>42940</c:v>
                </c:pt>
                <c:pt idx="118">
                  <c:v>42947</c:v>
                </c:pt>
                <c:pt idx="119">
                  <c:v>42954</c:v>
                </c:pt>
                <c:pt idx="120">
                  <c:v>42961</c:v>
                </c:pt>
                <c:pt idx="121">
                  <c:v>42968</c:v>
                </c:pt>
                <c:pt idx="122">
                  <c:v>42975</c:v>
                </c:pt>
                <c:pt idx="123">
                  <c:v>42983</c:v>
                </c:pt>
                <c:pt idx="124">
                  <c:v>42989</c:v>
                </c:pt>
                <c:pt idx="125">
                  <c:v>42996</c:v>
                </c:pt>
                <c:pt idx="126">
                  <c:v>43003</c:v>
                </c:pt>
                <c:pt idx="127">
                  <c:v>43010</c:v>
                </c:pt>
                <c:pt idx="128">
                  <c:v>43017</c:v>
                </c:pt>
                <c:pt idx="129">
                  <c:v>43024</c:v>
                </c:pt>
                <c:pt idx="130">
                  <c:v>43031</c:v>
                </c:pt>
                <c:pt idx="131">
                  <c:v>43038</c:v>
                </c:pt>
                <c:pt idx="132">
                  <c:v>43045</c:v>
                </c:pt>
                <c:pt idx="133">
                  <c:v>43052</c:v>
                </c:pt>
                <c:pt idx="134">
                  <c:v>43059</c:v>
                </c:pt>
                <c:pt idx="135">
                  <c:v>43066</c:v>
                </c:pt>
                <c:pt idx="136">
                  <c:v>43073</c:v>
                </c:pt>
                <c:pt idx="137">
                  <c:v>43080</c:v>
                </c:pt>
                <c:pt idx="138">
                  <c:v>43087</c:v>
                </c:pt>
                <c:pt idx="139">
                  <c:v>43095</c:v>
                </c:pt>
                <c:pt idx="140">
                  <c:v>43102</c:v>
                </c:pt>
                <c:pt idx="141">
                  <c:v>43108</c:v>
                </c:pt>
                <c:pt idx="142">
                  <c:v>43116</c:v>
                </c:pt>
                <c:pt idx="143">
                  <c:v>43122</c:v>
                </c:pt>
                <c:pt idx="144">
                  <c:v>43129</c:v>
                </c:pt>
                <c:pt idx="145">
                  <c:v>43136</c:v>
                </c:pt>
                <c:pt idx="146">
                  <c:v>43143</c:v>
                </c:pt>
                <c:pt idx="147">
                  <c:v>43151</c:v>
                </c:pt>
                <c:pt idx="148">
                  <c:v>43157</c:v>
                </c:pt>
                <c:pt idx="149">
                  <c:v>43164</c:v>
                </c:pt>
                <c:pt idx="150">
                  <c:v>43171</c:v>
                </c:pt>
                <c:pt idx="151">
                  <c:v>43178</c:v>
                </c:pt>
                <c:pt idx="152">
                  <c:v>43185</c:v>
                </c:pt>
                <c:pt idx="153">
                  <c:v>43192</c:v>
                </c:pt>
                <c:pt idx="154">
                  <c:v>43199</c:v>
                </c:pt>
                <c:pt idx="155">
                  <c:v>43206</c:v>
                </c:pt>
                <c:pt idx="156">
                  <c:v>43213</c:v>
                </c:pt>
                <c:pt idx="157">
                  <c:v>43220</c:v>
                </c:pt>
                <c:pt idx="158">
                  <c:v>43227</c:v>
                </c:pt>
                <c:pt idx="159">
                  <c:v>43234</c:v>
                </c:pt>
                <c:pt idx="160">
                  <c:v>43241</c:v>
                </c:pt>
                <c:pt idx="161">
                  <c:v>43249</c:v>
                </c:pt>
                <c:pt idx="162">
                  <c:v>43255</c:v>
                </c:pt>
                <c:pt idx="163">
                  <c:v>43262</c:v>
                </c:pt>
                <c:pt idx="164">
                  <c:v>43269</c:v>
                </c:pt>
                <c:pt idx="165">
                  <c:v>43276</c:v>
                </c:pt>
                <c:pt idx="166">
                  <c:v>43283</c:v>
                </c:pt>
                <c:pt idx="167">
                  <c:v>43290</c:v>
                </c:pt>
                <c:pt idx="168">
                  <c:v>43297</c:v>
                </c:pt>
                <c:pt idx="169">
                  <c:v>43304</c:v>
                </c:pt>
                <c:pt idx="170">
                  <c:v>43311</c:v>
                </c:pt>
                <c:pt idx="171">
                  <c:v>43318</c:v>
                </c:pt>
                <c:pt idx="172">
                  <c:v>43325</c:v>
                </c:pt>
                <c:pt idx="173">
                  <c:v>43332</c:v>
                </c:pt>
                <c:pt idx="174">
                  <c:v>43339</c:v>
                </c:pt>
                <c:pt idx="175">
                  <c:v>43347</c:v>
                </c:pt>
                <c:pt idx="176">
                  <c:v>43353</c:v>
                </c:pt>
                <c:pt idx="177">
                  <c:v>43360</c:v>
                </c:pt>
                <c:pt idx="178">
                  <c:v>43367</c:v>
                </c:pt>
                <c:pt idx="179">
                  <c:v>43374</c:v>
                </c:pt>
                <c:pt idx="180">
                  <c:v>43381</c:v>
                </c:pt>
                <c:pt idx="181">
                  <c:v>43388</c:v>
                </c:pt>
                <c:pt idx="182">
                  <c:v>43395</c:v>
                </c:pt>
                <c:pt idx="183">
                  <c:v>43402</c:v>
                </c:pt>
                <c:pt idx="184">
                  <c:v>43409</c:v>
                </c:pt>
                <c:pt idx="185">
                  <c:v>43416</c:v>
                </c:pt>
                <c:pt idx="186">
                  <c:v>43423</c:v>
                </c:pt>
                <c:pt idx="187">
                  <c:v>43430</c:v>
                </c:pt>
                <c:pt idx="188">
                  <c:v>43437</c:v>
                </c:pt>
                <c:pt idx="189">
                  <c:v>43444</c:v>
                </c:pt>
                <c:pt idx="190">
                  <c:v>43451</c:v>
                </c:pt>
                <c:pt idx="191">
                  <c:v>43458</c:v>
                </c:pt>
                <c:pt idx="192">
                  <c:v>43465</c:v>
                </c:pt>
                <c:pt idx="193">
                  <c:v>43472</c:v>
                </c:pt>
                <c:pt idx="194">
                  <c:v>43479</c:v>
                </c:pt>
                <c:pt idx="195">
                  <c:v>43487</c:v>
                </c:pt>
                <c:pt idx="196">
                  <c:v>43493</c:v>
                </c:pt>
                <c:pt idx="197">
                  <c:v>43500</c:v>
                </c:pt>
                <c:pt idx="198">
                  <c:v>43507</c:v>
                </c:pt>
                <c:pt idx="199">
                  <c:v>43515</c:v>
                </c:pt>
                <c:pt idx="200">
                  <c:v>43521</c:v>
                </c:pt>
                <c:pt idx="201">
                  <c:v>43528</c:v>
                </c:pt>
                <c:pt idx="202">
                  <c:v>43535</c:v>
                </c:pt>
                <c:pt idx="203">
                  <c:v>43542</c:v>
                </c:pt>
                <c:pt idx="204">
                  <c:v>43549</c:v>
                </c:pt>
                <c:pt idx="205">
                  <c:v>43556</c:v>
                </c:pt>
                <c:pt idx="206">
                  <c:v>43563</c:v>
                </c:pt>
                <c:pt idx="207">
                  <c:v>43570</c:v>
                </c:pt>
                <c:pt idx="208">
                  <c:v>43577</c:v>
                </c:pt>
                <c:pt idx="209">
                  <c:v>43584</c:v>
                </c:pt>
                <c:pt idx="210">
                  <c:v>43591</c:v>
                </c:pt>
                <c:pt idx="211">
                  <c:v>43598</c:v>
                </c:pt>
                <c:pt idx="212">
                  <c:v>43605</c:v>
                </c:pt>
                <c:pt idx="213">
                  <c:v>43613</c:v>
                </c:pt>
                <c:pt idx="214">
                  <c:v>43619</c:v>
                </c:pt>
                <c:pt idx="215">
                  <c:v>43626</c:v>
                </c:pt>
                <c:pt idx="216">
                  <c:v>43633</c:v>
                </c:pt>
                <c:pt idx="217">
                  <c:v>43640</c:v>
                </c:pt>
                <c:pt idx="218">
                  <c:v>43647</c:v>
                </c:pt>
                <c:pt idx="219">
                  <c:v>43654</c:v>
                </c:pt>
                <c:pt idx="220">
                  <c:v>43661</c:v>
                </c:pt>
                <c:pt idx="221">
                  <c:v>43668</c:v>
                </c:pt>
                <c:pt idx="222">
                  <c:v>43675</c:v>
                </c:pt>
                <c:pt idx="223">
                  <c:v>43682</c:v>
                </c:pt>
                <c:pt idx="224">
                  <c:v>43689</c:v>
                </c:pt>
                <c:pt idx="225">
                  <c:v>43696</c:v>
                </c:pt>
                <c:pt idx="226">
                  <c:v>43703</c:v>
                </c:pt>
                <c:pt idx="227">
                  <c:v>43711</c:v>
                </c:pt>
                <c:pt idx="228">
                  <c:v>43717</c:v>
                </c:pt>
                <c:pt idx="229">
                  <c:v>43724</c:v>
                </c:pt>
                <c:pt idx="230">
                  <c:v>43731</c:v>
                </c:pt>
                <c:pt idx="231">
                  <c:v>43738</c:v>
                </c:pt>
                <c:pt idx="232">
                  <c:v>43745</c:v>
                </c:pt>
                <c:pt idx="233">
                  <c:v>43752</c:v>
                </c:pt>
                <c:pt idx="234">
                  <c:v>43759</c:v>
                </c:pt>
                <c:pt idx="235">
                  <c:v>43766</c:v>
                </c:pt>
                <c:pt idx="236">
                  <c:v>43773</c:v>
                </c:pt>
                <c:pt idx="237">
                  <c:v>43780</c:v>
                </c:pt>
                <c:pt idx="238">
                  <c:v>43787</c:v>
                </c:pt>
                <c:pt idx="239">
                  <c:v>43794</c:v>
                </c:pt>
                <c:pt idx="240">
                  <c:v>43801</c:v>
                </c:pt>
                <c:pt idx="241">
                  <c:v>43808</c:v>
                </c:pt>
                <c:pt idx="242">
                  <c:v>43815</c:v>
                </c:pt>
                <c:pt idx="243">
                  <c:v>43822</c:v>
                </c:pt>
                <c:pt idx="244">
                  <c:v>43829</c:v>
                </c:pt>
                <c:pt idx="245">
                  <c:v>43836</c:v>
                </c:pt>
                <c:pt idx="246">
                  <c:v>43843</c:v>
                </c:pt>
                <c:pt idx="247">
                  <c:v>43851</c:v>
                </c:pt>
                <c:pt idx="248">
                  <c:v>43857</c:v>
                </c:pt>
                <c:pt idx="249">
                  <c:v>43864</c:v>
                </c:pt>
                <c:pt idx="250">
                  <c:v>43871</c:v>
                </c:pt>
                <c:pt idx="251">
                  <c:v>43879</c:v>
                </c:pt>
                <c:pt idx="252">
                  <c:v>43885</c:v>
                </c:pt>
                <c:pt idx="253">
                  <c:v>43892</c:v>
                </c:pt>
                <c:pt idx="254">
                  <c:v>43899</c:v>
                </c:pt>
                <c:pt idx="255">
                  <c:v>43906</c:v>
                </c:pt>
                <c:pt idx="256">
                  <c:v>43913</c:v>
                </c:pt>
                <c:pt idx="257">
                  <c:v>43920</c:v>
                </c:pt>
                <c:pt idx="258">
                  <c:v>43927</c:v>
                </c:pt>
                <c:pt idx="259">
                  <c:v>43934</c:v>
                </c:pt>
                <c:pt idx="260">
                  <c:v>43941</c:v>
                </c:pt>
                <c:pt idx="261">
                  <c:v>43948</c:v>
                </c:pt>
                <c:pt idx="262">
                  <c:v>43955</c:v>
                </c:pt>
                <c:pt idx="263">
                  <c:v>43962</c:v>
                </c:pt>
                <c:pt idx="264">
                  <c:v>43969</c:v>
                </c:pt>
                <c:pt idx="265">
                  <c:v>43977</c:v>
                </c:pt>
                <c:pt idx="266">
                  <c:v>43983</c:v>
                </c:pt>
                <c:pt idx="267">
                  <c:v>43990</c:v>
                </c:pt>
                <c:pt idx="268">
                  <c:v>43997</c:v>
                </c:pt>
                <c:pt idx="269">
                  <c:v>44004</c:v>
                </c:pt>
                <c:pt idx="270">
                  <c:v>44011</c:v>
                </c:pt>
                <c:pt idx="271">
                  <c:v>44018</c:v>
                </c:pt>
                <c:pt idx="272">
                  <c:v>44025</c:v>
                </c:pt>
                <c:pt idx="273">
                  <c:v>44032</c:v>
                </c:pt>
                <c:pt idx="274">
                  <c:v>44039</c:v>
                </c:pt>
                <c:pt idx="275">
                  <c:v>44046</c:v>
                </c:pt>
                <c:pt idx="276">
                  <c:v>44053</c:v>
                </c:pt>
                <c:pt idx="277">
                  <c:v>44060</c:v>
                </c:pt>
                <c:pt idx="278">
                  <c:v>44067</c:v>
                </c:pt>
                <c:pt idx="279">
                  <c:v>44074</c:v>
                </c:pt>
                <c:pt idx="280">
                  <c:v>44082</c:v>
                </c:pt>
                <c:pt idx="281">
                  <c:v>44088</c:v>
                </c:pt>
                <c:pt idx="282">
                  <c:v>44095</c:v>
                </c:pt>
                <c:pt idx="283">
                  <c:v>44102</c:v>
                </c:pt>
                <c:pt idx="284">
                  <c:v>44109</c:v>
                </c:pt>
                <c:pt idx="285">
                  <c:v>44116</c:v>
                </c:pt>
                <c:pt idx="286">
                  <c:v>44123</c:v>
                </c:pt>
                <c:pt idx="287">
                  <c:v>44130</c:v>
                </c:pt>
                <c:pt idx="288">
                  <c:v>44137</c:v>
                </c:pt>
                <c:pt idx="289">
                  <c:v>44144</c:v>
                </c:pt>
                <c:pt idx="290">
                  <c:v>44151</c:v>
                </c:pt>
                <c:pt idx="291">
                  <c:v>44158</c:v>
                </c:pt>
                <c:pt idx="292">
                  <c:v>44165</c:v>
                </c:pt>
                <c:pt idx="293">
                  <c:v>44172</c:v>
                </c:pt>
                <c:pt idx="294">
                  <c:v>44179</c:v>
                </c:pt>
                <c:pt idx="295">
                  <c:v>44186</c:v>
                </c:pt>
                <c:pt idx="296">
                  <c:v>44193</c:v>
                </c:pt>
                <c:pt idx="297">
                  <c:v>44200</c:v>
                </c:pt>
                <c:pt idx="298">
                  <c:v>44207</c:v>
                </c:pt>
                <c:pt idx="299">
                  <c:v>44215</c:v>
                </c:pt>
                <c:pt idx="300">
                  <c:v>44221</c:v>
                </c:pt>
                <c:pt idx="301">
                  <c:v>44228</c:v>
                </c:pt>
                <c:pt idx="302">
                  <c:v>44235</c:v>
                </c:pt>
                <c:pt idx="303">
                  <c:v>44243</c:v>
                </c:pt>
                <c:pt idx="304">
                  <c:v>44249</c:v>
                </c:pt>
                <c:pt idx="305">
                  <c:v>44256</c:v>
                </c:pt>
                <c:pt idx="306">
                  <c:v>44263</c:v>
                </c:pt>
                <c:pt idx="307">
                  <c:v>44270</c:v>
                </c:pt>
                <c:pt idx="308">
                  <c:v>44277</c:v>
                </c:pt>
                <c:pt idx="309">
                  <c:v>44284</c:v>
                </c:pt>
                <c:pt idx="310">
                  <c:v>44291</c:v>
                </c:pt>
                <c:pt idx="311">
                  <c:v>44298</c:v>
                </c:pt>
                <c:pt idx="312">
                  <c:v>44305</c:v>
                </c:pt>
                <c:pt idx="313">
                  <c:v>44312</c:v>
                </c:pt>
                <c:pt idx="314">
                  <c:v>44319</c:v>
                </c:pt>
                <c:pt idx="315">
                  <c:v>44326</c:v>
                </c:pt>
                <c:pt idx="316">
                  <c:v>44333</c:v>
                </c:pt>
                <c:pt idx="317">
                  <c:v>44340</c:v>
                </c:pt>
                <c:pt idx="318">
                  <c:v>44348</c:v>
                </c:pt>
                <c:pt idx="319">
                  <c:v>44354</c:v>
                </c:pt>
                <c:pt idx="320">
                  <c:v>44361</c:v>
                </c:pt>
                <c:pt idx="321">
                  <c:v>44368</c:v>
                </c:pt>
                <c:pt idx="322">
                  <c:v>44375</c:v>
                </c:pt>
                <c:pt idx="323">
                  <c:v>44383</c:v>
                </c:pt>
                <c:pt idx="324">
                  <c:v>44389</c:v>
                </c:pt>
                <c:pt idx="325">
                  <c:v>44396</c:v>
                </c:pt>
                <c:pt idx="326">
                  <c:v>44403</c:v>
                </c:pt>
                <c:pt idx="327">
                  <c:v>44410</c:v>
                </c:pt>
                <c:pt idx="328">
                  <c:v>44417</c:v>
                </c:pt>
                <c:pt idx="329">
                  <c:v>44424</c:v>
                </c:pt>
                <c:pt idx="330">
                  <c:v>44431</c:v>
                </c:pt>
                <c:pt idx="331">
                  <c:v>44438</c:v>
                </c:pt>
                <c:pt idx="332">
                  <c:v>44446</c:v>
                </c:pt>
                <c:pt idx="333">
                  <c:v>44452</c:v>
                </c:pt>
                <c:pt idx="334">
                  <c:v>44459</c:v>
                </c:pt>
                <c:pt idx="335">
                  <c:v>44466</c:v>
                </c:pt>
                <c:pt idx="336">
                  <c:v>44473</c:v>
                </c:pt>
                <c:pt idx="337">
                  <c:v>44480</c:v>
                </c:pt>
                <c:pt idx="338">
                  <c:v>44487</c:v>
                </c:pt>
                <c:pt idx="339">
                  <c:v>44494</c:v>
                </c:pt>
                <c:pt idx="340">
                  <c:v>44501</c:v>
                </c:pt>
                <c:pt idx="341">
                  <c:v>44508</c:v>
                </c:pt>
                <c:pt idx="342">
                  <c:v>44515</c:v>
                </c:pt>
                <c:pt idx="343">
                  <c:v>44522</c:v>
                </c:pt>
                <c:pt idx="344">
                  <c:v>44529</c:v>
                </c:pt>
                <c:pt idx="345">
                  <c:v>44536</c:v>
                </c:pt>
                <c:pt idx="346">
                  <c:v>44543</c:v>
                </c:pt>
                <c:pt idx="347">
                  <c:v>44550</c:v>
                </c:pt>
                <c:pt idx="348">
                  <c:v>44557</c:v>
                </c:pt>
                <c:pt idx="349">
                  <c:v>44564</c:v>
                </c:pt>
                <c:pt idx="350">
                  <c:v>44571</c:v>
                </c:pt>
                <c:pt idx="351">
                  <c:v>44579</c:v>
                </c:pt>
                <c:pt idx="352">
                  <c:v>44585</c:v>
                </c:pt>
                <c:pt idx="353">
                  <c:v>44592</c:v>
                </c:pt>
                <c:pt idx="354">
                  <c:v>44599</c:v>
                </c:pt>
                <c:pt idx="355">
                  <c:v>44606</c:v>
                </c:pt>
                <c:pt idx="356">
                  <c:v>44614</c:v>
                </c:pt>
                <c:pt idx="357">
                  <c:v>44620</c:v>
                </c:pt>
                <c:pt idx="358">
                  <c:v>44627</c:v>
                </c:pt>
                <c:pt idx="359">
                  <c:v>44634</c:v>
                </c:pt>
                <c:pt idx="360">
                  <c:v>44641</c:v>
                </c:pt>
                <c:pt idx="361">
                  <c:v>44648</c:v>
                </c:pt>
                <c:pt idx="362">
                  <c:v>44655</c:v>
                </c:pt>
                <c:pt idx="363">
                  <c:v>44662</c:v>
                </c:pt>
                <c:pt idx="364">
                  <c:v>44669</c:v>
                </c:pt>
                <c:pt idx="365">
                  <c:v>44676</c:v>
                </c:pt>
                <c:pt idx="366">
                  <c:v>44683</c:v>
                </c:pt>
                <c:pt idx="367">
                  <c:v>44690</c:v>
                </c:pt>
                <c:pt idx="368">
                  <c:v>44697</c:v>
                </c:pt>
                <c:pt idx="369">
                  <c:v>44704</c:v>
                </c:pt>
                <c:pt idx="370">
                  <c:v>44712</c:v>
                </c:pt>
                <c:pt idx="371">
                  <c:v>44718</c:v>
                </c:pt>
                <c:pt idx="372">
                  <c:v>44725</c:v>
                </c:pt>
                <c:pt idx="373">
                  <c:v>44733</c:v>
                </c:pt>
                <c:pt idx="374">
                  <c:v>44739</c:v>
                </c:pt>
                <c:pt idx="375">
                  <c:v>44747</c:v>
                </c:pt>
                <c:pt idx="376">
                  <c:v>44753</c:v>
                </c:pt>
                <c:pt idx="377">
                  <c:v>44760</c:v>
                </c:pt>
                <c:pt idx="378">
                  <c:v>44767</c:v>
                </c:pt>
                <c:pt idx="379">
                  <c:v>44774</c:v>
                </c:pt>
                <c:pt idx="380">
                  <c:v>44781</c:v>
                </c:pt>
                <c:pt idx="381">
                  <c:v>44788</c:v>
                </c:pt>
                <c:pt idx="382">
                  <c:v>44795</c:v>
                </c:pt>
                <c:pt idx="383">
                  <c:v>44802</c:v>
                </c:pt>
                <c:pt idx="384">
                  <c:v>44810</c:v>
                </c:pt>
                <c:pt idx="385">
                  <c:v>44816</c:v>
                </c:pt>
                <c:pt idx="386">
                  <c:v>44823</c:v>
                </c:pt>
                <c:pt idx="387">
                  <c:v>44830</c:v>
                </c:pt>
                <c:pt idx="388">
                  <c:v>44837</c:v>
                </c:pt>
                <c:pt idx="389">
                  <c:v>44844</c:v>
                </c:pt>
                <c:pt idx="390">
                  <c:v>44851</c:v>
                </c:pt>
                <c:pt idx="391">
                  <c:v>44858</c:v>
                </c:pt>
                <c:pt idx="392">
                  <c:v>44865</c:v>
                </c:pt>
                <c:pt idx="393">
                  <c:v>44872</c:v>
                </c:pt>
                <c:pt idx="394">
                  <c:v>44879</c:v>
                </c:pt>
                <c:pt idx="395">
                  <c:v>44886</c:v>
                </c:pt>
                <c:pt idx="396">
                  <c:v>44893</c:v>
                </c:pt>
                <c:pt idx="397">
                  <c:v>44900</c:v>
                </c:pt>
                <c:pt idx="398">
                  <c:v>44907</c:v>
                </c:pt>
                <c:pt idx="399">
                  <c:v>44914</c:v>
                </c:pt>
                <c:pt idx="400">
                  <c:v>44922</c:v>
                </c:pt>
                <c:pt idx="401">
                  <c:v>44929</c:v>
                </c:pt>
                <c:pt idx="402">
                  <c:v>44935</c:v>
                </c:pt>
                <c:pt idx="403">
                  <c:v>44943</c:v>
                </c:pt>
                <c:pt idx="404">
                  <c:v>44949</c:v>
                </c:pt>
                <c:pt idx="405">
                  <c:v>44956</c:v>
                </c:pt>
                <c:pt idx="406">
                  <c:v>44963</c:v>
                </c:pt>
                <c:pt idx="407">
                  <c:v>44970</c:v>
                </c:pt>
                <c:pt idx="408">
                  <c:v>44978</c:v>
                </c:pt>
                <c:pt idx="409">
                  <c:v>44984</c:v>
                </c:pt>
                <c:pt idx="410">
                  <c:v>44991</c:v>
                </c:pt>
                <c:pt idx="411">
                  <c:v>44998</c:v>
                </c:pt>
                <c:pt idx="412">
                  <c:v>45005</c:v>
                </c:pt>
                <c:pt idx="413">
                  <c:v>45012</c:v>
                </c:pt>
                <c:pt idx="414">
                  <c:v>45019</c:v>
                </c:pt>
                <c:pt idx="415">
                  <c:v>45026</c:v>
                </c:pt>
                <c:pt idx="416">
                  <c:v>45033</c:v>
                </c:pt>
                <c:pt idx="417">
                  <c:v>45040</c:v>
                </c:pt>
                <c:pt idx="418">
                  <c:v>45047</c:v>
                </c:pt>
                <c:pt idx="419">
                  <c:v>45054</c:v>
                </c:pt>
                <c:pt idx="420">
                  <c:v>45061</c:v>
                </c:pt>
                <c:pt idx="421">
                  <c:v>45068</c:v>
                </c:pt>
                <c:pt idx="422">
                  <c:v>45076</c:v>
                </c:pt>
                <c:pt idx="423">
                  <c:v>45082</c:v>
                </c:pt>
                <c:pt idx="424">
                  <c:v>45089</c:v>
                </c:pt>
                <c:pt idx="425">
                  <c:v>45097</c:v>
                </c:pt>
                <c:pt idx="426">
                  <c:v>45103</c:v>
                </c:pt>
                <c:pt idx="427">
                  <c:v>45110</c:v>
                </c:pt>
                <c:pt idx="428">
                  <c:v>45117</c:v>
                </c:pt>
                <c:pt idx="429">
                  <c:v>45124</c:v>
                </c:pt>
                <c:pt idx="430">
                  <c:v>45131</c:v>
                </c:pt>
                <c:pt idx="431">
                  <c:v>45138</c:v>
                </c:pt>
                <c:pt idx="432">
                  <c:v>45145</c:v>
                </c:pt>
                <c:pt idx="433">
                  <c:v>45152</c:v>
                </c:pt>
                <c:pt idx="434">
                  <c:v>45159</c:v>
                </c:pt>
                <c:pt idx="435">
                  <c:v>45166</c:v>
                </c:pt>
                <c:pt idx="436">
                  <c:v>45174</c:v>
                </c:pt>
                <c:pt idx="437">
                  <c:v>45180</c:v>
                </c:pt>
                <c:pt idx="438">
                  <c:v>45187</c:v>
                </c:pt>
                <c:pt idx="439">
                  <c:v>45194</c:v>
                </c:pt>
                <c:pt idx="440">
                  <c:v>45201</c:v>
                </c:pt>
                <c:pt idx="441">
                  <c:v>45208</c:v>
                </c:pt>
                <c:pt idx="442">
                  <c:v>45215</c:v>
                </c:pt>
                <c:pt idx="443">
                  <c:v>45222</c:v>
                </c:pt>
                <c:pt idx="444">
                  <c:v>45229</c:v>
                </c:pt>
                <c:pt idx="445">
                  <c:v>45236</c:v>
                </c:pt>
                <c:pt idx="446">
                  <c:v>45243</c:v>
                </c:pt>
                <c:pt idx="447">
                  <c:v>45250</c:v>
                </c:pt>
                <c:pt idx="448">
                  <c:v>45257</c:v>
                </c:pt>
                <c:pt idx="449">
                  <c:v>45264</c:v>
                </c:pt>
                <c:pt idx="450">
                  <c:v>45271</c:v>
                </c:pt>
                <c:pt idx="451">
                  <c:v>45278</c:v>
                </c:pt>
                <c:pt idx="452">
                  <c:v>45286</c:v>
                </c:pt>
                <c:pt idx="453">
                  <c:v>45293</c:v>
                </c:pt>
                <c:pt idx="454">
                  <c:v>45299</c:v>
                </c:pt>
                <c:pt idx="455">
                  <c:v>45307</c:v>
                </c:pt>
                <c:pt idx="456">
                  <c:v>45313</c:v>
                </c:pt>
                <c:pt idx="457">
                  <c:v>45320</c:v>
                </c:pt>
                <c:pt idx="458">
                  <c:v>45327</c:v>
                </c:pt>
                <c:pt idx="459">
                  <c:v>45334</c:v>
                </c:pt>
                <c:pt idx="460">
                  <c:v>45342</c:v>
                </c:pt>
                <c:pt idx="461">
                  <c:v>45348</c:v>
                </c:pt>
                <c:pt idx="462">
                  <c:v>45355</c:v>
                </c:pt>
                <c:pt idx="463">
                  <c:v>45362</c:v>
                </c:pt>
                <c:pt idx="464">
                  <c:v>45369</c:v>
                </c:pt>
                <c:pt idx="465">
                  <c:v>45376</c:v>
                </c:pt>
                <c:pt idx="466">
                  <c:v>45383</c:v>
                </c:pt>
                <c:pt idx="467">
                  <c:v>45390</c:v>
                </c:pt>
                <c:pt idx="468">
                  <c:v>45397</c:v>
                </c:pt>
                <c:pt idx="469">
                  <c:v>45404</c:v>
                </c:pt>
                <c:pt idx="470">
                  <c:v>45411</c:v>
                </c:pt>
                <c:pt idx="471">
                  <c:v>45418</c:v>
                </c:pt>
                <c:pt idx="472">
                  <c:v>45425</c:v>
                </c:pt>
                <c:pt idx="473">
                  <c:v>45432</c:v>
                </c:pt>
                <c:pt idx="474">
                  <c:v>45440</c:v>
                </c:pt>
                <c:pt idx="475">
                  <c:v>45446</c:v>
                </c:pt>
                <c:pt idx="476">
                  <c:v>45453</c:v>
                </c:pt>
                <c:pt idx="477">
                  <c:v>45460</c:v>
                </c:pt>
                <c:pt idx="478">
                  <c:v>45467</c:v>
                </c:pt>
                <c:pt idx="479">
                  <c:v>45474</c:v>
                </c:pt>
                <c:pt idx="480">
                  <c:v>45481</c:v>
                </c:pt>
                <c:pt idx="481">
                  <c:v>45488</c:v>
                </c:pt>
                <c:pt idx="482">
                  <c:v>45495</c:v>
                </c:pt>
                <c:pt idx="483">
                  <c:v>45502</c:v>
                </c:pt>
                <c:pt idx="484">
                  <c:v>45509</c:v>
                </c:pt>
                <c:pt idx="485">
                  <c:v>45516</c:v>
                </c:pt>
                <c:pt idx="486">
                  <c:v>45523</c:v>
                </c:pt>
                <c:pt idx="487">
                  <c:v>45530</c:v>
                </c:pt>
                <c:pt idx="488">
                  <c:v>45538</c:v>
                </c:pt>
                <c:pt idx="489">
                  <c:v>45544</c:v>
                </c:pt>
                <c:pt idx="490">
                  <c:v>45551</c:v>
                </c:pt>
                <c:pt idx="491">
                  <c:v>45558</c:v>
                </c:pt>
                <c:pt idx="492">
                  <c:v>45565</c:v>
                </c:pt>
                <c:pt idx="493">
                  <c:v>45572</c:v>
                </c:pt>
                <c:pt idx="494">
                  <c:v>45579</c:v>
                </c:pt>
                <c:pt idx="495">
                  <c:v>45586</c:v>
                </c:pt>
                <c:pt idx="496">
                  <c:v>45593</c:v>
                </c:pt>
                <c:pt idx="497">
                  <c:v>45600</c:v>
                </c:pt>
                <c:pt idx="498">
                  <c:v>45607</c:v>
                </c:pt>
                <c:pt idx="499">
                  <c:v>45614</c:v>
                </c:pt>
                <c:pt idx="500">
                  <c:v>45621</c:v>
                </c:pt>
                <c:pt idx="501">
                  <c:v>45628</c:v>
                </c:pt>
                <c:pt idx="502">
                  <c:v>45635</c:v>
                </c:pt>
                <c:pt idx="503">
                  <c:v>45642</c:v>
                </c:pt>
                <c:pt idx="504">
                  <c:v>45649</c:v>
                </c:pt>
                <c:pt idx="505">
                  <c:v>45656</c:v>
                </c:pt>
                <c:pt idx="506">
                  <c:v>45663</c:v>
                </c:pt>
                <c:pt idx="507">
                  <c:v>45670</c:v>
                </c:pt>
                <c:pt idx="508">
                  <c:v>45678</c:v>
                </c:pt>
                <c:pt idx="509">
                  <c:v>45684</c:v>
                </c:pt>
                <c:pt idx="510">
                  <c:v>45691</c:v>
                </c:pt>
                <c:pt idx="511">
                  <c:v>45698</c:v>
                </c:pt>
                <c:pt idx="512">
                  <c:v>45706</c:v>
                </c:pt>
                <c:pt idx="513">
                  <c:v>45712</c:v>
                </c:pt>
                <c:pt idx="514">
                  <c:v>45719</c:v>
                </c:pt>
                <c:pt idx="515">
                  <c:v>45726</c:v>
                </c:pt>
                <c:pt idx="516">
                  <c:v>45733</c:v>
                </c:pt>
                <c:pt idx="517">
                  <c:v>45740</c:v>
                </c:pt>
                <c:pt idx="518">
                  <c:v>45747</c:v>
                </c:pt>
                <c:pt idx="519">
                  <c:v>45754</c:v>
                </c:pt>
                <c:pt idx="520">
                  <c:v>45761</c:v>
                </c:pt>
                <c:pt idx="521">
                  <c:v>45768</c:v>
                </c:pt>
                <c:pt idx="522">
                  <c:v>45775</c:v>
                </c:pt>
              </c:numCache>
            </c:numRef>
          </c:cat>
          <c:val>
            <c:numRef>
              <c:f>MSTR!$E$7:$E$529</c:f>
              <c:numCache>
                <c:formatCode>_([$$-409]* #,##0.00_);_([$$-409]* \(#,##0.00\);_([$$-409]* "-"??_);_(@_)</c:formatCode>
                <c:ptCount val="523"/>
                <c:pt idx="0">
                  <c:v>18.268000000000001</c:v>
                </c:pt>
                <c:pt idx="1">
                  <c:v>18.084</c:v>
                </c:pt>
                <c:pt idx="2">
                  <c:v>17.88</c:v>
                </c:pt>
                <c:pt idx="3">
                  <c:v>17.53</c:v>
                </c:pt>
                <c:pt idx="4">
                  <c:v>17.597999999999999</c:v>
                </c:pt>
                <c:pt idx="5">
                  <c:v>18.042999999999999</c:v>
                </c:pt>
                <c:pt idx="6">
                  <c:v>17.875</c:v>
                </c:pt>
                <c:pt idx="7">
                  <c:v>17.768999999999998</c:v>
                </c:pt>
                <c:pt idx="8">
                  <c:v>17.385999999999999</c:v>
                </c:pt>
                <c:pt idx="9">
                  <c:v>17.257000000000001</c:v>
                </c:pt>
                <c:pt idx="10">
                  <c:v>17.57</c:v>
                </c:pt>
                <c:pt idx="11">
                  <c:v>18.562999999999999</c:v>
                </c:pt>
                <c:pt idx="12">
                  <c:v>18.143000000000001</c:v>
                </c:pt>
                <c:pt idx="13">
                  <c:v>20.385000000000002</c:v>
                </c:pt>
                <c:pt idx="14">
                  <c:v>21.561</c:v>
                </c:pt>
                <c:pt idx="15">
                  <c:v>21.88</c:v>
                </c:pt>
                <c:pt idx="16">
                  <c:v>20.399999999999999</c:v>
                </c:pt>
                <c:pt idx="17">
                  <c:v>20.099</c:v>
                </c:pt>
                <c:pt idx="18">
                  <c:v>19.542999999999999</c:v>
                </c:pt>
                <c:pt idx="19">
                  <c:v>20.114000000000001</c:v>
                </c:pt>
                <c:pt idx="20">
                  <c:v>20.667999999999999</c:v>
                </c:pt>
                <c:pt idx="21">
                  <c:v>20.518999999999998</c:v>
                </c:pt>
                <c:pt idx="22">
                  <c:v>19.884</c:v>
                </c:pt>
                <c:pt idx="23">
                  <c:v>20.524999999999999</c:v>
                </c:pt>
                <c:pt idx="24">
                  <c:v>20.311</c:v>
                </c:pt>
                <c:pt idx="25">
                  <c:v>18.818000000000001</c:v>
                </c:pt>
                <c:pt idx="26">
                  <c:v>17.207000000000001</c:v>
                </c:pt>
                <c:pt idx="27">
                  <c:v>17.765000000000001</c:v>
                </c:pt>
                <c:pt idx="28">
                  <c:v>16.887</c:v>
                </c:pt>
                <c:pt idx="29">
                  <c:v>17.321000000000002</c:v>
                </c:pt>
                <c:pt idx="30">
                  <c:v>17.556000000000001</c:v>
                </c:pt>
                <c:pt idx="31">
                  <c:v>17.684000000000001</c:v>
                </c:pt>
                <c:pt idx="32">
                  <c:v>17.414000000000001</c:v>
                </c:pt>
                <c:pt idx="33">
                  <c:v>17.574000000000002</c:v>
                </c:pt>
                <c:pt idx="34">
                  <c:v>17.760999999999999</c:v>
                </c:pt>
                <c:pt idx="35">
                  <c:v>17.928999999999998</c:v>
                </c:pt>
                <c:pt idx="36">
                  <c:v>14.815</c:v>
                </c:pt>
                <c:pt idx="37">
                  <c:v>14.993</c:v>
                </c:pt>
                <c:pt idx="38">
                  <c:v>14.991</c:v>
                </c:pt>
                <c:pt idx="39">
                  <c:v>17.251000000000001</c:v>
                </c:pt>
                <c:pt idx="40">
                  <c:v>15.646000000000001</c:v>
                </c:pt>
                <c:pt idx="41">
                  <c:v>15.19</c:v>
                </c:pt>
                <c:pt idx="42">
                  <c:v>15.324999999999999</c:v>
                </c:pt>
                <c:pt idx="43">
                  <c:v>15.858000000000001</c:v>
                </c:pt>
                <c:pt idx="44">
                  <c:v>16.898</c:v>
                </c:pt>
                <c:pt idx="45">
                  <c:v>17.059000000000001</c:v>
                </c:pt>
                <c:pt idx="46">
                  <c:v>17.512</c:v>
                </c:pt>
                <c:pt idx="47">
                  <c:v>17.282</c:v>
                </c:pt>
                <c:pt idx="48">
                  <c:v>18.274999999999999</c:v>
                </c:pt>
                <c:pt idx="49">
                  <c:v>17.88</c:v>
                </c:pt>
                <c:pt idx="50">
                  <c:v>18.617000000000001</c:v>
                </c:pt>
                <c:pt idx="51">
                  <c:v>19.18</c:v>
                </c:pt>
                <c:pt idx="52">
                  <c:v>17.931999999999999</c:v>
                </c:pt>
                <c:pt idx="53">
                  <c:v>18.257000000000001</c:v>
                </c:pt>
                <c:pt idx="54">
                  <c:v>18.215</c:v>
                </c:pt>
                <c:pt idx="55">
                  <c:v>17.928000000000001</c:v>
                </c:pt>
                <c:pt idx="56">
                  <c:v>19.093</c:v>
                </c:pt>
                <c:pt idx="57">
                  <c:v>18.869</c:v>
                </c:pt>
                <c:pt idx="58">
                  <c:v>18.776</c:v>
                </c:pt>
                <c:pt idx="59">
                  <c:v>17.917999999999999</c:v>
                </c:pt>
                <c:pt idx="60">
                  <c:v>17.312000000000001</c:v>
                </c:pt>
                <c:pt idx="61">
                  <c:v>17.239000000000001</c:v>
                </c:pt>
                <c:pt idx="62">
                  <c:v>17.829000000000001</c:v>
                </c:pt>
                <c:pt idx="63">
                  <c:v>18.721</c:v>
                </c:pt>
                <c:pt idx="64">
                  <c:v>18.783999999999999</c:v>
                </c:pt>
                <c:pt idx="65">
                  <c:v>17.489000000000001</c:v>
                </c:pt>
                <c:pt idx="66">
                  <c:v>16.632000000000001</c:v>
                </c:pt>
                <c:pt idx="67">
                  <c:v>16.542999999999999</c:v>
                </c:pt>
                <c:pt idx="68">
                  <c:v>16.664000000000001</c:v>
                </c:pt>
                <c:pt idx="69">
                  <c:v>16.747</c:v>
                </c:pt>
                <c:pt idx="70">
                  <c:v>16.978000000000002</c:v>
                </c:pt>
                <c:pt idx="71">
                  <c:v>17.07</c:v>
                </c:pt>
                <c:pt idx="72">
                  <c:v>16.484000000000002</c:v>
                </c:pt>
                <c:pt idx="73">
                  <c:v>17.178000000000001</c:v>
                </c:pt>
                <c:pt idx="74">
                  <c:v>16.744</c:v>
                </c:pt>
                <c:pt idx="75">
                  <c:v>17.297999999999998</c:v>
                </c:pt>
                <c:pt idx="76">
                  <c:v>17.22</c:v>
                </c:pt>
                <c:pt idx="77">
                  <c:v>16.861000000000001</c:v>
                </c:pt>
                <c:pt idx="78">
                  <c:v>19.146999999999998</c:v>
                </c:pt>
                <c:pt idx="79">
                  <c:v>19.015999999999998</c:v>
                </c:pt>
                <c:pt idx="80">
                  <c:v>19.675000000000001</c:v>
                </c:pt>
                <c:pt idx="81">
                  <c:v>19.667999999999999</c:v>
                </c:pt>
                <c:pt idx="82">
                  <c:v>19.785</c:v>
                </c:pt>
                <c:pt idx="83">
                  <c:v>19.193999999999999</c:v>
                </c:pt>
                <c:pt idx="84">
                  <c:v>20.097000000000001</c:v>
                </c:pt>
                <c:pt idx="85">
                  <c:v>20.04</c:v>
                </c:pt>
                <c:pt idx="86">
                  <c:v>20.122</c:v>
                </c:pt>
                <c:pt idx="87">
                  <c:v>19.739999999999998</c:v>
                </c:pt>
                <c:pt idx="88">
                  <c:v>19.917000000000002</c:v>
                </c:pt>
                <c:pt idx="89">
                  <c:v>20.38</c:v>
                </c:pt>
                <c:pt idx="90">
                  <c:v>20.155000000000001</c:v>
                </c:pt>
                <c:pt idx="91">
                  <c:v>19.957999999999998</c:v>
                </c:pt>
                <c:pt idx="92">
                  <c:v>19.547999999999998</c:v>
                </c:pt>
                <c:pt idx="93">
                  <c:v>18.934999999999999</c:v>
                </c:pt>
                <c:pt idx="94">
                  <c:v>19.286999999999999</c:v>
                </c:pt>
                <c:pt idx="95">
                  <c:v>19.433</c:v>
                </c:pt>
                <c:pt idx="96">
                  <c:v>19</c:v>
                </c:pt>
                <c:pt idx="97">
                  <c:v>18.696999999999999</c:v>
                </c:pt>
                <c:pt idx="98">
                  <c:v>19.186</c:v>
                </c:pt>
                <c:pt idx="99">
                  <c:v>18.614000000000001</c:v>
                </c:pt>
                <c:pt idx="100">
                  <c:v>18.78</c:v>
                </c:pt>
                <c:pt idx="101">
                  <c:v>18.28</c:v>
                </c:pt>
                <c:pt idx="102">
                  <c:v>18.161000000000001</c:v>
                </c:pt>
                <c:pt idx="103">
                  <c:v>18.759</c:v>
                </c:pt>
                <c:pt idx="104">
                  <c:v>19.016999999999999</c:v>
                </c:pt>
                <c:pt idx="105">
                  <c:v>19.094999999999999</c:v>
                </c:pt>
                <c:pt idx="106">
                  <c:v>18.530999999999999</c:v>
                </c:pt>
                <c:pt idx="107">
                  <c:v>18.378</c:v>
                </c:pt>
                <c:pt idx="108">
                  <c:v>18.077000000000002</c:v>
                </c:pt>
                <c:pt idx="109">
                  <c:v>18.832000000000001</c:v>
                </c:pt>
                <c:pt idx="110">
                  <c:v>18.079000000000001</c:v>
                </c:pt>
                <c:pt idx="111">
                  <c:v>18.260000000000002</c:v>
                </c:pt>
                <c:pt idx="112">
                  <c:v>18.495000000000001</c:v>
                </c:pt>
                <c:pt idx="113">
                  <c:v>19.167000000000002</c:v>
                </c:pt>
                <c:pt idx="114">
                  <c:v>18.498999999999999</c:v>
                </c:pt>
                <c:pt idx="115">
                  <c:v>18.472999999999999</c:v>
                </c:pt>
                <c:pt idx="116">
                  <c:v>18.847999999999999</c:v>
                </c:pt>
                <c:pt idx="117">
                  <c:v>13.999000000000001</c:v>
                </c:pt>
                <c:pt idx="118">
                  <c:v>13.573</c:v>
                </c:pt>
                <c:pt idx="119">
                  <c:v>12.901</c:v>
                </c:pt>
                <c:pt idx="120">
                  <c:v>12.593</c:v>
                </c:pt>
                <c:pt idx="121">
                  <c:v>12.576000000000001</c:v>
                </c:pt>
                <c:pt idx="122">
                  <c:v>12.85</c:v>
                </c:pt>
                <c:pt idx="123">
                  <c:v>12.824999999999999</c:v>
                </c:pt>
                <c:pt idx="124">
                  <c:v>12.680999999999999</c:v>
                </c:pt>
                <c:pt idx="125">
                  <c:v>12.476000000000001</c:v>
                </c:pt>
                <c:pt idx="126">
                  <c:v>12.771000000000001</c:v>
                </c:pt>
                <c:pt idx="127">
                  <c:v>13.135999999999999</c:v>
                </c:pt>
                <c:pt idx="128">
                  <c:v>13.5</c:v>
                </c:pt>
                <c:pt idx="129">
                  <c:v>13.7</c:v>
                </c:pt>
                <c:pt idx="130">
                  <c:v>14.086</c:v>
                </c:pt>
                <c:pt idx="131">
                  <c:v>13.368</c:v>
                </c:pt>
                <c:pt idx="132">
                  <c:v>13.35</c:v>
                </c:pt>
                <c:pt idx="133">
                  <c:v>13.375999999999999</c:v>
                </c:pt>
                <c:pt idx="134">
                  <c:v>13.743</c:v>
                </c:pt>
                <c:pt idx="135">
                  <c:v>13.5</c:v>
                </c:pt>
                <c:pt idx="136">
                  <c:v>13.625</c:v>
                </c:pt>
                <c:pt idx="137">
                  <c:v>13.265000000000001</c:v>
                </c:pt>
                <c:pt idx="138">
                  <c:v>13.193</c:v>
                </c:pt>
                <c:pt idx="139">
                  <c:v>13.13</c:v>
                </c:pt>
                <c:pt idx="140">
                  <c:v>13.500999999999999</c:v>
                </c:pt>
                <c:pt idx="141">
                  <c:v>13.975</c:v>
                </c:pt>
                <c:pt idx="142">
                  <c:v>14.098000000000001</c:v>
                </c:pt>
                <c:pt idx="143">
                  <c:v>13.779</c:v>
                </c:pt>
                <c:pt idx="144">
                  <c:v>13.577</c:v>
                </c:pt>
                <c:pt idx="145">
                  <c:v>13.061999999999999</c:v>
                </c:pt>
                <c:pt idx="146">
                  <c:v>13.755000000000001</c:v>
                </c:pt>
                <c:pt idx="147">
                  <c:v>13.798</c:v>
                </c:pt>
                <c:pt idx="148">
                  <c:v>12.542999999999999</c:v>
                </c:pt>
                <c:pt idx="149">
                  <c:v>13.627000000000001</c:v>
                </c:pt>
                <c:pt idx="150">
                  <c:v>13.176</c:v>
                </c:pt>
                <c:pt idx="151">
                  <c:v>12.977</c:v>
                </c:pt>
                <c:pt idx="152">
                  <c:v>12.898999999999999</c:v>
                </c:pt>
                <c:pt idx="153">
                  <c:v>12.587</c:v>
                </c:pt>
                <c:pt idx="154">
                  <c:v>13.018000000000001</c:v>
                </c:pt>
                <c:pt idx="155">
                  <c:v>13.154999999999999</c:v>
                </c:pt>
                <c:pt idx="156">
                  <c:v>12.669</c:v>
                </c:pt>
                <c:pt idx="157">
                  <c:v>13.02</c:v>
                </c:pt>
                <c:pt idx="158">
                  <c:v>12.928000000000001</c:v>
                </c:pt>
                <c:pt idx="159">
                  <c:v>13.08</c:v>
                </c:pt>
                <c:pt idx="160">
                  <c:v>13.071999999999999</c:v>
                </c:pt>
                <c:pt idx="161">
                  <c:v>13.042</c:v>
                </c:pt>
                <c:pt idx="162">
                  <c:v>12.996</c:v>
                </c:pt>
                <c:pt idx="163">
                  <c:v>13.474</c:v>
                </c:pt>
                <c:pt idx="164">
                  <c:v>13.115</c:v>
                </c:pt>
                <c:pt idx="165">
                  <c:v>12.775</c:v>
                </c:pt>
                <c:pt idx="166">
                  <c:v>13.488</c:v>
                </c:pt>
                <c:pt idx="167">
                  <c:v>13.583</c:v>
                </c:pt>
                <c:pt idx="168">
                  <c:v>13.529</c:v>
                </c:pt>
                <c:pt idx="169">
                  <c:v>12.916</c:v>
                </c:pt>
                <c:pt idx="170">
                  <c:v>13.489000000000001</c:v>
                </c:pt>
                <c:pt idx="171">
                  <c:v>14.146000000000001</c:v>
                </c:pt>
                <c:pt idx="172">
                  <c:v>13.952999999999999</c:v>
                </c:pt>
                <c:pt idx="173">
                  <c:v>14.967000000000001</c:v>
                </c:pt>
                <c:pt idx="174">
                  <c:v>14.9</c:v>
                </c:pt>
                <c:pt idx="175">
                  <c:v>14.454000000000001</c:v>
                </c:pt>
                <c:pt idx="176">
                  <c:v>14.913</c:v>
                </c:pt>
                <c:pt idx="177">
                  <c:v>14.811999999999999</c:v>
                </c:pt>
                <c:pt idx="178">
                  <c:v>14.061999999999999</c:v>
                </c:pt>
                <c:pt idx="179">
                  <c:v>13.12</c:v>
                </c:pt>
                <c:pt idx="180">
                  <c:v>12.728</c:v>
                </c:pt>
                <c:pt idx="181">
                  <c:v>12.648</c:v>
                </c:pt>
                <c:pt idx="182">
                  <c:v>12.249000000000001</c:v>
                </c:pt>
                <c:pt idx="183">
                  <c:v>12.673</c:v>
                </c:pt>
                <c:pt idx="184">
                  <c:v>12.827999999999999</c:v>
                </c:pt>
                <c:pt idx="185">
                  <c:v>12.708</c:v>
                </c:pt>
                <c:pt idx="186">
                  <c:v>12.435</c:v>
                </c:pt>
                <c:pt idx="187">
                  <c:v>12.964</c:v>
                </c:pt>
                <c:pt idx="188">
                  <c:v>12.757999999999999</c:v>
                </c:pt>
                <c:pt idx="189">
                  <c:v>12.692</c:v>
                </c:pt>
                <c:pt idx="190">
                  <c:v>11.657999999999999</c:v>
                </c:pt>
                <c:pt idx="191">
                  <c:v>12.688000000000001</c:v>
                </c:pt>
                <c:pt idx="192">
                  <c:v>13.04</c:v>
                </c:pt>
                <c:pt idx="193">
                  <c:v>13.385999999999999</c:v>
                </c:pt>
                <c:pt idx="194">
                  <c:v>13.632</c:v>
                </c:pt>
                <c:pt idx="195">
                  <c:v>13.94</c:v>
                </c:pt>
                <c:pt idx="196">
                  <c:v>12.804</c:v>
                </c:pt>
                <c:pt idx="197">
                  <c:v>13.077999999999999</c:v>
                </c:pt>
                <c:pt idx="198">
                  <c:v>14.106</c:v>
                </c:pt>
                <c:pt idx="199">
                  <c:v>14.541</c:v>
                </c:pt>
                <c:pt idx="200">
                  <c:v>14.173999999999999</c:v>
                </c:pt>
                <c:pt idx="201">
                  <c:v>13.811999999999999</c:v>
                </c:pt>
                <c:pt idx="202">
                  <c:v>14.833</c:v>
                </c:pt>
                <c:pt idx="203">
                  <c:v>14.382999999999999</c:v>
                </c:pt>
                <c:pt idx="204">
                  <c:v>14.425000000000001</c:v>
                </c:pt>
                <c:pt idx="205">
                  <c:v>14.651999999999999</c:v>
                </c:pt>
                <c:pt idx="206">
                  <c:v>15.065</c:v>
                </c:pt>
                <c:pt idx="207">
                  <c:v>14.648</c:v>
                </c:pt>
                <c:pt idx="208">
                  <c:v>14.942</c:v>
                </c:pt>
                <c:pt idx="209">
                  <c:v>14.103</c:v>
                </c:pt>
                <c:pt idx="210">
                  <c:v>13.926</c:v>
                </c:pt>
                <c:pt idx="211">
                  <c:v>13.683999999999999</c:v>
                </c:pt>
                <c:pt idx="212">
                  <c:v>13.407999999999999</c:v>
                </c:pt>
                <c:pt idx="213">
                  <c:v>13.291</c:v>
                </c:pt>
                <c:pt idx="214">
                  <c:v>13.714</c:v>
                </c:pt>
                <c:pt idx="215">
                  <c:v>13.365</c:v>
                </c:pt>
                <c:pt idx="216">
                  <c:v>14.672000000000001</c:v>
                </c:pt>
                <c:pt idx="217">
                  <c:v>14.331</c:v>
                </c:pt>
                <c:pt idx="218">
                  <c:v>14.023999999999999</c:v>
                </c:pt>
                <c:pt idx="219">
                  <c:v>12.302</c:v>
                </c:pt>
                <c:pt idx="220">
                  <c:v>12.175000000000001</c:v>
                </c:pt>
                <c:pt idx="221">
                  <c:v>12.332000000000001</c:v>
                </c:pt>
                <c:pt idx="222">
                  <c:v>13.43</c:v>
                </c:pt>
                <c:pt idx="223">
                  <c:v>14.07</c:v>
                </c:pt>
                <c:pt idx="224">
                  <c:v>13.733000000000001</c:v>
                </c:pt>
                <c:pt idx="225">
                  <c:v>13.811</c:v>
                </c:pt>
                <c:pt idx="226">
                  <c:v>14.329000000000001</c:v>
                </c:pt>
                <c:pt idx="227">
                  <c:v>13.989000000000001</c:v>
                </c:pt>
                <c:pt idx="228">
                  <c:v>14.577999999999999</c:v>
                </c:pt>
                <c:pt idx="229">
                  <c:v>14.904999999999999</c:v>
                </c:pt>
                <c:pt idx="230">
                  <c:v>14.702999999999999</c:v>
                </c:pt>
                <c:pt idx="231">
                  <c:v>14.659000000000001</c:v>
                </c:pt>
                <c:pt idx="232">
                  <c:v>14.414999999999999</c:v>
                </c:pt>
                <c:pt idx="233">
                  <c:v>14.315</c:v>
                </c:pt>
                <c:pt idx="234">
                  <c:v>14.577</c:v>
                </c:pt>
                <c:pt idx="235">
                  <c:v>15.369</c:v>
                </c:pt>
                <c:pt idx="236">
                  <c:v>15.613</c:v>
                </c:pt>
                <c:pt idx="237">
                  <c:v>15.64</c:v>
                </c:pt>
                <c:pt idx="238">
                  <c:v>15.16</c:v>
                </c:pt>
                <c:pt idx="239">
                  <c:v>15.032999999999999</c:v>
                </c:pt>
                <c:pt idx="240">
                  <c:v>15.16</c:v>
                </c:pt>
                <c:pt idx="241">
                  <c:v>14.535</c:v>
                </c:pt>
                <c:pt idx="242">
                  <c:v>14.52</c:v>
                </c:pt>
                <c:pt idx="243">
                  <c:v>14.476000000000001</c:v>
                </c:pt>
                <c:pt idx="244">
                  <c:v>14.356999999999999</c:v>
                </c:pt>
                <c:pt idx="245">
                  <c:v>14.239000000000001</c:v>
                </c:pt>
                <c:pt idx="246">
                  <c:v>14.673999999999999</c:v>
                </c:pt>
                <c:pt idx="247">
                  <c:v>14.316000000000001</c:v>
                </c:pt>
                <c:pt idx="248">
                  <c:v>15.202999999999999</c:v>
                </c:pt>
                <c:pt idx="249">
                  <c:v>15.266</c:v>
                </c:pt>
                <c:pt idx="250">
                  <c:v>14.884</c:v>
                </c:pt>
                <c:pt idx="251">
                  <c:v>14.994999999999999</c:v>
                </c:pt>
                <c:pt idx="252">
                  <c:v>13.516</c:v>
                </c:pt>
                <c:pt idx="253">
                  <c:v>13.628</c:v>
                </c:pt>
                <c:pt idx="254">
                  <c:v>11.132999999999999</c:v>
                </c:pt>
                <c:pt idx="255">
                  <c:v>10.074</c:v>
                </c:pt>
                <c:pt idx="256">
                  <c:v>10.631</c:v>
                </c:pt>
                <c:pt idx="257">
                  <c:v>11.223000000000001</c:v>
                </c:pt>
                <c:pt idx="258">
                  <c:v>12.542</c:v>
                </c:pt>
                <c:pt idx="259">
                  <c:v>12.653</c:v>
                </c:pt>
                <c:pt idx="260">
                  <c:v>12.555</c:v>
                </c:pt>
                <c:pt idx="261">
                  <c:v>12.259</c:v>
                </c:pt>
                <c:pt idx="262">
                  <c:v>12.467000000000001</c:v>
                </c:pt>
                <c:pt idx="263">
                  <c:v>11.558</c:v>
                </c:pt>
                <c:pt idx="264">
                  <c:v>12.237</c:v>
                </c:pt>
                <c:pt idx="265">
                  <c:v>12.448</c:v>
                </c:pt>
                <c:pt idx="266">
                  <c:v>12.521000000000001</c:v>
                </c:pt>
                <c:pt idx="267">
                  <c:v>11.802</c:v>
                </c:pt>
                <c:pt idx="268">
                  <c:v>11.819000000000001</c:v>
                </c:pt>
                <c:pt idx="269">
                  <c:v>11.6</c:v>
                </c:pt>
                <c:pt idx="270">
                  <c:v>11.734999999999999</c:v>
                </c:pt>
                <c:pt idx="271">
                  <c:v>11.766</c:v>
                </c:pt>
                <c:pt idx="272">
                  <c:v>11.834</c:v>
                </c:pt>
                <c:pt idx="273">
                  <c:v>11.695</c:v>
                </c:pt>
                <c:pt idx="274">
                  <c:v>12.391999999999999</c:v>
                </c:pt>
                <c:pt idx="275">
                  <c:v>12.339</c:v>
                </c:pt>
                <c:pt idx="276">
                  <c:v>14.663</c:v>
                </c:pt>
                <c:pt idx="277">
                  <c:v>14.507999999999999</c:v>
                </c:pt>
                <c:pt idx="278">
                  <c:v>14.689</c:v>
                </c:pt>
                <c:pt idx="279">
                  <c:v>14.218999999999999</c:v>
                </c:pt>
                <c:pt idx="280">
                  <c:v>14.113</c:v>
                </c:pt>
                <c:pt idx="281">
                  <c:v>15.959</c:v>
                </c:pt>
                <c:pt idx="282">
                  <c:v>14.613</c:v>
                </c:pt>
                <c:pt idx="283">
                  <c:v>14.646000000000001</c:v>
                </c:pt>
                <c:pt idx="284">
                  <c:v>16.472999999999999</c:v>
                </c:pt>
                <c:pt idx="285">
                  <c:v>16.47</c:v>
                </c:pt>
                <c:pt idx="286">
                  <c:v>18.43</c:v>
                </c:pt>
                <c:pt idx="287">
                  <c:v>16.707000000000001</c:v>
                </c:pt>
                <c:pt idx="288">
                  <c:v>18.562000000000001</c:v>
                </c:pt>
                <c:pt idx="289">
                  <c:v>19.227</c:v>
                </c:pt>
                <c:pt idx="290">
                  <c:v>22.210999999999999</c:v>
                </c:pt>
                <c:pt idx="291">
                  <c:v>27.126000000000001</c:v>
                </c:pt>
                <c:pt idx="292">
                  <c:v>32.799999999999997</c:v>
                </c:pt>
                <c:pt idx="293">
                  <c:v>28.591999999999999</c:v>
                </c:pt>
                <c:pt idx="294">
                  <c:v>30.12</c:v>
                </c:pt>
                <c:pt idx="295">
                  <c:v>32.261000000000003</c:v>
                </c:pt>
                <c:pt idx="296">
                  <c:v>38.854999999999997</c:v>
                </c:pt>
                <c:pt idx="297">
                  <c:v>53.164000000000001</c:v>
                </c:pt>
                <c:pt idx="298">
                  <c:v>57.807000000000002</c:v>
                </c:pt>
                <c:pt idx="299">
                  <c:v>57.703000000000003</c:v>
                </c:pt>
                <c:pt idx="300">
                  <c:v>61.731000000000002</c:v>
                </c:pt>
                <c:pt idx="301">
                  <c:v>80.599999999999994</c:v>
                </c:pt>
                <c:pt idx="302">
                  <c:v>103.431</c:v>
                </c:pt>
                <c:pt idx="303">
                  <c:v>96.372</c:v>
                </c:pt>
                <c:pt idx="304">
                  <c:v>75.040999999999997</c:v>
                </c:pt>
                <c:pt idx="305">
                  <c:v>62.024000000000001</c:v>
                </c:pt>
                <c:pt idx="306">
                  <c:v>78.400000000000006</c:v>
                </c:pt>
                <c:pt idx="307">
                  <c:v>77.703999999999994</c:v>
                </c:pt>
                <c:pt idx="308">
                  <c:v>62.4</c:v>
                </c:pt>
                <c:pt idx="309">
                  <c:v>70.355999999999995</c:v>
                </c:pt>
                <c:pt idx="310">
                  <c:v>71.099999999999994</c:v>
                </c:pt>
                <c:pt idx="311">
                  <c:v>69.361999999999995</c:v>
                </c:pt>
                <c:pt idx="312">
                  <c:v>61.304000000000002</c:v>
                </c:pt>
                <c:pt idx="313">
                  <c:v>65.715999999999994</c:v>
                </c:pt>
                <c:pt idx="314">
                  <c:v>62.045999999999999</c:v>
                </c:pt>
                <c:pt idx="315">
                  <c:v>52.131</c:v>
                </c:pt>
                <c:pt idx="316">
                  <c:v>45.052</c:v>
                </c:pt>
                <c:pt idx="317">
                  <c:v>47</c:v>
                </c:pt>
                <c:pt idx="318">
                  <c:v>48.466999999999999</c:v>
                </c:pt>
                <c:pt idx="319">
                  <c:v>51.643999999999998</c:v>
                </c:pt>
                <c:pt idx="320">
                  <c:v>64.646000000000001</c:v>
                </c:pt>
                <c:pt idx="321">
                  <c:v>55.005000000000003</c:v>
                </c:pt>
                <c:pt idx="322">
                  <c:v>63.561</c:v>
                </c:pt>
                <c:pt idx="323">
                  <c:v>62.866</c:v>
                </c:pt>
                <c:pt idx="324">
                  <c:v>52.308999999999997</c:v>
                </c:pt>
                <c:pt idx="325">
                  <c:v>53.970999999999997</c:v>
                </c:pt>
                <c:pt idx="326">
                  <c:v>62.600999999999999</c:v>
                </c:pt>
                <c:pt idx="327">
                  <c:v>74.872</c:v>
                </c:pt>
                <c:pt idx="328">
                  <c:v>72.8</c:v>
                </c:pt>
                <c:pt idx="329">
                  <c:v>71.656000000000006</c:v>
                </c:pt>
                <c:pt idx="330">
                  <c:v>70.72</c:v>
                </c:pt>
                <c:pt idx="331">
                  <c:v>71.225999999999999</c:v>
                </c:pt>
                <c:pt idx="332">
                  <c:v>61.557000000000002</c:v>
                </c:pt>
                <c:pt idx="333">
                  <c:v>61.429000000000002</c:v>
                </c:pt>
                <c:pt idx="334">
                  <c:v>59.939</c:v>
                </c:pt>
                <c:pt idx="335">
                  <c:v>61.246000000000002</c:v>
                </c:pt>
                <c:pt idx="336">
                  <c:v>70.882000000000005</c:v>
                </c:pt>
                <c:pt idx="337">
                  <c:v>74.984999999999999</c:v>
                </c:pt>
                <c:pt idx="338">
                  <c:v>71.852000000000004</c:v>
                </c:pt>
                <c:pt idx="339">
                  <c:v>71.506</c:v>
                </c:pt>
                <c:pt idx="340">
                  <c:v>79.751000000000005</c:v>
                </c:pt>
                <c:pt idx="341">
                  <c:v>81.173000000000002</c:v>
                </c:pt>
                <c:pt idx="342">
                  <c:v>71.831000000000003</c:v>
                </c:pt>
                <c:pt idx="343">
                  <c:v>66.3</c:v>
                </c:pt>
                <c:pt idx="344">
                  <c:v>63.098999999999997</c:v>
                </c:pt>
                <c:pt idx="345">
                  <c:v>60.084000000000003</c:v>
                </c:pt>
                <c:pt idx="346">
                  <c:v>57.158000000000001</c:v>
                </c:pt>
                <c:pt idx="347">
                  <c:v>59.720999999999997</c:v>
                </c:pt>
                <c:pt idx="348">
                  <c:v>54.448999999999998</c:v>
                </c:pt>
                <c:pt idx="349">
                  <c:v>48.295000000000002</c:v>
                </c:pt>
                <c:pt idx="350">
                  <c:v>49.956000000000003</c:v>
                </c:pt>
                <c:pt idx="351">
                  <c:v>37.588999999999999</c:v>
                </c:pt>
                <c:pt idx="352">
                  <c:v>33.895000000000003</c:v>
                </c:pt>
                <c:pt idx="353">
                  <c:v>39.164000000000001</c:v>
                </c:pt>
                <c:pt idx="354">
                  <c:v>41.100999999999999</c:v>
                </c:pt>
                <c:pt idx="355">
                  <c:v>39.597000000000001</c:v>
                </c:pt>
                <c:pt idx="356">
                  <c:v>40.5</c:v>
                </c:pt>
                <c:pt idx="357">
                  <c:v>41.036000000000001</c:v>
                </c:pt>
                <c:pt idx="358">
                  <c:v>39.082000000000001</c:v>
                </c:pt>
                <c:pt idx="359">
                  <c:v>45.427999999999997</c:v>
                </c:pt>
                <c:pt idx="360">
                  <c:v>47.241999999999997</c:v>
                </c:pt>
                <c:pt idx="361">
                  <c:v>49.097999999999999</c:v>
                </c:pt>
                <c:pt idx="362">
                  <c:v>45.323999999999998</c:v>
                </c:pt>
                <c:pt idx="363">
                  <c:v>44.918999999999997</c:v>
                </c:pt>
                <c:pt idx="364">
                  <c:v>40.908000000000001</c:v>
                </c:pt>
                <c:pt idx="365">
                  <c:v>35.417000000000002</c:v>
                </c:pt>
                <c:pt idx="366">
                  <c:v>29.423999999999999</c:v>
                </c:pt>
                <c:pt idx="367">
                  <c:v>20.457000000000001</c:v>
                </c:pt>
                <c:pt idx="368">
                  <c:v>20.274999999999999</c:v>
                </c:pt>
                <c:pt idx="369">
                  <c:v>21.939</c:v>
                </c:pt>
                <c:pt idx="370">
                  <c:v>22.722000000000001</c:v>
                </c:pt>
                <c:pt idx="371">
                  <c:v>20.335999999999999</c:v>
                </c:pt>
                <c:pt idx="372">
                  <c:v>16.760000000000002</c:v>
                </c:pt>
                <c:pt idx="373">
                  <c:v>20.544</c:v>
                </c:pt>
                <c:pt idx="374">
                  <c:v>16.677</c:v>
                </c:pt>
                <c:pt idx="375">
                  <c:v>22.128</c:v>
                </c:pt>
                <c:pt idx="376">
                  <c:v>21.398</c:v>
                </c:pt>
                <c:pt idx="377">
                  <c:v>28.192</c:v>
                </c:pt>
                <c:pt idx="378">
                  <c:v>28.606000000000002</c:v>
                </c:pt>
                <c:pt idx="379">
                  <c:v>31.914999999999999</c:v>
                </c:pt>
                <c:pt idx="380">
                  <c:v>35.283999999999999</c:v>
                </c:pt>
                <c:pt idx="381">
                  <c:v>28.3</c:v>
                </c:pt>
                <c:pt idx="382">
                  <c:v>24.92</c:v>
                </c:pt>
                <c:pt idx="383">
                  <c:v>21.806000000000001</c:v>
                </c:pt>
                <c:pt idx="384">
                  <c:v>26.196999999999999</c:v>
                </c:pt>
                <c:pt idx="385">
                  <c:v>20.634</c:v>
                </c:pt>
                <c:pt idx="386">
                  <c:v>19.145</c:v>
                </c:pt>
                <c:pt idx="387">
                  <c:v>21.225999999999999</c:v>
                </c:pt>
                <c:pt idx="388">
                  <c:v>22.03</c:v>
                </c:pt>
                <c:pt idx="389">
                  <c:v>20.931000000000001</c:v>
                </c:pt>
                <c:pt idx="390">
                  <c:v>23.262</c:v>
                </c:pt>
                <c:pt idx="391">
                  <c:v>27.998999999999999</c:v>
                </c:pt>
                <c:pt idx="392">
                  <c:v>27.71</c:v>
                </c:pt>
                <c:pt idx="393">
                  <c:v>17.518000000000001</c:v>
                </c:pt>
                <c:pt idx="394">
                  <c:v>17.012</c:v>
                </c:pt>
                <c:pt idx="395">
                  <c:v>18.3</c:v>
                </c:pt>
                <c:pt idx="396">
                  <c:v>20.693999999999999</c:v>
                </c:pt>
                <c:pt idx="397">
                  <c:v>20.324999999999999</c:v>
                </c:pt>
                <c:pt idx="398">
                  <c:v>17.375</c:v>
                </c:pt>
                <c:pt idx="399">
                  <c:v>16.266999999999999</c:v>
                </c:pt>
                <c:pt idx="400">
                  <c:v>14.157</c:v>
                </c:pt>
                <c:pt idx="401">
                  <c:v>16.045000000000002</c:v>
                </c:pt>
                <c:pt idx="402">
                  <c:v>21.696999999999999</c:v>
                </c:pt>
                <c:pt idx="403">
                  <c:v>24.003</c:v>
                </c:pt>
                <c:pt idx="404">
                  <c:v>25.835999999999999</c:v>
                </c:pt>
                <c:pt idx="405">
                  <c:v>28.475999999999999</c:v>
                </c:pt>
                <c:pt idx="406">
                  <c:v>24.337</c:v>
                </c:pt>
                <c:pt idx="407">
                  <c:v>29.405000000000001</c:v>
                </c:pt>
                <c:pt idx="408">
                  <c:v>25.58</c:v>
                </c:pt>
                <c:pt idx="409">
                  <c:v>24.690999999999999</c:v>
                </c:pt>
                <c:pt idx="410">
                  <c:v>19.201000000000001</c:v>
                </c:pt>
                <c:pt idx="411">
                  <c:v>26.765999999999998</c:v>
                </c:pt>
                <c:pt idx="412">
                  <c:v>25.667000000000002</c:v>
                </c:pt>
                <c:pt idx="413">
                  <c:v>29.231999999999999</c:v>
                </c:pt>
                <c:pt idx="414">
                  <c:v>29.01</c:v>
                </c:pt>
                <c:pt idx="415">
                  <c:v>33.375</c:v>
                </c:pt>
                <c:pt idx="416">
                  <c:v>29.102</c:v>
                </c:pt>
                <c:pt idx="417">
                  <c:v>32.838000000000001</c:v>
                </c:pt>
                <c:pt idx="418">
                  <c:v>32.671999999999997</c:v>
                </c:pt>
                <c:pt idx="419">
                  <c:v>27.1</c:v>
                </c:pt>
                <c:pt idx="420">
                  <c:v>28.827999999999999</c:v>
                </c:pt>
                <c:pt idx="421">
                  <c:v>28.51</c:v>
                </c:pt>
                <c:pt idx="422">
                  <c:v>30.213000000000001</c:v>
                </c:pt>
                <c:pt idx="423">
                  <c:v>28.233000000000001</c:v>
                </c:pt>
                <c:pt idx="424">
                  <c:v>29.338999999999999</c:v>
                </c:pt>
                <c:pt idx="425">
                  <c:v>32.911000000000001</c:v>
                </c:pt>
                <c:pt idx="426">
                  <c:v>34.241999999999997</c:v>
                </c:pt>
                <c:pt idx="427">
                  <c:v>38.073999999999998</c:v>
                </c:pt>
                <c:pt idx="428">
                  <c:v>45.886000000000003</c:v>
                </c:pt>
                <c:pt idx="429">
                  <c:v>43.664999999999999</c:v>
                </c:pt>
                <c:pt idx="430">
                  <c:v>43.460999999999999</c:v>
                </c:pt>
                <c:pt idx="431">
                  <c:v>37.697000000000003</c:v>
                </c:pt>
                <c:pt idx="432">
                  <c:v>38.430999999999997</c:v>
                </c:pt>
                <c:pt idx="433">
                  <c:v>32.862000000000002</c:v>
                </c:pt>
                <c:pt idx="434">
                  <c:v>33.604999999999997</c:v>
                </c:pt>
                <c:pt idx="435">
                  <c:v>35.148000000000003</c:v>
                </c:pt>
                <c:pt idx="436">
                  <c:v>35.628</c:v>
                </c:pt>
                <c:pt idx="437">
                  <c:v>34.078000000000003</c:v>
                </c:pt>
                <c:pt idx="438">
                  <c:v>32.280999999999999</c:v>
                </c:pt>
                <c:pt idx="439">
                  <c:v>32.828000000000003</c:v>
                </c:pt>
                <c:pt idx="440">
                  <c:v>34.063000000000002</c:v>
                </c:pt>
                <c:pt idx="441">
                  <c:v>31.821999999999999</c:v>
                </c:pt>
                <c:pt idx="442">
                  <c:v>34.804000000000002</c:v>
                </c:pt>
                <c:pt idx="443">
                  <c:v>40.676000000000002</c:v>
                </c:pt>
                <c:pt idx="444">
                  <c:v>45.395000000000003</c:v>
                </c:pt>
                <c:pt idx="445">
                  <c:v>50.917999999999999</c:v>
                </c:pt>
                <c:pt idx="446">
                  <c:v>48.622</c:v>
                </c:pt>
                <c:pt idx="447">
                  <c:v>52.024000000000001</c:v>
                </c:pt>
                <c:pt idx="448">
                  <c:v>52.768000000000001</c:v>
                </c:pt>
                <c:pt idx="449">
                  <c:v>59.939</c:v>
                </c:pt>
                <c:pt idx="450">
                  <c:v>57.040999999999997</c:v>
                </c:pt>
                <c:pt idx="451">
                  <c:v>61.923999999999999</c:v>
                </c:pt>
                <c:pt idx="452">
                  <c:v>63.161999999999999</c:v>
                </c:pt>
                <c:pt idx="453">
                  <c:v>63.107999999999997</c:v>
                </c:pt>
                <c:pt idx="454">
                  <c:v>48.552999999999997</c:v>
                </c:pt>
                <c:pt idx="455">
                  <c:v>48.1</c:v>
                </c:pt>
                <c:pt idx="456">
                  <c:v>49.45</c:v>
                </c:pt>
                <c:pt idx="457">
                  <c:v>50.01</c:v>
                </c:pt>
                <c:pt idx="458">
                  <c:v>64.632000000000005</c:v>
                </c:pt>
                <c:pt idx="459">
                  <c:v>69.956000000000003</c:v>
                </c:pt>
                <c:pt idx="460">
                  <c:v>68.744</c:v>
                </c:pt>
                <c:pt idx="461">
                  <c:v>107.93899999999999</c:v>
                </c:pt>
                <c:pt idx="462">
                  <c:v>142.559</c:v>
                </c:pt>
                <c:pt idx="463">
                  <c:v>178.23599999999999</c:v>
                </c:pt>
                <c:pt idx="464">
                  <c:v>152.30000000000001</c:v>
                </c:pt>
                <c:pt idx="465">
                  <c:v>170.45599999999999</c:v>
                </c:pt>
                <c:pt idx="466">
                  <c:v>143.9</c:v>
                </c:pt>
                <c:pt idx="467">
                  <c:v>147.958</c:v>
                </c:pt>
                <c:pt idx="468">
                  <c:v>117.411</c:v>
                </c:pt>
                <c:pt idx="469">
                  <c:v>128.238</c:v>
                </c:pt>
                <c:pt idx="470">
                  <c:v>122.301</c:v>
                </c:pt>
                <c:pt idx="471">
                  <c:v>118.048</c:v>
                </c:pt>
                <c:pt idx="472">
                  <c:v>158.44999999999999</c:v>
                </c:pt>
                <c:pt idx="473">
                  <c:v>168.48400000000001</c:v>
                </c:pt>
                <c:pt idx="474">
                  <c:v>152.44900000000001</c:v>
                </c:pt>
                <c:pt idx="475">
                  <c:v>159.62</c:v>
                </c:pt>
                <c:pt idx="476">
                  <c:v>149.554</c:v>
                </c:pt>
                <c:pt idx="477">
                  <c:v>148.376</c:v>
                </c:pt>
                <c:pt idx="478">
                  <c:v>137.74799999999999</c:v>
                </c:pt>
                <c:pt idx="479">
                  <c:v>128.172</c:v>
                </c:pt>
                <c:pt idx="480">
                  <c:v>139.67599999999999</c:v>
                </c:pt>
                <c:pt idx="481">
                  <c:v>177.85</c:v>
                </c:pt>
                <c:pt idx="482">
                  <c:v>175.27099999999999</c:v>
                </c:pt>
                <c:pt idx="483">
                  <c:v>144.79900000000001</c:v>
                </c:pt>
                <c:pt idx="484">
                  <c:v>135.37</c:v>
                </c:pt>
                <c:pt idx="485">
                  <c:v>133.04</c:v>
                </c:pt>
                <c:pt idx="486">
                  <c:v>150.01</c:v>
                </c:pt>
                <c:pt idx="487">
                  <c:v>132.41999999999999</c:v>
                </c:pt>
                <c:pt idx="488">
                  <c:v>114.3</c:v>
                </c:pt>
                <c:pt idx="489">
                  <c:v>141.47</c:v>
                </c:pt>
                <c:pt idx="490">
                  <c:v>144.78</c:v>
                </c:pt>
                <c:pt idx="491">
                  <c:v>176.22</c:v>
                </c:pt>
                <c:pt idx="492">
                  <c:v>176.51</c:v>
                </c:pt>
                <c:pt idx="493">
                  <c:v>212.59</c:v>
                </c:pt>
                <c:pt idx="494">
                  <c:v>215.86</c:v>
                </c:pt>
                <c:pt idx="495">
                  <c:v>234.34</c:v>
                </c:pt>
                <c:pt idx="496">
                  <c:v>229.71</c:v>
                </c:pt>
                <c:pt idx="497">
                  <c:v>270.42</c:v>
                </c:pt>
                <c:pt idx="498">
                  <c:v>340.65</c:v>
                </c:pt>
                <c:pt idx="499">
                  <c:v>421.88</c:v>
                </c:pt>
                <c:pt idx="500">
                  <c:v>387.47</c:v>
                </c:pt>
                <c:pt idx="501">
                  <c:v>395.01</c:v>
                </c:pt>
                <c:pt idx="502">
                  <c:v>408.67</c:v>
                </c:pt>
                <c:pt idx="503">
                  <c:v>364.2</c:v>
                </c:pt>
                <c:pt idx="504">
                  <c:v>330</c:v>
                </c:pt>
                <c:pt idx="505">
                  <c:v>339.66</c:v>
                </c:pt>
                <c:pt idx="506">
                  <c:v>327.91</c:v>
                </c:pt>
                <c:pt idx="507">
                  <c:v>396.5</c:v>
                </c:pt>
                <c:pt idx="508">
                  <c:v>353.67</c:v>
                </c:pt>
                <c:pt idx="509">
                  <c:v>334.79</c:v>
                </c:pt>
                <c:pt idx="510">
                  <c:v>327.56</c:v>
                </c:pt>
                <c:pt idx="511">
                  <c:v>337.73</c:v>
                </c:pt>
                <c:pt idx="512">
                  <c:v>299.69</c:v>
                </c:pt>
                <c:pt idx="513">
                  <c:v>255.43</c:v>
                </c:pt>
                <c:pt idx="514">
                  <c:v>287.18</c:v>
                </c:pt>
                <c:pt idx="515">
                  <c:v>297.49</c:v>
                </c:pt>
                <c:pt idx="516">
                  <c:v>304</c:v>
                </c:pt>
                <c:pt idx="517">
                  <c:v>289.41000000000003</c:v>
                </c:pt>
                <c:pt idx="518">
                  <c:v>293.61</c:v>
                </c:pt>
                <c:pt idx="519">
                  <c:v>299.98</c:v>
                </c:pt>
                <c:pt idx="520">
                  <c:v>317.2</c:v>
                </c:pt>
                <c:pt idx="521">
                  <c:v>368.71</c:v>
                </c:pt>
                <c:pt idx="522">
                  <c:v>394.37</c:v>
                </c:pt>
              </c:numCache>
            </c:numRef>
          </c:val>
          <c:smooth val="0"/>
          <c:extLst>
            <c:ext xmlns:c16="http://schemas.microsoft.com/office/drawing/2014/chart" uri="{C3380CC4-5D6E-409C-BE32-E72D297353CC}">
              <c16:uniqueId val="{00000000-7AE6-4113-B7AE-5091807C396B}"/>
            </c:ext>
          </c:extLst>
        </c:ser>
        <c:dLbls>
          <c:showLegendKey val="0"/>
          <c:showVal val="0"/>
          <c:showCatName val="0"/>
          <c:showSerName val="0"/>
          <c:showPercent val="0"/>
          <c:showBubbleSize val="0"/>
        </c:dLbls>
        <c:smooth val="0"/>
        <c:axId val="1611044687"/>
        <c:axId val="1611045167"/>
      </c:lineChart>
      <c:dateAx>
        <c:axId val="161104468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Date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m/d/yy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1045167"/>
        <c:crosses val="autoZero"/>
        <c:auto val="1"/>
        <c:lblOffset val="100"/>
        <c:baseTimeUnit val="days"/>
      </c:dateAx>
      <c:valAx>
        <c:axId val="161104516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Pricee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409]* #,##0.00_);_([$$-409]* \(#,##0.00\);_([$$-409]*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1044687"/>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AMZN Closing Stock Price 10 YearHistory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cked"/>
        <c:varyColors val="0"/>
        <c:ser>
          <c:idx val="0"/>
          <c:order val="0"/>
          <c:tx>
            <c:strRef>
              <c:f>AMZN!$E$6</c:f>
              <c:strCache>
                <c:ptCount val="1"/>
                <c:pt idx="0">
                  <c:v>Close</c:v>
                </c:pt>
              </c:strCache>
            </c:strRef>
          </c:tx>
          <c:spPr>
            <a:ln w="28575" cap="rnd">
              <a:solidFill>
                <a:schemeClr val="accent1"/>
              </a:solidFill>
              <a:round/>
            </a:ln>
            <a:effectLst/>
          </c:spPr>
          <c:marker>
            <c:symbol val="none"/>
          </c:marker>
          <c:cat>
            <c:numRef>
              <c:f>AMZN!$D$7:$D$529</c:f>
              <c:numCache>
                <c:formatCode>m/d/yyyy</c:formatCode>
                <c:ptCount val="523"/>
                <c:pt idx="0">
                  <c:v>42121</c:v>
                </c:pt>
                <c:pt idx="1">
                  <c:v>42128</c:v>
                </c:pt>
                <c:pt idx="2">
                  <c:v>42135</c:v>
                </c:pt>
                <c:pt idx="3">
                  <c:v>42142</c:v>
                </c:pt>
                <c:pt idx="4">
                  <c:v>42150</c:v>
                </c:pt>
                <c:pt idx="5">
                  <c:v>42156</c:v>
                </c:pt>
                <c:pt idx="6">
                  <c:v>42163</c:v>
                </c:pt>
                <c:pt idx="7">
                  <c:v>42170</c:v>
                </c:pt>
                <c:pt idx="8">
                  <c:v>42177</c:v>
                </c:pt>
                <c:pt idx="9">
                  <c:v>42184</c:v>
                </c:pt>
                <c:pt idx="10">
                  <c:v>42191</c:v>
                </c:pt>
                <c:pt idx="11">
                  <c:v>42198</c:v>
                </c:pt>
                <c:pt idx="12">
                  <c:v>42205</c:v>
                </c:pt>
                <c:pt idx="13">
                  <c:v>42212</c:v>
                </c:pt>
                <c:pt idx="14">
                  <c:v>42219</c:v>
                </c:pt>
                <c:pt idx="15">
                  <c:v>42226</c:v>
                </c:pt>
                <c:pt idx="16">
                  <c:v>42233</c:v>
                </c:pt>
                <c:pt idx="17">
                  <c:v>42240</c:v>
                </c:pt>
                <c:pt idx="18">
                  <c:v>42247</c:v>
                </c:pt>
                <c:pt idx="19">
                  <c:v>42255</c:v>
                </c:pt>
                <c:pt idx="20">
                  <c:v>42261</c:v>
                </c:pt>
                <c:pt idx="21">
                  <c:v>42268</c:v>
                </c:pt>
                <c:pt idx="22">
                  <c:v>42275</c:v>
                </c:pt>
                <c:pt idx="23">
                  <c:v>42282</c:v>
                </c:pt>
                <c:pt idx="24">
                  <c:v>42289</c:v>
                </c:pt>
                <c:pt idx="25">
                  <c:v>42296</c:v>
                </c:pt>
                <c:pt idx="26">
                  <c:v>42303</c:v>
                </c:pt>
                <c:pt idx="27">
                  <c:v>42310</c:v>
                </c:pt>
                <c:pt idx="28">
                  <c:v>42317</c:v>
                </c:pt>
                <c:pt idx="29">
                  <c:v>42324</c:v>
                </c:pt>
                <c:pt idx="30">
                  <c:v>42331</c:v>
                </c:pt>
                <c:pt idx="31">
                  <c:v>42338</c:v>
                </c:pt>
                <c:pt idx="32">
                  <c:v>42345</c:v>
                </c:pt>
                <c:pt idx="33">
                  <c:v>42352</c:v>
                </c:pt>
                <c:pt idx="34">
                  <c:v>42359</c:v>
                </c:pt>
                <c:pt idx="35">
                  <c:v>42366</c:v>
                </c:pt>
                <c:pt idx="36">
                  <c:v>42373</c:v>
                </c:pt>
                <c:pt idx="37">
                  <c:v>42380</c:v>
                </c:pt>
                <c:pt idx="38">
                  <c:v>42388</c:v>
                </c:pt>
                <c:pt idx="39">
                  <c:v>42394</c:v>
                </c:pt>
                <c:pt idx="40">
                  <c:v>42401</c:v>
                </c:pt>
                <c:pt idx="41">
                  <c:v>42408</c:v>
                </c:pt>
                <c:pt idx="42">
                  <c:v>42416</c:v>
                </c:pt>
                <c:pt idx="43">
                  <c:v>42422</c:v>
                </c:pt>
                <c:pt idx="44">
                  <c:v>42429</c:v>
                </c:pt>
                <c:pt idx="45">
                  <c:v>42436</c:v>
                </c:pt>
                <c:pt idx="46">
                  <c:v>42443</c:v>
                </c:pt>
                <c:pt idx="47">
                  <c:v>42450</c:v>
                </c:pt>
                <c:pt idx="48">
                  <c:v>42457</c:v>
                </c:pt>
                <c:pt idx="49">
                  <c:v>42464</c:v>
                </c:pt>
                <c:pt idx="50">
                  <c:v>42471</c:v>
                </c:pt>
                <c:pt idx="51">
                  <c:v>42478</c:v>
                </c:pt>
                <c:pt idx="52">
                  <c:v>42485</c:v>
                </c:pt>
                <c:pt idx="53">
                  <c:v>42492</c:v>
                </c:pt>
                <c:pt idx="54">
                  <c:v>42499</c:v>
                </c:pt>
                <c:pt idx="55">
                  <c:v>42506</c:v>
                </c:pt>
                <c:pt idx="56">
                  <c:v>42513</c:v>
                </c:pt>
                <c:pt idx="57">
                  <c:v>42521</c:v>
                </c:pt>
                <c:pt idx="58">
                  <c:v>42527</c:v>
                </c:pt>
                <c:pt idx="59">
                  <c:v>42534</c:v>
                </c:pt>
                <c:pt idx="60">
                  <c:v>42541</c:v>
                </c:pt>
                <c:pt idx="61">
                  <c:v>42548</c:v>
                </c:pt>
                <c:pt idx="62">
                  <c:v>42556</c:v>
                </c:pt>
                <c:pt idx="63">
                  <c:v>42562</c:v>
                </c:pt>
                <c:pt idx="64">
                  <c:v>42569</c:v>
                </c:pt>
                <c:pt idx="65">
                  <c:v>42576</c:v>
                </c:pt>
                <c:pt idx="66">
                  <c:v>42583</c:v>
                </c:pt>
                <c:pt idx="67">
                  <c:v>42590</c:v>
                </c:pt>
                <c:pt idx="68">
                  <c:v>42597</c:v>
                </c:pt>
                <c:pt idx="69">
                  <c:v>42604</c:v>
                </c:pt>
                <c:pt idx="70">
                  <c:v>42611</c:v>
                </c:pt>
                <c:pt idx="71">
                  <c:v>42619</c:v>
                </c:pt>
                <c:pt idx="72">
                  <c:v>42625</c:v>
                </c:pt>
                <c:pt idx="73">
                  <c:v>42632</c:v>
                </c:pt>
                <c:pt idx="74">
                  <c:v>42639</c:v>
                </c:pt>
                <c:pt idx="75">
                  <c:v>42646</c:v>
                </c:pt>
                <c:pt idx="76">
                  <c:v>42653</c:v>
                </c:pt>
                <c:pt idx="77">
                  <c:v>42660</c:v>
                </c:pt>
                <c:pt idx="78">
                  <c:v>42667</c:v>
                </c:pt>
                <c:pt idx="79">
                  <c:v>42674</c:v>
                </c:pt>
                <c:pt idx="80">
                  <c:v>42681</c:v>
                </c:pt>
                <c:pt idx="81">
                  <c:v>42688</c:v>
                </c:pt>
                <c:pt idx="82">
                  <c:v>42695</c:v>
                </c:pt>
                <c:pt idx="83">
                  <c:v>42702</c:v>
                </c:pt>
                <c:pt idx="84">
                  <c:v>42709</c:v>
                </c:pt>
                <c:pt idx="85">
                  <c:v>42716</c:v>
                </c:pt>
                <c:pt idx="86">
                  <c:v>42723</c:v>
                </c:pt>
                <c:pt idx="87">
                  <c:v>42731</c:v>
                </c:pt>
                <c:pt idx="88">
                  <c:v>42738</c:v>
                </c:pt>
                <c:pt idx="89">
                  <c:v>42744</c:v>
                </c:pt>
                <c:pt idx="90">
                  <c:v>42752</c:v>
                </c:pt>
                <c:pt idx="91">
                  <c:v>42758</c:v>
                </c:pt>
                <c:pt idx="92">
                  <c:v>42765</c:v>
                </c:pt>
                <c:pt idx="93">
                  <c:v>42772</c:v>
                </c:pt>
                <c:pt idx="94">
                  <c:v>42779</c:v>
                </c:pt>
                <c:pt idx="95">
                  <c:v>42787</c:v>
                </c:pt>
                <c:pt idx="96">
                  <c:v>42793</c:v>
                </c:pt>
                <c:pt idx="97">
                  <c:v>42800</c:v>
                </c:pt>
                <c:pt idx="98">
                  <c:v>42807</c:v>
                </c:pt>
                <c:pt idx="99">
                  <c:v>42814</c:v>
                </c:pt>
                <c:pt idx="100">
                  <c:v>42821</c:v>
                </c:pt>
                <c:pt idx="101">
                  <c:v>42828</c:v>
                </c:pt>
                <c:pt idx="102">
                  <c:v>42835</c:v>
                </c:pt>
                <c:pt idx="103">
                  <c:v>42842</c:v>
                </c:pt>
                <c:pt idx="104">
                  <c:v>42849</c:v>
                </c:pt>
                <c:pt idx="105">
                  <c:v>42856</c:v>
                </c:pt>
                <c:pt idx="106">
                  <c:v>42863</c:v>
                </c:pt>
                <c:pt idx="107">
                  <c:v>42870</c:v>
                </c:pt>
                <c:pt idx="108">
                  <c:v>42877</c:v>
                </c:pt>
                <c:pt idx="109">
                  <c:v>42885</c:v>
                </c:pt>
                <c:pt idx="110">
                  <c:v>42891</c:v>
                </c:pt>
                <c:pt idx="111">
                  <c:v>42898</c:v>
                </c:pt>
                <c:pt idx="112">
                  <c:v>42905</c:v>
                </c:pt>
                <c:pt idx="113">
                  <c:v>42912</c:v>
                </c:pt>
                <c:pt idx="114">
                  <c:v>42919</c:v>
                </c:pt>
                <c:pt idx="115">
                  <c:v>42926</c:v>
                </c:pt>
                <c:pt idx="116">
                  <c:v>42933</c:v>
                </c:pt>
                <c:pt idx="117">
                  <c:v>42940</c:v>
                </c:pt>
                <c:pt idx="118">
                  <c:v>42947</c:v>
                </c:pt>
                <c:pt idx="119">
                  <c:v>42954</c:v>
                </c:pt>
                <c:pt idx="120">
                  <c:v>42961</c:v>
                </c:pt>
                <c:pt idx="121">
                  <c:v>42968</c:v>
                </c:pt>
                <c:pt idx="122">
                  <c:v>42975</c:v>
                </c:pt>
                <c:pt idx="123">
                  <c:v>42983</c:v>
                </c:pt>
                <c:pt idx="124">
                  <c:v>42989</c:v>
                </c:pt>
                <c:pt idx="125">
                  <c:v>42996</c:v>
                </c:pt>
                <c:pt idx="126">
                  <c:v>43003</c:v>
                </c:pt>
                <c:pt idx="127">
                  <c:v>43010</c:v>
                </c:pt>
                <c:pt idx="128">
                  <c:v>43017</c:v>
                </c:pt>
                <c:pt idx="129">
                  <c:v>43024</c:v>
                </c:pt>
                <c:pt idx="130">
                  <c:v>43031</c:v>
                </c:pt>
                <c:pt idx="131">
                  <c:v>43038</c:v>
                </c:pt>
                <c:pt idx="132">
                  <c:v>43045</c:v>
                </c:pt>
                <c:pt idx="133">
                  <c:v>43052</c:v>
                </c:pt>
                <c:pt idx="134">
                  <c:v>43059</c:v>
                </c:pt>
                <c:pt idx="135">
                  <c:v>43066</c:v>
                </c:pt>
                <c:pt idx="136">
                  <c:v>43073</c:v>
                </c:pt>
                <c:pt idx="137">
                  <c:v>43080</c:v>
                </c:pt>
                <c:pt idx="138">
                  <c:v>43087</c:v>
                </c:pt>
                <c:pt idx="139">
                  <c:v>43095</c:v>
                </c:pt>
                <c:pt idx="140">
                  <c:v>43102</c:v>
                </c:pt>
                <c:pt idx="141">
                  <c:v>43108</c:v>
                </c:pt>
                <c:pt idx="142">
                  <c:v>43116</c:v>
                </c:pt>
                <c:pt idx="143">
                  <c:v>43122</c:v>
                </c:pt>
                <c:pt idx="144">
                  <c:v>43129</c:v>
                </c:pt>
                <c:pt idx="145">
                  <c:v>43136</c:v>
                </c:pt>
                <c:pt idx="146">
                  <c:v>43143</c:v>
                </c:pt>
                <c:pt idx="147">
                  <c:v>43151</c:v>
                </c:pt>
                <c:pt idx="148">
                  <c:v>43157</c:v>
                </c:pt>
                <c:pt idx="149">
                  <c:v>43164</c:v>
                </c:pt>
                <c:pt idx="150">
                  <c:v>43171</c:v>
                </c:pt>
                <c:pt idx="151">
                  <c:v>43178</c:v>
                </c:pt>
                <c:pt idx="152">
                  <c:v>43185</c:v>
                </c:pt>
                <c:pt idx="153">
                  <c:v>43192</c:v>
                </c:pt>
                <c:pt idx="154">
                  <c:v>43199</c:v>
                </c:pt>
                <c:pt idx="155">
                  <c:v>43206</c:v>
                </c:pt>
                <c:pt idx="156">
                  <c:v>43213</c:v>
                </c:pt>
                <c:pt idx="157">
                  <c:v>43220</c:v>
                </c:pt>
                <c:pt idx="158">
                  <c:v>43227</c:v>
                </c:pt>
                <c:pt idx="159">
                  <c:v>43234</c:v>
                </c:pt>
                <c:pt idx="160">
                  <c:v>43241</c:v>
                </c:pt>
                <c:pt idx="161">
                  <c:v>43249</c:v>
                </c:pt>
                <c:pt idx="162">
                  <c:v>43255</c:v>
                </c:pt>
                <c:pt idx="163">
                  <c:v>43262</c:v>
                </c:pt>
                <c:pt idx="164">
                  <c:v>43269</c:v>
                </c:pt>
                <c:pt idx="165">
                  <c:v>43276</c:v>
                </c:pt>
                <c:pt idx="166">
                  <c:v>43283</c:v>
                </c:pt>
                <c:pt idx="167">
                  <c:v>43290</c:v>
                </c:pt>
                <c:pt idx="168">
                  <c:v>43297</c:v>
                </c:pt>
                <c:pt idx="169">
                  <c:v>43304</c:v>
                </c:pt>
                <c:pt idx="170">
                  <c:v>43311</c:v>
                </c:pt>
                <c:pt idx="171">
                  <c:v>43318</c:v>
                </c:pt>
                <c:pt idx="172">
                  <c:v>43325</c:v>
                </c:pt>
                <c:pt idx="173">
                  <c:v>43332</c:v>
                </c:pt>
                <c:pt idx="174">
                  <c:v>43339</c:v>
                </c:pt>
                <c:pt idx="175">
                  <c:v>43347</c:v>
                </c:pt>
                <c:pt idx="176">
                  <c:v>43353</c:v>
                </c:pt>
                <c:pt idx="177">
                  <c:v>43360</c:v>
                </c:pt>
                <c:pt idx="178">
                  <c:v>43367</c:v>
                </c:pt>
                <c:pt idx="179">
                  <c:v>43374</c:v>
                </c:pt>
                <c:pt idx="180">
                  <c:v>43381</c:v>
                </c:pt>
                <c:pt idx="181">
                  <c:v>43388</c:v>
                </c:pt>
                <c:pt idx="182">
                  <c:v>43395</c:v>
                </c:pt>
                <c:pt idx="183">
                  <c:v>43402</c:v>
                </c:pt>
                <c:pt idx="184">
                  <c:v>43409</c:v>
                </c:pt>
                <c:pt idx="185">
                  <c:v>43416</c:v>
                </c:pt>
                <c:pt idx="186">
                  <c:v>43423</c:v>
                </c:pt>
                <c:pt idx="187">
                  <c:v>43430</c:v>
                </c:pt>
                <c:pt idx="188">
                  <c:v>43437</c:v>
                </c:pt>
                <c:pt idx="189">
                  <c:v>43444</c:v>
                </c:pt>
                <c:pt idx="190">
                  <c:v>43451</c:v>
                </c:pt>
                <c:pt idx="191">
                  <c:v>43458</c:v>
                </c:pt>
                <c:pt idx="192">
                  <c:v>43465</c:v>
                </c:pt>
                <c:pt idx="193">
                  <c:v>43472</c:v>
                </c:pt>
                <c:pt idx="194">
                  <c:v>43479</c:v>
                </c:pt>
                <c:pt idx="195">
                  <c:v>43487</c:v>
                </c:pt>
                <c:pt idx="196">
                  <c:v>43493</c:v>
                </c:pt>
                <c:pt idx="197">
                  <c:v>43500</c:v>
                </c:pt>
                <c:pt idx="198">
                  <c:v>43507</c:v>
                </c:pt>
                <c:pt idx="199">
                  <c:v>43515</c:v>
                </c:pt>
                <c:pt idx="200">
                  <c:v>43521</c:v>
                </c:pt>
                <c:pt idx="201">
                  <c:v>43528</c:v>
                </c:pt>
                <c:pt idx="202">
                  <c:v>43535</c:v>
                </c:pt>
                <c:pt idx="203">
                  <c:v>43542</c:v>
                </c:pt>
                <c:pt idx="204">
                  <c:v>43549</c:v>
                </c:pt>
                <c:pt idx="205">
                  <c:v>43556</c:v>
                </c:pt>
                <c:pt idx="206">
                  <c:v>43563</c:v>
                </c:pt>
                <c:pt idx="207">
                  <c:v>43570</c:v>
                </c:pt>
                <c:pt idx="208">
                  <c:v>43577</c:v>
                </c:pt>
                <c:pt idx="209">
                  <c:v>43584</c:v>
                </c:pt>
                <c:pt idx="210">
                  <c:v>43591</c:v>
                </c:pt>
                <c:pt idx="211">
                  <c:v>43598</c:v>
                </c:pt>
                <c:pt idx="212">
                  <c:v>43605</c:v>
                </c:pt>
                <c:pt idx="213">
                  <c:v>43613</c:v>
                </c:pt>
                <c:pt idx="214">
                  <c:v>43619</c:v>
                </c:pt>
                <c:pt idx="215">
                  <c:v>43626</c:v>
                </c:pt>
                <c:pt idx="216">
                  <c:v>43633</c:v>
                </c:pt>
                <c:pt idx="217">
                  <c:v>43640</c:v>
                </c:pt>
                <c:pt idx="218">
                  <c:v>43647</c:v>
                </c:pt>
                <c:pt idx="219">
                  <c:v>43654</c:v>
                </c:pt>
                <c:pt idx="220">
                  <c:v>43661</c:v>
                </c:pt>
                <c:pt idx="221">
                  <c:v>43668</c:v>
                </c:pt>
                <c:pt idx="222">
                  <c:v>43675</c:v>
                </c:pt>
                <c:pt idx="223">
                  <c:v>43682</c:v>
                </c:pt>
                <c:pt idx="224">
                  <c:v>43689</c:v>
                </c:pt>
                <c:pt idx="225">
                  <c:v>43696</c:v>
                </c:pt>
                <c:pt idx="226">
                  <c:v>43703</c:v>
                </c:pt>
                <c:pt idx="227">
                  <c:v>43711</c:v>
                </c:pt>
                <c:pt idx="228">
                  <c:v>43717</c:v>
                </c:pt>
                <c:pt idx="229">
                  <c:v>43724</c:v>
                </c:pt>
                <c:pt idx="230">
                  <c:v>43731</c:v>
                </c:pt>
                <c:pt idx="231">
                  <c:v>43738</c:v>
                </c:pt>
                <c:pt idx="232">
                  <c:v>43745</c:v>
                </c:pt>
                <c:pt idx="233">
                  <c:v>43752</c:v>
                </c:pt>
                <c:pt idx="234">
                  <c:v>43759</c:v>
                </c:pt>
                <c:pt idx="235">
                  <c:v>43766</c:v>
                </c:pt>
                <c:pt idx="236">
                  <c:v>43773</c:v>
                </c:pt>
                <c:pt idx="237">
                  <c:v>43780</c:v>
                </c:pt>
                <c:pt idx="238">
                  <c:v>43787</c:v>
                </c:pt>
                <c:pt idx="239">
                  <c:v>43794</c:v>
                </c:pt>
                <c:pt idx="240">
                  <c:v>43801</c:v>
                </c:pt>
                <c:pt idx="241">
                  <c:v>43808</c:v>
                </c:pt>
                <c:pt idx="242">
                  <c:v>43815</c:v>
                </c:pt>
                <c:pt idx="243">
                  <c:v>43822</c:v>
                </c:pt>
                <c:pt idx="244">
                  <c:v>43829</c:v>
                </c:pt>
                <c:pt idx="245">
                  <c:v>43836</c:v>
                </c:pt>
                <c:pt idx="246">
                  <c:v>43843</c:v>
                </c:pt>
                <c:pt idx="247">
                  <c:v>43851</c:v>
                </c:pt>
                <c:pt idx="248">
                  <c:v>43857</c:v>
                </c:pt>
                <c:pt idx="249">
                  <c:v>43864</c:v>
                </c:pt>
                <c:pt idx="250">
                  <c:v>43871</c:v>
                </c:pt>
                <c:pt idx="251">
                  <c:v>43879</c:v>
                </c:pt>
                <c:pt idx="252">
                  <c:v>43885</c:v>
                </c:pt>
                <c:pt idx="253">
                  <c:v>43892</c:v>
                </c:pt>
                <c:pt idx="254">
                  <c:v>43899</c:v>
                </c:pt>
                <c:pt idx="255">
                  <c:v>43906</c:v>
                </c:pt>
                <c:pt idx="256">
                  <c:v>43913</c:v>
                </c:pt>
                <c:pt idx="257">
                  <c:v>43920</c:v>
                </c:pt>
                <c:pt idx="258">
                  <c:v>43927</c:v>
                </c:pt>
                <c:pt idx="259">
                  <c:v>43934</c:v>
                </c:pt>
                <c:pt idx="260">
                  <c:v>43941</c:v>
                </c:pt>
                <c:pt idx="261">
                  <c:v>43948</c:v>
                </c:pt>
                <c:pt idx="262">
                  <c:v>43955</c:v>
                </c:pt>
                <c:pt idx="263">
                  <c:v>43962</c:v>
                </c:pt>
                <c:pt idx="264">
                  <c:v>43969</c:v>
                </c:pt>
                <c:pt idx="265">
                  <c:v>43977</c:v>
                </c:pt>
                <c:pt idx="266">
                  <c:v>43983</c:v>
                </c:pt>
                <c:pt idx="267">
                  <c:v>43990</c:v>
                </c:pt>
                <c:pt idx="268">
                  <c:v>43997</c:v>
                </c:pt>
                <c:pt idx="269">
                  <c:v>44004</c:v>
                </c:pt>
                <c:pt idx="270">
                  <c:v>44011</c:v>
                </c:pt>
                <c:pt idx="271">
                  <c:v>44018</c:v>
                </c:pt>
                <c:pt idx="272">
                  <c:v>44025</c:v>
                </c:pt>
                <c:pt idx="273">
                  <c:v>44032</c:v>
                </c:pt>
                <c:pt idx="274">
                  <c:v>44039</c:v>
                </c:pt>
                <c:pt idx="275">
                  <c:v>44046</c:v>
                </c:pt>
                <c:pt idx="276">
                  <c:v>44053</c:v>
                </c:pt>
                <c:pt idx="277">
                  <c:v>44060</c:v>
                </c:pt>
                <c:pt idx="278">
                  <c:v>44067</c:v>
                </c:pt>
                <c:pt idx="279">
                  <c:v>44074</c:v>
                </c:pt>
                <c:pt idx="280">
                  <c:v>44082</c:v>
                </c:pt>
                <c:pt idx="281">
                  <c:v>44088</c:v>
                </c:pt>
                <c:pt idx="282">
                  <c:v>44095</c:v>
                </c:pt>
                <c:pt idx="283">
                  <c:v>44102</c:v>
                </c:pt>
                <c:pt idx="284">
                  <c:v>44109</c:v>
                </c:pt>
                <c:pt idx="285">
                  <c:v>44116</c:v>
                </c:pt>
                <c:pt idx="286">
                  <c:v>44123</c:v>
                </c:pt>
                <c:pt idx="287">
                  <c:v>44130</c:v>
                </c:pt>
                <c:pt idx="288">
                  <c:v>44137</c:v>
                </c:pt>
                <c:pt idx="289">
                  <c:v>44144</c:v>
                </c:pt>
                <c:pt idx="290">
                  <c:v>44151</c:v>
                </c:pt>
                <c:pt idx="291">
                  <c:v>44158</c:v>
                </c:pt>
                <c:pt idx="292">
                  <c:v>44165</c:v>
                </c:pt>
                <c:pt idx="293">
                  <c:v>44172</c:v>
                </c:pt>
                <c:pt idx="294">
                  <c:v>44179</c:v>
                </c:pt>
                <c:pt idx="295">
                  <c:v>44186</c:v>
                </c:pt>
                <c:pt idx="296">
                  <c:v>44193</c:v>
                </c:pt>
                <c:pt idx="297">
                  <c:v>44200</c:v>
                </c:pt>
                <c:pt idx="298">
                  <c:v>44207</c:v>
                </c:pt>
                <c:pt idx="299">
                  <c:v>44215</c:v>
                </c:pt>
                <c:pt idx="300">
                  <c:v>44221</c:v>
                </c:pt>
                <c:pt idx="301">
                  <c:v>44228</c:v>
                </c:pt>
                <c:pt idx="302">
                  <c:v>44235</c:v>
                </c:pt>
                <c:pt idx="303">
                  <c:v>44243</c:v>
                </c:pt>
                <c:pt idx="304">
                  <c:v>44249</c:v>
                </c:pt>
                <c:pt idx="305">
                  <c:v>44256</c:v>
                </c:pt>
                <c:pt idx="306">
                  <c:v>44263</c:v>
                </c:pt>
                <c:pt idx="307">
                  <c:v>44270</c:v>
                </c:pt>
                <c:pt idx="308">
                  <c:v>44277</c:v>
                </c:pt>
                <c:pt idx="309">
                  <c:v>44284</c:v>
                </c:pt>
                <c:pt idx="310">
                  <c:v>44291</c:v>
                </c:pt>
                <c:pt idx="311">
                  <c:v>44298</c:v>
                </c:pt>
                <c:pt idx="312">
                  <c:v>44305</c:v>
                </c:pt>
                <c:pt idx="313">
                  <c:v>44312</c:v>
                </c:pt>
                <c:pt idx="314">
                  <c:v>44319</c:v>
                </c:pt>
                <c:pt idx="315">
                  <c:v>44326</c:v>
                </c:pt>
                <c:pt idx="316">
                  <c:v>44333</c:v>
                </c:pt>
                <c:pt idx="317">
                  <c:v>44340</c:v>
                </c:pt>
                <c:pt idx="318">
                  <c:v>44348</c:v>
                </c:pt>
                <c:pt idx="319">
                  <c:v>44354</c:v>
                </c:pt>
                <c:pt idx="320">
                  <c:v>44361</c:v>
                </c:pt>
                <c:pt idx="321">
                  <c:v>44368</c:v>
                </c:pt>
                <c:pt idx="322">
                  <c:v>44375</c:v>
                </c:pt>
                <c:pt idx="323">
                  <c:v>44383</c:v>
                </c:pt>
                <c:pt idx="324">
                  <c:v>44389</c:v>
                </c:pt>
                <c:pt idx="325">
                  <c:v>44396</c:v>
                </c:pt>
                <c:pt idx="326">
                  <c:v>44403</c:v>
                </c:pt>
                <c:pt idx="327">
                  <c:v>44410</c:v>
                </c:pt>
                <c:pt idx="328">
                  <c:v>44417</c:v>
                </c:pt>
                <c:pt idx="329">
                  <c:v>44424</c:v>
                </c:pt>
                <c:pt idx="330">
                  <c:v>44431</c:v>
                </c:pt>
                <c:pt idx="331">
                  <c:v>44438</c:v>
                </c:pt>
                <c:pt idx="332">
                  <c:v>44446</c:v>
                </c:pt>
                <c:pt idx="333">
                  <c:v>44452</c:v>
                </c:pt>
                <c:pt idx="334">
                  <c:v>44459</c:v>
                </c:pt>
                <c:pt idx="335">
                  <c:v>44466</c:v>
                </c:pt>
                <c:pt idx="336">
                  <c:v>44473</c:v>
                </c:pt>
                <c:pt idx="337">
                  <c:v>44480</c:v>
                </c:pt>
                <c:pt idx="338">
                  <c:v>44487</c:v>
                </c:pt>
                <c:pt idx="339">
                  <c:v>44494</c:v>
                </c:pt>
                <c:pt idx="340">
                  <c:v>44501</c:v>
                </c:pt>
                <c:pt idx="341">
                  <c:v>44508</c:v>
                </c:pt>
                <c:pt idx="342">
                  <c:v>44515</c:v>
                </c:pt>
                <c:pt idx="343">
                  <c:v>44522</c:v>
                </c:pt>
                <c:pt idx="344">
                  <c:v>44529</c:v>
                </c:pt>
                <c:pt idx="345">
                  <c:v>44536</c:v>
                </c:pt>
                <c:pt idx="346">
                  <c:v>44543</c:v>
                </c:pt>
                <c:pt idx="347">
                  <c:v>44550</c:v>
                </c:pt>
                <c:pt idx="348">
                  <c:v>44557</c:v>
                </c:pt>
                <c:pt idx="349">
                  <c:v>44564</c:v>
                </c:pt>
                <c:pt idx="350">
                  <c:v>44571</c:v>
                </c:pt>
                <c:pt idx="351">
                  <c:v>44579</c:v>
                </c:pt>
                <c:pt idx="352">
                  <c:v>44585</c:v>
                </c:pt>
                <c:pt idx="353">
                  <c:v>44592</c:v>
                </c:pt>
                <c:pt idx="354">
                  <c:v>44599</c:v>
                </c:pt>
                <c:pt idx="355">
                  <c:v>44606</c:v>
                </c:pt>
                <c:pt idx="356">
                  <c:v>44614</c:v>
                </c:pt>
                <c:pt idx="357">
                  <c:v>44620</c:v>
                </c:pt>
                <c:pt idx="358">
                  <c:v>44627</c:v>
                </c:pt>
                <c:pt idx="359">
                  <c:v>44634</c:v>
                </c:pt>
                <c:pt idx="360">
                  <c:v>44641</c:v>
                </c:pt>
                <c:pt idx="361">
                  <c:v>44648</c:v>
                </c:pt>
                <c:pt idx="362">
                  <c:v>44655</c:v>
                </c:pt>
                <c:pt idx="363">
                  <c:v>44662</c:v>
                </c:pt>
                <c:pt idx="364">
                  <c:v>44669</c:v>
                </c:pt>
                <c:pt idx="365">
                  <c:v>44676</c:v>
                </c:pt>
                <c:pt idx="366">
                  <c:v>44683</c:v>
                </c:pt>
                <c:pt idx="367">
                  <c:v>44690</c:v>
                </c:pt>
                <c:pt idx="368">
                  <c:v>44697</c:v>
                </c:pt>
                <c:pt idx="369">
                  <c:v>44704</c:v>
                </c:pt>
                <c:pt idx="370">
                  <c:v>44712</c:v>
                </c:pt>
                <c:pt idx="371">
                  <c:v>44718</c:v>
                </c:pt>
                <c:pt idx="372">
                  <c:v>44725</c:v>
                </c:pt>
                <c:pt idx="373">
                  <c:v>44733</c:v>
                </c:pt>
                <c:pt idx="374">
                  <c:v>44739</c:v>
                </c:pt>
                <c:pt idx="375">
                  <c:v>44747</c:v>
                </c:pt>
                <c:pt idx="376">
                  <c:v>44753</c:v>
                </c:pt>
                <c:pt idx="377">
                  <c:v>44760</c:v>
                </c:pt>
                <c:pt idx="378">
                  <c:v>44767</c:v>
                </c:pt>
                <c:pt idx="379">
                  <c:v>44774</c:v>
                </c:pt>
                <c:pt idx="380">
                  <c:v>44781</c:v>
                </c:pt>
                <c:pt idx="381">
                  <c:v>44788</c:v>
                </c:pt>
                <c:pt idx="382">
                  <c:v>44795</c:v>
                </c:pt>
                <c:pt idx="383">
                  <c:v>44802</c:v>
                </c:pt>
                <c:pt idx="384">
                  <c:v>44810</c:v>
                </c:pt>
                <c:pt idx="385">
                  <c:v>44816</c:v>
                </c:pt>
                <c:pt idx="386">
                  <c:v>44823</c:v>
                </c:pt>
                <c:pt idx="387">
                  <c:v>44830</c:v>
                </c:pt>
                <c:pt idx="388">
                  <c:v>44837</c:v>
                </c:pt>
                <c:pt idx="389">
                  <c:v>44844</c:v>
                </c:pt>
                <c:pt idx="390">
                  <c:v>44851</c:v>
                </c:pt>
                <c:pt idx="391">
                  <c:v>44858</c:v>
                </c:pt>
                <c:pt idx="392">
                  <c:v>44865</c:v>
                </c:pt>
                <c:pt idx="393">
                  <c:v>44872</c:v>
                </c:pt>
                <c:pt idx="394">
                  <c:v>44879</c:v>
                </c:pt>
                <c:pt idx="395">
                  <c:v>44886</c:v>
                </c:pt>
                <c:pt idx="396">
                  <c:v>44893</c:v>
                </c:pt>
                <c:pt idx="397">
                  <c:v>44900</c:v>
                </c:pt>
                <c:pt idx="398">
                  <c:v>44907</c:v>
                </c:pt>
                <c:pt idx="399">
                  <c:v>44914</c:v>
                </c:pt>
                <c:pt idx="400">
                  <c:v>44922</c:v>
                </c:pt>
                <c:pt idx="401">
                  <c:v>44929</c:v>
                </c:pt>
                <c:pt idx="402">
                  <c:v>44935</c:v>
                </c:pt>
                <c:pt idx="403">
                  <c:v>44943</c:v>
                </c:pt>
                <c:pt idx="404">
                  <c:v>44949</c:v>
                </c:pt>
                <c:pt idx="405">
                  <c:v>44956</c:v>
                </c:pt>
                <c:pt idx="406">
                  <c:v>44963</c:v>
                </c:pt>
                <c:pt idx="407">
                  <c:v>44970</c:v>
                </c:pt>
                <c:pt idx="408">
                  <c:v>44978</c:v>
                </c:pt>
                <c:pt idx="409">
                  <c:v>44984</c:v>
                </c:pt>
                <c:pt idx="410">
                  <c:v>44991</c:v>
                </c:pt>
                <c:pt idx="411">
                  <c:v>44998</c:v>
                </c:pt>
                <c:pt idx="412">
                  <c:v>45005</c:v>
                </c:pt>
                <c:pt idx="413">
                  <c:v>45012</c:v>
                </c:pt>
                <c:pt idx="414">
                  <c:v>45019</c:v>
                </c:pt>
                <c:pt idx="415">
                  <c:v>45026</c:v>
                </c:pt>
                <c:pt idx="416">
                  <c:v>45033</c:v>
                </c:pt>
                <c:pt idx="417">
                  <c:v>45040</c:v>
                </c:pt>
                <c:pt idx="418">
                  <c:v>45047</c:v>
                </c:pt>
                <c:pt idx="419">
                  <c:v>45054</c:v>
                </c:pt>
                <c:pt idx="420">
                  <c:v>45061</c:v>
                </c:pt>
                <c:pt idx="421">
                  <c:v>45068</c:v>
                </c:pt>
                <c:pt idx="422">
                  <c:v>45076</c:v>
                </c:pt>
                <c:pt idx="423">
                  <c:v>45082</c:v>
                </c:pt>
                <c:pt idx="424">
                  <c:v>45089</c:v>
                </c:pt>
                <c:pt idx="425">
                  <c:v>45097</c:v>
                </c:pt>
                <c:pt idx="426">
                  <c:v>45103</c:v>
                </c:pt>
                <c:pt idx="427">
                  <c:v>45110</c:v>
                </c:pt>
                <c:pt idx="428">
                  <c:v>45117</c:v>
                </c:pt>
                <c:pt idx="429">
                  <c:v>45124</c:v>
                </c:pt>
                <c:pt idx="430">
                  <c:v>45131</c:v>
                </c:pt>
                <c:pt idx="431">
                  <c:v>45138</c:v>
                </c:pt>
                <c:pt idx="432">
                  <c:v>45145</c:v>
                </c:pt>
                <c:pt idx="433">
                  <c:v>45152</c:v>
                </c:pt>
                <c:pt idx="434">
                  <c:v>45159</c:v>
                </c:pt>
                <c:pt idx="435">
                  <c:v>45166</c:v>
                </c:pt>
                <c:pt idx="436">
                  <c:v>45174</c:v>
                </c:pt>
                <c:pt idx="437">
                  <c:v>45180</c:v>
                </c:pt>
                <c:pt idx="438">
                  <c:v>45187</c:v>
                </c:pt>
                <c:pt idx="439">
                  <c:v>45194</c:v>
                </c:pt>
                <c:pt idx="440">
                  <c:v>45201</c:v>
                </c:pt>
                <c:pt idx="441">
                  <c:v>45208</c:v>
                </c:pt>
                <c:pt idx="442">
                  <c:v>45215</c:v>
                </c:pt>
                <c:pt idx="443">
                  <c:v>45222</c:v>
                </c:pt>
                <c:pt idx="444">
                  <c:v>45229</c:v>
                </c:pt>
                <c:pt idx="445">
                  <c:v>45236</c:v>
                </c:pt>
                <c:pt idx="446">
                  <c:v>45243</c:v>
                </c:pt>
                <c:pt idx="447">
                  <c:v>45250</c:v>
                </c:pt>
                <c:pt idx="448">
                  <c:v>45257</c:v>
                </c:pt>
                <c:pt idx="449">
                  <c:v>45264</c:v>
                </c:pt>
                <c:pt idx="450">
                  <c:v>45271</c:v>
                </c:pt>
                <c:pt idx="451">
                  <c:v>45278</c:v>
                </c:pt>
                <c:pt idx="452">
                  <c:v>45286</c:v>
                </c:pt>
                <c:pt idx="453">
                  <c:v>45293</c:v>
                </c:pt>
                <c:pt idx="454">
                  <c:v>45299</c:v>
                </c:pt>
                <c:pt idx="455">
                  <c:v>45307</c:v>
                </c:pt>
                <c:pt idx="456">
                  <c:v>45313</c:v>
                </c:pt>
                <c:pt idx="457">
                  <c:v>45320</c:v>
                </c:pt>
                <c:pt idx="458">
                  <c:v>45327</c:v>
                </c:pt>
                <c:pt idx="459">
                  <c:v>45334</c:v>
                </c:pt>
                <c:pt idx="460">
                  <c:v>45342</c:v>
                </c:pt>
                <c:pt idx="461">
                  <c:v>45348</c:v>
                </c:pt>
                <c:pt idx="462">
                  <c:v>45355</c:v>
                </c:pt>
                <c:pt idx="463">
                  <c:v>45362</c:v>
                </c:pt>
                <c:pt idx="464">
                  <c:v>45369</c:v>
                </c:pt>
                <c:pt idx="465">
                  <c:v>45376</c:v>
                </c:pt>
                <c:pt idx="466">
                  <c:v>45383</c:v>
                </c:pt>
                <c:pt idx="467">
                  <c:v>45390</c:v>
                </c:pt>
                <c:pt idx="468">
                  <c:v>45397</c:v>
                </c:pt>
                <c:pt idx="469">
                  <c:v>45404</c:v>
                </c:pt>
                <c:pt idx="470">
                  <c:v>45411</c:v>
                </c:pt>
                <c:pt idx="471">
                  <c:v>45418</c:v>
                </c:pt>
                <c:pt idx="472">
                  <c:v>45425</c:v>
                </c:pt>
                <c:pt idx="473">
                  <c:v>45432</c:v>
                </c:pt>
                <c:pt idx="474">
                  <c:v>45440</c:v>
                </c:pt>
                <c:pt idx="475">
                  <c:v>45446</c:v>
                </c:pt>
                <c:pt idx="476">
                  <c:v>45453</c:v>
                </c:pt>
                <c:pt idx="477">
                  <c:v>45460</c:v>
                </c:pt>
                <c:pt idx="478">
                  <c:v>45467</c:v>
                </c:pt>
                <c:pt idx="479">
                  <c:v>45474</c:v>
                </c:pt>
                <c:pt idx="480">
                  <c:v>45481</c:v>
                </c:pt>
                <c:pt idx="481">
                  <c:v>45488</c:v>
                </c:pt>
                <c:pt idx="482">
                  <c:v>45495</c:v>
                </c:pt>
                <c:pt idx="483">
                  <c:v>45502</c:v>
                </c:pt>
                <c:pt idx="484">
                  <c:v>45509</c:v>
                </c:pt>
                <c:pt idx="485">
                  <c:v>45516</c:v>
                </c:pt>
                <c:pt idx="486">
                  <c:v>45523</c:v>
                </c:pt>
                <c:pt idx="487">
                  <c:v>45530</c:v>
                </c:pt>
                <c:pt idx="488">
                  <c:v>45538</c:v>
                </c:pt>
                <c:pt idx="489">
                  <c:v>45544</c:v>
                </c:pt>
                <c:pt idx="490">
                  <c:v>45551</c:v>
                </c:pt>
                <c:pt idx="491">
                  <c:v>45558</c:v>
                </c:pt>
                <c:pt idx="492">
                  <c:v>45565</c:v>
                </c:pt>
                <c:pt idx="493">
                  <c:v>45572</c:v>
                </c:pt>
                <c:pt idx="494">
                  <c:v>45579</c:v>
                </c:pt>
                <c:pt idx="495">
                  <c:v>45586</c:v>
                </c:pt>
                <c:pt idx="496">
                  <c:v>45593</c:v>
                </c:pt>
                <c:pt idx="497">
                  <c:v>45600</c:v>
                </c:pt>
                <c:pt idx="498">
                  <c:v>45607</c:v>
                </c:pt>
                <c:pt idx="499">
                  <c:v>45614</c:v>
                </c:pt>
                <c:pt idx="500">
                  <c:v>45621</c:v>
                </c:pt>
                <c:pt idx="501">
                  <c:v>45628</c:v>
                </c:pt>
                <c:pt idx="502">
                  <c:v>45635</c:v>
                </c:pt>
                <c:pt idx="503">
                  <c:v>45642</c:v>
                </c:pt>
                <c:pt idx="504">
                  <c:v>45649</c:v>
                </c:pt>
                <c:pt idx="505">
                  <c:v>45656</c:v>
                </c:pt>
                <c:pt idx="506">
                  <c:v>45663</c:v>
                </c:pt>
                <c:pt idx="507">
                  <c:v>45670</c:v>
                </c:pt>
                <c:pt idx="508">
                  <c:v>45678</c:v>
                </c:pt>
                <c:pt idx="509">
                  <c:v>45684</c:v>
                </c:pt>
                <c:pt idx="510">
                  <c:v>45691</c:v>
                </c:pt>
                <c:pt idx="511">
                  <c:v>45698</c:v>
                </c:pt>
                <c:pt idx="512">
                  <c:v>45706</c:v>
                </c:pt>
                <c:pt idx="513">
                  <c:v>45712</c:v>
                </c:pt>
                <c:pt idx="514">
                  <c:v>45719</c:v>
                </c:pt>
                <c:pt idx="515">
                  <c:v>45726</c:v>
                </c:pt>
                <c:pt idx="516">
                  <c:v>45733</c:v>
                </c:pt>
                <c:pt idx="517">
                  <c:v>45740</c:v>
                </c:pt>
                <c:pt idx="518">
                  <c:v>45747</c:v>
                </c:pt>
                <c:pt idx="519">
                  <c:v>45754</c:v>
                </c:pt>
                <c:pt idx="520">
                  <c:v>45761</c:v>
                </c:pt>
                <c:pt idx="521">
                  <c:v>45768</c:v>
                </c:pt>
                <c:pt idx="522">
                  <c:v>45775</c:v>
                </c:pt>
              </c:numCache>
            </c:numRef>
          </c:cat>
          <c:val>
            <c:numRef>
              <c:f>AMZN!$E$7:$E$529</c:f>
              <c:numCache>
                <c:formatCode>_([$$-409]* #,##0.00_);_([$$-409]* \(#,##0.00\);_([$$-409]* "-"??_);_(@_)</c:formatCode>
                <c:ptCount val="523"/>
                <c:pt idx="0">
                  <c:v>21.1435</c:v>
                </c:pt>
                <c:pt idx="1">
                  <c:v>21.6845</c:v>
                </c:pt>
                <c:pt idx="2">
                  <c:v>21.3</c:v>
                </c:pt>
                <c:pt idx="3">
                  <c:v>21.381499999999999</c:v>
                </c:pt>
                <c:pt idx="4">
                  <c:v>21.461500000000001</c:v>
                </c:pt>
                <c:pt idx="5">
                  <c:v>21.3475</c:v>
                </c:pt>
                <c:pt idx="6">
                  <c:v>21.495999999999999</c:v>
                </c:pt>
                <c:pt idx="7">
                  <c:v>21.745999999999999</c:v>
                </c:pt>
                <c:pt idx="8">
                  <c:v>21.905000000000001</c:v>
                </c:pt>
                <c:pt idx="9">
                  <c:v>21.8855</c:v>
                </c:pt>
                <c:pt idx="10">
                  <c:v>22.1755</c:v>
                </c:pt>
                <c:pt idx="11">
                  <c:v>24.150500000000001</c:v>
                </c:pt>
                <c:pt idx="12">
                  <c:v>26.471</c:v>
                </c:pt>
                <c:pt idx="13">
                  <c:v>26.807500000000001</c:v>
                </c:pt>
                <c:pt idx="14">
                  <c:v>26.131</c:v>
                </c:pt>
                <c:pt idx="15">
                  <c:v>26.576000000000001</c:v>
                </c:pt>
                <c:pt idx="16">
                  <c:v>24.723500000000001</c:v>
                </c:pt>
                <c:pt idx="17">
                  <c:v>25.900500000000001</c:v>
                </c:pt>
                <c:pt idx="18">
                  <c:v>24.95</c:v>
                </c:pt>
                <c:pt idx="19">
                  <c:v>26.472000000000001</c:v>
                </c:pt>
                <c:pt idx="20">
                  <c:v>27.013000000000002</c:v>
                </c:pt>
                <c:pt idx="21">
                  <c:v>26.212499999999999</c:v>
                </c:pt>
                <c:pt idx="22">
                  <c:v>26.626999999999999</c:v>
                </c:pt>
                <c:pt idx="23">
                  <c:v>26.99</c:v>
                </c:pt>
                <c:pt idx="24">
                  <c:v>28.538</c:v>
                </c:pt>
                <c:pt idx="25">
                  <c:v>29.951499999999999</c:v>
                </c:pt>
                <c:pt idx="26">
                  <c:v>31.295000000000002</c:v>
                </c:pt>
                <c:pt idx="27">
                  <c:v>32.968499999999999</c:v>
                </c:pt>
                <c:pt idx="28">
                  <c:v>32.1175</c:v>
                </c:pt>
                <c:pt idx="29">
                  <c:v>33.422499999999999</c:v>
                </c:pt>
                <c:pt idx="30">
                  <c:v>33.662999999999997</c:v>
                </c:pt>
                <c:pt idx="31">
                  <c:v>33.631999999999998</c:v>
                </c:pt>
                <c:pt idx="32">
                  <c:v>32.0075</c:v>
                </c:pt>
                <c:pt idx="33">
                  <c:v>33.207000000000001</c:v>
                </c:pt>
                <c:pt idx="34">
                  <c:v>33.139499999999998</c:v>
                </c:pt>
                <c:pt idx="35">
                  <c:v>33.794499999999999</c:v>
                </c:pt>
                <c:pt idx="36">
                  <c:v>30.352499999999999</c:v>
                </c:pt>
                <c:pt idx="37">
                  <c:v>28.509</c:v>
                </c:pt>
                <c:pt idx="38">
                  <c:v>29.818999999999999</c:v>
                </c:pt>
                <c:pt idx="39">
                  <c:v>29.35</c:v>
                </c:pt>
                <c:pt idx="40">
                  <c:v>25.1065</c:v>
                </c:pt>
                <c:pt idx="41">
                  <c:v>25.353999999999999</c:v>
                </c:pt>
                <c:pt idx="42">
                  <c:v>26.745000000000001</c:v>
                </c:pt>
                <c:pt idx="43">
                  <c:v>27.761500000000002</c:v>
                </c:pt>
                <c:pt idx="44">
                  <c:v>28.757000000000001</c:v>
                </c:pt>
                <c:pt idx="45">
                  <c:v>28.480499999999999</c:v>
                </c:pt>
                <c:pt idx="46">
                  <c:v>27.603999999999999</c:v>
                </c:pt>
                <c:pt idx="47">
                  <c:v>29.147500000000001</c:v>
                </c:pt>
                <c:pt idx="48">
                  <c:v>29.925000000000001</c:v>
                </c:pt>
                <c:pt idx="49">
                  <c:v>29.73</c:v>
                </c:pt>
                <c:pt idx="50">
                  <c:v>31.294499999999999</c:v>
                </c:pt>
                <c:pt idx="51">
                  <c:v>31.024999999999999</c:v>
                </c:pt>
                <c:pt idx="52">
                  <c:v>32.979500000000002</c:v>
                </c:pt>
                <c:pt idx="53">
                  <c:v>33.697499999999998</c:v>
                </c:pt>
                <c:pt idx="54">
                  <c:v>35.496000000000002</c:v>
                </c:pt>
                <c:pt idx="55">
                  <c:v>35.14</c:v>
                </c:pt>
                <c:pt idx="56">
                  <c:v>35.612000000000002</c:v>
                </c:pt>
                <c:pt idx="57">
                  <c:v>36.277000000000001</c:v>
                </c:pt>
                <c:pt idx="58">
                  <c:v>35.895499999999998</c:v>
                </c:pt>
                <c:pt idx="59">
                  <c:v>35.319499999999998</c:v>
                </c:pt>
                <c:pt idx="60">
                  <c:v>34.948</c:v>
                </c:pt>
                <c:pt idx="61">
                  <c:v>36.283999999999999</c:v>
                </c:pt>
                <c:pt idx="62">
                  <c:v>37.290500000000002</c:v>
                </c:pt>
                <c:pt idx="63">
                  <c:v>36.771999999999998</c:v>
                </c:pt>
                <c:pt idx="64">
                  <c:v>37.243000000000002</c:v>
                </c:pt>
                <c:pt idx="65">
                  <c:v>37.9405</c:v>
                </c:pt>
                <c:pt idx="66">
                  <c:v>38.298999999999999</c:v>
                </c:pt>
                <c:pt idx="67">
                  <c:v>38.628</c:v>
                </c:pt>
                <c:pt idx="68">
                  <c:v>37.865499999999997</c:v>
                </c:pt>
                <c:pt idx="69">
                  <c:v>38.450000000000003</c:v>
                </c:pt>
                <c:pt idx="70">
                  <c:v>38.622</c:v>
                </c:pt>
                <c:pt idx="71">
                  <c:v>38.006999999999998</c:v>
                </c:pt>
                <c:pt idx="72">
                  <c:v>38.926000000000002</c:v>
                </c:pt>
                <c:pt idx="73">
                  <c:v>40.287500000000001</c:v>
                </c:pt>
                <c:pt idx="74">
                  <c:v>41.865499999999997</c:v>
                </c:pt>
                <c:pt idx="75">
                  <c:v>41.971499999999999</c:v>
                </c:pt>
                <c:pt idx="76">
                  <c:v>41.148000000000003</c:v>
                </c:pt>
                <c:pt idx="77">
                  <c:v>40.9495</c:v>
                </c:pt>
                <c:pt idx="78">
                  <c:v>38.816000000000003</c:v>
                </c:pt>
                <c:pt idx="79">
                  <c:v>37.752499999999998</c:v>
                </c:pt>
                <c:pt idx="80">
                  <c:v>36.950499999999998</c:v>
                </c:pt>
                <c:pt idx="81">
                  <c:v>38.008000000000003</c:v>
                </c:pt>
                <c:pt idx="82">
                  <c:v>39.018500000000003</c:v>
                </c:pt>
                <c:pt idx="83">
                  <c:v>37.017000000000003</c:v>
                </c:pt>
                <c:pt idx="84">
                  <c:v>38.433</c:v>
                </c:pt>
                <c:pt idx="85">
                  <c:v>37.888500000000001</c:v>
                </c:pt>
                <c:pt idx="86">
                  <c:v>38.029499999999999</c:v>
                </c:pt>
                <c:pt idx="87">
                  <c:v>37.493499999999997</c:v>
                </c:pt>
                <c:pt idx="88">
                  <c:v>39.799500000000002</c:v>
                </c:pt>
                <c:pt idx="89">
                  <c:v>40.856999999999999</c:v>
                </c:pt>
                <c:pt idx="90">
                  <c:v>40.416499999999999</c:v>
                </c:pt>
                <c:pt idx="91">
                  <c:v>41.788499999999999</c:v>
                </c:pt>
                <c:pt idx="92">
                  <c:v>40.51</c:v>
                </c:pt>
                <c:pt idx="93">
                  <c:v>41.372999999999998</c:v>
                </c:pt>
                <c:pt idx="94">
                  <c:v>42.253500000000003</c:v>
                </c:pt>
                <c:pt idx="95">
                  <c:v>42.262</c:v>
                </c:pt>
                <c:pt idx="96">
                  <c:v>42.494</c:v>
                </c:pt>
                <c:pt idx="97">
                  <c:v>42.622999999999998</c:v>
                </c:pt>
                <c:pt idx="98">
                  <c:v>42.615499999999997</c:v>
                </c:pt>
                <c:pt idx="99">
                  <c:v>42.280500000000004</c:v>
                </c:pt>
                <c:pt idx="100">
                  <c:v>44.326999999999998</c:v>
                </c:pt>
                <c:pt idx="101">
                  <c:v>44.744</c:v>
                </c:pt>
                <c:pt idx="102">
                  <c:v>44.233499999999999</c:v>
                </c:pt>
                <c:pt idx="103">
                  <c:v>44.926499999999997</c:v>
                </c:pt>
                <c:pt idx="104">
                  <c:v>46.249499999999998</c:v>
                </c:pt>
                <c:pt idx="105">
                  <c:v>46.707500000000003</c:v>
                </c:pt>
                <c:pt idx="106">
                  <c:v>48.067500000000003</c:v>
                </c:pt>
                <c:pt idx="107">
                  <c:v>47.991999999999997</c:v>
                </c:pt>
                <c:pt idx="108">
                  <c:v>49.789000000000001</c:v>
                </c:pt>
                <c:pt idx="109">
                  <c:v>50.336500000000001</c:v>
                </c:pt>
                <c:pt idx="110">
                  <c:v>48.915500000000002</c:v>
                </c:pt>
                <c:pt idx="111">
                  <c:v>49.3855</c:v>
                </c:pt>
                <c:pt idx="112">
                  <c:v>50.186999999999998</c:v>
                </c:pt>
                <c:pt idx="113">
                  <c:v>48.4</c:v>
                </c:pt>
                <c:pt idx="114">
                  <c:v>48.938000000000002</c:v>
                </c:pt>
                <c:pt idx="115">
                  <c:v>50.090499999999999</c:v>
                </c:pt>
                <c:pt idx="116">
                  <c:v>51.283499999999997</c:v>
                </c:pt>
                <c:pt idx="117">
                  <c:v>51.002000000000002</c:v>
                </c:pt>
                <c:pt idx="118">
                  <c:v>49.378999999999998</c:v>
                </c:pt>
                <c:pt idx="119">
                  <c:v>48.399500000000003</c:v>
                </c:pt>
                <c:pt idx="120">
                  <c:v>47.923499999999997</c:v>
                </c:pt>
                <c:pt idx="121">
                  <c:v>47.262999999999998</c:v>
                </c:pt>
                <c:pt idx="122">
                  <c:v>48.912500000000001</c:v>
                </c:pt>
                <c:pt idx="123">
                  <c:v>48.295000000000002</c:v>
                </c:pt>
                <c:pt idx="124">
                  <c:v>49.339500000000001</c:v>
                </c:pt>
                <c:pt idx="125">
                  <c:v>47.755000000000003</c:v>
                </c:pt>
                <c:pt idx="126">
                  <c:v>48.067500000000003</c:v>
                </c:pt>
                <c:pt idx="127">
                  <c:v>49.478999999999999</c:v>
                </c:pt>
                <c:pt idx="128">
                  <c:v>50.146999999999998</c:v>
                </c:pt>
                <c:pt idx="129">
                  <c:v>49.145499999999998</c:v>
                </c:pt>
                <c:pt idx="130">
                  <c:v>55.047499999999999</c:v>
                </c:pt>
                <c:pt idx="131">
                  <c:v>55.58</c:v>
                </c:pt>
                <c:pt idx="132">
                  <c:v>56.267499999999998</c:v>
                </c:pt>
                <c:pt idx="133">
                  <c:v>56.494</c:v>
                </c:pt>
                <c:pt idx="134">
                  <c:v>59.3</c:v>
                </c:pt>
                <c:pt idx="135">
                  <c:v>58.1175</c:v>
                </c:pt>
                <c:pt idx="136">
                  <c:v>58.1</c:v>
                </c:pt>
                <c:pt idx="137">
                  <c:v>58.957000000000001</c:v>
                </c:pt>
                <c:pt idx="138">
                  <c:v>58.417999999999999</c:v>
                </c:pt>
                <c:pt idx="139">
                  <c:v>58.473500000000001</c:v>
                </c:pt>
                <c:pt idx="140">
                  <c:v>61.457000000000001</c:v>
                </c:pt>
                <c:pt idx="141">
                  <c:v>65.260000000000005</c:v>
                </c:pt>
                <c:pt idx="142">
                  <c:v>64.728999999999999</c:v>
                </c:pt>
                <c:pt idx="143">
                  <c:v>70.102500000000006</c:v>
                </c:pt>
                <c:pt idx="144">
                  <c:v>71.497500000000002</c:v>
                </c:pt>
                <c:pt idx="145">
                  <c:v>66.98</c:v>
                </c:pt>
                <c:pt idx="146">
                  <c:v>72.4345</c:v>
                </c:pt>
                <c:pt idx="147">
                  <c:v>75</c:v>
                </c:pt>
                <c:pt idx="148">
                  <c:v>75.012500000000003</c:v>
                </c:pt>
                <c:pt idx="149">
                  <c:v>78.944500000000005</c:v>
                </c:pt>
                <c:pt idx="150">
                  <c:v>78.584000000000003</c:v>
                </c:pt>
                <c:pt idx="151">
                  <c:v>74.778000000000006</c:v>
                </c:pt>
                <c:pt idx="152">
                  <c:v>72.367000000000004</c:v>
                </c:pt>
                <c:pt idx="153">
                  <c:v>70.261499999999998</c:v>
                </c:pt>
                <c:pt idx="154">
                  <c:v>71.539500000000004</c:v>
                </c:pt>
                <c:pt idx="155">
                  <c:v>76.374499999999998</c:v>
                </c:pt>
                <c:pt idx="156">
                  <c:v>78.631</c:v>
                </c:pt>
                <c:pt idx="157">
                  <c:v>79.047499999999999</c:v>
                </c:pt>
                <c:pt idx="158">
                  <c:v>80.145499999999998</c:v>
                </c:pt>
                <c:pt idx="159">
                  <c:v>78.718500000000006</c:v>
                </c:pt>
                <c:pt idx="160">
                  <c:v>80.507499999999993</c:v>
                </c:pt>
                <c:pt idx="161">
                  <c:v>82.076999999999998</c:v>
                </c:pt>
                <c:pt idx="162">
                  <c:v>84.1995</c:v>
                </c:pt>
                <c:pt idx="163">
                  <c:v>85.798500000000004</c:v>
                </c:pt>
                <c:pt idx="164">
                  <c:v>85.783500000000004</c:v>
                </c:pt>
                <c:pt idx="165">
                  <c:v>84.99</c:v>
                </c:pt>
                <c:pt idx="166">
                  <c:v>85.531499999999994</c:v>
                </c:pt>
                <c:pt idx="167">
                  <c:v>90.651499999999999</c:v>
                </c:pt>
                <c:pt idx="168">
                  <c:v>90.685000000000002</c:v>
                </c:pt>
                <c:pt idx="169">
                  <c:v>90.863500000000002</c:v>
                </c:pt>
                <c:pt idx="170">
                  <c:v>91.164500000000004</c:v>
                </c:pt>
                <c:pt idx="171">
                  <c:v>94.314999999999998</c:v>
                </c:pt>
                <c:pt idx="172">
                  <c:v>94.111000000000004</c:v>
                </c:pt>
                <c:pt idx="173">
                  <c:v>95.269499999999994</c:v>
                </c:pt>
                <c:pt idx="174">
                  <c:v>100.63549999999999</c:v>
                </c:pt>
                <c:pt idx="175">
                  <c:v>97.603499999999997</c:v>
                </c:pt>
                <c:pt idx="176">
                  <c:v>98.509500000000003</c:v>
                </c:pt>
                <c:pt idx="177">
                  <c:v>95.750500000000002</c:v>
                </c:pt>
                <c:pt idx="178">
                  <c:v>100.15</c:v>
                </c:pt>
                <c:pt idx="179">
                  <c:v>94.482500000000002</c:v>
                </c:pt>
                <c:pt idx="180">
                  <c:v>89.430499999999995</c:v>
                </c:pt>
                <c:pt idx="181">
                  <c:v>88.201499999999996</c:v>
                </c:pt>
                <c:pt idx="182">
                  <c:v>82.140500000000003</c:v>
                </c:pt>
                <c:pt idx="183">
                  <c:v>83.276499999999999</c:v>
                </c:pt>
                <c:pt idx="184">
                  <c:v>85.621499999999997</c:v>
                </c:pt>
                <c:pt idx="185">
                  <c:v>79.670500000000004</c:v>
                </c:pt>
                <c:pt idx="186">
                  <c:v>75.102999999999994</c:v>
                </c:pt>
                <c:pt idx="187">
                  <c:v>84.508499999999998</c:v>
                </c:pt>
                <c:pt idx="188">
                  <c:v>81.456500000000005</c:v>
                </c:pt>
                <c:pt idx="189">
                  <c:v>79.595500000000001</c:v>
                </c:pt>
                <c:pt idx="190">
                  <c:v>68.872500000000002</c:v>
                </c:pt>
                <c:pt idx="191">
                  <c:v>73.900999999999996</c:v>
                </c:pt>
                <c:pt idx="192">
                  <c:v>78.769499999999994</c:v>
                </c:pt>
                <c:pt idx="193">
                  <c:v>82.028000000000006</c:v>
                </c:pt>
                <c:pt idx="194">
                  <c:v>84.81</c:v>
                </c:pt>
                <c:pt idx="195">
                  <c:v>83.528499999999994</c:v>
                </c:pt>
                <c:pt idx="196">
                  <c:v>81.311499999999995</c:v>
                </c:pt>
                <c:pt idx="197">
                  <c:v>79.411000000000001</c:v>
                </c:pt>
                <c:pt idx="198">
                  <c:v>80.397499999999994</c:v>
                </c:pt>
                <c:pt idx="199">
                  <c:v>81.578000000000003</c:v>
                </c:pt>
                <c:pt idx="200">
                  <c:v>83.586500000000001</c:v>
                </c:pt>
                <c:pt idx="201">
                  <c:v>81.040000000000006</c:v>
                </c:pt>
                <c:pt idx="202">
                  <c:v>85.617999999999995</c:v>
                </c:pt>
                <c:pt idx="203">
                  <c:v>88.238500000000002</c:v>
                </c:pt>
                <c:pt idx="204">
                  <c:v>89.037499999999994</c:v>
                </c:pt>
                <c:pt idx="205">
                  <c:v>91.864000000000004</c:v>
                </c:pt>
                <c:pt idx="206">
                  <c:v>92.153000000000006</c:v>
                </c:pt>
                <c:pt idx="207">
                  <c:v>93.084500000000006</c:v>
                </c:pt>
                <c:pt idx="208">
                  <c:v>97.531499999999994</c:v>
                </c:pt>
                <c:pt idx="209">
                  <c:v>98.123000000000005</c:v>
                </c:pt>
                <c:pt idx="210">
                  <c:v>94.498999999999995</c:v>
                </c:pt>
                <c:pt idx="211">
                  <c:v>93.45</c:v>
                </c:pt>
                <c:pt idx="212">
                  <c:v>91.164000000000001</c:v>
                </c:pt>
                <c:pt idx="213">
                  <c:v>88.753500000000003</c:v>
                </c:pt>
                <c:pt idx="214">
                  <c:v>90.201499999999996</c:v>
                </c:pt>
                <c:pt idx="215">
                  <c:v>93.483500000000006</c:v>
                </c:pt>
                <c:pt idx="216">
                  <c:v>95.564999999999998</c:v>
                </c:pt>
                <c:pt idx="217">
                  <c:v>94.6815</c:v>
                </c:pt>
                <c:pt idx="218">
                  <c:v>97.145499999999998</c:v>
                </c:pt>
                <c:pt idx="219">
                  <c:v>100.55</c:v>
                </c:pt>
                <c:pt idx="220">
                  <c:v>98.225999999999999</c:v>
                </c:pt>
                <c:pt idx="221">
                  <c:v>97.152500000000003</c:v>
                </c:pt>
                <c:pt idx="222">
                  <c:v>91.162000000000006</c:v>
                </c:pt>
                <c:pt idx="223">
                  <c:v>90.379000000000005</c:v>
                </c:pt>
                <c:pt idx="224">
                  <c:v>89.628500000000003</c:v>
                </c:pt>
                <c:pt idx="225">
                  <c:v>87.480999999999995</c:v>
                </c:pt>
                <c:pt idx="226">
                  <c:v>88.814499999999995</c:v>
                </c:pt>
                <c:pt idx="227">
                  <c:v>91.6755</c:v>
                </c:pt>
                <c:pt idx="228">
                  <c:v>91.966999999999999</c:v>
                </c:pt>
                <c:pt idx="229">
                  <c:v>89.707999999999998</c:v>
                </c:pt>
                <c:pt idx="230">
                  <c:v>86.272499999999994</c:v>
                </c:pt>
                <c:pt idx="231">
                  <c:v>86.982500000000002</c:v>
                </c:pt>
                <c:pt idx="232">
                  <c:v>86.596000000000004</c:v>
                </c:pt>
                <c:pt idx="233">
                  <c:v>87.875500000000002</c:v>
                </c:pt>
                <c:pt idx="234">
                  <c:v>88.066500000000005</c:v>
                </c:pt>
                <c:pt idx="235">
                  <c:v>89.572000000000003</c:v>
                </c:pt>
                <c:pt idx="236">
                  <c:v>89.293999999999997</c:v>
                </c:pt>
                <c:pt idx="237">
                  <c:v>86.974500000000006</c:v>
                </c:pt>
                <c:pt idx="238">
                  <c:v>87.286000000000001</c:v>
                </c:pt>
                <c:pt idx="239">
                  <c:v>90.04</c:v>
                </c:pt>
                <c:pt idx="240">
                  <c:v>87.58</c:v>
                </c:pt>
                <c:pt idx="241">
                  <c:v>88.046999999999997</c:v>
                </c:pt>
                <c:pt idx="242">
                  <c:v>89.325000000000003</c:v>
                </c:pt>
                <c:pt idx="243">
                  <c:v>93.49</c:v>
                </c:pt>
                <c:pt idx="244">
                  <c:v>93.748500000000007</c:v>
                </c:pt>
                <c:pt idx="245">
                  <c:v>94.158000000000001</c:v>
                </c:pt>
                <c:pt idx="246">
                  <c:v>93.236000000000004</c:v>
                </c:pt>
                <c:pt idx="247">
                  <c:v>93.081999999999994</c:v>
                </c:pt>
                <c:pt idx="248">
                  <c:v>100.43600000000001</c:v>
                </c:pt>
                <c:pt idx="249">
                  <c:v>103.964</c:v>
                </c:pt>
                <c:pt idx="250">
                  <c:v>106.7435</c:v>
                </c:pt>
                <c:pt idx="251">
                  <c:v>104.7985</c:v>
                </c:pt>
                <c:pt idx="252">
                  <c:v>94.1875</c:v>
                </c:pt>
                <c:pt idx="253">
                  <c:v>95.054500000000004</c:v>
                </c:pt>
                <c:pt idx="254">
                  <c:v>89.25</c:v>
                </c:pt>
                <c:pt idx="255">
                  <c:v>92.304500000000004</c:v>
                </c:pt>
                <c:pt idx="256">
                  <c:v>95.004999999999995</c:v>
                </c:pt>
                <c:pt idx="257">
                  <c:v>95.329499999999996</c:v>
                </c:pt>
                <c:pt idx="258">
                  <c:v>102.13800000000001</c:v>
                </c:pt>
                <c:pt idx="259">
                  <c:v>118.75</c:v>
                </c:pt>
                <c:pt idx="260">
                  <c:v>120.511</c:v>
                </c:pt>
                <c:pt idx="261">
                  <c:v>114.30200000000001</c:v>
                </c:pt>
                <c:pt idx="262">
                  <c:v>118.98050000000001</c:v>
                </c:pt>
                <c:pt idx="263">
                  <c:v>120.489</c:v>
                </c:pt>
                <c:pt idx="264">
                  <c:v>121.84399999999999</c:v>
                </c:pt>
                <c:pt idx="265">
                  <c:v>122.1185</c:v>
                </c:pt>
                <c:pt idx="266">
                  <c:v>124.15</c:v>
                </c:pt>
                <c:pt idx="267">
                  <c:v>127.251</c:v>
                </c:pt>
                <c:pt idx="268">
                  <c:v>133.75049999999999</c:v>
                </c:pt>
                <c:pt idx="269">
                  <c:v>134.64349999999999</c:v>
                </c:pt>
                <c:pt idx="270">
                  <c:v>144.51499999999999</c:v>
                </c:pt>
                <c:pt idx="271">
                  <c:v>160</c:v>
                </c:pt>
                <c:pt idx="272">
                  <c:v>148.0985</c:v>
                </c:pt>
                <c:pt idx="273">
                  <c:v>150.44550000000001</c:v>
                </c:pt>
                <c:pt idx="274">
                  <c:v>158.23400000000001</c:v>
                </c:pt>
                <c:pt idx="275">
                  <c:v>158.37299999999999</c:v>
                </c:pt>
                <c:pt idx="276">
                  <c:v>157.40100000000001</c:v>
                </c:pt>
                <c:pt idx="277">
                  <c:v>164.23599999999999</c:v>
                </c:pt>
                <c:pt idx="278">
                  <c:v>170.09</c:v>
                </c:pt>
                <c:pt idx="279">
                  <c:v>164.73099999999999</c:v>
                </c:pt>
                <c:pt idx="280">
                  <c:v>155.81100000000001</c:v>
                </c:pt>
                <c:pt idx="281">
                  <c:v>147.74549999999999</c:v>
                </c:pt>
                <c:pt idx="282">
                  <c:v>154.75649999999999</c:v>
                </c:pt>
                <c:pt idx="283">
                  <c:v>156.25</c:v>
                </c:pt>
                <c:pt idx="284">
                  <c:v>164.33250000000001</c:v>
                </c:pt>
                <c:pt idx="285">
                  <c:v>163.63550000000001</c:v>
                </c:pt>
                <c:pt idx="286">
                  <c:v>160.22</c:v>
                </c:pt>
                <c:pt idx="287">
                  <c:v>151.8075</c:v>
                </c:pt>
                <c:pt idx="288">
                  <c:v>165.5685</c:v>
                </c:pt>
                <c:pt idx="289">
                  <c:v>156.44049999999999</c:v>
                </c:pt>
                <c:pt idx="290">
                  <c:v>154.97</c:v>
                </c:pt>
                <c:pt idx="291">
                  <c:v>159.767</c:v>
                </c:pt>
                <c:pt idx="292">
                  <c:v>158.12899999999999</c:v>
                </c:pt>
                <c:pt idx="293">
                  <c:v>155.821</c:v>
                </c:pt>
                <c:pt idx="294">
                  <c:v>160.08250000000001</c:v>
                </c:pt>
                <c:pt idx="295">
                  <c:v>158.6345</c:v>
                </c:pt>
                <c:pt idx="296">
                  <c:v>162.84649999999999</c:v>
                </c:pt>
                <c:pt idx="297">
                  <c:v>159.13499999999999</c:v>
                </c:pt>
                <c:pt idx="298">
                  <c:v>155.21250000000001</c:v>
                </c:pt>
                <c:pt idx="299">
                  <c:v>164.61150000000001</c:v>
                </c:pt>
                <c:pt idx="300">
                  <c:v>160.31</c:v>
                </c:pt>
                <c:pt idx="301">
                  <c:v>167.60749999999999</c:v>
                </c:pt>
                <c:pt idx="302">
                  <c:v>163.88550000000001</c:v>
                </c:pt>
                <c:pt idx="303">
                  <c:v>162.495</c:v>
                </c:pt>
                <c:pt idx="304">
                  <c:v>154.6465</c:v>
                </c:pt>
                <c:pt idx="305">
                  <c:v>150.023</c:v>
                </c:pt>
                <c:pt idx="306">
                  <c:v>154.47450000000001</c:v>
                </c:pt>
                <c:pt idx="307">
                  <c:v>153.74799999999999</c:v>
                </c:pt>
                <c:pt idx="308">
                  <c:v>152.60149999999999</c:v>
                </c:pt>
                <c:pt idx="309">
                  <c:v>158.05000000000001</c:v>
                </c:pt>
                <c:pt idx="310">
                  <c:v>168.61</c:v>
                </c:pt>
                <c:pt idx="311">
                  <c:v>169.97200000000001</c:v>
                </c:pt>
                <c:pt idx="312">
                  <c:v>167.04400000000001</c:v>
                </c:pt>
                <c:pt idx="313">
                  <c:v>173.37100000000001</c:v>
                </c:pt>
                <c:pt idx="314">
                  <c:v>164.5805</c:v>
                </c:pt>
                <c:pt idx="315">
                  <c:v>161.14500000000001</c:v>
                </c:pt>
                <c:pt idx="316">
                  <c:v>160.154</c:v>
                </c:pt>
                <c:pt idx="317">
                  <c:v>161.15350000000001</c:v>
                </c:pt>
                <c:pt idx="318">
                  <c:v>160.31100000000001</c:v>
                </c:pt>
                <c:pt idx="319">
                  <c:v>167.3415</c:v>
                </c:pt>
                <c:pt idx="320">
                  <c:v>174.345</c:v>
                </c:pt>
                <c:pt idx="321">
                  <c:v>170.07300000000001</c:v>
                </c:pt>
                <c:pt idx="322">
                  <c:v>175.54900000000001</c:v>
                </c:pt>
                <c:pt idx="323">
                  <c:v>185.96700000000001</c:v>
                </c:pt>
                <c:pt idx="324">
                  <c:v>178.6815</c:v>
                </c:pt>
                <c:pt idx="325">
                  <c:v>182.83199999999999</c:v>
                </c:pt>
                <c:pt idx="326">
                  <c:v>166.37950000000001</c:v>
                </c:pt>
                <c:pt idx="327">
                  <c:v>167.24700000000001</c:v>
                </c:pt>
                <c:pt idx="328">
                  <c:v>164.6985</c:v>
                </c:pt>
                <c:pt idx="329">
                  <c:v>159.9975</c:v>
                </c:pt>
                <c:pt idx="330">
                  <c:v>167.48150000000001</c:v>
                </c:pt>
                <c:pt idx="331">
                  <c:v>173.9025</c:v>
                </c:pt>
                <c:pt idx="332">
                  <c:v>173.45750000000001</c:v>
                </c:pt>
                <c:pt idx="333">
                  <c:v>173.126</c:v>
                </c:pt>
                <c:pt idx="334">
                  <c:v>171.27600000000001</c:v>
                </c:pt>
                <c:pt idx="335">
                  <c:v>164.16300000000001</c:v>
                </c:pt>
                <c:pt idx="336">
                  <c:v>164.43100000000001</c:v>
                </c:pt>
                <c:pt idx="337">
                  <c:v>170.45099999999999</c:v>
                </c:pt>
                <c:pt idx="338">
                  <c:v>166.7775</c:v>
                </c:pt>
                <c:pt idx="339">
                  <c:v>168.6215</c:v>
                </c:pt>
                <c:pt idx="340">
                  <c:v>175.9495</c:v>
                </c:pt>
                <c:pt idx="341">
                  <c:v>176.25749999999999</c:v>
                </c:pt>
                <c:pt idx="342">
                  <c:v>183.82849999999999</c:v>
                </c:pt>
                <c:pt idx="343">
                  <c:v>175.22800000000001</c:v>
                </c:pt>
                <c:pt idx="344">
                  <c:v>169.48949999999999</c:v>
                </c:pt>
                <c:pt idx="345">
                  <c:v>172.21199999999999</c:v>
                </c:pt>
                <c:pt idx="346">
                  <c:v>170.01750000000001</c:v>
                </c:pt>
                <c:pt idx="347">
                  <c:v>171.0685</c:v>
                </c:pt>
                <c:pt idx="348">
                  <c:v>166.71700000000001</c:v>
                </c:pt>
                <c:pt idx="349">
                  <c:v>162.554</c:v>
                </c:pt>
                <c:pt idx="350">
                  <c:v>162.13800000000001</c:v>
                </c:pt>
                <c:pt idx="351">
                  <c:v>142.643</c:v>
                </c:pt>
                <c:pt idx="352">
                  <c:v>143.97800000000001</c:v>
                </c:pt>
                <c:pt idx="353">
                  <c:v>157.6395</c:v>
                </c:pt>
                <c:pt idx="354">
                  <c:v>153.29349999999999</c:v>
                </c:pt>
                <c:pt idx="355">
                  <c:v>152.60149999999999</c:v>
                </c:pt>
                <c:pt idx="356">
                  <c:v>153.7885</c:v>
                </c:pt>
                <c:pt idx="357">
                  <c:v>145.64099999999999</c:v>
                </c:pt>
                <c:pt idx="358">
                  <c:v>145.52449999999999</c:v>
                </c:pt>
                <c:pt idx="359">
                  <c:v>161.25049999999999</c:v>
                </c:pt>
                <c:pt idx="360">
                  <c:v>164.77350000000001</c:v>
                </c:pt>
                <c:pt idx="361">
                  <c:v>163.56</c:v>
                </c:pt>
                <c:pt idx="362">
                  <c:v>154.4605</c:v>
                </c:pt>
                <c:pt idx="363">
                  <c:v>151.70650000000001</c:v>
                </c:pt>
                <c:pt idx="364">
                  <c:v>144.35</c:v>
                </c:pt>
                <c:pt idx="365">
                  <c:v>124.28149999999999</c:v>
                </c:pt>
                <c:pt idx="366">
                  <c:v>114.77249999999999</c:v>
                </c:pt>
                <c:pt idx="367">
                  <c:v>113.05500000000001</c:v>
                </c:pt>
                <c:pt idx="368">
                  <c:v>107.59099999999999</c:v>
                </c:pt>
                <c:pt idx="369">
                  <c:v>115.1465</c:v>
                </c:pt>
                <c:pt idx="370">
                  <c:v>122.35</c:v>
                </c:pt>
                <c:pt idx="371">
                  <c:v>109.65</c:v>
                </c:pt>
                <c:pt idx="372">
                  <c:v>106.22</c:v>
                </c:pt>
                <c:pt idx="373">
                  <c:v>116.46</c:v>
                </c:pt>
                <c:pt idx="374">
                  <c:v>109.56</c:v>
                </c:pt>
                <c:pt idx="375">
                  <c:v>115.54</c:v>
                </c:pt>
                <c:pt idx="376">
                  <c:v>113.55</c:v>
                </c:pt>
                <c:pt idx="377">
                  <c:v>122.42</c:v>
                </c:pt>
                <c:pt idx="378">
                  <c:v>134.94999999999999</c:v>
                </c:pt>
                <c:pt idx="379">
                  <c:v>140.80000000000001</c:v>
                </c:pt>
                <c:pt idx="380">
                  <c:v>143.55000000000001</c:v>
                </c:pt>
                <c:pt idx="381">
                  <c:v>138.22999999999999</c:v>
                </c:pt>
                <c:pt idx="382">
                  <c:v>130.75</c:v>
                </c:pt>
                <c:pt idx="383">
                  <c:v>127.51</c:v>
                </c:pt>
                <c:pt idx="384">
                  <c:v>133.27000000000001</c:v>
                </c:pt>
                <c:pt idx="385">
                  <c:v>123.53</c:v>
                </c:pt>
                <c:pt idx="386">
                  <c:v>113.78</c:v>
                </c:pt>
                <c:pt idx="387">
                  <c:v>113</c:v>
                </c:pt>
                <c:pt idx="388">
                  <c:v>114.56</c:v>
                </c:pt>
                <c:pt idx="389">
                  <c:v>106.9</c:v>
                </c:pt>
                <c:pt idx="390">
                  <c:v>119.32</c:v>
                </c:pt>
                <c:pt idx="391">
                  <c:v>103.41</c:v>
                </c:pt>
                <c:pt idx="392">
                  <c:v>90.98</c:v>
                </c:pt>
                <c:pt idx="393">
                  <c:v>100.79</c:v>
                </c:pt>
                <c:pt idx="394">
                  <c:v>94.14</c:v>
                </c:pt>
                <c:pt idx="395">
                  <c:v>93.41</c:v>
                </c:pt>
                <c:pt idx="396">
                  <c:v>94.13</c:v>
                </c:pt>
                <c:pt idx="397">
                  <c:v>89.09</c:v>
                </c:pt>
                <c:pt idx="398">
                  <c:v>87.86</c:v>
                </c:pt>
                <c:pt idx="399">
                  <c:v>85.25</c:v>
                </c:pt>
                <c:pt idx="400">
                  <c:v>84</c:v>
                </c:pt>
                <c:pt idx="401">
                  <c:v>86.08</c:v>
                </c:pt>
                <c:pt idx="402">
                  <c:v>98.12</c:v>
                </c:pt>
                <c:pt idx="403">
                  <c:v>97.25</c:v>
                </c:pt>
                <c:pt idx="404">
                  <c:v>102.24</c:v>
                </c:pt>
                <c:pt idx="405">
                  <c:v>103.39</c:v>
                </c:pt>
                <c:pt idx="406">
                  <c:v>97.61</c:v>
                </c:pt>
                <c:pt idx="407">
                  <c:v>97.2</c:v>
                </c:pt>
                <c:pt idx="408">
                  <c:v>93.5</c:v>
                </c:pt>
                <c:pt idx="409">
                  <c:v>94.9</c:v>
                </c:pt>
                <c:pt idx="410">
                  <c:v>90.73</c:v>
                </c:pt>
                <c:pt idx="411">
                  <c:v>98.95</c:v>
                </c:pt>
                <c:pt idx="412">
                  <c:v>98.13</c:v>
                </c:pt>
                <c:pt idx="413">
                  <c:v>103.29</c:v>
                </c:pt>
                <c:pt idx="414">
                  <c:v>102.06</c:v>
                </c:pt>
                <c:pt idx="415">
                  <c:v>102.51</c:v>
                </c:pt>
                <c:pt idx="416">
                  <c:v>106.96</c:v>
                </c:pt>
                <c:pt idx="417">
                  <c:v>105.45</c:v>
                </c:pt>
                <c:pt idx="418">
                  <c:v>105.655</c:v>
                </c:pt>
                <c:pt idx="419">
                  <c:v>110.26</c:v>
                </c:pt>
                <c:pt idx="420">
                  <c:v>116.25</c:v>
                </c:pt>
                <c:pt idx="421">
                  <c:v>120.11</c:v>
                </c:pt>
                <c:pt idx="422">
                  <c:v>124.25</c:v>
                </c:pt>
                <c:pt idx="423">
                  <c:v>123.43</c:v>
                </c:pt>
                <c:pt idx="424">
                  <c:v>125.49</c:v>
                </c:pt>
                <c:pt idx="425">
                  <c:v>129.33000000000001</c:v>
                </c:pt>
                <c:pt idx="426">
                  <c:v>130.36000000000001</c:v>
                </c:pt>
                <c:pt idx="427">
                  <c:v>129.78</c:v>
                </c:pt>
                <c:pt idx="428">
                  <c:v>134.68</c:v>
                </c:pt>
                <c:pt idx="429">
                  <c:v>130</c:v>
                </c:pt>
                <c:pt idx="430">
                  <c:v>132.21</c:v>
                </c:pt>
                <c:pt idx="431">
                  <c:v>139.57</c:v>
                </c:pt>
                <c:pt idx="432">
                  <c:v>138.41</c:v>
                </c:pt>
                <c:pt idx="433">
                  <c:v>133.22</c:v>
                </c:pt>
                <c:pt idx="434">
                  <c:v>133.26</c:v>
                </c:pt>
                <c:pt idx="435">
                  <c:v>138.12</c:v>
                </c:pt>
                <c:pt idx="436">
                  <c:v>138.22999999999999</c:v>
                </c:pt>
                <c:pt idx="437">
                  <c:v>140.38999999999999</c:v>
                </c:pt>
                <c:pt idx="438">
                  <c:v>129.12</c:v>
                </c:pt>
                <c:pt idx="439">
                  <c:v>127.12</c:v>
                </c:pt>
                <c:pt idx="440">
                  <c:v>127.96</c:v>
                </c:pt>
                <c:pt idx="441">
                  <c:v>129.79</c:v>
                </c:pt>
                <c:pt idx="442">
                  <c:v>125.17</c:v>
                </c:pt>
                <c:pt idx="443">
                  <c:v>127.74</c:v>
                </c:pt>
                <c:pt idx="444">
                  <c:v>138.6</c:v>
                </c:pt>
                <c:pt idx="445">
                  <c:v>143.56</c:v>
                </c:pt>
                <c:pt idx="446">
                  <c:v>145.18</c:v>
                </c:pt>
                <c:pt idx="447">
                  <c:v>146.74</c:v>
                </c:pt>
                <c:pt idx="448">
                  <c:v>147.03</c:v>
                </c:pt>
                <c:pt idx="449">
                  <c:v>147.41999999999999</c:v>
                </c:pt>
                <c:pt idx="450">
                  <c:v>149.97</c:v>
                </c:pt>
                <c:pt idx="451">
                  <c:v>153.41999999999999</c:v>
                </c:pt>
                <c:pt idx="452">
                  <c:v>151.94</c:v>
                </c:pt>
                <c:pt idx="453">
                  <c:v>145.24</c:v>
                </c:pt>
                <c:pt idx="454">
                  <c:v>154.62</c:v>
                </c:pt>
                <c:pt idx="455">
                  <c:v>155.34</c:v>
                </c:pt>
                <c:pt idx="456">
                  <c:v>159.12</c:v>
                </c:pt>
                <c:pt idx="457">
                  <c:v>171.81</c:v>
                </c:pt>
                <c:pt idx="458">
                  <c:v>174.45</c:v>
                </c:pt>
                <c:pt idx="459">
                  <c:v>169.51</c:v>
                </c:pt>
                <c:pt idx="460">
                  <c:v>174.99</c:v>
                </c:pt>
                <c:pt idx="461">
                  <c:v>178.22</c:v>
                </c:pt>
                <c:pt idx="462">
                  <c:v>175.35</c:v>
                </c:pt>
                <c:pt idx="463">
                  <c:v>174.42</c:v>
                </c:pt>
                <c:pt idx="464">
                  <c:v>178.87</c:v>
                </c:pt>
                <c:pt idx="465">
                  <c:v>180.38</c:v>
                </c:pt>
                <c:pt idx="466">
                  <c:v>185.07</c:v>
                </c:pt>
                <c:pt idx="467">
                  <c:v>186.13</c:v>
                </c:pt>
                <c:pt idx="468">
                  <c:v>174.63</c:v>
                </c:pt>
                <c:pt idx="469">
                  <c:v>179.62</c:v>
                </c:pt>
                <c:pt idx="470">
                  <c:v>186.21</c:v>
                </c:pt>
                <c:pt idx="471">
                  <c:v>187.48</c:v>
                </c:pt>
                <c:pt idx="472">
                  <c:v>184.7</c:v>
                </c:pt>
                <c:pt idx="473">
                  <c:v>180.75</c:v>
                </c:pt>
                <c:pt idx="474">
                  <c:v>176.44</c:v>
                </c:pt>
                <c:pt idx="475">
                  <c:v>184.3</c:v>
                </c:pt>
                <c:pt idx="476">
                  <c:v>183.66</c:v>
                </c:pt>
                <c:pt idx="477">
                  <c:v>189.08</c:v>
                </c:pt>
                <c:pt idx="478">
                  <c:v>193.25</c:v>
                </c:pt>
                <c:pt idx="479">
                  <c:v>200</c:v>
                </c:pt>
                <c:pt idx="480">
                  <c:v>194.49</c:v>
                </c:pt>
                <c:pt idx="481">
                  <c:v>183.13</c:v>
                </c:pt>
                <c:pt idx="482">
                  <c:v>182.5</c:v>
                </c:pt>
                <c:pt idx="483">
                  <c:v>167.9</c:v>
                </c:pt>
                <c:pt idx="484">
                  <c:v>166.94</c:v>
                </c:pt>
                <c:pt idx="485">
                  <c:v>177.06</c:v>
                </c:pt>
                <c:pt idx="486">
                  <c:v>177.04</c:v>
                </c:pt>
                <c:pt idx="487">
                  <c:v>178.5</c:v>
                </c:pt>
                <c:pt idx="488">
                  <c:v>171.39</c:v>
                </c:pt>
                <c:pt idx="489">
                  <c:v>186.49</c:v>
                </c:pt>
                <c:pt idx="490">
                  <c:v>191.6</c:v>
                </c:pt>
                <c:pt idx="491">
                  <c:v>187.97</c:v>
                </c:pt>
                <c:pt idx="492">
                  <c:v>186.51</c:v>
                </c:pt>
                <c:pt idx="493">
                  <c:v>188.82</c:v>
                </c:pt>
                <c:pt idx="494">
                  <c:v>188.99</c:v>
                </c:pt>
                <c:pt idx="495">
                  <c:v>187.83</c:v>
                </c:pt>
                <c:pt idx="496">
                  <c:v>197.93</c:v>
                </c:pt>
                <c:pt idx="497">
                  <c:v>208.18</c:v>
                </c:pt>
                <c:pt idx="498">
                  <c:v>202.61</c:v>
                </c:pt>
                <c:pt idx="499">
                  <c:v>197.12</c:v>
                </c:pt>
                <c:pt idx="500">
                  <c:v>207.89</c:v>
                </c:pt>
                <c:pt idx="501">
                  <c:v>227.03</c:v>
                </c:pt>
                <c:pt idx="502">
                  <c:v>227.46</c:v>
                </c:pt>
                <c:pt idx="503">
                  <c:v>224.92</c:v>
                </c:pt>
                <c:pt idx="504">
                  <c:v>223.75</c:v>
                </c:pt>
                <c:pt idx="505">
                  <c:v>224.19</c:v>
                </c:pt>
                <c:pt idx="506">
                  <c:v>218.94</c:v>
                </c:pt>
                <c:pt idx="507">
                  <c:v>225.94</c:v>
                </c:pt>
                <c:pt idx="508">
                  <c:v>234.85</c:v>
                </c:pt>
                <c:pt idx="509">
                  <c:v>237.68</c:v>
                </c:pt>
                <c:pt idx="510">
                  <c:v>229.15</c:v>
                </c:pt>
                <c:pt idx="511">
                  <c:v>228.68</c:v>
                </c:pt>
                <c:pt idx="512">
                  <c:v>216.58</c:v>
                </c:pt>
                <c:pt idx="513">
                  <c:v>212.28</c:v>
                </c:pt>
                <c:pt idx="514">
                  <c:v>199.25</c:v>
                </c:pt>
                <c:pt idx="515">
                  <c:v>197.95</c:v>
                </c:pt>
                <c:pt idx="516">
                  <c:v>196.21</c:v>
                </c:pt>
                <c:pt idx="517">
                  <c:v>192.72</c:v>
                </c:pt>
                <c:pt idx="518">
                  <c:v>171</c:v>
                </c:pt>
                <c:pt idx="519">
                  <c:v>184.87</c:v>
                </c:pt>
                <c:pt idx="520">
                  <c:v>172.61</c:v>
                </c:pt>
                <c:pt idx="521">
                  <c:v>188.99</c:v>
                </c:pt>
                <c:pt idx="522">
                  <c:v>189.98</c:v>
                </c:pt>
              </c:numCache>
            </c:numRef>
          </c:val>
          <c:smooth val="0"/>
          <c:extLst>
            <c:ext xmlns:c16="http://schemas.microsoft.com/office/drawing/2014/chart" uri="{C3380CC4-5D6E-409C-BE32-E72D297353CC}">
              <c16:uniqueId val="{00000000-773F-405F-9E8A-C1BDDADEB9FE}"/>
            </c:ext>
          </c:extLst>
        </c:ser>
        <c:dLbls>
          <c:showLegendKey val="0"/>
          <c:showVal val="0"/>
          <c:showCatName val="0"/>
          <c:showSerName val="0"/>
          <c:showPercent val="0"/>
          <c:showBubbleSize val="0"/>
        </c:dLbls>
        <c:smooth val="0"/>
        <c:axId val="522684367"/>
        <c:axId val="522689167"/>
      </c:lineChart>
      <c:dateAx>
        <c:axId val="52268436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Date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m/d/yy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2689167"/>
        <c:crosses val="autoZero"/>
        <c:auto val="1"/>
        <c:lblOffset val="100"/>
        <c:baseTimeUnit val="days"/>
      </c:dateAx>
      <c:valAx>
        <c:axId val="52268916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Price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409]* #,##0.00_);_([$$-409]* \(#,##0.00\);_([$$-409]*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2684367"/>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NFLX Closing</a:t>
            </a:r>
            <a:r>
              <a:rPr lang="en-US" baseline="0"/>
              <a:t> Stock Price 10 Year History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6762620297462816"/>
          <c:y val="0.17171296296296298"/>
          <c:w val="0.79423906386701659"/>
          <c:h val="0.60853674540682412"/>
        </c:manualLayout>
      </c:layout>
      <c:lineChart>
        <c:grouping val="stacked"/>
        <c:varyColors val="0"/>
        <c:ser>
          <c:idx val="0"/>
          <c:order val="0"/>
          <c:tx>
            <c:strRef>
              <c:f>NFLX!$E$7</c:f>
              <c:strCache>
                <c:ptCount val="1"/>
                <c:pt idx="0">
                  <c:v>Close</c:v>
                </c:pt>
              </c:strCache>
            </c:strRef>
          </c:tx>
          <c:spPr>
            <a:ln w="28575" cap="rnd">
              <a:solidFill>
                <a:schemeClr val="accent1"/>
              </a:solidFill>
              <a:round/>
            </a:ln>
            <a:effectLst/>
          </c:spPr>
          <c:marker>
            <c:symbol val="none"/>
          </c:marker>
          <c:cat>
            <c:numRef>
              <c:f>NFLX!$D$8:$D$530</c:f>
              <c:numCache>
                <c:formatCode>m/d/yyyy</c:formatCode>
                <c:ptCount val="523"/>
                <c:pt idx="0">
                  <c:v>42121</c:v>
                </c:pt>
                <c:pt idx="1">
                  <c:v>42128</c:v>
                </c:pt>
                <c:pt idx="2">
                  <c:v>42135</c:v>
                </c:pt>
                <c:pt idx="3">
                  <c:v>42142</c:v>
                </c:pt>
                <c:pt idx="4">
                  <c:v>42150</c:v>
                </c:pt>
                <c:pt idx="5">
                  <c:v>42156</c:v>
                </c:pt>
                <c:pt idx="6">
                  <c:v>42163</c:v>
                </c:pt>
                <c:pt idx="7">
                  <c:v>42170</c:v>
                </c:pt>
                <c:pt idx="8">
                  <c:v>42177</c:v>
                </c:pt>
                <c:pt idx="9">
                  <c:v>42184</c:v>
                </c:pt>
                <c:pt idx="10">
                  <c:v>42191</c:v>
                </c:pt>
                <c:pt idx="11">
                  <c:v>42198</c:v>
                </c:pt>
                <c:pt idx="12">
                  <c:v>42205</c:v>
                </c:pt>
                <c:pt idx="13">
                  <c:v>42212</c:v>
                </c:pt>
                <c:pt idx="14">
                  <c:v>42219</c:v>
                </c:pt>
                <c:pt idx="15">
                  <c:v>42226</c:v>
                </c:pt>
                <c:pt idx="16">
                  <c:v>42233</c:v>
                </c:pt>
                <c:pt idx="17">
                  <c:v>42240</c:v>
                </c:pt>
                <c:pt idx="18">
                  <c:v>42247</c:v>
                </c:pt>
                <c:pt idx="19">
                  <c:v>42255</c:v>
                </c:pt>
                <c:pt idx="20">
                  <c:v>42261</c:v>
                </c:pt>
                <c:pt idx="21">
                  <c:v>42268</c:v>
                </c:pt>
                <c:pt idx="22">
                  <c:v>42275</c:v>
                </c:pt>
                <c:pt idx="23">
                  <c:v>42282</c:v>
                </c:pt>
                <c:pt idx="24">
                  <c:v>42289</c:v>
                </c:pt>
                <c:pt idx="25">
                  <c:v>42296</c:v>
                </c:pt>
                <c:pt idx="26">
                  <c:v>42303</c:v>
                </c:pt>
                <c:pt idx="27">
                  <c:v>42310</c:v>
                </c:pt>
                <c:pt idx="28">
                  <c:v>42317</c:v>
                </c:pt>
                <c:pt idx="29">
                  <c:v>42324</c:v>
                </c:pt>
                <c:pt idx="30">
                  <c:v>42331</c:v>
                </c:pt>
                <c:pt idx="31">
                  <c:v>42338</c:v>
                </c:pt>
                <c:pt idx="32">
                  <c:v>42345</c:v>
                </c:pt>
                <c:pt idx="33">
                  <c:v>42352</c:v>
                </c:pt>
                <c:pt idx="34">
                  <c:v>42359</c:v>
                </c:pt>
                <c:pt idx="35">
                  <c:v>42366</c:v>
                </c:pt>
                <c:pt idx="36">
                  <c:v>42373</c:v>
                </c:pt>
                <c:pt idx="37">
                  <c:v>42380</c:v>
                </c:pt>
                <c:pt idx="38">
                  <c:v>42388</c:v>
                </c:pt>
                <c:pt idx="39">
                  <c:v>42394</c:v>
                </c:pt>
                <c:pt idx="40">
                  <c:v>42401</c:v>
                </c:pt>
                <c:pt idx="41">
                  <c:v>42408</c:v>
                </c:pt>
                <c:pt idx="42">
                  <c:v>42416</c:v>
                </c:pt>
                <c:pt idx="43">
                  <c:v>42422</c:v>
                </c:pt>
                <c:pt idx="44">
                  <c:v>42429</c:v>
                </c:pt>
                <c:pt idx="45">
                  <c:v>42436</c:v>
                </c:pt>
                <c:pt idx="46">
                  <c:v>42443</c:v>
                </c:pt>
                <c:pt idx="47">
                  <c:v>42450</c:v>
                </c:pt>
                <c:pt idx="48">
                  <c:v>42457</c:v>
                </c:pt>
                <c:pt idx="49">
                  <c:v>42464</c:v>
                </c:pt>
                <c:pt idx="50">
                  <c:v>42471</c:v>
                </c:pt>
                <c:pt idx="51">
                  <c:v>42478</c:v>
                </c:pt>
                <c:pt idx="52">
                  <c:v>42485</c:v>
                </c:pt>
                <c:pt idx="53">
                  <c:v>42492</c:v>
                </c:pt>
                <c:pt idx="54">
                  <c:v>42499</c:v>
                </c:pt>
                <c:pt idx="55">
                  <c:v>42506</c:v>
                </c:pt>
                <c:pt idx="56">
                  <c:v>42513</c:v>
                </c:pt>
                <c:pt idx="57">
                  <c:v>42521</c:v>
                </c:pt>
                <c:pt idx="58">
                  <c:v>42527</c:v>
                </c:pt>
                <c:pt idx="59">
                  <c:v>42534</c:v>
                </c:pt>
                <c:pt idx="60">
                  <c:v>42541</c:v>
                </c:pt>
                <c:pt idx="61">
                  <c:v>42548</c:v>
                </c:pt>
                <c:pt idx="62">
                  <c:v>42556</c:v>
                </c:pt>
                <c:pt idx="63">
                  <c:v>42562</c:v>
                </c:pt>
                <c:pt idx="64">
                  <c:v>42569</c:v>
                </c:pt>
                <c:pt idx="65">
                  <c:v>42576</c:v>
                </c:pt>
                <c:pt idx="66">
                  <c:v>42583</c:v>
                </c:pt>
                <c:pt idx="67">
                  <c:v>42590</c:v>
                </c:pt>
                <c:pt idx="68">
                  <c:v>42597</c:v>
                </c:pt>
                <c:pt idx="69">
                  <c:v>42604</c:v>
                </c:pt>
                <c:pt idx="70">
                  <c:v>42611</c:v>
                </c:pt>
                <c:pt idx="71">
                  <c:v>42619</c:v>
                </c:pt>
                <c:pt idx="72">
                  <c:v>42625</c:v>
                </c:pt>
                <c:pt idx="73">
                  <c:v>42632</c:v>
                </c:pt>
                <c:pt idx="74">
                  <c:v>42639</c:v>
                </c:pt>
                <c:pt idx="75">
                  <c:v>42646</c:v>
                </c:pt>
                <c:pt idx="76">
                  <c:v>42653</c:v>
                </c:pt>
                <c:pt idx="77">
                  <c:v>42660</c:v>
                </c:pt>
                <c:pt idx="78">
                  <c:v>42667</c:v>
                </c:pt>
                <c:pt idx="79">
                  <c:v>42674</c:v>
                </c:pt>
                <c:pt idx="80">
                  <c:v>42681</c:v>
                </c:pt>
                <c:pt idx="81">
                  <c:v>42688</c:v>
                </c:pt>
                <c:pt idx="82">
                  <c:v>42695</c:v>
                </c:pt>
                <c:pt idx="83">
                  <c:v>42702</c:v>
                </c:pt>
                <c:pt idx="84">
                  <c:v>42709</c:v>
                </c:pt>
                <c:pt idx="85">
                  <c:v>42716</c:v>
                </c:pt>
                <c:pt idx="86">
                  <c:v>42723</c:v>
                </c:pt>
                <c:pt idx="87">
                  <c:v>42731</c:v>
                </c:pt>
                <c:pt idx="88">
                  <c:v>42738</c:v>
                </c:pt>
                <c:pt idx="89">
                  <c:v>42744</c:v>
                </c:pt>
                <c:pt idx="90">
                  <c:v>42752</c:v>
                </c:pt>
                <c:pt idx="91">
                  <c:v>42758</c:v>
                </c:pt>
                <c:pt idx="92">
                  <c:v>42765</c:v>
                </c:pt>
                <c:pt idx="93">
                  <c:v>42772</c:v>
                </c:pt>
                <c:pt idx="94">
                  <c:v>42779</c:v>
                </c:pt>
                <c:pt idx="95">
                  <c:v>42787</c:v>
                </c:pt>
                <c:pt idx="96">
                  <c:v>42793</c:v>
                </c:pt>
                <c:pt idx="97">
                  <c:v>42800</c:v>
                </c:pt>
                <c:pt idx="98">
                  <c:v>42807</c:v>
                </c:pt>
                <c:pt idx="99">
                  <c:v>42814</c:v>
                </c:pt>
                <c:pt idx="100">
                  <c:v>42821</c:v>
                </c:pt>
                <c:pt idx="101">
                  <c:v>42828</c:v>
                </c:pt>
                <c:pt idx="102">
                  <c:v>42835</c:v>
                </c:pt>
                <c:pt idx="103">
                  <c:v>42842</c:v>
                </c:pt>
                <c:pt idx="104">
                  <c:v>42849</c:v>
                </c:pt>
                <c:pt idx="105">
                  <c:v>42856</c:v>
                </c:pt>
                <c:pt idx="106">
                  <c:v>42863</c:v>
                </c:pt>
                <c:pt idx="107">
                  <c:v>42870</c:v>
                </c:pt>
                <c:pt idx="108">
                  <c:v>42877</c:v>
                </c:pt>
                <c:pt idx="109">
                  <c:v>42885</c:v>
                </c:pt>
                <c:pt idx="110">
                  <c:v>42891</c:v>
                </c:pt>
                <c:pt idx="111">
                  <c:v>42898</c:v>
                </c:pt>
                <c:pt idx="112">
                  <c:v>42905</c:v>
                </c:pt>
                <c:pt idx="113">
                  <c:v>42912</c:v>
                </c:pt>
                <c:pt idx="114">
                  <c:v>42919</c:v>
                </c:pt>
                <c:pt idx="115">
                  <c:v>42926</c:v>
                </c:pt>
                <c:pt idx="116">
                  <c:v>42933</c:v>
                </c:pt>
                <c:pt idx="117">
                  <c:v>42940</c:v>
                </c:pt>
                <c:pt idx="118">
                  <c:v>42947</c:v>
                </c:pt>
                <c:pt idx="119">
                  <c:v>42954</c:v>
                </c:pt>
                <c:pt idx="120">
                  <c:v>42961</c:v>
                </c:pt>
                <c:pt idx="121">
                  <c:v>42968</c:v>
                </c:pt>
                <c:pt idx="122">
                  <c:v>42975</c:v>
                </c:pt>
                <c:pt idx="123">
                  <c:v>42983</c:v>
                </c:pt>
                <c:pt idx="124">
                  <c:v>42989</c:v>
                </c:pt>
                <c:pt idx="125">
                  <c:v>42996</c:v>
                </c:pt>
                <c:pt idx="126">
                  <c:v>43003</c:v>
                </c:pt>
                <c:pt idx="127">
                  <c:v>43010</c:v>
                </c:pt>
                <c:pt idx="128">
                  <c:v>43017</c:v>
                </c:pt>
                <c:pt idx="129">
                  <c:v>43024</c:v>
                </c:pt>
                <c:pt idx="130">
                  <c:v>43031</c:v>
                </c:pt>
                <c:pt idx="131">
                  <c:v>43038</c:v>
                </c:pt>
                <c:pt idx="132">
                  <c:v>43045</c:v>
                </c:pt>
                <c:pt idx="133">
                  <c:v>43052</c:v>
                </c:pt>
                <c:pt idx="134">
                  <c:v>43059</c:v>
                </c:pt>
                <c:pt idx="135">
                  <c:v>43066</c:v>
                </c:pt>
                <c:pt idx="136">
                  <c:v>43073</c:v>
                </c:pt>
                <c:pt idx="137">
                  <c:v>43080</c:v>
                </c:pt>
                <c:pt idx="138">
                  <c:v>43087</c:v>
                </c:pt>
                <c:pt idx="139">
                  <c:v>43095</c:v>
                </c:pt>
                <c:pt idx="140">
                  <c:v>43102</c:v>
                </c:pt>
                <c:pt idx="141">
                  <c:v>43108</c:v>
                </c:pt>
                <c:pt idx="142">
                  <c:v>43116</c:v>
                </c:pt>
                <c:pt idx="143">
                  <c:v>43122</c:v>
                </c:pt>
                <c:pt idx="144">
                  <c:v>43129</c:v>
                </c:pt>
                <c:pt idx="145">
                  <c:v>43136</c:v>
                </c:pt>
                <c:pt idx="146">
                  <c:v>43143</c:v>
                </c:pt>
                <c:pt idx="147">
                  <c:v>43151</c:v>
                </c:pt>
                <c:pt idx="148">
                  <c:v>43157</c:v>
                </c:pt>
                <c:pt idx="149">
                  <c:v>43164</c:v>
                </c:pt>
                <c:pt idx="150">
                  <c:v>43171</c:v>
                </c:pt>
                <c:pt idx="151">
                  <c:v>43178</c:v>
                </c:pt>
                <c:pt idx="152">
                  <c:v>43185</c:v>
                </c:pt>
                <c:pt idx="153">
                  <c:v>43192</c:v>
                </c:pt>
                <c:pt idx="154">
                  <c:v>43199</c:v>
                </c:pt>
                <c:pt idx="155">
                  <c:v>43206</c:v>
                </c:pt>
                <c:pt idx="156">
                  <c:v>43213</c:v>
                </c:pt>
                <c:pt idx="157">
                  <c:v>43220</c:v>
                </c:pt>
                <c:pt idx="158">
                  <c:v>43227</c:v>
                </c:pt>
                <c:pt idx="159">
                  <c:v>43234</c:v>
                </c:pt>
                <c:pt idx="160">
                  <c:v>43241</c:v>
                </c:pt>
                <c:pt idx="161">
                  <c:v>43249</c:v>
                </c:pt>
                <c:pt idx="162">
                  <c:v>43255</c:v>
                </c:pt>
                <c:pt idx="163">
                  <c:v>43262</c:v>
                </c:pt>
                <c:pt idx="164">
                  <c:v>43269</c:v>
                </c:pt>
                <c:pt idx="165">
                  <c:v>43276</c:v>
                </c:pt>
                <c:pt idx="166">
                  <c:v>43283</c:v>
                </c:pt>
                <c:pt idx="167">
                  <c:v>43290</c:v>
                </c:pt>
                <c:pt idx="168">
                  <c:v>43297</c:v>
                </c:pt>
                <c:pt idx="169">
                  <c:v>43304</c:v>
                </c:pt>
                <c:pt idx="170">
                  <c:v>43311</c:v>
                </c:pt>
                <c:pt idx="171">
                  <c:v>43318</c:v>
                </c:pt>
                <c:pt idx="172">
                  <c:v>43325</c:v>
                </c:pt>
                <c:pt idx="173">
                  <c:v>43332</c:v>
                </c:pt>
                <c:pt idx="174">
                  <c:v>43339</c:v>
                </c:pt>
                <c:pt idx="175">
                  <c:v>43347</c:v>
                </c:pt>
                <c:pt idx="176">
                  <c:v>43353</c:v>
                </c:pt>
                <c:pt idx="177">
                  <c:v>43360</c:v>
                </c:pt>
                <c:pt idx="178">
                  <c:v>43367</c:v>
                </c:pt>
                <c:pt idx="179">
                  <c:v>43374</c:v>
                </c:pt>
                <c:pt idx="180">
                  <c:v>43381</c:v>
                </c:pt>
                <c:pt idx="181">
                  <c:v>43388</c:v>
                </c:pt>
                <c:pt idx="182">
                  <c:v>43395</c:v>
                </c:pt>
                <c:pt idx="183">
                  <c:v>43402</c:v>
                </c:pt>
                <c:pt idx="184">
                  <c:v>43409</c:v>
                </c:pt>
                <c:pt idx="185">
                  <c:v>43416</c:v>
                </c:pt>
                <c:pt idx="186">
                  <c:v>43423</c:v>
                </c:pt>
                <c:pt idx="187">
                  <c:v>43430</c:v>
                </c:pt>
                <c:pt idx="188">
                  <c:v>43437</c:v>
                </c:pt>
                <c:pt idx="189">
                  <c:v>43444</c:v>
                </c:pt>
                <c:pt idx="190">
                  <c:v>43451</c:v>
                </c:pt>
                <c:pt idx="191">
                  <c:v>43458</c:v>
                </c:pt>
                <c:pt idx="192">
                  <c:v>43465</c:v>
                </c:pt>
                <c:pt idx="193">
                  <c:v>43472</c:v>
                </c:pt>
                <c:pt idx="194">
                  <c:v>43479</c:v>
                </c:pt>
                <c:pt idx="195">
                  <c:v>43487</c:v>
                </c:pt>
                <c:pt idx="196">
                  <c:v>43493</c:v>
                </c:pt>
                <c:pt idx="197">
                  <c:v>43500</c:v>
                </c:pt>
                <c:pt idx="198">
                  <c:v>43507</c:v>
                </c:pt>
                <c:pt idx="199">
                  <c:v>43515</c:v>
                </c:pt>
                <c:pt idx="200">
                  <c:v>43521</c:v>
                </c:pt>
                <c:pt idx="201">
                  <c:v>43528</c:v>
                </c:pt>
                <c:pt idx="202">
                  <c:v>43535</c:v>
                </c:pt>
                <c:pt idx="203">
                  <c:v>43542</c:v>
                </c:pt>
                <c:pt idx="204">
                  <c:v>43549</c:v>
                </c:pt>
                <c:pt idx="205">
                  <c:v>43556</c:v>
                </c:pt>
                <c:pt idx="206">
                  <c:v>43563</c:v>
                </c:pt>
                <c:pt idx="207">
                  <c:v>43570</c:v>
                </c:pt>
                <c:pt idx="208">
                  <c:v>43577</c:v>
                </c:pt>
                <c:pt idx="209">
                  <c:v>43584</c:v>
                </c:pt>
                <c:pt idx="210">
                  <c:v>43591</c:v>
                </c:pt>
                <c:pt idx="211">
                  <c:v>43598</c:v>
                </c:pt>
                <c:pt idx="212">
                  <c:v>43605</c:v>
                </c:pt>
                <c:pt idx="213">
                  <c:v>43613</c:v>
                </c:pt>
                <c:pt idx="214">
                  <c:v>43619</c:v>
                </c:pt>
                <c:pt idx="215">
                  <c:v>43626</c:v>
                </c:pt>
                <c:pt idx="216">
                  <c:v>43633</c:v>
                </c:pt>
                <c:pt idx="217">
                  <c:v>43640</c:v>
                </c:pt>
                <c:pt idx="218">
                  <c:v>43647</c:v>
                </c:pt>
                <c:pt idx="219">
                  <c:v>43654</c:v>
                </c:pt>
                <c:pt idx="220">
                  <c:v>43661</c:v>
                </c:pt>
                <c:pt idx="221">
                  <c:v>43668</c:v>
                </c:pt>
                <c:pt idx="222">
                  <c:v>43675</c:v>
                </c:pt>
                <c:pt idx="223">
                  <c:v>43682</c:v>
                </c:pt>
                <c:pt idx="224">
                  <c:v>43689</c:v>
                </c:pt>
                <c:pt idx="225">
                  <c:v>43696</c:v>
                </c:pt>
                <c:pt idx="226">
                  <c:v>43703</c:v>
                </c:pt>
                <c:pt idx="227">
                  <c:v>43711</c:v>
                </c:pt>
                <c:pt idx="228">
                  <c:v>43717</c:v>
                </c:pt>
                <c:pt idx="229">
                  <c:v>43724</c:v>
                </c:pt>
                <c:pt idx="230">
                  <c:v>43731</c:v>
                </c:pt>
                <c:pt idx="231">
                  <c:v>43738</c:v>
                </c:pt>
                <c:pt idx="232">
                  <c:v>43745</c:v>
                </c:pt>
                <c:pt idx="233">
                  <c:v>43752</c:v>
                </c:pt>
                <c:pt idx="234">
                  <c:v>43759</c:v>
                </c:pt>
                <c:pt idx="235">
                  <c:v>43766</c:v>
                </c:pt>
                <c:pt idx="236">
                  <c:v>43773</c:v>
                </c:pt>
                <c:pt idx="237">
                  <c:v>43780</c:v>
                </c:pt>
                <c:pt idx="238">
                  <c:v>43787</c:v>
                </c:pt>
                <c:pt idx="239">
                  <c:v>43794</c:v>
                </c:pt>
                <c:pt idx="240">
                  <c:v>43801</c:v>
                </c:pt>
                <c:pt idx="241">
                  <c:v>43808</c:v>
                </c:pt>
                <c:pt idx="242">
                  <c:v>43815</c:v>
                </c:pt>
                <c:pt idx="243">
                  <c:v>43822</c:v>
                </c:pt>
                <c:pt idx="244">
                  <c:v>43829</c:v>
                </c:pt>
                <c:pt idx="245">
                  <c:v>43836</c:v>
                </c:pt>
                <c:pt idx="246">
                  <c:v>43843</c:v>
                </c:pt>
                <c:pt idx="247">
                  <c:v>43851</c:v>
                </c:pt>
                <c:pt idx="248">
                  <c:v>43857</c:v>
                </c:pt>
                <c:pt idx="249">
                  <c:v>43864</c:v>
                </c:pt>
                <c:pt idx="250">
                  <c:v>43871</c:v>
                </c:pt>
                <c:pt idx="251">
                  <c:v>43879</c:v>
                </c:pt>
                <c:pt idx="252">
                  <c:v>43885</c:v>
                </c:pt>
                <c:pt idx="253">
                  <c:v>43892</c:v>
                </c:pt>
                <c:pt idx="254">
                  <c:v>43899</c:v>
                </c:pt>
                <c:pt idx="255">
                  <c:v>43906</c:v>
                </c:pt>
                <c:pt idx="256">
                  <c:v>43913</c:v>
                </c:pt>
                <c:pt idx="257">
                  <c:v>43920</c:v>
                </c:pt>
                <c:pt idx="258">
                  <c:v>43927</c:v>
                </c:pt>
                <c:pt idx="259">
                  <c:v>43934</c:v>
                </c:pt>
                <c:pt idx="260">
                  <c:v>43941</c:v>
                </c:pt>
                <c:pt idx="261">
                  <c:v>43948</c:v>
                </c:pt>
                <c:pt idx="262">
                  <c:v>43955</c:v>
                </c:pt>
                <c:pt idx="263">
                  <c:v>43962</c:v>
                </c:pt>
                <c:pt idx="264">
                  <c:v>43969</c:v>
                </c:pt>
                <c:pt idx="265">
                  <c:v>43977</c:v>
                </c:pt>
                <c:pt idx="266">
                  <c:v>43983</c:v>
                </c:pt>
                <c:pt idx="267">
                  <c:v>43990</c:v>
                </c:pt>
                <c:pt idx="268">
                  <c:v>43997</c:v>
                </c:pt>
                <c:pt idx="269">
                  <c:v>44004</c:v>
                </c:pt>
                <c:pt idx="270">
                  <c:v>44011</c:v>
                </c:pt>
                <c:pt idx="271">
                  <c:v>44018</c:v>
                </c:pt>
                <c:pt idx="272">
                  <c:v>44025</c:v>
                </c:pt>
                <c:pt idx="273">
                  <c:v>44032</c:v>
                </c:pt>
                <c:pt idx="274">
                  <c:v>44039</c:v>
                </c:pt>
                <c:pt idx="275">
                  <c:v>44046</c:v>
                </c:pt>
                <c:pt idx="276">
                  <c:v>44053</c:v>
                </c:pt>
                <c:pt idx="277">
                  <c:v>44060</c:v>
                </c:pt>
                <c:pt idx="278">
                  <c:v>44067</c:v>
                </c:pt>
                <c:pt idx="279">
                  <c:v>44074</c:v>
                </c:pt>
                <c:pt idx="280">
                  <c:v>44082</c:v>
                </c:pt>
                <c:pt idx="281">
                  <c:v>44088</c:v>
                </c:pt>
                <c:pt idx="282">
                  <c:v>44095</c:v>
                </c:pt>
                <c:pt idx="283">
                  <c:v>44102</c:v>
                </c:pt>
                <c:pt idx="284">
                  <c:v>44109</c:v>
                </c:pt>
                <c:pt idx="285">
                  <c:v>44116</c:v>
                </c:pt>
                <c:pt idx="286">
                  <c:v>44123</c:v>
                </c:pt>
                <c:pt idx="287">
                  <c:v>44130</c:v>
                </c:pt>
                <c:pt idx="288">
                  <c:v>44137</c:v>
                </c:pt>
                <c:pt idx="289">
                  <c:v>44144</c:v>
                </c:pt>
                <c:pt idx="290">
                  <c:v>44151</c:v>
                </c:pt>
                <c:pt idx="291">
                  <c:v>44158</c:v>
                </c:pt>
                <c:pt idx="292">
                  <c:v>44165</c:v>
                </c:pt>
                <c:pt idx="293">
                  <c:v>44172</c:v>
                </c:pt>
                <c:pt idx="294">
                  <c:v>44179</c:v>
                </c:pt>
                <c:pt idx="295">
                  <c:v>44186</c:v>
                </c:pt>
                <c:pt idx="296">
                  <c:v>44193</c:v>
                </c:pt>
                <c:pt idx="297">
                  <c:v>44200</c:v>
                </c:pt>
                <c:pt idx="298">
                  <c:v>44207</c:v>
                </c:pt>
                <c:pt idx="299">
                  <c:v>44215</c:v>
                </c:pt>
                <c:pt idx="300">
                  <c:v>44221</c:v>
                </c:pt>
                <c:pt idx="301">
                  <c:v>44228</c:v>
                </c:pt>
                <c:pt idx="302">
                  <c:v>44235</c:v>
                </c:pt>
                <c:pt idx="303">
                  <c:v>44243</c:v>
                </c:pt>
                <c:pt idx="304">
                  <c:v>44249</c:v>
                </c:pt>
                <c:pt idx="305">
                  <c:v>44256</c:v>
                </c:pt>
                <c:pt idx="306">
                  <c:v>44263</c:v>
                </c:pt>
                <c:pt idx="307">
                  <c:v>44270</c:v>
                </c:pt>
                <c:pt idx="308">
                  <c:v>44277</c:v>
                </c:pt>
                <c:pt idx="309">
                  <c:v>44284</c:v>
                </c:pt>
                <c:pt idx="310">
                  <c:v>44291</c:v>
                </c:pt>
                <c:pt idx="311">
                  <c:v>44298</c:v>
                </c:pt>
                <c:pt idx="312">
                  <c:v>44305</c:v>
                </c:pt>
                <c:pt idx="313">
                  <c:v>44312</c:v>
                </c:pt>
                <c:pt idx="314">
                  <c:v>44319</c:v>
                </c:pt>
                <c:pt idx="315">
                  <c:v>44326</c:v>
                </c:pt>
                <c:pt idx="316">
                  <c:v>44333</c:v>
                </c:pt>
                <c:pt idx="317">
                  <c:v>44340</c:v>
                </c:pt>
                <c:pt idx="318">
                  <c:v>44348</c:v>
                </c:pt>
                <c:pt idx="319">
                  <c:v>44354</c:v>
                </c:pt>
                <c:pt idx="320">
                  <c:v>44361</c:v>
                </c:pt>
                <c:pt idx="321">
                  <c:v>44368</c:v>
                </c:pt>
                <c:pt idx="322">
                  <c:v>44375</c:v>
                </c:pt>
                <c:pt idx="323">
                  <c:v>44383</c:v>
                </c:pt>
                <c:pt idx="324">
                  <c:v>44389</c:v>
                </c:pt>
                <c:pt idx="325">
                  <c:v>44396</c:v>
                </c:pt>
                <c:pt idx="326">
                  <c:v>44403</c:v>
                </c:pt>
                <c:pt idx="327">
                  <c:v>44410</c:v>
                </c:pt>
                <c:pt idx="328">
                  <c:v>44417</c:v>
                </c:pt>
                <c:pt idx="329">
                  <c:v>44424</c:v>
                </c:pt>
                <c:pt idx="330">
                  <c:v>44431</c:v>
                </c:pt>
                <c:pt idx="331">
                  <c:v>44438</c:v>
                </c:pt>
                <c:pt idx="332">
                  <c:v>44446</c:v>
                </c:pt>
                <c:pt idx="333">
                  <c:v>44452</c:v>
                </c:pt>
                <c:pt idx="334">
                  <c:v>44459</c:v>
                </c:pt>
                <c:pt idx="335">
                  <c:v>44466</c:v>
                </c:pt>
                <c:pt idx="336">
                  <c:v>44473</c:v>
                </c:pt>
                <c:pt idx="337">
                  <c:v>44480</c:v>
                </c:pt>
                <c:pt idx="338">
                  <c:v>44487</c:v>
                </c:pt>
                <c:pt idx="339">
                  <c:v>44494</c:v>
                </c:pt>
                <c:pt idx="340">
                  <c:v>44501</c:v>
                </c:pt>
                <c:pt idx="341">
                  <c:v>44508</c:v>
                </c:pt>
                <c:pt idx="342">
                  <c:v>44515</c:v>
                </c:pt>
                <c:pt idx="343">
                  <c:v>44522</c:v>
                </c:pt>
                <c:pt idx="344">
                  <c:v>44529</c:v>
                </c:pt>
                <c:pt idx="345">
                  <c:v>44536</c:v>
                </c:pt>
                <c:pt idx="346">
                  <c:v>44543</c:v>
                </c:pt>
                <c:pt idx="347">
                  <c:v>44550</c:v>
                </c:pt>
                <c:pt idx="348">
                  <c:v>44557</c:v>
                </c:pt>
                <c:pt idx="349">
                  <c:v>44564</c:v>
                </c:pt>
                <c:pt idx="350">
                  <c:v>44571</c:v>
                </c:pt>
                <c:pt idx="351">
                  <c:v>44579</c:v>
                </c:pt>
                <c:pt idx="352">
                  <c:v>44585</c:v>
                </c:pt>
                <c:pt idx="353">
                  <c:v>44592</c:v>
                </c:pt>
                <c:pt idx="354">
                  <c:v>44599</c:v>
                </c:pt>
                <c:pt idx="355">
                  <c:v>44606</c:v>
                </c:pt>
                <c:pt idx="356">
                  <c:v>44614</c:v>
                </c:pt>
                <c:pt idx="357">
                  <c:v>44620</c:v>
                </c:pt>
                <c:pt idx="358">
                  <c:v>44627</c:v>
                </c:pt>
                <c:pt idx="359">
                  <c:v>44634</c:v>
                </c:pt>
                <c:pt idx="360">
                  <c:v>44641</c:v>
                </c:pt>
                <c:pt idx="361">
                  <c:v>44648</c:v>
                </c:pt>
                <c:pt idx="362">
                  <c:v>44655</c:v>
                </c:pt>
                <c:pt idx="363">
                  <c:v>44662</c:v>
                </c:pt>
                <c:pt idx="364">
                  <c:v>44669</c:v>
                </c:pt>
                <c:pt idx="365">
                  <c:v>44676</c:v>
                </c:pt>
                <c:pt idx="366">
                  <c:v>44683</c:v>
                </c:pt>
                <c:pt idx="367">
                  <c:v>44690</c:v>
                </c:pt>
                <c:pt idx="368">
                  <c:v>44697</c:v>
                </c:pt>
                <c:pt idx="369">
                  <c:v>44704</c:v>
                </c:pt>
                <c:pt idx="370">
                  <c:v>44712</c:v>
                </c:pt>
                <c:pt idx="371">
                  <c:v>44718</c:v>
                </c:pt>
                <c:pt idx="372">
                  <c:v>44725</c:v>
                </c:pt>
                <c:pt idx="373">
                  <c:v>44733</c:v>
                </c:pt>
                <c:pt idx="374">
                  <c:v>44739</c:v>
                </c:pt>
                <c:pt idx="375">
                  <c:v>44747</c:v>
                </c:pt>
                <c:pt idx="376">
                  <c:v>44753</c:v>
                </c:pt>
                <c:pt idx="377">
                  <c:v>44760</c:v>
                </c:pt>
                <c:pt idx="378">
                  <c:v>44767</c:v>
                </c:pt>
                <c:pt idx="379">
                  <c:v>44774</c:v>
                </c:pt>
                <c:pt idx="380">
                  <c:v>44781</c:v>
                </c:pt>
                <c:pt idx="381">
                  <c:v>44788</c:v>
                </c:pt>
                <c:pt idx="382">
                  <c:v>44795</c:v>
                </c:pt>
                <c:pt idx="383">
                  <c:v>44802</c:v>
                </c:pt>
                <c:pt idx="384">
                  <c:v>44810</c:v>
                </c:pt>
                <c:pt idx="385">
                  <c:v>44816</c:v>
                </c:pt>
                <c:pt idx="386">
                  <c:v>44823</c:v>
                </c:pt>
                <c:pt idx="387">
                  <c:v>44830</c:v>
                </c:pt>
                <c:pt idx="388">
                  <c:v>44837</c:v>
                </c:pt>
                <c:pt idx="389">
                  <c:v>44844</c:v>
                </c:pt>
                <c:pt idx="390">
                  <c:v>44851</c:v>
                </c:pt>
                <c:pt idx="391">
                  <c:v>44858</c:v>
                </c:pt>
                <c:pt idx="392">
                  <c:v>44865</c:v>
                </c:pt>
                <c:pt idx="393">
                  <c:v>44872</c:v>
                </c:pt>
                <c:pt idx="394">
                  <c:v>44879</c:v>
                </c:pt>
                <c:pt idx="395">
                  <c:v>44886</c:v>
                </c:pt>
                <c:pt idx="396">
                  <c:v>44893</c:v>
                </c:pt>
                <c:pt idx="397">
                  <c:v>44900</c:v>
                </c:pt>
                <c:pt idx="398">
                  <c:v>44907</c:v>
                </c:pt>
                <c:pt idx="399">
                  <c:v>44914</c:v>
                </c:pt>
                <c:pt idx="400">
                  <c:v>44922</c:v>
                </c:pt>
                <c:pt idx="401">
                  <c:v>44929</c:v>
                </c:pt>
                <c:pt idx="402">
                  <c:v>44935</c:v>
                </c:pt>
                <c:pt idx="403">
                  <c:v>44943</c:v>
                </c:pt>
                <c:pt idx="404">
                  <c:v>44949</c:v>
                </c:pt>
                <c:pt idx="405">
                  <c:v>44956</c:v>
                </c:pt>
                <c:pt idx="406">
                  <c:v>44963</c:v>
                </c:pt>
                <c:pt idx="407">
                  <c:v>44970</c:v>
                </c:pt>
                <c:pt idx="408">
                  <c:v>44978</c:v>
                </c:pt>
                <c:pt idx="409">
                  <c:v>44984</c:v>
                </c:pt>
                <c:pt idx="410">
                  <c:v>44991</c:v>
                </c:pt>
                <c:pt idx="411">
                  <c:v>44998</c:v>
                </c:pt>
                <c:pt idx="412">
                  <c:v>45005</c:v>
                </c:pt>
                <c:pt idx="413">
                  <c:v>45012</c:v>
                </c:pt>
                <c:pt idx="414">
                  <c:v>45019</c:v>
                </c:pt>
                <c:pt idx="415">
                  <c:v>45026</c:v>
                </c:pt>
                <c:pt idx="416">
                  <c:v>45033</c:v>
                </c:pt>
                <c:pt idx="417">
                  <c:v>45040</c:v>
                </c:pt>
                <c:pt idx="418">
                  <c:v>45047</c:v>
                </c:pt>
                <c:pt idx="419">
                  <c:v>45054</c:v>
                </c:pt>
                <c:pt idx="420">
                  <c:v>45061</c:v>
                </c:pt>
                <c:pt idx="421">
                  <c:v>45068</c:v>
                </c:pt>
                <c:pt idx="422">
                  <c:v>45076</c:v>
                </c:pt>
                <c:pt idx="423">
                  <c:v>45082</c:v>
                </c:pt>
                <c:pt idx="424">
                  <c:v>45089</c:v>
                </c:pt>
                <c:pt idx="425">
                  <c:v>45097</c:v>
                </c:pt>
                <c:pt idx="426">
                  <c:v>45103</c:v>
                </c:pt>
                <c:pt idx="427">
                  <c:v>45110</c:v>
                </c:pt>
                <c:pt idx="428">
                  <c:v>45117</c:v>
                </c:pt>
                <c:pt idx="429">
                  <c:v>45124</c:v>
                </c:pt>
                <c:pt idx="430">
                  <c:v>45131</c:v>
                </c:pt>
                <c:pt idx="431">
                  <c:v>45138</c:v>
                </c:pt>
                <c:pt idx="432">
                  <c:v>45145</c:v>
                </c:pt>
                <c:pt idx="433">
                  <c:v>45152</c:v>
                </c:pt>
                <c:pt idx="434">
                  <c:v>45159</c:v>
                </c:pt>
                <c:pt idx="435">
                  <c:v>45166</c:v>
                </c:pt>
                <c:pt idx="436">
                  <c:v>45174</c:v>
                </c:pt>
                <c:pt idx="437">
                  <c:v>45180</c:v>
                </c:pt>
                <c:pt idx="438">
                  <c:v>45187</c:v>
                </c:pt>
                <c:pt idx="439">
                  <c:v>45194</c:v>
                </c:pt>
                <c:pt idx="440">
                  <c:v>45201</c:v>
                </c:pt>
                <c:pt idx="441">
                  <c:v>45208</c:v>
                </c:pt>
                <c:pt idx="442">
                  <c:v>45215</c:v>
                </c:pt>
                <c:pt idx="443">
                  <c:v>45222</c:v>
                </c:pt>
                <c:pt idx="444">
                  <c:v>45229</c:v>
                </c:pt>
                <c:pt idx="445">
                  <c:v>45236</c:v>
                </c:pt>
                <c:pt idx="446">
                  <c:v>45243</c:v>
                </c:pt>
                <c:pt idx="447">
                  <c:v>45250</c:v>
                </c:pt>
                <c:pt idx="448">
                  <c:v>45257</c:v>
                </c:pt>
                <c:pt idx="449">
                  <c:v>45264</c:v>
                </c:pt>
                <c:pt idx="450">
                  <c:v>45271</c:v>
                </c:pt>
                <c:pt idx="451">
                  <c:v>45278</c:v>
                </c:pt>
                <c:pt idx="452">
                  <c:v>45286</c:v>
                </c:pt>
                <c:pt idx="453">
                  <c:v>45293</c:v>
                </c:pt>
                <c:pt idx="454">
                  <c:v>45299</c:v>
                </c:pt>
                <c:pt idx="455">
                  <c:v>45307</c:v>
                </c:pt>
                <c:pt idx="456">
                  <c:v>45313</c:v>
                </c:pt>
                <c:pt idx="457">
                  <c:v>45320</c:v>
                </c:pt>
                <c:pt idx="458">
                  <c:v>45327</c:v>
                </c:pt>
                <c:pt idx="459">
                  <c:v>45334</c:v>
                </c:pt>
                <c:pt idx="460">
                  <c:v>45342</c:v>
                </c:pt>
                <c:pt idx="461">
                  <c:v>45348</c:v>
                </c:pt>
                <c:pt idx="462">
                  <c:v>45355</c:v>
                </c:pt>
                <c:pt idx="463">
                  <c:v>45362</c:v>
                </c:pt>
                <c:pt idx="464">
                  <c:v>45369</c:v>
                </c:pt>
                <c:pt idx="465">
                  <c:v>45376</c:v>
                </c:pt>
                <c:pt idx="466">
                  <c:v>45383</c:v>
                </c:pt>
                <c:pt idx="467">
                  <c:v>45390</c:v>
                </c:pt>
                <c:pt idx="468">
                  <c:v>45397</c:v>
                </c:pt>
                <c:pt idx="469">
                  <c:v>45404</c:v>
                </c:pt>
                <c:pt idx="470">
                  <c:v>45411</c:v>
                </c:pt>
                <c:pt idx="471">
                  <c:v>45418</c:v>
                </c:pt>
                <c:pt idx="472">
                  <c:v>45425</c:v>
                </c:pt>
                <c:pt idx="473">
                  <c:v>45432</c:v>
                </c:pt>
                <c:pt idx="474">
                  <c:v>45440</c:v>
                </c:pt>
                <c:pt idx="475">
                  <c:v>45446</c:v>
                </c:pt>
                <c:pt idx="476">
                  <c:v>45453</c:v>
                </c:pt>
                <c:pt idx="477">
                  <c:v>45460</c:v>
                </c:pt>
                <c:pt idx="478">
                  <c:v>45467</c:v>
                </c:pt>
                <c:pt idx="479">
                  <c:v>45474</c:v>
                </c:pt>
                <c:pt idx="480">
                  <c:v>45481</c:v>
                </c:pt>
                <c:pt idx="481">
                  <c:v>45488</c:v>
                </c:pt>
                <c:pt idx="482">
                  <c:v>45495</c:v>
                </c:pt>
                <c:pt idx="483">
                  <c:v>45502</c:v>
                </c:pt>
                <c:pt idx="484">
                  <c:v>45509</c:v>
                </c:pt>
                <c:pt idx="485">
                  <c:v>45516</c:v>
                </c:pt>
                <c:pt idx="486">
                  <c:v>45523</c:v>
                </c:pt>
                <c:pt idx="487">
                  <c:v>45530</c:v>
                </c:pt>
                <c:pt idx="488">
                  <c:v>45538</c:v>
                </c:pt>
                <c:pt idx="489">
                  <c:v>45544</c:v>
                </c:pt>
                <c:pt idx="490">
                  <c:v>45551</c:v>
                </c:pt>
                <c:pt idx="491">
                  <c:v>45558</c:v>
                </c:pt>
                <c:pt idx="492">
                  <c:v>45565</c:v>
                </c:pt>
                <c:pt idx="493">
                  <c:v>45572</c:v>
                </c:pt>
                <c:pt idx="494">
                  <c:v>45579</c:v>
                </c:pt>
                <c:pt idx="495">
                  <c:v>45586</c:v>
                </c:pt>
                <c:pt idx="496">
                  <c:v>45593</c:v>
                </c:pt>
                <c:pt idx="497">
                  <c:v>45600</c:v>
                </c:pt>
                <c:pt idx="498">
                  <c:v>45607</c:v>
                </c:pt>
                <c:pt idx="499">
                  <c:v>45614</c:v>
                </c:pt>
                <c:pt idx="500">
                  <c:v>45621</c:v>
                </c:pt>
                <c:pt idx="501">
                  <c:v>45628</c:v>
                </c:pt>
                <c:pt idx="502">
                  <c:v>45635</c:v>
                </c:pt>
                <c:pt idx="503">
                  <c:v>45642</c:v>
                </c:pt>
                <c:pt idx="504">
                  <c:v>45649</c:v>
                </c:pt>
                <c:pt idx="505">
                  <c:v>45656</c:v>
                </c:pt>
                <c:pt idx="506">
                  <c:v>45663</c:v>
                </c:pt>
                <c:pt idx="507">
                  <c:v>45670</c:v>
                </c:pt>
                <c:pt idx="508">
                  <c:v>45678</c:v>
                </c:pt>
                <c:pt idx="509">
                  <c:v>45684</c:v>
                </c:pt>
                <c:pt idx="510">
                  <c:v>45691</c:v>
                </c:pt>
                <c:pt idx="511">
                  <c:v>45698</c:v>
                </c:pt>
                <c:pt idx="512">
                  <c:v>45706</c:v>
                </c:pt>
                <c:pt idx="513">
                  <c:v>45712</c:v>
                </c:pt>
                <c:pt idx="514">
                  <c:v>45719</c:v>
                </c:pt>
                <c:pt idx="515">
                  <c:v>45726</c:v>
                </c:pt>
                <c:pt idx="516">
                  <c:v>45733</c:v>
                </c:pt>
                <c:pt idx="517">
                  <c:v>45740</c:v>
                </c:pt>
                <c:pt idx="518">
                  <c:v>45747</c:v>
                </c:pt>
                <c:pt idx="519">
                  <c:v>45754</c:v>
                </c:pt>
                <c:pt idx="520">
                  <c:v>45761</c:v>
                </c:pt>
                <c:pt idx="521">
                  <c:v>45768</c:v>
                </c:pt>
                <c:pt idx="522">
                  <c:v>45775</c:v>
                </c:pt>
              </c:numCache>
            </c:numRef>
          </c:cat>
          <c:val>
            <c:numRef>
              <c:f>NFLX!$E$8:$E$530</c:f>
              <c:numCache>
                <c:formatCode>_([$$-409]* #,##0.00_);_([$$-409]* \(#,##0.00\);_([$$-409]* "-"??_);_(@_)</c:formatCode>
                <c:ptCount val="523"/>
                <c:pt idx="0">
                  <c:v>79.575599999999994</c:v>
                </c:pt>
                <c:pt idx="1">
                  <c:v>82.085599999999999</c:v>
                </c:pt>
                <c:pt idx="2">
                  <c:v>87.607100000000003</c:v>
                </c:pt>
                <c:pt idx="3">
                  <c:v>88.838499999999996</c:v>
                </c:pt>
                <c:pt idx="4">
                  <c:v>89.151300000000006</c:v>
                </c:pt>
                <c:pt idx="5">
                  <c:v>90.459900000000005</c:v>
                </c:pt>
                <c:pt idx="6">
                  <c:v>94.418499999999995</c:v>
                </c:pt>
                <c:pt idx="7">
                  <c:v>93.871300000000005</c:v>
                </c:pt>
                <c:pt idx="8">
                  <c:v>93.088499999999996</c:v>
                </c:pt>
                <c:pt idx="9">
                  <c:v>94.044200000000004</c:v>
                </c:pt>
                <c:pt idx="10">
                  <c:v>97.228499999999997</c:v>
                </c:pt>
                <c:pt idx="11">
                  <c:v>114.77</c:v>
                </c:pt>
                <c:pt idx="12">
                  <c:v>109.34</c:v>
                </c:pt>
                <c:pt idx="13">
                  <c:v>114.31</c:v>
                </c:pt>
                <c:pt idx="14">
                  <c:v>123.52</c:v>
                </c:pt>
                <c:pt idx="15">
                  <c:v>123.39</c:v>
                </c:pt>
                <c:pt idx="16">
                  <c:v>103.96</c:v>
                </c:pt>
                <c:pt idx="17">
                  <c:v>117.63</c:v>
                </c:pt>
                <c:pt idx="18">
                  <c:v>98.79</c:v>
                </c:pt>
                <c:pt idx="19">
                  <c:v>97.51</c:v>
                </c:pt>
                <c:pt idx="20">
                  <c:v>102.62</c:v>
                </c:pt>
                <c:pt idx="21">
                  <c:v>102.24</c:v>
                </c:pt>
                <c:pt idx="22">
                  <c:v>106.11</c:v>
                </c:pt>
                <c:pt idx="23">
                  <c:v>113.33</c:v>
                </c:pt>
                <c:pt idx="24">
                  <c:v>98.99</c:v>
                </c:pt>
                <c:pt idx="25">
                  <c:v>100.04</c:v>
                </c:pt>
                <c:pt idx="26">
                  <c:v>108.38</c:v>
                </c:pt>
                <c:pt idx="27">
                  <c:v>114.06</c:v>
                </c:pt>
                <c:pt idx="28">
                  <c:v>103.65</c:v>
                </c:pt>
                <c:pt idx="29">
                  <c:v>123.84</c:v>
                </c:pt>
                <c:pt idx="30">
                  <c:v>125.44</c:v>
                </c:pt>
                <c:pt idx="31">
                  <c:v>130.93</c:v>
                </c:pt>
                <c:pt idx="32">
                  <c:v>118.91</c:v>
                </c:pt>
                <c:pt idx="33">
                  <c:v>118.02</c:v>
                </c:pt>
                <c:pt idx="34">
                  <c:v>117.33</c:v>
                </c:pt>
                <c:pt idx="35">
                  <c:v>114.38</c:v>
                </c:pt>
                <c:pt idx="36">
                  <c:v>111.39</c:v>
                </c:pt>
                <c:pt idx="37">
                  <c:v>104.04</c:v>
                </c:pt>
                <c:pt idx="38">
                  <c:v>100.72</c:v>
                </c:pt>
                <c:pt idx="39">
                  <c:v>91.84</c:v>
                </c:pt>
                <c:pt idx="40">
                  <c:v>82.79</c:v>
                </c:pt>
                <c:pt idx="41">
                  <c:v>87.4</c:v>
                </c:pt>
                <c:pt idx="42">
                  <c:v>89.23</c:v>
                </c:pt>
                <c:pt idx="43">
                  <c:v>94.79</c:v>
                </c:pt>
                <c:pt idx="44">
                  <c:v>101.58</c:v>
                </c:pt>
                <c:pt idx="45">
                  <c:v>97.66</c:v>
                </c:pt>
                <c:pt idx="46">
                  <c:v>101.12</c:v>
                </c:pt>
                <c:pt idx="47">
                  <c:v>98.36</c:v>
                </c:pt>
                <c:pt idx="48">
                  <c:v>105.7</c:v>
                </c:pt>
                <c:pt idx="49">
                  <c:v>103.81</c:v>
                </c:pt>
                <c:pt idx="50">
                  <c:v>111.51</c:v>
                </c:pt>
                <c:pt idx="51">
                  <c:v>95.9</c:v>
                </c:pt>
                <c:pt idx="52">
                  <c:v>90.03</c:v>
                </c:pt>
                <c:pt idx="53">
                  <c:v>90.84</c:v>
                </c:pt>
                <c:pt idx="54">
                  <c:v>87.88</c:v>
                </c:pt>
                <c:pt idx="55">
                  <c:v>92.49</c:v>
                </c:pt>
                <c:pt idx="56">
                  <c:v>103.3</c:v>
                </c:pt>
                <c:pt idx="57">
                  <c:v>99.59</c:v>
                </c:pt>
                <c:pt idx="58">
                  <c:v>93.75</c:v>
                </c:pt>
                <c:pt idx="59">
                  <c:v>94.45</c:v>
                </c:pt>
                <c:pt idx="60">
                  <c:v>88.44</c:v>
                </c:pt>
                <c:pt idx="61">
                  <c:v>96.67</c:v>
                </c:pt>
                <c:pt idx="62">
                  <c:v>97.06</c:v>
                </c:pt>
                <c:pt idx="63">
                  <c:v>98.39</c:v>
                </c:pt>
                <c:pt idx="64">
                  <c:v>85.89</c:v>
                </c:pt>
                <c:pt idx="65">
                  <c:v>91.25</c:v>
                </c:pt>
                <c:pt idx="66">
                  <c:v>97.03</c:v>
                </c:pt>
                <c:pt idx="67">
                  <c:v>96.59</c:v>
                </c:pt>
                <c:pt idx="68">
                  <c:v>95.87</c:v>
                </c:pt>
                <c:pt idx="69">
                  <c:v>97.58</c:v>
                </c:pt>
                <c:pt idx="70">
                  <c:v>97.38</c:v>
                </c:pt>
                <c:pt idx="71">
                  <c:v>96.5</c:v>
                </c:pt>
                <c:pt idx="72">
                  <c:v>99.48</c:v>
                </c:pt>
                <c:pt idx="73">
                  <c:v>95.94</c:v>
                </c:pt>
                <c:pt idx="74">
                  <c:v>98.55</c:v>
                </c:pt>
                <c:pt idx="75">
                  <c:v>104.82</c:v>
                </c:pt>
                <c:pt idx="76">
                  <c:v>101.47</c:v>
                </c:pt>
                <c:pt idx="77">
                  <c:v>127.5</c:v>
                </c:pt>
                <c:pt idx="78">
                  <c:v>126.57</c:v>
                </c:pt>
                <c:pt idx="79">
                  <c:v>122.03</c:v>
                </c:pt>
                <c:pt idx="80">
                  <c:v>114.78</c:v>
                </c:pt>
                <c:pt idx="81">
                  <c:v>115.21</c:v>
                </c:pt>
                <c:pt idx="82">
                  <c:v>117.41</c:v>
                </c:pt>
                <c:pt idx="83">
                  <c:v>120.81</c:v>
                </c:pt>
                <c:pt idx="84">
                  <c:v>122.88</c:v>
                </c:pt>
                <c:pt idx="85">
                  <c:v>124.22</c:v>
                </c:pt>
                <c:pt idx="86">
                  <c:v>125.59</c:v>
                </c:pt>
                <c:pt idx="87">
                  <c:v>123.8</c:v>
                </c:pt>
                <c:pt idx="88">
                  <c:v>131.07</c:v>
                </c:pt>
                <c:pt idx="89">
                  <c:v>133.69999999999999</c:v>
                </c:pt>
                <c:pt idx="90">
                  <c:v>138.6</c:v>
                </c:pt>
                <c:pt idx="91">
                  <c:v>142.44999999999999</c:v>
                </c:pt>
                <c:pt idx="92">
                  <c:v>140.25</c:v>
                </c:pt>
                <c:pt idx="93">
                  <c:v>144.82</c:v>
                </c:pt>
                <c:pt idx="94">
                  <c:v>142.22</c:v>
                </c:pt>
                <c:pt idx="95">
                  <c:v>143.25</c:v>
                </c:pt>
                <c:pt idx="96">
                  <c:v>139.13999999999999</c:v>
                </c:pt>
                <c:pt idx="97">
                  <c:v>140.88999999999999</c:v>
                </c:pt>
                <c:pt idx="98">
                  <c:v>145.11000000000001</c:v>
                </c:pt>
                <c:pt idx="99">
                  <c:v>142.02000000000001</c:v>
                </c:pt>
                <c:pt idx="100">
                  <c:v>147.81</c:v>
                </c:pt>
                <c:pt idx="101">
                  <c:v>143.11000000000001</c:v>
                </c:pt>
                <c:pt idx="102">
                  <c:v>142.91999999999999</c:v>
                </c:pt>
                <c:pt idx="103">
                  <c:v>142.87</c:v>
                </c:pt>
                <c:pt idx="104">
                  <c:v>152.19999999999999</c:v>
                </c:pt>
                <c:pt idx="105">
                  <c:v>156.6</c:v>
                </c:pt>
                <c:pt idx="106">
                  <c:v>160.81</c:v>
                </c:pt>
                <c:pt idx="107">
                  <c:v>157.02000000000001</c:v>
                </c:pt>
                <c:pt idx="108">
                  <c:v>162.43</c:v>
                </c:pt>
                <c:pt idx="109">
                  <c:v>165.18</c:v>
                </c:pt>
                <c:pt idx="110">
                  <c:v>158.03</c:v>
                </c:pt>
                <c:pt idx="111">
                  <c:v>152.38</c:v>
                </c:pt>
                <c:pt idx="112">
                  <c:v>158.02000000000001</c:v>
                </c:pt>
                <c:pt idx="113">
                  <c:v>149.41</c:v>
                </c:pt>
                <c:pt idx="114">
                  <c:v>150.18</c:v>
                </c:pt>
                <c:pt idx="115">
                  <c:v>161.12</c:v>
                </c:pt>
                <c:pt idx="116">
                  <c:v>188.54</c:v>
                </c:pt>
                <c:pt idx="117">
                  <c:v>184.04</c:v>
                </c:pt>
                <c:pt idx="118">
                  <c:v>180.27</c:v>
                </c:pt>
                <c:pt idx="119">
                  <c:v>171.4</c:v>
                </c:pt>
                <c:pt idx="120">
                  <c:v>166.54</c:v>
                </c:pt>
                <c:pt idx="121">
                  <c:v>165.95</c:v>
                </c:pt>
                <c:pt idx="122">
                  <c:v>174.74</c:v>
                </c:pt>
                <c:pt idx="123">
                  <c:v>176.42</c:v>
                </c:pt>
                <c:pt idx="124">
                  <c:v>182.35</c:v>
                </c:pt>
                <c:pt idx="125">
                  <c:v>187.35</c:v>
                </c:pt>
                <c:pt idx="126">
                  <c:v>181.35</c:v>
                </c:pt>
                <c:pt idx="127">
                  <c:v>198.02</c:v>
                </c:pt>
                <c:pt idx="128">
                  <c:v>199.49</c:v>
                </c:pt>
                <c:pt idx="129">
                  <c:v>194.16</c:v>
                </c:pt>
                <c:pt idx="130">
                  <c:v>199.54</c:v>
                </c:pt>
                <c:pt idx="131">
                  <c:v>200.01</c:v>
                </c:pt>
                <c:pt idx="132">
                  <c:v>192.02</c:v>
                </c:pt>
                <c:pt idx="133">
                  <c:v>193.2</c:v>
                </c:pt>
                <c:pt idx="134">
                  <c:v>195.75</c:v>
                </c:pt>
                <c:pt idx="135">
                  <c:v>186.82</c:v>
                </c:pt>
                <c:pt idx="136">
                  <c:v>188.54</c:v>
                </c:pt>
                <c:pt idx="137">
                  <c:v>190.12</c:v>
                </c:pt>
                <c:pt idx="138">
                  <c:v>189.94</c:v>
                </c:pt>
                <c:pt idx="139">
                  <c:v>191.96</c:v>
                </c:pt>
                <c:pt idx="140">
                  <c:v>209.99</c:v>
                </c:pt>
                <c:pt idx="141">
                  <c:v>221.23</c:v>
                </c:pt>
                <c:pt idx="142">
                  <c:v>220.46</c:v>
                </c:pt>
                <c:pt idx="143">
                  <c:v>274.60000000000002</c:v>
                </c:pt>
                <c:pt idx="144">
                  <c:v>267.43</c:v>
                </c:pt>
                <c:pt idx="145">
                  <c:v>249.47</c:v>
                </c:pt>
                <c:pt idx="146">
                  <c:v>278.52</c:v>
                </c:pt>
                <c:pt idx="147">
                  <c:v>285.93</c:v>
                </c:pt>
                <c:pt idx="148">
                  <c:v>301.05</c:v>
                </c:pt>
                <c:pt idx="149">
                  <c:v>331.44</c:v>
                </c:pt>
                <c:pt idx="150">
                  <c:v>318.45</c:v>
                </c:pt>
                <c:pt idx="151">
                  <c:v>300.94</c:v>
                </c:pt>
                <c:pt idx="152">
                  <c:v>295.35000000000002</c:v>
                </c:pt>
                <c:pt idx="153">
                  <c:v>288.85000000000002</c:v>
                </c:pt>
                <c:pt idx="154">
                  <c:v>311.64999999999998</c:v>
                </c:pt>
                <c:pt idx="155">
                  <c:v>327.77</c:v>
                </c:pt>
                <c:pt idx="156">
                  <c:v>311.76</c:v>
                </c:pt>
                <c:pt idx="157">
                  <c:v>320.08999999999997</c:v>
                </c:pt>
                <c:pt idx="158">
                  <c:v>326.45999999999998</c:v>
                </c:pt>
                <c:pt idx="159">
                  <c:v>324.18</c:v>
                </c:pt>
                <c:pt idx="160">
                  <c:v>351.29</c:v>
                </c:pt>
                <c:pt idx="161">
                  <c:v>359.93</c:v>
                </c:pt>
                <c:pt idx="162">
                  <c:v>360.57</c:v>
                </c:pt>
                <c:pt idx="163">
                  <c:v>391.98</c:v>
                </c:pt>
                <c:pt idx="164">
                  <c:v>411.09</c:v>
                </c:pt>
                <c:pt idx="165">
                  <c:v>391.43</c:v>
                </c:pt>
                <c:pt idx="166">
                  <c:v>408.25</c:v>
                </c:pt>
                <c:pt idx="167">
                  <c:v>395.8</c:v>
                </c:pt>
                <c:pt idx="168">
                  <c:v>361.05</c:v>
                </c:pt>
                <c:pt idx="169">
                  <c:v>355.21</c:v>
                </c:pt>
                <c:pt idx="170">
                  <c:v>343.09</c:v>
                </c:pt>
                <c:pt idx="171">
                  <c:v>345.87</c:v>
                </c:pt>
                <c:pt idx="172">
                  <c:v>316.77999999999997</c:v>
                </c:pt>
                <c:pt idx="173">
                  <c:v>358.82</c:v>
                </c:pt>
                <c:pt idx="174">
                  <c:v>367.68</c:v>
                </c:pt>
                <c:pt idx="175">
                  <c:v>348.68</c:v>
                </c:pt>
                <c:pt idx="176">
                  <c:v>364.56</c:v>
                </c:pt>
                <c:pt idx="177">
                  <c:v>361.19</c:v>
                </c:pt>
                <c:pt idx="178">
                  <c:v>374.13</c:v>
                </c:pt>
                <c:pt idx="179">
                  <c:v>351.35</c:v>
                </c:pt>
                <c:pt idx="180">
                  <c:v>339.56</c:v>
                </c:pt>
                <c:pt idx="181">
                  <c:v>332.67</c:v>
                </c:pt>
                <c:pt idx="182">
                  <c:v>299.83</c:v>
                </c:pt>
                <c:pt idx="183">
                  <c:v>309.10000000000002</c:v>
                </c:pt>
                <c:pt idx="184">
                  <c:v>303.47000000000003</c:v>
                </c:pt>
                <c:pt idx="185">
                  <c:v>286.20999999999998</c:v>
                </c:pt>
                <c:pt idx="186">
                  <c:v>258.82</c:v>
                </c:pt>
                <c:pt idx="187">
                  <c:v>286.13</c:v>
                </c:pt>
                <c:pt idx="188">
                  <c:v>265.14</c:v>
                </c:pt>
                <c:pt idx="189">
                  <c:v>266.83999999999997</c:v>
                </c:pt>
                <c:pt idx="190">
                  <c:v>246.39</c:v>
                </c:pt>
                <c:pt idx="191">
                  <c:v>256.08</c:v>
                </c:pt>
                <c:pt idx="192">
                  <c:v>297.57</c:v>
                </c:pt>
                <c:pt idx="193">
                  <c:v>337.59</c:v>
                </c:pt>
                <c:pt idx="194">
                  <c:v>339.1</c:v>
                </c:pt>
                <c:pt idx="195">
                  <c:v>338.05</c:v>
                </c:pt>
                <c:pt idx="196">
                  <c:v>339.85</c:v>
                </c:pt>
                <c:pt idx="197">
                  <c:v>347.57</c:v>
                </c:pt>
                <c:pt idx="198">
                  <c:v>356.87</c:v>
                </c:pt>
                <c:pt idx="199">
                  <c:v>363.02</c:v>
                </c:pt>
                <c:pt idx="200">
                  <c:v>357.32</c:v>
                </c:pt>
                <c:pt idx="201">
                  <c:v>349.6</c:v>
                </c:pt>
                <c:pt idx="202">
                  <c:v>361.46</c:v>
                </c:pt>
                <c:pt idx="203">
                  <c:v>361.01</c:v>
                </c:pt>
                <c:pt idx="204">
                  <c:v>356.56</c:v>
                </c:pt>
                <c:pt idx="205">
                  <c:v>365.49</c:v>
                </c:pt>
                <c:pt idx="206">
                  <c:v>351.14</c:v>
                </c:pt>
                <c:pt idx="207">
                  <c:v>360.35</c:v>
                </c:pt>
                <c:pt idx="208">
                  <c:v>374.85</c:v>
                </c:pt>
                <c:pt idx="209">
                  <c:v>385.03</c:v>
                </c:pt>
                <c:pt idx="210">
                  <c:v>361.04</c:v>
                </c:pt>
                <c:pt idx="211">
                  <c:v>354.45</c:v>
                </c:pt>
                <c:pt idx="212">
                  <c:v>354.39</c:v>
                </c:pt>
                <c:pt idx="213">
                  <c:v>343.28</c:v>
                </c:pt>
                <c:pt idx="214">
                  <c:v>360.87</c:v>
                </c:pt>
                <c:pt idx="215">
                  <c:v>339.73</c:v>
                </c:pt>
                <c:pt idx="216">
                  <c:v>369.21</c:v>
                </c:pt>
                <c:pt idx="217">
                  <c:v>367.32</c:v>
                </c:pt>
                <c:pt idx="218">
                  <c:v>380.55</c:v>
                </c:pt>
                <c:pt idx="219">
                  <c:v>373.25</c:v>
                </c:pt>
                <c:pt idx="220">
                  <c:v>315.10000000000002</c:v>
                </c:pt>
                <c:pt idx="221">
                  <c:v>335.78</c:v>
                </c:pt>
                <c:pt idx="222">
                  <c:v>318.83</c:v>
                </c:pt>
                <c:pt idx="223">
                  <c:v>308.93</c:v>
                </c:pt>
                <c:pt idx="224">
                  <c:v>302.8</c:v>
                </c:pt>
                <c:pt idx="225">
                  <c:v>291.44</c:v>
                </c:pt>
                <c:pt idx="226">
                  <c:v>293.75</c:v>
                </c:pt>
                <c:pt idx="227">
                  <c:v>290.17</c:v>
                </c:pt>
                <c:pt idx="228">
                  <c:v>294.14999999999998</c:v>
                </c:pt>
                <c:pt idx="229">
                  <c:v>270.75</c:v>
                </c:pt>
                <c:pt idx="230">
                  <c:v>263.08</c:v>
                </c:pt>
                <c:pt idx="231">
                  <c:v>272.79000000000002</c:v>
                </c:pt>
                <c:pt idx="232">
                  <c:v>282.93</c:v>
                </c:pt>
                <c:pt idx="233">
                  <c:v>275.3</c:v>
                </c:pt>
                <c:pt idx="234">
                  <c:v>276.82</c:v>
                </c:pt>
                <c:pt idx="235">
                  <c:v>286.81</c:v>
                </c:pt>
                <c:pt idx="236">
                  <c:v>291.57</c:v>
                </c:pt>
                <c:pt idx="237">
                  <c:v>295.02999999999997</c:v>
                </c:pt>
                <c:pt idx="238">
                  <c:v>310.48</c:v>
                </c:pt>
                <c:pt idx="239">
                  <c:v>314.66000000000003</c:v>
                </c:pt>
                <c:pt idx="240">
                  <c:v>307.35000000000002</c:v>
                </c:pt>
                <c:pt idx="241">
                  <c:v>298.5</c:v>
                </c:pt>
                <c:pt idx="242">
                  <c:v>336.9</c:v>
                </c:pt>
                <c:pt idx="243">
                  <c:v>329.09</c:v>
                </c:pt>
                <c:pt idx="244">
                  <c:v>325.89999999999998</c:v>
                </c:pt>
                <c:pt idx="245">
                  <c:v>329.05</c:v>
                </c:pt>
                <c:pt idx="246">
                  <c:v>339.67</c:v>
                </c:pt>
                <c:pt idx="247">
                  <c:v>353.16</c:v>
                </c:pt>
                <c:pt idx="248">
                  <c:v>345.09</c:v>
                </c:pt>
                <c:pt idx="249">
                  <c:v>366.77</c:v>
                </c:pt>
                <c:pt idx="250">
                  <c:v>380.4</c:v>
                </c:pt>
                <c:pt idx="251">
                  <c:v>380.07</c:v>
                </c:pt>
                <c:pt idx="252">
                  <c:v>369.03</c:v>
                </c:pt>
                <c:pt idx="253">
                  <c:v>368.97</c:v>
                </c:pt>
                <c:pt idx="254">
                  <c:v>336.29500000000002</c:v>
                </c:pt>
                <c:pt idx="255">
                  <c:v>332.83</c:v>
                </c:pt>
                <c:pt idx="256">
                  <c:v>357.12</c:v>
                </c:pt>
                <c:pt idx="257">
                  <c:v>361.76</c:v>
                </c:pt>
                <c:pt idx="258">
                  <c:v>370.72</c:v>
                </c:pt>
                <c:pt idx="259">
                  <c:v>422.96</c:v>
                </c:pt>
                <c:pt idx="260">
                  <c:v>424.99</c:v>
                </c:pt>
                <c:pt idx="261">
                  <c:v>415.27</c:v>
                </c:pt>
                <c:pt idx="262">
                  <c:v>435.55</c:v>
                </c:pt>
                <c:pt idx="263">
                  <c:v>454.19</c:v>
                </c:pt>
                <c:pt idx="264">
                  <c:v>429.32</c:v>
                </c:pt>
                <c:pt idx="265">
                  <c:v>419.73</c:v>
                </c:pt>
                <c:pt idx="266">
                  <c:v>419.6</c:v>
                </c:pt>
                <c:pt idx="267">
                  <c:v>418.07</c:v>
                </c:pt>
                <c:pt idx="268">
                  <c:v>453.72</c:v>
                </c:pt>
                <c:pt idx="269">
                  <c:v>443.4</c:v>
                </c:pt>
                <c:pt idx="270">
                  <c:v>476.89</c:v>
                </c:pt>
                <c:pt idx="271">
                  <c:v>548.73</c:v>
                </c:pt>
                <c:pt idx="272">
                  <c:v>492.99</c:v>
                </c:pt>
                <c:pt idx="273">
                  <c:v>480.45</c:v>
                </c:pt>
                <c:pt idx="274">
                  <c:v>488.88</c:v>
                </c:pt>
                <c:pt idx="275">
                  <c:v>494.73</c:v>
                </c:pt>
                <c:pt idx="276">
                  <c:v>482.68</c:v>
                </c:pt>
                <c:pt idx="277">
                  <c:v>492.31</c:v>
                </c:pt>
                <c:pt idx="278">
                  <c:v>523.89</c:v>
                </c:pt>
                <c:pt idx="279">
                  <c:v>516.04999999999995</c:v>
                </c:pt>
                <c:pt idx="280">
                  <c:v>482.03</c:v>
                </c:pt>
                <c:pt idx="281">
                  <c:v>469.96</c:v>
                </c:pt>
                <c:pt idx="282">
                  <c:v>482.88</c:v>
                </c:pt>
                <c:pt idx="283">
                  <c:v>503.06</c:v>
                </c:pt>
                <c:pt idx="284">
                  <c:v>539.44000000000005</c:v>
                </c:pt>
                <c:pt idx="285">
                  <c:v>530.79</c:v>
                </c:pt>
                <c:pt idx="286">
                  <c:v>488.28</c:v>
                </c:pt>
                <c:pt idx="287">
                  <c:v>475.74</c:v>
                </c:pt>
                <c:pt idx="288">
                  <c:v>514.73</c:v>
                </c:pt>
                <c:pt idx="289">
                  <c:v>482.84</c:v>
                </c:pt>
                <c:pt idx="290">
                  <c:v>488.24</c:v>
                </c:pt>
                <c:pt idx="291">
                  <c:v>491.36</c:v>
                </c:pt>
                <c:pt idx="292">
                  <c:v>498.31</c:v>
                </c:pt>
                <c:pt idx="293">
                  <c:v>503.22</c:v>
                </c:pt>
                <c:pt idx="294">
                  <c:v>534.45000000000005</c:v>
                </c:pt>
                <c:pt idx="295">
                  <c:v>513.97</c:v>
                </c:pt>
                <c:pt idx="296">
                  <c:v>540.73</c:v>
                </c:pt>
                <c:pt idx="297">
                  <c:v>510.4</c:v>
                </c:pt>
                <c:pt idx="298">
                  <c:v>497.98</c:v>
                </c:pt>
                <c:pt idx="299">
                  <c:v>565.16999999999996</c:v>
                </c:pt>
                <c:pt idx="300">
                  <c:v>532.39</c:v>
                </c:pt>
                <c:pt idx="301">
                  <c:v>550.79</c:v>
                </c:pt>
                <c:pt idx="302">
                  <c:v>556.52</c:v>
                </c:pt>
                <c:pt idx="303">
                  <c:v>540.22</c:v>
                </c:pt>
                <c:pt idx="304">
                  <c:v>538.85</c:v>
                </c:pt>
                <c:pt idx="305">
                  <c:v>516.39</c:v>
                </c:pt>
                <c:pt idx="306">
                  <c:v>518.02</c:v>
                </c:pt>
                <c:pt idx="307">
                  <c:v>512.17999999999995</c:v>
                </c:pt>
                <c:pt idx="308">
                  <c:v>508.05</c:v>
                </c:pt>
                <c:pt idx="309">
                  <c:v>539.41999999999996</c:v>
                </c:pt>
                <c:pt idx="310">
                  <c:v>555.30999999999995</c:v>
                </c:pt>
                <c:pt idx="311">
                  <c:v>546.54</c:v>
                </c:pt>
                <c:pt idx="312">
                  <c:v>505.55</c:v>
                </c:pt>
                <c:pt idx="313">
                  <c:v>513.47</c:v>
                </c:pt>
                <c:pt idx="314">
                  <c:v>503.84</c:v>
                </c:pt>
                <c:pt idx="315">
                  <c:v>493.37</c:v>
                </c:pt>
                <c:pt idx="316">
                  <c:v>497.89</c:v>
                </c:pt>
                <c:pt idx="317">
                  <c:v>502.81</c:v>
                </c:pt>
                <c:pt idx="318">
                  <c:v>494.74</c:v>
                </c:pt>
                <c:pt idx="319">
                  <c:v>488.77</c:v>
                </c:pt>
                <c:pt idx="320">
                  <c:v>500.77</c:v>
                </c:pt>
                <c:pt idx="321">
                  <c:v>527.07000000000005</c:v>
                </c:pt>
                <c:pt idx="322">
                  <c:v>533.98</c:v>
                </c:pt>
                <c:pt idx="323">
                  <c:v>535.98</c:v>
                </c:pt>
                <c:pt idx="324">
                  <c:v>530.30999999999995</c:v>
                </c:pt>
                <c:pt idx="325">
                  <c:v>515.41</c:v>
                </c:pt>
                <c:pt idx="326">
                  <c:v>517.57000000000005</c:v>
                </c:pt>
                <c:pt idx="327">
                  <c:v>520.54999999999995</c:v>
                </c:pt>
                <c:pt idx="328">
                  <c:v>515.91999999999996</c:v>
                </c:pt>
                <c:pt idx="329">
                  <c:v>546.88</c:v>
                </c:pt>
                <c:pt idx="330">
                  <c:v>558.91999999999996</c:v>
                </c:pt>
                <c:pt idx="331">
                  <c:v>590.53</c:v>
                </c:pt>
                <c:pt idx="332">
                  <c:v>598.72</c:v>
                </c:pt>
                <c:pt idx="333">
                  <c:v>589.35</c:v>
                </c:pt>
                <c:pt idx="334">
                  <c:v>592.39</c:v>
                </c:pt>
                <c:pt idx="335">
                  <c:v>613.15</c:v>
                </c:pt>
                <c:pt idx="336">
                  <c:v>632.66</c:v>
                </c:pt>
                <c:pt idx="337">
                  <c:v>628.29</c:v>
                </c:pt>
                <c:pt idx="338">
                  <c:v>664.78</c:v>
                </c:pt>
                <c:pt idx="339">
                  <c:v>690.31</c:v>
                </c:pt>
                <c:pt idx="340">
                  <c:v>645.72</c:v>
                </c:pt>
                <c:pt idx="341">
                  <c:v>682.61</c:v>
                </c:pt>
                <c:pt idx="342">
                  <c:v>678.8</c:v>
                </c:pt>
                <c:pt idx="343">
                  <c:v>665.64</c:v>
                </c:pt>
                <c:pt idx="344">
                  <c:v>602.13</c:v>
                </c:pt>
                <c:pt idx="345">
                  <c:v>611.66</c:v>
                </c:pt>
                <c:pt idx="346">
                  <c:v>586.73</c:v>
                </c:pt>
                <c:pt idx="347">
                  <c:v>614.09</c:v>
                </c:pt>
                <c:pt idx="348">
                  <c:v>602.44000000000005</c:v>
                </c:pt>
                <c:pt idx="349">
                  <c:v>541.05999999999995</c:v>
                </c:pt>
                <c:pt idx="350">
                  <c:v>525.69000000000005</c:v>
                </c:pt>
                <c:pt idx="351">
                  <c:v>397.5</c:v>
                </c:pt>
                <c:pt idx="352">
                  <c:v>384.36</c:v>
                </c:pt>
                <c:pt idx="353">
                  <c:v>410.17</c:v>
                </c:pt>
                <c:pt idx="354">
                  <c:v>391.31</c:v>
                </c:pt>
                <c:pt idx="355">
                  <c:v>391.29</c:v>
                </c:pt>
                <c:pt idx="356">
                  <c:v>390.8</c:v>
                </c:pt>
                <c:pt idx="357">
                  <c:v>361.73</c:v>
                </c:pt>
                <c:pt idx="358">
                  <c:v>340.32</c:v>
                </c:pt>
                <c:pt idx="359">
                  <c:v>380.6</c:v>
                </c:pt>
                <c:pt idx="360">
                  <c:v>373.85</c:v>
                </c:pt>
                <c:pt idx="361">
                  <c:v>373.47</c:v>
                </c:pt>
                <c:pt idx="362">
                  <c:v>355.88</c:v>
                </c:pt>
                <c:pt idx="363">
                  <c:v>341.13</c:v>
                </c:pt>
                <c:pt idx="364">
                  <c:v>215.52</c:v>
                </c:pt>
                <c:pt idx="365">
                  <c:v>190.36</c:v>
                </c:pt>
                <c:pt idx="366">
                  <c:v>180.97</c:v>
                </c:pt>
                <c:pt idx="367">
                  <c:v>187.64</c:v>
                </c:pt>
                <c:pt idx="368">
                  <c:v>186.35</c:v>
                </c:pt>
                <c:pt idx="369">
                  <c:v>195.19</c:v>
                </c:pt>
                <c:pt idx="370">
                  <c:v>198.98</c:v>
                </c:pt>
                <c:pt idx="371">
                  <c:v>182.94</c:v>
                </c:pt>
                <c:pt idx="372">
                  <c:v>175.51</c:v>
                </c:pt>
                <c:pt idx="373">
                  <c:v>190.85</c:v>
                </c:pt>
                <c:pt idx="374">
                  <c:v>179.95</c:v>
                </c:pt>
                <c:pt idx="375">
                  <c:v>186.97499999999999</c:v>
                </c:pt>
                <c:pt idx="376">
                  <c:v>189.11</c:v>
                </c:pt>
                <c:pt idx="377">
                  <c:v>220.44</c:v>
                </c:pt>
                <c:pt idx="378">
                  <c:v>224.9</c:v>
                </c:pt>
                <c:pt idx="379">
                  <c:v>226.78</c:v>
                </c:pt>
                <c:pt idx="380">
                  <c:v>249.3</c:v>
                </c:pt>
                <c:pt idx="381">
                  <c:v>241.16</c:v>
                </c:pt>
                <c:pt idx="382">
                  <c:v>223.28</c:v>
                </c:pt>
                <c:pt idx="383">
                  <c:v>226.11</c:v>
                </c:pt>
                <c:pt idx="384">
                  <c:v>233.57</c:v>
                </c:pt>
                <c:pt idx="385">
                  <c:v>240.13</c:v>
                </c:pt>
                <c:pt idx="386">
                  <c:v>226.41</c:v>
                </c:pt>
                <c:pt idx="387">
                  <c:v>235.44</c:v>
                </c:pt>
                <c:pt idx="388">
                  <c:v>224.75</c:v>
                </c:pt>
                <c:pt idx="389">
                  <c:v>230</c:v>
                </c:pt>
                <c:pt idx="390">
                  <c:v>289.57</c:v>
                </c:pt>
                <c:pt idx="391">
                  <c:v>295.72000000000003</c:v>
                </c:pt>
                <c:pt idx="392">
                  <c:v>260.79000000000002</c:v>
                </c:pt>
                <c:pt idx="393">
                  <c:v>290.13</c:v>
                </c:pt>
                <c:pt idx="394">
                  <c:v>287.98</c:v>
                </c:pt>
                <c:pt idx="395">
                  <c:v>285.54000000000002</c:v>
                </c:pt>
                <c:pt idx="396">
                  <c:v>320.41000000000003</c:v>
                </c:pt>
                <c:pt idx="397">
                  <c:v>320.01</c:v>
                </c:pt>
                <c:pt idx="398">
                  <c:v>290.70999999999998</c:v>
                </c:pt>
                <c:pt idx="399">
                  <c:v>294.96499999999997</c:v>
                </c:pt>
                <c:pt idx="400">
                  <c:v>294.88</c:v>
                </c:pt>
                <c:pt idx="401">
                  <c:v>315.55</c:v>
                </c:pt>
                <c:pt idx="402">
                  <c:v>332.82</c:v>
                </c:pt>
                <c:pt idx="403">
                  <c:v>342.5</c:v>
                </c:pt>
                <c:pt idx="404">
                  <c:v>360.77</c:v>
                </c:pt>
                <c:pt idx="405">
                  <c:v>365.9</c:v>
                </c:pt>
                <c:pt idx="406">
                  <c:v>347.36</c:v>
                </c:pt>
                <c:pt idx="407">
                  <c:v>347.96</c:v>
                </c:pt>
                <c:pt idx="408">
                  <c:v>317.14999999999998</c:v>
                </c:pt>
                <c:pt idx="409">
                  <c:v>315.18</c:v>
                </c:pt>
                <c:pt idx="410">
                  <c:v>292.76</c:v>
                </c:pt>
                <c:pt idx="411">
                  <c:v>303.5</c:v>
                </c:pt>
                <c:pt idx="412">
                  <c:v>328.39</c:v>
                </c:pt>
                <c:pt idx="413">
                  <c:v>345.48</c:v>
                </c:pt>
                <c:pt idx="414">
                  <c:v>339.33</c:v>
                </c:pt>
                <c:pt idx="415">
                  <c:v>338.63</c:v>
                </c:pt>
                <c:pt idx="416">
                  <c:v>327.98</c:v>
                </c:pt>
                <c:pt idx="417">
                  <c:v>329.93</c:v>
                </c:pt>
                <c:pt idx="418">
                  <c:v>322.76</c:v>
                </c:pt>
                <c:pt idx="419">
                  <c:v>339.89</c:v>
                </c:pt>
                <c:pt idx="420">
                  <c:v>365.36</c:v>
                </c:pt>
                <c:pt idx="421">
                  <c:v>378.88</c:v>
                </c:pt>
                <c:pt idx="422">
                  <c:v>400.47</c:v>
                </c:pt>
                <c:pt idx="423">
                  <c:v>420.02</c:v>
                </c:pt>
                <c:pt idx="424">
                  <c:v>431.96</c:v>
                </c:pt>
                <c:pt idx="425">
                  <c:v>424.02</c:v>
                </c:pt>
                <c:pt idx="426">
                  <c:v>440.49</c:v>
                </c:pt>
                <c:pt idx="427">
                  <c:v>438.1</c:v>
                </c:pt>
                <c:pt idx="428">
                  <c:v>441.91</c:v>
                </c:pt>
                <c:pt idx="429">
                  <c:v>427.5</c:v>
                </c:pt>
                <c:pt idx="430">
                  <c:v>425.78</c:v>
                </c:pt>
                <c:pt idx="431">
                  <c:v>431.6</c:v>
                </c:pt>
                <c:pt idx="432">
                  <c:v>421.66</c:v>
                </c:pt>
                <c:pt idx="433">
                  <c:v>404.53</c:v>
                </c:pt>
                <c:pt idx="434">
                  <c:v>416.03</c:v>
                </c:pt>
                <c:pt idx="435">
                  <c:v>439.88</c:v>
                </c:pt>
                <c:pt idx="436">
                  <c:v>442.8</c:v>
                </c:pt>
                <c:pt idx="437">
                  <c:v>396.94</c:v>
                </c:pt>
                <c:pt idx="438">
                  <c:v>379.81</c:v>
                </c:pt>
                <c:pt idx="439">
                  <c:v>377.6</c:v>
                </c:pt>
                <c:pt idx="440">
                  <c:v>381.51</c:v>
                </c:pt>
                <c:pt idx="441">
                  <c:v>355.68</c:v>
                </c:pt>
                <c:pt idx="442">
                  <c:v>400.96</c:v>
                </c:pt>
                <c:pt idx="443">
                  <c:v>397.87</c:v>
                </c:pt>
                <c:pt idx="444">
                  <c:v>432.36</c:v>
                </c:pt>
                <c:pt idx="445">
                  <c:v>447.24</c:v>
                </c:pt>
                <c:pt idx="446">
                  <c:v>465.91</c:v>
                </c:pt>
                <c:pt idx="447">
                  <c:v>479.56</c:v>
                </c:pt>
                <c:pt idx="448">
                  <c:v>465.74</c:v>
                </c:pt>
                <c:pt idx="449">
                  <c:v>453.76</c:v>
                </c:pt>
                <c:pt idx="450">
                  <c:v>472.06</c:v>
                </c:pt>
                <c:pt idx="451">
                  <c:v>486.76</c:v>
                </c:pt>
                <c:pt idx="452">
                  <c:v>486.88</c:v>
                </c:pt>
                <c:pt idx="453">
                  <c:v>474.06</c:v>
                </c:pt>
                <c:pt idx="454">
                  <c:v>492.16</c:v>
                </c:pt>
                <c:pt idx="455">
                  <c:v>482.95</c:v>
                </c:pt>
                <c:pt idx="456">
                  <c:v>570.41999999999996</c:v>
                </c:pt>
                <c:pt idx="457">
                  <c:v>564.64</c:v>
                </c:pt>
                <c:pt idx="458">
                  <c:v>561.32000000000005</c:v>
                </c:pt>
                <c:pt idx="459">
                  <c:v>583.95000000000005</c:v>
                </c:pt>
                <c:pt idx="460">
                  <c:v>583.55999999999995</c:v>
                </c:pt>
                <c:pt idx="461">
                  <c:v>619.34</c:v>
                </c:pt>
                <c:pt idx="462">
                  <c:v>604.82000000000005</c:v>
                </c:pt>
                <c:pt idx="463">
                  <c:v>605.88</c:v>
                </c:pt>
                <c:pt idx="464">
                  <c:v>628.01</c:v>
                </c:pt>
                <c:pt idx="465">
                  <c:v>607.33000000000004</c:v>
                </c:pt>
                <c:pt idx="466">
                  <c:v>636.17999999999995</c:v>
                </c:pt>
                <c:pt idx="467">
                  <c:v>622.83000000000004</c:v>
                </c:pt>
                <c:pt idx="468">
                  <c:v>555.04</c:v>
                </c:pt>
                <c:pt idx="469">
                  <c:v>561.23</c:v>
                </c:pt>
                <c:pt idx="470">
                  <c:v>579.34</c:v>
                </c:pt>
                <c:pt idx="471">
                  <c:v>610.87</c:v>
                </c:pt>
                <c:pt idx="472">
                  <c:v>621.1</c:v>
                </c:pt>
                <c:pt idx="473">
                  <c:v>646.75</c:v>
                </c:pt>
                <c:pt idx="474">
                  <c:v>641.62</c:v>
                </c:pt>
                <c:pt idx="475">
                  <c:v>641.47</c:v>
                </c:pt>
                <c:pt idx="476">
                  <c:v>669.38</c:v>
                </c:pt>
                <c:pt idx="477">
                  <c:v>686.12</c:v>
                </c:pt>
                <c:pt idx="478">
                  <c:v>674.88</c:v>
                </c:pt>
                <c:pt idx="479">
                  <c:v>690.65</c:v>
                </c:pt>
                <c:pt idx="480">
                  <c:v>647.6</c:v>
                </c:pt>
                <c:pt idx="481">
                  <c:v>633.34</c:v>
                </c:pt>
                <c:pt idx="482">
                  <c:v>631.37</c:v>
                </c:pt>
                <c:pt idx="483">
                  <c:v>613.64</c:v>
                </c:pt>
                <c:pt idx="484">
                  <c:v>633.94000000000005</c:v>
                </c:pt>
                <c:pt idx="485">
                  <c:v>674.07</c:v>
                </c:pt>
                <c:pt idx="486">
                  <c:v>686.73</c:v>
                </c:pt>
                <c:pt idx="487">
                  <c:v>701.35</c:v>
                </c:pt>
                <c:pt idx="488">
                  <c:v>665.77</c:v>
                </c:pt>
                <c:pt idx="489">
                  <c:v>697.06</c:v>
                </c:pt>
                <c:pt idx="490">
                  <c:v>701.03</c:v>
                </c:pt>
                <c:pt idx="491">
                  <c:v>707.35</c:v>
                </c:pt>
                <c:pt idx="492">
                  <c:v>719.7</c:v>
                </c:pt>
                <c:pt idx="493">
                  <c:v>722.79</c:v>
                </c:pt>
                <c:pt idx="494">
                  <c:v>763.89</c:v>
                </c:pt>
                <c:pt idx="495">
                  <c:v>754.68</c:v>
                </c:pt>
                <c:pt idx="496">
                  <c:v>756.1</c:v>
                </c:pt>
                <c:pt idx="497">
                  <c:v>795.04</c:v>
                </c:pt>
                <c:pt idx="498">
                  <c:v>823.96</c:v>
                </c:pt>
                <c:pt idx="499">
                  <c:v>897.79</c:v>
                </c:pt>
                <c:pt idx="500">
                  <c:v>886.81</c:v>
                </c:pt>
                <c:pt idx="501">
                  <c:v>934.74</c:v>
                </c:pt>
                <c:pt idx="502">
                  <c:v>918.87</c:v>
                </c:pt>
                <c:pt idx="503">
                  <c:v>909.05</c:v>
                </c:pt>
                <c:pt idx="504">
                  <c:v>907.55</c:v>
                </c:pt>
                <c:pt idx="505">
                  <c:v>881.05</c:v>
                </c:pt>
                <c:pt idx="506">
                  <c:v>837.69</c:v>
                </c:pt>
                <c:pt idx="507">
                  <c:v>858.1</c:v>
                </c:pt>
                <c:pt idx="508">
                  <c:v>977.59</c:v>
                </c:pt>
                <c:pt idx="509">
                  <c:v>976.76</c:v>
                </c:pt>
                <c:pt idx="510">
                  <c:v>1013.93</c:v>
                </c:pt>
                <c:pt idx="511">
                  <c:v>1058.5999999999999</c:v>
                </c:pt>
                <c:pt idx="512" formatCode="_([$$-409]* #,##0.000_);_([$$-409]* \(#,##0.000\);_([$$-409]* &quot;-&quot;??_);_(@_)">
                  <c:v>1003.15</c:v>
                </c:pt>
                <c:pt idx="513">
                  <c:v>980.56</c:v>
                </c:pt>
                <c:pt idx="514">
                  <c:v>891.11</c:v>
                </c:pt>
                <c:pt idx="515">
                  <c:v>918</c:v>
                </c:pt>
                <c:pt idx="516">
                  <c:v>960.29</c:v>
                </c:pt>
                <c:pt idx="517">
                  <c:v>933.85</c:v>
                </c:pt>
                <c:pt idx="518">
                  <c:v>855.86</c:v>
                </c:pt>
                <c:pt idx="519">
                  <c:v>918.29</c:v>
                </c:pt>
                <c:pt idx="520">
                  <c:v>973.03</c:v>
                </c:pt>
                <c:pt idx="521">
                  <c:v>1101.53</c:v>
                </c:pt>
                <c:pt idx="522">
                  <c:v>115.649</c:v>
                </c:pt>
              </c:numCache>
            </c:numRef>
          </c:val>
          <c:smooth val="0"/>
          <c:extLst>
            <c:ext xmlns:c16="http://schemas.microsoft.com/office/drawing/2014/chart" uri="{C3380CC4-5D6E-409C-BE32-E72D297353CC}">
              <c16:uniqueId val="{00000000-6B2E-4E64-8025-D972B37B07F6}"/>
            </c:ext>
          </c:extLst>
        </c:ser>
        <c:dLbls>
          <c:showLegendKey val="0"/>
          <c:showVal val="0"/>
          <c:showCatName val="0"/>
          <c:showSerName val="0"/>
          <c:showPercent val="0"/>
          <c:showBubbleSize val="0"/>
        </c:dLbls>
        <c:smooth val="0"/>
        <c:axId val="250087311"/>
        <c:axId val="250088751"/>
      </c:lineChart>
      <c:dateAx>
        <c:axId val="25008731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Date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m/d/yy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0088751"/>
        <c:crosses val="autoZero"/>
        <c:auto val="1"/>
        <c:lblOffset val="100"/>
        <c:baseTimeUnit val="days"/>
      </c:dateAx>
      <c:valAx>
        <c:axId val="250088751"/>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Price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409]* #,##0.00_);_([$$-409]* \(#,##0.00\);_([$$-409]*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0087311"/>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AAPL</a:t>
            </a:r>
            <a:r>
              <a:rPr lang="en-US" baseline="0"/>
              <a:t> Closing Stock Price 10 Year History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cked"/>
        <c:varyColors val="0"/>
        <c:ser>
          <c:idx val="0"/>
          <c:order val="0"/>
          <c:tx>
            <c:strRef>
              <c:f>Apple!$D$6</c:f>
              <c:strCache>
                <c:ptCount val="1"/>
                <c:pt idx="0">
                  <c:v>Close</c:v>
                </c:pt>
              </c:strCache>
            </c:strRef>
          </c:tx>
          <c:spPr>
            <a:ln w="28575" cap="rnd">
              <a:solidFill>
                <a:schemeClr val="accent1"/>
              </a:solidFill>
              <a:round/>
            </a:ln>
            <a:effectLst/>
          </c:spPr>
          <c:marker>
            <c:symbol val="none"/>
          </c:marker>
          <c:cat>
            <c:numRef>
              <c:f>Apple!$C$7:$C$529</c:f>
              <c:numCache>
                <c:formatCode>m/d/yyyy</c:formatCode>
                <c:ptCount val="523"/>
                <c:pt idx="0">
                  <c:v>42121</c:v>
                </c:pt>
                <c:pt idx="1">
                  <c:v>42128</c:v>
                </c:pt>
                <c:pt idx="2">
                  <c:v>42135</c:v>
                </c:pt>
                <c:pt idx="3">
                  <c:v>42142</c:v>
                </c:pt>
                <c:pt idx="4">
                  <c:v>42150</c:v>
                </c:pt>
                <c:pt idx="5">
                  <c:v>42156</c:v>
                </c:pt>
                <c:pt idx="6">
                  <c:v>42163</c:v>
                </c:pt>
                <c:pt idx="7">
                  <c:v>42170</c:v>
                </c:pt>
                <c:pt idx="8">
                  <c:v>42177</c:v>
                </c:pt>
                <c:pt idx="9">
                  <c:v>42184</c:v>
                </c:pt>
                <c:pt idx="10">
                  <c:v>42191</c:v>
                </c:pt>
                <c:pt idx="11">
                  <c:v>42198</c:v>
                </c:pt>
                <c:pt idx="12">
                  <c:v>42205</c:v>
                </c:pt>
                <c:pt idx="13">
                  <c:v>42212</c:v>
                </c:pt>
                <c:pt idx="14">
                  <c:v>42219</c:v>
                </c:pt>
                <c:pt idx="15">
                  <c:v>42226</c:v>
                </c:pt>
                <c:pt idx="16">
                  <c:v>42233</c:v>
                </c:pt>
                <c:pt idx="17">
                  <c:v>42240</c:v>
                </c:pt>
                <c:pt idx="18">
                  <c:v>42247</c:v>
                </c:pt>
                <c:pt idx="19">
                  <c:v>42255</c:v>
                </c:pt>
                <c:pt idx="20">
                  <c:v>42261</c:v>
                </c:pt>
                <c:pt idx="21">
                  <c:v>42268</c:v>
                </c:pt>
                <c:pt idx="22">
                  <c:v>42275</c:v>
                </c:pt>
                <c:pt idx="23">
                  <c:v>42282</c:v>
                </c:pt>
                <c:pt idx="24">
                  <c:v>42289</c:v>
                </c:pt>
                <c:pt idx="25">
                  <c:v>42296</c:v>
                </c:pt>
                <c:pt idx="26">
                  <c:v>42303</c:v>
                </c:pt>
                <c:pt idx="27">
                  <c:v>42310</c:v>
                </c:pt>
                <c:pt idx="28">
                  <c:v>42317</c:v>
                </c:pt>
                <c:pt idx="29">
                  <c:v>42324</c:v>
                </c:pt>
                <c:pt idx="30">
                  <c:v>42331</c:v>
                </c:pt>
                <c:pt idx="31">
                  <c:v>42338</c:v>
                </c:pt>
                <c:pt idx="32">
                  <c:v>42345</c:v>
                </c:pt>
                <c:pt idx="33">
                  <c:v>42352</c:v>
                </c:pt>
                <c:pt idx="34">
                  <c:v>42359</c:v>
                </c:pt>
                <c:pt idx="35">
                  <c:v>42366</c:v>
                </c:pt>
                <c:pt idx="36">
                  <c:v>42373</c:v>
                </c:pt>
                <c:pt idx="37">
                  <c:v>42380</c:v>
                </c:pt>
                <c:pt idx="38">
                  <c:v>42388</c:v>
                </c:pt>
                <c:pt idx="39">
                  <c:v>42394</c:v>
                </c:pt>
                <c:pt idx="40">
                  <c:v>42401</c:v>
                </c:pt>
                <c:pt idx="41">
                  <c:v>42408</c:v>
                </c:pt>
                <c:pt idx="42">
                  <c:v>42416</c:v>
                </c:pt>
                <c:pt idx="43">
                  <c:v>42422</c:v>
                </c:pt>
                <c:pt idx="44">
                  <c:v>42429</c:v>
                </c:pt>
                <c:pt idx="45">
                  <c:v>42436</c:v>
                </c:pt>
                <c:pt idx="46">
                  <c:v>42443</c:v>
                </c:pt>
                <c:pt idx="47">
                  <c:v>42450</c:v>
                </c:pt>
                <c:pt idx="48">
                  <c:v>42457</c:v>
                </c:pt>
                <c:pt idx="49">
                  <c:v>42464</c:v>
                </c:pt>
                <c:pt idx="50">
                  <c:v>42471</c:v>
                </c:pt>
                <c:pt idx="51">
                  <c:v>42478</c:v>
                </c:pt>
                <c:pt idx="52">
                  <c:v>42485</c:v>
                </c:pt>
                <c:pt idx="53">
                  <c:v>42492</c:v>
                </c:pt>
                <c:pt idx="54">
                  <c:v>42499</c:v>
                </c:pt>
                <c:pt idx="55">
                  <c:v>42506</c:v>
                </c:pt>
                <c:pt idx="56">
                  <c:v>42513</c:v>
                </c:pt>
                <c:pt idx="57">
                  <c:v>42521</c:v>
                </c:pt>
                <c:pt idx="58">
                  <c:v>42527</c:v>
                </c:pt>
                <c:pt idx="59">
                  <c:v>42534</c:v>
                </c:pt>
                <c:pt idx="60">
                  <c:v>42541</c:v>
                </c:pt>
                <c:pt idx="61">
                  <c:v>42548</c:v>
                </c:pt>
                <c:pt idx="62">
                  <c:v>42556</c:v>
                </c:pt>
                <c:pt idx="63">
                  <c:v>42562</c:v>
                </c:pt>
                <c:pt idx="64">
                  <c:v>42569</c:v>
                </c:pt>
                <c:pt idx="65">
                  <c:v>42576</c:v>
                </c:pt>
                <c:pt idx="66">
                  <c:v>42583</c:v>
                </c:pt>
                <c:pt idx="67">
                  <c:v>42590</c:v>
                </c:pt>
                <c:pt idx="68">
                  <c:v>42597</c:v>
                </c:pt>
                <c:pt idx="69">
                  <c:v>42604</c:v>
                </c:pt>
                <c:pt idx="70">
                  <c:v>42611</c:v>
                </c:pt>
                <c:pt idx="71">
                  <c:v>42619</c:v>
                </c:pt>
                <c:pt idx="72">
                  <c:v>42625</c:v>
                </c:pt>
                <c:pt idx="73">
                  <c:v>42632</c:v>
                </c:pt>
                <c:pt idx="74">
                  <c:v>42639</c:v>
                </c:pt>
                <c:pt idx="75">
                  <c:v>42646</c:v>
                </c:pt>
                <c:pt idx="76">
                  <c:v>42653</c:v>
                </c:pt>
                <c:pt idx="77">
                  <c:v>42660</c:v>
                </c:pt>
                <c:pt idx="78">
                  <c:v>42667</c:v>
                </c:pt>
                <c:pt idx="79">
                  <c:v>42674</c:v>
                </c:pt>
                <c:pt idx="80">
                  <c:v>42681</c:v>
                </c:pt>
                <c:pt idx="81">
                  <c:v>42688</c:v>
                </c:pt>
                <c:pt idx="82">
                  <c:v>42695</c:v>
                </c:pt>
                <c:pt idx="83">
                  <c:v>42702</c:v>
                </c:pt>
                <c:pt idx="84">
                  <c:v>42709</c:v>
                </c:pt>
                <c:pt idx="85">
                  <c:v>42716</c:v>
                </c:pt>
                <c:pt idx="86">
                  <c:v>42723</c:v>
                </c:pt>
                <c:pt idx="87">
                  <c:v>42731</c:v>
                </c:pt>
                <c:pt idx="88">
                  <c:v>42738</c:v>
                </c:pt>
                <c:pt idx="89">
                  <c:v>42744</c:v>
                </c:pt>
                <c:pt idx="90">
                  <c:v>42752</c:v>
                </c:pt>
                <c:pt idx="91">
                  <c:v>42758</c:v>
                </c:pt>
                <c:pt idx="92">
                  <c:v>42765</c:v>
                </c:pt>
                <c:pt idx="93">
                  <c:v>42772</c:v>
                </c:pt>
                <c:pt idx="94">
                  <c:v>42779</c:v>
                </c:pt>
                <c:pt idx="95">
                  <c:v>42787</c:v>
                </c:pt>
                <c:pt idx="96">
                  <c:v>42793</c:v>
                </c:pt>
                <c:pt idx="97">
                  <c:v>42800</c:v>
                </c:pt>
                <c:pt idx="98">
                  <c:v>42807</c:v>
                </c:pt>
                <c:pt idx="99">
                  <c:v>42814</c:v>
                </c:pt>
                <c:pt idx="100">
                  <c:v>42821</c:v>
                </c:pt>
                <c:pt idx="101">
                  <c:v>42828</c:v>
                </c:pt>
                <c:pt idx="102">
                  <c:v>42835</c:v>
                </c:pt>
                <c:pt idx="103">
                  <c:v>42842</c:v>
                </c:pt>
                <c:pt idx="104">
                  <c:v>42849</c:v>
                </c:pt>
                <c:pt idx="105">
                  <c:v>42856</c:v>
                </c:pt>
                <c:pt idx="106">
                  <c:v>42863</c:v>
                </c:pt>
                <c:pt idx="107">
                  <c:v>42870</c:v>
                </c:pt>
                <c:pt idx="108">
                  <c:v>42877</c:v>
                </c:pt>
                <c:pt idx="109">
                  <c:v>42885</c:v>
                </c:pt>
                <c:pt idx="110">
                  <c:v>42891</c:v>
                </c:pt>
                <c:pt idx="111">
                  <c:v>42898</c:v>
                </c:pt>
                <c:pt idx="112">
                  <c:v>42905</c:v>
                </c:pt>
                <c:pt idx="113">
                  <c:v>42912</c:v>
                </c:pt>
                <c:pt idx="114">
                  <c:v>42919</c:v>
                </c:pt>
                <c:pt idx="115">
                  <c:v>42926</c:v>
                </c:pt>
                <c:pt idx="116">
                  <c:v>42933</c:v>
                </c:pt>
                <c:pt idx="117">
                  <c:v>42940</c:v>
                </c:pt>
                <c:pt idx="118">
                  <c:v>42947</c:v>
                </c:pt>
                <c:pt idx="119">
                  <c:v>42954</c:v>
                </c:pt>
                <c:pt idx="120">
                  <c:v>42961</c:v>
                </c:pt>
                <c:pt idx="121">
                  <c:v>42968</c:v>
                </c:pt>
                <c:pt idx="122">
                  <c:v>42975</c:v>
                </c:pt>
                <c:pt idx="123">
                  <c:v>42983</c:v>
                </c:pt>
                <c:pt idx="124">
                  <c:v>42989</c:v>
                </c:pt>
                <c:pt idx="125">
                  <c:v>42996</c:v>
                </c:pt>
                <c:pt idx="126">
                  <c:v>43003</c:v>
                </c:pt>
                <c:pt idx="127">
                  <c:v>43010</c:v>
                </c:pt>
                <c:pt idx="128">
                  <c:v>43017</c:v>
                </c:pt>
                <c:pt idx="129">
                  <c:v>43024</c:v>
                </c:pt>
                <c:pt idx="130">
                  <c:v>43031</c:v>
                </c:pt>
                <c:pt idx="131">
                  <c:v>43038</c:v>
                </c:pt>
                <c:pt idx="132">
                  <c:v>43045</c:v>
                </c:pt>
                <c:pt idx="133">
                  <c:v>43052</c:v>
                </c:pt>
                <c:pt idx="134">
                  <c:v>43059</c:v>
                </c:pt>
                <c:pt idx="135">
                  <c:v>43066</c:v>
                </c:pt>
                <c:pt idx="136">
                  <c:v>43073</c:v>
                </c:pt>
                <c:pt idx="137">
                  <c:v>43080</c:v>
                </c:pt>
                <c:pt idx="138">
                  <c:v>43087</c:v>
                </c:pt>
                <c:pt idx="139">
                  <c:v>43095</c:v>
                </c:pt>
                <c:pt idx="140">
                  <c:v>43102</c:v>
                </c:pt>
                <c:pt idx="141">
                  <c:v>43108</c:v>
                </c:pt>
                <c:pt idx="142">
                  <c:v>43116</c:v>
                </c:pt>
                <c:pt idx="143">
                  <c:v>43122</c:v>
                </c:pt>
                <c:pt idx="144">
                  <c:v>43129</c:v>
                </c:pt>
                <c:pt idx="145">
                  <c:v>43136</c:v>
                </c:pt>
                <c:pt idx="146">
                  <c:v>43143</c:v>
                </c:pt>
                <c:pt idx="147">
                  <c:v>43151</c:v>
                </c:pt>
                <c:pt idx="148">
                  <c:v>43157</c:v>
                </c:pt>
                <c:pt idx="149">
                  <c:v>43164</c:v>
                </c:pt>
                <c:pt idx="150">
                  <c:v>43171</c:v>
                </c:pt>
                <c:pt idx="151">
                  <c:v>43178</c:v>
                </c:pt>
                <c:pt idx="152">
                  <c:v>43185</c:v>
                </c:pt>
                <c:pt idx="153">
                  <c:v>43192</c:v>
                </c:pt>
                <c:pt idx="154">
                  <c:v>43199</c:v>
                </c:pt>
                <c:pt idx="155">
                  <c:v>43206</c:v>
                </c:pt>
                <c:pt idx="156">
                  <c:v>43213</c:v>
                </c:pt>
                <c:pt idx="157">
                  <c:v>43220</c:v>
                </c:pt>
                <c:pt idx="158">
                  <c:v>43227</c:v>
                </c:pt>
                <c:pt idx="159">
                  <c:v>43234</c:v>
                </c:pt>
                <c:pt idx="160">
                  <c:v>43241</c:v>
                </c:pt>
                <c:pt idx="161">
                  <c:v>43249</c:v>
                </c:pt>
                <c:pt idx="162">
                  <c:v>43255</c:v>
                </c:pt>
                <c:pt idx="163">
                  <c:v>43262</c:v>
                </c:pt>
                <c:pt idx="164">
                  <c:v>43269</c:v>
                </c:pt>
                <c:pt idx="165">
                  <c:v>43276</c:v>
                </c:pt>
                <c:pt idx="166">
                  <c:v>43283</c:v>
                </c:pt>
                <c:pt idx="167">
                  <c:v>43290</c:v>
                </c:pt>
                <c:pt idx="168">
                  <c:v>43297</c:v>
                </c:pt>
                <c:pt idx="169">
                  <c:v>43304</c:v>
                </c:pt>
                <c:pt idx="170">
                  <c:v>43311</c:v>
                </c:pt>
                <c:pt idx="171">
                  <c:v>43318</c:v>
                </c:pt>
                <c:pt idx="172">
                  <c:v>43325</c:v>
                </c:pt>
                <c:pt idx="173">
                  <c:v>43332</c:v>
                </c:pt>
                <c:pt idx="174">
                  <c:v>43339</c:v>
                </c:pt>
                <c:pt idx="175">
                  <c:v>43347</c:v>
                </c:pt>
                <c:pt idx="176">
                  <c:v>43353</c:v>
                </c:pt>
                <c:pt idx="177">
                  <c:v>43360</c:v>
                </c:pt>
                <c:pt idx="178">
                  <c:v>43367</c:v>
                </c:pt>
                <c:pt idx="179">
                  <c:v>43374</c:v>
                </c:pt>
                <c:pt idx="180">
                  <c:v>43381</c:v>
                </c:pt>
                <c:pt idx="181">
                  <c:v>43388</c:v>
                </c:pt>
                <c:pt idx="182">
                  <c:v>43395</c:v>
                </c:pt>
                <c:pt idx="183">
                  <c:v>43402</c:v>
                </c:pt>
                <c:pt idx="184">
                  <c:v>43409</c:v>
                </c:pt>
                <c:pt idx="185">
                  <c:v>43416</c:v>
                </c:pt>
                <c:pt idx="186">
                  <c:v>43423</c:v>
                </c:pt>
                <c:pt idx="187">
                  <c:v>43430</c:v>
                </c:pt>
                <c:pt idx="188">
                  <c:v>43437</c:v>
                </c:pt>
                <c:pt idx="189">
                  <c:v>43444</c:v>
                </c:pt>
                <c:pt idx="190">
                  <c:v>43451</c:v>
                </c:pt>
                <c:pt idx="191">
                  <c:v>43458</c:v>
                </c:pt>
                <c:pt idx="192">
                  <c:v>43465</c:v>
                </c:pt>
                <c:pt idx="193">
                  <c:v>43472</c:v>
                </c:pt>
                <c:pt idx="194">
                  <c:v>43479</c:v>
                </c:pt>
                <c:pt idx="195">
                  <c:v>43487</c:v>
                </c:pt>
                <c:pt idx="196">
                  <c:v>43493</c:v>
                </c:pt>
                <c:pt idx="197">
                  <c:v>43500</c:v>
                </c:pt>
                <c:pt idx="198">
                  <c:v>43507</c:v>
                </c:pt>
                <c:pt idx="199">
                  <c:v>43515</c:v>
                </c:pt>
                <c:pt idx="200">
                  <c:v>43521</c:v>
                </c:pt>
                <c:pt idx="201">
                  <c:v>43528</c:v>
                </c:pt>
                <c:pt idx="202">
                  <c:v>43535</c:v>
                </c:pt>
                <c:pt idx="203">
                  <c:v>43542</c:v>
                </c:pt>
                <c:pt idx="204">
                  <c:v>43549</c:v>
                </c:pt>
                <c:pt idx="205">
                  <c:v>43556</c:v>
                </c:pt>
                <c:pt idx="206">
                  <c:v>43563</c:v>
                </c:pt>
                <c:pt idx="207">
                  <c:v>43570</c:v>
                </c:pt>
                <c:pt idx="208">
                  <c:v>43577</c:v>
                </c:pt>
                <c:pt idx="209">
                  <c:v>43584</c:v>
                </c:pt>
                <c:pt idx="210">
                  <c:v>43591</c:v>
                </c:pt>
                <c:pt idx="211">
                  <c:v>43598</c:v>
                </c:pt>
                <c:pt idx="212">
                  <c:v>43605</c:v>
                </c:pt>
                <c:pt idx="213">
                  <c:v>43613</c:v>
                </c:pt>
                <c:pt idx="214">
                  <c:v>43619</c:v>
                </c:pt>
                <c:pt idx="215">
                  <c:v>43626</c:v>
                </c:pt>
                <c:pt idx="216">
                  <c:v>43633</c:v>
                </c:pt>
                <c:pt idx="217">
                  <c:v>43640</c:v>
                </c:pt>
                <c:pt idx="218">
                  <c:v>43647</c:v>
                </c:pt>
                <c:pt idx="219">
                  <c:v>43654</c:v>
                </c:pt>
                <c:pt idx="220">
                  <c:v>43661</c:v>
                </c:pt>
                <c:pt idx="221">
                  <c:v>43668</c:v>
                </c:pt>
                <c:pt idx="222">
                  <c:v>43675</c:v>
                </c:pt>
                <c:pt idx="223">
                  <c:v>43682</c:v>
                </c:pt>
                <c:pt idx="224">
                  <c:v>43689</c:v>
                </c:pt>
                <c:pt idx="225">
                  <c:v>43696</c:v>
                </c:pt>
                <c:pt idx="226">
                  <c:v>43703</c:v>
                </c:pt>
                <c:pt idx="227">
                  <c:v>43711</c:v>
                </c:pt>
                <c:pt idx="228">
                  <c:v>43717</c:v>
                </c:pt>
                <c:pt idx="229">
                  <c:v>43724</c:v>
                </c:pt>
                <c:pt idx="230">
                  <c:v>43731</c:v>
                </c:pt>
                <c:pt idx="231">
                  <c:v>43738</c:v>
                </c:pt>
                <c:pt idx="232">
                  <c:v>43745</c:v>
                </c:pt>
                <c:pt idx="233">
                  <c:v>43752</c:v>
                </c:pt>
                <c:pt idx="234">
                  <c:v>43759</c:v>
                </c:pt>
                <c:pt idx="235">
                  <c:v>43766</c:v>
                </c:pt>
                <c:pt idx="236">
                  <c:v>43773</c:v>
                </c:pt>
                <c:pt idx="237">
                  <c:v>43780</c:v>
                </c:pt>
                <c:pt idx="238">
                  <c:v>43787</c:v>
                </c:pt>
                <c:pt idx="239">
                  <c:v>43794</c:v>
                </c:pt>
                <c:pt idx="240">
                  <c:v>43801</c:v>
                </c:pt>
                <c:pt idx="241">
                  <c:v>43808</c:v>
                </c:pt>
                <c:pt idx="242">
                  <c:v>43815</c:v>
                </c:pt>
                <c:pt idx="243">
                  <c:v>43822</c:v>
                </c:pt>
                <c:pt idx="244">
                  <c:v>43829</c:v>
                </c:pt>
                <c:pt idx="245">
                  <c:v>43836</c:v>
                </c:pt>
                <c:pt idx="246">
                  <c:v>43843</c:v>
                </c:pt>
                <c:pt idx="247">
                  <c:v>43851</c:v>
                </c:pt>
                <c:pt idx="248">
                  <c:v>43857</c:v>
                </c:pt>
                <c:pt idx="249">
                  <c:v>43864</c:v>
                </c:pt>
                <c:pt idx="250">
                  <c:v>43871</c:v>
                </c:pt>
                <c:pt idx="251">
                  <c:v>43879</c:v>
                </c:pt>
                <c:pt idx="252">
                  <c:v>43885</c:v>
                </c:pt>
                <c:pt idx="253">
                  <c:v>43892</c:v>
                </c:pt>
                <c:pt idx="254">
                  <c:v>43899</c:v>
                </c:pt>
                <c:pt idx="255">
                  <c:v>43906</c:v>
                </c:pt>
                <c:pt idx="256">
                  <c:v>43913</c:v>
                </c:pt>
                <c:pt idx="257">
                  <c:v>43920</c:v>
                </c:pt>
                <c:pt idx="258">
                  <c:v>43927</c:v>
                </c:pt>
                <c:pt idx="259">
                  <c:v>43934</c:v>
                </c:pt>
                <c:pt idx="260">
                  <c:v>43941</c:v>
                </c:pt>
                <c:pt idx="261">
                  <c:v>43948</c:v>
                </c:pt>
                <c:pt idx="262">
                  <c:v>43955</c:v>
                </c:pt>
                <c:pt idx="263">
                  <c:v>43962</c:v>
                </c:pt>
                <c:pt idx="264">
                  <c:v>43969</c:v>
                </c:pt>
                <c:pt idx="265">
                  <c:v>43977</c:v>
                </c:pt>
                <c:pt idx="266">
                  <c:v>43983</c:v>
                </c:pt>
                <c:pt idx="267">
                  <c:v>43990</c:v>
                </c:pt>
                <c:pt idx="268">
                  <c:v>43997</c:v>
                </c:pt>
                <c:pt idx="269">
                  <c:v>44004</c:v>
                </c:pt>
                <c:pt idx="270">
                  <c:v>44011</c:v>
                </c:pt>
                <c:pt idx="271">
                  <c:v>44018</c:v>
                </c:pt>
                <c:pt idx="272">
                  <c:v>44025</c:v>
                </c:pt>
                <c:pt idx="273">
                  <c:v>44032</c:v>
                </c:pt>
                <c:pt idx="274">
                  <c:v>44039</c:v>
                </c:pt>
                <c:pt idx="275">
                  <c:v>44046</c:v>
                </c:pt>
                <c:pt idx="276">
                  <c:v>44053</c:v>
                </c:pt>
                <c:pt idx="277">
                  <c:v>44060</c:v>
                </c:pt>
                <c:pt idx="278">
                  <c:v>44067</c:v>
                </c:pt>
                <c:pt idx="279">
                  <c:v>44074</c:v>
                </c:pt>
                <c:pt idx="280">
                  <c:v>44082</c:v>
                </c:pt>
                <c:pt idx="281">
                  <c:v>44088</c:v>
                </c:pt>
                <c:pt idx="282">
                  <c:v>44095</c:v>
                </c:pt>
                <c:pt idx="283">
                  <c:v>44102</c:v>
                </c:pt>
                <c:pt idx="284">
                  <c:v>44109</c:v>
                </c:pt>
                <c:pt idx="285">
                  <c:v>44116</c:v>
                </c:pt>
                <c:pt idx="286">
                  <c:v>44123</c:v>
                </c:pt>
                <c:pt idx="287">
                  <c:v>44130</c:v>
                </c:pt>
                <c:pt idx="288">
                  <c:v>44137</c:v>
                </c:pt>
                <c:pt idx="289">
                  <c:v>44144</c:v>
                </c:pt>
                <c:pt idx="290">
                  <c:v>44151</c:v>
                </c:pt>
                <c:pt idx="291">
                  <c:v>44158</c:v>
                </c:pt>
                <c:pt idx="292">
                  <c:v>44165</c:v>
                </c:pt>
                <c:pt idx="293">
                  <c:v>44172</c:v>
                </c:pt>
                <c:pt idx="294">
                  <c:v>44179</c:v>
                </c:pt>
                <c:pt idx="295">
                  <c:v>44186</c:v>
                </c:pt>
                <c:pt idx="296">
                  <c:v>44193</c:v>
                </c:pt>
                <c:pt idx="297">
                  <c:v>44200</c:v>
                </c:pt>
                <c:pt idx="298">
                  <c:v>44207</c:v>
                </c:pt>
                <c:pt idx="299">
                  <c:v>44215</c:v>
                </c:pt>
                <c:pt idx="300">
                  <c:v>44221</c:v>
                </c:pt>
                <c:pt idx="301">
                  <c:v>44228</c:v>
                </c:pt>
                <c:pt idx="302">
                  <c:v>44235</c:v>
                </c:pt>
                <c:pt idx="303">
                  <c:v>44243</c:v>
                </c:pt>
                <c:pt idx="304">
                  <c:v>44249</c:v>
                </c:pt>
                <c:pt idx="305">
                  <c:v>44256</c:v>
                </c:pt>
                <c:pt idx="306">
                  <c:v>44263</c:v>
                </c:pt>
                <c:pt idx="307">
                  <c:v>44270</c:v>
                </c:pt>
                <c:pt idx="308">
                  <c:v>44277</c:v>
                </c:pt>
                <c:pt idx="309">
                  <c:v>44284</c:v>
                </c:pt>
                <c:pt idx="310">
                  <c:v>44291</c:v>
                </c:pt>
                <c:pt idx="311">
                  <c:v>44298</c:v>
                </c:pt>
                <c:pt idx="312">
                  <c:v>44305</c:v>
                </c:pt>
                <c:pt idx="313">
                  <c:v>44312</c:v>
                </c:pt>
                <c:pt idx="314">
                  <c:v>44319</c:v>
                </c:pt>
                <c:pt idx="315">
                  <c:v>44326</c:v>
                </c:pt>
                <c:pt idx="316">
                  <c:v>44333</c:v>
                </c:pt>
                <c:pt idx="317">
                  <c:v>44340</c:v>
                </c:pt>
                <c:pt idx="318">
                  <c:v>44348</c:v>
                </c:pt>
                <c:pt idx="319">
                  <c:v>44354</c:v>
                </c:pt>
                <c:pt idx="320">
                  <c:v>44361</c:v>
                </c:pt>
                <c:pt idx="321">
                  <c:v>44368</c:v>
                </c:pt>
                <c:pt idx="322">
                  <c:v>44375</c:v>
                </c:pt>
                <c:pt idx="323">
                  <c:v>44383</c:v>
                </c:pt>
                <c:pt idx="324">
                  <c:v>44389</c:v>
                </c:pt>
                <c:pt idx="325">
                  <c:v>44396</c:v>
                </c:pt>
                <c:pt idx="326">
                  <c:v>44403</c:v>
                </c:pt>
                <c:pt idx="327">
                  <c:v>44410</c:v>
                </c:pt>
                <c:pt idx="328">
                  <c:v>44417</c:v>
                </c:pt>
                <c:pt idx="329">
                  <c:v>44424</c:v>
                </c:pt>
                <c:pt idx="330">
                  <c:v>44431</c:v>
                </c:pt>
                <c:pt idx="331">
                  <c:v>44438</c:v>
                </c:pt>
                <c:pt idx="332">
                  <c:v>44446</c:v>
                </c:pt>
                <c:pt idx="333">
                  <c:v>44452</c:v>
                </c:pt>
                <c:pt idx="334">
                  <c:v>44459</c:v>
                </c:pt>
                <c:pt idx="335">
                  <c:v>44466</c:v>
                </c:pt>
                <c:pt idx="336">
                  <c:v>44473</c:v>
                </c:pt>
                <c:pt idx="337">
                  <c:v>44480</c:v>
                </c:pt>
                <c:pt idx="338">
                  <c:v>44487</c:v>
                </c:pt>
                <c:pt idx="339">
                  <c:v>44494</c:v>
                </c:pt>
                <c:pt idx="340">
                  <c:v>44501</c:v>
                </c:pt>
                <c:pt idx="341">
                  <c:v>44508</c:v>
                </c:pt>
                <c:pt idx="342">
                  <c:v>44515</c:v>
                </c:pt>
                <c:pt idx="343">
                  <c:v>44522</c:v>
                </c:pt>
                <c:pt idx="344">
                  <c:v>44529</c:v>
                </c:pt>
                <c:pt idx="345">
                  <c:v>44536</c:v>
                </c:pt>
                <c:pt idx="346">
                  <c:v>44543</c:v>
                </c:pt>
                <c:pt idx="347">
                  <c:v>44550</c:v>
                </c:pt>
                <c:pt idx="348">
                  <c:v>44557</c:v>
                </c:pt>
                <c:pt idx="349">
                  <c:v>44564</c:v>
                </c:pt>
                <c:pt idx="350">
                  <c:v>44571</c:v>
                </c:pt>
                <c:pt idx="351">
                  <c:v>44579</c:v>
                </c:pt>
                <c:pt idx="352">
                  <c:v>44585</c:v>
                </c:pt>
                <c:pt idx="353">
                  <c:v>44592</c:v>
                </c:pt>
                <c:pt idx="354">
                  <c:v>44599</c:v>
                </c:pt>
                <c:pt idx="355">
                  <c:v>44606</c:v>
                </c:pt>
                <c:pt idx="356">
                  <c:v>44614</c:v>
                </c:pt>
                <c:pt idx="357">
                  <c:v>44620</c:v>
                </c:pt>
                <c:pt idx="358">
                  <c:v>44627</c:v>
                </c:pt>
                <c:pt idx="359">
                  <c:v>44634</c:v>
                </c:pt>
                <c:pt idx="360">
                  <c:v>44641</c:v>
                </c:pt>
                <c:pt idx="361">
                  <c:v>44648</c:v>
                </c:pt>
                <c:pt idx="362">
                  <c:v>44655</c:v>
                </c:pt>
                <c:pt idx="363">
                  <c:v>44662</c:v>
                </c:pt>
                <c:pt idx="364">
                  <c:v>44669</c:v>
                </c:pt>
                <c:pt idx="365">
                  <c:v>44676</c:v>
                </c:pt>
                <c:pt idx="366">
                  <c:v>44683</c:v>
                </c:pt>
                <c:pt idx="367">
                  <c:v>44690</c:v>
                </c:pt>
                <c:pt idx="368">
                  <c:v>44697</c:v>
                </c:pt>
                <c:pt idx="369">
                  <c:v>44704</c:v>
                </c:pt>
                <c:pt idx="370">
                  <c:v>44712</c:v>
                </c:pt>
                <c:pt idx="371">
                  <c:v>44718</c:v>
                </c:pt>
                <c:pt idx="372">
                  <c:v>44725</c:v>
                </c:pt>
                <c:pt idx="373">
                  <c:v>44733</c:v>
                </c:pt>
                <c:pt idx="374">
                  <c:v>44739</c:v>
                </c:pt>
                <c:pt idx="375">
                  <c:v>44747</c:v>
                </c:pt>
                <c:pt idx="376">
                  <c:v>44753</c:v>
                </c:pt>
                <c:pt idx="377">
                  <c:v>44760</c:v>
                </c:pt>
                <c:pt idx="378">
                  <c:v>44767</c:v>
                </c:pt>
                <c:pt idx="379">
                  <c:v>44774</c:v>
                </c:pt>
                <c:pt idx="380">
                  <c:v>44781</c:v>
                </c:pt>
                <c:pt idx="381">
                  <c:v>44788</c:v>
                </c:pt>
                <c:pt idx="382">
                  <c:v>44795</c:v>
                </c:pt>
                <c:pt idx="383">
                  <c:v>44802</c:v>
                </c:pt>
                <c:pt idx="384">
                  <c:v>44810</c:v>
                </c:pt>
                <c:pt idx="385">
                  <c:v>44816</c:v>
                </c:pt>
                <c:pt idx="386">
                  <c:v>44823</c:v>
                </c:pt>
                <c:pt idx="387">
                  <c:v>44830</c:v>
                </c:pt>
                <c:pt idx="388">
                  <c:v>44837</c:v>
                </c:pt>
                <c:pt idx="389">
                  <c:v>44844</c:v>
                </c:pt>
                <c:pt idx="390">
                  <c:v>44851</c:v>
                </c:pt>
                <c:pt idx="391">
                  <c:v>44858</c:v>
                </c:pt>
                <c:pt idx="392">
                  <c:v>44865</c:v>
                </c:pt>
                <c:pt idx="393">
                  <c:v>44872</c:v>
                </c:pt>
                <c:pt idx="394">
                  <c:v>44879</c:v>
                </c:pt>
                <c:pt idx="395">
                  <c:v>44886</c:v>
                </c:pt>
                <c:pt idx="396">
                  <c:v>44893</c:v>
                </c:pt>
                <c:pt idx="397">
                  <c:v>44900</c:v>
                </c:pt>
                <c:pt idx="398">
                  <c:v>44907</c:v>
                </c:pt>
                <c:pt idx="399">
                  <c:v>44914</c:v>
                </c:pt>
                <c:pt idx="400">
                  <c:v>44922</c:v>
                </c:pt>
                <c:pt idx="401">
                  <c:v>44929</c:v>
                </c:pt>
                <c:pt idx="402">
                  <c:v>44935</c:v>
                </c:pt>
                <c:pt idx="403">
                  <c:v>44943</c:v>
                </c:pt>
                <c:pt idx="404">
                  <c:v>44949</c:v>
                </c:pt>
                <c:pt idx="405">
                  <c:v>44956</c:v>
                </c:pt>
                <c:pt idx="406">
                  <c:v>44963</c:v>
                </c:pt>
                <c:pt idx="407">
                  <c:v>44970</c:v>
                </c:pt>
                <c:pt idx="408">
                  <c:v>44978</c:v>
                </c:pt>
                <c:pt idx="409">
                  <c:v>44984</c:v>
                </c:pt>
                <c:pt idx="410">
                  <c:v>44991</c:v>
                </c:pt>
                <c:pt idx="411">
                  <c:v>44998</c:v>
                </c:pt>
                <c:pt idx="412">
                  <c:v>45005</c:v>
                </c:pt>
                <c:pt idx="413">
                  <c:v>45012</c:v>
                </c:pt>
                <c:pt idx="414">
                  <c:v>45019</c:v>
                </c:pt>
                <c:pt idx="415">
                  <c:v>45026</c:v>
                </c:pt>
                <c:pt idx="416">
                  <c:v>45033</c:v>
                </c:pt>
                <c:pt idx="417">
                  <c:v>45040</c:v>
                </c:pt>
                <c:pt idx="418">
                  <c:v>45047</c:v>
                </c:pt>
                <c:pt idx="419">
                  <c:v>45054</c:v>
                </c:pt>
                <c:pt idx="420">
                  <c:v>45061</c:v>
                </c:pt>
                <c:pt idx="421">
                  <c:v>45068</c:v>
                </c:pt>
                <c:pt idx="422">
                  <c:v>45076</c:v>
                </c:pt>
                <c:pt idx="423">
                  <c:v>45082</c:v>
                </c:pt>
                <c:pt idx="424">
                  <c:v>45089</c:v>
                </c:pt>
                <c:pt idx="425">
                  <c:v>45097</c:v>
                </c:pt>
                <c:pt idx="426">
                  <c:v>45103</c:v>
                </c:pt>
                <c:pt idx="427">
                  <c:v>45110</c:v>
                </c:pt>
                <c:pt idx="428">
                  <c:v>45117</c:v>
                </c:pt>
                <c:pt idx="429">
                  <c:v>45124</c:v>
                </c:pt>
                <c:pt idx="430">
                  <c:v>45131</c:v>
                </c:pt>
                <c:pt idx="431">
                  <c:v>45138</c:v>
                </c:pt>
                <c:pt idx="432">
                  <c:v>45145</c:v>
                </c:pt>
                <c:pt idx="433">
                  <c:v>45152</c:v>
                </c:pt>
                <c:pt idx="434">
                  <c:v>45159</c:v>
                </c:pt>
                <c:pt idx="435">
                  <c:v>45166</c:v>
                </c:pt>
                <c:pt idx="436">
                  <c:v>45174</c:v>
                </c:pt>
                <c:pt idx="437">
                  <c:v>45180</c:v>
                </c:pt>
                <c:pt idx="438">
                  <c:v>45187</c:v>
                </c:pt>
                <c:pt idx="439">
                  <c:v>45194</c:v>
                </c:pt>
                <c:pt idx="440">
                  <c:v>45201</c:v>
                </c:pt>
                <c:pt idx="441">
                  <c:v>45208</c:v>
                </c:pt>
                <c:pt idx="442">
                  <c:v>45215</c:v>
                </c:pt>
                <c:pt idx="443">
                  <c:v>45222</c:v>
                </c:pt>
                <c:pt idx="444">
                  <c:v>45229</c:v>
                </c:pt>
                <c:pt idx="445">
                  <c:v>45236</c:v>
                </c:pt>
                <c:pt idx="446">
                  <c:v>45243</c:v>
                </c:pt>
                <c:pt idx="447">
                  <c:v>45250</c:v>
                </c:pt>
                <c:pt idx="448">
                  <c:v>45257</c:v>
                </c:pt>
                <c:pt idx="449">
                  <c:v>45264</c:v>
                </c:pt>
                <c:pt idx="450">
                  <c:v>45271</c:v>
                </c:pt>
                <c:pt idx="451">
                  <c:v>45278</c:v>
                </c:pt>
                <c:pt idx="452">
                  <c:v>45286</c:v>
                </c:pt>
                <c:pt idx="453">
                  <c:v>45293</c:v>
                </c:pt>
                <c:pt idx="454">
                  <c:v>45299</c:v>
                </c:pt>
                <c:pt idx="455">
                  <c:v>45307</c:v>
                </c:pt>
                <c:pt idx="456">
                  <c:v>45313</c:v>
                </c:pt>
                <c:pt idx="457">
                  <c:v>45320</c:v>
                </c:pt>
                <c:pt idx="458">
                  <c:v>45327</c:v>
                </c:pt>
                <c:pt idx="459">
                  <c:v>45334</c:v>
                </c:pt>
                <c:pt idx="460">
                  <c:v>45342</c:v>
                </c:pt>
                <c:pt idx="461">
                  <c:v>45348</c:v>
                </c:pt>
                <c:pt idx="462">
                  <c:v>45355</c:v>
                </c:pt>
                <c:pt idx="463">
                  <c:v>45362</c:v>
                </c:pt>
                <c:pt idx="464">
                  <c:v>45369</c:v>
                </c:pt>
                <c:pt idx="465">
                  <c:v>45376</c:v>
                </c:pt>
                <c:pt idx="466">
                  <c:v>45383</c:v>
                </c:pt>
                <c:pt idx="467">
                  <c:v>45390</c:v>
                </c:pt>
                <c:pt idx="468">
                  <c:v>45397</c:v>
                </c:pt>
                <c:pt idx="469">
                  <c:v>45404</c:v>
                </c:pt>
                <c:pt idx="470">
                  <c:v>45411</c:v>
                </c:pt>
                <c:pt idx="471">
                  <c:v>45418</c:v>
                </c:pt>
                <c:pt idx="472">
                  <c:v>45425</c:v>
                </c:pt>
                <c:pt idx="473">
                  <c:v>45432</c:v>
                </c:pt>
                <c:pt idx="474">
                  <c:v>45440</c:v>
                </c:pt>
                <c:pt idx="475">
                  <c:v>45446</c:v>
                </c:pt>
                <c:pt idx="476">
                  <c:v>45453</c:v>
                </c:pt>
                <c:pt idx="477">
                  <c:v>45460</c:v>
                </c:pt>
                <c:pt idx="478">
                  <c:v>45467</c:v>
                </c:pt>
                <c:pt idx="479">
                  <c:v>45474</c:v>
                </c:pt>
                <c:pt idx="480">
                  <c:v>45481</c:v>
                </c:pt>
                <c:pt idx="481">
                  <c:v>45488</c:v>
                </c:pt>
                <c:pt idx="482">
                  <c:v>45495</c:v>
                </c:pt>
                <c:pt idx="483">
                  <c:v>45502</c:v>
                </c:pt>
                <c:pt idx="484">
                  <c:v>45509</c:v>
                </c:pt>
                <c:pt idx="485">
                  <c:v>45516</c:v>
                </c:pt>
                <c:pt idx="486">
                  <c:v>45523</c:v>
                </c:pt>
                <c:pt idx="487">
                  <c:v>45530</c:v>
                </c:pt>
                <c:pt idx="488">
                  <c:v>45538</c:v>
                </c:pt>
                <c:pt idx="489">
                  <c:v>45544</c:v>
                </c:pt>
                <c:pt idx="490">
                  <c:v>45551</c:v>
                </c:pt>
                <c:pt idx="491">
                  <c:v>45558</c:v>
                </c:pt>
                <c:pt idx="492">
                  <c:v>45565</c:v>
                </c:pt>
                <c:pt idx="493">
                  <c:v>45572</c:v>
                </c:pt>
                <c:pt idx="494">
                  <c:v>45579</c:v>
                </c:pt>
                <c:pt idx="495">
                  <c:v>45586</c:v>
                </c:pt>
                <c:pt idx="496">
                  <c:v>45593</c:v>
                </c:pt>
                <c:pt idx="497">
                  <c:v>45600</c:v>
                </c:pt>
                <c:pt idx="498">
                  <c:v>45607</c:v>
                </c:pt>
                <c:pt idx="499">
                  <c:v>45614</c:v>
                </c:pt>
                <c:pt idx="500">
                  <c:v>45621</c:v>
                </c:pt>
                <c:pt idx="501">
                  <c:v>45628</c:v>
                </c:pt>
                <c:pt idx="502">
                  <c:v>45635</c:v>
                </c:pt>
                <c:pt idx="503">
                  <c:v>45642</c:v>
                </c:pt>
                <c:pt idx="504">
                  <c:v>45649</c:v>
                </c:pt>
                <c:pt idx="505">
                  <c:v>45656</c:v>
                </c:pt>
                <c:pt idx="506">
                  <c:v>45663</c:v>
                </c:pt>
                <c:pt idx="507">
                  <c:v>45670</c:v>
                </c:pt>
                <c:pt idx="508">
                  <c:v>45678</c:v>
                </c:pt>
                <c:pt idx="509">
                  <c:v>45684</c:v>
                </c:pt>
                <c:pt idx="510">
                  <c:v>45691</c:v>
                </c:pt>
                <c:pt idx="511">
                  <c:v>45698</c:v>
                </c:pt>
                <c:pt idx="512">
                  <c:v>45706</c:v>
                </c:pt>
                <c:pt idx="513">
                  <c:v>45712</c:v>
                </c:pt>
                <c:pt idx="514">
                  <c:v>45719</c:v>
                </c:pt>
                <c:pt idx="515">
                  <c:v>45726</c:v>
                </c:pt>
                <c:pt idx="516">
                  <c:v>45733</c:v>
                </c:pt>
                <c:pt idx="517">
                  <c:v>45740</c:v>
                </c:pt>
                <c:pt idx="518">
                  <c:v>45747</c:v>
                </c:pt>
                <c:pt idx="519">
                  <c:v>45754</c:v>
                </c:pt>
                <c:pt idx="520">
                  <c:v>45761</c:v>
                </c:pt>
                <c:pt idx="521">
                  <c:v>45768</c:v>
                </c:pt>
                <c:pt idx="522">
                  <c:v>45775</c:v>
                </c:pt>
              </c:numCache>
            </c:numRef>
          </c:cat>
          <c:val>
            <c:numRef>
              <c:f>Apple!$D$7:$D$529</c:f>
              <c:numCache>
                <c:formatCode>_([$$-409]* #,##0.00_);_([$$-409]* \(#,##0.00\);_([$$-409]* "-"??_);_(@_)</c:formatCode>
                <c:ptCount val="523"/>
                <c:pt idx="0">
                  <c:v>32.237499999999997</c:v>
                </c:pt>
                <c:pt idx="1">
                  <c:v>31.905000000000001</c:v>
                </c:pt>
                <c:pt idx="2">
                  <c:v>32.192500000000003</c:v>
                </c:pt>
                <c:pt idx="3">
                  <c:v>33.134999999999998</c:v>
                </c:pt>
                <c:pt idx="4">
                  <c:v>32.57</c:v>
                </c:pt>
                <c:pt idx="5">
                  <c:v>32.162500000000001</c:v>
                </c:pt>
                <c:pt idx="6">
                  <c:v>31.7925</c:v>
                </c:pt>
                <c:pt idx="7">
                  <c:v>31.65</c:v>
                </c:pt>
                <c:pt idx="8">
                  <c:v>31.6875</c:v>
                </c:pt>
                <c:pt idx="9">
                  <c:v>31.61</c:v>
                </c:pt>
                <c:pt idx="10">
                  <c:v>30.82</c:v>
                </c:pt>
                <c:pt idx="11">
                  <c:v>32.405000000000001</c:v>
                </c:pt>
                <c:pt idx="12">
                  <c:v>31.125</c:v>
                </c:pt>
                <c:pt idx="13">
                  <c:v>30.324999999999999</c:v>
                </c:pt>
                <c:pt idx="14">
                  <c:v>28.88</c:v>
                </c:pt>
                <c:pt idx="15">
                  <c:v>28.99</c:v>
                </c:pt>
                <c:pt idx="16">
                  <c:v>26.44</c:v>
                </c:pt>
                <c:pt idx="17">
                  <c:v>28.322500000000002</c:v>
                </c:pt>
                <c:pt idx="18">
                  <c:v>27.317499999999999</c:v>
                </c:pt>
                <c:pt idx="19">
                  <c:v>28.552499999999998</c:v>
                </c:pt>
                <c:pt idx="20">
                  <c:v>28.362500000000001</c:v>
                </c:pt>
                <c:pt idx="21">
                  <c:v>28.677499999999998</c:v>
                </c:pt>
                <c:pt idx="22">
                  <c:v>27.594999999999999</c:v>
                </c:pt>
                <c:pt idx="23">
                  <c:v>28.03</c:v>
                </c:pt>
                <c:pt idx="24">
                  <c:v>27.76</c:v>
                </c:pt>
                <c:pt idx="25">
                  <c:v>29.77</c:v>
                </c:pt>
                <c:pt idx="26">
                  <c:v>29.875</c:v>
                </c:pt>
                <c:pt idx="27">
                  <c:v>30.265000000000001</c:v>
                </c:pt>
                <c:pt idx="28">
                  <c:v>28.085000000000001</c:v>
                </c:pt>
                <c:pt idx="29">
                  <c:v>29.824999999999999</c:v>
                </c:pt>
                <c:pt idx="30">
                  <c:v>29.452500000000001</c:v>
                </c:pt>
                <c:pt idx="31">
                  <c:v>29.7575</c:v>
                </c:pt>
                <c:pt idx="32">
                  <c:v>28.295000000000002</c:v>
                </c:pt>
                <c:pt idx="33">
                  <c:v>26.5075</c:v>
                </c:pt>
                <c:pt idx="34">
                  <c:v>27.0075</c:v>
                </c:pt>
                <c:pt idx="35">
                  <c:v>26.315000000000001</c:v>
                </c:pt>
                <c:pt idx="36">
                  <c:v>24.24</c:v>
                </c:pt>
                <c:pt idx="37">
                  <c:v>24.282499999999999</c:v>
                </c:pt>
                <c:pt idx="38">
                  <c:v>25.355</c:v>
                </c:pt>
                <c:pt idx="39">
                  <c:v>24.335000000000001</c:v>
                </c:pt>
                <c:pt idx="40">
                  <c:v>23.504999999999999</c:v>
                </c:pt>
                <c:pt idx="41">
                  <c:v>23.497499999999999</c:v>
                </c:pt>
                <c:pt idx="42">
                  <c:v>24.01</c:v>
                </c:pt>
                <c:pt idx="43">
                  <c:v>24.227499999999999</c:v>
                </c:pt>
                <c:pt idx="44">
                  <c:v>25.752500000000001</c:v>
                </c:pt>
                <c:pt idx="45">
                  <c:v>25.565000000000001</c:v>
                </c:pt>
                <c:pt idx="46">
                  <c:v>26.48</c:v>
                </c:pt>
                <c:pt idx="47">
                  <c:v>26.4175</c:v>
                </c:pt>
                <c:pt idx="48">
                  <c:v>27.497499999999999</c:v>
                </c:pt>
                <c:pt idx="49">
                  <c:v>27.164999999999999</c:v>
                </c:pt>
                <c:pt idx="50">
                  <c:v>27.462499999999999</c:v>
                </c:pt>
                <c:pt idx="51">
                  <c:v>26.42</c:v>
                </c:pt>
                <c:pt idx="52">
                  <c:v>23.434999999999999</c:v>
                </c:pt>
                <c:pt idx="53">
                  <c:v>23.18</c:v>
                </c:pt>
                <c:pt idx="54">
                  <c:v>22.63</c:v>
                </c:pt>
                <c:pt idx="55">
                  <c:v>23.805</c:v>
                </c:pt>
                <c:pt idx="56">
                  <c:v>25.087499999999999</c:v>
                </c:pt>
                <c:pt idx="57">
                  <c:v>24.48</c:v>
                </c:pt>
                <c:pt idx="58">
                  <c:v>24.7075</c:v>
                </c:pt>
                <c:pt idx="59">
                  <c:v>23.8325</c:v>
                </c:pt>
                <c:pt idx="60">
                  <c:v>23.35</c:v>
                </c:pt>
                <c:pt idx="61">
                  <c:v>23.9725</c:v>
                </c:pt>
                <c:pt idx="62">
                  <c:v>24.17</c:v>
                </c:pt>
                <c:pt idx="63">
                  <c:v>24.695</c:v>
                </c:pt>
                <c:pt idx="64">
                  <c:v>24.664999999999999</c:v>
                </c:pt>
                <c:pt idx="65">
                  <c:v>26.052499999999998</c:v>
                </c:pt>
                <c:pt idx="66">
                  <c:v>26.87</c:v>
                </c:pt>
                <c:pt idx="67">
                  <c:v>27.045000000000002</c:v>
                </c:pt>
                <c:pt idx="68">
                  <c:v>27.34</c:v>
                </c:pt>
                <c:pt idx="69">
                  <c:v>26.734999999999999</c:v>
                </c:pt>
                <c:pt idx="70">
                  <c:v>26.932500000000001</c:v>
                </c:pt>
                <c:pt idx="71">
                  <c:v>25.782499999999999</c:v>
                </c:pt>
                <c:pt idx="72">
                  <c:v>28.73</c:v>
                </c:pt>
                <c:pt idx="73">
                  <c:v>28.177499999999998</c:v>
                </c:pt>
                <c:pt idx="74">
                  <c:v>28.262499999999999</c:v>
                </c:pt>
                <c:pt idx="75">
                  <c:v>28.515000000000001</c:v>
                </c:pt>
                <c:pt idx="76">
                  <c:v>29.407499999999999</c:v>
                </c:pt>
                <c:pt idx="77">
                  <c:v>29.15</c:v>
                </c:pt>
                <c:pt idx="78">
                  <c:v>28.43</c:v>
                </c:pt>
                <c:pt idx="79">
                  <c:v>27.21</c:v>
                </c:pt>
                <c:pt idx="80">
                  <c:v>27.107500000000002</c:v>
                </c:pt>
                <c:pt idx="81">
                  <c:v>27.515000000000001</c:v>
                </c:pt>
                <c:pt idx="82">
                  <c:v>27.947500000000002</c:v>
                </c:pt>
                <c:pt idx="83">
                  <c:v>27.475000000000001</c:v>
                </c:pt>
                <c:pt idx="84">
                  <c:v>28.487500000000001</c:v>
                </c:pt>
                <c:pt idx="85">
                  <c:v>28.9925</c:v>
                </c:pt>
                <c:pt idx="86">
                  <c:v>29.13</c:v>
                </c:pt>
                <c:pt idx="87">
                  <c:v>28.954999999999998</c:v>
                </c:pt>
                <c:pt idx="88">
                  <c:v>29.477499999999999</c:v>
                </c:pt>
                <c:pt idx="89">
                  <c:v>29.76</c:v>
                </c:pt>
                <c:pt idx="90">
                  <c:v>30</c:v>
                </c:pt>
                <c:pt idx="91">
                  <c:v>30.487500000000001</c:v>
                </c:pt>
                <c:pt idx="92">
                  <c:v>32.270000000000003</c:v>
                </c:pt>
                <c:pt idx="93">
                  <c:v>33.03</c:v>
                </c:pt>
                <c:pt idx="94">
                  <c:v>33.93</c:v>
                </c:pt>
                <c:pt idx="95">
                  <c:v>34.164999999999999</c:v>
                </c:pt>
                <c:pt idx="96">
                  <c:v>34.945</c:v>
                </c:pt>
                <c:pt idx="97">
                  <c:v>34.784999999999997</c:v>
                </c:pt>
                <c:pt idx="98">
                  <c:v>34.997500000000002</c:v>
                </c:pt>
                <c:pt idx="99">
                  <c:v>35.159999999999997</c:v>
                </c:pt>
                <c:pt idx="100">
                  <c:v>35.914999999999999</c:v>
                </c:pt>
                <c:pt idx="101">
                  <c:v>35.835000000000001</c:v>
                </c:pt>
                <c:pt idx="102">
                  <c:v>35.262500000000003</c:v>
                </c:pt>
                <c:pt idx="103">
                  <c:v>35.567500000000003</c:v>
                </c:pt>
                <c:pt idx="104">
                  <c:v>35.912500000000001</c:v>
                </c:pt>
                <c:pt idx="105">
                  <c:v>37.24</c:v>
                </c:pt>
                <c:pt idx="106">
                  <c:v>39.024999999999999</c:v>
                </c:pt>
                <c:pt idx="107">
                  <c:v>38.265000000000001</c:v>
                </c:pt>
                <c:pt idx="108">
                  <c:v>38.402500000000003</c:v>
                </c:pt>
                <c:pt idx="109">
                  <c:v>38.862499999999997</c:v>
                </c:pt>
                <c:pt idx="110">
                  <c:v>37.244999999999997</c:v>
                </c:pt>
                <c:pt idx="111">
                  <c:v>35.567500000000003</c:v>
                </c:pt>
                <c:pt idx="112">
                  <c:v>36.57</c:v>
                </c:pt>
                <c:pt idx="113">
                  <c:v>36.005000000000003</c:v>
                </c:pt>
                <c:pt idx="114">
                  <c:v>36.045000000000002</c:v>
                </c:pt>
                <c:pt idx="115">
                  <c:v>37.26</c:v>
                </c:pt>
                <c:pt idx="116">
                  <c:v>37.567500000000003</c:v>
                </c:pt>
                <c:pt idx="117">
                  <c:v>37.375</c:v>
                </c:pt>
                <c:pt idx="118">
                  <c:v>39.097499999999997</c:v>
                </c:pt>
                <c:pt idx="119">
                  <c:v>39.369999999999997</c:v>
                </c:pt>
                <c:pt idx="120">
                  <c:v>39.375</c:v>
                </c:pt>
                <c:pt idx="121">
                  <c:v>39.965000000000003</c:v>
                </c:pt>
                <c:pt idx="122">
                  <c:v>41.012500000000003</c:v>
                </c:pt>
                <c:pt idx="123">
                  <c:v>39.657499999999999</c:v>
                </c:pt>
                <c:pt idx="124">
                  <c:v>39.97</c:v>
                </c:pt>
                <c:pt idx="125">
                  <c:v>37.972499999999997</c:v>
                </c:pt>
                <c:pt idx="126">
                  <c:v>38.53</c:v>
                </c:pt>
                <c:pt idx="127">
                  <c:v>38.825000000000003</c:v>
                </c:pt>
                <c:pt idx="128">
                  <c:v>39.247500000000002</c:v>
                </c:pt>
                <c:pt idx="129">
                  <c:v>39.0625</c:v>
                </c:pt>
                <c:pt idx="130">
                  <c:v>40.762500000000003</c:v>
                </c:pt>
                <c:pt idx="131">
                  <c:v>43.125</c:v>
                </c:pt>
                <c:pt idx="132">
                  <c:v>43.667499999999997</c:v>
                </c:pt>
                <c:pt idx="133">
                  <c:v>42.537500000000001</c:v>
                </c:pt>
                <c:pt idx="134">
                  <c:v>43.7425</c:v>
                </c:pt>
                <c:pt idx="135">
                  <c:v>42.762500000000003</c:v>
                </c:pt>
                <c:pt idx="136">
                  <c:v>42.342500000000001</c:v>
                </c:pt>
                <c:pt idx="137">
                  <c:v>43.4925</c:v>
                </c:pt>
                <c:pt idx="138">
                  <c:v>43.752499999999998</c:v>
                </c:pt>
                <c:pt idx="139">
                  <c:v>42.307499999999997</c:v>
                </c:pt>
                <c:pt idx="140">
                  <c:v>43.75</c:v>
                </c:pt>
                <c:pt idx="141">
                  <c:v>44.272500000000001</c:v>
                </c:pt>
                <c:pt idx="142">
                  <c:v>44.615000000000002</c:v>
                </c:pt>
                <c:pt idx="143">
                  <c:v>42.877499999999998</c:v>
                </c:pt>
                <c:pt idx="144">
                  <c:v>40.125</c:v>
                </c:pt>
                <c:pt idx="145">
                  <c:v>39.102499999999999</c:v>
                </c:pt>
                <c:pt idx="146">
                  <c:v>43.107500000000002</c:v>
                </c:pt>
                <c:pt idx="147">
                  <c:v>43.875</c:v>
                </c:pt>
                <c:pt idx="148">
                  <c:v>44.052500000000002</c:v>
                </c:pt>
                <c:pt idx="149">
                  <c:v>44.994999999999997</c:v>
                </c:pt>
                <c:pt idx="150">
                  <c:v>44.505000000000003</c:v>
                </c:pt>
                <c:pt idx="151">
                  <c:v>41.234999999999999</c:v>
                </c:pt>
                <c:pt idx="152">
                  <c:v>41.945</c:v>
                </c:pt>
                <c:pt idx="153">
                  <c:v>42.094999999999999</c:v>
                </c:pt>
                <c:pt idx="154">
                  <c:v>43.682499999999997</c:v>
                </c:pt>
                <c:pt idx="155">
                  <c:v>41.43</c:v>
                </c:pt>
                <c:pt idx="156">
                  <c:v>40.58</c:v>
                </c:pt>
                <c:pt idx="157">
                  <c:v>45.957500000000003</c:v>
                </c:pt>
                <c:pt idx="158">
                  <c:v>47.147500000000001</c:v>
                </c:pt>
                <c:pt idx="159">
                  <c:v>46.577500000000001</c:v>
                </c:pt>
                <c:pt idx="160">
                  <c:v>47.145000000000003</c:v>
                </c:pt>
                <c:pt idx="161">
                  <c:v>47.56</c:v>
                </c:pt>
                <c:pt idx="162">
                  <c:v>47.924999999999997</c:v>
                </c:pt>
                <c:pt idx="163">
                  <c:v>47.21</c:v>
                </c:pt>
                <c:pt idx="164">
                  <c:v>46.23</c:v>
                </c:pt>
                <c:pt idx="165">
                  <c:v>46.277500000000003</c:v>
                </c:pt>
                <c:pt idx="166">
                  <c:v>46.9925</c:v>
                </c:pt>
                <c:pt idx="167">
                  <c:v>47.832500000000003</c:v>
                </c:pt>
                <c:pt idx="168">
                  <c:v>47.86</c:v>
                </c:pt>
                <c:pt idx="169">
                  <c:v>47.744999999999997</c:v>
                </c:pt>
                <c:pt idx="170">
                  <c:v>51.997500000000002</c:v>
                </c:pt>
                <c:pt idx="171">
                  <c:v>51.8825</c:v>
                </c:pt>
                <c:pt idx="172">
                  <c:v>54.395000000000003</c:v>
                </c:pt>
                <c:pt idx="173">
                  <c:v>54.04</c:v>
                </c:pt>
                <c:pt idx="174">
                  <c:v>56.907499999999999</c:v>
                </c:pt>
                <c:pt idx="175">
                  <c:v>55.325000000000003</c:v>
                </c:pt>
                <c:pt idx="176">
                  <c:v>55.96</c:v>
                </c:pt>
                <c:pt idx="177">
                  <c:v>54.414999999999999</c:v>
                </c:pt>
                <c:pt idx="178">
                  <c:v>56.435000000000002</c:v>
                </c:pt>
                <c:pt idx="179">
                  <c:v>56.072499999999998</c:v>
                </c:pt>
                <c:pt idx="180">
                  <c:v>55.527500000000003</c:v>
                </c:pt>
                <c:pt idx="181">
                  <c:v>54.827500000000001</c:v>
                </c:pt>
                <c:pt idx="182">
                  <c:v>54.075000000000003</c:v>
                </c:pt>
                <c:pt idx="183">
                  <c:v>51.87</c:v>
                </c:pt>
                <c:pt idx="184">
                  <c:v>51.1175</c:v>
                </c:pt>
                <c:pt idx="185">
                  <c:v>48.3825</c:v>
                </c:pt>
                <c:pt idx="186">
                  <c:v>43.072499999999998</c:v>
                </c:pt>
                <c:pt idx="187">
                  <c:v>44.645000000000003</c:v>
                </c:pt>
                <c:pt idx="188">
                  <c:v>42.122500000000002</c:v>
                </c:pt>
                <c:pt idx="189">
                  <c:v>41.37</c:v>
                </c:pt>
                <c:pt idx="190">
                  <c:v>37.682499999999997</c:v>
                </c:pt>
                <c:pt idx="191">
                  <c:v>39.057499999999997</c:v>
                </c:pt>
                <c:pt idx="192">
                  <c:v>37.064999999999998</c:v>
                </c:pt>
                <c:pt idx="193">
                  <c:v>38.072499999999998</c:v>
                </c:pt>
                <c:pt idx="194">
                  <c:v>39.204999999999998</c:v>
                </c:pt>
                <c:pt idx="195">
                  <c:v>39.44</c:v>
                </c:pt>
                <c:pt idx="196">
                  <c:v>41.63</c:v>
                </c:pt>
                <c:pt idx="197">
                  <c:v>42.602499999999999</c:v>
                </c:pt>
                <c:pt idx="198">
                  <c:v>42.604999999999997</c:v>
                </c:pt>
                <c:pt idx="199">
                  <c:v>43.2425</c:v>
                </c:pt>
                <c:pt idx="200">
                  <c:v>43.7425</c:v>
                </c:pt>
                <c:pt idx="201">
                  <c:v>43.227499999999999</c:v>
                </c:pt>
                <c:pt idx="202">
                  <c:v>46.53</c:v>
                </c:pt>
                <c:pt idx="203">
                  <c:v>47.762500000000003</c:v>
                </c:pt>
                <c:pt idx="204">
                  <c:v>47.487499999999997</c:v>
                </c:pt>
                <c:pt idx="205">
                  <c:v>49.25</c:v>
                </c:pt>
                <c:pt idx="206">
                  <c:v>49.717500000000001</c:v>
                </c:pt>
                <c:pt idx="207">
                  <c:v>50.965000000000003</c:v>
                </c:pt>
                <c:pt idx="208">
                  <c:v>51.075000000000003</c:v>
                </c:pt>
                <c:pt idx="209">
                  <c:v>52.9375</c:v>
                </c:pt>
                <c:pt idx="210">
                  <c:v>49.295000000000002</c:v>
                </c:pt>
                <c:pt idx="211">
                  <c:v>47.25</c:v>
                </c:pt>
                <c:pt idx="212">
                  <c:v>44.7425</c:v>
                </c:pt>
                <c:pt idx="213">
                  <c:v>43.767499999999998</c:v>
                </c:pt>
                <c:pt idx="214">
                  <c:v>47.537500000000001</c:v>
                </c:pt>
                <c:pt idx="215">
                  <c:v>48.185000000000002</c:v>
                </c:pt>
                <c:pt idx="216">
                  <c:v>49.695</c:v>
                </c:pt>
                <c:pt idx="217">
                  <c:v>49.48</c:v>
                </c:pt>
                <c:pt idx="218">
                  <c:v>51.057499999999997</c:v>
                </c:pt>
                <c:pt idx="219">
                  <c:v>50.825000000000003</c:v>
                </c:pt>
                <c:pt idx="220">
                  <c:v>50.647500000000001</c:v>
                </c:pt>
                <c:pt idx="221">
                  <c:v>51.935000000000002</c:v>
                </c:pt>
                <c:pt idx="222">
                  <c:v>51.005000000000003</c:v>
                </c:pt>
                <c:pt idx="223">
                  <c:v>50.247500000000002</c:v>
                </c:pt>
                <c:pt idx="224">
                  <c:v>51.625</c:v>
                </c:pt>
                <c:pt idx="225">
                  <c:v>50.66</c:v>
                </c:pt>
                <c:pt idx="226">
                  <c:v>52.185000000000002</c:v>
                </c:pt>
                <c:pt idx="227">
                  <c:v>53.314999999999998</c:v>
                </c:pt>
                <c:pt idx="228">
                  <c:v>54.6875</c:v>
                </c:pt>
                <c:pt idx="229">
                  <c:v>54.432499999999997</c:v>
                </c:pt>
                <c:pt idx="230">
                  <c:v>54.704999999999998</c:v>
                </c:pt>
                <c:pt idx="231">
                  <c:v>56.752499999999998</c:v>
                </c:pt>
                <c:pt idx="232">
                  <c:v>59.052500000000002</c:v>
                </c:pt>
                <c:pt idx="233">
                  <c:v>59.102499999999999</c:v>
                </c:pt>
                <c:pt idx="234">
                  <c:v>61.645000000000003</c:v>
                </c:pt>
                <c:pt idx="235">
                  <c:v>63.954999999999998</c:v>
                </c:pt>
                <c:pt idx="236">
                  <c:v>65.034999999999997</c:v>
                </c:pt>
                <c:pt idx="237">
                  <c:v>66.44</c:v>
                </c:pt>
                <c:pt idx="238">
                  <c:v>65.444999999999993</c:v>
                </c:pt>
                <c:pt idx="239">
                  <c:v>66.8125</c:v>
                </c:pt>
                <c:pt idx="240">
                  <c:v>67.677499999999995</c:v>
                </c:pt>
                <c:pt idx="241">
                  <c:v>68.787499999999994</c:v>
                </c:pt>
                <c:pt idx="242">
                  <c:v>69.86</c:v>
                </c:pt>
                <c:pt idx="243">
                  <c:v>72.45</c:v>
                </c:pt>
                <c:pt idx="244">
                  <c:v>74.357500000000002</c:v>
                </c:pt>
                <c:pt idx="245">
                  <c:v>77.582499999999996</c:v>
                </c:pt>
                <c:pt idx="246">
                  <c:v>79.682500000000005</c:v>
                </c:pt>
                <c:pt idx="247">
                  <c:v>79.577500000000001</c:v>
                </c:pt>
                <c:pt idx="248">
                  <c:v>77.377499999999998</c:v>
                </c:pt>
                <c:pt idx="249">
                  <c:v>80.007499999999993</c:v>
                </c:pt>
                <c:pt idx="250">
                  <c:v>81.237499999999997</c:v>
                </c:pt>
                <c:pt idx="251">
                  <c:v>78.262500000000003</c:v>
                </c:pt>
                <c:pt idx="252">
                  <c:v>68.34</c:v>
                </c:pt>
                <c:pt idx="253">
                  <c:v>72.257499999999993</c:v>
                </c:pt>
                <c:pt idx="254">
                  <c:v>69.492500000000007</c:v>
                </c:pt>
                <c:pt idx="255">
                  <c:v>57.31</c:v>
                </c:pt>
                <c:pt idx="256">
                  <c:v>61.935000000000002</c:v>
                </c:pt>
                <c:pt idx="257">
                  <c:v>60.352499999999999</c:v>
                </c:pt>
                <c:pt idx="258">
                  <c:v>66.997500000000002</c:v>
                </c:pt>
                <c:pt idx="259">
                  <c:v>70.7</c:v>
                </c:pt>
                <c:pt idx="260">
                  <c:v>70.742500000000007</c:v>
                </c:pt>
                <c:pt idx="261">
                  <c:v>72.267499999999998</c:v>
                </c:pt>
                <c:pt idx="262">
                  <c:v>77.532499999999999</c:v>
                </c:pt>
                <c:pt idx="263">
                  <c:v>76.927499999999995</c:v>
                </c:pt>
                <c:pt idx="264">
                  <c:v>79.722499999999997</c:v>
                </c:pt>
                <c:pt idx="265">
                  <c:v>79.484999999999999</c:v>
                </c:pt>
                <c:pt idx="266">
                  <c:v>82.875</c:v>
                </c:pt>
                <c:pt idx="267">
                  <c:v>84.7</c:v>
                </c:pt>
                <c:pt idx="268">
                  <c:v>87.43</c:v>
                </c:pt>
                <c:pt idx="269">
                  <c:v>88.407499999999999</c:v>
                </c:pt>
                <c:pt idx="270">
                  <c:v>91.027500000000003</c:v>
                </c:pt>
                <c:pt idx="271">
                  <c:v>95.92</c:v>
                </c:pt>
                <c:pt idx="272">
                  <c:v>96.327500000000001</c:v>
                </c:pt>
                <c:pt idx="273">
                  <c:v>92.614999999999995</c:v>
                </c:pt>
                <c:pt idx="274">
                  <c:v>106.26</c:v>
                </c:pt>
                <c:pt idx="275">
                  <c:v>111.1125</c:v>
                </c:pt>
                <c:pt idx="276">
                  <c:v>114.9075</c:v>
                </c:pt>
                <c:pt idx="277">
                  <c:v>124.37</c:v>
                </c:pt>
                <c:pt idx="278">
                  <c:v>124.8075</c:v>
                </c:pt>
                <c:pt idx="279">
                  <c:v>120.96</c:v>
                </c:pt>
                <c:pt idx="280">
                  <c:v>112</c:v>
                </c:pt>
                <c:pt idx="281">
                  <c:v>106.84</c:v>
                </c:pt>
                <c:pt idx="282">
                  <c:v>112.28</c:v>
                </c:pt>
                <c:pt idx="283">
                  <c:v>113.02</c:v>
                </c:pt>
                <c:pt idx="284">
                  <c:v>116.97</c:v>
                </c:pt>
                <c:pt idx="285">
                  <c:v>119.02</c:v>
                </c:pt>
                <c:pt idx="286">
                  <c:v>115.04</c:v>
                </c:pt>
                <c:pt idx="287">
                  <c:v>108.86</c:v>
                </c:pt>
                <c:pt idx="288">
                  <c:v>118.69</c:v>
                </c:pt>
                <c:pt idx="289">
                  <c:v>119.26</c:v>
                </c:pt>
                <c:pt idx="290">
                  <c:v>117.34</c:v>
                </c:pt>
                <c:pt idx="291">
                  <c:v>116.59</c:v>
                </c:pt>
                <c:pt idx="292">
                  <c:v>122.25</c:v>
                </c:pt>
                <c:pt idx="293">
                  <c:v>122.41</c:v>
                </c:pt>
                <c:pt idx="294">
                  <c:v>126.655</c:v>
                </c:pt>
                <c:pt idx="295">
                  <c:v>131.97</c:v>
                </c:pt>
                <c:pt idx="296">
                  <c:v>132.69</c:v>
                </c:pt>
                <c:pt idx="297">
                  <c:v>132.05000000000001</c:v>
                </c:pt>
                <c:pt idx="298">
                  <c:v>127.14</c:v>
                </c:pt>
                <c:pt idx="299">
                  <c:v>139.07</c:v>
                </c:pt>
                <c:pt idx="300">
                  <c:v>131.96</c:v>
                </c:pt>
                <c:pt idx="301">
                  <c:v>136.76</c:v>
                </c:pt>
                <c:pt idx="302">
                  <c:v>135.37</c:v>
                </c:pt>
                <c:pt idx="303">
                  <c:v>129.87</c:v>
                </c:pt>
                <c:pt idx="304">
                  <c:v>121.26</c:v>
                </c:pt>
                <c:pt idx="305">
                  <c:v>121.42</c:v>
                </c:pt>
                <c:pt idx="306">
                  <c:v>121.03</c:v>
                </c:pt>
                <c:pt idx="307">
                  <c:v>119.99</c:v>
                </c:pt>
                <c:pt idx="308">
                  <c:v>121.21</c:v>
                </c:pt>
                <c:pt idx="309">
                  <c:v>123</c:v>
                </c:pt>
                <c:pt idx="310">
                  <c:v>132.995</c:v>
                </c:pt>
                <c:pt idx="311">
                  <c:v>134.16</c:v>
                </c:pt>
                <c:pt idx="312">
                  <c:v>134.32</c:v>
                </c:pt>
                <c:pt idx="313">
                  <c:v>131.46</c:v>
                </c:pt>
                <c:pt idx="314">
                  <c:v>130.21</c:v>
                </c:pt>
                <c:pt idx="315">
                  <c:v>127.45</c:v>
                </c:pt>
                <c:pt idx="316">
                  <c:v>125.43</c:v>
                </c:pt>
                <c:pt idx="317">
                  <c:v>124.61</c:v>
                </c:pt>
                <c:pt idx="318">
                  <c:v>125.89</c:v>
                </c:pt>
                <c:pt idx="319">
                  <c:v>127.35</c:v>
                </c:pt>
                <c:pt idx="320">
                  <c:v>130.46</c:v>
                </c:pt>
                <c:pt idx="321">
                  <c:v>133.11000000000001</c:v>
                </c:pt>
                <c:pt idx="322">
                  <c:v>139.96</c:v>
                </c:pt>
                <c:pt idx="323">
                  <c:v>145.11000000000001</c:v>
                </c:pt>
                <c:pt idx="324">
                  <c:v>146.38999999999999</c:v>
                </c:pt>
                <c:pt idx="325">
                  <c:v>148.56</c:v>
                </c:pt>
                <c:pt idx="326">
                  <c:v>145.86000000000001</c:v>
                </c:pt>
                <c:pt idx="327">
                  <c:v>146.13999999999999</c:v>
                </c:pt>
                <c:pt idx="328">
                  <c:v>149.1</c:v>
                </c:pt>
                <c:pt idx="329">
                  <c:v>148.19</c:v>
                </c:pt>
                <c:pt idx="330">
                  <c:v>148.6</c:v>
                </c:pt>
                <c:pt idx="331">
                  <c:v>154.30000000000001</c:v>
                </c:pt>
                <c:pt idx="332">
                  <c:v>148.97</c:v>
                </c:pt>
                <c:pt idx="333">
                  <c:v>146.06</c:v>
                </c:pt>
                <c:pt idx="334">
                  <c:v>146.91999999999999</c:v>
                </c:pt>
                <c:pt idx="335">
                  <c:v>142.65</c:v>
                </c:pt>
                <c:pt idx="336">
                  <c:v>142.9</c:v>
                </c:pt>
                <c:pt idx="337">
                  <c:v>144.84</c:v>
                </c:pt>
                <c:pt idx="338">
                  <c:v>148.69</c:v>
                </c:pt>
                <c:pt idx="339">
                  <c:v>149.80000000000001</c:v>
                </c:pt>
                <c:pt idx="340">
                  <c:v>151.28</c:v>
                </c:pt>
                <c:pt idx="341">
                  <c:v>149.99</c:v>
                </c:pt>
                <c:pt idx="342">
                  <c:v>160.55000000000001</c:v>
                </c:pt>
                <c:pt idx="343">
                  <c:v>156.81</c:v>
                </c:pt>
                <c:pt idx="344">
                  <c:v>161.84</c:v>
                </c:pt>
                <c:pt idx="345">
                  <c:v>179.45</c:v>
                </c:pt>
                <c:pt idx="346">
                  <c:v>171.14</c:v>
                </c:pt>
                <c:pt idx="347">
                  <c:v>176.28</c:v>
                </c:pt>
                <c:pt idx="348">
                  <c:v>177.57</c:v>
                </c:pt>
                <c:pt idx="349">
                  <c:v>172.17</c:v>
                </c:pt>
                <c:pt idx="350">
                  <c:v>173.07</c:v>
                </c:pt>
                <c:pt idx="351">
                  <c:v>162.41</c:v>
                </c:pt>
                <c:pt idx="352">
                  <c:v>170.33</c:v>
                </c:pt>
                <c:pt idx="353">
                  <c:v>172.39</c:v>
                </c:pt>
                <c:pt idx="354">
                  <c:v>168.64</c:v>
                </c:pt>
                <c:pt idx="355">
                  <c:v>167.3</c:v>
                </c:pt>
                <c:pt idx="356">
                  <c:v>164.85</c:v>
                </c:pt>
                <c:pt idx="357">
                  <c:v>163.16999999999999</c:v>
                </c:pt>
                <c:pt idx="358">
                  <c:v>154.72999999999999</c:v>
                </c:pt>
                <c:pt idx="359">
                  <c:v>163.98</c:v>
                </c:pt>
                <c:pt idx="360">
                  <c:v>174.72</c:v>
                </c:pt>
                <c:pt idx="361">
                  <c:v>174.31</c:v>
                </c:pt>
                <c:pt idx="362">
                  <c:v>170.09</c:v>
                </c:pt>
                <c:pt idx="363">
                  <c:v>165.29</c:v>
                </c:pt>
                <c:pt idx="364">
                  <c:v>161.79</c:v>
                </c:pt>
                <c:pt idx="365">
                  <c:v>157.65</c:v>
                </c:pt>
                <c:pt idx="366">
                  <c:v>157.28</c:v>
                </c:pt>
                <c:pt idx="367">
                  <c:v>147.11000000000001</c:v>
                </c:pt>
                <c:pt idx="368">
                  <c:v>137.59</c:v>
                </c:pt>
                <c:pt idx="369">
                  <c:v>149.63999999999999</c:v>
                </c:pt>
                <c:pt idx="370">
                  <c:v>145.38</c:v>
                </c:pt>
                <c:pt idx="371">
                  <c:v>137.13</c:v>
                </c:pt>
                <c:pt idx="372">
                  <c:v>131.56</c:v>
                </c:pt>
                <c:pt idx="373">
                  <c:v>141.66</c:v>
                </c:pt>
                <c:pt idx="374">
                  <c:v>138.93</c:v>
                </c:pt>
                <c:pt idx="375">
                  <c:v>147.04</c:v>
                </c:pt>
                <c:pt idx="376">
                  <c:v>150.16999999999999</c:v>
                </c:pt>
                <c:pt idx="377">
                  <c:v>154.09</c:v>
                </c:pt>
                <c:pt idx="378">
                  <c:v>162.51</c:v>
                </c:pt>
                <c:pt idx="379">
                  <c:v>165.35</c:v>
                </c:pt>
                <c:pt idx="380">
                  <c:v>172.1</c:v>
                </c:pt>
                <c:pt idx="381">
                  <c:v>171.52</c:v>
                </c:pt>
                <c:pt idx="382">
                  <c:v>163.62</c:v>
                </c:pt>
                <c:pt idx="383">
                  <c:v>155.81</c:v>
                </c:pt>
                <c:pt idx="384">
                  <c:v>157.37</c:v>
                </c:pt>
                <c:pt idx="385">
                  <c:v>150.69999999999999</c:v>
                </c:pt>
                <c:pt idx="386">
                  <c:v>150.43</c:v>
                </c:pt>
                <c:pt idx="387">
                  <c:v>138.19999999999999</c:v>
                </c:pt>
                <c:pt idx="388">
                  <c:v>140.09</c:v>
                </c:pt>
                <c:pt idx="389">
                  <c:v>138.38</c:v>
                </c:pt>
                <c:pt idx="390">
                  <c:v>147.27000000000001</c:v>
                </c:pt>
                <c:pt idx="391">
                  <c:v>155.74</c:v>
                </c:pt>
                <c:pt idx="392">
                  <c:v>138.38</c:v>
                </c:pt>
                <c:pt idx="393">
                  <c:v>149.69999999999999</c:v>
                </c:pt>
                <c:pt idx="394">
                  <c:v>151.29</c:v>
                </c:pt>
                <c:pt idx="395">
                  <c:v>148.11000000000001</c:v>
                </c:pt>
                <c:pt idx="396">
                  <c:v>147.81</c:v>
                </c:pt>
                <c:pt idx="397">
                  <c:v>142.16</c:v>
                </c:pt>
                <c:pt idx="398">
                  <c:v>134.51</c:v>
                </c:pt>
                <c:pt idx="399">
                  <c:v>131.86000000000001</c:v>
                </c:pt>
                <c:pt idx="400">
                  <c:v>129.93</c:v>
                </c:pt>
                <c:pt idx="401">
                  <c:v>129.62</c:v>
                </c:pt>
                <c:pt idx="402">
                  <c:v>134.76</c:v>
                </c:pt>
                <c:pt idx="403">
                  <c:v>137.87</c:v>
                </c:pt>
                <c:pt idx="404">
                  <c:v>145.93</c:v>
                </c:pt>
                <c:pt idx="405">
                  <c:v>154.5</c:v>
                </c:pt>
                <c:pt idx="406">
                  <c:v>151.01</c:v>
                </c:pt>
                <c:pt idx="407">
                  <c:v>152.55000000000001</c:v>
                </c:pt>
                <c:pt idx="408">
                  <c:v>146.71</c:v>
                </c:pt>
                <c:pt idx="409">
                  <c:v>151.03</c:v>
                </c:pt>
                <c:pt idx="410">
                  <c:v>148.5</c:v>
                </c:pt>
                <c:pt idx="411">
                  <c:v>155</c:v>
                </c:pt>
                <c:pt idx="412">
                  <c:v>160.25</c:v>
                </c:pt>
                <c:pt idx="413">
                  <c:v>164.9</c:v>
                </c:pt>
                <c:pt idx="414">
                  <c:v>164.66</c:v>
                </c:pt>
                <c:pt idx="415">
                  <c:v>165.21</c:v>
                </c:pt>
                <c:pt idx="416">
                  <c:v>165.02</c:v>
                </c:pt>
                <c:pt idx="417">
                  <c:v>169.68</c:v>
                </c:pt>
                <c:pt idx="418">
                  <c:v>173.57</c:v>
                </c:pt>
                <c:pt idx="419">
                  <c:v>172.57</c:v>
                </c:pt>
                <c:pt idx="420">
                  <c:v>175.16</c:v>
                </c:pt>
                <c:pt idx="421">
                  <c:v>175.43</c:v>
                </c:pt>
                <c:pt idx="422">
                  <c:v>180.95</c:v>
                </c:pt>
                <c:pt idx="423">
                  <c:v>180.96</c:v>
                </c:pt>
                <c:pt idx="424">
                  <c:v>184.92</c:v>
                </c:pt>
                <c:pt idx="425">
                  <c:v>186.68</c:v>
                </c:pt>
                <c:pt idx="426">
                  <c:v>193.97</c:v>
                </c:pt>
                <c:pt idx="427">
                  <c:v>190.68</c:v>
                </c:pt>
                <c:pt idx="428">
                  <c:v>190.69</c:v>
                </c:pt>
                <c:pt idx="429">
                  <c:v>191.94</c:v>
                </c:pt>
                <c:pt idx="430">
                  <c:v>195.83</c:v>
                </c:pt>
                <c:pt idx="431">
                  <c:v>181.99</c:v>
                </c:pt>
                <c:pt idx="432">
                  <c:v>177.79</c:v>
                </c:pt>
                <c:pt idx="433">
                  <c:v>174.49</c:v>
                </c:pt>
                <c:pt idx="434">
                  <c:v>178.61</c:v>
                </c:pt>
                <c:pt idx="435">
                  <c:v>189.46</c:v>
                </c:pt>
                <c:pt idx="436">
                  <c:v>178.18</c:v>
                </c:pt>
                <c:pt idx="437">
                  <c:v>175.01</c:v>
                </c:pt>
                <c:pt idx="438">
                  <c:v>174.79</c:v>
                </c:pt>
                <c:pt idx="439">
                  <c:v>171.21</c:v>
                </c:pt>
                <c:pt idx="440">
                  <c:v>177.49</c:v>
                </c:pt>
                <c:pt idx="441">
                  <c:v>178.85</c:v>
                </c:pt>
                <c:pt idx="442">
                  <c:v>172.88</c:v>
                </c:pt>
                <c:pt idx="443">
                  <c:v>168.22</c:v>
                </c:pt>
                <c:pt idx="444">
                  <c:v>176.65</c:v>
                </c:pt>
                <c:pt idx="445">
                  <c:v>186.4</c:v>
                </c:pt>
                <c:pt idx="446">
                  <c:v>189.69</c:v>
                </c:pt>
                <c:pt idx="447">
                  <c:v>189.97</c:v>
                </c:pt>
                <c:pt idx="448">
                  <c:v>191.24</c:v>
                </c:pt>
                <c:pt idx="449">
                  <c:v>195.71</c:v>
                </c:pt>
                <c:pt idx="450">
                  <c:v>197.57</c:v>
                </c:pt>
                <c:pt idx="451">
                  <c:v>193.6</c:v>
                </c:pt>
                <c:pt idx="452">
                  <c:v>192.53</c:v>
                </c:pt>
                <c:pt idx="453">
                  <c:v>181.18</c:v>
                </c:pt>
                <c:pt idx="454">
                  <c:v>185.92</c:v>
                </c:pt>
                <c:pt idx="455">
                  <c:v>191.56</c:v>
                </c:pt>
                <c:pt idx="456">
                  <c:v>192.42</c:v>
                </c:pt>
                <c:pt idx="457">
                  <c:v>185.85</c:v>
                </c:pt>
                <c:pt idx="458">
                  <c:v>188.85</c:v>
                </c:pt>
                <c:pt idx="459">
                  <c:v>182.31</c:v>
                </c:pt>
                <c:pt idx="460">
                  <c:v>182.52</c:v>
                </c:pt>
                <c:pt idx="461">
                  <c:v>179.66</c:v>
                </c:pt>
                <c:pt idx="462">
                  <c:v>170.73</c:v>
                </c:pt>
                <c:pt idx="463">
                  <c:v>172.62</c:v>
                </c:pt>
                <c:pt idx="464">
                  <c:v>172.28</c:v>
                </c:pt>
                <c:pt idx="465">
                  <c:v>171.48</c:v>
                </c:pt>
                <c:pt idx="466">
                  <c:v>169.58</c:v>
                </c:pt>
                <c:pt idx="467">
                  <c:v>176.55</c:v>
                </c:pt>
                <c:pt idx="468">
                  <c:v>165</c:v>
                </c:pt>
                <c:pt idx="469">
                  <c:v>169.3</c:v>
                </c:pt>
                <c:pt idx="470">
                  <c:v>183.38</c:v>
                </c:pt>
                <c:pt idx="471">
                  <c:v>183.05</c:v>
                </c:pt>
                <c:pt idx="472">
                  <c:v>189.87</c:v>
                </c:pt>
                <c:pt idx="473">
                  <c:v>189.98</c:v>
                </c:pt>
                <c:pt idx="474">
                  <c:v>192.25</c:v>
                </c:pt>
                <c:pt idx="475">
                  <c:v>196.89</c:v>
                </c:pt>
                <c:pt idx="476">
                  <c:v>212.49</c:v>
                </c:pt>
                <c:pt idx="477">
                  <c:v>207.49</c:v>
                </c:pt>
                <c:pt idx="478">
                  <c:v>210.62</c:v>
                </c:pt>
                <c:pt idx="479">
                  <c:v>226.34</c:v>
                </c:pt>
                <c:pt idx="480">
                  <c:v>230.54</c:v>
                </c:pt>
                <c:pt idx="481">
                  <c:v>224.31</c:v>
                </c:pt>
                <c:pt idx="482">
                  <c:v>217.96</c:v>
                </c:pt>
                <c:pt idx="483">
                  <c:v>219.86</c:v>
                </c:pt>
                <c:pt idx="484">
                  <c:v>216.24</c:v>
                </c:pt>
                <c:pt idx="485">
                  <c:v>226.05</c:v>
                </c:pt>
                <c:pt idx="486">
                  <c:v>226.84</c:v>
                </c:pt>
                <c:pt idx="487">
                  <c:v>229</c:v>
                </c:pt>
                <c:pt idx="488">
                  <c:v>220.82</c:v>
                </c:pt>
                <c:pt idx="489">
                  <c:v>222.5</c:v>
                </c:pt>
                <c:pt idx="490">
                  <c:v>228.2</c:v>
                </c:pt>
                <c:pt idx="491">
                  <c:v>227.79</c:v>
                </c:pt>
                <c:pt idx="492">
                  <c:v>226.8</c:v>
                </c:pt>
                <c:pt idx="493">
                  <c:v>227.55</c:v>
                </c:pt>
                <c:pt idx="494">
                  <c:v>235</c:v>
                </c:pt>
                <c:pt idx="495">
                  <c:v>231.41</c:v>
                </c:pt>
                <c:pt idx="496">
                  <c:v>222.91</c:v>
                </c:pt>
                <c:pt idx="497">
                  <c:v>226.96</c:v>
                </c:pt>
                <c:pt idx="498">
                  <c:v>225</c:v>
                </c:pt>
                <c:pt idx="499">
                  <c:v>229.87</c:v>
                </c:pt>
                <c:pt idx="500">
                  <c:v>237.33</c:v>
                </c:pt>
                <c:pt idx="501">
                  <c:v>242.84</c:v>
                </c:pt>
                <c:pt idx="502">
                  <c:v>248.13</c:v>
                </c:pt>
                <c:pt idx="503">
                  <c:v>254.49</c:v>
                </c:pt>
                <c:pt idx="504">
                  <c:v>255.59</c:v>
                </c:pt>
                <c:pt idx="505">
                  <c:v>243.36</c:v>
                </c:pt>
                <c:pt idx="506">
                  <c:v>236.85</c:v>
                </c:pt>
                <c:pt idx="507">
                  <c:v>229.98</c:v>
                </c:pt>
                <c:pt idx="508">
                  <c:v>222.78</c:v>
                </c:pt>
                <c:pt idx="509">
                  <c:v>236</c:v>
                </c:pt>
                <c:pt idx="510">
                  <c:v>227.63</c:v>
                </c:pt>
                <c:pt idx="511">
                  <c:v>244.6</c:v>
                </c:pt>
                <c:pt idx="512">
                  <c:v>245.55</c:v>
                </c:pt>
                <c:pt idx="513">
                  <c:v>241.84</c:v>
                </c:pt>
                <c:pt idx="514">
                  <c:v>239.07</c:v>
                </c:pt>
                <c:pt idx="515">
                  <c:v>213.49</c:v>
                </c:pt>
                <c:pt idx="516">
                  <c:v>218.27</c:v>
                </c:pt>
                <c:pt idx="517">
                  <c:v>217.9</c:v>
                </c:pt>
                <c:pt idx="518">
                  <c:v>188.38</c:v>
                </c:pt>
                <c:pt idx="519">
                  <c:v>198.15</c:v>
                </c:pt>
                <c:pt idx="520">
                  <c:v>196.98</c:v>
                </c:pt>
                <c:pt idx="521">
                  <c:v>209.28</c:v>
                </c:pt>
                <c:pt idx="522">
                  <c:v>205.35</c:v>
                </c:pt>
              </c:numCache>
            </c:numRef>
          </c:val>
          <c:smooth val="0"/>
          <c:extLst>
            <c:ext xmlns:c16="http://schemas.microsoft.com/office/drawing/2014/chart" uri="{C3380CC4-5D6E-409C-BE32-E72D297353CC}">
              <c16:uniqueId val="{00000000-42D9-4E3F-916F-C9677DA64537}"/>
            </c:ext>
          </c:extLst>
        </c:ser>
        <c:dLbls>
          <c:showLegendKey val="0"/>
          <c:showVal val="0"/>
          <c:showCatName val="0"/>
          <c:showSerName val="0"/>
          <c:showPercent val="0"/>
          <c:showBubbleSize val="0"/>
        </c:dLbls>
        <c:smooth val="0"/>
        <c:axId val="243561007"/>
        <c:axId val="1730576287"/>
      </c:lineChart>
      <c:dateAx>
        <c:axId val="24356100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Date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m/d/yy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0576287"/>
        <c:crosses val="autoZero"/>
        <c:auto val="1"/>
        <c:lblOffset val="100"/>
        <c:baseTimeUnit val="days"/>
      </c:dateAx>
      <c:valAx>
        <c:axId val="1730576287"/>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Price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409]* #,##0.00_);_([$$-409]* \(#,##0.00\);_([$$-409]*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3561007"/>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kern="1200" spc="0" baseline="0">
                <a:solidFill>
                  <a:sysClr val="windowText" lastClr="000000">
                    <a:lumMod val="65000"/>
                    <a:lumOff val="35000"/>
                  </a:sysClr>
                </a:solidFill>
              </a:rPr>
              <a:t>HPQ </a:t>
            </a:r>
            <a:r>
              <a:rPr lang="en-US" sz="1600" b="0" i="0" u="none" strike="noStrike" kern="1200" spc="0" baseline="0">
                <a:solidFill>
                  <a:sysClr val="windowText" lastClr="000000">
                    <a:lumMod val="65000"/>
                    <a:lumOff val="35000"/>
                  </a:sysClr>
                </a:solidFill>
              </a:rPr>
              <a:t>Closing Prices 10 Year History</a:t>
            </a:r>
            <a:endParaRPr lang="en-US" sz="1600"/>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cked"/>
        <c:varyColors val="0"/>
        <c:ser>
          <c:idx val="0"/>
          <c:order val="0"/>
          <c:tx>
            <c:strRef>
              <c:f>HPQ!$D$5</c:f>
              <c:strCache>
                <c:ptCount val="1"/>
                <c:pt idx="0">
                  <c:v>Close</c:v>
                </c:pt>
              </c:strCache>
            </c:strRef>
          </c:tx>
          <c:spPr>
            <a:ln w="28575" cap="rnd">
              <a:solidFill>
                <a:schemeClr val="accent1"/>
              </a:solidFill>
              <a:round/>
            </a:ln>
            <a:effectLst/>
          </c:spPr>
          <c:marker>
            <c:symbol val="none"/>
          </c:marker>
          <c:cat>
            <c:numRef>
              <c:f>HPQ!$C$6:$C$528</c:f>
              <c:numCache>
                <c:formatCode>m/d/yyyy</c:formatCode>
                <c:ptCount val="523"/>
                <c:pt idx="0">
                  <c:v>42121</c:v>
                </c:pt>
                <c:pt idx="1">
                  <c:v>42128</c:v>
                </c:pt>
                <c:pt idx="2">
                  <c:v>42135</c:v>
                </c:pt>
                <c:pt idx="3">
                  <c:v>42142</c:v>
                </c:pt>
                <c:pt idx="4">
                  <c:v>42150</c:v>
                </c:pt>
                <c:pt idx="5">
                  <c:v>42156</c:v>
                </c:pt>
                <c:pt idx="6">
                  <c:v>42163</c:v>
                </c:pt>
                <c:pt idx="7">
                  <c:v>42170</c:v>
                </c:pt>
                <c:pt idx="8">
                  <c:v>42177</c:v>
                </c:pt>
                <c:pt idx="9">
                  <c:v>42184</c:v>
                </c:pt>
                <c:pt idx="10">
                  <c:v>42191</c:v>
                </c:pt>
                <c:pt idx="11">
                  <c:v>42198</c:v>
                </c:pt>
                <c:pt idx="12">
                  <c:v>42205</c:v>
                </c:pt>
                <c:pt idx="13">
                  <c:v>42212</c:v>
                </c:pt>
                <c:pt idx="14">
                  <c:v>42219</c:v>
                </c:pt>
                <c:pt idx="15">
                  <c:v>42226</c:v>
                </c:pt>
                <c:pt idx="16">
                  <c:v>42233</c:v>
                </c:pt>
                <c:pt idx="17">
                  <c:v>42240</c:v>
                </c:pt>
                <c:pt idx="18">
                  <c:v>42247</c:v>
                </c:pt>
                <c:pt idx="19">
                  <c:v>42255</c:v>
                </c:pt>
                <c:pt idx="20">
                  <c:v>42261</c:v>
                </c:pt>
                <c:pt idx="21">
                  <c:v>42268</c:v>
                </c:pt>
                <c:pt idx="22">
                  <c:v>42275</c:v>
                </c:pt>
                <c:pt idx="23">
                  <c:v>42282</c:v>
                </c:pt>
                <c:pt idx="24">
                  <c:v>42289</c:v>
                </c:pt>
                <c:pt idx="25">
                  <c:v>42296</c:v>
                </c:pt>
                <c:pt idx="26">
                  <c:v>42303</c:v>
                </c:pt>
                <c:pt idx="27">
                  <c:v>42310</c:v>
                </c:pt>
                <c:pt idx="28">
                  <c:v>42317</c:v>
                </c:pt>
                <c:pt idx="29">
                  <c:v>42324</c:v>
                </c:pt>
                <c:pt idx="30">
                  <c:v>42331</c:v>
                </c:pt>
                <c:pt idx="31">
                  <c:v>42338</c:v>
                </c:pt>
                <c:pt idx="32">
                  <c:v>42345</c:v>
                </c:pt>
                <c:pt idx="33">
                  <c:v>42352</c:v>
                </c:pt>
                <c:pt idx="34">
                  <c:v>42359</c:v>
                </c:pt>
                <c:pt idx="35">
                  <c:v>42366</c:v>
                </c:pt>
                <c:pt idx="36">
                  <c:v>42373</c:v>
                </c:pt>
                <c:pt idx="37">
                  <c:v>42380</c:v>
                </c:pt>
                <c:pt idx="38">
                  <c:v>42388</c:v>
                </c:pt>
                <c:pt idx="39">
                  <c:v>42394</c:v>
                </c:pt>
                <c:pt idx="40">
                  <c:v>42401</c:v>
                </c:pt>
                <c:pt idx="41">
                  <c:v>42408</c:v>
                </c:pt>
                <c:pt idx="42">
                  <c:v>42416</c:v>
                </c:pt>
                <c:pt idx="43">
                  <c:v>42422</c:v>
                </c:pt>
                <c:pt idx="44">
                  <c:v>42429</c:v>
                </c:pt>
                <c:pt idx="45">
                  <c:v>42436</c:v>
                </c:pt>
                <c:pt idx="46">
                  <c:v>42443</c:v>
                </c:pt>
                <c:pt idx="47">
                  <c:v>42450</c:v>
                </c:pt>
                <c:pt idx="48">
                  <c:v>42457</c:v>
                </c:pt>
                <c:pt idx="49">
                  <c:v>42464</c:v>
                </c:pt>
                <c:pt idx="50">
                  <c:v>42471</c:v>
                </c:pt>
                <c:pt idx="51">
                  <c:v>42478</c:v>
                </c:pt>
                <c:pt idx="52">
                  <c:v>42485</c:v>
                </c:pt>
                <c:pt idx="53">
                  <c:v>42492</c:v>
                </c:pt>
                <c:pt idx="54">
                  <c:v>42499</c:v>
                </c:pt>
                <c:pt idx="55">
                  <c:v>42506</c:v>
                </c:pt>
                <c:pt idx="56">
                  <c:v>42513</c:v>
                </c:pt>
                <c:pt idx="57">
                  <c:v>42521</c:v>
                </c:pt>
                <c:pt idx="58">
                  <c:v>42527</c:v>
                </c:pt>
                <c:pt idx="59">
                  <c:v>42534</c:v>
                </c:pt>
                <c:pt idx="60">
                  <c:v>42541</c:v>
                </c:pt>
                <c:pt idx="61">
                  <c:v>42548</c:v>
                </c:pt>
                <c:pt idx="62">
                  <c:v>42556</c:v>
                </c:pt>
                <c:pt idx="63">
                  <c:v>42562</c:v>
                </c:pt>
                <c:pt idx="64">
                  <c:v>42569</c:v>
                </c:pt>
                <c:pt idx="65">
                  <c:v>42576</c:v>
                </c:pt>
                <c:pt idx="66">
                  <c:v>42583</c:v>
                </c:pt>
                <c:pt idx="67">
                  <c:v>42590</c:v>
                </c:pt>
                <c:pt idx="68">
                  <c:v>42597</c:v>
                </c:pt>
                <c:pt idx="69">
                  <c:v>42604</c:v>
                </c:pt>
                <c:pt idx="70">
                  <c:v>42611</c:v>
                </c:pt>
                <c:pt idx="71">
                  <c:v>42619</c:v>
                </c:pt>
                <c:pt idx="72">
                  <c:v>42625</c:v>
                </c:pt>
                <c:pt idx="73">
                  <c:v>42632</c:v>
                </c:pt>
                <c:pt idx="74">
                  <c:v>42639</c:v>
                </c:pt>
                <c:pt idx="75">
                  <c:v>42646</c:v>
                </c:pt>
                <c:pt idx="76">
                  <c:v>42653</c:v>
                </c:pt>
                <c:pt idx="77">
                  <c:v>42660</c:v>
                </c:pt>
                <c:pt idx="78">
                  <c:v>42667</c:v>
                </c:pt>
                <c:pt idx="79">
                  <c:v>42674</c:v>
                </c:pt>
                <c:pt idx="80">
                  <c:v>42681</c:v>
                </c:pt>
                <c:pt idx="81">
                  <c:v>42688</c:v>
                </c:pt>
                <c:pt idx="82">
                  <c:v>42695</c:v>
                </c:pt>
                <c:pt idx="83">
                  <c:v>42702</c:v>
                </c:pt>
                <c:pt idx="84">
                  <c:v>42709</c:v>
                </c:pt>
                <c:pt idx="85">
                  <c:v>42716</c:v>
                </c:pt>
                <c:pt idx="86">
                  <c:v>42723</c:v>
                </c:pt>
                <c:pt idx="87">
                  <c:v>42731</c:v>
                </c:pt>
                <c:pt idx="88">
                  <c:v>42738</c:v>
                </c:pt>
                <c:pt idx="89">
                  <c:v>42744</c:v>
                </c:pt>
                <c:pt idx="90">
                  <c:v>42752</c:v>
                </c:pt>
                <c:pt idx="91">
                  <c:v>42758</c:v>
                </c:pt>
                <c:pt idx="92">
                  <c:v>42765</c:v>
                </c:pt>
                <c:pt idx="93">
                  <c:v>42772</c:v>
                </c:pt>
                <c:pt idx="94">
                  <c:v>42779</c:v>
                </c:pt>
                <c:pt idx="95">
                  <c:v>42787</c:v>
                </c:pt>
                <c:pt idx="96">
                  <c:v>42793</c:v>
                </c:pt>
                <c:pt idx="97">
                  <c:v>42800</c:v>
                </c:pt>
                <c:pt idx="98">
                  <c:v>42807</c:v>
                </c:pt>
                <c:pt idx="99">
                  <c:v>42814</c:v>
                </c:pt>
                <c:pt idx="100">
                  <c:v>42821</c:v>
                </c:pt>
                <c:pt idx="101">
                  <c:v>42828</c:v>
                </c:pt>
                <c:pt idx="102">
                  <c:v>42835</c:v>
                </c:pt>
                <c:pt idx="103">
                  <c:v>42842</c:v>
                </c:pt>
                <c:pt idx="104">
                  <c:v>42849</c:v>
                </c:pt>
                <c:pt idx="105">
                  <c:v>42856</c:v>
                </c:pt>
                <c:pt idx="106">
                  <c:v>42863</c:v>
                </c:pt>
                <c:pt idx="107">
                  <c:v>42870</c:v>
                </c:pt>
                <c:pt idx="108">
                  <c:v>42877</c:v>
                </c:pt>
                <c:pt idx="109">
                  <c:v>42885</c:v>
                </c:pt>
                <c:pt idx="110">
                  <c:v>42891</c:v>
                </c:pt>
                <c:pt idx="111">
                  <c:v>42898</c:v>
                </c:pt>
                <c:pt idx="112">
                  <c:v>42905</c:v>
                </c:pt>
                <c:pt idx="113">
                  <c:v>42912</c:v>
                </c:pt>
                <c:pt idx="114">
                  <c:v>42919</c:v>
                </c:pt>
                <c:pt idx="115">
                  <c:v>42926</c:v>
                </c:pt>
                <c:pt idx="116">
                  <c:v>42933</c:v>
                </c:pt>
                <c:pt idx="117">
                  <c:v>42940</c:v>
                </c:pt>
                <c:pt idx="118">
                  <c:v>42947</c:v>
                </c:pt>
                <c:pt idx="119">
                  <c:v>42954</c:v>
                </c:pt>
                <c:pt idx="120">
                  <c:v>42961</c:v>
                </c:pt>
                <c:pt idx="121">
                  <c:v>42968</c:v>
                </c:pt>
                <c:pt idx="122">
                  <c:v>42975</c:v>
                </c:pt>
                <c:pt idx="123">
                  <c:v>42983</c:v>
                </c:pt>
                <c:pt idx="124">
                  <c:v>42989</c:v>
                </c:pt>
                <c:pt idx="125">
                  <c:v>42996</c:v>
                </c:pt>
                <c:pt idx="126">
                  <c:v>43003</c:v>
                </c:pt>
                <c:pt idx="127">
                  <c:v>43010</c:v>
                </c:pt>
                <c:pt idx="128">
                  <c:v>43017</c:v>
                </c:pt>
                <c:pt idx="129">
                  <c:v>43024</c:v>
                </c:pt>
                <c:pt idx="130">
                  <c:v>43031</c:v>
                </c:pt>
                <c:pt idx="131">
                  <c:v>43038</c:v>
                </c:pt>
                <c:pt idx="132">
                  <c:v>43045</c:v>
                </c:pt>
                <c:pt idx="133">
                  <c:v>43052</c:v>
                </c:pt>
                <c:pt idx="134">
                  <c:v>43059</c:v>
                </c:pt>
                <c:pt idx="135">
                  <c:v>43066</c:v>
                </c:pt>
                <c:pt idx="136">
                  <c:v>43073</c:v>
                </c:pt>
                <c:pt idx="137">
                  <c:v>43080</c:v>
                </c:pt>
                <c:pt idx="138">
                  <c:v>43087</c:v>
                </c:pt>
                <c:pt idx="139">
                  <c:v>43095</c:v>
                </c:pt>
                <c:pt idx="140">
                  <c:v>43102</c:v>
                </c:pt>
                <c:pt idx="141">
                  <c:v>43108</c:v>
                </c:pt>
                <c:pt idx="142">
                  <c:v>43116</c:v>
                </c:pt>
                <c:pt idx="143">
                  <c:v>43122</c:v>
                </c:pt>
                <c:pt idx="144">
                  <c:v>43129</c:v>
                </c:pt>
                <c:pt idx="145">
                  <c:v>43136</c:v>
                </c:pt>
                <c:pt idx="146">
                  <c:v>43143</c:v>
                </c:pt>
                <c:pt idx="147">
                  <c:v>43151</c:v>
                </c:pt>
                <c:pt idx="148">
                  <c:v>43157</c:v>
                </c:pt>
                <c:pt idx="149">
                  <c:v>43164</c:v>
                </c:pt>
                <c:pt idx="150">
                  <c:v>43171</c:v>
                </c:pt>
                <c:pt idx="151">
                  <c:v>43178</c:v>
                </c:pt>
                <c:pt idx="152">
                  <c:v>43185</c:v>
                </c:pt>
                <c:pt idx="153">
                  <c:v>43192</c:v>
                </c:pt>
                <c:pt idx="154">
                  <c:v>43199</c:v>
                </c:pt>
                <c:pt idx="155">
                  <c:v>43206</c:v>
                </c:pt>
                <c:pt idx="156">
                  <c:v>43213</c:v>
                </c:pt>
                <c:pt idx="157">
                  <c:v>43220</c:v>
                </c:pt>
                <c:pt idx="158">
                  <c:v>43227</c:v>
                </c:pt>
                <c:pt idx="159">
                  <c:v>43234</c:v>
                </c:pt>
                <c:pt idx="160">
                  <c:v>43241</c:v>
                </c:pt>
                <c:pt idx="161">
                  <c:v>43249</c:v>
                </c:pt>
                <c:pt idx="162">
                  <c:v>43255</c:v>
                </c:pt>
                <c:pt idx="163">
                  <c:v>43262</c:v>
                </c:pt>
                <c:pt idx="164">
                  <c:v>43269</c:v>
                </c:pt>
                <c:pt idx="165">
                  <c:v>43276</c:v>
                </c:pt>
                <c:pt idx="166">
                  <c:v>43283</c:v>
                </c:pt>
                <c:pt idx="167">
                  <c:v>43290</c:v>
                </c:pt>
                <c:pt idx="168">
                  <c:v>43297</c:v>
                </c:pt>
                <c:pt idx="169">
                  <c:v>43304</c:v>
                </c:pt>
                <c:pt idx="170">
                  <c:v>43311</c:v>
                </c:pt>
                <c:pt idx="171">
                  <c:v>43318</c:v>
                </c:pt>
                <c:pt idx="172">
                  <c:v>43325</c:v>
                </c:pt>
                <c:pt idx="173">
                  <c:v>43332</c:v>
                </c:pt>
                <c:pt idx="174">
                  <c:v>43339</c:v>
                </c:pt>
                <c:pt idx="175">
                  <c:v>43347</c:v>
                </c:pt>
                <c:pt idx="176">
                  <c:v>43353</c:v>
                </c:pt>
                <c:pt idx="177">
                  <c:v>43360</c:v>
                </c:pt>
                <c:pt idx="178">
                  <c:v>43367</c:v>
                </c:pt>
                <c:pt idx="179">
                  <c:v>43374</c:v>
                </c:pt>
                <c:pt idx="180">
                  <c:v>43381</c:v>
                </c:pt>
                <c:pt idx="181">
                  <c:v>43388</c:v>
                </c:pt>
                <c:pt idx="182">
                  <c:v>43395</c:v>
                </c:pt>
                <c:pt idx="183">
                  <c:v>43402</c:v>
                </c:pt>
                <c:pt idx="184">
                  <c:v>43409</c:v>
                </c:pt>
                <c:pt idx="185">
                  <c:v>43416</c:v>
                </c:pt>
                <c:pt idx="186">
                  <c:v>43423</c:v>
                </c:pt>
                <c:pt idx="187">
                  <c:v>43430</c:v>
                </c:pt>
                <c:pt idx="188">
                  <c:v>43437</c:v>
                </c:pt>
                <c:pt idx="189">
                  <c:v>43444</c:v>
                </c:pt>
                <c:pt idx="190">
                  <c:v>43451</c:v>
                </c:pt>
                <c:pt idx="191">
                  <c:v>43458</c:v>
                </c:pt>
                <c:pt idx="192">
                  <c:v>43465</c:v>
                </c:pt>
                <c:pt idx="193">
                  <c:v>43472</c:v>
                </c:pt>
                <c:pt idx="194">
                  <c:v>43479</c:v>
                </c:pt>
                <c:pt idx="195">
                  <c:v>43487</c:v>
                </c:pt>
                <c:pt idx="196">
                  <c:v>43493</c:v>
                </c:pt>
                <c:pt idx="197">
                  <c:v>43500</c:v>
                </c:pt>
                <c:pt idx="198">
                  <c:v>43507</c:v>
                </c:pt>
                <c:pt idx="199">
                  <c:v>43515</c:v>
                </c:pt>
                <c:pt idx="200">
                  <c:v>43521</c:v>
                </c:pt>
                <c:pt idx="201">
                  <c:v>43528</c:v>
                </c:pt>
                <c:pt idx="202">
                  <c:v>43535</c:v>
                </c:pt>
                <c:pt idx="203">
                  <c:v>43542</c:v>
                </c:pt>
                <c:pt idx="204">
                  <c:v>43549</c:v>
                </c:pt>
                <c:pt idx="205">
                  <c:v>43556</c:v>
                </c:pt>
                <c:pt idx="206">
                  <c:v>43563</c:v>
                </c:pt>
                <c:pt idx="207">
                  <c:v>43570</c:v>
                </c:pt>
                <c:pt idx="208">
                  <c:v>43577</c:v>
                </c:pt>
                <c:pt idx="209">
                  <c:v>43584</c:v>
                </c:pt>
                <c:pt idx="210">
                  <c:v>43591</c:v>
                </c:pt>
                <c:pt idx="211">
                  <c:v>43598</c:v>
                </c:pt>
                <c:pt idx="212">
                  <c:v>43605</c:v>
                </c:pt>
                <c:pt idx="213">
                  <c:v>43613</c:v>
                </c:pt>
                <c:pt idx="214">
                  <c:v>43619</c:v>
                </c:pt>
                <c:pt idx="215">
                  <c:v>43626</c:v>
                </c:pt>
                <c:pt idx="216">
                  <c:v>43633</c:v>
                </c:pt>
                <c:pt idx="217">
                  <c:v>43640</c:v>
                </c:pt>
                <c:pt idx="218">
                  <c:v>43647</c:v>
                </c:pt>
                <c:pt idx="219">
                  <c:v>43654</c:v>
                </c:pt>
                <c:pt idx="220">
                  <c:v>43661</c:v>
                </c:pt>
                <c:pt idx="221">
                  <c:v>43668</c:v>
                </c:pt>
                <c:pt idx="222">
                  <c:v>43675</c:v>
                </c:pt>
                <c:pt idx="223">
                  <c:v>43682</c:v>
                </c:pt>
                <c:pt idx="224">
                  <c:v>43689</c:v>
                </c:pt>
                <c:pt idx="225">
                  <c:v>43696</c:v>
                </c:pt>
                <c:pt idx="226">
                  <c:v>43703</c:v>
                </c:pt>
                <c:pt idx="227">
                  <c:v>43711</c:v>
                </c:pt>
                <c:pt idx="228">
                  <c:v>43717</c:v>
                </c:pt>
                <c:pt idx="229">
                  <c:v>43724</c:v>
                </c:pt>
                <c:pt idx="230">
                  <c:v>43731</c:v>
                </c:pt>
                <c:pt idx="231">
                  <c:v>43738</c:v>
                </c:pt>
                <c:pt idx="232">
                  <c:v>43745</c:v>
                </c:pt>
                <c:pt idx="233">
                  <c:v>43752</c:v>
                </c:pt>
                <c:pt idx="234">
                  <c:v>43759</c:v>
                </c:pt>
                <c:pt idx="235">
                  <c:v>43766</c:v>
                </c:pt>
                <c:pt idx="236">
                  <c:v>43773</c:v>
                </c:pt>
                <c:pt idx="237">
                  <c:v>43780</c:v>
                </c:pt>
                <c:pt idx="238">
                  <c:v>43787</c:v>
                </c:pt>
                <c:pt idx="239">
                  <c:v>43794</c:v>
                </c:pt>
                <c:pt idx="240">
                  <c:v>43801</c:v>
                </c:pt>
                <c:pt idx="241">
                  <c:v>43808</c:v>
                </c:pt>
                <c:pt idx="242">
                  <c:v>43815</c:v>
                </c:pt>
                <c:pt idx="243">
                  <c:v>43822</c:v>
                </c:pt>
                <c:pt idx="244">
                  <c:v>43829</c:v>
                </c:pt>
                <c:pt idx="245">
                  <c:v>43836</c:v>
                </c:pt>
                <c:pt idx="246">
                  <c:v>43843</c:v>
                </c:pt>
                <c:pt idx="247">
                  <c:v>43851</c:v>
                </c:pt>
                <c:pt idx="248">
                  <c:v>43857</c:v>
                </c:pt>
                <c:pt idx="249">
                  <c:v>43864</c:v>
                </c:pt>
                <c:pt idx="250">
                  <c:v>43871</c:v>
                </c:pt>
                <c:pt idx="251">
                  <c:v>43879</c:v>
                </c:pt>
                <c:pt idx="252">
                  <c:v>43885</c:v>
                </c:pt>
                <c:pt idx="253">
                  <c:v>43892</c:v>
                </c:pt>
                <c:pt idx="254">
                  <c:v>43899</c:v>
                </c:pt>
                <c:pt idx="255">
                  <c:v>43906</c:v>
                </c:pt>
                <c:pt idx="256">
                  <c:v>43913</c:v>
                </c:pt>
                <c:pt idx="257">
                  <c:v>43920</c:v>
                </c:pt>
                <c:pt idx="258">
                  <c:v>43927</c:v>
                </c:pt>
                <c:pt idx="259">
                  <c:v>43934</c:v>
                </c:pt>
                <c:pt idx="260">
                  <c:v>43941</c:v>
                </c:pt>
                <c:pt idx="261">
                  <c:v>43948</c:v>
                </c:pt>
                <c:pt idx="262">
                  <c:v>43955</c:v>
                </c:pt>
                <c:pt idx="263">
                  <c:v>43962</c:v>
                </c:pt>
                <c:pt idx="264">
                  <c:v>43969</c:v>
                </c:pt>
                <c:pt idx="265">
                  <c:v>43977</c:v>
                </c:pt>
                <c:pt idx="266">
                  <c:v>43983</c:v>
                </c:pt>
                <c:pt idx="267">
                  <c:v>43990</c:v>
                </c:pt>
                <c:pt idx="268">
                  <c:v>43997</c:v>
                </c:pt>
                <c:pt idx="269">
                  <c:v>44004</c:v>
                </c:pt>
                <c:pt idx="270">
                  <c:v>44011</c:v>
                </c:pt>
                <c:pt idx="271">
                  <c:v>44018</c:v>
                </c:pt>
                <c:pt idx="272">
                  <c:v>44025</c:v>
                </c:pt>
                <c:pt idx="273">
                  <c:v>44032</c:v>
                </c:pt>
                <c:pt idx="274">
                  <c:v>44039</c:v>
                </c:pt>
                <c:pt idx="275">
                  <c:v>44046</c:v>
                </c:pt>
                <c:pt idx="276">
                  <c:v>44053</c:v>
                </c:pt>
                <c:pt idx="277">
                  <c:v>44060</c:v>
                </c:pt>
                <c:pt idx="278">
                  <c:v>44067</c:v>
                </c:pt>
                <c:pt idx="279">
                  <c:v>44074</c:v>
                </c:pt>
                <c:pt idx="280">
                  <c:v>44082</c:v>
                </c:pt>
                <c:pt idx="281">
                  <c:v>44088</c:v>
                </c:pt>
                <c:pt idx="282">
                  <c:v>44095</c:v>
                </c:pt>
                <c:pt idx="283">
                  <c:v>44102</c:v>
                </c:pt>
                <c:pt idx="284">
                  <c:v>44109</c:v>
                </c:pt>
                <c:pt idx="285">
                  <c:v>44116</c:v>
                </c:pt>
                <c:pt idx="286">
                  <c:v>44123</c:v>
                </c:pt>
                <c:pt idx="287">
                  <c:v>44130</c:v>
                </c:pt>
                <c:pt idx="288">
                  <c:v>44137</c:v>
                </c:pt>
                <c:pt idx="289">
                  <c:v>44144</c:v>
                </c:pt>
                <c:pt idx="290">
                  <c:v>44151</c:v>
                </c:pt>
                <c:pt idx="291">
                  <c:v>44158</c:v>
                </c:pt>
                <c:pt idx="292">
                  <c:v>44165</c:v>
                </c:pt>
                <c:pt idx="293">
                  <c:v>44172</c:v>
                </c:pt>
                <c:pt idx="294">
                  <c:v>44179</c:v>
                </c:pt>
                <c:pt idx="295">
                  <c:v>44186</c:v>
                </c:pt>
                <c:pt idx="296">
                  <c:v>44193</c:v>
                </c:pt>
                <c:pt idx="297">
                  <c:v>44200</c:v>
                </c:pt>
                <c:pt idx="298">
                  <c:v>44207</c:v>
                </c:pt>
                <c:pt idx="299">
                  <c:v>44215</c:v>
                </c:pt>
                <c:pt idx="300">
                  <c:v>44221</c:v>
                </c:pt>
                <c:pt idx="301">
                  <c:v>44228</c:v>
                </c:pt>
                <c:pt idx="302">
                  <c:v>44235</c:v>
                </c:pt>
                <c:pt idx="303">
                  <c:v>44243</c:v>
                </c:pt>
                <c:pt idx="304">
                  <c:v>44249</c:v>
                </c:pt>
                <c:pt idx="305">
                  <c:v>44256</c:v>
                </c:pt>
                <c:pt idx="306">
                  <c:v>44263</c:v>
                </c:pt>
                <c:pt idx="307">
                  <c:v>44270</c:v>
                </c:pt>
                <c:pt idx="308">
                  <c:v>44277</c:v>
                </c:pt>
                <c:pt idx="309">
                  <c:v>44284</c:v>
                </c:pt>
                <c:pt idx="310">
                  <c:v>44291</c:v>
                </c:pt>
                <c:pt idx="311">
                  <c:v>44298</c:v>
                </c:pt>
                <c:pt idx="312">
                  <c:v>44305</c:v>
                </c:pt>
                <c:pt idx="313">
                  <c:v>44312</c:v>
                </c:pt>
                <c:pt idx="314">
                  <c:v>44319</c:v>
                </c:pt>
                <c:pt idx="315">
                  <c:v>44326</c:v>
                </c:pt>
                <c:pt idx="316">
                  <c:v>44333</c:v>
                </c:pt>
                <c:pt idx="317">
                  <c:v>44340</c:v>
                </c:pt>
                <c:pt idx="318">
                  <c:v>44348</c:v>
                </c:pt>
                <c:pt idx="319">
                  <c:v>44354</c:v>
                </c:pt>
                <c:pt idx="320">
                  <c:v>44361</c:v>
                </c:pt>
                <c:pt idx="321">
                  <c:v>44368</c:v>
                </c:pt>
                <c:pt idx="322">
                  <c:v>44375</c:v>
                </c:pt>
                <c:pt idx="323">
                  <c:v>44383</c:v>
                </c:pt>
                <c:pt idx="324">
                  <c:v>44389</c:v>
                </c:pt>
                <c:pt idx="325">
                  <c:v>44396</c:v>
                </c:pt>
                <c:pt idx="326">
                  <c:v>44403</c:v>
                </c:pt>
                <c:pt idx="327">
                  <c:v>44410</c:v>
                </c:pt>
                <c:pt idx="328">
                  <c:v>44417</c:v>
                </c:pt>
                <c:pt idx="329">
                  <c:v>44424</c:v>
                </c:pt>
                <c:pt idx="330">
                  <c:v>44431</c:v>
                </c:pt>
                <c:pt idx="331">
                  <c:v>44438</c:v>
                </c:pt>
                <c:pt idx="332">
                  <c:v>44446</c:v>
                </c:pt>
                <c:pt idx="333">
                  <c:v>44452</c:v>
                </c:pt>
                <c:pt idx="334">
                  <c:v>44459</c:v>
                </c:pt>
                <c:pt idx="335">
                  <c:v>44466</c:v>
                </c:pt>
                <c:pt idx="336">
                  <c:v>44473</c:v>
                </c:pt>
                <c:pt idx="337">
                  <c:v>44480</c:v>
                </c:pt>
                <c:pt idx="338">
                  <c:v>44487</c:v>
                </c:pt>
                <c:pt idx="339">
                  <c:v>44494</c:v>
                </c:pt>
                <c:pt idx="340">
                  <c:v>44501</c:v>
                </c:pt>
                <c:pt idx="341">
                  <c:v>44508</c:v>
                </c:pt>
                <c:pt idx="342">
                  <c:v>44515</c:v>
                </c:pt>
                <c:pt idx="343">
                  <c:v>44522</c:v>
                </c:pt>
                <c:pt idx="344">
                  <c:v>44529</c:v>
                </c:pt>
                <c:pt idx="345">
                  <c:v>44536</c:v>
                </c:pt>
                <c:pt idx="346">
                  <c:v>44543</c:v>
                </c:pt>
                <c:pt idx="347">
                  <c:v>44550</c:v>
                </c:pt>
                <c:pt idx="348">
                  <c:v>44557</c:v>
                </c:pt>
                <c:pt idx="349">
                  <c:v>44564</c:v>
                </c:pt>
                <c:pt idx="350">
                  <c:v>44571</c:v>
                </c:pt>
                <c:pt idx="351">
                  <c:v>44579</c:v>
                </c:pt>
                <c:pt idx="352">
                  <c:v>44585</c:v>
                </c:pt>
                <c:pt idx="353">
                  <c:v>44592</c:v>
                </c:pt>
                <c:pt idx="354">
                  <c:v>44599</c:v>
                </c:pt>
                <c:pt idx="355">
                  <c:v>44606</c:v>
                </c:pt>
                <c:pt idx="356">
                  <c:v>44614</c:v>
                </c:pt>
                <c:pt idx="357">
                  <c:v>44620</c:v>
                </c:pt>
                <c:pt idx="358">
                  <c:v>44627</c:v>
                </c:pt>
                <c:pt idx="359">
                  <c:v>44634</c:v>
                </c:pt>
                <c:pt idx="360">
                  <c:v>44641</c:v>
                </c:pt>
                <c:pt idx="361">
                  <c:v>44648</c:v>
                </c:pt>
                <c:pt idx="362">
                  <c:v>44655</c:v>
                </c:pt>
                <c:pt idx="363">
                  <c:v>44662</c:v>
                </c:pt>
                <c:pt idx="364">
                  <c:v>44669</c:v>
                </c:pt>
                <c:pt idx="365">
                  <c:v>44676</c:v>
                </c:pt>
                <c:pt idx="366">
                  <c:v>44683</c:v>
                </c:pt>
                <c:pt idx="367">
                  <c:v>44690</c:v>
                </c:pt>
                <c:pt idx="368">
                  <c:v>44697</c:v>
                </c:pt>
                <c:pt idx="369">
                  <c:v>44704</c:v>
                </c:pt>
                <c:pt idx="370">
                  <c:v>44712</c:v>
                </c:pt>
                <c:pt idx="371">
                  <c:v>44718</c:v>
                </c:pt>
                <c:pt idx="372">
                  <c:v>44725</c:v>
                </c:pt>
                <c:pt idx="373">
                  <c:v>44733</c:v>
                </c:pt>
                <c:pt idx="374">
                  <c:v>44739</c:v>
                </c:pt>
                <c:pt idx="375">
                  <c:v>44747</c:v>
                </c:pt>
                <c:pt idx="376">
                  <c:v>44753</c:v>
                </c:pt>
                <c:pt idx="377">
                  <c:v>44760</c:v>
                </c:pt>
                <c:pt idx="378">
                  <c:v>44767</c:v>
                </c:pt>
                <c:pt idx="379">
                  <c:v>44774</c:v>
                </c:pt>
                <c:pt idx="380">
                  <c:v>44781</c:v>
                </c:pt>
                <c:pt idx="381">
                  <c:v>44788</c:v>
                </c:pt>
                <c:pt idx="382">
                  <c:v>44795</c:v>
                </c:pt>
                <c:pt idx="383">
                  <c:v>44802</c:v>
                </c:pt>
                <c:pt idx="384">
                  <c:v>44810</c:v>
                </c:pt>
                <c:pt idx="385">
                  <c:v>44816</c:v>
                </c:pt>
                <c:pt idx="386">
                  <c:v>44823</c:v>
                </c:pt>
                <c:pt idx="387">
                  <c:v>44830</c:v>
                </c:pt>
                <c:pt idx="388">
                  <c:v>44837</c:v>
                </c:pt>
                <c:pt idx="389">
                  <c:v>44844</c:v>
                </c:pt>
                <c:pt idx="390">
                  <c:v>44851</c:v>
                </c:pt>
                <c:pt idx="391">
                  <c:v>44858</c:v>
                </c:pt>
                <c:pt idx="392">
                  <c:v>44865</c:v>
                </c:pt>
                <c:pt idx="393">
                  <c:v>44872</c:v>
                </c:pt>
                <c:pt idx="394">
                  <c:v>44879</c:v>
                </c:pt>
                <c:pt idx="395">
                  <c:v>44886</c:v>
                </c:pt>
                <c:pt idx="396">
                  <c:v>44893</c:v>
                </c:pt>
                <c:pt idx="397">
                  <c:v>44900</c:v>
                </c:pt>
                <c:pt idx="398">
                  <c:v>44907</c:v>
                </c:pt>
                <c:pt idx="399">
                  <c:v>44914</c:v>
                </c:pt>
                <c:pt idx="400">
                  <c:v>44922</c:v>
                </c:pt>
                <c:pt idx="401">
                  <c:v>44929</c:v>
                </c:pt>
                <c:pt idx="402">
                  <c:v>44935</c:v>
                </c:pt>
                <c:pt idx="403">
                  <c:v>44943</c:v>
                </c:pt>
                <c:pt idx="404">
                  <c:v>44949</c:v>
                </c:pt>
                <c:pt idx="405">
                  <c:v>44956</c:v>
                </c:pt>
                <c:pt idx="406">
                  <c:v>44963</c:v>
                </c:pt>
                <c:pt idx="407">
                  <c:v>44970</c:v>
                </c:pt>
                <c:pt idx="408">
                  <c:v>44978</c:v>
                </c:pt>
                <c:pt idx="409">
                  <c:v>44984</c:v>
                </c:pt>
                <c:pt idx="410">
                  <c:v>44991</c:v>
                </c:pt>
                <c:pt idx="411">
                  <c:v>44998</c:v>
                </c:pt>
                <c:pt idx="412">
                  <c:v>45005</c:v>
                </c:pt>
                <c:pt idx="413">
                  <c:v>45012</c:v>
                </c:pt>
                <c:pt idx="414">
                  <c:v>45019</c:v>
                </c:pt>
                <c:pt idx="415">
                  <c:v>45026</c:v>
                </c:pt>
                <c:pt idx="416">
                  <c:v>45033</c:v>
                </c:pt>
                <c:pt idx="417">
                  <c:v>45040</c:v>
                </c:pt>
                <c:pt idx="418">
                  <c:v>45047</c:v>
                </c:pt>
                <c:pt idx="419">
                  <c:v>45054</c:v>
                </c:pt>
                <c:pt idx="420">
                  <c:v>45061</c:v>
                </c:pt>
                <c:pt idx="421">
                  <c:v>45068</c:v>
                </c:pt>
                <c:pt idx="422">
                  <c:v>45076</c:v>
                </c:pt>
                <c:pt idx="423">
                  <c:v>45082</c:v>
                </c:pt>
                <c:pt idx="424">
                  <c:v>45089</c:v>
                </c:pt>
                <c:pt idx="425">
                  <c:v>45097</c:v>
                </c:pt>
                <c:pt idx="426">
                  <c:v>45103</c:v>
                </c:pt>
                <c:pt idx="427">
                  <c:v>45110</c:v>
                </c:pt>
                <c:pt idx="428">
                  <c:v>45117</c:v>
                </c:pt>
                <c:pt idx="429">
                  <c:v>45124</c:v>
                </c:pt>
                <c:pt idx="430">
                  <c:v>45131</c:v>
                </c:pt>
                <c:pt idx="431">
                  <c:v>45138</c:v>
                </c:pt>
                <c:pt idx="432">
                  <c:v>45145</c:v>
                </c:pt>
                <c:pt idx="433">
                  <c:v>45152</c:v>
                </c:pt>
                <c:pt idx="434">
                  <c:v>45159</c:v>
                </c:pt>
                <c:pt idx="435">
                  <c:v>45166</c:v>
                </c:pt>
                <c:pt idx="436">
                  <c:v>45174</c:v>
                </c:pt>
                <c:pt idx="437">
                  <c:v>45180</c:v>
                </c:pt>
                <c:pt idx="438">
                  <c:v>45187</c:v>
                </c:pt>
                <c:pt idx="439">
                  <c:v>45194</c:v>
                </c:pt>
                <c:pt idx="440">
                  <c:v>45201</c:v>
                </c:pt>
                <c:pt idx="441">
                  <c:v>45208</c:v>
                </c:pt>
                <c:pt idx="442">
                  <c:v>45215</c:v>
                </c:pt>
                <c:pt idx="443">
                  <c:v>45222</c:v>
                </c:pt>
                <c:pt idx="444">
                  <c:v>45229</c:v>
                </c:pt>
                <c:pt idx="445">
                  <c:v>45236</c:v>
                </c:pt>
                <c:pt idx="446">
                  <c:v>45243</c:v>
                </c:pt>
                <c:pt idx="447">
                  <c:v>45250</c:v>
                </c:pt>
                <c:pt idx="448">
                  <c:v>45257</c:v>
                </c:pt>
                <c:pt idx="449">
                  <c:v>45264</c:v>
                </c:pt>
                <c:pt idx="450">
                  <c:v>45271</c:v>
                </c:pt>
                <c:pt idx="451">
                  <c:v>45278</c:v>
                </c:pt>
                <c:pt idx="452">
                  <c:v>45286</c:v>
                </c:pt>
                <c:pt idx="453">
                  <c:v>45293</c:v>
                </c:pt>
                <c:pt idx="454">
                  <c:v>45299</c:v>
                </c:pt>
                <c:pt idx="455">
                  <c:v>45307</c:v>
                </c:pt>
                <c:pt idx="456">
                  <c:v>45313</c:v>
                </c:pt>
                <c:pt idx="457">
                  <c:v>45320</c:v>
                </c:pt>
                <c:pt idx="458">
                  <c:v>45327</c:v>
                </c:pt>
                <c:pt idx="459">
                  <c:v>45334</c:v>
                </c:pt>
                <c:pt idx="460">
                  <c:v>45342</c:v>
                </c:pt>
                <c:pt idx="461">
                  <c:v>45348</c:v>
                </c:pt>
                <c:pt idx="462">
                  <c:v>45355</c:v>
                </c:pt>
                <c:pt idx="463">
                  <c:v>45362</c:v>
                </c:pt>
                <c:pt idx="464">
                  <c:v>45369</c:v>
                </c:pt>
                <c:pt idx="465">
                  <c:v>45376</c:v>
                </c:pt>
                <c:pt idx="466">
                  <c:v>45383</c:v>
                </c:pt>
                <c:pt idx="467">
                  <c:v>45390</c:v>
                </c:pt>
                <c:pt idx="468">
                  <c:v>45397</c:v>
                </c:pt>
                <c:pt idx="469">
                  <c:v>45404</c:v>
                </c:pt>
                <c:pt idx="470">
                  <c:v>45411</c:v>
                </c:pt>
                <c:pt idx="471">
                  <c:v>45418</c:v>
                </c:pt>
                <c:pt idx="472">
                  <c:v>45425</c:v>
                </c:pt>
                <c:pt idx="473">
                  <c:v>45432</c:v>
                </c:pt>
                <c:pt idx="474">
                  <c:v>45440</c:v>
                </c:pt>
                <c:pt idx="475">
                  <c:v>45446</c:v>
                </c:pt>
                <c:pt idx="476">
                  <c:v>45453</c:v>
                </c:pt>
                <c:pt idx="477">
                  <c:v>45460</c:v>
                </c:pt>
                <c:pt idx="478">
                  <c:v>45467</c:v>
                </c:pt>
                <c:pt idx="479">
                  <c:v>45474</c:v>
                </c:pt>
                <c:pt idx="480">
                  <c:v>45481</c:v>
                </c:pt>
                <c:pt idx="481">
                  <c:v>45488</c:v>
                </c:pt>
                <c:pt idx="482">
                  <c:v>45495</c:v>
                </c:pt>
                <c:pt idx="483">
                  <c:v>45502</c:v>
                </c:pt>
                <c:pt idx="484">
                  <c:v>45509</c:v>
                </c:pt>
                <c:pt idx="485">
                  <c:v>45516</c:v>
                </c:pt>
                <c:pt idx="486">
                  <c:v>45523</c:v>
                </c:pt>
                <c:pt idx="487">
                  <c:v>45530</c:v>
                </c:pt>
                <c:pt idx="488">
                  <c:v>45538</c:v>
                </c:pt>
                <c:pt idx="489">
                  <c:v>45544</c:v>
                </c:pt>
                <c:pt idx="490">
                  <c:v>45551</c:v>
                </c:pt>
                <c:pt idx="491">
                  <c:v>45558</c:v>
                </c:pt>
                <c:pt idx="492">
                  <c:v>45565</c:v>
                </c:pt>
                <c:pt idx="493">
                  <c:v>45572</c:v>
                </c:pt>
                <c:pt idx="494">
                  <c:v>45579</c:v>
                </c:pt>
                <c:pt idx="495">
                  <c:v>45586</c:v>
                </c:pt>
                <c:pt idx="496">
                  <c:v>45593</c:v>
                </c:pt>
                <c:pt idx="497">
                  <c:v>45600</c:v>
                </c:pt>
                <c:pt idx="498">
                  <c:v>45607</c:v>
                </c:pt>
                <c:pt idx="499">
                  <c:v>45614</c:v>
                </c:pt>
                <c:pt idx="500">
                  <c:v>45621</c:v>
                </c:pt>
                <c:pt idx="501">
                  <c:v>45628</c:v>
                </c:pt>
                <c:pt idx="502">
                  <c:v>45635</c:v>
                </c:pt>
                <c:pt idx="503">
                  <c:v>45642</c:v>
                </c:pt>
                <c:pt idx="504">
                  <c:v>45649</c:v>
                </c:pt>
                <c:pt idx="505">
                  <c:v>45656</c:v>
                </c:pt>
                <c:pt idx="506">
                  <c:v>45663</c:v>
                </c:pt>
                <c:pt idx="507">
                  <c:v>45670</c:v>
                </c:pt>
                <c:pt idx="508">
                  <c:v>45678</c:v>
                </c:pt>
                <c:pt idx="509">
                  <c:v>45684</c:v>
                </c:pt>
                <c:pt idx="510">
                  <c:v>45691</c:v>
                </c:pt>
                <c:pt idx="511">
                  <c:v>45698</c:v>
                </c:pt>
                <c:pt idx="512">
                  <c:v>45706</c:v>
                </c:pt>
                <c:pt idx="513">
                  <c:v>45712</c:v>
                </c:pt>
                <c:pt idx="514">
                  <c:v>45719</c:v>
                </c:pt>
                <c:pt idx="515">
                  <c:v>45726</c:v>
                </c:pt>
                <c:pt idx="516">
                  <c:v>45733</c:v>
                </c:pt>
                <c:pt idx="517">
                  <c:v>45740</c:v>
                </c:pt>
                <c:pt idx="518">
                  <c:v>45747</c:v>
                </c:pt>
                <c:pt idx="519">
                  <c:v>45754</c:v>
                </c:pt>
                <c:pt idx="520">
                  <c:v>45761</c:v>
                </c:pt>
                <c:pt idx="521">
                  <c:v>45768</c:v>
                </c:pt>
                <c:pt idx="522">
                  <c:v>45775</c:v>
                </c:pt>
              </c:numCache>
            </c:numRef>
          </c:cat>
          <c:val>
            <c:numRef>
              <c:f>HPQ!$D$6:$D$528</c:f>
              <c:numCache>
                <c:formatCode>_([$$-409]* #,##0.00_);_([$$-409]* \(#,##0.00\);_([$$-409]* "-"??_);_(@_)</c:formatCode>
                <c:ptCount val="523"/>
                <c:pt idx="0">
                  <c:v>15.3454</c:v>
                </c:pt>
                <c:pt idx="1">
                  <c:v>15.1683</c:v>
                </c:pt>
                <c:pt idx="2">
                  <c:v>15.2546</c:v>
                </c:pt>
                <c:pt idx="3">
                  <c:v>15.7812</c:v>
                </c:pt>
                <c:pt idx="4">
                  <c:v>15.1638</c:v>
                </c:pt>
                <c:pt idx="5">
                  <c:v>14.9459</c:v>
                </c:pt>
                <c:pt idx="6">
                  <c:v>14.7143</c:v>
                </c:pt>
                <c:pt idx="7">
                  <c:v>14.4374</c:v>
                </c:pt>
                <c:pt idx="8">
                  <c:v>13.860799999999999</c:v>
                </c:pt>
                <c:pt idx="9">
                  <c:v>13.933400000000001</c:v>
                </c:pt>
                <c:pt idx="10">
                  <c:v>13.9153</c:v>
                </c:pt>
                <c:pt idx="11">
                  <c:v>13.7836</c:v>
                </c:pt>
                <c:pt idx="12">
                  <c:v>13.9879</c:v>
                </c:pt>
                <c:pt idx="13">
                  <c:v>13.856299999999999</c:v>
                </c:pt>
                <c:pt idx="14">
                  <c:v>13.3523</c:v>
                </c:pt>
                <c:pt idx="15">
                  <c:v>13.0345</c:v>
                </c:pt>
                <c:pt idx="16">
                  <c:v>12.471500000000001</c:v>
                </c:pt>
                <c:pt idx="17">
                  <c:v>12.7258</c:v>
                </c:pt>
                <c:pt idx="18">
                  <c:v>12.2536</c:v>
                </c:pt>
                <c:pt idx="19">
                  <c:v>12.3263</c:v>
                </c:pt>
                <c:pt idx="20">
                  <c:v>12.049300000000001</c:v>
                </c:pt>
                <c:pt idx="21">
                  <c:v>11.354699999999999</c:v>
                </c:pt>
                <c:pt idx="22">
                  <c:v>11.835900000000001</c:v>
                </c:pt>
                <c:pt idx="23">
                  <c:v>13.3024</c:v>
                </c:pt>
                <c:pt idx="24">
                  <c:v>13.102600000000001</c:v>
                </c:pt>
                <c:pt idx="25">
                  <c:v>13.1798</c:v>
                </c:pt>
                <c:pt idx="26">
                  <c:v>12.24</c:v>
                </c:pt>
                <c:pt idx="27">
                  <c:v>14.01</c:v>
                </c:pt>
                <c:pt idx="28">
                  <c:v>13.11</c:v>
                </c:pt>
                <c:pt idx="29">
                  <c:v>14.06</c:v>
                </c:pt>
                <c:pt idx="30">
                  <c:v>12.61</c:v>
                </c:pt>
                <c:pt idx="31">
                  <c:v>12.32</c:v>
                </c:pt>
                <c:pt idx="32">
                  <c:v>12.21</c:v>
                </c:pt>
                <c:pt idx="33">
                  <c:v>11.51</c:v>
                </c:pt>
                <c:pt idx="34">
                  <c:v>11.73</c:v>
                </c:pt>
                <c:pt idx="35">
                  <c:v>11.84</c:v>
                </c:pt>
                <c:pt idx="36">
                  <c:v>10.58</c:v>
                </c:pt>
                <c:pt idx="37">
                  <c:v>10.11</c:v>
                </c:pt>
                <c:pt idx="38">
                  <c:v>9.8000000000000007</c:v>
                </c:pt>
                <c:pt idx="39">
                  <c:v>9.7100000000000009</c:v>
                </c:pt>
                <c:pt idx="40">
                  <c:v>9.91</c:v>
                </c:pt>
                <c:pt idx="41">
                  <c:v>9.42</c:v>
                </c:pt>
                <c:pt idx="42">
                  <c:v>10.32</c:v>
                </c:pt>
                <c:pt idx="43">
                  <c:v>10.64</c:v>
                </c:pt>
                <c:pt idx="44">
                  <c:v>11.18</c:v>
                </c:pt>
                <c:pt idx="45">
                  <c:v>11.7</c:v>
                </c:pt>
                <c:pt idx="46">
                  <c:v>12.18</c:v>
                </c:pt>
                <c:pt idx="47">
                  <c:v>12.07</c:v>
                </c:pt>
                <c:pt idx="48">
                  <c:v>12.26</c:v>
                </c:pt>
                <c:pt idx="49">
                  <c:v>12.06</c:v>
                </c:pt>
                <c:pt idx="50">
                  <c:v>12.52</c:v>
                </c:pt>
                <c:pt idx="51">
                  <c:v>12.61</c:v>
                </c:pt>
                <c:pt idx="52">
                  <c:v>12.27</c:v>
                </c:pt>
                <c:pt idx="53">
                  <c:v>11.59</c:v>
                </c:pt>
                <c:pt idx="54">
                  <c:v>11.5</c:v>
                </c:pt>
                <c:pt idx="55">
                  <c:v>11.66</c:v>
                </c:pt>
                <c:pt idx="56">
                  <c:v>13.17</c:v>
                </c:pt>
                <c:pt idx="57">
                  <c:v>13.44</c:v>
                </c:pt>
                <c:pt idx="58">
                  <c:v>13.5</c:v>
                </c:pt>
                <c:pt idx="59">
                  <c:v>13.12</c:v>
                </c:pt>
                <c:pt idx="60">
                  <c:v>12.26</c:v>
                </c:pt>
                <c:pt idx="61">
                  <c:v>12.73</c:v>
                </c:pt>
                <c:pt idx="62">
                  <c:v>13.08</c:v>
                </c:pt>
                <c:pt idx="63">
                  <c:v>13.85</c:v>
                </c:pt>
                <c:pt idx="64">
                  <c:v>14.11</c:v>
                </c:pt>
                <c:pt idx="65">
                  <c:v>14.01</c:v>
                </c:pt>
                <c:pt idx="66">
                  <c:v>14.28</c:v>
                </c:pt>
                <c:pt idx="67">
                  <c:v>14.28</c:v>
                </c:pt>
                <c:pt idx="68">
                  <c:v>14.42</c:v>
                </c:pt>
                <c:pt idx="69">
                  <c:v>14.39</c:v>
                </c:pt>
                <c:pt idx="70">
                  <c:v>14.49</c:v>
                </c:pt>
                <c:pt idx="71">
                  <c:v>14.07</c:v>
                </c:pt>
                <c:pt idx="72">
                  <c:v>14.53</c:v>
                </c:pt>
                <c:pt idx="73">
                  <c:v>15.09</c:v>
                </c:pt>
                <c:pt idx="74">
                  <c:v>15.53</c:v>
                </c:pt>
                <c:pt idx="75">
                  <c:v>15.58</c:v>
                </c:pt>
                <c:pt idx="76">
                  <c:v>14.48</c:v>
                </c:pt>
                <c:pt idx="77">
                  <c:v>13.8</c:v>
                </c:pt>
                <c:pt idx="78">
                  <c:v>14.09</c:v>
                </c:pt>
                <c:pt idx="79">
                  <c:v>14.71</c:v>
                </c:pt>
                <c:pt idx="80">
                  <c:v>15.82</c:v>
                </c:pt>
                <c:pt idx="81">
                  <c:v>15.87</c:v>
                </c:pt>
                <c:pt idx="82">
                  <c:v>15.18</c:v>
                </c:pt>
                <c:pt idx="83">
                  <c:v>15.12</c:v>
                </c:pt>
                <c:pt idx="84">
                  <c:v>15.78</c:v>
                </c:pt>
                <c:pt idx="85">
                  <c:v>15.05</c:v>
                </c:pt>
                <c:pt idx="86">
                  <c:v>15.1</c:v>
                </c:pt>
                <c:pt idx="87">
                  <c:v>14.84</c:v>
                </c:pt>
                <c:pt idx="88">
                  <c:v>15</c:v>
                </c:pt>
                <c:pt idx="89">
                  <c:v>14.77</c:v>
                </c:pt>
                <c:pt idx="90">
                  <c:v>14.73</c:v>
                </c:pt>
                <c:pt idx="91">
                  <c:v>14.8</c:v>
                </c:pt>
                <c:pt idx="92">
                  <c:v>15.27</c:v>
                </c:pt>
                <c:pt idx="93">
                  <c:v>15.72</c:v>
                </c:pt>
                <c:pt idx="94">
                  <c:v>15.95</c:v>
                </c:pt>
                <c:pt idx="95">
                  <c:v>17.649999999999999</c:v>
                </c:pt>
                <c:pt idx="96">
                  <c:v>17.350000000000001</c:v>
                </c:pt>
                <c:pt idx="97">
                  <c:v>17.39</c:v>
                </c:pt>
                <c:pt idx="98">
                  <c:v>17.559999999999999</c:v>
                </c:pt>
                <c:pt idx="99">
                  <c:v>17.23</c:v>
                </c:pt>
                <c:pt idx="100">
                  <c:v>17.88</c:v>
                </c:pt>
                <c:pt idx="101">
                  <c:v>17.37</c:v>
                </c:pt>
                <c:pt idx="102">
                  <c:v>18.2</c:v>
                </c:pt>
                <c:pt idx="103">
                  <c:v>18.29</c:v>
                </c:pt>
                <c:pt idx="104">
                  <c:v>18.82</c:v>
                </c:pt>
                <c:pt idx="105">
                  <c:v>18.91</c:v>
                </c:pt>
                <c:pt idx="106">
                  <c:v>19.3</c:v>
                </c:pt>
                <c:pt idx="107">
                  <c:v>19</c:v>
                </c:pt>
                <c:pt idx="108">
                  <c:v>18.47</c:v>
                </c:pt>
                <c:pt idx="109">
                  <c:v>18.98</c:v>
                </c:pt>
                <c:pt idx="110">
                  <c:v>17.8</c:v>
                </c:pt>
                <c:pt idx="111">
                  <c:v>17.350000000000001</c:v>
                </c:pt>
                <c:pt idx="112">
                  <c:v>17.8</c:v>
                </c:pt>
                <c:pt idx="113">
                  <c:v>17.48</c:v>
                </c:pt>
                <c:pt idx="114">
                  <c:v>17.350000000000001</c:v>
                </c:pt>
                <c:pt idx="115">
                  <c:v>18.420000000000002</c:v>
                </c:pt>
                <c:pt idx="116">
                  <c:v>19.149999999999999</c:v>
                </c:pt>
                <c:pt idx="117">
                  <c:v>19.170000000000002</c:v>
                </c:pt>
                <c:pt idx="118">
                  <c:v>19.37</c:v>
                </c:pt>
                <c:pt idx="119">
                  <c:v>18.899999999999999</c:v>
                </c:pt>
                <c:pt idx="120">
                  <c:v>18.510000000000002</c:v>
                </c:pt>
                <c:pt idx="121">
                  <c:v>19.309999999999999</c:v>
                </c:pt>
                <c:pt idx="122">
                  <c:v>19.36</c:v>
                </c:pt>
                <c:pt idx="123">
                  <c:v>19.12</c:v>
                </c:pt>
                <c:pt idx="124">
                  <c:v>19.47</c:v>
                </c:pt>
                <c:pt idx="125">
                  <c:v>19.940000000000001</c:v>
                </c:pt>
                <c:pt idx="126">
                  <c:v>19.96</c:v>
                </c:pt>
                <c:pt idx="127">
                  <c:v>20.58</c:v>
                </c:pt>
                <c:pt idx="128">
                  <c:v>21.71</c:v>
                </c:pt>
                <c:pt idx="129">
                  <c:v>22.02</c:v>
                </c:pt>
                <c:pt idx="130">
                  <c:v>21.5</c:v>
                </c:pt>
                <c:pt idx="131">
                  <c:v>21.47</c:v>
                </c:pt>
                <c:pt idx="132">
                  <c:v>21.23</c:v>
                </c:pt>
                <c:pt idx="133">
                  <c:v>21.75</c:v>
                </c:pt>
                <c:pt idx="134">
                  <c:v>21.24</c:v>
                </c:pt>
                <c:pt idx="135">
                  <c:v>21.41</c:v>
                </c:pt>
                <c:pt idx="136">
                  <c:v>21.07</c:v>
                </c:pt>
                <c:pt idx="137">
                  <c:v>20.92</c:v>
                </c:pt>
                <c:pt idx="138">
                  <c:v>21.26</c:v>
                </c:pt>
                <c:pt idx="139">
                  <c:v>21.01</c:v>
                </c:pt>
                <c:pt idx="140">
                  <c:v>21.75</c:v>
                </c:pt>
                <c:pt idx="141">
                  <c:v>22.92</c:v>
                </c:pt>
                <c:pt idx="142">
                  <c:v>23.7</c:v>
                </c:pt>
                <c:pt idx="143">
                  <c:v>23.91</c:v>
                </c:pt>
                <c:pt idx="144">
                  <c:v>22.48</c:v>
                </c:pt>
                <c:pt idx="145">
                  <c:v>20.11</c:v>
                </c:pt>
                <c:pt idx="146">
                  <c:v>21.4</c:v>
                </c:pt>
                <c:pt idx="147">
                  <c:v>22.13</c:v>
                </c:pt>
                <c:pt idx="148">
                  <c:v>23.57</c:v>
                </c:pt>
                <c:pt idx="149">
                  <c:v>24.65</c:v>
                </c:pt>
                <c:pt idx="150">
                  <c:v>23.51</c:v>
                </c:pt>
                <c:pt idx="151">
                  <c:v>21.85</c:v>
                </c:pt>
                <c:pt idx="152">
                  <c:v>21.92</c:v>
                </c:pt>
                <c:pt idx="153">
                  <c:v>20.78</c:v>
                </c:pt>
                <c:pt idx="154">
                  <c:v>21.77</c:v>
                </c:pt>
                <c:pt idx="155">
                  <c:v>21.53</c:v>
                </c:pt>
                <c:pt idx="156">
                  <c:v>21.61</c:v>
                </c:pt>
                <c:pt idx="157">
                  <c:v>21.68</c:v>
                </c:pt>
                <c:pt idx="158">
                  <c:v>22.71</c:v>
                </c:pt>
                <c:pt idx="159">
                  <c:v>22.14</c:v>
                </c:pt>
                <c:pt idx="160">
                  <c:v>21.91</c:v>
                </c:pt>
                <c:pt idx="161">
                  <c:v>22.68</c:v>
                </c:pt>
                <c:pt idx="162">
                  <c:v>23.71</c:v>
                </c:pt>
                <c:pt idx="163">
                  <c:v>23.59</c:v>
                </c:pt>
                <c:pt idx="164">
                  <c:v>23.8</c:v>
                </c:pt>
                <c:pt idx="165">
                  <c:v>22.69</c:v>
                </c:pt>
                <c:pt idx="166">
                  <c:v>23.01</c:v>
                </c:pt>
                <c:pt idx="167">
                  <c:v>23.71</c:v>
                </c:pt>
                <c:pt idx="168">
                  <c:v>22.94</c:v>
                </c:pt>
                <c:pt idx="169">
                  <c:v>23.23</c:v>
                </c:pt>
                <c:pt idx="170">
                  <c:v>23.34</c:v>
                </c:pt>
                <c:pt idx="171">
                  <c:v>23.99</c:v>
                </c:pt>
                <c:pt idx="172">
                  <c:v>24.54</c:v>
                </c:pt>
                <c:pt idx="173">
                  <c:v>24.15</c:v>
                </c:pt>
                <c:pt idx="174">
                  <c:v>24.65</c:v>
                </c:pt>
                <c:pt idx="175">
                  <c:v>24.71</c:v>
                </c:pt>
                <c:pt idx="176">
                  <c:v>25.04</c:v>
                </c:pt>
                <c:pt idx="177">
                  <c:v>25.83</c:v>
                </c:pt>
                <c:pt idx="178">
                  <c:v>25.77</c:v>
                </c:pt>
                <c:pt idx="179">
                  <c:v>25.34</c:v>
                </c:pt>
                <c:pt idx="180">
                  <c:v>23.67</c:v>
                </c:pt>
                <c:pt idx="181">
                  <c:v>23.84</c:v>
                </c:pt>
                <c:pt idx="182">
                  <c:v>23.13</c:v>
                </c:pt>
                <c:pt idx="183">
                  <c:v>24.63</c:v>
                </c:pt>
                <c:pt idx="184">
                  <c:v>25</c:v>
                </c:pt>
                <c:pt idx="185">
                  <c:v>24.16</c:v>
                </c:pt>
                <c:pt idx="186">
                  <c:v>22.51</c:v>
                </c:pt>
                <c:pt idx="187">
                  <c:v>23</c:v>
                </c:pt>
                <c:pt idx="188">
                  <c:v>22.93</c:v>
                </c:pt>
                <c:pt idx="189">
                  <c:v>22.01</c:v>
                </c:pt>
                <c:pt idx="190">
                  <c:v>19.649999999999999</c:v>
                </c:pt>
                <c:pt idx="191">
                  <c:v>20.34</c:v>
                </c:pt>
                <c:pt idx="192">
                  <c:v>20.72</c:v>
                </c:pt>
                <c:pt idx="193">
                  <c:v>21.17</c:v>
                </c:pt>
                <c:pt idx="194">
                  <c:v>21.75</c:v>
                </c:pt>
                <c:pt idx="195">
                  <c:v>22.1</c:v>
                </c:pt>
                <c:pt idx="196">
                  <c:v>22.26</c:v>
                </c:pt>
                <c:pt idx="197">
                  <c:v>22.92</c:v>
                </c:pt>
                <c:pt idx="198">
                  <c:v>23.28</c:v>
                </c:pt>
                <c:pt idx="199">
                  <c:v>23.74</c:v>
                </c:pt>
                <c:pt idx="200">
                  <c:v>19.600000000000001</c:v>
                </c:pt>
                <c:pt idx="201">
                  <c:v>18.739999999999998</c:v>
                </c:pt>
                <c:pt idx="202">
                  <c:v>19.940000000000001</c:v>
                </c:pt>
                <c:pt idx="203">
                  <c:v>19.34</c:v>
                </c:pt>
                <c:pt idx="204">
                  <c:v>19.43</c:v>
                </c:pt>
                <c:pt idx="205">
                  <c:v>19.79</c:v>
                </c:pt>
                <c:pt idx="206">
                  <c:v>20.21</c:v>
                </c:pt>
                <c:pt idx="207">
                  <c:v>20.52</c:v>
                </c:pt>
                <c:pt idx="208">
                  <c:v>19.41</c:v>
                </c:pt>
                <c:pt idx="209">
                  <c:v>20.29</c:v>
                </c:pt>
                <c:pt idx="210">
                  <c:v>19.12</c:v>
                </c:pt>
                <c:pt idx="211">
                  <c:v>19.02</c:v>
                </c:pt>
                <c:pt idx="212">
                  <c:v>20.03</c:v>
                </c:pt>
                <c:pt idx="213">
                  <c:v>18.68</c:v>
                </c:pt>
                <c:pt idx="214">
                  <c:v>19.71</c:v>
                </c:pt>
                <c:pt idx="215">
                  <c:v>19.91</c:v>
                </c:pt>
                <c:pt idx="216">
                  <c:v>20.7</c:v>
                </c:pt>
                <c:pt idx="217">
                  <c:v>20.79</c:v>
                </c:pt>
                <c:pt idx="218">
                  <c:v>21.16</c:v>
                </c:pt>
                <c:pt idx="219">
                  <c:v>21.23</c:v>
                </c:pt>
                <c:pt idx="220">
                  <c:v>21.39</c:v>
                </c:pt>
                <c:pt idx="221">
                  <c:v>21.52</c:v>
                </c:pt>
                <c:pt idx="222">
                  <c:v>20.14</c:v>
                </c:pt>
                <c:pt idx="223">
                  <c:v>19.28</c:v>
                </c:pt>
                <c:pt idx="224">
                  <c:v>19.079999999999998</c:v>
                </c:pt>
                <c:pt idx="225">
                  <c:v>17.809999999999999</c:v>
                </c:pt>
                <c:pt idx="226">
                  <c:v>18.29</c:v>
                </c:pt>
                <c:pt idx="227">
                  <c:v>19.100000000000001</c:v>
                </c:pt>
                <c:pt idx="228">
                  <c:v>19.079999999999998</c:v>
                </c:pt>
                <c:pt idx="229">
                  <c:v>18.47</c:v>
                </c:pt>
                <c:pt idx="230">
                  <c:v>18.53</c:v>
                </c:pt>
                <c:pt idx="231">
                  <c:v>16.64</c:v>
                </c:pt>
                <c:pt idx="232">
                  <c:v>16.239999999999998</c:v>
                </c:pt>
                <c:pt idx="233">
                  <c:v>16.850000000000001</c:v>
                </c:pt>
                <c:pt idx="234">
                  <c:v>17.329999999999998</c:v>
                </c:pt>
                <c:pt idx="235">
                  <c:v>17.78</c:v>
                </c:pt>
                <c:pt idx="236">
                  <c:v>19.52</c:v>
                </c:pt>
                <c:pt idx="237">
                  <c:v>20.18</c:v>
                </c:pt>
                <c:pt idx="238">
                  <c:v>19.940000000000001</c:v>
                </c:pt>
                <c:pt idx="239">
                  <c:v>20.079999999999998</c:v>
                </c:pt>
                <c:pt idx="240">
                  <c:v>20.5</c:v>
                </c:pt>
                <c:pt idx="241">
                  <c:v>20.350000000000001</c:v>
                </c:pt>
                <c:pt idx="242">
                  <c:v>20.56</c:v>
                </c:pt>
                <c:pt idx="243">
                  <c:v>20.53</c:v>
                </c:pt>
                <c:pt idx="244">
                  <c:v>20.53</c:v>
                </c:pt>
                <c:pt idx="245">
                  <c:v>21.38</c:v>
                </c:pt>
                <c:pt idx="246">
                  <c:v>21.97</c:v>
                </c:pt>
                <c:pt idx="247">
                  <c:v>21.98</c:v>
                </c:pt>
                <c:pt idx="248">
                  <c:v>21.32</c:v>
                </c:pt>
                <c:pt idx="249">
                  <c:v>21.73</c:v>
                </c:pt>
                <c:pt idx="250">
                  <c:v>22.37</c:v>
                </c:pt>
                <c:pt idx="251">
                  <c:v>22.7</c:v>
                </c:pt>
                <c:pt idx="252">
                  <c:v>20.79</c:v>
                </c:pt>
                <c:pt idx="253">
                  <c:v>21.41</c:v>
                </c:pt>
                <c:pt idx="254">
                  <c:v>17.18</c:v>
                </c:pt>
                <c:pt idx="255">
                  <c:v>13.95</c:v>
                </c:pt>
                <c:pt idx="256">
                  <c:v>16.86</c:v>
                </c:pt>
                <c:pt idx="257">
                  <c:v>14.48</c:v>
                </c:pt>
                <c:pt idx="258">
                  <c:v>15.97</c:v>
                </c:pt>
                <c:pt idx="259">
                  <c:v>15.52</c:v>
                </c:pt>
                <c:pt idx="260">
                  <c:v>15</c:v>
                </c:pt>
                <c:pt idx="261">
                  <c:v>14.71</c:v>
                </c:pt>
                <c:pt idx="262">
                  <c:v>15.66</c:v>
                </c:pt>
                <c:pt idx="263">
                  <c:v>14.86</c:v>
                </c:pt>
                <c:pt idx="264">
                  <c:v>17</c:v>
                </c:pt>
                <c:pt idx="265">
                  <c:v>15.14</c:v>
                </c:pt>
                <c:pt idx="266">
                  <c:v>17.41</c:v>
                </c:pt>
                <c:pt idx="267">
                  <c:v>16.28</c:v>
                </c:pt>
                <c:pt idx="268">
                  <c:v>16.78</c:v>
                </c:pt>
                <c:pt idx="269">
                  <c:v>16.61</c:v>
                </c:pt>
                <c:pt idx="270">
                  <c:v>17.07</c:v>
                </c:pt>
                <c:pt idx="271">
                  <c:v>16.989999999999998</c:v>
                </c:pt>
                <c:pt idx="272">
                  <c:v>17.55</c:v>
                </c:pt>
                <c:pt idx="273">
                  <c:v>17.5</c:v>
                </c:pt>
                <c:pt idx="274">
                  <c:v>17.579999999999998</c:v>
                </c:pt>
                <c:pt idx="275">
                  <c:v>18.47</c:v>
                </c:pt>
                <c:pt idx="276">
                  <c:v>18.18</c:v>
                </c:pt>
                <c:pt idx="277">
                  <c:v>18.23</c:v>
                </c:pt>
                <c:pt idx="278">
                  <c:v>19.850000000000001</c:v>
                </c:pt>
                <c:pt idx="279">
                  <c:v>19.23</c:v>
                </c:pt>
                <c:pt idx="280">
                  <c:v>19.29</c:v>
                </c:pt>
                <c:pt idx="281">
                  <c:v>18.95</c:v>
                </c:pt>
                <c:pt idx="282">
                  <c:v>18.3</c:v>
                </c:pt>
                <c:pt idx="283">
                  <c:v>19.09</c:v>
                </c:pt>
                <c:pt idx="284">
                  <c:v>19.37</c:v>
                </c:pt>
                <c:pt idx="285">
                  <c:v>19.600000000000001</c:v>
                </c:pt>
                <c:pt idx="286">
                  <c:v>19.12</c:v>
                </c:pt>
                <c:pt idx="287">
                  <c:v>17.96</c:v>
                </c:pt>
                <c:pt idx="288">
                  <c:v>19.25</c:v>
                </c:pt>
                <c:pt idx="289">
                  <c:v>19.61</c:v>
                </c:pt>
                <c:pt idx="290">
                  <c:v>20.45</c:v>
                </c:pt>
                <c:pt idx="291">
                  <c:v>22.27</c:v>
                </c:pt>
                <c:pt idx="292">
                  <c:v>23.78</c:v>
                </c:pt>
                <c:pt idx="293">
                  <c:v>23.11</c:v>
                </c:pt>
                <c:pt idx="294">
                  <c:v>24.46</c:v>
                </c:pt>
                <c:pt idx="295">
                  <c:v>24.26</c:v>
                </c:pt>
                <c:pt idx="296">
                  <c:v>24.59</c:v>
                </c:pt>
                <c:pt idx="297">
                  <c:v>25.53</c:v>
                </c:pt>
                <c:pt idx="298">
                  <c:v>25.17</c:v>
                </c:pt>
                <c:pt idx="299">
                  <c:v>25.27</c:v>
                </c:pt>
                <c:pt idx="300">
                  <c:v>24.34</c:v>
                </c:pt>
                <c:pt idx="301">
                  <c:v>26.15</c:v>
                </c:pt>
                <c:pt idx="302">
                  <c:v>27.49</c:v>
                </c:pt>
                <c:pt idx="303">
                  <c:v>27.1</c:v>
                </c:pt>
                <c:pt idx="304">
                  <c:v>28.97</c:v>
                </c:pt>
                <c:pt idx="305">
                  <c:v>29.75</c:v>
                </c:pt>
                <c:pt idx="306">
                  <c:v>30.28</c:v>
                </c:pt>
                <c:pt idx="307">
                  <c:v>30.08</c:v>
                </c:pt>
                <c:pt idx="308">
                  <c:v>31.66</c:v>
                </c:pt>
                <c:pt idx="309">
                  <c:v>32.049999999999997</c:v>
                </c:pt>
                <c:pt idx="310">
                  <c:v>32.979999999999997</c:v>
                </c:pt>
                <c:pt idx="311">
                  <c:v>33.979999999999997</c:v>
                </c:pt>
                <c:pt idx="312">
                  <c:v>34.42</c:v>
                </c:pt>
                <c:pt idx="313">
                  <c:v>34.11</c:v>
                </c:pt>
                <c:pt idx="314">
                  <c:v>35.57</c:v>
                </c:pt>
                <c:pt idx="315">
                  <c:v>32.92</c:v>
                </c:pt>
                <c:pt idx="316">
                  <c:v>31.66</c:v>
                </c:pt>
                <c:pt idx="317">
                  <c:v>29.23</c:v>
                </c:pt>
                <c:pt idx="318">
                  <c:v>30.63</c:v>
                </c:pt>
                <c:pt idx="319">
                  <c:v>30.08</c:v>
                </c:pt>
                <c:pt idx="320">
                  <c:v>28.67</c:v>
                </c:pt>
                <c:pt idx="321">
                  <c:v>29.71</c:v>
                </c:pt>
                <c:pt idx="322">
                  <c:v>30.7</c:v>
                </c:pt>
                <c:pt idx="323">
                  <c:v>30.04</c:v>
                </c:pt>
                <c:pt idx="324">
                  <c:v>27.52</c:v>
                </c:pt>
                <c:pt idx="325">
                  <c:v>28.2</c:v>
                </c:pt>
                <c:pt idx="326">
                  <c:v>28.87</c:v>
                </c:pt>
                <c:pt idx="327">
                  <c:v>29.32</c:v>
                </c:pt>
                <c:pt idx="328">
                  <c:v>29.01</c:v>
                </c:pt>
                <c:pt idx="329">
                  <c:v>28.22</c:v>
                </c:pt>
                <c:pt idx="330">
                  <c:v>28.92</c:v>
                </c:pt>
                <c:pt idx="331">
                  <c:v>29.86</c:v>
                </c:pt>
                <c:pt idx="332">
                  <c:v>28</c:v>
                </c:pt>
                <c:pt idx="333">
                  <c:v>27.68</c:v>
                </c:pt>
                <c:pt idx="334">
                  <c:v>27.89</c:v>
                </c:pt>
                <c:pt idx="335">
                  <c:v>28.07</c:v>
                </c:pt>
                <c:pt idx="336">
                  <c:v>27.89</c:v>
                </c:pt>
                <c:pt idx="337">
                  <c:v>28.28</c:v>
                </c:pt>
                <c:pt idx="338">
                  <c:v>30.47</c:v>
                </c:pt>
                <c:pt idx="339">
                  <c:v>30.33</c:v>
                </c:pt>
                <c:pt idx="340">
                  <c:v>31.95</c:v>
                </c:pt>
                <c:pt idx="341">
                  <c:v>31.82</c:v>
                </c:pt>
                <c:pt idx="342">
                  <c:v>31.45</c:v>
                </c:pt>
                <c:pt idx="343">
                  <c:v>34.58</c:v>
                </c:pt>
                <c:pt idx="344">
                  <c:v>37.549999999999997</c:v>
                </c:pt>
                <c:pt idx="345">
                  <c:v>36.43</c:v>
                </c:pt>
                <c:pt idx="346">
                  <c:v>36.57</c:v>
                </c:pt>
                <c:pt idx="347">
                  <c:v>37.65</c:v>
                </c:pt>
                <c:pt idx="348">
                  <c:v>37.67</c:v>
                </c:pt>
                <c:pt idx="349">
                  <c:v>38.65</c:v>
                </c:pt>
                <c:pt idx="350">
                  <c:v>38.42</c:v>
                </c:pt>
                <c:pt idx="351">
                  <c:v>34.86</c:v>
                </c:pt>
                <c:pt idx="352">
                  <c:v>36.299999999999997</c:v>
                </c:pt>
                <c:pt idx="353">
                  <c:v>37.6</c:v>
                </c:pt>
                <c:pt idx="354">
                  <c:v>37.33</c:v>
                </c:pt>
                <c:pt idx="355">
                  <c:v>36.200000000000003</c:v>
                </c:pt>
                <c:pt idx="356">
                  <c:v>34.450000000000003</c:v>
                </c:pt>
                <c:pt idx="357">
                  <c:v>36.35</c:v>
                </c:pt>
                <c:pt idx="358">
                  <c:v>36.29</c:v>
                </c:pt>
                <c:pt idx="359">
                  <c:v>37.090000000000003</c:v>
                </c:pt>
                <c:pt idx="360">
                  <c:v>39.840000000000003</c:v>
                </c:pt>
                <c:pt idx="361">
                  <c:v>35.6</c:v>
                </c:pt>
                <c:pt idx="362">
                  <c:v>38.630000000000003</c:v>
                </c:pt>
                <c:pt idx="363">
                  <c:v>37.47</c:v>
                </c:pt>
                <c:pt idx="364">
                  <c:v>36.79</c:v>
                </c:pt>
                <c:pt idx="365">
                  <c:v>36.630000000000003</c:v>
                </c:pt>
                <c:pt idx="366">
                  <c:v>37.090000000000003</c:v>
                </c:pt>
                <c:pt idx="367">
                  <c:v>36.78</c:v>
                </c:pt>
                <c:pt idx="368">
                  <c:v>34.65</c:v>
                </c:pt>
                <c:pt idx="369">
                  <c:v>38.75</c:v>
                </c:pt>
                <c:pt idx="370">
                  <c:v>39.81</c:v>
                </c:pt>
                <c:pt idx="371">
                  <c:v>35.28</c:v>
                </c:pt>
                <c:pt idx="372">
                  <c:v>33.549999999999997</c:v>
                </c:pt>
                <c:pt idx="373">
                  <c:v>35.229999999999997</c:v>
                </c:pt>
                <c:pt idx="374">
                  <c:v>31.87</c:v>
                </c:pt>
                <c:pt idx="375">
                  <c:v>32.11</c:v>
                </c:pt>
                <c:pt idx="376">
                  <c:v>31.66</c:v>
                </c:pt>
                <c:pt idx="377">
                  <c:v>32.47</c:v>
                </c:pt>
                <c:pt idx="378">
                  <c:v>33.39</c:v>
                </c:pt>
                <c:pt idx="379">
                  <c:v>33.58</c:v>
                </c:pt>
                <c:pt idx="380">
                  <c:v>34.65</c:v>
                </c:pt>
                <c:pt idx="381">
                  <c:v>34.229999999999997</c:v>
                </c:pt>
                <c:pt idx="382">
                  <c:v>31.39</c:v>
                </c:pt>
                <c:pt idx="383">
                  <c:v>27.64</c:v>
                </c:pt>
                <c:pt idx="384">
                  <c:v>28.26</c:v>
                </c:pt>
                <c:pt idx="385">
                  <c:v>27.23</c:v>
                </c:pt>
                <c:pt idx="386">
                  <c:v>25.35</c:v>
                </c:pt>
                <c:pt idx="387">
                  <c:v>24.92</c:v>
                </c:pt>
                <c:pt idx="388">
                  <c:v>25.04</c:v>
                </c:pt>
                <c:pt idx="389">
                  <c:v>25.44</c:v>
                </c:pt>
                <c:pt idx="390">
                  <c:v>26.79</c:v>
                </c:pt>
                <c:pt idx="391">
                  <c:v>28.05</c:v>
                </c:pt>
                <c:pt idx="392">
                  <c:v>28.29</c:v>
                </c:pt>
                <c:pt idx="393">
                  <c:v>30.55</c:v>
                </c:pt>
                <c:pt idx="394">
                  <c:v>29.48</c:v>
                </c:pt>
                <c:pt idx="395">
                  <c:v>30.15</c:v>
                </c:pt>
                <c:pt idx="396">
                  <c:v>29.64</c:v>
                </c:pt>
                <c:pt idx="397">
                  <c:v>28.21</c:v>
                </c:pt>
                <c:pt idx="398">
                  <c:v>26.72</c:v>
                </c:pt>
                <c:pt idx="399">
                  <c:v>26.76</c:v>
                </c:pt>
                <c:pt idx="400">
                  <c:v>26.87</c:v>
                </c:pt>
                <c:pt idx="401">
                  <c:v>28.36</c:v>
                </c:pt>
                <c:pt idx="402">
                  <c:v>27.91</c:v>
                </c:pt>
                <c:pt idx="403">
                  <c:v>27.91</c:v>
                </c:pt>
                <c:pt idx="404">
                  <c:v>29.23</c:v>
                </c:pt>
                <c:pt idx="405">
                  <c:v>30.51</c:v>
                </c:pt>
                <c:pt idx="406">
                  <c:v>29.97</c:v>
                </c:pt>
                <c:pt idx="407">
                  <c:v>30.16</c:v>
                </c:pt>
                <c:pt idx="408">
                  <c:v>29.22</c:v>
                </c:pt>
                <c:pt idx="409">
                  <c:v>28.61</c:v>
                </c:pt>
                <c:pt idx="410">
                  <c:v>27.45</c:v>
                </c:pt>
                <c:pt idx="411">
                  <c:v>28.04</c:v>
                </c:pt>
                <c:pt idx="412">
                  <c:v>27.72</c:v>
                </c:pt>
                <c:pt idx="413">
                  <c:v>29.35</c:v>
                </c:pt>
                <c:pt idx="414">
                  <c:v>29.29</c:v>
                </c:pt>
                <c:pt idx="415">
                  <c:v>29.82</c:v>
                </c:pt>
                <c:pt idx="416">
                  <c:v>29.48</c:v>
                </c:pt>
                <c:pt idx="417">
                  <c:v>29.71</c:v>
                </c:pt>
                <c:pt idx="418">
                  <c:v>30.13</c:v>
                </c:pt>
                <c:pt idx="419">
                  <c:v>28.9</c:v>
                </c:pt>
                <c:pt idx="420">
                  <c:v>30.54</c:v>
                </c:pt>
                <c:pt idx="421">
                  <c:v>31.3</c:v>
                </c:pt>
                <c:pt idx="422">
                  <c:v>30.55</c:v>
                </c:pt>
                <c:pt idx="423">
                  <c:v>29.8</c:v>
                </c:pt>
                <c:pt idx="424">
                  <c:v>31</c:v>
                </c:pt>
                <c:pt idx="425">
                  <c:v>29.61</c:v>
                </c:pt>
                <c:pt idx="426">
                  <c:v>30.71</c:v>
                </c:pt>
                <c:pt idx="427">
                  <c:v>31.13</c:v>
                </c:pt>
                <c:pt idx="428">
                  <c:v>32.79</c:v>
                </c:pt>
                <c:pt idx="429">
                  <c:v>32.24</c:v>
                </c:pt>
                <c:pt idx="430">
                  <c:v>32.630000000000003</c:v>
                </c:pt>
                <c:pt idx="431">
                  <c:v>32.43</c:v>
                </c:pt>
                <c:pt idx="432">
                  <c:v>32.770000000000003</c:v>
                </c:pt>
                <c:pt idx="433">
                  <c:v>31.06</c:v>
                </c:pt>
                <c:pt idx="434">
                  <c:v>30.84</c:v>
                </c:pt>
                <c:pt idx="435">
                  <c:v>30.37</c:v>
                </c:pt>
                <c:pt idx="436">
                  <c:v>29.45</c:v>
                </c:pt>
                <c:pt idx="437">
                  <c:v>27.34</c:v>
                </c:pt>
                <c:pt idx="438">
                  <c:v>26.77</c:v>
                </c:pt>
                <c:pt idx="439">
                  <c:v>25.7</c:v>
                </c:pt>
                <c:pt idx="440">
                  <c:v>25.9</c:v>
                </c:pt>
                <c:pt idx="441">
                  <c:v>26.5</c:v>
                </c:pt>
                <c:pt idx="442">
                  <c:v>26.01</c:v>
                </c:pt>
                <c:pt idx="443">
                  <c:v>25.84</c:v>
                </c:pt>
                <c:pt idx="444">
                  <c:v>27.42</c:v>
                </c:pt>
                <c:pt idx="445">
                  <c:v>27.62</c:v>
                </c:pt>
                <c:pt idx="446">
                  <c:v>28.31</c:v>
                </c:pt>
                <c:pt idx="447">
                  <c:v>28.64</c:v>
                </c:pt>
                <c:pt idx="448">
                  <c:v>29.5</c:v>
                </c:pt>
                <c:pt idx="449">
                  <c:v>29.46</c:v>
                </c:pt>
                <c:pt idx="450">
                  <c:v>30.78</c:v>
                </c:pt>
                <c:pt idx="451">
                  <c:v>30.18</c:v>
                </c:pt>
                <c:pt idx="452">
                  <c:v>30.09</c:v>
                </c:pt>
                <c:pt idx="453">
                  <c:v>29.95</c:v>
                </c:pt>
                <c:pt idx="454">
                  <c:v>29.81</c:v>
                </c:pt>
                <c:pt idx="455">
                  <c:v>29.12</c:v>
                </c:pt>
                <c:pt idx="456">
                  <c:v>30</c:v>
                </c:pt>
                <c:pt idx="457">
                  <c:v>28.68</c:v>
                </c:pt>
                <c:pt idx="458">
                  <c:v>28.42</c:v>
                </c:pt>
                <c:pt idx="459">
                  <c:v>28.58</c:v>
                </c:pt>
                <c:pt idx="460">
                  <c:v>29.27</c:v>
                </c:pt>
                <c:pt idx="461">
                  <c:v>29.41</c:v>
                </c:pt>
                <c:pt idx="462">
                  <c:v>30.74</c:v>
                </c:pt>
                <c:pt idx="463">
                  <c:v>30.42</c:v>
                </c:pt>
                <c:pt idx="464">
                  <c:v>30.05</c:v>
                </c:pt>
                <c:pt idx="465">
                  <c:v>30.22</c:v>
                </c:pt>
                <c:pt idx="466">
                  <c:v>29.11</c:v>
                </c:pt>
                <c:pt idx="467">
                  <c:v>28.53</c:v>
                </c:pt>
                <c:pt idx="468">
                  <c:v>27.81</c:v>
                </c:pt>
                <c:pt idx="469">
                  <c:v>28</c:v>
                </c:pt>
                <c:pt idx="470">
                  <c:v>28.18</c:v>
                </c:pt>
                <c:pt idx="471">
                  <c:v>29.72</c:v>
                </c:pt>
                <c:pt idx="472">
                  <c:v>31.19</c:v>
                </c:pt>
                <c:pt idx="473">
                  <c:v>32.75</c:v>
                </c:pt>
                <c:pt idx="474">
                  <c:v>36.5</c:v>
                </c:pt>
                <c:pt idx="475">
                  <c:v>36.450000000000003</c:v>
                </c:pt>
                <c:pt idx="476">
                  <c:v>35.51</c:v>
                </c:pt>
                <c:pt idx="477">
                  <c:v>36.369999999999997</c:v>
                </c:pt>
                <c:pt idx="478">
                  <c:v>35.020000000000003</c:v>
                </c:pt>
                <c:pt idx="479">
                  <c:v>34.630000000000003</c:v>
                </c:pt>
                <c:pt idx="480">
                  <c:v>36.729999999999997</c:v>
                </c:pt>
                <c:pt idx="481">
                  <c:v>37.15</c:v>
                </c:pt>
                <c:pt idx="482">
                  <c:v>36.340000000000003</c:v>
                </c:pt>
                <c:pt idx="483">
                  <c:v>33.72</c:v>
                </c:pt>
                <c:pt idx="484">
                  <c:v>33.54</c:v>
                </c:pt>
                <c:pt idx="485">
                  <c:v>35.909999999999997</c:v>
                </c:pt>
                <c:pt idx="486">
                  <c:v>35.659999999999997</c:v>
                </c:pt>
                <c:pt idx="487">
                  <c:v>36.18</c:v>
                </c:pt>
                <c:pt idx="488">
                  <c:v>33.82</c:v>
                </c:pt>
                <c:pt idx="489">
                  <c:v>33.32</c:v>
                </c:pt>
                <c:pt idx="490">
                  <c:v>34.76</c:v>
                </c:pt>
                <c:pt idx="491">
                  <c:v>35.409999999999997</c:v>
                </c:pt>
                <c:pt idx="492">
                  <c:v>35.99</c:v>
                </c:pt>
                <c:pt idx="493">
                  <c:v>37.01</c:v>
                </c:pt>
                <c:pt idx="494">
                  <c:v>37.28</c:v>
                </c:pt>
                <c:pt idx="495">
                  <c:v>36.880000000000003</c:v>
                </c:pt>
                <c:pt idx="496">
                  <c:v>36.28</c:v>
                </c:pt>
                <c:pt idx="497">
                  <c:v>36.82</c:v>
                </c:pt>
                <c:pt idx="498">
                  <c:v>36.72</c:v>
                </c:pt>
                <c:pt idx="499">
                  <c:v>38.130000000000003</c:v>
                </c:pt>
                <c:pt idx="500">
                  <c:v>35.43</c:v>
                </c:pt>
                <c:pt idx="501">
                  <c:v>36.200000000000003</c:v>
                </c:pt>
                <c:pt idx="502">
                  <c:v>34.549999999999997</c:v>
                </c:pt>
                <c:pt idx="503">
                  <c:v>32.94</c:v>
                </c:pt>
                <c:pt idx="504">
                  <c:v>33.28</c:v>
                </c:pt>
                <c:pt idx="505">
                  <c:v>33.14</c:v>
                </c:pt>
                <c:pt idx="506">
                  <c:v>33.200000000000003</c:v>
                </c:pt>
                <c:pt idx="507">
                  <c:v>32.51</c:v>
                </c:pt>
                <c:pt idx="508">
                  <c:v>32.729999999999997</c:v>
                </c:pt>
                <c:pt idx="509">
                  <c:v>32.5</c:v>
                </c:pt>
                <c:pt idx="510">
                  <c:v>32.270000000000003</c:v>
                </c:pt>
                <c:pt idx="511">
                  <c:v>33.64</c:v>
                </c:pt>
                <c:pt idx="512">
                  <c:v>34.630000000000003</c:v>
                </c:pt>
                <c:pt idx="513">
                  <c:v>30.87</c:v>
                </c:pt>
                <c:pt idx="514">
                  <c:v>30.54</c:v>
                </c:pt>
                <c:pt idx="515">
                  <c:v>28.41</c:v>
                </c:pt>
                <c:pt idx="516">
                  <c:v>28.68</c:v>
                </c:pt>
                <c:pt idx="517">
                  <c:v>27.9</c:v>
                </c:pt>
                <c:pt idx="518">
                  <c:v>22.61</c:v>
                </c:pt>
                <c:pt idx="519">
                  <c:v>23.44</c:v>
                </c:pt>
                <c:pt idx="520">
                  <c:v>23.83</c:v>
                </c:pt>
                <c:pt idx="521">
                  <c:v>25.28</c:v>
                </c:pt>
                <c:pt idx="522">
                  <c:v>25.95</c:v>
                </c:pt>
              </c:numCache>
            </c:numRef>
          </c:val>
          <c:smooth val="0"/>
          <c:extLst>
            <c:ext xmlns:c16="http://schemas.microsoft.com/office/drawing/2014/chart" uri="{C3380CC4-5D6E-409C-BE32-E72D297353CC}">
              <c16:uniqueId val="{00000000-60E8-4F75-9BB5-8E2163FB1E95}"/>
            </c:ext>
          </c:extLst>
        </c:ser>
        <c:dLbls>
          <c:showLegendKey val="0"/>
          <c:showVal val="0"/>
          <c:showCatName val="0"/>
          <c:showSerName val="0"/>
          <c:showPercent val="0"/>
          <c:showBubbleSize val="0"/>
        </c:dLbls>
        <c:smooth val="0"/>
        <c:axId val="1246880415"/>
        <c:axId val="250084911"/>
      </c:lineChart>
      <c:dateAx>
        <c:axId val="124688041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Date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m/d/yy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0084911"/>
        <c:crosses val="autoZero"/>
        <c:auto val="1"/>
        <c:lblOffset val="100"/>
        <c:baseTimeUnit val="days"/>
      </c:dateAx>
      <c:valAx>
        <c:axId val="250084911"/>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Price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409]* #,##0.00_);_([$$-409]* \(#,##0.00\);_([$$-409]*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6880415"/>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NIVIDIA </a:t>
            </a:r>
            <a:r>
              <a:rPr lang="en-US" sz="1400" b="0" i="0" u="none" strike="noStrike" kern="1200" spc="0" baseline="0">
                <a:solidFill>
                  <a:sysClr val="windowText" lastClr="000000">
                    <a:lumMod val="65000"/>
                    <a:lumOff val="35000"/>
                  </a:sysClr>
                </a:solidFill>
              </a:rPr>
              <a:t>Closing Prices 10 Year History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cked"/>
        <c:varyColors val="0"/>
        <c:ser>
          <c:idx val="0"/>
          <c:order val="0"/>
          <c:tx>
            <c:strRef>
              <c:f>NIVIDIA!$E$6</c:f>
              <c:strCache>
                <c:ptCount val="1"/>
                <c:pt idx="0">
                  <c:v>Close</c:v>
                </c:pt>
              </c:strCache>
            </c:strRef>
          </c:tx>
          <c:spPr>
            <a:ln w="28575" cap="rnd">
              <a:solidFill>
                <a:schemeClr val="accent1"/>
              </a:solidFill>
              <a:round/>
            </a:ln>
            <a:effectLst/>
          </c:spPr>
          <c:marker>
            <c:symbol val="none"/>
          </c:marker>
          <c:cat>
            <c:numRef>
              <c:f>NIVIDIA!$D$7:$D$529</c:f>
              <c:numCache>
                <c:formatCode>m/d/yyyy</c:formatCode>
                <c:ptCount val="523"/>
                <c:pt idx="0">
                  <c:v>42121</c:v>
                </c:pt>
                <c:pt idx="1">
                  <c:v>42128</c:v>
                </c:pt>
                <c:pt idx="2">
                  <c:v>42135</c:v>
                </c:pt>
                <c:pt idx="3">
                  <c:v>42142</c:v>
                </c:pt>
                <c:pt idx="4">
                  <c:v>42150</c:v>
                </c:pt>
                <c:pt idx="5">
                  <c:v>42156</c:v>
                </c:pt>
                <c:pt idx="6">
                  <c:v>42163</c:v>
                </c:pt>
                <c:pt idx="7">
                  <c:v>42170</c:v>
                </c:pt>
                <c:pt idx="8">
                  <c:v>42177</c:v>
                </c:pt>
                <c:pt idx="9">
                  <c:v>42184</c:v>
                </c:pt>
                <c:pt idx="10">
                  <c:v>42191</c:v>
                </c:pt>
                <c:pt idx="11">
                  <c:v>42198</c:v>
                </c:pt>
                <c:pt idx="12">
                  <c:v>42205</c:v>
                </c:pt>
                <c:pt idx="13">
                  <c:v>42212</c:v>
                </c:pt>
                <c:pt idx="14">
                  <c:v>42219</c:v>
                </c:pt>
                <c:pt idx="15">
                  <c:v>42226</c:v>
                </c:pt>
                <c:pt idx="16">
                  <c:v>42233</c:v>
                </c:pt>
                <c:pt idx="17">
                  <c:v>42240</c:v>
                </c:pt>
                <c:pt idx="18">
                  <c:v>42247</c:v>
                </c:pt>
                <c:pt idx="19">
                  <c:v>42255</c:v>
                </c:pt>
                <c:pt idx="20">
                  <c:v>42261</c:v>
                </c:pt>
                <c:pt idx="21">
                  <c:v>42268</c:v>
                </c:pt>
                <c:pt idx="22">
                  <c:v>42275</c:v>
                </c:pt>
                <c:pt idx="23">
                  <c:v>42282</c:v>
                </c:pt>
                <c:pt idx="24">
                  <c:v>42289</c:v>
                </c:pt>
                <c:pt idx="25">
                  <c:v>42296</c:v>
                </c:pt>
                <c:pt idx="26">
                  <c:v>42303</c:v>
                </c:pt>
                <c:pt idx="27">
                  <c:v>42310</c:v>
                </c:pt>
                <c:pt idx="28">
                  <c:v>42317</c:v>
                </c:pt>
                <c:pt idx="29">
                  <c:v>42324</c:v>
                </c:pt>
                <c:pt idx="30">
                  <c:v>42331</c:v>
                </c:pt>
                <c:pt idx="31">
                  <c:v>42338</c:v>
                </c:pt>
                <c:pt idx="32">
                  <c:v>42345</c:v>
                </c:pt>
                <c:pt idx="33">
                  <c:v>42352</c:v>
                </c:pt>
                <c:pt idx="34">
                  <c:v>42359</c:v>
                </c:pt>
                <c:pt idx="35">
                  <c:v>42366</c:v>
                </c:pt>
                <c:pt idx="36">
                  <c:v>42373</c:v>
                </c:pt>
                <c:pt idx="37">
                  <c:v>42380</c:v>
                </c:pt>
                <c:pt idx="38">
                  <c:v>42388</c:v>
                </c:pt>
                <c:pt idx="39">
                  <c:v>42394</c:v>
                </c:pt>
                <c:pt idx="40">
                  <c:v>42401</c:v>
                </c:pt>
                <c:pt idx="41">
                  <c:v>42408</c:v>
                </c:pt>
                <c:pt idx="42">
                  <c:v>42416</c:v>
                </c:pt>
                <c:pt idx="43">
                  <c:v>42422</c:v>
                </c:pt>
                <c:pt idx="44">
                  <c:v>42429</c:v>
                </c:pt>
                <c:pt idx="45">
                  <c:v>42436</c:v>
                </c:pt>
                <c:pt idx="46">
                  <c:v>42443</c:v>
                </c:pt>
                <c:pt idx="47">
                  <c:v>42450</c:v>
                </c:pt>
                <c:pt idx="48">
                  <c:v>42457</c:v>
                </c:pt>
                <c:pt idx="49">
                  <c:v>42464</c:v>
                </c:pt>
                <c:pt idx="50">
                  <c:v>42471</c:v>
                </c:pt>
                <c:pt idx="51">
                  <c:v>42478</c:v>
                </c:pt>
                <c:pt idx="52">
                  <c:v>42485</c:v>
                </c:pt>
                <c:pt idx="53">
                  <c:v>42492</c:v>
                </c:pt>
                <c:pt idx="54">
                  <c:v>42499</c:v>
                </c:pt>
                <c:pt idx="55">
                  <c:v>42506</c:v>
                </c:pt>
                <c:pt idx="56">
                  <c:v>42513</c:v>
                </c:pt>
                <c:pt idx="57">
                  <c:v>42521</c:v>
                </c:pt>
                <c:pt idx="58">
                  <c:v>42527</c:v>
                </c:pt>
                <c:pt idx="59">
                  <c:v>42534</c:v>
                </c:pt>
                <c:pt idx="60">
                  <c:v>42541</c:v>
                </c:pt>
                <c:pt idx="61">
                  <c:v>42548</c:v>
                </c:pt>
                <c:pt idx="62">
                  <c:v>42556</c:v>
                </c:pt>
                <c:pt idx="63">
                  <c:v>42562</c:v>
                </c:pt>
                <c:pt idx="64">
                  <c:v>42569</c:v>
                </c:pt>
                <c:pt idx="65">
                  <c:v>42576</c:v>
                </c:pt>
                <c:pt idx="66">
                  <c:v>42583</c:v>
                </c:pt>
                <c:pt idx="67">
                  <c:v>42590</c:v>
                </c:pt>
                <c:pt idx="68">
                  <c:v>42597</c:v>
                </c:pt>
                <c:pt idx="69">
                  <c:v>42604</c:v>
                </c:pt>
                <c:pt idx="70">
                  <c:v>42611</c:v>
                </c:pt>
                <c:pt idx="71">
                  <c:v>42619</c:v>
                </c:pt>
                <c:pt idx="72">
                  <c:v>42625</c:v>
                </c:pt>
                <c:pt idx="73">
                  <c:v>42632</c:v>
                </c:pt>
                <c:pt idx="74">
                  <c:v>42639</c:v>
                </c:pt>
                <c:pt idx="75">
                  <c:v>42646</c:v>
                </c:pt>
                <c:pt idx="76">
                  <c:v>42653</c:v>
                </c:pt>
                <c:pt idx="77">
                  <c:v>42660</c:v>
                </c:pt>
                <c:pt idx="78">
                  <c:v>42667</c:v>
                </c:pt>
                <c:pt idx="79">
                  <c:v>42674</c:v>
                </c:pt>
                <c:pt idx="80">
                  <c:v>42681</c:v>
                </c:pt>
                <c:pt idx="81">
                  <c:v>42688</c:v>
                </c:pt>
                <c:pt idx="82">
                  <c:v>42695</c:v>
                </c:pt>
                <c:pt idx="83">
                  <c:v>42702</c:v>
                </c:pt>
                <c:pt idx="84">
                  <c:v>42709</c:v>
                </c:pt>
                <c:pt idx="85">
                  <c:v>42716</c:v>
                </c:pt>
                <c:pt idx="86">
                  <c:v>42723</c:v>
                </c:pt>
                <c:pt idx="87">
                  <c:v>42731</c:v>
                </c:pt>
                <c:pt idx="88">
                  <c:v>42738</c:v>
                </c:pt>
                <c:pt idx="89">
                  <c:v>42744</c:v>
                </c:pt>
                <c:pt idx="90">
                  <c:v>42752</c:v>
                </c:pt>
                <c:pt idx="91">
                  <c:v>42758</c:v>
                </c:pt>
                <c:pt idx="92">
                  <c:v>42765</c:v>
                </c:pt>
                <c:pt idx="93">
                  <c:v>42772</c:v>
                </c:pt>
                <c:pt idx="94">
                  <c:v>42779</c:v>
                </c:pt>
                <c:pt idx="95">
                  <c:v>42787</c:v>
                </c:pt>
                <c:pt idx="96">
                  <c:v>42793</c:v>
                </c:pt>
                <c:pt idx="97">
                  <c:v>42800</c:v>
                </c:pt>
                <c:pt idx="98">
                  <c:v>42807</c:v>
                </c:pt>
                <c:pt idx="99">
                  <c:v>42814</c:v>
                </c:pt>
                <c:pt idx="100">
                  <c:v>42821</c:v>
                </c:pt>
                <c:pt idx="101">
                  <c:v>42828</c:v>
                </c:pt>
                <c:pt idx="102">
                  <c:v>42835</c:v>
                </c:pt>
                <c:pt idx="103">
                  <c:v>42842</c:v>
                </c:pt>
                <c:pt idx="104">
                  <c:v>42849</c:v>
                </c:pt>
                <c:pt idx="105">
                  <c:v>42856</c:v>
                </c:pt>
                <c:pt idx="106">
                  <c:v>42863</c:v>
                </c:pt>
                <c:pt idx="107">
                  <c:v>42870</c:v>
                </c:pt>
                <c:pt idx="108">
                  <c:v>42877</c:v>
                </c:pt>
                <c:pt idx="109">
                  <c:v>42885</c:v>
                </c:pt>
                <c:pt idx="110">
                  <c:v>42891</c:v>
                </c:pt>
                <c:pt idx="111">
                  <c:v>42898</c:v>
                </c:pt>
                <c:pt idx="112">
                  <c:v>42905</c:v>
                </c:pt>
                <c:pt idx="113">
                  <c:v>42912</c:v>
                </c:pt>
                <c:pt idx="114">
                  <c:v>42919</c:v>
                </c:pt>
                <c:pt idx="115">
                  <c:v>42926</c:v>
                </c:pt>
                <c:pt idx="116">
                  <c:v>42933</c:v>
                </c:pt>
                <c:pt idx="117">
                  <c:v>42940</c:v>
                </c:pt>
                <c:pt idx="118">
                  <c:v>42947</c:v>
                </c:pt>
                <c:pt idx="119">
                  <c:v>42954</c:v>
                </c:pt>
                <c:pt idx="120">
                  <c:v>42961</c:v>
                </c:pt>
                <c:pt idx="121">
                  <c:v>42968</c:v>
                </c:pt>
                <c:pt idx="122">
                  <c:v>42975</c:v>
                </c:pt>
                <c:pt idx="123">
                  <c:v>42983</c:v>
                </c:pt>
                <c:pt idx="124">
                  <c:v>42989</c:v>
                </c:pt>
                <c:pt idx="125">
                  <c:v>42996</c:v>
                </c:pt>
                <c:pt idx="126">
                  <c:v>43003</c:v>
                </c:pt>
                <c:pt idx="127">
                  <c:v>43010</c:v>
                </c:pt>
                <c:pt idx="128">
                  <c:v>43017</c:v>
                </c:pt>
                <c:pt idx="129">
                  <c:v>43024</c:v>
                </c:pt>
                <c:pt idx="130">
                  <c:v>43031</c:v>
                </c:pt>
                <c:pt idx="131">
                  <c:v>43038</c:v>
                </c:pt>
                <c:pt idx="132">
                  <c:v>43045</c:v>
                </c:pt>
                <c:pt idx="133">
                  <c:v>43052</c:v>
                </c:pt>
                <c:pt idx="134">
                  <c:v>43059</c:v>
                </c:pt>
                <c:pt idx="135">
                  <c:v>43066</c:v>
                </c:pt>
                <c:pt idx="136">
                  <c:v>43073</c:v>
                </c:pt>
                <c:pt idx="137">
                  <c:v>43080</c:v>
                </c:pt>
                <c:pt idx="138">
                  <c:v>43087</c:v>
                </c:pt>
                <c:pt idx="139">
                  <c:v>43095</c:v>
                </c:pt>
                <c:pt idx="140">
                  <c:v>43102</c:v>
                </c:pt>
                <c:pt idx="141">
                  <c:v>43108</c:v>
                </c:pt>
                <c:pt idx="142">
                  <c:v>43116</c:v>
                </c:pt>
                <c:pt idx="143">
                  <c:v>43122</c:v>
                </c:pt>
                <c:pt idx="144">
                  <c:v>43129</c:v>
                </c:pt>
                <c:pt idx="145">
                  <c:v>43136</c:v>
                </c:pt>
                <c:pt idx="146">
                  <c:v>43143</c:v>
                </c:pt>
                <c:pt idx="147">
                  <c:v>43151</c:v>
                </c:pt>
                <c:pt idx="148">
                  <c:v>43157</c:v>
                </c:pt>
                <c:pt idx="149">
                  <c:v>43164</c:v>
                </c:pt>
                <c:pt idx="150">
                  <c:v>43171</c:v>
                </c:pt>
                <c:pt idx="151">
                  <c:v>43178</c:v>
                </c:pt>
                <c:pt idx="152">
                  <c:v>43185</c:v>
                </c:pt>
                <c:pt idx="153">
                  <c:v>43192</c:v>
                </c:pt>
                <c:pt idx="154">
                  <c:v>43199</c:v>
                </c:pt>
                <c:pt idx="155">
                  <c:v>43206</c:v>
                </c:pt>
                <c:pt idx="156">
                  <c:v>43213</c:v>
                </c:pt>
                <c:pt idx="157">
                  <c:v>43220</c:v>
                </c:pt>
                <c:pt idx="158">
                  <c:v>43227</c:v>
                </c:pt>
                <c:pt idx="159">
                  <c:v>43234</c:v>
                </c:pt>
                <c:pt idx="160">
                  <c:v>43241</c:v>
                </c:pt>
                <c:pt idx="161">
                  <c:v>43249</c:v>
                </c:pt>
                <c:pt idx="162">
                  <c:v>43255</c:v>
                </c:pt>
                <c:pt idx="163">
                  <c:v>43262</c:v>
                </c:pt>
                <c:pt idx="164">
                  <c:v>43269</c:v>
                </c:pt>
                <c:pt idx="165">
                  <c:v>43276</c:v>
                </c:pt>
                <c:pt idx="166">
                  <c:v>43283</c:v>
                </c:pt>
                <c:pt idx="167">
                  <c:v>43290</c:v>
                </c:pt>
                <c:pt idx="168">
                  <c:v>43297</c:v>
                </c:pt>
                <c:pt idx="169">
                  <c:v>43304</c:v>
                </c:pt>
                <c:pt idx="170">
                  <c:v>43311</c:v>
                </c:pt>
                <c:pt idx="171">
                  <c:v>43318</c:v>
                </c:pt>
                <c:pt idx="172">
                  <c:v>43325</c:v>
                </c:pt>
                <c:pt idx="173">
                  <c:v>43332</c:v>
                </c:pt>
                <c:pt idx="174">
                  <c:v>43339</c:v>
                </c:pt>
                <c:pt idx="175">
                  <c:v>43347</c:v>
                </c:pt>
                <c:pt idx="176">
                  <c:v>43353</c:v>
                </c:pt>
                <c:pt idx="177">
                  <c:v>43360</c:v>
                </c:pt>
                <c:pt idx="178">
                  <c:v>43367</c:v>
                </c:pt>
                <c:pt idx="179">
                  <c:v>43374</c:v>
                </c:pt>
                <c:pt idx="180">
                  <c:v>43381</c:v>
                </c:pt>
                <c:pt idx="181">
                  <c:v>43388</c:v>
                </c:pt>
                <c:pt idx="182">
                  <c:v>43395</c:v>
                </c:pt>
                <c:pt idx="183">
                  <c:v>43402</c:v>
                </c:pt>
                <c:pt idx="184">
                  <c:v>43409</c:v>
                </c:pt>
                <c:pt idx="185">
                  <c:v>43416</c:v>
                </c:pt>
                <c:pt idx="186">
                  <c:v>43423</c:v>
                </c:pt>
                <c:pt idx="187">
                  <c:v>43430</c:v>
                </c:pt>
                <c:pt idx="188">
                  <c:v>43437</c:v>
                </c:pt>
                <c:pt idx="189">
                  <c:v>43444</c:v>
                </c:pt>
                <c:pt idx="190">
                  <c:v>43451</c:v>
                </c:pt>
                <c:pt idx="191">
                  <c:v>43458</c:v>
                </c:pt>
                <c:pt idx="192">
                  <c:v>43465</c:v>
                </c:pt>
                <c:pt idx="193">
                  <c:v>43472</c:v>
                </c:pt>
                <c:pt idx="194">
                  <c:v>43479</c:v>
                </c:pt>
                <c:pt idx="195">
                  <c:v>43487</c:v>
                </c:pt>
                <c:pt idx="196">
                  <c:v>43493</c:v>
                </c:pt>
                <c:pt idx="197">
                  <c:v>43500</c:v>
                </c:pt>
                <c:pt idx="198">
                  <c:v>43507</c:v>
                </c:pt>
                <c:pt idx="199">
                  <c:v>43515</c:v>
                </c:pt>
                <c:pt idx="200">
                  <c:v>43521</c:v>
                </c:pt>
                <c:pt idx="201">
                  <c:v>43528</c:v>
                </c:pt>
                <c:pt idx="202">
                  <c:v>43535</c:v>
                </c:pt>
                <c:pt idx="203">
                  <c:v>43542</c:v>
                </c:pt>
                <c:pt idx="204">
                  <c:v>43549</c:v>
                </c:pt>
                <c:pt idx="205">
                  <c:v>43556</c:v>
                </c:pt>
                <c:pt idx="206">
                  <c:v>43563</c:v>
                </c:pt>
                <c:pt idx="207">
                  <c:v>43570</c:v>
                </c:pt>
                <c:pt idx="208">
                  <c:v>43577</c:v>
                </c:pt>
                <c:pt idx="209">
                  <c:v>43584</c:v>
                </c:pt>
                <c:pt idx="210">
                  <c:v>43591</c:v>
                </c:pt>
                <c:pt idx="211">
                  <c:v>43598</c:v>
                </c:pt>
                <c:pt idx="212">
                  <c:v>43605</c:v>
                </c:pt>
                <c:pt idx="213">
                  <c:v>43613</c:v>
                </c:pt>
                <c:pt idx="214">
                  <c:v>43619</c:v>
                </c:pt>
                <c:pt idx="215">
                  <c:v>43626</c:v>
                </c:pt>
                <c:pt idx="216">
                  <c:v>43633</c:v>
                </c:pt>
                <c:pt idx="217">
                  <c:v>43640</c:v>
                </c:pt>
                <c:pt idx="218">
                  <c:v>43647</c:v>
                </c:pt>
                <c:pt idx="219">
                  <c:v>43654</c:v>
                </c:pt>
                <c:pt idx="220">
                  <c:v>43661</c:v>
                </c:pt>
                <c:pt idx="221">
                  <c:v>43668</c:v>
                </c:pt>
                <c:pt idx="222">
                  <c:v>43675</c:v>
                </c:pt>
                <c:pt idx="223">
                  <c:v>43682</c:v>
                </c:pt>
                <c:pt idx="224">
                  <c:v>43689</c:v>
                </c:pt>
                <c:pt idx="225">
                  <c:v>43696</c:v>
                </c:pt>
                <c:pt idx="226">
                  <c:v>43703</c:v>
                </c:pt>
                <c:pt idx="227">
                  <c:v>43711</c:v>
                </c:pt>
                <c:pt idx="228">
                  <c:v>43717</c:v>
                </c:pt>
                <c:pt idx="229">
                  <c:v>43724</c:v>
                </c:pt>
                <c:pt idx="230">
                  <c:v>43731</c:v>
                </c:pt>
                <c:pt idx="231">
                  <c:v>43738</c:v>
                </c:pt>
                <c:pt idx="232">
                  <c:v>43745</c:v>
                </c:pt>
                <c:pt idx="233">
                  <c:v>43752</c:v>
                </c:pt>
                <c:pt idx="234">
                  <c:v>43759</c:v>
                </c:pt>
                <c:pt idx="235">
                  <c:v>43766</c:v>
                </c:pt>
                <c:pt idx="236">
                  <c:v>43773</c:v>
                </c:pt>
                <c:pt idx="237">
                  <c:v>43780</c:v>
                </c:pt>
                <c:pt idx="238">
                  <c:v>43787</c:v>
                </c:pt>
                <c:pt idx="239">
                  <c:v>43794</c:v>
                </c:pt>
                <c:pt idx="240">
                  <c:v>43801</c:v>
                </c:pt>
                <c:pt idx="241">
                  <c:v>43808</c:v>
                </c:pt>
                <c:pt idx="242">
                  <c:v>43815</c:v>
                </c:pt>
                <c:pt idx="243">
                  <c:v>43822</c:v>
                </c:pt>
                <c:pt idx="244">
                  <c:v>43829</c:v>
                </c:pt>
                <c:pt idx="245">
                  <c:v>43836</c:v>
                </c:pt>
                <c:pt idx="246">
                  <c:v>43843</c:v>
                </c:pt>
                <c:pt idx="247">
                  <c:v>43851</c:v>
                </c:pt>
                <c:pt idx="248">
                  <c:v>43857</c:v>
                </c:pt>
                <c:pt idx="249">
                  <c:v>43864</c:v>
                </c:pt>
                <c:pt idx="250">
                  <c:v>43871</c:v>
                </c:pt>
                <c:pt idx="251">
                  <c:v>43879</c:v>
                </c:pt>
                <c:pt idx="252">
                  <c:v>43885</c:v>
                </c:pt>
                <c:pt idx="253">
                  <c:v>43892</c:v>
                </c:pt>
                <c:pt idx="254">
                  <c:v>43899</c:v>
                </c:pt>
                <c:pt idx="255">
                  <c:v>43906</c:v>
                </c:pt>
                <c:pt idx="256">
                  <c:v>43913</c:v>
                </c:pt>
                <c:pt idx="257">
                  <c:v>43920</c:v>
                </c:pt>
                <c:pt idx="258">
                  <c:v>43927</c:v>
                </c:pt>
                <c:pt idx="259">
                  <c:v>43934</c:v>
                </c:pt>
                <c:pt idx="260">
                  <c:v>43941</c:v>
                </c:pt>
                <c:pt idx="261">
                  <c:v>43948</c:v>
                </c:pt>
                <c:pt idx="262">
                  <c:v>43955</c:v>
                </c:pt>
                <c:pt idx="263">
                  <c:v>43962</c:v>
                </c:pt>
                <c:pt idx="264">
                  <c:v>43969</c:v>
                </c:pt>
                <c:pt idx="265">
                  <c:v>43977</c:v>
                </c:pt>
                <c:pt idx="266">
                  <c:v>43983</c:v>
                </c:pt>
                <c:pt idx="267">
                  <c:v>43990</c:v>
                </c:pt>
                <c:pt idx="268">
                  <c:v>43997</c:v>
                </c:pt>
                <c:pt idx="269">
                  <c:v>44004</c:v>
                </c:pt>
                <c:pt idx="270">
                  <c:v>44011</c:v>
                </c:pt>
                <c:pt idx="271">
                  <c:v>44018</c:v>
                </c:pt>
                <c:pt idx="272">
                  <c:v>44025</c:v>
                </c:pt>
                <c:pt idx="273">
                  <c:v>44032</c:v>
                </c:pt>
                <c:pt idx="274">
                  <c:v>44039</c:v>
                </c:pt>
                <c:pt idx="275">
                  <c:v>44046</c:v>
                </c:pt>
                <c:pt idx="276">
                  <c:v>44053</c:v>
                </c:pt>
                <c:pt idx="277">
                  <c:v>44060</c:v>
                </c:pt>
                <c:pt idx="278">
                  <c:v>44067</c:v>
                </c:pt>
                <c:pt idx="279">
                  <c:v>44074</c:v>
                </c:pt>
                <c:pt idx="280">
                  <c:v>44082</c:v>
                </c:pt>
                <c:pt idx="281">
                  <c:v>44088</c:v>
                </c:pt>
                <c:pt idx="282">
                  <c:v>44095</c:v>
                </c:pt>
                <c:pt idx="283">
                  <c:v>44102</c:v>
                </c:pt>
                <c:pt idx="284">
                  <c:v>44109</c:v>
                </c:pt>
                <c:pt idx="285">
                  <c:v>44116</c:v>
                </c:pt>
                <c:pt idx="286">
                  <c:v>44123</c:v>
                </c:pt>
                <c:pt idx="287">
                  <c:v>44130</c:v>
                </c:pt>
                <c:pt idx="288">
                  <c:v>44137</c:v>
                </c:pt>
                <c:pt idx="289">
                  <c:v>44144</c:v>
                </c:pt>
                <c:pt idx="290">
                  <c:v>44151</c:v>
                </c:pt>
                <c:pt idx="291">
                  <c:v>44158</c:v>
                </c:pt>
                <c:pt idx="292">
                  <c:v>44165</c:v>
                </c:pt>
                <c:pt idx="293">
                  <c:v>44172</c:v>
                </c:pt>
                <c:pt idx="294">
                  <c:v>44179</c:v>
                </c:pt>
                <c:pt idx="295">
                  <c:v>44186</c:v>
                </c:pt>
                <c:pt idx="296">
                  <c:v>44193</c:v>
                </c:pt>
                <c:pt idx="297">
                  <c:v>44200</c:v>
                </c:pt>
                <c:pt idx="298">
                  <c:v>44207</c:v>
                </c:pt>
                <c:pt idx="299">
                  <c:v>44215</c:v>
                </c:pt>
                <c:pt idx="300">
                  <c:v>44221</c:v>
                </c:pt>
                <c:pt idx="301">
                  <c:v>44228</c:v>
                </c:pt>
                <c:pt idx="302">
                  <c:v>44235</c:v>
                </c:pt>
                <c:pt idx="303">
                  <c:v>44243</c:v>
                </c:pt>
                <c:pt idx="304">
                  <c:v>44249</c:v>
                </c:pt>
                <c:pt idx="305">
                  <c:v>44256</c:v>
                </c:pt>
                <c:pt idx="306">
                  <c:v>44263</c:v>
                </c:pt>
                <c:pt idx="307">
                  <c:v>44270</c:v>
                </c:pt>
                <c:pt idx="308">
                  <c:v>44277</c:v>
                </c:pt>
                <c:pt idx="309">
                  <c:v>44284</c:v>
                </c:pt>
                <c:pt idx="310">
                  <c:v>44291</c:v>
                </c:pt>
                <c:pt idx="311">
                  <c:v>44298</c:v>
                </c:pt>
                <c:pt idx="312">
                  <c:v>44305</c:v>
                </c:pt>
                <c:pt idx="313">
                  <c:v>44312</c:v>
                </c:pt>
                <c:pt idx="314">
                  <c:v>44319</c:v>
                </c:pt>
                <c:pt idx="315">
                  <c:v>44326</c:v>
                </c:pt>
                <c:pt idx="316">
                  <c:v>44333</c:v>
                </c:pt>
                <c:pt idx="317">
                  <c:v>44340</c:v>
                </c:pt>
                <c:pt idx="318">
                  <c:v>44348</c:v>
                </c:pt>
                <c:pt idx="319">
                  <c:v>44354</c:v>
                </c:pt>
                <c:pt idx="320">
                  <c:v>44361</c:v>
                </c:pt>
                <c:pt idx="321">
                  <c:v>44368</c:v>
                </c:pt>
                <c:pt idx="322">
                  <c:v>44375</c:v>
                </c:pt>
                <c:pt idx="323">
                  <c:v>44383</c:v>
                </c:pt>
                <c:pt idx="324">
                  <c:v>44389</c:v>
                </c:pt>
                <c:pt idx="325">
                  <c:v>44396</c:v>
                </c:pt>
                <c:pt idx="326">
                  <c:v>44403</c:v>
                </c:pt>
                <c:pt idx="327">
                  <c:v>44410</c:v>
                </c:pt>
                <c:pt idx="328">
                  <c:v>44417</c:v>
                </c:pt>
                <c:pt idx="329">
                  <c:v>44424</c:v>
                </c:pt>
                <c:pt idx="330">
                  <c:v>44431</c:v>
                </c:pt>
                <c:pt idx="331">
                  <c:v>44438</c:v>
                </c:pt>
                <c:pt idx="332">
                  <c:v>44446</c:v>
                </c:pt>
                <c:pt idx="333">
                  <c:v>44452</c:v>
                </c:pt>
                <c:pt idx="334">
                  <c:v>44459</c:v>
                </c:pt>
                <c:pt idx="335">
                  <c:v>44466</c:v>
                </c:pt>
                <c:pt idx="336">
                  <c:v>44473</c:v>
                </c:pt>
                <c:pt idx="337">
                  <c:v>44480</c:v>
                </c:pt>
                <c:pt idx="338">
                  <c:v>44487</c:v>
                </c:pt>
                <c:pt idx="339">
                  <c:v>44494</c:v>
                </c:pt>
                <c:pt idx="340">
                  <c:v>44501</c:v>
                </c:pt>
                <c:pt idx="341">
                  <c:v>44508</c:v>
                </c:pt>
                <c:pt idx="342">
                  <c:v>44515</c:v>
                </c:pt>
                <c:pt idx="343">
                  <c:v>44522</c:v>
                </c:pt>
                <c:pt idx="344">
                  <c:v>44529</c:v>
                </c:pt>
                <c:pt idx="345">
                  <c:v>44536</c:v>
                </c:pt>
                <c:pt idx="346">
                  <c:v>44543</c:v>
                </c:pt>
                <c:pt idx="347">
                  <c:v>44550</c:v>
                </c:pt>
                <c:pt idx="348">
                  <c:v>44557</c:v>
                </c:pt>
                <c:pt idx="349">
                  <c:v>44564</c:v>
                </c:pt>
                <c:pt idx="350">
                  <c:v>44571</c:v>
                </c:pt>
                <c:pt idx="351">
                  <c:v>44579</c:v>
                </c:pt>
                <c:pt idx="352">
                  <c:v>44585</c:v>
                </c:pt>
                <c:pt idx="353">
                  <c:v>44592</c:v>
                </c:pt>
                <c:pt idx="354">
                  <c:v>44599</c:v>
                </c:pt>
                <c:pt idx="355">
                  <c:v>44606</c:v>
                </c:pt>
                <c:pt idx="356">
                  <c:v>44614</c:v>
                </c:pt>
                <c:pt idx="357">
                  <c:v>44620</c:v>
                </c:pt>
                <c:pt idx="358">
                  <c:v>44627</c:v>
                </c:pt>
                <c:pt idx="359">
                  <c:v>44634</c:v>
                </c:pt>
                <c:pt idx="360">
                  <c:v>44641</c:v>
                </c:pt>
                <c:pt idx="361">
                  <c:v>44648</c:v>
                </c:pt>
                <c:pt idx="362">
                  <c:v>44655</c:v>
                </c:pt>
                <c:pt idx="363">
                  <c:v>44662</c:v>
                </c:pt>
                <c:pt idx="364">
                  <c:v>44669</c:v>
                </c:pt>
                <c:pt idx="365">
                  <c:v>44676</c:v>
                </c:pt>
                <c:pt idx="366">
                  <c:v>44683</c:v>
                </c:pt>
                <c:pt idx="367">
                  <c:v>44690</c:v>
                </c:pt>
                <c:pt idx="368">
                  <c:v>44697</c:v>
                </c:pt>
                <c:pt idx="369">
                  <c:v>44704</c:v>
                </c:pt>
                <c:pt idx="370">
                  <c:v>44712</c:v>
                </c:pt>
                <c:pt idx="371">
                  <c:v>44718</c:v>
                </c:pt>
                <c:pt idx="372">
                  <c:v>44725</c:v>
                </c:pt>
                <c:pt idx="373">
                  <c:v>44733</c:v>
                </c:pt>
                <c:pt idx="374">
                  <c:v>44739</c:v>
                </c:pt>
                <c:pt idx="375">
                  <c:v>44747</c:v>
                </c:pt>
                <c:pt idx="376">
                  <c:v>44753</c:v>
                </c:pt>
                <c:pt idx="377">
                  <c:v>44760</c:v>
                </c:pt>
                <c:pt idx="378">
                  <c:v>44767</c:v>
                </c:pt>
                <c:pt idx="379">
                  <c:v>44774</c:v>
                </c:pt>
                <c:pt idx="380">
                  <c:v>44781</c:v>
                </c:pt>
                <c:pt idx="381">
                  <c:v>44788</c:v>
                </c:pt>
                <c:pt idx="382">
                  <c:v>44795</c:v>
                </c:pt>
                <c:pt idx="383">
                  <c:v>44802</c:v>
                </c:pt>
                <c:pt idx="384">
                  <c:v>44810</c:v>
                </c:pt>
                <c:pt idx="385">
                  <c:v>44816</c:v>
                </c:pt>
                <c:pt idx="386">
                  <c:v>44823</c:v>
                </c:pt>
                <c:pt idx="387">
                  <c:v>44830</c:v>
                </c:pt>
                <c:pt idx="388">
                  <c:v>44837</c:v>
                </c:pt>
                <c:pt idx="389">
                  <c:v>44844</c:v>
                </c:pt>
                <c:pt idx="390">
                  <c:v>44851</c:v>
                </c:pt>
                <c:pt idx="391">
                  <c:v>44858</c:v>
                </c:pt>
                <c:pt idx="392">
                  <c:v>44865</c:v>
                </c:pt>
                <c:pt idx="393">
                  <c:v>44872</c:v>
                </c:pt>
                <c:pt idx="394">
                  <c:v>44879</c:v>
                </c:pt>
                <c:pt idx="395">
                  <c:v>44886</c:v>
                </c:pt>
                <c:pt idx="396">
                  <c:v>44893</c:v>
                </c:pt>
                <c:pt idx="397">
                  <c:v>44900</c:v>
                </c:pt>
                <c:pt idx="398">
                  <c:v>44907</c:v>
                </c:pt>
                <c:pt idx="399">
                  <c:v>44914</c:v>
                </c:pt>
                <c:pt idx="400">
                  <c:v>44922</c:v>
                </c:pt>
                <c:pt idx="401">
                  <c:v>44929</c:v>
                </c:pt>
                <c:pt idx="402">
                  <c:v>44935</c:v>
                </c:pt>
                <c:pt idx="403">
                  <c:v>44943</c:v>
                </c:pt>
                <c:pt idx="404">
                  <c:v>44949</c:v>
                </c:pt>
                <c:pt idx="405">
                  <c:v>44956</c:v>
                </c:pt>
                <c:pt idx="406">
                  <c:v>44963</c:v>
                </c:pt>
                <c:pt idx="407">
                  <c:v>44970</c:v>
                </c:pt>
                <c:pt idx="408">
                  <c:v>44978</c:v>
                </c:pt>
                <c:pt idx="409">
                  <c:v>44984</c:v>
                </c:pt>
                <c:pt idx="410">
                  <c:v>44991</c:v>
                </c:pt>
                <c:pt idx="411">
                  <c:v>44998</c:v>
                </c:pt>
                <c:pt idx="412">
                  <c:v>45005</c:v>
                </c:pt>
                <c:pt idx="413">
                  <c:v>45012</c:v>
                </c:pt>
                <c:pt idx="414">
                  <c:v>45019</c:v>
                </c:pt>
                <c:pt idx="415">
                  <c:v>45026</c:v>
                </c:pt>
                <c:pt idx="416">
                  <c:v>45033</c:v>
                </c:pt>
                <c:pt idx="417">
                  <c:v>45040</c:v>
                </c:pt>
                <c:pt idx="418">
                  <c:v>45047</c:v>
                </c:pt>
                <c:pt idx="419">
                  <c:v>45054</c:v>
                </c:pt>
                <c:pt idx="420">
                  <c:v>45061</c:v>
                </c:pt>
                <c:pt idx="421">
                  <c:v>45068</c:v>
                </c:pt>
                <c:pt idx="422">
                  <c:v>45076</c:v>
                </c:pt>
                <c:pt idx="423">
                  <c:v>45082</c:v>
                </c:pt>
                <c:pt idx="424">
                  <c:v>45089</c:v>
                </c:pt>
                <c:pt idx="425">
                  <c:v>45097</c:v>
                </c:pt>
                <c:pt idx="426">
                  <c:v>45103</c:v>
                </c:pt>
                <c:pt idx="427">
                  <c:v>45110</c:v>
                </c:pt>
                <c:pt idx="428">
                  <c:v>45117</c:v>
                </c:pt>
                <c:pt idx="429">
                  <c:v>45124</c:v>
                </c:pt>
                <c:pt idx="430">
                  <c:v>45131</c:v>
                </c:pt>
                <c:pt idx="431">
                  <c:v>45138</c:v>
                </c:pt>
                <c:pt idx="432">
                  <c:v>45145</c:v>
                </c:pt>
                <c:pt idx="433">
                  <c:v>45152</c:v>
                </c:pt>
                <c:pt idx="434">
                  <c:v>45159</c:v>
                </c:pt>
                <c:pt idx="435">
                  <c:v>45166</c:v>
                </c:pt>
                <c:pt idx="436">
                  <c:v>45174</c:v>
                </c:pt>
                <c:pt idx="437">
                  <c:v>45180</c:v>
                </c:pt>
                <c:pt idx="438">
                  <c:v>45187</c:v>
                </c:pt>
                <c:pt idx="439">
                  <c:v>45194</c:v>
                </c:pt>
                <c:pt idx="440">
                  <c:v>45201</c:v>
                </c:pt>
                <c:pt idx="441">
                  <c:v>45208</c:v>
                </c:pt>
                <c:pt idx="442">
                  <c:v>45215</c:v>
                </c:pt>
                <c:pt idx="443">
                  <c:v>45222</c:v>
                </c:pt>
                <c:pt idx="444">
                  <c:v>45229</c:v>
                </c:pt>
                <c:pt idx="445">
                  <c:v>45236</c:v>
                </c:pt>
                <c:pt idx="446">
                  <c:v>45243</c:v>
                </c:pt>
                <c:pt idx="447">
                  <c:v>45250</c:v>
                </c:pt>
                <c:pt idx="448">
                  <c:v>45257</c:v>
                </c:pt>
                <c:pt idx="449">
                  <c:v>45264</c:v>
                </c:pt>
                <c:pt idx="450">
                  <c:v>45271</c:v>
                </c:pt>
                <c:pt idx="451">
                  <c:v>45278</c:v>
                </c:pt>
                <c:pt idx="452">
                  <c:v>45286</c:v>
                </c:pt>
                <c:pt idx="453">
                  <c:v>45293</c:v>
                </c:pt>
                <c:pt idx="454">
                  <c:v>45299</c:v>
                </c:pt>
                <c:pt idx="455">
                  <c:v>45307</c:v>
                </c:pt>
                <c:pt idx="456">
                  <c:v>45313</c:v>
                </c:pt>
                <c:pt idx="457">
                  <c:v>45320</c:v>
                </c:pt>
                <c:pt idx="458">
                  <c:v>45327</c:v>
                </c:pt>
                <c:pt idx="459">
                  <c:v>45334</c:v>
                </c:pt>
                <c:pt idx="460">
                  <c:v>45342</c:v>
                </c:pt>
                <c:pt idx="461">
                  <c:v>45348</c:v>
                </c:pt>
                <c:pt idx="462">
                  <c:v>45355</c:v>
                </c:pt>
                <c:pt idx="463">
                  <c:v>45362</c:v>
                </c:pt>
                <c:pt idx="464">
                  <c:v>45369</c:v>
                </c:pt>
                <c:pt idx="465">
                  <c:v>45376</c:v>
                </c:pt>
                <c:pt idx="466">
                  <c:v>45383</c:v>
                </c:pt>
                <c:pt idx="467">
                  <c:v>45390</c:v>
                </c:pt>
                <c:pt idx="468">
                  <c:v>45397</c:v>
                </c:pt>
                <c:pt idx="469">
                  <c:v>45404</c:v>
                </c:pt>
                <c:pt idx="470">
                  <c:v>45411</c:v>
                </c:pt>
                <c:pt idx="471">
                  <c:v>45418</c:v>
                </c:pt>
                <c:pt idx="472">
                  <c:v>45425</c:v>
                </c:pt>
                <c:pt idx="473">
                  <c:v>45432</c:v>
                </c:pt>
                <c:pt idx="474">
                  <c:v>45440</c:v>
                </c:pt>
                <c:pt idx="475">
                  <c:v>45446</c:v>
                </c:pt>
                <c:pt idx="476">
                  <c:v>45453</c:v>
                </c:pt>
                <c:pt idx="477">
                  <c:v>45460</c:v>
                </c:pt>
                <c:pt idx="478">
                  <c:v>45467</c:v>
                </c:pt>
                <c:pt idx="479">
                  <c:v>45474</c:v>
                </c:pt>
                <c:pt idx="480">
                  <c:v>45481</c:v>
                </c:pt>
                <c:pt idx="481">
                  <c:v>45488</c:v>
                </c:pt>
                <c:pt idx="482">
                  <c:v>45495</c:v>
                </c:pt>
                <c:pt idx="483">
                  <c:v>45502</c:v>
                </c:pt>
                <c:pt idx="484">
                  <c:v>45509</c:v>
                </c:pt>
                <c:pt idx="485">
                  <c:v>45516</c:v>
                </c:pt>
                <c:pt idx="486">
                  <c:v>45523</c:v>
                </c:pt>
                <c:pt idx="487">
                  <c:v>45530</c:v>
                </c:pt>
                <c:pt idx="488">
                  <c:v>45538</c:v>
                </c:pt>
                <c:pt idx="489">
                  <c:v>45544</c:v>
                </c:pt>
                <c:pt idx="490">
                  <c:v>45551</c:v>
                </c:pt>
                <c:pt idx="491">
                  <c:v>45558</c:v>
                </c:pt>
                <c:pt idx="492">
                  <c:v>45565</c:v>
                </c:pt>
                <c:pt idx="493">
                  <c:v>45572</c:v>
                </c:pt>
                <c:pt idx="494">
                  <c:v>45579</c:v>
                </c:pt>
                <c:pt idx="495">
                  <c:v>45586</c:v>
                </c:pt>
                <c:pt idx="496">
                  <c:v>45593</c:v>
                </c:pt>
                <c:pt idx="497">
                  <c:v>45600</c:v>
                </c:pt>
                <c:pt idx="498">
                  <c:v>45607</c:v>
                </c:pt>
                <c:pt idx="499">
                  <c:v>45614</c:v>
                </c:pt>
                <c:pt idx="500">
                  <c:v>45621</c:v>
                </c:pt>
                <c:pt idx="501">
                  <c:v>45628</c:v>
                </c:pt>
                <c:pt idx="502">
                  <c:v>45635</c:v>
                </c:pt>
                <c:pt idx="503">
                  <c:v>45642</c:v>
                </c:pt>
                <c:pt idx="504">
                  <c:v>45649</c:v>
                </c:pt>
                <c:pt idx="505">
                  <c:v>45656</c:v>
                </c:pt>
                <c:pt idx="506">
                  <c:v>45663</c:v>
                </c:pt>
                <c:pt idx="507">
                  <c:v>45670</c:v>
                </c:pt>
                <c:pt idx="508">
                  <c:v>45678</c:v>
                </c:pt>
                <c:pt idx="509">
                  <c:v>45684</c:v>
                </c:pt>
                <c:pt idx="510">
                  <c:v>45691</c:v>
                </c:pt>
                <c:pt idx="511">
                  <c:v>45698</c:v>
                </c:pt>
                <c:pt idx="512">
                  <c:v>45706</c:v>
                </c:pt>
                <c:pt idx="513">
                  <c:v>45712</c:v>
                </c:pt>
                <c:pt idx="514">
                  <c:v>45719</c:v>
                </c:pt>
                <c:pt idx="515">
                  <c:v>45726</c:v>
                </c:pt>
                <c:pt idx="516">
                  <c:v>45733</c:v>
                </c:pt>
                <c:pt idx="517">
                  <c:v>45740</c:v>
                </c:pt>
                <c:pt idx="518">
                  <c:v>45747</c:v>
                </c:pt>
                <c:pt idx="519">
                  <c:v>45754</c:v>
                </c:pt>
                <c:pt idx="520">
                  <c:v>45761</c:v>
                </c:pt>
                <c:pt idx="521">
                  <c:v>45768</c:v>
                </c:pt>
                <c:pt idx="522">
                  <c:v>45775</c:v>
                </c:pt>
              </c:numCache>
            </c:numRef>
          </c:cat>
          <c:val>
            <c:numRef>
              <c:f>NIVIDIA!$E$7:$E$529</c:f>
              <c:numCache>
                <c:formatCode>_([$$-409]* #,##0.00_);_([$$-409]* \(#,##0.00\);_([$$-409]* "-"??_);_(@_)</c:formatCode>
                <c:ptCount val="523"/>
                <c:pt idx="0">
                  <c:v>0.56879999999999997</c:v>
                </c:pt>
                <c:pt idx="1">
                  <c:v>0.52059999999999995</c:v>
                </c:pt>
                <c:pt idx="2">
                  <c:v>0.53249999999999997</c:v>
                </c:pt>
                <c:pt idx="3">
                  <c:v>0.52149999999999996</c:v>
                </c:pt>
                <c:pt idx="4">
                  <c:v>0.55330000000000001</c:v>
                </c:pt>
                <c:pt idx="5">
                  <c:v>0.55649999999999999</c:v>
                </c:pt>
                <c:pt idx="6">
                  <c:v>0.52780000000000005</c:v>
                </c:pt>
                <c:pt idx="7">
                  <c:v>0.54679999999999995</c:v>
                </c:pt>
                <c:pt idx="8">
                  <c:v>0.51849999999999996</c:v>
                </c:pt>
                <c:pt idx="9">
                  <c:v>0.51049999999999995</c:v>
                </c:pt>
                <c:pt idx="10">
                  <c:v>0.49380000000000002</c:v>
                </c:pt>
                <c:pt idx="11">
                  <c:v>0.50180000000000002</c:v>
                </c:pt>
                <c:pt idx="12">
                  <c:v>0.48549999999999999</c:v>
                </c:pt>
                <c:pt idx="13">
                  <c:v>0.49880000000000002</c:v>
                </c:pt>
                <c:pt idx="14">
                  <c:v>0.57450000000000001</c:v>
                </c:pt>
                <c:pt idx="15">
                  <c:v>0.58850000000000002</c:v>
                </c:pt>
                <c:pt idx="16">
                  <c:v>0.53669999999999995</c:v>
                </c:pt>
                <c:pt idx="17">
                  <c:v>0.56830000000000003</c:v>
                </c:pt>
                <c:pt idx="18">
                  <c:v>0.54379999999999995</c:v>
                </c:pt>
                <c:pt idx="19">
                  <c:v>0.56630000000000003</c:v>
                </c:pt>
                <c:pt idx="20">
                  <c:v>0.58230000000000004</c:v>
                </c:pt>
                <c:pt idx="21">
                  <c:v>0.59030000000000005</c:v>
                </c:pt>
                <c:pt idx="22">
                  <c:v>0.62</c:v>
                </c:pt>
                <c:pt idx="23">
                  <c:v>0.65180000000000005</c:v>
                </c:pt>
                <c:pt idx="24">
                  <c:v>0.69650000000000001</c:v>
                </c:pt>
                <c:pt idx="25">
                  <c:v>0.71479999999999999</c:v>
                </c:pt>
                <c:pt idx="26">
                  <c:v>0.70930000000000004</c:v>
                </c:pt>
                <c:pt idx="27">
                  <c:v>0.78879999999999995</c:v>
                </c:pt>
                <c:pt idx="28">
                  <c:v>0.745</c:v>
                </c:pt>
                <c:pt idx="29">
                  <c:v>0.78480000000000005</c:v>
                </c:pt>
                <c:pt idx="30">
                  <c:v>0.78480000000000005</c:v>
                </c:pt>
                <c:pt idx="31">
                  <c:v>0.84379999999999999</c:v>
                </c:pt>
                <c:pt idx="32">
                  <c:v>0.81230000000000002</c:v>
                </c:pt>
                <c:pt idx="33">
                  <c:v>0.80349999999999999</c:v>
                </c:pt>
                <c:pt idx="34">
                  <c:v>0.82930000000000004</c:v>
                </c:pt>
                <c:pt idx="35">
                  <c:v>0.82399999999999995</c:v>
                </c:pt>
                <c:pt idx="36">
                  <c:v>0.74080000000000001</c:v>
                </c:pt>
                <c:pt idx="37">
                  <c:v>0.67779999999999996</c:v>
                </c:pt>
                <c:pt idx="38">
                  <c:v>0.71130000000000004</c:v>
                </c:pt>
                <c:pt idx="39">
                  <c:v>0.73229999999999995</c:v>
                </c:pt>
                <c:pt idx="40">
                  <c:v>0.66080000000000005</c:v>
                </c:pt>
                <c:pt idx="41">
                  <c:v>0.64329999999999998</c:v>
                </c:pt>
                <c:pt idx="42">
                  <c:v>0.76100000000000001</c:v>
                </c:pt>
                <c:pt idx="43">
                  <c:v>0.79200000000000004</c:v>
                </c:pt>
                <c:pt idx="44">
                  <c:v>0.81379999999999997</c:v>
                </c:pt>
                <c:pt idx="45">
                  <c:v>0.80549999999999999</c:v>
                </c:pt>
                <c:pt idx="46">
                  <c:v>0.84530000000000005</c:v>
                </c:pt>
                <c:pt idx="47">
                  <c:v>0.86199999999999999</c:v>
                </c:pt>
                <c:pt idx="48">
                  <c:v>0.90380000000000005</c:v>
                </c:pt>
                <c:pt idx="49">
                  <c:v>0.89149999999999996</c:v>
                </c:pt>
                <c:pt idx="50">
                  <c:v>0.92830000000000001</c:v>
                </c:pt>
                <c:pt idx="51">
                  <c:v>0.90680000000000005</c:v>
                </c:pt>
                <c:pt idx="52">
                  <c:v>0.88829999999999998</c:v>
                </c:pt>
                <c:pt idx="53">
                  <c:v>0.88329999999999997</c:v>
                </c:pt>
                <c:pt idx="54">
                  <c:v>1.0245</c:v>
                </c:pt>
                <c:pt idx="55">
                  <c:v>1.1083000000000001</c:v>
                </c:pt>
                <c:pt idx="56">
                  <c:v>1.1475</c:v>
                </c:pt>
                <c:pt idx="57">
                  <c:v>1.1619999999999999</c:v>
                </c:pt>
                <c:pt idx="58">
                  <c:v>1.155</c:v>
                </c:pt>
                <c:pt idx="59">
                  <c:v>1.1679999999999999</c:v>
                </c:pt>
                <c:pt idx="60">
                  <c:v>1.1432</c:v>
                </c:pt>
                <c:pt idx="61">
                  <c:v>1.1665000000000001</c:v>
                </c:pt>
                <c:pt idx="62">
                  <c:v>1.2713000000000001</c:v>
                </c:pt>
                <c:pt idx="63">
                  <c:v>1.3174999999999999</c:v>
                </c:pt>
                <c:pt idx="64">
                  <c:v>1.3668</c:v>
                </c:pt>
                <c:pt idx="65">
                  <c:v>1.4275</c:v>
                </c:pt>
                <c:pt idx="66">
                  <c:v>1.4550000000000001</c:v>
                </c:pt>
                <c:pt idx="67">
                  <c:v>1.5760000000000001</c:v>
                </c:pt>
                <c:pt idx="68">
                  <c:v>1.5565</c:v>
                </c:pt>
                <c:pt idx="69">
                  <c:v>1.5508</c:v>
                </c:pt>
                <c:pt idx="70">
                  <c:v>1.5632999999999999</c:v>
                </c:pt>
                <c:pt idx="71">
                  <c:v>1.488</c:v>
                </c:pt>
                <c:pt idx="72">
                  <c:v>1.571</c:v>
                </c:pt>
                <c:pt idx="73">
                  <c:v>1.6237999999999999</c:v>
                </c:pt>
                <c:pt idx="74">
                  <c:v>1.7130000000000001</c:v>
                </c:pt>
                <c:pt idx="75">
                  <c:v>1.6713</c:v>
                </c:pt>
                <c:pt idx="76">
                  <c:v>1.6497999999999999</c:v>
                </c:pt>
                <c:pt idx="77">
                  <c:v>1.6884999999999999</c:v>
                </c:pt>
                <c:pt idx="78">
                  <c:v>1.764</c:v>
                </c:pt>
                <c:pt idx="79">
                  <c:v>1.6893</c:v>
                </c:pt>
                <c:pt idx="80">
                  <c:v>2.1993</c:v>
                </c:pt>
                <c:pt idx="81">
                  <c:v>2.3340000000000001</c:v>
                </c:pt>
                <c:pt idx="82">
                  <c:v>2.3540000000000001</c:v>
                </c:pt>
                <c:pt idx="83">
                  <c:v>2.2113</c:v>
                </c:pt>
                <c:pt idx="84">
                  <c:v>2.2955000000000001</c:v>
                </c:pt>
                <c:pt idx="85">
                  <c:v>2.5103</c:v>
                </c:pt>
                <c:pt idx="86">
                  <c:v>2.7444999999999999</c:v>
                </c:pt>
                <c:pt idx="87">
                  <c:v>2.6684999999999999</c:v>
                </c:pt>
                <c:pt idx="88">
                  <c:v>2.5775000000000001</c:v>
                </c:pt>
                <c:pt idx="89">
                  <c:v>2.5857999999999999</c:v>
                </c:pt>
                <c:pt idx="90">
                  <c:v>2.6002999999999998</c:v>
                </c:pt>
                <c:pt idx="91">
                  <c:v>2.7942999999999998</c:v>
                </c:pt>
                <c:pt idx="92">
                  <c:v>2.8595000000000002</c:v>
                </c:pt>
                <c:pt idx="93">
                  <c:v>2.8405</c:v>
                </c:pt>
                <c:pt idx="94">
                  <c:v>2.6808000000000001</c:v>
                </c:pt>
                <c:pt idx="95">
                  <c:v>2.5365000000000002</c:v>
                </c:pt>
                <c:pt idx="96">
                  <c:v>2.4607999999999999</c:v>
                </c:pt>
                <c:pt idx="97">
                  <c:v>2.4780000000000002</c:v>
                </c:pt>
                <c:pt idx="98">
                  <c:v>2.6518000000000002</c:v>
                </c:pt>
                <c:pt idx="99">
                  <c:v>2.6867999999999999</c:v>
                </c:pt>
                <c:pt idx="100">
                  <c:v>2.7233000000000001</c:v>
                </c:pt>
                <c:pt idx="101">
                  <c:v>2.5083000000000002</c:v>
                </c:pt>
                <c:pt idx="102">
                  <c:v>2.3873000000000002</c:v>
                </c:pt>
                <c:pt idx="103">
                  <c:v>2.5419999999999998</c:v>
                </c:pt>
                <c:pt idx="104">
                  <c:v>2.6074999999999999</c:v>
                </c:pt>
                <c:pt idx="105">
                  <c:v>2.5964999999999998</c:v>
                </c:pt>
                <c:pt idx="106">
                  <c:v>3.1972999999999998</c:v>
                </c:pt>
                <c:pt idx="107">
                  <c:v>3.4</c:v>
                </c:pt>
                <c:pt idx="108">
                  <c:v>3.5459999999999998</c:v>
                </c:pt>
                <c:pt idx="109">
                  <c:v>3.5910000000000002</c:v>
                </c:pt>
                <c:pt idx="110">
                  <c:v>3.74</c:v>
                </c:pt>
                <c:pt idx="111">
                  <c:v>3.7905000000000002</c:v>
                </c:pt>
                <c:pt idx="112">
                  <c:v>3.8458000000000001</c:v>
                </c:pt>
                <c:pt idx="113">
                  <c:v>3.6139999999999999</c:v>
                </c:pt>
                <c:pt idx="114">
                  <c:v>3.669</c:v>
                </c:pt>
                <c:pt idx="115">
                  <c:v>4.1238000000000001</c:v>
                </c:pt>
                <c:pt idx="116">
                  <c:v>4.2024999999999997</c:v>
                </c:pt>
                <c:pt idx="117">
                  <c:v>4.1097999999999999</c:v>
                </c:pt>
                <c:pt idx="118">
                  <c:v>4.1802999999999999</c:v>
                </c:pt>
                <c:pt idx="119">
                  <c:v>3.899</c:v>
                </c:pt>
                <c:pt idx="120">
                  <c:v>4.0374999999999996</c:v>
                </c:pt>
                <c:pt idx="121">
                  <c:v>4.0952999999999999</c:v>
                </c:pt>
                <c:pt idx="122">
                  <c:v>4.2614999999999998</c:v>
                </c:pt>
                <c:pt idx="123">
                  <c:v>4.0922999999999998</c:v>
                </c:pt>
                <c:pt idx="124">
                  <c:v>4.5027999999999997</c:v>
                </c:pt>
                <c:pt idx="125">
                  <c:v>4.4749999999999996</c:v>
                </c:pt>
                <c:pt idx="126">
                  <c:v>4.4692999999999996</c:v>
                </c:pt>
                <c:pt idx="127">
                  <c:v>4.5324999999999998</c:v>
                </c:pt>
                <c:pt idx="128">
                  <c:v>4.8647999999999998</c:v>
                </c:pt>
                <c:pt idx="129">
                  <c:v>4.9225000000000003</c:v>
                </c:pt>
                <c:pt idx="130">
                  <c:v>5.0465</c:v>
                </c:pt>
                <c:pt idx="131">
                  <c:v>5.2172999999999998</c:v>
                </c:pt>
                <c:pt idx="132">
                  <c:v>5.4035000000000002</c:v>
                </c:pt>
                <c:pt idx="133">
                  <c:v>5.2839999999999998</c:v>
                </c:pt>
                <c:pt idx="134">
                  <c:v>5.4240000000000004</c:v>
                </c:pt>
                <c:pt idx="135">
                  <c:v>4.9420000000000002</c:v>
                </c:pt>
                <c:pt idx="136">
                  <c:v>4.7873000000000001</c:v>
                </c:pt>
                <c:pt idx="137">
                  <c:v>4.7889999999999997</c:v>
                </c:pt>
                <c:pt idx="138">
                  <c:v>4.8818000000000001</c:v>
                </c:pt>
                <c:pt idx="139">
                  <c:v>4.8375000000000004</c:v>
                </c:pt>
                <c:pt idx="140">
                  <c:v>5.3849999999999998</c:v>
                </c:pt>
                <c:pt idx="141">
                  <c:v>5.5744999999999996</c:v>
                </c:pt>
                <c:pt idx="142">
                  <c:v>5.7527999999999997</c:v>
                </c:pt>
                <c:pt idx="143">
                  <c:v>6.0833000000000004</c:v>
                </c:pt>
                <c:pt idx="144">
                  <c:v>5.8380000000000001</c:v>
                </c:pt>
                <c:pt idx="145">
                  <c:v>5.8019999999999996</c:v>
                </c:pt>
                <c:pt idx="146">
                  <c:v>6.0960000000000001</c:v>
                </c:pt>
                <c:pt idx="147">
                  <c:v>6.1482999999999999</c:v>
                </c:pt>
                <c:pt idx="148">
                  <c:v>5.9135</c:v>
                </c:pt>
                <c:pt idx="149">
                  <c:v>6.1333000000000002</c:v>
                </c:pt>
                <c:pt idx="150">
                  <c:v>6.2619999999999996</c:v>
                </c:pt>
                <c:pt idx="151">
                  <c:v>5.8243</c:v>
                </c:pt>
                <c:pt idx="152">
                  <c:v>5.7897999999999996</c:v>
                </c:pt>
                <c:pt idx="153">
                  <c:v>5.3563000000000001</c:v>
                </c:pt>
                <c:pt idx="154">
                  <c:v>5.7874999999999996</c:v>
                </c:pt>
                <c:pt idx="155">
                  <c:v>5.7178000000000004</c:v>
                </c:pt>
                <c:pt idx="156">
                  <c:v>5.6582999999999997</c:v>
                </c:pt>
                <c:pt idx="157">
                  <c:v>5.9764999999999997</c:v>
                </c:pt>
                <c:pt idx="158">
                  <c:v>6.3632999999999997</c:v>
                </c:pt>
                <c:pt idx="159">
                  <c:v>6.1485000000000003</c:v>
                </c:pt>
                <c:pt idx="160">
                  <c:v>6.2320000000000002</c:v>
                </c:pt>
                <c:pt idx="161">
                  <c:v>6.4405000000000001</c:v>
                </c:pt>
                <c:pt idx="162">
                  <c:v>6.5570000000000004</c:v>
                </c:pt>
                <c:pt idx="163">
                  <c:v>6.6315</c:v>
                </c:pt>
                <c:pt idx="164">
                  <c:v>6.2737999999999996</c:v>
                </c:pt>
                <c:pt idx="165">
                  <c:v>5.9225000000000003</c:v>
                </c:pt>
                <c:pt idx="166">
                  <c:v>6.1833</c:v>
                </c:pt>
                <c:pt idx="167">
                  <c:v>6.2329999999999997</c:v>
                </c:pt>
                <c:pt idx="168">
                  <c:v>6.2723000000000004</c:v>
                </c:pt>
                <c:pt idx="169">
                  <c:v>6.3005000000000004</c:v>
                </c:pt>
                <c:pt idx="170">
                  <c:v>6.3025000000000002</c:v>
                </c:pt>
                <c:pt idx="171">
                  <c:v>6.3697999999999997</c:v>
                </c:pt>
                <c:pt idx="172">
                  <c:v>6.1204999999999998</c:v>
                </c:pt>
                <c:pt idx="173">
                  <c:v>6.8055000000000003</c:v>
                </c:pt>
                <c:pt idx="174">
                  <c:v>7.0170000000000003</c:v>
                </c:pt>
                <c:pt idx="175">
                  <c:v>6.7965</c:v>
                </c:pt>
                <c:pt idx="176">
                  <c:v>6.9108000000000001</c:v>
                </c:pt>
                <c:pt idx="177">
                  <c:v>6.5862999999999996</c:v>
                </c:pt>
                <c:pt idx="178">
                  <c:v>7.0255000000000001</c:v>
                </c:pt>
                <c:pt idx="179">
                  <c:v>6.7465000000000002</c:v>
                </c:pt>
                <c:pt idx="180">
                  <c:v>6.1635</c:v>
                </c:pt>
                <c:pt idx="181">
                  <c:v>5.7293000000000003</c:v>
                </c:pt>
                <c:pt idx="182">
                  <c:v>4.9573</c:v>
                </c:pt>
                <c:pt idx="183">
                  <c:v>5.3730000000000002</c:v>
                </c:pt>
                <c:pt idx="184">
                  <c:v>5.1417999999999999</c:v>
                </c:pt>
                <c:pt idx="185">
                  <c:v>4.1108000000000002</c:v>
                </c:pt>
                <c:pt idx="186">
                  <c:v>3.625</c:v>
                </c:pt>
                <c:pt idx="187">
                  <c:v>4.0857999999999999</c:v>
                </c:pt>
                <c:pt idx="188">
                  <c:v>3.6903000000000001</c:v>
                </c:pt>
                <c:pt idx="189">
                  <c:v>3.6613000000000002</c:v>
                </c:pt>
                <c:pt idx="190">
                  <c:v>3.2393000000000001</c:v>
                </c:pt>
                <c:pt idx="191">
                  <c:v>3.3412999999999999</c:v>
                </c:pt>
                <c:pt idx="192">
                  <c:v>3.4047999999999998</c:v>
                </c:pt>
                <c:pt idx="193">
                  <c:v>3.7208000000000001</c:v>
                </c:pt>
                <c:pt idx="194">
                  <c:v>3.9232999999999998</c:v>
                </c:pt>
                <c:pt idx="195">
                  <c:v>4.0038</c:v>
                </c:pt>
                <c:pt idx="196">
                  <c:v>3.6183000000000001</c:v>
                </c:pt>
                <c:pt idx="197">
                  <c:v>3.7042999999999999</c:v>
                </c:pt>
                <c:pt idx="198">
                  <c:v>3.9335</c:v>
                </c:pt>
                <c:pt idx="199">
                  <c:v>3.9798</c:v>
                </c:pt>
                <c:pt idx="200">
                  <c:v>3.9113000000000002</c:v>
                </c:pt>
                <c:pt idx="201">
                  <c:v>3.766</c:v>
                </c:pt>
                <c:pt idx="202">
                  <c:v>4.2453000000000003</c:v>
                </c:pt>
                <c:pt idx="203">
                  <c:v>4.4375</c:v>
                </c:pt>
                <c:pt idx="204">
                  <c:v>4.4889999999999999</c:v>
                </c:pt>
                <c:pt idx="205">
                  <c:v>4.7737999999999996</c:v>
                </c:pt>
                <c:pt idx="206">
                  <c:v>4.7503000000000002</c:v>
                </c:pt>
                <c:pt idx="207">
                  <c:v>4.6574999999999998</c:v>
                </c:pt>
                <c:pt idx="208">
                  <c:v>4.4523000000000001</c:v>
                </c:pt>
                <c:pt idx="209">
                  <c:v>4.5751999999999997</c:v>
                </c:pt>
                <c:pt idx="210">
                  <c:v>4.2205000000000004</c:v>
                </c:pt>
                <c:pt idx="211">
                  <c:v>3.9133</c:v>
                </c:pt>
                <c:pt idx="212">
                  <c:v>3.6288</c:v>
                </c:pt>
                <c:pt idx="213">
                  <c:v>3.3864999999999998</c:v>
                </c:pt>
                <c:pt idx="214">
                  <c:v>3.6375000000000002</c:v>
                </c:pt>
                <c:pt idx="215">
                  <c:v>3.6160000000000001</c:v>
                </c:pt>
                <c:pt idx="216">
                  <c:v>3.794</c:v>
                </c:pt>
                <c:pt idx="217">
                  <c:v>4.1056999999999997</c:v>
                </c:pt>
                <c:pt idx="218">
                  <c:v>4.0057999999999998</c:v>
                </c:pt>
                <c:pt idx="219">
                  <c:v>4.1902999999999997</c:v>
                </c:pt>
                <c:pt idx="220">
                  <c:v>4.2110000000000003</c:v>
                </c:pt>
                <c:pt idx="221">
                  <c:v>4.3768000000000002</c:v>
                </c:pt>
                <c:pt idx="222">
                  <c:v>4.0297999999999998</c:v>
                </c:pt>
                <c:pt idx="223">
                  <c:v>3.8544999999999998</c:v>
                </c:pt>
                <c:pt idx="224">
                  <c:v>3.9889999999999999</c:v>
                </c:pt>
                <c:pt idx="225">
                  <c:v>4.0609999999999999</c:v>
                </c:pt>
                <c:pt idx="226">
                  <c:v>4.1878000000000002</c:v>
                </c:pt>
                <c:pt idx="227">
                  <c:v>4.4663000000000004</c:v>
                </c:pt>
                <c:pt idx="228">
                  <c:v>4.5484999999999998</c:v>
                </c:pt>
                <c:pt idx="229">
                  <c:v>4.3173000000000004</c:v>
                </c:pt>
                <c:pt idx="230">
                  <c:v>4.2939999999999996</c:v>
                </c:pt>
                <c:pt idx="231">
                  <c:v>4.5492999999999997</c:v>
                </c:pt>
                <c:pt idx="232">
                  <c:v>4.6497999999999999</c:v>
                </c:pt>
                <c:pt idx="233">
                  <c:v>4.7622999999999998</c:v>
                </c:pt>
                <c:pt idx="234">
                  <c:v>5.1135000000000002</c:v>
                </c:pt>
                <c:pt idx="235">
                  <c:v>5.0648</c:v>
                </c:pt>
                <c:pt idx="236">
                  <c:v>5.1944999999999997</c:v>
                </c:pt>
                <c:pt idx="237">
                  <c:v>5.1048</c:v>
                </c:pt>
                <c:pt idx="238">
                  <c:v>5.2723000000000004</c:v>
                </c:pt>
                <c:pt idx="239">
                  <c:v>5.4184999999999999</c:v>
                </c:pt>
                <c:pt idx="240">
                  <c:v>5.3042999999999996</c:v>
                </c:pt>
                <c:pt idx="241">
                  <c:v>5.5998000000000001</c:v>
                </c:pt>
                <c:pt idx="242">
                  <c:v>5.9843000000000002</c:v>
                </c:pt>
                <c:pt idx="243">
                  <c:v>5.9218000000000002</c:v>
                </c:pt>
                <c:pt idx="244">
                  <c:v>5.9017999999999997</c:v>
                </c:pt>
                <c:pt idx="245">
                  <c:v>6.1079999999999997</c:v>
                </c:pt>
                <c:pt idx="246">
                  <c:v>6.2320000000000002</c:v>
                </c:pt>
                <c:pt idx="247">
                  <c:v>6.2619999999999996</c:v>
                </c:pt>
                <c:pt idx="248">
                  <c:v>5.9108000000000001</c:v>
                </c:pt>
                <c:pt idx="249">
                  <c:v>6.2897999999999996</c:v>
                </c:pt>
                <c:pt idx="250">
                  <c:v>7.2447999999999997</c:v>
                </c:pt>
                <c:pt idx="251">
                  <c:v>7.3517999999999999</c:v>
                </c:pt>
                <c:pt idx="252">
                  <c:v>6.7518000000000002</c:v>
                </c:pt>
                <c:pt idx="253">
                  <c:v>6.6509999999999998</c:v>
                </c:pt>
                <c:pt idx="254">
                  <c:v>6.0209999999999999</c:v>
                </c:pt>
                <c:pt idx="255">
                  <c:v>5.1437999999999997</c:v>
                </c:pt>
                <c:pt idx="256">
                  <c:v>6.3182999999999998</c:v>
                </c:pt>
                <c:pt idx="257">
                  <c:v>6.0978000000000003</c:v>
                </c:pt>
                <c:pt idx="258">
                  <c:v>6.5738000000000003</c:v>
                </c:pt>
                <c:pt idx="259">
                  <c:v>7.3079999999999998</c:v>
                </c:pt>
                <c:pt idx="260">
                  <c:v>7.2397999999999998</c:v>
                </c:pt>
                <c:pt idx="261">
                  <c:v>7.0694999999999997</c:v>
                </c:pt>
                <c:pt idx="262">
                  <c:v>7.8125</c:v>
                </c:pt>
                <c:pt idx="263">
                  <c:v>8.4908000000000001</c:v>
                </c:pt>
                <c:pt idx="264">
                  <c:v>9.0263000000000009</c:v>
                </c:pt>
                <c:pt idx="265">
                  <c:v>8.8755000000000006</c:v>
                </c:pt>
                <c:pt idx="266">
                  <c:v>8.92</c:v>
                </c:pt>
                <c:pt idx="267">
                  <c:v>8.9324999999999992</c:v>
                </c:pt>
                <c:pt idx="268">
                  <c:v>9.2613000000000003</c:v>
                </c:pt>
                <c:pt idx="269">
                  <c:v>9.1549999999999994</c:v>
                </c:pt>
                <c:pt idx="270">
                  <c:v>9.6122999999999994</c:v>
                </c:pt>
                <c:pt idx="271">
                  <c:v>10.4793</c:v>
                </c:pt>
                <c:pt idx="272">
                  <c:v>10.201499999999999</c:v>
                </c:pt>
                <c:pt idx="273">
                  <c:v>10.1945</c:v>
                </c:pt>
                <c:pt idx="274">
                  <c:v>10.614800000000001</c:v>
                </c:pt>
                <c:pt idx="275">
                  <c:v>11.1995</c:v>
                </c:pt>
                <c:pt idx="276">
                  <c:v>11.564</c:v>
                </c:pt>
                <c:pt idx="277">
                  <c:v>12.6835</c:v>
                </c:pt>
                <c:pt idx="278">
                  <c:v>13.1478</c:v>
                </c:pt>
                <c:pt idx="279">
                  <c:v>12.6225</c:v>
                </c:pt>
                <c:pt idx="280">
                  <c:v>12.1645</c:v>
                </c:pt>
                <c:pt idx="281">
                  <c:v>12.189299999999999</c:v>
                </c:pt>
                <c:pt idx="282">
                  <c:v>12.873799999999999</c:v>
                </c:pt>
                <c:pt idx="283">
                  <c:v>13.0623</c:v>
                </c:pt>
                <c:pt idx="284">
                  <c:v>13.7628</c:v>
                </c:pt>
                <c:pt idx="285">
                  <c:v>13.811500000000001</c:v>
                </c:pt>
                <c:pt idx="286">
                  <c:v>13.590299999999999</c:v>
                </c:pt>
                <c:pt idx="287">
                  <c:v>12.534000000000001</c:v>
                </c:pt>
                <c:pt idx="288">
                  <c:v>14.561999999999999</c:v>
                </c:pt>
                <c:pt idx="289">
                  <c:v>13.297000000000001</c:v>
                </c:pt>
                <c:pt idx="290">
                  <c:v>13.0878</c:v>
                </c:pt>
                <c:pt idx="291">
                  <c:v>13.2613</c:v>
                </c:pt>
                <c:pt idx="292">
                  <c:v>13.558299999999999</c:v>
                </c:pt>
                <c:pt idx="293">
                  <c:v>13.013299999999999</c:v>
                </c:pt>
                <c:pt idx="294">
                  <c:v>13.272</c:v>
                </c:pt>
                <c:pt idx="295">
                  <c:v>12.9938</c:v>
                </c:pt>
                <c:pt idx="296">
                  <c:v>13.055</c:v>
                </c:pt>
                <c:pt idx="297">
                  <c:v>13.2768</c:v>
                </c:pt>
                <c:pt idx="298">
                  <c:v>12.859500000000001</c:v>
                </c:pt>
                <c:pt idx="299">
                  <c:v>13.7125</c:v>
                </c:pt>
                <c:pt idx="300">
                  <c:v>12.989800000000001</c:v>
                </c:pt>
                <c:pt idx="301">
                  <c:v>13.590999999999999</c:v>
                </c:pt>
                <c:pt idx="302">
                  <c:v>14.9613</c:v>
                </c:pt>
                <c:pt idx="303">
                  <c:v>14.926500000000001</c:v>
                </c:pt>
                <c:pt idx="304">
                  <c:v>13.714499999999999</c:v>
                </c:pt>
                <c:pt idx="305">
                  <c:v>12.461499999999999</c:v>
                </c:pt>
                <c:pt idx="306">
                  <c:v>12.856</c:v>
                </c:pt>
                <c:pt idx="307">
                  <c:v>12.845800000000001</c:v>
                </c:pt>
                <c:pt idx="308">
                  <c:v>12.8393</c:v>
                </c:pt>
                <c:pt idx="309">
                  <c:v>13.8118</c:v>
                </c:pt>
                <c:pt idx="310">
                  <c:v>14.4</c:v>
                </c:pt>
                <c:pt idx="311">
                  <c:v>15.9125</c:v>
                </c:pt>
                <c:pt idx="312">
                  <c:v>15.2653</c:v>
                </c:pt>
                <c:pt idx="313">
                  <c:v>15.009499999999999</c:v>
                </c:pt>
                <c:pt idx="314">
                  <c:v>14.8123</c:v>
                </c:pt>
                <c:pt idx="315">
                  <c:v>14.243</c:v>
                </c:pt>
                <c:pt idx="316">
                  <c:v>14.9918</c:v>
                </c:pt>
                <c:pt idx="317">
                  <c:v>16.244499999999999</c:v>
                </c:pt>
                <c:pt idx="318">
                  <c:v>17.578299999999999</c:v>
                </c:pt>
                <c:pt idx="319">
                  <c:v>17.825299999999999</c:v>
                </c:pt>
                <c:pt idx="320">
                  <c:v>18.6387</c:v>
                </c:pt>
                <c:pt idx="321">
                  <c:v>19.030999999999999</c:v>
                </c:pt>
                <c:pt idx="322">
                  <c:v>20.486999999999998</c:v>
                </c:pt>
                <c:pt idx="323">
                  <c:v>20.0503</c:v>
                </c:pt>
                <c:pt idx="324">
                  <c:v>18.161000000000001</c:v>
                </c:pt>
                <c:pt idx="325">
                  <c:v>19.558</c:v>
                </c:pt>
                <c:pt idx="326">
                  <c:v>19.498999999999999</c:v>
                </c:pt>
                <c:pt idx="327">
                  <c:v>20.366</c:v>
                </c:pt>
                <c:pt idx="328">
                  <c:v>20.187999999999999</c:v>
                </c:pt>
                <c:pt idx="329">
                  <c:v>20.815999999999999</c:v>
                </c:pt>
                <c:pt idx="330">
                  <c:v>22.635999999999999</c:v>
                </c:pt>
                <c:pt idx="331">
                  <c:v>22.843</c:v>
                </c:pt>
                <c:pt idx="332">
                  <c:v>22.478000000000002</c:v>
                </c:pt>
                <c:pt idx="333">
                  <c:v>21.9</c:v>
                </c:pt>
                <c:pt idx="334">
                  <c:v>22.081</c:v>
                </c:pt>
                <c:pt idx="335">
                  <c:v>20.742000000000001</c:v>
                </c:pt>
                <c:pt idx="336">
                  <c:v>20.831</c:v>
                </c:pt>
                <c:pt idx="337">
                  <c:v>21.861999999999998</c:v>
                </c:pt>
                <c:pt idx="338">
                  <c:v>22.725999999999999</c:v>
                </c:pt>
                <c:pt idx="339">
                  <c:v>25.567</c:v>
                </c:pt>
                <c:pt idx="340">
                  <c:v>29.751999999999999</c:v>
                </c:pt>
                <c:pt idx="341">
                  <c:v>30.39</c:v>
                </c:pt>
                <c:pt idx="342">
                  <c:v>32.984999999999999</c:v>
                </c:pt>
                <c:pt idx="343">
                  <c:v>31.503</c:v>
                </c:pt>
                <c:pt idx="344">
                  <c:v>30.693000000000001</c:v>
                </c:pt>
                <c:pt idx="345">
                  <c:v>30.198</c:v>
                </c:pt>
                <c:pt idx="346">
                  <c:v>27.800999999999998</c:v>
                </c:pt>
                <c:pt idx="347">
                  <c:v>29.64</c:v>
                </c:pt>
                <c:pt idx="348">
                  <c:v>29.411000000000001</c:v>
                </c:pt>
                <c:pt idx="349">
                  <c:v>27.247</c:v>
                </c:pt>
                <c:pt idx="350">
                  <c:v>26.942</c:v>
                </c:pt>
                <c:pt idx="351">
                  <c:v>23.373999999999999</c:v>
                </c:pt>
                <c:pt idx="352">
                  <c:v>22.84</c:v>
                </c:pt>
                <c:pt idx="353">
                  <c:v>24.318999999999999</c:v>
                </c:pt>
                <c:pt idx="354">
                  <c:v>23.949000000000002</c:v>
                </c:pt>
                <c:pt idx="355">
                  <c:v>23.641999999999999</c:v>
                </c:pt>
                <c:pt idx="356">
                  <c:v>24.157</c:v>
                </c:pt>
                <c:pt idx="357">
                  <c:v>22.936</c:v>
                </c:pt>
                <c:pt idx="358">
                  <c:v>22.1</c:v>
                </c:pt>
                <c:pt idx="359">
                  <c:v>26.452999999999999</c:v>
                </c:pt>
                <c:pt idx="360">
                  <c:v>27.692</c:v>
                </c:pt>
                <c:pt idx="361">
                  <c:v>26.712</c:v>
                </c:pt>
                <c:pt idx="362">
                  <c:v>23.119</c:v>
                </c:pt>
                <c:pt idx="363">
                  <c:v>21.257999999999999</c:v>
                </c:pt>
                <c:pt idx="364">
                  <c:v>19.515000000000001</c:v>
                </c:pt>
                <c:pt idx="365">
                  <c:v>18.547000000000001</c:v>
                </c:pt>
                <c:pt idx="366">
                  <c:v>18.675000000000001</c:v>
                </c:pt>
                <c:pt idx="367">
                  <c:v>17.706</c:v>
                </c:pt>
                <c:pt idx="368">
                  <c:v>16.693999999999999</c:v>
                </c:pt>
                <c:pt idx="369">
                  <c:v>18.811</c:v>
                </c:pt>
                <c:pt idx="370">
                  <c:v>18.72</c:v>
                </c:pt>
                <c:pt idx="371">
                  <c:v>16.974</c:v>
                </c:pt>
                <c:pt idx="372">
                  <c:v>15.88</c:v>
                </c:pt>
                <c:pt idx="373">
                  <c:v>17.126000000000001</c:v>
                </c:pt>
                <c:pt idx="374">
                  <c:v>14.523</c:v>
                </c:pt>
                <c:pt idx="375">
                  <c:v>15.837999999999999</c:v>
                </c:pt>
                <c:pt idx="376">
                  <c:v>15.762</c:v>
                </c:pt>
                <c:pt idx="377">
                  <c:v>17.318999999999999</c:v>
                </c:pt>
                <c:pt idx="378">
                  <c:v>18.163</c:v>
                </c:pt>
                <c:pt idx="379">
                  <c:v>18.989000000000001</c:v>
                </c:pt>
                <c:pt idx="380">
                  <c:v>18.709</c:v>
                </c:pt>
                <c:pt idx="381">
                  <c:v>17.849</c:v>
                </c:pt>
                <c:pt idx="382">
                  <c:v>16.260000000000002</c:v>
                </c:pt>
                <c:pt idx="383">
                  <c:v>13.647</c:v>
                </c:pt>
                <c:pt idx="384">
                  <c:v>14.387</c:v>
                </c:pt>
                <c:pt idx="385">
                  <c:v>13.198</c:v>
                </c:pt>
                <c:pt idx="386">
                  <c:v>12.516</c:v>
                </c:pt>
                <c:pt idx="387">
                  <c:v>12.138999999999999</c:v>
                </c:pt>
                <c:pt idx="388">
                  <c:v>12.076000000000001</c:v>
                </c:pt>
                <c:pt idx="389">
                  <c:v>11.227</c:v>
                </c:pt>
                <c:pt idx="390">
                  <c:v>12.465999999999999</c:v>
                </c:pt>
                <c:pt idx="391">
                  <c:v>13.834</c:v>
                </c:pt>
                <c:pt idx="392">
                  <c:v>14.156000000000001</c:v>
                </c:pt>
                <c:pt idx="393">
                  <c:v>16.327000000000002</c:v>
                </c:pt>
                <c:pt idx="394">
                  <c:v>15.409000000000001</c:v>
                </c:pt>
                <c:pt idx="395">
                  <c:v>16.27</c:v>
                </c:pt>
                <c:pt idx="396">
                  <c:v>16.876000000000001</c:v>
                </c:pt>
                <c:pt idx="397">
                  <c:v>17.001000000000001</c:v>
                </c:pt>
                <c:pt idx="398">
                  <c:v>16.571000000000002</c:v>
                </c:pt>
                <c:pt idx="399">
                  <c:v>15.206</c:v>
                </c:pt>
                <c:pt idx="400">
                  <c:v>14.614000000000001</c:v>
                </c:pt>
                <c:pt idx="401">
                  <c:v>14.859</c:v>
                </c:pt>
                <c:pt idx="402">
                  <c:v>16.899000000000001</c:v>
                </c:pt>
                <c:pt idx="403">
                  <c:v>17.838999999999999</c:v>
                </c:pt>
                <c:pt idx="404">
                  <c:v>20.364999999999998</c:v>
                </c:pt>
                <c:pt idx="405">
                  <c:v>21.1</c:v>
                </c:pt>
                <c:pt idx="406">
                  <c:v>21.265000000000001</c:v>
                </c:pt>
                <c:pt idx="407">
                  <c:v>21.388000000000002</c:v>
                </c:pt>
                <c:pt idx="408">
                  <c:v>23.286000000000001</c:v>
                </c:pt>
                <c:pt idx="409">
                  <c:v>23.89</c:v>
                </c:pt>
                <c:pt idx="410">
                  <c:v>22.965</c:v>
                </c:pt>
                <c:pt idx="411">
                  <c:v>25.725000000000001</c:v>
                </c:pt>
                <c:pt idx="412">
                  <c:v>26.779</c:v>
                </c:pt>
                <c:pt idx="413">
                  <c:v>27.777000000000001</c:v>
                </c:pt>
                <c:pt idx="414">
                  <c:v>27.036999999999999</c:v>
                </c:pt>
                <c:pt idx="415">
                  <c:v>26.757999999999999</c:v>
                </c:pt>
                <c:pt idx="416">
                  <c:v>27.119</c:v>
                </c:pt>
                <c:pt idx="417">
                  <c:v>27.748999999999999</c:v>
                </c:pt>
                <c:pt idx="418">
                  <c:v>28.68</c:v>
                </c:pt>
                <c:pt idx="419">
                  <c:v>28.34</c:v>
                </c:pt>
                <c:pt idx="420">
                  <c:v>31.263999999999999</c:v>
                </c:pt>
                <c:pt idx="421">
                  <c:v>38.945999999999998</c:v>
                </c:pt>
                <c:pt idx="422">
                  <c:v>39.326999999999998</c:v>
                </c:pt>
                <c:pt idx="423">
                  <c:v>38.770000000000003</c:v>
                </c:pt>
                <c:pt idx="424">
                  <c:v>42.692</c:v>
                </c:pt>
                <c:pt idx="425">
                  <c:v>42.209000000000003</c:v>
                </c:pt>
                <c:pt idx="426">
                  <c:v>42.302</c:v>
                </c:pt>
                <c:pt idx="427">
                  <c:v>42.503</c:v>
                </c:pt>
                <c:pt idx="428">
                  <c:v>45.469000000000001</c:v>
                </c:pt>
                <c:pt idx="429">
                  <c:v>44.308999999999997</c:v>
                </c:pt>
                <c:pt idx="430">
                  <c:v>46.75</c:v>
                </c:pt>
                <c:pt idx="431">
                  <c:v>44.68</c:v>
                </c:pt>
                <c:pt idx="432">
                  <c:v>40.854999999999997</c:v>
                </c:pt>
                <c:pt idx="433">
                  <c:v>43.298999999999999</c:v>
                </c:pt>
                <c:pt idx="434">
                  <c:v>46.018000000000001</c:v>
                </c:pt>
                <c:pt idx="435">
                  <c:v>48.509</c:v>
                </c:pt>
                <c:pt idx="436">
                  <c:v>45.572000000000003</c:v>
                </c:pt>
                <c:pt idx="437">
                  <c:v>43.9</c:v>
                </c:pt>
                <c:pt idx="438">
                  <c:v>41.61</c:v>
                </c:pt>
                <c:pt idx="439">
                  <c:v>43.499000000000002</c:v>
                </c:pt>
                <c:pt idx="440">
                  <c:v>45.762</c:v>
                </c:pt>
                <c:pt idx="441">
                  <c:v>45.460999999999999</c:v>
                </c:pt>
                <c:pt idx="442">
                  <c:v>41.387</c:v>
                </c:pt>
                <c:pt idx="443">
                  <c:v>40.5</c:v>
                </c:pt>
                <c:pt idx="444">
                  <c:v>45.005000000000003</c:v>
                </c:pt>
                <c:pt idx="445">
                  <c:v>48.335000000000001</c:v>
                </c:pt>
                <c:pt idx="446">
                  <c:v>49.298000000000002</c:v>
                </c:pt>
                <c:pt idx="447">
                  <c:v>47.776000000000003</c:v>
                </c:pt>
                <c:pt idx="448">
                  <c:v>46.765000000000001</c:v>
                </c:pt>
                <c:pt idx="449">
                  <c:v>47.506</c:v>
                </c:pt>
                <c:pt idx="450">
                  <c:v>48.89</c:v>
                </c:pt>
                <c:pt idx="451">
                  <c:v>48.83</c:v>
                </c:pt>
                <c:pt idx="452">
                  <c:v>49.521999999999998</c:v>
                </c:pt>
                <c:pt idx="453">
                  <c:v>49.097000000000001</c:v>
                </c:pt>
                <c:pt idx="454">
                  <c:v>54.71</c:v>
                </c:pt>
                <c:pt idx="455">
                  <c:v>59.491</c:v>
                </c:pt>
                <c:pt idx="456">
                  <c:v>61.030999999999999</c:v>
                </c:pt>
                <c:pt idx="457">
                  <c:v>66.16</c:v>
                </c:pt>
                <c:pt idx="458">
                  <c:v>72.132999999999996</c:v>
                </c:pt>
                <c:pt idx="459">
                  <c:v>72.613</c:v>
                </c:pt>
                <c:pt idx="460">
                  <c:v>78.816999999999993</c:v>
                </c:pt>
                <c:pt idx="461">
                  <c:v>82.278999999999996</c:v>
                </c:pt>
                <c:pt idx="462">
                  <c:v>87.528000000000006</c:v>
                </c:pt>
                <c:pt idx="463">
                  <c:v>87.836500000000001</c:v>
                </c:pt>
                <c:pt idx="464">
                  <c:v>94.289000000000001</c:v>
                </c:pt>
                <c:pt idx="465">
                  <c:v>90.355999999999995</c:v>
                </c:pt>
                <c:pt idx="466">
                  <c:v>88.007999999999996</c:v>
                </c:pt>
                <c:pt idx="467">
                  <c:v>88.186000000000007</c:v>
                </c:pt>
                <c:pt idx="468">
                  <c:v>76.2</c:v>
                </c:pt>
                <c:pt idx="469">
                  <c:v>87.734999999999999</c:v>
                </c:pt>
                <c:pt idx="470">
                  <c:v>88.789000000000001</c:v>
                </c:pt>
                <c:pt idx="471">
                  <c:v>89.878</c:v>
                </c:pt>
                <c:pt idx="472">
                  <c:v>92.478999999999999</c:v>
                </c:pt>
                <c:pt idx="473">
                  <c:v>106.46899999999999</c:v>
                </c:pt>
                <c:pt idx="474">
                  <c:v>109.633</c:v>
                </c:pt>
                <c:pt idx="475">
                  <c:v>120.88800000000001</c:v>
                </c:pt>
                <c:pt idx="476">
                  <c:v>131.88</c:v>
                </c:pt>
                <c:pt idx="477">
                  <c:v>126.57</c:v>
                </c:pt>
                <c:pt idx="478">
                  <c:v>123.54</c:v>
                </c:pt>
                <c:pt idx="479">
                  <c:v>125.83</c:v>
                </c:pt>
                <c:pt idx="480">
                  <c:v>129.24</c:v>
                </c:pt>
                <c:pt idx="481">
                  <c:v>117.93</c:v>
                </c:pt>
                <c:pt idx="482">
                  <c:v>113.06</c:v>
                </c:pt>
                <c:pt idx="483">
                  <c:v>107.27</c:v>
                </c:pt>
                <c:pt idx="484">
                  <c:v>104.75</c:v>
                </c:pt>
                <c:pt idx="485">
                  <c:v>124.58</c:v>
                </c:pt>
                <c:pt idx="486">
                  <c:v>129.37</c:v>
                </c:pt>
                <c:pt idx="487">
                  <c:v>119.37</c:v>
                </c:pt>
                <c:pt idx="488">
                  <c:v>102.83</c:v>
                </c:pt>
                <c:pt idx="489">
                  <c:v>119.1</c:v>
                </c:pt>
                <c:pt idx="490">
                  <c:v>116</c:v>
                </c:pt>
                <c:pt idx="491">
                  <c:v>121.4</c:v>
                </c:pt>
                <c:pt idx="492">
                  <c:v>124.92</c:v>
                </c:pt>
                <c:pt idx="493">
                  <c:v>134.80000000000001</c:v>
                </c:pt>
                <c:pt idx="494">
                  <c:v>138</c:v>
                </c:pt>
                <c:pt idx="495">
                  <c:v>141.54</c:v>
                </c:pt>
                <c:pt idx="496">
                  <c:v>135.4</c:v>
                </c:pt>
                <c:pt idx="497">
                  <c:v>147.63</c:v>
                </c:pt>
                <c:pt idx="498">
                  <c:v>141.97999999999999</c:v>
                </c:pt>
                <c:pt idx="499">
                  <c:v>141.94999999999999</c:v>
                </c:pt>
                <c:pt idx="500">
                  <c:v>138.25</c:v>
                </c:pt>
                <c:pt idx="501">
                  <c:v>142.44</c:v>
                </c:pt>
                <c:pt idx="502">
                  <c:v>134.25</c:v>
                </c:pt>
                <c:pt idx="503">
                  <c:v>134.69999999999999</c:v>
                </c:pt>
                <c:pt idx="504">
                  <c:v>137.01</c:v>
                </c:pt>
                <c:pt idx="505">
                  <c:v>144.47</c:v>
                </c:pt>
                <c:pt idx="506">
                  <c:v>135.91</c:v>
                </c:pt>
                <c:pt idx="507">
                  <c:v>137.71</c:v>
                </c:pt>
                <c:pt idx="508">
                  <c:v>142.62</c:v>
                </c:pt>
                <c:pt idx="509">
                  <c:v>120.07</c:v>
                </c:pt>
                <c:pt idx="510">
                  <c:v>129.84</c:v>
                </c:pt>
                <c:pt idx="511">
                  <c:v>138.85</c:v>
                </c:pt>
                <c:pt idx="512">
                  <c:v>134.43</c:v>
                </c:pt>
                <c:pt idx="513">
                  <c:v>124.92</c:v>
                </c:pt>
                <c:pt idx="514">
                  <c:v>112.69</c:v>
                </c:pt>
                <c:pt idx="515">
                  <c:v>121.67</c:v>
                </c:pt>
                <c:pt idx="516">
                  <c:v>117.7</c:v>
                </c:pt>
                <c:pt idx="517">
                  <c:v>109.67</c:v>
                </c:pt>
                <c:pt idx="518">
                  <c:v>94.31</c:v>
                </c:pt>
                <c:pt idx="519">
                  <c:v>110.93</c:v>
                </c:pt>
                <c:pt idx="520">
                  <c:v>101.49</c:v>
                </c:pt>
                <c:pt idx="521">
                  <c:v>111.01</c:v>
                </c:pt>
                <c:pt idx="522">
                  <c:v>114.5</c:v>
                </c:pt>
              </c:numCache>
            </c:numRef>
          </c:val>
          <c:smooth val="0"/>
          <c:extLst>
            <c:ext xmlns:c16="http://schemas.microsoft.com/office/drawing/2014/chart" uri="{C3380CC4-5D6E-409C-BE32-E72D297353CC}">
              <c16:uniqueId val="{00000000-28AB-41AE-AEEA-D86D03FC9B4D}"/>
            </c:ext>
          </c:extLst>
        </c:ser>
        <c:dLbls>
          <c:showLegendKey val="0"/>
          <c:showVal val="0"/>
          <c:showCatName val="0"/>
          <c:showSerName val="0"/>
          <c:showPercent val="0"/>
          <c:showBubbleSize val="0"/>
        </c:dLbls>
        <c:smooth val="0"/>
        <c:axId val="1782977151"/>
        <c:axId val="1782978111"/>
      </c:lineChart>
      <c:dateAx>
        <c:axId val="178297715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Date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m/d/yy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2978111"/>
        <c:crosses val="autoZero"/>
        <c:auto val="1"/>
        <c:lblOffset val="100"/>
        <c:baseTimeUnit val="days"/>
      </c:dateAx>
      <c:valAx>
        <c:axId val="1782978111"/>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Price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409]* #,##0.00_);_([$$-409]* \(#,##0.00\);_([$$-409]*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2977151"/>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TSLA Closing Stock Price 10 Year History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cked"/>
        <c:varyColors val="0"/>
        <c:ser>
          <c:idx val="0"/>
          <c:order val="0"/>
          <c:tx>
            <c:strRef>
              <c:f>TSLA!$E$6</c:f>
              <c:strCache>
                <c:ptCount val="1"/>
                <c:pt idx="0">
                  <c:v>Close</c:v>
                </c:pt>
              </c:strCache>
            </c:strRef>
          </c:tx>
          <c:spPr>
            <a:ln w="28575" cap="rnd">
              <a:solidFill>
                <a:schemeClr val="accent1"/>
              </a:solidFill>
              <a:round/>
            </a:ln>
            <a:effectLst/>
          </c:spPr>
          <c:marker>
            <c:symbol val="none"/>
          </c:marker>
          <c:cat>
            <c:numRef>
              <c:f>TSLA!$D$7:$D$529</c:f>
              <c:numCache>
                <c:formatCode>m/d/yyyy</c:formatCode>
                <c:ptCount val="523"/>
                <c:pt idx="0">
                  <c:v>42121</c:v>
                </c:pt>
                <c:pt idx="1">
                  <c:v>42128</c:v>
                </c:pt>
                <c:pt idx="2">
                  <c:v>42135</c:v>
                </c:pt>
                <c:pt idx="3">
                  <c:v>42142</c:v>
                </c:pt>
                <c:pt idx="4">
                  <c:v>42150</c:v>
                </c:pt>
                <c:pt idx="5">
                  <c:v>42156</c:v>
                </c:pt>
                <c:pt idx="6">
                  <c:v>42163</c:v>
                </c:pt>
                <c:pt idx="7">
                  <c:v>42170</c:v>
                </c:pt>
                <c:pt idx="8">
                  <c:v>42177</c:v>
                </c:pt>
                <c:pt idx="9">
                  <c:v>42184</c:v>
                </c:pt>
                <c:pt idx="10">
                  <c:v>42191</c:v>
                </c:pt>
                <c:pt idx="11">
                  <c:v>42198</c:v>
                </c:pt>
                <c:pt idx="12">
                  <c:v>42205</c:v>
                </c:pt>
                <c:pt idx="13">
                  <c:v>42212</c:v>
                </c:pt>
                <c:pt idx="14">
                  <c:v>42219</c:v>
                </c:pt>
                <c:pt idx="15">
                  <c:v>42226</c:v>
                </c:pt>
                <c:pt idx="16">
                  <c:v>42233</c:v>
                </c:pt>
                <c:pt idx="17">
                  <c:v>42240</c:v>
                </c:pt>
                <c:pt idx="18">
                  <c:v>42247</c:v>
                </c:pt>
                <c:pt idx="19">
                  <c:v>42255</c:v>
                </c:pt>
                <c:pt idx="20">
                  <c:v>42261</c:v>
                </c:pt>
                <c:pt idx="21">
                  <c:v>42268</c:v>
                </c:pt>
                <c:pt idx="22">
                  <c:v>42275</c:v>
                </c:pt>
                <c:pt idx="23">
                  <c:v>42282</c:v>
                </c:pt>
                <c:pt idx="24">
                  <c:v>42289</c:v>
                </c:pt>
                <c:pt idx="25">
                  <c:v>42296</c:v>
                </c:pt>
                <c:pt idx="26">
                  <c:v>42303</c:v>
                </c:pt>
                <c:pt idx="27">
                  <c:v>42310</c:v>
                </c:pt>
                <c:pt idx="28">
                  <c:v>42317</c:v>
                </c:pt>
                <c:pt idx="29">
                  <c:v>42324</c:v>
                </c:pt>
                <c:pt idx="30">
                  <c:v>42331</c:v>
                </c:pt>
                <c:pt idx="31">
                  <c:v>42338</c:v>
                </c:pt>
                <c:pt idx="32">
                  <c:v>42345</c:v>
                </c:pt>
                <c:pt idx="33">
                  <c:v>42352</c:v>
                </c:pt>
                <c:pt idx="34">
                  <c:v>42359</c:v>
                </c:pt>
                <c:pt idx="35">
                  <c:v>42366</c:v>
                </c:pt>
                <c:pt idx="36">
                  <c:v>42373</c:v>
                </c:pt>
                <c:pt idx="37">
                  <c:v>42380</c:v>
                </c:pt>
                <c:pt idx="38">
                  <c:v>42388</c:v>
                </c:pt>
                <c:pt idx="39">
                  <c:v>42394</c:v>
                </c:pt>
                <c:pt idx="40">
                  <c:v>42401</c:v>
                </c:pt>
                <c:pt idx="41">
                  <c:v>42408</c:v>
                </c:pt>
                <c:pt idx="42">
                  <c:v>42416</c:v>
                </c:pt>
                <c:pt idx="43">
                  <c:v>42422</c:v>
                </c:pt>
                <c:pt idx="44">
                  <c:v>42429</c:v>
                </c:pt>
                <c:pt idx="45">
                  <c:v>42436</c:v>
                </c:pt>
                <c:pt idx="46">
                  <c:v>42443</c:v>
                </c:pt>
                <c:pt idx="47">
                  <c:v>42450</c:v>
                </c:pt>
                <c:pt idx="48">
                  <c:v>42457</c:v>
                </c:pt>
                <c:pt idx="49">
                  <c:v>42464</c:v>
                </c:pt>
                <c:pt idx="50">
                  <c:v>42471</c:v>
                </c:pt>
                <c:pt idx="51">
                  <c:v>42478</c:v>
                </c:pt>
                <c:pt idx="52">
                  <c:v>42485</c:v>
                </c:pt>
                <c:pt idx="53">
                  <c:v>42492</c:v>
                </c:pt>
                <c:pt idx="54">
                  <c:v>42499</c:v>
                </c:pt>
                <c:pt idx="55">
                  <c:v>42506</c:v>
                </c:pt>
                <c:pt idx="56">
                  <c:v>42513</c:v>
                </c:pt>
                <c:pt idx="57">
                  <c:v>42521</c:v>
                </c:pt>
                <c:pt idx="58">
                  <c:v>42527</c:v>
                </c:pt>
                <c:pt idx="59">
                  <c:v>42534</c:v>
                </c:pt>
                <c:pt idx="60">
                  <c:v>42541</c:v>
                </c:pt>
                <c:pt idx="61">
                  <c:v>42548</c:v>
                </c:pt>
                <c:pt idx="62">
                  <c:v>42556</c:v>
                </c:pt>
                <c:pt idx="63">
                  <c:v>42562</c:v>
                </c:pt>
                <c:pt idx="64">
                  <c:v>42569</c:v>
                </c:pt>
                <c:pt idx="65">
                  <c:v>42576</c:v>
                </c:pt>
                <c:pt idx="66">
                  <c:v>42583</c:v>
                </c:pt>
                <c:pt idx="67">
                  <c:v>42590</c:v>
                </c:pt>
                <c:pt idx="68">
                  <c:v>42597</c:v>
                </c:pt>
                <c:pt idx="69">
                  <c:v>42604</c:v>
                </c:pt>
                <c:pt idx="70">
                  <c:v>42611</c:v>
                </c:pt>
                <c:pt idx="71">
                  <c:v>42619</c:v>
                </c:pt>
                <c:pt idx="72">
                  <c:v>42625</c:v>
                </c:pt>
                <c:pt idx="73">
                  <c:v>42632</c:v>
                </c:pt>
                <c:pt idx="74">
                  <c:v>42639</c:v>
                </c:pt>
                <c:pt idx="75">
                  <c:v>42646</c:v>
                </c:pt>
                <c:pt idx="76">
                  <c:v>42653</c:v>
                </c:pt>
                <c:pt idx="77">
                  <c:v>42660</c:v>
                </c:pt>
                <c:pt idx="78">
                  <c:v>42667</c:v>
                </c:pt>
                <c:pt idx="79">
                  <c:v>42674</c:v>
                </c:pt>
                <c:pt idx="80">
                  <c:v>42681</c:v>
                </c:pt>
                <c:pt idx="81">
                  <c:v>42688</c:v>
                </c:pt>
                <c:pt idx="82">
                  <c:v>42695</c:v>
                </c:pt>
                <c:pt idx="83">
                  <c:v>42702</c:v>
                </c:pt>
                <c:pt idx="84">
                  <c:v>42709</c:v>
                </c:pt>
                <c:pt idx="85">
                  <c:v>42716</c:v>
                </c:pt>
                <c:pt idx="86">
                  <c:v>42723</c:v>
                </c:pt>
                <c:pt idx="87">
                  <c:v>42731</c:v>
                </c:pt>
                <c:pt idx="88">
                  <c:v>42738</c:v>
                </c:pt>
                <c:pt idx="89">
                  <c:v>42744</c:v>
                </c:pt>
                <c:pt idx="90">
                  <c:v>42752</c:v>
                </c:pt>
                <c:pt idx="91">
                  <c:v>42758</c:v>
                </c:pt>
                <c:pt idx="92">
                  <c:v>42765</c:v>
                </c:pt>
                <c:pt idx="93">
                  <c:v>42772</c:v>
                </c:pt>
                <c:pt idx="94">
                  <c:v>42779</c:v>
                </c:pt>
                <c:pt idx="95">
                  <c:v>42787</c:v>
                </c:pt>
                <c:pt idx="96">
                  <c:v>42793</c:v>
                </c:pt>
                <c:pt idx="97">
                  <c:v>42800</c:v>
                </c:pt>
                <c:pt idx="98">
                  <c:v>42807</c:v>
                </c:pt>
                <c:pt idx="99">
                  <c:v>42814</c:v>
                </c:pt>
                <c:pt idx="100">
                  <c:v>42821</c:v>
                </c:pt>
                <c:pt idx="101">
                  <c:v>42828</c:v>
                </c:pt>
                <c:pt idx="102">
                  <c:v>42835</c:v>
                </c:pt>
                <c:pt idx="103">
                  <c:v>42842</c:v>
                </c:pt>
                <c:pt idx="104">
                  <c:v>42849</c:v>
                </c:pt>
                <c:pt idx="105">
                  <c:v>42856</c:v>
                </c:pt>
                <c:pt idx="106">
                  <c:v>42863</c:v>
                </c:pt>
                <c:pt idx="107">
                  <c:v>42870</c:v>
                </c:pt>
                <c:pt idx="108">
                  <c:v>42877</c:v>
                </c:pt>
                <c:pt idx="109">
                  <c:v>42885</c:v>
                </c:pt>
                <c:pt idx="110">
                  <c:v>42891</c:v>
                </c:pt>
                <c:pt idx="111">
                  <c:v>42898</c:v>
                </c:pt>
                <c:pt idx="112">
                  <c:v>42905</c:v>
                </c:pt>
                <c:pt idx="113">
                  <c:v>42912</c:v>
                </c:pt>
                <c:pt idx="114">
                  <c:v>42919</c:v>
                </c:pt>
                <c:pt idx="115">
                  <c:v>42926</c:v>
                </c:pt>
                <c:pt idx="116">
                  <c:v>42933</c:v>
                </c:pt>
                <c:pt idx="117">
                  <c:v>42940</c:v>
                </c:pt>
                <c:pt idx="118">
                  <c:v>42947</c:v>
                </c:pt>
                <c:pt idx="119">
                  <c:v>42954</c:v>
                </c:pt>
                <c:pt idx="120">
                  <c:v>42961</c:v>
                </c:pt>
                <c:pt idx="121">
                  <c:v>42968</c:v>
                </c:pt>
                <c:pt idx="122">
                  <c:v>42975</c:v>
                </c:pt>
                <c:pt idx="123">
                  <c:v>42983</c:v>
                </c:pt>
                <c:pt idx="124">
                  <c:v>42989</c:v>
                </c:pt>
                <c:pt idx="125">
                  <c:v>42996</c:v>
                </c:pt>
                <c:pt idx="126">
                  <c:v>43003</c:v>
                </c:pt>
                <c:pt idx="127">
                  <c:v>43010</c:v>
                </c:pt>
                <c:pt idx="128">
                  <c:v>43017</c:v>
                </c:pt>
                <c:pt idx="129">
                  <c:v>43024</c:v>
                </c:pt>
                <c:pt idx="130">
                  <c:v>43031</c:v>
                </c:pt>
                <c:pt idx="131">
                  <c:v>43038</c:v>
                </c:pt>
                <c:pt idx="132">
                  <c:v>43045</c:v>
                </c:pt>
                <c:pt idx="133">
                  <c:v>43052</c:v>
                </c:pt>
                <c:pt idx="134">
                  <c:v>43059</c:v>
                </c:pt>
                <c:pt idx="135">
                  <c:v>43066</c:v>
                </c:pt>
                <c:pt idx="136">
                  <c:v>43073</c:v>
                </c:pt>
                <c:pt idx="137">
                  <c:v>43080</c:v>
                </c:pt>
                <c:pt idx="138">
                  <c:v>43087</c:v>
                </c:pt>
                <c:pt idx="139">
                  <c:v>43095</c:v>
                </c:pt>
                <c:pt idx="140">
                  <c:v>43102</c:v>
                </c:pt>
                <c:pt idx="141">
                  <c:v>43108</c:v>
                </c:pt>
                <c:pt idx="142">
                  <c:v>43116</c:v>
                </c:pt>
                <c:pt idx="143">
                  <c:v>43122</c:v>
                </c:pt>
                <c:pt idx="144">
                  <c:v>43129</c:v>
                </c:pt>
                <c:pt idx="145">
                  <c:v>43136</c:v>
                </c:pt>
                <c:pt idx="146">
                  <c:v>43143</c:v>
                </c:pt>
                <c:pt idx="147">
                  <c:v>43151</c:v>
                </c:pt>
                <c:pt idx="148">
                  <c:v>43157</c:v>
                </c:pt>
                <c:pt idx="149">
                  <c:v>43164</c:v>
                </c:pt>
                <c:pt idx="150">
                  <c:v>43171</c:v>
                </c:pt>
                <c:pt idx="151">
                  <c:v>43178</c:v>
                </c:pt>
                <c:pt idx="152">
                  <c:v>43185</c:v>
                </c:pt>
                <c:pt idx="153">
                  <c:v>43192</c:v>
                </c:pt>
                <c:pt idx="154">
                  <c:v>43199</c:v>
                </c:pt>
                <c:pt idx="155">
                  <c:v>43206</c:v>
                </c:pt>
                <c:pt idx="156">
                  <c:v>43213</c:v>
                </c:pt>
                <c:pt idx="157">
                  <c:v>43220</c:v>
                </c:pt>
                <c:pt idx="158">
                  <c:v>43227</c:v>
                </c:pt>
                <c:pt idx="159">
                  <c:v>43234</c:v>
                </c:pt>
                <c:pt idx="160">
                  <c:v>43241</c:v>
                </c:pt>
                <c:pt idx="161">
                  <c:v>43249</c:v>
                </c:pt>
                <c:pt idx="162">
                  <c:v>43255</c:v>
                </c:pt>
                <c:pt idx="163">
                  <c:v>43262</c:v>
                </c:pt>
                <c:pt idx="164">
                  <c:v>43269</c:v>
                </c:pt>
                <c:pt idx="165">
                  <c:v>43276</c:v>
                </c:pt>
                <c:pt idx="166">
                  <c:v>43283</c:v>
                </c:pt>
                <c:pt idx="167">
                  <c:v>43290</c:v>
                </c:pt>
                <c:pt idx="168">
                  <c:v>43297</c:v>
                </c:pt>
                <c:pt idx="169">
                  <c:v>43304</c:v>
                </c:pt>
                <c:pt idx="170">
                  <c:v>43311</c:v>
                </c:pt>
                <c:pt idx="171">
                  <c:v>43318</c:v>
                </c:pt>
                <c:pt idx="172">
                  <c:v>43325</c:v>
                </c:pt>
                <c:pt idx="173">
                  <c:v>43332</c:v>
                </c:pt>
                <c:pt idx="174">
                  <c:v>43339</c:v>
                </c:pt>
                <c:pt idx="175">
                  <c:v>43347</c:v>
                </c:pt>
                <c:pt idx="176">
                  <c:v>43353</c:v>
                </c:pt>
                <c:pt idx="177">
                  <c:v>43360</c:v>
                </c:pt>
                <c:pt idx="178">
                  <c:v>43367</c:v>
                </c:pt>
                <c:pt idx="179">
                  <c:v>43374</c:v>
                </c:pt>
                <c:pt idx="180">
                  <c:v>43381</c:v>
                </c:pt>
                <c:pt idx="181">
                  <c:v>43388</c:v>
                </c:pt>
                <c:pt idx="182">
                  <c:v>43395</c:v>
                </c:pt>
                <c:pt idx="183">
                  <c:v>43402</c:v>
                </c:pt>
                <c:pt idx="184">
                  <c:v>43409</c:v>
                </c:pt>
                <c:pt idx="185">
                  <c:v>43416</c:v>
                </c:pt>
                <c:pt idx="186">
                  <c:v>43423</c:v>
                </c:pt>
                <c:pt idx="187">
                  <c:v>43430</c:v>
                </c:pt>
                <c:pt idx="188">
                  <c:v>43437</c:v>
                </c:pt>
                <c:pt idx="189">
                  <c:v>43444</c:v>
                </c:pt>
                <c:pt idx="190">
                  <c:v>43451</c:v>
                </c:pt>
                <c:pt idx="191">
                  <c:v>43458</c:v>
                </c:pt>
                <c:pt idx="192">
                  <c:v>43465</c:v>
                </c:pt>
                <c:pt idx="193">
                  <c:v>43472</c:v>
                </c:pt>
                <c:pt idx="194">
                  <c:v>43479</c:v>
                </c:pt>
                <c:pt idx="195">
                  <c:v>43487</c:v>
                </c:pt>
                <c:pt idx="196">
                  <c:v>43493</c:v>
                </c:pt>
                <c:pt idx="197">
                  <c:v>43500</c:v>
                </c:pt>
                <c:pt idx="198">
                  <c:v>43507</c:v>
                </c:pt>
                <c:pt idx="199">
                  <c:v>43515</c:v>
                </c:pt>
                <c:pt idx="200">
                  <c:v>43521</c:v>
                </c:pt>
                <c:pt idx="201">
                  <c:v>43528</c:v>
                </c:pt>
                <c:pt idx="202">
                  <c:v>43535</c:v>
                </c:pt>
                <c:pt idx="203">
                  <c:v>43542</c:v>
                </c:pt>
                <c:pt idx="204">
                  <c:v>43549</c:v>
                </c:pt>
                <c:pt idx="205">
                  <c:v>43556</c:v>
                </c:pt>
                <c:pt idx="206">
                  <c:v>43563</c:v>
                </c:pt>
                <c:pt idx="207">
                  <c:v>43570</c:v>
                </c:pt>
                <c:pt idx="208">
                  <c:v>43577</c:v>
                </c:pt>
                <c:pt idx="209">
                  <c:v>43584</c:v>
                </c:pt>
                <c:pt idx="210">
                  <c:v>43591</c:v>
                </c:pt>
                <c:pt idx="211">
                  <c:v>43598</c:v>
                </c:pt>
                <c:pt idx="212">
                  <c:v>43605</c:v>
                </c:pt>
                <c:pt idx="213">
                  <c:v>43613</c:v>
                </c:pt>
                <c:pt idx="214">
                  <c:v>43619</c:v>
                </c:pt>
                <c:pt idx="215">
                  <c:v>43626</c:v>
                </c:pt>
                <c:pt idx="216">
                  <c:v>43633</c:v>
                </c:pt>
                <c:pt idx="217">
                  <c:v>43640</c:v>
                </c:pt>
                <c:pt idx="218">
                  <c:v>43647</c:v>
                </c:pt>
                <c:pt idx="219">
                  <c:v>43654</c:v>
                </c:pt>
                <c:pt idx="220">
                  <c:v>43661</c:v>
                </c:pt>
                <c:pt idx="221">
                  <c:v>43668</c:v>
                </c:pt>
                <c:pt idx="222">
                  <c:v>43675</c:v>
                </c:pt>
                <c:pt idx="223">
                  <c:v>43682</c:v>
                </c:pt>
                <c:pt idx="224">
                  <c:v>43689</c:v>
                </c:pt>
                <c:pt idx="225">
                  <c:v>43696</c:v>
                </c:pt>
                <c:pt idx="226">
                  <c:v>43703</c:v>
                </c:pt>
                <c:pt idx="227">
                  <c:v>43711</c:v>
                </c:pt>
                <c:pt idx="228">
                  <c:v>43717</c:v>
                </c:pt>
                <c:pt idx="229">
                  <c:v>43724</c:v>
                </c:pt>
                <c:pt idx="230">
                  <c:v>43731</c:v>
                </c:pt>
                <c:pt idx="231">
                  <c:v>43738</c:v>
                </c:pt>
                <c:pt idx="232">
                  <c:v>43745</c:v>
                </c:pt>
                <c:pt idx="233">
                  <c:v>43752</c:v>
                </c:pt>
                <c:pt idx="234">
                  <c:v>43759</c:v>
                </c:pt>
                <c:pt idx="235">
                  <c:v>43766</c:v>
                </c:pt>
                <c:pt idx="236">
                  <c:v>43773</c:v>
                </c:pt>
                <c:pt idx="237">
                  <c:v>43780</c:v>
                </c:pt>
                <c:pt idx="238">
                  <c:v>43787</c:v>
                </c:pt>
                <c:pt idx="239">
                  <c:v>43794</c:v>
                </c:pt>
                <c:pt idx="240">
                  <c:v>43801</c:v>
                </c:pt>
                <c:pt idx="241">
                  <c:v>43808</c:v>
                </c:pt>
                <c:pt idx="242">
                  <c:v>43815</c:v>
                </c:pt>
                <c:pt idx="243">
                  <c:v>43822</c:v>
                </c:pt>
                <c:pt idx="244">
                  <c:v>43829</c:v>
                </c:pt>
                <c:pt idx="245">
                  <c:v>43836</c:v>
                </c:pt>
                <c:pt idx="246">
                  <c:v>43843</c:v>
                </c:pt>
                <c:pt idx="247">
                  <c:v>43851</c:v>
                </c:pt>
                <c:pt idx="248">
                  <c:v>43857</c:v>
                </c:pt>
                <c:pt idx="249">
                  <c:v>43864</c:v>
                </c:pt>
                <c:pt idx="250">
                  <c:v>43871</c:v>
                </c:pt>
                <c:pt idx="251">
                  <c:v>43879</c:v>
                </c:pt>
                <c:pt idx="252">
                  <c:v>43885</c:v>
                </c:pt>
                <c:pt idx="253">
                  <c:v>43892</c:v>
                </c:pt>
                <c:pt idx="254">
                  <c:v>43899</c:v>
                </c:pt>
                <c:pt idx="255">
                  <c:v>43906</c:v>
                </c:pt>
                <c:pt idx="256">
                  <c:v>43913</c:v>
                </c:pt>
                <c:pt idx="257">
                  <c:v>43920</c:v>
                </c:pt>
                <c:pt idx="258">
                  <c:v>43927</c:v>
                </c:pt>
                <c:pt idx="259">
                  <c:v>43934</c:v>
                </c:pt>
                <c:pt idx="260">
                  <c:v>43941</c:v>
                </c:pt>
                <c:pt idx="261">
                  <c:v>43948</c:v>
                </c:pt>
                <c:pt idx="262">
                  <c:v>43955</c:v>
                </c:pt>
                <c:pt idx="263">
                  <c:v>43962</c:v>
                </c:pt>
                <c:pt idx="264">
                  <c:v>43969</c:v>
                </c:pt>
                <c:pt idx="265">
                  <c:v>43977</c:v>
                </c:pt>
                <c:pt idx="266">
                  <c:v>43983</c:v>
                </c:pt>
                <c:pt idx="267">
                  <c:v>43990</c:v>
                </c:pt>
                <c:pt idx="268">
                  <c:v>43997</c:v>
                </c:pt>
                <c:pt idx="269">
                  <c:v>44004</c:v>
                </c:pt>
                <c:pt idx="270">
                  <c:v>44011</c:v>
                </c:pt>
                <c:pt idx="271">
                  <c:v>44018</c:v>
                </c:pt>
                <c:pt idx="272">
                  <c:v>44025</c:v>
                </c:pt>
                <c:pt idx="273">
                  <c:v>44032</c:v>
                </c:pt>
                <c:pt idx="274">
                  <c:v>44039</c:v>
                </c:pt>
                <c:pt idx="275">
                  <c:v>44046</c:v>
                </c:pt>
                <c:pt idx="276">
                  <c:v>44053</c:v>
                </c:pt>
                <c:pt idx="277">
                  <c:v>44060</c:v>
                </c:pt>
                <c:pt idx="278">
                  <c:v>44067</c:v>
                </c:pt>
                <c:pt idx="279">
                  <c:v>44074</c:v>
                </c:pt>
                <c:pt idx="280">
                  <c:v>44082</c:v>
                </c:pt>
                <c:pt idx="281">
                  <c:v>44088</c:v>
                </c:pt>
                <c:pt idx="282">
                  <c:v>44095</c:v>
                </c:pt>
                <c:pt idx="283">
                  <c:v>44102</c:v>
                </c:pt>
                <c:pt idx="284">
                  <c:v>44109</c:v>
                </c:pt>
                <c:pt idx="285">
                  <c:v>44116</c:v>
                </c:pt>
                <c:pt idx="286">
                  <c:v>44123</c:v>
                </c:pt>
                <c:pt idx="287">
                  <c:v>44130</c:v>
                </c:pt>
                <c:pt idx="288">
                  <c:v>44137</c:v>
                </c:pt>
                <c:pt idx="289">
                  <c:v>44144</c:v>
                </c:pt>
                <c:pt idx="290">
                  <c:v>44151</c:v>
                </c:pt>
                <c:pt idx="291">
                  <c:v>44158</c:v>
                </c:pt>
                <c:pt idx="292">
                  <c:v>44165</c:v>
                </c:pt>
                <c:pt idx="293">
                  <c:v>44172</c:v>
                </c:pt>
                <c:pt idx="294">
                  <c:v>44179</c:v>
                </c:pt>
                <c:pt idx="295">
                  <c:v>44186</c:v>
                </c:pt>
                <c:pt idx="296">
                  <c:v>44193</c:v>
                </c:pt>
                <c:pt idx="297">
                  <c:v>44200</c:v>
                </c:pt>
                <c:pt idx="298">
                  <c:v>44207</c:v>
                </c:pt>
                <c:pt idx="299">
                  <c:v>44215</c:v>
                </c:pt>
                <c:pt idx="300">
                  <c:v>44221</c:v>
                </c:pt>
                <c:pt idx="301">
                  <c:v>44228</c:v>
                </c:pt>
                <c:pt idx="302">
                  <c:v>44235</c:v>
                </c:pt>
                <c:pt idx="303">
                  <c:v>44243</c:v>
                </c:pt>
                <c:pt idx="304">
                  <c:v>44249</c:v>
                </c:pt>
                <c:pt idx="305">
                  <c:v>44256</c:v>
                </c:pt>
                <c:pt idx="306">
                  <c:v>44263</c:v>
                </c:pt>
                <c:pt idx="307">
                  <c:v>44270</c:v>
                </c:pt>
                <c:pt idx="308">
                  <c:v>44277</c:v>
                </c:pt>
                <c:pt idx="309">
                  <c:v>44284</c:v>
                </c:pt>
                <c:pt idx="310">
                  <c:v>44291</c:v>
                </c:pt>
                <c:pt idx="311">
                  <c:v>44298</c:v>
                </c:pt>
                <c:pt idx="312">
                  <c:v>44305</c:v>
                </c:pt>
                <c:pt idx="313">
                  <c:v>44312</c:v>
                </c:pt>
                <c:pt idx="314">
                  <c:v>44319</c:v>
                </c:pt>
                <c:pt idx="315">
                  <c:v>44326</c:v>
                </c:pt>
                <c:pt idx="316">
                  <c:v>44333</c:v>
                </c:pt>
                <c:pt idx="317">
                  <c:v>44340</c:v>
                </c:pt>
                <c:pt idx="318">
                  <c:v>44348</c:v>
                </c:pt>
                <c:pt idx="319">
                  <c:v>44354</c:v>
                </c:pt>
                <c:pt idx="320">
                  <c:v>44361</c:v>
                </c:pt>
                <c:pt idx="321">
                  <c:v>44368</c:v>
                </c:pt>
                <c:pt idx="322">
                  <c:v>44375</c:v>
                </c:pt>
                <c:pt idx="323">
                  <c:v>44383</c:v>
                </c:pt>
                <c:pt idx="324">
                  <c:v>44389</c:v>
                </c:pt>
                <c:pt idx="325">
                  <c:v>44396</c:v>
                </c:pt>
                <c:pt idx="326">
                  <c:v>44403</c:v>
                </c:pt>
                <c:pt idx="327">
                  <c:v>44410</c:v>
                </c:pt>
                <c:pt idx="328">
                  <c:v>44417</c:v>
                </c:pt>
                <c:pt idx="329">
                  <c:v>44424</c:v>
                </c:pt>
                <c:pt idx="330">
                  <c:v>44431</c:v>
                </c:pt>
                <c:pt idx="331">
                  <c:v>44438</c:v>
                </c:pt>
                <c:pt idx="332">
                  <c:v>44446</c:v>
                </c:pt>
                <c:pt idx="333">
                  <c:v>44452</c:v>
                </c:pt>
                <c:pt idx="334">
                  <c:v>44459</c:v>
                </c:pt>
                <c:pt idx="335">
                  <c:v>44466</c:v>
                </c:pt>
                <c:pt idx="336">
                  <c:v>44473</c:v>
                </c:pt>
                <c:pt idx="337">
                  <c:v>44480</c:v>
                </c:pt>
                <c:pt idx="338">
                  <c:v>44487</c:v>
                </c:pt>
                <c:pt idx="339">
                  <c:v>44494</c:v>
                </c:pt>
                <c:pt idx="340">
                  <c:v>44501</c:v>
                </c:pt>
                <c:pt idx="341">
                  <c:v>44508</c:v>
                </c:pt>
                <c:pt idx="342">
                  <c:v>44515</c:v>
                </c:pt>
                <c:pt idx="343">
                  <c:v>44522</c:v>
                </c:pt>
                <c:pt idx="344">
                  <c:v>44529</c:v>
                </c:pt>
                <c:pt idx="345">
                  <c:v>44536</c:v>
                </c:pt>
                <c:pt idx="346">
                  <c:v>44543</c:v>
                </c:pt>
                <c:pt idx="347">
                  <c:v>44550</c:v>
                </c:pt>
                <c:pt idx="348">
                  <c:v>44557</c:v>
                </c:pt>
                <c:pt idx="349">
                  <c:v>44564</c:v>
                </c:pt>
                <c:pt idx="350">
                  <c:v>44571</c:v>
                </c:pt>
                <c:pt idx="351">
                  <c:v>44579</c:v>
                </c:pt>
                <c:pt idx="352">
                  <c:v>44585</c:v>
                </c:pt>
                <c:pt idx="353">
                  <c:v>44592</c:v>
                </c:pt>
                <c:pt idx="354">
                  <c:v>44599</c:v>
                </c:pt>
                <c:pt idx="355">
                  <c:v>44606</c:v>
                </c:pt>
                <c:pt idx="356">
                  <c:v>44614</c:v>
                </c:pt>
                <c:pt idx="357">
                  <c:v>44620</c:v>
                </c:pt>
                <c:pt idx="358">
                  <c:v>44627</c:v>
                </c:pt>
                <c:pt idx="359">
                  <c:v>44634</c:v>
                </c:pt>
                <c:pt idx="360">
                  <c:v>44641</c:v>
                </c:pt>
                <c:pt idx="361">
                  <c:v>44648</c:v>
                </c:pt>
                <c:pt idx="362">
                  <c:v>44655</c:v>
                </c:pt>
                <c:pt idx="363">
                  <c:v>44662</c:v>
                </c:pt>
                <c:pt idx="364">
                  <c:v>44669</c:v>
                </c:pt>
                <c:pt idx="365">
                  <c:v>44676</c:v>
                </c:pt>
                <c:pt idx="366">
                  <c:v>44683</c:v>
                </c:pt>
                <c:pt idx="367">
                  <c:v>44690</c:v>
                </c:pt>
                <c:pt idx="368">
                  <c:v>44697</c:v>
                </c:pt>
                <c:pt idx="369">
                  <c:v>44704</c:v>
                </c:pt>
                <c:pt idx="370">
                  <c:v>44712</c:v>
                </c:pt>
                <c:pt idx="371">
                  <c:v>44718</c:v>
                </c:pt>
                <c:pt idx="372">
                  <c:v>44725</c:v>
                </c:pt>
                <c:pt idx="373">
                  <c:v>44733</c:v>
                </c:pt>
                <c:pt idx="374">
                  <c:v>44739</c:v>
                </c:pt>
                <c:pt idx="375">
                  <c:v>44747</c:v>
                </c:pt>
                <c:pt idx="376">
                  <c:v>44753</c:v>
                </c:pt>
                <c:pt idx="377">
                  <c:v>44760</c:v>
                </c:pt>
                <c:pt idx="378">
                  <c:v>44767</c:v>
                </c:pt>
                <c:pt idx="379">
                  <c:v>44774</c:v>
                </c:pt>
                <c:pt idx="380">
                  <c:v>44781</c:v>
                </c:pt>
                <c:pt idx="381">
                  <c:v>44788</c:v>
                </c:pt>
                <c:pt idx="382">
                  <c:v>44795</c:v>
                </c:pt>
                <c:pt idx="383">
                  <c:v>44802</c:v>
                </c:pt>
                <c:pt idx="384">
                  <c:v>44810</c:v>
                </c:pt>
                <c:pt idx="385">
                  <c:v>44816</c:v>
                </c:pt>
                <c:pt idx="386">
                  <c:v>44823</c:v>
                </c:pt>
                <c:pt idx="387">
                  <c:v>44830</c:v>
                </c:pt>
                <c:pt idx="388">
                  <c:v>44837</c:v>
                </c:pt>
                <c:pt idx="389">
                  <c:v>44844</c:v>
                </c:pt>
                <c:pt idx="390">
                  <c:v>44851</c:v>
                </c:pt>
                <c:pt idx="391">
                  <c:v>44858</c:v>
                </c:pt>
                <c:pt idx="392">
                  <c:v>44865</c:v>
                </c:pt>
                <c:pt idx="393">
                  <c:v>44872</c:v>
                </c:pt>
                <c:pt idx="394">
                  <c:v>44879</c:v>
                </c:pt>
                <c:pt idx="395">
                  <c:v>44886</c:v>
                </c:pt>
                <c:pt idx="396">
                  <c:v>44893</c:v>
                </c:pt>
                <c:pt idx="397">
                  <c:v>44900</c:v>
                </c:pt>
                <c:pt idx="398">
                  <c:v>44907</c:v>
                </c:pt>
                <c:pt idx="399">
                  <c:v>44914</c:v>
                </c:pt>
                <c:pt idx="400">
                  <c:v>44922</c:v>
                </c:pt>
                <c:pt idx="401">
                  <c:v>44929</c:v>
                </c:pt>
                <c:pt idx="402">
                  <c:v>44935</c:v>
                </c:pt>
                <c:pt idx="403">
                  <c:v>44943</c:v>
                </c:pt>
                <c:pt idx="404">
                  <c:v>44949</c:v>
                </c:pt>
                <c:pt idx="405">
                  <c:v>44956</c:v>
                </c:pt>
                <c:pt idx="406">
                  <c:v>44963</c:v>
                </c:pt>
                <c:pt idx="407">
                  <c:v>44970</c:v>
                </c:pt>
                <c:pt idx="408">
                  <c:v>44978</c:v>
                </c:pt>
                <c:pt idx="409">
                  <c:v>44984</c:v>
                </c:pt>
                <c:pt idx="410">
                  <c:v>44991</c:v>
                </c:pt>
                <c:pt idx="411">
                  <c:v>44998</c:v>
                </c:pt>
                <c:pt idx="412">
                  <c:v>45005</c:v>
                </c:pt>
                <c:pt idx="413">
                  <c:v>45012</c:v>
                </c:pt>
                <c:pt idx="414">
                  <c:v>45019</c:v>
                </c:pt>
                <c:pt idx="415">
                  <c:v>45026</c:v>
                </c:pt>
                <c:pt idx="416">
                  <c:v>45033</c:v>
                </c:pt>
                <c:pt idx="417">
                  <c:v>45040</c:v>
                </c:pt>
                <c:pt idx="418">
                  <c:v>45047</c:v>
                </c:pt>
                <c:pt idx="419">
                  <c:v>45054</c:v>
                </c:pt>
                <c:pt idx="420">
                  <c:v>45061</c:v>
                </c:pt>
                <c:pt idx="421">
                  <c:v>45068</c:v>
                </c:pt>
                <c:pt idx="422">
                  <c:v>45076</c:v>
                </c:pt>
                <c:pt idx="423">
                  <c:v>45082</c:v>
                </c:pt>
                <c:pt idx="424">
                  <c:v>45089</c:v>
                </c:pt>
                <c:pt idx="425">
                  <c:v>45097</c:v>
                </c:pt>
                <c:pt idx="426">
                  <c:v>45103</c:v>
                </c:pt>
                <c:pt idx="427">
                  <c:v>45110</c:v>
                </c:pt>
                <c:pt idx="428">
                  <c:v>45117</c:v>
                </c:pt>
                <c:pt idx="429">
                  <c:v>45124</c:v>
                </c:pt>
                <c:pt idx="430">
                  <c:v>45131</c:v>
                </c:pt>
                <c:pt idx="431">
                  <c:v>45138</c:v>
                </c:pt>
                <c:pt idx="432">
                  <c:v>45145</c:v>
                </c:pt>
                <c:pt idx="433">
                  <c:v>45152</c:v>
                </c:pt>
                <c:pt idx="434">
                  <c:v>45159</c:v>
                </c:pt>
                <c:pt idx="435">
                  <c:v>45166</c:v>
                </c:pt>
                <c:pt idx="436">
                  <c:v>45174</c:v>
                </c:pt>
                <c:pt idx="437">
                  <c:v>45180</c:v>
                </c:pt>
                <c:pt idx="438">
                  <c:v>45187</c:v>
                </c:pt>
                <c:pt idx="439">
                  <c:v>45194</c:v>
                </c:pt>
                <c:pt idx="440">
                  <c:v>45201</c:v>
                </c:pt>
                <c:pt idx="441">
                  <c:v>45208</c:v>
                </c:pt>
                <c:pt idx="442">
                  <c:v>45215</c:v>
                </c:pt>
                <c:pt idx="443">
                  <c:v>45222</c:v>
                </c:pt>
                <c:pt idx="444">
                  <c:v>45229</c:v>
                </c:pt>
                <c:pt idx="445">
                  <c:v>45236</c:v>
                </c:pt>
                <c:pt idx="446">
                  <c:v>45243</c:v>
                </c:pt>
                <c:pt idx="447">
                  <c:v>45250</c:v>
                </c:pt>
                <c:pt idx="448">
                  <c:v>45257</c:v>
                </c:pt>
                <c:pt idx="449">
                  <c:v>45264</c:v>
                </c:pt>
                <c:pt idx="450">
                  <c:v>45271</c:v>
                </c:pt>
                <c:pt idx="451">
                  <c:v>45278</c:v>
                </c:pt>
                <c:pt idx="452">
                  <c:v>45286</c:v>
                </c:pt>
                <c:pt idx="453">
                  <c:v>45293</c:v>
                </c:pt>
                <c:pt idx="454">
                  <c:v>45299</c:v>
                </c:pt>
                <c:pt idx="455">
                  <c:v>45307</c:v>
                </c:pt>
                <c:pt idx="456">
                  <c:v>45313</c:v>
                </c:pt>
                <c:pt idx="457">
                  <c:v>45320</c:v>
                </c:pt>
                <c:pt idx="458">
                  <c:v>45327</c:v>
                </c:pt>
                <c:pt idx="459">
                  <c:v>45334</c:v>
                </c:pt>
                <c:pt idx="460">
                  <c:v>45342</c:v>
                </c:pt>
                <c:pt idx="461">
                  <c:v>45348</c:v>
                </c:pt>
                <c:pt idx="462">
                  <c:v>45355</c:v>
                </c:pt>
                <c:pt idx="463">
                  <c:v>45362</c:v>
                </c:pt>
                <c:pt idx="464">
                  <c:v>45369</c:v>
                </c:pt>
                <c:pt idx="465">
                  <c:v>45376</c:v>
                </c:pt>
                <c:pt idx="466">
                  <c:v>45383</c:v>
                </c:pt>
                <c:pt idx="467">
                  <c:v>45390</c:v>
                </c:pt>
                <c:pt idx="468">
                  <c:v>45397</c:v>
                </c:pt>
                <c:pt idx="469">
                  <c:v>45404</c:v>
                </c:pt>
                <c:pt idx="470">
                  <c:v>45411</c:v>
                </c:pt>
                <c:pt idx="471">
                  <c:v>45418</c:v>
                </c:pt>
                <c:pt idx="472">
                  <c:v>45425</c:v>
                </c:pt>
                <c:pt idx="473">
                  <c:v>45432</c:v>
                </c:pt>
                <c:pt idx="474">
                  <c:v>45440</c:v>
                </c:pt>
                <c:pt idx="475">
                  <c:v>45446</c:v>
                </c:pt>
                <c:pt idx="476">
                  <c:v>45453</c:v>
                </c:pt>
                <c:pt idx="477">
                  <c:v>45460</c:v>
                </c:pt>
                <c:pt idx="478">
                  <c:v>45467</c:v>
                </c:pt>
                <c:pt idx="479">
                  <c:v>45474</c:v>
                </c:pt>
                <c:pt idx="480">
                  <c:v>45481</c:v>
                </c:pt>
                <c:pt idx="481">
                  <c:v>45488</c:v>
                </c:pt>
                <c:pt idx="482">
                  <c:v>45495</c:v>
                </c:pt>
                <c:pt idx="483">
                  <c:v>45502</c:v>
                </c:pt>
                <c:pt idx="484">
                  <c:v>45509</c:v>
                </c:pt>
                <c:pt idx="485">
                  <c:v>45516</c:v>
                </c:pt>
                <c:pt idx="486">
                  <c:v>45523</c:v>
                </c:pt>
                <c:pt idx="487">
                  <c:v>45530</c:v>
                </c:pt>
                <c:pt idx="488">
                  <c:v>45538</c:v>
                </c:pt>
                <c:pt idx="489">
                  <c:v>45544</c:v>
                </c:pt>
                <c:pt idx="490">
                  <c:v>45551</c:v>
                </c:pt>
                <c:pt idx="491">
                  <c:v>45558</c:v>
                </c:pt>
                <c:pt idx="492">
                  <c:v>45565</c:v>
                </c:pt>
                <c:pt idx="493">
                  <c:v>45572</c:v>
                </c:pt>
                <c:pt idx="494">
                  <c:v>45579</c:v>
                </c:pt>
                <c:pt idx="495">
                  <c:v>45586</c:v>
                </c:pt>
                <c:pt idx="496">
                  <c:v>45593</c:v>
                </c:pt>
                <c:pt idx="497">
                  <c:v>45600</c:v>
                </c:pt>
                <c:pt idx="498">
                  <c:v>45607</c:v>
                </c:pt>
                <c:pt idx="499">
                  <c:v>45614</c:v>
                </c:pt>
                <c:pt idx="500">
                  <c:v>45621</c:v>
                </c:pt>
                <c:pt idx="501">
                  <c:v>45628</c:v>
                </c:pt>
                <c:pt idx="502">
                  <c:v>45635</c:v>
                </c:pt>
                <c:pt idx="503">
                  <c:v>45642</c:v>
                </c:pt>
                <c:pt idx="504">
                  <c:v>45649</c:v>
                </c:pt>
                <c:pt idx="505">
                  <c:v>45656</c:v>
                </c:pt>
                <c:pt idx="506">
                  <c:v>45663</c:v>
                </c:pt>
                <c:pt idx="507">
                  <c:v>45670</c:v>
                </c:pt>
                <c:pt idx="508">
                  <c:v>45678</c:v>
                </c:pt>
                <c:pt idx="509">
                  <c:v>45684</c:v>
                </c:pt>
                <c:pt idx="510">
                  <c:v>45691</c:v>
                </c:pt>
                <c:pt idx="511">
                  <c:v>45698</c:v>
                </c:pt>
                <c:pt idx="512">
                  <c:v>45706</c:v>
                </c:pt>
                <c:pt idx="513">
                  <c:v>45712</c:v>
                </c:pt>
                <c:pt idx="514">
                  <c:v>45719</c:v>
                </c:pt>
                <c:pt idx="515">
                  <c:v>45726</c:v>
                </c:pt>
                <c:pt idx="516">
                  <c:v>45733</c:v>
                </c:pt>
                <c:pt idx="517">
                  <c:v>45740</c:v>
                </c:pt>
                <c:pt idx="518">
                  <c:v>45747</c:v>
                </c:pt>
                <c:pt idx="519">
                  <c:v>45754</c:v>
                </c:pt>
                <c:pt idx="520">
                  <c:v>45761</c:v>
                </c:pt>
                <c:pt idx="521">
                  <c:v>45768</c:v>
                </c:pt>
                <c:pt idx="522">
                  <c:v>45775</c:v>
                </c:pt>
              </c:numCache>
            </c:numRef>
          </c:cat>
          <c:val>
            <c:numRef>
              <c:f>TSLA!$E$7:$E$529</c:f>
              <c:numCache>
                <c:formatCode>_([$$-409]* #,##0.00_);_([$$-409]* \(#,##0.00\);_([$$-409]* "-"??_);_(@_)</c:formatCode>
                <c:ptCount val="523"/>
                <c:pt idx="0">
                  <c:v>15.0685</c:v>
                </c:pt>
                <c:pt idx="1">
                  <c:v>15.7738</c:v>
                </c:pt>
                <c:pt idx="2">
                  <c:v>16.589200000000002</c:v>
                </c:pt>
                <c:pt idx="3">
                  <c:v>16.5152</c:v>
                </c:pt>
                <c:pt idx="4">
                  <c:v>16.719799999999999</c:v>
                </c:pt>
                <c:pt idx="5">
                  <c:v>16.609200000000001</c:v>
                </c:pt>
                <c:pt idx="6">
                  <c:v>16.712499999999999</c:v>
                </c:pt>
                <c:pt idx="7">
                  <c:v>17.500499999999999</c:v>
                </c:pt>
                <c:pt idx="8">
                  <c:v>17.805800000000001</c:v>
                </c:pt>
                <c:pt idx="9">
                  <c:v>18.6678</c:v>
                </c:pt>
                <c:pt idx="10">
                  <c:v>17.276499999999999</c:v>
                </c:pt>
                <c:pt idx="11">
                  <c:v>18.310500000000001</c:v>
                </c:pt>
                <c:pt idx="12">
                  <c:v>17.6938</c:v>
                </c:pt>
                <c:pt idx="13">
                  <c:v>17.743200000000002</c:v>
                </c:pt>
                <c:pt idx="14">
                  <c:v>16.167200000000001</c:v>
                </c:pt>
                <c:pt idx="15">
                  <c:v>16.209800000000001</c:v>
                </c:pt>
                <c:pt idx="16">
                  <c:v>15.384499999999999</c:v>
                </c:pt>
                <c:pt idx="17">
                  <c:v>16.565200000000001</c:v>
                </c:pt>
                <c:pt idx="18">
                  <c:v>16.128499999999999</c:v>
                </c:pt>
                <c:pt idx="19">
                  <c:v>16.682500000000001</c:v>
                </c:pt>
                <c:pt idx="20">
                  <c:v>17.374500000000001</c:v>
                </c:pt>
                <c:pt idx="21">
                  <c:v>17.127199999999998</c:v>
                </c:pt>
                <c:pt idx="22">
                  <c:v>16.5045</c:v>
                </c:pt>
                <c:pt idx="23">
                  <c:v>14.7125</c:v>
                </c:pt>
                <c:pt idx="24">
                  <c:v>15.133800000000001</c:v>
                </c:pt>
                <c:pt idx="25">
                  <c:v>13.9392</c:v>
                </c:pt>
                <c:pt idx="26">
                  <c:v>13.795199999999999</c:v>
                </c:pt>
                <c:pt idx="27">
                  <c:v>15.490500000000001</c:v>
                </c:pt>
                <c:pt idx="28">
                  <c:v>13.8125</c:v>
                </c:pt>
                <c:pt idx="29">
                  <c:v>14.667199999999999</c:v>
                </c:pt>
                <c:pt idx="30">
                  <c:v>15.4405</c:v>
                </c:pt>
                <c:pt idx="31">
                  <c:v>15.358499999999999</c:v>
                </c:pt>
                <c:pt idx="32">
                  <c:v>14.4679</c:v>
                </c:pt>
                <c:pt idx="33">
                  <c:v>15.363799999999999</c:v>
                </c:pt>
                <c:pt idx="34">
                  <c:v>15.3712</c:v>
                </c:pt>
                <c:pt idx="35">
                  <c:v>16.000499999999999</c:v>
                </c:pt>
                <c:pt idx="36">
                  <c:v>14.0665</c:v>
                </c:pt>
                <c:pt idx="37">
                  <c:v>13.665900000000001</c:v>
                </c:pt>
                <c:pt idx="38">
                  <c:v>13.5032</c:v>
                </c:pt>
                <c:pt idx="39">
                  <c:v>12.746499999999999</c:v>
                </c:pt>
                <c:pt idx="40">
                  <c:v>10.8399</c:v>
                </c:pt>
                <c:pt idx="41">
                  <c:v>10.0692</c:v>
                </c:pt>
                <c:pt idx="42">
                  <c:v>11.1052</c:v>
                </c:pt>
                <c:pt idx="43">
                  <c:v>12.6892</c:v>
                </c:pt>
                <c:pt idx="44">
                  <c:v>13.4025</c:v>
                </c:pt>
                <c:pt idx="45">
                  <c:v>13.8332</c:v>
                </c:pt>
                <c:pt idx="46">
                  <c:v>15.5158</c:v>
                </c:pt>
                <c:pt idx="47">
                  <c:v>15.183199999999999</c:v>
                </c:pt>
                <c:pt idx="48">
                  <c:v>15.8392</c:v>
                </c:pt>
                <c:pt idx="49">
                  <c:v>16.671199999999999</c:v>
                </c:pt>
                <c:pt idx="50">
                  <c:v>16.967199999999998</c:v>
                </c:pt>
                <c:pt idx="51">
                  <c:v>16.916499999999999</c:v>
                </c:pt>
                <c:pt idx="52">
                  <c:v>16.0505</c:v>
                </c:pt>
                <c:pt idx="53">
                  <c:v>14.3285</c:v>
                </c:pt>
                <c:pt idx="54">
                  <c:v>13.8405</c:v>
                </c:pt>
                <c:pt idx="55">
                  <c:v>14.6852</c:v>
                </c:pt>
                <c:pt idx="56">
                  <c:v>14.869199999999999</c:v>
                </c:pt>
                <c:pt idx="57">
                  <c:v>14.5992</c:v>
                </c:pt>
                <c:pt idx="58">
                  <c:v>14.585900000000001</c:v>
                </c:pt>
                <c:pt idx="59">
                  <c:v>14.3645</c:v>
                </c:pt>
                <c:pt idx="60">
                  <c:v>12.8765</c:v>
                </c:pt>
                <c:pt idx="61">
                  <c:v>14.433199999999999</c:v>
                </c:pt>
                <c:pt idx="62">
                  <c:v>14.4519</c:v>
                </c:pt>
                <c:pt idx="63">
                  <c:v>14.693199999999999</c:v>
                </c:pt>
                <c:pt idx="64">
                  <c:v>14.8179</c:v>
                </c:pt>
                <c:pt idx="65">
                  <c:v>15.6525</c:v>
                </c:pt>
                <c:pt idx="66">
                  <c:v>15.3352</c:v>
                </c:pt>
                <c:pt idx="67">
                  <c:v>15.0405</c:v>
                </c:pt>
                <c:pt idx="68">
                  <c:v>14.9999</c:v>
                </c:pt>
                <c:pt idx="69">
                  <c:v>14.665900000000001</c:v>
                </c:pt>
                <c:pt idx="70">
                  <c:v>13.1852</c:v>
                </c:pt>
                <c:pt idx="71">
                  <c:v>12.964499999999999</c:v>
                </c:pt>
                <c:pt idx="72">
                  <c:v>13.693199999999999</c:v>
                </c:pt>
                <c:pt idx="73">
                  <c:v>13.8299</c:v>
                </c:pt>
                <c:pt idx="74">
                  <c:v>13.601900000000001</c:v>
                </c:pt>
                <c:pt idx="75">
                  <c:v>13.107200000000001</c:v>
                </c:pt>
                <c:pt idx="76">
                  <c:v>13.1005</c:v>
                </c:pt>
                <c:pt idx="77">
                  <c:v>13.3392</c:v>
                </c:pt>
                <c:pt idx="78">
                  <c:v>13.331200000000001</c:v>
                </c:pt>
                <c:pt idx="79">
                  <c:v>12.703900000000001</c:v>
                </c:pt>
                <c:pt idx="80">
                  <c:v>12.570499999999999</c:v>
                </c:pt>
                <c:pt idx="81">
                  <c:v>12.3345</c:v>
                </c:pt>
                <c:pt idx="82">
                  <c:v>13.1099</c:v>
                </c:pt>
                <c:pt idx="83">
                  <c:v>12.097899999999999</c:v>
                </c:pt>
                <c:pt idx="84">
                  <c:v>12.8119</c:v>
                </c:pt>
                <c:pt idx="85">
                  <c:v>13.4992</c:v>
                </c:pt>
                <c:pt idx="86">
                  <c:v>14.2225</c:v>
                </c:pt>
                <c:pt idx="87">
                  <c:v>14.245900000000001</c:v>
                </c:pt>
                <c:pt idx="88">
                  <c:v>15.267200000000001</c:v>
                </c:pt>
                <c:pt idx="89">
                  <c:v>15.8498</c:v>
                </c:pt>
                <c:pt idx="90">
                  <c:v>16.315200000000001</c:v>
                </c:pt>
                <c:pt idx="91">
                  <c:v>16.863199999999999</c:v>
                </c:pt>
                <c:pt idx="92">
                  <c:v>16.755199999999999</c:v>
                </c:pt>
                <c:pt idx="93">
                  <c:v>17.948499999999999</c:v>
                </c:pt>
                <c:pt idx="94">
                  <c:v>18.148499999999999</c:v>
                </c:pt>
                <c:pt idx="95">
                  <c:v>17.133199999999999</c:v>
                </c:pt>
                <c:pt idx="96">
                  <c:v>16.7712</c:v>
                </c:pt>
                <c:pt idx="97">
                  <c:v>16.245799999999999</c:v>
                </c:pt>
                <c:pt idx="98">
                  <c:v>17.433199999999999</c:v>
                </c:pt>
                <c:pt idx="99">
                  <c:v>17.543800000000001</c:v>
                </c:pt>
                <c:pt idx="100">
                  <c:v>18.553100000000001</c:v>
                </c:pt>
                <c:pt idx="101">
                  <c:v>20.1691</c:v>
                </c:pt>
                <c:pt idx="102">
                  <c:v>20.266500000000001</c:v>
                </c:pt>
                <c:pt idx="103">
                  <c:v>20.373100000000001</c:v>
                </c:pt>
                <c:pt idx="104">
                  <c:v>20.937799999999999</c:v>
                </c:pt>
                <c:pt idx="105">
                  <c:v>20.5565</c:v>
                </c:pt>
                <c:pt idx="106">
                  <c:v>21.6538</c:v>
                </c:pt>
                <c:pt idx="107">
                  <c:v>20.721800000000002</c:v>
                </c:pt>
                <c:pt idx="108">
                  <c:v>21.675799999999999</c:v>
                </c:pt>
                <c:pt idx="109">
                  <c:v>22.656400000000001</c:v>
                </c:pt>
                <c:pt idx="110">
                  <c:v>23.821100000000001</c:v>
                </c:pt>
                <c:pt idx="111">
                  <c:v>24.759799999999998</c:v>
                </c:pt>
                <c:pt idx="112">
                  <c:v>25.563099999999999</c:v>
                </c:pt>
                <c:pt idx="113">
                  <c:v>24.107099999999999</c:v>
                </c:pt>
                <c:pt idx="114">
                  <c:v>20.8811</c:v>
                </c:pt>
                <c:pt idx="115">
                  <c:v>21.851800000000001</c:v>
                </c:pt>
                <c:pt idx="116">
                  <c:v>21.8931</c:v>
                </c:pt>
                <c:pt idx="117">
                  <c:v>22.337800000000001</c:v>
                </c:pt>
                <c:pt idx="118">
                  <c:v>23.793800000000001</c:v>
                </c:pt>
                <c:pt idx="119">
                  <c:v>23.857800000000001</c:v>
                </c:pt>
                <c:pt idx="120">
                  <c:v>23.163799999999998</c:v>
                </c:pt>
                <c:pt idx="121">
                  <c:v>23.203099999999999</c:v>
                </c:pt>
                <c:pt idx="122">
                  <c:v>23.693100000000001</c:v>
                </c:pt>
                <c:pt idx="123">
                  <c:v>22.8931</c:v>
                </c:pt>
                <c:pt idx="124">
                  <c:v>25.320399999999999</c:v>
                </c:pt>
                <c:pt idx="125">
                  <c:v>23.405799999999999</c:v>
                </c:pt>
                <c:pt idx="126">
                  <c:v>22.739799999999999</c:v>
                </c:pt>
                <c:pt idx="127">
                  <c:v>23.791799999999999</c:v>
                </c:pt>
                <c:pt idx="128">
                  <c:v>23.7044</c:v>
                </c:pt>
                <c:pt idx="129">
                  <c:v>23.006399999999999</c:v>
                </c:pt>
                <c:pt idx="130">
                  <c:v>21.391100000000002</c:v>
                </c:pt>
                <c:pt idx="131">
                  <c:v>20.405799999999999</c:v>
                </c:pt>
                <c:pt idx="132">
                  <c:v>20.199100000000001</c:v>
                </c:pt>
                <c:pt idx="133">
                  <c:v>21.0031</c:v>
                </c:pt>
                <c:pt idx="134">
                  <c:v>21.0365</c:v>
                </c:pt>
                <c:pt idx="135">
                  <c:v>20.435099999999998</c:v>
                </c:pt>
                <c:pt idx="136">
                  <c:v>21.008500000000002</c:v>
                </c:pt>
                <c:pt idx="137">
                  <c:v>22.8964</c:v>
                </c:pt>
                <c:pt idx="138">
                  <c:v>21.6798</c:v>
                </c:pt>
                <c:pt idx="139">
                  <c:v>20.756499999999999</c:v>
                </c:pt>
                <c:pt idx="140">
                  <c:v>21.1051</c:v>
                </c:pt>
                <c:pt idx="141">
                  <c:v>22.414400000000001</c:v>
                </c:pt>
                <c:pt idx="142">
                  <c:v>23.334399999999999</c:v>
                </c:pt>
                <c:pt idx="143">
                  <c:v>22.856400000000001</c:v>
                </c:pt>
                <c:pt idx="144">
                  <c:v>22.916399999999999</c:v>
                </c:pt>
                <c:pt idx="145">
                  <c:v>20.694500000000001</c:v>
                </c:pt>
                <c:pt idx="146">
                  <c:v>22.3658</c:v>
                </c:pt>
                <c:pt idx="147">
                  <c:v>23.469799999999999</c:v>
                </c:pt>
                <c:pt idx="148">
                  <c:v>22.341100000000001</c:v>
                </c:pt>
                <c:pt idx="149">
                  <c:v>21.8111</c:v>
                </c:pt>
                <c:pt idx="150">
                  <c:v>21.423100000000002</c:v>
                </c:pt>
                <c:pt idx="151">
                  <c:v>20.102499999999999</c:v>
                </c:pt>
                <c:pt idx="152">
                  <c:v>17.741800000000001</c:v>
                </c:pt>
                <c:pt idx="153">
                  <c:v>19.953099999999999</c:v>
                </c:pt>
                <c:pt idx="154">
                  <c:v>20.022500000000001</c:v>
                </c:pt>
                <c:pt idx="155">
                  <c:v>19.3491</c:v>
                </c:pt>
                <c:pt idx="156">
                  <c:v>19.604800000000001</c:v>
                </c:pt>
                <c:pt idx="157">
                  <c:v>19.605799999999999</c:v>
                </c:pt>
                <c:pt idx="158">
                  <c:v>20.070499999999999</c:v>
                </c:pt>
                <c:pt idx="159">
                  <c:v>18.454499999999999</c:v>
                </c:pt>
                <c:pt idx="160">
                  <c:v>18.5898</c:v>
                </c:pt>
                <c:pt idx="161">
                  <c:v>19.454499999999999</c:v>
                </c:pt>
                <c:pt idx="162">
                  <c:v>21.177099999999999</c:v>
                </c:pt>
                <c:pt idx="163">
                  <c:v>23.877800000000001</c:v>
                </c:pt>
                <c:pt idx="164">
                  <c:v>22.241800000000001</c:v>
                </c:pt>
                <c:pt idx="165">
                  <c:v>22.863099999999999</c:v>
                </c:pt>
                <c:pt idx="166">
                  <c:v>20.5931</c:v>
                </c:pt>
                <c:pt idx="167">
                  <c:v>21.2578</c:v>
                </c:pt>
                <c:pt idx="168">
                  <c:v>20.905100000000001</c:v>
                </c:pt>
                <c:pt idx="169">
                  <c:v>19.811800000000002</c:v>
                </c:pt>
                <c:pt idx="170">
                  <c:v>23.211099999999998</c:v>
                </c:pt>
                <c:pt idx="171">
                  <c:v>23.699100000000001</c:v>
                </c:pt>
                <c:pt idx="172">
                  <c:v>20.366499999999998</c:v>
                </c:pt>
                <c:pt idx="173">
                  <c:v>21.521100000000001</c:v>
                </c:pt>
                <c:pt idx="174">
                  <c:v>20.110499999999998</c:v>
                </c:pt>
                <c:pt idx="175">
                  <c:v>17.549199999999999</c:v>
                </c:pt>
                <c:pt idx="176">
                  <c:v>19.6798</c:v>
                </c:pt>
                <c:pt idx="177">
                  <c:v>19.939800000000002</c:v>
                </c:pt>
                <c:pt idx="178">
                  <c:v>17.651199999999999</c:v>
                </c:pt>
                <c:pt idx="179">
                  <c:v>17.463200000000001</c:v>
                </c:pt>
                <c:pt idx="180">
                  <c:v>17.251799999999999</c:v>
                </c:pt>
                <c:pt idx="181">
                  <c:v>17.333200000000001</c:v>
                </c:pt>
                <c:pt idx="182">
                  <c:v>22.059799999999999</c:v>
                </c:pt>
                <c:pt idx="183">
                  <c:v>23.093800000000002</c:v>
                </c:pt>
                <c:pt idx="184">
                  <c:v>23.367100000000001</c:v>
                </c:pt>
                <c:pt idx="185">
                  <c:v>23.6204</c:v>
                </c:pt>
                <c:pt idx="186">
                  <c:v>21.721800000000002</c:v>
                </c:pt>
                <c:pt idx="187">
                  <c:v>23.365100000000002</c:v>
                </c:pt>
                <c:pt idx="188">
                  <c:v>23.864100000000001</c:v>
                </c:pt>
                <c:pt idx="189">
                  <c:v>24.380400000000002</c:v>
                </c:pt>
                <c:pt idx="190">
                  <c:v>21.317799999999998</c:v>
                </c:pt>
                <c:pt idx="191">
                  <c:v>22.2578</c:v>
                </c:pt>
                <c:pt idx="192">
                  <c:v>21.179099999999998</c:v>
                </c:pt>
                <c:pt idx="193">
                  <c:v>23.150400000000001</c:v>
                </c:pt>
                <c:pt idx="194">
                  <c:v>20.150500000000001</c:v>
                </c:pt>
                <c:pt idx="195">
                  <c:v>19.802499999999998</c:v>
                </c:pt>
                <c:pt idx="196">
                  <c:v>20.813800000000001</c:v>
                </c:pt>
                <c:pt idx="197">
                  <c:v>20.386500000000002</c:v>
                </c:pt>
                <c:pt idx="198">
                  <c:v>20.525099999999998</c:v>
                </c:pt>
                <c:pt idx="199">
                  <c:v>19.647099999999998</c:v>
                </c:pt>
                <c:pt idx="200">
                  <c:v>19.6525</c:v>
                </c:pt>
                <c:pt idx="201">
                  <c:v>18.942499999999999</c:v>
                </c:pt>
                <c:pt idx="202">
                  <c:v>18.361799999999999</c:v>
                </c:pt>
                <c:pt idx="203">
                  <c:v>17.635200000000001</c:v>
                </c:pt>
                <c:pt idx="204">
                  <c:v>18.6571</c:v>
                </c:pt>
                <c:pt idx="205">
                  <c:v>18.330500000000001</c:v>
                </c:pt>
                <c:pt idx="206">
                  <c:v>17.846499999999999</c:v>
                </c:pt>
                <c:pt idx="207">
                  <c:v>18.217199999999998</c:v>
                </c:pt>
                <c:pt idx="208">
                  <c:v>15.675800000000001</c:v>
                </c:pt>
                <c:pt idx="209">
                  <c:v>17.001799999999999</c:v>
                </c:pt>
                <c:pt idx="210">
                  <c:v>15.9678</c:v>
                </c:pt>
                <c:pt idx="211">
                  <c:v>14.0685</c:v>
                </c:pt>
                <c:pt idx="212">
                  <c:v>12.708500000000001</c:v>
                </c:pt>
                <c:pt idx="213">
                  <c:v>12.3439</c:v>
                </c:pt>
                <c:pt idx="214">
                  <c:v>13.6332</c:v>
                </c:pt>
                <c:pt idx="215">
                  <c:v>14.3279</c:v>
                </c:pt>
                <c:pt idx="216">
                  <c:v>14.7905</c:v>
                </c:pt>
                <c:pt idx="217">
                  <c:v>14.8972</c:v>
                </c:pt>
                <c:pt idx="218">
                  <c:v>15.5398</c:v>
                </c:pt>
                <c:pt idx="219">
                  <c:v>16.3385</c:v>
                </c:pt>
                <c:pt idx="220">
                  <c:v>17.2118</c:v>
                </c:pt>
                <c:pt idx="221">
                  <c:v>15.202500000000001</c:v>
                </c:pt>
                <c:pt idx="222">
                  <c:v>15.6225</c:v>
                </c:pt>
                <c:pt idx="223">
                  <c:v>15.667199999999999</c:v>
                </c:pt>
                <c:pt idx="224">
                  <c:v>14.6625</c:v>
                </c:pt>
                <c:pt idx="225">
                  <c:v>14.0932</c:v>
                </c:pt>
                <c:pt idx="226">
                  <c:v>15.0405</c:v>
                </c:pt>
                <c:pt idx="227">
                  <c:v>15.1632</c:v>
                </c:pt>
                <c:pt idx="228">
                  <c:v>16.346499999999999</c:v>
                </c:pt>
                <c:pt idx="229">
                  <c:v>16.0412</c:v>
                </c:pt>
                <c:pt idx="230">
                  <c:v>16.1418</c:v>
                </c:pt>
                <c:pt idx="231">
                  <c:v>15.4285</c:v>
                </c:pt>
                <c:pt idx="232">
                  <c:v>16.5258</c:v>
                </c:pt>
                <c:pt idx="233">
                  <c:v>17.129799999999999</c:v>
                </c:pt>
                <c:pt idx="234">
                  <c:v>21.8751</c:v>
                </c:pt>
                <c:pt idx="235">
                  <c:v>20.8871</c:v>
                </c:pt>
                <c:pt idx="236">
                  <c:v>22.4758</c:v>
                </c:pt>
                <c:pt idx="237">
                  <c:v>23.477799999999998</c:v>
                </c:pt>
                <c:pt idx="238">
                  <c:v>22.202400000000001</c:v>
                </c:pt>
                <c:pt idx="239">
                  <c:v>21.995799999999999</c:v>
                </c:pt>
                <c:pt idx="240">
                  <c:v>22.392399999999999</c:v>
                </c:pt>
                <c:pt idx="241">
                  <c:v>23.892399999999999</c:v>
                </c:pt>
                <c:pt idx="242">
                  <c:v>27.039100000000001</c:v>
                </c:pt>
                <c:pt idx="243">
                  <c:v>28.691700000000001</c:v>
                </c:pt>
                <c:pt idx="244">
                  <c:v>29.5337</c:v>
                </c:pt>
                <c:pt idx="245">
                  <c:v>31.876300000000001</c:v>
                </c:pt>
                <c:pt idx="246">
                  <c:v>34.033000000000001</c:v>
                </c:pt>
                <c:pt idx="247">
                  <c:v>37.654299999999999</c:v>
                </c:pt>
                <c:pt idx="248">
                  <c:v>43.370899999999999</c:v>
                </c:pt>
                <c:pt idx="249">
                  <c:v>49.870800000000003</c:v>
                </c:pt>
                <c:pt idx="250">
                  <c:v>53.334800000000001</c:v>
                </c:pt>
                <c:pt idx="251">
                  <c:v>60.066099999999999</c:v>
                </c:pt>
                <c:pt idx="252">
                  <c:v>44.532200000000003</c:v>
                </c:pt>
                <c:pt idx="253">
                  <c:v>46.898200000000003</c:v>
                </c:pt>
                <c:pt idx="254">
                  <c:v>36.441000000000003</c:v>
                </c:pt>
                <c:pt idx="255">
                  <c:v>28.5017</c:v>
                </c:pt>
                <c:pt idx="256">
                  <c:v>34.290300000000002</c:v>
                </c:pt>
                <c:pt idx="257">
                  <c:v>32.000300000000003</c:v>
                </c:pt>
                <c:pt idx="258">
                  <c:v>38.199599999999997</c:v>
                </c:pt>
                <c:pt idx="259">
                  <c:v>50.258800000000001</c:v>
                </c:pt>
                <c:pt idx="260">
                  <c:v>48.342799999999997</c:v>
                </c:pt>
                <c:pt idx="261">
                  <c:v>46.754199999999997</c:v>
                </c:pt>
                <c:pt idx="262">
                  <c:v>54.627499999999998</c:v>
                </c:pt>
                <c:pt idx="263">
                  <c:v>53.277500000000003</c:v>
                </c:pt>
                <c:pt idx="264">
                  <c:v>54.458100000000002</c:v>
                </c:pt>
                <c:pt idx="265">
                  <c:v>55.6661</c:v>
                </c:pt>
                <c:pt idx="266">
                  <c:v>59.043399999999998</c:v>
                </c:pt>
                <c:pt idx="267">
                  <c:v>62.351399999999998</c:v>
                </c:pt>
                <c:pt idx="268">
                  <c:v>66.725999999999999</c:v>
                </c:pt>
                <c:pt idx="269">
                  <c:v>63.981999999999999</c:v>
                </c:pt>
                <c:pt idx="270">
                  <c:v>80.576499999999996</c:v>
                </c:pt>
                <c:pt idx="271">
                  <c:v>102.9756</c:v>
                </c:pt>
                <c:pt idx="272">
                  <c:v>100.05500000000001</c:v>
                </c:pt>
                <c:pt idx="273">
                  <c:v>94.465699999999998</c:v>
                </c:pt>
                <c:pt idx="274">
                  <c:v>95.382999999999996</c:v>
                </c:pt>
                <c:pt idx="275">
                  <c:v>96.846400000000003</c:v>
                </c:pt>
                <c:pt idx="276">
                  <c:v>110.0462</c:v>
                </c:pt>
                <c:pt idx="277">
                  <c:v>136.66399999999999</c:v>
                </c:pt>
                <c:pt idx="278">
                  <c:v>147.55850000000001</c:v>
                </c:pt>
                <c:pt idx="279">
                  <c:v>139.43860000000001</c:v>
                </c:pt>
                <c:pt idx="280">
                  <c:v>124.2388</c:v>
                </c:pt>
                <c:pt idx="281">
                  <c:v>147.3819</c:v>
                </c:pt>
                <c:pt idx="282">
                  <c:v>135.77860000000001</c:v>
                </c:pt>
                <c:pt idx="283">
                  <c:v>138.36189999999999</c:v>
                </c:pt>
                <c:pt idx="284">
                  <c:v>144.6652</c:v>
                </c:pt>
                <c:pt idx="285">
                  <c:v>146.55520000000001</c:v>
                </c:pt>
                <c:pt idx="286">
                  <c:v>140.20859999999999</c:v>
                </c:pt>
                <c:pt idx="287">
                  <c:v>129.34540000000001</c:v>
                </c:pt>
                <c:pt idx="288">
                  <c:v>143.3152</c:v>
                </c:pt>
                <c:pt idx="289">
                  <c:v>136.1653</c:v>
                </c:pt>
                <c:pt idx="290">
                  <c:v>163.20169999999999</c:v>
                </c:pt>
                <c:pt idx="291">
                  <c:v>195.25139999999999</c:v>
                </c:pt>
                <c:pt idx="292">
                  <c:v>199.678</c:v>
                </c:pt>
                <c:pt idx="293">
                  <c:v>203.328</c:v>
                </c:pt>
                <c:pt idx="294">
                  <c:v>231.6644</c:v>
                </c:pt>
                <c:pt idx="295">
                  <c:v>220.58779999999999</c:v>
                </c:pt>
                <c:pt idx="296">
                  <c:v>235.221</c:v>
                </c:pt>
                <c:pt idx="297">
                  <c:v>293.33710000000002</c:v>
                </c:pt>
                <c:pt idx="298">
                  <c:v>275.38389999999998</c:v>
                </c:pt>
                <c:pt idx="299">
                  <c:v>282.21050000000002</c:v>
                </c:pt>
                <c:pt idx="300">
                  <c:v>264.50740000000002</c:v>
                </c:pt>
                <c:pt idx="301">
                  <c:v>284.07380000000001</c:v>
                </c:pt>
                <c:pt idx="302">
                  <c:v>272.03730000000002</c:v>
                </c:pt>
                <c:pt idx="303">
                  <c:v>260.4307</c:v>
                </c:pt>
                <c:pt idx="304">
                  <c:v>225.1644</c:v>
                </c:pt>
                <c:pt idx="305">
                  <c:v>199.31469999999999</c:v>
                </c:pt>
                <c:pt idx="306">
                  <c:v>231.24100000000001</c:v>
                </c:pt>
                <c:pt idx="307">
                  <c:v>218.2878</c:v>
                </c:pt>
                <c:pt idx="308">
                  <c:v>206.2346</c:v>
                </c:pt>
                <c:pt idx="309">
                  <c:v>220.58109999999999</c:v>
                </c:pt>
                <c:pt idx="310">
                  <c:v>225.6711</c:v>
                </c:pt>
                <c:pt idx="311">
                  <c:v>246.5909</c:v>
                </c:pt>
                <c:pt idx="312">
                  <c:v>243.1309</c:v>
                </c:pt>
                <c:pt idx="313">
                  <c:v>236.4776</c:v>
                </c:pt>
                <c:pt idx="314">
                  <c:v>224.12110000000001</c:v>
                </c:pt>
                <c:pt idx="315">
                  <c:v>196.578</c:v>
                </c:pt>
                <c:pt idx="316">
                  <c:v>193.62469999999999</c:v>
                </c:pt>
                <c:pt idx="317">
                  <c:v>208.40459999999999</c:v>
                </c:pt>
                <c:pt idx="318">
                  <c:v>199.68129999999999</c:v>
                </c:pt>
                <c:pt idx="319">
                  <c:v>203.2946</c:v>
                </c:pt>
                <c:pt idx="320">
                  <c:v>207.7679</c:v>
                </c:pt>
                <c:pt idx="321">
                  <c:v>223.95439999999999</c:v>
                </c:pt>
                <c:pt idx="322">
                  <c:v>226.29769999999999</c:v>
                </c:pt>
                <c:pt idx="323">
                  <c:v>218.9811</c:v>
                </c:pt>
                <c:pt idx="324">
                  <c:v>214.7379</c:v>
                </c:pt>
                <c:pt idx="325">
                  <c:v>214.4579</c:v>
                </c:pt>
                <c:pt idx="326">
                  <c:v>229.06440000000001</c:v>
                </c:pt>
                <c:pt idx="327">
                  <c:v>233.03100000000001</c:v>
                </c:pt>
                <c:pt idx="328">
                  <c:v>239.05430000000001</c:v>
                </c:pt>
                <c:pt idx="329">
                  <c:v>226.75110000000001</c:v>
                </c:pt>
                <c:pt idx="330">
                  <c:v>237.30430000000001</c:v>
                </c:pt>
                <c:pt idx="331">
                  <c:v>244.52090000000001</c:v>
                </c:pt>
                <c:pt idx="332">
                  <c:v>245.42089999999999</c:v>
                </c:pt>
                <c:pt idx="333">
                  <c:v>253.16079999999999</c:v>
                </c:pt>
                <c:pt idx="334">
                  <c:v>258.12740000000002</c:v>
                </c:pt>
                <c:pt idx="335">
                  <c:v>258.40410000000003</c:v>
                </c:pt>
                <c:pt idx="336">
                  <c:v>261.82740000000001</c:v>
                </c:pt>
                <c:pt idx="337">
                  <c:v>281.00720000000001</c:v>
                </c:pt>
                <c:pt idx="338">
                  <c:v>303.22359999999998</c:v>
                </c:pt>
                <c:pt idx="339">
                  <c:v>371.32960000000003</c:v>
                </c:pt>
                <c:pt idx="340">
                  <c:v>407.35930000000002</c:v>
                </c:pt>
                <c:pt idx="341">
                  <c:v>344.4699</c:v>
                </c:pt>
                <c:pt idx="342">
                  <c:v>379.01620000000003</c:v>
                </c:pt>
                <c:pt idx="343">
                  <c:v>360.63639999999998</c:v>
                </c:pt>
                <c:pt idx="344">
                  <c:v>338.32</c:v>
                </c:pt>
                <c:pt idx="345">
                  <c:v>339.00659999999999</c:v>
                </c:pt>
                <c:pt idx="346">
                  <c:v>310.85359999999997</c:v>
                </c:pt>
                <c:pt idx="347">
                  <c:v>355.66309999999999</c:v>
                </c:pt>
                <c:pt idx="348">
                  <c:v>352.25650000000002</c:v>
                </c:pt>
                <c:pt idx="349">
                  <c:v>342.31659999999999</c:v>
                </c:pt>
                <c:pt idx="350">
                  <c:v>349.86649999999997</c:v>
                </c:pt>
                <c:pt idx="351">
                  <c:v>314.6302</c:v>
                </c:pt>
                <c:pt idx="352">
                  <c:v>282.11380000000003</c:v>
                </c:pt>
                <c:pt idx="353">
                  <c:v>307.77030000000002</c:v>
                </c:pt>
                <c:pt idx="354">
                  <c:v>286.66379999999998</c:v>
                </c:pt>
                <c:pt idx="355">
                  <c:v>285.65710000000001</c:v>
                </c:pt>
                <c:pt idx="356">
                  <c:v>269.95400000000001</c:v>
                </c:pt>
                <c:pt idx="357">
                  <c:v>279.42720000000003</c:v>
                </c:pt>
                <c:pt idx="358">
                  <c:v>265.11399999999998</c:v>
                </c:pt>
                <c:pt idx="359">
                  <c:v>301.79360000000003</c:v>
                </c:pt>
                <c:pt idx="360">
                  <c:v>336.8766</c:v>
                </c:pt>
                <c:pt idx="361">
                  <c:v>361.52640000000002</c:v>
                </c:pt>
                <c:pt idx="362">
                  <c:v>341.82659999999998</c:v>
                </c:pt>
                <c:pt idx="363">
                  <c:v>328.33010000000002</c:v>
                </c:pt>
                <c:pt idx="364">
                  <c:v>335.01330000000002</c:v>
                </c:pt>
                <c:pt idx="365">
                  <c:v>290.25040000000001</c:v>
                </c:pt>
                <c:pt idx="366">
                  <c:v>288.5471</c:v>
                </c:pt>
                <c:pt idx="367">
                  <c:v>256.5274</c:v>
                </c:pt>
                <c:pt idx="368">
                  <c:v>221.2978</c:v>
                </c:pt>
                <c:pt idx="369">
                  <c:v>253.20750000000001</c:v>
                </c:pt>
                <c:pt idx="370">
                  <c:v>234.51429999999999</c:v>
                </c:pt>
                <c:pt idx="371">
                  <c:v>232.2277</c:v>
                </c:pt>
                <c:pt idx="372">
                  <c:v>216.7578</c:v>
                </c:pt>
                <c:pt idx="373">
                  <c:v>245.70419999999999</c:v>
                </c:pt>
                <c:pt idx="374">
                  <c:v>227.2611</c:v>
                </c:pt>
                <c:pt idx="375">
                  <c:v>250.76079999999999</c:v>
                </c:pt>
                <c:pt idx="376">
                  <c:v>240.0643</c:v>
                </c:pt>
                <c:pt idx="377">
                  <c:v>272.24059999999997</c:v>
                </c:pt>
                <c:pt idx="378">
                  <c:v>297.14699999999999</c:v>
                </c:pt>
                <c:pt idx="379">
                  <c:v>288.1671</c:v>
                </c:pt>
                <c:pt idx="380">
                  <c:v>300.02699999999999</c:v>
                </c:pt>
                <c:pt idx="381">
                  <c:v>296.66370000000001</c:v>
                </c:pt>
                <c:pt idx="382">
                  <c:v>288.08999999999997</c:v>
                </c:pt>
                <c:pt idx="383">
                  <c:v>270.20999999999998</c:v>
                </c:pt>
                <c:pt idx="384">
                  <c:v>299.68</c:v>
                </c:pt>
                <c:pt idx="385">
                  <c:v>303.35000000000002</c:v>
                </c:pt>
                <c:pt idx="386">
                  <c:v>275.33</c:v>
                </c:pt>
                <c:pt idx="387">
                  <c:v>265.25</c:v>
                </c:pt>
                <c:pt idx="388">
                  <c:v>223.07</c:v>
                </c:pt>
                <c:pt idx="389">
                  <c:v>204.99</c:v>
                </c:pt>
                <c:pt idx="390">
                  <c:v>214.44</c:v>
                </c:pt>
                <c:pt idx="391">
                  <c:v>228.52</c:v>
                </c:pt>
                <c:pt idx="392">
                  <c:v>207.47</c:v>
                </c:pt>
                <c:pt idx="393">
                  <c:v>195.97</c:v>
                </c:pt>
                <c:pt idx="394">
                  <c:v>180.19</c:v>
                </c:pt>
                <c:pt idx="395">
                  <c:v>182.86</c:v>
                </c:pt>
                <c:pt idx="396">
                  <c:v>194.86</c:v>
                </c:pt>
                <c:pt idx="397">
                  <c:v>179.05</c:v>
                </c:pt>
                <c:pt idx="398">
                  <c:v>150.22999999999999</c:v>
                </c:pt>
                <c:pt idx="399">
                  <c:v>123.15</c:v>
                </c:pt>
                <c:pt idx="400">
                  <c:v>123.18</c:v>
                </c:pt>
                <c:pt idx="401">
                  <c:v>113.06</c:v>
                </c:pt>
                <c:pt idx="402">
                  <c:v>122.4</c:v>
                </c:pt>
                <c:pt idx="403">
                  <c:v>133.41999999999999</c:v>
                </c:pt>
                <c:pt idx="404">
                  <c:v>177.9</c:v>
                </c:pt>
                <c:pt idx="405">
                  <c:v>189.98</c:v>
                </c:pt>
                <c:pt idx="406">
                  <c:v>196.89</c:v>
                </c:pt>
                <c:pt idx="407">
                  <c:v>208.31</c:v>
                </c:pt>
                <c:pt idx="408">
                  <c:v>196.88</c:v>
                </c:pt>
                <c:pt idx="409">
                  <c:v>197.79</c:v>
                </c:pt>
                <c:pt idx="410">
                  <c:v>173.44</c:v>
                </c:pt>
                <c:pt idx="411">
                  <c:v>180.13</c:v>
                </c:pt>
                <c:pt idx="412">
                  <c:v>190.41</c:v>
                </c:pt>
                <c:pt idx="413">
                  <c:v>207.46</c:v>
                </c:pt>
                <c:pt idx="414">
                  <c:v>185.06</c:v>
                </c:pt>
                <c:pt idx="415">
                  <c:v>185</c:v>
                </c:pt>
                <c:pt idx="416">
                  <c:v>165.08</c:v>
                </c:pt>
                <c:pt idx="417">
                  <c:v>164.31</c:v>
                </c:pt>
                <c:pt idx="418">
                  <c:v>170.06</c:v>
                </c:pt>
                <c:pt idx="419">
                  <c:v>167.98</c:v>
                </c:pt>
                <c:pt idx="420">
                  <c:v>180.14</c:v>
                </c:pt>
                <c:pt idx="421">
                  <c:v>193.17</c:v>
                </c:pt>
                <c:pt idx="422">
                  <c:v>213.97</c:v>
                </c:pt>
                <c:pt idx="423">
                  <c:v>244.4</c:v>
                </c:pt>
                <c:pt idx="424">
                  <c:v>260.54000000000002</c:v>
                </c:pt>
                <c:pt idx="425">
                  <c:v>256.60000000000002</c:v>
                </c:pt>
                <c:pt idx="426">
                  <c:v>261.77</c:v>
                </c:pt>
                <c:pt idx="427">
                  <c:v>274.43</c:v>
                </c:pt>
                <c:pt idx="428">
                  <c:v>281.38</c:v>
                </c:pt>
                <c:pt idx="429">
                  <c:v>260.02</c:v>
                </c:pt>
                <c:pt idx="430">
                  <c:v>266.44</c:v>
                </c:pt>
                <c:pt idx="431">
                  <c:v>253.86</c:v>
                </c:pt>
                <c:pt idx="432">
                  <c:v>242.65</c:v>
                </c:pt>
                <c:pt idx="433">
                  <c:v>215.49</c:v>
                </c:pt>
                <c:pt idx="434">
                  <c:v>238.59</c:v>
                </c:pt>
                <c:pt idx="435">
                  <c:v>245.01</c:v>
                </c:pt>
                <c:pt idx="436">
                  <c:v>248.5</c:v>
                </c:pt>
                <c:pt idx="437">
                  <c:v>274.39</c:v>
                </c:pt>
                <c:pt idx="438">
                  <c:v>244.88</c:v>
                </c:pt>
                <c:pt idx="439">
                  <c:v>250.22</c:v>
                </c:pt>
                <c:pt idx="440">
                  <c:v>260.52999999999997</c:v>
                </c:pt>
                <c:pt idx="441">
                  <c:v>251.12</c:v>
                </c:pt>
                <c:pt idx="442">
                  <c:v>211.99</c:v>
                </c:pt>
                <c:pt idx="443">
                  <c:v>207.3</c:v>
                </c:pt>
                <c:pt idx="444">
                  <c:v>219.96</c:v>
                </c:pt>
                <c:pt idx="445">
                  <c:v>214.65</c:v>
                </c:pt>
                <c:pt idx="446">
                  <c:v>234.3</c:v>
                </c:pt>
                <c:pt idx="447">
                  <c:v>235.45</c:v>
                </c:pt>
                <c:pt idx="448">
                  <c:v>238.83</c:v>
                </c:pt>
                <c:pt idx="449">
                  <c:v>243.84</c:v>
                </c:pt>
                <c:pt idx="450">
                  <c:v>253.5</c:v>
                </c:pt>
                <c:pt idx="451">
                  <c:v>252.54</c:v>
                </c:pt>
                <c:pt idx="452">
                  <c:v>248.48</c:v>
                </c:pt>
                <c:pt idx="453">
                  <c:v>237.49</c:v>
                </c:pt>
                <c:pt idx="454">
                  <c:v>218.89</c:v>
                </c:pt>
                <c:pt idx="455">
                  <c:v>212.19</c:v>
                </c:pt>
                <c:pt idx="456">
                  <c:v>183.25</c:v>
                </c:pt>
                <c:pt idx="457">
                  <c:v>187.91</c:v>
                </c:pt>
                <c:pt idx="458">
                  <c:v>193.57</c:v>
                </c:pt>
                <c:pt idx="459">
                  <c:v>199.95</c:v>
                </c:pt>
                <c:pt idx="460">
                  <c:v>191.97</c:v>
                </c:pt>
                <c:pt idx="461">
                  <c:v>202.64</c:v>
                </c:pt>
                <c:pt idx="462">
                  <c:v>175.34</c:v>
                </c:pt>
                <c:pt idx="463">
                  <c:v>163.57</c:v>
                </c:pt>
                <c:pt idx="464">
                  <c:v>170.83</c:v>
                </c:pt>
                <c:pt idx="465">
                  <c:v>175.79</c:v>
                </c:pt>
                <c:pt idx="466">
                  <c:v>164.9</c:v>
                </c:pt>
                <c:pt idx="467">
                  <c:v>171.05</c:v>
                </c:pt>
                <c:pt idx="468">
                  <c:v>147.05000000000001</c:v>
                </c:pt>
                <c:pt idx="469">
                  <c:v>168.29</c:v>
                </c:pt>
                <c:pt idx="470">
                  <c:v>181.19</c:v>
                </c:pt>
                <c:pt idx="471">
                  <c:v>168.47</c:v>
                </c:pt>
                <c:pt idx="472">
                  <c:v>177.46</c:v>
                </c:pt>
                <c:pt idx="473">
                  <c:v>179.24</c:v>
                </c:pt>
                <c:pt idx="474">
                  <c:v>178.08</c:v>
                </c:pt>
                <c:pt idx="475">
                  <c:v>177.48</c:v>
                </c:pt>
                <c:pt idx="476">
                  <c:v>178.01</c:v>
                </c:pt>
                <c:pt idx="477">
                  <c:v>183.01</c:v>
                </c:pt>
                <c:pt idx="478">
                  <c:v>197.88</c:v>
                </c:pt>
                <c:pt idx="479">
                  <c:v>251.52</c:v>
                </c:pt>
                <c:pt idx="480">
                  <c:v>248.23</c:v>
                </c:pt>
                <c:pt idx="481">
                  <c:v>239.2</c:v>
                </c:pt>
                <c:pt idx="482">
                  <c:v>219.8</c:v>
                </c:pt>
                <c:pt idx="483">
                  <c:v>207.67</c:v>
                </c:pt>
                <c:pt idx="484">
                  <c:v>200</c:v>
                </c:pt>
                <c:pt idx="485">
                  <c:v>216.12</c:v>
                </c:pt>
                <c:pt idx="486">
                  <c:v>220.32</c:v>
                </c:pt>
                <c:pt idx="487">
                  <c:v>214.11</c:v>
                </c:pt>
                <c:pt idx="488">
                  <c:v>210.73</c:v>
                </c:pt>
                <c:pt idx="489">
                  <c:v>230.29</c:v>
                </c:pt>
                <c:pt idx="490">
                  <c:v>238.25</c:v>
                </c:pt>
                <c:pt idx="491">
                  <c:v>260.45999999999998</c:v>
                </c:pt>
                <c:pt idx="492">
                  <c:v>250.08</c:v>
                </c:pt>
                <c:pt idx="493">
                  <c:v>217.8</c:v>
                </c:pt>
                <c:pt idx="494">
                  <c:v>220.7</c:v>
                </c:pt>
                <c:pt idx="495">
                  <c:v>269.19</c:v>
                </c:pt>
                <c:pt idx="496">
                  <c:v>248.98</c:v>
                </c:pt>
                <c:pt idx="497">
                  <c:v>321.22000000000003</c:v>
                </c:pt>
                <c:pt idx="498">
                  <c:v>320.72000000000003</c:v>
                </c:pt>
                <c:pt idx="499">
                  <c:v>352.56</c:v>
                </c:pt>
                <c:pt idx="500">
                  <c:v>345.16</c:v>
                </c:pt>
                <c:pt idx="501">
                  <c:v>389.22</c:v>
                </c:pt>
                <c:pt idx="502">
                  <c:v>436.23</c:v>
                </c:pt>
                <c:pt idx="503">
                  <c:v>421.06</c:v>
                </c:pt>
                <c:pt idx="504">
                  <c:v>431.66</c:v>
                </c:pt>
                <c:pt idx="505">
                  <c:v>410.44</c:v>
                </c:pt>
                <c:pt idx="506">
                  <c:v>394.74</c:v>
                </c:pt>
                <c:pt idx="507">
                  <c:v>426.5</c:v>
                </c:pt>
                <c:pt idx="508">
                  <c:v>406.58</c:v>
                </c:pt>
                <c:pt idx="509">
                  <c:v>404.6</c:v>
                </c:pt>
                <c:pt idx="510">
                  <c:v>361.62</c:v>
                </c:pt>
                <c:pt idx="511">
                  <c:v>355.84</c:v>
                </c:pt>
                <c:pt idx="512">
                  <c:v>337.8</c:v>
                </c:pt>
                <c:pt idx="513">
                  <c:v>292.98</c:v>
                </c:pt>
                <c:pt idx="514">
                  <c:v>262.67</c:v>
                </c:pt>
                <c:pt idx="515">
                  <c:v>249.98</c:v>
                </c:pt>
                <c:pt idx="516">
                  <c:v>248.71</c:v>
                </c:pt>
                <c:pt idx="517">
                  <c:v>263.55</c:v>
                </c:pt>
                <c:pt idx="518">
                  <c:v>239.43</c:v>
                </c:pt>
                <c:pt idx="519">
                  <c:v>252.31</c:v>
                </c:pt>
                <c:pt idx="520">
                  <c:v>241.37</c:v>
                </c:pt>
                <c:pt idx="521">
                  <c:v>284.95</c:v>
                </c:pt>
                <c:pt idx="522">
                  <c:v>287.20999999999998</c:v>
                </c:pt>
              </c:numCache>
            </c:numRef>
          </c:val>
          <c:smooth val="0"/>
          <c:extLst>
            <c:ext xmlns:c16="http://schemas.microsoft.com/office/drawing/2014/chart" uri="{C3380CC4-5D6E-409C-BE32-E72D297353CC}">
              <c16:uniqueId val="{00000000-9B7C-4935-BD87-BADACAA6A9FB}"/>
            </c:ext>
          </c:extLst>
        </c:ser>
        <c:dLbls>
          <c:showLegendKey val="0"/>
          <c:showVal val="0"/>
          <c:showCatName val="0"/>
          <c:showSerName val="0"/>
          <c:showPercent val="0"/>
          <c:showBubbleSize val="0"/>
        </c:dLbls>
        <c:smooth val="0"/>
        <c:axId val="590458879"/>
        <c:axId val="590454559"/>
      </c:lineChart>
      <c:dateAx>
        <c:axId val="59045887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Date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m/d/yy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0454559"/>
        <c:crosses val="autoZero"/>
        <c:auto val="1"/>
        <c:lblOffset val="100"/>
        <c:baseTimeUnit val="days"/>
      </c:dateAx>
      <c:valAx>
        <c:axId val="590454559"/>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Price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409]* #,##0.00_);_([$$-409]* \(#,##0.00\);_([$$-409]*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0458879"/>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AMZN Closing Stock Price 10 YearHistory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cked"/>
        <c:varyColors val="0"/>
        <c:ser>
          <c:idx val="0"/>
          <c:order val="0"/>
          <c:tx>
            <c:strRef>
              <c:f>AMZN!$E$6</c:f>
              <c:strCache>
                <c:ptCount val="1"/>
                <c:pt idx="0">
                  <c:v>Close</c:v>
                </c:pt>
              </c:strCache>
            </c:strRef>
          </c:tx>
          <c:spPr>
            <a:ln w="28575" cap="rnd">
              <a:solidFill>
                <a:schemeClr val="accent1"/>
              </a:solidFill>
              <a:round/>
            </a:ln>
            <a:effectLst/>
          </c:spPr>
          <c:marker>
            <c:symbol val="none"/>
          </c:marker>
          <c:cat>
            <c:numRef>
              <c:f>AMZN!$D$7:$D$529</c:f>
              <c:numCache>
                <c:formatCode>m/d/yyyy</c:formatCode>
                <c:ptCount val="523"/>
                <c:pt idx="0">
                  <c:v>42121</c:v>
                </c:pt>
                <c:pt idx="1">
                  <c:v>42128</c:v>
                </c:pt>
                <c:pt idx="2">
                  <c:v>42135</c:v>
                </c:pt>
                <c:pt idx="3">
                  <c:v>42142</c:v>
                </c:pt>
                <c:pt idx="4">
                  <c:v>42150</c:v>
                </c:pt>
                <c:pt idx="5">
                  <c:v>42156</c:v>
                </c:pt>
                <c:pt idx="6">
                  <c:v>42163</c:v>
                </c:pt>
                <c:pt idx="7">
                  <c:v>42170</c:v>
                </c:pt>
                <c:pt idx="8">
                  <c:v>42177</c:v>
                </c:pt>
                <c:pt idx="9">
                  <c:v>42184</c:v>
                </c:pt>
                <c:pt idx="10">
                  <c:v>42191</c:v>
                </c:pt>
                <c:pt idx="11">
                  <c:v>42198</c:v>
                </c:pt>
                <c:pt idx="12">
                  <c:v>42205</c:v>
                </c:pt>
                <c:pt idx="13">
                  <c:v>42212</c:v>
                </c:pt>
                <c:pt idx="14">
                  <c:v>42219</c:v>
                </c:pt>
                <c:pt idx="15">
                  <c:v>42226</c:v>
                </c:pt>
                <c:pt idx="16">
                  <c:v>42233</c:v>
                </c:pt>
                <c:pt idx="17">
                  <c:v>42240</c:v>
                </c:pt>
                <c:pt idx="18">
                  <c:v>42247</c:v>
                </c:pt>
                <c:pt idx="19">
                  <c:v>42255</c:v>
                </c:pt>
                <c:pt idx="20">
                  <c:v>42261</c:v>
                </c:pt>
                <c:pt idx="21">
                  <c:v>42268</c:v>
                </c:pt>
                <c:pt idx="22">
                  <c:v>42275</c:v>
                </c:pt>
                <c:pt idx="23">
                  <c:v>42282</c:v>
                </c:pt>
                <c:pt idx="24">
                  <c:v>42289</c:v>
                </c:pt>
                <c:pt idx="25">
                  <c:v>42296</c:v>
                </c:pt>
                <c:pt idx="26">
                  <c:v>42303</c:v>
                </c:pt>
                <c:pt idx="27">
                  <c:v>42310</c:v>
                </c:pt>
                <c:pt idx="28">
                  <c:v>42317</c:v>
                </c:pt>
                <c:pt idx="29">
                  <c:v>42324</c:v>
                </c:pt>
                <c:pt idx="30">
                  <c:v>42331</c:v>
                </c:pt>
                <c:pt idx="31">
                  <c:v>42338</c:v>
                </c:pt>
                <c:pt idx="32">
                  <c:v>42345</c:v>
                </c:pt>
                <c:pt idx="33">
                  <c:v>42352</c:v>
                </c:pt>
                <c:pt idx="34">
                  <c:v>42359</c:v>
                </c:pt>
                <c:pt idx="35">
                  <c:v>42366</c:v>
                </c:pt>
                <c:pt idx="36">
                  <c:v>42373</c:v>
                </c:pt>
                <c:pt idx="37">
                  <c:v>42380</c:v>
                </c:pt>
                <c:pt idx="38">
                  <c:v>42388</c:v>
                </c:pt>
                <c:pt idx="39">
                  <c:v>42394</c:v>
                </c:pt>
                <c:pt idx="40">
                  <c:v>42401</c:v>
                </c:pt>
                <c:pt idx="41">
                  <c:v>42408</c:v>
                </c:pt>
                <c:pt idx="42">
                  <c:v>42416</c:v>
                </c:pt>
                <c:pt idx="43">
                  <c:v>42422</c:v>
                </c:pt>
                <c:pt idx="44">
                  <c:v>42429</c:v>
                </c:pt>
                <c:pt idx="45">
                  <c:v>42436</c:v>
                </c:pt>
                <c:pt idx="46">
                  <c:v>42443</c:v>
                </c:pt>
                <c:pt idx="47">
                  <c:v>42450</c:v>
                </c:pt>
                <c:pt idx="48">
                  <c:v>42457</c:v>
                </c:pt>
                <c:pt idx="49">
                  <c:v>42464</c:v>
                </c:pt>
                <c:pt idx="50">
                  <c:v>42471</c:v>
                </c:pt>
                <c:pt idx="51">
                  <c:v>42478</c:v>
                </c:pt>
                <c:pt idx="52">
                  <c:v>42485</c:v>
                </c:pt>
                <c:pt idx="53">
                  <c:v>42492</c:v>
                </c:pt>
                <c:pt idx="54">
                  <c:v>42499</c:v>
                </c:pt>
                <c:pt idx="55">
                  <c:v>42506</c:v>
                </c:pt>
                <c:pt idx="56">
                  <c:v>42513</c:v>
                </c:pt>
                <c:pt idx="57">
                  <c:v>42521</c:v>
                </c:pt>
                <c:pt idx="58">
                  <c:v>42527</c:v>
                </c:pt>
                <c:pt idx="59">
                  <c:v>42534</c:v>
                </c:pt>
                <c:pt idx="60">
                  <c:v>42541</c:v>
                </c:pt>
                <c:pt idx="61">
                  <c:v>42548</c:v>
                </c:pt>
                <c:pt idx="62">
                  <c:v>42556</c:v>
                </c:pt>
                <c:pt idx="63">
                  <c:v>42562</c:v>
                </c:pt>
                <c:pt idx="64">
                  <c:v>42569</c:v>
                </c:pt>
                <c:pt idx="65">
                  <c:v>42576</c:v>
                </c:pt>
                <c:pt idx="66">
                  <c:v>42583</c:v>
                </c:pt>
                <c:pt idx="67">
                  <c:v>42590</c:v>
                </c:pt>
                <c:pt idx="68">
                  <c:v>42597</c:v>
                </c:pt>
                <c:pt idx="69">
                  <c:v>42604</c:v>
                </c:pt>
                <c:pt idx="70">
                  <c:v>42611</c:v>
                </c:pt>
                <c:pt idx="71">
                  <c:v>42619</c:v>
                </c:pt>
                <c:pt idx="72">
                  <c:v>42625</c:v>
                </c:pt>
                <c:pt idx="73">
                  <c:v>42632</c:v>
                </c:pt>
                <c:pt idx="74">
                  <c:v>42639</c:v>
                </c:pt>
                <c:pt idx="75">
                  <c:v>42646</c:v>
                </c:pt>
                <c:pt idx="76">
                  <c:v>42653</c:v>
                </c:pt>
                <c:pt idx="77">
                  <c:v>42660</c:v>
                </c:pt>
                <c:pt idx="78">
                  <c:v>42667</c:v>
                </c:pt>
                <c:pt idx="79">
                  <c:v>42674</c:v>
                </c:pt>
                <c:pt idx="80">
                  <c:v>42681</c:v>
                </c:pt>
                <c:pt idx="81">
                  <c:v>42688</c:v>
                </c:pt>
                <c:pt idx="82">
                  <c:v>42695</c:v>
                </c:pt>
                <c:pt idx="83">
                  <c:v>42702</c:v>
                </c:pt>
                <c:pt idx="84">
                  <c:v>42709</c:v>
                </c:pt>
                <c:pt idx="85">
                  <c:v>42716</c:v>
                </c:pt>
                <c:pt idx="86">
                  <c:v>42723</c:v>
                </c:pt>
                <c:pt idx="87">
                  <c:v>42731</c:v>
                </c:pt>
                <c:pt idx="88">
                  <c:v>42738</c:v>
                </c:pt>
                <c:pt idx="89">
                  <c:v>42744</c:v>
                </c:pt>
                <c:pt idx="90">
                  <c:v>42752</c:v>
                </c:pt>
                <c:pt idx="91">
                  <c:v>42758</c:v>
                </c:pt>
                <c:pt idx="92">
                  <c:v>42765</c:v>
                </c:pt>
                <c:pt idx="93">
                  <c:v>42772</c:v>
                </c:pt>
                <c:pt idx="94">
                  <c:v>42779</c:v>
                </c:pt>
                <c:pt idx="95">
                  <c:v>42787</c:v>
                </c:pt>
                <c:pt idx="96">
                  <c:v>42793</c:v>
                </c:pt>
                <c:pt idx="97">
                  <c:v>42800</c:v>
                </c:pt>
                <c:pt idx="98">
                  <c:v>42807</c:v>
                </c:pt>
                <c:pt idx="99">
                  <c:v>42814</c:v>
                </c:pt>
                <c:pt idx="100">
                  <c:v>42821</c:v>
                </c:pt>
                <c:pt idx="101">
                  <c:v>42828</c:v>
                </c:pt>
                <c:pt idx="102">
                  <c:v>42835</c:v>
                </c:pt>
                <c:pt idx="103">
                  <c:v>42842</c:v>
                </c:pt>
                <c:pt idx="104">
                  <c:v>42849</c:v>
                </c:pt>
                <c:pt idx="105">
                  <c:v>42856</c:v>
                </c:pt>
                <c:pt idx="106">
                  <c:v>42863</c:v>
                </c:pt>
                <c:pt idx="107">
                  <c:v>42870</c:v>
                </c:pt>
                <c:pt idx="108">
                  <c:v>42877</c:v>
                </c:pt>
                <c:pt idx="109">
                  <c:v>42885</c:v>
                </c:pt>
                <c:pt idx="110">
                  <c:v>42891</c:v>
                </c:pt>
                <c:pt idx="111">
                  <c:v>42898</c:v>
                </c:pt>
                <c:pt idx="112">
                  <c:v>42905</c:v>
                </c:pt>
                <c:pt idx="113">
                  <c:v>42912</c:v>
                </c:pt>
                <c:pt idx="114">
                  <c:v>42919</c:v>
                </c:pt>
                <c:pt idx="115">
                  <c:v>42926</c:v>
                </c:pt>
                <c:pt idx="116">
                  <c:v>42933</c:v>
                </c:pt>
                <c:pt idx="117">
                  <c:v>42940</c:v>
                </c:pt>
                <c:pt idx="118">
                  <c:v>42947</c:v>
                </c:pt>
                <c:pt idx="119">
                  <c:v>42954</c:v>
                </c:pt>
                <c:pt idx="120">
                  <c:v>42961</c:v>
                </c:pt>
                <c:pt idx="121">
                  <c:v>42968</c:v>
                </c:pt>
                <c:pt idx="122">
                  <c:v>42975</c:v>
                </c:pt>
                <c:pt idx="123">
                  <c:v>42983</c:v>
                </c:pt>
                <c:pt idx="124">
                  <c:v>42989</c:v>
                </c:pt>
                <c:pt idx="125">
                  <c:v>42996</c:v>
                </c:pt>
                <c:pt idx="126">
                  <c:v>43003</c:v>
                </c:pt>
                <c:pt idx="127">
                  <c:v>43010</c:v>
                </c:pt>
                <c:pt idx="128">
                  <c:v>43017</c:v>
                </c:pt>
                <c:pt idx="129">
                  <c:v>43024</c:v>
                </c:pt>
                <c:pt idx="130">
                  <c:v>43031</c:v>
                </c:pt>
                <c:pt idx="131">
                  <c:v>43038</c:v>
                </c:pt>
                <c:pt idx="132">
                  <c:v>43045</c:v>
                </c:pt>
                <c:pt idx="133">
                  <c:v>43052</c:v>
                </c:pt>
                <c:pt idx="134">
                  <c:v>43059</c:v>
                </c:pt>
                <c:pt idx="135">
                  <c:v>43066</c:v>
                </c:pt>
                <c:pt idx="136">
                  <c:v>43073</c:v>
                </c:pt>
                <c:pt idx="137">
                  <c:v>43080</c:v>
                </c:pt>
                <c:pt idx="138">
                  <c:v>43087</c:v>
                </c:pt>
                <c:pt idx="139">
                  <c:v>43095</c:v>
                </c:pt>
                <c:pt idx="140">
                  <c:v>43102</c:v>
                </c:pt>
                <c:pt idx="141">
                  <c:v>43108</c:v>
                </c:pt>
                <c:pt idx="142">
                  <c:v>43116</c:v>
                </c:pt>
                <c:pt idx="143">
                  <c:v>43122</c:v>
                </c:pt>
                <c:pt idx="144">
                  <c:v>43129</c:v>
                </c:pt>
                <c:pt idx="145">
                  <c:v>43136</c:v>
                </c:pt>
                <c:pt idx="146">
                  <c:v>43143</c:v>
                </c:pt>
                <c:pt idx="147">
                  <c:v>43151</c:v>
                </c:pt>
                <c:pt idx="148">
                  <c:v>43157</c:v>
                </c:pt>
                <c:pt idx="149">
                  <c:v>43164</c:v>
                </c:pt>
                <c:pt idx="150">
                  <c:v>43171</c:v>
                </c:pt>
                <c:pt idx="151">
                  <c:v>43178</c:v>
                </c:pt>
                <c:pt idx="152">
                  <c:v>43185</c:v>
                </c:pt>
                <c:pt idx="153">
                  <c:v>43192</c:v>
                </c:pt>
                <c:pt idx="154">
                  <c:v>43199</c:v>
                </c:pt>
                <c:pt idx="155">
                  <c:v>43206</c:v>
                </c:pt>
                <c:pt idx="156">
                  <c:v>43213</c:v>
                </c:pt>
                <c:pt idx="157">
                  <c:v>43220</c:v>
                </c:pt>
                <c:pt idx="158">
                  <c:v>43227</c:v>
                </c:pt>
                <c:pt idx="159">
                  <c:v>43234</c:v>
                </c:pt>
                <c:pt idx="160">
                  <c:v>43241</c:v>
                </c:pt>
                <c:pt idx="161">
                  <c:v>43249</c:v>
                </c:pt>
                <c:pt idx="162">
                  <c:v>43255</c:v>
                </c:pt>
                <c:pt idx="163">
                  <c:v>43262</c:v>
                </c:pt>
                <c:pt idx="164">
                  <c:v>43269</c:v>
                </c:pt>
                <c:pt idx="165">
                  <c:v>43276</c:v>
                </c:pt>
                <c:pt idx="166">
                  <c:v>43283</c:v>
                </c:pt>
                <c:pt idx="167">
                  <c:v>43290</c:v>
                </c:pt>
                <c:pt idx="168">
                  <c:v>43297</c:v>
                </c:pt>
                <c:pt idx="169">
                  <c:v>43304</c:v>
                </c:pt>
                <c:pt idx="170">
                  <c:v>43311</c:v>
                </c:pt>
                <c:pt idx="171">
                  <c:v>43318</c:v>
                </c:pt>
                <c:pt idx="172">
                  <c:v>43325</c:v>
                </c:pt>
                <c:pt idx="173">
                  <c:v>43332</c:v>
                </c:pt>
                <c:pt idx="174">
                  <c:v>43339</c:v>
                </c:pt>
                <c:pt idx="175">
                  <c:v>43347</c:v>
                </c:pt>
                <c:pt idx="176">
                  <c:v>43353</c:v>
                </c:pt>
                <c:pt idx="177">
                  <c:v>43360</c:v>
                </c:pt>
                <c:pt idx="178">
                  <c:v>43367</c:v>
                </c:pt>
                <c:pt idx="179">
                  <c:v>43374</c:v>
                </c:pt>
                <c:pt idx="180">
                  <c:v>43381</c:v>
                </c:pt>
                <c:pt idx="181">
                  <c:v>43388</c:v>
                </c:pt>
                <c:pt idx="182">
                  <c:v>43395</c:v>
                </c:pt>
                <c:pt idx="183">
                  <c:v>43402</c:v>
                </c:pt>
                <c:pt idx="184">
                  <c:v>43409</c:v>
                </c:pt>
                <c:pt idx="185">
                  <c:v>43416</c:v>
                </c:pt>
                <c:pt idx="186">
                  <c:v>43423</c:v>
                </c:pt>
                <c:pt idx="187">
                  <c:v>43430</c:v>
                </c:pt>
                <c:pt idx="188">
                  <c:v>43437</c:v>
                </c:pt>
                <c:pt idx="189">
                  <c:v>43444</c:v>
                </c:pt>
                <c:pt idx="190">
                  <c:v>43451</c:v>
                </c:pt>
                <c:pt idx="191">
                  <c:v>43458</c:v>
                </c:pt>
                <c:pt idx="192">
                  <c:v>43465</c:v>
                </c:pt>
                <c:pt idx="193">
                  <c:v>43472</c:v>
                </c:pt>
                <c:pt idx="194">
                  <c:v>43479</c:v>
                </c:pt>
                <c:pt idx="195">
                  <c:v>43487</c:v>
                </c:pt>
                <c:pt idx="196">
                  <c:v>43493</c:v>
                </c:pt>
                <c:pt idx="197">
                  <c:v>43500</c:v>
                </c:pt>
                <c:pt idx="198">
                  <c:v>43507</c:v>
                </c:pt>
                <c:pt idx="199">
                  <c:v>43515</c:v>
                </c:pt>
                <c:pt idx="200">
                  <c:v>43521</c:v>
                </c:pt>
                <c:pt idx="201">
                  <c:v>43528</c:v>
                </c:pt>
                <c:pt idx="202">
                  <c:v>43535</c:v>
                </c:pt>
                <c:pt idx="203">
                  <c:v>43542</c:v>
                </c:pt>
                <c:pt idx="204">
                  <c:v>43549</c:v>
                </c:pt>
                <c:pt idx="205">
                  <c:v>43556</c:v>
                </c:pt>
                <c:pt idx="206">
                  <c:v>43563</c:v>
                </c:pt>
                <c:pt idx="207">
                  <c:v>43570</c:v>
                </c:pt>
                <c:pt idx="208">
                  <c:v>43577</c:v>
                </c:pt>
                <c:pt idx="209">
                  <c:v>43584</c:v>
                </c:pt>
                <c:pt idx="210">
                  <c:v>43591</c:v>
                </c:pt>
                <c:pt idx="211">
                  <c:v>43598</c:v>
                </c:pt>
                <c:pt idx="212">
                  <c:v>43605</c:v>
                </c:pt>
                <c:pt idx="213">
                  <c:v>43613</c:v>
                </c:pt>
                <c:pt idx="214">
                  <c:v>43619</c:v>
                </c:pt>
                <c:pt idx="215">
                  <c:v>43626</c:v>
                </c:pt>
                <c:pt idx="216">
                  <c:v>43633</c:v>
                </c:pt>
                <c:pt idx="217">
                  <c:v>43640</c:v>
                </c:pt>
                <c:pt idx="218">
                  <c:v>43647</c:v>
                </c:pt>
                <c:pt idx="219">
                  <c:v>43654</c:v>
                </c:pt>
                <c:pt idx="220">
                  <c:v>43661</c:v>
                </c:pt>
                <c:pt idx="221">
                  <c:v>43668</c:v>
                </c:pt>
                <c:pt idx="222">
                  <c:v>43675</c:v>
                </c:pt>
                <c:pt idx="223">
                  <c:v>43682</c:v>
                </c:pt>
                <c:pt idx="224">
                  <c:v>43689</c:v>
                </c:pt>
                <c:pt idx="225">
                  <c:v>43696</c:v>
                </c:pt>
                <c:pt idx="226">
                  <c:v>43703</c:v>
                </c:pt>
                <c:pt idx="227">
                  <c:v>43711</c:v>
                </c:pt>
                <c:pt idx="228">
                  <c:v>43717</c:v>
                </c:pt>
                <c:pt idx="229">
                  <c:v>43724</c:v>
                </c:pt>
                <c:pt idx="230">
                  <c:v>43731</c:v>
                </c:pt>
                <c:pt idx="231">
                  <c:v>43738</c:v>
                </c:pt>
                <c:pt idx="232">
                  <c:v>43745</c:v>
                </c:pt>
                <c:pt idx="233">
                  <c:v>43752</c:v>
                </c:pt>
                <c:pt idx="234">
                  <c:v>43759</c:v>
                </c:pt>
                <c:pt idx="235">
                  <c:v>43766</c:v>
                </c:pt>
                <c:pt idx="236">
                  <c:v>43773</c:v>
                </c:pt>
                <c:pt idx="237">
                  <c:v>43780</c:v>
                </c:pt>
                <c:pt idx="238">
                  <c:v>43787</c:v>
                </c:pt>
                <c:pt idx="239">
                  <c:v>43794</c:v>
                </c:pt>
                <c:pt idx="240">
                  <c:v>43801</c:v>
                </c:pt>
                <c:pt idx="241">
                  <c:v>43808</c:v>
                </c:pt>
                <c:pt idx="242">
                  <c:v>43815</c:v>
                </c:pt>
                <c:pt idx="243">
                  <c:v>43822</c:v>
                </c:pt>
                <c:pt idx="244">
                  <c:v>43829</c:v>
                </c:pt>
                <c:pt idx="245">
                  <c:v>43836</c:v>
                </c:pt>
                <c:pt idx="246">
                  <c:v>43843</c:v>
                </c:pt>
                <c:pt idx="247">
                  <c:v>43851</c:v>
                </c:pt>
                <c:pt idx="248">
                  <c:v>43857</c:v>
                </c:pt>
                <c:pt idx="249">
                  <c:v>43864</c:v>
                </c:pt>
                <c:pt idx="250">
                  <c:v>43871</c:v>
                </c:pt>
                <c:pt idx="251">
                  <c:v>43879</c:v>
                </c:pt>
                <c:pt idx="252">
                  <c:v>43885</c:v>
                </c:pt>
                <c:pt idx="253">
                  <c:v>43892</c:v>
                </c:pt>
                <c:pt idx="254">
                  <c:v>43899</c:v>
                </c:pt>
                <c:pt idx="255">
                  <c:v>43906</c:v>
                </c:pt>
                <c:pt idx="256">
                  <c:v>43913</c:v>
                </c:pt>
                <c:pt idx="257">
                  <c:v>43920</c:v>
                </c:pt>
                <c:pt idx="258">
                  <c:v>43927</c:v>
                </c:pt>
                <c:pt idx="259">
                  <c:v>43934</c:v>
                </c:pt>
                <c:pt idx="260">
                  <c:v>43941</c:v>
                </c:pt>
                <c:pt idx="261">
                  <c:v>43948</c:v>
                </c:pt>
                <c:pt idx="262">
                  <c:v>43955</c:v>
                </c:pt>
                <c:pt idx="263">
                  <c:v>43962</c:v>
                </c:pt>
                <c:pt idx="264">
                  <c:v>43969</c:v>
                </c:pt>
                <c:pt idx="265">
                  <c:v>43977</c:v>
                </c:pt>
                <c:pt idx="266">
                  <c:v>43983</c:v>
                </c:pt>
                <c:pt idx="267">
                  <c:v>43990</c:v>
                </c:pt>
                <c:pt idx="268">
                  <c:v>43997</c:v>
                </c:pt>
                <c:pt idx="269">
                  <c:v>44004</c:v>
                </c:pt>
                <c:pt idx="270">
                  <c:v>44011</c:v>
                </c:pt>
                <c:pt idx="271">
                  <c:v>44018</c:v>
                </c:pt>
                <c:pt idx="272">
                  <c:v>44025</c:v>
                </c:pt>
                <c:pt idx="273">
                  <c:v>44032</c:v>
                </c:pt>
                <c:pt idx="274">
                  <c:v>44039</c:v>
                </c:pt>
                <c:pt idx="275">
                  <c:v>44046</c:v>
                </c:pt>
                <c:pt idx="276">
                  <c:v>44053</c:v>
                </c:pt>
                <c:pt idx="277">
                  <c:v>44060</c:v>
                </c:pt>
                <c:pt idx="278">
                  <c:v>44067</c:v>
                </c:pt>
                <c:pt idx="279">
                  <c:v>44074</c:v>
                </c:pt>
                <c:pt idx="280">
                  <c:v>44082</c:v>
                </c:pt>
                <c:pt idx="281">
                  <c:v>44088</c:v>
                </c:pt>
                <c:pt idx="282">
                  <c:v>44095</c:v>
                </c:pt>
                <c:pt idx="283">
                  <c:v>44102</c:v>
                </c:pt>
                <c:pt idx="284">
                  <c:v>44109</c:v>
                </c:pt>
                <c:pt idx="285">
                  <c:v>44116</c:v>
                </c:pt>
                <c:pt idx="286">
                  <c:v>44123</c:v>
                </c:pt>
                <c:pt idx="287">
                  <c:v>44130</c:v>
                </c:pt>
                <c:pt idx="288">
                  <c:v>44137</c:v>
                </c:pt>
                <c:pt idx="289">
                  <c:v>44144</c:v>
                </c:pt>
                <c:pt idx="290">
                  <c:v>44151</c:v>
                </c:pt>
                <c:pt idx="291">
                  <c:v>44158</c:v>
                </c:pt>
                <c:pt idx="292">
                  <c:v>44165</c:v>
                </c:pt>
                <c:pt idx="293">
                  <c:v>44172</c:v>
                </c:pt>
                <c:pt idx="294">
                  <c:v>44179</c:v>
                </c:pt>
                <c:pt idx="295">
                  <c:v>44186</c:v>
                </c:pt>
                <c:pt idx="296">
                  <c:v>44193</c:v>
                </c:pt>
                <c:pt idx="297">
                  <c:v>44200</c:v>
                </c:pt>
                <c:pt idx="298">
                  <c:v>44207</c:v>
                </c:pt>
                <c:pt idx="299">
                  <c:v>44215</c:v>
                </c:pt>
                <c:pt idx="300">
                  <c:v>44221</c:v>
                </c:pt>
                <c:pt idx="301">
                  <c:v>44228</c:v>
                </c:pt>
                <c:pt idx="302">
                  <c:v>44235</c:v>
                </c:pt>
                <c:pt idx="303">
                  <c:v>44243</c:v>
                </c:pt>
                <c:pt idx="304">
                  <c:v>44249</c:v>
                </c:pt>
                <c:pt idx="305">
                  <c:v>44256</c:v>
                </c:pt>
                <c:pt idx="306">
                  <c:v>44263</c:v>
                </c:pt>
                <c:pt idx="307">
                  <c:v>44270</c:v>
                </c:pt>
                <c:pt idx="308">
                  <c:v>44277</c:v>
                </c:pt>
                <c:pt idx="309">
                  <c:v>44284</c:v>
                </c:pt>
                <c:pt idx="310">
                  <c:v>44291</c:v>
                </c:pt>
                <c:pt idx="311">
                  <c:v>44298</c:v>
                </c:pt>
                <c:pt idx="312">
                  <c:v>44305</c:v>
                </c:pt>
                <c:pt idx="313">
                  <c:v>44312</c:v>
                </c:pt>
                <c:pt idx="314">
                  <c:v>44319</c:v>
                </c:pt>
                <c:pt idx="315">
                  <c:v>44326</c:v>
                </c:pt>
                <c:pt idx="316">
                  <c:v>44333</c:v>
                </c:pt>
                <c:pt idx="317">
                  <c:v>44340</c:v>
                </c:pt>
                <c:pt idx="318">
                  <c:v>44348</c:v>
                </c:pt>
                <c:pt idx="319">
                  <c:v>44354</c:v>
                </c:pt>
                <c:pt idx="320">
                  <c:v>44361</c:v>
                </c:pt>
                <c:pt idx="321">
                  <c:v>44368</c:v>
                </c:pt>
                <c:pt idx="322">
                  <c:v>44375</c:v>
                </c:pt>
                <c:pt idx="323">
                  <c:v>44383</c:v>
                </c:pt>
                <c:pt idx="324">
                  <c:v>44389</c:v>
                </c:pt>
                <c:pt idx="325">
                  <c:v>44396</c:v>
                </c:pt>
                <c:pt idx="326">
                  <c:v>44403</c:v>
                </c:pt>
                <c:pt idx="327">
                  <c:v>44410</c:v>
                </c:pt>
                <c:pt idx="328">
                  <c:v>44417</c:v>
                </c:pt>
                <c:pt idx="329">
                  <c:v>44424</c:v>
                </c:pt>
                <c:pt idx="330">
                  <c:v>44431</c:v>
                </c:pt>
                <c:pt idx="331">
                  <c:v>44438</c:v>
                </c:pt>
                <c:pt idx="332">
                  <c:v>44446</c:v>
                </c:pt>
                <c:pt idx="333">
                  <c:v>44452</c:v>
                </c:pt>
                <c:pt idx="334">
                  <c:v>44459</c:v>
                </c:pt>
                <c:pt idx="335">
                  <c:v>44466</c:v>
                </c:pt>
                <c:pt idx="336">
                  <c:v>44473</c:v>
                </c:pt>
                <c:pt idx="337">
                  <c:v>44480</c:v>
                </c:pt>
                <c:pt idx="338">
                  <c:v>44487</c:v>
                </c:pt>
                <c:pt idx="339">
                  <c:v>44494</c:v>
                </c:pt>
                <c:pt idx="340">
                  <c:v>44501</c:v>
                </c:pt>
                <c:pt idx="341">
                  <c:v>44508</c:v>
                </c:pt>
                <c:pt idx="342">
                  <c:v>44515</c:v>
                </c:pt>
                <c:pt idx="343">
                  <c:v>44522</c:v>
                </c:pt>
                <c:pt idx="344">
                  <c:v>44529</c:v>
                </c:pt>
                <c:pt idx="345">
                  <c:v>44536</c:v>
                </c:pt>
                <c:pt idx="346">
                  <c:v>44543</c:v>
                </c:pt>
                <c:pt idx="347">
                  <c:v>44550</c:v>
                </c:pt>
                <c:pt idx="348">
                  <c:v>44557</c:v>
                </c:pt>
                <c:pt idx="349">
                  <c:v>44564</c:v>
                </c:pt>
                <c:pt idx="350">
                  <c:v>44571</c:v>
                </c:pt>
                <c:pt idx="351">
                  <c:v>44579</c:v>
                </c:pt>
                <c:pt idx="352">
                  <c:v>44585</c:v>
                </c:pt>
                <c:pt idx="353">
                  <c:v>44592</c:v>
                </c:pt>
                <c:pt idx="354">
                  <c:v>44599</c:v>
                </c:pt>
                <c:pt idx="355">
                  <c:v>44606</c:v>
                </c:pt>
                <c:pt idx="356">
                  <c:v>44614</c:v>
                </c:pt>
                <c:pt idx="357">
                  <c:v>44620</c:v>
                </c:pt>
                <c:pt idx="358">
                  <c:v>44627</c:v>
                </c:pt>
                <c:pt idx="359">
                  <c:v>44634</c:v>
                </c:pt>
                <c:pt idx="360">
                  <c:v>44641</c:v>
                </c:pt>
                <c:pt idx="361">
                  <c:v>44648</c:v>
                </c:pt>
                <c:pt idx="362">
                  <c:v>44655</c:v>
                </c:pt>
                <c:pt idx="363">
                  <c:v>44662</c:v>
                </c:pt>
                <c:pt idx="364">
                  <c:v>44669</c:v>
                </c:pt>
                <c:pt idx="365">
                  <c:v>44676</c:v>
                </c:pt>
                <c:pt idx="366">
                  <c:v>44683</c:v>
                </c:pt>
                <c:pt idx="367">
                  <c:v>44690</c:v>
                </c:pt>
                <c:pt idx="368">
                  <c:v>44697</c:v>
                </c:pt>
                <c:pt idx="369">
                  <c:v>44704</c:v>
                </c:pt>
                <c:pt idx="370">
                  <c:v>44712</c:v>
                </c:pt>
                <c:pt idx="371">
                  <c:v>44718</c:v>
                </c:pt>
                <c:pt idx="372">
                  <c:v>44725</c:v>
                </c:pt>
                <c:pt idx="373">
                  <c:v>44733</c:v>
                </c:pt>
                <c:pt idx="374">
                  <c:v>44739</c:v>
                </c:pt>
                <c:pt idx="375">
                  <c:v>44747</c:v>
                </c:pt>
                <c:pt idx="376">
                  <c:v>44753</c:v>
                </c:pt>
                <c:pt idx="377">
                  <c:v>44760</c:v>
                </c:pt>
                <c:pt idx="378">
                  <c:v>44767</c:v>
                </c:pt>
                <c:pt idx="379">
                  <c:v>44774</c:v>
                </c:pt>
                <c:pt idx="380">
                  <c:v>44781</c:v>
                </c:pt>
                <c:pt idx="381">
                  <c:v>44788</c:v>
                </c:pt>
                <c:pt idx="382">
                  <c:v>44795</c:v>
                </c:pt>
                <c:pt idx="383">
                  <c:v>44802</c:v>
                </c:pt>
                <c:pt idx="384">
                  <c:v>44810</c:v>
                </c:pt>
                <c:pt idx="385">
                  <c:v>44816</c:v>
                </c:pt>
                <c:pt idx="386">
                  <c:v>44823</c:v>
                </c:pt>
                <c:pt idx="387">
                  <c:v>44830</c:v>
                </c:pt>
                <c:pt idx="388">
                  <c:v>44837</c:v>
                </c:pt>
                <c:pt idx="389">
                  <c:v>44844</c:v>
                </c:pt>
                <c:pt idx="390">
                  <c:v>44851</c:v>
                </c:pt>
                <c:pt idx="391">
                  <c:v>44858</c:v>
                </c:pt>
                <c:pt idx="392">
                  <c:v>44865</c:v>
                </c:pt>
                <c:pt idx="393">
                  <c:v>44872</c:v>
                </c:pt>
                <c:pt idx="394">
                  <c:v>44879</c:v>
                </c:pt>
                <c:pt idx="395">
                  <c:v>44886</c:v>
                </c:pt>
                <c:pt idx="396">
                  <c:v>44893</c:v>
                </c:pt>
                <c:pt idx="397">
                  <c:v>44900</c:v>
                </c:pt>
                <c:pt idx="398">
                  <c:v>44907</c:v>
                </c:pt>
                <c:pt idx="399">
                  <c:v>44914</c:v>
                </c:pt>
                <c:pt idx="400">
                  <c:v>44922</c:v>
                </c:pt>
                <c:pt idx="401">
                  <c:v>44929</c:v>
                </c:pt>
                <c:pt idx="402">
                  <c:v>44935</c:v>
                </c:pt>
                <c:pt idx="403">
                  <c:v>44943</c:v>
                </c:pt>
                <c:pt idx="404">
                  <c:v>44949</c:v>
                </c:pt>
                <c:pt idx="405">
                  <c:v>44956</c:v>
                </c:pt>
                <c:pt idx="406">
                  <c:v>44963</c:v>
                </c:pt>
                <c:pt idx="407">
                  <c:v>44970</c:v>
                </c:pt>
                <c:pt idx="408">
                  <c:v>44978</c:v>
                </c:pt>
                <c:pt idx="409">
                  <c:v>44984</c:v>
                </c:pt>
                <c:pt idx="410">
                  <c:v>44991</c:v>
                </c:pt>
                <c:pt idx="411">
                  <c:v>44998</c:v>
                </c:pt>
                <c:pt idx="412">
                  <c:v>45005</c:v>
                </c:pt>
                <c:pt idx="413">
                  <c:v>45012</c:v>
                </c:pt>
                <c:pt idx="414">
                  <c:v>45019</c:v>
                </c:pt>
                <c:pt idx="415">
                  <c:v>45026</c:v>
                </c:pt>
                <c:pt idx="416">
                  <c:v>45033</c:v>
                </c:pt>
                <c:pt idx="417">
                  <c:v>45040</c:v>
                </c:pt>
                <c:pt idx="418">
                  <c:v>45047</c:v>
                </c:pt>
                <c:pt idx="419">
                  <c:v>45054</c:v>
                </c:pt>
                <c:pt idx="420">
                  <c:v>45061</c:v>
                </c:pt>
                <c:pt idx="421">
                  <c:v>45068</c:v>
                </c:pt>
                <c:pt idx="422">
                  <c:v>45076</c:v>
                </c:pt>
                <c:pt idx="423">
                  <c:v>45082</c:v>
                </c:pt>
                <c:pt idx="424">
                  <c:v>45089</c:v>
                </c:pt>
                <c:pt idx="425">
                  <c:v>45097</c:v>
                </c:pt>
                <c:pt idx="426">
                  <c:v>45103</c:v>
                </c:pt>
                <c:pt idx="427">
                  <c:v>45110</c:v>
                </c:pt>
                <c:pt idx="428">
                  <c:v>45117</c:v>
                </c:pt>
                <c:pt idx="429">
                  <c:v>45124</c:v>
                </c:pt>
                <c:pt idx="430">
                  <c:v>45131</c:v>
                </c:pt>
                <c:pt idx="431">
                  <c:v>45138</c:v>
                </c:pt>
                <c:pt idx="432">
                  <c:v>45145</c:v>
                </c:pt>
                <c:pt idx="433">
                  <c:v>45152</c:v>
                </c:pt>
                <c:pt idx="434">
                  <c:v>45159</c:v>
                </c:pt>
                <c:pt idx="435">
                  <c:v>45166</c:v>
                </c:pt>
                <c:pt idx="436">
                  <c:v>45174</c:v>
                </c:pt>
                <c:pt idx="437">
                  <c:v>45180</c:v>
                </c:pt>
                <c:pt idx="438">
                  <c:v>45187</c:v>
                </c:pt>
                <c:pt idx="439">
                  <c:v>45194</c:v>
                </c:pt>
                <c:pt idx="440">
                  <c:v>45201</c:v>
                </c:pt>
                <c:pt idx="441">
                  <c:v>45208</c:v>
                </c:pt>
                <c:pt idx="442">
                  <c:v>45215</c:v>
                </c:pt>
                <c:pt idx="443">
                  <c:v>45222</c:v>
                </c:pt>
                <c:pt idx="444">
                  <c:v>45229</c:v>
                </c:pt>
                <c:pt idx="445">
                  <c:v>45236</c:v>
                </c:pt>
                <c:pt idx="446">
                  <c:v>45243</c:v>
                </c:pt>
                <c:pt idx="447">
                  <c:v>45250</c:v>
                </c:pt>
                <c:pt idx="448">
                  <c:v>45257</c:v>
                </c:pt>
                <c:pt idx="449">
                  <c:v>45264</c:v>
                </c:pt>
                <c:pt idx="450">
                  <c:v>45271</c:v>
                </c:pt>
                <c:pt idx="451">
                  <c:v>45278</c:v>
                </c:pt>
                <c:pt idx="452">
                  <c:v>45286</c:v>
                </c:pt>
                <c:pt idx="453">
                  <c:v>45293</c:v>
                </c:pt>
                <c:pt idx="454">
                  <c:v>45299</c:v>
                </c:pt>
                <c:pt idx="455">
                  <c:v>45307</c:v>
                </c:pt>
                <c:pt idx="456">
                  <c:v>45313</c:v>
                </c:pt>
                <c:pt idx="457">
                  <c:v>45320</c:v>
                </c:pt>
                <c:pt idx="458">
                  <c:v>45327</c:v>
                </c:pt>
                <c:pt idx="459">
                  <c:v>45334</c:v>
                </c:pt>
                <c:pt idx="460">
                  <c:v>45342</c:v>
                </c:pt>
                <c:pt idx="461">
                  <c:v>45348</c:v>
                </c:pt>
                <c:pt idx="462">
                  <c:v>45355</c:v>
                </c:pt>
                <c:pt idx="463">
                  <c:v>45362</c:v>
                </c:pt>
                <c:pt idx="464">
                  <c:v>45369</c:v>
                </c:pt>
                <c:pt idx="465">
                  <c:v>45376</c:v>
                </c:pt>
                <c:pt idx="466">
                  <c:v>45383</c:v>
                </c:pt>
                <c:pt idx="467">
                  <c:v>45390</c:v>
                </c:pt>
                <c:pt idx="468">
                  <c:v>45397</c:v>
                </c:pt>
                <c:pt idx="469">
                  <c:v>45404</c:v>
                </c:pt>
                <c:pt idx="470">
                  <c:v>45411</c:v>
                </c:pt>
                <c:pt idx="471">
                  <c:v>45418</c:v>
                </c:pt>
                <c:pt idx="472">
                  <c:v>45425</c:v>
                </c:pt>
                <c:pt idx="473">
                  <c:v>45432</c:v>
                </c:pt>
                <c:pt idx="474">
                  <c:v>45440</c:v>
                </c:pt>
                <c:pt idx="475">
                  <c:v>45446</c:v>
                </c:pt>
                <c:pt idx="476">
                  <c:v>45453</c:v>
                </c:pt>
                <c:pt idx="477">
                  <c:v>45460</c:v>
                </c:pt>
                <c:pt idx="478">
                  <c:v>45467</c:v>
                </c:pt>
                <c:pt idx="479">
                  <c:v>45474</c:v>
                </c:pt>
                <c:pt idx="480">
                  <c:v>45481</c:v>
                </c:pt>
                <c:pt idx="481">
                  <c:v>45488</c:v>
                </c:pt>
                <c:pt idx="482">
                  <c:v>45495</c:v>
                </c:pt>
                <c:pt idx="483">
                  <c:v>45502</c:v>
                </c:pt>
                <c:pt idx="484">
                  <c:v>45509</c:v>
                </c:pt>
                <c:pt idx="485">
                  <c:v>45516</c:v>
                </c:pt>
                <c:pt idx="486">
                  <c:v>45523</c:v>
                </c:pt>
                <c:pt idx="487">
                  <c:v>45530</c:v>
                </c:pt>
                <c:pt idx="488">
                  <c:v>45538</c:v>
                </c:pt>
                <c:pt idx="489">
                  <c:v>45544</c:v>
                </c:pt>
                <c:pt idx="490">
                  <c:v>45551</c:v>
                </c:pt>
                <c:pt idx="491">
                  <c:v>45558</c:v>
                </c:pt>
                <c:pt idx="492">
                  <c:v>45565</c:v>
                </c:pt>
                <c:pt idx="493">
                  <c:v>45572</c:v>
                </c:pt>
                <c:pt idx="494">
                  <c:v>45579</c:v>
                </c:pt>
                <c:pt idx="495">
                  <c:v>45586</c:v>
                </c:pt>
                <c:pt idx="496">
                  <c:v>45593</c:v>
                </c:pt>
                <c:pt idx="497">
                  <c:v>45600</c:v>
                </c:pt>
                <c:pt idx="498">
                  <c:v>45607</c:v>
                </c:pt>
                <c:pt idx="499">
                  <c:v>45614</c:v>
                </c:pt>
                <c:pt idx="500">
                  <c:v>45621</c:v>
                </c:pt>
                <c:pt idx="501">
                  <c:v>45628</c:v>
                </c:pt>
                <c:pt idx="502">
                  <c:v>45635</c:v>
                </c:pt>
                <c:pt idx="503">
                  <c:v>45642</c:v>
                </c:pt>
                <c:pt idx="504">
                  <c:v>45649</c:v>
                </c:pt>
                <c:pt idx="505">
                  <c:v>45656</c:v>
                </c:pt>
                <c:pt idx="506">
                  <c:v>45663</c:v>
                </c:pt>
                <c:pt idx="507">
                  <c:v>45670</c:v>
                </c:pt>
                <c:pt idx="508">
                  <c:v>45678</c:v>
                </c:pt>
                <c:pt idx="509">
                  <c:v>45684</c:v>
                </c:pt>
                <c:pt idx="510">
                  <c:v>45691</c:v>
                </c:pt>
                <c:pt idx="511">
                  <c:v>45698</c:v>
                </c:pt>
                <c:pt idx="512">
                  <c:v>45706</c:v>
                </c:pt>
                <c:pt idx="513">
                  <c:v>45712</c:v>
                </c:pt>
                <c:pt idx="514">
                  <c:v>45719</c:v>
                </c:pt>
                <c:pt idx="515">
                  <c:v>45726</c:v>
                </c:pt>
                <c:pt idx="516">
                  <c:v>45733</c:v>
                </c:pt>
                <c:pt idx="517">
                  <c:v>45740</c:v>
                </c:pt>
                <c:pt idx="518">
                  <c:v>45747</c:v>
                </c:pt>
                <c:pt idx="519">
                  <c:v>45754</c:v>
                </c:pt>
                <c:pt idx="520">
                  <c:v>45761</c:v>
                </c:pt>
                <c:pt idx="521">
                  <c:v>45768</c:v>
                </c:pt>
                <c:pt idx="522">
                  <c:v>45775</c:v>
                </c:pt>
              </c:numCache>
            </c:numRef>
          </c:cat>
          <c:val>
            <c:numRef>
              <c:f>AMZN!$E$7:$E$529</c:f>
              <c:numCache>
                <c:formatCode>_([$$-409]* #,##0.00_);_([$$-409]* \(#,##0.00\);_([$$-409]* "-"??_);_(@_)</c:formatCode>
                <c:ptCount val="523"/>
                <c:pt idx="0">
                  <c:v>21.1435</c:v>
                </c:pt>
                <c:pt idx="1">
                  <c:v>21.6845</c:v>
                </c:pt>
                <c:pt idx="2">
                  <c:v>21.3</c:v>
                </c:pt>
                <c:pt idx="3">
                  <c:v>21.381499999999999</c:v>
                </c:pt>
                <c:pt idx="4">
                  <c:v>21.461500000000001</c:v>
                </c:pt>
                <c:pt idx="5">
                  <c:v>21.3475</c:v>
                </c:pt>
                <c:pt idx="6">
                  <c:v>21.495999999999999</c:v>
                </c:pt>
                <c:pt idx="7">
                  <c:v>21.745999999999999</c:v>
                </c:pt>
                <c:pt idx="8">
                  <c:v>21.905000000000001</c:v>
                </c:pt>
                <c:pt idx="9">
                  <c:v>21.8855</c:v>
                </c:pt>
                <c:pt idx="10">
                  <c:v>22.1755</c:v>
                </c:pt>
                <c:pt idx="11">
                  <c:v>24.150500000000001</c:v>
                </c:pt>
                <c:pt idx="12">
                  <c:v>26.471</c:v>
                </c:pt>
                <c:pt idx="13">
                  <c:v>26.807500000000001</c:v>
                </c:pt>
                <c:pt idx="14">
                  <c:v>26.131</c:v>
                </c:pt>
                <c:pt idx="15">
                  <c:v>26.576000000000001</c:v>
                </c:pt>
                <c:pt idx="16">
                  <c:v>24.723500000000001</c:v>
                </c:pt>
                <c:pt idx="17">
                  <c:v>25.900500000000001</c:v>
                </c:pt>
                <c:pt idx="18">
                  <c:v>24.95</c:v>
                </c:pt>
                <c:pt idx="19">
                  <c:v>26.472000000000001</c:v>
                </c:pt>
                <c:pt idx="20">
                  <c:v>27.013000000000002</c:v>
                </c:pt>
                <c:pt idx="21">
                  <c:v>26.212499999999999</c:v>
                </c:pt>
                <c:pt idx="22">
                  <c:v>26.626999999999999</c:v>
                </c:pt>
                <c:pt idx="23">
                  <c:v>26.99</c:v>
                </c:pt>
                <c:pt idx="24">
                  <c:v>28.538</c:v>
                </c:pt>
                <c:pt idx="25">
                  <c:v>29.951499999999999</c:v>
                </c:pt>
                <c:pt idx="26">
                  <c:v>31.295000000000002</c:v>
                </c:pt>
                <c:pt idx="27">
                  <c:v>32.968499999999999</c:v>
                </c:pt>
                <c:pt idx="28">
                  <c:v>32.1175</c:v>
                </c:pt>
                <c:pt idx="29">
                  <c:v>33.422499999999999</c:v>
                </c:pt>
                <c:pt idx="30">
                  <c:v>33.662999999999997</c:v>
                </c:pt>
                <c:pt idx="31">
                  <c:v>33.631999999999998</c:v>
                </c:pt>
                <c:pt idx="32">
                  <c:v>32.0075</c:v>
                </c:pt>
                <c:pt idx="33">
                  <c:v>33.207000000000001</c:v>
                </c:pt>
                <c:pt idx="34">
                  <c:v>33.139499999999998</c:v>
                </c:pt>
                <c:pt idx="35">
                  <c:v>33.794499999999999</c:v>
                </c:pt>
                <c:pt idx="36">
                  <c:v>30.352499999999999</c:v>
                </c:pt>
                <c:pt idx="37">
                  <c:v>28.509</c:v>
                </c:pt>
                <c:pt idx="38">
                  <c:v>29.818999999999999</c:v>
                </c:pt>
                <c:pt idx="39">
                  <c:v>29.35</c:v>
                </c:pt>
                <c:pt idx="40">
                  <c:v>25.1065</c:v>
                </c:pt>
                <c:pt idx="41">
                  <c:v>25.353999999999999</c:v>
                </c:pt>
                <c:pt idx="42">
                  <c:v>26.745000000000001</c:v>
                </c:pt>
                <c:pt idx="43">
                  <c:v>27.761500000000002</c:v>
                </c:pt>
                <c:pt idx="44">
                  <c:v>28.757000000000001</c:v>
                </c:pt>
                <c:pt idx="45">
                  <c:v>28.480499999999999</c:v>
                </c:pt>
                <c:pt idx="46">
                  <c:v>27.603999999999999</c:v>
                </c:pt>
                <c:pt idx="47">
                  <c:v>29.147500000000001</c:v>
                </c:pt>
                <c:pt idx="48">
                  <c:v>29.925000000000001</c:v>
                </c:pt>
                <c:pt idx="49">
                  <c:v>29.73</c:v>
                </c:pt>
                <c:pt idx="50">
                  <c:v>31.294499999999999</c:v>
                </c:pt>
                <c:pt idx="51">
                  <c:v>31.024999999999999</c:v>
                </c:pt>
                <c:pt idx="52">
                  <c:v>32.979500000000002</c:v>
                </c:pt>
                <c:pt idx="53">
                  <c:v>33.697499999999998</c:v>
                </c:pt>
                <c:pt idx="54">
                  <c:v>35.496000000000002</c:v>
                </c:pt>
                <c:pt idx="55">
                  <c:v>35.14</c:v>
                </c:pt>
                <c:pt idx="56">
                  <c:v>35.612000000000002</c:v>
                </c:pt>
                <c:pt idx="57">
                  <c:v>36.277000000000001</c:v>
                </c:pt>
                <c:pt idx="58">
                  <c:v>35.895499999999998</c:v>
                </c:pt>
                <c:pt idx="59">
                  <c:v>35.319499999999998</c:v>
                </c:pt>
                <c:pt idx="60">
                  <c:v>34.948</c:v>
                </c:pt>
                <c:pt idx="61">
                  <c:v>36.283999999999999</c:v>
                </c:pt>
                <c:pt idx="62">
                  <c:v>37.290500000000002</c:v>
                </c:pt>
                <c:pt idx="63">
                  <c:v>36.771999999999998</c:v>
                </c:pt>
                <c:pt idx="64">
                  <c:v>37.243000000000002</c:v>
                </c:pt>
                <c:pt idx="65">
                  <c:v>37.9405</c:v>
                </c:pt>
                <c:pt idx="66">
                  <c:v>38.298999999999999</c:v>
                </c:pt>
                <c:pt idx="67">
                  <c:v>38.628</c:v>
                </c:pt>
                <c:pt idx="68">
                  <c:v>37.865499999999997</c:v>
                </c:pt>
                <c:pt idx="69">
                  <c:v>38.450000000000003</c:v>
                </c:pt>
                <c:pt idx="70">
                  <c:v>38.622</c:v>
                </c:pt>
                <c:pt idx="71">
                  <c:v>38.006999999999998</c:v>
                </c:pt>
                <c:pt idx="72">
                  <c:v>38.926000000000002</c:v>
                </c:pt>
                <c:pt idx="73">
                  <c:v>40.287500000000001</c:v>
                </c:pt>
                <c:pt idx="74">
                  <c:v>41.865499999999997</c:v>
                </c:pt>
                <c:pt idx="75">
                  <c:v>41.971499999999999</c:v>
                </c:pt>
                <c:pt idx="76">
                  <c:v>41.148000000000003</c:v>
                </c:pt>
                <c:pt idx="77">
                  <c:v>40.9495</c:v>
                </c:pt>
                <c:pt idx="78">
                  <c:v>38.816000000000003</c:v>
                </c:pt>
                <c:pt idx="79">
                  <c:v>37.752499999999998</c:v>
                </c:pt>
                <c:pt idx="80">
                  <c:v>36.950499999999998</c:v>
                </c:pt>
                <c:pt idx="81">
                  <c:v>38.008000000000003</c:v>
                </c:pt>
                <c:pt idx="82">
                  <c:v>39.018500000000003</c:v>
                </c:pt>
                <c:pt idx="83">
                  <c:v>37.017000000000003</c:v>
                </c:pt>
                <c:pt idx="84">
                  <c:v>38.433</c:v>
                </c:pt>
                <c:pt idx="85">
                  <c:v>37.888500000000001</c:v>
                </c:pt>
                <c:pt idx="86">
                  <c:v>38.029499999999999</c:v>
                </c:pt>
                <c:pt idx="87">
                  <c:v>37.493499999999997</c:v>
                </c:pt>
                <c:pt idx="88">
                  <c:v>39.799500000000002</c:v>
                </c:pt>
                <c:pt idx="89">
                  <c:v>40.856999999999999</c:v>
                </c:pt>
                <c:pt idx="90">
                  <c:v>40.416499999999999</c:v>
                </c:pt>
                <c:pt idx="91">
                  <c:v>41.788499999999999</c:v>
                </c:pt>
                <c:pt idx="92">
                  <c:v>40.51</c:v>
                </c:pt>
                <c:pt idx="93">
                  <c:v>41.372999999999998</c:v>
                </c:pt>
                <c:pt idx="94">
                  <c:v>42.253500000000003</c:v>
                </c:pt>
                <c:pt idx="95">
                  <c:v>42.262</c:v>
                </c:pt>
                <c:pt idx="96">
                  <c:v>42.494</c:v>
                </c:pt>
                <c:pt idx="97">
                  <c:v>42.622999999999998</c:v>
                </c:pt>
                <c:pt idx="98">
                  <c:v>42.615499999999997</c:v>
                </c:pt>
                <c:pt idx="99">
                  <c:v>42.280500000000004</c:v>
                </c:pt>
                <c:pt idx="100">
                  <c:v>44.326999999999998</c:v>
                </c:pt>
                <c:pt idx="101">
                  <c:v>44.744</c:v>
                </c:pt>
                <c:pt idx="102">
                  <c:v>44.233499999999999</c:v>
                </c:pt>
                <c:pt idx="103">
                  <c:v>44.926499999999997</c:v>
                </c:pt>
                <c:pt idx="104">
                  <c:v>46.249499999999998</c:v>
                </c:pt>
                <c:pt idx="105">
                  <c:v>46.707500000000003</c:v>
                </c:pt>
                <c:pt idx="106">
                  <c:v>48.067500000000003</c:v>
                </c:pt>
                <c:pt idx="107">
                  <c:v>47.991999999999997</c:v>
                </c:pt>
                <c:pt idx="108">
                  <c:v>49.789000000000001</c:v>
                </c:pt>
                <c:pt idx="109">
                  <c:v>50.336500000000001</c:v>
                </c:pt>
                <c:pt idx="110">
                  <c:v>48.915500000000002</c:v>
                </c:pt>
                <c:pt idx="111">
                  <c:v>49.3855</c:v>
                </c:pt>
                <c:pt idx="112">
                  <c:v>50.186999999999998</c:v>
                </c:pt>
                <c:pt idx="113">
                  <c:v>48.4</c:v>
                </c:pt>
                <c:pt idx="114">
                  <c:v>48.938000000000002</c:v>
                </c:pt>
                <c:pt idx="115">
                  <c:v>50.090499999999999</c:v>
                </c:pt>
                <c:pt idx="116">
                  <c:v>51.283499999999997</c:v>
                </c:pt>
                <c:pt idx="117">
                  <c:v>51.002000000000002</c:v>
                </c:pt>
                <c:pt idx="118">
                  <c:v>49.378999999999998</c:v>
                </c:pt>
                <c:pt idx="119">
                  <c:v>48.399500000000003</c:v>
                </c:pt>
                <c:pt idx="120">
                  <c:v>47.923499999999997</c:v>
                </c:pt>
                <c:pt idx="121">
                  <c:v>47.262999999999998</c:v>
                </c:pt>
                <c:pt idx="122">
                  <c:v>48.912500000000001</c:v>
                </c:pt>
                <c:pt idx="123">
                  <c:v>48.295000000000002</c:v>
                </c:pt>
                <c:pt idx="124">
                  <c:v>49.339500000000001</c:v>
                </c:pt>
                <c:pt idx="125">
                  <c:v>47.755000000000003</c:v>
                </c:pt>
                <c:pt idx="126">
                  <c:v>48.067500000000003</c:v>
                </c:pt>
                <c:pt idx="127">
                  <c:v>49.478999999999999</c:v>
                </c:pt>
                <c:pt idx="128">
                  <c:v>50.146999999999998</c:v>
                </c:pt>
                <c:pt idx="129">
                  <c:v>49.145499999999998</c:v>
                </c:pt>
                <c:pt idx="130">
                  <c:v>55.047499999999999</c:v>
                </c:pt>
                <c:pt idx="131">
                  <c:v>55.58</c:v>
                </c:pt>
                <c:pt idx="132">
                  <c:v>56.267499999999998</c:v>
                </c:pt>
                <c:pt idx="133">
                  <c:v>56.494</c:v>
                </c:pt>
                <c:pt idx="134">
                  <c:v>59.3</c:v>
                </c:pt>
                <c:pt idx="135">
                  <c:v>58.1175</c:v>
                </c:pt>
                <c:pt idx="136">
                  <c:v>58.1</c:v>
                </c:pt>
                <c:pt idx="137">
                  <c:v>58.957000000000001</c:v>
                </c:pt>
                <c:pt idx="138">
                  <c:v>58.417999999999999</c:v>
                </c:pt>
                <c:pt idx="139">
                  <c:v>58.473500000000001</c:v>
                </c:pt>
                <c:pt idx="140">
                  <c:v>61.457000000000001</c:v>
                </c:pt>
                <c:pt idx="141">
                  <c:v>65.260000000000005</c:v>
                </c:pt>
                <c:pt idx="142">
                  <c:v>64.728999999999999</c:v>
                </c:pt>
                <c:pt idx="143">
                  <c:v>70.102500000000006</c:v>
                </c:pt>
                <c:pt idx="144">
                  <c:v>71.497500000000002</c:v>
                </c:pt>
                <c:pt idx="145">
                  <c:v>66.98</c:v>
                </c:pt>
                <c:pt idx="146">
                  <c:v>72.4345</c:v>
                </c:pt>
                <c:pt idx="147">
                  <c:v>75</c:v>
                </c:pt>
                <c:pt idx="148">
                  <c:v>75.012500000000003</c:v>
                </c:pt>
                <c:pt idx="149">
                  <c:v>78.944500000000005</c:v>
                </c:pt>
                <c:pt idx="150">
                  <c:v>78.584000000000003</c:v>
                </c:pt>
                <c:pt idx="151">
                  <c:v>74.778000000000006</c:v>
                </c:pt>
                <c:pt idx="152">
                  <c:v>72.367000000000004</c:v>
                </c:pt>
                <c:pt idx="153">
                  <c:v>70.261499999999998</c:v>
                </c:pt>
                <c:pt idx="154">
                  <c:v>71.539500000000004</c:v>
                </c:pt>
                <c:pt idx="155">
                  <c:v>76.374499999999998</c:v>
                </c:pt>
                <c:pt idx="156">
                  <c:v>78.631</c:v>
                </c:pt>
                <c:pt idx="157">
                  <c:v>79.047499999999999</c:v>
                </c:pt>
                <c:pt idx="158">
                  <c:v>80.145499999999998</c:v>
                </c:pt>
                <c:pt idx="159">
                  <c:v>78.718500000000006</c:v>
                </c:pt>
                <c:pt idx="160">
                  <c:v>80.507499999999993</c:v>
                </c:pt>
                <c:pt idx="161">
                  <c:v>82.076999999999998</c:v>
                </c:pt>
                <c:pt idx="162">
                  <c:v>84.1995</c:v>
                </c:pt>
                <c:pt idx="163">
                  <c:v>85.798500000000004</c:v>
                </c:pt>
                <c:pt idx="164">
                  <c:v>85.783500000000004</c:v>
                </c:pt>
                <c:pt idx="165">
                  <c:v>84.99</c:v>
                </c:pt>
                <c:pt idx="166">
                  <c:v>85.531499999999994</c:v>
                </c:pt>
                <c:pt idx="167">
                  <c:v>90.651499999999999</c:v>
                </c:pt>
                <c:pt idx="168">
                  <c:v>90.685000000000002</c:v>
                </c:pt>
                <c:pt idx="169">
                  <c:v>90.863500000000002</c:v>
                </c:pt>
                <c:pt idx="170">
                  <c:v>91.164500000000004</c:v>
                </c:pt>
                <c:pt idx="171">
                  <c:v>94.314999999999998</c:v>
                </c:pt>
                <c:pt idx="172">
                  <c:v>94.111000000000004</c:v>
                </c:pt>
                <c:pt idx="173">
                  <c:v>95.269499999999994</c:v>
                </c:pt>
                <c:pt idx="174">
                  <c:v>100.63549999999999</c:v>
                </c:pt>
                <c:pt idx="175">
                  <c:v>97.603499999999997</c:v>
                </c:pt>
                <c:pt idx="176">
                  <c:v>98.509500000000003</c:v>
                </c:pt>
                <c:pt idx="177">
                  <c:v>95.750500000000002</c:v>
                </c:pt>
                <c:pt idx="178">
                  <c:v>100.15</c:v>
                </c:pt>
                <c:pt idx="179">
                  <c:v>94.482500000000002</c:v>
                </c:pt>
                <c:pt idx="180">
                  <c:v>89.430499999999995</c:v>
                </c:pt>
                <c:pt idx="181">
                  <c:v>88.201499999999996</c:v>
                </c:pt>
                <c:pt idx="182">
                  <c:v>82.140500000000003</c:v>
                </c:pt>
                <c:pt idx="183">
                  <c:v>83.276499999999999</c:v>
                </c:pt>
                <c:pt idx="184">
                  <c:v>85.621499999999997</c:v>
                </c:pt>
                <c:pt idx="185">
                  <c:v>79.670500000000004</c:v>
                </c:pt>
                <c:pt idx="186">
                  <c:v>75.102999999999994</c:v>
                </c:pt>
                <c:pt idx="187">
                  <c:v>84.508499999999998</c:v>
                </c:pt>
                <c:pt idx="188">
                  <c:v>81.456500000000005</c:v>
                </c:pt>
                <c:pt idx="189">
                  <c:v>79.595500000000001</c:v>
                </c:pt>
                <c:pt idx="190">
                  <c:v>68.872500000000002</c:v>
                </c:pt>
                <c:pt idx="191">
                  <c:v>73.900999999999996</c:v>
                </c:pt>
                <c:pt idx="192">
                  <c:v>78.769499999999994</c:v>
                </c:pt>
                <c:pt idx="193">
                  <c:v>82.028000000000006</c:v>
                </c:pt>
                <c:pt idx="194">
                  <c:v>84.81</c:v>
                </c:pt>
                <c:pt idx="195">
                  <c:v>83.528499999999994</c:v>
                </c:pt>
                <c:pt idx="196">
                  <c:v>81.311499999999995</c:v>
                </c:pt>
                <c:pt idx="197">
                  <c:v>79.411000000000001</c:v>
                </c:pt>
                <c:pt idx="198">
                  <c:v>80.397499999999994</c:v>
                </c:pt>
                <c:pt idx="199">
                  <c:v>81.578000000000003</c:v>
                </c:pt>
                <c:pt idx="200">
                  <c:v>83.586500000000001</c:v>
                </c:pt>
                <c:pt idx="201">
                  <c:v>81.040000000000006</c:v>
                </c:pt>
                <c:pt idx="202">
                  <c:v>85.617999999999995</c:v>
                </c:pt>
                <c:pt idx="203">
                  <c:v>88.238500000000002</c:v>
                </c:pt>
                <c:pt idx="204">
                  <c:v>89.037499999999994</c:v>
                </c:pt>
                <c:pt idx="205">
                  <c:v>91.864000000000004</c:v>
                </c:pt>
                <c:pt idx="206">
                  <c:v>92.153000000000006</c:v>
                </c:pt>
                <c:pt idx="207">
                  <c:v>93.084500000000006</c:v>
                </c:pt>
                <c:pt idx="208">
                  <c:v>97.531499999999994</c:v>
                </c:pt>
                <c:pt idx="209">
                  <c:v>98.123000000000005</c:v>
                </c:pt>
                <c:pt idx="210">
                  <c:v>94.498999999999995</c:v>
                </c:pt>
                <c:pt idx="211">
                  <c:v>93.45</c:v>
                </c:pt>
                <c:pt idx="212">
                  <c:v>91.164000000000001</c:v>
                </c:pt>
                <c:pt idx="213">
                  <c:v>88.753500000000003</c:v>
                </c:pt>
                <c:pt idx="214">
                  <c:v>90.201499999999996</c:v>
                </c:pt>
                <c:pt idx="215">
                  <c:v>93.483500000000006</c:v>
                </c:pt>
                <c:pt idx="216">
                  <c:v>95.564999999999998</c:v>
                </c:pt>
                <c:pt idx="217">
                  <c:v>94.6815</c:v>
                </c:pt>
                <c:pt idx="218">
                  <c:v>97.145499999999998</c:v>
                </c:pt>
                <c:pt idx="219">
                  <c:v>100.55</c:v>
                </c:pt>
                <c:pt idx="220">
                  <c:v>98.225999999999999</c:v>
                </c:pt>
                <c:pt idx="221">
                  <c:v>97.152500000000003</c:v>
                </c:pt>
                <c:pt idx="222">
                  <c:v>91.162000000000006</c:v>
                </c:pt>
                <c:pt idx="223">
                  <c:v>90.379000000000005</c:v>
                </c:pt>
                <c:pt idx="224">
                  <c:v>89.628500000000003</c:v>
                </c:pt>
                <c:pt idx="225">
                  <c:v>87.480999999999995</c:v>
                </c:pt>
                <c:pt idx="226">
                  <c:v>88.814499999999995</c:v>
                </c:pt>
                <c:pt idx="227">
                  <c:v>91.6755</c:v>
                </c:pt>
                <c:pt idx="228">
                  <c:v>91.966999999999999</c:v>
                </c:pt>
                <c:pt idx="229">
                  <c:v>89.707999999999998</c:v>
                </c:pt>
                <c:pt idx="230">
                  <c:v>86.272499999999994</c:v>
                </c:pt>
                <c:pt idx="231">
                  <c:v>86.982500000000002</c:v>
                </c:pt>
                <c:pt idx="232">
                  <c:v>86.596000000000004</c:v>
                </c:pt>
                <c:pt idx="233">
                  <c:v>87.875500000000002</c:v>
                </c:pt>
                <c:pt idx="234">
                  <c:v>88.066500000000005</c:v>
                </c:pt>
                <c:pt idx="235">
                  <c:v>89.572000000000003</c:v>
                </c:pt>
                <c:pt idx="236">
                  <c:v>89.293999999999997</c:v>
                </c:pt>
                <c:pt idx="237">
                  <c:v>86.974500000000006</c:v>
                </c:pt>
                <c:pt idx="238">
                  <c:v>87.286000000000001</c:v>
                </c:pt>
                <c:pt idx="239">
                  <c:v>90.04</c:v>
                </c:pt>
                <c:pt idx="240">
                  <c:v>87.58</c:v>
                </c:pt>
                <c:pt idx="241">
                  <c:v>88.046999999999997</c:v>
                </c:pt>
                <c:pt idx="242">
                  <c:v>89.325000000000003</c:v>
                </c:pt>
                <c:pt idx="243">
                  <c:v>93.49</c:v>
                </c:pt>
                <c:pt idx="244">
                  <c:v>93.748500000000007</c:v>
                </c:pt>
                <c:pt idx="245">
                  <c:v>94.158000000000001</c:v>
                </c:pt>
                <c:pt idx="246">
                  <c:v>93.236000000000004</c:v>
                </c:pt>
                <c:pt idx="247">
                  <c:v>93.081999999999994</c:v>
                </c:pt>
                <c:pt idx="248">
                  <c:v>100.43600000000001</c:v>
                </c:pt>
                <c:pt idx="249">
                  <c:v>103.964</c:v>
                </c:pt>
                <c:pt idx="250">
                  <c:v>106.7435</c:v>
                </c:pt>
                <c:pt idx="251">
                  <c:v>104.7985</c:v>
                </c:pt>
                <c:pt idx="252">
                  <c:v>94.1875</c:v>
                </c:pt>
                <c:pt idx="253">
                  <c:v>95.054500000000004</c:v>
                </c:pt>
                <c:pt idx="254">
                  <c:v>89.25</c:v>
                </c:pt>
                <c:pt idx="255">
                  <c:v>92.304500000000004</c:v>
                </c:pt>
                <c:pt idx="256">
                  <c:v>95.004999999999995</c:v>
                </c:pt>
                <c:pt idx="257">
                  <c:v>95.329499999999996</c:v>
                </c:pt>
                <c:pt idx="258">
                  <c:v>102.13800000000001</c:v>
                </c:pt>
                <c:pt idx="259">
                  <c:v>118.75</c:v>
                </c:pt>
                <c:pt idx="260">
                  <c:v>120.511</c:v>
                </c:pt>
                <c:pt idx="261">
                  <c:v>114.30200000000001</c:v>
                </c:pt>
                <c:pt idx="262">
                  <c:v>118.98050000000001</c:v>
                </c:pt>
                <c:pt idx="263">
                  <c:v>120.489</c:v>
                </c:pt>
                <c:pt idx="264">
                  <c:v>121.84399999999999</c:v>
                </c:pt>
                <c:pt idx="265">
                  <c:v>122.1185</c:v>
                </c:pt>
                <c:pt idx="266">
                  <c:v>124.15</c:v>
                </c:pt>
                <c:pt idx="267">
                  <c:v>127.251</c:v>
                </c:pt>
                <c:pt idx="268">
                  <c:v>133.75049999999999</c:v>
                </c:pt>
                <c:pt idx="269">
                  <c:v>134.64349999999999</c:v>
                </c:pt>
                <c:pt idx="270">
                  <c:v>144.51499999999999</c:v>
                </c:pt>
                <c:pt idx="271">
                  <c:v>160</c:v>
                </c:pt>
                <c:pt idx="272">
                  <c:v>148.0985</c:v>
                </c:pt>
                <c:pt idx="273">
                  <c:v>150.44550000000001</c:v>
                </c:pt>
                <c:pt idx="274">
                  <c:v>158.23400000000001</c:v>
                </c:pt>
                <c:pt idx="275">
                  <c:v>158.37299999999999</c:v>
                </c:pt>
                <c:pt idx="276">
                  <c:v>157.40100000000001</c:v>
                </c:pt>
                <c:pt idx="277">
                  <c:v>164.23599999999999</c:v>
                </c:pt>
                <c:pt idx="278">
                  <c:v>170.09</c:v>
                </c:pt>
                <c:pt idx="279">
                  <c:v>164.73099999999999</c:v>
                </c:pt>
                <c:pt idx="280">
                  <c:v>155.81100000000001</c:v>
                </c:pt>
                <c:pt idx="281">
                  <c:v>147.74549999999999</c:v>
                </c:pt>
                <c:pt idx="282">
                  <c:v>154.75649999999999</c:v>
                </c:pt>
                <c:pt idx="283">
                  <c:v>156.25</c:v>
                </c:pt>
                <c:pt idx="284">
                  <c:v>164.33250000000001</c:v>
                </c:pt>
                <c:pt idx="285">
                  <c:v>163.63550000000001</c:v>
                </c:pt>
                <c:pt idx="286">
                  <c:v>160.22</c:v>
                </c:pt>
                <c:pt idx="287">
                  <c:v>151.8075</c:v>
                </c:pt>
                <c:pt idx="288">
                  <c:v>165.5685</c:v>
                </c:pt>
                <c:pt idx="289">
                  <c:v>156.44049999999999</c:v>
                </c:pt>
                <c:pt idx="290">
                  <c:v>154.97</c:v>
                </c:pt>
                <c:pt idx="291">
                  <c:v>159.767</c:v>
                </c:pt>
                <c:pt idx="292">
                  <c:v>158.12899999999999</c:v>
                </c:pt>
                <c:pt idx="293">
                  <c:v>155.821</c:v>
                </c:pt>
                <c:pt idx="294">
                  <c:v>160.08250000000001</c:v>
                </c:pt>
                <c:pt idx="295">
                  <c:v>158.6345</c:v>
                </c:pt>
                <c:pt idx="296">
                  <c:v>162.84649999999999</c:v>
                </c:pt>
                <c:pt idx="297">
                  <c:v>159.13499999999999</c:v>
                </c:pt>
                <c:pt idx="298">
                  <c:v>155.21250000000001</c:v>
                </c:pt>
                <c:pt idx="299">
                  <c:v>164.61150000000001</c:v>
                </c:pt>
                <c:pt idx="300">
                  <c:v>160.31</c:v>
                </c:pt>
                <c:pt idx="301">
                  <c:v>167.60749999999999</c:v>
                </c:pt>
                <c:pt idx="302">
                  <c:v>163.88550000000001</c:v>
                </c:pt>
                <c:pt idx="303">
                  <c:v>162.495</c:v>
                </c:pt>
                <c:pt idx="304">
                  <c:v>154.6465</c:v>
                </c:pt>
                <c:pt idx="305">
                  <c:v>150.023</c:v>
                </c:pt>
                <c:pt idx="306">
                  <c:v>154.47450000000001</c:v>
                </c:pt>
                <c:pt idx="307">
                  <c:v>153.74799999999999</c:v>
                </c:pt>
                <c:pt idx="308">
                  <c:v>152.60149999999999</c:v>
                </c:pt>
                <c:pt idx="309">
                  <c:v>158.05000000000001</c:v>
                </c:pt>
                <c:pt idx="310">
                  <c:v>168.61</c:v>
                </c:pt>
                <c:pt idx="311">
                  <c:v>169.97200000000001</c:v>
                </c:pt>
                <c:pt idx="312">
                  <c:v>167.04400000000001</c:v>
                </c:pt>
                <c:pt idx="313">
                  <c:v>173.37100000000001</c:v>
                </c:pt>
                <c:pt idx="314">
                  <c:v>164.5805</c:v>
                </c:pt>
                <c:pt idx="315">
                  <c:v>161.14500000000001</c:v>
                </c:pt>
                <c:pt idx="316">
                  <c:v>160.154</c:v>
                </c:pt>
                <c:pt idx="317">
                  <c:v>161.15350000000001</c:v>
                </c:pt>
                <c:pt idx="318">
                  <c:v>160.31100000000001</c:v>
                </c:pt>
                <c:pt idx="319">
                  <c:v>167.3415</c:v>
                </c:pt>
                <c:pt idx="320">
                  <c:v>174.345</c:v>
                </c:pt>
                <c:pt idx="321">
                  <c:v>170.07300000000001</c:v>
                </c:pt>
                <c:pt idx="322">
                  <c:v>175.54900000000001</c:v>
                </c:pt>
                <c:pt idx="323">
                  <c:v>185.96700000000001</c:v>
                </c:pt>
                <c:pt idx="324">
                  <c:v>178.6815</c:v>
                </c:pt>
                <c:pt idx="325">
                  <c:v>182.83199999999999</c:v>
                </c:pt>
                <c:pt idx="326">
                  <c:v>166.37950000000001</c:v>
                </c:pt>
                <c:pt idx="327">
                  <c:v>167.24700000000001</c:v>
                </c:pt>
                <c:pt idx="328">
                  <c:v>164.6985</c:v>
                </c:pt>
                <c:pt idx="329">
                  <c:v>159.9975</c:v>
                </c:pt>
                <c:pt idx="330">
                  <c:v>167.48150000000001</c:v>
                </c:pt>
                <c:pt idx="331">
                  <c:v>173.9025</c:v>
                </c:pt>
                <c:pt idx="332">
                  <c:v>173.45750000000001</c:v>
                </c:pt>
                <c:pt idx="333">
                  <c:v>173.126</c:v>
                </c:pt>
                <c:pt idx="334">
                  <c:v>171.27600000000001</c:v>
                </c:pt>
                <c:pt idx="335">
                  <c:v>164.16300000000001</c:v>
                </c:pt>
                <c:pt idx="336">
                  <c:v>164.43100000000001</c:v>
                </c:pt>
                <c:pt idx="337">
                  <c:v>170.45099999999999</c:v>
                </c:pt>
                <c:pt idx="338">
                  <c:v>166.7775</c:v>
                </c:pt>
                <c:pt idx="339">
                  <c:v>168.6215</c:v>
                </c:pt>
                <c:pt idx="340">
                  <c:v>175.9495</c:v>
                </c:pt>
                <c:pt idx="341">
                  <c:v>176.25749999999999</c:v>
                </c:pt>
                <c:pt idx="342">
                  <c:v>183.82849999999999</c:v>
                </c:pt>
                <c:pt idx="343">
                  <c:v>175.22800000000001</c:v>
                </c:pt>
                <c:pt idx="344">
                  <c:v>169.48949999999999</c:v>
                </c:pt>
                <c:pt idx="345">
                  <c:v>172.21199999999999</c:v>
                </c:pt>
                <c:pt idx="346">
                  <c:v>170.01750000000001</c:v>
                </c:pt>
                <c:pt idx="347">
                  <c:v>171.0685</c:v>
                </c:pt>
                <c:pt idx="348">
                  <c:v>166.71700000000001</c:v>
                </c:pt>
                <c:pt idx="349">
                  <c:v>162.554</c:v>
                </c:pt>
                <c:pt idx="350">
                  <c:v>162.13800000000001</c:v>
                </c:pt>
                <c:pt idx="351">
                  <c:v>142.643</c:v>
                </c:pt>
                <c:pt idx="352">
                  <c:v>143.97800000000001</c:v>
                </c:pt>
                <c:pt idx="353">
                  <c:v>157.6395</c:v>
                </c:pt>
                <c:pt idx="354">
                  <c:v>153.29349999999999</c:v>
                </c:pt>
                <c:pt idx="355">
                  <c:v>152.60149999999999</c:v>
                </c:pt>
                <c:pt idx="356">
                  <c:v>153.7885</c:v>
                </c:pt>
                <c:pt idx="357">
                  <c:v>145.64099999999999</c:v>
                </c:pt>
                <c:pt idx="358">
                  <c:v>145.52449999999999</c:v>
                </c:pt>
                <c:pt idx="359">
                  <c:v>161.25049999999999</c:v>
                </c:pt>
                <c:pt idx="360">
                  <c:v>164.77350000000001</c:v>
                </c:pt>
                <c:pt idx="361">
                  <c:v>163.56</c:v>
                </c:pt>
                <c:pt idx="362">
                  <c:v>154.4605</c:v>
                </c:pt>
                <c:pt idx="363">
                  <c:v>151.70650000000001</c:v>
                </c:pt>
                <c:pt idx="364">
                  <c:v>144.35</c:v>
                </c:pt>
                <c:pt idx="365">
                  <c:v>124.28149999999999</c:v>
                </c:pt>
                <c:pt idx="366">
                  <c:v>114.77249999999999</c:v>
                </c:pt>
                <c:pt idx="367">
                  <c:v>113.05500000000001</c:v>
                </c:pt>
                <c:pt idx="368">
                  <c:v>107.59099999999999</c:v>
                </c:pt>
                <c:pt idx="369">
                  <c:v>115.1465</c:v>
                </c:pt>
                <c:pt idx="370">
                  <c:v>122.35</c:v>
                </c:pt>
                <c:pt idx="371">
                  <c:v>109.65</c:v>
                </c:pt>
                <c:pt idx="372">
                  <c:v>106.22</c:v>
                </c:pt>
                <c:pt idx="373">
                  <c:v>116.46</c:v>
                </c:pt>
                <c:pt idx="374">
                  <c:v>109.56</c:v>
                </c:pt>
                <c:pt idx="375">
                  <c:v>115.54</c:v>
                </c:pt>
                <c:pt idx="376">
                  <c:v>113.55</c:v>
                </c:pt>
                <c:pt idx="377">
                  <c:v>122.42</c:v>
                </c:pt>
                <c:pt idx="378">
                  <c:v>134.94999999999999</c:v>
                </c:pt>
                <c:pt idx="379">
                  <c:v>140.80000000000001</c:v>
                </c:pt>
                <c:pt idx="380">
                  <c:v>143.55000000000001</c:v>
                </c:pt>
                <c:pt idx="381">
                  <c:v>138.22999999999999</c:v>
                </c:pt>
                <c:pt idx="382">
                  <c:v>130.75</c:v>
                </c:pt>
                <c:pt idx="383">
                  <c:v>127.51</c:v>
                </c:pt>
                <c:pt idx="384">
                  <c:v>133.27000000000001</c:v>
                </c:pt>
                <c:pt idx="385">
                  <c:v>123.53</c:v>
                </c:pt>
                <c:pt idx="386">
                  <c:v>113.78</c:v>
                </c:pt>
                <c:pt idx="387">
                  <c:v>113</c:v>
                </c:pt>
                <c:pt idx="388">
                  <c:v>114.56</c:v>
                </c:pt>
                <c:pt idx="389">
                  <c:v>106.9</c:v>
                </c:pt>
                <c:pt idx="390">
                  <c:v>119.32</c:v>
                </c:pt>
                <c:pt idx="391">
                  <c:v>103.41</c:v>
                </c:pt>
                <c:pt idx="392">
                  <c:v>90.98</c:v>
                </c:pt>
                <c:pt idx="393">
                  <c:v>100.79</c:v>
                </c:pt>
                <c:pt idx="394">
                  <c:v>94.14</c:v>
                </c:pt>
                <c:pt idx="395">
                  <c:v>93.41</c:v>
                </c:pt>
                <c:pt idx="396">
                  <c:v>94.13</c:v>
                </c:pt>
                <c:pt idx="397">
                  <c:v>89.09</c:v>
                </c:pt>
                <c:pt idx="398">
                  <c:v>87.86</c:v>
                </c:pt>
                <c:pt idx="399">
                  <c:v>85.25</c:v>
                </c:pt>
                <c:pt idx="400">
                  <c:v>84</c:v>
                </c:pt>
                <c:pt idx="401">
                  <c:v>86.08</c:v>
                </c:pt>
                <c:pt idx="402">
                  <c:v>98.12</c:v>
                </c:pt>
                <c:pt idx="403">
                  <c:v>97.25</c:v>
                </c:pt>
                <c:pt idx="404">
                  <c:v>102.24</c:v>
                </c:pt>
                <c:pt idx="405">
                  <c:v>103.39</c:v>
                </c:pt>
                <c:pt idx="406">
                  <c:v>97.61</c:v>
                </c:pt>
                <c:pt idx="407">
                  <c:v>97.2</c:v>
                </c:pt>
                <c:pt idx="408">
                  <c:v>93.5</c:v>
                </c:pt>
                <c:pt idx="409">
                  <c:v>94.9</c:v>
                </c:pt>
                <c:pt idx="410">
                  <c:v>90.73</c:v>
                </c:pt>
                <c:pt idx="411">
                  <c:v>98.95</c:v>
                </c:pt>
                <c:pt idx="412">
                  <c:v>98.13</c:v>
                </c:pt>
                <c:pt idx="413">
                  <c:v>103.29</c:v>
                </c:pt>
                <c:pt idx="414">
                  <c:v>102.06</c:v>
                </c:pt>
                <c:pt idx="415">
                  <c:v>102.51</c:v>
                </c:pt>
                <c:pt idx="416">
                  <c:v>106.96</c:v>
                </c:pt>
                <c:pt idx="417">
                  <c:v>105.45</c:v>
                </c:pt>
                <c:pt idx="418">
                  <c:v>105.655</c:v>
                </c:pt>
                <c:pt idx="419">
                  <c:v>110.26</c:v>
                </c:pt>
                <c:pt idx="420">
                  <c:v>116.25</c:v>
                </c:pt>
                <c:pt idx="421">
                  <c:v>120.11</c:v>
                </c:pt>
                <c:pt idx="422">
                  <c:v>124.25</c:v>
                </c:pt>
                <c:pt idx="423">
                  <c:v>123.43</c:v>
                </c:pt>
                <c:pt idx="424">
                  <c:v>125.49</c:v>
                </c:pt>
                <c:pt idx="425">
                  <c:v>129.33000000000001</c:v>
                </c:pt>
                <c:pt idx="426">
                  <c:v>130.36000000000001</c:v>
                </c:pt>
                <c:pt idx="427">
                  <c:v>129.78</c:v>
                </c:pt>
                <c:pt idx="428">
                  <c:v>134.68</c:v>
                </c:pt>
                <c:pt idx="429">
                  <c:v>130</c:v>
                </c:pt>
                <c:pt idx="430">
                  <c:v>132.21</c:v>
                </c:pt>
                <c:pt idx="431">
                  <c:v>139.57</c:v>
                </c:pt>
                <c:pt idx="432">
                  <c:v>138.41</c:v>
                </c:pt>
                <c:pt idx="433">
                  <c:v>133.22</c:v>
                </c:pt>
                <c:pt idx="434">
                  <c:v>133.26</c:v>
                </c:pt>
                <c:pt idx="435">
                  <c:v>138.12</c:v>
                </c:pt>
                <c:pt idx="436">
                  <c:v>138.22999999999999</c:v>
                </c:pt>
                <c:pt idx="437">
                  <c:v>140.38999999999999</c:v>
                </c:pt>
                <c:pt idx="438">
                  <c:v>129.12</c:v>
                </c:pt>
                <c:pt idx="439">
                  <c:v>127.12</c:v>
                </c:pt>
                <c:pt idx="440">
                  <c:v>127.96</c:v>
                </c:pt>
                <c:pt idx="441">
                  <c:v>129.79</c:v>
                </c:pt>
                <c:pt idx="442">
                  <c:v>125.17</c:v>
                </c:pt>
                <c:pt idx="443">
                  <c:v>127.74</c:v>
                </c:pt>
                <c:pt idx="444">
                  <c:v>138.6</c:v>
                </c:pt>
                <c:pt idx="445">
                  <c:v>143.56</c:v>
                </c:pt>
                <c:pt idx="446">
                  <c:v>145.18</c:v>
                </c:pt>
                <c:pt idx="447">
                  <c:v>146.74</c:v>
                </c:pt>
                <c:pt idx="448">
                  <c:v>147.03</c:v>
                </c:pt>
                <c:pt idx="449">
                  <c:v>147.41999999999999</c:v>
                </c:pt>
                <c:pt idx="450">
                  <c:v>149.97</c:v>
                </c:pt>
                <c:pt idx="451">
                  <c:v>153.41999999999999</c:v>
                </c:pt>
                <c:pt idx="452">
                  <c:v>151.94</c:v>
                </c:pt>
                <c:pt idx="453">
                  <c:v>145.24</c:v>
                </c:pt>
                <c:pt idx="454">
                  <c:v>154.62</c:v>
                </c:pt>
                <c:pt idx="455">
                  <c:v>155.34</c:v>
                </c:pt>
                <c:pt idx="456">
                  <c:v>159.12</c:v>
                </c:pt>
                <c:pt idx="457">
                  <c:v>171.81</c:v>
                </c:pt>
                <c:pt idx="458">
                  <c:v>174.45</c:v>
                </c:pt>
                <c:pt idx="459">
                  <c:v>169.51</c:v>
                </c:pt>
                <c:pt idx="460">
                  <c:v>174.99</c:v>
                </c:pt>
                <c:pt idx="461">
                  <c:v>178.22</c:v>
                </c:pt>
                <c:pt idx="462">
                  <c:v>175.35</c:v>
                </c:pt>
                <c:pt idx="463">
                  <c:v>174.42</c:v>
                </c:pt>
                <c:pt idx="464">
                  <c:v>178.87</c:v>
                </c:pt>
                <c:pt idx="465">
                  <c:v>180.38</c:v>
                </c:pt>
                <c:pt idx="466">
                  <c:v>185.07</c:v>
                </c:pt>
                <c:pt idx="467">
                  <c:v>186.13</c:v>
                </c:pt>
                <c:pt idx="468">
                  <c:v>174.63</c:v>
                </c:pt>
                <c:pt idx="469">
                  <c:v>179.62</c:v>
                </c:pt>
                <c:pt idx="470">
                  <c:v>186.21</c:v>
                </c:pt>
                <c:pt idx="471">
                  <c:v>187.48</c:v>
                </c:pt>
                <c:pt idx="472">
                  <c:v>184.7</c:v>
                </c:pt>
                <c:pt idx="473">
                  <c:v>180.75</c:v>
                </c:pt>
                <c:pt idx="474">
                  <c:v>176.44</c:v>
                </c:pt>
                <c:pt idx="475">
                  <c:v>184.3</c:v>
                </c:pt>
                <c:pt idx="476">
                  <c:v>183.66</c:v>
                </c:pt>
                <c:pt idx="477">
                  <c:v>189.08</c:v>
                </c:pt>
                <c:pt idx="478">
                  <c:v>193.25</c:v>
                </c:pt>
                <c:pt idx="479">
                  <c:v>200</c:v>
                </c:pt>
                <c:pt idx="480">
                  <c:v>194.49</c:v>
                </c:pt>
                <c:pt idx="481">
                  <c:v>183.13</c:v>
                </c:pt>
                <c:pt idx="482">
                  <c:v>182.5</c:v>
                </c:pt>
                <c:pt idx="483">
                  <c:v>167.9</c:v>
                </c:pt>
                <c:pt idx="484">
                  <c:v>166.94</c:v>
                </c:pt>
                <c:pt idx="485">
                  <c:v>177.06</c:v>
                </c:pt>
                <c:pt idx="486">
                  <c:v>177.04</c:v>
                </c:pt>
                <c:pt idx="487">
                  <c:v>178.5</c:v>
                </c:pt>
                <c:pt idx="488">
                  <c:v>171.39</c:v>
                </c:pt>
                <c:pt idx="489">
                  <c:v>186.49</c:v>
                </c:pt>
                <c:pt idx="490">
                  <c:v>191.6</c:v>
                </c:pt>
                <c:pt idx="491">
                  <c:v>187.97</c:v>
                </c:pt>
                <c:pt idx="492">
                  <c:v>186.51</c:v>
                </c:pt>
                <c:pt idx="493">
                  <c:v>188.82</c:v>
                </c:pt>
                <c:pt idx="494">
                  <c:v>188.99</c:v>
                </c:pt>
                <c:pt idx="495">
                  <c:v>187.83</c:v>
                </c:pt>
                <c:pt idx="496">
                  <c:v>197.93</c:v>
                </c:pt>
                <c:pt idx="497">
                  <c:v>208.18</c:v>
                </c:pt>
                <c:pt idx="498">
                  <c:v>202.61</c:v>
                </c:pt>
                <c:pt idx="499">
                  <c:v>197.12</c:v>
                </c:pt>
                <c:pt idx="500">
                  <c:v>207.89</c:v>
                </c:pt>
                <c:pt idx="501">
                  <c:v>227.03</c:v>
                </c:pt>
                <c:pt idx="502">
                  <c:v>227.46</c:v>
                </c:pt>
                <c:pt idx="503">
                  <c:v>224.92</c:v>
                </c:pt>
                <c:pt idx="504">
                  <c:v>223.75</c:v>
                </c:pt>
                <c:pt idx="505">
                  <c:v>224.19</c:v>
                </c:pt>
                <c:pt idx="506">
                  <c:v>218.94</c:v>
                </c:pt>
                <c:pt idx="507">
                  <c:v>225.94</c:v>
                </c:pt>
                <c:pt idx="508">
                  <c:v>234.85</c:v>
                </c:pt>
                <c:pt idx="509">
                  <c:v>237.68</c:v>
                </c:pt>
                <c:pt idx="510">
                  <c:v>229.15</c:v>
                </c:pt>
                <c:pt idx="511">
                  <c:v>228.68</c:v>
                </c:pt>
                <c:pt idx="512">
                  <c:v>216.58</c:v>
                </c:pt>
                <c:pt idx="513">
                  <c:v>212.28</c:v>
                </c:pt>
                <c:pt idx="514">
                  <c:v>199.25</c:v>
                </c:pt>
                <c:pt idx="515">
                  <c:v>197.95</c:v>
                </c:pt>
                <c:pt idx="516">
                  <c:v>196.21</c:v>
                </c:pt>
                <c:pt idx="517">
                  <c:v>192.72</c:v>
                </c:pt>
                <c:pt idx="518">
                  <c:v>171</c:v>
                </c:pt>
                <c:pt idx="519">
                  <c:v>184.87</c:v>
                </c:pt>
                <c:pt idx="520">
                  <c:v>172.61</c:v>
                </c:pt>
                <c:pt idx="521">
                  <c:v>188.99</c:v>
                </c:pt>
                <c:pt idx="522">
                  <c:v>189.98</c:v>
                </c:pt>
              </c:numCache>
            </c:numRef>
          </c:val>
          <c:smooth val="0"/>
          <c:extLst>
            <c:ext xmlns:c16="http://schemas.microsoft.com/office/drawing/2014/chart" uri="{C3380CC4-5D6E-409C-BE32-E72D297353CC}">
              <c16:uniqueId val="{00000000-F151-4ABF-9079-74F1FD376EFD}"/>
            </c:ext>
          </c:extLst>
        </c:ser>
        <c:dLbls>
          <c:showLegendKey val="0"/>
          <c:showVal val="0"/>
          <c:showCatName val="0"/>
          <c:showSerName val="0"/>
          <c:showPercent val="0"/>
          <c:showBubbleSize val="0"/>
        </c:dLbls>
        <c:smooth val="0"/>
        <c:axId val="522684367"/>
        <c:axId val="522689167"/>
      </c:lineChart>
      <c:dateAx>
        <c:axId val="52268436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Date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m/d/yy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2689167"/>
        <c:crosses val="autoZero"/>
        <c:auto val="1"/>
        <c:lblOffset val="100"/>
        <c:baseTimeUnit val="days"/>
      </c:dateAx>
      <c:valAx>
        <c:axId val="522689167"/>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Price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409]* #,##0.00_);_([$$-409]* \(#,##0.00\);_([$$-409]*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2684367"/>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MSTR Closing</a:t>
            </a:r>
            <a:r>
              <a:rPr lang="en-US" baseline="0"/>
              <a:t> Stock Price 10 Year History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cked"/>
        <c:varyColors val="0"/>
        <c:ser>
          <c:idx val="0"/>
          <c:order val="0"/>
          <c:tx>
            <c:strRef>
              <c:f>MSTR!$E$6</c:f>
              <c:strCache>
                <c:ptCount val="1"/>
                <c:pt idx="0">
                  <c:v>Close</c:v>
                </c:pt>
              </c:strCache>
            </c:strRef>
          </c:tx>
          <c:spPr>
            <a:ln w="28575" cap="rnd">
              <a:solidFill>
                <a:schemeClr val="accent1"/>
              </a:solidFill>
              <a:round/>
            </a:ln>
            <a:effectLst/>
          </c:spPr>
          <c:marker>
            <c:symbol val="none"/>
          </c:marker>
          <c:cat>
            <c:numRef>
              <c:f>MSTR!$D$7:$D$529</c:f>
              <c:numCache>
                <c:formatCode>m/d/yyyy</c:formatCode>
                <c:ptCount val="523"/>
                <c:pt idx="0">
                  <c:v>42121</c:v>
                </c:pt>
                <c:pt idx="1">
                  <c:v>42128</c:v>
                </c:pt>
                <c:pt idx="2">
                  <c:v>42135</c:v>
                </c:pt>
                <c:pt idx="3">
                  <c:v>42142</c:v>
                </c:pt>
                <c:pt idx="4">
                  <c:v>42150</c:v>
                </c:pt>
                <c:pt idx="5">
                  <c:v>42156</c:v>
                </c:pt>
                <c:pt idx="6">
                  <c:v>42163</c:v>
                </c:pt>
                <c:pt idx="7">
                  <c:v>42170</c:v>
                </c:pt>
                <c:pt idx="8">
                  <c:v>42177</c:v>
                </c:pt>
                <c:pt idx="9">
                  <c:v>42184</c:v>
                </c:pt>
                <c:pt idx="10">
                  <c:v>42191</c:v>
                </c:pt>
                <c:pt idx="11">
                  <c:v>42198</c:v>
                </c:pt>
                <c:pt idx="12">
                  <c:v>42205</c:v>
                </c:pt>
                <c:pt idx="13">
                  <c:v>42212</c:v>
                </c:pt>
                <c:pt idx="14">
                  <c:v>42219</c:v>
                </c:pt>
                <c:pt idx="15">
                  <c:v>42226</c:v>
                </c:pt>
                <c:pt idx="16">
                  <c:v>42233</c:v>
                </c:pt>
                <c:pt idx="17">
                  <c:v>42240</c:v>
                </c:pt>
                <c:pt idx="18">
                  <c:v>42247</c:v>
                </c:pt>
                <c:pt idx="19">
                  <c:v>42255</c:v>
                </c:pt>
                <c:pt idx="20">
                  <c:v>42261</c:v>
                </c:pt>
                <c:pt idx="21">
                  <c:v>42268</c:v>
                </c:pt>
                <c:pt idx="22">
                  <c:v>42275</c:v>
                </c:pt>
                <c:pt idx="23">
                  <c:v>42282</c:v>
                </c:pt>
                <c:pt idx="24">
                  <c:v>42289</c:v>
                </c:pt>
                <c:pt idx="25">
                  <c:v>42296</c:v>
                </c:pt>
                <c:pt idx="26">
                  <c:v>42303</c:v>
                </c:pt>
                <c:pt idx="27">
                  <c:v>42310</c:v>
                </c:pt>
                <c:pt idx="28">
                  <c:v>42317</c:v>
                </c:pt>
                <c:pt idx="29">
                  <c:v>42324</c:v>
                </c:pt>
                <c:pt idx="30">
                  <c:v>42331</c:v>
                </c:pt>
                <c:pt idx="31">
                  <c:v>42338</c:v>
                </c:pt>
                <c:pt idx="32">
                  <c:v>42345</c:v>
                </c:pt>
                <c:pt idx="33">
                  <c:v>42352</c:v>
                </c:pt>
                <c:pt idx="34">
                  <c:v>42359</c:v>
                </c:pt>
                <c:pt idx="35">
                  <c:v>42366</c:v>
                </c:pt>
                <c:pt idx="36">
                  <c:v>42373</c:v>
                </c:pt>
                <c:pt idx="37">
                  <c:v>42380</c:v>
                </c:pt>
                <c:pt idx="38">
                  <c:v>42388</c:v>
                </c:pt>
                <c:pt idx="39">
                  <c:v>42394</c:v>
                </c:pt>
                <c:pt idx="40">
                  <c:v>42401</c:v>
                </c:pt>
                <c:pt idx="41">
                  <c:v>42408</c:v>
                </c:pt>
                <c:pt idx="42">
                  <c:v>42416</c:v>
                </c:pt>
                <c:pt idx="43">
                  <c:v>42422</c:v>
                </c:pt>
                <c:pt idx="44">
                  <c:v>42429</c:v>
                </c:pt>
                <c:pt idx="45">
                  <c:v>42436</c:v>
                </c:pt>
                <c:pt idx="46">
                  <c:v>42443</c:v>
                </c:pt>
                <c:pt idx="47">
                  <c:v>42450</c:v>
                </c:pt>
                <c:pt idx="48">
                  <c:v>42457</c:v>
                </c:pt>
                <c:pt idx="49">
                  <c:v>42464</c:v>
                </c:pt>
                <c:pt idx="50">
                  <c:v>42471</c:v>
                </c:pt>
                <c:pt idx="51">
                  <c:v>42478</c:v>
                </c:pt>
                <c:pt idx="52">
                  <c:v>42485</c:v>
                </c:pt>
                <c:pt idx="53">
                  <c:v>42492</c:v>
                </c:pt>
                <c:pt idx="54">
                  <c:v>42499</c:v>
                </c:pt>
                <c:pt idx="55">
                  <c:v>42506</c:v>
                </c:pt>
                <c:pt idx="56">
                  <c:v>42513</c:v>
                </c:pt>
                <c:pt idx="57">
                  <c:v>42521</c:v>
                </c:pt>
                <c:pt idx="58">
                  <c:v>42527</c:v>
                </c:pt>
                <c:pt idx="59">
                  <c:v>42534</c:v>
                </c:pt>
                <c:pt idx="60">
                  <c:v>42541</c:v>
                </c:pt>
                <c:pt idx="61">
                  <c:v>42548</c:v>
                </c:pt>
                <c:pt idx="62">
                  <c:v>42556</c:v>
                </c:pt>
                <c:pt idx="63">
                  <c:v>42562</c:v>
                </c:pt>
                <c:pt idx="64">
                  <c:v>42569</c:v>
                </c:pt>
                <c:pt idx="65">
                  <c:v>42576</c:v>
                </c:pt>
                <c:pt idx="66">
                  <c:v>42583</c:v>
                </c:pt>
                <c:pt idx="67">
                  <c:v>42590</c:v>
                </c:pt>
                <c:pt idx="68">
                  <c:v>42597</c:v>
                </c:pt>
                <c:pt idx="69">
                  <c:v>42604</c:v>
                </c:pt>
                <c:pt idx="70">
                  <c:v>42611</c:v>
                </c:pt>
                <c:pt idx="71">
                  <c:v>42619</c:v>
                </c:pt>
                <c:pt idx="72">
                  <c:v>42625</c:v>
                </c:pt>
                <c:pt idx="73">
                  <c:v>42632</c:v>
                </c:pt>
                <c:pt idx="74">
                  <c:v>42639</c:v>
                </c:pt>
                <c:pt idx="75">
                  <c:v>42646</c:v>
                </c:pt>
                <c:pt idx="76">
                  <c:v>42653</c:v>
                </c:pt>
                <c:pt idx="77">
                  <c:v>42660</c:v>
                </c:pt>
                <c:pt idx="78">
                  <c:v>42667</c:v>
                </c:pt>
                <c:pt idx="79">
                  <c:v>42674</c:v>
                </c:pt>
                <c:pt idx="80">
                  <c:v>42681</c:v>
                </c:pt>
                <c:pt idx="81">
                  <c:v>42688</c:v>
                </c:pt>
                <c:pt idx="82">
                  <c:v>42695</c:v>
                </c:pt>
                <c:pt idx="83">
                  <c:v>42702</c:v>
                </c:pt>
                <c:pt idx="84">
                  <c:v>42709</c:v>
                </c:pt>
                <c:pt idx="85">
                  <c:v>42716</c:v>
                </c:pt>
                <c:pt idx="86">
                  <c:v>42723</c:v>
                </c:pt>
                <c:pt idx="87">
                  <c:v>42731</c:v>
                </c:pt>
                <c:pt idx="88">
                  <c:v>42738</c:v>
                </c:pt>
                <c:pt idx="89">
                  <c:v>42744</c:v>
                </c:pt>
                <c:pt idx="90">
                  <c:v>42752</c:v>
                </c:pt>
                <c:pt idx="91">
                  <c:v>42758</c:v>
                </c:pt>
                <c:pt idx="92">
                  <c:v>42765</c:v>
                </c:pt>
                <c:pt idx="93">
                  <c:v>42772</c:v>
                </c:pt>
                <c:pt idx="94">
                  <c:v>42779</c:v>
                </c:pt>
                <c:pt idx="95">
                  <c:v>42787</c:v>
                </c:pt>
                <c:pt idx="96">
                  <c:v>42793</c:v>
                </c:pt>
                <c:pt idx="97">
                  <c:v>42800</c:v>
                </c:pt>
                <c:pt idx="98">
                  <c:v>42807</c:v>
                </c:pt>
                <c:pt idx="99">
                  <c:v>42814</c:v>
                </c:pt>
                <c:pt idx="100">
                  <c:v>42821</c:v>
                </c:pt>
                <c:pt idx="101">
                  <c:v>42828</c:v>
                </c:pt>
                <c:pt idx="102">
                  <c:v>42835</c:v>
                </c:pt>
                <c:pt idx="103">
                  <c:v>42842</c:v>
                </c:pt>
                <c:pt idx="104">
                  <c:v>42849</c:v>
                </c:pt>
                <c:pt idx="105">
                  <c:v>42856</c:v>
                </c:pt>
                <c:pt idx="106">
                  <c:v>42863</c:v>
                </c:pt>
                <c:pt idx="107">
                  <c:v>42870</c:v>
                </c:pt>
                <c:pt idx="108">
                  <c:v>42877</c:v>
                </c:pt>
                <c:pt idx="109">
                  <c:v>42885</c:v>
                </c:pt>
                <c:pt idx="110">
                  <c:v>42891</c:v>
                </c:pt>
                <c:pt idx="111">
                  <c:v>42898</c:v>
                </c:pt>
                <c:pt idx="112">
                  <c:v>42905</c:v>
                </c:pt>
                <c:pt idx="113">
                  <c:v>42912</c:v>
                </c:pt>
                <c:pt idx="114">
                  <c:v>42919</c:v>
                </c:pt>
                <c:pt idx="115">
                  <c:v>42926</c:v>
                </c:pt>
                <c:pt idx="116">
                  <c:v>42933</c:v>
                </c:pt>
                <c:pt idx="117">
                  <c:v>42940</c:v>
                </c:pt>
                <c:pt idx="118">
                  <c:v>42947</c:v>
                </c:pt>
                <c:pt idx="119">
                  <c:v>42954</c:v>
                </c:pt>
                <c:pt idx="120">
                  <c:v>42961</c:v>
                </c:pt>
                <c:pt idx="121">
                  <c:v>42968</c:v>
                </c:pt>
                <c:pt idx="122">
                  <c:v>42975</c:v>
                </c:pt>
                <c:pt idx="123">
                  <c:v>42983</c:v>
                </c:pt>
                <c:pt idx="124">
                  <c:v>42989</c:v>
                </c:pt>
                <c:pt idx="125">
                  <c:v>42996</c:v>
                </c:pt>
                <c:pt idx="126">
                  <c:v>43003</c:v>
                </c:pt>
                <c:pt idx="127">
                  <c:v>43010</c:v>
                </c:pt>
                <c:pt idx="128">
                  <c:v>43017</c:v>
                </c:pt>
                <c:pt idx="129">
                  <c:v>43024</c:v>
                </c:pt>
                <c:pt idx="130">
                  <c:v>43031</c:v>
                </c:pt>
                <c:pt idx="131">
                  <c:v>43038</c:v>
                </c:pt>
                <c:pt idx="132">
                  <c:v>43045</c:v>
                </c:pt>
                <c:pt idx="133">
                  <c:v>43052</c:v>
                </c:pt>
                <c:pt idx="134">
                  <c:v>43059</c:v>
                </c:pt>
                <c:pt idx="135">
                  <c:v>43066</c:v>
                </c:pt>
                <c:pt idx="136">
                  <c:v>43073</c:v>
                </c:pt>
                <c:pt idx="137">
                  <c:v>43080</c:v>
                </c:pt>
                <c:pt idx="138">
                  <c:v>43087</c:v>
                </c:pt>
                <c:pt idx="139">
                  <c:v>43095</c:v>
                </c:pt>
                <c:pt idx="140">
                  <c:v>43102</c:v>
                </c:pt>
                <c:pt idx="141">
                  <c:v>43108</c:v>
                </c:pt>
                <c:pt idx="142">
                  <c:v>43116</c:v>
                </c:pt>
                <c:pt idx="143">
                  <c:v>43122</c:v>
                </c:pt>
                <c:pt idx="144">
                  <c:v>43129</c:v>
                </c:pt>
                <c:pt idx="145">
                  <c:v>43136</c:v>
                </c:pt>
                <c:pt idx="146">
                  <c:v>43143</c:v>
                </c:pt>
                <c:pt idx="147">
                  <c:v>43151</c:v>
                </c:pt>
                <c:pt idx="148">
                  <c:v>43157</c:v>
                </c:pt>
                <c:pt idx="149">
                  <c:v>43164</c:v>
                </c:pt>
                <c:pt idx="150">
                  <c:v>43171</c:v>
                </c:pt>
                <c:pt idx="151">
                  <c:v>43178</c:v>
                </c:pt>
                <c:pt idx="152">
                  <c:v>43185</c:v>
                </c:pt>
                <c:pt idx="153">
                  <c:v>43192</c:v>
                </c:pt>
                <c:pt idx="154">
                  <c:v>43199</c:v>
                </c:pt>
                <c:pt idx="155">
                  <c:v>43206</c:v>
                </c:pt>
                <c:pt idx="156">
                  <c:v>43213</c:v>
                </c:pt>
                <c:pt idx="157">
                  <c:v>43220</c:v>
                </c:pt>
                <c:pt idx="158">
                  <c:v>43227</c:v>
                </c:pt>
                <c:pt idx="159">
                  <c:v>43234</c:v>
                </c:pt>
                <c:pt idx="160">
                  <c:v>43241</c:v>
                </c:pt>
                <c:pt idx="161">
                  <c:v>43249</c:v>
                </c:pt>
                <c:pt idx="162">
                  <c:v>43255</c:v>
                </c:pt>
                <c:pt idx="163">
                  <c:v>43262</c:v>
                </c:pt>
                <c:pt idx="164">
                  <c:v>43269</c:v>
                </c:pt>
                <c:pt idx="165">
                  <c:v>43276</c:v>
                </c:pt>
                <c:pt idx="166">
                  <c:v>43283</c:v>
                </c:pt>
                <c:pt idx="167">
                  <c:v>43290</c:v>
                </c:pt>
                <c:pt idx="168">
                  <c:v>43297</c:v>
                </c:pt>
                <c:pt idx="169">
                  <c:v>43304</c:v>
                </c:pt>
                <c:pt idx="170">
                  <c:v>43311</c:v>
                </c:pt>
                <c:pt idx="171">
                  <c:v>43318</c:v>
                </c:pt>
                <c:pt idx="172">
                  <c:v>43325</c:v>
                </c:pt>
                <c:pt idx="173">
                  <c:v>43332</c:v>
                </c:pt>
                <c:pt idx="174">
                  <c:v>43339</c:v>
                </c:pt>
                <c:pt idx="175">
                  <c:v>43347</c:v>
                </c:pt>
                <c:pt idx="176">
                  <c:v>43353</c:v>
                </c:pt>
                <c:pt idx="177">
                  <c:v>43360</c:v>
                </c:pt>
                <c:pt idx="178">
                  <c:v>43367</c:v>
                </c:pt>
                <c:pt idx="179">
                  <c:v>43374</c:v>
                </c:pt>
                <c:pt idx="180">
                  <c:v>43381</c:v>
                </c:pt>
                <c:pt idx="181">
                  <c:v>43388</c:v>
                </c:pt>
                <c:pt idx="182">
                  <c:v>43395</c:v>
                </c:pt>
                <c:pt idx="183">
                  <c:v>43402</c:v>
                </c:pt>
                <c:pt idx="184">
                  <c:v>43409</c:v>
                </c:pt>
                <c:pt idx="185">
                  <c:v>43416</c:v>
                </c:pt>
                <c:pt idx="186">
                  <c:v>43423</c:v>
                </c:pt>
                <c:pt idx="187">
                  <c:v>43430</c:v>
                </c:pt>
                <c:pt idx="188">
                  <c:v>43437</c:v>
                </c:pt>
                <c:pt idx="189">
                  <c:v>43444</c:v>
                </c:pt>
                <c:pt idx="190">
                  <c:v>43451</c:v>
                </c:pt>
                <c:pt idx="191">
                  <c:v>43458</c:v>
                </c:pt>
                <c:pt idx="192">
                  <c:v>43465</c:v>
                </c:pt>
                <c:pt idx="193">
                  <c:v>43472</c:v>
                </c:pt>
                <c:pt idx="194">
                  <c:v>43479</c:v>
                </c:pt>
                <c:pt idx="195">
                  <c:v>43487</c:v>
                </c:pt>
                <c:pt idx="196">
                  <c:v>43493</c:v>
                </c:pt>
                <c:pt idx="197">
                  <c:v>43500</c:v>
                </c:pt>
                <c:pt idx="198">
                  <c:v>43507</c:v>
                </c:pt>
                <c:pt idx="199">
                  <c:v>43515</c:v>
                </c:pt>
                <c:pt idx="200">
                  <c:v>43521</c:v>
                </c:pt>
                <c:pt idx="201">
                  <c:v>43528</c:v>
                </c:pt>
                <c:pt idx="202">
                  <c:v>43535</c:v>
                </c:pt>
                <c:pt idx="203">
                  <c:v>43542</c:v>
                </c:pt>
                <c:pt idx="204">
                  <c:v>43549</c:v>
                </c:pt>
                <c:pt idx="205">
                  <c:v>43556</c:v>
                </c:pt>
                <c:pt idx="206">
                  <c:v>43563</c:v>
                </c:pt>
                <c:pt idx="207">
                  <c:v>43570</c:v>
                </c:pt>
                <c:pt idx="208">
                  <c:v>43577</c:v>
                </c:pt>
                <c:pt idx="209">
                  <c:v>43584</c:v>
                </c:pt>
                <c:pt idx="210">
                  <c:v>43591</c:v>
                </c:pt>
                <c:pt idx="211">
                  <c:v>43598</c:v>
                </c:pt>
                <c:pt idx="212">
                  <c:v>43605</c:v>
                </c:pt>
                <c:pt idx="213">
                  <c:v>43613</c:v>
                </c:pt>
                <c:pt idx="214">
                  <c:v>43619</c:v>
                </c:pt>
                <c:pt idx="215">
                  <c:v>43626</c:v>
                </c:pt>
                <c:pt idx="216">
                  <c:v>43633</c:v>
                </c:pt>
                <c:pt idx="217">
                  <c:v>43640</c:v>
                </c:pt>
                <c:pt idx="218">
                  <c:v>43647</c:v>
                </c:pt>
                <c:pt idx="219">
                  <c:v>43654</c:v>
                </c:pt>
                <c:pt idx="220">
                  <c:v>43661</c:v>
                </c:pt>
                <c:pt idx="221">
                  <c:v>43668</c:v>
                </c:pt>
                <c:pt idx="222">
                  <c:v>43675</c:v>
                </c:pt>
                <c:pt idx="223">
                  <c:v>43682</c:v>
                </c:pt>
                <c:pt idx="224">
                  <c:v>43689</c:v>
                </c:pt>
                <c:pt idx="225">
                  <c:v>43696</c:v>
                </c:pt>
                <c:pt idx="226">
                  <c:v>43703</c:v>
                </c:pt>
                <c:pt idx="227">
                  <c:v>43711</c:v>
                </c:pt>
                <c:pt idx="228">
                  <c:v>43717</c:v>
                </c:pt>
                <c:pt idx="229">
                  <c:v>43724</c:v>
                </c:pt>
                <c:pt idx="230">
                  <c:v>43731</c:v>
                </c:pt>
                <c:pt idx="231">
                  <c:v>43738</c:v>
                </c:pt>
                <c:pt idx="232">
                  <c:v>43745</c:v>
                </c:pt>
                <c:pt idx="233">
                  <c:v>43752</c:v>
                </c:pt>
                <c:pt idx="234">
                  <c:v>43759</c:v>
                </c:pt>
                <c:pt idx="235">
                  <c:v>43766</c:v>
                </c:pt>
                <c:pt idx="236">
                  <c:v>43773</c:v>
                </c:pt>
                <c:pt idx="237">
                  <c:v>43780</c:v>
                </c:pt>
                <c:pt idx="238">
                  <c:v>43787</c:v>
                </c:pt>
                <c:pt idx="239">
                  <c:v>43794</c:v>
                </c:pt>
                <c:pt idx="240">
                  <c:v>43801</c:v>
                </c:pt>
                <c:pt idx="241">
                  <c:v>43808</c:v>
                </c:pt>
                <c:pt idx="242">
                  <c:v>43815</c:v>
                </c:pt>
                <c:pt idx="243">
                  <c:v>43822</c:v>
                </c:pt>
                <c:pt idx="244">
                  <c:v>43829</c:v>
                </c:pt>
                <c:pt idx="245">
                  <c:v>43836</c:v>
                </c:pt>
                <c:pt idx="246">
                  <c:v>43843</c:v>
                </c:pt>
                <c:pt idx="247">
                  <c:v>43851</c:v>
                </c:pt>
                <c:pt idx="248">
                  <c:v>43857</c:v>
                </c:pt>
                <c:pt idx="249">
                  <c:v>43864</c:v>
                </c:pt>
                <c:pt idx="250">
                  <c:v>43871</c:v>
                </c:pt>
                <c:pt idx="251">
                  <c:v>43879</c:v>
                </c:pt>
                <c:pt idx="252">
                  <c:v>43885</c:v>
                </c:pt>
                <c:pt idx="253">
                  <c:v>43892</c:v>
                </c:pt>
                <c:pt idx="254">
                  <c:v>43899</c:v>
                </c:pt>
                <c:pt idx="255">
                  <c:v>43906</c:v>
                </c:pt>
                <c:pt idx="256">
                  <c:v>43913</c:v>
                </c:pt>
                <c:pt idx="257">
                  <c:v>43920</c:v>
                </c:pt>
                <c:pt idx="258">
                  <c:v>43927</c:v>
                </c:pt>
                <c:pt idx="259">
                  <c:v>43934</c:v>
                </c:pt>
                <c:pt idx="260">
                  <c:v>43941</c:v>
                </c:pt>
                <c:pt idx="261">
                  <c:v>43948</c:v>
                </c:pt>
                <c:pt idx="262">
                  <c:v>43955</c:v>
                </c:pt>
                <c:pt idx="263">
                  <c:v>43962</c:v>
                </c:pt>
                <c:pt idx="264">
                  <c:v>43969</c:v>
                </c:pt>
                <c:pt idx="265">
                  <c:v>43977</c:v>
                </c:pt>
                <c:pt idx="266">
                  <c:v>43983</c:v>
                </c:pt>
                <c:pt idx="267">
                  <c:v>43990</c:v>
                </c:pt>
                <c:pt idx="268">
                  <c:v>43997</c:v>
                </c:pt>
                <c:pt idx="269">
                  <c:v>44004</c:v>
                </c:pt>
                <c:pt idx="270">
                  <c:v>44011</c:v>
                </c:pt>
                <c:pt idx="271">
                  <c:v>44018</c:v>
                </c:pt>
                <c:pt idx="272">
                  <c:v>44025</c:v>
                </c:pt>
                <c:pt idx="273">
                  <c:v>44032</c:v>
                </c:pt>
                <c:pt idx="274">
                  <c:v>44039</c:v>
                </c:pt>
                <c:pt idx="275">
                  <c:v>44046</c:v>
                </c:pt>
                <c:pt idx="276">
                  <c:v>44053</c:v>
                </c:pt>
                <c:pt idx="277">
                  <c:v>44060</c:v>
                </c:pt>
                <c:pt idx="278">
                  <c:v>44067</c:v>
                </c:pt>
                <c:pt idx="279">
                  <c:v>44074</c:v>
                </c:pt>
                <c:pt idx="280">
                  <c:v>44082</c:v>
                </c:pt>
                <c:pt idx="281">
                  <c:v>44088</c:v>
                </c:pt>
                <c:pt idx="282">
                  <c:v>44095</c:v>
                </c:pt>
                <c:pt idx="283">
                  <c:v>44102</c:v>
                </c:pt>
                <c:pt idx="284">
                  <c:v>44109</c:v>
                </c:pt>
                <c:pt idx="285">
                  <c:v>44116</c:v>
                </c:pt>
                <c:pt idx="286">
                  <c:v>44123</c:v>
                </c:pt>
                <c:pt idx="287">
                  <c:v>44130</c:v>
                </c:pt>
                <c:pt idx="288">
                  <c:v>44137</c:v>
                </c:pt>
                <c:pt idx="289">
                  <c:v>44144</c:v>
                </c:pt>
                <c:pt idx="290">
                  <c:v>44151</c:v>
                </c:pt>
                <c:pt idx="291">
                  <c:v>44158</c:v>
                </c:pt>
                <c:pt idx="292">
                  <c:v>44165</c:v>
                </c:pt>
                <c:pt idx="293">
                  <c:v>44172</c:v>
                </c:pt>
                <c:pt idx="294">
                  <c:v>44179</c:v>
                </c:pt>
                <c:pt idx="295">
                  <c:v>44186</c:v>
                </c:pt>
                <c:pt idx="296">
                  <c:v>44193</c:v>
                </c:pt>
                <c:pt idx="297">
                  <c:v>44200</c:v>
                </c:pt>
                <c:pt idx="298">
                  <c:v>44207</c:v>
                </c:pt>
                <c:pt idx="299">
                  <c:v>44215</c:v>
                </c:pt>
                <c:pt idx="300">
                  <c:v>44221</c:v>
                </c:pt>
                <c:pt idx="301">
                  <c:v>44228</c:v>
                </c:pt>
                <c:pt idx="302">
                  <c:v>44235</c:v>
                </c:pt>
                <c:pt idx="303">
                  <c:v>44243</c:v>
                </c:pt>
                <c:pt idx="304">
                  <c:v>44249</c:v>
                </c:pt>
                <c:pt idx="305">
                  <c:v>44256</c:v>
                </c:pt>
                <c:pt idx="306">
                  <c:v>44263</c:v>
                </c:pt>
                <c:pt idx="307">
                  <c:v>44270</c:v>
                </c:pt>
                <c:pt idx="308">
                  <c:v>44277</c:v>
                </c:pt>
                <c:pt idx="309">
                  <c:v>44284</c:v>
                </c:pt>
                <c:pt idx="310">
                  <c:v>44291</c:v>
                </c:pt>
                <c:pt idx="311">
                  <c:v>44298</c:v>
                </c:pt>
                <c:pt idx="312">
                  <c:v>44305</c:v>
                </c:pt>
                <c:pt idx="313">
                  <c:v>44312</c:v>
                </c:pt>
                <c:pt idx="314">
                  <c:v>44319</c:v>
                </c:pt>
                <c:pt idx="315">
                  <c:v>44326</c:v>
                </c:pt>
                <c:pt idx="316">
                  <c:v>44333</c:v>
                </c:pt>
                <c:pt idx="317">
                  <c:v>44340</c:v>
                </c:pt>
                <c:pt idx="318">
                  <c:v>44348</c:v>
                </c:pt>
                <c:pt idx="319">
                  <c:v>44354</c:v>
                </c:pt>
                <c:pt idx="320">
                  <c:v>44361</c:v>
                </c:pt>
                <c:pt idx="321">
                  <c:v>44368</c:v>
                </c:pt>
                <c:pt idx="322">
                  <c:v>44375</c:v>
                </c:pt>
                <c:pt idx="323">
                  <c:v>44383</c:v>
                </c:pt>
                <c:pt idx="324">
                  <c:v>44389</c:v>
                </c:pt>
                <c:pt idx="325">
                  <c:v>44396</c:v>
                </c:pt>
                <c:pt idx="326">
                  <c:v>44403</c:v>
                </c:pt>
                <c:pt idx="327">
                  <c:v>44410</c:v>
                </c:pt>
                <c:pt idx="328">
                  <c:v>44417</c:v>
                </c:pt>
                <c:pt idx="329">
                  <c:v>44424</c:v>
                </c:pt>
                <c:pt idx="330">
                  <c:v>44431</c:v>
                </c:pt>
                <c:pt idx="331">
                  <c:v>44438</c:v>
                </c:pt>
                <c:pt idx="332">
                  <c:v>44446</c:v>
                </c:pt>
                <c:pt idx="333">
                  <c:v>44452</c:v>
                </c:pt>
                <c:pt idx="334">
                  <c:v>44459</c:v>
                </c:pt>
                <c:pt idx="335">
                  <c:v>44466</c:v>
                </c:pt>
                <c:pt idx="336">
                  <c:v>44473</c:v>
                </c:pt>
                <c:pt idx="337">
                  <c:v>44480</c:v>
                </c:pt>
                <c:pt idx="338">
                  <c:v>44487</c:v>
                </c:pt>
                <c:pt idx="339">
                  <c:v>44494</c:v>
                </c:pt>
                <c:pt idx="340">
                  <c:v>44501</c:v>
                </c:pt>
                <c:pt idx="341">
                  <c:v>44508</c:v>
                </c:pt>
                <c:pt idx="342">
                  <c:v>44515</c:v>
                </c:pt>
                <c:pt idx="343">
                  <c:v>44522</c:v>
                </c:pt>
                <c:pt idx="344">
                  <c:v>44529</c:v>
                </c:pt>
                <c:pt idx="345">
                  <c:v>44536</c:v>
                </c:pt>
                <c:pt idx="346">
                  <c:v>44543</c:v>
                </c:pt>
                <c:pt idx="347">
                  <c:v>44550</c:v>
                </c:pt>
                <c:pt idx="348">
                  <c:v>44557</c:v>
                </c:pt>
                <c:pt idx="349">
                  <c:v>44564</c:v>
                </c:pt>
                <c:pt idx="350">
                  <c:v>44571</c:v>
                </c:pt>
                <c:pt idx="351">
                  <c:v>44579</c:v>
                </c:pt>
                <c:pt idx="352">
                  <c:v>44585</c:v>
                </c:pt>
                <c:pt idx="353">
                  <c:v>44592</c:v>
                </c:pt>
                <c:pt idx="354">
                  <c:v>44599</c:v>
                </c:pt>
                <c:pt idx="355">
                  <c:v>44606</c:v>
                </c:pt>
                <c:pt idx="356">
                  <c:v>44614</c:v>
                </c:pt>
                <c:pt idx="357">
                  <c:v>44620</c:v>
                </c:pt>
                <c:pt idx="358">
                  <c:v>44627</c:v>
                </c:pt>
                <c:pt idx="359">
                  <c:v>44634</c:v>
                </c:pt>
                <c:pt idx="360">
                  <c:v>44641</c:v>
                </c:pt>
                <c:pt idx="361">
                  <c:v>44648</c:v>
                </c:pt>
                <c:pt idx="362">
                  <c:v>44655</c:v>
                </c:pt>
                <c:pt idx="363">
                  <c:v>44662</c:v>
                </c:pt>
                <c:pt idx="364">
                  <c:v>44669</c:v>
                </c:pt>
                <c:pt idx="365">
                  <c:v>44676</c:v>
                </c:pt>
                <c:pt idx="366">
                  <c:v>44683</c:v>
                </c:pt>
                <c:pt idx="367">
                  <c:v>44690</c:v>
                </c:pt>
                <c:pt idx="368">
                  <c:v>44697</c:v>
                </c:pt>
                <c:pt idx="369">
                  <c:v>44704</c:v>
                </c:pt>
                <c:pt idx="370">
                  <c:v>44712</c:v>
                </c:pt>
                <c:pt idx="371">
                  <c:v>44718</c:v>
                </c:pt>
                <c:pt idx="372">
                  <c:v>44725</c:v>
                </c:pt>
                <c:pt idx="373">
                  <c:v>44733</c:v>
                </c:pt>
                <c:pt idx="374">
                  <c:v>44739</c:v>
                </c:pt>
                <c:pt idx="375">
                  <c:v>44747</c:v>
                </c:pt>
                <c:pt idx="376">
                  <c:v>44753</c:v>
                </c:pt>
                <c:pt idx="377">
                  <c:v>44760</c:v>
                </c:pt>
                <c:pt idx="378">
                  <c:v>44767</c:v>
                </c:pt>
                <c:pt idx="379">
                  <c:v>44774</c:v>
                </c:pt>
                <c:pt idx="380">
                  <c:v>44781</c:v>
                </c:pt>
                <c:pt idx="381">
                  <c:v>44788</c:v>
                </c:pt>
                <c:pt idx="382">
                  <c:v>44795</c:v>
                </c:pt>
                <c:pt idx="383">
                  <c:v>44802</c:v>
                </c:pt>
                <c:pt idx="384">
                  <c:v>44810</c:v>
                </c:pt>
                <c:pt idx="385">
                  <c:v>44816</c:v>
                </c:pt>
                <c:pt idx="386">
                  <c:v>44823</c:v>
                </c:pt>
                <c:pt idx="387">
                  <c:v>44830</c:v>
                </c:pt>
                <c:pt idx="388">
                  <c:v>44837</c:v>
                </c:pt>
                <c:pt idx="389">
                  <c:v>44844</c:v>
                </c:pt>
                <c:pt idx="390">
                  <c:v>44851</c:v>
                </c:pt>
                <c:pt idx="391">
                  <c:v>44858</c:v>
                </c:pt>
                <c:pt idx="392">
                  <c:v>44865</c:v>
                </c:pt>
                <c:pt idx="393">
                  <c:v>44872</c:v>
                </c:pt>
                <c:pt idx="394">
                  <c:v>44879</c:v>
                </c:pt>
                <c:pt idx="395">
                  <c:v>44886</c:v>
                </c:pt>
                <c:pt idx="396">
                  <c:v>44893</c:v>
                </c:pt>
                <c:pt idx="397">
                  <c:v>44900</c:v>
                </c:pt>
                <c:pt idx="398">
                  <c:v>44907</c:v>
                </c:pt>
                <c:pt idx="399">
                  <c:v>44914</c:v>
                </c:pt>
                <c:pt idx="400">
                  <c:v>44922</c:v>
                </c:pt>
                <c:pt idx="401">
                  <c:v>44929</c:v>
                </c:pt>
                <c:pt idx="402">
                  <c:v>44935</c:v>
                </c:pt>
                <c:pt idx="403">
                  <c:v>44943</c:v>
                </c:pt>
                <c:pt idx="404">
                  <c:v>44949</c:v>
                </c:pt>
                <c:pt idx="405">
                  <c:v>44956</c:v>
                </c:pt>
                <c:pt idx="406">
                  <c:v>44963</c:v>
                </c:pt>
                <c:pt idx="407">
                  <c:v>44970</c:v>
                </c:pt>
                <c:pt idx="408">
                  <c:v>44978</c:v>
                </c:pt>
                <c:pt idx="409">
                  <c:v>44984</c:v>
                </c:pt>
                <c:pt idx="410">
                  <c:v>44991</c:v>
                </c:pt>
                <c:pt idx="411">
                  <c:v>44998</c:v>
                </c:pt>
                <c:pt idx="412">
                  <c:v>45005</c:v>
                </c:pt>
                <c:pt idx="413">
                  <c:v>45012</c:v>
                </c:pt>
                <c:pt idx="414">
                  <c:v>45019</c:v>
                </c:pt>
                <c:pt idx="415">
                  <c:v>45026</c:v>
                </c:pt>
                <c:pt idx="416">
                  <c:v>45033</c:v>
                </c:pt>
                <c:pt idx="417">
                  <c:v>45040</c:v>
                </c:pt>
                <c:pt idx="418">
                  <c:v>45047</c:v>
                </c:pt>
                <c:pt idx="419">
                  <c:v>45054</c:v>
                </c:pt>
                <c:pt idx="420">
                  <c:v>45061</c:v>
                </c:pt>
                <c:pt idx="421">
                  <c:v>45068</c:v>
                </c:pt>
                <c:pt idx="422">
                  <c:v>45076</c:v>
                </c:pt>
                <c:pt idx="423">
                  <c:v>45082</c:v>
                </c:pt>
                <c:pt idx="424">
                  <c:v>45089</c:v>
                </c:pt>
                <c:pt idx="425">
                  <c:v>45097</c:v>
                </c:pt>
                <c:pt idx="426">
                  <c:v>45103</c:v>
                </c:pt>
                <c:pt idx="427">
                  <c:v>45110</c:v>
                </c:pt>
                <c:pt idx="428">
                  <c:v>45117</c:v>
                </c:pt>
                <c:pt idx="429">
                  <c:v>45124</c:v>
                </c:pt>
                <c:pt idx="430">
                  <c:v>45131</c:v>
                </c:pt>
                <c:pt idx="431">
                  <c:v>45138</c:v>
                </c:pt>
                <c:pt idx="432">
                  <c:v>45145</c:v>
                </c:pt>
                <c:pt idx="433">
                  <c:v>45152</c:v>
                </c:pt>
                <c:pt idx="434">
                  <c:v>45159</c:v>
                </c:pt>
                <c:pt idx="435">
                  <c:v>45166</c:v>
                </c:pt>
                <c:pt idx="436">
                  <c:v>45174</c:v>
                </c:pt>
                <c:pt idx="437">
                  <c:v>45180</c:v>
                </c:pt>
                <c:pt idx="438">
                  <c:v>45187</c:v>
                </c:pt>
                <c:pt idx="439">
                  <c:v>45194</c:v>
                </c:pt>
                <c:pt idx="440">
                  <c:v>45201</c:v>
                </c:pt>
                <c:pt idx="441">
                  <c:v>45208</c:v>
                </c:pt>
                <c:pt idx="442">
                  <c:v>45215</c:v>
                </c:pt>
                <c:pt idx="443">
                  <c:v>45222</c:v>
                </c:pt>
                <c:pt idx="444">
                  <c:v>45229</c:v>
                </c:pt>
                <c:pt idx="445">
                  <c:v>45236</c:v>
                </c:pt>
                <c:pt idx="446">
                  <c:v>45243</c:v>
                </c:pt>
                <c:pt idx="447">
                  <c:v>45250</c:v>
                </c:pt>
                <c:pt idx="448">
                  <c:v>45257</c:v>
                </c:pt>
                <c:pt idx="449">
                  <c:v>45264</c:v>
                </c:pt>
                <c:pt idx="450">
                  <c:v>45271</c:v>
                </c:pt>
                <c:pt idx="451">
                  <c:v>45278</c:v>
                </c:pt>
                <c:pt idx="452">
                  <c:v>45286</c:v>
                </c:pt>
                <c:pt idx="453">
                  <c:v>45293</c:v>
                </c:pt>
                <c:pt idx="454">
                  <c:v>45299</c:v>
                </c:pt>
                <c:pt idx="455">
                  <c:v>45307</c:v>
                </c:pt>
                <c:pt idx="456">
                  <c:v>45313</c:v>
                </c:pt>
                <c:pt idx="457">
                  <c:v>45320</c:v>
                </c:pt>
                <c:pt idx="458">
                  <c:v>45327</c:v>
                </c:pt>
                <c:pt idx="459">
                  <c:v>45334</c:v>
                </c:pt>
                <c:pt idx="460">
                  <c:v>45342</c:v>
                </c:pt>
                <c:pt idx="461">
                  <c:v>45348</c:v>
                </c:pt>
                <c:pt idx="462">
                  <c:v>45355</c:v>
                </c:pt>
                <c:pt idx="463">
                  <c:v>45362</c:v>
                </c:pt>
                <c:pt idx="464">
                  <c:v>45369</c:v>
                </c:pt>
                <c:pt idx="465">
                  <c:v>45376</c:v>
                </c:pt>
                <c:pt idx="466">
                  <c:v>45383</c:v>
                </c:pt>
                <c:pt idx="467">
                  <c:v>45390</c:v>
                </c:pt>
                <c:pt idx="468">
                  <c:v>45397</c:v>
                </c:pt>
                <c:pt idx="469">
                  <c:v>45404</c:v>
                </c:pt>
                <c:pt idx="470">
                  <c:v>45411</c:v>
                </c:pt>
                <c:pt idx="471">
                  <c:v>45418</c:v>
                </c:pt>
                <c:pt idx="472">
                  <c:v>45425</c:v>
                </c:pt>
                <c:pt idx="473">
                  <c:v>45432</c:v>
                </c:pt>
                <c:pt idx="474">
                  <c:v>45440</c:v>
                </c:pt>
                <c:pt idx="475">
                  <c:v>45446</c:v>
                </c:pt>
                <c:pt idx="476">
                  <c:v>45453</c:v>
                </c:pt>
                <c:pt idx="477">
                  <c:v>45460</c:v>
                </c:pt>
                <c:pt idx="478">
                  <c:v>45467</c:v>
                </c:pt>
                <c:pt idx="479">
                  <c:v>45474</c:v>
                </c:pt>
                <c:pt idx="480">
                  <c:v>45481</c:v>
                </c:pt>
                <c:pt idx="481">
                  <c:v>45488</c:v>
                </c:pt>
                <c:pt idx="482">
                  <c:v>45495</c:v>
                </c:pt>
                <c:pt idx="483">
                  <c:v>45502</c:v>
                </c:pt>
                <c:pt idx="484">
                  <c:v>45509</c:v>
                </c:pt>
                <c:pt idx="485">
                  <c:v>45516</c:v>
                </c:pt>
                <c:pt idx="486">
                  <c:v>45523</c:v>
                </c:pt>
                <c:pt idx="487">
                  <c:v>45530</c:v>
                </c:pt>
                <c:pt idx="488">
                  <c:v>45538</c:v>
                </c:pt>
                <c:pt idx="489">
                  <c:v>45544</c:v>
                </c:pt>
                <c:pt idx="490">
                  <c:v>45551</c:v>
                </c:pt>
                <c:pt idx="491">
                  <c:v>45558</c:v>
                </c:pt>
                <c:pt idx="492">
                  <c:v>45565</c:v>
                </c:pt>
                <c:pt idx="493">
                  <c:v>45572</c:v>
                </c:pt>
                <c:pt idx="494">
                  <c:v>45579</c:v>
                </c:pt>
                <c:pt idx="495">
                  <c:v>45586</c:v>
                </c:pt>
                <c:pt idx="496">
                  <c:v>45593</c:v>
                </c:pt>
                <c:pt idx="497">
                  <c:v>45600</c:v>
                </c:pt>
                <c:pt idx="498">
                  <c:v>45607</c:v>
                </c:pt>
                <c:pt idx="499">
                  <c:v>45614</c:v>
                </c:pt>
                <c:pt idx="500">
                  <c:v>45621</c:v>
                </c:pt>
                <c:pt idx="501">
                  <c:v>45628</c:v>
                </c:pt>
                <c:pt idx="502">
                  <c:v>45635</c:v>
                </c:pt>
                <c:pt idx="503">
                  <c:v>45642</c:v>
                </c:pt>
                <c:pt idx="504">
                  <c:v>45649</c:v>
                </c:pt>
                <c:pt idx="505">
                  <c:v>45656</c:v>
                </c:pt>
                <c:pt idx="506">
                  <c:v>45663</c:v>
                </c:pt>
                <c:pt idx="507">
                  <c:v>45670</c:v>
                </c:pt>
                <c:pt idx="508">
                  <c:v>45678</c:v>
                </c:pt>
                <c:pt idx="509">
                  <c:v>45684</c:v>
                </c:pt>
                <c:pt idx="510">
                  <c:v>45691</c:v>
                </c:pt>
                <c:pt idx="511">
                  <c:v>45698</c:v>
                </c:pt>
                <c:pt idx="512">
                  <c:v>45706</c:v>
                </c:pt>
                <c:pt idx="513">
                  <c:v>45712</c:v>
                </c:pt>
                <c:pt idx="514">
                  <c:v>45719</c:v>
                </c:pt>
                <c:pt idx="515">
                  <c:v>45726</c:v>
                </c:pt>
                <c:pt idx="516">
                  <c:v>45733</c:v>
                </c:pt>
                <c:pt idx="517">
                  <c:v>45740</c:v>
                </c:pt>
                <c:pt idx="518">
                  <c:v>45747</c:v>
                </c:pt>
                <c:pt idx="519">
                  <c:v>45754</c:v>
                </c:pt>
                <c:pt idx="520">
                  <c:v>45761</c:v>
                </c:pt>
                <c:pt idx="521">
                  <c:v>45768</c:v>
                </c:pt>
                <c:pt idx="522">
                  <c:v>45775</c:v>
                </c:pt>
              </c:numCache>
            </c:numRef>
          </c:cat>
          <c:val>
            <c:numRef>
              <c:f>MSTR!$E$7:$E$529</c:f>
              <c:numCache>
                <c:formatCode>_([$$-409]* #,##0.00_);_([$$-409]* \(#,##0.00\);_([$$-409]* "-"??_);_(@_)</c:formatCode>
                <c:ptCount val="523"/>
                <c:pt idx="0">
                  <c:v>18.268000000000001</c:v>
                </c:pt>
                <c:pt idx="1">
                  <c:v>18.084</c:v>
                </c:pt>
                <c:pt idx="2">
                  <c:v>17.88</c:v>
                </c:pt>
                <c:pt idx="3">
                  <c:v>17.53</c:v>
                </c:pt>
                <c:pt idx="4">
                  <c:v>17.597999999999999</c:v>
                </c:pt>
                <c:pt idx="5">
                  <c:v>18.042999999999999</c:v>
                </c:pt>
                <c:pt idx="6">
                  <c:v>17.875</c:v>
                </c:pt>
                <c:pt idx="7">
                  <c:v>17.768999999999998</c:v>
                </c:pt>
                <c:pt idx="8">
                  <c:v>17.385999999999999</c:v>
                </c:pt>
                <c:pt idx="9">
                  <c:v>17.257000000000001</c:v>
                </c:pt>
                <c:pt idx="10">
                  <c:v>17.57</c:v>
                </c:pt>
                <c:pt idx="11">
                  <c:v>18.562999999999999</c:v>
                </c:pt>
                <c:pt idx="12">
                  <c:v>18.143000000000001</c:v>
                </c:pt>
                <c:pt idx="13">
                  <c:v>20.385000000000002</c:v>
                </c:pt>
                <c:pt idx="14">
                  <c:v>21.561</c:v>
                </c:pt>
                <c:pt idx="15">
                  <c:v>21.88</c:v>
                </c:pt>
                <c:pt idx="16">
                  <c:v>20.399999999999999</c:v>
                </c:pt>
                <c:pt idx="17">
                  <c:v>20.099</c:v>
                </c:pt>
                <c:pt idx="18">
                  <c:v>19.542999999999999</c:v>
                </c:pt>
                <c:pt idx="19">
                  <c:v>20.114000000000001</c:v>
                </c:pt>
                <c:pt idx="20">
                  <c:v>20.667999999999999</c:v>
                </c:pt>
                <c:pt idx="21">
                  <c:v>20.518999999999998</c:v>
                </c:pt>
                <c:pt idx="22">
                  <c:v>19.884</c:v>
                </c:pt>
                <c:pt idx="23">
                  <c:v>20.524999999999999</c:v>
                </c:pt>
                <c:pt idx="24">
                  <c:v>20.311</c:v>
                </c:pt>
                <c:pt idx="25">
                  <c:v>18.818000000000001</c:v>
                </c:pt>
                <c:pt idx="26">
                  <c:v>17.207000000000001</c:v>
                </c:pt>
                <c:pt idx="27">
                  <c:v>17.765000000000001</c:v>
                </c:pt>
                <c:pt idx="28">
                  <c:v>16.887</c:v>
                </c:pt>
                <c:pt idx="29">
                  <c:v>17.321000000000002</c:v>
                </c:pt>
                <c:pt idx="30">
                  <c:v>17.556000000000001</c:v>
                </c:pt>
                <c:pt idx="31">
                  <c:v>17.684000000000001</c:v>
                </c:pt>
                <c:pt idx="32">
                  <c:v>17.414000000000001</c:v>
                </c:pt>
                <c:pt idx="33">
                  <c:v>17.574000000000002</c:v>
                </c:pt>
                <c:pt idx="34">
                  <c:v>17.760999999999999</c:v>
                </c:pt>
                <c:pt idx="35">
                  <c:v>17.928999999999998</c:v>
                </c:pt>
                <c:pt idx="36">
                  <c:v>14.815</c:v>
                </c:pt>
                <c:pt idx="37">
                  <c:v>14.993</c:v>
                </c:pt>
                <c:pt idx="38">
                  <c:v>14.991</c:v>
                </c:pt>
                <c:pt idx="39">
                  <c:v>17.251000000000001</c:v>
                </c:pt>
                <c:pt idx="40">
                  <c:v>15.646000000000001</c:v>
                </c:pt>
                <c:pt idx="41">
                  <c:v>15.19</c:v>
                </c:pt>
                <c:pt idx="42">
                  <c:v>15.324999999999999</c:v>
                </c:pt>
                <c:pt idx="43">
                  <c:v>15.858000000000001</c:v>
                </c:pt>
                <c:pt idx="44">
                  <c:v>16.898</c:v>
                </c:pt>
                <c:pt idx="45">
                  <c:v>17.059000000000001</c:v>
                </c:pt>
                <c:pt idx="46">
                  <c:v>17.512</c:v>
                </c:pt>
                <c:pt idx="47">
                  <c:v>17.282</c:v>
                </c:pt>
                <c:pt idx="48">
                  <c:v>18.274999999999999</c:v>
                </c:pt>
                <c:pt idx="49">
                  <c:v>17.88</c:v>
                </c:pt>
                <c:pt idx="50">
                  <c:v>18.617000000000001</c:v>
                </c:pt>
                <c:pt idx="51">
                  <c:v>19.18</c:v>
                </c:pt>
                <c:pt idx="52">
                  <c:v>17.931999999999999</c:v>
                </c:pt>
                <c:pt idx="53">
                  <c:v>18.257000000000001</c:v>
                </c:pt>
                <c:pt idx="54">
                  <c:v>18.215</c:v>
                </c:pt>
                <c:pt idx="55">
                  <c:v>17.928000000000001</c:v>
                </c:pt>
                <c:pt idx="56">
                  <c:v>19.093</c:v>
                </c:pt>
                <c:pt idx="57">
                  <c:v>18.869</c:v>
                </c:pt>
                <c:pt idx="58">
                  <c:v>18.776</c:v>
                </c:pt>
                <c:pt idx="59">
                  <c:v>17.917999999999999</c:v>
                </c:pt>
                <c:pt idx="60">
                  <c:v>17.312000000000001</c:v>
                </c:pt>
                <c:pt idx="61">
                  <c:v>17.239000000000001</c:v>
                </c:pt>
                <c:pt idx="62">
                  <c:v>17.829000000000001</c:v>
                </c:pt>
                <c:pt idx="63">
                  <c:v>18.721</c:v>
                </c:pt>
                <c:pt idx="64">
                  <c:v>18.783999999999999</c:v>
                </c:pt>
                <c:pt idx="65">
                  <c:v>17.489000000000001</c:v>
                </c:pt>
                <c:pt idx="66">
                  <c:v>16.632000000000001</c:v>
                </c:pt>
                <c:pt idx="67">
                  <c:v>16.542999999999999</c:v>
                </c:pt>
                <c:pt idx="68">
                  <c:v>16.664000000000001</c:v>
                </c:pt>
                <c:pt idx="69">
                  <c:v>16.747</c:v>
                </c:pt>
                <c:pt idx="70">
                  <c:v>16.978000000000002</c:v>
                </c:pt>
                <c:pt idx="71">
                  <c:v>17.07</c:v>
                </c:pt>
                <c:pt idx="72">
                  <c:v>16.484000000000002</c:v>
                </c:pt>
                <c:pt idx="73">
                  <c:v>17.178000000000001</c:v>
                </c:pt>
                <c:pt idx="74">
                  <c:v>16.744</c:v>
                </c:pt>
                <c:pt idx="75">
                  <c:v>17.297999999999998</c:v>
                </c:pt>
                <c:pt idx="76">
                  <c:v>17.22</c:v>
                </c:pt>
                <c:pt idx="77">
                  <c:v>16.861000000000001</c:v>
                </c:pt>
                <c:pt idx="78">
                  <c:v>19.146999999999998</c:v>
                </c:pt>
                <c:pt idx="79">
                  <c:v>19.015999999999998</c:v>
                </c:pt>
                <c:pt idx="80">
                  <c:v>19.675000000000001</c:v>
                </c:pt>
                <c:pt idx="81">
                  <c:v>19.667999999999999</c:v>
                </c:pt>
                <c:pt idx="82">
                  <c:v>19.785</c:v>
                </c:pt>
                <c:pt idx="83">
                  <c:v>19.193999999999999</c:v>
                </c:pt>
                <c:pt idx="84">
                  <c:v>20.097000000000001</c:v>
                </c:pt>
                <c:pt idx="85">
                  <c:v>20.04</c:v>
                </c:pt>
                <c:pt idx="86">
                  <c:v>20.122</c:v>
                </c:pt>
                <c:pt idx="87">
                  <c:v>19.739999999999998</c:v>
                </c:pt>
                <c:pt idx="88">
                  <c:v>19.917000000000002</c:v>
                </c:pt>
                <c:pt idx="89">
                  <c:v>20.38</c:v>
                </c:pt>
                <c:pt idx="90">
                  <c:v>20.155000000000001</c:v>
                </c:pt>
                <c:pt idx="91">
                  <c:v>19.957999999999998</c:v>
                </c:pt>
                <c:pt idx="92">
                  <c:v>19.547999999999998</c:v>
                </c:pt>
                <c:pt idx="93">
                  <c:v>18.934999999999999</c:v>
                </c:pt>
                <c:pt idx="94">
                  <c:v>19.286999999999999</c:v>
                </c:pt>
                <c:pt idx="95">
                  <c:v>19.433</c:v>
                </c:pt>
                <c:pt idx="96">
                  <c:v>19</c:v>
                </c:pt>
                <c:pt idx="97">
                  <c:v>18.696999999999999</c:v>
                </c:pt>
                <c:pt idx="98">
                  <c:v>19.186</c:v>
                </c:pt>
                <c:pt idx="99">
                  <c:v>18.614000000000001</c:v>
                </c:pt>
                <c:pt idx="100">
                  <c:v>18.78</c:v>
                </c:pt>
                <c:pt idx="101">
                  <c:v>18.28</c:v>
                </c:pt>
                <c:pt idx="102">
                  <c:v>18.161000000000001</c:v>
                </c:pt>
                <c:pt idx="103">
                  <c:v>18.759</c:v>
                </c:pt>
                <c:pt idx="104">
                  <c:v>19.016999999999999</c:v>
                </c:pt>
                <c:pt idx="105">
                  <c:v>19.094999999999999</c:v>
                </c:pt>
                <c:pt idx="106">
                  <c:v>18.530999999999999</c:v>
                </c:pt>
                <c:pt idx="107">
                  <c:v>18.378</c:v>
                </c:pt>
                <c:pt idx="108">
                  <c:v>18.077000000000002</c:v>
                </c:pt>
                <c:pt idx="109">
                  <c:v>18.832000000000001</c:v>
                </c:pt>
                <c:pt idx="110">
                  <c:v>18.079000000000001</c:v>
                </c:pt>
                <c:pt idx="111">
                  <c:v>18.260000000000002</c:v>
                </c:pt>
                <c:pt idx="112">
                  <c:v>18.495000000000001</c:v>
                </c:pt>
                <c:pt idx="113">
                  <c:v>19.167000000000002</c:v>
                </c:pt>
                <c:pt idx="114">
                  <c:v>18.498999999999999</c:v>
                </c:pt>
                <c:pt idx="115">
                  <c:v>18.472999999999999</c:v>
                </c:pt>
                <c:pt idx="116">
                  <c:v>18.847999999999999</c:v>
                </c:pt>
                <c:pt idx="117">
                  <c:v>13.999000000000001</c:v>
                </c:pt>
                <c:pt idx="118">
                  <c:v>13.573</c:v>
                </c:pt>
                <c:pt idx="119">
                  <c:v>12.901</c:v>
                </c:pt>
                <c:pt idx="120">
                  <c:v>12.593</c:v>
                </c:pt>
                <c:pt idx="121">
                  <c:v>12.576000000000001</c:v>
                </c:pt>
                <c:pt idx="122">
                  <c:v>12.85</c:v>
                </c:pt>
                <c:pt idx="123">
                  <c:v>12.824999999999999</c:v>
                </c:pt>
                <c:pt idx="124">
                  <c:v>12.680999999999999</c:v>
                </c:pt>
                <c:pt idx="125">
                  <c:v>12.476000000000001</c:v>
                </c:pt>
                <c:pt idx="126">
                  <c:v>12.771000000000001</c:v>
                </c:pt>
                <c:pt idx="127">
                  <c:v>13.135999999999999</c:v>
                </c:pt>
                <c:pt idx="128">
                  <c:v>13.5</c:v>
                </c:pt>
                <c:pt idx="129">
                  <c:v>13.7</c:v>
                </c:pt>
                <c:pt idx="130">
                  <c:v>14.086</c:v>
                </c:pt>
                <c:pt idx="131">
                  <c:v>13.368</c:v>
                </c:pt>
                <c:pt idx="132">
                  <c:v>13.35</c:v>
                </c:pt>
                <c:pt idx="133">
                  <c:v>13.375999999999999</c:v>
                </c:pt>
                <c:pt idx="134">
                  <c:v>13.743</c:v>
                </c:pt>
                <c:pt idx="135">
                  <c:v>13.5</c:v>
                </c:pt>
                <c:pt idx="136">
                  <c:v>13.625</c:v>
                </c:pt>
                <c:pt idx="137">
                  <c:v>13.265000000000001</c:v>
                </c:pt>
                <c:pt idx="138">
                  <c:v>13.193</c:v>
                </c:pt>
                <c:pt idx="139">
                  <c:v>13.13</c:v>
                </c:pt>
                <c:pt idx="140">
                  <c:v>13.500999999999999</c:v>
                </c:pt>
                <c:pt idx="141">
                  <c:v>13.975</c:v>
                </c:pt>
                <c:pt idx="142">
                  <c:v>14.098000000000001</c:v>
                </c:pt>
                <c:pt idx="143">
                  <c:v>13.779</c:v>
                </c:pt>
                <c:pt idx="144">
                  <c:v>13.577</c:v>
                </c:pt>
                <c:pt idx="145">
                  <c:v>13.061999999999999</c:v>
                </c:pt>
                <c:pt idx="146">
                  <c:v>13.755000000000001</c:v>
                </c:pt>
                <c:pt idx="147">
                  <c:v>13.798</c:v>
                </c:pt>
                <c:pt idx="148">
                  <c:v>12.542999999999999</c:v>
                </c:pt>
                <c:pt idx="149">
                  <c:v>13.627000000000001</c:v>
                </c:pt>
                <c:pt idx="150">
                  <c:v>13.176</c:v>
                </c:pt>
                <c:pt idx="151">
                  <c:v>12.977</c:v>
                </c:pt>
                <c:pt idx="152">
                  <c:v>12.898999999999999</c:v>
                </c:pt>
                <c:pt idx="153">
                  <c:v>12.587</c:v>
                </c:pt>
                <c:pt idx="154">
                  <c:v>13.018000000000001</c:v>
                </c:pt>
                <c:pt idx="155">
                  <c:v>13.154999999999999</c:v>
                </c:pt>
                <c:pt idx="156">
                  <c:v>12.669</c:v>
                </c:pt>
                <c:pt idx="157">
                  <c:v>13.02</c:v>
                </c:pt>
                <c:pt idx="158">
                  <c:v>12.928000000000001</c:v>
                </c:pt>
                <c:pt idx="159">
                  <c:v>13.08</c:v>
                </c:pt>
                <c:pt idx="160">
                  <c:v>13.071999999999999</c:v>
                </c:pt>
                <c:pt idx="161">
                  <c:v>13.042</c:v>
                </c:pt>
                <c:pt idx="162">
                  <c:v>12.996</c:v>
                </c:pt>
                <c:pt idx="163">
                  <c:v>13.474</c:v>
                </c:pt>
                <c:pt idx="164">
                  <c:v>13.115</c:v>
                </c:pt>
                <c:pt idx="165">
                  <c:v>12.775</c:v>
                </c:pt>
                <c:pt idx="166">
                  <c:v>13.488</c:v>
                </c:pt>
                <c:pt idx="167">
                  <c:v>13.583</c:v>
                </c:pt>
                <c:pt idx="168">
                  <c:v>13.529</c:v>
                </c:pt>
                <c:pt idx="169">
                  <c:v>12.916</c:v>
                </c:pt>
                <c:pt idx="170">
                  <c:v>13.489000000000001</c:v>
                </c:pt>
                <c:pt idx="171">
                  <c:v>14.146000000000001</c:v>
                </c:pt>
                <c:pt idx="172">
                  <c:v>13.952999999999999</c:v>
                </c:pt>
                <c:pt idx="173">
                  <c:v>14.967000000000001</c:v>
                </c:pt>
                <c:pt idx="174">
                  <c:v>14.9</c:v>
                </c:pt>
                <c:pt idx="175">
                  <c:v>14.454000000000001</c:v>
                </c:pt>
                <c:pt idx="176">
                  <c:v>14.913</c:v>
                </c:pt>
                <c:pt idx="177">
                  <c:v>14.811999999999999</c:v>
                </c:pt>
                <c:pt idx="178">
                  <c:v>14.061999999999999</c:v>
                </c:pt>
                <c:pt idx="179">
                  <c:v>13.12</c:v>
                </c:pt>
                <c:pt idx="180">
                  <c:v>12.728</c:v>
                </c:pt>
                <c:pt idx="181">
                  <c:v>12.648</c:v>
                </c:pt>
                <c:pt idx="182">
                  <c:v>12.249000000000001</c:v>
                </c:pt>
                <c:pt idx="183">
                  <c:v>12.673</c:v>
                </c:pt>
                <c:pt idx="184">
                  <c:v>12.827999999999999</c:v>
                </c:pt>
                <c:pt idx="185">
                  <c:v>12.708</c:v>
                </c:pt>
                <c:pt idx="186">
                  <c:v>12.435</c:v>
                </c:pt>
                <c:pt idx="187">
                  <c:v>12.964</c:v>
                </c:pt>
                <c:pt idx="188">
                  <c:v>12.757999999999999</c:v>
                </c:pt>
                <c:pt idx="189">
                  <c:v>12.692</c:v>
                </c:pt>
                <c:pt idx="190">
                  <c:v>11.657999999999999</c:v>
                </c:pt>
                <c:pt idx="191">
                  <c:v>12.688000000000001</c:v>
                </c:pt>
                <c:pt idx="192">
                  <c:v>13.04</c:v>
                </c:pt>
                <c:pt idx="193">
                  <c:v>13.385999999999999</c:v>
                </c:pt>
                <c:pt idx="194">
                  <c:v>13.632</c:v>
                </c:pt>
                <c:pt idx="195">
                  <c:v>13.94</c:v>
                </c:pt>
                <c:pt idx="196">
                  <c:v>12.804</c:v>
                </c:pt>
                <c:pt idx="197">
                  <c:v>13.077999999999999</c:v>
                </c:pt>
                <c:pt idx="198">
                  <c:v>14.106</c:v>
                </c:pt>
                <c:pt idx="199">
                  <c:v>14.541</c:v>
                </c:pt>
                <c:pt idx="200">
                  <c:v>14.173999999999999</c:v>
                </c:pt>
                <c:pt idx="201">
                  <c:v>13.811999999999999</c:v>
                </c:pt>
                <c:pt idx="202">
                  <c:v>14.833</c:v>
                </c:pt>
                <c:pt idx="203">
                  <c:v>14.382999999999999</c:v>
                </c:pt>
                <c:pt idx="204">
                  <c:v>14.425000000000001</c:v>
                </c:pt>
                <c:pt idx="205">
                  <c:v>14.651999999999999</c:v>
                </c:pt>
                <c:pt idx="206">
                  <c:v>15.065</c:v>
                </c:pt>
                <c:pt idx="207">
                  <c:v>14.648</c:v>
                </c:pt>
                <c:pt idx="208">
                  <c:v>14.942</c:v>
                </c:pt>
                <c:pt idx="209">
                  <c:v>14.103</c:v>
                </c:pt>
                <c:pt idx="210">
                  <c:v>13.926</c:v>
                </c:pt>
                <c:pt idx="211">
                  <c:v>13.683999999999999</c:v>
                </c:pt>
                <c:pt idx="212">
                  <c:v>13.407999999999999</c:v>
                </c:pt>
                <c:pt idx="213">
                  <c:v>13.291</c:v>
                </c:pt>
                <c:pt idx="214">
                  <c:v>13.714</c:v>
                </c:pt>
                <c:pt idx="215">
                  <c:v>13.365</c:v>
                </c:pt>
                <c:pt idx="216">
                  <c:v>14.672000000000001</c:v>
                </c:pt>
                <c:pt idx="217">
                  <c:v>14.331</c:v>
                </c:pt>
                <c:pt idx="218">
                  <c:v>14.023999999999999</c:v>
                </c:pt>
                <c:pt idx="219">
                  <c:v>12.302</c:v>
                </c:pt>
                <c:pt idx="220">
                  <c:v>12.175000000000001</c:v>
                </c:pt>
                <c:pt idx="221">
                  <c:v>12.332000000000001</c:v>
                </c:pt>
                <c:pt idx="222">
                  <c:v>13.43</c:v>
                </c:pt>
                <c:pt idx="223">
                  <c:v>14.07</c:v>
                </c:pt>
                <c:pt idx="224">
                  <c:v>13.733000000000001</c:v>
                </c:pt>
                <c:pt idx="225">
                  <c:v>13.811</c:v>
                </c:pt>
                <c:pt idx="226">
                  <c:v>14.329000000000001</c:v>
                </c:pt>
                <c:pt idx="227">
                  <c:v>13.989000000000001</c:v>
                </c:pt>
                <c:pt idx="228">
                  <c:v>14.577999999999999</c:v>
                </c:pt>
                <c:pt idx="229">
                  <c:v>14.904999999999999</c:v>
                </c:pt>
                <c:pt idx="230">
                  <c:v>14.702999999999999</c:v>
                </c:pt>
                <c:pt idx="231">
                  <c:v>14.659000000000001</c:v>
                </c:pt>
                <c:pt idx="232">
                  <c:v>14.414999999999999</c:v>
                </c:pt>
                <c:pt idx="233">
                  <c:v>14.315</c:v>
                </c:pt>
                <c:pt idx="234">
                  <c:v>14.577</c:v>
                </c:pt>
                <c:pt idx="235">
                  <c:v>15.369</c:v>
                </c:pt>
                <c:pt idx="236">
                  <c:v>15.613</c:v>
                </c:pt>
                <c:pt idx="237">
                  <c:v>15.64</c:v>
                </c:pt>
                <c:pt idx="238">
                  <c:v>15.16</c:v>
                </c:pt>
                <c:pt idx="239">
                  <c:v>15.032999999999999</c:v>
                </c:pt>
                <c:pt idx="240">
                  <c:v>15.16</c:v>
                </c:pt>
                <c:pt idx="241">
                  <c:v>14.535</c:v>
                </c:pt>
                <c:pt idx="242">
                  <c:v>14.52</c:v>
                </c:pt>
                <c:pt idx="243">
                  <c:v>14.476000000000001</c:v>
                </c:pt>
                <c:pt idx="244">
                  <c:v>14.356999999999999</c:v>
                </c:pt>
                <c:pt idx="245">
                  <c:v>14.239000000000001</c:v>
                </c:pt>
                <c:pt idx="246">
                  <c:v>14.673999999999999</c:v>
                </c:pt>
                <c:pt idx="247">
                  <c:v>14.316000000000001</c:v>
                </c:pt>
                <c:pt idx="248">
                  <c:v>15.202999999999999</c:v>
                </c:pt>
                <c:pt idx="249">
                  <c:v>15.266</c:v>
                </c:pt>
                <c:pt idx="250">
                  <c:v>14.884</c:v>
                </c:pt>
                <c:pt idx="251">
                  <c:v>14.994999999999999</c:v>
                </c:pt>
                <c:pt idx="252">
                  <c:v>13.516</c:v>
                </c:pt>
                <c:pt idx="253">
                  <c:v>13.628</c:v>
                </c:pt>
                <c:pt idx="254">
                  <c:v>11.132999999999999</c:v>
                </c:pt>
                <c:pt idx="255">
                  <c:v>10.074</c:v>
                </c:pt>
                <c:pt idx="256">
                  <c:v>10.631</c:v>
                </c:pt>
                <c:pt idx="257">
                  <c:v>11.223000000000001</c:v>
                </c:pt>
                <c:pt idx="258">
                  <c:v>12.542</c:v>
                </c:pt>
                <c:pt idx="259">
                  <c:v>12.653</c:v>
                </c:pt>
                <c:pt idx="260">
                  <c:v>12.555</c:v>
                </c:pt>
                <c:pt idx="261">
                  <c:v>12.259</c:v>
                </c:pt>
                <c:pt idx="262">
                  <c:v>12.467000000000001</c:v>
                </c:pt>
                <c:pt idx="263">
                  <c:v>11.558</c:v>
                </c:pt>
                <c:pt idx="264">
                  <c:v>12.237</c:v>
                </c:pt>
                <c:pt idx="265">
                  <c:v>12.448</c:v>
                </c:pt>
                <c:pt idx="266">
                  <c:v>12.521000000000001</c:v>
                </c:pt>
                <c:pt idx="267">
                  <c:v>11.802</c:v>
                </c:pt>
                <c:pt idx="268">
                  <c:v>11.819000000000001</c:v>
                </c:pt>
                <c:pt idx="269">
                  <c:v>11.6</c:v>
                </c:pt>
                <c:pt idx="270">
                  <c:v>11.734999999999999</c:v>
                </c:pt>
                <c:pt idx="271">
                  <c:v>11.766</c:v>
                </c:pt>
                <c:pt idx="272">
                  <c:v>11.834</c:v>
                </c:pt>
                <c:pt idx="273">
                  <c:v>11.695</c:v>
                </c:pt>
                <c:pt idx="274">
                  <c:v>12.391999999999999</c:v>
                </c:pt>
                <c:pt idx="275">
                  <c:v>12.339</c:v>
                </c:pt>
                <c:pt idx="276">
                  <c:v>14.663</c:v>
                </c:pt>
                <c:pt idx="277">
                  <c:v>14.507999999999999</c:v>
                </c:pt>
                <c:pt idx="278">
                  <c:v>14.689</c:v>
                </c:pt>
                <c:pt idx="279">
                  <c:v>14.218999999999999</c:v>
                </c:pt>
                <c:pt idx="280">
                  <c:v>14.113</c:v>
                </c:pt>
                <c:pt idx="281">
                  <c:v>15.959</c:v>
                </c:pt>
                <c:pt idx="282">
                  <c:v>14.613</c:v>
                </c:pt>
                <c:pt idx="283">
                  <c:v>14.646000000000001</c:v>
                </c:pt>
                <c:pt idx="284">
                  <c:v>16.472999999999999</c:v>
                </c:pt>
                <c:pt idx="285">
                  <c:v>16.47</c:v>
                </c:pt>
                <c:pt idx="286">
                  <c:v>18.43</c:v>
                </c:pt>
                <c:pt idx="287">
                  <c:v>16.707000000000001</c:v>
                </c:pt>
                <c:pt idx="288">
                  <c:v>18.562000000000001</c:v>
                </c:pt>
                <c:pt idx="289">
                  <c:v>19.227</c:v>
                </c:pt>
                <c:pt idx="290">
                  <c:v>22.210999999999999</c:v>
                </c:pt>
                <c:pt idx="291">
                  <c:v>27.126000000000001</c:v>
                </c:pt>
                <c:pt idx="292">
                  <c:v>32.799999999999997</c:v>
                </c:pt>
                <c:pt idx="293">
                  <c:v>28.591999999999999</c:v>
                </c:pt>
                <c:pt idx="294">
                  <c:v>30.12</c:v>
                </c:pt>
                <c:pt idx="295">
                  <c:v>32.261000000000003</c:v>
                </c:pt>
                <c:pt idx="296">
                  <c:v>38.854999999999997</c:v>
                </c:pt>
                <c:pt idx="297">
                  <c:v>53.164000000000001</c:v>
                </c:pt>
                <c:pt idx="298">
                  <c:v>57.807000000000002</c:v>
                </c:pt>
                <c:pt idx="299">
                  <c:v>57.703000000000003</c:v>
                </c:pt>
                <c:pt idx="300">
                  <c:v>61.731000000000002</c:v>
                </c:pt>
                <c:pt idx="301">
                  <c:v>80.599999999999994</c:v>
                </c:pt>
                <c:pt idx="302">
                  <c:v>103.431</c:v>
                </c:pt>
                <c:pt idx="303">
                  <c:v>96.372</c:v>
                </c:pt>
                <c:pt idx="304">
                  <c:v>75.040999999999997</c:v>
                </c:pt>
                <c:pt idx="305">
                  <c:v>62.024000000000001</c:v>
                </c:pt>
                <c:pt idx="306">
                  <c:v>78.400000000000006</c:v>
                </c:pt>
                <c:pt idx="307">
                  <c:v>77.703999999999994</c:v>
                </c:pt>
                <c:pt idx="308">
                  <c:v>62.4</c:v>
                </c:pt>
                <c:pt idx="309">
                  <c:v>70.355999999999995</c:v>
                </c:pt>
                <c:pt idx="310">
                  <c:v>71.099999999999994</c:v>
                </c:pt>
                <c:pt idx="311">
                  <c:v>69.361999999999995</c:v>
                </c:pt>
                <c:pt idx="312">
                  <c:v>61.304000000000002</c:v>
                </c:pt>
                <c:pt idx="313">
                  <c:v>65.715999999999994</c:v>
                </c:pt>
                <c:pt idx="314">
                  <c:v>62.045999999999999</c:v>
                </c:pt>
                <c:pt idx="315">
                  <c:v>52.131</c:v>
                </c:pt>
                <c:pt idx="316">
                  <c:v>45.052</c:v>
                </c:pt>
                <c:pt idx="317">
                  <c:v>47</c:v>
                </c:pt>
                <c:pt idx="318">
                  <c:v>48.466999999999999</c:v>
                </c:pt>
                <c:pt idx="319">
                  <c:v>51.643999999999998</c:v>
                </c:pt>
                <c:pt idx="320">
                  <c:v>64.646000000000001</c:v>
                </c:pt>
                <c:pt idx="321">
                  <c:v>55.005000000000003</c:v>
                </c:pt>
                <c:pt idx="322">
                  <c:v>63.561</c:v>
                </c:pt>
                <c:pt idx="323">
                  <c:v>62.866</c:v>
                </c:pt>
                <c:pt idx="324">
                  <c:v>52.308999999999997</c:v>
                </c:pt>
                <c:pt idx="325">
                  <c:v>53.970999999999997</c:v>
                </c:pt>
                <c:pt idx="326">
                  <c:v>62.600999999999999</c:v>
                </c:pt>
                <c:pt idx="327">
                  <c:v>74.872</c:v>
                </c:pt>
                <c:pt idx="328">
                  <c:v>72.8</c:v>
                </c:pt>
                <c:pt idx="329">
                  <c:v>71.656000000000006</c:v>
                </c:pt>
                <c:pt idx="330">
                  <c:v>70.72</c:v>
                </c:pt>
                <c:pt idx="331">
                  <c:v>71.225999999999999</c:v>
                </c:pt>
                <c:pt idx="332">
                  <c:v>61.557000000000002</c:v>
                </c:pt>
                <c:pt idx="333">
                  <c:v>61.429000000000002</c:v>
                </c:pt>
                <c:pt idx="334">
                  <c:v>59.939</c:v>
                </c:pt>
                <c:pt idx="335">
                  <c:v>61.246000000000002</c:v>
                </c:pt>
                <c:pt idx="336">
                  <c:v>70.882000000000005</c:v>
                </c:pt>
                <c:pt idx="337">
                  <c:v>74.984999999999999</c:v>
                </c:pt>
                <c:pt idx="338">
                  <c:v>71.852000000000004</c:v>
                </c:pt>
                <c:pt idx="339">
                  <c:v>71.506</c:v>
                </c:pt>
                <c:pt idx="340">
                  <c:v>79.751000000000005</c:v>
                </c:pt>
                <c:pt idx="341">
                  <c:v>81.173000000000002</c:v>
                </c:pt>
                <c:pt idx="342">
                  <c:v>71.831000000000003</c:v>
                </c:pt>
                <c:pt idx="343">
                  <c:v>66.3</c:v>
                </c:pt>
                <c:pt idx="344">
                  <c:v>63.098999999999997</c:v>
                </c:pt>
                <c:pt idx="345">
                  <c:v>60.084000000000003</c:v>
                </c:pt>
                <c:pt idx="346">
                  <c:v>57.158000000000001</c:v>
                </c:pt>
                <c:pt idx="347">
                  <c:v>59.720999999999997</c:v>
                </c:pt>
                <c:pt idx="348">
                  <c:v>54.448999999999998</c:v>
                </c:pt>
                <c:pt idx="349">
                  <c:v>48.295000000000002</c:v>
                </c:pt>
                <c:pt idx="350">
                  <c:v>49.956000000000003</c:v>
                </c:pt>
                <c:pt idx="351">
                  <c:v>37.588999999999999</c:v>
                </c:pt>
                <c:pt idx="352">
                  <c:v>33.895000000000003</c:v>
                </c:pt>
                <c:pt idx="353">
                  <c:v>39.164000000000001</c:v>
                </c:pt>
                <c:pt idx="354">
                  <c:v>41.100999999999999</c:v>
                </c:pt>
                <c:pt idx="355">
                  <c:v>39.597000000000001</c:v>
                </c:pt>
                <c:pt idx="356">
                  <c:v>40.5</c:v>
                </c:pt>
                <c:pt idx="357">
                  <c:v>41.036000000000001</c:v>
                </c:pt>
                <c:pt idx="358">
                  <c:v>39.082000000000001</c:v>
                </c:pt>
                <c:pt idx="359">
                  <c:v>45.427999999999997</c:v>
                </c:pt>
                <c:pt idx="360">
                  <c:v>47.241999999999997</c:v>
                </c:pt>
                <c:pt idx="361">
                  <c:v>49.097999999999999</c:v>
                </c:pt>
                <c:pt idx="362">
                  <c:v>45.323999999999998</c:v>
                </c:pt>
                <c:pt idx="363">
                  <c:v>44.918999999999997</c:v>
                </c:pt>
                <c:pt idx="364">
                  <c:v>40.908000000000001</c:v>
                </c:pt>
                <c:pt idx="365">
                  <c:v>35.417000000000002</c:v>
                </c:pt>
                <c:pt idx="366">
                  <c:v>29.423999999999999</c:v>
                </c:pt>
                <c:pt idx="367">
                  <c:v>20.457000000000001</c:v>
                </c:pt>
                <c:pt idx="368">
                  <c:v>20.274999999999999</c:v>
                </c:pt>
                <c:pt idx="369">
                  <c:v>21.939</c:v>
                </c:pt>
                <c:pt idx="370">
                  <c:v>22.722000000000001</c:v>
                </c:pt>
                <c:pt idx="371">
                  <c:v>20.335999999999999</c:v>
                </c:pt>
                <c:pt idx="372">
                  <c:v>16.760000000000002</c:v>
                </c:pt>
                <c:pt idx="373">
                  <c:v>20.544</c:v>
                </c:pt>
                <c:pt idx="374">
                  <c:v>16.677</c:v>
                </c:pt>
                <c:pt idx="375">
                  <c:v>22.128</c:v>
                </c:pt>
                <c:pt idx="376">
                  <c:v>21.398</c:v>
                </c:pt>
                <c:pt idx="377">
                  <c:v>28.192</c:v>
                </c:pt>
                <c:pt idx="378">
                  <c:v>28.606000000000002</c:v>
                </c:pt>
                <c:pt idx="379">
                  <c:v>31.914999999999999</c:v>
                </c:pt>
                <c:pt idx="380">
                  <c:v>35.283999999999999</c:v>
                </c:pt>
                <c:pt idx="381">
                  <c:v>28.3</c:v>
                </c:pt>
                <c:pt idx="382">
                  <c:v>24.92</c:v>
                </c:pt>
                <c:pt idx="383">
                  <c:v>21.806000000000001</c:v>
                </c:pt>
                <c:pt idx="384">
                  <c:v>26.196999999999999</c:v>
                </c:pt>
                <c:pt idx="385">
                  <c:v>20.634</c:v>
                </c:pt>
                <c:pt idx="386">
                  <c:v>19.145</c:v>
                </c:pt>
                <c:pt idx="387">
                  <c:v>21.225999999999999</c:v>
                </c:pt>
                <c:pt idx="388">
                  <c:v>22.03</c:v>
                </c:pt>
                <c:pt idx="389">
                  <c:v>20.931000000000001</c:v>
                </c:pt>
                <c:pt idx="390">
                  <c:v>23.262</c:v>
                </c:pt>
                <c:pt idx="391">
                  <c:v>27.998999999999999</c:v>
                </c:pt>
                <c:pt idx="392">
                  <c:v>27.71</c:v>
                </c:pt>
                <c:pt idx="393">
                  <c:v>17.518000000000001</c:v>
                </c:pt>
                <c:pt idx="394">
                  <c:v>17.012</c:v>
                </c:pt>
                <c:pt idx="395">
                  <c:v>18.3</c:v>
                </c:pt>
                <c:pt idx="396">
                  <c:v>20.693999999999999</c:v>
                </c:pt>
                <c:pt idx="397">
                  <c:v>20.324999999999999</c:v>
                </c:pt>
                <c:pt idx="398">
                  <c:v>17.375</c:v>
                </c:pt>
                <c:pt idx="399">
                  <c:v>16.266999999999999</c:v>
                </c:pt>
                <c:pt idx="400">
                  <c:v>14.157</c:v>
                </c:pt>
                <c:pt idx="401">
                  <c:v>16.045000000000002</c:v>
                </c:pt>
                <c:pt idx="402">
                  <c:v>21.696999999999999</c:v>
                </c:pt>
                <c:pt idx="403">
                  <c:v>24.003</c:v>
                </c:pt>
                <c:pt idx="404">
                  <c:v>25.835999999999999</c:v>
                </c:pt>
                <c:pt idx="405">
                  <c:v>28.475999999999999</c:v>
                </c:pt>
                <c:pt idx="406">
                  <c:v>24.337</c:v>
                </c:pt>
                <c:pt idx="407">
                  <c:v>29.405000000000001</c:v>
                </c:pt>
                <c:pt idx="408">
                  <c:v>25.58</c:v>
                </c:pt>
                <c:pt idx="409">
                  <c:v>24.690999999999999</c:v>
                </c:pt>
                <c:pt idx="410">
                  <c:v>19.201000000000001</c:v>
                </c:pt>
                <c:pt idx="411">
                  <c:v>26.765999999999998</c:v>
                </c:pt>
                <c:pt idx="412">
                  <c:v>25.667000000000002</c:v>
                </c:pt>
                <c:pt idx="413">
                  <c:v>29.231999999999999</c:v>
                </c:pt>
                <c:pt idx="414">
                  <c:v>29.01</c:v>
                </c:pt>
                <c:pt idx="415">
                  <c:v>33.375</c:v>
                </c:pt>
                <c:pt idx="416">
                  <c:v>29.102</c:v>
                </c:pt>
                <c:pt idx="417">
                  <c:v>32.838000000000001</c:v>
                </c:pt>
                <c:pt idx="418">
                  <c:v>32.671999999999997</c:v>
                </c:pt>
                <c:pt idx="419">
                  <c:v>27.1</c:v>
                </c:pt>
                <c:pt idx="420">
                  <c:v>28.827999999999999</c:v>
                </c:pt>
                <c:pt idx="421">
                  <c:v>28.51</c:v>
                </c:pt>
                <c:pt idx="422">
                  <c:v>30.213000000000001</c:v>
                </c:pt>
                <c:pt idx="423">
                  <c:v>28.233000000000001</c:v>
                </c:pt>
                <c:pt idx="424">
                  <c:v>29.338999999999999</c:v>
                </c:pt>
                <c:pt idx="425">
                  <c:v>32.911000000000001</c:v>
                </c:pt>
                <c:pt idx="426">
                  <c:v>34.241999999999997</c:v>
                </c:pt>
                <c:pt idx="427">
                  <c:v>38.073999999999998</c:v>
                </c:pt>
                <c:pt idx="428">
                  <c:v>45.886000000000003</c:v>
                </c:pt>
                <c:pt idx="429">
                  <c:v>43.664999999999999</c:v>
                </c:pt>
                <c:pt idx="430">
                  <c:v>43.460999999999999</c:v>
                </c:pt>
                <c:pt idx="431">
                  <c:v>37.697000000000003</c:v>
                </c:pt>
                <c:pt idx="432">
                  <c:v>38.430999999999997</c:v>
                </c:pt>
                <c:pt idx="433">
                  <c:v>32.862000000000002</c:v>
                </c:pt>
                <c:pt idx="434">
                  <c:v>33.604999999999997</c:v>
                </c:pt>
                <c:pt idx="435">
                  <c:v>35.148000000000003</c:v>
                </c:pt>
                <c:pt idx="436">
                  <c:v>35.628</c:v>
                </c:pt>
                <c:pt idx="437">
                  <c:v>34.078000000000003</c:v>
                </c:pt>
                <c:pt idx="438">
                  <c:v>32.280999999999999</c:v>
                </c:pt>
                <c:pt idx="439">
                  <c:v>32.828000000000003</c:v>
                </c:pt>
                <c:pt idx="440">
                  <c:v>34.063000000000002</c:v>
                </c:pt>
                <c:pt idx="441">
                  <c:v>31.821999999999999</c:v>
                </c:pt>
                <c:pt idx="442">
                  <c:v>34.804000000000002</c:v>
                </c:pt>
                <c:pt idx="443">
                  <c:v>40.676000000000002</c:v>
                </c:pt>
                <c:pt idx="444">
                  <c:v>45.395000000000003</c:v>
                </c:pt>
                <c:pt idx="445">
                  <c:v>50.917999999999999</c:v>
                </c:pt>
                <c:pt idx="446">
                  <c:v>48.622</c:v>
                </c:pt>
                <c:pt idx="447">
                  <c:v>52.024000000000001</c:v>
                </c:pt>
                <c:pt idx="448">
                  <c:v>52.768000000000001</c:v>
                </c:pt>
                <c:pt idx="449">
                  <c:v>59.939</c:v>
                </c:pt>
                <c:pt idx="450">
                  <c:v>57.040999999999997</c:v>
                </c:pt>
                <c:pt idx="451">
                  <c:v>61.923999999999999</c:v>
                </c:pt>
                <c:pt idx="452">
                  <c:v>63.161999999999999</c:v>
                </c:pt>
                <c:pt idx="453">
                  <c:v>63.107999999999997</c:v>
                </c:pt>
                <c:pt idx="454">
                  <c:v>48.552999999999997</c:v>
                </c:pt>
                <c:pt idx="455">
                  <c:v>48.1</c:v>
                </c:pt>
                <c:pt idx="456">
                  <c:v>49.45</c:v>
                </c:pt>
                <c:pt idx="457">
                  <c:v>50.01</c:v>
                </c:pt>
                <c:pt idx="458">
                  <c:v>64.632000000000005</c:v>
                </c:pt>
                <c:pt idx="459">
                  <c:v>69.956000000000003</c:v>
                </c:pt>
                <c:pt idx="460">
                  <c:v>68.744</c:v>
                </c:pt>
                <c:pt idx="461">
                  <c:v>107.93899999999999</c:v>
                </c:pt>
                <c:pt idx="462">
                  <c:v>142.559</c:v>
                </c:pt>
                <c:pt idx="463">
                  <c:v>178.23599999999999</c:v>
                </c:pt>
                <c:pt idx="464">
                  <c:v>152.30000000000001</c:v>
                </c:pt>
                <c:pt idx="465">
                  <c:v>170.45599999999999</c:v>
                </c:pt>
                <c:pt idx="466">
                  <c:v>143.9</c:v>
                </c:pt>
                <c:pt idx="467">
                  <c:v>147.958</c:v>
                </c:pt>
                <c:pt idx="468">
                  <c:v>117.411</c:v>
                </c:pt>
                <c:pt idx="469">
                  <c:v>128.238</c:v>
                </c:pt>
                <c:pt idx="470">
                  <c:v>122.301</c:v>
                </c:pt>
                <c:pt idx="471">
                  <c:v>118.048</c:v>
                </c:pt>
                <c:pt idx="472">
                  <c:v>158.44999999999999</c:v>
                </c:pt>
                <c:pt idx="473">
                  <c:v>168.48400000000001</c:v>
                </c:pt>
                <c:pt idx="474">
                  <c:v>152.44900000000001</c:v>
                </c:pt>
                <c:pt idx="475">
                  <c:v>159.62</c:v>
                </c:pt>
                <c:pt idx="476">
                  <c:v>149.554</c:v>
                </c:pt>
                <c:pt idx="477">
                  <c:v>148.376</c:v>
                </c:pt>
                <c:pt idx="478">
                  <c:v>137.74799999999999</c:v>
                </c:pt>
                <c:pt idx="479">
                  <c:v>128.172</c:v>
                </c:pt>
                <c:pt idx="480">
                  <c:v>139.67599999999999</c:v>
                </c:pt>
                <c:pt idx="481">
                  <c:v>177.85</c:v>
                </c:pt>
                <c:pt idx="482">
                  <c:v>175.27099999999999</c:v>
                </c:pt>
                <c:pt idx="483">
                  <c:v>144.79900000000001</c:v>
                </c:pt>
                <c:pt idx="484">
                  <c:v>135.37</c:v>
                </c:pt>
                <c:pt idx="485">
                  <c:v>133.04</c:v>
                </c:pt>
                <c:pt idx="486">
                  <c:v>150.01</c:v>
                </c:pt>
                <c:pt idx="487">
                  <c:v>132.41999999999999</c:v>
                </c:pt>
                <c:pt idx="488">
                  <c:v>114.3</c:v>
                </c:pt>
                <c:pt idx="489">
                  <c:v>141.47</c:v>
                </c:pt>
                <c:pt idx="490">
                  <c:v>144.78</c:v>
                </c:pt>
                <c:pt idx="491">
                  <c:v>176.22</c:v>
                </c:pt>
                <c:pt idx="492">
                  <c:v>176.51</c:v>
                </c:pt>
                <c:pt idx="493">
                  <c:v>212.59</c:v>
                </c:pt>
                <c:pt idx="494">
                  <c:v>215.86</c:v>
                </c:pt>
                <c:pt idx="495">
                  <c:v>234.34</c:v>
                </c:pt>
                <c:pt idx="496">
                  <c:v>229.71</c:v>
                </c:pt>
                <c:pt idx="497">
                  <c:v>270.42</c:v>
                </c:pt>
                <c:pt idx="498">
                  <c:v>340.65</c:v>
                </c:pt>
                <c:pt idx="499">
                  <c:v>421.88</c:v>
                </c:pt>
                <c:pt idx="500">
                  <c:v>387.47</c:v>
                </c:pt>
                <c:pt idx="501">
                  <c:v>395.01</c:v>
                </c:pt>
                <c:pt idx="502">
                  <c:v>408.67</c:v>
                </c:pt>
                <c:pt idx="503">
                  <c:v>364.2</c:v>
                </c:pt>
                <c:pt idx="504">
                  <c:v>330</c:v>
                </c:pt>
                <c:pt idx="505">
                  <c:v>339.66</c:v>
                </c:pt>
                <c:pt idx="506">
                  <c:v>327.91</c:v>
                </c:pt>
                <c:pt idx="507">
                  <c:v>396.5</c:v>
                </c:pt>
                <c:pt idx="508">
                  <c:v>353.67</c:v>
                </c:pt>
                <c:pt idx="509">
                  <c:v>334.79</c:v>
                </c:pt>
                <c:pt idx="510">
                  <c:v>327.56</c:v>
                </c:pt>
                <c:pt idx="511">
                  <c:v>337.73</c:v>
                </c:pt>
                <c:pt idx="512">
                  <c:v>299.69</c:v>
                </c:pt>
                <c:pt idx="513">
                  <c:v>255.43</c:v>
                </c:pt>
                <c:pt idx="514">
                  <c:v>287.18</c:v>
                </c:pt>
                <c:pt idx="515">
                  <c:v>297.49</c:v>
                </c:pt>
                <c:pt idx="516">
                  <c:v>304</c:v>
                </c:pt>
                <c:pt idx="517">
                  <c:v>289.41000000000003</c:v>
                </c:pt>
                <c:pt idx="518">
                  <c:v>293.61</c:v>
                </c:pt>
                <c:pt idx="519">
                  <c:v>299.98</c:v>
                </c:pt>
                <c:pt idx="520">
                  <c:v>317.2</c:v>
                </c:pt>
                <c:pt idx="521">
                  <c:v>368.71</c:v>
                </c:pt>
                <c:pt idx="522">
                  <c:v>394.37</c:v>
                </c:pt>
              </c:numCache>
            </c:numRef>
          </c:val>
          <c:smooth val="0"/>
          <c:extLst>
            <c:ext xmlns:c16="http://schemas.microsoft.com/office/drawing/2014/chart" uri="{C3380CC4-5D6E-409C-BE32-E72D297353CC}">
              <c16:uniqueId val="{00000000-C577-4AF7-84D3-503FCC01EDAA}"/>
            </c:ext>
          </c:extLst>
        </c:ser>
        <c:dLbls>
          <c:showLegendKey val="0"/>
          <c:showVal val="0"/>
          <c:showCatName val="0"/>
          <c:showSerName val="0"/>
          <c:showPercent val="0"/>
          <c:showBubbleSize val="0"/>
        </c:dLbls>
        <c:smooth val="0"/>
        <c:axId val="1611044687"/>
        <c:axId val="1611045167"/>
      </c:lineChart>
      <c:dateAx>
        <c:axId val="161104468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Date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m/d/yy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1045167"/>
        <c:crosses val="autoZero"/>
        <c:auto val="1"/>
        <c:lblOffset val="100"/>
        <c:baseTimeUnit val="days"/>
      </c:dateAx>
      <c:valAx>
        <c:axId val="1611045167"/>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Pricee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409]* #,##0.00_);_([$$-409]* \(#,##0.00\);_([$$-409]*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1044687"/>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NFLX Closing</a:t>
            </a:r>
            <a:r>
              <a:rPr lang="en-US" baseline="0"/>
              <a:t> Stock Price 10 Year History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6762620297462816"/>
          <c:y val="0.17171296296296298"/>
          <c:w val="0.79423906386701659"/>
          <c:h val="0.60853674540682412"/>
        </c:manualLayout>
      </c:layout>
      <c:lineChart>
        <c:grouping val="stacked"/>
        <c:varyColors val="0"/>
        <c:ser>
          <c:idx val="0"/>
          <c:order val="0"/>
          <c:tx>
            <c:strRef>
              <c:f>NFLX!$E$7</c:f>
              <c:strCache>
                <c:ptCount val="1"/>
                <c:pt idx="0">
                  <c:v>Close</c:v>
                </c:pt>
              </c:strCache>
            </c:strRef>
          </c:tx>
          <c:spPr>
            <a:ln w="28575" cap="rnd">
              <a:solidFill>
                <a:schemeClr val="accent1"/>
              </a:solidFill>
              <a:round/>
            </a:ln>
            <a:effectLst/>
          </c:spPr>
          <c:marker>
            <c:symbol val="none"/>
          </c:marker>
          <c:cat>
            <c:numRef>
              <c:f>NFLX!$D$8:$D$530</c:f>
              <c:numCache>
                <c:formatCode>m/d/yyyy</c:formatCode>
                <c:ptCount val="523"/>
                <c:pt idx="0">
                  <c:v>42121</c:v>
                </c:pt>
                <c:pt idx="1">
                  <c:v>42128</c:v>
                </c:pt>
                <c:pt idx="2">
                  <c:v>42135</c:v>
                </c:pt>
                <c:pt idx="3">
                  <c:v>42142</c:v>
                </c:pt>
                <c:pt idx="4">
                  <c:v>42150</c:v>
                </c:pt>
                <c:pt idx="5">
                  <c:v>42156</c:v>
                </c:pt>
                <c:pt idx="6">
                  <c:v>42163</c:v>
                </c:pt>
                <c:pt idx="7">
                  <c:v>42170</c:v>
                </c:pt>
                <c:pt idx="8">
                  <c:v>42177</c:v>
                </c:pt>
                <c:pt idx="9">
                  <c:v>42184</c:v>
                </c:pt>
                <c:pt idx="10">
                  <c:v>42191</c:v>
                </c:pt>
                <c:pt idx="11">
                  <c:v>42198</c:v>
                </c:pt>
                <c:pt idx="12">
                  <c:v>42205</c:v>
                </c:pt>
                <c:pt idx="13">
                  <c:v>42212</c:v>
                </c:pt>
                <c:pt idx="14">
                  <c:v>42219</c:v>
                </c:pt>
                <c:pt idx="15">
                  <c:v>42226</c:v>
                </c:pt>
                <c:pt idx="16">
                  <c:v>42233</c:v>
                </c:pt>
                <c:pt idx="17">
                  <c:v>42240</c:v>
                </c:pt>
                <c:pt idx="18">
                  <c:v>42247</c:v>
                </c:pt>
                <c:pt idx="19">
                  <c:v>42255</c:v>
                </c:pt>
                <c:pt idx="20">
                  <c:v>42261</c:v>
                </c:pt>
                <c:pt idx="21">
                  <c:v>42268</c:v>
                </c:pt>
                <c:pt idx="22">
                  <c:v>42275</c:v>
                </c:pt>
                <c:pt idx="23">
                  <c:v>42282</c:v>
                </c:pt>
                <c:pt idx="24">
                  <c:v>42289</c:v>
                </c:pt>
                <c:pt idx="25">
                  <c:v>42296</c:v>
                </c:pt>
                <c:pt idx="26">
                  <c:v>42303</c:v>
                </c:pt>
                <c:pt idx="27">
                  <c:v>42310</c:v>
                </c:pt>
                <c:pt idx="28">
                  <c:v>42317</c:v>
                </c:pt>
                <c:pt idx="29">
                  <c:v>42324</c:v>
                </c:pt>
                <c:pt idx="30">
                  <c:v>42331</c:v>
                </c:pt>
                <c:pt idx="31">
                  <c:v>42338</c:v>
                </c:pt>
                <c:pt idx="32">
                  <c:v>42345</c:v>
                </c:pt>
                <c:pt idx="33">
                  <c:v>42352</c:v>
                </c:pt>
                <c:pt idx="34">
                  <c:v>42359</c:v>
                </c:pt>
                <c:pt idx="35">
                  <c:v>42366</c:v>
                </c:pt>
                <c:pt idx="36">
                  <c:v>42373</c:v>
                </c:pt>
                <c:pt idx="37">
                  <c:v>42380</c:v>
                </c:pt>
                <c:pt idx="38">
                  <c:v>42388</c:v>
                </c:pt>
                <c:pt idx="39">
                  <c:v>42394</c:v>
                </c:pt>
                <c:pt idx="40">
                  <c:v>42401</c:v>
                </c:pt>
                <c:pt idx="41">
                  <c:v>42408</c:v>
                </c:pt>
                <c:pt idx="42">
                  <c:v>42416</c:v>
                </c:pt>
                <c:pt idx="43">
                  <c:v>42422</c:v>
                </c:pt>
                <c:pt idx="44">
                  <c:v>42429</c:v>
                </c:pt>
                <c:pt idx="45">
                  <c:v>42436</c:v>
                </c:pt>
                <c:pt idx="46">
                  <c:v>42443</c:v>
                </c:pt>
                <c:pt idx="47">
                  <c:v>42450</c:v>
                </c:pt>
                <c:pt idx="48">
                  <c:v>42457</c:v>
                </c:pt>
                <c:pt idx="49">
                  <c:v>42464</c:v>
                </c:pt>
                <c:pt idx="50">
                  <c:v>42471</c:v>
                </c:pt>
                <c:pt idx="51">
                  <c:v>42478</c:v>
                </c:pt>
                <c:pt idx="52">
                  <c:v>42485</c:v>
                </c:pt>
                <c:pt idx="53">
                  <c:v>42492</c:v>
                </c:pt>
                <c:pt idx="54">
                  <c:v>42499</c:v>
                </c:pt>
                <c:pt idx="55">
                  <c:v>42506</c:v>
                </c:pt>
                <c:pt idx="56">
                  <c:v>42513</c:v>
                </c:pt>
                <c:pt idx="57">
                  <c:v>42521</c:v>
                </c:pt>
                <c:pt idx="58">
                  <c:v>42527</c:v>
                </c:pt>
                <c:pt idx="59">
                  <c:v>42534</c:v>
                </c:pt>
                <c:pt idx="60">
                  <c:v>42541</c:v>
                </c:pt>
                <c:pt idx="61">
                  <c:v>42548</c:v>
                </c:pt>
                <c:pt idx="62">
                  <c:v>42556</c:v>
                </c:pt>
                <c:pt idx="63">
                  <c:v>42562</c:v>
                </c:pt>
                <c:pt idx="64">
                  <c:v>42569</c:v>
                </c:pt>
                <c:pt idx="65">
                  <c:v>42576</c:v>
                </c:pt>
                <c:pt idx="66">
                  <c:v>42583</c:v>
                </c:pt>
                <c:pt idx="67">
                  <c:v>42590</c:v>
                </c:pt>
                <c:pt idx="68">
                  <c:v>42597</c:v>
                </c:pt>
                <c:pt idx="69">
                  <c:v>42604</c:v>
                </c:pt>
                <c:pt idx="70">
                  <c:v>42611</c:v>
                </c:pt>
                <c:pt idx="71">
                  <c:v>42619</c:v>
                </c:pt>
                <c:pt idx="72">
                  <c:v>42625</c:v>
                </c:pt>
                <c:pt idx="73">
                  <c:v>42632</c:v>
                </c:pt>
                <c:pt idx="74">
                  <c:v>42639</c:v>
                </c:pt>
                <c:pt idx="75">
                  <c:v>42646</c:v>
                </c:pt>
                <c:pt idx="76">
                  <c:v>42653</c:v>
                </c:pt>
                <c:pt idx="77">
                  <c:v>42660</c:v>
                </c:pt>
                <c:pt idx="78">
                  <c:v>42667</c:v>
                </c:pt>
                <c:pt idx="79">
                  <c:v>42674</c:v>
                </c:pt>
                <c:pt idx="80">
                  <c:v>42681</c:v>
                </c:pt>
                <c:pt idx="81">
                  <c:v>42688</c:v>
                </c:pt>
                <c:pt idx="82">
                  <c:v>42695</c:v>
                </c:pt>
                <c:pt idx="83">
                  <c:v>42702</c:v>
                </c:pt>
                <c:pt idx="84">
                  <c:v>42709</c:v>
                </c:pt>
                <c:pt idx="85">
                  <c:v>42716</c:v>
                </c:pt>
                <c:pt idx="86">
                  <c:v>42723</c:v>
                </c:pt>
                <c:pt idx="87">
                  <c:v>42731</c:v>
                </c:pt>
                <c:pt idx="88">
                  <c:v>42738</c:v>
                </c:pt>
                <c:pt idx="89">
                  <c:v>42744</c:v>
                </c:pt>
                <c:pt idx="90">
                  <c:v>42752</c:v>
                </c:pt>
                <c:pt idx="91">
                  <c:v>42758</c:v>
                </c:pt>
                <c:pt idx="92">
                  <c:v>42765</c:v>
                </c:pt>
                <c:pt idx="93">
                  <c:v>42772</c:v>
                </c:pt>
                <c:pt idx="94">
                  <c:v>42779</c:v>
                </c:pt>
                <c:pt idx="95">
                  <c:v>42787</c:v>
                </c:pt>
                <c:pt idx="96">
                  <c:v>42793</c:v>
                </c:pt>
                <c:pt idx="97">
                  <c:v>42800</c:v>
                </c:pt>
                <c:pt idx="98">
                  <c:v>42807</c:v>
                </c:pt>
                <c:pt idx="99">
                  <c:v>42814</c:v>
                </c:pt>
                <c:pt idx="100">
                  <c:v>42821</c:v>
                </c:pt>
                <c:pt idx="101">
                  <c:v>42828</c:v>
                </c:pt>
                <c:pt idx="102">
                  <c:v>42835</c:v>
                </c:pt>
                <c:pt idx="103">
                  <c:v>42842</c:v>
                </c:pt>
                <c:pt idx="104">
                  <c:v>42849</c:v>
                </c:pt>
                <c:pt idx="105">
                  <c:v>42856</c:v>
                </c:pt>
                <c:pt idx="106">
                  <c:v>42863</c:v>
                </c:pt>
                <c:pt idx="107">
                  <c:v>42870</c:v>
                </c:pt>
                <c:pt idx="108">
                  <c:v>42877</c:v>
                </c:pt>
                <c:pt idx="109">
                  <c:v>42885</c:v>
                </c:pt>
                <c:pt idx="110">
                  <c:v>42891</c:v>
                </c:pt>
                <c:pt idx="111">
                  <c:v>42898</c:v>
                </c:pt>
                <c:pt idx="112">
                  <c:v>42905</c:v>
                </c:pt>
                <c:pt idx="113">
                  <c:v>42912</c:v>
                </c:pt>
                <c:pt idx="114">
                  <c:v>42919</c:v>
                </c:pt>
                <c:pt idx="115">
                  <c:v>42926</c:v>
                </c:pt>
                <c:pt idx="116">
                  <c:v>42933</c:v>
                </c:pt>
                <c:pt idx="117">
                  <c:v>42940</c:v>
                </c:pt>
                <c:pt idx="118">
                  <c:v>42947</c:v>
                </c:pt>
                <c:pt idx="119">
                  <c:v>42954</c:v>
                </c:pt>
                <c:pt idx="120">
                  <c:v>42961</c:v>
                </c:pt>
                <c:pt idx="121">
                  <c:v>42968</c:v>
                </c:pt>
                <c:pt idx="122">
                  <c:v>42975</c:v>
                </c:pt>
                <c:pt idx="123">
                  <c:v>42983</c:v>
                </c:pt>
                <c:pt idx="124">
                  <c:v>42989</c:v>
                </c:pt>
                <c:pt idx="125">
                  <c:v>42996</c:v>
                </c:pt>
                <c:pt idx="126">
                  <c:v>43003</c:v>
                </c:pt>
                <c:pt idx="127">
                  <c:v>43010</c:v>
                </c:pt>
                <c:pt idx="128">
                  <c:v>43017</c:v>
                </c:pt>
                <c:pt idx="129">
                  <c:v>43024</c:v>
                </c:pt>
                <c:pt idx="130">
                  <c:v>43031</c:v>
                </c:pt>
                <c:pt idx="131">
                  <c:v>43038</c:v>
                </c:pt>
                <c:pt idx="132">
                  <c:v>43045</c:v>
                </c:pt>
                <c:pt idx="133">
                  <c:v>43052</c:v>
                </c:pt>
                <c:pt idx="134">
                  <c:v>43059</c:v>
                </c:pt>
                <c:pt idx="135">
                  <c:v>43066</c:v>
                </c:pt>
                <c:pt idx="136">
                  <c:v>43073</c:v>
                </c:pt>
                <c:pt idx="137">
                  <c:v>43080</c:v>
                </c:pt>
                <c:pt idx="138">
                  <c:v>43087</c:v>
                </c:pt>
                <c:pt idx="139">
                  <c:v>43095</c:v>
                </c:pt>
                <c:pt idx="140">
                  <c:v>43102</c:v>
                </c:pt>
                <c:pt idx="141">
                  <c:v>43108</c:v>
                </c:pt>
                <c:pt idx="142">
                  <c:v>43116</c:v>
                </c:pt>
                <c:pt idx="143">
                  <c:v>43122</c:v>
                </c:pt>
                <c:pt idx="144">
                  <c:v>43129</c:v>
                </c:pt>
                <c:pt idx="145">
                  <c:v>43136</c:v>
                </c:pt>
                <c:pt idx="146">
                  <c:v>43143</c:v>
                </c:pt>
                <c:pt idx="147">
                  <c:v>43151</c:v>
                </c:pt>
                <c:pt idx="148">
                  <c:v>43157</c:v>
                </c:pt>
                <c:pt idx="149">
                  <c:v>43164</c:v>
                </c:pt>
                <c:pt idx="150">
                  <c:v>43171</c:v>
                </c:pt>
                <c:pt idx="151">
                  <c:v>43178</c:v>
                </c:pt>
                <c:pt idx="152">
                  <c:v>43185</c:v>
                </c:pt>
                <c:pt idx="153">
                  <c:v>43192</c:v>
                </c:pt>
                <c:pt idx="154">
                  <c:v>43199</c:v>
                </c:pt>
                <c:pt idx="155">
                  <c:v>43206</c:v>
                </c:pt>
                <c:pt idx="156">
                  <c:v>43213</c:v>
                </c:pt>
                <c:pt idx="157">
                  <c:v>43220</c:v>
                </c:pt>
                <c:pt idx="158">
                  <c:v>43227</c:v>
                </c:pt>
                <c:pt idx="159">
                  <c:v>43234</c:v>
                </c:pt>
                <c:pt idx="160">
                  <c:v>43241</c:v>
                </c:pt>
                <c:pt idx="161">
                  <c:v>43249</c:v>
                </c:pt>
                <c:pt idx="162">
                  <c:v>43255</c:v>
                </c:pt>
                <c:pt idx="163">
                  <c:v>43262</c:v>
                </c:pt>
                <c:pt idx="164">
                  <c:v>43269</c:v>
                </c:pt>
                <c:pt idx="165">
                  <c:v>43276</c:v>
                </c:pt>
                <c:pt idx="166">
                  <c:v>43283</c:v>
                </c:pt>
                <c:pt idx="167">
                  <c:v>43290</c:v>
                </c:pt>
                <c:pt idx="168">
                  <c:v>43297</c:v>
                </c:pt>
                <c:pt idx="169">
                  <c:v>43304</c:v>
                </c:pt>
                <c:pt idx="170">
                  <c:v>43311</c:v>
                </c:pt>
                <c:pt idx="171">
                  <c:v>43318</c:v>
                </c:pt>
                <c:pt idx="172">
                  <c:v>43325</c:v>
                </c:pt>
                <c:pt idx="173">
                  <c:v>43332</c:v>
                </c:pt>
                <c:pt idx="174">
                  <c:v>43339</c:v>
                </c:pt>
                <c:pt idx="175">
                  <c:v>43347</c:v>
                </c:pt>
                <c:pt idx="176">
                  <c:v>43353</c:v>
                </c:pt>
                <c:pt idx="177">
                  <c:v>43360</c:v>
                </c:pt>
                <c:pt idx="178">
                  <c:v>43367</c:v>
                </c:pt>
                <c:pt idx="179">
                  <c:v>43374</c:v>
                </c:pt>
                <c:pt idx="180">
                  <c:v>43381</c:v>
                </c:pt>
                <c:pt idx="181">
                  <c:v>43388</c:v>
                </c:pt>
                <c:pt idx="182">
                  <c:v>43395</c:v>
                </c:pt>
                <c:pt idx="183">
                  <c:v>43402</c:v>
                </c:pt>
                <c:pt idx="184">
                  <c:v>43409</c:v>
                </c:pt>
                <c:pt idx="185">
                  <c:v>43416</c:v>
                </c:pt>
                <c:pt idx="186">
                  <c:v>43423</c:v>
                </c:pt>
                <c:pt idx="187">
                  <c:v>43430</c:v>
                </c:pt>
                <c:pt idx="188">
                  <c:v>43437</c:v>
                </c:pt>
                <c:pt idx="189">
                  <c:v>43444</c:v>
                </c:pt>
                <c:pt idx="190">
                  <c:v>43451</c:v>
                </c:pt>
                <c:pt idx="191">
                  <c:v>43458</c:v>
                </c:pt>
                <c:pt idx="192">
                  <c:v>43465</c:v>
                </c:pt>
                <c:pt idx="193">
                  <c:v>43472</c:v>
                </c:pt>
                <c:pt idx="194">
                  <c:v>43479</c:v>
                </c:pt>
                <c:pt idx="195">
                  <c:v>43487</c:v>
                </c:pt>
                <c:pt idx="196">
                  <c:v>43493</c:v>
                </c:pt>
                <c:pt idx="197">
                  <c:v>43500</c:v>
                </c:pt>
                <c:pt idx="198">
                  <c:v>43507</c:v>
                </c:pt>
                <c:pt idx="199">
                  <c:v>43515</c:v>
                </c:pt>
                <c:pt idx="200">
                  <c:v>43521</c:v>
                </c:pt>
                <c:pt idx="201">
                  <c:v>43528</c:v>
                </c:pt>
                <c:pt idx="202">
                  <c:v>43535</c:v>
                </c:pt>
                <c:pt idx="203">
                  <c:v>43542</c:v>
                </c:pt>
                <c:pt idx="204">
                  <c:v>43549</c:v>
                </c:pt>
                <c:pt idx="205">
                  <c:v>43556</c:v>
                </c:pt>
                <c:pt idx="206">
                  <c:v>43563</c:v>
                </c:pt>
                <c:pt idx="207">
                  <c:v>43570</c:v>
                </c:pt>
                <c:pt idx="208">
                  <c:v>43577</c:v>
                </c:pt>
                <c:pt idx="209">
                  <c:v>43584</c:v>
                </c:pt>
                <c:pt idx="210">
                  <c:v>43591</c:v>
                </c:pt>
                <c:pt idx="211">
                  <c:v>43598</c:v>
                </c:pt>
                <c:pt idx="212">
                  <c:v>43605</c:v>
                </c:pt>
                <c:pt idx="213">
                  <c:v>43613</c:v>
                </c:pt>
                <c:pt idx="214">
                  <c:v>43619</c:v>
                </c:pt>
                <c:pt idx="215">
                  <c:v>43626</c:v>
                </c:pt>
                <c:pt idx="216">
                  <c:v>43633</c:v>
                </c:pt>
                <c:pt idx="217">
                  <c:v>43640</c:v>
                </c:pt>
                <c:pt idx="218">
                  <c:v>43647</c:v>
                </c:pt>
                <c:pt idx="219">
                  <c:v>43654</c:v>
                </c:pt>
                <c:pt idx="220">
                  <c:v>43661</c:v>
                </c:pt>
                <c:pt idx="221">
                  <c:v>43668</c:v>
                </c:pt>
                <c:pt idx="222">
                  <c:v>43675</c:v>
                </c:pt>
                <c:pt idx="223">
                  <c:v>43682</c:v>
                </c:pt>
                <c:pt idx="224">
                  <c:v>43689</c:v>
                </c:pt>
                <c:pt idx="225">
                  <c:v>43696</c:v>
                </c:pt>
                <c:pt idx="226">
                  <c:v>43703</c:v>
                </c:pt>
                <c:pt idx="227">
                  <c:v>43711</c:v>
                </c:pt>
                <c:pt idx="228">
                  <c:v>43717</c:v>
                </c:pt>
                <c:pt idx="229">
                  <c:v>43724</c:v>
                </c:pt>
                <c:pt idx="230">
                  <c:v>43731</c:v>
                </c:pt>
                <c:pt idx="231">
                  <c:v>43738</c:v>
                </c:pt>
                <c:pt idx="232">
                  <c:v>43745</c:v>
                </c:pt>
                <c:pt idx="233">
                  <c:v>43752</c:v>
                </c:pt>
                <c:pt idx="234">
                  <c:v>43759</c:v>
                </c:pt>
                <c:pt idx="235">
                  <c:v>43766</c:v>
                </c:pt>
                <c:pt idx="236">
                  <c:v>43773</c:v>
                </c:pt>
                <c:pt idx="237">
                  <c:v>43780</c:v>
                </c:pt>
                <c:pt idx="238">
                  <c:v>43787</c:v>
                </c:pt>
                <c:pt idx="239">
                  <c:v>43794</c:v>
                </c:pt>
                <c:pt idx="240">
                  <c:v>43801</c:v>
                </c:pt>
                <c:pt idx="241">
                  <c:v>43808</c:v>
                </c:pt>
                <c:pt idx="242">
                  <c:v>43815</c:v>
                </c:pt>
                <c:pt idx="243">
                  <c:v>43822</c:v>
                </c:pt>
                <c:pt idx="244">
                  <c:v>43829</c:v>
                </c:pt>
                <c:pt idx="245">
                  <c:v>43836</c:v>
                </c:pt>
                <c:pt idx="246">
                  <c:v>43843</c:v>
                </c:pt>
                <c:pt idx="247">
                  <c:v>43851</c:v>
                </c:pt>
                <c:pt idx="248">
                  <c:v>43857</c:v>
                </c:pt>
                <c:pt idx="249">
                  <c:v>43864</c:v>
                </c:pt>
                <c:pt idx="250">
                  <c:v>43871</c:v>
                </c:pt>
                <c:pt idx="251">
                  <c:v>43879</c:v>
                </c:pt>
                <c:pt idx="252">
                  <c:v>43885</c:v>
                </c:pt>
                <c:pt idx="253">
                  <c:v>43892</c:v>
                </c:pt>
                <c:pt idx="254">
                  <c:v>43899</c:v>
                </c:pt>
                <c:pt idx="255">
                  <c:v>43906</c:v>
                </c:pt>
                <c:pt idx="256">
                  <c:v>43913</c:v>
                </c:pt>
                <c:pt idx="257">
                  <c:v>43920</c:v>
                </c:pt>
                <c:pt idx="258">
                  <c:v>43927</c:v>
                </c:pt>
                <c:pt idx="259">
                  <c:v>43934</c:v>
                </c:pt>
                <c:pt idx="260">
                  <c:v>43941</c:v>
                </c:pt>
                <c:pt idx="261">
                  <c:v>43948</c:v>
                </c:pt>
                <c:pt idx="262">
                  <c:v>43955</c:v>
                </c:pt>
                <c:pt idx="263">
                  <c:v>43962</c:v>
                </c:pt>
                <c:pt idx="264">
                  <c:v>43969</c:v>
                </c:pt>
                <c:pt idx="265">
                  <c:v>43977</c:v>
                </c:pt>
                <c:pt idx="266">
                  <c:v>43983</c:v>
                </c:pt>
                <c:pt idx="267">
                  <c:v>43990</c:v>
                </c:pt>
                <c:pt idx="268">
                  <c:v>43997</c:v>
                </c:pt>
                <c:pt idx="269">
                  <c:v>44004</c:v>
                </c:pt>
                <c:pt idx="270">
                  <c:v>44011</c:v>
                </c:pt>
                <c:pt idx="271">
                  <c:v>44018</c:v>
                </c:pt>
                <c:pt idx="272">
                  <c:v>44025</c:v>
                </c:pt>
                <c:pt idx="273">
                  <c:v>44032</c:v>
                </c:pt>
                <c:pt idx="274">
                  <c:v>44039</c:v>
                </c:pt>
                <c:pt idx="275">
                  <c:v>44046</c:v>
                </c:pt>
                <c:pt idx="276">
                  <c:v>44053</c:v>
                </c:pt>
                <c:pt idx="277">
                  <c:v>44060</c:v>
                </c:pt>
                <c:pt idx="278">
                  <c:v>44067</c:v>
                </c:pt>
                <c:pt idx="279">
                  <c:v>44074</c:v>
                </c:pt>
                <c:pt idx="280">
                  <c:v>44082</c:v>
                </c:pt>
                <c:pt idx="281">
                  <c:v>44088</c:v>
                </c:pt>
                <c:pt idx="282">
                  <c:v>44095</c:v>
                </c:pt>
                <c:pt idx="283">
                  <c:v>44102</c:v>
                </c:pt>
                <c:pt idx="284">
                  <c:v>44109</c:v>
                </c:pt>
                <c:pt idx="285">
                  <c:v>44116</c:v>
                </c:pt>
                <c:pt idx="286">
                  <c:v>44123</c:v>
                </c:pt>
                <c:pt idx="287">
                  <c:v>44130</c:v>
                </c:pt>
                <c:pt idx="288">
                  <c:v>44137</c:v>
                </c:pt>
                <c:pt idx="289">
                  <c:v>44144</c:v>
                </c:pt>
                <c:pt idx="290">
                  <c:v>44151</c:v>
                </c:pt>
                <c:pt idx="291">
                  <c:v>44158</c:v>
                </c:pt>
                <c:pt idx="292">
                  <c:v>44165</c:v>
                </c:pt>
                <c:pt idx="293">
                  <c:v>44172</c:v>
                </c:pt>
                <c:pt idx="294">
                  <c:v>44179</c:v>
                </c:pt>
                <c:pt idx="295">
                  <c:v>44186</c:v>
                </c:pt>
                <c:pt idx="296">
                  <c:v>44193</c:v>
                </c:pt>
                <c:pt idx="297">
                  <c:v>44200</c:v>
                </c:pt>
                <c:pt idx="298">
                  <c:v>44207</c:v>
                </c:pt>
                <c:pt idx="299">
                  <c:v>44215</c:v>
                </c:pt>
                <c:pt idx="300">
                  <c:v>44221</c:v>
                </c:pt>
                <c:pt idx="301">
                  <c:v>44228</c:v>
                </c:pt>
                <c:pt idx="302">
                  <c:v>44235</c:v>
                </c:pt>
                <c:pt idx="303">
                  <c:v>44243</c:v>
                </c:pt>
                <c:pt idx="304">
                  <c:v>44249</c:v>
                </c:pt>
                <c:pt idx="305">
                  <c:v>44256</c:v>
                </c:pt>
                <c:pt idx="306">
                  <c:v>44263</c:v>
                </c:pt>
                <c:pt idx="307">
                  <c:v>44270</c:v>
                </c:pt>
                <c:pt idx="308">
                  <c:v>44277</c:v>
                </c:pt>
                <c:pt idx="309">
                  <c:v>44284</c:v>
                </c:pt>
                <c:pt idx="310">
                  <c:v>44291</c:v>
                </c:pt>
                <c:pt idx="311">
                  <c:v>44298</c:v>
                </c:pt>
                <c:pt idx="312">
                  <c:v>44305</c:v>
                </c:pt>
                <c:pt idx="313">
                  <c:v>44312</c:v>
                </c:pt>
                <c:pt idx="314">
                  <c:v>44319</c:v>
                </c:pt>
                <c:pt idx="315">
                  <c:v>44326</c:v>
                </c:pt>
                <c:pt idx="316">
                  <c:v>44333</c:v>
                </c:pt>
                <c:pt idx="317">
                  <c:v>44340</c:v>
                </c:pt>
                <c:pt idx="318">
                  <c:v>44348</c:v>
                </c:pt>
                <c:pt idx="319">
                  <c:v>44354</c:v>
                </c:pt>
                <c:pt idx="320">
                  <c:v>44361</c:v>
                </c:pt>
                <c:pt idx="321">
                  <c:v>44368</c:v>
                </c:pt>
                <c:pt idx="322">
                  <c:v>44375</c:v>
                </c:pt>
                <c:pt idx="323">
                  <c:v>44383</c:v>
                </c:pt>
                <c:pt idx="324">
                  <c:v>44389</c:v>
                </c:pt>
                <c:pt idx="325">
                  <c:v>44396</c:v>
                </c:pt>
                <c:pt idx="326">
                  <c:v>44403</c:v>
                </c:pt>
                <c:pt idx="327">
                  <c:v>44410</c:v>
                </c:pt>
                <c:pt idx="328">
                  <c:v>44417</c:v>
                </c:pt>
                <c:pt idx="329">
                  <c:v>44424</c:v>
                </c:pt>
                <c:pt idx="330">
                  <c:v>44431</c:v>
                </c:pt>
                <c:pt idx="331">
                  <c:v>44438</c:v>
                </c:pt>
                <c:pt idx="332">
                  <c:v>44446</c:v>
                </c:pt>
                <c:pt idx="333">
                  <c:v>44452</c:v>
                </c:pt>
                <c:pt idx="334">
                  <c:v>44459</c:v>
                </c:pt>
                <c:pt idx="335">
                  <c:v>44466</c:v>
                </c:pt>
                <c:pt idx="336">
                  <c:v>44473</c:v>
                </c:pt>
                <c:pt idx="337">
                  <c:v>44480</c:v>
                </c:pt>
                <c:pt idx="338">
                  <c:v>44487</c:v>
                </c:pt>
                <c:pt idx="339">
                  <c:v>44494</c:v>
                </c:pt>
                <c:pt idx="340">
                  <c:v>44501</c:v>
                </c:pt>
                <c:pt idx="341">
                  <c:v>44508</c:v>
                </c:pt>
                <c:pt idx="342">
                  <c:v>44515</c:v>
                </c:pt>
                <c:pt idx="343">
                  <c:v>44522</c:v>
                </c:pt>
                <c:pt idx="344">
                  <c:v>44529</c:v>
                </c:pt>
                <c:pt idx="345">
                  <c:v>44536</c:v>
                </c:pt>
                <c:pt idx="346">
                  <c:v>44543</c:v>
                </c:pt>
                <c:pt idx="347">
                  <c:v>44550</c:v>
                </c:pt>
                <c:pt idx="348">
                  <c:v>44557</c:v>
                </c:pt>
                <c:pt idx="349">
                  <c:v>44564</c:v>
                </c:pt>
                <c:pt idx="350">
                  <c:v>44571</c:v>
                </c:pt>
                <c:pt idx="351">
                  <c:v>44579</c:v>
                </c:pt>
                <c:pt idx="352">
                  <c:v>44585</c:v>
                </c:pt>
                <c:pt idx="353">
                  <c:v>44592</c:v>
                </c:pt>
                <c:pt idx="354">
                  <c:v>44599</c:v>
                </c:pt>
                <c:pt idx="355">
                  <c:v>44606</c:v>
                </c:pt>
                <c:pt idx="356">
                  <c:v>44614</c:v>
                </c:pt>
                <c:pt idx="357">
                  <c:v>44620</c:v>
                </c:pt>
                <c:pt idx="358">
                  <c:v>44627</c:v>
                </c:pt>
                <c:pt idx="359">
                  <c:v>44634</c:v>
                </c:pt>
                <c:pt idx="360">
                  <c:v>44641</c:v>
                </c:pt>
                <c:pt idx="361">
                  <c:v>44648</c:v>
                </c:pt>
                <c:pt idx="362">
                  <c:v>44655</c:v>
                </c:pt>
                <c:pt idx="363">
                  <c:v>44662</c:v>
                </c:pt>
                <c:pt idx="364">
                  <c:v>44669</c:v>
                </c:pt>
                <c:pt idx="365">
                  <c:v>44676</c:v>
                </c:pt>
                <c:pt idx="366">
                  <c:v>44683</c:v>
                </c:pt>
                <c:pt idx="367">
                  <c:v>44690</c:v>
                </c:pt>
                <c:pt idx="368">
                  <c:v>44697</c:v>
                </c:pt>
                <c:pt idx="369">
                  <c:v>44704</c:v>
                </c:pt>
                <c:pt idx="370">
                  <c:v>44712</c:v>
                </c:pt>
                <c:pt idx="371">
                  <c:v>44718</c:v>
                </c:pt>
                <c:pt idx="372">
                  <c:v>44725</c:v>
                </c:pt>
                <c:pt idx="373">
                  <c:v>44733</c:v>
                </c:pt>
                <c:pt idx="374">
                  <c:v>44739</c:v>
                </c:pt>
                <c:pt idx="375">
                  <c:v>44747</c:v>
                </c:pt>
                <c:pt idx="376">
                  <c:v>44753</c:v>
                </c:pt>
                <c:pt idx="377">
                  <c:v>44760</c:v>
                </c:pt>
                <c:pt idx="378">
                  <c:v>44767</c:v>
                </c:pt>
                <c:pt idx="379">
                  <c:v>44774</c:v>
                </c:pt>
                <c:pt idx="380">
                  <c:v>44781</c:v>
                </c:pt>
                <c:pt idx="381">
                  <c:v>44788</c:v>
                </c:pt>
                <c:pt idx="382">
                  <c:v>44795</c:v>
                </c:pt>
                <c:pt idx="383">
                  <c:v>44802</c:v>
                </c:pt>
                <c:pt idx="384">
                  <c:v>44810</c:v>
                </c:pt>
                <c:pt idx="385">
                  <c:v>44816</c:v>
                </c:pt>
                <c:pt idx="386">
                  <c:v>44823</c:v>
                </c:pt>
                <c:pt idx="387">
                  <c:v>44830</c:v>
                </c:pt>
                <c:pt idx="388">
                  <c:v>44837</c:v>
                </c:pt>
                <c:pt idx="389">
                  <c:v>44844</c:v>
                </c:pt>
                <c:pt idx="390">
                  <c:v>44851</c:v>
                </c:pt>
                <c:pt idx="391">
                  <c:v>44858</c:v>
                </c:pt>
                <c:pt idx="392">
                  <c:v>44865</c:v>
                </c:pt>
                <c:pt idx="393">
                  <c:v>44872</c:v>
                </c:pt>
                <c:pt idx="394">
                  <c:v>44879</c:v>
                </c:pt>
                <c:pt idx="395">
                  <c:v>44886</c:v>
                </c:pt>
                <c:pt idx="396">
                  <c:v>44893</c:v>
                </c:pt>
                <c:pt idx="397">
                  <c:v>44900</c:v>
                </c:pt>
                <c:pt idx="398">
                  <c:v>44907</c:v>
                </c:pt>
                <c:pt idx="399">
                  <c:v>44914</c:v>
                </c:pt>
                <c:pt idx="400">
                  <c:v>44922</c:v>
                </c:pt>
                <c:pt idx="401">
                  <c:v>44929</c:v>
                </c:pt>
                <c:pt idx="402">
                  <c:v>44935</c:v>
                </c:pt>
                <c:pt idx="403">
                  <c:v>44943</c:v>
                </c:pt>
                <c:pt idx="404">
                  <c:v>44949</c:v>
                </c:pt>
                <c:pt idx="405">
                  <c:v>44956</c:v>
                </c:pt>
                <c:pt idx="406">
                  <c:v>44963</c:v>
                </c:pt>
                <c:pt idx="407">
                  <c:v>44970</c:v>
                </c:pt>
                <c:pt idx="408">
                  <c:v>44978</c:v>
                </c:pt>
                <c:pt idx="409">
                  <c:v>44984</c:v>
                </c:pt>
                <c:pt idx="410">
                  <c:v>44991</c:v>
                </c:pt>
                <c:pt idx="411">
                  <c:v>44998</c:v>
                </c:pt>
                <c:pt idx="412">
                  <c:v>45005</c:v>
                </c:pt>
                <c:pt idx="413">
                  <c:v>45012</c:v>
                </c:pt>
                <c:pt idx="414">
                  <c:v>45019</c:v>
                </c:pt>
                <c:pt idx="415">
                  <c:v>45026</c:v>
                </c:pt>
                <c:pt idx="416">
                  <c:v>45033</c:v>
                </c:pt>
                <c:pt idx="417">
                  <c:v>45040</c:v>
                </c:pt>
                <c:pt idx="418">
                  <c:v>45047</c:v>
                </c:pt>
                <c:pt idx="419">
                  <c:v>45054</c:v>
                </c:pt>
                <c:pt idx="420">
                  <c:v>45061</c:v>
                </c:pt>
                <c:pt idx="421">
                  <c:v>45068</c:v>
                </c:pt>
                <c:pt idx="422">
                  <c:v>45076</c:v>
                </c:pt>
                <c:pt idx="423">
                  <c:v>45082</c:v>
                </c:pt>
                <c:pt idx="424">
                  <c:v>45089</c:v>
                </c:pt>
                <c:pt idx="425">
                  <c:v>45097</c:v>
                </c:pt>
                <c:pt idx="426">
                  <c:v>45103</c:v>
                </c:pt>
                <c:pt idx="427">
                  <c:v>45110</c:v>
                </c:pt>
                <c:pt idx="428">
                  <c:v>45117</c:v>
                </c:pt>
                <c:pt idx="429">
                  <c:v>45124</c:v>
                </c:pt>
                <c:pt idx="430">
                  <c:v>45131</c:v>
                </c:pt>
                <c:pt idx="431">
                  <c:v>45138</c:v>
                </c:pt>
                <c:pt idx="432">
                  <c:v>45145</c:v>
                </c:pt>
                <c:pt idx="433">
                  <c:v>45152</c:v>
                </c:pt>
                <c:pt idx="434">
                  <c:v>45159</c:v>
                </c:pt>
                <c:pt idx="435">
                  <c:v>45166</c:v>
                </c:pt>
                <c:pt idx="436">
                  <c:v>45174</c:v>
                </c:pt>
                <c:pt idx="437">
                  <c:v>45180</c:v>
                </c:pt>
                <c:pt idx="438">
                  <c:v>45187</c:v>
                </c:pt>
                <c:pt idx="439">
                  <c:v>45194</c:v>
                </c:pt>
                <c:pt idx="440">
                  <c:v>45201</c:v>
                </c:pt>
                <c:pt idx="441">
                  <c:v>45208</c:v>
                </c:pt>
                <c:pt idx="442">
                  <c:v>45215</c:v>
                </c:pt>
                <c:pt idx="443">
                  <c:v>45222</c:v>
                </c:pt>
                <c:pt idx="444">
                  <c:v>45229</c:v>
                </c:pt>
                <c:pt idx="445">
                  <c:v>45236</c:v>
                </c:pt>
                <c:pt idx="446">
                  <c:v>45243</c:v>
                </c:pt>
                <c:pt idx="447">
                  <c:v>45250</c:v>
                </c:pt>
                <c:pt idx="448">
                  <c:v>45257</c:v>
                </c:pt>
                <c:pt idx="449">
                  <c:v>45264</c:v>
                </c:pt>
                <c:pt idx="450">
                  <c:v>45271</c:v>
                </c:pt>
                <c:pt idx="451">
                  <c:v>45278</c:v>
                </c:pt>
                <c:pt idx="452">
                  <c:v>45286</c:v>
                </c:pt>
                <c:pt idx="453">
                  <c:v>45293</c:v>
                </c:pt>
                <c:pt idx="454">
                  <c:v>45299</c:v>
                </c:pt>
                <c:pt idx="455">
                  <c:v>45307</c:v>
                </c:pt>
                <c:pt idx="456">
                  <c:v>45313</c:v>
                </c:pt>
                <c:pt idx="457">
                  <c:v>45320</c:v>
                </c:pt>
                <c:pt idx="458">
                  <c:v>45327</c:v>
                </c:pt>
                <c:pt idx="459">
                  <c:v>45334</c:v>
                </c:pt>
                <c:pt idx="460">
                  <c:v>45342</c:v>
                </c:pt>
                <c:pt idx="461">
                  <c:v>45348</c:v>
                </c:pt>
                <c:pt idx="462">
                  <c:v>45355</c:v>
                </c:pt>
                <c:pt idx="463">
                  <c:v>45362</c:v>
                </c:pt>
                <c:pt idx="464">
                  <c:v>45369</c:v>
                </c:pt>
                <c:pt idx="465">
                  <c:v>45376</c:v>
                </c:pt>
                <c:pt idx="466">
                  <c:v>45383</c:v>
                </c:pt>
                <c:pt idx="467">
                  <c:v>45390</c:v>
                </c:pt>
                <c:pt idx="468">
                  <c:v>45397</c:v>
                </c:pt>
                <c:pt idx="469">
                  <c:v>45404</c:v>
                </c:pt>
                <c:pt idx="470">
                  <c:v>45411</c:v>
                </c:pt>
                <c:pt idx="471">
                  <c:v>45418</c:v>
                </c:pt>
                <c:pt idx="472">
                  <c:v>45425</c:v>
                </c:pt>
                <c:pt idx="473">
                  <c:v>45432</c:v>
                </c:pt>
                <c:pt idx="474">
                  <c:v>45440</c:v>
                </c:pt>
                <c:pt idx="475">
                  <c:v>45446</c:v>
                </c:pt>
                <c:pt idx="476">
                  <c:v>45453</c:v>
                </c:pt>
                <c:pt idx="477">
                  <c:v>45460</c:v>
                </c:pt>
                <c:pt idx="478">
                  <c:v>45467</c:v>
                </c:pt>
                <c:pt idx="479">
                  <c:v>45474</c:v>
                </c:pt>
                <c:pt idx="480">
                  <c:v>45481</c:v>
                </c:pt>
                <c:pt idx="481">
                  <c:v>45488</c:v>
                </c:pt>
                <c:pt idx="482">
                  <c:v>45495</c:v>
                </c:pt>
                <c:pt idx="483">
                  <c:v>45502</c:v>
                </c:pt>
                <c:pt idx="484">
                  <c:v>45509</c:v>
                </c:pt>
                <c:pt idx="485">
                  <c:v>45516</c:v>
                </c:pt>
                <c:pt idx="486">
                  <c:v>45523</c:v>
                </c:pt>
                <c:pt idx="487">
                  <c:v>45530</c:v>
                </c:pt>
                <c:pt idx="488">
                  <c:v>45538</c:v>
                </c:pt>
                <c:pt idx="489">
                  <c:v>45544</c:v>
                </c:pt>
                <c:pt idx="490">
                  <c:v>45551</c:v>
                </c:pt>
                <c:pt idx="491">
                  <c:v>45558</c:v>
                </c:pt>
                <c:pt idx="492">
                  <c:v>45565</c:v>
                </c:pt>
                <c:pt idx="493">
                  <c:v>45572</c:v>
                </c:pt>
                <c:pt idx="494">
                  <c:v>45579</c:v>
                </c:pt>
                <c:pt idx="495">
                  <c:v>45586</c:v>
                </c:pt>
                <c:pt idx="496">
                  <c:v>45593</c:v>
                </c:pt>
                <c:pt idx="497">
                  <c:v>45600</c:v>
                </c:pt>
                <c:pt idx="498">
                  <c:v>45607</c:v>
                </c:pt>
                <c:pt idx="499">
                  <c:v>45614</c:v>
                </c:pt>
                <c:pt idx="500">
                  <c:v>45621</c:v>
                </c:pt>
                <c:pt idx="501">
                  <c:v>45628</c:v>
                </c:pt>
                <c:pt idx="502">
                  <c:v>45635</c:v>
                </c:pt>
                <c:pt idx="503">
                  <c:v>45642</c:v>
                </c:pt>
                <c:pt idx="504">
                  <c:v>45649</c:v>
                </c:pt>
                <c:pt idx="505">
                  <c:v>45656</c:v>
                </c:pt>
                <c:pt idx="506">
                  <c:v>45663</c:v>
                </c:pt>
                <c:pt idx="507">
                  <c:v>45670</c:v>
                </c:pt>
                <c:pt idx="508">
                  <c:v>45678</c:v>
                </c:pt>
                <c:pt idx="509">
                  <c:v>45684</c:v>
                </c:pt>
                <c:pt idx="510">
                  <c:v>45691</c:v>
                </c:pt>
                <c:pt idx="511">
                  <c:v>45698</c:v>
                </c:pt>
                <c:pt idx="512">
                  <c:v>45706</c:v>
                </c:pt>
                <c:pt idx="513">
                  <c:v>45712</c:v>
                </c:pt>
                <c:pt idx="514">
                  <c:v>45719</c:v>
                </c:pt>
                <c:pt idx="515">
                  <c:v>45726</c:v>
                </c:pt>
                <c:pt idx="516">
                  <c:v>45733</c:v>
                </c:pt>
                <c:pt idx="517">
                  <c:v>45740</c:v>
                </c:pt>
                <c:pt idx="518">
                  <c:v>45747</c:v>
                </c:pt>
                <c:pt idx="519">
                  <c:v>45754</c:v>
                </c:pt>
                <c:pt idx="520">
                  <c:v>45761</c:v>
                </c:pt>
                <c:pt idx="521">
                  <c:v>45768</c:v>
                </c:pt>
                <c:pt idx="522">
                  <c:v>45775</c:v>
                </c:pt>
              </c:numCache>
            </c:numRef>
          </c:cat>
          <c:val>
            <c:numRef>
              <c:f>NFLX!$E$8:$E$530</c:f>
              <c:numCache>
                <c:formatCode>_([$$-409]* #,##0.00_);_([$$-409]* \(#,##0.00\);_([$$-409]* "-"??_);_(@_)</c:formatCode>
                <c:ptCount val="523"/>
                <c:pt idx="0">
                  <c:v>79.575599999999994</c:v>
                </c:pt>
                <c:pt idx="1">
                  <c:v>82.085599999999999</c:v>
                </c:pt>
                <c:pt idx="2">
                  <c:v>87.607100000000003</c:v>
                </c:pt>
                <c:pt idx="3">
                  <c:v>88.838499999999996</c:v>
                </c:pt>
                <c:pt idx="4">
                  <c:v>89.151300000000006</c:v>
                </c:pt>
                <c:pt idx="5">
                  <c:v>90.459900000000005</c:v>
                </c:pt>
                <c:pt idx="6">
                  <c:v>94.418499999999995</c:v>
                </c:pt>
                <c:pt idx="7">
                  <c:v>93.871300000000005</c:v>
                </c:pt>
                <c:pt idx="8">
                  <c:v>93.088499999999996</c:v>
                </c:pt>
                <c:pt idx="9">
                  <c:v>94.044200000000004</c:v>
                </c:pt>
                <c:pt idx="10">
                  <c:v>97.228499999999997</c:v>
                </c:pt>
                <c:pt idx="11">
                  <c:v>114.77</c:v>
                </c:pt>
                <c:pt idx="12">
                  <c:v>109.34</c:v>
                </c:pt>
                <c:pt idx="13">
                  <c:v>114.31</c:v>
                </c:pt>
                <c:pt idx="14">
                  <c:v>123.52</c:v>
                </c:pt>
                <c:pt idx="15">
                  <c:v>123.39</c:v>
                </c:pt>
                <c:pt idx="16">
                  <c:v>103.96</c:v>
                </c:pt>
                <c:pt idx="17">
                  <c:v>117.63</c:v>
                </c:pt>
                <c:pt idx="18">
                  <c:v>98.79</c:v>
                </c:pt>
                <c:pt idx="19">
                  <c:v>97.51</c:v>
                </c:pt>
                <c:pt idx="20">
                  <c:v>102.62</c:v>
                </c:pt>
                <c:pt idx="21">
                  <c:v>102.24</c:v>
                </c:pt>
                <c:pt idx="22">
                  <c:v>106.11</c:v>
                </c:pt>
                <c:pt idx="23">
                  <c:v>113.33</c:v>
                </c:pt>
                <c:pt idx="24">
                  <c:v>98.99</c:v>
                </c:pt>
                <c:pt idx="25">
                  <c:v>100.04</c:v>
                </c:pt>
                <c:pt idx="26">
                  <c:v>108.38</c:v>
                </c:pt>
                <c:pt idx="27">
                  <c:v>114.06</c:v>
                </c:pt>
                <c:pt idx="28">
                  <c:v>103.65</c:v>
                </c:pt>
                <c:pt idx="29">
                  <c:v>123.84</c:v>
                </c:pt>
                <c:pt idx="30">
                  <c:v>125.44</c:v>
                </c:pt>
                <c:pt idx="31">
                  <c:v>130.93</c:v>
                </c:pt>
                <c:pt idx="32">
                  <c:v>118.91</c:v>
                </c:pt>
                <c:pt idx="33">
                  <c:v>118.02</c:v>
                </c:pt>
                <c:pt idx="34">
                  <c:v>117.33</c:v>
                </c:pt>
                <c:pt idx="35">
                  <c:v>114.38</c:v>
                </c:pt>
                <c:pt idx="36">
                  <c:v>111.39</c:v>
                </c:pt>
                <c:pt idx="37">
                  <c:v>104.04</c:v>
                </c:pt>
                <c:pt idx="38">
                  <c:v>100.72</c:v>
                </c:pt>
                <c:pt idx="39">
                  <c:v>91.84</c:v>
                </c:pt>
                <c:pt idx="40">
                  <c:v>82.79</c:v>
                </c:pt>
                <c:pt idx="41">
                  <c:v>87.4</c:v>
                </c:pt>
                <c:pt idx="42">
                  <c:v>89.23</c:v>
                </c:pt>
                <c:pt idx="43">
                  <c:v>94.79</c:v>
                </c:pt>
                <c:pt idx="44">
                  <c:v>101.58</c:v>
                </c:pt>
                <c:pt idx="45">
                  <c:v>97.66</c:v>
                </c:pt>
                <c:pt idx="46">
                  <c:v>101.12</c:v>
                </c:pt>
                <c:pt idx="47">
                  <c:v>98.36</c:v>
                </c:pt>
                <c:pt idx="48">
                  <c:v>105.7</c:v>
                </c:pt>
                <c:pt idx="49">
                  <c:v>103.81</c:v>
                </c:pt>
                <c:pt idx="50">
                  <c:v>111.51</c:v>
                </c:pt>
                <c:pt idx="51">
                  <c:v>95.9</c:v>
                </c:pt>
                <c:pt idx="52">
                  <c:v>90.03</c:v>
                </c:pt>
                <c:pt idx="53">
                  <c:v>90.84</c:v>
                </c:pt>
                <c:pt idx="54">
                  <c:v>87.88</c:v>
                </c:pt>
                <c:pt idx="55">
                  <c:v>92.49</c:v>
                </c:pt>
                <c:pt idx="56">
                  <c:v>103.3</c:v>
                </c:pt>
                <c:pt idx="57">
                  <c:v>99.59</c:v>
                </c:pt>
                <c:pt idx="58">
                  <c:v>93.75</c:v>
                </c:pt>
                <c:pt idx="59">
                  <c:v>94.45</c:v>
                </c:pt>
                <c:pt idx="60">
                  <c:v>88.44</c:v>
                </c:pt>
                <c:pt idx="61">
                  <c:v>96.67</c:v>
                </c:pt>
                <c:pt idx="62">
                  <c:v>97.06</c:v>
                </c:pt>
                <c:pt idx="63">
                  <c:v>98.39</c:v>
                </c:pt>
                <c:pt idx="64">
                  <c:v>85.89</c:v>
                </c:pt>
                <c:pt idx="65">
                  <c:v>91.25</c:v>
                </c:pt>
                <c:pt idx="66">
                  <c:v>97.03</c:v>
                </c:pt>
                <c:pt idx="67">
                  <c:v>96.59</c:v>
                </c:pt>
                <c:pt idx="68">
                  <c:v>95.87</c:v>
                </c:pt>
                <c:pt idx="69">
                  <c:v>97.58</c:v>
                </c:pt>
                <c:pt idx="70">
                  <c:v>97.38</c:v>
                </c:pt>
                <c:pt idx="71">
                  <c:v>96.5</c:v>
                </c:pt>
                <c:pt idx="72">
                  <c:v>99.48</c:v>
                </c:pt>
                <c:pt idx="73">
                  <c:v>95.94</c:v>
                </c:pt>
                <c:pt idx="74">
                  <c:v>98.55</c:v>
                </c:pt>
                <c:pt idx="75">
                  <c:v>104.82</c:v>
                </c:pt>
                <c:pt idx="76">
                  <c:v>101.47</c:v>
                </c:pt>
                <c:pt idx="77">
                  <c:v>127.5</c:v>
                </c:pt>
                <c:pt idx="78">
                  <c:v>126.57</c:v>
                </c:pt>
                <c:pt idx="79">
                  <c:v>122.03</c:v>
                </c:pt>
                <c:pt idx="80">
                  <c:v>114.78</c:v>
                </c:pt>
                <c:pt idx="81">
                  <c:v>115.21</c:v>
                </c:pt>
                <c:pt idx="82">
                  <c:v>117.41</c:v>
                </c:pt>
                <c:pt idx="83">
                  <c:v>120.81</c:v>
                </c:pt>
                <c:pt idx="84">
                  <c:v>122.88</c:v>
                </c:pt>
                <c:pt idx="85">
                  <c:v>124.22</c:v>
                </c:pt>
                <c:pt idx="86">
                  <c:v>125.59</c:v>
                </c:pt>
                <c:pt idx="87">
                  <c:v>123.8</c:v>
                </c:pt>
                <c:pt idx="88">
                  <c:v>131.07</c:v>
                </c:pt>
                <c:pt idx="89">
                  <c:v>133.69999999999999</c:v>
                </c:pt>
                <c:pt idx="90">
                  <c:v>138.6</c:v>
                </c:pt>
                <c:pt idx="91">
                  <c:v>142.44999999999999</c:v>
                </c:pt>
                <c:pt idx="92">
                  <c:v>140.25</c:v>
                </c:pt>
                <c:pt idx="93">
                  <c:v>144.82</c:v>
                </c:pt>
                <c:pt idx="94">
                  <c:v>142.22</c:v>
                </c:pt>
                <c:pt idx="95">
                  <c:v>143.25</c:v>
                </c:pt>
                <c:pt idx="96">
                  <c:v>139.13999999999999</c:v>
                </c:pt>
                <c:pt idx="97">
                  <c:v>140.88999999999999</c:v>
                </c:pt>
                <c:pt idx="98">
                  <c:v>145.11000000000001</c:v>
                </c:pt>
                <c:pt idx="99">
                  <c:v>142.02000000000001</c:v>
                </c:pt>
                <c:pt idx="100">
                  <c:v>147.81</c:v>
                </c:pt>
                <c:pt idx="101">
                  <c:v>143.11000000000001</c:v>
                </c:pt>
                <c:pt idx="102">
                  <c:v>142.91999999999999</c:v>
                </c:pt>
                <c:pt idx="103">
                  <c:v>142.87</c:v>
                </c:pt>
                <c:pt idx="104">
                  <c:v>152.19999999999999</c:v>
                </c:pt>
                <c:pt idx="105">
                  <c:v>156.6</c:v>
                </c:pt>
                <c:pt idx="106">
                  <c:v>160.81</c:v>
                </c:pt>
                <c:pt idx="107">
                  <c:v>157.02000000000001</c:v>
                </c:pt>
                <c:pt idx="108">
                  <c:v>162.43</c:v>
                </c:pt>
                <c:pt idx="109">
                  <c:v>165.18</c:v>
                </c:pt>
                <c:pt idx="110">
                  <c:v>158.03</c:v>
                </c:pt>
                <c:pt idx="111">
                  <c:v>152.38</c:v>
                </c:pt>
                <c:pt idx="112">
                  <c:v>158.02000000000001</c:v>
                </c:pt>
                <c:pt idx="113">
                  <c:v>149.41</c:v>
                </c:pt>
                <c:pt idx="114">
                  <c:v>150.18</c:v>
                </c:pt>
                <c:pt idx="115">
                  <c:v>161.12</c:v>
                </c:pt>
                <c:pt idx="116">
                  <c:v>188.54</c:v>
                </c:pt>
                <c:pt idx="117">
                  <c:v>184.04</c:v>
                </c:pt>
                <c:pt idx="118">
                  <c:v>180.27</c:v>
                </c:pt>
                <c:pt idx="119">
                  <c:v>171.4</c:v>
                </c:pt>
                <c:pt idx="120">
                  <c:v>166.54</c:v>
                </c:pt>
                <c:pt idx="121">
                  <c:v>165.95</c:v>
                </c:pt>
                <c:pt idx="122">
                  <c:v>174.74</c:v>
                </c:pt>
                <c:pt idx="123">
                  <c:v>176.42</c:v>
                </c:pt>
                <c:pt idx="124">
                  <c:v>182.35</c:v>
                </c:pt>
                <c:pt idx="125">
                  <c:v>187.35</c:v>
                </c:pt>
                <c:pt idx="126">
                  <c:v>181.35</c:v>
                </c:pt>
                <c:pt idx="127">
                  <c:v>198.02</c:v>
                </c:pt>
                <c:pt idx="128">
                  <c:v>199.49</c:v>
                </c:pt>
                <c:pt idx="129">
                  <c:v>194.16</c:v>
                </c:pt>
                <c:pt idx="130">
                  <c:v>199.54</c:v>
                </c:pt>
                <c:pt idx="131">
                  <c:v>200.01</c:v>
                </c:pt>
                <c:pt idx="132">
                  <c:v>192.02</c:v>
                </c:pt>
                <c:pt idx="133">
                  <c:v>193.2</c:v>
                </c:pt>
                <c:pt idx="134">
                  <c:v>195.75</c:v>
                </c:pt>
                <c:pt idx="135">
                  <c:v>186.82</c:v>
                </c:pt>
                <c:pt idx="136">
                  <c:v>188.54</c:v>
                </c:pt>
                <c:pt idx="137">
                  <c:v>190.12</c:v>
                </c:pt>
                <c:pt idx="138">
                  <c:v>189.94</c:v>
                </c:pt>
                <c:pt idx="139">
                  <c:v>191.96</c:v>
                </c:pt>
                <c:pt idx="140">
                  <c:v>209.99</c:v>
                </c:pt>
                <c:pt idx="141">
                  <c:v>221.23</c:v>
                </c:pt>
                <c:pt idx="142">
                  <c:v>220.46</c:v>
                </c:pt>
                <c:pt idx="143">
                  <c:v>274.60000000000002</c:v>
                </c:pt>
                <c:pt idx="144">
                  <c:v>267.43</c:v>
                </c:pt>
                <c:pt idx="145">
                  <c:v>249.47</c:v>
                </c:pt>
                <c:pt idx="146">
                  <c:v>278.52</c:v>
                </c:pt>
                <c:pt idx="147">
                  <c:v>285.93</c:v>
                </c:pt>
                <c:pt idx="148">
                  <c:v>301.05</c:v>
                </c:pt>
                <c:pt idx="149">
                  <c:v>331.44</c:v>
                </c:pt>
                <c:pt idx="150">
                  <c:v>318.45</c:v>
                </c:pt>
                <c:pt idx="151">
                  <c:v>300.94</c:v>
                </c:pt>
                <c:pt idx="152">
                  <c:v>295.35000000000002</c:v>
                </c:pt>
                <c:pt idx="153">
                  <c:v>288.85000000000002</c:v>
                </c:pt>
                <c:pt idx="154">
                  <c:v>311.64999999999998</c:v>
                </c:pt>
                <c:pt idx="155">
                  <c:v>327.77</c:v>
                </c:pt>
                <c:pt idx="156">
                  <c:v>311.76</c:v>
                </c:pt>
                <c:pt idx="157">
                  <c:v>320.08999999999997</c:v>
                </c:pt>
                <c:pt idx="158">
                  <c:v>326.45999999999998</c:v>
                </c:pt>
                <c:pt idx="159">
                  <c:v>324.18</c:v>
                </c:pt>
                <c:pt idx="160">
                  <c:v>351.29</c:v>
                </c:pt>
                <c:pt idx="161">
                  <c:v>359.93</c:v>
                </c:pt>
                <c:pt idx="162">
                  <c:v>360.57</c:v>
                </c:pt>
                <c:pt idx="163">
                  <c:v>391.98</c:v>
                </c:pt>
                <c:pt idx="164">
                  <c:v>411.09</c:v>
                </c:pt>
                <c:pt idx="165">
                  <c:v>391.43</c:v>
                </c:pt>
                <c:pt idx="166">
                  <c:v>408.25</c:v>
                </c:pt>
                <c:pt idx="167">
                  <c:v>395.8</c:v>
                </c:pt>
                <c:pt idx="168">
                  <c:v>361.05</c:v>
                </c:pt>
                <c:pt idx="169">
                  <c:v>355.21</c:v>
                </c:pt>
                <c:pt idx="170">
                  <c:v>343.09</c:v>
                </c:pt>
                <c:pt idx="171">
                  <c:v>345.87</c:v>
                </c:pt>
                <c:pt idx="172">
                  <c:v>316.77999999999997</c:v>
                </c:pt>
                <c:pt idx="173">
                  <c:v>358.82</c:v>
                </c:pt>
                <c:pt idx="174">
                  <c:v>367.68</c:v>
                </c:pt>
                <c:pt idx="175">
                  <c:v>348.68</c:v>
                </c:pt>
                <c:pt idx="176">
                  <c:v>364.56</c:v>
                </c:pt>
                <c:pt idx="177">
                  <c:v>361.19</c:v>
                </c:pt>
                <c:pt idx="178">
                  <c:v>374.13</c:v>
                </c:pt>
                <c:pt idx="179">
                  <c:v>351.35</c:v>
                </c:pt>
                <c:pt idx="180">
                  <c:v>339.56</c:v>
                </c:pt>
                <c:pt idx="181">
                  <c:v>332.67</c:v>
                </c:pt>
                <c:pt idx="182">
                  <c:v>299.83</c:v>
                </c:pt>
                <c:pt idx="183">
                  <c:v>309.10000000000002</c:v>
                </c:pt>
                <c:pt idx="184">
                  <c:v>303.47000000000003</c:v>
                </c:pt>
                <c:pt idx="185">
                  <c:v>286.20999999999998</c:v>
                </c:pt>
                <c:pt idx="186">
                  <c:v>258.82</c:v>
                </c:pt>
                <c:pt idx="187">
                  <c:v>286.13</c:v>
                </c:pt>
                <c:pt idx="188">
                  <c:v>265.14</c:v>
                </c:pt>
                <c:pt idx="189">
                  <c:v>266.83999999999997</c:v>
                </c:pt>
                <c:pt idx="190">
                  <c:v>246.39</c:v>
                </c:pt>
                <c:pt idx="191">
                  <c:v>256.08</c:v>
                </c:pt>
                <c:pt idx="192">
                  <c:v>297.57</c:v>
                </c:pt>
                <c:pt idx="193">
                  <c:v>337.59</c:v>
                </c:pt>
                <c:pt idx="194">
                  <c:v>339.1</c:v>
                </c:pt>
                <c:pt idx="195">
                  <c:v>338.05</c:v>
                </c:pt>
                <c:pt idx="196">
                  <c:v>339.85</c:v>
                </c:pt>
                <c:pt idx="197">
                  <c:v>347.57</c:v>
                </c:pt>
                <c:pt idx="198">
                  <c:v>356.87</c:v>
                </c:pt>
                <c:pt idx="199">
                  <c:v>363.02</c:v>
                </c:pt>
                <c:pt idx="200">
                  <c:v>357.32</c:v>
                </c:pt>
                <c:pt idx="201">
                  <c:v>349.6</c:v>
                </c:pt>
                <c:pt idx="202">
                  <c:v>361.46</c:v>
                </c:pt>
                <c:pt idx="203">
                  <c:v>361.01</c:v>
                </c:pt>
                <c:pt idx="204">
                  <c:v>356.56</c:v>
                </c:pt>
                <c:pt idx="205">
                  <c:v>365.49</c:v>
                </c:pt>
                <c:pt idx="206">
                  <c:v>351.14</c:v>
                </c:pt>
                <c:pt idx="207">
                  <c:v>360.35</c:v>
                </c:pt>
                <c:pt idx="208">
                  <c:v>374.85</c:v>
                </c:pt>
                <c:pt idx="209">
                  <c:v>385.03</c:v>
                </c:pt>
                <c:pt idx="210">
                  <c:v>361.04</c:v>
                </c:pt>
                <c:pt idx="211">
                  <c:v>354.45</c:v>
                </c:pt>
                <c:pt idx="212">
                  <c:v>354.39</c:v>
                </c:pt>
                <c:pt idx="213">
                  <c:v>343.28</c:v>
                </c:pt>
                <c:pt idx="214">
                  <c:v>360.87</c:v>
                </c:pt>
                <c:pt idx="215">
                  <c:v>339.73</c:v>
                </c:pt>
                <c:pt idx="216">
                  <c:v>369.21</c:v>
                </c:pt>
                <c:pt idx="217">
                  <c:v>367.32</c:v>
                </c:pt>
                <c:pt idx="218">
                  <c:v>380.55</c:v>
                </c:pt>
                <c:pt idx="219">
                  <c:v>373.25</c:v>
                </c:pt>
                <c:pt idx="220">
                  <c:v>315.10000000000002</c:v>
                </c:pt>
                <c:pt idx="221">
                  <c:v>335.78</c:v>
                </c:pt>
                <c:pt idx="222">
                  <c:v>318.83</c:v>
                </c:pt>
                <c:pt idx="223">
                  <c:v>308.93</c:v>
                </c:pt>
                <c:pt idx="224">
                  <c:v>302.8</c:v>
                </c:pt>
                <c:pt idx="225">
                  <c:v>291.44</c:v>
                </c:pt>
                <c:pt idx="226">
                  <c:v>293.75</c:v>
                </c:pt>
                <c:pt idx="227">
                  <c:v>290.17</c:v>
                </c:pt>
                <c:pt idx="228">
                  <c:v>294.14999999999998</c:v>
                </c:pt>
                <c:pt idx="229">
                  <c:v>270.75</c:v>
                </c:pt>
                <c:pt idx="230">
                  <c:v>263.08</c:v>
                </c:pt>
                <c:pt idx="231">
                  <c:v>272.79000000000002</c:v>
                </c:pt>
                <c:pt idx="232">
                  <c:v>282.93</c:v>
                </c:pt>
                <c:pt idx="233">
                  <c:v>275.3</c:v>
                </c:pt>
                <c:pt idx="234">
                  <c:v>276.82</c:v>
                </c:pt>
                <c:pt idx="235">
                  <c:v>286.81</c:v>
                </c:pt>
                <c:pt idx="236">
                  <c:v>291.57</c:v>
                </c:pt>
                <c:pt idx="237">
                  <c:v>295.02999999999997</c:v>
                </c:pt>
                <c:pt idx="238">
                  <c:v>310.48</c:v>
                </c:pt>
                <c:pt idx="239">
                  <c:v>314.66000000000003</c:v>
                </c:pt>
                <c:pt idx="240">
                  <c:v>307.35000000000002</c:v>
                </c:pt>
                <c:pt idx="241">
                  <c:v>298.5</c:v>
                </c:pt>
                <c:pt idx="242">
                  <c:v>336.9</c:v>
                </c:pt>
                <c:pt idx="243">
                  <c:v>329.09</c:v>
                </c:pt>
                <c:pt idx="244">
                  <c:v>325.89999999999998</c:v>
                </c:pt>
                <c:pt idx="245">
                  <c:v>329.05</c:v>
                </c:pt>
                <c:pt idx="246">
                  <c:v>339.67</c:v>
                </c:pt>
                <c:pt idx="247">
                  <c:v>353.16</c:v>
                </c:pt>
                <c:pt idx="248">
                  <c:v>345.09</c:v>
                </c:pt>
                <c:pt idx="249">
                  <c:v>366.77</c:v>
                </c:pt>
                <c:pt idx="250">
                  <c:v>380.4</c:v>
                </c:pt>
                <c:pt idx="251">
                  <c:v>380.07</c:v>
                </c:pt>
                <c:pt idx="252">
                  <c:v>369.03</c:v>
                </c:pt>
                <c:pt idx="253">
                  <c:v>368.97</c:v>
                </c:pt>
                <c:pt idx="254">
                  <c:v>336.29500000000002</c:v>
                </c:pt>
                <c:pt idx="255">
                  <c:v>332.83</c:v>
                </c:pt>
                <c:pt idx="256">
                  <c:v>357.12</c:v>
                </c:pt>
                <c:pt idx="257">
                  <c:v>361.76</c:v>
                </c:pt>
                <c:pt idx="258">
                  <c:v>370.72</c:v>
                </c:pt>
                <c:pt idx="259">
                  <c:v>422.96</c:v>
                </c:pt>
                <c:pt idx="260">
                  <c:v>424.99</c:v>
                </c:pt>
                <c:pt idx="261">
                  <c:v>415.27</c:v>
                </c:pt>
                <c:pt idx="262">
                  <c:v>435.55</c:v>
                </c:pt>
                <c:pt idx="263">
                  <c:v>454.19</c:v>
                </c:pt>
                <c:pt idx="264">
                  <c:v>429.32</c:v>
                </c:pt>
                <c:pt idx="265">
                  <c:v>419.73</c:v>
                </c:pt>
                <c:pt idx="266">
                  <c:v>419.6</c:v>
                </c:pt>
                <c:pt idx="267">
                  <c:v>418.07</c:v>
                </c:pt>
                <c:pt idx="268">
                  <c:v>453.72</c:v>
                </c:pt>
                <c:pt idx="269">
                  <c:v>443.4</c:v>
                </c:pt>
                <c:pt idx="270">
                  <c:v>476.89</c:v>
                </c:pt>
                <c:pt idx="271">
                  <c:v>548.73</c:v>
                </c:pt>
                <c:pt idx="272">
                  <c:v>492.99</c:v>
                </c:pt>
                <c:pt idx="273">
                  <c:v>480.45</c:v>
                </c:pt>
                <c:pt idx="274">
                  <c:v>488.88</c:v>
                </c:pt>
                <c:pt idx="275">
                  <c:v>494.73</c:v>
                </c:pt>
                <c:pt idx="276">
                  <c:v>482.68</c:v>
                </c:pt>
                <c:pt idx="277">
                  <c:v>492.31</c:v>
                </c:pt>
                <c:pt idx="278">
                  <c:v>523.89</c:v>
                </c:pt>
                <c:pt idx="279">
                  <c:v>516.04999999999995</c:v>
                </c:pt>
                <c:pt idx="280">
                  <c:v>482.03</c:v>
                </c:pt>
                <c:pt idx="281">
                  <c:v>469.96</c:v>
                </c:pt>
                <c:pt idx="282">
                  <c:v>482.88</c:v>
                </c:pt>
                <c:pt idx="283">
                  <c:v>503.06</c:v>
                </c:pt>
                <c:pt idx="284">
                  <c:v>539.44000000000005</c:v>
                </c:pt>
                <c:pt idx="285">
                  <c:v>530.79</c:v>
                </c:pt>
                <c:pt idx="286">
                  <c:v>488.28</c:v>
                </c:pt>
                <c:pt idx="287">
                  <c:v>475.74</c:v>
                </c:pt>
                <c:pt idx="288">
                  <c:v>514.73</c:v>
                </c:pt>
                <c:pt idx="289">
                  <c:v>482.84</c:v>
                </c:pt>
                <c:pt idx="290">
                  <c:v>488.24</c:v>
                </c:pt>
                <c:pt idx="291">
                  <c:v>491.36</c:v>
                </c:pt>
                <c:pt idx="292">
                  <c:v>498.31</c:v>
                </c:pt>
                <c:pt idx="293">
                  <c:v>503.22</c:v>
                </c:pt>
                <c:pt idx="294">
                  <c:v>534.45000000000005</c:v>
                </c:pt>
                <c:pt idx="295">
                  <c:v>513.97</c:v>
                </c:pt>
                <c:pt idx="296">
                  <c:v>540.73</c:v>
                </c:pt>
                <c:pt idx="297">
                  <c:v>510.4</c:v>
                </c:pt>
                <c:pt idx="298">
                  <c:v>497.98</c:v>
                </c:pt>
                <c:pt idx="299">
                  <c:v>565.16999999999996</c:v>
                </c:pt>
                <c:pt idx="300">
                  <c:v>532.39</c:v>
                </c:pt>
                <c:pt idx="301">
                  <c:v>550.79</c:v>
                </c:pt>
                <c:pt idx="302">
                  <c:v>556.52</c:v>
                </c:pt>
                <c:pt idx="303">
                  <c:v>540.22</c:v>
                </c:pt>
                <c:pt idx="304">
                  <c:v>538.85</c:v>
                </c:pt>
                <c:pt idx="305">
                  <c:v>516.39</c:v>
                </c:pt>
                <c:pt idx="306">
                  <c:v>518.02</c:v>
                </c:pt>
                <c:pt idx="307">
                  <c:v>512.17999999999995</c:v>
                </c:pt>
                <c:pt idx="308">
                  <c:v>508.05</c:v>
                </c:pt>
                <c:pt idx="309">
                  <c:v>539.41999999999996</c:v>
                </c:pt>
                <c:pt idx="310">
                  <c:v>555.30999999999995</c:v>
                </c:pt>
                <c:pt idx="311">
                  <c:v>546.54</c:v>
                </c:pt>
                <c:pt idx="312">
                  <c:v>505.55</c:v>
                </c:pt>
                <c:pt idx="313">
                  <c:v>513.47</c:v>
                </c:pt>
                <c:pt idx="314">
                  <c:v>503.84</c:v>
                </c:pt>
                <c:pt idx="315">
                  <c:v>493.37</c:v>
                </c:pt>
                <c:pt idx="316">
                  <c:v>497.89</c:v>
                </c:pt>
                <c:pt idx="317">
                  <c:v>502.81</c:v>
                </c:pt>
                <c:pt idx="318">
                  <c:v>494.74</c:v>
                </c:pt>
                <c:pt idx="319">
                  <c:v>488.77</c:v>
                </c:pt>
                <c:pt idx="320">
                  <c:v>500.77</c:v>
                </c:pt>
                <c:pt idx="321">
                  <c:v>527.07000000000005</c:v>
                </c:pt>
                <c:pt idx="322">
                  <c:v>533.98</c:v>
                </c:pt>
                <c:pt idx="323">
                  <c:v>535.98</c:v>
                </c:pt>
                <c:pt idx="324">
                  <c:v>530.30999999999995</c:v>
                </c:pt>
                <c:pt idx="325">
                  <c:v>515.41</c:v>
                </c:pt>
                <c:pt idx="326">
                  <c:v>517.57000000000005</c:v>
                </c:pt>
                <c:pt idx="327">
                  <c:v>520.54999999999995</c:v>
                </c:pt>
                <c:pt idx="328">
                  <c:v>515.91999999999996</c:v>
                </c:pt>
                <c:pt idx="329">
                  <c:v>546.88</c:v>
                </c:pt>
                <c:pt idx="330">
                  <c:v>558.91999999999996</c:v>
                </c:pt>
                <c:pt idx="331">
                  <c:v>590.53</c:v>
                </c:pt>
                <c:pt idx="332">
                  <c:v>598.72</c:v>
                </c:pt>
                <c:pt idx="333">
                  <c:v>589.35</c:v>
                </c:pt>
                <c:pt idx="334">
                  <c:v>592.39</c:v>
                </c:pt>
                <c:pt idx="335">
                  <c:v>613.15</c:v>
                </c:pt>
                <c:pt idx="336">
                  <c:v>632.66</c:v>
                </c:pt>
                <c:pt idx="337">
                  <c:v>628.29</c:v>
                </c:pt>
                <c:pt idx="338">
                  <c:v>664.78</c:v>
                </c:pt>
                <c:pt idx="339">
                  <c:v>690.31</c:v>
                </c:pt>
                <c:pt idx="340">
                  <c:v>645.72</c:v>
                </c:pt>
                <c:pt idx="341">
                  <c:v>682.61</c:v>
                </c:pt>
                <c:pt idx="342">
                  <c:v>678.8</c:v>
                </c:pt>
                <c:pt idx="343">
                  <c:v>665.64</c:v>
                </c:pt>
                <c:pt idx="344">
                  <c:v>602.13</c:v>
                </c:pt>
                <c:pt idx="345">
                  <c:v>611.66</c:v>
                </c:pt>
                <c:pt idx="346">
                  <c:v>586.73</c:v>
                </c:pt>
                <c:pt idx="347">
                  <c:v>614.09</c:v>
                </c:pt>
                <c:pt idx="348">
                  <c:v>602.44000000000005</c:v>
                </c:pt>
                <c:pt idx="349">
                  <c:v>541.05999999999995</c:v>
                </c:pt>
                <c:pt idx="350">
                  <c:v>525.69000000000005</c:v>
                </c:pt>
                <c:pt idx="351">
                  <c:v>397.5</c:v>
                </c:pt>
                <c:pt idx="352">
                  <c:v>384.36</c:v>
                </c:pt>
                <c:pt idx="353">
                  <c:v>410.17</c:v>
                </c:pt>
                <c:pt idx="354">
                  <c:v>391.31</c:v>
                </c:pt>
                <c:pt idx="355">
                  <c:v>391.29</c:v>
                </c:pt>
                <c:pt idx="356">
                  <c:v>390.8</c:v>
                </c:pt>
                <c:pt idx="357">
                  <c:v>361.73</c:v>
                </c:pt>
                <c:pt idx="358">
                  <c:v>340.32</c:v>
                </c:pt>
                <c:pt idx="359">
                  <c:v>380.6</c:v>
                </c:pt>
                <c:pt idx="360">
                  <c:v>373.85</c:v>
                </c:pt>
                <c:pt idx="361">
                  <c:v>373.47</c:v>
                </c:pt>
                <c:pt idx="362">
                  <c:v>355.88</c:v>
                </c:pt>
                <c:pt idx="363">
                  <c:v>341.13</c:v>
                </c:pt>
                <c:pt idx="364">
                  <c:v>215.52</c:v>
                </c:pt>
                <c:pt idx="365">
                  <c:v>190.36</c:v>
                </c:pt>
                <c:pt idx="366">
                  <c:v>180.97</c:v>
                </c:pt>
                <c:pt idx="367">
                  <c:v>187.64</c:v>
                </c:pt>
                <c:pt idx="368">
                  <c:v>186.35</c:v>
                </c:pt>
                <c:pt idx="369">
                  <c:v>195.19</c:v>
                </c:pt>
                <c:pt idx="370">
                  <c:v>198.98</c:v>
                </c:pt>
                <c:pt idx="371">
                  <c:v>182.94</c:v>
                </c:pt>
                <c:pt idx="372">
                  <c:v>175.51</c:v>
                </c:pt>
                <c:pt idx="373">
                  <c:v>190.85</c:v>
                </c:pt>
                <c:pt idx="374">
                  <c:v>179.95</c:v>
                </c:pt>
                <c:pt idx="375">
                  <c:v>186.97499999999999</c:v>
                </c:pt>
                <c:pt idx="376">
                  <c:v>189.11</c:v>
                </c:pt>
                <c:pt idx="377">
                  <c:v>220.44</c:v>
                </c:pt>
                <c:pt idx="378">
                  <c:v>224.9</c:v>
                </c:pt>
                <c:pt idx="379">
                  <c:v>226.78</c:v>
                </c:pt>
                <c:pt idx="380">
                  <c:v>249.3</c:v>
                </c:pt>
                <c:pt idx="381">
                  <c:v>241.16</c:v>
                </c:pt>
                <c:pt idx="382">
                  <c:v>223.28</c:v>
                </c:pt>
                <c:pt idx="383">
                  <c:v>226.11</c:v>
                </c:pt>
                <c:pt idx="384">
                  <c:v>233.57</c:v>
                </c:pt>
                <c:pt idx="385">
                  <c:v>240.13</c:v>
                </c:pt>
                <c:pt idx="386">
                  <c:v>226.41</c:v>
                </c:pt>
                <c:pt idx="387">
                  <c:v>235.44</c:v>
                </c:pt>
                <c:pt idx="388">
                  <c:v>224.75</c:v>
                </c:pt>
                <c:pt idx="389">
                  <c:v>230</c:v>
                </c:pt>
                <c:pt idx="390">
                  <c:v>289.57</c:v>
                </c:pt>
                <c:pt idx="391">
                  <c:v>295.72000000000003</c:v>
                </c:pt>
                <c:pt idx="392">
                  <c:v>260.79000000000002</c:v>
                </c:pt>
                <c:pt idx="393">
                  <c:v>290.13</c:v>
                </c:pt>
                <c:pt idx="394">
                  <c:v>287.98</c:v>
                </c:pt>
                <c:pt idx="395">
                  <c:v>285.54000000000002</c:v>
                </c:pt>
                <c:pt idx="396">
                  <c:v>320.41000000000003</c:v>
                </c:pt>
                <c:pt idx="397">
                  <c:v>320.01</c:v>
                </c:pt>
                <c:pt idx="398">
                  <c:v>290.70999999999998</c:v>
                </c:pt>
                <c:pt idx="399">
                  <c:v>294.96499999999997</c:v>
                </c:pt>
                <c:pt idx="400">
                  <c:v>294.88</c:v>
                </c:pt>
                <c:pt idx="401">
                  <c:v>315.55</c:v>
                </c:pt>
                <c:pt idx="402">
                  <c:v>332.82</c:v>
                </c:pt>
                <c:pt idx="403">
                  <c:v>342.5</c:v>
                </c:pt>
                <c:pt idx="404">
                  <c:v>360.77</c:v>
                </c:pt>
                <c:pt idx="405">
                  <c:v>365.9</c:v>
                </c:pt>
                <c:pt idx="406">
                  <c:v>347.36</c:v>
                </c:pt>
                <c:pt idx="407">
                  <c:v>347.96</c:v>
                </c:pt>
                <c:pt idx="408">
                  <c:v>317.14999999999998</c:v>
                </c:pt>
                <c:pt idx="409">
                  <c:v>315.18</c:v>
                </c:pt>
                <c:pt idx="410">
                  <c:v>292.76</c:v>
                </c:pt>
                <c:pt idx="411">
                  <c:v>303.5</c:v>
                </c:pt>
                <c:pt idx="412">
                  <c:v>328.39</c:v>
                </c:pt>
                <c:pt idx="413">
                  <c:v>345.48</c:v>
                </c:pt>
                <c:pt idx="414">
                  <c:v>339.33</c:v>
                </c:pt>
                <c:pt idx="415">
                  <c:v>338.63</c:v>
                </c:pt>
                <c:pt idx="416">
                  <c:v>327.98</c:v>
                </c:pt>
                <c:pt idx="417">
                  <c:v>329.93</c:v>
                </c:pt>
                <c:pt idx="418">
                  <c:v>322.76</c:v>
                </c:pt>
                <c:pt idx="419">
                  <c:v>339.89</c:v>
                </c:pt>
                <c:pt idx="420">
                  <c:v>365.36</c:v>
                </c:pt>
                <c:pt idx="421">
                  <c:v>378.88</c:v>
                </c:pt>
                <c:pt idx="422">
                  <c:v>400.47</c:v>
                </c:pt>
                <c:pt idx="423">
                  <c:v>420.02</c:v>
                </c:pt>
                <c:pt idx="424">
                  <c:v>431.96</c:v>
                </c:pt>
                <c:pt idx="425">
                  <c:v>424.02</c:v>
                </c:pt>
                <c:pt idx="426">
                  <c:v>440.49</c:v>
                </c:pt>
                <c:pt idx="427">
                  <c:v>438.1</c:v>
                </c:pt>
                <c:pt idx="428">
                  <c:v>441.91</c:v>
                </c:pt>
                <c:pt idx="429">
                  <c:v>427.5</c:v>
                </c:pt>
                <c:pt idx="430">
                  <c:v>425.78</c:v>
                </c:pt>
                <c:pt idx="431">
                  <c:v>431.6</c:v>
                </c:pt>
                <c:pt idx="432">
                  <c:v>421.66</c:v>
                </c:pt>
                <c:pt idx="433">
                  <c:v>404.53</c:v>
                </c:pt>
                <c:pt idx="434">
                  <c:v>416.03</c:v>
                </c:pt>
                <c:pt idx="435">
                  <c:v>439.88</c:v>
                </c:pt>
                <c:pt idx="436">
                  <c:v>442.8</c:v>
                </c:pt>
                <c:pt idx="437">
                  <c:v>396.94</c:v>
                </c:pt>
                <c:pt idx="438">
                  <c:v>379.81</c:v>
                </c:pt>
                <c:pt idx="439">
                  <c:v>377.6</c:v>
                </c:pt>
                <c:pt idx="440">
                  <c:v>381.51</c:v>
                </c:pt>
                <c:pt idx="441">
                  <c:v>355.68</c:v>
                </c:pt>
                <c:pt idx="442">
                  <c:v>400.96</c:v>
                </c:pt>
                <c:pt idx="443">
                  <c:v>397.87</c:v>
                </c:pt>
                <c:pt idx="444">
                  <c:v>432.36</c:v>
                </c:pt>
                <c:pt idx="445">
                  <c:v>447.24</c:v>
                </c:pt>
                <c:pt idx="446">
                  <c:v>465.91</c:v>
                </c:pt>
                <c:pt idx="447">
                  <c:v>479.56</c:v>
                </c:pt>
                <c:pt idx="448">
                  <c:v>465.74</c:v>
                </c:pt>
                <c:pt idx="449">
                  <c:v>453.76</c:v>
                </c:pt>
                <c:pt idx="450">
                  <c:v>472.06</c:v>
                </c:pt>
                <c:pt idx="451">
                  <c:v>486.76</c:v>
                </c:pt>
                <c:pt idx="452">
                  <c:v>486.88</c:v>
                </c:pt>
                <c:pt idx="453">
                  <c:v>474.06</c:v>
                </c:pt>
                <c:pt idx="454">
                  <c:v>492.16</c:v>
                </c:pt>
                <c:pt idx="455">
                  <c:v>482.95</c:v>
                </c:pt>
                <c:pt idx="456">
                  <c:v>570.41999999999996</c:v>
                </c:pt>
                <c:pt idx="457">
                  <c:v>564.64</c:v>
                </c:pt>
                <c:pt idx="458">
                  <c:v>561.32000000000005</c:v>
                </c:pt>
                <c:pt idx="459">
                  <c:v>583.95000000000005</c:v>
                </c:pt>
                <c:pt idx="460">
                  <c:v>583.55999999999995</c:v>
                </c:pt>
                <c:pt idx="461">
                  <c:v>619.34</c:v>
                </c:pt>
                <c:pt idx="462">
                  <c:v>604.82000000000005</c:v>
                </c:pt>
                <c:pt idx="463">
                  <c:v>605.88</c:v>
                </c:pt>
                <c:pt idx="464">
                  <c:v>628.01</c:v>
                </c:pt>
                <c:pt idx="465">
                  <c:v>607.33000000000004</c:v>
                </c:pt>
                <c:pt idx="466">
                  <c:v>636.17999999999995</c:v>
                </c:pt>
                <c:pt idx="467">
                  <c:v>622.83000000000004</c:v>
                </c:pt>
                <c:pt idx="468">
                  <c:v>555.04</c:v>
                </c:pt>
                <c:pt idx="469">
                  <c:v>561.23</c:v>
                </c:pt>
                <c:pt idx="470">
                  <c:v>579.34</c:v>
                </c:pt>
                <c:pt idx="471">
                  <c:v>610.87</c:v>
                </c:pt>
                <c:pt idx="472">
                  <c:v>621.1</c:v>
                </c:pt>
                <c:pt idx="473">
                  <c:v>646.75</c:v>
                </c:pt>
                <c:pt idx="474">
                  <c:v>641.62</c:v>
                </c:pt>
                <c:pt idx="475">
                  <c:v>641.47</c:v>
                </c:pt>
                <c:pt idx="476">
                  <c:v>669.38</c:v>
                </c:pt>
                <c:pt idx="477">
                  <c:v>686.12</c:v>
                </c:pt>
                <c:pt idx="478">
                  <c:v>674.88</c:v>
                </c:pt>
                <c:pt idx="479">
                  <c:v>690.65</c:v>
                </c:pt>
                <c:pt idx="480">
                  <c:v>647.6</c:v>
                </c:pt>
                <c:pt idx="481">
                  <c:v>633.34</c:v>
                </c:pt>
                <c:pt idx="482">
                  <c:v>631.37</c:v>
                </c:pt>
                <c:pt idx="483">
                  <c:v>613.64</c:v>
                </c:pt>
                <c:pt idx="484">
                  <c:v>633.94000000000005</c:v>
                </c:pt>
                <c:pt idx="485">
                  <c:v>674.07</c:v>
                </c:pt>
                <c:pt idx="486">
                  <c:v>686.73</c:v>
                </c:pt>
                <c:pt idx="487">
                  <c:v>701.35</c:v>
                </c:pt>
                <c:pt idx="488">
                  <c:v>665.77</c:v>
                </c:pt>
                <c:pt idx="489">
                  <c:v>697.06</c:v>
                </c:pt>
                <c:pt idx="490">
                  <c:v>701.03</c:v>
                </c:pt>
                <c:pt idx="491">
                  <c:v>707.35</c:v>
                </c:pt>
                <c:pt idx="492">
                  <c:v>719.7</c:v>
                </c:pt>
                <c:pt idx="493">
                  <c:v>722.79</c:v>
                </c:pt>
                <c:pt idx="494">
                  <c:v>763.89</c:v>
                </c:pt>
                <c:pt idx="495">
                  <c:v>754.68</c:v>
                </c:pt>
                <c:pt idx="496">
                  <c:v>756.1</c:v>
                </c:pt>
                <c:pt idx="497">
                  <c:v>795.04</c:v>
                </c:pt>
                <c:pt idx="498">
                  <c:v>823.96</c:v>
                </c:pt>
                <c:pt idx="499">
                  <c:v>897.79</c:v>
                </c:pt>
                <c:pt idx="500">
                  <c:v>886.81</c:v>
                </c:pt>
                <c:pt idx="501">
                  <c:v>934.74</c:v>
                </c:pt>
                <c:pt idx="502">
                  <c:v>918.87</c:v>
                </c:pt>
                <c:pt idx="503">
                  <c:v>909.05</c:v>
                </c:pt>
                <c:pt idx="504">
                  <c:v>907.55</c:v>
                </c:pt>
                <c:pt idx="505">
                  <c:v>881.05</c:v>
                </c:pt>
                <c:pt idx="506">
                  <c:v>837.69</c:v>
                </c:pt>
                <c:pt idx="507">
                  <c:v>858.1</c:v>
                </c:pt>
                <c:pt idx="508">
                  <c:v>977.59</c:v>
                </c:pt>
                <c:pt idx="509">
                  <c:v>976.76</c:v>
                </c:pt>
                <c:pt idx="510">
                  <c:v>1013.93</c:v>
                </c:pt>
                <c:pt idx="511">
                  <c:v>1058.5999999999999</c:v>
                </c:pt>
                <c:pt idx="512" formatCode="_([$$-409]* #,##0.000_);_([$$-409]* \(#,##0.000\);_([$$-409]* &quot;-&quot;??_);_(@_)">
                  <c:v>1003.15</c:v>
                </c:pt>
                <c:pt idx="513">
                  <c:v>980.56</c:v>
                </c:pt>
                <c:pt idx="514">
                  <c:v>891.11</c:v>
                </c:pt>
                <c:pt idx="515">
                  <c:v>918</c:v>
                </c:pt>
                <c:pt idx="516">
                  <c:v>960.29</c:v>
                </c:pt>
                <c:pt idx="517">
                  <c:v>933.85</c:v>
                </c:pt>
                <c:pt idx="518">
                  <c:v>855.86</c:v>
                </c:pt>
                <c:pt idx="519">
                  <c:v>918.29</c:v>
                </c:pt>
                <c:pt idx="520">
                  <c:v>973.03</c:v>
                </c:pt>
                <c:pt idx="521">
                  <c:v>1101.53</c:v>
                </c:pt>
                <c:pt idx="522">
                  <c:v>115.649</c:v>
                </c:pt>
              </c:numCache>
            </c:numRef>
          </c:val>
          <c:smooth val="0"/>
          <c:extLst>
            <c:ext xmlns:c16="http://schemas.microsoft.com/office/drawing/2014/chart" uri="{C3380CC4-5D6E-409C-BE32-E72D297353CC}">
              <c16:uniqueId val="{00000000-5651-46C1-AC34-2411A3C22530}"/>
            </c:ext>
          </c:extLst>
        </c:ser>
        <c:dLbls>
          <c:showLegendKey val="0"/>
          <c:showVal val="0"/>
          <c:showCatName val="0"/>
          <c:showSerName val="0"/>
          <c:showPercent val="0"/>
          <c:showBubbleSize val="0"/>
        </c:dLbls>
        <c:smooth val="0"/>
        <c:axId val="250087311"/>
        <c:axId val="250088751"/>
      </c:lineChart>
      <c:dateAx>
        <c:axId val="25008731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Date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m/d/yy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0088751"/>
        <c:crosses val="autoZero"/>
        <c:auto val="1"/>
        <c:lblOffset val="100"/>
        <c:baseTimeUnit val="days"/>
      </c:dateAx>
      <c:valAx>
        <c:axId val="250088751"/>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Price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409]* #,##0.00_);_([$$-409]* \(#,##0.00\);_([$$-409]*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0087311"/>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2" Type="http://schemas.openxmlformats.org/officeDocument/2006/relationships/chart" Target="../charts/chart6.xml"/><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7.xml"/></Relationships>
</file>

<file path=xl/drawings/_rels/drawing7.xml.rels><?xml version="1.0" encoding="UTF-8" standalone="yes"?>
<Relationships xmlns="http://schemas.openxmlformats.org/package/2006/relationships"><Relationship Id="rId1" Type="http://schemas.openxmlformats.org/officeDocument/2006/relationships/chart" Target="../charts/chart8.xml"/></Relationships>
</file>

<file path=xl/drawings/_rels/drawing8.xml.rels><?xml version="1.0" encoding="UTF-8" standalone="yes"?>
<Relationships xmlns="http://schemas.openxmlformats.org/package/2006/relationships"><Relationship Id="rId3" Type="http://schemas.openxmlformats.org/officeDocument/2006/relationships/chart" Target="../charts/chart11.xml"/><Relationship Id="rId7" Type="http://schemas.openxmlformats.org/officeDocument/2006/relationships/chart" Target="../charts/chart15.xml"/><Relationship Id="rId2" Type="http://schemas.openxmlformats.org/officeDocument/2006/relationships/chart" Target="../charts/chart10.xml"/><Relationship Id="rId1" Type="http://schemas.openxmlformats.org/officeDocument/2006/relationships/chart" Target="../charts/chart9.xml"/><Relationship Id="rId6" Type="http://schemas.openxmlformats.org/officeDocument/2006/relationships/chart" Target="../charts/chart14.xml"/><Relationship Id="rId5" Type="http://schemas.openxmlformats.org/officeDocument/2006/relationships/chart" Target="../charts/chart13.xml"/><Relationship Id="rId4" Type="http://schemas.openxmlformats.org/officeDocument/2006/relationships/chart" Target="../charts/chart12.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9</xdr:col>
      <xdr:colOff>53340</xdr:colOff>
      <xdr:row>13</xdr:row>
      <xdr:rowOff>41910</xdr:rowOff>
    </xdr:from>
    <xdr:to>
      <xdr:col>15</xdr:col>
      <xdr:colOff>327660</xdr:colOff>
      <xdr:row>28</xdr:row>
      <xdr:rowOff>41910</xdr:rowOff>
    </xdr:to>
    <xdr:graphicFrame macro="">
      <xdr:nvGraphicFramePr>
        <xdr:cNvPr id="9" name="Chart 8">
          <a:extLst>
            <a:ext uri="{FF2B5EF4-FFF2-40B4-BE49-F238E27FC236}">
              <a16:creationId xmlns:a16="http://schemas.microsoft.com/office/drawing/2014/main" id="{BCAD0008-AD00-2401-AE92-D97DAC59EDE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9</xdr:col>
      <xdr:colOff>53340</xdr:colOff>
      <xdr:row>13</xdr:row>
      <xdr:rowOff>11430</xdr:rowOff>
    </xdr:from>
    <xdr:to>
      <xdr:col>16</xdr:col>
      <xdr:colOff>144780</xdr:colOff>
      <xdr:row>28</xdr:row>
      <xdr:rowOff>11430</xdr:rowOff>
    </xdr:to>
    <xdr:graphicFrame macro="">
      <xdr:nvGraphicFramePr>
        <xdr:cNvPr id="6" name="Chart 5">
          <a:extLst>
            <a:ext uri="{FF2B5EF4-FFF2-40B4-BE49-F238E27FC236}">
              <a16:creationId xmlns:a16="http://schemas.microsoft.com/office/drawing/2014/main" id="{03C0CB98-DDF4-B07C-7862-37212B80A1F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9</xdr:col>
      <xdr:colOff>480060</xdr:colOff>
      <xdr:row>13</xdr:row>
      <xdr:rowOff>118110</xdr:rowOff>
    </xdr:from>
    <xdr:to>
      <xdr:col>17</xdr:col>
      <xdr:colOff>175260</xdr:colOff>
      <xdr:row>28</xdr:row>
      <xdr:rowOff>118110</xdr:rowOff>
    </xdr:to>
    <xdr:graphicFrame macro="">
      <xdr:nvGraphicFramePr>
        <xdr:cNvPr id="4" name="Chart 3">
          <a:extLst>
            <a:ext uri="{FF2B5EF4-FFF2-40B4-BE49-F238E27FC236}">
              <a16:creationId xmlns:a16="http://schemas.microsoft.com/office/drawing/2014/main" id="{BD552852-C0A1-B3F4-23DA-6B4630801A2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11</xdr:col>
      <xdr:colOff>0</xdr:colOff>
      <xdr:row>12</xdr:row>
      <xdr:rowOff>0</xdr:rowOff>
    </xdr:from>
    <xdr:to>
      <xdr:col>18</xdr:col>
      <xdr:colOff>304800</xdr:colOff>
      <xdr:row>27</xdr:row>
      <xdr:rowOff>0</xdr:rowOff>
    </xdr:to>
    <xdr:graphicFrame macro="">
      <xdr:nvGraphicFramePr>
        <xdr:cNvPr id="2" name="Chart 1">
          <a:extLst>
            <a:ext uri="{FF2B5EF4-FFF2-40B4-BE49-F238E27FC236}">
              <a16:creationId xmlns:a16="http://schemas.microsoft.com/office/drawing/2014/main" id="{4C76D4F0-0A80-4AB9-995D-D850F5DFCF2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11</xdr:col>
      <xdr:colOff>327660</xdr:colOff>
      <xdr:row>22</xdr:row>
      <xdr:rowOff>156210</xdr:rowOff>
    </xdr:from>
    <xdr:to>
      <xdr:col>19</xdr:col>
      <xdr:colOff>22860</xdr:colOff>
      <xdr:row>37</xdr:row>
      <xdr:rowOff>156210</xdr:rowOff>
    </xdr:to>
    <xdr:graphicFrame macro="">
      <xdr:nvGraphicFramePr>
        <xdr:cNvPr id="2" name="Chart 1">
          <a:extLst>
            <a:ext uri="{FF2B5EF4-FFF2-40B4-BE49-F238E27FC236}">
              <a16:creationId xmlns:a16="http://schemas.microsoft.com/office/drawing/2014/main" id="{924A74C9-F9B2-5534-699D-59503BDA1B2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251460</xdr:colOff>
      <xdr:row>18</xdr:row>
      <xdr:rowOff>156210</xdr:rowOff>
    </xdr:from>
    <xdr:to>
      <xdr:col>17</xdr:col>
      <xdr:colOff>556260</xdr:colOff>
      <xdr:row>33</xdr:row>
      <xdr:rowOff>156210</xdr:rowOff>
    </xdr:to>
    <xdr:graphicFrame macro="">
      <xdr:nvGraphicFramePr>
        <xdr:cNvPr id="3" name="Chart 2">
          <a:extLst>
            <a:ext uri="{FF2B5EF4-FFF2-40B4-BE49-F238E27FC236}">
              <a16:creationId xmlns:a16="http://schemas.microsoft.com/office/drawing/2014/main" id="{4940193D-A515-2BA5-4347-CF83779AA1A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10</xdr:col>
      <xdr:colOff>91440</xdr:colOff>
      <xdr:row>19</xdr:row>
      <xdr:rowOff>163830</xdr:rowOff>
    </xdr:from>
    <xdr:to>
      <xdr:col>17</xdr:col>
      <xdr:colOff>396240</xdr:colOff>
      <xdr:row>34</xdr:row>
      <xdr:rowOff>163830</xdr:rowOff>
    </xdr:to>
    <xdr:graphicFrame macro="">
      <xdr:nvGraphicFramePr>
        <xdr:cNvPr id="2" name="Chart 1">
          <a:extLst>
            <a:ext uri="{FF2B5EF4-FFF2-40B4-BE49-F238E27FC236}">
              <a16:creationId xmlns:a16="http://schemas.microsoft.com/office/drawing/2014/main" id="{7C704581-1320-EB42-A12B-75BF9917526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11</xdr:col>
      <xdr:colOff>0</xdr:colOff>
      <xdr:row>14</xdr:row>
      <xdr:rowOff>0</xdr:rowOff>
    </xdr:from>
    <xdr:to>
      <xdr:col>18</xdr:col>
      <xdr:colOff>266700</xdr:colOff>
      <xdr:row>29</xdr:row>
      <xdr:rowOff>0</xdr:rowOff>
    </xdr:to>
    <xdr:graphicFrame macro="">
      <xdr:nvGraphicFramePr>
        <xdr:cNvPr id="4" name="Chart 3">
          <a:extLst>
            <a:ext uri="{FF2B5EF4-FFF2-40B4-BE49-F238E27FC236}">
              <a16:creationId xmlns:a16="http://schemas.microsoft.com/office/drawing/2014/main" id="{0015714D-B088-4541-B544-4FFC62AAFAF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1</xdr:col>
      <xdr:colOff>525780</xdr:colOff>
      <xdr:row>2</xdr:row>
      <xdr:rowOff>53340</xdr:rowOff>
    </xdr:from>
    <xdr:to>
      <xdr:col>9</xdr:col>
      <xdr:colOff>220980</xdr:colOff>
      <xdr:row>17</xdr:row>
      <xdr:rowOff>53340</xdr:rowOff>
    </xdr:to>
    <xdr:graphicFrame macro="">
      <xdr:nvGraphicFramePr>
        <xdr:cNvPr id="2" name="Chart 1">
          <a:extLst>
            <a:ext uri="{FF2B5EF4-FFF2-40B4-BE49-F238E27FC236}">
              <a16:creationId xmlns:a16="http://schemas.microsoft.com/office/drawing/2014/main" id="{2EEF65C2-5F47-4CB4-9AE3-75BA60D8E35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19</xdr:row>
      <xdr:rowOff>0</xdr:rowOff>
    </xdr:from>
    <xdr:to>
      <xdr:col>9</xdr:col>
      <xdr:colOff>304800</xdr:colOff>
      <xdr:row>34</xdr:row>
      <xdr:rowOff>0</xdr:rowOff>
    </xdr:to>
    <xdr:graphicFrame macro="">
      <xdr:nvGraphicFramePr>
        <xdr:cNvPr id="3" name="Chart 2">
          <a:extLst>
            <a:ext uri="{FF2B5EF4-FFF2-40B4-BE49-F238E27FC236}">
              <a16:creationId xmlns:a16="http://schemas.microsoft.com/office/drawing/2014/main" id="{AD7E051C-EFD3-4170-85B7-FF13E53BE73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0</xdr:colOff>
      <xdr:row>35</xdr:row>
      <xdr:rowOff>0</xdr:rowOff>
    </xdr:from>
    <xdr:to>
      <xdr:col>9</xdr:col>
      <xdr:colOff>304800</xdr:colOff>
      <xdr:row>50</xdr:row>
      <xdr:rowOff>0</xdr:rowOff>
    </xdr:to>
    <xdr:graphicFrame macro="">
      <xdr:nvGraphicFramePr>
        <xdr:cNvPr id="4" name="Chart 3">
          <a:extLst>
            <a:ext uri="{FF2B5EF4-FFF2-40B4-BE49-F238E27FC236}">
              <a16:creationId xmlns:a16="http://schemas.microsoft.com/office/drawing/2014/main" id="{C921F88E-828B-4EE7-A301-2A0C9A5E433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0</xdr:colOff>
      <xdr:row>51</xdr:row>
      <xdr:rowOff>0</xdr:rowOff>
    </xdr:from>
    <xdr:to>
      <xdr:col>9</xdr:col>
      <xdr:colOff>304800</xdr:colOff>
      <xdr:row>66</xdr:row>
      <xdr:rowOff>0</xdr:rowOff>
    </xdr:to>
    <xdr:graphicFrame macro="">
      <xdr:nvGraphicFramePr>
        <xdr:cNvPr id="5" name="Chart 4">
          <a:extLst>
            <a:ext uri="{FF2B5EF4-FFF2-40B4-BE49-F238E27FC236}">
              <a16:creationId xmlns:a16="http://schemas.microsoft.com/office/drawing/2014/main" id="{E7A81BF4-9F1F-44FE-AB45-0A621590ADF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236220</xdr:colOff>
      <xdr:row>19</xdr:row>
      <xdr:rowOff>45720</xdr:rowOff>
    </xdr:from>
    <xdr:to>
      <xdr:col>26</xdr:col>
      <xdr:colOff>548640</xdr:colOff>
      <xdr:row>34</xdr:row>
      <xdr:rowOff>45720</xdr:rowOff>
    </xdr:to>
    <xdr:graphicFrame macro="">
      <xdr:nvGraphicFramePr>
        <xdr:cNvPr id="9" name="Chart 8">
          <a:extLst>
            <a:ext uri="{FF2B5EF4-FFF2-40B4-BE49-F238E27FC236}">
              <a16:creationId xmlns:a16="http://schemas.microsoft.com/office/drawing/2014/main" id="{CB24DF65-06CB-4107-B27B-93D621D434D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10</xdr:col>
      <xdr:colOff>228600</xdr:colOff>
      <xdr:row>2</xdr:row>
      <xdr:rowOff>22860</xdr:rowOff>
    </xdr:from>
    <xdr:to>
      <xdr:col>26</xdr:col>
      <xdr:colOff>541020</xdr:colOff>
      <xdr:row>17</xdr:row>
      <xdr:rowOff>22860</xdr:rowOff>
    </xdr:to>
    <xdr:graphicFrame macro="">
      <xdr:nvGraphicFramePr>
        <xdr:cNvPr id="15" name="Chart 14">
          <a:extLst>
            <a:ext uri="{FF2B5EF4-FFF2-40B4-BE49-F238E27FC236}">
              <a16:creationId xmlns:a16="http://schemas.microsoft.com/office/drawing/2014/main" id="{5B1E2401-ED91-486A-8E7F-49E653F4A6C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10</xdr:col>
      <xdr:colOff>220980</xdr:colOff>
      <xdr:row>35</xdr:row>
      <xdr:rowOff>22860</xdr:rowOff>
    </xdr:from>
    <xdr:to>
      <xdr:col>26</xdr:col>
      <xdr:colOff>579120</xdr:colOff>
      <xdr:row>50</xdr:row>
      <xdr:rowOff>22860</xdr:rowOff>
    </xdr:to>
    <xdr:graphicFrame macro="">
      <xdr:nvGraphicFramePr>
        <xdr:cNvPr id="17" name="Chart 16">
          <a:extLst>
            <a:ext uri="{FF2B5EF4-FFF2-40B4-BE49-F238E27FC236}">
              <a16:creationId xmlns:a16="http://schemas.microsoft.com/office/drawing/2014/main" id="{4C77B71F-F716-4A95-A03F-ED0E8A3990B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4</xdr:col>
      <xdr:colOff>15240</xdr:colOff>
      <xdr:row>17</xdr:row>
      <xdr:rowOff>121920</xdr:rowOff>
    </xdr:from>
    <xdr:to>
      <xdr:col>18</xdr:col>
      <xdr:colOff>601980</xdr:colOff>
      <xdr:row>28</xdr:row>
      <xdr:rowOff>45720</xdr:rowOff>
    </xdr:to>
    <xdr:sp macro="" textlink="">
      <xdr:nvSpPr>
        <xdr:cNvPr id="2" name="TextBox 1">
          <a:extLst>
            <a:ext uri="{FF2B5EF4-FFF2-40B4-BE49-F238E27FC236}">
              <a16:creationId xmlns:a16="http://schemas.microsoft.com/office/drawing/2014/main" id="{2D5F60EB-CED8-34F5-E875-D7F12BD1BE9A}"/>
            </a:ext>
          </a:extLst>
        </xdr:cNvPr>
        <xdr:cNvSpPr txBox="1"/>
      </xdr:nvSpPr>
      <xdr:spPr>
        <a:xfrm>
          <a:off x="624840" y="3276600"/>
          <a:ext cx="9204960" cy="1935480"/>
        </a:xfrm>
        <a:prstGeom prst="rect">
          <a:avLst/>
        </a:prstGeom>
        <a:solidFill>
          <a:srgbClr val="FFFF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t>With a high-risk tolerance, I prioritize growth and am comfortable with significant market swings in pursuit of higher long-term returns. This strategy accepts volatility as part of the journey, making standard deviation (SD)—a measure of price fluctuation—a useful tool for identifying opportunities with potentially high payoffs. I’m willing to invest in stocks with larger SDs, even if they experience sharp ups and downs, because the potential for substantial gains outweighs the discomfort of short-term losses.</a:t>
          </a:r>
        </a:p>
        <a:p>
          <a:r>
            <a:rPr lang="en-US"/>
            <a:t>Given this approach, netflix (SD: 215.39) ranks as my top choice. Its high volatility signals large price movements, which align with a high-risk strategy aiming for explosive growth. tesla (SD: 118.55) is my second pick, as its rapid innovation and market influence come with large swings that could yield strong returns. microstrategy (SD: 76.13) and apple (SD: 68.13) follow—both offer solid upside with moderate-to-high volatility, making them suitable for aggressive investors. nvidia matches apple’s SD but might be slightly riskier due to its sector concentration, so I’d rank it just behind. amazon (SD: 55.36) is a bit more stable but still viable within a high-risk portfolio. hp (SD: 7.61), with very low volatility, offers little upside in this context and would be my last choice, as it doesn’t align with a strategy centered on maximizing return through bold market moves.</a:t>
          </a:r>
        </a:p>
        <a:p>
          <a:endParaRPr lang="en-US" sz="1100"/>
        </a:p>
      </xdr:txBody>
    </xdr:sp>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8I9Dashboard"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8I9Dashboard"/>
    </sheetNames>
    <sheetDataSet>
      <sheetData sheetId="0" refreshError="1"/>
    </sheetDataSet>
  </externalBook>
</externalLink>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types>
    <type name="_imageurl">
      <keyFlags>
        <key name="Blip Identifier">
          <flag name="ShowInCardView" value="0"/>
        </key>
      </keyFlags>
    </type>
    <type name="_linkedentity">
      <keyFlags>
        <key name="%cvi">
          <flag name="ShowInCardView" value="0"/>
          <flag name="ShowInDotNotation" value="0"/>
          <flag name="ShowInAutoComplete" value="0"/>
          <flag name="ExcludeFromCalcComparison" value="1"/>
        </key>
      </keyFlags>
    </type>
    <type name="_linkedentitycore">
      <keyFlags>
        <key name="%EntityServiceId">
          <flag name="ShowInCardView" value="0"/>
          <flag name="ShowInDotNotation" value="0"/>
          <flag name="ShowInAutoComplete" value="0"/>
        </key>
        <key name="%EntitySubDomain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IsRefreshable">
          <flag name="ShowInCardView" value="0"/>
          <flag name="ShowInDotNotation" value="0"/>
          <flag name="ShowInAutoComplete" value="0"/>
          <flag name="ExcludeFromCalcComparison" value="1"/>
        </key>
        <key name="%ProviderInfo">
          <flag name="ShowInCardView" value="0"/>
          <flag name="ShowInDotNotation" value="0"/>
          <flag name="ShowInAutoComplete" value="0"/>
        </key>
        <key name="%DataProviderExternalLinkLogo">
          <flag name="ShowInCardView" value="0"/>
          <flag name="ShowInDotNotation" value="0"/>
          <flag name="ShowInAutoComplete" value="0"/>
        </key>
        <key name="%DataProviderExternalLink">
          <flag name="ShowInCardView" value="0"/>
          <flag name="ShowInDotNotation" value="0"/>
          <flag name="ShowInAutoComplete" value="0"/>
        </key>
        <key name="%OutdatedReason">
          <flag name="ShowInCardView" value="0"/>
          <flag name="ShowInDotNotation" value="0"/>
          <flag name="ShowInAutoComplete" value="0"/>
          <flag name="ExcludeFromCalcComparison" value="1"/>
        </key>
      </keyFlags>
    </type>
  </types>
</rvTypesInfo>
</file>

<file path=xl/richData/rdarray.xml><?xml version="1.0" encoding="utf-8"?>
<arrayData xmlns="http://schemas.microsoft.com/office/spreadsheetml/2017/richdata2" count="36">
  <a r="1" c="523">
    <v t="i">1</v>
    <v t="i">8</v>
    <v t="i">15</v>
    <v t="i">22</v>
    <v t="i">30</v>
    <v t="i">36</v>
    <v t="i">43</v>
    <v t="i">50</v>
    <v t="i">57</v>
    <v t="i">64</v>
    <v t="i">71</v>
    <v t="i">78</v>
    <v t="i">85</v>
    <v t="i">92</v>
    <v t="i">99</v>
    <v t="i">106</v>
    <v t="i">113</v>
    <v t="i">120</v>
    <v t="i">127</v>
    <v t="i">135</v>
    <v t="i">141</v>
    <v t="i">148</v>
    <v t="i">155</v>
    <v t="i">162</v>
    <v t="i">169</v>
    <v t="i">176</v>
    <v t="i">183</v>
    <v t="i">190</v>
    <v t="i">197</v>
    <v t="i">204</v>
    <v t="i">211</v>
    <v t="i">218</v>
    <v t="i">225</v>
    <v t="i">232</v>
    <v t="i">239</v>
    <v t="i">246</v>
    <v t="i">253</v>
    <v t="i">260</v>
    <v t="i">268</v>
    <v t="i">274</v>
    <v t="i">281</v>
    <v t="i">288</v>
    <v t="i">296</v>
    <v t="i">302</v>
    <v t="i">309</v>
    <v t="i">316</v>
    <v t="i">323</v>
    <v t="i">330</v>
    <v t="i">337</v>
    <v t="i">344</v>
    <v t="i">351</v>
    <v t="i">358</v>
    <v t="i">365</v>
    <v t="i">372</v>
    <v t="i">379</v>
    <v t="i">386</v>
    <v t="i">393</v>
    <v t="i">401</v>
    <v t="i">407</v>
    <v t="i">414</v>
    <v t="i">421</v>
    <v t="i">428</v>
    <v t="i">436</v>
    <v t="i">442</v>
    <v t="i">449</v>
    <v t="i">456</v>
    <v t="i">463</v>
    <v t="i">470</v>
    <v t="i">477</v>
    <v t="i">484</v>
    <v t="i">491</v>
    <v t="i">499</v>
    <v t="i">505</v>
    <v t="i">512</v>
    <v t="i">519</v>
    <v t="i">526</v>
    <v t="i">533</v>
    <v t="i">540</v>
    <v t="i">547</v>
    <v t="i">554</v>
    <v t="i">561</v>
    <v t="i">568</v>
    <v t="i">575</v>
    <v t="i">582</v>
    <v t="i">589</v>
    <v t="i">596</v>
    <v t="i">603</v>
    <v t="i">611</v>
    <v t="i">618</v>
    <v t="i">624</v>
    <v t="i">632</v>
    <v t="i">638</v>
    <v t="i">645</v>
    <v t="i">652</v>
    <v t="i">659</v>
    <v t="i">667</v>
    <v t="i">673</v>
    <v t="i">680</v>
    <v t="i">687</v>
    <v t="i">694</v>
    <v t="i">701</v>
    <v t="i">708</v>
    <v t="i">715</v>
    <v t="i">722</v>
    <v t="i">729</v>
    <v t="i">736</v>
    <v t="i">743</v>
    <v t="i">750</v>
    <v t="i">757</v>
    <v t="i">765</v>
    <v t="i">771</v>
    <v t="i">778</v>
    <v t="i">785</v>
    <v t="i">792</v>
    <v t="i">799</v>
    <v t="i">806</v>
    <v t="i">813</v>
    <v t="i">820</v>
    <v t="i">827</v>
    <v t="i">834</v>
    <v t="i">841</v>
    <v t="i">848</v>
    <v t="i">855</v>
    <v t="i">863</v>
    <v t="i">869</v>
    <v t="i">876</v>
    <v t="i">883</v>
    <v t="i">890</v>
    <v t="i">897</v>
    <v t="i">904</v>
    <v t="i">911</v>
    <v t="i">918</v>
    <v t="i">925</v>
    <v t="i">932</v>
    <v t="i">939</v>
    <v t="i">946</v>
    <v t="i">953</v>
    <v t="i">960</v>
    <v t="i">967</v>
    <v t="i">975</v>
    <v t="i">982</v>
    <v t="i">988</v>
    <v t="i">996</v>
    <v t="i">1002</v>
    <v t="i">1009</v>
    <v t="i">1016</v>
    <v t="i">1023</v>
    <v t="i">1031</v>
    <v t="i">1037</v>
    <v t="i">1044</v>
    <v t="i">1051</v>
    <v t="i">1058</v>
    <v t="i">1065</v>
    <v t="i">1072</v>
    <v t="i">1079</v>
    <v t="i">1086</v>
    <v t="i">1093</v>
    <v t="i">1100</v>
    <v t="i">1107</v>
    <v t="i">1114</v>
    <v t="i">1121</v>
    <v t="i">1129</v>
    <v t="i">1135</v>
    <v t="i">1142</v>
    <v t="i">1149</v>
    <v t="i">1156</v>
    <v t="i">1163</v>
    <v t="i">1170</v>
    <v t="i">1177</v>
    <v t="i">1184</v>
    <v t="i">1191</v>
    <v t="i">1198</v>
    <v t="i">1205</v>
    <v t="i">1212</v>
    <v t="i">1219</v>
    <v t="i">1227</v>
    <v t="i">1233</v>
    <v t="i">1240</v>
    <v t="i">1247</v>
    <v t="i">1254</v>
    <v t="i">1261</v>
    <v t="i">1268</v>
    <v t="i">1275</v>
    <v t="i">1282</v>
    <v t="i">1289</v>
    <v t="i">1296</v>
    <v t="i">1303</v>
    <v t="i">1310</v>
    <v t="i">1317</v>
    <v t="i">1324</v>
    <v t="i">1331</v>
    <v t="i">1338</v>
    <v t="i">1345</v>
    <v t="i">1352</v>
    <v t="i">1359</v>
    <v t="i">1367</v>
    <v t="i">1373</v>
    <v t="i">1380</v>
    <v t="i">1387</v>
    <v t="i">1395</v>
    <v t="i">1401</v>
    <v t="i">1408</v>
    <v t="i">1415</v>
    <v t="i">1422</v>
    <v t="i">1429</v>
    <v t="i">1436</v>
    <v t="i">1443</v>
    <v t="i">1450</v>
    <v t="i">1457</v>
    <v t="i">1464</v>
    <v t="i">1471</v>
    <v t="i">1478</v>
    <v t="i">1485</v>
    <v t="i">1493</v>
    <v t="i">1499</v>
    <v t="i">1506</v>
    <v t="i">1513</v>
    <v t="i">1520</v>
    <v t="i">1527</v>
    <v t="i">1534</v>
    <v t="i">1541</v>
    <v t="i">1548</v>
    <v t="i">1555</v>
    <v t="i">1562</v>
    <v t="i">1569</v>
    <v t="i">1576</v>
    <v t="i">1583</v>
    <v t="i">1591</v>
    <v t="i">1597</v>
    <v t="i">1604</v>
    <v t="i">1611</v>
    <v t="i">1618</v>
    <v t="i">1625</v>
    <v t="i">1632</v>
    <v t="i">1639</v>
    <v t="i">1646</v>
    <v t="i">1653</v>
    <v t="i">1660</v>
    <v t="i">1667</v>
    <v t="i">1674</v>
    <v t="i">1681</v>
    <v t="i">1688</v>
    <v t="i">1695</v>
    <v t="i">1702</v>
    <v t="i">1709</v>
    <v t="i">1716</v>
    <v t="i">1723</v>
    <v t="i">1731</v>
    <v t="i">1737</v>
    <v t="i">1744</v>
    <v t="i">1751</v>
    <v t="i">1759</v>
    <v t="i">1765</v>
    <v t="i">1772</v>
    <v t="i">1779</v>
    <v t="i">1786</v>
    <v t="i">1793</v>
    <v t="i">1800</v>
    <v t="i">1807</v>
    <v t="i">1814</v>
    <v t="i">1821</v>
    <v t="i">1828</v>
    <v t="i">1835</v>
    <v t="i">1842</v>
    <v t="i">1849</v>
    <v t="i">1857</v>
    <v t="i">1863</v>
    <v t="i">1870</v>
    <v t="i">1877</v>
    <v t="i">1884</v>
    <v t="i">1891</v>
    <v t="i">1898</v>
    <v t="i">1905</v>
    <v t="i">1912</v>
    <v t="i">1919</v>
    <v t="i">1926</v>
    <v t="i">1933</v>
    <v t="i">1940</v>
    <v t="i">1947</v>
    <v t="i">1954</v>
    <v t="i">1962</v>
    <v t="i">1968</v>
    <v t="i">1975</v>
    <v t="i">1982</v>
    <v t="i">1989</v>
    <v t="i">1996</v>
    <v t="i">2003</v>
    <v t="i">2010</v>
    <v t="i">2017</v>
    <v t="i">2024</v>
    <v t="i">2031</v>
    <v t="i">2038</v>
    <v t="i">2045</v>
    <v t="i">2052</v>
    <v t="i">2059</v>
    <v t="i">2066</v>
    <v t="i">2073</v>
    <v t="i">2080</v>
    <v t="i">2087</v>
    <v t="i">2095</v>
    <v t="i">2101</v>
    <v t="i">2108</v>
    <v t="i">2115</v>
    <v t="i">2123</v>
    <v t="i">2129</v>
    <v t="i">2136</v>
    <v t="i">2143</v>
    <v t="i">2150</v>
    <v t="i">2157</v>
    <v t="i">2164</v>
    <v t="i">2171</v>
    <v t="i">2178</v>
    <v t="i">2185</v>
    <v t="i">2192</v>
    <v t="i">2199</v>
    <v t="i">2206</v>
    <v t="i">2213</v>
    <v t="i">2220</v>
    <v t="i">2228</v>
    <v t="i">2234</v>
    <v t="i">2241</v>
    <v t="i">2248</v>
    <v t="i">2255</v>
    <v t="i">2263</v>
    <v t="i">2269</v>
    <v t="i">2276</v>
    <v t="i">2283</v>
    <v t="i">2290</v>
    <v t="i">2297</v>
    <v t="i">2304</v>
    <v t="i">2311</v>
    <v t="i">2318</v>
    <v t="i">2326</v>
    <v t="i">2332</v>
    <v t="i">2339</v>
    <v t="i">2346</v>
    <v t="i">2353</v>
    <v t="i">2360</v>
    <v t="i">2367</v>
    <v t="i">2374</v>
    <v t="i">2381</v>
    <v t="i">2388</v>
    <v t="i">2395</v>
    <v t="i">2402</v>
    <v t="i">2409</v>
    <v t="i">2416</v>
    <v t="i">2423</v>
    <v t="i">2430</v>
    <v t="i">2437</v>
    <v t="i">2444</v>
    <v t="i">2451</v>
    <v t="i">2459</v>
    <v t="i">2465</v>
    <v t="i">2472</v>
    <v t="i">2479</v>
    <v t="i">2486</v>
    <v t="i">2494</v>
    <v t="i">2500</v>
    <v t="i">2507</v>
    <v t="i">2514</v>
    <v t="i">2521</v>
    <v t="i">2528</v>
    <v t="i">2535</v>
    <v t="i">2542</v>
    <v t="i">2549</v>
    <v t="i">2556</v>
    <v t="i">2563</v>
    <v t="i">2570</v>
    <v t="i">2577</v>
    <v t="i">2584</v>
    <v t="i">2592</v>
    <v t="i">2598</v>
    <v t="i">2605</v>
    <v t="i">2613</v>
    <v t="i">2619</v>
    <v t="i">2627</v>
    <v t="i">2633</v>
    <v t="i">2640</v>
    <v t="i">2647</v>
    <v t="i">2654</v>
    <v t="i">2661</v>
    <v t="i">2668</v>
    <v t="i">2675</v>
    <v t="i">2682</v>
    <v t="i">2690</v>
    <v t="i">2696</v>
    <v t="i">2703</v>
    <v t="i">2710</v>
    <v t="i">2717</v>
    <v t="i">2724</v>
    <v t="i">2731</v>
    <v t="i">2738</v>
    <v t="i">2745</v>
    <v t="i">2752</v>
    <v t="i">2759</v>
    <v t="i">2766</v>
    <v t="i">2773</v>
    <v t="i">2780</v>
    <v t="i">2787</v>
    <v t="i">2794</v>
    <v t="i">2802</v>
    <v t="i">2809</v>
    <v t="i">2815</v>
    <v t="i">2823</v>
    <v t="i">2829</v>
    <v t="i">2836</v>
    <v t="i">2843</v>
    <v t="i">2850</v>
    <v t="i">2858</v>
    <v t="i">2864</v>
    <v t="i">2871</v>
    <v t="i">2878</v>
    <v t="i">2885</v>
    <v t="i">2892</v>
    <v t="i">2899</v>
    <v t="i">2906</v>
    <v t="i">2913</v>
    <v t="i">2920</v>
    <v t="i">2927</v>
    <v t="i">2934</v>
    <v t="i">2941</v>
    <v t="i">2948</v>
    <v t="i">2956</v>
    <v t="i">2962</v>
    <v t="i">2969</v>
    <v t="i">2977</v>
    <v t="i">2983</v>
    <v t="i">2990</v>
    <v t="i">2997</v>
    <v t="i">3004</v>
    <v t="i">3011</v>
    <v t="i">3018</v>
    <v t="i">3025</v>
    <v t="i">3032</v>
    <v t="i">3039</v>
    <v t="i">3046</v>
    <v t="i">3054</v>
    <v t="i">3060</v>
    <v t="i">3067</v>
    <v t="i">3074</v>
    <v t="i">3081</v>
    <v t="i">3088</v>
    <v t="i">3095</v>
    <v t="i">3102</v>
    <v t="i">3109</v>
    <v t="i">3116</v>
    <v t="i">3123</v>
    <v t="i">3130</v>
    <v t="i">3137</v>
    <v t="i">3144</v>
    <v t="i">3151</v>
    <v t="i">3158</v>
    <v t="i">3166</v>
    <v t="i">3173</v>
    <v t="i">3179</v>
    <v t="i">3187</v>
    <v t="i">3193</v>
    <v t="i">3200</v>
    <v t="i">3207</v>
    <v t="i">3214</v>
    <v t="i">3222</v>
    <v t="i">3228</v>
    <v t="i">3235</v>
    <v t="i">3242</v>
    <v t="i">3249</v>
    <v t="i">3256</v>
    <v t="i">3263</v>
    <v t="i">3270</v>
    <v t="i">3277</v>
    <v t="i">3284</v>
    <v t="i">3291</v>
    <v t="i">3298</v>
    <v t="i">3305</v>
    <v t="i">3312</v>
    <v t="i">3320</v>
    <v t="i">3326</v>
    <v t="i">3333</v>
    <v t="i">3340</v>
    <v t="i">3347</v>
    <v t="i">3354</v>
    <v t="i">3361</v>
    <v t="i">3368</v>
    <v t="i">3375</v>
    <v t="i">3382</v>
    <v t="i">3389</v>
    <v t="i">3396</v>
    <v t="i">3403</v>
    <v t="i">3410</v>
    <v t="i">3418</v>
    <v t="i">3424</v>
    <v t="i">3431</v>
    <v t="i">3438</v>
    <v t="i">3445</v>
    <v t="i">3452</v>
    <v t="i">3459</v>
    <v t="i">3466</v>
    <v t="i">3473</v>
    <v t="i">3480</v>
    <v t="i">3487</v>
    <v t="i">3494</v>
    <v t="i">3501</v>
    <v t="i">3508</v>
    <v t="i">3515</v>
    <v t="i">3522</v>
    <v t="i">3529</v>
    <v t="i">3536</v>
    <v t="i">3543</v>
    <v t="i">3550</v>
    <v t="i">3558</v>
    <v t="i">3564</v>
    <v t="i">3571</v>
    <v t="i">3578</v>
    <v t="i">3586</v>
    <v t="i">3592</v>
    <v t="i">3599</v>
    <v t="i">3606</v>
    <v t="i">3613</v>
    <v t="i">3620</v>
    <v t="i">3627</v>
    <v t="i">3634</v>
    <v t="i">3641</v>
    <v t="i">3648</v>
    <v t="i">3655</v>
  </a>
  <a r="1" c="523">
    <v>32.237499999999997</v>
    <v>31.905000000000001</v>
    <v>32.192500000000003</v>
    <v>33.134999999999998</v>
    <v>32.57</v>
    <v>32.162500000000001</v>
    <v>31.7925</v>
    <v>31.65</v>
    <v>31.6875</v>
    <v>31.61</v>
    <v>30.82</v>
    <v>32.405000000000001</v>
    <v>31.125</v>
    <v>30.324999999999999</v>
    <v>28.88</v>
    <v>28.99</v>
    <v>26.44</v>
    <v>28.322500000000002</v>
    <v>27.317499999999999</v>
    <v>28.552499999999998</v>
    <v>28.362500000000001</v>
    <v>28.677499999999998</v>
    <v>27.594999999999999</v>
    <v>28.03</v>
    <v>27.76</v>
    <v>29.77</v>
    <v>29.875</v>
    <v>30.265000000000001</v>
    <v>28.085000000000001</v>
    <v>29.824999999999999</v>
    <v>29.452500000000001</v>
    <v>29.7575</v>
    <v>28.295000000000002</v>
    <v>26.5075</v>
    <v>27.0075</v>
    <v>26.315000000000001</v>
    <v>24.24</v>
    <v>24.282499999999999</v>
    <v>25.355</v>
    <v>24.335000000000001</v>
    <v>23.504999999999999</v>
    <v>23.497499999999999</v>
    <v>24.01</v>
    <v>24.227499999999999</v>
    <v>25.752500000000001</v>
    <v>25.565000000000001</v>
    <v>26.48</v>
    <v>26.4175</v>
    <v>27.497499999999999</v>
    <v>27.164999999999999</v>
    <v>27.462499999999999</v>
    <v>26.42</v>
    <v>23.434999999999999</v>
    <v>23.18</v>
    <v>22.63</v>
    <v>23.805</v>
    <v>25.087499999999999</v>
    <v>24.48</v>
    <v>24.7075</v>
    <v>23.8325</v>
    <v>23.35</v>
    <v>23.9725</v>
    <v>24.17</v>
    <v>24.695</v>
    <v>24.664999999999999</v>
    <v>26.052499999999998</v>
    <v>26.87</v>
    <v>27.045000000000002</v>
    <v>27.34</v>
    <v>26.734999999999999</v>
    <v>26.932500000000001</v>
    <v>25.782499999999999</v>
    <v>28.73</v>
    <v>28.177499999999998</v>
    <v>28.262499999999999</v>
    <v>28.515000000000001</v>
    <v>29.407499999999999</v>
    <v>29.15</v>
    <v>28.43</v>
    <v>27.21</v>
    <v>27.107500000000002</v>
    <v>27.515000000000001</v>
    <v>27.947500000000002</v>
    <v>27.475000000000001</v>
    <v>28.487500000000001</v>
    <v>28.9925</v>
    <v>29.13</v>
    <v>28.954999999999998</v>
    <v>29.477499999999999</v>
    <v>29.76</v>
    <v>30</v>
    <v>30.487500000000001</v>
    <v>32.270000000000003</v>
    <v>33.03</v>
    <v>33.93</v>
    <v>34.164999999999999</v>
    <v>34.945</v>
    <v>34.784999999999997</v>
    <v>34.997500000000002</v>
    <v>35.159999999999997</v>
    <v>35.914999999999999</v>
    <v>35.835000000000001</v>
    <v>35.262500000000003</v>
    <v>35.567500000000003</v>
    <v>35.912500000000001</v>
    <v>37.24</v>
    <v>39.024999999999999</v>
    <v>38.265000000000001</v>
    <v>38.402500000000003</v>
    <v>38.862499999999997</v>
    <v>37.244999999999997</v>
    <v>35.567500000000003</v>
    <v>36.57</v>
    <v>36.005000000000003</v>
    <v>36.045000000000002</v>
    <v>37.26</v>
    <v>37.567500000000003</v>
    <v>37.375</v>
    <v>39.097499999999997</v>
    <v>39.369999999999997</v>
    <v>39.375</v>
    <v>39.965000000000003</v>
    <v>41.012500000000003</v>
    <v>39.657499999999999</v>
    <v>39.97</v>
    <v>37.972499999999997</v>
    <v>38.53</v>
    <v>38.825000000000003</v>
    <v>39.247500000000002</v>
    <v>39.0625</v>
    <v>40.762500000000003</v>
    <v>43.125</v>
    <v>43.667499999999997</v>
    <v>42.537500000000001</v>
    <v>43.7425</v>
    <v>42.762500000000003</v>
    <v>42.342500000000001</v>
    <v>43.4925</v>
    <v>43.752499999999998</v>
    <v>42.307499999999997</v>
    <v>43.75</v>
    <v>44.272500000000001</v>
    <v>44.615000000000002</v>
    <v>42.877499999999998</v>
    <v>40.125</v>
    <v>39.102499999999999</v>
    <v>43.107500000000002</v>
    <v>43.875</v>
    <v>44.052500000000002</v>
    <v>44.994999999999997</v>
    <v>44.505000000000003</v>
    <v>41.234999999999999</v>
    <v>41.945</v>
    <v>42.094999999999999</v>
    <v>43.682499999999997</v>
    <v>41.43</v>
    <v>40.58</v>
    <v>45.957500000000003</v>
    <v>47.147500000000001</v>
    <v>46.577500000000001</v>
    <v>47.145000000000003</v>
    <v>47.56</v>
    <v>47.924999999999997</v>
    <v>47.21</v>
    <v>46.23</v>
    <v>46.277500000000003</v>
    <v>46.9925</v>
    <v>47.832500000000003</v>
    <v>47.86</v>
    <v>47.744999999999997</v>
    <v>51.997500000000002</v>
    <v>51.8825</v>
    <v>54.395000000000003</v>
    <v>54.04</v>
    <v>56.907499999999999</v>
    <v>55.325000000000003</v>
    <v>55.96</v>
    <v>54.414999999999999</v>
    <v>56.435000000000002</v>
    <v>56.072499999999998</v>
    <v>55.527500000000003</v>
    <v>54.827500000000001</v>
    <v>54.075000000000003</v>
    <v>51.87</v>
    <v>51.1175</v>
    <v>48.3825</v>
    <v>43.072499999999998</v>
    <v>44.645000000000003</v>
    <v>42.122500000000002</v>
    <v>41.37</v>
    <v>37.682499999999997</v>
    <v>39.057499999999997</v>
    <v>37.064999999999998</v>
    <v>38.072499999999998</v>
    <v>39.204999999999998</v>
    <v>39.44</v>
    <v>41.63</v>
    <v>42.602499999999999</v>
    <v>42.604999999999997</v>
    <v>43.2425</v>
    <v>43.7425</v>
    <v>43.227499999999999</v>
    <v>46.53</v>
    <v>47.762500000000003</v>
    <v>47.487499999999997</v>
    <v>49.25</v>
    <v>49.717500000000001</v>
    <v>50.965000000000003</v>
    <v>51.075000000000003</v>
    <v>52.9375</v>
    <v>49.295000000000002</v>
    <v>47.25</v>
    <v>44.7425</v>
    <v>43.767499999999998</v>
    <v>47.537500000000001</v>
    <v>48.185000000000002</v>
    <v>49.695</v>
    <v>49.48</v>
    <v>51.057499999999997</v>
    <v>50.825000000000003</v>
    <v>50.647500000000001</v>
    <v>51.935000000000002</v>
    <v>51.005000000000003</v>
    <v>50.247500000000002</v>
    <v>51.625</v>
    <v>50.66</v>
    <v>52.185000000000002</v>
    <v>53.314999999999998</v>
    <v>54.6875</v>
    <v>54.432499999999997</v>
    <v>54.704999999999998</v>
    <v>56.752499999999998</v>
    <v>59.052500000000002</v>
    <v>59.102499999999999</v>
    <v>61.645000000000003</v>
    <v>63.954999999999998</v>
    <v>65.034999999999997</v>
    <v>66.44</v>
    <v>65.444999999999993</v>
    <v>66.8125</v>
    <v>67.677499999999995</v>
    <v>68.787499999999994</v>
    <v>69.86</v>
    <v>72.45</v>
    <v>74.357500000000002</v>
    <v>77.582499999999996</v>
    <v>79.682500000000005</v>
    <v>79.577500000000001</v>
    <v>77.377499999999998</v>
    <v>80.007499999999993</v>
    <v>81.237499999999997</v>
    <v>78.262500000000003</v>
    <v>68.34</v>
    <v>72.257499999999993</v>
    <v>69.492500000000007</v>
    <v>57.31</v>
    <v>61.935000000000002</v>
    <v>60.352499999999999</v>
    <v>66.997500000000002</v>
    <v>70.7</v>
    <v>70.742500000000007</v>
    <v>72.267499999999998</v>
    <v>77.532499999999999</v>
    <v>76.927499999999995</v>
    <v>79.722499999999997</v>
    <v>79.484999999999999</v>
    <v>82.875</v>
    <v>84.7</v>
    <v>87.43</v>
    <v>88.407499999999999</v>
    <v>91.027500000000003</v>
    <v>95.92</v>
    <v>96.327500000000001</v>
    <v>92.614999999999995</v>
    <v>106.26</v>
    <v>111.1125</v>
    <v>114.9075</v>
    <v>124.37</v>
    <v>124.8075</v>
    <v>120.96</v>
    <v>112</v>
    <v>106.84</v>
    <v>112.28</v>
    <v>113.02</v>
    <v>116.97</v>
    <v>119.02</v>
    <v>115.04</v>
    <v>108.86</v>
    <v>118.69</v>
    <v>119.26</v>
    <v>117.34</v>
    <v>116.59</v>
    <v>122.25</v>
    <v>122.41</v>
    <v>126.655</v>
    <v>131.97</v>
    <v>132.69</v>
    <v>132.05000000000001</v>
    <v>127.14</v>
    <v>139.07</v>
    <v>131.96</v>
    <v>136.76</v>
    <v>135.37</v>
    <v>129.87</v>
    <v>121.26</v>
    <v>121.42</v>
    <v>121.03</v>
    <v>119.99</v>
    <v>121.21</v>
    <v>123</v>
    <v>132.995</v>
    <v>134.16</v>
    <v>134.32</v>
    <v>131.46</v>
    <v>130.21</v>
    <v>127.45</v>
    <v>125.43</v>
    <v>124.61</v>
    <v>125.89</v>
    <v>127.35</v>
    <v>130.46</v>
    <v>133.11000000000001</v>
    <v>139.96</v>
    <v>145.11000000000001</v>
    <v>146.38999999999999</v>
    <v>148.56</v>
    <v>145.86000000000001</v>
    <v>146.13999999999999</v>
    <v>149.1</v>
    <v>148.19</v>
    <v>148.6</v>
    <v>154.30000000000001</v>
    <v>148.97</v>
    <v>146.06</v>
    <v>146.91999999999999</v>
    <v>142.65</v>
    <v>142.9</v>
    <v>144.84</v>
    <v>148.69</v>
    <v>149.80000000000001</v>
    <v>151.28</v>
    <v>149.99</v>
    <v>160.55000000000001</v>
    <v>156.81</v>
    <v>161.84</v>
    <v>179.45</v>
    <v>171.14</v>
    <v>176.28</v>
    <v>177.57</v>
    <v>172.17</v>
    <v>173.07</v>
    <v>162.41</v>
    <v>170.33</v>
    <v>172.39</v>
    <v>168.64</v>
    <v>167.3</v>
    <v>164.85</v>
    <v>163.16999999999999</v>
    <v>154.72999999999999</v>
    <v>163.98</v>
    <v>174.72</v>
    <v>174.31</v>
    <v>170.09</v>
    <v>165.29</v>
    <v>161.79</v>
    <v>157.65</v>
    <v>157.28</v>
    <v>147.11000000000001</v>
    <v>137.59</v>
    <v>149.63999999999999</v>
    <v>145.38</v>
    <v>137.13</v>
    <v>131.56</v>
    <v>141.66</v>
    <v>138.93</v>
    <v>147.04</v>
    <v>150.16999999999999</v>
    <v>154.09</v>
    <v>162.51</v>
    <v>165.35</v>
    <v>172.1</v>
    <v>171.52</v>
    <v>163.62</v>
    <v>155.81</v>
    <v>157.37</v>
    <v>150.69999999999999</v>
    <v>150.43</v>
    <v>138.19999999999999</v>
    <v>140.09</v>
    <v>138.38</v>
    <v>147.27000000000001</v>
    <v>155.74</v>
    <v>138.38</v>
    <v>149.69999999999999</v>
    <v>151.29</v>
    <v>148.11000000000001</v>
    <v>147.81</v>
    <v>142.16</v>
    <v>134.51</v>
    <v>131.86000000000001</v>
    <v>129.93</v>
    <v>129.62</v>
    <v>134.76</v>
    <v>137.87</v>
    <v>145.93</v>
    <v>154.5</v>
    <v>151.01</v>
    <v>152.55000000000001</v>
    <v>146.71</v>
    <v>151.03</v>
    <v>148.5</v>
    <v>155</v>
    <v>160.25</v>
    <v>164.9</v>
    <v>164.66</v>
    <v>165.21</v>
    <v>165.02</v>
    <v>169.68</v>
    <v>173.57</v>
    <v>172.57</v>
    <v>175.16</v>
    <v>175.43</v>
    <v>180.95</v>
    <v>180.96</v>
    <v>184.92</v>
    <v>186.68</v>
    <v>193.97</v>
    <v>190.68</v>
    <v>190.69</v>
    <v>191.94</v>
    <v>195.83</v>
    <v>181.99</v>
    <v>177.79</v>
    <v>174.49</v>
    <v>178.61</v>
    <v>189.46</v>
    <v>178.18</v>
    <v>175.01</v>
    <v>174.79</v>
    <v>171.21</v>
    <v>177.49</v>
    <v>178.85</v>
    <v>172.88</v>
    <v>168.22</v>
    <v>176.65</v>
    <v>186.4</v>
    <v>189.69</v>
    <v>189.97</v>
    <v>191.24</v>
    <v>195.71</v>
    <v>197.57</v>
    <v>193.6</v>
    <v>192.53</v>
    <v>181.18</v>
    <v>185.92</v>
    <v>191.56</v>
    <v>192.42</v>
    <v>185.85</v>
    <v>188.85</v>
    <v>182.31</v>
    <v>182.52</v>
    <v>179.66</v>
    <v>170.73</v>
    <v>172.62</v>
    <v>172.28</v>
    <v>171.48</v>
    <v>169.58</v>
    <v>176.55</v>
    <v>165</v>
    <v>169.3</v>
    <v>183.38</v>
    <v>183.05</v>
    <v>189.87</v>
    <v>189.98</v>
    <v>192.25</v>
    <v>196.89</v>
    <v>212.49</v>
    <v>207.49</v>
    <v>210.62</v>
    <v>226.34</v>
    <v>230.54</v>
    <v>224.31</v>
    <v>217.96</v>
    <v>219.86</v>
    <v>216.24</v>
    <v>226.05</v>
    <v>226.84</v>
    <v>229</v>
    <v>220.82</v>
    <v>222.5</v>
    <v>228.2</v>
    <v>227.79</v>
    <v>226.8</v>
    <v>227.55</v>
    <v>235</v>
    <v>231.41</v>
    <v>222.91</v>
    <v>226.96</v>
    <v>225</v>
    <v>229.87</v>
    <v>237.33</v>
    <v>242.84</v>
    <v>248.13</v>
    <v>254.49</v>
    <v>255.59</v>
    <v>243.36</v>
    <v>236.85</v>
    <v>229.98</v>
    <v>222.78</v>
    <v>236</v>
    <v>227.63</v>
    <v>244.6</v>
    <v>245.55</v>
    <v>241.84</v>
    <v>239.07</v>
    <v>213.49</v>
    <v>218.27</v>
    <v>217.9</v>
    <v>188.38</v>
    <v>198.15</v>
    <v>196.98</v>
    <v>209.28</v>
    <v>205.35</v>
  </a>
  <a r="1" c="523">
    <v>33.077500000000001</v>
    <v>32.375</v>
    <v>31.8475</v>
    <v>32.094999999999999</v>
    <v>33.15</v>
    <v>32.799999999999997</v>
    <v>32.225000000000001</v>
    <v>31.524999999999999</v>
    <v>31.872499999999999</v>
    <v>31.364999999999998</v>
    <v>31.234999999999999</v>
    <v>31.2575</v>
    <v>32.7425</v>
    <v>30.772500000000001</v>
    <v>30.375</v>
    <v>29.1325</v>
    <v>29.01</v>
    <v>23.717500000000001</v>
    <v>28.0075</v>
    <v>27.912500000000001</v>
    <v>29.145</v>
    <v>28.4175</v>
    <v>28.462499999999999</v>
    <v>27.47</v>
    <v>28.182500000000001</v>
    <v>27.7</v>
    <v>29.52</v>
    <v>29.967500000000001</v>
    <v>30.24</v>
    <v>27.844999999999999</v>
    <v>29.817499999999999</v>
    <v>29.497499999999999</v>
    <v>29.745000000000001</v>
    <v>28.045000000000002</v>
    <v>26.82</v>
    <v>26.897500000000001</v>
    <v>25.6525</v>
    <v>24.7425</v>
    <v>24.602499999999999</v>
    <v>25.38</v>
    <v>24.1175</v>
    <v>23.282499999999999</v>
    <v>23.754999999999999</v>
    <v>24.077500000000001</v>
    <v>24.215</v>
    <v>25.5975</v>
    <v>25.477499999999999</v>
    <v>26.482500000000002</v>
    <v>26.5</v>
    <v>27.605</v>
    <v>27.2425</v>
    <v>27.2225</v>
    <v>26.25</v>
    <v>23.491299999999999</v>
    <v>23.25</v>
    <v>23.0975</v>
    <v>23.967500000000001</v>
    <v>24.9</v>
    <v>24.497499999999999</v>
    <v>24.672499999999999</v>
    <v>24</v>
    <v>23.25</v>
    <v>23.8475</v>
    <v>24.1875</v>
    <v>24.675000000000001</v>
    <v>24.5625</v>
    <v>26.102499999999999</v>
    <v>26.88</v>
    <v>27.035</v>
    <v>27.215</v>
    <v>26.655000000000001</v>
    <v>26.975000000000001</v>
    <v>25.662500000000001</v>
    <v>28.797499999999999</v>
    <v>27.91</v>
    <v>28.177499999999998</v>
    <v>28.754999999999999</v>
    <v>29.3325</v>
    <v>29.274999999999999</v>
    <v>28.412500000000001</v>
    <v>27.52</v>
    <v>26.927499999999998</v>
    <v>27.53</v>
    <v>27.857500000000002</v>
    <v>27.5</v>
    <v>28.322500000000002</v>
    <v>28.95</v>
    <v>29.13</v>
    <v>28.95</v>
    <v>29.487500000000001</v>
    <v>29.585000000000001</v>
    <v>30</v>
    <v>30.232500000000002</v>
    <v>32.282499999999999</v>
    <v>33.270000000000003</v>
    <v>34.057499999999997</v>
    <v>34.284999999999997</v>
    <v>34.841299999999997</v>
    <v>34.712499999999999</v>
    <v>35.1</v>
    <v>34.847499999999997</v>
    <v>35.927500000000002</v>
    <v>35.9</v>
    <v>35.369999999999997</v>
    <v>35.875</v>
    <v>36.274999999999999</v>
    <v>37.2575</v>
    <v>39.002499999999998</v>
    <v>38.5</v>
    <v>38.354999999999997</v>
    <v>38.585000000000001</v>
    <v>36.435000000000002</v>
    <v>35.914999999999999</v>
    <v>36.792499999999997</v>
    <v>36.22</v>
    <v>36.027500000000003</v>
    <v>37.204999999999998</v>
    <v>37.645000000000003</v>
    <v>37.475000000000001</v>
    <v>39.265000000000001</v>
    <v>39.83</v>
    <v>39.375</v>
    <v>40.034999999999997</v>
    <v>40.9375</v>
    <v>40.125</v>
    <v>40.027500000000003</v>
    <v>37.497500000000002</v>
    <v>38.564999999999998</v>
    <v>38.952500000000001</v>
    <v>39.475000000000001</v>
    <v>39.222499999999997</v>
    <v>40.972499999999997</v>
    <v>43.091299999999997</v>
    <v>43.375</v>
    <v>42.572499999999998</v>
    <v>43.762500000000003</v>
    <v>43.12</v>
    <v>42.3</v>
    <v>43.72</v>
    <v>42.7</v>
    <v>42.54</v>
    <v>43.587499999999999</v>
    <v>44.475000000000001</v>
    <v>44.325000000000003</v>
    <v>42.54</v>
    <v>39.774999999999999</v>
    <v>39.625</v>
    <v>43.012500000000003</v>
    <v>44.087499999999999</v>
    <v>43.802500000000002</v>
    <v>45.072499999999998</v>
    <v>44.33</v>
    <v>42.017499999999998</v>
    <v>41.97</v>
    <v>42.47</v>
    <v>43.7575</v>
    <v>41.7087</v>
    <v>40.532600000000002</v>
    <v>46.295000000000002</v>
    <v>47.252499999999998</v>
    <v>47</v>
    <v>46.9</v>
    <v>47.908799999999999</v>
    <v>47.837499999999999</v>
    <v>46.97</v>
    <v>45.85</v>
    <v>45.954999999999998</v>
    <v>47.375</v>
    <v>47.88</v>
    <v>47.67</v>
    <v>47.975000000000001</v>
    <v>52</v>
    <v>51.924999999999997</v>
    <v>54.524999999999999</v>
    <v>54.287500000000001</v>
    <v>57.102499999999999</v>
    <v>55.237499999999997</v>
    <v>55.537500000000001</v>
    <v>54.204999999999998</v>
    <v>56.987499999999997</v>
    <v>55.552500000000002</v>
    <v>55.29</v>
    <v>54.947499999999998</v>
    <v>54.797499999999999</v>
    <v>51.075000000000003</v>
    <v>49.75</v>
    <v>47.5</v>
    <v>43.56</v>
    <v>46.115000000000002</v>
    <v>41.25</v>
    <v>41.362499999999997</v>
    <v>37.037500000000001</v>
    <v>39.6325</v>
    <v>37.174999999999997</v>
    <v>37.712499999999999</v>
    <v>39.102499999999999</v>
    <v>38.947499999999998</v>
    <v>41.852499999999999</v>
    <v>42.762500000000003</v>
    <v>42.427500000000002</v>
    <v>43.54</v>
    <v>43.922499999999999</v>
    <v>43.872500000000002</v>
    <v>46.45</v>
    <v>47.877499999999998</v>
    <v>47.91</v>
    <v>49.104999999999997</v>
    <v>49.645000000000003</v>
    <v>50.707500000000003</v>
    <v>51.1</v>
    <v>51.072499999999998</v>
    <v>46.927500000000002</v>
    <v>45.88</v>
    <v>44.73</v>
    <v>43.9</v>
    <v>47.952500000000001</v>
    <v>48.225000000000001</v>
    <v>49.634999999999998</v>
    <v>50.792499999999997</v>
    <v>50.202500000000001</v>
    <v>51.022500000000001</v>
    <v>50.912500000000001</v>
    <v>52.115000000000002</v>
    <v>49.497500000000002</v>
    <v>49.905000000000001</v>
    <v>52.655000000000001</v>
    <v>51.465000000000003</v>
    <v>51.607500000000002</v>
    <v>53.71</v>
    <v>54.432499999999997</v>
    <v>54.737499999999997</v>
    <v>55.225000000000001</v>
    <v>56.567500000000003</v>
    <v>58.725000000000001</v>
    <v>59.38</v>
    <v>61.854999999999997</v>
    <v>64.332499999999996</v>
    <v>64.575000000000003</v>
    <v>66.45</v>
    <v>65.677499999999995</v>
    <v>66.817499999999995</v>
    <v>67.5</v>
    <v>69.25</v>
    <v>70.132499999999993</v>
    <v>72.364999999999995</v>
    <v>73.447500000000005</v>
    <v>77.91</v>
    <v>79.297499999999999</v>
    <v>77.515000000000001</v>
    <v>76.075000000000003</v>
    <v>78.545000000000002</v>
    <v>78.84</v>
    <v>74.314999999999998</v>
    <v>70.569999999999993</v>
    <v>65.9375</v>
    <v>60.487499999999997</v>
    <v>57.02</v>
    <v>62.685000000000002</v>
    <v>62.725000000000001</v>
    <v>67.077500000000001</v>
    <v>69.487499999999997</v>
    <v>70.45</v>
    <v>72.292500000000004</v>
    <v>77.025000000000006</v>
    <v>78.292500000000004</v>
    <v>80.875</v>
    <v>79.4375</v>
    <v>82.5625</v>
    <v>83.3125</v>
    <v>87.834999999999994</v>
    <v>88.3125</v>
    <v>92.5</v>
    <v>97.265000000000001</v>
    <v>96.416300000000007</v>
    <v>93.71</v>
    <v>108.2</v>
    <v>112.6</v>
    <v>116.0625</v>
    <v>128.69749999999999</v>
    <v>127.58</v>
    <v>113.95</v>
    <v>114.72</v>
    <v>104.54</v>
    <v>115.01</v>
    <v>113.91</v>
    <v>120.06</v>
    <v>119.96</v>
    <v>114.01</v>
    <v>109.11</v>
    <v>120.5</v>
    <v>118.92</v>
    <v>117.18</v>
    <v>116.97</v>
    <v>122.31</v>
    <v>122.6</v>
    <v>125.02</v>
    <v>133.99</v>
    <v>133.52000000000001</v>
    <v>129.19</v>
    <v>127.78</v>
    <v>143.07</v>
    <v>133.75</v>
    <v>136.03</v>
    <v>135.49</v>
    <v>128.01</v>
    <v>123.75</v>
    <v>120.93</v>
    <v>121.41</v>
    <v>120.33</v>
    <v>121.65</v>
    <v>123.87</v>
    <v>132.52000000000001</v>
    <v>133.51</v>
    <v>134.83000000000001</v>
    <v>132.04</v>
    <v>129.41</v>
    <v>126.82</v>
    <v>126.01</v>
    <v>125.08</v>
    <v>126.17</v>
    <v>127.82</v>
    <v>130.30000000000001</v>
    <v>133.41</v>
    <v>140.07</v>
    <v>146.21</v>
    <v>143.75</v>
    <v>148.27000000000001</v>
    <v>146.36000000000001</v>
    <v>146.19999999999999</v>
    <v>148.535</v>
    <v>148.31</v>
    <v>149</v>
    <v>154.97</v>
    <v>150.63</v>
    <v>143.80000000000001</v>
    <v>145.47</v>
    <v>141.76</v>
    <v>142.27000000000001</v>
    <v>143.44499999999999</v>
    <v>148.68</v>
    <v>148.98500000000001</v>
    <v>151.41</v>
    <v>150.37</v>
    <v>161.68</v>
    <v>159.37</v>
    <v>164.29</v>
    <v>181.11500000000001</v>
    <v>168.28</v>
    <v>177.08500000000001</v>
    <v>177.83</v>
    <v>169.08</v>
    <v>171.51</v>
    <v>160.02000000000001</v>
    <v>170.16</v>
    <v>172.86</v>
    <v>167.37</v>
    <v>164.98</v>
    <v>163.06</v>
    <v>163.36000000000001</v>
    <v>151.44999999999999</v>
    <v>163.51</v>
    <v>172.17</v>
    <v>174.57</v>
    <v>168.71</v>
    <v>163.92</v>
    <v>161.12</v>
    <v>156.71</v>
    <v>154.92500000000001</v>
    <v>145.55000000000001</v>
    <v>137.79</v>
    <v>149.07</v>
    <v>147.03</v>
    <v>132.87</v>
    <v>133.41999999999999</v>
    <v>142.69499999999999</v>
    <v>137.77000000000001</v>
    <v>145.66999999999999</v>
    <v>150.74</v>
    <v>154.01</v>
    <v>161.01</v>
    <v>166.37</v>
    <v>171.52</v>
    <v>169.69</v>
    <v>161.14500000000001</v>
    <v>156.47</v>
    <v>159.59</v>
    <v>149.31</v>
    <v>149.66</v>
    <v>138.21</v>
    <v>140.41999999999999</v>
    <v>141.065</v>
    <v>147.185</v>
    <v>153.155</v>
    <v>137.11000000000001</v>
    <v>148.97</v>
    <v>150.16</v>
    <v>145.13999999999999</v>
    <v>147.77000000000001</v>
    <v>142.69999999999999</v>
    <v>135.11000000000001</v>
    <v>131.38</v>
    <v>130.28</v>
    <v>130.465</v>
    <v>134.83000000000001</v>
    <v>138.12</v>
    <v>144.95500000000001</v>
    <v>152.57499999999999</v>
    <v>150.952</v>
    <v>150.19999999999999</v>
    <v>147.71</v>
    <v>153.785</v>
    <v>147.80500000000001</v>
    <v>155.07</v>
    <v>159.94</v>
    <v>164.27</v>
    <v>161.41999999999999</v>
    <v>165.09</v>
    <v>165</v>
    <v>169.28</v>
    <v>172.48</v>
    <v>173.16</v>
    <v>173.98</v>
    <v>176.96</v>
    <v>182.63</v>
    <v>181.27</v>
    <v>184.41</v>
    <v>186.83</v>
    <v>193.78</v>
    <v>189.26</v>
    <v>191.9</v>
    <v>193.41</v>
    <v>196.06</v>
    <v>182.13</v>
    <v>177.97</v>
    <v>175.07</v>
    <v>180.09</v>
    <v>188.28</v>
    <v>180.07</v>
    <v>176.48</v>
    <v>174.2</v>
    <v>171.22</v>
    <v>176.81</v>
    <v>176.75</v>
    <v>170.91</v>
    <v>169.02</v>
    <v>176.38</v>
    <v>185.82</v>
    <v>189.89</v>
    <v>189.92</v>
    <v>189.98</v>
    <v>193.11</v>
    <v>196.09</v>
    <v>193.61</v>
    <v>187.15</v>
    <v>182.08500000000001</v>
    <v>182.16</v>
    <v>192.3</v>
    <v>192.01</v>
    <v>188.15</v>
    <v>188.41499999999999</v>
    <v>181.79</v>
    <v>182.24</v>
    <v>176.15</v>
    <v>172.94</v>
    <v>175.57</v>
    <v>170.565</v>
    <v>171.19</v>
    <v>169.03</v>
    <v>175.36</v>
    <v>165.51499999999999</v>
    <v>173.37</v>
    <v>182.35400000000001</v>
    <v>185.435</v>
    <v>189.32499999999999</v>
    <v>191.51</v>
    <v>192.9</v>
    <v>196.9</v>
    <v>213.37</v>
    <v>207.72</v>
    <v>212.09</v>
    <v>227.09</v>
    <v>236.48</v>
    <v>227.01</v>
    <v>216.96</v>
    <v>199.09</v>
    <v>216.07</v>
    <v>225.72</v>
    <v>226.76</v>
    <v>228.55</v>
    <v>220.82</v>
    <v>216.54</v>
    <v>227.34</v>
    <v>230.04</v>
    <v>224.5</v>
    <v>228.7</v>
    <v>234.45</v>
    <v>233.32</v>
    <v>220.99</v>
    <v>225</v>
    <v>225.25</v>
    <v>231.46</v>
    <v>237.27</v>
    <v>241.83</v>
    <v>247.99</v>
    <v>254.77</v>
    <v>252.23</v>
    <v>244.31</v>
    <v>233.53</v>
    <v>224</v>
    <v>224.02</v>
    <v>229.99</v>
    <v>229.57</v>
    <v>244.15</v>
    <v>244.92500000000001</v>
    <v>241.79</v>
    <v>235.54</v>
    <v>213.31</v>
    <v>221</v>
    <v>217.005</v>
    <v>177.2</v>
    <v>211.44</v>
    <v>193.26499999999999</v>
    <v>210</v>
  </a>
  <a r="1" c="523">
    <v>33.634999999999998</v>
    <v>32.642499999999998</v>
    <v>32.372500000000002</v>
    <v>33.2425</v>
    <v>33.227499999999999</v>
    <v>32.847499999999997</v>
    <v>32.545000000000002</v>
    <v>32.077500000000001</v>
    <v>32.450000000000003</v>
    <v>31.734999999999999</v>
    <v>31.557500000000001</v>
    <v>32.405000000000001</v>
    <v>33.2425</v>
    <v>30.977499999999999</v>
    <v>30.642499999999998</v>
    <v>29.997499999999999</v>
    <v>29.412500000000001</v>
    <v>28.327500000000001</v>
    <v>28.6325</v>
    <v>28.552499999999998</v>
    <v>29.2225</v>
    <v>29.172499999999999</v>
    <v>28.642499999999998</v>
    <v>28.07</v>
    <v>28.1875</v>
    <v>29.806999999999999</v>
    <v>30.305</v>
    <v>30.954999999999998</v>
    <v>30.452500000000001</v>
    <v>29.98</v>
    <v>29.932500000000001</v>
    <v>29.852499999999999</v>
    <v>29.965</v>
    <v>28.2</v>
    <v>27.25</v>
    <v>27.357500000000002</v>
    <v>26.462499999999999</v>
    <v>25.297499999999999</v>
    <v>25.364999999999998</v>
    <v>25.3825</v>
    <v>24.3325</v>
    <v>24.087499999999999</v>
    <v>24.7225</v>
    <v>24.5059</v>
    <v>25.9375</v>
    <v>25.7075</v>
    <v>26.625</v>
    <v>26.912500000000001</v>
    <v>27.605</v>
    <v>28.047499999999999</v>
    <v>28.0975</v>
    <v>27.237500000000001</v>
    <v>26.412500000000001</v>
    <v>23.975000000000001</v>
    <v>23.442499999999999</v>
    <v>23.857500000000002</v>
    <v>25.182500000000001</v>
    <v>25.1</v>
    <v>25.4725</v>
    <v>24.78</v>
    <v>24.2225</v>
    <v>24.116299999999999</v>
    <v>24.2225</v>
    <v>24.824999999999999</v>
    <v>25.25</v>
    <v>26.137499999999999</v>
    <v>26.912500000000001</v>
    <v>27.234999999999999</v>
    <v>27.557500000000001</v>
    <v>27.33</v>
    <v>27</v>
    <v>27.19</v>
    <v>29.032499999999999</v>
    <v>29.045000000000002</v>
    <v>28.66</v>
    <v>28.64</v>
    <v>29.672499999999999</v>
    <v>29.552499999999998</v>
    <v>29.59</v>
    <v>28.557500000000001</v>
    <v>27.93</v>
    <v>27.635000000000002</v>
    <v>28.105</v>
    <v>28.116299999999999</v>
    <v>28.675000000000001</v>
    <v>29.182500000000001</v>
    <v>29.375</v>
    <v>29.504200000000001</v>
    <v>29.54</v>
    <v>29.982500000000002</v>
    <v>30.125</v>
    <v>30.61</v>
    <v>32.622500000000002</v>
    <v>33.234999999999999</v>
    <v>34.067500000000003</v>
    <v>34.369999999999997</v>
    <v>35.069699999999997</v>
    <v>34.994999999999997</v>
    <v>35.255000000000003</v>
    <v>35.700000000000003</v>
    <v>36.125</v>
    <v>36.365000000000002</v>
    <v>35.969799999999999</v>
    <v>35.729999999999997</v>
    <v>36.225000000000001</v>
    <v>37.244999999999997</v>
    <v>39.104999999999997</v>
    <v>39.162500000000001</v>
    <v>38.725000000000001</v>
    <v>38.862499999999997</v>
    <v>38.994999999999997</v>
    <v>36.875</v>
    <v>36.79</v>
    <v>37.07</v>
    <v>36.325000000000003</v>
    <v>37.332500000000003</v>
    <v>37.935000000000002</v>
    <v>38.497500000000002</v>
    <v>39.9375</v>
    <v>40.457500000000003</v>
    <v>40.627499999999998</v>
    <v>40.185000000000002</v>
    <v>41.234999999999999</v>
    <v>41.0625</v>
    <v>40.99</v>
    <v>40.125</v>
    <v>38.679699999999997</v>
    <v>38.872500000000002</v>
    <v>39.5</v>
    <v>40.217500000000001</v>
    <v>40.9</v>
    <v>43.564999999999998</v>
    <v>44.06</v>
    <v>43.625</v>
    <v>43.875</v>
    <v>43.77</v>
    <v>43.155000000000001</v>
    <v>43.542499999999997</v>
    <v>44.3</v>
    <v>42.962499999999999</v>
    <v>43.842500000000001</v>
    <v>44.34</v>
    <v>45.024999999999999</v>
    <v>44.86</v>
    <v>42.54</v>
    <v>40.97</v>
    <v>43.704999999999998</v>
    <v>43.912500000000001</v>
    <v>45.153799999999997</v>
    <v>45</v>
    <v>45.875</v>
    <v>44.3675</v>
    <v>43.787500000000001</v>
    <v>43.557600000000001</v>
    <v>43.96</v>
    <v>44.734099999999998</v>
    <v>41.73</v>
    <v>46.0625</v>
    <v>47.592500000000001</v>
    <v>47.3825</v>
    <v>47.412500000000001</v>
    <v>47.564999999999998</v>
    <v>48.55</v>
    <v>48.22</v>
    <v>47.305</v>
    <v>46.82</v>
    <v>47.108499999999999</v>
    <v>47.96</v>
    <v>48.162500000000001</v>
    <v>48.99</v>
    <v>52.185000000000002</v>
    <v>52.445</v>
    <v>54.487499999999997</v>
    <v>54.795000000000002</v>
    <v>57.217500000000001</v>
    <v>57.417499999999997</v>
    <v>57.087499999999999</v>
    <v>55.737499999999997</v>
    <v>56.61</v>
    <v>58.3675</v>
    <v>56.817500000000003</v>
    <v>55.747500000000002</v>
    <v>56.057499999999997</v>
    <v>55.59</v>
    <v>52.53</v>
    <v>49.962499999999999</v>
    <v>47.674999999999997</v>
    <v>45.7</v>
    <v>46.234999999999999</v>
    <v>43.142499999999998</v>
    <v>42.087499999999999</v>
    <v>39.630000000000003</v>
    <v>39.840000000000003</v>
    <v>38.6325</v>
    <v>39.47</v>
    <v>39.532499999999999</v>
    <v>42.25</v>
    <v>43.892499999999998</v>
    <v>43.12</v>
    <v>43.33</v>
    <v>43.967500000000001</v>
    <v>44.4375</v>
    <v>46.832500000000003</v>
    <v>49.422499999999999</v>
    <v>48.22</v>
    <v>49.274999999999999</v>
    <v>50.712499999999999</v>
    <v>51.037500000000001</v>
    <v>52.12</v>
    <v>53.827500000000001</v>
    <v>52.21</v>
    <v>48.117199999999997</v>
    <v>47</v>
    <v>45.147500000000001</v>
    <v>47.98</v>
    <v>49.197499999999998</v>
    <v>50.212499999999999</v>
    <v>50.392499999999998</v>
    <v>51.27</v>
    <v>51.097499999999997</v>
    <v>51.625</v>
    <v>52.432499999999997</v>
    <v>55.342500000000001</v>
    <v>50.8825</v>
    <v>53.034999999999997</v>
    <v>53.608800000000002</v>
    <v>52.612499999999997</v>
    <v>53.604999999999997</v>
    <v>56.604999999999997</v>
    <v>55.94</v>
    <v>55.622500000000002</v>
    <v>57.055</v>
    <v>59.41</v>
    <v>59.5336</v>
    <v>61.682499999999997</v>
    <v>63.982500000000002</v>
    <v>65.11</v>
    <v>66.444999999999993</v>
    <v>67</v>
    <v>67</v>
    <v>67.75</v>
    <v>68.825000000000003</v>
    <v>70.662499999999994</v>
    <v>73.492500000000007</v>
    <v>75.150000000000006</v>
    <v>78.167500000000004</v>
    <v>79.685000000000002</v>
    <v>80.832499999999996</v>
    <v>81.962500000000006</v>
    <v>81.305000000000007</v>
    <v>81.805000000000007</v>
    <v>81.162499999999994</v>
    <v>76.045000000000002</v>
    <v>76</v>
    <v>71.61</v>
    <v>64.77</v>
    <v>64.67</v>
    <v>65.622500000000002</v>
    <v>67.924999999999997</v>
    <v>72.0625</v>
    <v>70.752499999999998</v>
    <v>74.75</v>
    <v>77.587500000000006</v>
    <v>79.921999999999997</v>
    <v>80.222499999999997</v>
    <v>81.06</v>
    <v>82.9375</v>
    <v>88.692499999999995</v>
    <v>89.14</v>
    <v>93.094999999999999</v>
    <v>92.617500000000007</v>
    <v>96.317499999999995</v>
    <v>99.954999999999998</v>
    <v>99.25</v>
    <v>106.41500000000001</v>
    <v>114.41249999999999</v>
    <v>116.0425</v>
    <v>124.86799999999999</v>
    <v>128.785</v>
    <v>137.97999999999999</v>
    <v>120.5</v>
    <v>118.82899999999999</v>
    <v>112.86</v>
    <v>117.72</v>
    <v>117</v>
    <v>125.39</v>
    <v>120.419</v>
    <v>117.28</v>
    <v>119.62</v>
    <v>121.99</v>
    <v>120.99</v>
    <v>117.6202</v>
    <v>123.78</v>
    <v>125.95</v>
    <v>129.58000000000001</v>
    <v>134.405</v>
    <v>138.78899999999999</v>
    <v>133.61160000000001</v>
    <v>131.44999999999999</v>
    <v>139.85</v>
    <v>145.09</v>
    <v>137.41999999999999</v>
    <v>137.87700000000001</v>
    <v>136.01</v>
    <v>129.72</v>
    <v>128.72</v>
    <v>123.21</v>
    <v>127.22</v>
    <v>124.24</v>
    <v>124.18</v>
    <v>133.04</v>
    <v>135</v>
    <v>135.53</v>
    <v>137.07</v>
    <v>134.07</v>
    <v>129.54</v>
    <v>128</v>
    <v>128.32</v>
    <v>126.16</v>
    <v>128.46</v>
    <v>132.55000000000001</v>
    <v>134.63999999999999</v>
    <v>140</v>
    <v>145.65</v>
    <v>150</v>
    <v>148.71770000000001</v>
    <v>149.83000000000001</v>
    <v>148.04499999999999</v>
    <v>149.4444</v>
    <v>151.68</v>
    <v>150.86000000000001</v>
    <v>154.97999999999999</v>
    <v>157.26</v>
    <v>151.41999999999999</v>
    <v>147.4701</v>
    <v>145.96</v>
    <v>144.215</v>
    <v>144.89500000000001</v>
    <v>150.18</v>
    <v>153.16499999999999</v>
    <v>152.43</v>
    <v>151.57</v>
    <v>161.02000000000001</v>
    <v>165.7</v>
    <v>170.3</v>
    <v>179.63</v>
    <v>182.13</v>
    <v>176.84989999999999</v>
    <v>181.33</v>
    <v>182.94</v>
    <v>177.18</v>
    <v>172.54</v>
    <v>170.35</v>
    <v>176.23990000000001</v>
    <v>176.65</v>
    <v>173.34</v>
    <v>166.69</v>
    <v>168.91</v>
    <v>165.02</v>
    <v>164.48</v>
    <v>175.28</v>
    <v>179.61</v>
    <v>178.49</v>
    <v>171.27</v>
    <v>171.53</v>
    <v>166.2</v>
    <v>166.48</v>
    <v>156.74</v>
    <v>149.77000000000001</v>
    <v>149.68</v>
    <v>151.74</v>
    <v>149.86969999999999</v>
    <v>137.34</v>
    <v>141.91</v>
    <v>143.49</v>
    <v>147.55000000000001</v>
    <v>150.86000000000001</v>
    <v>156.28</v>
    <v>163.63</v>
    <v>167.19</v>
    <v>172.17</v>
    <v>176.15</v>
    <v>171.05</v>
    <v>162.9</v>
    <v>157.82</v>
    <v>164.26</v>
    <v>158.74</v>
    <v>154.72</v>
    <v>147.54</v>
    <v>144.52000000000001</v>
    <v>147.84790000000001</v>
    <v>157.5</v>
    <v>155.44999999999999</v>
    <v>150.01</v>
    <v>153.59</v>
    <v>151.83000000000001</v>
    <v>149.13</v>
    <v>150.91990000000001</v>
    <v>149.9692</v>
    <v>136.81</v>
    <v>131.41</v>
    <v>130.9</v>
    <v>134.91999999999999</v>
    <v>138.61000000000001</v>
    <v>147.22999999999999</v>
    <v>157.38</v>
    <v>155.22999999999999</v>
    <v>156.33000000000001</v>
    <v>151.30000000000001</v>
    <v>151.11000000000001</v>
    <v>156.30000000000001</v>
    <v>156.74</v>
    <v>162.13999999999999</v>
    <v>165</v>
    <v>166.84</v>
    <v>166.32</v>
    <v>168.16</v>
    <v>169.85</v>
    <v>174.3</v>
    <v>174.59</v>
    <v>176.39</v>
    <v>175.77</v>
    <v>181.78</v>
    <v>184.95099999999999</v>
    <v>186.99</v>
    <v>187.56</v>
    <v>194.48</v>
    <v>193.88</v>
    <v>191.7</v>
    <v>198.23</v>
    <v>197.2</v>
    <v>196.73</v>
    <v>183.13</v>
    <v>179.69</v>
    <v>181.55</v>
    <v>189.92</v>
    <v>189.98</v>
    <v>180.3</v>
    <v>179.69499999999999</v>
    <v>176.97</v>
    <v>177.99</v>
    <v>182.34</v>
    <v>179.07499999999999</v>
    <v>174.01</v>
    <v>177.78</v>
    <v>186.565</v>
    <v>190.96</v>
    <v>192.93</v>
    <v>192.09</v>
    <v>195.99</v>
    <v>199.62</v>
    <v>197.68</v>
    <v>194.66</v>
    <v>188.44</v>
    <v>187.05</v>
    <v>191.95</v>
    <v>196.38</v>
    <v>192.2</v>
    <v>191.05</v>
    <v>188.67</v>
    <v>185.04</v>
    <v>183.92250000000001</v>
    <v>176.9</v>
    <v>174.38</v>
    <v>178.67</v>
    <v>173.6</v>
    <v>171.92</v>
    <v>178.36</v>
    <v>176.63</v>
    <v>171.34</v>
    <v>187</v>
    <v>185.09</v>
    <v>191.095</v>
    <v>192.82310000000001</v>
    <v>193</v>
    <v>196.94</v>
    <v>220.2</v>
    <v>218.95</v>
    <v>216.07</v>
    <v>226.45</v>
    <v>233.08</v>
    <v>237.23</v>
    <v>227.78</v>
    <v>225.6</v>
    <v>216.78</v>
    <v>226.8271</v>
    <v>228.34</v>
    <v>232.92</v>
    <v>229</v>
    <v>224.04</v>
    <v>233.09</v>
    <v>229.52</v>
    <v>233</v>
    <v>229.75</v>
    <v>237.49</v>
    <v>236.85</v>
    <v>234.73</v>
    <v>228.66</v>
    <v>228.87</v>
    <v>230.7199</v>
    <v>237.81</v>
    <v>244.63</v>
    <v>250.8</v>
    <v>255</v>
    <v>260.10000000000002</v>
    <v>253.5</v>
    <v>247.33</v>
    <v>238.96</v>
    <v>227.03</v>
    <v>247.19</v>
    <v>234</v>
    <v>245.55</v>
    <v>248.69</v>
    <v>250</v>
    <v>244.02719999999999</v>
    <v>236.16</v>
    <v>218.84</v>
    <v>225.02</v>
    <v>225.62</v>
    <v>200.61</v>
    <v>212.94</v>
    <v>209.75</v>
    <v>214.56</v>
  </a>
  <a r="1" c="523">
    <v>31.145</v>
    <v>30.84</v>
    <v>31.204999999999998</v>
    <v>32.090000000000003</v>
    <v>32.28</v>
    <v>32.090000000000003</v>
    <v>31.405000000000001</v>
    <v>31.427499999999998</v>
    <v>31.627500000000001</v>
    <v>31.12</v>
    <v>29.805</v>
    <v>31.08</v>
    <v>30.497499999999999</v>
    <v>30.227499999999999</v>
    <v>28.024999999999999</v>
    <v>27.407499999999999</v>
    <v>26.411300000000001</v>
    <v>23</v>
    <v>26.84</v>
    <v>27.442499999999999</v>
    <v>27.967500000000001</v>
    <v>28.092500000000001</v>
    <v>26.827500000000001</v>
    <v>27.052499999999998</v>
    <v>27.39</v>
    <v>27.5275</v>
    <v>28.497499999999999</v>
    <v>29.9025</v>
    <v>28.067499999999999</v>
    <v>27.75</v>
    <v>29.28</v>
    <v>28.555</v>
    <v>28.212800000000001</v>
    <v>26.452500000000001</v>
    <v>26.392499999999998</v>
    <v>26.204999999999998</v>
    <v>24.107500000000002</v>
    <v>23.84</v>
    <v>23.355</v>
    <v>23.0975</v>
    <v>23.422499999999999</v>
    <v>23.147500000000001</v>
    <v>23.6525</v>
    <v>23.33</v>
    <v>24.162500000000001</v>
    <v>25.037500000000001</v>
    <v>25.445</v>
    <v>26.2225</v>
    <v>26.22</v>
    <v>27.0303</v>
    <v>27.164999999999999</v>
    <v>26.155000000000001</v>
    <v>23.127500000000001</v>
    <v>22.962499999999999</v>
    <v>22.3675</v>
    <v>22.912500000000001</v>
    <v>23.9175</v>
    <v>24.157499999999999</v>
    <v>24.387499999999999</v>
    <v>23.824999999999999</v>
    <v>23.162500000000001</v>
    <v>22.875</v>
    <v>23.592500000000001</v>
    <v>24.182500000000001</v>
    <v>24.577500000000001</v>
    <v>24.105</v>
    <v>26</v>
    <v>26.79</v>
    <v>27.02</v>
    <v>26.577500000000001</v>
    <v>26.375</v>
    <v>25.782499999999999</v>
    <v>25.6325</v>
    <v>27.887499999999999</v>
    <v>27.887499999999999</v>
    <v>28.07</v>
    <v>28.68</v>
    <v>28.45</v>
    <v>28.327500000000001</v>
    <v>27.0275</v>
    <v>26.4575</v>
    <v>26.02</v>
    <v>27.502500000000001</v>
    <v>27.212499999999999</v>
    <v>27.0625</v>
    <v>28.122499999999999</v>
    <v>28.897500000000001</v>
    <v>28.857500000000002</v>
    <v>28.69</v>
    <v>29.484999999999999</v>
    <v>29.555</v>
    <v>29.875</v>
    <v>30.155000000000001</v>
    <v>32.225000000000001</v>
    <v>33.1875</v>
    <v>33.82</v>
    <v>34.07</v>
    <v>34.262500000000003</v>
    <v>34.704999999999998</v>
    <v>34.932499999999997</v>
    <v>34.655000000000001</v>
    <v>35.762500000000003</v>
    <v>35.015000000000001</v>
    <v>35.112499999999997</v>
    <v>35.795000000000002</v>
    <v>36.067500000000003</v>
    <v>37.2575</v>
    <v>37.427500000000002</v>
    <v>38.167499999999997</v>
    <v>38.055</v>
    <v>36.505000000000003</v>
    <v>35.549999999999997</v>
    <v>35.914999999999999</v>
    <v>35.57</v>
    <v>35.602499999999999</v>
    <v>35.842500000000001</v>
    <v>37.142499999999998</v>
    <v>36.825000000000003</v>
    <v>37.032499999999999</v>
    <v>38.657499999999999</v>
    <v>39.18</v>
    <v>38.777500000000003</v>
    <v>39.982500000000002</v>
    <v>39.6325</v>
    <v>39.477499999999999</v>
    <v>37.64</v>
    <v>37.29</v>
    <v>38.115000000000002</v>
    <v>38.774999999999999</v>
    <v>38.755000000000003</v>
    <v>38.817500000000003</v>
    <v>40.93</v>
    <v>42.93</v>
    <v>42.094999999999999</v>
    <v>42.39</v>
    <v>41.79</v>
    <v>41.615000000000002</v>
    <v>42.197499999999998</v>
    <v>43.3125</v>
    <v>42.305</v>
    <v>42.314999999999998</v>
    <v>43.25</v>
    <v>43.767499999999998</v>
    <v>42.515000000000001</v>
    <v>40.024999999999999</v>
    <v>37.56</v>
    <v>39.377499999999998</v>
    <v>42.752499999999998</v>
    <v>43.112499999999997</v>
    <v>43.567500000000003</v>
    <v>44.405000000000001</v>
    <v>41.234999999999999</v>
    <v>41.297499999999999</v>
    <v>41.1175</v>
    <v>42.461300000000001</v>
    <v>41.357500000000002</v>
    <v>40.157499999999999</v>
    <v>40.46</v>
    <v>45.9163</v>
    <v>46.274999999999999</v>
    <v>46.44</v>
    <v>46.534999999999997</v>
    <v>47.442500000000003</v>
    <v>47.064999999999998</v>
    <v>45.862499999999997</v>
    <v>45.182499999999997</v>
    <v>45.854999999999997</v>
    <v>46.902500000000003</v>
    <v>47.3</v>
    <v>47.39</v>
    <v>47.267499999999998</v>
    <v>51.13</v>
    <v>51.924999999999997</v>
    <v>53.46</v>
    <v>54.082500000000003</v>
    <v>55.177500000000002</v>
    <v>54.1175</v>
    <v>53.825000000000003</v>
    <v>54.157499999999999</v>
    <v>55.145000000000003</v>
    <v>53.08</v>
    <v>53.25</v>
    <v>53.167499999999997</v>
    <v>51.357500000000002</v>
    <v>49.542499999999997</v>
    <v>46.482500000000002</v>
    <v>43.024999999999999</v>
    <v>42.564999999999998</v>
    <v>42.075000000000003</v>
    <v>40.832500000000003</v>
    <v>37.407499999999999</v>
    <v>36.647500000000001</v>
    <v>35.5</v>
    <v>36.475000000000001</v>
    <v>37.305</v>
    <v>37.924999999999997</v>
    <v>38.414999999999999</v>
    <v>41.82</v>
    <v>42.3125</v>
    <v>42.372500000000002</v>
    <v>43.182499999999997</v>
    <v>42.375</v>
    <v>43.837499999999999</v>
    <v>46.182499999999997</v>
    <v>46.145000000000003</v>
    <v>47.094999999999999</v>
    <v>49.052500000000002</v>
    <v>49.502499999999998</v>
    <v>50.53</v>
    <v>49.777500000000003</v>
    <v>48.192500000000003</v>
    <v>45.712499999999999</v>
    <v>44.452500000000001</v>
    <v>43.747500000000002</v>
    <v>42.567500000000003</v>
    <v>47.575000000000003</v>
    <v>48.042499999999997</v>
    <v>48.822499999999998</v>
    <v>50.162500000000001</v>
    <v>49.602499999999999</v>
    <v>50.59</v>
    <v>50.902500000000003</v>
    <v>50.407499999999999</v>
    <v>48.145000000000003</v>
    <v>49.787500000000001</v>
    <v>50.25</v>
    <v>50.83</v>
    <v>51.055</v>
    <v>52.767499999999998</v>
    <v>54.368299999999998</v>
    <v>54.2851</v>
    <v>53.783000000000001</v>
    <v>56.082500000000003</v>
    <v>58.3</v>
    <v>59.33</v>
    <v>59.314999999999998</v>
    <v>63.841299999999997</v>
    <v>64.569999999999993</v>
    <v>65.099999999999994</v>
    <v>65.625</v>
    <v>64.072500000000005</v>
    <v>66.227500000000006</v>
    <v>69.245000000000005</v>
    <v>70.093400000000003</v>
    <v>71.305000000000007</v>
    <v>73.1875</v>
    <v>77.387500000000003</v>
    <v>78.912499999999994</v>
    <v>76.22</v>
    <v>75.555000000000007</v>
    <v>78.462500000000006</v>
    <v>77.625</v>
    <v>64.092500000000001</v>
    <v>69.430000000000007</v>
    <v>62</v>
    <v>57</v>
    <v>53.152500000000003</v>
    <v>59.225000000000001</v>
    <v>62.344999999999999</v>
    <v>66.457499999999996</v>
    <v>66.357500000000002</v>
    <v>69.55</v>
    <v>71.579300000000003</v>
    <v>75.052499999999995</v>
    <v>77.581000000000003</v>
    <v>78.272499999999994</v>
    <v>79.302499999999995</v>
    <v>81.83</v>
    <v>83.144999999999996</v>
    <v>87.787499999999994</v>
    <v>87.82</v>
    <v>92.467500000000001</v>
    <v>93.877499999999998</v>
    <v>89.144999999999996</v>
    <v>93.247500000000002</v>
    <v>107.8925</v>
    <v>109.1067</v>
    <v>113.96250000000001</v>
    <v>123.05249999999999</v>
    <v>110.89</v>
    <v>110</v>
    <v>106.09</v>
    <v>103.1</v>
    <v>112.22</v>
    <v>112.25</v>
    <v>118.15</v>
    <v>114.28</v>
    <v>107.72</v>
    <v>107.32</v>
    <v>114.13</v>
    <v>116.81</v>
    <v>112.59</v>
    <v>116.81</v>
    <v>120.15</v>
    <v>121.54</v>
    <v>123.449</v>
    <v>131.72</v>
    <v>126.38200000000001</v>
    <v>126.86</v>
    <v>126.938</v>
    <v>130.21</v>
    <v>130.93</v>
    <v>133.69210000000001</v>
    <v>127.41</v>
    <v>118.39</v>
    <v>117.57</v>
    <v>116.21</v>
    <v>119.675</v>
    <v>118.92</v>
    <v>118.86</v>
    <v>123.07</v>
    <v>130.63</v>
    <v>131.30009999999999</v>
    <v>131.065</v>
    <v>126.7</v>
    <v>122.25</v>
    <v>122.86</v>
    <v>124.55</v>
    <v>123.13</v>
    <v>124.8321</v>
    <v>127.07</v>
    <v>129.21</v>
    <v>133.35</v>
    <v>140.07</v>
    <v>143.63</v>
    <v>141.66999999999999</v>
    <v>142.54</v>
    <v>145.18</v>
    <v>145.30000000000001</v>
    <v>144.5</v>
    <v>146.83000000000001</v>
    <v>148.61000000000001</v>
    <v>148.69999999999999</v>
    <v>145.76</v>
    <v>141.27000000000001</v>
    <v>139.11009999999999</v>
    <v>138.27000000000001</v>
    <v>139.19999999999999</v>
    <v>143.16</v>
    <v>146.4128</v>
    <v>147.80000000000001</v>
    <v>147.47999999999999</v>
    <v>149.34</v>
    <v>156.36000000000001</v>
    <v>157.80000000000001</v>
    <v>164.28</v>
    <v>169.69</v>
    <v>167.46</v>
    <v>177.07</v>
    <v>171.03</v>
    <v>168.17</v>
    <v>162.30000000000001</v>
    <v>154.69999999999999</v>
    <v>169.51</v>
    <v>168.04</v>
    <v>166.19</v>
    <v>152</v>
    <v>161.97</v>
    <v>154.5</v>
    <v>150.1</v>
    <v>163.01499999999999</v>
    <v>171.94</v>
    <v>169.2</v>
    <v>165.04</v>
    <v>161.5</v>
    <v>155.38</v>
    <v>153.27000000000001</v>
    <v>138.80000000000001</v>
    <v>132.61000000000001</v>
    <v>137.13999999999999</v>
    <v>144.46</v>
    <v>137.06</v>
    <v>129.04</v>
    <v>133.32</v>
    <v>133.77369999999999</v>
    <v>136.93</v>
    <v>142.12010000000001</v>
    <v>146.69999999999999</v>
    <v>150.80000000000001</v>
    <v>159.63</v>
    <v>163.25</v>
    <v>171.31010000000001</v>
    <v>163.56</v>
    <v>154.66999999999999</v>
    <v>152.68</v>
    <v>148.37</v>
    <v>148.56</v>
    <v>138</v>
    <v>137.685</v>
    <v>134.37</v>
    <v>140.27000000000001</v>
    <v>144.13</v>
    <v>134.38</v>
    <v>134.5933</v>
    <v>146.15</v>
    <v>146.92500000000001</v>
    <v>140.35499999999999</v>
    <v>140</v>
    <v>133.72999999999999</v>
    <v>129.63999999999999</v>
    <v>125.87</v>
    <v>124.17</v>
    <v>128.12</v>
    <v>133.77000000000001</v>
    <v>137.9</v>
    <v>141.32</v>
    <v>149.22</v>
    <v>150.85</v>
    <v>145.72020000000001</v>
    <v>143.9</v>
    <v>147.6096</v>
    <v>147.69999999999999</v>
    <v>154.15</v>
    <v>155.97999999999999</v>
    <v>161.80000000000001</v>
    <v>159.78</v>
    <v>164.03</v>
    <v>162.80000000000001</v>
    <v>164.31</v>
    <v>171</v>
    <v>170.42009999999999</v>
    <v>170.52</v>
    <v>176.57</v>
    <v>177.32</v>
    <v>180.97</v>
    <v>182.59010000000001</v>
    <v>185.23</v>
    <v>189.2</v>
    <v>186.6</v>
    <v>191.23</v>
    <v>192.25</v>
    <v>181.92</v>
    <v>176.55</v>
    <v>171.96</v>
    <v>173.73500000000001</v>
    <v>178.54499999999999</v>
    <v>173.54</v>
    <v>173.58</v>
    <v>173.86</v>
    <v>167.62</v>
    <v>170.82</v>
    <v>175.8</v>
    <v>172.64</v>
    <v>165.67</v>
    <v>167.9</v>
    <v>176.21</v>
    <v>184.21</v>
    <v>189.25</v>
    <v>188.19</v>
    <v>187.4511</v>
    <v>191.42</v>
    <v>192.97</v>
    <v>191.09</v>
    <v>180.17</v>
    <v>181.5</v>
    <v>180.3</v>
    <v>191.94</v>
    <v>179.25</v>
    <v>185.84</v>
    <v>181.35</v>
    <v>180</v>
    <v>177.38</v>
    <v>168.49</v>
    <v>170.285</v>
    <v>170.06</v>
    <v>169.45</v>
    <v>168.2302</v>
    <v>167.11</v>
    <v>164.07499999999999</v>
    <v>164.77</v>
    <v>169.11</v>
    <v>180.42</v>
    <v>184.62</v>
    <v>186.625</v>
    <v>189.1</v>
    <v>192.52</v>
    <v>192.15</v>
    <v>207.11</v>
    <v>206.59</v>
    <v>211.92</v>
    <v>223.25</v>
    <v>222.27</v>
    <v>214.62</v>
    <v>215.75</v>
    <v>196</v>
    <v>215.6</v>
    <v>223.04</v>
    <v>223.8905</v>
    <v>217.48</v>
    <v>216.71</v>
    <v>213.92</v>
    <v>224.02</v>
    <v>223.02</v>
    <v>221.33</v>
    <v>228.6</v>
    <v>227.76</v>
    <v>220.27</v>
    <v>219.71</v>
    <v>221.5</v>
    <v>225.17</v>
    <v>229.74</v>
    <v>237.16</v>
    <v>241.75</v>
    <v>245.69</v>
    <v>253.06</v>
    <v>241.8201</v>
    <v>233</v>
    <v>228.03</v>
    <v>219.38</v>
    <v>223.98</v>
    <v>225.7</v>
    <v>227.2</v>
    <v>241.84</v>
    <v>230.2</v>
    <v>229.23</v>
    <v>208.42</v>
    <v>209.97</v>
    <v>217.68</v>
    <v>187.34</v>
    <v>169.21010000000001</v>
    <v>192.37</v>
    <v>189.81120000000001</v>
    <v>202.16</v>
  </a>
  <a r="1" c="523">
    <v>420972321</v>
    <v>271891981</v>
    <v>208301514</v>
    <v>217297426</v>
    <v>198148567</v>
    <v>170840884</v>
    <v>220114589</v>
    <v>198525255</v>
    <v>195594004</v>
    <v>150981872</v>
    <v>275718368</v>
    <v>189245034</v>
    <v>344269021</v>
    <v>191598511</v>
    <v>385000649</v>
    <v>345185326</v>
    <v>320509056</v>
    <v>500362965</v>
    <v>298194194</v>
    <v>252662734</v>
    <v>277276007</v>
    <v>242696241</v>
    <v>313896286</v>
    <v>262432987</v>
    <v>184884970</v>
    <v>222074893</v>
    <v>322362121</v>
    <v>195203256</v>
    <v>216555289</v>
    <v>189981253</v>
    <v>109720453</v>
    <v>206765745</v>
    <v>188853944</v>
    <v>315791335</v>
    <v>126634011</v>
    <v>123761546</v>
    <v>343790211</v>
    <v>304337253</v>
    <v>243384093</v>
    <v>380336530</v>
    <v>217154766</v>
    <v>231122263</v>
    <v>168316315</v>
    <v>159052926</v>
    <v>201803826</v>
    <v>155601196</v>
    <v>182073165</v>
    <v>119783503</v>
    <v>147965003</v>
    <v>145722543</v>
    <v>162310051</v>
    <v>189053016</v>
    <v>349424063</v>
    <v>225607242</v>
    <v>216049836</v>
    <v>212707154</v>
    <v>204473324</v>
    <v>140176985</v>
    <v>124864375</v>
    <v>191732699</v>
    <v>206728924</v>
    <v>185461004</v>
    <v>112705961</v>
    <v>142910566</v>
    <v>147565456</v>
    <v>256571090</v>
    <v>170149120</v>
    <v>124505869</v>
    <v>132371408</v>
    <v>123605519</v>
    <v>133000624</v>
    <v>168803729</v>
    <v>390309366</v>
    <v>201095635</v>
    <v>156384035</v>
    <v>126029440</v>
    <v>208708383</v>
    <v>115531434</v>
    <v>210225569</v>
    <v>156346518</v>
    <v>207268979</v>
    <v>198341456</v>
    <v>94132421</v>
    <v>155499850</v>
    <v>151989664</v>
    <v>195015700</v>
    <v>113322891</v>
    <v>84828531</v>
    <v>103845468</v>
    <v>138810760</v>
    <v>116347987</v>
    <v>124748449</v>
    <v>249781248</v>
    <v>136449154</v>
    <v>136667496</v>
    <v>87908859</v>
    <v>127936976</v>
    <v>99672282</v>
    <v>121539506</v>
    <v>129673979</v>
    <v>127008757</v>
    <v>105416154</v>
    <v>87485653</v>
    <v>89248503</v>
    <v>91153780</v>
    <v>175351768</v>
    <v>173470543</v>
    <v>157354878</v>
    <v>103267697</v>
    <v>88752818</v>
    <v>159159690</v>
    <v>220530473</v>
    <v>133252911</v>
    <v>127060159</v>
    <v>79177899</v>
    <v>111088384</v>
    <v>106081595</v>
    <v>105818033</v>
    <v>172808513</v>
    <v>151269116</v>
    <v>134628467</v>
    <v>112671175</v>
    <v>126128613</v>
    <v>101728077</v>
    <v>221077556</v>
    <v>186188535</v>
    <v>154856873</v>
    <v>93784212</v>
    <v>81304819</v>
    <v>126051203</v>
    <v>122403284</v>
    <v>215177366</v>
    <v>138425414</v>
    <v>116459665</v>
    <v>81009340</v>
    <v>170098474</v>
    <v>137481078</v>
    <v>139147284</v>
    <v>117632550</v>
    <v>97163858</v>
    <v>101168448</v>
    <v>110197467</v>
    <v>127571202</v>
    <v>191574802</v>
    <v>262992133</v>
    <v>317654064</v>
    <v>225336897</v>
    <v>136206463</v>
    <v>202128357</v>
    <v>139852603</v>
    <v>155417452</v>
    <v>172670607</v>
    <v>158530865</v>
    <v>164408813</v>
    <v>128077139</v>
    <v>169238340</v>
    <v>162208431</v>
    <v>252805668</v>
    <v>148266951</v>
    <v>99248752</v>
    <v>94394844</v>
    <v>92129925</v>
    <v>116769735</v>
    <v>140187228</v>
    <v>125604366</v>
    <v>121620526</v>
    <v>65775642</v>
    <v>85088176</v>
    <v>87963808</v>
    <v>94613682</v>
    <v>224189697</v>
    <v>121642089</v>
    <v>139373818</v>
    <v>112825161</v>
    <v>162690645</v>
    <v>132632878</v>
    <v>198249908</v>
    <v>218746220</v>
    <v>129343034</v>
    <v>142666234</v>
    <v>192007749</v>
    <v>148520408</v>
    <v>185599234</v>
    <v>270606277</v>
    <v>191199370</v>
    <v>242226465</v>
    <v>164494301</v>
    <v>213749977</v>
    <v>167522325</v>
    <v>217536870</v>
    <v>287694081</v>
    <v>191160265</v>
    <v>216208369</v>
    <v>202623336</v>
    <v>154530021</v>
    <v>111834395</v>
    <v>201920026</v>
    <v>150593397</v>
    <v>111602508</v>
    <v>81250012</v>
    <v>120880541</v>
    <v>116779738</v>
    <v>158133562</v>
    <v>182343335</v>
    <v>167838582</v>
    <v>111540445</v>
    <v>132006698</v>
    <v>96335577</v>
    <v>97495453</v>
    <v>186455669</v>
    <v>173663634</v>
    <v>186415472</v>
    <v>156970116</v>
    <v>104691321</v>
    <v>154348161</v>
    <v>111843021</v>
    <v>131658960</v>
    <v>117368626</v>
    <v>72879519</v>
    <v>101600835</v>
    <v>87433154</v>
    <v>87153145</v>
    <v>219770512</v>
    <v>173211425</v>
    <v>163266105</v>
    <v>142066853</v>
    <v>110091319</v>
    <v>82585672</v>
    <v>175366943</v>
    <v>145352672</v>
    <v>117784618</v>
    <v>163381242</v>
    <v>149863370</v>
    <v>108390724</v>
    <v>101269580</v>
    <v>163555484</v>
    <v>105793905</v>
    <v>115661500</v>
    <v>114060454</v>
    <v>75403134</v>
    <v>113373764</v>
    <v>140985773</v>
    <v>183341280</v>
    <v>96724537</v>
    <v>131138568</v>
    <v>168111555</v>
    <v>162322438</v>
    <v>115734332</v>
    <v>208852369</v>
    <v>162483195</v>
    <v>122923560</v>
    <v>118970437</v>
    <v>348295432</v>
    <v>322985590</v>
    <v>402628434</v>
    <v>404354970</v>
    <v>346165813</v>
    <v>208858835</v>
    <v>182915363</v>
    <v>206105489</v>
    <v>168460455</v>
    <v>197513427</v>
    <v>167845547</v>
    <v>207823935</v>
    <v>132970476</v>
    <v>130318981</v>
    <v>123777291</v>
    <v>200256184</v>
    <v>192898592</v>
    <v>219534883</v>
    <v>123653969</v>
    <v>140034250</v>
    <v>178622180</v>
    <v>163820147</v>
    <v>203554426</v>
    <v>248864024</v>
    <v>234587391</v>
    <v>208281800</v>
    <v>264421233</v>
    <v>1155704851</v>
    <v>758002424</v>
    <v>936721313</v>
    <v>838071542</v>
    <v>636665070</v>
    <v>545141382</v>
    <v>875555946</v>
    <v>516833892</v>
    <v>683918815</v>
    <v>606687018</v>
    <v>587521408</v>
    <v>383925283</v>
    <v>363919155</v>
    <v>538543016</v>
    <v>448680004</v>
    <v>619124673</v>
    <v>431446326</v>
    <v>439050070</v>
    <v>606568502</v>
    <v>483029142</v>
    <v>430065722</v>
    <v>716990967</v>
    <v>439303018</v>
    <v>345543149</v>
    <v>363187147</v>
    <v>685989279</v>
    <v>663456753</v>
    <v>586977280</v>
    <v>626770404</v>
    <v>488825826</v>
    <v>359904082</v>
    <v>447820438</v>
    <v>443891825</v>
    <v>421246935</v>
    <v>501621389</v>
    <v>453802325</v>
    <v>513411623</v>
    <v>386352101</v>
    <v>357615057</v>
    <v>278314493</v>
    <v>327048055</v>
    <v>454843491</v>
    <v>354155878</v>
    <v>321360130</v>
    <v>418559640</v>
    <v>504249326</v>
    <v>441563639</v>
    <v>423323959</v>
    <v>284559337</v>
    <v>299579355</v>
    <v>429624447</v>
    <v>272129118</v>
    <v>386760934</v>
    <v>354897433</v>
    <v>492884912</v>
    <v>394033205</v>
    <v>441421358</v>
    <v>382910000</v>
    <v>354098233</v>
    <v>340691290</v>
    <v>392739936</v>
    <v>324080278</v>
    <v>281799848</v>
    <v>462419283</v>
    <v>359933163</v>
    <v>669981566</v>
    <v>569227705</v>
    <v>769789942</v>
    <v>359176889</v>
    <v>340248127</v>
    <v>482162362</v>
    <v>422655577</v>
    <v>400253092</v>
    <v>688670659</v>
    <v>458553231</v>
    <v>412902045</v>
    <v>364011266</v>
    <v>414293767</v>
    <v>418753837</v>
    <v>521334165</v>
    <v>503123638</v>
    <v>446083607</v>
    <v>465395123</v>
    <v>393176709</v>
    <v>297460188</v>
    <v>376787780</v>
    <v>541697170</v>
    <v>566928216</v>
    <v>686227375</v>
    <v>548244690</v>
    <v>495921758</v>
    <v>338923395</v>
    <v>354396344</v>
    <v>541006195</v>
    <v>315960327</v>
    <v>373781666</v>
    <v>278295402</v>
    <v>366480107</v>
    <v>360988692</v>
    <v>370548915</v>
    <v>322415021</v>
    <v>318856922</v>
    <v>322647151</v>
    <v>307194601</v>
    <v>390398905</v>
    <v>314169270</v>
    <v>568337936</v>
    <v>473543283</v>
    <v>577537048</v>
    <v>435940423</v>
    <v>424188362</v>
    <v>397216487</v>
    <v>513092901</v>
    <v>510660451</v>
    <v>461034592</v>
    <v>382679685</v>
    <v>204025457</v>
    <v>401189067</v>
    <v>341500071</v>
    <v>505728804</v>
    <v>384620427</v>
    <v>307184140</v>
    <v>369948527</v>
    <v>333335284</v>
    <v>271823466</v>
    <v>338655715</v>
    <v>480249683</v>
    <v>330758787</v>
    <v>316887898</v>
    <v>213742390</v>
    <v>274036517</v>
    <v>313350829</v>
    <v>410519933</v>
    <v>350159914</v>
    <v>267939590</v>
    <v>200156349</v>
    <v>263326290</v>
    <v>249953109</v>
    <v>256340620</v>
    <v>360723248</v>
    <v>250061982</v>
    <v>258634688</v>
    <v>250354916</v>
    <v>286488411</v>
    <v>347854340</v>
    <v>333836397</v>
    <v>203677112</v>
    <v>281596832</v>
    <v>170349466</v>
    <v>250269110</v>
    <v>310914135</v>
    <v>226011789</v>
    <v>302694989</v>
    <v>332501087</v>
    <v>261498109</v>
    <v>247514268</v>
    <v>264199503</v>
    <v>305126712</v>
    <v>403746390</v>
    <v>297395196</v>
    <v>285838995</v>
    <v>260574027</v>
    <v>241839090</v>
    <v>288377600</v>
    <v>286078102</v>
    <v>310075876</v>
    <v>303653020</v>
    <v>262880715</v>
    <v>148351454</v>
    <v>216481441</v>
    <v>251991667</v>
    <v>379414755</v>
    <v>232340846</v>
    <v>153729037</v>
    <v>275266365</v>
    <v>238385377</v>
    <v>259829213</v>
    <v>255536895</v>
    <v>325909883</v>
    <v>252715796</v>
    <v>268128941</v>
    <v>192607112</v>
    <v>354385890</v>
    <v>393262265</v>
    <v>367119743</v>
    <v>361583938</v>
    <v>237622732</v>
    <v>239070908</v>
    <v>322327219</v>
    <v>309416498</v>
    <v>241302722</v>
    <v>441926366</v>
    <v>300674993</v>
    <v>288966571</v>
    <v>208652122</v>
    <v>230454285</v>
    <v>245994434</v>
    <v>635755143</v>
    <v>506265358</v>
    <v>335969485</v>
    <v>216231316</v>
    <v>287640514</v>
    <v>278397452</v>
    <v>242932215</v>
    <v>296061436</v>
    <v>342088289</v>
    <v>214898250</v>
    <v>188124897</v>
    <v>209486001</v>
    <v>179069179</v>
    <v>237622914</v>
    <v>550232897</v>
    <v>210673480</v>
    <v>222348300</v>
    <v>164894870</v>
    <v>218140974</v>
    <v>197299834</v>
    <v>248222115</v>
    <v>208083442</v>
    <v>223817755</v>
    <v>196343939</v>
    <v>198118837</v>
    <v>208286552</v>
    <v>192702674</v>
    <v>368202745</v>
    <v>133711783</v>
    <v>171023105</v>
    <v>185241327</v>
    <v>269145341</v>
    <v>277129596</v>
    <v>372790494</v>
    <v>227428164</v>
    <v>226587580</v>
    <v>166541044</v>
    <v>241760231</v>
    <v>239653674</v>
    <v>332231986</v>
    <v>287881958</v>
    <v>190239113</v>
    <v>366947884</v>
    <v>673678015</v>
    <v>264593881</v>
    <v>238181320</v>
    <v>286233457</v>
  </a>
  <a r="1" c="523">
    <v>0.56879999999999997</v>
    <v>0.52059999999999995</v>
    <v>0.53249999999999997</v>
    <v>0.52149999999999996</v>
    <v>0.55330000000000001</v>
    <v>0.55649999999999999</v>
    <v>0.52780000000000005</v>
    <v>0.54679999999999995</v>
    <v>0.51849999999999996</v>
    <v>0.51049999999999995</v>
    <v>0.49380000000000002</v>
    <v>0.50180000000000002</v>
    <v>0.48549999999999999</v>
    <v>0.49880000000000002</v>
    <v>0.57450000000000001</v>
    <v>0.58850000000000002</v>
    <v>0.53669999999999995</v>
    <v>0.56830000000000003</v>
    <v>0.54379999999999995</v>
    <v>0.56630000000000003</v>
    <v>0.58230000000000004</v>
    <v>0.59030000000000005</v>
    <v>0.62</v>
    <v>0.65180000000000005</v>
    <v>0.69650000000000001</v>
    <v>0.71479999999999999</v>
    <v>0.70930000000000004</v>
    <v>0.78879999999999995</v>
    <v>0.745</v>
    <v>0.78480000000000005</v>
    <v>0.78480000000000005</v>
    <v>0.84379999999999999</v>
    <v>0.81230000000000002</v>
    <v>0.80349999999999999</v>
    <v>0.82930000000000004</v>
    <v>0.82399999999999995</v>
    <v>0.74080000000000001</v>
    <v>0.67779999999999996</v>
    <v>0.71130000000000004</v>
    <v>0.73229999999999995</v>
    <v>0.66080000000000005</v>
    <v>0.64329999999999998</v>
    <v>0.76100000000000001</v>
    <v>0.79200000000000004</v>
    <v>0.81379999999999997</v>
    <v>0.80549999999999999</v>
    <v>0.84530000000000005</v>
    <v>0.86199999999999999</v>
    <v>0.90380000000000005</v>
    <v>0.89149999999999996</v>
    <v>0.92830000000000001</v>
    <v>0.90680000000000005</v>
    <v>0.88829999999999998</v>
    <v>0.88329999999999997</v>
    <v>1.0245</v>
    <v>1.1083000000000001</v>
    <v>1.1475</v>
    <v>1.1619999999999999</v>
    <v>1.155</v>
    <v>1.1679999999999999</v>
    <v>1.1432</v>
    <v>1.1665000000000001</v>
    <v>1.2713000000000001</v>
    <v>1.3174999999999999</v>
    <v>1.3668</v>
    <v>1.4275</v>
    <v>1.4550000000000001</v>
    <v>1.5760000000000001</v>
    <v>1.5565</v>
    <v>1.5508</v>
    <v>1.5632999999999999</v>
    <v>1.488</v>
    <v>1.571</v>
    <v>1.6237999999999999</v>
    <v>1.7130000000000001</v>
    <v>1.6713</v>
    <v>1.6497999999999999</v>
    <v>1.6884999999999999</v>
    <v>1.764</v>
    <v>1.6893</v>
    <v>2.1993</v>
    <v>2.3340000000000001</v>
    <v>2.3540000000000001</v>
    <v>2.2113</v>
    <v>2.2955000000000001</v>
    <v>2.5103</v>
    <v>2.7444999999999999</v>
    <v>2.6684999999999999</v>
    <v>2.5775000000000001</v>
    <v>2.5857999999999999</v>
    <v>2.6002999999999998</v>
    <v>2.7942999999999998</v>
    <v>2.8595000000000002</v>
    <v>2.8405</v>
    <v>2.6808000000000001</v>
    <v>2.5365000000000002</v>
    <v>2.4607999999999999</v>
    <v>2.4780000000000002</v>
    <v>2.6518000000000002</v>
    <v>2.6867999999999999</v>
    <v>2.7233000000000001</v>
    <v>2.5083000000000002</v>
    <v>2.3873000000000002</v>
    <v>2.5419999999999998</v>
    <v>2.6074999999999999</v>
    <v>2.5964999999999998</v>
    <v>3.1972999999999998</v>
    <v>3.4</v>
    <v>3.5459999999999998</v>
    <v>3.5910000000000002</v>
    <v>3.74</v>
    <v>3.7905000000000002</v>
    <v>3.8458000000000001</v>
    <v>3.6139999999999999</v>
    <v>3.669</v>
    <v>4.1238000000000001</v>
    <v>4.2024999999999997</v>
    <v>4.1097999999999999</v>
    <v>4.1802999999999999</v>
    <v>3.899</v>
    <v>4.0374999999999996</v>
    <v>4.0952999999999999</v>
    <v>4.2614999999999998</v>
    <v>4.0922999999999998</v>
    <v>4.5027999999999997</v>
    <v>4.4749999999999996</v>
    <v>4.4692999999999996</v>
    <v>4.5324999999999998</v>
    <v>4.8647999999999998</v>
    <v>4.9225000000000003</v>
    <v>5.0465</v>
    <v>5.2172999999999998</v>
    <v>5.4035000000000002</v>
    <v>5.2839999999999998</v>
    <v>5.4240000000000004</v>
    <v>4.9420000000000002</v>
    <v>4.7873000000000001</v>
    <v>4.7889999999999997</v>
    <v>4.8818000000000001</v>
    <v>4.8375000000000004</v>
    <v>5.3849999999999998</v>
    <v>5.5744999999999996</v>
    <v>5.7527999999999997</v>
    <v>6.0833000000000004</v>
    <v>5.8380000000000001</v>
    <v>5.8019999999999996</v>
    <v>6.0960000000000001</v>
    <v>6.1482999999999999</v>
    <v>5.9135</v>
    <v>6.1333000000000002</v>
    <v>6.2619999999999996</v>
    <v>5.8243</v>
    <v>5.7897999999999996</v>
    <v>5.3563000000000001</v>
    <v>5.7874999999999996</v>
    <v>5.7178000000000004</v>
    <v>5.6582999999999997</v>
    <v>5.9764999999999997</v>
    <v>6.3632999999999997</v>
    <v>6.1485000000000003</v>
    <v>6.2320000000000002</v>
    <v>6.4405000000000001</v>
    <v>6.5570000000000004</v>
    <v>6.6315</v>
    <v>6.2737999999999996</v>
    <v>5.9225000000000003</v>
    <v>6.1833</v>
    <v>6.2329999999999997</v>
    <v>6.2723000000000004</v>
    <v>6.3005000000000004</v>
    <v>6.3025000000000002</v>
    <v>6.3697999999999997</v>
    <v>6.1204999999999998</v>
    <v>6.8055000000000003</v>
    <v>7.0170000000000003</v>
    <v>6.7965</v>
    <v>6.9108000000000001</v>
    <v>6.5862999999999996</v>
    <v>7.0255000000000001</v>
    <v>6.7465000000000002</v>
    <v>6.1635</v>
    <v>5.7293000000000003</v>
    <v>4.9573</v>
    <v>5.3730000000000002</v>
    <v>5.1417999999999999</v>
    <v>4.1108000000000002</v>
    <v>3.625</v>
    <v>4.0857999999999999</v>
    <v>3.6903000000000001</v>
    <v>3.6613000000000002</v>
    <v>3.2393000000000001</v>
    <v>3.3412999999999999</v>
    <v>3.4047999999999998</v>
    <v>3.7208000000000001</v>
    <v>3.9232999999999998</v>
    <v>4.0038</v>
    <v>3.6183000000000001</v>
    <v>3.7042999999999999</v>
    <v>3.9335</v>
    <v>3.9798</v>
    <v>3.9113000000000002</v>
    <v>3.766</v>
    <v>4.2453000000000003</v>
    <v>4.4375</v>
    <v>4.4889999999999999</v>
    <v>4.7737999999999996</v>
    <v>4.7503000000000002</v>
    <v>4.6574999999999998</v>
    <v>4.4523000000000001</v>
    <v>4.5751999999999997</v>
    <v>4.2205000000000004</v>
    <v>3.9133</v>
    <v>3.6288</v>
    <v>3.3864999999999998</v>
    <v>3.6375000000000002</v>
    <v>3.6160000000000001</v>
    <v>3.794</v>
    <v>4.1056999999999997</v>
    <v>4.0057999999999998</v>
    <v>4.1902999999999997</v>
    <v>4.2110000000000003</v>
    <v>4.3768000000000002</v>
    <v>4.0297999999999998</v>
    <v>3.8544999999999998</v>
    <v>3.9889999999999999</v>
    <v>4.0609999999999999</v>
    <v>4.1878000000000002</v>
    <v>4.4663000000000004</v>
    <v>4.5484999999999998</v>
    <v>4.3173000000000004</v>
    <v>4.2939999999999996</v>
    <v>4.5492999999999997</v>
    <v>4.6497999999999999</v>
    <v>4.7622999999999998</v>
    <v>5.1135000000000002</v>
    <v>5.0648</v>
    <v>5.1944999999999997</v>
    <v>5.1048</v>
    <v>5.2723000000000004</v>
    <v>5.4184999999999999</v>
    <v>5.3042999999999996</v>
    <v>5.5998000000000001</v>
    <v>5.9843000000000002</v>
    <v>5.9218000000000002</v>
    <v>5.9017999999999997</v>
    <v>6.1079999999999997</v>
    <v>6.2320000000000002</v>
    <v>6.2619999999999996</v>
    <v>5.9108000000000001</v>
    <v>6.2897999999999996</v>
    <v>7.2447999999999997</v>
    <v>7.3517999999999999</v>
    <v>6.7518000000000002</v>
    <v>6.6509999999999998</v>
    <v>6.0209999999999999</v>
    <v>5.1437999999999997</v>
    <v>6.3182999999999998</v>
    <v>6.0978000000000003</v>
    <v>6.5738000000000003</v>
    <v>7.3079999999999998</v>
    <v>7.2397999999999998</v>
    <v>7.0694999999999997</v>
    <v>7.8125</v>
    <v>8.4908000000000001</v>
    <v>9.0263000000000009</v>
    <v>8.8755000000000006</v>
    <v>8.92</v>
    <v>8.9324999999999992</v>
    <v>9.2613000000000003</v>
    <v>9.1549999999999994</v>
    <v>9.6122999999999994</v>
    <v>10.4793</v>
    <v>10.201499999999999</v>
    <v>10.1945</v>
    <v>10.614800000000001</v>
    <v>11.1995</v>
    <v>11.564</v>
    <v>12.6835</v>
    <v>13.1478</v>
    <v>12.6225</v>
    <v>12.1645</v>
    <v>12.189299999999999</v>
    <v>12.873799999999999</v>
    <v>13.0623</v>
    <v>13.7628</v>
    <v>13.811500000000001</v>
    <v>13.590299999999999</v>
    <v>12.534000000000001</v>
    <v>14.561999999999999</v>
    <v>13.297000000000001</v>
    <v>13.0878</v>
    <v>13.2613</v>
    <v>13.558299999999999</v>
    <v>13.013299999999999</v>
    <v>13.272</v>
    <v>12.9938</v>
    <v>13.055</v>
    <v>13.2768</v>
    <v>12.859500000000001</v>
    <v>13.7125</v>
    <v>12.989800000000001</v>
    <v>13.590999999999999</v>
    <v>14.9613</v>
    <v>14.926500000000001</v>
    <v>13.714499999999999</v>
    <v>12.461499999999999</v>
    <v>12.856</v>
    <v>12.845800000000001</v>
    <v>12.8393</v>
    <v>13.8118</v>
    <v>14.4</v>
    <v>15.9125</v>
    <v>15.2653</v>
    <v>15.009499999999999</v>
    <v>14.8123</v>
    <v>14.243</v>
    <v>14.9918</v>
    <v>16.244499999999999</v>
    <v>17.578299999999999</v>
    <v>17.825299999999999</v>
    <v>18.6387</v>
    <v>19.030999999999999</v>
    <v>20.486999999999998</v>
    <v>20.0503</v>
    <v>18.161000000000001</v>
    <v>19.558</v>
    <v>19.498999999999999</v>
    <v>20.366</v>
    <v>20.187999999999999</v>
    <v>20.815999999999999</v>
    <v>22.635999999999999</v>
    <v>22.843</v>
    <v>22.478000000000002</v>
    <v>21.9</v>
    <v>22.081</v>
    <v>20.742000000000001</v>
    <v>20.831</v>
    <v>21.861999999999998</v>
    <v>22.725999999999999</v>
    <v>25.567</v>
    <v>29.751999999999999</v>
    <v>30.39</v>
    <v>32.984999999999999</v>
    <v>31.503</v>
    <v>30.693000000000001</v>
    <v>30.198</v>
    <v>27.800999999999998</v>
    <v>29.64</v>
    <v>29.411000000000001</v>
    <v>27.247</v>
    <v>26.942</v>
    <v>23.373999999999999</v>
    <v>22.84</v>
    <v>24.318999999999999</v>
    <v>23.949000000000002</v>
    <v>23.641999999999999</v>
    <v>24.157</v>
    <v>22.936</v>
    <v>22.1</v>
    <v>26.452999999999999</v>
    <v>27.692</v>
    <v>26.712</v>
    <v>23.119</v>
    <v>21.257999999999999</v>
    <v>19.515000000000001</v>
    <v>18.547000000000001</v>
    <v>18.675000000000001</v>
    <v>17.706</v>
    <v>16.693999999999999</v>
    <v>18.811</v>
    <v>18.72</v>
    <v>16.974</v>
    <v>15.88</v>
    <v>17.126000000000001</v>
    <v>14.523</v>
    <v>15.837999999999999</v>
    <v>15.762</v>
    <v>17.318999999999999</v>
    <v>18.163</v>
    <v>18.989000000000001</v>
    <v>18.709</v>
    <v>17.849</v>
    <v>16.260000000000002</v>
    <v>13.647</v>
    <v>14.387</v>
    <v>13.198</v>
    <v>12.516</v>
    <v>12.138999999999999</v>
    <v>12.076000000000001</v>
    <v>11.227</v>
    <v>12.465999999999999</v>
    <v>13.834</v>
    <v>14.156000000000001</v>
    <v>16.327000000000002</v>
    <v>15.409000000000001</v>
    <v>16.27</v>
    <v>16.876000000000001</v>
    <v>17.001000000000001</v>
    <v>16.571000000000002</v>
    <v>15.206</v>
    <v>14.614000000000001</v>
    <v>14.859</v>
    <v>16.899000000000001</v>
    <v>17.838999999999999</v>
    <v>20.364999999999998</v>
    <v>21.1</v>
    <v>21.265000000000001</v>
    <v>21.388000000000002</v>
    <v>23.286000000000001</v>
    <v>23.89</v>
    <v>22.965</v>
    <v>25.725000000000001</v>
    <v>26.779</v>
    <v>27.777000000000001</v>
    <v>27.036999999999999</v>
    <v>26.757999999999999</v>
    <v>27.119</v>
    <v>27.748999999999999</v>
    <v>28.68</v>
    <v>28.34</v>
    <v>31.263999999999999</v>
    <v>38.945999999999998</v>
    <v>39.326999999999998</v>
    <v>38.770000000000003</v>
    <v>42.692</v>
    <v>42.209000000000003</v>
    <v>42.302</v>
    <v>42.503</v>
    <v>45.469000000000001</v>
    <v>44.308999999999997</v>
    <v>46.75</v>
    <v>44.68</v>
    <v>40.854999999999997</v>
    <v>43.298999999999999</v>
    <v>46.018000000000001</v>
    <v>48.509</v>
    <v>45.572000000000003</v>
    <v>43.9</v>
    <v>41.61</v>
    <v>43.499000000000002</v>
    <v>45.762</v>
    <v>45.460999999999999</v>
    <v>41.387</v>
    <v>40.5</v>
    <v>45.005000000000003</v>
    <v>48.335000000000001</v>
    <v>49.298000000000002</v>
    <v>47.776000000000003</v>
    <v>46.765000000000001</v>
    <v>47.506</v>
    <v>48.89</v>
    <v>48.83</v>
    <v>49.521999999999998</v>
    <v>49.097000000000001</v>
    <v>54.71</v>
    <v>59.491</v>
    <v>61.030999999999999</v>
    <v>66.16</v>
    <v>72.132999999999996</v>
    <v>72.613</v>
    <v>78.816999999999993</v>
    <v>82.278999999999996</v>
    <v>87.528000000000006</v>
    <v>87.836500000000001</v>
    <v>94.289000000000001</v>
    <v>90.355999999999995</v>
    <v>88.007999999999996</v>
    <v>88.186000000000007</v>
    <v>76.2</v>
    <v>87.734999999999999</v>
    <v>88.789000000000001</v>
    <v>89.878</v>
    <v>92.478999999999999</v>
    <v>106.46899999999999</v>
    <v>109.633</v>
    <v>120.88800000000001</v>
    <v>131.88</v>
    <v>126.57</v>
    <v>123.54</v>
    <v>125.83</v>
    <v>129.24</v>
    <v>117.93</v>
    <v>113.06</v>
    <v>107.27</v>
    <v>104.75</v>
    <v>124.58</v>
    <v>129.37</v>
    <v>119.37</v>
    <v>102.83</v>
    <v>119.1</v>
    <v>116</v>
    <v>121.4</v>
    <v>124.92</v>
    <v>134.80000000000001</v>
    <v>138</v>
    <v>141.54</v>
    <v>135.4</v>
    <v>147.63</v>
    <v>141.97999999999999</v>
    <v>141.94999999999999</v>
    <v>138.25</v>
    <v>142.44</v>
    <v>134.25</v>
    <v>134.69999999999999</v>
    <v>137.01</v>
    <v>144.47</v>
    <v>135.91</v>
    <v>137.71</v>
    <v>142.62</v>
    <v>120.07</v>
    <v>129.84</v>
    <v>138.85</v>
    <v>134.43</v>
    <v>124.92</v>
    <v>112.69</v>
    <v>121.67</v>
    <v>117.7</v>
    <v>109.67</v>
    <v>94.31</v>
    <v>110.93</v>
    <v>101.49</v>
    <v>111.01</v>
    <v>114.5</v>
  </a>
  <a r="1" c="523">
    <v>0.55249999999999999</v>
    <v>0.56830000000000003</v>
    <v>0.51349999999999996</v>
    <v>0.53129999999999999</v>
    <v>0.51900000000000002</v>
    <v>0.55679999999999996</v>
    <v>0.55479999999999996</v>
    <v>0.52500000000000002</v>
    <v>0.54779999999999995</v>
    <v>0.51249999999999996</v>
    <v>0.50629999999999997</v>
    <v>0.49880000000000002</v>
    <v>0.50180000000000002</v>
    <v>0.48130000000000001</v>
    <v>0.50280000000000002</v>
    <v>0.57050000000000001</v>
    <v>0.58750000000000002</v>
    <v>0.50680000000000003</v>
    <v>0.5655</v>
    <v>0.55700000000000005</v>
    <v>0.56899999999999995</v>
    <v>0.58299999999999996</v>
    <v>0.59030000000000005</v>
    <v>0.624</v>
    <v>0.65249999999999997</v>
    <v>0.69879999999999998</v>
    <v>0.71530000000000005</v>
    <v>0.71150000000000002</v>
    <v>0.78100000000000003</v>
    <v>0.75480000000000003</v>
    <v>0.7913</v>
    <v>0.78549999999999998</v>
    <v>0.84350000000000003</v>
    <v>0.81299999999999994</v>
    <v>0.81230000000000002</v>
    <v>0.82050000000000001</v>
    <v>0.80730000000000002</v>
    <v>0.74150000000000005</v>
    <v>0.69179999999999997</v>
    <v>0.71099999999999997</v>
    <v>0.73150000000000004</v>
    <v>0.65080000000000005</v>
    <v>0.65249999999999997</v>
    <v>0.77200000000000002</v>
    <v>0.7903</v>
    <v>0.80930000000000002</v>
    <v>0.80179999999999996</v>
    <v>0.83779999999999999</v>
    <v>0.86050000000000004</v>
    <v>0.9113</v>
    <v>0.89680000000000004</v>
    <v>0.92649999999999999</v>
    <v>0.90700000000000003</v>
    <v>0.89680000000000004</v>
    <v>0.88549999999999995</v>
    <v>1.0167999999999999</v>
    <v>1.113</v>
    <v>1.1525000000000001</v>
    <v>1.165</v>
    <v>1.1563000000000001</v>
    <v>1.1868000000000001</v>
    <v>1.1337999999999999</v>
    <v>1.1599999999999999</v>
    <v>1.2895000000000001</v>
    <v>1.3338000000000001</v>
    <v>1.375</v>
    <v>1.4335</v>
    <v>1.4750000000000001</v>
    <v>1.5778000000000001</v>
    <v>1.5612999999999999</v>
    <v>1.5569999999999999</v>
    <v>1.5688</v>
    <v>1.4682999999999999</v>
    <v>1.5874999999999999</v>
    <v>1.6052</v>
    <v>1.7130000000000001</v>
    <v>1.68</v>
    <v>1.6495</v>
    <v>1.7</v>
    <v>1.7698</v>
    <v>1.7387999999999999</v>
    <v>2.2023000000000001</v>
    <v>2.3523000000000001</v>
    <v>2.3468</v>
    <v>2.2498</v>
    <v>2.2463000000000002</v>
    <v>2.4925000000000002</v>
    <v>2.8014999999999999</v>
    <v>2.61</v>
    <v>2.5874999999999999</v>
    <v>2.5750000000000002</v>
    <v>2.5950000000000002</v>
    <v>2.7730000000000001</v>
    <v>2.85</v>
    <v>2.8348</v>
    <v>2.7058</v>
    <v>2.5550000000000002</v>
    <v>2.4239999999999999</v>
    <v>2.4885000000000002</v>
    <v>2.6695000000000002</v>
    <v>2.6395</v>
    <v>2.7238000000000002</v>
    <v>2.5089999999999999</v>
    <v>2.4003000000000001</v>
    <v>2.5739999999999998</v>
    <v>2.6185</v>
    <v>2.6084999999999998</v>
    <v>3.2389999999999999</v>
    <v>3.4443000000000001</v>
    <v>3.5924999999999998</v>
    <v>3.5745</v>
    <v>3.6469999999999998</v>
    <v>3.8353000000000002</v>
    <v>3.879</v>
    <v>3.6263000000000001</v>
    <v>3.7435</v>
    <v>4.1582999999999997</v>
    <v>4.2098000000000004</v>
    <v>4.1234999999999999</v>
    <v>4.2098000000000004</v>
    <v>3.9918</v>
    <v>4.0622999999999996</v>
    <v>4.1144999999999996</v>
    <v>4.2095000000000002</v>
    <v>4.1384999999999996</v>
    <v>4.6284999999999998</v>
    <v>4.4438000000000004</v>
    <v>4.5199999999999996</v>
    <v>4.5697999999999999</v>
    <v>4.8949999999999996</v>
    <v>4.9444999999999997</v>
    <v>5.0465</v>
    <v>5.18</v>
    <v>5.4035000000000002</v>
    <v>5.2998000000000003</v>
    <v>5.4328000000000003</v>
    <v>5.0012999999999996</v>
    <v>4.8014999999999999</v>
    <v>4.83</v>
    <v>4.8258000000000001</v>
    <v>4.8944999999999999</v>
    <v>5.51</v>
    <v>5.6013000000000002</v>
    <v>5.7607999999999997</v>
    <v>6.0685000000000002</v>
    <v>5.6749999999999998</v>
    <v>5.8838999999999997</v>
    <v>6.1188000000000002</v>
    <v>6.1950000000000003</v>
    <v>5.8628</v>
    <v>6.1749999999999998</v>
    <v>6.2045000000000003</v>
    <v>5.95</v>
    <v>5.7184999999999997</v>
    <v>5.42</v>
    <v>5.7942999999999998</v>
    <v>5.7358000000000002</v>
    <v>5.6748000000000003</v>
    <v>6.0823999999999998</v>
    <v>6.4017999999999997</v>
    <v>6.2469999999999999</v>
    <v>6.2138</v>
    <v>6.4749999999999996</v>
    <v>6.5442999999999998</v>
    <v>6.5869999999999997</v>
    <v>6.1662999999999997</v>
    <v>5.8522999999999996</v>
    <v>6.2582000000000004</v>
    <v>6.2050000000000001</v>
    <v>6.2454999999999998</v>
    <v>6.3148</v>
    <v>6.2897999999999996</v>
    <v>6.3784999999999998</v>
    <v>6.0795000000000003</v>
    <v>6.8354999999999997</v>
    <v>7.0038</v>
    <v>6.8193000000000001</v>
    <v>6.8849999999999998</v>
    <v>6.5549999999999997</v>
    <v>7.1040000000000001</v>
    <v>6.6624999999999996</v>
    <v>6.15</v>
    <v>5.782</v>
    <v>5.0998000000000001</v>
    <v>5.3597999999999999</v>
    <v>5.0495000000000001</v>
    <v>4.0446999999999997</v>
    <v>3.7473000000000001</v>
    <v>4.3150000000000004</v>
    <v>3.645</v>
    <v>3.6309999999999998</v>
    <v>3.1623000000000001</v>
    <v>3.3849999999999998</v>
    <v>3.4624999999999999</v>
    <v>3.6680000000000001</v>
    <v>3.8927999999999998</v>
    <v>3.4138000000000002</v>
    <v>3.6343000000000001</v>
    <v>3.6598000000000002</v>
    <v>3.9228000000000001</v>
    <v>4.0640000000000001</v>
    <v>3.95</v>
    <v>3.7898000000000001</v>
    <v>4.2770000000000001</v>
    <v>4.3964999999999996</v>
    <v>4.5815000000000001</v>
    <v>4.7430000000000003</v>
    <v>4.7424999999999997</v>
    <v>4.6337999999999999</v>
    <v>4.4603000000000002</v>
    <v>4.3875000000000002</v>
    <v>4.0875000000000004</v>
    <v>3.8138000000000001</v>
    <v>3.6465000000000001</v>
    <v>3.3978000000000002</v>
    <v>3.694</v>
    <v>3.6143000000000001</v>
    <v>3.8155000000000001</v>
    <v>4.3143000000000002</v>
    <v>3.9458000000000002</v>
    <v>4.2115</v>
    <v>4.2324999999999999</v>
    <v>4.3695000000000004</v>
    <v>3.8450000000000002</v>
    <v>3.802</v>
    <v>4.1029999999999998</v>
    <v>4.1402999999999999</v>
    <v>4.1144999999999996</v>
    <v>4.4974999999999996</v>
    <v>4.4729999999999999</v>
    <v>4.3174999999999999</v>
    <v>4.32</v>
    <v>4.6144999999999996</v>
    <v>4.641</v>
    <v>4.8239999999999998</v>
    <v>5.1574999999999998</v>
    <v>5.1463000000000001</v>
    <v>5.1938000000000004</v>
    <v>5.0972999999999997</v>
    <v>5.4009999999999998</v>
    <v>5.4115000000000002</v>
    <v>5.2812999999999999</v>
    <v>5.6475</v>
    <v>6.0129999999999999</v>
    <v>5.8997999999999999</v>
    <v>5.8079999999999998</v>
    <v>6.1914999999999996</v>
    <v>6.1951000000000001</v>
    <v>5.9560000000000004</v>
    <v>5.8925000000000001</v>
    <v>6.3125</v>
    <v>7.1410999999999998</v>
    <v>6.7548000000000004</v>
    <v>6.9225000000000003</v>
    <v>5.9974999999999996</v>
    <v>5.3102999999999998</v>
    <v>5.1428000000000003</v>
    <v>6.3840000000000003</v>
    <v>6.3810000000000002</v>
    <v>6.5137999999999998</v>
    <v>7.181</v>
    <v>7.3747999999999996</v>
    <v>7.0220000000000002</v>
    <v>7.8075000000000001</v>
    <v>8.7605000000000004</v>
    <v>9.1568000000000005</v>
    <v>8.8332999999999995</v>
    <v>8.8773</v>
    <v>8.8153000000000006</v>
    <v>9.3000000000000007</v>
    <v>9.1698000000000004</v>
    <v>9.7417999999999996</v>
    <v>10.595000000000001</v>
    <v>10.2743</v>
    <v>10.2323</v>
    <v>10.7325</v>
    <v>11.334300000000001</v>
    <v>11.8513</v>
    <v>12.883800000000001</v>
    <v>13.1828</v>
    <v>11.734500000000001</v>
    <v>13.081</v>
    <v>11.925000000000001</v>
    <v>13.0403</v>
    <v>13.236000000000001</v>
    <v>13.9895</v>
    <v>13.902900000000001</v>
    <v>13.427</v>
    <v>12.6578</v>
    <v>14.5525</v>
    <v>13.172499999999999</v>
    <v>13.171099999999999</v>
    <v>13.265000000000001</v>
    <v>13.6013</v>
    <v>13.087899999999999</v>
    <v>13.0748</v>
    <v>13.0625</v>
    <v>13.1043</v>
    <v>13.418799999999999</v>
    <v>13.016299999999999</v>
    <v>13.7818</v>
    <v>13.0533</v>
    <v>13.7272</v>
    <v>15.064299999999999</v>
    <v>14.774800000000001</v>
    <v>13.875</v>
    <v>12.45</v>
    <v>12.864800000000001</v>
    <v>12.912800000000001</v>
    <v>12.8203</v>
    <v>13.8675</v>
    <v>14.2898</v>
    <v>15.5365</v>
    <v>15.185</v>
    <v>15.125</v>
    <v>14.7873</v>
    <v>14.157</v>
    <v>15.2125</v>
    <v>16.27</v>
    <v>17.571100000000001</v>
    <v>17.905999999999999</v>
    <v>18.435300000000002</v>
    <v>19.3613</v>
    <v>20.737500000000001</v>
    <v>20.239999999999998</v>
    <v>17.915299999999998</v>
    <v>19.311</v>
    <v>19.7</v>
    <v>20.446000000000002</v>
    <v>20.135000000000002</v>
    <v>20.971</v>
    <v>22.83</v>
    <v>22.832999999999998</v>
    <v>22.684000000000001</v>
    <v>21.146000000000001</v>
    <v>21.7104</v>
    <v>20.504000000000001</v>
    <v>20.574999999999999</v>
    <v>21.748999999999999</v>
    <v>22.972999999999999</v>
    <v>25.649000000000001</v>
    <v>30.149000000000001</v>
    <v>30.552</v>
    <v>33.517000000000003</v>
    <v>32.366</v>
    <v>29.88</v>
    <v>30.248999999999999</v>
    <v>27.305</v>
    <v>29.66</v>
    <v>29.815000000000001</v>
    <v>26.581</v>
    <v>26.26</v>
    <v>22.33</v>
    <v>23.181999999999999</v>
    <v>24.372</v>
    <v>23.934000000000001</v>
    <v>23.035</v>
    <v>23.992000000000001</v>
    <v>22.817</v>
    <v>21.869</v>
    <v>26.507000000000001</v>
    <v>27.755500000000001</v>
    <v>26.728000000000002</v>
    <v>22.213999999999999</v>
    <v>21.2</v>
    <v>19.202000000000002</v>
    <v>18.540500000000002</v>
    <v>18.033999999999999</v>
    <v>17.509</v>
    <v>16.274000000000001</v>
    <v>18.98</v>
    <v>19.138999999999999</v>
    <v>16</v>
    <v>16.474499999999999</v>
    <v>17.312000000000001</v>
    <v>14.175000000000001</v>
    <v>15.526</v>
    <v>16.302</v>
    <v>17.018999999999998</v>
    <v>18.181999999999999</v>
    <v>17.501999999999999</v>
    <v>18.701000000000001</v>
    <v>17.489999999999998</v>
    <v>16.02</v>
    <v>13.731</v>
    <v>14.369</v>
    <v>13.012</v>
    <v>12.491</v>
    <v>12.347</v>
    <v>12.037000000000001</v>
    <v>11.518000000000001</v>
    <v>12.507999999999999</v>
    <v>13.778</v>
    <v>14.228</v>
    <v>16.218</v>
    <v>15.147</v>
    <v>16.026</v>
    <v>16.678999999999998</v>
    <v>17.036999999999999</v>
    <v>16.571999999999999</v>
    <v>15.074</v>
    <v>14.851000000000001</v>
    <v>15.284000000000001</v>
    <v>16.899000000000001</v>
    <v>18.064</v>
    <v>19.95</v>
    <v>20.806000000000001</v>
    <v>21.538</v>
    <v>21</v>
    <v>23.67</v>
    <v>23.890999999999998</v>
    <v>22.751999999999999</v>
    <v>25.614999999999998</v>
    <v>26.837</v>
    <v>27.509</v>
    <v>26.823</v>
    <v>26.5655</v>
    <v>27.013000000000002</v>
    <v>27.84</v>
    <v>28.521999999999998</v>
    <v>28.508500000000002</v>
    <v>30.901</v>
    <v>40.594999999999999</v>
    <v>38.908999999999999</v>
    <v>39.200000000000003</v>
    <v>42.997999999999998</v>
    <v>42.460999999999999</v>
    <v>42.517000000000003</v>
    <v>42.656999999999996</v>
    <v>46.289000000000001</v>
    <v>44.731000000000002</v>
    <v>46.753999999999998</v>
    <v>45.110999999999997</v>
    <v>40.485999999999997</v>
    <v>44.494</v>
    <v>46.481999999999999</v>
    <v>48.222999999999999</v>
    <v>46.148000000000003</v>
    <v>42.747999999999998</v>
    <v>41.591000000000001</v>
    <v>44.03</v>
    <v>44.841999999999999</v>
    <v>45.063000000000002</v>
    <v>41.228999999999999</v>
    <v>41.087000000000003</v>
    <v>45.284500000000001</v>
    <v>48.32</v>
    <v>49.311999999999998</v>
    <v>47.8</v>
    <v>46.076999999999998</v>
    <v>47.491</v>
    <v>49.4</v>
    <v>48.968000000000004</v>
    <v>49.244</v>
    <v>49.512</v>
    <v>55.018000000000001</v>
    <v>60.048999999999999</v>
    <v>61.231999999999999</v>
    <v>68.224999999999994</v>
    <v>72.599999999999994</v>
    <v>71.947000000000003</v>
    <v>79.7</v>
    <v>84.13</v>
    <v>86.429000000000002</v>
    <v>90.388000000000005</v>
    <v>93.941000000000003</v>
    <v>90.299000000000007</v>
    <v>88.7</v>
    <v>89.097999999999999</v>
    <v>78.103999999999999</v>
    <v>87.594999999999999</v>
    <v>89.39</v>
    <v>90.477999999999994</v>
    <v>93.75</v>
    <v>110.244</v>
    <v>113.621</v>
    <v>120.37</v>
    <v>132.99</v>
    <v>123.24</v>
    <v>123.47</v>
    <v>127.49</v>
    <v>130.56</v>
    <v>120.35</v>
    <v>113.69</v>
    <v>92.06</v>
    <v>106.32</v>
    <v>124.28</v>
    <v>129.57</v>
    <v>116.01</v>
    <v>104.88</v>
    <v>116.79</v>
    <v>116.55</v>
    <v>118.31</v>
    <v>124.99</v>
    <v>136.47</v>
    <v>138.13</v>
    <v>143</v>
    <v>137.21</v>
    <v>148.68</v>
    <v>139.5</v>
    <v>141.99</v>
    <v>138.83000000000001</v>
    <v>138.97</v>
    <v>134.18</v>
    <v>136.28</v>
    <v>134.83000000000001</v>
    <v>148.59</v>
    <v>129.99</v>
    <v>139.16</v>
    <v>124.8</v>
    <v>114.75</v>
    <v>130.09</v>
    <v>141.27000000000001</v>
    <v>136.56</v>
    <v>123.51</v>
    <v>109.9</v>
    <v>122.74</v>
    <v>119.88</v>
    <v>105.13</v>
    <v>87.46</v>
    <v>114.11</v>
    <v>98.77</v>
    <v>109.69</v>
  </a>
  <a r="1" c="523">
    <v>0.57050000000000001</v>
    <v>0.57199999999999995</v>
    <v>0.53700000000000003</v>
    <v>0.53500000000000003</v>
    <v>0.55700000000000005</v>
    <v>0.56499999999999995</v>
    <v>0.5585</v>
    <v>0.55300000000000005</v>
    <v>0.55079999999999996</v>
    <v>0.52249999999999996</v>
    <v>0.51329999999999998</v>
    <v>0.50480000000000003</v>
    <v>0.50380000000000003</v>
    <v>0.50549999999999995</v>
    <v>0.58430000000000004</v>
    <v>0.5988</v>
    <v>0.58750000000000002</v>
    <v>0.57179999999999997</v>
    <v>0.56950000000000001</v>
    <v>0.57350000000000001</v>
    <v>0.59279999999999999</v>
    <v>0.6018</v>
    <v>0.62</v>
    <v>0.65700000000000003</v>
    <v>0.70299999999999996</v>
    <v>0.71950000000000003</v>
    <v>0.71699999999999997</v>
    <v>0.79849999999999999</v>
    <v>0.78749999999999998</v>
    <v>0.7893</v>
    <v>0.7913</v>
    <v>0.84530000000000005</v>
    <v>0.84379999999999999</v>
    <v>0.83899999999999997</v>
    <v>0.83150000000000002</v>
    <v>0.84850000000000003</v>
    <v>0.83599999999999997</v>
    <v>0.76549999999999996</v>
    <v>0.71599999999999997</v>
    <v>0.73360000000000003</v>
    <v>0.73629999999999995</v>
    <v>0.66379999999999995</v>
    <v>0.77439999999999998</v>
    <v>0.80289999999999995</v>
    <v>0.82650000000000001</v>
    <v>0.81479999999999997</v>
    <v>0.85629999999999995</v>
    <v>0.86699999999999999</v>
    <v>0.90629999999999999</v>
    <v>0.91600000000000004</v>
    <v>0.9365</v>
    <v>0.92949999999999999</v>
    <v>0.93330000000000002</v>
    <v>0.90549999999999997</v>
    <v>1.0249999999999999</v>
    <v>1.1127</v>
    <v>1.1495</v>
    <v>1.1884999999999999</v>
    <v>1.1862999999999999</v>
    <v>1.1942999999999999</v>
    <v>1.2135</v>
    <v>1.1839999999999999</v>
    <v>1.2773000000000001</v>
    <v>1.345</v>
    <v>1.3668</v>
    <v>1.4313</v>
    <v>1.4558</v>
    <v>1.5845</v>
    <v>1.5873999999999999</v>
    <v>1.583</v>
    <v>1.5845</v>
    <v>1.5807</v>
    <v>1.5812999999999999</v>
    <v>1.6359999999999999</v>
    <v>1.7298</v>
    <v>1.7424999999999999</v>
    <v>1.6890000000000001</v>
    <v>1.6988000000000001</v>
    <v>1.8238000000000001</v>
    <v>1.7952999999999999</v>
    <v>2.2193000000000001</v>
    <v>2.3698000000000001</v>
    <v>2.3812000000000002</v>
    <v>2.3685</v>
    <v>2.4155000000000002</v>
    <v>2.5175000000000001</v>
    <v>2.7458999999999998</v>
    <v>2.9983</v>
    <v>2.6593</v>
    <v>2.7298</v>
    <v>2.67</v>
    <v>2.7972999999999999</v>
    <v>2.8975</v>
    <v>3.0230000000000001</v>
    <v>2.8494999999999999</v>
    <v>2.7949999999999999</v>
    <v>2.63</v>
    <v>2.5325000000000002</v>
    <v>2.653</v>
    <v>2.7490000000000001</v>
    <v>2.75</v>
    <v>2.7412999999999998</v>
    <v>2.5158</v>
    <v>2.5448</v>
    <v>2.6495000000000002</v>
    <v>2.6713</v>
    <v>3.2608000000000001</v>
    <v>3.4554999999999998</v>
    <v>3.6320000000000001</v>
    <v>3.6749999999999998</v>
    <v>4.2125000000000004</v>
    <v>3.8693</v>
    <v>4.0434999999999999</v>
    <v>3.915</v>
    <v>3.6875</v>
    <v>4.1574999999999998</v>
    <v>4.2324999999999999</v>
    <v>4.2481999999999998</v>
    <v>4.2518000000000002</v>
    <v>4.3639999999999999</v>
    <v>4.2417999999999996</v>
    <v>4.1820000000000004</v>
    <v>4.2975000000000003</v>
    <v>4.2145999999999999</v>
    <v>4.5027999999999997</v>
    <v>4.78</v>
    <v>4.4932999999999996</v>
    <v>4.55</v>
    <v>4.875</v>
    <v>4.9897999999999998</v>
    <v>5.0468000000000002</v>
    <v>5.2492999999999999</v>
    <v>5.4668000000000001</v>
    <v>5.4292999999999996</v>
    <v>5.4249999999999998</v>
    <v>5.4340000000000002</v>
    <v>5.0075000000000003</v>
    <v>4.8695000000000004</v>
    <v>4.9518000000000004</v>
    <v>4.9992999999999999</v>
    <v>5.4512999999999998</v>
    <v>5.6567999999999996</v>
    <v>5.7773000000000003</v>
    <v>6.0834999999999999</v>
    <v>6.2317999999999998</v>
    <v>5.9722999999999997</v>
    <v>6.25</v>
    <v>6.2991999999999999</v>
    <v>6.2228000000000003</v>
    <v>6.1463000000000001</v>
    <v>6.3624999999999998</v>
    <v>6.3</v>
    <v>6.25</v>
    <v>5.8662999999999998</v>
    <v>5.9378000000000002</v>
    <v>5.9813000000000001</v>
    <v>5.7874999999999996</v>
    <v>5.9797000000000002</v>
    <v>6.5125000000000002</v>
    <v>6.4622999999999999</v>
    <v>6.2507999999999999</v>
    <v>6.4467999999999996</v>
    <v>6.6647999999999996</v>
    <v>6.73</v>
    <v>6.6449999999999996</v>
    <v>6.17</v>
    <v>6.1916000000000002</v>
    <v>6.3535000000000004</v>
    <v>6.3574999999999999</v>
    <v>6.415</v>
    <v>6.3265000000000002</v>
    <v>6.5060000000000002</v>
    <v>6.5910000000000002</v>
    <v>6.8202999999999996</v>
    <v>7.0429000000000004</v>
    <v>7.1304999999999996</v>
    <v>6.9775</v>
    <v>6.9560000000000004</v>
    <v>7.0479000000000003</v>
    <v>7.319</v>
    <v>6.7789999999999999</v>
    <v>6.2469999999999999</v>
    <v>5.883</v>
    <v>5.55</v>
    <v>5.4352999999999998</v>
    <v>5.1719999999999997</v>
    <v>4.0454999999999997</v>
    <v>4.0964999999999998</v>
    <v>4.367</v>
    <v>3.8973</v>
    <v>3.7583000000000002</v>
    <v>3.4348000000000001</v>
    <v>3.4620000000000002</v>
    <v>3.7437999999999998</v>
    <v>3.9495</v>
    <v>4.0220000000000002</v>
    <v>3.6698</v>
    <v>3.89</v>
    <v>4.0968</v>
    <v>4.0315000000000003</v>
    <v>4.1319999999999997</v>
    <v>3.9729999999999999</v>
    <v>4.2882999999999996</v>
    <v>4.625</v>
    <v>4.5438000000000001</v>
    <v>4.7912999999999997</v>
    <v>4.8368000000000002</v>
    <v>4.7614999999999998</v>
    <v>4.8202999999999996</v>
    <v>4.6218000000000004</v>
    <v>4.5084999999999997</v>
    <v>4.1108000000000002</v>
    <v>3.8925000000000001</v>
    <v>3.6795</v>
    <v>3.6720000000000002</v>
    <v>3.8090000000000002</v>
    <v>3.9333</v>
    <v>4.1342999999999996</v>
    <v>4.3487999999999998</v>
    <v>4.2618</v>
    <v>4.3178000000000001</v>
    <v>4.4722999999999997</v>
    <v>4.3985000000000003</v>
    <v>3.9578000000000002</v>
    <v>4.0385</v>
    <v>4.3362999999999996</v>
    <v>4.2714999999999996</v>
    <v>4.5273000000000003</v>
    <v>4.71</v>
    <v>4.54</v>
    <v>4.4755000000000003</v>
    <v>4.5788000000000002</v>
    <v>4.7335000000000003</v>
    <v>4.9823000000000004</v>
    <v>5.1345000000000001</v>
    <v>5.2225000000000001</v>
    <v>5.2925000000000004</v>
    <v>5.2965</v>
    <v>5.3638000000000003</v>
    <v>5.5353000000000003</v>
    <v>5.4249999999999998</v>
    <v>5.7244999999999999</v>
    <v>6.0098000000000003</v>
    <v>6.0453000000000001</v>
    <v>5.9977999999999998</v>
    <v>6.2138</v>
    <v>6.3247</v>
    <v>6.4874999999999998</v>
    <v>6.2317999999999998</v>
    <v>6.3563000000000001</v>
    <v>7.3742999999999999</v>
    <v>7.9080000000000004</v>
    <v>7.0468000000000002</v>
    <v>7.1223000000000001</v>
    <v>6.5270000000000001</v>
    <v>5.758</v>
    <v>6.5778999999999996</v>
    <v>6.8849999999999998</v>
    <v>6.9562999999999997</v>
    <v>7.4749999999999996</v>
    <v>7.3375000000000004</v>
    <v>7.6050000000000004</v>
    <v>7.8188000000000004</v>
    <v>8.5005000000000006</v>
    <v>9.093</v>
    <v>9.1816999999999993</v>
    <v>8.9969999999999999</v>
    <v>9.5</v>
    <v>9.4450000000000003</v>
    <v>9.6425000000000001</v>
    <v>9.7375000000000007</v>
    <v>10.6553</v>
    <v>10.792199999999999</v>
    <v>10.602499999999999</v>
    <v>10.766500000000001</v>
    <v>11.504799999999999</v>
    <v>11.7218</v>
    <v>12.8087</v>
    <v>13.148</v>
    <v>14.726699999999999</v>
    <v>13.065300000000001</v>
    <v>13.315</v>
    <v>12.8835</v>
    <v>13.762700000000001</v>
    <v>14.141999999999999</v>
    <v>14.3485</v>
    <v>13.983499999999999</v>
    <v>13.6928</v>
    <v>14.588800000000001</v>
    <v>14.6915</v>
    <v>13.6495</v>
    <v>13.407500000000001</v>
    <v>13.673400000000001</v>
    <v>13.731299999999999</v>
    <v>13.464</v>
    <v>13.37</v>
    <v>13.213800000000001</v>
    <v>13.6525</v>
    <v>13.961</v>
    <v>13.9994</v>
    <v>13.8285</v>
    <v>13.931800000000001</v>
    <v>15.2911</v>
    <v>15.3725</v>
    <v>15.1333</v>
    <v>13.925000000000001</v>
    <v>13.0463</v>
    <v>13.512499999999999</v>
    <v>13.394500000000001</v>
    <v>13.87</v>
    <v>14.471500000000001</v>
    <v>16.214200000000002</v>
    <v>15.807499999999999</v>
    <v>15.670500000000001</v>
    <v>15.2468</v>
    <v>14.805999999999999</v>
    <v>15.222</v>
    <v>16.2775</v>
    <v>17.661000000000001</v>
    <v>17.9392</v>
    <v>19.375</v>
    <v>19.420000000000002</v>
    <v>20.505299999999998</v>
    <v>20.875</v>
    <v>20.532800000000002</v>
    <v>19.887</v>
    <v>19.853000000000002</v>
    <v>20.733000000000001</v>
    <v>20.507999999999999</v>
    <v>20.865100000000002</v>
    <v>22.722000000000001</v>
    <v>23.042999999999999</v>
    <v>22.899000000000001</v>
    <v>22.963999999999999</v>
    <v>22.534500000000001</v>
    <v>21.798999999999999</v>
    <v>21.321999999999999</v>
    <v>21.931000000000001</v>
    <v>23.13</v>
    <v>25.709</v>
    <v>31.4</v>
    <v>32.31</v>
    <v>33.088000000000001</v>
    <v>34.646999999999998</v>
    <v>33.411999999999999</v>
    <v>32.448999999999998</v>
    <v>31.16</v>
    <v>30.059000000000001</v>
    <v>31.33</v>
    <v>30.710999999999999</v>
    <v>28.594999999999999</v>
    <v>26.638000000000002</v>
    <v>24.056999999999999</v>
    <v>25.817</v>
    <v>26.925000000000001</v>
    <v>26.582000000000001</v>
    <v>24.216999999999999</v>
    <v>24.664999999999999</v>
    <v>23.22</v>
    <v>26.568999999999999</v>
    <v>28.358000000000001</v>
    <v>28.946000000000002</v>
    <v>27.558</v>
    <v>22.777000000000001</v>
    <v>22.670400000000001</v>
    <v>20.128499999999999</v>
    <v>20.399999999999999</v>
    <v>18.254999999999999</v>
    <v>18.370999999999999</v>
    <v>18.881</v>
    <v>19.619</v>
    <v>19.337</v>
    <v>16.867999999999999</v>
    <v>17.14</v>
    <v>17.329999999999998</v>
    <v>16.036999999999999</v>
    <v>15.782</v>
    <v>18.143999999999998</v>
    <v>18.244</v>
    <v>19.274000000000001</v>
    <v>18.718</v>
    <v>19.164000000000001</v>
    <v>17.946999999999999</v>
    <v>16.338000000000001</v>
    <v>14.474</v>
    <v>14.547000000000001</v>
    <v>14.031000000000001</v>
    <v>12.823</v>
    <v>13.656000000000001</v>
    <v>12.1243</v>
    <v>12.769</v>
    <v>13.85</v>
    <v>14.228999999999999</v>
    <v>16.388999999999999</v>
    <v>16.998000000000001</v>
    <v>16.527000000000001</v>
    <v>17.265000000000001</v>
    <v>17.582999999999998</v>
    <v>18.79</v>
    <v>16.626999999999999</v>
    <v>15.1</v>
    <v>15.01</v>
    <v>16.922000000000001</v>
    <v>17.873000000000001</v>
    <v>20.628</v>
    <v>21.949000000000002</v>
    <v>23.02</v>
    <v>23.0488</v>
    <v>23.888000000000002</v>
    <v>23.9</v>
    <v>24.454000000000001</v>
    <v>26.399000000000001</v>
    <v>27.588999999999999</v>
    <v>27.834299999999999</v>
    <v>28</v>
    <v>27.79</v>
    <v>28.11</v>
    <v>27.757999999999999</v>
    <v>29.058399999999999</v>
    <v>29.22</v>
    <v>31.827999999999999</v>
    <v>39.479999999999997</v>
    <v>41.938000000000002</v>
    <v>39.710999999999999</v>
    <v>43.720999999999997</v>
    <v>43.99</v>
    <v>42.764000000000003</v>
    <v>43.213999999999999</v>
    <v>48.088000000000001</v>
    <v>47.896000000000001</v>
    <v>47.395000000000003</v>
    <v>47.13</v>
    <v>45.54</v>
    <v>45.268000000000001</v>
    <v>50.265999999999998</v>
    <v>49.927</v>
    <v>48.8508</v>
    <v>46.162999999999997</v>
    <v>44.241999999999997</v>
    <v>44.143999999999998</v>
    <v>45.789000000000001</v>
    <v>47.609000000000002</v>
    <v>46.225000000000001</v>
    <v>43.697000000000003</v>
    <v>45.308999999999997</v>
    <v>48.472000000000001</v>
    <v>49.96</v>
    <v>50.548000000000002</v>
    <v>48.762</v>
    <v>47.740900000000003</v>
    <v>49.404000000000003</v>
    <v>50.433</v>
    <v>49.997</v>
    <v>49.546999999999997</v>
    <v>55.345999999999997</v>
    <v>59.5</v>
    <v>62.848999999999997</v>
    <v>66.599999999999994</v>
    <v>72.185000000000002</v>
    <v>74.611000000000004</v>
    <v>82.394000000000005</v>
    <v>82.3</v>
    <v>97.4</v>
    <v>91.96</v>
    <v>94.778000000000006</v>
    <v>96.766000000000005</v>
    <v>92.224999999999994</v>
    <v>90.739000000000004</v>
    <v>90.613</v>
    <v>88.3309</v>
    <v>89.281000000000006</v>
    <v>92.22</v>
    <v>95.819000000000003</v>
    <v>106.47499999999999</v>
    <v>115.8192</v>
    <v>125.587</v>
    <v>132.84</v>
    <v>140.76</v>
    <v>128.12</v>
    <v>128.85</v>
    <v>136.15</v>
    <v>131.38999999999999</v>
    <v>124.69</v>
    <v>120.16</v>
    <v>108.8</v>
    <v>125</v>
    <v>130.75</v>
    <v>131.26</v>
    <v>116.21</v>
    <v>120.79</v>
    <v>119.66</v>
    <v>127.66500000000001</v>
    <v>125.04</v>
    <v>135.78</v>
    <v>140.88999999999999</v>
    <v>144.41999999999999</v>
    <v>143.13999999999999</v>
    <v>149.77000000000001</v>
    <v>149.65</v>
    <v>152.88999999999999</v>
    <v>142.05000000000001</v>
    <v>146.54</v>
    <v>141.82</v>
    <v>136.69999999999999</v>
    <v>141.9</v>
    <v>144.9</v>
    <v>153.13</v>
    <v>138.75</v>
    <v>148.97</v>
    <v>129</v>
    <v>130.37</v>
    <v>139.25</v>
    <v>143.44</v>
    <v>138.59</v>
    <v>123.7</v>
    <v>121.88</v>
    <v>122.89</v>
    <v>122.22</v>
    <v>111.98</v>
    <v>115.1</v>
    <v>114.29</v>
    <v>111.92</v>
    <v>115.4</v>
  </a>
  <a r="1" c="523">
    <v>0.54779999999999995</v>
    <v>0.51229999999999998</v>
    <v>0.50949999999999995</v>
    <v>0.52029999999999998</v>
    <v>0.51439999999999997</v>
    <v>0.5393</v>
    <v>0.52649999999999997</v>
    <v>0.52049999999999996</v>
    <v>0.51629999999999998</v>
    <v>0.49930000000000002</v>
    <v>0.47899999999999998</v>
    <v>0.48930000000000001</v>
    <v>0.4793</v>
    <v>0.4773</v>
    <v>0.49630000000000002</v>
    <v>0.56699999999999995</v>
    <v>0.5363</v>
    <v>0.5</v>
    <v>0.53500000000000003</v>
    <v>0.54990000000000006</v>
    <v>0.56430000000000002</v>
    <v>0.5625</v>
    <v>0.57879999999999998</v>
    <v>0.62080000000000002</v>
    <v>0.64759999999999995</v>
    <v>0.68400000000000005</v>
    <v>0.69079999999999997</v>
    <v>0.69079999999999997</v>
    <v>0.74129999999999996</v>
    <v>0.74880000000000002</v>
    <v>0.76949999999999996</v>
    <v>0.78480000000000005</v>
    <v>0.80930000000000002</v>
    <v>0.80249999999999999</v>
    <v>0.80500000000000005</v>
    <v>0.80900000000000005</v>
    <v>0.73909999999999998</v>
    <v>0.66600000000000004</v>
    <v>0.6613</v>
    <v>0.6875</v>
    <v>0.65880000000000005</v>
    <v>0.61880000000000002</v>
    <v>0.65049999999999997</v>
    <v>0.76500000000000001</v>
    <v>0.78349999999999997</v>
    <v>0.77600000000000002</v>
    <v>0.7893</v>
    <v>0.82879999999999998</v>
    <v>0.85950000000000004</v>
    <v>0.86580000000000001</v>
    <v>0.87849999999999995</v>
    <v>0.90200000000000002</v>
    <v>0.87849999999999995</v>
    <v>0.86</v>
    <v>0.87329999999999997</v>
    <v>1.0135000000000001</v>
    <v>1.1032999999999999</v>
    <v>1.1415</v>
    <v>1.145</v>
    <v>1.1538999999999999</v>
    <v>1.1325000000000001</v>
    <v>1.1143000000000001</v>
    <v>1.1508</v>
    <v>1.288</v>
    <v>1.3192999999999999</v>
    <v>1.369</v>
    <v>1.3875</v>
    <v>1.4530000000000001</v>
    <v>1.5164</v>
    <v>1.5189999999999999</v>
    <v>1.5289999999999999</v>
    <v>1.4750000000000001</v>
    <v>1.4329000000000001</v>
    <v>1.5685</v>
    <v>1.5883</v>
    <v>1.6565000000000001</v>
    <v>1.5925</v>
    <v>1.6379999999999999</v>
    <v>1.6998</v>
    <v>1.6644000000000001</v>
    <v>1.669</v>
    <v>2.0905</v>
    <v>2.3094999999999999</v>
    <v>2.1193</v>
    <v>2.2250000000000001</v>
    <v>2.1884999999999999</v>
    <v>2.4750000000000001</v>
    <v>2.57</v>
    <v>2.4845000000000002</v>
    <v>2.5405000000000002</v>
    <v>2.4777999999999998</v>
    <v>2.5924999999999998</v>
    <v>2.6978</v>
    <v>2.8149999999999999</v>
    <v>2.6198000000000001</v>
    <v>2.3925000000000001</v>
    <v>2.4055</v>
    <v>2.3793000000000002</v>
    <v>2.4878</v>
    <v>2.6324999999999998</v>
    <v>2.5893999999999999</v>
    <v>2.4603000000000002</v>
    <v>2.3873000000000002</v>
    <v>2.395</v>
    <v>2.5528</v>
    <v>2.5640000000000001</v>
    <v>2.5577999999999999</v>
    <v>3.1762999999999999</v>
    <v>3.3927999999999998</v>
    <v>3.5512999999999999</v>
    <v>3.5628000000000002</v>
    <v>3.5528</v>
    <v>3.8304999999999998</v>
    <v>3.5874999999999999</v>
    <v>3.4645000000000001</v>
    <v>3.7170999999999998</v>
    <v>4.0324999999999998</v>
    <v>3.9390000000000001</v>
    <v>4.0155000000000003</v>
    <v>3.8228</v>
    <v>3.98</v>
    <v>3.9342999999999999</v>
    <v>4.0564999999999998</v>
    <v>4.0678000000000001</v>
    <v>4.133</v>
    <v>4.4402999999999997</v>
    <v>4.2539999999999996</v>
    <v>4.4249999999999998</v>
    <v>4.5507999999999997</v>
    <v>4.8113000000000001</v>
    <v>4.7793000000000001</v>
    <v>5.0305</v>
    <v>5.0092999999999996</v>
    <v>5.1950000000000003</v>
    <v>5.2625000000000002</v>
    <v>4.7808000000000002</v>
    <v>4.5145</v>
    <v>4.6150000000000002</v>
    <v>4.7812999999999999</v>
    <v>4.7954999999999997</v>
    <v>4.8624999999999998</v>
    <v>5.4</v>
    <v>5.4173</v>
    <v>5.7024999999999997</v>
    <v>5.7793000000000001</v>
    <v>5.0999999999999996</v>
    <v>5.6257999999999999</v>
    <v>5.9874999999999998</v>
    <v>5.5462999999999996</v>
    <v>5.7380000000000004</v>
    <v>6.1509999999999998</v>
    <v>5.8129999999999997</v>
    <v>5.4249999999999998</v>
    <v>5.3268000000000004</v>
    <v>5.3650000000000002</v>
    <v>5.67</v>
    <v>5.2575000000000003</v>
    <v>5.5549999999999997</v>
    <v>6.0723000000000003</v>
    <v>6.0374999999999996</v>
    <v>6.0063000000000004</v>
    <v>6.1675000000000004</v>
    <v>6.4424999999999999</v>
    <v>6.4915000000000003</v>
    <v>6.2583000000000002</v>
    <v>5.8753000000000002</v>
    <v>5.8315999999999999</v>
    <v>6.1517999999999997</v>
    <v>6.1295000000000002</v>
    <v>6.0819999999999999</v>
    <v>6.0303000000000004</v>
    <v>6.2426000000000004</v>
    <v>6.0933000000000002</v>
    <v>5.968</v>
    <v>6.7382999999999997</v>
    <v>6.6798000000000002</v>
    <v>6.548</v>
    <v>6.5528000000000004</v>
    <v>6.4669999999999996</v>
    <v>6.6885000000000003</v>
    <v>5.8564999999999996</v>
    <v>5.6924999999999999</v>
    <v>4.8280000000000003</v>
    <v>4.4002999999999997</v>
    <v>5.0259999999999998</v>
    <v>4.0403000000000002</v>
    <v>3.3328000000000002</v>
    <v>3.6640000000000001</v>
    <v>3.6404000000000001</v>
    <v>3.6204999999999998</v>
    <v>3.2115</v>
    <v>3.1114999999999999</v>
    <v>3.1922999999999999</v>
    <v>3.4108000000000001</v>
    <v>3.6442999999999999</v>
    <v>3.6888000000000001</v>
    <v>3.2749999999999999</v>
    <v>3.6032999999999999</v>
    <v>3.6124999999999998</v>
    <v>3.8795000000000002</v>
    <v>3.8277999999999999</v>
    <v>3.62</v>
    <v>3.7423000000000002</v>
    <v>4.1963999999999997</v>
    <v>4.2778</v>
    <v>4.5094000000000003</v>
    <v>4.6890000000000001</v>
    <v>4.5774999999999997</v>
    <v>4.3324999999999996</v>
    <v>4.3875000000000002</v>
    <v>4.0999999999999996</v>
    <v>3.8734999999999999</v>
    <v>3.6219999999999999</v>
    <v>3.3847999999999998</v>
    <v>3.3149999999999999</v>
    <v>3.5709</v>
    <v>3.5912999999999999</v>
    <v>3.7679999999999998</v>
    <v>3.9420000000000002</v>
    <v>3.875</v>
    <v>4.1211000000000002</v>
    <v>4.2249999999999996</v>
    <v>3.9820000000000002</v>
    <v>3.7225000000000001</v>
    <v>3.6848999999999998</v>
    <v>4.0410000000000004</v>
    <v>3.9750000000000001</v>
    <v>4.0812999999999997</v>
    <v>4.4698000000000002</v>
    <v>4.3070000000000004</v>
    <v>4.2329999999999997</v>
    <v>4.2533000000000003</v>
    <v>4.4124999999999996</v>
    <v>4.6096000000000004</v>
    <v>4.7758000000000003</v>
    <v>4.9452999999999996</v>
    <v>5.1028000000000002</v>
    <v>5.0159000000000002</v>
    <v>5.0942999999999996</v>
    <v>5.3879999999999999</v>
    <v>5.0092999999999996</v>
    <v>5.2725</v>
    <v>5.6193</v>
    <v>5.8952999999999998</v>
    <v>5.7533000000000003</v>
    <v>5.7817999999999996</v>
    <v>6.1132999999999997</v>
    <v>6.1642999999999999</v>
    <v>5.8057999999999996</v>
    <v>5.8863000000000003</v>
    <v>6.3075000000000001</v>
    <v>7.1215000000000002</v>
    <v>6.0448000000000004</v>
    <v>6.45</v>
    <v>5.3949999999999996</v>
    <v>4.5170000000000003</v>
    <v>4.9630000000000001</v>
    <v>5.9598000000000004</v>
    <v>6.3232999999999997</v>
    <v>6.4249999999999998</v>
    <v>6.6778000000000004</v>
    <v>7.0210999999999997</v>
    <v>7.0220000000000002</v>
    <v>7.5948000000000002</v>
    <v>8.6805000000000003</v>
    <v>7.9968000000000004</v>
    <v>8.6579999999999995</v>
    <v>8.6858000000000004</v>
    <v>8.7438000000000002</v>
    <v>9.125</v>
    <v>8.9</v>
    <v>9.7125000000000004</v>
    <v>9.7855000000000008</v>
    <v>9.7769999999999992</v>
    <v>10.209300000000001</v>
    <v>10.715299999999999</v>
    <v>10.7958</v>
    <v>11.8172</v>
    <v>12.5075</v>
    <v>11.704800000000001</v>
    <v>11.7043</v>
    <v>11.988799999999999</v>
    <v>11.904500000000001</v>
    <v>12.75</v>
    <v>13.222799999999999</v>
    <v>13.767799999999999</v>
    <v>13.2318</v>
    <v>12.3</v>
    <v>12.395</v>
    <v>12.628299999999999</v>
    <v>13.065</v>
    <v>12.885</v>
    <v>12.9724</v>
    <v>12.823</v>
    <v>13.070499999999999</v>
    <v>12.938700000000001</v>
    <v>12.763199999999999</v>
    <v>12.586</v>
    <v>12.8485</v>
    <v>12.843999999999999</v>
    <v>12.793799999999999</v>
    <v>12.902799999999999</v>
    <v>13.7272</v>
    <v>14.574999999999999</v>
    <v>13.2163</v>
    <v>11.6793</v>
    <v>11.5665</v>
    <v>12.612500000000001</v>
    <v>12.272</v>
    <v>12.7</v>
    <v>13.711499999999999</v>
    <v>14.1393</v>
    <v>14.7835</v>
    <v>14.997</v>
    <v>14.010300000000001</v>
    <v>13.459</v>
    <v>13.5433</v>
    <v>15.176</v>
    <v>15.9033</v>
    <v>17.175999999999998</v>
    <v>17.584399999999999</v>
    <v>17.822700000000001</v>
    <v>19.318999999999999</v>
    <v>19.700800000000001</v>
    <v>18.073</v>
    <v>17.865500000000001</v>
    <v>18.741</v>
    <v>19.22</v>
    <v>19.43</v>
    <v>18.762</v>
    <v>20.95</v>
    <v>22.12</v>
    <v>21.977</v>
    <v>21.83</v>
    <v>20.661999999999999</v>
    <v>20.202999999999999</v>
    <v>19.555</v>
    <v>20.510999999999999</v>
    <v>21.643999999999998</v>
    <v>22.77</v>
    <v>25.227</v>
    <v>28.777999999999999</v>
    <v>28.8</v>
    <v>30.88</v>
    <v>30.13</v>
    <v>28.038</v>
    <v>27.25</v>
    <v>27.145</v>
    <v>29.3306</v>
    <v>27.056999999999999</v>
    <v>25.643799999999999</v>
    <v>23.263000000000002</v>
    <v>20.888000000000002</v>
    <v>23.052</v>
    <v>23.773</v>
    <v>23.1</v>
    <v>20.89</v>
    <v>22.481999999999999</v>
    <v>20.65</v>
    <v>21.158999999999999</v>
    <v>25.574999999999999</v>
    <v>26.266999999999999</v>
    <v>23.062000000000001</v>
    <v>21.163</v>
    <v>19.5</v>
    <v>18.29</v>
    <v>17.989999999999998</v>
    <v>15.567</v>
    <v>15.755000000000001</v>
    <v>15.78</v>
    <v>18.122</v>
    <v>16.869</v>
    <v>15.327999999999999</v>
    <v>15.853</v>
    <v>14.391999999999999</v>
    <v>14.055</v>
    <v>14.465</v>
    <v>16.001999999999999</v>
    <v>16.478000000000002</v>
    <v>17.989999999999998</v>
    <v>16.724</v>
    <v>17.77</v>
    <v>16.236999999999998</v>
    <v>13.270200000000001</v>
    <v>13.346</v>
    <v>12.617000000000001</v>
    <v>12.257</v>
    <v>11.946</v>
    <v>12.022</v>
    <v>10.813000000000001</v>
    <v>11.516999999999999</v>
    <v>12.064</v>
    <v>12.956</v>
    <v>13.759</v>
    <v>15.12</v>
    <v>15.08</v>
    <v>15.52</v>
    <v>15.667</v>
    <v>16.41</v>
    <v>14.882</v>
    <v>13.884</v>
    <v>14.034000000000001</v>
    <v>15.141</v>
    <v>16.731000000000002</v>
    <v>17.817499999999999</v>
    <v>18.95</v>
    <v>20.786000000000001</v>
    <v>20.962</v>
    <v>20.420999999999999</v>
    <v>22.431999999999999</v>
    <v>22.725999999999999</v>
    <v>22.297000000000001</v>
    <v>25.129799999999999</v>
    <v>25.85</v>
    <v>26.395</v>
    <v>26.22</v>
    <v>26.433199999999999</v>
    <v>26.225000000000001</v>
    <v>27.24</v>
    <v>28.045999999999999</v>
    <v>28.152000000000001</v>
    <v>29.806000000000001</v>
    <v>37.822000000000003</v>
    <v>37.356000000000002</v>
    <v>38.618000000000002</v>
    <v>42.015000000000001</v>
    <v>40.1</v>
    <v>41.345999999999997</v>
    <v>41.649000000000001</v>
    <v>44.1</v>
    <v>44.04</v>
    <v>43.387</v>
    <v>40.639000000000003</v>
    <v>40.311</v>
    <v>44.222000000000001</v>
    <v>44.887999999999998</v>
    <v>45.152000000000001</v>
    <v>43.808</v>
    <v>40.98</v>
    <v>41.177</v>
    <v>43.246000000000002</v>
    <v>44.368000000000002</v>
    <v>41.078000000000003</v>
    <v>39.880200000000002</v>
    <v>39.229999999999997</v>
    <v>44.899000000000001</v>
    <v>48.098999999999997</v>
    <v>47.69</v>
    <v>46.186999999999998</v>
    <v>45.01</v>
    <v>45.83</v>
    <v>48.097999999999999</v>
    <v>48.750999999999998</v>
    <v>47.32</v>
    <v>49.478999999999999</v>
    <v>54.74</v>
    <v>58.585000000000001</v>
    <v>60.7</v>
    <v>66.3</v>
    <v>69.62</v>
    <v>66.248000000000005</v>
    <v>77.125</v>
    <v>83.417000000000002</v>
    <v>84.165999999999997</v>
    <v>85.01</v>
    <v>89.123000000000005</v>
    <v>85.88</v>
    <v>83.022000000000006</v>
    <v>75.605999999999995</v>
    <v>76.400000000000006</v>
    <v>81.254599999999996</v>
    <v>88.230999999999995</v>
    <v>88.528999999999996</v>
    <v>93.18</v>
    <v>106.94</v>
    <v>112.003</v>
    <v>117.01</v>
    <v>124.3</v>
    <v>118.04</v>
    <v>118.83</v>
    <v>127.04</v>
    <v>116.56</v>
    <v>106.3</v>
    <v>101.37</v>
    <v>90.69</v>
    <v>106.26</v>
    <v>123.1</v>
    <v>116.71</v>
    <v>100.95</v>
    <v>103.69</v>
    <v>113.22</v>
    <v>114.86</v>
    <v>115.14</v>
    <v>124.95</v>
    <v>128.74</v>
    <v>137.46</v>
    <v>132.11060000000001</v>
    <v>135.57</v>
    <v>140.08000000000001</v>
    <v>137.15</v>
    <v>131.80000000000001</v>
    <v>137.82499999999999</v>
    <v>132.54</v>
    <v>126.86</v>
    <v>134.71</v>
    <v>133.83000000000001</v>
    <v>134.22</v>
    <v>129.51</v>
    <v>137.09</v>
    <v>116.25</v>
    <v>113.01</v>
    <v>129.08000000000001</v>
    <v>134.03</v>
    <v>116.4</v>
    <v>107.56</v>
    <v>104.77</v>
    <v>114.54</v>
    <v>109.0701</v>
    <v>92.11</v>
    <v>86.62</v>
    <v>100.05</v>
    <v>95.04</v>
    <v>104.08</v>
  </a>
  <a r="1" c="523">
    <v>1153905960</v>
    <v>2491247400</v>
    <v>1750344280</v>
    <v>1227905080</v>
    <v>1354888920</v>
    <v>1484781760</v>
    <v>1735940360</v>
    <v>1452043640</v>
    <v>1953427240</v>
    <v>1156322760</v>
    <v>1715819560</v>
    <v>1230686680</v>
    <v>1053362360</v>
    <v>1031959040</v>
    <v>2952780200</v>
    <v>1972930560</v>
    <v>1619833520</v>
    <v>2704653480</v>
    <v>1467371120</v>
    <v>1186502840</v>
    <v>1289070240</v>
    <v>1423987480</v>
    <v>2208142240</v>
    <v>2129913880</v>
    <v>2112664080</v>
    <v>1634875640</v>
    <v>1301064280</v>
    <v>2660189960</v>
    <v>2248975880</v>
    <v>1445359640</v>
    <v>663284840</v>
    <v>1734530040</v>
    <v>1484669760</v>
    <v>1470053640</v>
    <v>589200480</v>
    <v>674559480</v>
    <v>2341467280</v>
    <v>2802116680</v>
    <v>1677789120</v>
    <v>1317679440</v>
    <v>1907131800</v>
    <v>2050984640</v>
    <v>2851107280</v>
    <v>1867476920</v>
    <v>1383191400</v>
    <v>1301433320</v>
    <v>1679364680</v>
    <v>1253753200</v>
    <v>1632072440</v>
    <v>1820926480</v>
    <v>1884537600</v>
    <v>1218471320</v>
    <v>1462044000</v>
    <v>1435987320</v>
    <v>3711988720</v>
    <v>2932455480</v>
    <v>1875579160</v>
    <v>1589938560</v>
    <v>1622721920</v>
    <v>1792426280</v>
    <v>2024460480</v>
    <v>1800616160</v>
    <v>1521516800</v>
    <v>1955650080</v>
    <v>1609178080</v>
    <v>1905217360</v>
    <v>1527997480</v>
    <v>3159952520</v>
    <v>2079413560</v>
    <v>1589015680</v>
    <v>1700383600</v>
    <v>1718368200</v>
    <v>2807239240</v>
    <v>1669320280</v>
    <v>1719197800</v>
    <v>1476133040</v>
    <v>1817085200</v>
    <v>1255344880</v>
    <v>1750610200</v>
    <v>1659906440</v>
    <v>4418622280</v>
    <v>4371922320</v>
    <v>1405601400</v>
    <v>2677619040</v>
    <v>2345739760</v>
    <v>3809181920</v>
    <v>3535152600</v>
    <v>6878335960</v>
    <v>4508367200</v>
    <v>3406269560</v>
    <v>2371928360</v>
    <v>2252132320</v>
    <v>2304748160</v>
    <v>4196231120</v>
    <v>3615288840</v>
    <v>3608513960</v>
    <v>3465353120</v>
    <v>3103479280</v>
    <v>3553973320</v>
    <v>3252257960</v>
    <v>2255420560</v>
    <v>3527748120</v>
    <v>2295466080</v>
    <v>1994146240</v>
    <v>1755209160</v>
    <v>1712828840</v>
    <v>6244419320</v>
    <v>5654008200</v>
    <v>3722606600</v>
    <v>2867763720</v>
    <v>7043389000</v>
    <v>6443458320</v>
    <v>4113993200</v>
    <v>4853885800</v>
    <v>2930519720</v>
    <v>5172736240</v>
    <v>3742401280</v>
    <v>3085687080</v>
    <v>2501014240</v>
    <v>4828812600</v>
    <v>3766830480</v>
    <v>2480547560</v>
    <v>2156107240</v>
    <v>1946091960</v>
    <v>3438394200</v>
    <v>4850490640</v>
    <v>3768252480</v>
    <v>2077820400</v>
    <v>3224898240</v>
    <v>2644937880</v>
    <v>2559037440</v>
    <v>2114493280</v>
    <v>3572452160</v>
    <v>2571048560</v>
    <v>1332666680</v>
    <v>3967754240</v>
    <v>3698836840</v>
    <v>2490244480</v>
    <v>1906800160</v>
    <v>1204784800</v>
    <v>2433713240</v>
    <v>2726828480</v>
    <v>2258769440</v>
    <v>2532380800</v>
    <v>2742210720</v>
    <v>5901541600</v>
    <v>3800246040</v>
    <v>2528197960</v>
    <v>3401411120</v>
    <v>2756231640</v>
    <v>2531739200</v>
    <v>2993973720</v>
    <v>3882959680</v>
    <v>3742917120</v>
    <v>2821473040</v>
    <v>2045685240</v>
    <v>2207271160</v>
    <v>1693686280</v>
    <v>3999526680</v>
    <v>3043997600</v>
    <v>2331330400</v>
    <v>1659516160</v>
    <v>2134998280</v>
    <v>1785011840</v>
    <v>2114654080</v>
    <v>2328905800</v>
    <v>1182877720</v>
    <v>1624072920</v>
    <v>1295052240</v>
    <v>1596935200</v>
    <v>1391840600</v>
    <v>1188640680</v>
    <v>3377008320</v>
    <v>3529287920</v>
    <v>2054470120</v>
    <v>1403092120</v>
    <v>1574812040</v>
    <v>1595616120</v>
    <v>1766675640</v>
    <v>2144427600</v>
    <v>2700722320</v>
    <v>2325773000</v>
    <v>3494475000</v>
    <v>3320015440</v>
    <v>2084373400</v>
    <v>4584686560</v>
    <v>4817748120</v>
    <v>3632083960</v>
    <v>3074769800</v>
    <v>2898728800</v>
    <v>3569614400</v>
    <v>2424474440</v>
    <v>2263986600</v>
    <v>3505611960</v>
    <v>2959090680</v>
    <v>3116765160</v>
    <v>6107590720</v>
    <v>2872217080</v>
    <v>4027446240</v>
    <v>1943170080</v>
    <v>2326867040</v>
    <v>2048960880</v>
    <v>3389045920</v>
    <v>3633068320</v>
    <v>2640250160</v>
    <v>2652645760</v>
    <v>2155247040</v>
    <v>1567048320</v>
    <v>2313282200</v>
    <v>1840631040</v>
    <v>2626306880</v>
    <v>3487267760</v>
    <v>2209214480</v>
    <v>1772174840</v>
    <v>2389090000</v>
    <v>1848050160</v>
    <v>1974197600</v>
    <v>2021996040</v>
    <v>1754948720</v>
    <v>2313674400</v>
    <v>1767562680</v>
    <v>1777211960</v>
    <v>1654909880</v>
    <v>1974105520</v>
    <v>2629441400</v>
    <v>2581009000</v>
    <v>1515253360</v>
    <v>1598092920</v>
    <v>1784281280</v>
    <v>1337937200</v>
    <v>1493959440</v>
    <v>1587117640</v>
    <v>2019458120</v>
    <v>1883015360</v>
    <v>1541119800</v>
    <v>1241360800</v>
    <v>1414527480</v>
    <v>2411216440</v>
    <v>1973973280</v>
    <v>1247538400</v>
    <v>1530486440</v>
    <v>1546358480</v>
    <v>2034699080</v>
    <v>932284560</v>
    <v>929174880</v>
    <v>1429822280</v>
    <v>1472001720</v>
    <v>1068963600</v>
    <v>1677600800</v>
    <v>1142730360</v>
    <v>3109676960</v>
    <v>2889694240</v>
    <v>4695556240</v>
    <v>3194872240</v>
    <v>3143088160</v>
    <v>3999754920</v>
    <v>3871658520</v>
    <v>3527046560</v>
    <v>2568369920</v>
    <v>2565408600</v>
    <v>2426258240</v>
    <v>2016809040</v>
    <v>1720010720</v>
    <v>3159646000</v>
    <v>3860914240</v>
    <v>3406733480</v>
    <v>2050255000</v>
    <v>2617364200</v>
    <v>2113695400</v>
    <v>2183130920</v>
    <v>1399303000</v>
    <v>2020077440</v>
    <v>2012119880</v>
    <v>1808310000</v>
    <v>1525183520</v>
    <v>1552769520</v>
    <v>1984240800</v>
    <v>3594897400</v>
    <v>1947549800</v>
    <v>4253656400</v>
    <v>2849165760</v>
    <v>3959882840</v>
    <v>3316856320</v>
    <v>2946837480</v>
    <v>2392258400</v>
    <v>1548373520</v>
    <v>1256545320</v>
    <v>1697406240</v>
    <v>1673286760</v>
    <v>2339939040</v>
    <v>2057367280</v>
    <v>1131039720</v>
    <v>1262694280</v>
    <v>1308602840</v>
    <v>1249809040</v>
    <v>763913160</v>
    <v>795932080</v>
    <v>2203239520</v>
    <v>1581436520</v>
    <v>1069915920</v>
    <v>1286232400</v>
    <v>1053544000</v>
    <v>2033120480</v>
    <v>1103463120</v>
    <v>2491350400</v>
    <v>2111071400</v>
    <v>1993192000</v>
    <v>1331909280</v>
    <v>1424801200</v>
    <v>1096774480</v>
    <v>1138287520</v>
    <v>2858447480</v>
    <v>1460886640</v>
    <v>946892840</v>
    <v>1323967920</v>
    <v>1401381080</v>
    <v>1741818360</v>
    <v>2586672520</v>
    <v>2264097640</v>
    <v>1985337240</v>
    <v>2641301880</v>
    <v>2184173080</v>
    <v>2013168200</v>
    <v>1665057120</v>
    <v>2231577440</v>
    <v>2074260590</v>
    <v>1029275230</v>
    <v>1140496090</v>
    <v>846530130</v>
    <v>2143947210</v>
    <v>1763469150</v>
    <v>1193138080</v>
    <v>897773120</v>
    <v>1114328790</v>
    <v>1289064470</v>
    <v>1268664800</v>
    <v>1330295210</v>
    <v>976755780</v>
    <v>934216900</v>
    <v>1488830170</v>
    <v>2804653780</v>
    <v>2531279250</v>
    <v>2393478060</v>
    <v>2004729060</v>
    <v>2580047870</v>
    <v>2704875630</v>
    <v>3387664250</v>
    <v>1724437820</v>
    <v>1742810490</v>
    <v>2281746100</v>
    <v>2316884160</v>
    <v>2067759250</v>
    <v>3453512690</v>
    <v>2392030540</v>
    <v>2430179500</v>
    <v>3446703550</v>
    <v>2464599350</v>
    <v>2076122180</v>
    <v>2296304250</v>
    <v>2751431420</v>
    <v>3097249360</v>
    <v>2418640780</v>
    <v>2620928110</v>
    <v>2323505200</v>
    <v>2788378500</v>
    <v>2864929900</v>
    <v>2956282280</v>
    <v>3455260710</v>
    <v>3012851600</v>
    <v>3744524480</v>
    <v>2456047910</v>
    <v>2035796170</v>
    <v>2813851190</v>
    <v>1856918740</v>
    <v>2635859630</v>
    <v>2142147990</v>
    <v>2260960480</v>
    <v>3227141480</v>
    <v>2358495350</v>
    <v>2179862090</v>
    <v>3236888990</v>
    <v>2212739200</v>
    <v>2842057950</v>
    <v>3522045090</v>
    <v>2160410180</v>
    <v>2981997970</v>
    <v>3324653900</v>
    <v>2742012170</v>
    <v>2955425920</v>
    <v>3422306070</v>
    <v>3025158860</v>
    <v>2662626030</v>
    <v>2704426500</v>
    <v>2816073320</v>
    <v>2926240000</v>
    <v>1472780610</v>
    <v>2010199870</v>
    <v>2058130750</v>
    <v>2567578690</v>
    <v>1996694840</v>
    <v>1481381780</v>
    <v>1626811910</v>
    <v>2240312870</v>
    <v>1968624430</v>
    <v>2632581200</v>
    <v>2640746520</v>
    <v>2750610450</v>
    <v>2449494300</v>
    <v>2630910190</v>
    <v>2171450040</v>
    <v>2442279140</v>
    <v>2854779010</v>
    <v>2797752890</v>
    <v>1909271900</v>
    <v>1679976210</v>
    <v>1905191080</v>
    <v>2057759280</v>
    <v>1793523160</v>
    <v>2039789990</v>
    <v>1625569620</v>
    <v>2398498880</v>
    <v>3707978870</v>
    <v>3044585460</v>
    <v>2142310710</v>
    <v>2967677980</v>
    <v>1778633290</v>
    <v>2520797940</v>
    <v>1181847010</v>
    <v>2383708210</v>
    <v>3009813570</v>
    <v>1882587670</v>
    <v>1708215600</v>
    <v>2288236600</v>
    <v>2930410710</v>
    <v>4310210970</v>
    <v>3114195270</v>
    <v>1758551980</v>
    <v>2098504950</v>
    <v>2170414990</v>
    <v>2088800970</v>
    <v>2093887720</v>
    <v>2113144680</v>
    <v>2793225380</v>
    <v>2236158810</v>
    <v>2177371200</v>
    <v>2053555290</v>
    <v>1942240070</v>
    <v>2177176440</v>
    <v>2074721040</v>
    <v>1899896860</v>
    <v>2201086130</v>
    <v>1827858130</v>
    <v>1113728280</v>
    <v>1453724550</v>
    <v>2899158090</v>
    <v>1959126010</v>
    <v>2180965270</v>
    <v>2058986590</v>
    <v>2709822920</v>
    <v>2636656180</v>
    <v>3089619340</v>
    <v>2275212450</v>
    <v>3469164270</v>
    <v>3226556480</v>
    <v>2887301660</v>
    <v>2087063160</v>
    <v>2090214970</v>
    <v>2077137940</v>
    <v>2631387820</v>
    <v>2522758920</v>
    <v>2088780890</v>
    <v>1852603270</v>
    <v>1687565550</v>
    <v>2460917860</v>
    <v>2310782650</v>
    <v>2447199540</v>
    <v>1406333722</v>
    <v>1756092587</v>
    <v>1832912673</v>
    <v>933185147</v>
    <v>1401139984</v>
    <v>1351385198</v>
    <v>1513222902</v>
    <v>2213649314</v>
    <v>2056049067</v>
    <v>1598129482</v>
    <v>1575723972</v>
    <v>1869975248</v>
    <v>1570114185</v>
    <v>1589076945</v>
    <v>1466985987</v>
    <v>1419480253</v>
    <v>1272577548</v>
    <v>1290685141</v>
    <v>1357584514</v>
    <v>1154273138</v>
    <v>987765940</v>
    <v>973098624</v>
    <v>1017459795</v>
    <v>1396925283</v>
    <v>903463597</v>
    <v>928447790</v>
    <v>974960979</v>
    <v>1291053689</v>
    <v>568312188</v>
    <v>750963555</v>
    <v>1052111995</v>
    <v>996041080</v>
    <v>825973564</v>
    <v>2648916253</v>
    <v>1370566218</v>
    <v>949079549</v>
    <v>758833801</v>
    <v>1677630653</v>
    <v>1756819893</v>
    <v>1621837095</v>
    <v>1343942927</v>
    <v>1159106003</v>
    <v>1613471152</v>
    <v>2451432693</v>
    <v>1183206284</v>
    <v>1248911604</v>
    <v>1039513638</v>
  </a>
  <a r="1" c="523">
    <v>21.1435</v>
    <v>21.6845</v>
    <v>21.3</v>
    <v>21.381499999999999</v>
    <v>21.461500000000001</v>
    <v>21.3475</v>
    <v>21.495999999999999</v>
    <v>21.745999999999999</v>
    <v>21.905000000000001</v>
    <v>21.8855</v>
    <v>22.1755</v>
    <v>24.150500000000001</v>
    <v>26.471</v>
    <v>26.807500000000001</v>
    <v>26.131</v>
    <v>26.576000000000001</v>
    <v>24.723500000000001</v>
    <v>25.900500000000001</v>
    <v>24.95</v>
    <v>26.472000000000001</v>
    <v>27.013000000000002</v>
    <v>26.212499999999999</v>
    <v>26.626999999999999</v>
    <v>26.99</v>
    <v>28.538</v>
    <v>29.951499999999999</v>
    <v>31.295000000000002</v>
    <v>32.968499999999999</v>
    <v>32.1175</v>
    <v>33.422499999999999</v>
    <v>33.662999999999997</v>
    <v>33.631999999999998</v>
    <v>32.0075</v>
    <v>33.207000000000001</v>
    <v>33.139499999999998</v>
    <v>33.794499999999999</v>
    <v>30.352499999999999</v>
    <v>28.509</v>
    <v>29.818999999999999</v>
    <v>29.35</v>
    <v>25.1065</v>
    <v>25.353999999999999</v>
    <v>26.745000000000001</v>
    <v>27.761500000000002</v>
    <v>28.757000000000001</v>
    <v>28.480499999999999</v>
    <v>27.603999999999999</v>
    <v>29.147500000000001</v>
    <v>29.925000000000001</v>
    <v>29.73</v>
    <v>31.294499999999999</v>
    <v>31.024999999999999</v>
    <v>32.979500000000002</v>
    <v>33.697499999999998</v>
    <v>35.496000000000002</v>
    <v>35.14</v>
    <v>35.612000000000002</v>
    <v>36.277000000000001</v>
    <v>35.895499999999998</v>
    <v>35.319499999999998</v>
    <v>34.948</v>
    <v>36.283999999999999</v>
    <v>37.290500000000002</v>
    <v>36.771999999999998</v>
    <v>37.243000000000002</v>
    <v>37.9405</v>
    <v>38.298999999999999</v>
    <v>38.628</v>
    <v>37.865499999999997</v>
    <v>38.450000000000003</v>
    <v>38.622</v>
    <v>38.006999999999998</v>
    <v>38.926000000000002</v>
    <v>40.287500000000001</v>
    <v>41.865499999999997</v>
    <v>41.971499999999999</v>
    <v>41.148000000000003</v>
    <v>40.9495</v>
    <v>38.816000000000003</v>
    <v>37.752499999999998</v>
    <v>36.950499999999998</v>
    <v>38.008000000000003</v>
    <v>39.018500000000003</v>
    <v>37.017000000000003</v>
    <v>38.433</v>
    <v>37.888500000000001</v>
    <v>38.029499999999999</v>
    <v>37.493499999999997</v>
    <v>39.799500000000002</v>
    <v>40.856999999999999</v>
    <v>40.416499999999999</v>
    <v>41.788499999999999</v>
    <v>40.51</v>
    <v>41.372999999999998</v>
    <v>42.253500000000003</v>
    <v>42.262</v>
    <v>42.494</v>
    <v>42.622999999999998</v>
    <v>42.615499999999997</v>
    <v>42.280500000000004</v>
    <v>44.326999999999998</v>
    <v>44.744</v>
    <v>44.233499999999999</v>
    <v>44.926499999999997</v>
    <v>46.249499999999998</v>
    <v>46.707500000000003</v>
    <v>48.067500000000003</v>
    <v>47.991999999999997</v>
    <v>49.789000000000001</v>
    <v>50.336500000000001</v>
    <v>48.915500000000002</v>
    <v>49.3855</v>
    <v>50.186999999999998</v>
    <v>48.4</v>
    <v>48.938000000000002</v>
    <v>50.090499999999999</v>
    <v>51.283499999999997</v>
    <v>51.002000000000002</v>
    <v>49.378999999999998</v>
    <v>48.399500000000003</v>
    <v>47.923499999999997</v>
    <v>47.262999999999998</v>
    <v>48.912500000000001</v>
    <v>48.295000000000002</v>
    <v>49.339500000000001</v>
    <v>47.755000000000003</v>
    <v>48.067500000000003</v>
    <v>49.478999999999999</v>
    <v>50.146999999999998</v>
    <v>49.145499999999998</v>
    <v>55.047499999999999</v>
    <v>55.58</v>
    <v>56.267499999999998</v>
    <v>56.494</v>
    <v>59.3</v>
    <v>58.1175</v>
    <v>58.1</v>
    <v>58.957000000000001</v>
    <v>58.417999999999999</v>
    <v>58.473500000000001</v>
    <v>61.457000000000001</v>
    <v>65.260000000000005</v>
    <v>64.728999999999999</v>
    <v>70.102500000000006</v>
    <v>71.497500000000002</v>
    <v>66.98</v>
    <v>72.4345</v>
    <v>75</v>
    <v>75.012500000000003</v>
    <v>78.944500000000005</v>
    <v>78.584000000000003</v>
    <v>74.778000000000006</v>
    <v>72.367000000000004</v>
    <v>70.261499999999998</v>
    <v>71.539500000000004</v>
    <v>76.374499999999998</v>
    <v>78.631</v>
    <v>79.047499999999999</v>
    <v>80.145499999999998</v>
    <v>78.718500000000006</v>
    <v>80.507499999999993</v>
    <v>82.076999999999998</v>
    <v>84.1995</v>
    <v>85.798500000000004</v>
    <v>85.783500000000004</v>
    <v>84.99</v>
    <v>85.531499999999994</v>
    <v>90.651499999999999</v>
    <v>90.685000000000002</v>
    <v>90.863500000000002</v>
    <v>91.164500000000004</v>
    <v>94.314999999999998</v>
    <v>94.111000000000004</v>
    <v>95.269499999999994</v>
    <v>100.63549999999999</v>
    <v>97.603499999999997</v>
    <v>98.509500000000003</v>
    <v>95.750500000000002</v>
    <v>100.15</v>
    <v>94.482500000000002</v>
    <v>89.430499999999995</v>
    <v>88.201499999999996</v>
    <v>82.140500000000003</v>
    <v>83.276499999999999</v>
    <v>85.621499999999997</v>
    <v>79.670500000000004</v>
    <v>75.102999999999994</v>
    <v>84.508499999999998</v>
    <v>81.456500000000005</v>
    <v>79.595500000000001</v>
    <v>68.872500000000002</v>
    <v>73.900999999999996</v>
    <v>78.769499999999994</v>
    <v>82.028000000000006</v>
    <v>84.81</v>
    <v>83.528499999999994</v>
    <v>81.311499999999995</v>
    <v>79.411000000000001</v>
    <v>80.397499999999994</v>
    <v>81.578000000000003</v>
    <v>83.586500000000001</v>
    <v>81.040000000000006</v>
    <v>85.617999999999995</v>
    <v>88.238500000000002</v>
    <v>89.037499999999994</v>
    <v>91.864000000000004</v>
    <v>92.153000000000006</v>
    <v>93.084500000000006</v>
    <v>97.531499999999994</v>
    <v>98.123000000000005</v>
    <v>94.498999999999995</v>
    <v>93.45</v>
    <v>91.164000000000001</v>
    <v>88.753500000000003</v>
    <v>90.201499999999996</v>
    <v>93.483500000000006</v>
    <v>95.564999999999998</v>
    <v>94.6815</v>
    <v>97.145499999999998</v>
    <v>100.55</v>
    <v>98.225999999999999</v>
    <v>97.152500000000003</v>
    <v>91.162000000000006</v>
    <v>90.379000000000005</v>
    <v>89.628500000000003</v>
    <v>87.480999999999995</v>
    <v>88.814499999999995</v>
    <v>91.6755</v>
    <v>91.966999999999999</v>
    <v>89.707999999999998</v>
    <v>86.272499999999994</v>
    <v>86.982500000000002</v>
    <v>86.596000000000004</v>
    <v>87.875500000000002</v>
    <v>88.066500000000005</v>
    <v>89.572000000000003</v>
    <v>89.293999999999997</v>
    <v>86.974500000000006</v>
    <v>87.286000000000001</v>
    <v>90.04</v>
    <v>87.58</v>
    <v>88.046999999999997</v>
    <v>89.325000000000003</v>
    <v>93.49</v>
    <v>93.748500000000007</v>
    <v>94.158000000000001</v>
    <v>93.236000000000004</v>
    <v>93.081999999999994</v>
    <v>100.43600000000001</v>
    <v>103.964</v>
    <v>106.7435</v>
    <v>104.7985</v>
    <v>94.1875</v>
    <v>95.054500000000004</v>
    <v>89.25</v>
    <v>92.304500000000004</v>
    <v>95.004999999999995</v>
    <v>95.329499999999996</v>
    <v>102.13800000000001</v>
    <v>118.75</v>
    <v>120.511</v>
    <v>114.30200000000001</v>
    <v>118.98050000000001</v>
    <v>120.489</v>
    <v>121.84399999999999</v>
    <v>122.1185</v>
    <v>124.15</v>
    <v>127.251</v>
    <v>133.75049999999999</v>
    <v>134.64349999999999</v>
    <v>144.51499999999999</v>
    <v>160</v>
    <v>148.0985</v>
    <v>150.44550000000001</v>
    <v>158.23400000000001</v>
    <v>158.37299999999999</v>
    <v>157.40100000000001</v>
    <v>164.23599999999999</v>
    <v>170.09</v>
    <v>164.73099999999999</v>
    <v>155.81100000000001</v>
    <v>147.74549999999999</v>
    <v>154.75649999999999</v>
    <v>156.25</v>
    <v>164.33250000000001</v>
    <v>163.63550000000001</v>
    <v>160.22</v>
    <v>151.8075</v>
    <v>165.5685</v>
    <v>156.44049999999999</v>
    <v>154.97</v>
    <v>159.767</v>
    <v>158.12899999999999</v>
    <v>155.821</v>
    <v>160.08250000000001</v>
    <v>158.6345</v>
    <v>162.84649999999999</v>
    <v>159.13499999999999</v>
    <v>155.21250000000001</v>
    <v>164.61150000000001</v>
    <v>160.31</v>
    <v>167.60749999999999</v>
    <v>163.88550000000001</v>
    <v>162.495</v>
    <v>154.6465</v>
    <v>150.023</v>
    <v>154.47450000000001</v>
    <v>153.74799999999999</v>
    <v>152.60149999999999</v>
    <v>158.05000000000001</v>
    <v>168.61</v>
    <v>169.97200000000001</v>
    <v>167.04400000000001</v>
    <v>173.37100000000001</v>
    <v>164.5805</v>
    <v>161.14500000000001</v>
    <v>160.154</v>
    <v>161.15350000000001</v>
    <v>160.31100000000001</v>
    <v>167.3415</v>
    <v>174.345</v>
    <v>170.07300000000001</v>
    <v>175.54900000000001</v>
    <v>185.96700000000001</v>
    <v>178.6815</v>
    <v>182.83199999999999</v>
    <v>166.37950000000001</v>
    <v>167.24700000000001</v>
    <v>164.6985</v>
    <v>159.9975</v>
    <v>167.48150000000001</v>
    <v>173.9025</v>
    <v>173.45750000000001</v>
    <v>173.126</v>
    <v>171.27600000000001</v>
    <v>164.16300000000001</v>
    <v>164.43100000000001</v>
    <v>170.45099999999999</v>
    <v>166.7775</v>
    <v>168.6215</v>
    <v>175.9495</v>
    <v>176.25749999999999</v>
    <v>183.82849999999999</v>
    <v>175.22800000000001</v>
    <v>169.48949999999999</v>
    <v>172.21199999999999</v>
    <v>170.01750000000001</v>
    <v>171.0685</v>
    <v>166.71700000000001</v>
    <v>162.554</v>
    <v>162.13800000000001</v>
    <v>142.643</v>
    <v>143.97800000000001</v>
    <v>157.6395</v>
    <v>153.29349999999999</v>
    <v>152.60149999999999</v>
    <v>153.7885</v>
    <v>145.64099999999999</v>
    <v>145.52449999999999</v>
    <v>161.25049999999999</v>
    <v>164.77350000000001</v>
    <v>163.56</v>
    <v>154.4605</v>
    <v>151.70650000000001</v>
    <v>144.35</v>
    <v>124.28149999999999</v>
    <v>114.77249999999999</v>
    <v>113.05500000000001</v>
    <v>107.59099999999999</v>
    <v>115.1465</v>
    <v>122.35</v>
    <v>109.65</v>
    <v>106.22</v>
    <v>116.46</v>
    <v>109.56</v>
    <v>115.54</v>
    <v>113.55</v>
    <v>122.42</v>
    <v>134.94999999999999</v>
    <v>140.80000000000001</v>
    <v>143.55000000000001</v>
    <v>138.22999999999999</v>
    <v>130.75</v>
    <v>127.51</v>
    <v>133.27000000000001</v>
    <v>123.53</v>
    <v>113.78</v>
    <v>113</v>
    <v>114.56</v>
    <v>106.9</v>
    <v>119.32</v>
    <v>103.41</v>
    <v>90.98</v>
    <v>100.79</v>
    <v>94.14</v>
    <v>93.41</v>
    <v>94.13</v>
    <v>89.09</v>
    <v>87.86</v>
    <v>85.25</v>
    <v>84</v>
    <v>86.08</v>
    <v>98.12</v>
    <v>97.25</v>
    <v>102.24</v>
    <v>103.39</v>
    <v>97.61</v>
    <v>97.2</v>
    <v>93.5</v>
    <v>94.9</v>
    <v>90.73</v>
    <v>98.95</v>
    <v>98.13</v>
    <v>103.29</v>
    <v>102.06</v>
    <v>102.51</v>
    <v>106.96</v>
    <v>105.45</v>
    <v>105.655</v>
    <v>110.26</v>
    <v>116.25</v>
    <v>120.11</v>
    <v>124.25</v>
    <v>123.43</v>
    <v>125.49</v>
    <v>129.33000000000001</v>
    <v>130.36000000000001</v>
    <v>129.78</v>
    <v>134.68</v>
    <v>130</v>
    <v>132.21</v>
    <v>139.57</v>
    <v>138.41</v>
    <v>133.22</v>
    <v>133.26</v>
    <v>138.12</v>
    <v>138.22999999999999</v>
    <v>140.38999999999999</v>
    <v>129.12</v>
    <v>127.12</v>
    <v>127.96</v>
    <v>129.79</v>
    <v>125.17</v>
    <v>127.74</v>
    <v>138.6</v>
    <v>143.56</v>
    <v>145.18</v>
    <v>146.74</v>
    <v>147.03</v>
    <v>147.41999999999999</v>
    <v>149.97</v>
    <v>153.41999999999999</v>
    <v>151.94</v>
    <v>145.24</v>
    <v>154.62</v>
    <v>155.34</v>
    <v>159.12</v>
    <v>171.81</v>
    <v>174.45</v>
    <v>169.51</v>
    <v>174.99</v>
    <v>178.22</v>
    <v>175.35</v>
    <v>174.42</v>
    <v>178.87</v>
    <v>180.38</v>
    <v>185.07</v>
    <v>186.13</v>
    <v>174.63</v>
    <v>179.62</v>
    <v>186.21</v>
    <v>187.48</v>
    <v>184.7</v>
    <v>180.75</v>
    <v>176.44</v>
    <v>184.3</v>
    <v>183.66</v>
    <v>189.08</v>
    <v>193.25</v>
    <v>200</v>
    <v>194.49</v>
    <v>183.13</v>
    <v>182.5</v>
    <v>167.9</v>
    <v>166.94</v>
    <v>177.06</v>
    <v>177.04</v>
    <v>178.5</v>
    <v>171.39</v>
    <v>186.49</v>
    <v>191.6</v>
    <v>187.97</v>
    <v>186.51</v>
    <v>188.82</v>
    <v>188.99</v>
    <v>187.83</v>
    <v>197.93</v>
    <v>208.18</v>
    <v>202.61</v>
    <v>197.12</v>
    <v>207.89</v>
    <v>227.03</v>
    <v>227.46</v>
    <v>224.92</v>
    <v>223.75</v>
    <v>224.19</v>
    <v>218.94</v>
    <v>225.94</v>
    <v>234.85</v>
    <v>237.68</v>
    <v>229.15</v>
    <v>228.68</v>
    <v>216.58</v>
    <v>212.28</v>
    <v>199.25</v>
    <v>197.95</v>
    <v>196.21</v>
    <v>192.72</v>
    <v>171</v>
    <v>184.87</v>
    <v>172.61</v>
    <v>188.99</v>
    <v>189.98</v>
  </a>
  <a r="1" c="523">
    <v>22.193000000000001</v>
    <v>21.24</v>
    <v>21.625499999999999</v>
    <v>21.3</v>
    <v>21.31</v>
    <v>21.52</v>
    <v>21.280999999999999</v>
    <v>21.382999999999999</v>
    <v>21.85</v>
    <v>21.748999999999999</v>
    <v>21.761500000000002</v>
    <v>22.4145</v>
    <v>24.628499999999999</v>
    <v>26.387499999999999</v>
    <v>26.872499999999999</v>
    <v>26.425999999999998</v>
    <v>26.564499999999999</v>
    <v>23.178999999999998</v>
    <v>25.821999999999999</v>
    <v>25.4345</v>
    <v>26.472000000000001</v>
    <v>27.2165</v>
    <v>26.001000000000001</v>
    <v>26.849499999999999</v>
    <v>26.998000000000001</v>
    <v>28.538</v>
    <v>30.114999999999998</v>
    <v>31.3565</v>
    <v>32.932499999999997</v>
    <v>32.045999999999999</v>
    <v>33.575000000000003</v>
    <v>33.795000000000002</v>
    <v>33.737000000000002</v>
    <v>32.087499999999999</v>
    <v>33.424999999999997</v>
    <v>33.277999999999999</v>
    <v>32.814500000000002</v>
    <v>30.623999999999999</v>
    <v>28.854500000000002</v>
    <v>29.8995</v>
    <v>28.907499999999999</v>
    <v>24.323499999999999</v>
    <v>25.974</v>
    <v>27.11</v>
    <v>27.7</v>
    <v>28.677</v>
    <v>28.35</v>
    <v>27.445499999999999</v>
    <v>29.22</v>
    <v>29.95</v>
    <v>29.806999999999999</v>
    <v>31.267499999999998</v>
    <v>30.830500000000001</v>
    <v>33.195999999999998</v>
    <v>33.697499999999998</v>
    <v>35.506500000000003</v>
    <v>35.212499999999999</v>
    <v>35.616500000000002</v>
    <v>36.325000000000003</v>
    <v>35.700499999999998</v>
    <v>35.674999999999997</v>
    <v>34.600499999999997</v>
    <v>36.14</v>
    <v>37.5</v>
    <v>36.774500000000003</v>
    <v>37.327500000000001</v>
    <v>37.993499999999997</v>
    <v>38.340499999999999</v>
    <v>38.594999999999999</v>
    <v>37.875</v>
    <v>38.436</v>
    <v>38.701999999999998</v>
    <v>37.8675</v>
    <v>38.9985</v>
    <v>40.090000000000003</v>
    <v>41.8</v>
    <v>42.162500000000001</v>
    <v>41.075000000000003</v>
    <v>41.247500000000002</v>
    <v>39.051499999999997</v>
    <v>38.582000000000001</v>
    <v>37.275500000000001</v>
    <v>38.299999999999997</v>
    <v>38.849499999999999</v>
    <v>37.25</v>
    <v>38.32</v>
    <v>37.944499999999998</v>
    <v>38.17</v>
    <v>37.896000000000001</v>
    <v>39.9</v>
    <v>40.784999999999997</v>
    <v>40.340000000000003</v>
    <v>41.65</v>
    <v>40.49</v>
    <v>41.581000000000003</v>
    <v>42.442</v>
    <v>42.119</v>
    <v>42.261499999999998</v>
    <v>42.588500000000003</v>
    <v>42.575499999999998</v>
    <v>41.903500000000001</v>
    <v>44.4</v>
    <v>44.981499999999997</v>
    <v>44.375</v>
    <v>45.433999999999997</v>
    <v>46.39</v>
    <v>47.047499999999999</v>
    <v>47.936500000000002</v>
    <v>48.2</v>
    <v>49.825499999999998</v>
    <v>50.361499999999999</v>
    <v>48.35</v>
    <v>50.85</v>
    <v>50.424999999999997</v>
    <v>48.639499999999998</v>
    <v>49.25</v>
    <v>50.234499999999997</v>
    <v>51.417000000000002</v>
    <v>50.952500000000001</v>
    <v>49.532499999999999</v>
    <v>48.920499999999997</v>
    <v>47.878500000000003</v>
    <v>47.326999999999998</v>
    <v>48.77</v>
    <v>48.722999999999999</v>
    <v>49.52</v>
    <v>47.465499999999999</v>
    <v>48.2</v>
    <v>49.661999999999999</v>
    <v>50.421999999999997</v>
    <v>49.336500000000001</v>
    <v>54.750500000000002</v>
    <v>55.457500000000003</v>
    <v>56.15</v>
    <v>56.488500000000002</v>
    <v>60.133000000000003</v>
    <v>58.692500000000003</v>
    <v>58.23</v>
    <v>59.368499999999997</v>
    <v>58.417999999999999</v>
    <v>58.6</v>
    <v>61.8</v>
    <v>66.150000000000006</v>
    <v>64.858500000000006</v>
    <v>70.459000000000003</v>
    <v>70.131</v>
    <v>68.233500000000006</v>
    <v>72.3245</v>
    <v>75.459999999999994</v>
    <v>74.712000000000003</v>
    <v>79.63</v>
    <v>77.726500000000001</v>
    <v>76.5</v>
    <v>70.881</v>
    <v>71.251499999999993</v>
    <v>72.25</v>
    <v>77.334699999999998</v>
    <v>79.125</v>
    <v>79.466899999999995</v>
    <v>80.2</v>
    <v>79.25</v>
    <v>80.035399999999996</v>
    <v>82.444999999999993</v>
    <v>84.075500000000005</v>
    <v>85.313000000000002</v>
    <v>85.125500000000002</v>
    <v>84.135000000000005</v>
    <v>86.202500000000001</v>
    <v>91.097499999999997</v>
    <v>90.610500000000002</v>
    <v>91.366500000000002</v>
    <v>91.290499999999994</v>
    <v>94.924999999999997</v>
    <v>94.528499999999994</v>
    <v>95.75</v>
    <v>101.325</v>
    <v>98.55</v>
    <v>97.736500000000007</v>
    <v>95.189499999999995</v>
    <v>101.09950000000001</v>
    <v>93.7</v>
    <v>89.75</v>
    <v>89.2</v>
    <v>83</v>
    <v>82.878500000000003</v>
    <v>84.912000000000006</v>
    <v>78.850499999999997</v>
    <v>76.95</v>
    <v>88.472999999999999</v>
    <v>81.191999999999993</v>
    <v>78.3</v>
    <v>67.3</v>
    <v>75.540000000000006</v>
    <v>80.115499999999997</v>
    <v>80.75</v>
    <v>84.05</v>
    <v>82.179500000000004</v>
    <v>81.150000000000006</v>
    <v>80.049000000000007</v>
    <v>80.05</v>
    <v>82.072500000000005</v>
    <v>84.25</v>
    <v>81.305999999999997</v>
    <v>85.635000000000005</v>
    <v>87.889499999999998</v>
    <v>90.005499999999998</v>
    <v>91.661500000000004</v>
    <v>92.1</v>
    <v>92.77</v>
    <v>97.45</v>
    <v>95.899000000000001</v>
    <v>91.828000000000003</v>
    <v>92.634500000000003</v>
    <v>91.637500000000003</v>
    <v>88.000500000000002</v>
    <v>91.1</v>
    <v>93.825000000000003</v>
    <v>95.632999999999996</v>
    <v>96.149000000000001</v>
    <v>96.706000000000003</v>
    <v>101.07</v>
    <v>98.557000000000002</v>
    <v>96.5</v>
    <v>88.510999999999996</v>
    <v>89.799499999999995</v>
    <v>90.903999999999996</v>
    <v>88.345500000000001</v>
    <v>88.5</v>
    <v>92.05</v>
    <v>91.200999999999993</v>
    <v>88.85</v>
    <v>86.349500000000006</v>
    <v>86.581500000000005</v>
    <v>86.445499999999996</v>
    <v>88.483000000000004</v>
    <v>87.403000000000006</v>
    <v>90.0505</v>
    <v>88.9</v>
    <v>86.915000000000006</v>
    <v>87.662499999999994</v>
    <v>90.22</v>
    <v>87.533000000000001</v>
    <v>88.35</v>
    <v>89.412999999999997</v>
    <v>93.7</v>
    <v>93</v>
    <v>94.5655</v>
    <v>93.25</v>
    <v>91</v>
    <v>100.53</v>
    <v>104.2505</v>
    <v>106.251</v>
    <v>100.15900000000001</v>
    <v>95.3245</v>
    <v>88.692999999999998</v>
    <v>82.075500000000005</v>
    <v>91.387500000000003</v>
    <v>96.141499999999994</v>
    <v>96.8</v>
    <v>102</v>
    <v>119.4975</v>
    <v>122.16</v>
    <v>112.819</v>
    <v>118.735</v>
    <v>120.21729999999999</v>
    <v>122.9</v>
    <v>122.4</v>
    <v>125.01</v>
    <v>126.33</v>
    <v>134.22499999999999</v>
    <v>134.50049999999999</v>
    <v>146.74850000000001</v>
    <v>162.553</v>
    <v>150.01</v>
    <v>153.1</v>
    <v>159.02549999999999</v>
    <v>158.5155</v>
    <v>158.65600000000001</v>
    <v>165.50749999999999</v>
    <v>170.4495</v>
    <v>157.19999999999999</v>
    <v>158.64689999999999</v>
    <v>145.32499999999999</v>
    <v>157.4425</v>
    <v>157.292</v>
    <v>167.49700000000001</v>
    <v>164.98050000000001</v>
    <v>159.93700000000001</v>
    <v>153.08699999999999</v>
    <v>161.5515</v>
    <v>154.66</v>
    <v>155.8349</v>
    <v>160.42400000000001</v>
    <v>157.82400000000001</v>
    <v>157.15</v>
    <v>160.00049999999999</v>
    <v>159.69999999999999</v>
    <v>163.5</v>
    <v>157.40049999999999</v>
    <v>155.35</v>
    <v>166.42500000000001</v>
    <v>162.11799999999999</v>
    <v>167.92500000000001</v>
    <v>162.70249999999999</v>
    <v>160.40649999999999</v>
    <v>156.39449999999999</v>
    <v>150.75</v>
    <v>153.7285</v>
    <v>153.39250000000001</v>
    <v>152.77199999999999</v>
    <v>158.65</v>
    <v>167.76050000000001</v>
    <v>169.51650000000001</v>
    <v>167.4</v>
    <v>174.23650000000001</v>
    <v>164.11600000000001</v>
    <v>162.29650000000001</v>
    <v>160.77500000000001</v>
    <v>162.1748</v>
    <v>159.8665</v>
    <v>167.3415</v>
    <v>173.821</v>
    <v>170.8</v>
    <v>176.50550000000001</v>
    <v>187.2</v>
    <v>176.62899999999999</v>
    <v>183.6585</v>
    <v>167.655</v>
    <v>167.18049999999999</v>
    <v>164.15</v>
    <v>160.595</v>
    <v>167.87129999999999</v>
    <v>173.9</v>
    <v>174.14</v>
    <v>169.8</v>
    <v>168.57499999999999</v>
    <v>163.96950000000001</v>
    <v>163.75</v>
    <v>169.4179</v>
    <v>166.75</v>
    <v>168.09</v>
    <v>176.16200000000001</v>
    <v>176.85</v>
    <v>183.81880000000001</v>
    <v>177.38220000000001</v>
    <v>169.65</v>
    <v>172</v>
    <v>166.85</v>
    <v>171.03700000000001</v>
    <v>167.55</v>
    <v>160.5855</v>
    <v>159.10499999999999</v>
    <v>139</v>
    <v>144.75</v>
    <v>158.52000000000001</v>
    <v>151.751</v>
    <v>150.4785</v>
    <v>152.42500000000001</v>
    <v>145.4435</v>
    <v>145.98099999999999</v>
    <v>161.1208</v>
    <v>164.97499999999999</v>
    <v>164.125</v>
    <v>152.71299999999999</v>
    <v>151.52350000000001</v>
    <v>144.023</v>
    <v>122.401</v>
    <v>111.3125</v>
    <v>113.1</v>
    <v>108.461</v>
    <v>116.28</v>
    <v>125.245</v>
    <v>104.19</v>
    <v>108.2</v>
    <v>117.09</v>
    <v>107.6</v>
    <v>114.08</v>
    <v>115</v>
    <v>122.69499999999999</v>
    <v>134.96</v>
    <v>142.05000000000001</v>
    <v>142.80000000000001</v>
    <v>135.72</v>
    <v>129.9</v>
    <v>127.92</v>
    <v>134.095</v>
    <v>122.16</v>
    <v>113.295</v>
    <v>113.58</v>
    <v>115.1</v>
    <v>110.11</v>
    <v>119.98</v>
    <v>103.56</v>
    <v>91.95</v>
    <v>98.77</v>
    <v>93.97</v>
    <v>93.93</v>
    <v>93.05</v>
    <v>89.21</v>
    <v>87.51</v>
    <v>84.97</v>
    <v>85.46</v>
    <v>87.46</v>
    <v>98.68</v>
    <v>97.56</v>
    <v>101.09</v>
    <v>102.925</v>
    <v>97.85</v>
    <v>95.334999999999994</v>
    <v>94.28</v>
    <v>95.19</v>
    <v>89.97</v>
    <v>98.41</v>
    <v>99.07</v>
    <v>102.3</v>
    <v>100.96</v>
    <v>103.16</v>
    <v>107.655</v>
    <v>104.95</v>
    <v>105.04</v>
    <v>111.15</v>
    <v>116.77</v>
    <v>122.37</v>
    <v>123.36</v>
    <v>124.02</v>
    <v>124.97</v>
    <v>129.33000000000001</v>
    <v>130.82</v>
    <v>129.07</v>
    <v>134.56</v>
    <v>130.30500000000001</v>
    <v>133.19999999999999</v>
    <v>140.99</v>
    <v>138.30000000000001</v>
    <v>133.74</v>
    <v>133.78</v>
    <v>137.72999999999999</v>
    <v>138.75</v>
    <v>140.47999999999999</v>
    <v>129.36000000000001</v>
    <v>127.28</v>
    <v>126.22</v>
    <v>130.69</v>
    <v>124.63</v>
    <v>129.72</v>
    <v>138.76</v>
    <v>142.08000000000001</v>
    <v>145.13</v>
    <v>147.53</v>
    <v>145.25</v>
    <v>145.66</v>
    <v>150.56</v>
    <v>153.56</v>
    <v>151.54</v>
    <v>146.74</v>
    <v>153.53</v>
    <v>156.88999999999999</v>
    <v>159.34</v>
    <v>170.2</v>
    <v>174.8</v>
    <v>167.83</v>
    <v>175.7</v>
    <v>177.53</v>
    <v>174.31</v>
    <v>175.8</v>
    <v>178.01</v>
    <v>180.79</v>
    <v>186.9</v>
    <v>187.42500000000001</v>
    <v>176.94</v>
    <v>182.75</v>
    <v>186.28</v>
    <v>188</v>
    <v>184.34</v>
    <v>179.93</v>
    <v>177.7</v>
    <v>184.07</v>
    <v>182.52</v>
    <v>189.33</v>
    <v>193.49</v>
    <v>200.04</v>
    <v>194.56</v>
    <v>185</v>
    <v>183.84</v>
    <v>154.21</v>
    <v>168.14</v>
    <v>177.64</v>
    <v>176.7</v>
    <v>177.55</v>
    <v>174.53</v>
    <v>185.29</v>
    <v>191.64</v>
    <v>187.14</v>
    <v>182.95</v>
    <v>189.78</v>
    <v>188.05</v>
    <v>189.565</v>
    <v>196.45</v>
    <v>208.5</v>
    <v>204.15</v>
    <v>199.28</v>
    <v>209.96</v>
    <v>227.21</v>
    <v>230.23</v>
    <v>225.01</v>
    <v>220.06</v>
    <v>226.78</v>
    <v>218.06</v>
    <v>228.9</v>
    <v>226.21</v>
    <v>234.06</v>
    <v>230.54499999999999</v>
    <v>228.82</v>
    <v>217.45</v>
    <v>213.352</v>
    <v>195.6</v>
    <v>198.77</v>
    <v>200</v>
    <v>188.19</v>
    <v>162</v>
    <v>186.84</v>
    <v>169.6</v>
    <v>190.10499999999999</v>
  </a>
  <a r="1" c="523">
    <v>22.349499999999999</v>
    <v>21.76</v>
    <v>21.95</v>
    <v>21.844999999999999</v>
    <v>21.625</v>
    <v>21.919499999999999</v>
    <v>21.944500000000001</v>
    <v>22.249500000000001</v>
    <v>22.352</v>
    <v>22</v>
    <v>22.236000000000001</v>
    <v>24.271000000000001</v>
    <v>29.028500000000001</v>
    <v>27.247499999999999</v>
    <v>27.137</v>
    <v>26.733000000000001</v>
    <v>26.974499999999999</v>
    <v>26.134499999999999</v>
    <v>25.970500000000001</v>
    <v>26.497499999999999</v>
    <v>27.348500000000001</v>
    <v>27.489000000000001</v>
    <v>26.63</v>
    <v>27.574999999999999</v>
    <v>28.547000000000001</v>
    <v>30.9725</v>
    <v>31.536000000000001</v>
    <v>33.113</v>
    <v>33.798000000000002</v>
    <v>33.643000000000001</v>
    <v>34.138500000000001</v>
    <v>34.241</v>
    <v>33.999499999999998</v>
    <v>34.125</v>
    <v>33.494999999999997</v>
    <v>34.822000000000003</v>
    <v>32.885800000000003</v>
    <v>31.299499999999998</v>
    <v>30.004999999999999</v>
    <v>31.902999999999999</v>
    <v>29.09</v>
    <v>25.837499999999999</v>
    <v>27.06</v>
    <v>28.125</v>
    <v>29.25</v>
    <v>28.6815</v>
    <v>29.076000000000001</v>
    <v>29.177499999999998</v>
    <v>30.161999999999999</v>
    <v>30.119499999999999</v>
    <v>31.3385</v>
    <v>31.900500000000001</v>
    <v>33.499000000000002</v>
    <v>34.274999999999999</v>
    <v>36.122500000000002</v>
    <v>35.723500000000001</v>
    <v>35.83</v>
    <v>36.414000000000001</v>
    <v>36.575000000000003</v>
    <v>36.128</v>
    <v>36.106000000000002</v>
    <v>36.4</v>
    <v>37.305</v>
    <v>37.866999999999997</v>
    <v>37.564</v>
    <v>38.299999999999997</v>
    <v>38.524999999999999</v>
    <v>38.6875</v>
    <v>38.601999999999997</v>
    <v>38.5</v>
    <v>38.799999999999997</v>
    <v>39.539499999999997</v>
    <v>39.023000000000003</v>
    <v>40.387500000000003</v>
    <v>41.997500000000002</v>
    <v>42.360500000000002</v>
    <v>42.26</v>
    <v>41.162999999999997</v>
    <v>42.154499999999999</v>
    <v>40.042000000000002</v>
    <v>39.587000000000003</v>
    <v>38.387</v>
    <v>39.619999999999997</v>
    <v>38.85</v>
    <v>38.689500000000002</v>
    <v>39.122999999999998</v>
    <v>38.719499999999996</v>
    <v>39</v>
    <v>39.972000000000001</v>
    <v>41.082500000000003</v>
    <v>40.801000000000002</v>
    <v>42.192</v>
    <v>42.124499999999998</v>
    <v>41.4</v>
    <v>42.363500000000002</v>
    <v>43.042999999999999</v>
    <v>42.741500000000002</v>
    <v>42.8675</v>
    <v>42.784500000000001</v>
    <v>43.139800000000001</v>
    <v>44.517499999999998</v>
    <v>46.186</v>
    <v>45.561999999999998</v>
    <v>45.524999999999999</v>
    <v>47.479500000000002</v>
    <v>47.72</v>
    <v>48.139499999999998</v>
    <v>48.503</v>
    <v>49.95</v>
    <v>50.423999999999999</v>
    <v>50.825000000000003</v>
    <v>49.987499999999997</v>
    <v>50.85</v>
    <v>50.49</v>
    <v>49.005499999999998</v>
    <v>50.427500000000002</v>
    <v>51.7485</v>
    <v>54.165500000000002</v>
    <v>50.952500000000001</v>
    <v>49.814</v>
    <v>49.587000000000003</v>
    <v>48.396500000000003</v>
    <v>49.225000000000001</v>
    <v>49.029499999999999</v>
    <v>50</v>
    <v>49.639600000000002</v>
    <v>48.241500000000002</v>
    <v>49.787500000000001</v>
    <v>50.421999999999997</v>
    <v>51.115499999999997</v>
    <v>55.279000000000003</v>
    <v>56.139499999999998</v>
    <v>56.777000000000001</v>
    <v>56.994999999999997</v>
    <v>59.341999999999999</v>
    <v>60.670499999999997</v>
    <v>58.76</v>
    <v>59.137500000000003</v>
    <v>59.738999999999997</v>
    <v>59.505000000000003</v>
    <v>61.457000000000001</v>
    <v>65.287999999999997</v>
    <v>66.997</v>
    <v>70.126499999999993</v>
    <v>74.900000000000006</v>
    <v>73.049499999999995</v>
    <v>73.447000000000003</v>
    <v>75.174499999999995</v>
    <v>76.435000000000002</v>
    <v>78.947000000000003</v>
    <v>80.876999999999995</v>
    <v>79.5</v>
    <v>78.798299999999998</v>
    <v>72.977900000000005</v>
    <v>72.989000000000004</v>
    <v>78.426000000000002</v>
    <v>81.905000000000001</v>
    <v>79.8</v>
    <v>80.78</v>
    <v>80.558999999999997</v>
    <v>80.706000000000003</v>
    <v>82.336500000000001</v>
    <v>85.724999999999994</v>
    <v>86.24</v>
    <v>88.155000000000001</v>
    <v>86.170500000000004</v>
    <v>86.25</v>
    <v>90.765000000000001</v>
    <v>92.944000000000003</v>
    <v>94.002499999999998</v>
    <v>92.05</v>
    <v>95.728499999999997</v>
    <v>96.25</v>
    <v>95.974999999999994</v>
    <v>101.27849999999999</v>
    <v>102.52500000000001</v>
    <v>100.438</v>
    <v>97.91</v>
    <v>101.32599999999999</v>
    <v>101.65949999999999</v>
    <v>95.099800000000002</v>
    <v>92.25</v>
    <v>90.474999999999994</v>
    <v>84.872</v>
    <v>89.2</v>
    <v>85.427499999999995</v>
    <v>79.0595</v>
    <v>84.8</v>
    <v>88.917000000000002</v>
    <v>85.249499999999998</v>
    <v>79.226500000000001</v>
    <v>75.673500000000004</v>
    <v>79.7</v>
    <v>83.830500000000001</v>
    <v>85.81</v>
    <v>84.174000000000007</v>
    <v>86.820599999999999</v>
    <v>83.613</v>
    <v>82.819000000000003</v>
    <v>81.747</v>
    <v>83.712999999999994</v>
    <v>85.471500000000006</v>
    <v>85.94</v>
    <v>91.1875</v>
    <v>90.288499999999999</v>
    <v>91.929000000000002</v>
    <v>92.654499999999999</v>
    <v>93.823700000000002</v>
    <v>97.55</v>
    <v>98.22</v>
    <v>97.95</v>
    <v>95.875500000000002</v>
    <v>93.95</v>
    <v>92.463300000000004</v>
    <v>90.312700000000007</v>
    <v>94.685000000000002</v>
    <v>96.76</v>
    <v>95.843000000000004</v>
    <v>97.295000000000002</v>
    <v>101.79</v>
    <v>101.316</v>
    <v>100.065</v>
    <v>96.6113</v>
    <v>91.712999999999994</v>
    <v>91.587100000000007</v>
    <v>91.478899999999996</v>
    <v>89.986999999999995</v>
    <v>92.1</v>
    <v>92.683000000000007</v>
    <v>91.628500000000003</v>
    <v>89.785300000000007</v>
    <v>87.78</v>
    <v>87.391499999999994</v>
    <v>89.942499999999995</v>
    <v>89.489000000000004</v>
    <v>89.872299999999996</v>
    <v>90.753</v>
    <v>89.311000000000007</v>
    <v>88.126199999999997</v>
    <v>91.234499999999997</v>
    <v>90.277500000000003</v>
    <v>88.4495</v>
    <v>90.148499999999999</v>
    <v>95.07</v>
    <v>94.900499999999994</v>
    <v>95.891000000000005</v>
    <v>94.9</v>
    <v>95.125</v>
    <v>102.786</v>
    <v>104.9265</v>
    <v>109.2975</v>
    <v>109.255</v>
    <v>101.9648</v>
    <v>99.816500000000005</v>
    <v>94.713499999999996</v>
    <v>97.85</v>
    <v>97.8245</v>
    <v>99.650999999999996</v>
    <v>102.65</v>
    <v>123.04989999999999</v>
    <v>122.249</v>
    <v>123.75</v>
    <v>119.3622</v>
    <v>120.9833</v>
    <v>126.27249999999999</v>
    <v>123.1</v>
    <v>125.377</v>
    <v>136.11750000000001</v>
    <v>134.8715</v>
    <v>139.80000000000001</v>
    <v>147.77799999999999</v>
    <v>160.75</v>
    <v>167.21449999999999</v>
    <v>162.02879999999999</v>
    <v>162.34100000000001</v>
    <v>162.37350000000001</v>
    <v>160.87610000000001</v>
    <v>166</v>
    <v>172.65</v>
    <v>177.61250000000001</v>
    <v>167.49449999999999</v>
    <v>159.36949999999999</v>
    <v>156.6995</v>
    <v>161.19999999999999</v>
    <v>164.4495</v>
    <v>174.81200000000001</v>
    <v>166.45</v>
    <v>164.583</v>
    <v>168.34</v>
    <v>164.45</v>
    <v>159.46250000000001</v>
    <v>160.80950000000001</v>
    <v>162.44749999999999</v>
    <v>159.20650000000001</v>
    <v>163.1755</v>
    <v>161.34829999999999</v>
    <v>167.5325</v>
    <v>163.6</v>
    <v>159.4975</v>
    <v>167.42750000000001</v>
    <v>168.19450000000001</v>
    <v>171.7</v>
    <v>168.25</v>
    <v>166.9</v>
    <v>161.61600000000001</v>
    <v>158.17599999999999</v>
    <v>156.58920000000001</v>
    <v>158.6525</v>
    <v>159.1</v>
    <v>158.12200000000001</v>
    <v>168.61</v>
    <v>171.6</v>
    <v>171.79669999999999</v>
    <v>177.7</v>
    <v>174.3323</v>
    <v>164.15</v>
    <v>165.6</v>
    <v>164.78649999999999</v>
    <v>162.54900000000001</v>
    <v>168.32900000000001</v>
    <v>175.35</v>
    <v>176.24299999999999</v>
    <v>175.58600000000001</v>
    <v>187.99930000000001</v>
    <v>188.65389999999999</v>
    <v>183.30549999999999</v>
    <v>185.60400000000001</v>
    <v>169.55</v>
    <v>167.9</v>
    <v>165</v>
    <v>167.61600000000001</v>
    <v>176.35</v>
    <v>177.49950000000001</v>
    <v>174.898</v>
    <v>171.46299999999999</v>
    <v>170.77850000000001</v>
    <v>166.28729999999999</v>
    <v>170.52099999999999</v>
    <v>173.143</v>
    <v>173.95</v>
    <v>178.3125</v>
    <v>180.27250000000001</v>
    <v>188.10730000000001</v>
    <v>185.6728</v>
    <v>179.8</v>
    <v>177.49950000000001</v>
    <v>174.166</v>
    <v>172.05</v>
    <v>172.94300000000001</v>
    <v>171.4</v>
    <v>166.87799999999999</v>
    <v>159.7345</v>
    <v>145.1848</v>
    <v>161.19999999999999</v>
    <v>163.83449999999999</v>
    <v>160.34880000000001</v>
    <v>153.99</v>
    <v>154.44999999999999</v>
    <v>149.67500000000001</v>
    <v>161.59399999999999</v>
    <v>166.37</v>
    <v>170.83150000000001</v>
    <v>168.39449999999999</v>
    <v>156.02500000000001</v>
    <v>158.649</v>
    <v>146.22149999999999</v>
    <v>126.2205</v>
    <v>114</v>
    <v>115.8</v>
    <v>115.187</v>
    <v>125.61</v>
    <v>128.99</v>
    <v>109.06</v>
    <v>116.71</v>
    <v>117.98</v>
    <v>116.99</v>
    <v>115.59</v>
    <v>125.5</v>
    <v>137.65</v>
    <v>143.56</v>
    <v>144.6</v>
    <v>146.57</v>
    <v>137.83000000000001</v>
    <v>132.0745</v>
    <v>133.69</v>
    <v>136.49</v>
    <v>124.71</v>
    <v>118.7</v>
    <v>123</v>
    <v>116.25</v>
    <v>119.59</v>
    <v>121.3152</v>
    <v>104.87</v>
    <v>101.19</v>
    <v>103.79</v>
    <v>95.02</v>
    <v>97.23</v>
    <v>94.06</v>
    <v>96.25</v>
    <v>87.63</v>
    <v>85.35</v>
    <v>86.98</v>
    <v>98.37</v>
    <v>99.32</v>
    <v>103.485</v>
    <v>114</v>
    <v>103.94840000000001</v>
    <v>101.17</v>
    <v>97.01</v>
    <v>94.94</v>
    <v>96.545000000000002</v>
    <v>100.99</v>
    <v>102.1</v>
    <v>103.49</v>
    <v>104.2</v>
    <v>103.2013</v>
    <v>108.15</v>
    <v>110.86</v>
    <v>105.96</v>
    <v>113.28</v>
    <v>118.6</v>
    <v>121.5</v>
    <v>126.39</v>
    <v>127.4</v>
    <v>128.41</v>
    <v>130.84</v>
    <v>131.49</v>
    <v>131.85</v>
    <v>136.65</v>
    <v>135.99</v>
    <v>133.01</v>
    <v>143.63</v>
    <v>142.54</v>
    <v>141.27780000000001</v>
    <v>136.77500000000001</v>
    <v>139.96</v>
    <v>138.8519</v>
    <v>145.86000000000001</v>
    <v>141.75</v>
    <v>131.78</v>
    <v>130.47</v>
    <v>134.47999999999999</v>
    <v>133.07</v>
    <v>130.02000000000001</v>
    <v>139.49</v>
    <v>143.65</v>
    <v>147.29</v>
    <v>147.74</v>
    <v>149.26</v>
    <v>148.57</v>
    <v>150.57</v>
    <v>155.63</v>
    <v>154.78</v>
    <v>152.38</v>
    <v>157.16999999999999</v>
    <v>155.76</v>
    <v>160.72</v>
    <v>172.5</v>
    <v>175</v>
    <v>175.39</v>
    <v>175.75</v>
    <v>178.72499999999999</v>
    <v>180.14</v>
    <v>179.53</v>
    <v>181.41499999999999</v>
    <v>181.7</v>
    <v>186.27</v>
    <v>189.77</v>
    <v>188.69</v>
    <v>180.82</v>
    <v>187.87</v>
    <v>191.7</v>
    <v>188.31</v>
    <v>186.66499999999999</v>
    <v>184.08</v>
    <v>186.28880000000001</v>
    <v>188.35</v>
    <v>189.27500000000001</v>
    <v>199.84</v>
    <v>200.55</v>
    <v>201.2</v>
    <v>196.62</v>
    <v>189.39</v>
    <v>190.6</v>
    <v>168.55</v>
    <v>178.34</v>
    <v>182.38499999999999</v>
    <v>178.9</v>
    <v>179.875</v>
    <v>188.5</v>
    <v>191.84</v>
    <v>195.37</v>
    <v>188.49</v>
    <v>189.92840000000001</v>
    <v>190.74</v>
    <v>191.52010000000001</v>
    <v>200.5</v>
    <v>212.25</v>
    <v>215.9</v>
    <v>205.3</v>
    <v>208.2</v>
    <v>227.15</v>
    <v>231.2</v>
    <v>233</v>
    <v>229.14</v>
    <v>225.36</v>
    <v>228.83500000000001</v>
    <v>226.51</v>
    <v>236.4</v>
    <v>241.77</v>
    <v>242.52</v>
    <v>233.92</v>
    <v>229.3</v>
    <v>219.97</v>
    <v>214.01</v>
    <v>201.52</v>
    <v>199.32</v>
    <v>206.21</v>
    <v>198.34</v>
    <v>192.65</v>
    <v>187.44</v>
    <v>189.94</v>
    <v>192.88</v>
  </a>
  <a r="1" c="523">
    <v>20.8</v>
    <v>20.727499999999999</v>
    <v>21.215</v>
    <v>20.917999999999999</v>
    <v>21.1</v>
    <v>21.31</v>
    <v>20.957000000000001</v>
    <v>21.132000000000001</v>
    <v>21.6845</v>
    <v>21.45</v>
    <v>21.278500000000001</v>
    <v>22.376999999999999</v>
    <v>23.785</v>
    <v>26.155999999999999</v>
    <v>25.910499999999999</v>
    <v>25.652999999999999</v>
    <v>24.723500000000001</v>
    <v>22.55</v>
    <v>24.671500000000002</v>
    <v>25.425699999999999</v>
    <v>25.86</v>
    <v>26.07</v>
    <v>24.524999999999999</v>
    <v>25.994499999999999</v>
    <v>26.984000000000002</v>
    <v>27.626000000000001</v>
    <v>29.814499999999999</v>
    <v>31.020499999999998</v>
    <v>32.022500000000001</v>
    <v>31.1145</v>
    <v>33.060600000000001</v>
    <v>33.07</v>
    <v>31.981000000000002</v>
    <v>31.763500000000001</v>
    <v>32.831499999999998</v>
    <v>33.274999999999999</v>
    <v>30.2605</v>
    <v>28.265000000000001</v>
    <v>27.359000000000002</v>
    <v>28.5</v>
    <v>24.959499999999998</v>
    <v>23.7</v>
    <v>25.582999999999998</v>
    <v>26.657499999999999</v>
    <v>27.625499999999999</v>
    <v>27.395</v>
    <v>27.304500000000001</v>
    <v>26.928999999999998</v>
    <v>28.777999999999999</v>
    <v>29.262499999999999</v>
    <v>29.615500000000001</v>
    <v>30.577999999999999</v>
    <v>29.96</v>
    <v>32.799999999999997</v>
    <v>33.570500000000003</v>
    <v>34.438000000000002</v>
    <v>34.820999999999998</v>
    <v>35.566000000000003</v>
    <v>35.710500000000003</v>
    <v>34.959000000000003</v>
    <v>34.61</v>
    <v>34.105800000000002</v>
    <v>35.980499999999999</v>
    <v>36.702500000000001</v>
    <v>36.436</v>
    <v>36.637599999999999</v>
    <v>37.517499999999998</v>
    <v>38.050800000000002</v>
    <v>37.844499999999996</v>
    <v>37.604999999999997</v>
    <v>38.200000000000003</v>
    <v>38.005499999999998</v>
    <v>37.799999999999997</v>
    <v>38.549999999999997</v>
    <v>39.857300000000002</v>
    <v>41.512999999999998</v>
    <v>41.060499999999998</v>
    <v>40.155000000000001</v>
    <v>38.730499999999999</v>
    <v>37.661499999999997</v>
    <v>35.884999999999998</v>
    <v>35.505000000000003</v>
    <v>38.255499999999998</v>
    <v>36.835000000000001</v>
    <v>37.1</v>
    <v>37.700000000000003</v>
    <v>37.808</v>
    <v>37.414000000000001</v>
    <v>37.384999999999998</v>
    <v>39.475499999999997</v>
    <v>40.171999999999997</v>
    <v>40.253999999999998</v>
    <v>40.200000000000003</v>
    <v>40.15</v>
    <v>41.427500000000002</v>
    <v>41.887500000000003</v>
    <v>41.983499999999999</v>
    <v>42.055999999999997</v>
    <v>42.355499999999999</v>
    <v>41.952500000000001</v>
    <v>41.674999999999997</v>
    <v>44.271000000000001</v>
    <v>44.224499999999999</v>
    <v>44.375</v>
    <v>45.15</v>
    <v>46.39</v>
    <v>46.960500000000003</v>
    <v>47.206000000000003</v>
    <v>48.145000000000003</v>
    <v>49.107999999999997</v>
    <v>46.35</v>
    <v>47.25</v>
    <v>49.494999999999997</v>
    <v>48.262500000000003</v>
    <v>47.55</v>
    <v>49.174999999999997</v>
    <v>50.1905</v>
    <v>50.05</v>
    <v>49.086500000000001</v>
    <v>47.569000000000003</v>
    <v>47.732500000000002</v>
    <v>47.057000000000002</v>
    <v>46.816499999999998</v>
    <v>48.018500000000003</v>
    <v>48.710999999999999</v>
    <v>47.720999999999997</v>
    <v>46.587499999999999</v>
    <v>47.518500000000003</v>
    <v>49.005000000000003</v>
    <v>49.012</v>
    <v>48.125</v>
    <v>54.343499999999999</v>
    <v>55.438499999999998</v>
    <v>56.081499999999998</v>
    <v>56.127499999999998</v>
    <v>57.259500000000003</v>
    <v>56.237000000000002</v>
    <v>57.85</v>
    <v>58.381999999999998</v>
    <v>58.027500000000003</v>
    <v>58.525500000000001</v>
    <v>61.601500000000001</v>
    <v>64.043999999999997</v>
    <v>64.833200000000005</v>
    <v>69.257099999999994</v>
    <v>63.296500000000002</v>
    <v>67.200500000000005</v>
    <v>72.3245</v>
    <v>72.750500000000002</v>
    <v>74.05</v>
    <v>78.375</v>
    <v>74.768000000000001</v>
    <v>68.260000000000005</v>
    <v>67.644000000000005</v>
    <v>70.128600000000006</v>
    <v>71.373999999999995</v>
    <v>70.751000000000005</v>
    <v>77.301000000000002</v>
    <v>79.125500000000002</v>
    <v>78.260999999999996</v>
    <v>78.316999999999993</v>
    <v>80.007499999999993</v>
    <v>82.274500000000003</v>
    <v>84.029600000000002</v>
    <v>85.019499999999994</v>
    <v>82.315399999999997</v>
    <v>83.903000000000006</v>
    <v>85.811499999999995</v>
    <v>89.869200000000006</v>
    <v>88.499499999999998</v>
    <v>86.965999999999994</v>
    <v>90.945999999999998</v>
    <v>92.777500000000003</v>
    <v>93.303100000000001</v>
    <v>95.464100000000002</v>
    <v>96.760499999999993</v>
    <v>95.85</v>
    <v>94.370500000000007</v>
    <v>93.25</v>
    <v>93.141499999999994</v>
    <v>84.254999999999995</v>
    <v>86.711500000000001</v>
    <v>80.150000000000006</v>
    <v>73.817999999999998</v>
    <v>79.817999999999998</v>
    <v>77.325500000000005</v>
    <v>71</v>
    <v>76.210999999999999</v>
    <v>80.492500000000007</v>
    <v>79.25</v>
    <v>68.197999999999993</v>
    <v>65.349999999999994</v>
    <v>73.046499999999995</v>
    <v>79.459299999999999</v>
    <v>79.757499999999993</v>
    <v>80.510000000000005</v>
    <v>79.536000000000001</v>
    <v>78.337800000000001</v>
    <v>79.3</v>
    <v>80.028000000000006</v>
    <v>80.754999999999995</v>
    <v>79.328500000000005</v>
    <v>81.3005</v>
    <v>85.631500000000003</v>
    <v>87.284000000000006</v>
    <v>89.936499999999995</v>
    <v>91.255499999999998</v>
    <v>90.944999999999993</v>
    <v>92.281999999999996</v>
    <v>94.093500000000006</v>
    <v>92.8</v>
    <v>90.787499999999994</v>
    <v>90.21</v>
    <v>88.635199999999998</v>
    <v>83.6</v>
    <v>90.9</v>
    <v>93.772499999999994</v>
    <v>93.620999999999995</v>
    <v>95.331500000000005</v>
    <v>96.412700000000001</v>
    <v>97.577500000000001</v>
    <v>96.225499999999997</v>
    <v>90.400999999999996</v>
    <v>87.438999999999993</v>
    <v>87.860799999999998</v>
    <v>87.261499999999998</v>
    <v>87.1755</v>
    <v>88.4</v>
    <v>90.266800000000003</v>
    <v>89.046000000000006</v>
    <v>85.691000000000003</v>
    <v>84.253</v>
    <v>85.25</v>
    <v>86.1</v>
    <v>84.75</v>
    <v>87.125</v>
    <v>88.701999999999998</v>
    <v>86.643000000000001</v>
    <v>86.135499999999993</v>
    <v>87.662000000000006</v>
    <v>87</v>
    <v>86.75</v>
    <v>87.852500000000006</v>
    <v>89.225499999999997</v>
    <v>91.611500000000007</v>
    <v>93</v>
    <v>92.754499999999993</v>
    <v>92.372</v>
    <v>90.766999999999996</v>
    <v>100.0125</v>
    <v>104.248</v>
    <v>104.4</v>
    <v>90.5565</v>
    <v>93.474999999999994</v>
    <v>83.75</v>
    <v>81.301599999999993</v>
    <v>90.6</v>
    <v>94.457499999999996</v>
    <v>96.501000000000005</v>
    <v>101.9</v>
    <v>113.983</v>
    <v>112.90949999999999</v>
    <v>112.819</v>
    <v>116.8903</v>
    <v>119.20050000000001</v>
    <v>116.5</v>
    <v>121.8565</v>
    <v>124.3668</v>
    <v>125.4</v>
    <v>133.44999999999999</v>
    <v>131.50399999999999</v>
    <v>146.5</v>
    <v>145.91149999999999</v>
    <v>144.4</v>
    <v>149.78800000000001</v>
    <v>155.06049999999999</v>
    <v>153.65</v>
    <v>157.7089</v>
    <v>162.87799999999999</v>
    <v>155.5565</v>
    <v>154.19900000000001</v>
    <v>145.27699999999999</v>
    <v>143.55000000000001</v>
    <v>155.85839999999999</v>
    <v>154.5</v>
    <v>158</v>
    <v>156.09700000000001</v>
    <v>150.94999999999999</v>
    <v>147.506</v>
    <v>150.97409999999999</v>
    <v>153.6343</v>
    <v>153.273</v>
    <v>156.2775</v>
    <v>153.64099999999999</v>
    <v>156.30000000000001</v>
    <v>158.30000000000001</v>
    <v>158.6345</v>
    <v>156.55799999999999</v>
    <v>154.30000000000001</v>
    <v>154.80000000000001</v>
    <v>159.22749999999999</v>
    <v>161.75129999999999</v>
    <v>161.66550000000001</v>
    <v>162.28749999999999</v>
    <v>151.83500000000001</v>
    <v>144.05000000000001</v>
    <v>147.56549999999999</v>
    <v>150.83150000000001</v>
    <v>149.80000000000001</v>
    <v>151.42230000000001</v>
    <v>158.06200000000001</v>
    <v>166.3</v>
    <v>165.07249999999999</v>
    <v>166.547</v>
    <v>162.36000000000001</v>
    <v>156.36850000000001</v>
    <v>159.19999999999999</v>
    <v>160.52500000000001</v>
    <v>159.20150000000001</v>
    <v>158.61000000000001</v>
    <v>166.77500000000001</v>
    <v>169.709</v>
    <v>170.471</v>
    <v>176.45</v>
    <v>178.52279999999999</v>
    <v>174.958</v>
    <v>165.34899999999999</v>
    <v>164.98849999999999</v>
    <v>163.48349999999999</v>
    <v>158.78800000000001</v>
    <v>160.50030000000001</v>
    <v>167.761</v>
    <v>173.14529999999999</v>
    <v>170.10050000000001</v>
    <v>165.25049999999999</v>
    <v>162.797</v>
    <v>158.8125</v>
    <v>161.81399999999999</v>
    <v>166.565</v>
    <v>163.666</v>
    <v>164.17750000000001</v>
    <v>172.35249999999999</v>
    <v>176.25729999999999</v>
    <v>175.20750000000001</v>
    <v>166.93</v>
    <v>166.93450000000001</v>
    <v>165.19499999999999</v>
    <v>165.6</v>
    <v>166.55850000000001</v>
    <v>161.93719999999999</v>
    <v>156.30449999999999</v>
    <v>142.07040000000001</v>
    <v>135.352</v>
    <v>138.333</v>
    <v>152.7338</v>
    <v>150.893</v>
    <v>139.5</v>
    <v>143.80699999999999</v>
    <v>133.57249999999999</v>
    <v>140.88399999999999</v>
    <v>159.553</v>
    <v>162.31950000000001</v>
    <v>154.23079999999999</v>
    <v>149.6</v>
    <v>143.69749999999999</v>
    <v>121.625</v>
    <v>113.0813</v>
    <v>102.4055</v>
    <v>105.0093</v>
    <v>101.26</v>
    <v>115.675</v>
    <v>109.05</v>
    <v>101.43</v>
    <v>103.56</v>
    <v>102.52</v>
    <v>106.3242</v>
    <v>106.01</v>
    <v>113.15</v>
    <v>114.53</v>
    <v>133.51</v>
    <v>136.21</v>
    <v>137.91419999999999</v>
    <v>130.5</v>
    <v>123.66</v>
    <v>124.74</v>
    <v>120.7</v>
    <v>112.06</v>
    <v>112.84</v>
    <v>112.45</v>
    <v>105.345</v>
    <v>110.09</v>
    <v>97.66</v>
    <v>88.04</v>
    <v>85.87</v>
    <v>92.48</v>
    <v>90.59</v>
    <v>91.44</v>
    <v>87.48</v>
    <v>86.73</v>
    <v>82.25</v>
    <v>81.69</v>
    <v>81.430000000000007</v>
    <v>87.08</v>
    <v>92.86</v>
    <v>91.52</v>
    <v>99.01</v>
    <v>96.23</v>
    <v>95.65</v>
    <v>92.318600000000004</v>
    <v>90.39</v>
    <v>90.245000000000005</v>
    <v>88.12</v>
    <v>95.7</v>
    <v>96.29</v>
    <v>99.800799999999995</v>
    <v>97.704999999999998</v>
    <v>101.39</v>
    <v>102.45</v>
    <v>101.15</v>
    <v>104.70010000000001</v>
    <v>109.25</v>
    <v>113.78</v>
    <v>119.17</v>
    <v>120.63</v>
    <v>123.53</v>
    <v>123.85</v>
    <v>127.1</v>
    <v>127.37</v>
    <v>125.91500000000001</v>
    <v>128.41499999999999</v>
    <v>126.11</v>
    <v>126.41</v>
    <v>137</v>
    <v>131.15</v>
    <v>130.58000000000001</v>
    <v>131.85</v>
    <v>133.16</v>
    <v>138.63999999999999</v>
    <v>128.52000000000001</v>
    <v>123.04</v>
    <v>124.13</v>
    <v>124.76</v>
    <v>124.97</v>
    <v>118.35</v>
    <v>128.56</v>
    <v>138.36000000000001</v>
    <v>139.52000000000001</v>
    <v>141.5</v>
    <v>144.33199999999999</v>
    <v>142.81</v>
    <v>143.63999999999999</v>
    <v>150.05000000000001</v>
    <v>151.03</v>
    <v>144.05000000000001</v>
    <v>146.15</v>
    <v>149.91</v>
    <v>153.9</v>
    <v>154.81</v>
    <v>167.65</v>
    <v>165.75</v>
    <v>165.74</v>
    <v>172.27</v>
    <v>173.26</v>
    <v>171.47</v>
    <v>173.52</v>
    <v>177.24</v>
    <v>178.37620000000001</v>
    <v>182.67</v>
    <v>173.44</v>
    <v>166.32</v>
    <v>174.8</v>
    <v>184.8</v>
    <v>182.73</v>
    <v>180.08</v>
    <v>173.87</v>
    <v>175.92</v>
    <v>182.23</v>
    <v>181.22</v>
    <v>185.33</v>
    <v>192.82</v>
    <v>192.86</v>
    <v>180.11</v>
    <v>176.8</v>
    <v>160.55000000000001</v>
    <v>151.61000000000001</v>
    <v>166.11009999999999</v>
    <v>175.24</v>
    <v>168.92</v>
    <v>171.16</v>
    <v>173.51</v>
    <v>183.36</v>
    <v>187.34</v>
    <v>180.875</v>
    <v>180.25</v>
    <v>184.58</v>
    <v>183.69</v>
    <v>185.23</v>
    <v>194.31010000000001</v>
    <v>199.61</v>
    <v>195.75</v>
    <v>199</v>
    <v>209.51009999999999</v>
    <v>224.2002</v>
    <v>218.73</v>
    <v>220.9</v>
    <v>218.19</v>
    <v>216.5</v>
    <v>216.2</v>
    <v>226.94</v>
    <v>225.86</v>
    <v>228.06</v>
    <v>227.23</v>
    <v>214.74</v>
    <v>204.16</v>
    <v>192.53</v>
    <v>190.85</v>
    <v>189.38</v>
    <v>191.881</v>
    <v>166</v>
    <v>161.38</v>
    <v>171.41</v>
    <v>165.285</v>
    <v>178.85</v>
  </a>
  <a r="1" c="523">
    <v>20406821</v>
    <v>13354278</v>
    <v>12466670</v>
    <v>13193658</v>
    <v>9403769</v>
    <v>11069639</v>
    <v>11610365</v>
    <v>14407772</v>
    <v>12551385</v>
    <v>8680539</v>
    <v>12412915</v>
    <v>20708173</v>
    <v>42333032</v>
    <v>23285349</v>
    <v>16627844</v>
    <v>14197247</v>
    <v>18091518</v>
    <v>30996783</v>
    <v>16416127</v>
    <v>13985154</v>
    <v>18578523</v>
    <v>16894594</v>
    <v>22263023</v>
    <v>19964769</v>
    <v>18549033</v>
    <v>30555323</v>
    <v>19753440</v>
    <v>19719880</v>
    <v>23471369</v>
    <v>24827252</v>
    <v>13593164</v>
    <v>24291149</v>
    <v>21472786</v>
    <v>23602107</v>
    <v>9734587</v>
    <v>16787114</v>
    <v>33054149</v>
    <v>32293391</v>
    <v>22845932</v>
    <v>42007308</v>
    <v>38623876</v>
    <v>36471785</v>
    <v>19652227</v>
    <v>25251513</v>
    <v>19923855</v>
    <v>21730964</v>
    <v>24093632</v>
    <v>18325555</v>
    <v>17003747</v>
    <v>13410591</v>
    <v>15973495</v>
    <v>18706380</v>
    <v>27456468</v>
    <v>25386789</v>
    <v>27237496</v>
    <v>20779197</v>
    <v>13601340</v>
    <v>13275319</v>
    <v>13256671</v>
    <v>17564319</v>
    <v>18532635</v>
    <v>18466611</v>
    <v>12744680</v>
    <v>18473051</v>
    <v>11980540</v>
    <v>22516746</v>
    <v>16645609</v>
    <v>9049701</v>
    <v>9416269</v>
    <v>9347311</v>
    <v>9515570</v>
    <v>12432265</v>
    <v>17316466</v>
    <v>13385450</v>
    <v>20245889</v>
    <v>14299058</v>
    <v>13886940</v>
    <v>13909671</v>
    <v>29554817</v>
    <v>24739857</v>
    <v>37329653</v>
    <v>25789440</v>
    <v>15303225</v>
    <v>20564418</v>
    <v>17454906</v>
    <v>22354215</v>
    <v>12386665</v>
    <v>13237498</v>
    <v>17847894</v>
    <v>17663136</v>
    <v>11941710</v>
    <v>16377315</v>
    <v>28953978</v>
    <v>15135934</v>
    <v>15760855</v>
    <v>13274660</v>
    <v>12351092</v>
    <v>11630862</v>
    <v>11829133</v>
    <v>13415481</v>
    <v>17003520</v>
    <v>25970341</v>
    <v>11827767</v>
    <v>13959088</v>
    <v>21782704</v>
    <v>18182843</v>
    <v>14594283</v>
    <v>20453690</v>
    <v>15812049</v>
    <v>13383353</v>
    <v>19304881</v>
    <v>34848671</v>
    <v>17175287</v>
    <v>18599426</v>
    <v>12465063</v>
    <v>15120806</v>
    <v>16516239</v>
    <v>27358037</v>
    <v>21980704</v>
    <v>18301238</v>
    <v>15651471</v>
    <v>17103234</v>
    <v>14243045</v>
    <v>10300626</v>
    <v>15715828</v>
    <v>13950536</v>
    <v>16904104</v>
    <v>14648154</v>
    <v>14859399</v>
    <v>12301650</v>
    <v>31434844</v>
    <v>21281898</v>
    <v>14564235</v>
    <v>14612252</v>
    <v>11726536</v>
    <v>29177308</v>
    <v>18426648</v>
    <v>15209083</v>
    <v>11614754</v>
    <v>8402462</v>
    <v>12370119</v>
    <v>19195586</v>
    <v>21079906</v>
    <v>25727146</v>
    <v>38238063</v>
    <v>52444626</v>
    <v>28741332</v>
    <v>22079745</v>
    <v>27701581</v>
    <v>22366640</v>
    <v>25460259</v>
    <v>30239689</v>
    <v>38910769</v>
    <v>39972840</v>
    <v>18891177</v>
    <v>25084948</v>
    <v>40401755</v>
    <v>22091913</v>
    <v>15588456</v>
    <v>14947710</v>
    <v>14531141</v>
    <v>13233549</v>
    <v>20163924</v>
    <v>15874289</v>
    <v>20746722</v>
    <v>25843190</v>
    <v>10996344</v>
    <v>18144097</v>
    <v>24579497</v>
    <v>31608848</v>
    <v>24269298</v>
    <v>19232616</v>
    <v>25279670</v>
    <v>15342474</v>
    <v>24683160</v>
    <v>26322992</v>
    <v>21256029</v>
    <v>25386552</v>
    <v>21480120</v>
    <v>28201465</v>
    <v>46535379</v>
    <v>29373498</v>
    <v>43239862</v>
    <v>50807461</v>
    <v>30511366</v>
    <v>33684389</v>
    <v>27025124</v>
    <v>32805553</v>
    <v>31801934</v>
    <v>31934390</v>
    <v>47591572</v>
    <v>36182781</v>
    <v>30827985</v>
    <v>34310840</v>
    <v>28509684</v>
    <v>20564107</v>
    <v>36496027</v>
    <v>23490293</v>
    <v>20099308</v>
    <v>13598828</v>
    <v>16999869</v>
    <v>23468912</v>
    <v>21540379</v>
    <v>30189632</v>
    <v>20658235</v>
    <v>18931800</v>
    <v>16200437</v>
    <v>12412440</v>
    <v>26221693</v>
    <v>20988705</v>
    <v>26424800</v>
    <v>24549599</v>
    <v>18533859</v>
    <v>15244659</v>
    <v>27515129</v>
    <v>17739009</v>
    <v>16576146</v>
    <v>12916305</v>
    <v>10173299</v>
    <v>18988034</v>
    <v>14848214</v>
    <v>17306495</v>
    <v>21544341</v>
    <v>22236366</v>
    <v>18738356</v>
    <v>14728655</v>
    <v>14616617</v>
    <v>11695209</v>
    <v>12840983</v>
    <v>15878717</v>
    <v>18828122</v>
    <v>15383352</v>
    <v>12733705</v>
    <v>13765612</v>
    <v>20652848</v>
    <v>13915971</v>
    <v>11348549</v>
    <v>13031957</v>
    <v>13009496</v>
    <v>11547129</v>
    <v>15493746</v>
    <v>12677380</v>
    <v>17749261</v>
    <v>15232192</v>
    <v>13899709</v>
    <v>17724014</v>
    <v>15657678</v>
    <v>13053282</v>
    <v>29091665</v>
    <v>23822329</v>
    <v>19760219</v>
    <v>13253816</v>
    <v>35516727</v>
    <v>29070933</v>
    <v>40515525</v>
    <v>49621163</v>
    <v>32979346</v>
    <v>23090265</v>
    <v>19436216</v>
    <v>41219376</v>
    <v>26088955</v>
    <v>34553976</v>
    <v>17677577</v>
    <v>18796131</v>
    <v>20608180</v>
    <v>15193472</v>
    <v>14329168</v>
    <v>25106355</v>
    <v>18534953</v>
    <v>21227615</v>
    <v>20836096</v>
    <v>28828229</v>
    <v>31677739</v>
    <v>28853130</v>
    <v>23793484</v>
    <v>21335970</v>
    <v>16189502</v>
    <v>18994162</v>
    <v>21994431</v>
    <v>28139586</v>
    <v>21463754</v>
    <v>28112693</v>
    <v>28462588</v>
    <v>22911267</v>
    <v>20985370</v>
    <v>31125191</v>
    <v>21524330</v>
    <v>30719710</v>
    <v>29124622</v>
    <v>25940193</v>
    <v>16377024</v>
    <v>14460838</v>
    <v>17446086</v>
    <v>16109570</v>
    <v>21105578</v>
    <v>9711714</v>
    <v>16590481</v>
    <v>18328336</v>
    <v>17791865</v>
    <v>16381942</v>
    <v>18807935</v>
    <v>25639099</v>
    <v>13249223</v>
    <v>13215611</v>
    <v>20013907</v>
    <v>20188579</v>
    <v>16425808</v>
    <v>16858321</v>
    <v>16554816</v>
    <v>11117785</v>
    <v>16372481</v>
    <v>16141961</v>
    <v>13336845</v>
    <v>28031459</v>
    <v>24184259</v>
    <v>21880289</v>
    <v>15970098</v>
    <v>12960574</v>
    <v>9092611</v>
    <v>14381848</v>
    <v>19347233</v>
    <v>17208549</v>
    <v>11958974</v>
    <v>21001690</v>
    <v>16943118</v>
    <v>15060908</v>
    <v>25516881</v>
    <v>14766350</v>
    <v>11888542</v>
    <v>16662017</v>
    <v>12001408</v>
    <v>16682486</v>
    <v>10911058</v>
    <v>14663610</v>
    <v>14357066</v>
    <v>16310187</v>
    <v>14732534</v>
    <v>13570821</v>
    <v>12720409</v>
    <v>19821332</v>
    <v>19983629</v>
    <v>16350176</v>
    <v>18356801</v>
    <v>13859411</v>
    <v>18295497</v>
    <v>14363798</v>
    <v>17028527</v>
    <v>10257609</v>
    <v>11736310</v>
    <v>14873035</v>
    <v>14939808</v>
    <v>17831406</v>
    <v>24718944</v>
    <v>35192213</v>
    <v>19640945</v>
    <v>16027112</v>
    <v>14677646</v>
    <v>13803602</v>
    <v>23260828</v>
    <v>20526299</v>
    <v>14615953</v>
    <v>14961498</v>
    <v>14846536</v>
    <v>10613940</v>
    <v>14905893</v>
    <v>30035955</v>
    <v>30365941</v>
    <v>28448577</v>
    <v>22351792</v>
    <v>24525745</v>
    <v>23516357</v>
    <v>439794417</v>
    <v>435976011</v>
    <v>265154294</v>
    <v>374381181</v>
    <v>247235315</v>
    <v>304655044</v>
    <v>303077473</v>
    <v>410016770</v>
    <v>331869002</v>
    <v>240022829</v>
    <v>231518800</v>
    <v>216159531</v>
    <v>265019304</v>
    <v>185133842</v>
    <v>340392641</v>
    <v>273832901</v>
    <v>297031011</v>
    <v>258903688</v>
    <v>299106015</v>
    <v>280043144</v>
    <v>522207349</v>
    <v>654167864</v>
    <v>542000753</v>
    <v>453874267</v>
    <v>241025525</v>
    <v>384419765</v>
    <v>355830427</v>
    <v>463456747</v>
    <v>356011886</v>
    <v>232909699</v>
    <v>296825349</v>
    <v>406953053</v>
    <v>288809573</v>
    <v>393991296</v>
    <v>520198305</v>
    <v>394687426</v>
    <v>273466819</v>
    <v>221635260</v>
    <v>255063564</v>
    <v>272158346</v>
    <v>375900695</v>
    <v>292165662</v>
    <v>245608340</v>
    <v>178781642</v>
    <v>273789699</v>
    <v>282579916</v>
    <v>489083331</v>
    <v>315546638</v>
    <v>296925396</v>
    <v>318369624</v>
    <v>365081893</v>
    <v>252755140</v>
    <v>302863903</v>
    <v>299166199</v>
    <v>270994912</v>
    <v>254051480</v>
    <v>146850293</v>
    <v>281521569</v>
    <v>351078241</v>
    <v>237746327</v>
    <v>379520261</v>
    <v>274775193</v>
    <v>228457906</v>
    <v>204972331</v>
    <v>208664368</v>
    <v>169287086</v>
    <v>326841086</v>
    <v>280817356</v>
    <v>302586179</v>
    <v>230295946</v>
    <v>223047465</v>
    <v>252244712</v>
    <v>395043681</v>
    <v>281900829</v>
    <v>228630916</v>
    <v>255562790</v>
    <v>181283139</v>
    <v>242850872</v>
    <v>229054410</v>
    <v>317107938</v>
    <v>221826052</v>
    <v>123382161</v>
    <v>197957873</v>
    <v>224548296</v>
    <v>165839872</v>
    <v>224906767</v>
    <v>334522918</v>
    <v>244063315</v>
    <v>248174046</v>
    <v>201663546</v>
    <v>189477339</v>
    <v>178657314</v>
    <v>211721211</v>
    <v>148898429</v>
    <v>130798585</v>
    <v>176830958</v>
    <v>190276970</v>
    <v>199027855</v>
    <v>202325673</v>
    <v>336824385</v>
    <v>172420695</v>
    <v>211066800</v>
    <v>170641494</v>
    <v>150089425</v>
    <v>149494046</v>
    <v>160921777</v>
    <v>189919597</v>
    <v>312940430</v>
    <v>158248835</v>
    <v>175571316</v>
    <v>216879535</v>
    <v>202972080</v>
    <v>326330023</v>
    <v>272525762</v>
    <v>181342195</v>
    <v>154181704</v>
    <v>151090410</v>
    <v>149763799</v>
    <v>167953690</v>
    <v>226527018</v>
    <v>179200351</v>
    <v>172712675</v>
    <v>148616004</v>
    <v>140707228</v>
    <v>137236530</v>
    <v>276163150</v>
    <v>230303242</v>
    <v>249823326</v>
    <v>190810207</v>
    <v>135313494</v>
    <v>205802018</v>
    <v>170377176</v>
    <v>244979593</v>
    <v>86619151</v>
    <v>114613080</v>
    <v>121778812</v>
    <v>150392961</v>
    <v>133694775</v>
    <v>185290341</v>
    <v>244268093</v>
    <v>149796497</v>
    <v>156867357</v>
    <v>232786473</v>
    <v>252078192</v>
    <v>239400514</v>
    <v>226177527</v>
    <v>185653386</v>
    <v>377207047</v>
    <v>432738187</v>
    <v>188246261</v>
    <v>248380988</v>
    <v>282237980</v>
  </a>
  <a r="1" c="523">
    <v>15.3454</v>
    <v>15.1683</v>
    <v>15.2546</v>
    <v>15.7812</v>
    <v>15.1638</v>
    <v>14.9459</v>
    <v>14.7143</v>
    <v>14.4374</v>
    <v>13.860799999999999</v>
    <v>13.933400000000001</v>
    <v>13.9153</v>
    <v>13.7836</v>
    <v>13.9879</v>
    <v>13.856299999999999</v>
    <v>13.3523</v>
    <v>13.0345</v>
    <v>12.471500000000001</v>
    <v>12.7258</v>
    <v>12.2536</v>
    <v>12.3263</v>
    <v>12.049300000000001</v>
    <v>11.354699999999999</v>
    <v>11.835900000000001</v>
    <v>13.3024</v>
    <v>13.102600000000001</v>
    <v>13.1798</v>
    <v>12.24</v>
    <v>14.01</v>
    <v>13.11</v>
    <v>14.06</v>
    <v>12.61</v>
    <v>12.32</v>
    <v>12.21</v>
    <v>11.51</v>
    <v>11.73</v>
    <v>11.84</v>
    <v>10.58</v>
    <v>10.11</v>
    <v>9.8000000000000007</v>
    <v>9.7100000000000009</v>
    <v>9.91</v>
    <v>9.42</v>
    <v>10.32</v>
    <v>10.64</v>
    <v>11.18</v>
    <v>11.7</v>
    <v>12.18</v>
    <v>12.07</v>
    <v>12.26</v>
    <v>12.06</v>
    <v>12.52</v>
    <v>12.61</v>
    <v>12.27</v>
    <v>11.59</v>
    <v>11.5</v>
    <v>11.66</v>
    <v>13.17</v>
    <v>13.44</v>
    <v>13.5</v>
    <v>13.12</v>
    <v>12.26</v>
    <v>12.73</v>
    <v>13.08</v>
    <v>13.85</v>
    <v>14.11</v>
    <v>14.01</v>
    <v>14.28</v>
    <v>14.28</v>
    <v>14.42</v>
    <v>14.39</v>
    <v>14.49</v>
    <v>14.07</v>
    <v>14.53</v>
    <v>15.09</v>
    <v>15.53</v>
    <v>15.58</v>
    <v>14.48</v>
    <v>13.8</v>
    <v>14.09</v>
    <v>14.71</v>
    <v>15.82</v>
    <v>15.87</v>
    <v>15.18</v>
    <v>15.12</v>
    <v>15.78</v>
    <v>15.05</v>
    <v>15.1</v>
    <v>14.84</v>
    <v>15</v>
    <v>14.77</v>
    <v>14.73</v>
    <v>14.8</v>
    <v>15.27</v>
    <v>15.72</v>
    <v>15.95</v>
    <v>17.649999999999999</v>
    <v>17.350000000000001</v>
    <v>17.39</v>
    <v>17.559999999999999</v>
    <v>17.23</v>
    <v>17.88</v>
    <v>17.37</v>
    <v>18.2</v>
    <v>18.29</v>
    <v>18.82</v>
    <v>18.91</v>
    <v>19.3</v>
    <v>19</v>
    <v>18.47</v>
    <v>18.98</v>
    <v>17.8</v>
    <v>17.350000000000001</v>
    <v>17.8</v>
    <v>17.48</v>
    <v>17.350000000000001</v>
    <v>18.420000000000002</v>
    <v>19.149999999999999</v>
    <v>19.170000000000002</v>
    <v>19.37</v>
    <v>18.899999999999999</v>
    <v>18.510000000000002</v>
    <v>19.309999999999999</v>
    <v>19.36</v>
    <v>19.12</v>
    <v>19.47</v>
    <v>19.940000000000001</v>
    <v>19.96</v>
    <v>20.58</v>
    <v>21.71</v>
    <v>22.02</v>
    <v>21.5</v>
    <v>21.47</v>
    <v>21.23</v>
    <v>21.75</v>
    <v>21.24</v>
    <v>21.41</v>
    <v>21.07</v>
    <v>20.92</v>
    <v>21.26</v>
    <v>21.01</v>
    <v>21.75</v>
    <v>22.92</v>
    <v>23.7</v>
    <v>23.91</v>
    <v>22.48</v>
    <v>20.11</v>
    <v>21.4</v>
    <v>22.13</v>
    <v>23.57</v>
    <v>24.65</v>
    <v>23.51</v>
    <v>21.85</v>
    <v>21.92</v>
    <v>20.78</v>
    <v>21.77</v>
    <v>21.53</v>
    <v>21.61</v>
    <v>21.68</v>
    <v>22.71</v>
    <v>22.14</v>
    <v>21.91</v>
    <v>22.68</v>
    <v>23.71</v>
    <v>23.59</v>
    <v>23.8</v>
    <v>22.69</v>
    <v>23.01</v>
    <v>23.71</v>
    <v>22.94</v>
    <v>23.23</v>
    <v>23.34</v>
    <v>23.99</v>
    <v>24.54</v>
    <v>24.15</v>
    <v>24.65</v>
    <v>24.71</v>
    <v>25.04</v>
    <v>25.83</v>
    <v>25.77</v>
    <v>25.34</v>
    <v>23.67</v>
    <v>23.84</v>
    <v>23.13</v>
    <v>24.63</v>
    <v>25</v>
    <v>24.16</v>
    <v>22.51</v>
    <v>23</v>
    <v>22.93</v>
    <v>22.01</v>
    <v>19.649999999999999</v>
    <v>20.34</v>
    <v>20.72</v>
    <v>21.17</v>
    <v>21.75</v>
    <v>22.1</v>
    <v>22.26</v>
    <v>22.92</v>
    <v>23.28</v>
    <v>23.74</v>
    <v>19.600000000000001</v>
    <v>18.739999999999998</v>
    <v>19.940000000000001</v>
    <v>19.34</v>
    <v>19.43</v>
    <v>19.79</v>
    <v>20.21</v>
    <v>20.52</v>
    <v>19.41</v>
    <v>20.29</v>
    <v>19.12</v>
    <v>19.02</v>
    <v>20.03</v>
    <v>18.68</v>
    <v>19.71</v>
    <v>19.91</v>
    <v>20.7</v>
    <v>20.79</v>
    <v>21.16</v>
    <v>21.23</v>
    <v>21.39</v>
    <v>21.52</v>
    <v>20.14</v>
    <v>19.28</v>
    <v>19.079999999999998</v>
    <v>17.809999999999999</v>
    <v>18.29</v>
    <v>19.100000000000001</v>
    <v>19.079999999999998</v>
    <v>18.47</v>
    <v>18.53</v>
    <v>16.64</v>
    <v>16.239999999999998</v>
    <v>16.850000000000001</v>
    <v>17.329999999999998</v>
    <v>17.78</v>
    <v>19.52</v>
    <v>20.18</v>
    <v>19.940000000000001</v>
    <v>20.079999999999998</v>
    <v>20.5</v>
    <v>20.350000000000001</v>
    <v>20.56</v>
    <v>20.53</v>
    <v>20.53</v>
    <v>21.38</v>
    <v>21.97</v>
    <v>21.98</v>
    <v>21.32</v>
    <v>21.73</v>
    <v>22.37</v>
    <v>22.7</v>
    <v>20.79</v>
    <v>21.41</v>
    <v>17.18</v>
    <v>13.95</v>
    <v>16.86</v>
    <v>14.48</v>
    <v>15.97</v>
    <v>15.52</v>
    <v>15</v>
    <v>14.71</v>
    <v>15.66</v>
    <v>14.86</v>
    <v>17</v>
    <v>15.14</v>
    <v>17.41</v>
    <v>16.28</v>
    <v>16.78</v>
    <v>16.61</v>
    <v>17.07</v>
    <v>16.989999999999998</v>
    <v>17.55</v>
    <v>17.5</v>
    <v>17.579999999999998</v>
    <v>18.47</v>
    <v>18.18</v>
    <v>18.23</v>
    <v>19.850000000000001</v>
    <v>19.23</v>
    <v>19.29</v>
    <v>18.95</v>
    <v>18.3</v>
    <v>19.09</v>
    <v>19.37</v>
    <v>19.600000000000001</v>
    <v>19.12</v>
    <v>17.96</v>
    <v>19.25</v>
    <v>19.61</v>
    <v>20.45</v>
    <v>22.27</v>
    <v>23.78</v>
    <v>23.11</v>
    <v>24.46</v>
    <v>24.26</v>
    <v>24.59</v>
    <v>25.53</v>
    <v>25.17</v>
    <v>25.27</v>
    <v>24.34</v>
    <v>26.15</v>
    <v>27.49</v>
    <v>27.1</v>
    <v>28.97</v>
    <v>29.75</v>
    <v>30.28</v>
    <v>30.08</v>
    <v>31.66</v>
    <v>32.049999999999997</v>
    <v>32.979999999999997</v>
    <v>33.979999999999997</v>
    <v>34.42</v>
    <v>34.11</v>
    <v>35.57</v>
    <v>32.92</v>
    <v>31.66</v>
    <v>29.23</v>
    <v>30.63</v>
    <v>30.08</v>
    <v>28.67</v>
    <v>29.71</v>
    <v>30.7</v>
    <v>30.04</v>
    <v>27.52</v>
    <v>28.2</v>
    <v>28.87</v>
    <v>29.32</v>
    <v>29.01</v>
    <v>28.22</v>
    <v>28.92</v>
    <v>29.86</v>
    <v>28</v>
    <v>27.68</v>
    <v>27.89</v>
    <v>28.07</v>
    <v>27.89</v>
    <v>28.28</v>
    <v>30.47</v>
    <v>30.33</v>
    <v>31.95</v>
    <v>31.82</v>
    <v>31.45</v>
    <v>34.58</v>
    <v>37.549999999999997</v>
    <v>36.43</v>
    <v>36.57</v>
    <v>37.65</v>
    <v>37.67</v>
    <v>38.65</v>
    <v>38.42</v>
    <v>34.86</v>
    <v>36.299999999999997</v>
    <v>37.6</v>
    <v>37.33</v>
    <v>36.200000000000003</v>
    <v>34.450000000000003</v>
    <v>36.35</v>
    <v>36.29</v>
    <v>37.090000000000003</v>
    <v>39.840000000000003</v>
    <v>35.6</v>
    <v>38.630000000000003</v>
    <v>37.47</v>
    <v>36.79</v>
    <v>36.630000000000003</v>
    <v>37.090000000000003</v>
    <v>36.78</v>
    <v>34.65</v>
    <v>38.75</v>
    <v>39.81</v>
    <v>35.28</v>
    <v>33.549999999999997</v>
    <v>35.229999999999997</v>
    <v>31.87</v>
    <v>32.11</v>
    <v>31.66</v>
    <v>32.47</v>
    <v>33.39</v>
    <v>33.58</v>
    <v>34.65</v>
    <v>34.229999999999997</v>
    <v>31.39</v>
    <v>27.64</v>
    <v>28.26</v>
    <v>27.23</v>
    <v>25.35</v>
    <v>24.92</v>
    <v>25.04</v>
    <v>25.44</v>
    <v>26.79</v>
    <v>28.05</v>
    <v>28.29</v>
    <v>30.55</v>
    <v>29.48</v>
    <v>30.15</v>
    <v>29.64</v>
    <v>28.21</v>
    <v>26.72</v>
    <v>26.76</v>
    <v>26.87</v>
    <v>28.36</v>
    <v>27.91</v>
    <v>27.91</v>
    <v>29.23</v>
    <v>30.51</v>
    <v>29.97</v>
    <v>30.16</v>
    <v>29.22</v>
    <v>28.61</v>
    <v>27.45</v>
    <v>28.04</v>
    <v>27.72</v>
    <v>29.35</v>
    <v>29.29</v>
    <v>29.82</v>
    <v>29.48</v>
    <v>29.71</v>
    <v>30.13</v>
    <v>28.9</v>
    <v>30.54</v>
    <v>31.3</v>
    <v>30.55</v>
    <v>29.8</v>
    <v>31</v>
    <v>29.61</v>
    <v>30.71</v>
    <v>31.13</v>
    <v>32.79</v>
    <v>32.24</v>
    <v>32.630000000000003</v>
    <v>32.43</v>
    <v>32.770000000000003</v>
    <v>31.06</v>
    <v>30.84</v>
    <v>30.37</v>
    <v>29.45</v>
    <v>27.34</v>
    <v>26.77</v>
    <v>25.7</v>
    <v>25.9</v>
    <v>26.5</v>
    <v>26.01</v>
    <v>25.84</v>
    <v>27.42</v>
    <v>27.62</v>
    <v>28.31</v>
    <v>28.64</v>
    <v>29.5</v>
    <v>29.46</v>
    <v>30.78</v>
    <v>30.18</v>
    <v>30.09</v>
    <v>29.95</v>
    <v>29.81</v>
    <v>29.12</v>
    <v>30</v>
    <v>28.68</v>
    <v>28.42</v>
    <v>28.58</v>
    <v>29.27</v>
    <v>29.41</v>
    <v>30.74</v>
    <v>30.42</v>
    <v>30.05</v>
    <v>30.22</v>
    <v>29.11</v>
    <v>28.53</v>
    <v>27.81</v>
    <v>28</v>
    <v>28.18</v>
    <v>29.72</v>
    <v>31.19</v>
    <v>32.75</v>
    <v>36.5</v>
    <v>36.450000000000003</v>
    <v>35.51</v>
    <v>36.369999999999997</v>
    <v>35.020000000000003</v>
    <v>34.630000000000003</v>
    <v>36.729999999999997</v>
    <v>37.15</v>
    <v>36.340000000000003</v>
    <v>33.72</v>
    <v>33.54</v>
    <v>35.909999999999997</v>
    <v>35.659999999999997</v>
    <v>36.18</v>
    <v>33.82</v>
    <v>33.32</v>
    <v>34.76</v>
    <v>35.409999999999997</v>
    <v>35.99</v>
    <v>37.01</v>
    <v>37.28</v>
    <v>36.880000000000003</v>
    <v>36.28</v>
    <v>36.82</v>
    <v>36.72</v>
    <v>38.130000000000003</v>
    <v>35.43</v>
    <v>36.200000000000003</v>
    <v>34.549999999999997</v>
    <v>32.94</v>
    <v>33.28</v>
    <v>33.14</v>
    <v>33.200000000000003</v>
    <v>32.51</v>
    <v>32.729999999999997</v>
    <v>32.5</v>
    <v>32.270000000000003</v>
    <v>33.64</v>
    <v>34.630000000000003</v>
    <v>30.87</v>
    <v>30.54</v>
    <v>28.41</v>
    <v>28.68</v>
    <v>27.9</v>
    <v>22.61</v>
    <v>23.44</v>
    <v>23.83</v>
    <v>25.28</v>
    <v>25.95</v>
  </a>
  <a r="1" c="523">
    <v>15.1593</v>
    <v>15.3454</v>
    <v>15.1638</v>
    <v>15.204700000000001</v>
    <v>15.6496</v>
    <v>15.1683</v>
    <v>14.877800000000001</v>
    <v>14.6508</v>
    <v>14.51</v>
    <v>13.77</v>
    <v>13.7927</v>
    <v>14.046900000000001</v>
    <v>13.8018</v>
    <v>13.842599999999999</v>
    <v>13.888</v>
    <v>13.3796</v>
    <v>12.9392</v>
    <v>11.6271</v>
    <v>12.6259</v>
    <v>12.4534</v>
    <v>12.3444</v>
    <v>11.885899999999999</v>
    <v>11.118600000000001</v>
    <v>11.963100000000001</v>
    <v>13.2615</v>
    <v>12.9846</v>
    <v>13.1389</v>
    <v>12.47</v>
    <v>14.25</v>
    <v>13.15</v>
    <v>14.31</v>
    <v>12.58</v>
    <v>12.21</v>
    <v>12.3</v>
    <v>11.6</v>
    <v>11.7</v>
    <v>11.58</v>
    <v>10.66</v>
    <v>10.27</v>
    <v>9.7899999999999991</v>
    <v>9.65</v>
    <v>9.76</v>
    <v>9.56</v>
    <v>10.44</v>
    <v>10.64</v>
    <v>10.99</v>
    <v>11.63</v>
    <v>12.14</v>
    <v>12.06</v>
    <v>12.24</v>
    <v>12.1</v>
    <v>12.48</v>
    <v>12.55</v>
    <v>12.26</v>
    <v>11.58</v>
    <v>11.53</v>
    <v>11.66</v>
    <v>13.12</v>
    <v>13.43</v>
    <v>13.27</v>
    <v>13.28</v>
    <v>12.11</v>
    <v>12.62</v>
    <v>13.17</v>
    <v>13.85</v>
    <v>14.1</v>
    <v>14.06</v>
    <v>14.3</v>
    <v>14.31</v>
    <v>14.36</v>
    <v>14.41</v>
    <v>14.54</v>
    <v>13.85</v>
    <v>14.58</v>
    <v>15</v>
    <v>15.46</v>
    <v>15.69</v>
    <v>14.5</v>
    <v>13.86</v>
    <v>14.13</v>
    <v>14.9</v>
    <v>15.85</v>
    <v>15.94</v>
    <v>15.06</v>
    <v>15.26</v>
    <v>15.41</v>
    <v>15.03</v>
    <v>15.14</v>
    <v>14.95</v>
    <v>14.98</v>
    <v>14.68</v>
    <v>14.71</v>
    <v>14.83</v>
    <v>15.17</v>
    <v>15.75</v>
    <v>15.93</v>
    <v>17.649999999999999</v>
    <v>17.440000000000001</v>
    <v>17.41</v>
    <v>17.57</v>
    <v>17.09</v>
    <v>17.93</v>
    <v>17.399999999999999</v>
    <v>18.170000000000002</v>
    <v>18.52</v>
    <v>18.850000000000001</v>
    <v>18.91</v>
    <v>19.350000000000001</v>
    <v>19.079999999999998</v>
    <v>18.43</v>
    <v>18.940000000000001</v>
    <v>17.61</v>
    <v>17.420000000000002</v>
    <v>17.89</v>
    <v>17.59</v>
    <v>17.53</v>
    <v>18.420000000000002</v>
    <v>19.12</v>
    <v>19.2</v>
    <v>19.37</v>
    <v>19.07</v>
    <v>18.48</v>
    <v>19.350000000000001</v>
    <v>19.28</v>
    <v>19.263000000000002</v>
    <v>19.52</v>
    <v>19.84</v>
    <v>19.940000000000001</v>
    <v>20.64</v>
    <v>21.77</v>
    <v>22.15</v>
    <v>21.47</v>
    <v>21.47</v>
    <v>21.23</v>
    <v>21.81</v>
    <v>21.17</v>
    <v>21.46</v>
    <v>20.97</v>
    <v>21</v>
    <v>21.13</v>
    <v>21.18</v>
    <v>21.78</v>
    <v>23.05</v>
    <v>23.68</v>
    <v>24.1</v>
    <v>22.32</v>
    <v>20.29</v>
    <v>21.27</v>
    <v>22.55</v>
    <v>23.46</v>
    <v>24.69</v>
    <v>23.45</v>
    <v>22.25</v>
    <v>21.84</v>
    <v>20.94</v>
    <v>21.97</v>
    <v>21.56</v>
    <v>21.66</v>
    <v>21.71</v>
    <v>22.82</v>
    <v>22.34</v>
    <v>21.739000000000001</v>
    <v>22.7</v>
    <v>23.68</v>
    <v>23.37</v>
    <v>23.63</v>
    <v>22.54</v>
    <v>23.14</v>
    <v>23.69</v>
    <v>22.87</v>
    <v>23.25</v>
    <v>23.28</v>
    <v>24.05</v>
    <v>24.54</v>
    <v>24.39</v>
    <v>24.53</v>
    <v>24.78</v>
    <v>25.04</v>
    <v>25.73</v>
    <v>25.8</v>
    <v>25.19</v>
    <v>23.62</v>
    <v>24</v>
    <v>23.48</v>
    <v>24.63</v>
    <v>24.77</v>
    <v>24.09</v>
    <v>22.85</v>
    <v>23.4</v>
    <v>22.8</v>
    <v>21.9</v>
    <v>19.399999999999999</v>
    <v>20.49</v>
    <v>20.75</v>
    <v>20.94</v>
    <v>21.62</v>
    <v>21.83</v>
    <v>22.27</v>
    <v>23</v>
    <v>23.24</v>
    <v>23.83</v>
    <v>19.61</v>
    <v>18.78</v>
    <v>19.91</v>
    <v>19.279900000000001</v>
    <v>19.73</v>
    <v>19.739999999999998</v>
    <v>20.23</v>
    <v>20.420000000000002</v>
    <v>19.329999999999998</v>
    <v>19.829999999999998</v>
    <v>18.55</v>
    <v>18.75</v>
    <v>19.98</v>
    <v>18.75</v>
    <v>19.829999999999998</v>
    <v>19.87</v>
    <v>20.7</v>
    <v>21.12</v>
    <v>21</v>
    <v>21.25</v>
    <v>21.5</v>
    <v>21.47</v>
    <v>19.96</v>
    <v>19.149999999999999</v>
    <v>19.46</v>
    <v>17.98</v>
    <v>18.07</v>
    <v>18.79</v>
    <v>18.559999999999999</v>
    <v>18.39</v>
    <v>18.600000000000001</v>
    <v>16.53</v>
    <v>16.329999999999998</v>
    <v>16.989999999999998</v>
    <v>17.46</v>
    <v>17.850000000000001</v>
    <v>19.53</v>
    <v>19.899999999999999</v>
    <v>19.95</v>
    <v>19.98</v>
    <v>20.49</v>
    <v>20.399999999999999</v>
    <v>20.55</v>
    <v>20.5</v>
    <v>20.66</v>
    <v>21.46</v>
    <v>21.92</v>
    <v>21.63</v>
    <v>21.4</v>
    <v>22.7</v>
    <v>22.07</v>
    <v>22.28</v>
    <v>20.9</v>
    <v>19.96</v>
    <v>15.72</v>
    <v>13.78</v>
    <v>16.93</v>
    <v>15.22</v>
    <v>15.95</v>
    <v>15.22</v>
    <v>15.12</v>
    <v>14.63</v>
    <v>15.42</v>
    <v>15.36</v>
    <v>17.399999999999999</v>
    <v>15.05</v>
    <v>17.64</v>
    <v>15.83</v>
    <v>16.670000000000002</v>
    <v>16.7</v>
    <v>17.350000000000001</v>
    <v>17.170000000000002</v>
    <v>17.41</v>
    <v>17.59</v>
    <v>17.59</v>
    <v>18.5</v>
    <v>18.239999999999998</v>
    <v>18.420000000000002</v>
    <v>19.8</v>
    <v>18.87</v>
    <v>19.5</v>
    <v>18.52</v>
    <v>18.600000000000001</v>
    <v>19.32</v>
    <v>19.57</v>
    <v>19.670000000000002</v>
    <v>18.88</v>
    <v>18.18</v>
    <v>19.920000000000002</v>
    <v>19.89</v>
    <v>20.7</v>
    <v>22.09</v>
    <v>23.57</v>
    <v>23.12</v>
    <v>23.96</v>
    <v>24.31</v>
    <v>24.7</v>
    <v>25.5</v>
    <v>25.26</v>
    <v>25.22</v>
    <v>24.48</v>
    <v>26.37</v>
    <v>27.53</v>
    <v>26.99</v>
    <v>29.37</v>
    <v>29.61</v>
    <v>30.26</v>
    <v>30.11</v>
    <v>31.59</v>
    <v>32.32</v>
    <v>32.979999999999997</v>
    <v>33.799999999999997</v>
    <v>34.5</v>
    <v>34.33</v>
    <v>35.89</v>
    <v>32.74</v>
    <v>32.89</v>
    <v>29.72</v>
    <v>30.8</v>
    <v>30.04</v>
    <v>28.9</v>
    <v>29.76</v>
    <v>30.58</v>
    <v>29.9</v>
    <v>27.12</v>
    <v>28.35</v>
    <v>29.05</v>
    <v>29.3</v>
    <v>28.92</v>
    <v>28.44</v>
    <v>29.14</v>
    <v>29.5</v>
    <v>28.21</v>
    <v>27.06</v>
    <v>27.85</v>
    <v>27.96</v>
    <v>27.97</v>
    <v>28.09</v>
    <v>30.85</v>
    <v>30.42</v>
    <v>31.9</v>
    <v>31.92</v>
    <v>31.6</v>
    <v>34.765000000000001</v>
    <v>37.799999999999997</v>
    <v>36.299999999999997</v>
    <v>36.090000000000003</v>
    <v>37.53</v>
    <v>37.71</v>
    <v>38.590000000000003</v>
    <v>38.01</v>
    <v>34.295000000000002</v>
    <v>36.119999999999997</v>
    <v>37.54</v>
    <v>37.26</v>
    <v>36.049999999999997</v>
    <v>34.29</v>
    <v>36.049999999999997</v>
    <v>35.97</v>
    <v>36.9</v>
    <v>38.36</v>
    <v>35.78</v>
    <v>38.44</v>
    <v>37.54</v>
    <v>36.6</v>
    <v>36.619999999999997</v>
    <v>36.159999999999997</v>
    <v>36.89</v>
    <v>34.770000000000003</v>
    <v>38.69</v>
    <v>40.07</v>
    <v>34.4</v>
    <v>34.46</v>
    <v>35.44</v>
    <v>30.91</v>
    <v>31.56</v>
    <v>31.99</v>
    <v>32.64</v>
    <v>33.049999999999997</v>
    <v>33.799999999999997</v>
    <v>34.369999999999997</v>
    <v>33.715000000000003</v>
    <v>31.05</v>
    <v>27.61</v>
    <v>28.45</v>
    <v>26.98</v>
    <v>25.07</v>
    <v>25.34</v>
    <v>25.28</v>
    <v>25.87</v>
    <v>27</v>
    <v>27.79</v>
    <v>28.35</v>
    <v>30.17</v>
    <v>29.16</v>
    <v>29.75</v>
    <v>29.41</v>
    <v>28.18</v>
    <v>26.76</v>
    <v>26.77</v>
    <v>27</v>
    <v>28.63</v>
    <v>27.86</v>
    <v>28.05</v>
    <v>28.9</v>
    <v>30.22</v>
    <v>29.86</v>
    <v>29.63</v>
    <v>29.57</v>
    <v>28.87</v>
    <v>27.11</v>
    <v>28.18</v>
    <v>27.97</v>
    <v>29.34</v>
    <v>29.17</v>
    <v>30.7</v>
    <v>29.44</v>
    <v>29.86</v>
    <v>30.25</v>
    <v>28.87</v>
    <v>30.49</v>
    <v>31.62</v>
    <v>30.46</v>
    <v>29.95</v>
    <v>30.81</v>
    <v>29.78</v>
    <v>30.7</v>
    <v>31.13</v>
    <v>32.67</v>
    <v>32.369999999999997</v>
    <v>32.74</v>
    <v>32.65</v>
    <v>32.74</v>
    <v>31.07</v>
    <v>30.94</v>
    <v>30.17</v>
    <v>29.7</v>
    <v>27.26</v>
    <v>26.18</v>
    <v>25.64</v>
    <v>25.86</v>
    <v>26.7</v>
    <v>25.94</v>
    <v>26</v>
    <v>27.5</v>
    <v>27.76</v>
    <v>28.08</v>
    <v>28.41</v>
    <v>29.24</v>
    <v>29.9</v>
    <v>30.68</v>
    <v>30.14</v>
    <v>29.82</v>
    <v>30.14</v>
    <v>29.5</v>
    <v>29.3</v>
    <v>30</v>
    <v>28.57</v>
    <v>28.42</v>
    <v>28.38</v>
    <v>29.31</v>
    <v>29.35</v>
    <v>30.61</v>
    <v>30.39</v>
    <v>29.89</v>
    <v>30.25</v>
    <v>29.28</v>
    <v>28.77</v>
    <v>28</v>
    <v>28.12</v>
    <v>28.33</v>
    <v>29.84</v>
    <v>31.38</v>
    <v>32.89</v>
    <v>36.5</v>
    <v>36.299999999999997</v>
    <v>35.61</v>
    <v>36.35</v>
    <v>35.200000000000003</v>
    <v>34.85</v>
    <v>36.43</v>
    <v>37.619999999999997</v>
    <v>36.4</v>
    <v>32.58</v>
    <v>33.630000000000003</v>
    <v>34.619999999999997</v>
    <v>35.85</v>
    <v>35.99</v>
    <v>34.28</v>
    <v>33.19</v>
    <v>34.79</v>
    <v>35.5</v>
    <v>35.97</v>
    <v>37</v>
    <v>37.340000000000003</v>
    <v>37</v>
    <v>36.270000000000003</v>
    <v>36.99</v>
    <v>36.92</v>
    <v>38.49</v>
    <v>35.75</v>
    <v>36.28</v>
    <v>34.4</v>
    <v>32.840000000000003</v>
    <v>32.840000000000003</v>
    <v>33.53</v>
    <v>33.090000000000003</v>
    <v>32.42</v>
    <v>32.53</v>
    <v>31.71</v>
    <v>32.590000000000003</v>
    <v>33.869999999999997</v>
    <v>34.840000000000003</v>
    <v>31.08</v>
    <v>30.31</v>
    <v>28.395</v>
    <v>29.06</v>
    <v>27.454999999999998</v>
    <v>21.82</v>
    <v>24.69</v>
    <v>23.45</v>
    <v>25.28</v>
  </a>
  <a r="1" c="523">
    <v>15.404400000000001</v>
    <v>15.3863</v>
    <v>15.3545</v>
    <v>16.162600000000001</v>
    <v>15.717700000000001</v>
    <v>15.5633</v>
    <v>15.0503</v>
    <v>14.782400000000001</v>
    <v>14.5282</v>
    <v>14.0787</v>
    <v>14.1196</v>
    <v>14.065099999999999</v>
    <v>14.282999999999999</v>
    <v>13.9925</v>
    <v>13.974299999999999</v>
    <v>13.751799999999999</v>
    <v>13.3614</v>
    <v>12.7712</v>
    <v>13.03</v>
    <v>12.716699999999999</v>
    <v>12.9596</v>
    <v>12.122</v>
    <v>11.835900000000001</v>
    <v>13.5158</v>
    <v>13.438599999999999</v>
    <v>13.278499999999999</v>
    <v>13.1753</v>
    <v>14.5</v>
    <v>14.35</v>
    <v>14.09</v>
    <v>14.82</v>
    <v>12.77</v>
    <v>12.465</v>
    <v>12.47</v>
    <v>11.89</v>
    <v>11.99</v>
    <v>11.78</v>
    <v>10.925000000000001</v>
    <v>10.28</v>
    <v>9.89</v>
    <v>10.119999999999999</v>
    <v>9.8089999999999993</v>
    <v>10.67</v>
    <v>10.99</v>
    <v>11.32</v>
    <v>11.7</v>
    <v>12.25</v>
    <v>12.3</v>
    <v>12.39</v>
    <v>12.3</v>
    <v>12.74</v>
    <v>12.96</v>
    <v>12.8</v>
    <v>12.33</v>
    <v>11.8</v>
    <v>11.79</v>
    <v>13.305</v>
    <v>13.645</v>
    <v>13.9</v>
    <v>13.29</v>
    <v>13.38</v>
    <v>12.76</v>
    <v>13.154999999999999</v>
    <v>13.94</v>
    <v>14.25</v>
    <v>14.27</v>
    <v>14.38</v>
    <v>14.38</v>
    <v>14.6</v>
    <v>14.73</v>
    <v>14.7</v>
    <v>14.75</v>
    <v>14.8</v>
    <v>15.185</v>
    <v>15.73</v>
    <v>15.74</v>
    <v>15.88</v>
    <v>14.56</v>
    <v>14.19</v>
    <v>14.93</v>
    <v>15.9</v>
    <v>16.190000000000001</v>
    <v>16.190000000000001</v>
    <v>15.53</v>
    <v>16.25</v>
    <v>15.95</v>
    <v>15.36</v>
    <v>15.31</v>
    <v>15.21</v>
    <v>15.09</v>
    <v>15.02</v>
    <v>15.35</v>
    <v>15.32</v>
    <v>15.77</v>
    <v>16.41</v>
    <v>17.8</v>
    <v>17.809999999999999</v>
    <v>17.600000000000001</v>
    <v>17.71</v>
    <v>17.690000000000001</v>
    <v>17.96</v>
    <v>17.95</v>
    <v>18.37</v>
    <v>18.61</v>
    <v>18.829999999999998</v>
    <v>19.03</v>
    <v>19.420000000000002</v>
    <v>19.484999999999999</v>
    <v>19.579999999999998</v>
    <v>19.16</v>
    <v>18.96</v>
    <v>17.940000000000001</v>
    <v>17.96</v>
    <v>18.245000000000001</v>
    <v>17.745000000000001</v>
    <v>18.489999999999998</v>
    <v>19.234999999999999</v>
    <v>19.579999999999998</v>
    <v>19.579999999999998</v>
    <v>19.48</v>
    <v>19.2</v>
    <v>19.78</v>
    <v>19.5</v>
    <v>19.475000000000001</v>
    <v>19.55</v>
    <v>19.95</v>
    <v>20.125</v>
    <v>20.61</v>
    <v>22</v>
    <v>22.16</v>
    <v>22.305900000000001</v>
    <v>21.704999999999998</v>
    <v>21.53</v>
    <v>21.87</v>
    <v>22.68</v>
    <v>21.97</v>
    <v>21.73</v>
    <v>21.36</v>
    <v>21.62</v>
    <v>21.305</v>
    <v>21.77</v>
    <v>22.97</v>
    <v>23.79</v>
    <v>23.998000000000001</v>
    <v>24.1</v>
    <v>22.56</v>
    <v>21.71</v>
    <v>23.22</v>
    <v>23.9</v>
    <v>24.75</v>
    <v>24.69</v>
    <v>23.57</v>
    <v>22.44</v>
    <v>21.88</v>
    <v>22.12</v>
    <v>22.14</v>
    <v>21.66</v>
    <v>21.91</v>
    <v>22.84</v>
    <v>23.065000000000001</v>
    <v>22.34</v>
    <v>22.71</v>
    <v>23.745000000000001</v>
    <v>24.2</v>
    <v>23.899899999999999</v>
    <v>23.76</v>
    <v>23.22</v>
    <v>23.97</v>
    <v>23.74</v>
    <v>23.645</v>
    <v>23.484999999999999</v>
    <v>24.32</v>
    <v>24.62</v>
    <v>24.8</v>
    <v>25.28</v>
    <v>24.958400000000001</v>
    <v>25.15</v>
    <v>26.14</v>
    <v>26.22</v>
    <v>27.08</v>
    <v>25.344999999999999</v>
    <v>24.25</v>
    <v>24.43</v>
    <v>24.83</v>
    <v>25.72</v>
    <v>24.86</v>
    <v>24.17</v>
    <v>23.44</v>
    <v>24.17</v>
    <v>23.4</v>
    <v>22.274999999999999</v>
    <v>20.795000000000002</v>
    <v>20.89</v>
    <v>21.524999999999999</v>
    <v>21.79</v>
    <v>22.12</v>
    <v>22.29</v>
    <v>23.09</v>
    <v>23.54</v>
    <v>23.82</v>
    <v>24.09</v>
    <v>19.91</v>
    <v>19.97</v>
    <v>20.344999999999999</v>
    <v>19.48</v>
    <v>20.195</v>
    <v>20.245000000000001</v>
    <v>20.65</v>
    <v>20.48</v>
    <v>20.350000000000001</v>
    <v>20.11</v>
    <v>19.135000000000002</v>
    <v>20.226500000000001</v>
    <v>20.13</v>
    <v>19.98</v>
    <v>20.09</v>
    <v>20.9</v>
    <v>21.09</v>
    <v>21.38</v>
    <v>21.27</v>
    <v>21.614999999999998</v>
    <v>21.74</v>
    <v>21.6</v>
    <v>20</v>
    <v>19.79</v>
    <v>19.63</v>
    <v>18.510000000000002</v>
    <v>19.16</v>
    <v>19.2</v>
    <v>19.04</v>
    <v>18.75</v>
    <v>19.18</v>
    <v>17.02</v>
    <v>17.16</v>
    <v>17.454999999999998</v>
    <v>17.78</v>
    <v>21.67</v>
    <v>20.25</v>
    <v>20.23</v>
    <v>20.440000000000001</v>
    <v>20.65</v>
    <v>20.75</v>
    <v>20.69</v>
    <v>20.795000000000002</v>
    <v>20.83</v>
    <v>21.54</v>
    <v>21.98</v>
    <v>22.2</v>
    <v>21.91</v>
    <v>21.93</v>
    <v>22.87</v>
    <v>22.82</v>
    <v>23.93</v>
    <v>21.88</v>
    <v>20.329999999999998</v>
    <v>15.72</v>
    <v>18.21</v>
    <v>18.09</v>
    <v>16.489999999999998</v>
    <v>16.149999999999999</v>
    <v>15.49</v>
    <v>16.64</v>
    <v>15.74</v>
    <v>15.59</v>
    <v>17.54</v>
    <v>17.48</v>
    <v>17.64</v>
    <v>18.324999999999999</v>
    <v>17.61</v>
    <v>17.344999999999999</v>
    <v>17.594999999999999</v>
    <v>17.6281</v>
    <v>18.3627</v>
    <v>18.03</v>
    <v>17.87</v>
    <v>18.47</v>
    <v>19.43</v>
    <v>18.489999999999998</v>
    <v>20.18</v>
    <v>20.170000000000002</v>
    <v>19.98</v>
    <v>19.754999999999999</v>
    <v>18.95</v>
    <v>19.32</v>
    <v>19.68</v>
    <v>19.97</v>
    <v>19.77</v>
    <v>19</v>
    <v>19.34</v>
    <v>20.6</v>
    <v>20.95</v>
    <v>23.35</v>
    <v>23.88</v>
    <v>23.89</v>
    <v>24.53</v>
    <v>24.46</v>
    <v>24.69</v>
    <v>25.94</v>
    <v>26.145</v>
    <v>25.44</v>
    <v>25.36</v>
    <v>26.58</v>
    <v>27.55</v>
    <v>27.68</v>
    <v>30.25</v>
    <v>30.44</v>
    <v>30.83</v>
    <v>31.11</v>
    <v>31.69</v>
    <v>32.14</v>
    <v>32.99</v>
    <v>34.270000000000003</v>
    <v>34.607900000000001</v>
    <v>34.869999999999997</v>
    <v>35.590000000000003</v>
    <v>36</v>
    <v>33.125</v>
    <v>32.89</v>
    <v>30.81</v>
    <v>30.885000000000002</v>
    <v>30.12</v>
    <v>29.914999999999999</v>
    <v>30.8063</v>
    <v>30.65</v>
    <v>29.925000000000001</v>
    <v>28.67</v>
    <v>28.98</v>
    <v>29.69</v>
    <v>30.475000000000001</v>
    <v>29.53</v>
    <v>29.734999999999999</v>
    <v>30.36</v>
    <v>29.574999999999999</v>
    <v>28.47</v>
    <v>28.225000000000001</v>
    <v>29.535</v>
    <v>28.54</v>
    <v>28.62</v>
    <v>30.995000000000001</v>
    <v>30.98</v>
    <v>32.04</v>
    <v>32.28</v>
    <v>32.03</v>
    <v>36.21</v>
    <v>38.49</v>
    <v>38.22</v>
    <v>37.29</v>
    <v>38.04</v>
    <v>38.409999999999997</v>
    <v>39.645000000000003</v>
    <v>39.65</v>
    <v>38.340000000000003</v>
    <v>36.459299999999999</v>
    <v>38.44</v>
    <v>39.07</v>
    <v>38.049999999999997</v>
    <v>36.22</v>
    <v>36.79</v>
    <v>36.750100000000003</v>
    <v>37.590000000000003</v>
    <v>39.840000000000003</v>
    <v>40.365000000000002</v>
    <v>41.47</v>
    <v>39.54</v>
    <v>39.78</v>
    <v>38.204999999999998</v>
    <v>39.520000000000003</v>
    <v>38.774999999999999</v>
    <v>39.706600000000002</v>
    <v>39.14</v>
    <v>40.79</v>
    <v>40.590000000000003</v>
    <v>34.94</v>
    <v>35.26</v>
    <v>35.75</v>
    <v>32.424999999999997</v>
    <v>31.94</v>
    <v>33.57</v>
    <v>33.42</v>
    <v>33.99</v>
    <v>34.78</v>
    <v>35.32</v>
    <v>34.520000000000003</v>
    <v>31.984999999999999</v>
    <v>28.36</v>
    <v>28.9</v>
    <v>27.315000000000001</v>
    <v>25.69</v>
    <v>27.04</v>
    <v>26.35</v>
    <v>26.835000000000001</v>
    <v>28.12</v>
    <v>28.31</v>
    <v>30.684999999999999</v>
    <v>31.085000000000001</v>
    <v>30.74</v>
    <v>30.23</v>
    <v>29.62</v>
    <v>29.73</v>
    <v>27</v>
    <v>27.3</v>
    <v>28.57</v>
    <v>29.175000000000001</v>
    <v>28.024999999999999</v>
    <v>29.54</v>
    <v>31.02</v>
    <v>30.32</v>
    <v>30.57</v>
    <v>29.73</v>
    <v>30.26</v>
    <v>29.085000000000001</v>
    <v>28.424900000000001</v>
    <v>28.79</v>
    <v>29.39</v>
    <v>30.08</v>
    <v>30.63</v>
    <v>31.47</v>
    <v>30.07</v>
    <v>30.48</v>
    <v>30.680099999999999</v>
    <v>30.98</v>
    <v>31.4</v>
    <v>31.71</v>
    <v>30.52</v>
    <v>31.38</v>
    <v>30.875</v>
    <v>30.78</v>
    <v>31.41</v>
    <v>33.9</v>
    <v>33.25</v>
    <v>33.5</v>
    <v>33.049999999999997</v>
    <v>33.244999999999997</v>
    <v>32.75</v>
    <v>31.53</v>
    <v>31.86</v>
    <v>30.38</v>
    <v>29.91</v>
    <v>27.74</v>
    <v>26.92</v>
    <v>26.61</v>
    <v>27.045000000000002</v>
    <v>27.24</v>
    <v>26.35</v>
    <v>27.535</v>
    <v>27.68</v>
    <v>28.855</v>
    <v>29.292200000000001</v>
    <v>29.58</v>
    <v>29.59</v>
    <v>31.17</v>
    <v>30.81</v>
    <v>30.55</v>
    <v>30.22</v>
    <v>31.09</v>
    <v>29.56</v>
    <v>30.16</v>
    <v>30.01</v>
    <v>28.59</v>
    <v>29.094999999999999</v>
    <v>29.33</v>
    <v>29.63</v>
    <v>31.05</v>
    <v>30.9559</v>
    <v>30.47</v>
    <v>30.364999999999998</v>
    <v>30.56</v>
    <v>29.98</v>
    <v>28.9</v>
    <v>28.59</v>
    <v>28.5</v>
    <v>29.88</v>
    <v>31.395</v>
    <v>33.380000000000003</v>
    <v>39.520000000000003</v>
    <v>36.79</v>
    <v>36.975000000000001</v>
    <v>37.18</v>
    <v>36.9</v>
    <v>35.229999999999997</v>
    <v>36.909999999999997</v>
    <v>38.42</v>
    <v>38.14</v>
    <v>36.424999999999997</v>
    <v>33.89</v>
    <v>36.03</v>
    <v>36.17</v>
    <v>36.869900000000001</v>
    <v>36.17</v>
    <v>34.83</v>
    <v>35.216000000000001</v>
    <v>36.93</v>
    <v>36.11</v>
    <v>37.479999999999997</v>
    <v>37.97</v>
    <v>37.545000000000002</v>
    <v>37.634999999999998</v>
    <v>37.6</v>
    <v>38.669899999999998</v>
    <v>38.65</v>
    <v>39.795000000000002</v>
    <v>36.93</v>
    <v>36.81</v>
    <v>34.78</v>
    <v>33.65</v>
    <v>33.15</v>
    <v>34.450000000000003</v>
    <v>33.545000000000002</v>
    <v>33.57</v>
    <v>33.36</v>
    <v>32.97</v>
    <v>33.81</v>
    <v>34.950000000000003</v>
    <v>35.274999999999999</v>
    <v>31.43</v>
    <v>30.5</v>
    <v>29.01</v>
    <v>29.175000000000001</v>
    <v>28.065000000000001</v>
    <v>24.335000000000001</v>
    <v>25.109200000000001</v>
    <v>25.58</v>
    <v>26.074999999999999</v>
  </a>
  <a r="1" c="523">
    <v>14.8596</v>
    <v>14.6417</v>
    <v>14.9368</v>
    <v>14.88</v>
    <v>15.082100000000001</v>
    <v>14.898199999999999</v>
    <v>14.619</v>
    <v>14.2921</v>
    <v>13.742800000000001</v>
    <v>13.4023</v>
    <v>13.4931</v>
    <v>13.5975</v>
    <v>13.661</v>
    <v>13.6248</v>
    <v>13.347799999999999</v>
    <v>12.8847</v>
    <v>12.2309</v>
    <v>11.2834</v>
    <v>12.2445</v>
    <v>12.190099999999999</v>
    <v>12.0085</v>
    <v>11.241199999999999</v>
    <v>11.032299999999999</v>
    <v>11.9131</v>
    <v>12.9483</v>
    <v>12.807499999999999</v>
    <v>12.131</v>
    <v>12.41</v>
    <v>13.03</v>
    <v>13.11</v>
    <v>12.26</v>
    <v>11.86</v>
    <v>11.89</v>
    <v>11.45</v>
    <v>11.3</v>
    <v>11.58</v>
    <v>10.55</v>
    <v>9.99</v>
    <v>9.24</v>
    <v>9.4</v>
    <v>9.33</v>
    <v>8.91</v>
    <v>9.4499999999999993</v>
    <v>9.9499999999999993</v>
    <v>10.6</v>
    <v>10.95</v>
    <v>11.2</v>
    <v>11.715</v>
    <v>11.92</v>
    <v>11.89</v>
    <v>11.78</v>
    <v>12.45</v>
    <v>12.13</v>
    <v>11.37</v>
    <v>11.38</v>
    <v>11.31</v>
    <v>11.62</v>
    <v>13.07</v>
    <v>13.39</v>
    <v>12.71</v>
    <v>12.15</v>
    <v>11.48</v>
    <v>12.04</v>
    <v>13.0265</v>
    <v>13.85</v>
    <v>13.79</v>
    <v>13.85</v>
    <v>14.14</v>
    <v>14.31</v>
    <v>13.55</v>
    <v>14.21</v>
    <v>14.07</v>
    <v>13.78</v>
    <v>14.52</v>
    <v>14.93</v>
    <v>15.27</v>
    <v>14.48</v>
    <v>13.77</v>
    <v>13.83</v>
    <v>14.03</v>
    <v>14.8735</v>
    <v>15.72</v>
    <v>14.78</v>
    <v>15</v>
    <v>15.255000000000001</v>
    <v>15.05</v>
    <v>14.91</v>
    <v>14.77</v>
    <v>14.62</v>
    <v>14.4</v>
    <v>14.5</v>
    <v>14.41</v>
    <v>14.57</v>
    <v>15.09</v>
    <v>15.7</v>
    <v>15.93</v>
    <v>17.12</v>
    <v>17.05</v>
    <v>17.28</v>
    <v>17.100000000000001</v>
    <v>17.03</v>
    <v>17.28</v>
    <v>17.29</v>
    <v>18.07</v>
    <v>18.36</v>
    <v>18.690000000000001</v>
    <v>18.89</v>
    <v>18.649999999999999</v>
    <v>18.21</v>
    <v>18.420000000000002</v>
    <v>17.600000000000001</v>
    <v>17.14</v>
    <v>17.39</v>
    <v>17.425000000000001</v>
    <v>17.100000000000001</v>
    <v>17.45</v>
    <v>18.25</v>
    <v>18.82</v>
    <v>18.87</v>
    <v>18.850000000000001</v>
    <v>18.36</v>
    <v>18.405000000000001</v>
    <v>18.96</v>
    <v>19.079999999999998</v>
    <v>19.100000000000001</v>
    <v>19.350000000000001</v>
    <v>19.683299999999999</v>
    <v>19.940000000000001</v>
    <v>20.25</v>
    <v>21.46</v>
    <v>21.32</v>
    <v>21.07</v>
    <v>21.14</v>
    <v>20.99</v>
    <v>20.59</v>
    <v>20.954999999999998</v>
    <v>20.855</v>
    <v>20.66</v>
    <v>20.99</v>
    <v>21.01</v>
    <v>21</v>
    <v>21.59</v>
    <v>22.66</v>
    <v>23.3</v>
    <v>22.47</v>
    <v>19.309999999999999</v>
    <v>20.14</v>
    <v>21.17</v>
    <v>22.55</v>
    <v>23.335000000000001</v>
    <v>23.28</v>
    <v>21.83</v>
    <v>21.434100000000001</v>
    <v>20.6</v>
    <v>20.754999999999999</v>
    <v>21.43</v>
    <v>21.03</v>
    <v>20.96</v>
    <v>21.65</v>
    <v>21.7865</v>
    <v>21.44</v>
    <v>21.04</v>
    <v>22.6</v>
    <v>23.44</v>
    <v>23.155000000000001</v>
    <v>22.344999999999999</v>
    <v>22.38</v>
    <v>23.01</v>
    <v>22.89</v>
    <v>22.66</v>
    <v>22.89</v>
    <v>23.28</v>
    <v>23.79</v>
    <v>23.68</v>
    <v>24.27</v>
    <v>24.385000000000002</v>
    <v>24.344999999999999</v>
    <v>24.96</v>
    <v>25.48</v>
    <v>25.215</v>
    <v>22.84</v>
    <v>23.54</v>
    <v>22.844999999999999</v>
    <v>22.7</v>
    <v>24.420999999999999</v>
    <v>23.414999999999999</v>
    <v>22.27</v>
    <v>22.42</v>
    <v>22.63</v>
    <v>21.94</v>
    <v>19.63</v>
    <v>19.215</v>
    <v>19.704999999999998</v>
    <v>20.734999999999999</v>
    <v>20.645</v>
    <v>21.18</v>
    <v>21.68</v>
    <v>22.16</v>
    <v>22.79</v>
    <v>23.175000000000001</v>
    <v>19.34</v>
    <v>18.46</v>
    <v>18.78</v>
    <v>19.329999999999998</v>
    <v>18.86</v>
    <v>19.54</v>
    <v>19.5</v>
    <v>20.010000000000002</v>
    <v>19.29</v>
    <v>19.329999999999998</v>
    <v>18.774999999999999</v>
    <v>18.059999999999999</v>
    <v>18.670000000000002</v>
    <v>18.350000000000001</v>
    <v>18.605</v>
    <v>19.7</v>
    <v>19.79</v>
    <v>20.57</v>
    <v>20.88</v>
    <v>20.47</v>
    <v>21.08</v>
    <v>21.1601</v>
    <v>19.93</v>
    <v>18.809999999999999</v>
    <v>18.440000000000001</v>
    <v>17.100000000000001</v>
    <v>17.600000000000001</v>
    <v>17.97</v>
    <v>18.465</v>
    <v>18.46</v>
    <v>18.12</v>
    <v>16.46</v>
    <v>15.93</v>
    <v>16.29</v>
    <v>16.905000000000001</v>
    <v>17.16</v>
    <v>17.82</v>
    <v>19.25</v>
    <v>19.53</v>
    <v>19.71</v>
    <v>19.420000000000002</v>
    <v>19.940000000000001</v>
    <v>20.22</v>
    <v>20.399999999999999</v>
    <v>20.329999999999998</v>
    <v>20.51</v>
    <v>21.26</v>
    <v>21.53</v>
    <v>21.16</v>
    <v>21.24</v>
    <v>21.844999999999999</v>
    <v>22</v>
    <v>20.170000000000002</v>
    <v>20.41</v>
    <v>16.350000000000001</v>
    <v>12.54</v>
    <v>12.97</v>
    <v>14.205</v>
    <v>14.93</v>
    <v>14.55</v>
    <v>14.4</v>
    <v>14.62</v>
    <v>14.41</v>
    <v>13.39</v>
    <v>15.32</v>
    <v>14.86</v>
    <v>14.95</v>
    <v>15.55</v>
    <v>15.67</v>
    <v>15.984999999999999</v>
    <v>16.48</v>
    <v>16.02</v>
    <v>16.93</v>
    <v>17.27</v>
    <v>16.655000000000001</v>
    <v>17.38</v>
    <v>18.035</v>
    <v>17.809999999999999</v>
    <v>18.3</v>
    <v>18.920000000000002</v>
    <v>18.73</v>
    <v>18.875</v>
    <v>17.829999999999998</v>
    <v>18.5</v>
    <v>18.945</v>
    <v>19.11</v>
    <v>18.98</v>
    <v>17.25</v>
    <v>18.02</v>
    <v>18.690000000000001</v>
    <v>19.734999999999999</v>
    <v>20.58</v>
    <v>21.8</v>
    <v>22.85</v>
    <v>23.12</v>
    <v>23.715</v>
    <v>23.97</v>
    <v>23.85</v>
    <v>24.99</v>
    <v>24.965</v>
    <v>24.07</v>
    <v>24.101900000000001</v>
    <v>26.31</v>
    <v>25.96</v>
    <v>26.49</v>
    <v>27.854099999999999</v>
    <v>29.56</v>
    <v>29.68</v>
    <v>28.97</v>
    <v>30.96</v>
    <v>31.745000000000001</v>
    <v>32.340000000000003</v>
    <v>33.200000000000003</v>
    <v>33.905000000000001</v>
    <v>33.630000000000003</v>
    <v>31.765000000000001</v>
    <v>31.22</v>
    <v>29.065000000000001</v>
    <v>29.38</v>
    <v>29.85</v>
    <v>28.02</v>
    <v>28.78</v>
    <v>29.64</v>
    <v>29.46</v>
    <v>27.454999999999998</v>
    <v>26.91</v>
    <v>27.85</v>
    <v>28.914999999999999</v>
    <v>28.98</v>
    <v>27.545000000000002</v>
    <v>27.51</v>
    <v>28.98</v>
    <v>27.88</v>
    <v>27.38</v>
    <v>26.765000000000001</v>
    <v>27.170999999999999</v>
    <v>27.39</v>
    <v>26.11</v>
    <v>28.09</v>
    <v>29.65</v>
    <v>30.36</v>
    <v>31.39</v>
    <v>30.64</v>
    <v>31.414999999999999</v>
    <v>34.659999999999997</v>
    <v>35.805</v>
    <v>34.83</v>
    <v>35.58</v>
    <v>37.53</v>
    <v>37.590000000000003</v>
    <v>37.96</v>
    <v>34.79</v>
    <v>33.61</v>
    <v>35.92</v>
    <v>37.119999999999997</v>
    <v>35.984999999999999</v>
    <v>33.04</v>
    <v>33.53</v>
    <v>35.090000000000003</v>
    <v>33.74</v>
    <v>36.72</v>
    <v>34.994999999999997</v>
    <v>34.465000000000003</v>
    <v>37.450000000000003</v>
    <v>36.75</v>
    <v>36.090000000000003</v>
    <v>36.01</v>
    <v>35</v>
    <v>33.450000000000003</v>
    <v>33.89</v>
    <v>38.26</v>
    <v>35.25</v>
    <v>32.305</v>
    <v>33.405000000000001</v>
    <v>31.48</v>
    <v>30.01</v>
    <v>30.26</v>
    <v>31.37</v>
    <v>31.85</v>
    <v>32.299999999999997</v>
    <v>32.049999999999997</v>
    <v>33.659999999999997</v>
    <v>31.37</v>
    <v>27.53</v>
    <v>26.864999999999998</v>
    <v>26.52</v>
    <v>24.92</v>
    <v>24.734999999999999</v>
    <v>24.9</v>
    <v>24.074999999999999</v>
    <v>25.204999999999998</v>
    <v>26.734999999999999</v>
    <v>26.2</v>
    <v>27.72</v>
    <v>28.305</v>
    <v>28.31</v>
    <v>28.72</v>
    <v>27.625</v>
    <v>26.41</v>
    <v>26.085000000000001</v>
    <v>26.42</v>
    <v>26.574999999999999</v>
    <v>27.62</v>
    <v>26.76</v>
    <v>27.9</v>
    <v>28.6</v>
    <v>29.34</v>
    <v>29.744700000000002</v>
    <v>28.914999999999999</v>
    <v>28.15</v>
    <v>27.05</v>
    <v>26.93</v>
    <v>27.24</v>
    <v>27.42</v>
    <v>29.18</v>
    <v>29.12</v>
    <v>29.16</v>
    <v>28.72</v>
    <v>29.27</v>
    <v>28.53</v>
    <v>28.8</v>
    <v>29.83</v>
    <v>28.73</v>
    <v>29.06</v>
    <v>29.89</v>
    <v>29.32</v>
    <v>29.54</v>
    <v>30.24</v>
    <v>31.03</v>
    <v>32.229999999999997</v>
    <v>32.244999999999997</v>
    <v>32.15</v>
    <v>32.414999999999999</v>
    <v>30.67</v>
    <v>30.355</v>
    <v>27.85</v>
    <v>29.25</v>
    <v>26.8001</v>
    <v>26.745000000000001</v>
    <v>25.22</v>
    <v>25.56</v>
    <v>25.59</v>
    <v>26</v>
    <v>25.67</v>
    <v>25.9</v>
    <v>27.01</v>
    <v>27.62</v>
    <v>27.66</v>
    <v>28.254999999999999</v>
    <v>28.45</v>
    <v>29.78</v>
    <v>29.79</v>
    <v>29.95</v>
    <v>29.48</v>
    <v>29.71</v>
    <v>28.4</v>
    <v>29.114999999999998</v>
    <v>28.38</v>
    <v>27.86</v>
    <v>27.89</v>
    <v>28.262499999999999</v>
    <v>27.658200000000001</v>
    <v>28.87</v>
    <v>30.19</v>
    <v>29.33</v>
    <v>29.725000000000001</v>
    <v>29.045000000000002</v>
    <v>28.36</v>
    <v>27.510100000000001</v>
    <v>27.425000000000001</v>
    <v>27.52</v>
    <v>28.22</v>
    <v>29.81</v>
    <v>31.26</v>
    <v>32.409999999999997</v>
    <v>34.840000000000003</v>
    <v>35.435000000000002</v>
    <v>35.22</v>
    <v>34.645000000000003</v>
    <v>34.39</v>
    <v>34.799999999999997</v>
    <v>36.409999999999997</v>
    <v>36.195</v>
    <v>33.555</v>
    <v>31.951000000000001</v>
    <v>33.58</v>
    <v>34.28</v>
    <v>33.799999999999997</v>
    <v>33.765000000000001</v>
    <v>32.685000000000002</v>
    <v>33.14</v>
    <v>34.630000000000003</v>
    <v>34.15</v>
    <v>35.21</v>
    <v>36.844999999999999</v>
    <v>35.564999999999998</v>
    <v>35.39</v>
    <v>35.799999999999997</v>
    <v>36.33</v>
    <v>36.424999999999997</v>
    <v>33.534999999999997</v>
    <v>35.22</v>
    <v>34.26</v>
    <v>32.14</v>
    <v>32.65</v>
    <v>32.204999999999998</v>
    <v>32.89</v>
    <v>32.340000000000003</v>
    <v>32.22</v>
    <v>32.29</v>
    <v>31.05</v>
    <v>32.380000000000003</v>
    <v>33.604999999999997</v>
    <v>29.98</v>
    <v>29.175000000000001</v>
    <v>27.67</v>
    <v>27.95</v>
    <v>27.79</v>
    <v>21.96</v>
    <v>21.21</v>
    <v>23.071100000000001</v>
    <v>23.105</v>
    <v>24.92</v>
  </a>
  <a r="1" c="523">
    <v>48097603</v>
    <v>37590956</v>
    <v>41093289</v>
    <v>70482448</v>
    <v>50144729</v>
    <v>54685083</v>
    <v>38472713</v>
    <v>66444326</v>
    <v>63426766</v>
    <v>69912288</v>
    <v>67484843</v>
    <v>50364208</v>
    <v>79762874</v>
    <v>45559778</v>
    <v>55566044</v>
    <v>48677301</v>
    <v>89229511</v>
    <v>114305505</v>
    <v>69879665</v>
    <v>43776217</v>
    <v>107779497</v>
    <v>85658061</v>
    <v>79447773</v>
    <v>98010634</v>
    <v>49783873</v>
    <v>45327395</v>
    <v>69920019</v>
    <v>164472115</v>
    <v>83055790</v>
    <v>75772789</v>
    <v>132547158</v>
    <v>168010371</v>
    <v>101904738</v>
    <v>120610733</v>
    <v>54594726</v>
    <v>36492049</v>
    <v>87971636</v>
    <v>116770432</v>
    <v>97469956</v>
    <v>95167139</v>
    <v>87350211</v>
    <v>73058444</v>
    <v>56749342</v>
    <v>103986434</v>
    <v>80534519</v>
    <v>66360328</v>
    <v>90182315</v>
    <v>49497171</v>
    <v>57803672</v>
    <v>62234482</v>
    <v>87021440</v>
    <v>73572363</v>
    <v>61733321</v>
    <v>54689574</v>
    <v>58407132</v>
    <v>43921843</v>
    <v>82310833</v>
    <v>61780837</v>
    <v>47086654</v>
    <v>58057024</v>
    <v>77064580</v>
    <v>69950728</v>
    <v>43511857</v>
    <v>56089435</v>
    <v>64099295</v>
    <v>65854850</v>
    <v>59716895</v>
    <v>54032923</v>
    <v>51045259</v>
    <v>98646408</v>
    <v>49028296</v>
    <v>41329345</v>
    <v>69784796</v>
    <v>47978191</v>
    <v>47540061</v>
    <v>39421611</v>
    <v>65971349</v>
    <v>66173142</v>
    <v>67515221</v>
    <v>86401976</v>
    <v>64778658</v>
    <v>59473297</v>
    <v>62568320</v>
    <v>59686794</v>
    <v>49551553</v>
    <v>64210656</v>
    <v>44523144</v>
    <v>23675703</v>
    <v>42345342</v>
    <v>64650749</v>
    <v>55410700</v>
    <v>73184193</v>
    <v>65822115</v>
    <v>51225826</v>
    <v>77604449</v>
    <v>90907186</v>
    <v>65564872</v>
    <v>45782798</v>
    <v>50145558</v>
    <v>46545597</v>
    <v>49963782</v>
    <v>49463829</v>
    <v>53312901</v>
    <v>47482432</v>
    <v>43581615</v>
    <v>45584341</v>
    <v>38629928</v>
    <v>47954295</v>
    <v>66892839</v>
    <v>46260809</v>
    <v>71226651</v>
    <v>53707843</v>
    <v>66410095</v>
    <v>46593922</v>
    <v>38532390</v>
    <v>49578485</v>
    <v>45722172</v>
    <v>46069454</v>
    <v>54199816</v>
    <v>48490605</v>
    <v>47414978</v>
    <v>71386418</v>
    <v>48543436</v>
    <v>36075487</v>
    <v>45188045</v>
    <v>33267796</v>
    <v>51726614</v>
    <v>43783603</v>
    <v>56794655</v>
    <v>43262233</v>
    <v>67712937</v>
    <v>48480807</v>
    <v>37738571</v>
    <v>49407233</v>
    <v>67507397</v>
    <v>61672940</v>
    <v>54489660</v>
    <v>51246077</v>
    <v>42118545</v>
    <v>21038621</v>
    <v>26819581</v>
    <v>39250460</v>
    <v>44291829</v>
    <v>39159417</v>
    <v>45195250</v>
    <v>75560021</v>
    <v>50524853</v>
    <v>48637219</v>
    <v>72080484</v>
    <v>48338792</v>
    <v>76260848</v>
    <v>54960576</v>
    <v>46633443</v>
    <v>44151204</v>
    <v>43816408</v>
    <v>36374612</v>
    <v>33855201</v>
    <v>36792657</v>
    <v>30007207</v>
    <v>35940560</v>
    <v>40910091</v>
    <v>56153779</v>
    <v>48651917</v>
    <v>44576491</v>
    <v>45266907</v>
    <v>40556031</v>
    <v>22008785</v>
    <v>35896039</v>
    <v>27330882</v>
    <v>29871904</v>
    <v>25052605</v>
    <v>27702153</v>
    <v>29671576</v>
    <v>40552030</v>
    <v>41982959</v>
    <v>43737472</v>
    <v>44579537</v>
    <v>52721077</v>
    <v>43428291</v>
    <v>60305169</v>
    <v>65665666</v>
    <v>44080904</v>
    <v>55068051</v>
    <v>48432156</v>
    <v>36235668</v>
    <v>44632848</v>
    <v>32804757</v>
    <v>65516346</v>
    <v>65594997</v>
    <v>58772278</v>
    <v>79071027</v>
    <v>42116963</v>
    <v>40323225</v>
    <v>43225537</v>
    <v>48935650</v>
    <v>37478866</v>
    <v>38976298</v>
    <v>32623143</v>
    <v>41082287</v>
    <v>31177831</v>
    <v>116634508</v>
    <v>75862972</v>
    <v>97206888</v>
    <v>65416079</v>
    <v>68250264</v>
    <v>60284666</v>
    <v>53156094</v>
    <v>35738851</v>
    <v>50732297</v>
    <v>42054535</v>
    <v>46052112</v>
    <v>51792386</v>
    <v>70305860</v>
    <v>59198574</v>
    <v>44674558</v>
    <v>39837649</v>
    <v>50533624</v>
    <v>46068071</v>
    <v>25547318</v>
    <v>41183462</v>
    <v>33839585</v>
    <v>35429496</v>
    <v>46321699</v>
    <v>37866426</v>
    <v>57237828</v>
    <v>61398301</v>
    <v>55282458</v>
    <v>30477377</v>
    <v>69511796</v>
    <v>47480686</v>
    <v>66663573</v>
    <v>112947678</v>
    <v>87011074</v>
    <v>68821659</v>
    <v>49918574</v>
    <v>52264520</v>
    <v>137619282</v>
    <v>64512819</v>
    <v>63189356</v>
    <v>58307742</v>
    <v>68563965</v>
    <v>57327698</v>
    <v>51327793</v>
    <v>18997770</v>
    <v>23247742</v>
    <v>43025431</v>
    <v>54120038</v>
    <v>40783258</v>
    <v>46316744</v>
    <v>40267250</v>
    <v>53177085</v>
    <v>59142481</v>
    <v>132875502</v>
    <v>83168300</v>
    <v>67279720</v>
    <v>78859916</v>
    <v>75293661</v>
    <v>74966700</v>
    <v>80445187</v>
    <v>66149396</v>
    <v>62298380</v>
    <v>66567585</v>
    <v>50455117</v>
    <v>59847801</v>
    <v>71156652</v>
    <v>99925973</v>
    <v>107248441</v>
    <v>94811239</v>
    <v>80612101</v>
    <v>82278538</v>
    <v>46295545</v>
    <v>65884558</v>
    <v>62773100</v>
    <v>42097845</v>
    <v>64989195</v>
    <v>41155146</v>
    <v>48877013</v>
    <v>40676821</v>
    <v>59871009</v>
    <v>64462604</v>
    <v>48249342</v>
    <v>61117599</v>
    <v>45988552</v>
    <v>50621138</v>
    <v>49620965</v>
    <v>36023694</v>
    <v>29296049</v>
    <v>49132957</v>
    <v>37605577</v>
    <v>50290527</v>
    <v>45481611</v>
    <v>51031596</v>
    <v>52233437</v>
    <v>44771228</v>
    <v>52979047</v>
    <v>24388207</v>
    <v>25190222</v>
    <v>40839819</v>
    <v>39398750</v>
    <v>26909370</v>
    <v>58410104</v>
    <v>35837276</v>
    <v>31966632</v>
    <v>32110646</v>
    <v>74090388</v>
    <v>66459094</v>
    <v>54901194</v>
    <v>96843012</v>
    <v>57099302</v>
    <v>33667743</v>
    <v>36427363</v>
    <v>39923094</v>
    <v>36193557</v>
    <v>34477289</v>
    <v>32904713</v>
    <v>49355751</v>
    <v>43160923</v>
    <v>89643539</v>
    <v>46841684</v>
    <v>50999314</v>
    <v>70989125</v>
    <v>49185395</v>
    <v>35380090</v>
    <v>32839794</v>
    <v>52295791</v>
    <v>54191851</v>
    <v>33959059</v>
    <v>32783454</v>
    <v>35655495</v>
    <v>41826085</v>
    <v>61141099</v>
    <v>55947618</v>
    <v>36490914</v>
    <v>41288572</v>
    <v>35640600</v>
    <v>49819481</v>
    <v>38540465</v>
    <v>57027327</v>
    <v>61254617</v>
    <v>38621551</v>
    <v>36824679</v>
    <v>29550544</v>
    <v>34974108</v>
    <v>67273875</v>
    <v>96214678</v>
    <v>58002686</v>
    <v>73349060</v>
    <v>31980942</v>
    <v>24815628</v>
    <v>42846944</v>
    <v>45299519</v>
    <v>35613911</v>
    <v>55070931</v>
    <v>46840179</v>
    <v>37812433</v>
    <v>41671079</v>
    <v>45996386</v>
    <v>93426284</v>
    <v>88314763</v>
    <v>133287462</v>
    <v>79218614</v>
    <v>89635373</v>
    <v>174420185</v>
    <v>48872676</v>
    <v>51085462</v>
    <v>47479770</v>
    <v>45677324</v>
    <v>54942402</v>
    <v>63629743</v>
    <v>59469746</v>
    <v>65444880</v>
    <v>43058380</v>
    <v>69508093</v>
    <v>39846344</v>
    <v>42092236</v>
    <v>35884065</v>
    <v>37521452</v>
    <v>36326940</v>
    <v>30554540</v>
    <v>32334527</v>
    <v>34827467</v>
    <v>33795133</v>
    <v>40278360</v>
    <v>83442655</v>
    <v>44262078</v>
    <v>79907213</v>
    <v>45929551</v>
    <v>39524230</v>
    <v>43959240</v>
    <v>44234591</v>
    <v>36123295</v>
    <v>34142688</v>
    <v>35227681</v>
    <v>48406343</v>
    <v>45021712</v>
    <v>49512590</v>
    <v>35733935</v>
    <v>30863698</v>
    <v>50121007</v>
    <v>24948972</v>
    <v>19632144</v>
    <v>22571516</v>
    <v>29619531</v>
    <v>23946161</v>
    <v>24898073</v>
    <v>27111384</v>
    <v>22823156</v>
    <v>23470997</v>
    <v>23197100</v>
    <v>47267734</v>
    <v>34643790</v>
    <v>54658889</v>
    <v>30580312</v>
    <v>25665614</v>
    <v>21151929</v>
    <v>28087577</v>
    <v>32743195</v>
    <v>28490773</v>
    <v>26706426</v>
    <v>28845487</v>
    <v>27947420</v>
    <v>32891334</v>
    <v>67211097</v>
    <v>35900842</v>
    <v>57444537</v>
    <v>44229290</v>
    <v>32616518</v>
    <v>23213078</v>
    <v>35966751</v>
    <v>22175050</v>
    <v>20713055</v>
    <v>20695450</v>
    <v>22901714</v>
    <v>30291067</v>
    <v>23547384</v>
    <v>56061906</v>
    <v>30411835</v>
    <v>59633225</v>
    <v>40961275</v>
    <v>45980430</v>
    <v>51966239</v>
    <v>41785074</v>
    <v>35948481</v>
    <v>29929429</v>
    <v>29762774</v>
    <v>35093754</v>
    <v>40904514</v>
    <v>41929586</v>
    <v>43217099</v>
    <v>46627242</v>
    <v>74573468</v>
    <v>43009981</v>
    <v>20888319</v>
    <v>31453593</v>
    <v>44288243</v>
    <v>32829687</v>
    <v>41070437</v>
    <v>44211340</v>
    <v>35303052</v>
    <v>30703112</v>
    <v>25081846</v>
    <v>63022223</v>
    <v>60227049</v>
    <v>53449336</v>
    <v>32126425</v>
    <v>25467066</v>
    <v>30365131</v>
    <v>31614815</v>
    <v>28750395</v>
    <v>36153456</v>
    <v>28979369</v>
    <v>28509335</v>
    <v>30422716</v>
    <v>34836660</v>
    <v>88720126</v>
    <v>48206378</v>
    <v>39307778</v>
    <v>43554758</v>
    <v>41417209</v>
    <v>19138140</v>
    <v>30332392</v>
    <v>33867700</v>
    <v>31192574</v>
    <v>31820622</v>
    <v>33611922</v>
    <v>27673375</v>
    <v>32459816</v>
    <v>54772238</v>
    <v>30524080</v>
    <v>37286433</v>
    <v>69590769</v>
    <v>37390753</v>
    <v>39813560</v>
    <v>28941363</v>
    <v>26802411</v>
    <v>26128024</v>
    <v>28893113</v>
    <v>34559134</v>
    <v>36365605</v>
    <v>30149915</v>
    <v>61997402</v>
    <v>42203524</v>
    <v>32752880</v>
    <v>52234919</v>
    <v>14856335</v>
    <v>18482034</v>
    <v>24215776</v>
    <v>36237410</v>
    <v>21615175</v>
    <v>29963405</v>
    <v>29354400</v>
    <v>23697986</v>
    <v>23196679</v>
    <v>53832547</v>
    <v>47974589</v>
    <v>41076609</v>
    <v>48736178</v>
    <v>29788602</v>
    <v>67446123</v>
    <v>81086808</v>
    <v>33867500</v>
    <v>34082476</v>
    <v>28974716</v>
  </a>
  <a r="1" c="523">
    <v>18.268000000000001</v>
    <v>18.084</v>
    <v>17.88</v>
    <v>17.53</v>
    <v>17.597999999999999</v>
    <v>18.042999999999999</v>
    <v>17.875</v>
    <v>17.768999999999998</v>
    <v>17.385999999999999</v>
    <v>17.257000000000001</v>
    <v>17.57</v>
    <v>18.562999999999999</v>
    <v>18.143000000000001</v>
    <v>20.385000000000002</v>
    <v>21.561</v>
    <v>21.88</v>
    <v>20.399999999999999</v>
    <v>20.099</v>
    <v>19.542999999999999</v>
    <v>20.114000000000001</v>
    <v>20.667999999999999</v>
    <v>20.518999999999998</v>
    <v>19.884</v>
    <v>20.524999999999999</v>
    <v>20.311</v>
    <v>18.818000000000001</v>
    <v>17.207000000000001</v>
    <v>17.765000000000001</v>
    <v>16.887</v>
    <v>17.321000000000002</v>
    <v>17.556000000000001</v>
    <v>17.684000000000001</v>
    <v>17.414000000000001</v>
    <v>17.574000000000002</v>
    <v>17.760999999999999</v>
    <v>17.928999999999998</v>
    <v>14.815</v>
    <v>14.993</v>
    <v>14.991</v>
    <v>17.251000000000001</v>
    <v>15.646000000000001</v>
    <v>15.19</v>
    <v>15.324999999999999</v>
    <v>15.858000000000001</v>
    <v>16.898</v>
    <v>17.059000000000001</v>
    <v>17.512</v>
    <v>17.282</v>
    <v>18.274999999999999</v>
    <v>17.88</v>
    <v>18.617000000000001</v>
    <v>19.18</v>
    <v>17.931999999999999</v>
    <v>18.257000000000001</v>
    <v>18.215</v>
    <v>17.928000000000001</v>
    <v>19.093</v>
    <v>18.869</v>
    <v>18.776</v>
    <v>17.917999999999999</v>
    <v>17.312000000000001</v>
    <v>17.239000000000001</v>
    <v>17.829000000000001</v>
    <v>18.721</v>
    <v>18.783999999999999</v>
    <v>17.489000000000001</v>
    <v>16.632000000000001</v>
    <v>16.542999999999999</v>
    <v>16.664000000000001</v>
    <v>16.747</v>
    <v>16.978000000000002</v>
    <v>17.07</v>
    <v>16.484000000000002</v>
    <v>17.178000000000001</v>
    <v>16.744</v>
    <v>17.297999999999998</v>
    <v>17.22</v>
    <v>16.861000000000001</v>
    <v>19.146999999999998</v>
    <v>19.015999999999998</v>
    <v>19.675000000000001</v>
    <v>19.667999999999999</v>
    <v>19.785</v>
    <v>19.193999999999999</v>
    <v>20.097000000000001</v>
    <v>20.04</v>
    <v>20.122</v>
    <v>19.739999999999998</v>
    <v>19.917000000000002</v>
    <v>20.38</v>
    <v>20.155000000000001</v>
    <v>19.957999999999998</v>
    <v>19.547999999999998</v>
    <v>18.934999999999999</v>
    <v>19.286999999999999</v>
    <v>19.433</v>
    <v>19</v>
    <v>18.696999999999999</v>
    <v>19.186</v>
    <v>18.614000000000001</v>
    <v>18.78</v>
    <v>18.28</v>
    <v>18.161000000000001</v>
    <v>18.759</v>
    <v>19.016999999999999</v>
    <v>19.094999999999999</v>
    <v>18.530999999999999</v>
    <v>18.378</v>
    <v>18.077000000000002</v>
    <v>18.832000000000001</v>
    <v>18.079000000000001</v>
    <v>18.260000000000002</v>
    <v>18.495000000000001</v>
    <v>19.167000000000002</v>
    <v>18.498999999999999</v>
    <v>18.472999999999999</v>
    <v>18.847999999999999</v>
    <v>13.999000000000001</v>
    <v>13.573</v>
    <v>12.901</v>
    <v>12.593</v>
    <v>12.576000000000001</v>
    <v>12.85</v>
    <v>12.824999999999999</v>
    <v>12.680999999999999</v>
    <v>12.476000000000001</v>
    <v>12.771000000000001</v>
    <v>13.135999999999999</v>
    <v>13.5</v>
    <v>13.7</v>
    <v>14.086</v>
    <v>13.368</v>
    <v>13.35</v>
    <v>13.375999999999999</v>
    <v>13.743</v>
    <v>13.5</v>
    <v>13.625</v>
    <v>13.265000000000001</v>
    <v>13.193</v>
    <v>13.13</v>
    <v>13.500999999999999</v>
    <v>13.975</v>
    <v>14.098000000000001</v>
    <v>13.779</v>
    <v>13.577</v>
    <v>13.061999999999999</v>
    <v>13.755000000000001</v>
    <v>13.798</v>
    <v>12.542999999999999</v>
    <v>13.627000000000001</v>
    <v>13.176</v>
    <v>12.977</v>
    <v>12.898999999999999</v>
    <v>12.587</v>
    <v>13.018000000000001</v>
    <v>13.154999999999999</v>
    <v>12.669</v>
    <v>13.02</v>
    <v>12.928000000000001</v>
    <v>13.08</v>
    <v>13.071999999999999</v>
    <v>13.042</v>
    <v>12.996</v>
    <v>13.474</v>
    <v>13.115</v>
    <v>12.775</v>
    <v>13.488</v>
    <v>13.583</v>
    <v>13.529</v>
    <v>12.916</v>
    <v>13.489000000000001</v>
    <v>14.146000000000001</v>
    <v>13.952999999999999</v>
    <v>14.967000000000001</v>
    <v>14.9</v>
    <v>14.454000000000001</v>
    <v>14.913</v>
    <v>14.811999999999999</v>
    <v>14.061999999999999</v>
    <v>13.12</v>
    <v>12.728</v>
    <v>12.648</v>
    <v>12.249000000000001</v>
    <v>12.673</v>
    <v>12.827999999999999</v>
    <v>12.708</v>
    <v>12.435</v>
    <v>12.964</v>
    <v>12.757999999999999</v>
    <v>12.692</v>
    <v>11.657999999999999</v>
    <v>12.688000000000001</v>
    <v>13.04</v>
    <v>13.385999999999999</v>
    <v>13.632</v>
    <v>13.94</v>
    <v>12.804</v>
    <v>13.077999999999999</v>
    <v>14.106</v>
    <v>14.541</v>
    <v>14.173999999999999</v>
    <v>13.811999999999999</v>
    <v>14.833</v>
    <v>14.382999999999999</v>
    <v>14.425000000000001</v>
    <v>14.651999999999999</v>
    <v>15.065</v>
    <v>14.648</v>
    <v>14.942</v>
    <v>14.103</v>
    <v>13.926</v>
    <v>13.683999999999999</v>
    <v>13.407999999999999</v>
    <v>13.291</v>
    <v>13.714</v>
    <v>13.365</v>
    <v>14.672000000000001</v>
    <v>14.331</v>
    <v>14.023999999999999</v>
    <v>12.302</v>
    <v>12.175000000000001</v>
    <v>12.332000000000001</v>
    <v>13.43</v>
    <v>14.07</v>
    <v>13.733000000000001</v>
    <v>13.811</v>
    <v>14.329000000000001</v>
    <v>13.989000000000001</v>
    <v>14.577999999999999</v>
    <v>14.904999999999999</v>
    <v>14.702999999999999</v>
    <v>14.659000000000001</v>
    <v>14.414999999999999</v>
    <v>14.315</v>
    <v>14.577</v>
    <v>15.369</v>
    <v>15.613</v>
    <v>15.64</v>
    <v>15.16</v>
    <v>15.032999999999999</v>
    <v>15.16</v>
    <v>14.535</v>
    <v>14.52</v>
    <v>14.476000000000001</v>
    <v>14.356999999999999</v>
    <v>14.239000000000001</v>
    <v>14.673999999999999</v>
    <v>14.316000000000001</v>
    <v>15.202999999999999</v>
    <v>15.266</v>
    <v>14.884</v>
    <v>14.994999999999999</v>
    <v>13.516</v>
    <v>13.628</v>
    <v>11.132999999999999</v>
    <v>10.074</v>
    <v>10.631</v>
    <v>11.223000000000001</v>
    <v>12.542</v>
    <v>12.653</v>
    <v>12.555</v>
    <v>12.259</v>
    <v>12.467000000000001</v>
    <v>11.558</v>
    <v>12.237</v>
    <v>12.448</v>
    <v>12.521000000000001</v>
    <v>11.802</v>
    <v>11.819000000000001</v>
    <v>11.6</v>
    <v>11.734999999999999</v>
    <v>11.766</v>
    <v>11.834</v>
    <v>11.695</v>
    <v>12.391999999999999</v>
    <v>12.339</v>
    <v>14.663</v>
    <v>14.507999999999999</v>
    <v>14.689</v>
    <v>14.218999999999999</v>
    <v>14.113</v>
    <v>15.959</v>
    <v>14.613</v>
    <v>14.646000000000001</v>
    <v>16.472999999999999</v>
    <v>16.47</v>
    <v>18.43</v>
    <v>16.707000000000001</v>
    <v>18.562000000000001</v>
    <v>19.227</v>
    <v>22.210999999999999</v>
    <v>27.126000000000001</v>
    <v>32.799999999999997</v>
    <v>28.591999999999999</v>
    <v>30.12</v>
    <v>32.261000000000003</v>
    <v>38.854999999999997</v>
    <v>53.164000000000001</v>
    <v>57.807000000000002</v>
    <v>57.703000000000003</v>
    <v>61.731000000000002</v>
    <v>80.599999999999994</v>
    <v>103.431</v>
    <v>96.372</v>
    <v>75.040999999999997</v>
    <v>62.024000000000001</v>
    <v>78.400000000000006</v>
    <v>77.703999999999994</v>
    <v>62.4</v>
    <v>70.355999999999995</v>
    <v>71.099999999999994</v>
    <v>69.361999999999995</v>
    <v>61.304000000000002</v>
    <v>65.715999999999994</v>
    <v>62.045999999999999</v>
    <v>52.131</v>
    <v>45.052</v>
    <v>47</v>
    <v>48.466999999999999</v>
    <v>51.643999999999998</v>
    <v>64.646000000000001</v>
    <v>55.005000000000003</v>
    <v>63.561</v>
    <v>62.866</v>
    <v>52.308999999999997</v>
    <v>53.970999999999997</v>
    <v>62.600999999999999</v>
    <v>74.872</v>
    <v>72.8</v>
    <v>71.656000000000006</v>
    <v>70.72</v>
    <v>71.225999999999999</v>
    <v>61.557000000000002</v>
    <v>61.429000000000002</v>
    <v>59.939</v>
    <v>61.246000000000002</v>
    <v>70.882000000000005</v>
    <v>74.984999999999999</v>
    <v>71.852000000000004</v>
    <v>71.506</v>
    <v>79.751000000000005</v>
    <v>81.173000000000002</v>
    <v>71.831000000000003</v>
    <v>66.3</v>
    <v>63.098999999999997</v>
    <v>60.084000000000003</v>
    <v>57.158000000000001</v>
    <v>59.720999999999997</v>
    <v>54.448999999999998</v>
    <v>48.295000000000002</v>
    <v>49.956000000000003</v>
    <v>37.588999999999999</v>
    <v>33.895000000000003</v>
    <v>39.164000000000001</v>
    <v>41.100999999999999</v>
    <v>39.597000000000001</v>
    <v>40.5</v>
    <v>41.036000000000001</v>
    <v>39.082000000000001</v>
    <v>45.427999999999997</v>
    <v>47.241999999999997</v>
    <v>49.097999999999999</v>
    <v>45.323999999999998</v>
    <v>44.918999999999997</v>
    <v>40.908000000000001</v>
    <v>35.417000000000002</v>
    <v>29.423999999999999</v>
    <v>20.457000000000001</v>
    <v>20.274999999999999</v>
    <v>21.939</v>
    <v>22.722000000000001</v>
    <v>20.335999999999999</v>
    <v>16.760000000000002</v>
    <v>20.544</v>
    <v>16.677</v>
    <v>22.128</v>
    <v>21.398</v>
    <v>28.192</v>
    <v>28.606000000000002</v>
    <v>31.914999999999999</v>
    <v>35.283999999999999</v>
    <v>28.3</v>
    <v>24.92</v>
    <v>21.806000000000001</v>
    <v>26.196999999999999</v>
    <v>20.634</v>
    <v>19.145</v>
    <v>21.225999999999999</v>
    <v>22.03</v>
    <v>20.931000000000001</v>
    <v>23.262</v>
    <v>27.998999999999999</v>
    <v>27.71</v>
    <v>17.518000000000001</v>
    <v>17.012</v>
    <v>18.3</v>
    <v>20.693999999999999</v>
    <v>20.324999999999999</v>
    <v>17.375</v>
    <v>16.266999999999999</v>
    <v>14.157</v>
    <v>16.045000000000002</v>
    <v>21.696999999999999</v>
    <v>24.003</v>
    <v>25.835999999999999</v>
    <v>28.475999999999999</v>
    <v>24.337</v>
    <v>29.405000000000001</v>
    <v>25.58</v>
    <v>24.690999999999999</v>
    <v>19.201000000000001</v>
    <v>26.765999999999998</v>
    <v>25.667000000000002</v>
    <v>29.231999999999999</v>
    <v>29.01</v>
    <v>33.375</v>
    <v>29.102</v>
    <v>32.838000000000001</v>
    <v>32.671999999999997</v>
    <v>27.1</v>
    <v>28.827999999999999</v>
    <v>28.51</v>
    <v>30.213000000000001</v>
    <v>28.233000000000001</v>
    <v>29.338999999999999</v>
    <v>32.911000000000001</v>
    <v>34.241999999999997</v>
    <v>38.073999999999998</v>
    <v>45.886000000000003</v>
    <v>43.664999999999999</v>
    <v>43.460999999999999</v>
    <v>37.697000000000003</v>
    <v>38.430999999999997</v>
    <v>32.862000000000002</v>
    <v>33.604999999999997</v>
    <v>35.148000000000003</v>
    <v>35.628</v>
    <v>34.078000000000003</v>
    <v>32.280999999999999</v>
    <v>32.828000000000003</v>
    <v>34.063000000000002</v>
    <v>31.821999999999999</v>
    <v>34.804000000000002</v>
    <v>40.676000000000002</v>
    <v>45.395000000000003</v>
    <v>50.917999999999999</v>
    <v>48.622</v>
    <v>52.024000000000001</v>
    <v>52.768000000000001</v>
    <v>59.939</v>
    <v>57.040999999999997</v>
    <v>61.923999999999999</v>
    <v>63.161999999999999</v>
    <v>63.107999999999997</v>
    <v>48.552999999999997</v>
    <v>48.1</v>
    <v>49.45</v>
    <v>50.01</v>
    <v>64.632000000000005</v>
    <v>69.956000000000003</v>
    <v>68.744</v>
    <v>107.93899999999999</v>
    <v>142.559</v>
    <v>178.23599999999999</v>
    <v>152.30000000000001</v>
    <v>170.45599999999999</v>
    <v>143.9</v>
    <v>147.958</v>
    <v>117.411</v>
    <v>128.238</v>
    <v>122.301</v>
    <v>118.048</v>
    <v>158.44999999999999</v>
    <v>168.48400000000001</v>
    <v>152.44900000000001</v>
    <v>159.62</v>
    <v>149.554</v>
    <v>148.376</v>
    <v>137.74799999999999</v>
    <v>128.172</v>
    <v>139.67599999999999</v>
    <v>177.85</v>
    <v>175.27099999999999</v>
    <v>144.79900000000001</v>
    <v>135.37</v>
    <v>133.04</v>
    <v>150.01</v>
    <v>132.41999999999999</v>
    <v>114.3</v>
    <v>141.47</v>
    <v>144.78</v>
    <v>176.22</v>
    <v>176.51</v>
    <v>212.59</v>
    <v>215.86</v>
    <v>234.34</v>
    <v>229.71</v>
    <v>270.42</v>
    <v>340.65</v>
    <v>421.88</v>
    <v>387.47</v>
    <v>395.01</v>
    <v>408.67</v>
    <v>364.2</v>
    <v>330</v>
    <v>339.66</v>
    <v>327.91</v>
    <v>396.5</v>
    <v>353.67</v>
    <v>334.79</v>
    <v>327.56</v>
    <v>337.73</v>
    <v>299.69</v>
    <v>255.43</v>
    <v>287.18</v>
    <v>297.49</v>
    <v>304</v>
    <v>289.41000000000003</v>
    <v>293.61</v>
    <v>299.98</v>
    <v>317.2</v>
    <v>368.71</v>
    <v>394.37</v>
  </a>
  <a r="1" c="523">
    <v>17.637</v>
    <v>18.282</v>
    <v>18.027000000000001</v>
    <v>18.027999999999999</v>
    <v>17.315999999999999</v>
    <v>17.760999999999999</v>
    <v>17.959</v>
    <v>17.734999999999999</v>
    <v>17.77</v>
    <v>17.210999999999999</v>
    <v>17.087</v>
    <v>17.64</v>
    <v>18.678000000000001</v>
    <v>18.067</v>
    <v>20.437999999999999</v>
    <v>21.620999999999999</v>
    <v>21.760999999999999</v>
    <v>19.501999999999999</v>
    <v>20.099</v>
    <v>19.748999999999999</v>
    <v>20.106000000000002</v>
    <v>20.800999999999998</v>
    <v>20.401</v>
    <v>19.984999999999999</v>
    <v>20.542999999999999</v>
    <v>20.302</v>
    <v>18.765000000000001</v>
    <v>17.280999999999999</v>
    <v>17.786000000000001</v>
    <v>16.888000000000002</v>
    <v>17.347999999999999</v>
    <v>17.38</v>
    <v>17.600000000000001</v>
    <v>17.391999999999999</v>
    <v>17.734000000000002</v>
    <v>17.661000000000001</v>
    <v>17.617000000000001</v>
    <v>14.981999999999999</v>
    <v>15.121</v>
    <v>14.920999999999999</v>
    <v>17.108000000000001</v>
    <v>15.452999999999999</v>
    <v>15.371</v>
    <v>15.532</v>
    <v>15.835000000000001</v>
    <v>16.797999999999998</v>
    <v>16.959</v>
    <v>17.484000000000002</v>
    <v>17.417999999999999</v>
    <v>18.341999999999999</v>
    <v>18.212</v>
    <v>18.632000000000001</v>
    <v>19.190000000000001</v>
    <v>17.981999999999999</v>
    <v>18.244</v>
    <v>18.260000000000002</v>
    <v>17.96</v>
    <v>19.11</v>
    <v>18.975000000000001</v>
    <v>18.658000000000001</v>
    <v>18.201000000000001</v>
    <v>17.073</v>
    <v>17.117999999999999</v>
    <v>18.007000000000001</v>
    <v>18.678000000000001</v>
    <v>18.765999999999998</v>
    <v>17.431999999999999</v>
    <v>16.611000000000001</v>
    <v>16.542999999999999</v>
    <v>16.66</v>
    <v>16.73</v>
    <v>16.949000000000002</v>
    <v>17.088000000000001</v>
    <v>16.614000000000001</v>
    <v>17.094000000000001</v>
    <v>16.696999999999999</v>
    <v>17.422000000000001</v>
    <v>17.25</v>
    <v>16.984000000000002</v>
    <v>19.277000000000001</v>
    <v>19.297999999999998</v>
    <v>19.879000000000001</v>
    <v>19.600000000000001</v>
    <v>19.727</v>
    <v>19.277999999999999</v>
    <v>20.071999999999999</v>
    <v>20.079999999999998</v>
    <v>20.065000000000001</v>
    <v>19.855</v>
    <v>19.969000000000001</v>
    <v>20.248999999999999</v>
    <v>20.192</v>
    <v>19.858000000000001</v>
    <v>19.431000000000001</v>
    <v>19.055</v>
    <v>19.308</v>
    <v>19.353000000000002</v>
    <v>18.899999999999999</v>
    <v>18.61</v>
    <v>19.161000000000001</v>
    <v>18.350000000000001</v>
    <v>18.79</v>
    <v>18.347999999999999</v>
    <v>18.265499999999999</v>
    <v>19.045999999999999</v>
    <v>19.044</v>
    <v>19.085999999999999</v>
    <v>18.504999999999999</v>
    <v>18.408000000000001</v>
    <v>18.042000000000002</v>
    <v>18.821000000000002</v>
    <v>18.027999999999999</v>
    <v>18.297000000000001</v>
    <v>18.559999999999999</v>
    <v>19.204000000000001</v>
    <v>18.468</v>
    <v>18.472000000000001</v>
    <v>18.780999999999999</v>
    <v>13.99</v>
    <v>13.555999999999999</v>
    <v>12.904999999999999</v>
    <v>12.56</v>
    <v>12.577999999999999</v>
    <v>12.816000000000001</v>
    <v>12.891999999999999</v>
    <v>12.670999999999999</v>
    <v>12.478999999999999</v>
    <v>12.8</v>
    <v>13.185</v>
    <v>13.499000000000001</v>
    <v>13.727</v>
    <v>14.032</v>
    <v>13.332000000000001</v>
    <v>13.265000000000001</v>
    <v>13.4</v>
    <v>13.744</v>
    <v>13.616</v>
    <v>13.637</v>
    <v>13.287000000000001</v>
    <v>13.2028</v>
    <v>13.164</v>
    <v>13.477</v>
    <v>13.996</v>
    <v>14.065</v>
    <v>13.712</v>
    <v>13.5</v>
    <v>13.119</v>
    <v>13.724</v>
    <v>13.819000000000001</v>
    <v>12.484</v>
    <v>13.657999999999999</v>
    <v>13.154</v>
    <v>13.083</v>
    <v>12.871</v>
    <v>12.657</v>
    <v>13.074</v>
    <v>13.238</v>
    <v>12.677</v>
    <v>13.041</v>
    <v>12.958</v>
    <v>13.087999999999999</v>
    <v>13.032</v>
    <v>13.108000000000001</v>
    <v>13.015000000000001</v>
    <v>13.428000000000001</v>
    <v>13.069000000000001</v>
    <v>12.7</v>
    <v>13.454000000000001</v>
    <v>13.601000000000001</v>
    <v>13.509</v>
    <v>12.929</v>
    <v>13.446999999999999</v>
    <v>14.121</v>
    <v>14.007999999999999</v>
    <v>14.967000000000001</v>
    <v>14.849</v>
    <v>14.487</v>
    <v>14.913</v>
    <v>14.752000000000001</v>
    <v>14.122999999999999</v>
    <v>13.093999999999999</v>
    <v>12.696</v>
    <v>12.686</v>
    <v>12.385999999999999</v>
    <v>12.709</v>
    <v>12.821999999999999</v>
    <v>12.667999999999999</v>
    <v>12.57</v>
    <v>13.15</v>
    <v>12.683</v>
    <v>12.669</v>
    <v>11.606999999999999</v>
    <v>12.709</v>
    <v>13.039</v>
    <v>13.324</v>
    <v>13.573</v>
    <v>13.821999999999999</v>
    <v>12.7</v>
    <v>13.287000000000001</v>
    <v>14.077999999999999</v>
    <v>14.634</v>
    <v>14.234999999999999</v>
    <v>13.827</v>
    <v>14.82</v>
    <v>14.333</v>
    <v>14.523999999999999</v>
    <v>14.611000000000001</v>
    <v>15.035</v>
    <v>14.583</v>
    <v>14.973000000000001</v>
    <v>13.962</v>
    <v>13.709</v>
    <v>13.596</v>
    <v>13.404999999999999</v>
    <v>13.307</v>
    <v>13.83</v>
    <v>13.433</v>
    <v>14.685</v>
    <v>14.3</v>
    <v>13.92</v>
    <v>12.297000000000001</v>
    <v>12.183</v>
    <v>12.313000000000001</v>
    <v>13.246</v>
    <v>13.959</v>
    <v>13.882</v>
    <v>13.917</v>
    <v>14.247999999999999</v>
    <v>13.978</v>
    <v>14.484</v>
    <v>14.864000000000001</v>
    <v>14.715999999999999</v>
    <v>14.673</v>
    <v>14.394</v>
    <v>14.385</v>
    <v>14.6</v>
    <v>15.499000000000001</v>
    <v>15.557</v>
    <v>15.611000000000001</v>
    <v>15.2</v>
    <v>15.071999999999999</v>
    <v>15.125999999999999</v>
    <v>14.574999999999999</v>
    <v>14.555</v>
    <v>14.507999999999999</v>
    <v>14.324999999999999</v>
    <v>14.252000000000001</v>
    <v>14.629</v>
    <v>14.151999999999999</v>
    <v>15.244999999999999</v>
    <v>15.305999999999999</v>
    <v>14.863</v>
    <v>14.632</v>
    <v>13.573</v>
    <v>13.135</v>
    <v>10.288</v>
    <v>10.231</v>
    <v>10.72</v>
    <v>11.756</v>
    <v>12.43</v>
    <v>12.406000000000001</v>
    <v>12.727</v>
    <v>12.218999999999999</v>
    <v>12.49</v>
    <v>11.881</v>
    <v>12.4</v>
    <v>12.499000000000001</v>
    <v>12.552</v>
    <v>11.577999999999999</v>
    <v>11.901</v>
    <v>11.718999999999999</v>
    <v>11.882999999999999</v>
    <v>11.811</v>
    <v>11.81</v>
    <v>11.755000000000001</v>
    <v>12.436999999999999</v>
    <v>12.337999999999999</v>
    <v>14.801</v>
    <v>14.65</v>
    <v>14.726000000000001</v>
    <v>14.061</v>
    <v>14.163</v>
    <v>15.77</v>
    <v>14.845000000000001</v>
    <v>14.773</v>
    <v>16.716000000000001</v>
    <v>16.559999999999999</v>
    <v>18.448</v>
    <v>16.890999999999998</v>
    <v>18.399000000000001</v>
    <v>19.433</v>
    <v>22.7</v>
    <v>30.03</v>
    <v>33.006999999999998</v>
    <v>29.893000000000001</v>
    <v>29.763000000000002</v>
    <v>36.728999999999999</v>
    <v>41.633000000000003</v>
    <v>47.213999999999999</v>
    <v>61.652999999999999</v>
    <v>59.03</v>
    <v>62.033999999999999</v>
    <v>92.582999999999998</v>
    <v>107.084</v>
    <v>87.1</v>
    <v>79.84</v>
    <v>64.501000000000005</v>
    <v>78.832999999999998</v>
    <v>76.72</v>
    <v>65.885999999999996</v>
    <v>70.974999999999994</v>
    <v>73.519000000000005</v>
    <v>65.004000000000005</v>
    <v>63.676000000000002</v>
    <v>67.397000000000006</v>
    <v>61.585999999999999</v>
    <v>48.4</v>
    <v>46.5</v>
    <v>47.124000000000002</v>
    <v>48.25</v>
    <v>54.4</v>
    <v>59.917000000000002</v>
    <v>57.033000000000001</v>
    <v>65.207999999999998</v>
    <v>63.225000000000001</v>
    <v>50.765999999999998</v>
    <v>62.1</v>
    <v>62.259</v>
    <v>79.631100000000004</v>
    <v>74</v>
    <v>74.19</v>
    <v>70.259</v>
    <v>69.900000000000006</v>
    <v>60.9</v>
    <v>57.442</v>
    <v>60.325000000000003</v>
    <v>61.148000000000003</v>
    <v>72</v>
    <v>74.8</v>
    <v>73.644999999999996</v>
    <v>72.099999999999994</v>
    <v>84.198999999999998</v>
    <v>81.995999999999995</v>
    <v>72.471000000000004</v>
    <v>69</v>
    <v>59.491999999999997</v>
    <v>59.494999999999997</v>
    <v>55.281999999999996</v>
    <v>60</v>
    <v>55.061</v>
    <v>46.369</v>
    <v>48.48</v>
    <v>32</v>
    <v>33.787999999999997</v>
    <v>40.4512</v>
    <v>41.47</v>
    <v>37.581400000000002</v>
    <v>40.156999999999996</v>
    <v>41.51</v>
    <v>38.994999999999997</v>
    <v>45.106999999999999</v>
    <v>49.603999999999999</v>
    <v>49.171999999999997</v>
    <v>44.122</v>
    <v>44.78</v>
    <v>40.508000000000003</v>
    <v>35.600999999999999</v>
    <v>27.125</v>
    <v>20</v>
    <v>21.164000000000001</v>
    <v>23.516999999999999</v>
    <v>24.395</v>
    <v>14.930999999999999</v>
    <v>17.094000000000001</v>
    <v>20.251000000000001</v>
    <v>16.584</v>
    <v>21.035</v>
    <v>23.012</v>
    <v>26.702000000000002</v>
    <v>27.652999999999999</v>
    <v>33.564999999999998</v>
    <v>34.646000000000001</v>
    <v>27.300999999999998</v>
    <v>24.137</v>
    <v>21.853000000000002</v>
    <v>26.321000000000002</v>
    <v>19.926500000000001</v>
    <v>19.181999999999999</v>
    <v>21.39</v>
    <v>21.962</v>
    <v>22</v>
    <v>23.3</v>
    <v>27.89</v>
    <v>27.140999999999998</v>
    <v>17.131</v>
    <v>16.5</v>
    <v>17.872</v>
    <v>20.85</v>
    <v>19.899999999999999</v>
    <v>17.231000000000002</v>
    <v>16</v>
    <v>14.567</v>
    <v>17</v>
    <v>23.2</v>
    <v>24.094999999999999</v>
    <v>25.234999999999999</v>
    <v>27.431000000000001</v>
    <v>23.902999999999999</v>
    <v>28.623999999999999</v>
    <v>26.359000000000002</v>
    <v>24.934999999999999</v>
    <v>20.202000000000002</v>
    <v>28.042999999999999</v>
    <v>25.986000000000001</v>
    <v>29.099</v>
    <v>29</v>
    <v>32.173000000000002</v>
    <v>29.103000000000002</v>
    <v>32</v>
    <v>31.114999999999998</v>
    <v>28</v>
    <v>28.777999999999999</v>
    <v>30.01</v>
    <v>29.446999999999999</v>
    <v>27.912500000000001</v>
    <v>30</v>
    <v>32.4</v>
    <v>34.700000000000003</v>
    <v>38.116999999999997</v>
    <v>45.719499999999996</v>
    <v>42.764000000000003</v>
    <v>44</v>
    <v>37.103000000000002</v>
    <v>38.156999999999996</v>
    <v>33.029000000000003</v>
    <v>33.936</v>
    <v>35.148000000000003</v>
    <v>35.5</v>
    <v>35.125</v>
    <v>31.95</v>
    <v>34.656999999999996</v>
    <v>33.152999999999999</v>
    <v>33.799999999999997</v>
    <v>35.534999999999997</v>
    <v>42.3</v>
    <v>46.101999999999997</v>
    <v>50.2</v>
    <v>49.201000000000001</v>
    <v>50.575000000000003</v>
    <v>56.7</v>
    <v>57.411000000000001</v>
    <v>56.11</v>
    <v>60.948999999999998</v>
    <v>69.248999999999995</v>
    <v>64</v>
    <v>47.9</v>
    <v>46.8</v>
    <v>50</v>
    <v>50.2</v>
    <v>65.198999999999998</v>
    <v>71.078999999999994</v>
    <v>68.793999999999997</v>
    <v>120</v>
    <v>155</v>
    <v>171.845</v>
    <v>160.5</v>
    <v>164.501</v>
    <v>160.21</v>
    <v>147</v>
    <v>120.9</v>
    <v>125</v>
    <v>127.38500000000001</v>
    <v>121.794</v>
    <v>159.69999999999999</v>
    <v>165</v>
    <v>160.1</v>
    <v>157.501</v>
    <v>149.97999999999999</v>
    <v>139.80000000000001</v>
    <v>141</v>
    <v>131.453</v>
    <v>152.4</v>
    <v>178.40199999999999</v>
    <v>181.999</v>
    <v>105.16500000000001</v>
    <v>133.49</v>
    <v>133.69999999999999</v>
    <v>148.12</v>
    <v>132</v>
    <v>118.93</v>
    <v>137.02000000000001</v>
    <v>147.47999999999999</v>
    <v>168.63</v>
    <v>179.71</v>
    <v>224.48</v>
    <v>214.49</v>
    <v>244.64</v>
    <v>226.97</v>
    <v>297</v>
    <v>345.41500000000002</v>
    <v>440.75</v>
    <v>393.64</v>
    <v>394</v>
    <v>424.87</v>
    <v>358</v>
    <v>319.39999999999998</v>
    <v>349.85</v>
    <v>309.95</v>
    <v>395.45499999999998</v>
    <v>340.5</v>
    <v>310</v>
    <v>333.5</v>
    <v>337.35</v>
    <v>304</v>
    <v>293.14999999999998</v>
    <v>268</v>
    <v>292.14999999999998</v>
    <v>316.14</v>
    <v>281.87</v>
    <v>260.14</v>
    <v>309.8</v>
    <v>324.99</v>
    <v>373.29</v>
  </a>
  <a r="1" c="523">
    <v>19.789200000000001</v>
    <v>18.654</v>
    <v>18.417400000000001</v>
    <v>18.046500000000002</v>
    <v>17.904</v>
    <v>18.117000000000001</v>
    <v>18.282</v>
    <v>17.905000000000001</v>
    <v>17.983499999999999</v>
    <v>17.358000000000001</v>
    <v>17.7</v>
    <v>18.71</v>
    <v>18.739000000000001</v>
    <v>20.78</v>
    <v>22.129000000000001</v>
    <v>22.166</v>
    <v>22.647500000000001</v>
    <v>20.659500000000001</v>
    <v>20.099</v>
    <v>20.341999999999999</v>
    <v>21.321000000000002</v>
    <v>21.458400000000001</v>
    <v>20.401</v>
    <v>20.640999999999998</v>
    <v>20.977</v>
    <v>20.478999999999999</v>
    <v>19.704000000000001</v>
    <v>18.167999999999999</v>
    <v>17.786000000000001</v>
    <v>17.625</v>
    <v>17.78</v>
    <v>17.899999999999999</v>
    <v>17.741</v>
    <v>18.122</v>
    <v>17.84</v>
    <v>18.18</v>
    <v>17.797999999999998</v>
    <v>15.704000000000001</v>
    <v>15.407999999999999</v>
    <v>17.376999999999999</v>
    <v>17.616</v>
    <v>16.170999999999999</v>
    <v>15.824</v>
    <v>16</v>
    <v>17.283000000000001</v>
    <v>17.111000000000001</v>
    <v>17.558</v>
    <v>17.73</v>
    <v>18.309000000000001</v>
    <v>18.664999999999999</v>
    <v>18.940999999999999</v>
    <v>19.184000000000001</v>
    <v>19.239999999999998</v>
    <v>18.594000000000001</v>
    <v>19.218</v>
    <v>18.542000000000002</v>
    <v>19.151</v>
    <v>19.11</v>
    <v>19.599</v>
    <v>19.1005</v>
    <v>18.625</v>
    <v>17.696000000000002</v>
    <v>17.991</v>
    <v>18.806100000000001</v>
    <v>19.175999999999998</v>
    <v>18.765999999999998</v>
    <v>17.431999999999999</v>
    <v>16.707999999999998</v>
    <v>16.760000000000002</v>
    <v>17.1815</v>
    <v>17.126000000000001</v>
    <v>17.367000000000001</v>
    <v>17.289000000000001</v>
    <v>17.231000000000002</v>
    <v>17.170500000000001</v>
    <v>17.427</v>
    <v>17.8</v>
    <v>17.425000000000001</v>
    <v>19.901</v>
    <v>19.678999999999998</v>
    <v>19.811499999999999</v>
    <v>19.914000000000001</v>
    <v>19.9695</v>
    <v>19.927</v>
    <v>20.513500000000001</v>
    <v>20.56</v>
    <v>20.728000000000002</v>
    <v>20.698</v>
    <v>20.274000000000001</v>
    <v>20.422000000000001</v>
    <v>20.408999999999999</v>
    <v>20.596</v>
    <v>20.248999999999999</v>
    <v>19.463000000000001</v>
    <v>19.524999999999999</v>
    <v>19.722000000000001</v>
    <v>19.57</v>
    <v>19.190999999999999</v>
    <v>19.3</v>
    <v>19.401</v>
    <v>18.940999999999999</v>
    <v>19.41</v>
    <v>18.716999999999999</v>
    <v>19.143999999999998</v>
    <v>19.457999999999998</v>
    <v>19.457000000000001</v>
    <v>19.39</v>
    <v>18.919</v>
    <v>18.613</v>
    <v>18.95</v>
    <v>18.821000000000002</v>
    <v>18.488</v>
    <v>18.777000000000001</v>
    <v>19.347000000000001</v>
    <v>19.224499999999999</v>
    <v>19.449000000000002</v>
    <v>19.116</v>
    <v>19.635000000000002</v>
    <v>14.071</v>
    <v>13.563000000000001</v>
    <v>13.249000000000001</v>
    <v>12.816000000000001</v>
    <v>13.012</v>
    <v>13.0395</v>
    <v>13.346</v>
    <v>12.733000000000001</v>
    <v>12.851000000000001</v>
    <v>13.195</v>
    <v>13.6015</v>
    <v>13.855</v>
    <v>14.337</v>
    <v>14.128</v>
    <v>13.599</v>
    <v>13.457000000000001</v>
    <v>13.811999999999999</v>
    <v>13.85</v>
    <v>13.88</v>
    <v>13.637</v>
    <v>13.648</v>
    <v>13.295999999999999</v>
    <v>13.589</v>
    <v>13.98</v>
    <v>14.215</v>
    <v>14.098000000000001</v>
    <v>13.984999999999999</v>
    <v>13.5565</v>
    <v>13.914</v>
    <v>13.971</v>
    <v>13.855499999999999</v>
    <v>13.693</v>
    <v>13.67</v>
    <v>13.273</v>
    <v>13.314500000000001</v>
    <v>13.241</v>
    <v>13.09</v>
    <v>13.624000000000001</v>
    <v>13.406499999999999</v>
    <v>13.4092</v>
    <v>13.234999999999999</v>
    <v>13.15</v>
    <v>13.205</v>
    <v>13.5289</v>
    <v>13.3665</v>
    <v>13.529</v>
    <v>13.699</v>
    <v>13.242000000000001</v>
    <v>13.586</v>
    <v>13.722</v>
    <v>13.781000000000001</v>
    <v>13.85</v>
    <v>13.749000000000001</v>
    <v>14.26</v>
    <v>14.381</v>
    <v>15.007999999999999</v>
    <v>14.967000000000001</v>
    <v>14.849</v>
    <v>14.986499999999999</v>
    <v>15.1225</v>
    <v>14.875500000000001</v>
    <v>14.196</v>
    <v>13.230499999999999</v>
    <v>13.196</v>
    <v>12.8985</v>
    <v>12.746</v>
    <v>13.018000000000001</v>
    <v>12.9</v>
    <v>12.667999999999999</v>
    <v>12.978</v>
    <v>13.356999999999999</v>
    <v>12.984999999999999</v>
    <v>12.669</v>
    <v>12.827</v>
    <v>13.102</v>
    <v>13.4108</v>
    <v>13.765499999999999</v>
    <v>13.989000000000001</v>
    <v>14.023</v>
    <v>13.284000000000001</v>
    <v>14.3</v>
    <v>14.545</v>
    <v>14.7445</v>
    <v>14.234999999999999</v>
    <v>14.991</v>
    <v>15.05</v>
    <v>14.75</v>
    <v>14.867000000000001</v>
    <v>15.093</v>
    <v>15.237500000000001</v>
    <v>15.081</v>
    <v>15.198</v>
    <v>14.212</v>
    <v>13.856</v>
    <v>13.914</v>
    <v>13.641299999999999</v>
    <v>13.726000000000001</v>
    <v>14.101000000000001</v>
    <v>14.9885</v>
    <v>14.746</v>
    <v>14.430999999999999</v>
    <v>13.92</v>
    <v>12.5</v>
    <v>12.384</v>
    <v>14.071999999999999</v>
    <v>14.356</v>
    <v>14.2</v>
    <v>14.29</v>
    <v>14.381</v>
    <v>14.483000000000001</v>
    <v>15</v>
    <v>15.346</v>
    <v>15.226000000000001</v>
    <v>14.99</v>
    <v>14.815</v>
    <v>14.5</v>
    <v>14.661</v>
    <v>15.484999999999999</v>
    <v>15.7074</v>
    <v>15.85</v>
    <v>15.89</v>
    <v>15.335000000000001</v>
    <v>15.2265</v>
    <v>15.287000000000001</v>
    <v>14.77</v>
    <v>14.555</v>
    <v>14.507999999999999</v>
    <v>14.547000000000001</v>
    <v>14.795999999999999</v>
    <v>14.757</v>
    <v>16.5</v>
    <v>15.608499999999999</v>
    <v>15.356999999999999</v>
    <v>15.068</v>
    <v>14.786</v>
    <v>13.882</v>
    <v>13.281000000000001</v>
    <v>11.281000000000001</v>
    <v>11.164</v>
    <v>11.817500000000001</v>
    <v>12.733000000000001</v>
    <v>12.7605</v>
    <v>12.757999999999999</v>
    <v>13.13</v>
    <v>12.574999999999999</v>
    <v>12.557499999999999</v>
    <v>12.2675</v>
    <v>12.734999999999999</v>
    <v>13.048</v>
    <v>12.782500000000001</v>
    <v>12.613</v>
    <v>11.999000000000001</v>
    <v>11.997</v>
    <v>12.102</v>
    <v>12.1435</v>
    <v>12.2585</v>
    <v>12.726000000000001</v>
    <v>12.516999999999999</v>
    <v>14.675000000000001</v>
    <v>15.17</v>
    <v>15.045999999999999</v>
    <v>15.122999999999999</v>
    <v>14.315</v>
    <v>17.655999999999999</v>
    <v>15.77</v>
    <v>15.340999999999999</v>
    <v>16.553000000000001</v>
    <v>16.940000000000001</v>
    <v>18.620999999999999</v>
    <v>18.7</v>
    <v>18.617999999999999</v>
    <v>19.608000000000001</v>
    <v>22.7</v>
    <v>28</v>
    <v>35.893999999999998</v>
    <v>34.972000000000001</v>
    <v>32.232500000000002</v>
    <v>34.32</v>
    <v>39.997999999999998</v>
    <v>56.866</v>
    <v>63.16</v>
    <v>62.145000000000003</v>
    <v>69.647599999999997</v>
    <v>80.600999999999999</v>
    <v>131.5</v>
    <v>108.2568</v>
    <v>93.227999999999994</v>
    <v>81.748599999999996</v>
    <v>81</v>
    <v>80.900000000000006</v>
    <v>77.5</v>
    <v>72.582999999999998</v>
    <v>73.603499999999997</v>
    <v>88.21</v>
    <v>66.546000000000006</v>
    <v>68.900000000000006</v>
    <v>67.397000000000006</v>
    <v>61.585999999999999</v>
    <v>50.426000000000002</v>
    <v>50.206099999999999</v>
    <v>50.198</v>
    <v>52.987000000000002</v>
    <v>64.765000000000001</v>
    <v>61.4</v>
    <v>69.299000000000007</v>
    <v>65.352000000000004</v>
    <v>63.241999999999997</v>
    <v>56.981200000000001</v>
    <v>69.5</v>
    <v>75.099000000000004</v>
    <v>79.8</v>
    <v>74.099999999999994</v>
    <v>74.778000000000006</v>
    <v>73.266000000000005</v>
    <v>70.2</v>
    <v>65.101399999999998</v>
    <v>61.776000000000003</v>
    <v>61.561</v>
    <v>71.278999999999996</v>
    <v>76.197999999999993</v>
    <v>77.706999999999994</v>
    <v>75.548500000000004</v>
    <v>84.1</v>
    <v>89.138000000000005</v>
    <v>81.995999999999995</v>
    <v>72.581000000000003</v>
    <v>74.399000000000001</v>
    <v>64.718999999999994</v>
    <v>60.3</v>
    <v>60</v>
    <v>62.151699999999998</v>
    <v>57.625999999999998</v>
    <v>52.997999999999998</v>
    <v>49.198999999999998</v>
    <v>39.366</v>
    <v>39.857999999999997</v>
    <v>46.304000000000002</v>
    <v>43.827599999999997</v>
    <v>41.2</v>
    <v>47.3048</v>
    <v>45.445</v>
    <v>45.69</v>
    <v>49.3934</v>
    <v>52.280299999999997</v>
    <v>50.856999999999999</v>
    <v>47.606999999999999</v>
    <v>47.728000000000002</v>
    <v>42.8</v>
    <v>36.953000000000003</v>
    <v>27.125</v>
    <v>22.596</v>
    <v>23.387</v>
    <v>27.288</v>
    <v>24.876999999999999</v>
    <v>17.687999999999999</v>
    <v>20.798999999999999</v>
    <v>20.612500000000001</v>
    <v>23.6281</v>
    <v>21.419</v>
    <v>29.95</v>
    <v>28.797000000000001</v>
    <v>33.222999999999999</v>
    <v>36.197000000000003</v>
    <v>35.8322</v>
    <v>28.327000000000002</v>
    <v>25.419799999999999</v>
    <v>26.221</v>
    <v>26.798999999999999</v>
    <v>20.832999999999998</v>
    <v>22.603999999999999</v>
    <v>24.916599999999999</v>
    <v>23.186</v>
    <v>23.530999999999999</v>
    <v>29</v>
    <v>28.388000000000002</v>
    <v>27.38</v>
    <v>17.91</v>
    <v>18.3</v>
    <v>21.149000000000001</v>
    <v>21.073</v>
    <v>21.378</v>
    <v>17.884</v>
    <v>16.007000000000001</v>
    <v>16.569500000000001</v>
    <v>22.216999999999999</v>
    <v>24.202999999999999</v>
    <v>26.21</v>
    <v>30.34</v>
    <v>29.040900000000001</v>
    <v>31.5</v>
    <v>29.074000000000002</v>
    <v>26.975000000000001</v>
    <v>25.204000000000001</v>
    <v>27.4</v>
    <v>28.172999999999998</v>
    <v>29.54</v>
    <v>30.7</v>
    <v>34.762999999999998</v>
    <v>33.4</v>
    <v>32.898000000000003</v>
    <v>33.292700000000004</v>
    <v>32.564999999999998</v>
    <v>29.721</v>
    <v>30.12</v>
    <v>31.364000000000001</v>
    <v>30.456499999999998</v>
    <v>29.8</v>
    <v>33.799999999999997</v>
    <v>35.274999999999999</v>
    <v>39.200000000000003</v>
    <v>47.5092</v>
    <v>46.7</v>
    <v>45.246000000000002</v>
    <v>44.283999999999999</v>
    <v>39.65</v>
    <v>39.268999999999998</v>
    <v>35.052500000000002</v>
    <v>38.799300000000002</v>
    <v>35.9</v>
    <v>36.76</v>
    <v>35.633000000000003</v>
    <v>33.755299999999998</v>
    <v>35.283999999999999</v>
    <v>34.646999999999998</v>
    <v>36.200000000000003</v>
    <v>44.948999999999998</v>
    <v>46.418999999999997</v>
    <v>53.521000000000001</v>
    <v>50.927999999999997</v>
    <v>52.679000000000002</v>
    <v>52.98</v>
    <v>59.939</v>
    <v>59</v>
    <v>62.258000000000003</v>
    <v>68.935000000000002</v>
    <v>72.777000000000001</v>
    <v>64.688000000000002</v>
    <v>52.2</v>
    <v>50.094999999999999</v>
    <v>52.789000000000001</v>
    <v>64.89</v>
    <v>80.677999999999997</v>
    <v>72.325000000000003</v>
    <v>108</v>
    <v>145.173</v>
    <v>181.5</v>
    <v>173.49</v>
    <v>199.999</v>
    <v>173.97200000000001</v>
    <v>162.37799999999999</v>
    <v>148.99700000000001</v>
    <v>139.4451</v>
    <v>130.8416</v>
    <v>133.9</v>
    <v>158.5</v>
    <v>174</v>
    <v>171.499</v>
    <v>173.46979999999999</v>
    <v>169.27099999999999</v>
    <v>156.90100000000001</v>
    <v>153.9</v>
    <v>143.595</v>
    <v>143.54040000000001</v>
    <v>178.5</v>
    <v>181.06620000000001</v>
    <v>183.7</v>
    <v>142.15799999999999</v>
    <v>140</v>
    <v>151.81</v>
    <v>152.35</v>
    <v>132.72999999999999</v>
    <v>143</v>
    <v>148.96</v>
    <v>179.6</v>
    <v>176.55</v>
    <v>212.81</v>
    <v>227.15</v>
    <v>245.56569999999999</v>
    <v>267.89</v>
    <v>280.80070000000001</v>
    <v>383.4</v>
    <v>543</v>
    <v>440.75</v>
    <v>444.94470000000001</v>
    <v>415.80430000000001</v>
    <v>437.60989999999998</v>
    <v>361</v>
    <v>343.4</v>
    <v>383.02</v>
    <v>398.68</v>
    <v>404.41730000000001</v>
    <v>356.88</v>
    <v>353.79</v>
    <v>344.89</v>
    <v>340.49</v>
    <v>304.04000000000002</v>
    <v>320.94</v>
    <v>298.7</v>
    <v>309.39999999999998</v>
    <v>343.5899</v>
    <v>319.47000000000003</v>
    <v>304.14999999999998</v>
    <v>320</v>
    <v>373.23</v>
    <v>403.9</v>
  </a>
  <a r="1" c="523">
    <v>16.901</v>
    <v>17.507000000000001</v>
    <v>17.504000000000001</v>
    <v>17.271000000000001</v>
    <v>17.02</v>
    <v>17.437000000000001</v>
    <v>17.475000000000001</v>
    <v>17.292999999999999</v>
    <v>17</v>
    <v>16.7178</v>
    <v>16.863</v>
    <v>17.597000000000001</v>
    <v>17.805299999999999</v>
    <v>17.585000000000001</v>
    <v>20.306999999999999</v>
    <v>21.248000000000001</v>
    <v>20.068000000000001</v>
    <v>19.300999999999998</v>
    <v>19.221</v>
    <v>19.599</v>
    <v>19.520800000000001</v>
    <v>20.344999999999999</v>
    <v>19.199000000000002</v>
    <v>19.536999999999999</v>
    <v>19.526</v>
    <v>18.673999999999999</v>
    <v>16.419</v>
    <v>17.128</v>
    <v>16.821000000000002</v>
    <v>16.811</v>
    <v>16.93</v>
    <v>17.135999999999999</v>
    <v>17.053999999999998</v>
    <v>17.114000000000001</v>
    <v>17.454000000000001</v>
    <v>17.536000000000001</v>
    <v>14.106</v>
    <v>14.295</v>
    <v>14.101000000000001</v>
    <v>14.154</v>
    <v>15.580500000000001</v>
    <v>14.555</v>
    <v>14.762</v>
    <v>15.026999999999999</v>
    <v>15.8</v>
    <v>15.936999999999999</v>
    <v>16.221</v>
    <v>16.8535</v>
    <v>16.847999999999999</v>
    <v>17.672000000000001</v>
    <v>17.896999999999998</v>
    <v>18.523</v>
    <v>17.026</v>
    <v>17.751000000000001</v>
    <v>18.125</v>
    <v>17.635999999999999</v>
    <v>17.957999999999998</v>
    <v>18.382000000000001</v>
    <v>18.669</v>
    <v>17.739000000000001</v>
    <v>17.260000000000002</v>
    <v>16.501999999999999</v>
    <v>16.8</v>
    <v>17.797000000000001</v>
    <v>18.225000000000001</v>
    <v>16.189499999999999</v>
    <v>16.294</v>
    <v>16.321000000000002</v>
    <v>16.318000000000001</v>
    <v>16.404</v>
    <v>16.509</v>
    <v>16.75</v>
    <v>16.402000000000001</v>
    <v>16.358000000000001</v>
    <v>16.452000000000002</v>
    <v>16.271999999999998</v>
    <v>17.007000000000001</v>
    <v>16.667000000000002</v>
    <v>16.903500000000001</v>
    <v>18.654</v>
    <v>18.643999999999998</v>
    <v>19.074999999999999</v>
    <v>19.539000000000001</v>
    <v>18.501999999999999</v>
    <v>19.256</v>
    <v>19.623999999999999</v>
    <v>19.536000000000001</v>
    <v>19.59</v>
    <v>19.702000000000002</v>
    <v>19.667000000000002</v>
    <v>19.786999999999999</v>
    <v>19.899999999999999</v>
    <v>19.001999999999999</v>
    <v>18.559999999999999</v>
    <v>18.787700000000001</v>
    <v>19.152000000000001</v>
    <v>18.71</v>
    <v>18.542999999999999</v>
    <v>18.61</v>
    <v>18.361999999999998</v>
    <v>18.222000000000001</v>
    <v>18.103000000000002</v>
    <v>18.155000000000001</v>
    <v>18.184999999999999</v>
    <v>18.154</v>
    <v>18.277999999999999</v>
    <v>18.385000000000002</v>
    <v>18.295500000000001</v>
    <v>18</v>
    <v>18.0001</v>
    <v>17.867000000000001</v>
    <v>17.75</v>
    <v>18.096299999999999</v>
    <v>18.411000000000001</v>
    <v>18.18</v>
    <v>18.228999999999999</v>
    <v>18.416</v>
    <v>13.521000000000001</v>
    <v>13.226000000000001</v>
    <v>12.606999999999999</v>
    <v>12.515000000000001</v>
    <v>12.336</v>
    <v>12.506</v>
    <v>12.708299999999999</v>
    <v>12.601000000000001</v>
    <v>12.3154</v>
    <v>12.2905</v>
    <v>12.8</v>
    <v>13.073499999999999</v>
    <v>13.4801</v>
    <v>13.51</v>
    <v>12.968</v>
    <v>13.21</v>
    <v>13.087</v>
    <v>13.379</v>
    <v>13.342000000000001</v>
    <v>13.106999999999999</v>
    <v>12.975</v>
    <v>13.15</v>
    <v>13.0505</v>
    <v>13.055</v>
    <v>13.395</v>
    <v>13.788</v>
    <v>13.2</v>
    <v>13.482100000000001</v>
    <v>12.85</v>
    <v>12.942</v>
    <v>13.605</v>
    <v>12.215999999999999</v>
    <v>12.484</v>
    <v>13.103</v>
    <v>12.775</v>
    <v>12.5945</v>
    <v>12.3</v>
    <v>12.532</v>
    <v>12.798</v>
    <v>12.362</v>
    <v>12.584</v>
    <v>12.862</v>
    <v>12.648999999999999</v>
    <v>12.845000000000001</v>
    <v>12.8978</v>
    <v>12.925000000000001</v>
    <v>12.907</v>
    <v>12.9361</v>
    <v>12.4</v>
    <v>12.6</v>
    <v>13.31</v>
    <v>13.396000000000001</v>
    <v>12.848000000000001</v>
    <v>12.632</v>
    <v>13.42</v>
    <v>13.851000000000001</v>
    <v>13.871</v>
    <v>14.651999999999999</v>
    <v>14.2</v>
    <v>14.374000000000001</v>
    <v>14.537000000000001</v>
    <v>13.916</v>
    <v>12.952500000000001</v>
    <v>12.6075</v>
    <v>12.558</v>
    <v>12.067</v>
    <v>12.026</v>
    <v>12.439500000000001</v>
    <v>12.458</v>
    <v>12.244999999999999</v>
    <v>12.462999999999999</v>
    <v>12.526</v>
    <v>12.55</v>
    <v>11.627000000000001</v>
    <v>11.55</v>
    <v>12.563000000000001</v>
    <v>12.972</v>
    <v>12.752000000000001</v>
    <v>13.523999999999999</v>
    <v>12.535</v>
    <v>12.7</v>
    <v>13.287000000000001</v>
    <v>14.023999999999999</v>
    <v>13.967000000000001</v>
    <v>13.551</v>
    <v>13.7491</v>
    <v>14.361000000000001</v>
    <v>14.176</v>
    <v>14.297000000000001</v>
    <v>14.3675</v>
    <v>14.358000000000001</v>
    <v>14.401</v>
    <v>13.967000000000001</v>
    <v>13.55</v>
    <v>13.481999999999999</v>
    <v>13.3</v>
    <v>13.161</v>
    <v>13.026</v>
    <v>13.097</v>
    <v>13.433</v>
    <v>13.872</v>
    <v>13.756</v>
    <v>12.05</v>
    <v>12.086</v>
    <v>12.053000000000001</v>
    <v>12.113</v>
    <v>13.061</v>
    <v>13.553000000000001</v>
    <v>13.670999999999999</v>
    <v>13.686999999999999</v>
    <v>13.592000000000001</v>
    <v>13.792999999999999</v>
    <v>14.429</v>
    <v>14.48</v>
    <v>14.257999999999999</v>
    <v>14.31</v>
    <v>13.958</v>
    <v>14.195</v>
    <v>14.525</v>
    <v>15.226000000000001</v>
    <v>15.4825</v>
    <v>14.87</v>
    <v>14.9</v>
    <v>14.728</v>
    <v>14.502000000000001</v>
    <v>14.462999999999999</v>
    <v>14.375</v>
    <v>14.121</v>
    <v>14.2075</v>
    <v>14.252000000000001</v>
    <v>14.278</v>
    <v>14.125</v>
    <v>14.901</v>
    <v>14.693</v>
    <v>14.753</v>
    <v>13.262</v>
    <v>13.21</v>
    <v>10.627000000000001</v>
    <v>9</v>
    <v>9.6530000000000005</v>
    <v>10.467000000000001</v>
    <v>11.249000000000001</v>
    <v>11.957000000000001</v>
    <v>12.1655</v>
    <v>12.096500000000001</v>
    <v>11.714</v>
    <v>10.964</v>
    <v>11.824</v>
    <v>12.2845</v>
    <v>12.0305</v>
    <v>11.576000000000001</v>
    <v>11.507999999999999</v>
    <v>11.355</v>
    <v>11.7</v>
    <v>11.609</v>
    <v>11.420999999999999</v>
    <v>11.632</v>
    <v>11.587</v>
    <v>12.1835</v>
    <v>12.238</v>
    <v>13.971500000000001</v>
    <v>14.414</v>
    <v>13.689</v>
    <v>13.882</v>
    <v>14.021000000000001</v>
    <v>14.46</v>
    <v>14.516</v>
    <v>14.69</v>
    <v>16.233000000000001</v>
    <v>16.343</v>
    <v>15.954000000000001</v>
    <v>16.25</v>
    <v>18.173999999999999</v>
    <v>19.220800000000001</v>
    <v>21.437000000000001</v>
    <v>29.9</v>
    <v>27.408999999999999</v>
    <v>27.638000000000002</v>
    <v>29.501999999999999</v>
    <v>34.4</v>
    <v>40.651000000000003</v>
    <v>46.451000000000001</v>
    <v>50.46</v>
    <v>50.57</v>
    <v>58.604999999999997</v>
    <v>89.001000000000005</v>
    <v>87.8</v>
    <v>66</v>
    <v>53.722000000000001</v>
    <v>61.7</v>
    <v>69.826999999999998</v>
    <v>56.6</v>
    <v>62.030999999999999</v>
    <v>65.2</v>
    <v>68.5</v>
    <v>56.9</v>
    <v>62.8</v>
    <v>58.701000000000001</v>
    <v>47.807000000000002</v>
    <v>41.158000000000001</v>
    <v>44.724899999999998</v>
    <v>46.898000000000003</v>
    <v>42.792999999999999</v>
    <v>54.4</v>
    <v>51.302</v>
    <v>56.5867</v>
    <v>59.469000000000001</v>
    <v>52.052</v>
    <v>47.238</v>
    <v>60.691000000000003</v>
    <v>60.512999999999998</v>
    <v>71.239999999999995</v>
    <v>64.143000000000001</v>
    <v>69.122</v>
    <v>68.709000000000003</v>
    <v>61.203000000000003</v>
    <v>60.031100000000002</v>
    <v>56.829000000000001</v>
    <v>56.526000000000003</v>
    <v>58.279000000000003</v>
    <v>70.194000000000003</v>
    <v>70.100999999999999</v>
    <v>69.141000000000005</v>
    <v>71.119</v>
    <v>78.585700000000003</v>
    <v>71.697000000000003</v>
    <v>65.5</v>
    <v>61.624000000000002</v>
    <v>56.573</v>
    <v>52.881</v>
    <v>54.3</v>
    <v>54.332500000000003</v>
    <v>47.121000000000002</v>
    <v>44.825000000000003</v>
    <v>36.598500000000001</v>
    <v>30.719000000000001</v>
    <v>33.195999999999998</v>
    <v>40.347499999999997</v>
    <v>38.521999999999998</v>
    <v>33.683999999999997</v>
    <v>40.156999999999996</v>
    <v>38.843000000000004</v>
    <v>36.32</v>
    <v>43.029400000000003</v>
    <v>47.88</v>
    <v>44.6</v>
    <v>42.503</v>
    <v>40.799999999999997</v>
    <v>35.299999999999997</v>
    <v>28.2545</v>
    <v>13.409000000000001</v>
    <v>18.899999999999999</v>
    <v>17.61</v>
    <v>22.355</v>
    <v>19.78</v>
    <v>14.39</v>
    <v>16.827999999999999</v>
    <v>16.138999999999999</v>
    <v>16.001999999999999</v>
    <v>18.244499999999999</v>
    <v>22.425000000000001</v>
    <v>23.568000000000001</v>
    <v>27.146000000000001</v>
    <v>31.425000000000001</v>
    <v>28.175999999999998</v>
    <v>24.8</v>
    <v>21.329000000000001</v>
    <v>20.29</v>
    <v>20.321999999999999</v>
    <v>18.349</v>
    <v>19.149999999999999</v>
    <v>21.213999999999999</v>
    <v>19.8125</v>
    <v>21.649000000000001</v>
    <v>22.635999999999999</v>
    <v>24.135999999999999</v>
    <v>15.53</v>
    <v>16</v>
    <v>15.234</v>
    <v>16.916</v>
    <v>18.725000000000001</v>
    <v>17.233000000000001</v>
    <v>16.053999999999998</v>
    <v>13.256</v>
    <v>13.938000000000001</v>
    <v>16.54</v>
    <v>20.962</v>
    <v>23.215</v>
    <v>23.942</v>
    <v>24.100999999999999</v>
    <v>23.654199999999999</v>
    <v>24.887</v>
    <v>23.684999999999999</v>
    <v>18.829999999999998</v>
    <v>19.635000000000002</v>
    <v>24.600999999999999</v>
    <v>23.071999999999999</v>
    <v>27.837</v>
    <v>28.5</v>
    <v>28.774000000000001</v>
    <v>28.015000000000001</v>
    <v>30.167999999999999</v>
    <v>26.651</v>
    <v>26.925999999999998</v>
    <v>27.285</v>
    <v>28.9</v>
    <v>26.655000000000001</v>
    <v>26.6</v>
    <v>28.969000000000001</v>
    <v>30.108499999999999</v>
    <v>34.598999999999997</v>
    <v>37.0047</v>
    <v>42.655000000000001</v>
    <v>41.292999999999999</v>
    <v>37.445</v>
    <v>35.770000000000003</v>
    <v>32.228999999999999</v>
    <v>32.502000000000002</v>
    <v>33.854500000000002</v>
    <v>33.783999999999999</v>
    <v>33.6</v>
    <v>32.056699999999999</v>
    <v>31.01</v>
    <v>30.710999999999999</v>
    <v>31.425000000000001</v>
    <v>32.104999999999997</v>
    <v>34.609000000000002</v>
    <v>41</v>
    <v>44.9</v>
    <v>46</v>
    <v>48.107999999999997</v>
    <v>48.731400000000001</v>
    <v>55</v>
    <v>54.617899999999999</v>
    <v>55.9</v>
    <v>59.649000000000001</v>
    <v>62.53</v>
    <v>48.1</v>
    <v>46.5</v>
    <v>43.874000000000002</v>
    <v>49.021000000000001</v>
    <v>46.749000000000002</v>
    <v>65.016999999999996</v>
    <v>66.425700000000006</v>
    <v>68.793999999999997</v>
    <v>103.506</v>
    <v>143.80019999999999</v>
    <v>123.012</v>
    <v>159.44200000000001</v>
    <v>143.19999999999999</v>
    <v>137.37700000000001</v>
    <v>113.199</v>
    <v>120.114</v>
    <v>101</v>
    <v>117.85299999999999</v>
    <v>120.3</v>
    <v>152.80000000000001</v>
    <v>144.19999999999999</v>
    <v>156.04169999999999</v>
    <v>144.101</v>
    <v>140.90199999999999</v>
    <v>132.55410000000001</v>
    <v>120.232</v>
    <v>125.87820000000001</v>
    <v>149.24250000000001</v>
    <v>150.76599999999999</v>
    <v>141.71</v>
    <v>102.402</v>
    <v>126.59</v>
    <v>130.63</v>
    <v>128.30000000000001</v>
    <v>113.69</v>
    <v>117.5003</v>
    <v>128.51</v>
    <v>145.01490000000001</v>
    <v>157.02000000000001</v>
    <v>178</v>
    <v>185.81</v>
    <v>204.91</v>
    <v>225.93</v>
    <v>220.82</v>
    <v>293.3</v>
    <v>339.375</v>
    <v>338.67009999999999</v>
    <v>362.67</v>
    <v>356.05</v>
    <v>317</v>
    <v>323.2</v>
    <v>285.01</v>
    <v>317.22000000000003</v>
    <v>303.8</v>
    <v>351</v>
    <v>322.3</v>
    <v>308.89999999999998</v>
    <v>314.19</v>
    <v>299.04000000000002</v>
    <v>231.92</v>
    <v>237.0102</v>
    <v>231.51</v>
    <v>272.5</v>
    <v>289.25</v>
    <v>265.30220000000003</v>
    <v>235.93</v>
    <v>300.10000000000002</v>
    <v>309</v>
    <v>354.53</v>
  </a>
  <a r="1" c="523">
    <v>9381760</v>
    <v>4126240</v>
    <v>3415050</v>
    <v>5390330</v>
    <v>3291130</v>
    <v>3822720</v>
    <v>4462750</v>
    <v>3464830</v>
    <v>2436640</v>
    <v>2942550</v>
    <v>4402320</v>
    <v>4017220</v>
    <v>3759580</v>
    <v>11085750</v>
    <v>5606190</v>
    <v>4454270</v>
    <v>5305110</v>
    <v>5961480</v>
    <v>4094570</v>
    <v>4928230</v>
    <v>4771450</v>
    <v>4944550</v>
    <v>6799100</v>
    <v>6309350</v>
    <v>4135110</v>
    <v>5194280</v>
    <v>17955390</v>
    <v>7797000</v>
    <v>4900310</v>
    <v>4207330</v>
    <v>3375030</v>
    <v>5296320</v>
    <v>6833860</v>
    <v>8183050</v>
    <v>3751690</v>
    <v>2896400</v>
    <v>12710410</v>
    <v>8104920</v>
    <v>5828190</v>
    <v>15931320</v>
    <v>8892810</v>
    <v>7795170</v>
    <v>7906840</v>
    <v>8140290</v>
    <v>7436740</v>
    <v>5681710</v>
    <v>6406220</v>
    <v>4187970</v>
    <v>5783290</v>
    <v>4927330</v>
    <v>7008200</v>
    <v>7736670</v>
    <v>12746060</v>
    <v>7696660</v>
    <v>8938110</v>
    <v>5902660</v>
    <v>4216900</v>
    <v>6059120</v>
    <v>5839510</v>
    <v>4246000</v>
    <v>6201350</v>
    <v>7735610</v>
    <v>3585100</v>
    <v>6791000</v>
    <v>7437010</v>
    <v>10915160</v>
    <v>9293770</v>
    <v>5385470</v>
    <v>3912380</v>
    <v>4973120</v>
    <v>4084830</v>
    <v>5602120</v>
    <v>7513820</v>
    <v>6401230</v>
    <v>5904770</v>
    <v>6725880</v>
    <v>4689260</v>
    <v>5231290</v>
    <v>11053240</v>
    <v>8525620</v>
    <v>13665940</v>
    <v>5061740</v>
    <v>2378060</v>
    <v>4662180</v>
    <v>4513080</v>
    <v>4983270</v>
    <v>4334230</v>
    <v>2518870</v>
    <v>4129440</v>
    <v>3390590</v>
    <v>2871790</v>
    <v>3704480</v>
    <v>5848360</v>
    <v>2524300</v>
    <v>2547430</v>
    <v>2583390</v>
    <v>2597010</v>
    <v>2858000</v>
    <v>2741280</v>
    <v>3585730</v>
    <v>2392860</v>
    <v>3254010</v>
    <v>1363820</v>
    <v>3060170</v>
    <v>3900180</v>
    <v>4287620</v>
    <v>3348490</v>
    <v>3744490</v>
    <v>4748840</v>
    <v>3213810</v>
    <v>3260590</v>
    <v>4127770</v>
    <v>5187120</v>
    <v>7264990</v>
    <v>2195290</v>
    <v>2327050</v>
    <v>3283300</v>
    <v>10531420</v>
    <v>11194120</v>
    <v>6877570</v>
    <v>9709630</v>
    <v>4320260</v>
    <v>6292330</v>
    <v>5109760</v>
    <v>7806210</v>
    <v>4624340</v>
    <v>3521540</v>
    <v>4185360</v>
    <v>4809060</v>
    <v>4548790</v>
    <v>6780920</v>
    <v>7925000</v>
    <v>4787660</v>
    <v>6013780</v>
    <v>2210950</v>
    <v>2777000</v>
    <v>4449320</v>
    <v>5477660</v>
    <v>3863890</v>
    <v>2097710</v>
    <v>2552220</v>
    <v>2665770</v>
    <v>2594410</v>
    <v>5717370</v>
    <v>4340680</v>
    <v>4363730</v>
    <v>5317950</v>
    <v>2594870</v>
    <v>7409150</v>
    <v>6111080</v>
    <v>4599630</v>
    <v>4360820</v>
    <v>3895700</v>
    <v>4960730</v>
    <v>4741800</v>
    <v>3639190</v>
    <v>3493100</v>
    <v>4974530</v>
    <v>2900470</v>
    <v>4359730</v>
    <v>3514020</v>
    <v>2796710</v>
    <v>2538500</v>
    <v>2998300</v>
    <v>4742390</v>
    <v>3366110</v>
    <v>2643310</v>
    <v>2524120</v>
    <v>2002520</v>
    <v>4369240</v>
    <v>5454320</v>
    <v>4435200</v>
    <v>4730780</v>
    <v>4552610</v>
    <v>2862720</v>
    <v>3141030</v>
    <v>2542860</v>
    <v>3839580</v>
    <v>4985410</v>
    <v>4065210</v>
    <v>4852830</v>
    <v>4577000</v>
    <v>5834790</v>
    <v>8071840</v>
    <v>6491890</v>
    <v>5999150</v>
    <v>3697990</v>
    <v>7634550</v>
    <v>4872500</v>
    <v>5826360</v>
    <v>5833240</v>
    <v>3010390</v>
    <v>4137580</v>
    <v>5029760</v>
    <v>4814040</v>
    <v>2618870</v>
    <v>11073910</v>
    <v>8756280</v>
    <v>5742690</v>
    <v>4465530</v>
    <v>4463440</v>
    <v>4877790</v>
    <v>8483280</v>
    <v>4371640</v>
    <v>3738390</v>
    <v>3358530</v>
    <v>3030960</v>
    <v>3015600</v>
    <v>4589800</v>
    <v>7727230</v>
    <v>4574390</v>
    <v>3279860</v>
    <v>3748290</v>
    <v>2413520</v>
    <v>3186910</v>
    <v>4497750</v>
    <v>15451610</v>
    <v>8665980</v>
    <v>3481180</v>
    <v>9728880</v>
    <v>5090810</v>
    <v>3383940</v>
    <v>8968500</v>
    <v>5760210</v>
    <v>7634630</v>
    <v>4127830</v>
    <v>5227490</v>
    <v>6146610</v>
    <v>5995140</v>
    <v>7080980</v>
    <v>3141140</v>
    <v>3038380</v>
    <v>3140600</v>
    <v>3325430</v>
    <v>2105050</v>
    <v>2895570</v>
    <v>3388300</v>
    <v>3058630</v>
    <v>3155000</v>
    <v>2250050</v>
    <v>5406100</v>
    <v>2330980</v>
    <v>2731940</v>
    <v>1436440</v>
    <v>1857630</v>
    <v>2124610</v>
    <v>2186040</v>
    <v>1838830</v>
    <v>5713460</v>
    <v>4157150</v>
    <v>2471770</v>
    <v>2208130</v>
    <v>3733570</v>
    <v>3902170</v>
    <v>5801610</v>
    <v>5527440</v>
    <v>3705380</v>
    <v>3526670</v>
    <v>2331760</v>
    <v>3149920</v>
    <v>2609690</v>
    <v>4689290</v>
    <v>3916470</v>
    <v>5142640</v>
    <v>4108440</v>
    <v>3146330</v>
    <v>3712780</v>
    <v>2959240</v>
    <v>7775000</v>
    <v>3594720</v>
    <v>1834300</v>
    <v>3096310</v>
    <v>3577240</v>
    <v>2504570</v>
    <v>4168140</v>
    <v>2269160</v>
    <v>9227270</v>
    <v>6814750</v>
    <v>4463990</v>
    <v>4679200</v>
    <v>4261840</v>
    <v>13176970</v>
    <v>6521640</v>
    <v>4688500</v>
    <v>4623480</v>
    <v>2922060</v>
    <v>9708110</v>
    <v>11465700</v>
    <v>6586190</v>
    <v>9547290</v>
    <v>11232410</v>
    <v>27685270</v>
    <v>32853360</v>
    <v>40368720</v>
    <v>50397820</v>
    <v>21813870</v>
    <v>34879120</v>
    <v>79903700</v>
    <v>62955430</v>
    <v>45811770</v>
    <v>40171110</v>
    <v>34141420</v>
    <v>90973210</v>
    <v>52683660</v>
    <v>58043200</v>
    <v>47594490</v>
    <v>31847800</v>
    <v>29774160</v>
    <v>33282150</v>
    <v>19695310</v>
    <v>23125740</v>
    <v>52131160</v>
    <v>32274030</v>
    <v>22871190</v>
    <v>21953130</v>
    <v>31055390</v>
    <v>46227200</v>
    <v>29621000</v>
    <v>14980920</v>
    <v>46384110</v>
    <v>63352840</v>
    <v>67989160</v>
    <v>53182790</v>
    <v>18493100</v>
    <v>35141110</v>
    <v>38487640</v>
    <v>52813750</v>
    <v>55795110</v>
    <v>43244290</v>
    <v>35363530</v>
    <v>36723940</v>
    <v>33587450</v>
    <v>39646650</v>
    <v>47378610</v>
    <v>24828630</v>
    <v>17350110</v>
    <v>27859610</v>
    <v>22947130</v>
    <v>29034120</v>
    <v>24383470</v>
    <v>35897200</v>
    <v>25575420</v>
    <v>21786940</v>
    <v>16741720</v>
    <v>33255660</v>
    <v>19906200</v>
    <v>24177860</v>
    <v>14429470</v>
    <v>15887240</v>
    <v>21989450</v>
    <v>19859630</v>
    <v>28415590</v>
    <v>48152780</v>
    <v>36413510</v>
    <v>30959250</v>
    <v>18321260</v>
    <v>19710650</v>
    <v>23176640</v>
    <v>20193600</v>
    <v>24907550</v>
    <v>18899500</v>
    <v>16725270</v>
    <v>17690530</v>
    <v>13669640</v>
    <v>15896870</v>
    <v>19647940</v>
    <v>38694500</v>
    <v>144681220</v>
    <v>47419940</v>
    <v>41826240</v>
    <v>35189850</v>
    <v>28720970</v>
    <v>98176170</v>
    <v>35517570</v>
    <v>37299080</v>
    <v>37955230</v>
    <v>30619520</v>
    <v>53307040</v>
    <v>30631900</v>
    <v>39601910</v>
    <v>25164290</v>
    <v>19741920</v>
    <v>21124030</v>
    <v>29169380</v>
    <v>28085600</v>
    <v>40894450</v>
    <v>36024870</v>
    <v>25237720</v>
    <v>22520520</v>
    <v>19682860</v>
    <v>18461340</v>
    <v>23377730</v>
    <v>22391270</v>
    <v>97950900</v>
    <v>35112370</v>
    <v>22368810</v>
    <v>28821590</v>
    <v>21763240</v>
    <v>25391910</v>
    <v>16120280</v>
    <v>28238540</v>
    <v>25406900</v>
    <v>38745580</v>
    <v>34482200</v>
    <v>24594440</v>
    <v>32400510</v>
    <v>24005710</v>
    <v>32001620</v>
    <v>17979370</v>
    <v>23484670</v>
    <v>35952150</v>
    <v>61452930</v>
    <v>50284160</v>
    <v>45621220</v>
    <v>26273430</v>
    <v>52958280</v>
    <v>38769990</v>
    <v>39968760</v>
    <v>50950970</v>
    <v>56874910</v>
    <v>27702360</v>
    <v>35741010</v>
    <v>28453860</v>
    <v>50109300</v>
    <v>34239000</v>
    <v>65191820</v>
    <v>50466190</v>
    <v>41277890</v>
    <v>69287730</v>
    <v>33922640</v>
    <v>26631400</v>
    <v>34158190</v>
    <v>27259020</v>
    <v>30217370</v>
    <v>21946880</v>
    <v>34985570</v>
    <v>18254390</v>
    <v>31666510</v>
    <v>21688110</v>
    <v>21935200</v>
    <v>28762490</v>
    <v>19161040</v>
    <v>36541210</v>
    <v>65287550</v>
    <v>43230130</v>
    <v>53579440</v>
    <v>59343430</v>
    <v>34973130</v>
    <v>47447130</v>
    <v>56829600</v>
    <v>49276710</v>
    <v>50805030</v>
    <v>64945320</v>
    <v>61395890</v>
    <v>109005130</v>
    <v>54596010</v>
    <v>52649050</v>
    <v>42795480</v>
    <v>73811190</v>
    <v>94953800</v>
    <v>34531070</v>
    <v>156001480</v>
    <v>207651060</v>
    <v>208889860</v>
    <v>175495640</v>
    <v>134564400</v>
    <v>101159120</v>
    <v>83973720</v>
    <v>86234930</v>
    <v>55949660</v>
    <v>85327470</v>
    <v>57000300</v>
    <v>68796410</v>
    <v>63690450</v>
    <v>55073620</v>
    <v>59657510</v>
    <v>67255420</v>
    <v>41602270</v>
    <v>80631620</v>
    <v>45046910</v>
    <v>48281950</v>
    <v>88386710</v>
    <v>68821500</v>
    <v>55546420</v>
    <v>63580368</v>
    <v>45808638</v>
    <v>55399596</v>
    <v>46456362</v>
    <v>31312076</v>
    <v>44531929</v>
    <v>78664549</v>
    <v>61684523</v>
    <v>62988155</v>
    <v>100127323</v>
    <v>101514892</v>
    <v>97126942</v>
    <v>117946822</v>
    <v>100398980</v>
    <v>185707642</v>
    <v>310292050</v>
    <v>144980249</v>
    <v>148479908</v>
    <v>112951477</v>
    <v>149157100</v>
    <v>65193856</v>
    <v>91230256</v>
    <v>86197553</v>
    <v>92911144</v>
    <v>88466324</v>
    <v>72576340</v>
    <v>69512073</v>
    <v>55720020</v>
    <v>57445466</v>
    <v>110414320</v>
    <v>134979658</v>
    <v>105401746</v>
    <v>84607767</v>
    <v>89847899</v>
    <v>91010362</v>
    <v>130320318</v>
    <v>53211508</v>
    <v>86900246</v>
    <v>71184733</v>
  </a>
  <a r="1" c="523">
    <v>15.0685</v>
    <v>15.7738</v>
    <v>16.589200000000002</v>
    <v>16.5152</v>
    <v>16.719799999999999</v>
    <v>16.609200000000001</v>
    <v>16.712499999999999</v>
    <v>17.500499999999999</v>
    <v>17.805800000000001</v>
    <v>18.6678</v>
    <v>17.276499999999999</v>
    <v>18.310500000000001</v>
    <v>17.6938</v>
    <v>17.743200000000002</v>
    <v>16.167200000000001</v>
    <v>16.209800000000001</v>
    <v>15.384499999999999</v>
    <v>16.565200000000001</v>
    <v>16.128499999999999</v>
    <v>16.682500000000001</v>
    <v>17.374500000000001</v>
    <v>17.127199999999998</v>
    <v>16.5045</v>
    <v>14.7125</v>
    <v>15.133800000000001</v>
    <v>13.9392</v>
    <v>13.795199999999999</v>
    <v>15.490500000000001</v>
    <v>13.8125</v>
    <v>14.667199999999999</v>
    <v>15.4405</v>
    <v>15.358499999999999</v>
    <v>14.4679</v>
    <v>15.363799999999999</v>
    <v>15.3712</v>
    <v>16.000499999999999</v>
    <v>14.0665</v>
    <v>13.665900000000001</v>
    <v>13.5032</v>
    <v>12.746499999999999</v>
    <v>10.8399</v>
    <v>10.0692</v>
    <v>11.1052</v>
    <v>12.6892</v>
    <v>13.4025</v>
    <v>13.8332</v>
    <v>15.5158</v>
    <v>15.183199999999999</v>
    <v>15.8392</v>
    <v>16.671199999999999</v>
    <v>16.967199999999998</v>
    <v>16.916499999999999</v>
    <v>16.0505</v>
    <v>14.3285</v>
    <v>13.8405</v>
    <v>14.6852</v>
    <v>14.869199999999999</v>
    <v>14.5992</v>
    <v>14.585900000000001</v>
    <v>14.3645</v>
    <v>12.8765</v>
    <v>14.433199999999999</v>
    <v>14.4519</v>
    <v>14.693199999999999</v>
    <v>14.8179</v>
    <v>15.6525</v>
    <v>15.3352</v>
    <v>15.0405</v>
    <v>14.9999</v>
    <v>14.665900000000001</v>
    <v>13.1852</v>
    <v>12.964499999999999</v>
    <v>13.693199999999999</v>
    <v>13.8299</v>
    <v>13.601900000000001</v>
    <v>13.107200000000001</v>
    <v>13.1005</v>
    <v>13.3392</v>
    <v>13.331200000000001</v>
    <v>12.703900000000001</v>
    <v>12.570499999999999</v>
    <v>12.3345</v>
    <v>13.1099</v>
    <v>12.097899999999999</v>
    <v>12.8119</v>
    <v>13.4992</v>
    <v>14.2225</v>
    <v>14.245900000000001</v>
    <v>15.267200000000001</v>
    <v>15.8498</v>
    <v>16.315200000000001</v>
    <v>16.863199999999999</v>
    <v>16.755199999999999</v>
    <v>17.948499999999999</v>
    <v>18.148499999999999</v>
    <v>17.133199999999999</v>
    <v>16.7712</v>
    <v>16.245799999999999</v>
    <v>17.433199999999999</v>
    <v>17.543800000000001</v>
    <v>18.553100000000001</v>
    <v>20.1691</v>
    <v>20.266500000000001</v>
    <v>20.373100000000001</v>
    <v>20.937799999999999</v>
    <v>20.5565</v>
    <v>21.6538</v>
    <v>20.721800000000002</v>
    <v>21.675799999999999</v>
    <v>22.656400000000001</v>
    <v>23.821100000000001</v>
    <v>24.759799999999998</v>
    <v>25.563099999999999</v>
    <v>24.107099999999999</v>
    <v>20.8811</v>
    <v>21.851800000000001</v>
    <v>21.8931</v>
    <v>22.337800000000001</v>
    <v>23.793800000000001</v>
    <v>23.857800000000001</v>
    <v>23.163799999999998</v>
    <v>23.203099999999999</v>
    <v>23.693100000000001</v>
    <v>22.8931</v>
    <v>25.320399999999999</v>
    <v>23.405799999999999</v>
    <v>22.739799999999999</v>
    <v>23.791799999999999</v>
    <v>23.7044</v>
    <v>23.006399999999999</v>
    <v>21.391100000000002</v>
    <v>20.405799999999999</v>
    <v>20.199100000000001</v>
    <v>21.0031</v>
    <v>21.0365</v>
    <v>20.435099999999998</v>
    <v>21.008500000000002</v>
    <v>22.8964</v>
    <v>21.6798</v>
    <v>20.756499999999999</v>
    <v>21.1051</v>
    <v>22.414400000000001</v>
    <v>23.334399999999999</v>
    <v>22.856400000000001</v>
    <v>22.916399999999999</v>
    <v>20.694500000000001</v>
    <v>22.3658</v>
    <v>23.469799999999999</v>
    <v>22.341100000000001</v>
    <v>21.8111</v>
    <v>21.423100000000002</v>
    <v>20.102499999999999</v>
    <v>17.741800000000001</v>
    <v>19.953099999999999</v>
    <v>20.022500000000001</v>
    <v>19.3491</v>
    <v>19.604800000000001</v>
    <v>19.605799999999999</v>
    <v>20.070499999999999</v>
    <v>18.454499999999999</v>
    <v>18.5898</v>
    <v>19.454499999999999</v>
    <v>21.177099999999999</v>
    <v>23.877800000000001</v>
    <v>22.241800000000001</v>
    <v>22.863099999999999</v>
    <v>20.5931</v>
    <v>21.2578</v>
    <v>20.905100000000001</v>
    <v>19.811800000000002</v>
    <v>23.211099999999998</v>
    <v>23.699100000000001</v>
    <v>20.366499999999998</v>
    <v>21.521100000000001</v>
    <v>20.110499999999998</v>
    <v>17.549199999999999</v>
    <v>19.6798</v>
    <v>19.939800000000002</v>
    <v>17.651199999999999</v>
    <v>17.463200000000001</v>
    <v>17.251799999999999</v>
    <v>17.333200000000001</v>
    <v>22.059799999999999</v>
    <v>23.093800000000002</v>
    <v>23.367100000000001</v>
    <v>23.6204</v>
    <v>21.721800000000002</v>
    <v>23.365100000000002</v>
    <v>23.864100000000001</v>
    <v>24.380400000000002</v>
    <v>21.317799999999998</v>
    <v>22.2578</v>
    <v>21.179099999999998</v>
    <v>23.150400000000001</v>
    <v>20.150500000000001</v>
    <v>19.802499999999998</v>
    <v>20.813800000000001</v>
    <v>20.386500000000002</v>
    <v>20.525099999999998</v>
    <v>19.647099999999998</v>
    <v>19.6525</v>
    <v>18.942499999999999</v>
    <v>18.361799999999999</v>
    <v>17.635200000000001</v>
    <v>18.6571</v>
    <v>18.330500000000001</v>
    <v>17.846499999999999</v>
    <v>18.217199999999998</v>
    <v>15.675800000000001</v>
    <v>17.001799999999999</v>
    <v>15.9678</v>
    <v>14.0685</v>
    <v>12.708500000000001</v>
    <v>12.3439</v>
    <v>13.6332</v>
    <v>14.3279</v>
    <v>14.7905</v>
    <v>14.8972</v>
    <v>15.5398</v>
    <v>16.3385</v>
    <v>17.2118</v>
    <v>15.202500000000001</v>
    <v>15.6225</v>
    <v>15.667199999999999</v>
    <v>14.6625</v>
    <v>14.0932</v>
    <v>15.0405</v>
    <v>15.1632</v>
    <v>16.346499999999999</v>
    <v>16.0412</v>
    <v>16.1418</v>
    <v>15.4285</v>
    <v>16.5258</v>
    <v>17.129799999999999</v>
    <v>21.8751</v>
    <v>20.8871</v>
    <v>22.4758</v>
    <v>23.477799999999998</v>
    <v>22.202400000000001</v>
    <v>21.995799999999999</v>
    <v>22.392399999999999</v>
    <v>23.892399999999999</v>
    <v>27.039100000000001</v>
    <v>28.691700000000001</v>
    <v>29.5337</v>
    <v>31.876300000000001</v>
    <v>34.033000000000001</v>
    <v>37.654299999999999</v>
    <v>43.370899999999999</v>
    <v>49.870800000000003</v>
    <v>53.334800000000001</v>
    <v>60.066099999999999</v>
    <v>44.532200000000003</v>
    <v>46.898200000000003</v>
    <v>36.441000000000003</v>
    <v>28.5017</v>
    <v>34.290300000000002</v>
    <v>32.000300000000003</v>
    <v>38.199599999999997</v>
    <v>50.258800000000001</v>
    <v>48.342799999999997</v>
    <v>46.754199999999997</v>
    <v>54.627499999999998</v>
    <v>53.277500000000003</v>
    <v>54.458100000000002</v>
    <v>55.6661</v>
    <v>59.043399999999998</v>
    <v>62.351399999999998</v>
    <v>66.725999999999999</v>
    <v>63.981999999999999</v>
    <v>80.576499999999996</v>
    <v>102.9756</v>
    <v>100.05500000000001</v>
    <v>94.465699999999998</v>
    <v>95.382999999999996</v>
    <v>96.846400000000003</v>
    <v>110.0462</v>
    <v>136.66399999999999</v>
    <v>147.55850000000001</v>
    <v>139.43860000000001</v>
    <v>124.2388</v>
    <v>147.3819</v>
    <v>135.77860000000001</v>
    <v>138.36189999999999</v>
    <v>144.6652</v>
    <v>146.55520000000001</v>
    <v>140.20859999999999</v>
    <v>129.34540000000001</v>
    <v>143.3152</v>
    <v>136.1653</v>
    <v>163.20169999999999</v>
    <v>195.25139999999999</v>
    <v>199.678</v>
    <v>203.328</v>
    <v>231.6644</v>
    <v>220.58779999999999</v>
    <v>235.221</v>
    <v>293.33710000000002</v>
    <v>275.38389999999998</v>
    <v>282.21050000000002</v>
    <v>264.50740000000002</v>
    <v>284.07380000000001</v>
    <v>272.03730000000002</v>
    <v>260.4307</v>
    <v>225.1644</v>
    <v>199.31469999999999</v>
    <v>231.24100000000001</v>
    <v>218.2878</v>
    <v>206.2346</v>
    <v>220.58109999999999</v>
    <v>225.6711</v>
    <v>246.5909</v>
    <v>243.1309</v>
    <v>236.4776</v>
    <v>224.12110000000001</v>
    <v>196.578</v>
    <v>193.62469999999999</v>
    <v>208.40459999999999</v>
    <v>199.68129999999999</v>
    <v>203.2946</v>
    <v>207.7679</v>
    <v>223.95439999999999</v>
    <v>226.29769999999999</v>
    <v>218.9811</v>
    <v>214.7379</v>
    <v>214.4579</v>
    <v>229.06440000000001</v>
    <v>233.03100000000001</v>
    <v>239.05430000000001</v>
    <v>226.75110000000001</v>
    <v>237.30430000000001</v>
    <v>244.52090000000001</v>
    <v>245.42089999999999</v>
    <v>253.16079999999999</v>
    <v>258.12740000000002</v>
    <v>258.40410000000003</v>
    <v>261.82740000000001</v>
    <v>281.00720000000001</v>
    <v>303.22359999999998</v>
    <v>371.32960000000003</v>
    <v>407.35930000000002</v>
    <v>344.4699</v>
    <v>379.01620000000003</v>
    <v>360.63639999999998</v>
    <v>338.32</v>
    <v>339.00659999999999</v>
    <v>310.85359999999997</v>
    <v>355.66309999999999</v>
    <v>352.25650000000002</v>
    <v>342.31659999999999</v>
    <v>349.86649999999997</v>
    <v>314.6302</v>
    <v>282.11380000000003</v>
    <v>307.77030000000002</v>
    <v>286.66379999999998</v>
    <v>285.65710000000001</v>
    <v>269.95400000000001</v>
    <v>279.42720000000003</v>
    <v>265.11399999999998</v>
    <v>301.79360000000003</v>
    <v>336.8766</v>
    <v>361.52640000000002</v>
    <v>341.82659999999998</v>
    <v>328.33010000000002</v>
    <v>335.01330000000002</v>
    <v>290.25040000000001</v>
    <v>288.5471</v>
    <v>256.5274</v>
    <v>221.2978</v>
    <v>253.20750000000001</v>
    <v>234.51429999999999</v>
    <v>232.2277</v>
    <v>216.7578</v>
    <v>245.70419999999999</v>
    <v>227.2611</v>
    <v>250.76079999999999</v>
    <v>240.0643</v>
    <v>272.24059999999997</v>
    <v>297.14699999999999</v>
    <v>288.1671</v>
    <v>300.02699999999999</v>
    <v>296.66370000000001</v>
    <v>288.08999999999997</v>
    <v>270.20999999999998</v>
    <v>299.68</v>
    <v>303.35000000000002</v>
    <v>275.33</v>
    <v>265.25</v>
    <v>223.07</v>
    <v>204.99</v>
    <v>214.44</v>
    <v>228.52</v>
    <v>207.47</v>
    <v>195.97</v>
    <v>180.19</v>
    <v>182.86</v>
    <v>194.86</v>
    <v>179.05</v>
    <v>150.22999999999999</v>
    <v>123.15</v>
    <v>123.18</v>
    <v>113.06</v>
    <v>122.4</v>
    <v>133.41999999999999</v>
    <v>177.9</v>
    <v>189.98</v>
    <v>196.89</v>
    <v>208.31</v>
    <v>196.88</v>
    <v>197.79</v>
    <v>173.44</v>
    <v>180.13</v>
    <v>190.41</v>
    <v>207.46</v>
    <v>185.06</v>
    <v>185</v>
    <v>165.08</v>
    <v>164.31</v>
    <v>170.06</v>
    <v>167.98</v>
    <v>180.14</v>
    <v>193.17</v>
    <v>213.97</v>
    <v>244.4</v>
    <v>260.54000000000002</v>
    <v>256.60000000000002</v>
    <v>261.77</v>
    <v>274.43</v>
    <v>281.38</v>
    <v>260.02</v>
    <v>266.44</v>
    <v>253.86</v>
    <v>242.65</v>
    <v>215.49</v>
    <v>238.59</v>
    <v>245.01</v>
    <v>248.5</v>
    <v>274.39</v>
    <v>244.88</v>
    <v>250.22</v>
    <v>260.52999999999997</v>
    <v>251.12</v>
    <v>211.99</v>
    <v>207.3</v>
    <v>219.96</v>
    <v>214.65</v>
    <v>234.3</v>
    <v>235.45</v>
    <v>238.83</v>
    <v>243.84</v>
    <v>253.5</v>
    <v>252.54</v>
    <v>248.48</v>
    <v>237.49</v>
    <v>218.89</v>
    <v>212.19</v>
    <v>183.25</v>
    <v>187.91</v>
    <v>193.57</v>
    <v>199.95</v>
    <v>191.97</v>
    <v>202.64</v>
    <v>175.34</v>
    <v>163.57</v>
    <v>170.83</v>
    <v>175.79</v>
    <v>164.9</v>
    <v>171.05</v>
    <v>147.05000000000001</v>
    <v>168.29</v>
    <v>181.19</v>
    <v>168.47</v>
    <v>177.46</v>
    <v>179.24</v>
    <v>178.08</v>
    <v>177.48</v>
    <v>178.01</v>
    <v>183.01</v>
    <v>197.88</v>
    <v>251.52</v>
    <v>248.23</v>
    <v>239.2</v>
    <v>219.8</v>
    <v>207.67</v>
    <v>200</v>
    <v>216.12</v>
    <v>220.32</v>
    <v>214.11</v>
    <v>210.73</v>
    <v>230.29</v>
    <v>238.25</v>
    <v>260.45999999999998</v>
    <v>250.08</v>
    <v>217.8</v>
    <v>220.7</v>
    <v>269.19</v>
    <v>248.98</v>
    <v>321.22000000000003</v>
    <v>320.72000000000003</v>
    <v>352.56</v>
    <v>345.16</v>
    <v>389.22</v>
    <v>436.23</v>
    <v>421.06</v>
    <v>431.66</v>
    <v>410.44</v>
    <v>394.74</v>
    <v>426.5</v>
    <v>406.58</v>
    <v>404.6</v>
    <v>361.62</v>
    <v>355.84</v>
    <v>337.8</v>
    <v>292.98</v>
    <v>262.67</v>
    <v>249.98</v>
    <v>248.71</v>
    <v>263.55</v>
    <v>239.43</v>
    <v>252.31</v>
    <v>241.37</v>
    <v>284.95</v>
    <v>287.20999999999998</v>
  </a>
  <a r="1" c="523">
    <v>14.837199999999999</v>
    <v>15.2118</v>
    <v>15.7525</v>
    <v>16.4665</v>
    <v>16.511800000000001</v>
    <v>16.7605</v>
    <v>16.723199999999999</v>
    <v>16.6465</v>
    <v>17.476500000000001</v>
    <v>17.463200000000001</v>
    <v>18.591799999999999</v>
    <v>17.4832</v>
    <v>18.333200000000001</v>
    <v>17.495200000000001</v>
    <v>17.752500000000001</v>
    <v>15.8765</v>
    <v>17.037199999999999</v>
    <v>13.5192</v>
    <v>16.374500000000001</v>
    <v>16.336500000000001</v>
    <v>16.739799999999999</v>
    <v>17.598500000000001</v>
    <v>17.156500000000001</v>
    <v>16.589200000000002</v>
    <v>14.8659</v>
    <v>15.0998</v>
    <v>14.091900000000001</v>
    <v>13.927899999999999</v>
    <v>15.532500000000001</v>
    <v>13.7392</v>
    <v>14.4899</v>
    <v>15.452500000000001</v>
    <v>15.1798</v>
    <v>14.500500000000001</v>
    <v>15.4458</v>
    <v>15.432499999999999</v>
    <v>15.3812</v>
    <v>14.267200000000001</v>
    <v>13.9139</v>
    <v>13.337199999999999</v>
    <v>12.5839</v>
    <v>10.473599999999999</v>
    <v>10.5799</v>
    <v>11.341200000000001</v>
    <v>12.826499999999999</v>
    <v>13.1785</v>
    <v>14.176500000000001</v>
    <v>15.6892</v>
    <v>15.4405</v>
    <v>16.607800000000001</v>
    <v>16.7332</v>
    <v>16.815200000000001</v>
    <v>16.8672</v>
    <v>16.099799999999998</v>
    <v>14.3812</v>
    <v>13.8765</v>
    <v>14.6579</v>
    <v>14.869199999999999</v>
    <v>14.533200000000001</v>
    <v>14.6332</v>
    <v>14.6332</v>
    <v>12.7239</v>
    <v>13.9819</v>
    <v>14.6639</v>
    <v>14.6425</v>
    <v>14.8179</v>
    <v>15.6998</v>
    <v>15.1998</v>
    <v>15.0678</v>
    <v>14.9445</v>
    <v>14.676500000000001</v>
    <v>13.267899999999999</v>
    <v>12.9999</v>
    <v>13.799899999999999</v>
    <v>13.766500000000001</v>
    <v>14.1532</v>
    <v>13.4232</v>
    <v>13.1365</v>
    <v>13.399900000000001</v>
    <v>13.4992</v>
    <v>12.905900000000001</v>
    <v>12.533200000000001</v>
    <v>12.335900000000001</v>
    <v>13.0319</v>
    <v>12.167199999999999</v>
    <v>12.853199999999999</v>
    <v>13.4992</v>
    <v>14.325200000000001</v>
    <v>14.3239</v>
    <v>15.2645</v>
    <v>15.7798</v>
    <v>16.389800000000001</v>
    <v>16.8352</v>
    <v>16.7332</v>
    <v>18.049199999999999</v>
    <v>18.363099999999999</v>
    <v>16.544499999999999</v>
    <v>16.527200000000001</v>
    <v>16.321200000000001</v>
    <v>17.373200000000001</v>
    <v>17.373200000000001</v>
    <v>19.1265</v>
    <v>20.6098</v>
    <v>20.1798</v>
    <v>20.6145</v>
    <v>20.991800000000001</v>
    <v>20.726500000000001</v>
    <v>21.225100000000001</v>
    <v>20.853100000000001</v>
    <v>21.7331</v>
    <v>22.566400000000002</v>
    <v>23.8658</v>
    <v>24.9998</v>
    <v>25.7791</v>
    <v>24.682400000000001</v>
    <v>20.8598</v>
    <v>21.702400000000001</v>
    <v>22.015799999999999</v>
    <v>22.366399999999999</v>
    <v>23.8231</v>
    <v>24.308399999999999</v>
    <v>23.054400000000001</v>
    <v>23.151800000000001</v>
    <v>23.586400000000001</v>
    <v>23.423100000000002</v>
    <v>25.349699999999999</v>
    <v>23.543099999999999</v>
    <v>22.834399999999999</v>
    <v>23.309799999999999</v>
    <v>23.5838</v>
    <v>23.325099999999999</v>
    <v>21.278500000000001</v>
    <v>20.4665</v>
    <v>20.008500000000002</v>
    <v>20.9191</v>
    <v>20.883099999999999</v>
    <v>20.4331</v>
    <v>20.975100000000001</v>
    <v>22.993099999999998</v>
    <v>21.5885</v>
    <v>20.799800000000001</v>
    <v>21.066500000000001</v>
    <v>22.502400000000002</v>
    <v>23.293099999999999</v>
    <v>22.656400000000001</v>
    <v>22.531099999999999</v>
    <v>21.075099999999999</v>
    <v>22.297799999999999</v>
    <v>23.566400000000002</v>
    <v>22.159099999999999</v>
    <v>21.9071</v>
    <v>21.099799999999998</v>
    <v>20.489100000000001</v>
    <v>17.0838</v>
    <v>20.0245</v>
    <v>19.9331</v>
    <v>19.4191</v>
    <v>19.573799999999999</v>
    <v>19.833100000000002</v>
    <v>20.2211</v>
    <v>18.755099999999999</v>
    <v>18.5671</v>
    <v>19.622499999999999</v>
    <v>21.500499999999999</v>
    <v>23.693100000000001</v>
    <v>22.0078</v>
    <v>24.0044</v>
    <v>20.799099999999999</v>
    <v>20.7805</v>
    <v>20.122499999999999</v>
    <v>19.726500000000001</v>
    <v>23.0304</v>
    <v>24.075099999999999</v>
    <v>19.4467</v>
    <v>21.1998</v>
    <v>19.7958</v>
    <v>18.217199999999998</v>
    <v>19.335799999999999</v>
    <v>19.898499999999999</v>
    <v>20.384499999999999</v>
    <v>17.634499999999999</v>
    <v>17.270499999999998</v>
    <v>17.378499999999999</v>
    <v>22.497800000000002</v>
    <v>22.6998</v>
    <v>23.224399999999999</v>
    <v>23.755800000000001</v>
    <v>21.666499999999999</v>
    <v>23.9998</v>
    <v>23.9998</v>
    <v>24.133099999999999</v>
    <v>20.899799999999999</v>
    <v>22.519100000000002</v>
    <v>21.447800000000001</v>
    <v>22.825099999999999</v>
    <v>20.321100000000001</v>
    <v>19.527100000000001</v>
    <v>20.865100000000002</v>
    <v>20.773099999999999</v>
    <v>20.437100000000001</v>
    <v>19.860499999999998</v>
    <v>19.874500000000001</v>
    <v>18.9011</v>
    <v>18.399799999999999</v>
    <v>17.313800000000001</v>
    <v>18.841100000000001</v>
    <v>18.512499999999999</v>
    <v>17.9085</v>
    <v>17.933199999999999</v>
    <v>15.723800000000001</v>
    <v>16.6678</v>
    <v>15.4672</v>
    <v>13.5199</v>
    <v>12.746499999999999</v>
    <v>12.3672</v>
    <v>14.016500000000001</v>
    <v>14.3652</v>
    <v>14.8825</v>
    <v>15.347200000000001</v>
    <v>15.415800000000001</v>
    <v>16.533200000000001</v>
    <v>17.2498</v>
    <v>15.139200000000001</v>
    <v>15.3065</v>
    <v>15.532500000000001</v>
    <v>14.9472</v>
    <v>14.2399</v>
    <v>14.938499999999999</v>
    <v>15.3332</v>
    <v>16.399799999999999</v>
    <v>15.9998</v>
    <v>16.1998</v>
    <v>15.319800000000001</v>
    <v>16.526499999999999</v>
    <v>17.221800000000002</v>
    <v>21.835799999999999</v>
    <v>20.986499999999999</v>
    <v>22.9298</v>
    <v>23.5275</v>
    <v>22.9544</v>
    <v>21.959800000000001</v>
    <v>22.4391</v>
    <v>24.169799999999999</v>
    <v>27.451699999999999</v>
    <v>28.585699999999999</v>
    <v>29.3644</v>
    <v>32.899700000000003</v>
    <v>35.349600000000002</v>
    <v>36.132300000000001</v>
    <v>44.912199999999999</v>
    <v>53.332799999999999</v>
    <v>56.106099999999998</v>
    <v>55.9328</v>
    <v>47.416899999999998</v>
    <v>40.358899999999998</v>
    <v>31.299700000000001</v>
    <v>28.906400000000001</v>
    <v>34.017000000000003</v>
    <v>34.079700000000003</v>
    <v>39.343600000000002</v>
    <v>48.846200000000003</v>
    <v>49.173499999999997</v>
    <v>46.732900000000001</v>
    <v>52.700099999999999</v>
    <v>55.184800000000003</v>
    <v>55.632800000000003</v>
    <v>57.199399999999997</v>
    <v>61.266100000000002</v>
    <v>61.185400000000001</v>
    <v>66.662700000000001</v>
    <v>64.599999999999994</v>
    <v>85.111800000000002</v>
    <v>110.5989</v>
    <v>101.2663</v>
    <v>95.665700000000001</v>
    <v>96.612399999999994</v>
    <v>96.532399999999996</v>
    <v>111.7989</v>
    <v>141.75020000000001</v>
    <v>148.20189999999999</v>
    <v>118.66549999999999</v>
    <v>126.9821</v>
    <v>151.04179999999999</v>
    <v>141.5386</v>
    <v>141.11529999999999</v>
    <v>147.33189999999999</v>
    <v>148.74520000000001</v>
    <v>137.20859999999999</v>
    <v>131.33199999999999</v>
    <v>146.49850000000001</v>
    <v>136.30860000000001</v>
    <v>167.83170000000001</v>
    <v>200.7347</v>
    <v>201.6379</v>
    <v>206.3313</v>
    <v>222.0778</v>
    <v>224.83439999999999</v>
    <v>239.8176</v>
    <v>283.13049999999998</v>
    <v>279.26389999999998</v>
    <v>284.99720000000002</v>
    <v>271.4273</v>
    <v>289.88709999999998</v>
    <v>272.66390000000001</v>
    <v>254.21080000000001</v>
    <v>230.03440000000001</v>
    <v>200.18129999999999</v>
    <v>231.36099999999999</v>
    <v>228.1944</v>
    <v>205.21129999999999</v>
    <v>235.90100000000001</v>
    <v>228.56440000000001</v>
    <v>239.86429999999999</v>
    <v>246.9975</v>
    <v>234.5977</v>
    <v>221.6311</v>
    <v>191.84909999999999</v>
    <v>193.8647</v>
    <v>209.2646</v>
    <v>197.273</v>
    <v>204.0746</v>
    <v>208.15790000000001</v>
    <v>223.87780000000001</v>
    <v>227.23490000000001</v>
    <v>220.7311</v>
    <v>209.96119999999999</v>
    <v>216.98779999999999</v>
    <v>233.33099999999999</v>
    <v>236.721</v>
    <v>235.02099999999999</v>
    <v>228.47839999999999</v>
    <v>238.23599999999999</v>
    <v>246.66419999999999</v>
    <v>246.73560000000001</v>
    <v>244.8501</v>
    <v>257.70409999999998</v>
    <v>265.4973</v>
    <v>262.54739999999998</v>
    <v>283.92720000000003</v>
    <v>316.84019999999998</v>
    <v>381.66289999999998</v>
    <v>383.25779999999997</v>
    <v>339.20659999999998</v>
    <v>387.43950000000001</v>
    <v>366.99299999999999</v>
    <v>333.83330000000001</v>
    <v>333.69330000000002</v>
    <v>303.56360000000001</v>
    <v>357.88639999999998</v>
    <v>382.5795</v>
    <v>333.33</v>
    <v>342.19819999999999</v>
    <v>301.58370000000002</v>
    <v>290.90039999999999</v>
    <v>307.92689999999999</v>
    <v>287.18709999999999</v>
    <v>278.04059999999998</v>
    <v>271.66730000000001</v>
    <v>285.43049999999999</v>
    <v>260.20069999999998</v>
    <v>304.99029999999999</v>
    <v>355.02980000000002</v>
    <v>363.12299999999999</v>
    <v>326.79669999999999</v>
    <v>329.67340000000002</v>
    <v>326.32010000000002</v>
    <v>286.9205</v>
    <v>278.81389999999999</v>
    <v>255.7174</v>
    <v>218.33779999999999</v>
    <v>257.94409999999999</v>
    <v>244.3509</v>
    <v>223.1644</v>
    <v>224.6011</v>
    <v>249.36420000000001</v>
    <v>222.99780000000001</v>
    <v>252.10079999999999</v>
    <v>244.9342</v>
    <v>272.21390000000002</v>
    <v>301.27199999999999</v>
    <v>294.99709999999999</v>
    <v>301.78359999999998</v>
    <v>291.91039999999998</v>
    <v>282.83</v>
    <v>272.67500000000001</v>
    <v>300.72000000000003</v>
    <v>300.08999999999997</v>
    <v>271.83</v>
    <v>254.5</v>
    <v>223.93</v>
    <v>210.04</v>
    <v>205.82</v>
    <v>226.19</v>
    <v>208.65</v>
    <v>192.77</v>
    <v>175.85</v>
    <v>179.96</v>
    <v>189.44</v>
    <v>176.1</v>
    <v>154</v>
    <v>117.495</v>
    <v>118.47</v>
    <v>118.96</v>
    <v>125.69499999999999</v>
    <v>135.87</v>
    <v>178.05</v>
    <v>193.01</v>
    <v>194.41499999999999</v>
    <v>204.99</v>
    <v>202.03</v>
    <v>198.54</v>
    <v>167.45500000000001</v>
    <v>178.08</v>
    <v>194.41499999999999</v>
    <v>199.91</v>
    <v>179.94</v>
    <v>186.32</v>
    <v>164.65</v>
    <v>163.16999999999999</v>
    <v>173.72</v>
    <v>167.655</v>
    <v>180.7</v>
    <v>200.1</v>
    <v>217.8</v>
    <v>247.94</v>
    <v>261.5</v>
    <v>250.065</v>
    <v>276.49</v>
    <v>276.47000000000003</v>
    <v>286.625</v>
    <v>255.85</v>
    <v>267.48</v>
    <v>251.45</v>
    <v>235.7</v>
    <v>221.55119999999999</v>
    <v>242.58</v>
    <v>245</v>
    <v>264.27</v>
    <v>271.16000000000003</v>
    <v>243.38</v>
    <v>244.81</v>
    <v>255.31</v>
    <v>250.05</v>
    <v>210</v>
    <v>209.28</v>
    <v>223.98</v>
    <v>215.6</v>
    <v>234.04</v>
    <v>236.89</v>
    <v>235.75</v>
    <v>242.74</v>
    <v>253.78</v>
    <v>254.49</v>
    <v>250.08</v>
    <v>236.14</v>
    <v>215.1</v>
    <v>212.26</v>
    <v>185.63</v>
    <v>184.26</v>
    <v>192.11</v>
    <v>196.13</v>
    <v>192.29</v>
    <v>198.73</v>
    <v>175.44499999999999</v>
    <v>170.02</v>
    <v>168.76</v>
    <v>176.17</v>
    <v>169.34</v>
    <v>170.24</v>
    <v>140.56</v>
    <v>188.42</v>
    <v>183.8</v>
    <v>170</v>
    <v>177.56</v>
    <v>176.4</v>
    <v>178.13</v>
    <v>176.06</v>
    <v>177.92</v>
    <v>184.97</v>
    <v>201.02</v>
    <v>247.71</v>
    <v>255.97</v>
    <v>244.21</v>
    <v>224.9</v>
    <v>185.22</v>
    <v>199.02</v>
    <v>217.07</v>
    <v>218.75</v>
    <v>215.26</v>
    <v>216.2</v>
    <v>229.3</v>
    <v>242.61</v>
    <v>259.04000000000002</v>
    <v>249</v>
    <v>220.13</v>
    <v>218.9</v>
    <v>270</v>
    <v>244.56</v>
    <v>346.3</v>
    <v>340.73</v>
    <v>360.14</v>
    <v>352.38</v>
    <v>397.61</v>
    <v>441.09</v>
    <v>431</v>
    <v>419.4</v>
    <v>423.2</v>
    <v>383.21</v>
    <v>432.64</v>
    <v>394.8</v>
    <v>386.68</v>
    <v>356.21</v>
    <v>355.01</v>
    <v>338.14</v>
    <v>300.33999999999997</v>
    <v>252.535</v>
    <v>245.05500000000001</v>
    <v>258.07499999999999</v>
    <v>249.31</v>
    <v>223.78</v>
    <v>258.36</v>
    <v>230.26</v>
    <v>288.98</v>
  </a>
  <a r="1" c="523">
    <v>15.916499999999999</v>
    <v>15.9665</v>
    <v>16.6265</v>
    <v>16.7332</v>
    <v>16.857700000000001</v>
    <v>16.773199999999999</v>
    <v>17.2498</v>
    <v>17.623799999999999</v>
    <v>18.093800000000002</v>
    <v>18.829799999999999</v>
    <v>18.7791</v>
    <v>18.3691</v>
    <v>19.1098</v>
    <v>17.957100000000001</v>
    <v>18.066500000000001</v>
    <v>16.528500000000001</v>
    <v>17.3965</v>
    <v>16.763200000000001</v>
    <v>16.996500000000001</v>
    <v>16.9498</v>
    <v>17.6998</v>
    <v>18.104500000000002</v>
    <v>17.319199999999999</v>
    <v>16.655799999999999</v>
    <v>15.3652</v>
    <v>15.409800000000001</v>
    <v>14.4732</v>
    <v>15.6388</v>
    <v>15.532500000000001</v>
    <v>15.0792</v>
    <v>15.4832</v>
    <v>15.906499999999999</v>
    <v>15.708500000000001</v>
    <v>15.8505</v>
    <v>15.7698</v>
    <v>16.242100000000001</v>
    <v>15.4252</v>
    <v>14.2965</v>
    <v>14.0312</v>
    <v>13.571199999999999</v>
    <v>13.3012</v>
    <v>10.883900000000001</v>
    <v>11.5299</v>
    <v>12.799899999999999</v>
    <v>13.601900000000001</v>
    <v>14.219200000000001</v>
    <v>15.6318</v>
    <v>15.9918</v>
    <v>16.526499999999999</v>
    <v>17.9558</v>
    <v>17.265799999999999</v>
    <v>17.220500000000001</v>
    <v>17.1585</v>
    <v>16.212499999999999</v>
    <v>14.4099</v>
    <v>14.703200000000001</v>
    <v>15.0618</v>
    <v>14.9832</v>
    <v>16.0562</v>
    <v>15.0512</v>
    <v>14.916499999999999</v>
    <v>14.549200000000001</v>
    <v>14.6539</v>
    <v>15.166499999999999</v>
    <v>15.319800000000001</v>
    <v>15.6852</v>
    <v>15.7752</v>
    <v>15.435700000000001</v>
    <v>15.299799999999999</v>
    <v>15.2325</v>
    <v>14.693199999999999</v>
    <v>13.766299999999999</v>
    <v>13.713200000000001</v>
    <v>14.011900000000001</v>
    <v>14.0665</v>
    <v>14.377800000000001</v>
    <v>13.6092</v>
    <v>13.777200000000001</v>
    <v>14.246499999999999</v>
    <v>13.4992</v>
    <v>13.165900000000001</v>
    <v>12.8665</v>
    <v>13.148999999999999</v>
    <v>13.289899999999999</v>
    <v>12.9223</v>
    <v>13.533200000000001</v>
    <v>14.229900000000001</v>
    <v>14.9199</v>
    <v>15.3538</v>
    <v>15.8565</v>
    <v>16.578499999999998</v>
    <v>17.230499999999999</v>
    <v>17.059200000000001</v>
    <v>18.078499999999998</v>
    <v>19.159099999999999</v>
    <v>18.8965</v>
    <v>16.989799999999999</v>
    <v>16.925799999999999</v>
    <v>17.7165</v>
    <v>17.653199999999998</v>
    <v>18.799800000000001</v>
    <v>20.325099999999999</v>
    <v>20.915099999999999</v>
    <v>20.6098</v>
    <v>20.986499999999999</v>
    <v>21.843800000000002</v>
    <v>21.799800000000001</v>
    <v>21.346499999999999</v>
    <v>21.699100000000001</v>
    <v>22.991800000000001</v>
    <v>25.124400000000001</v>
    <v>25.616399999999999</v>
    <v>25.799099999999999</v>
    <v>25.796399999999998</v>
    <v>24.756399999999999</v>
    <v>22.206399999999999</v>
    <v>22.1098</v>
    <v>23.166399999999999</v>
    <v>23.817799999999998</v>
    <v>24.666399999999999</v>
    <v>24.510400000000001</v>
    <v>23.777100000000001</v>
    <v>23.895800000000001</v>
    <v>23.699100000000001</v>
    <v>25.333100000000002</v>
    <v>25.973700000000001</v>
    <v>23.831</v>
    <v>24.006399999999999</v>
    <v>23.985099999999999</v>
    <v>24.1998</v>
    <v>23.329799999999999</v>
    <v>22.1737</v>
    <v>20.557099999999998</v>
    <v>21.777799999999999</v>
    <v>21.2151</v>
    <v>21.333100000000002</v>
    <v>21.242100000000001</v>
    <v>23.162400000000002</v>
    <v>23.115100000000002</v>
    <v>21.595800000000001</v>
    <v>21.6831</v>
    <v>22.987100000000002</v>
    <v>23.4864</v>
    <v>24.033100000000001</v>
    <v>23.9771</v>
    <v>23.241099999999999</v>
    <v>22.874400000000001</v>
    <v>23.665800000000001</v>
    <v>23.999099999999999</v>
    <v>22.516400000000001</v>
    <v>23.147099999999998</v>
    <v>21.495799999999999</v>
    <v>20.505800000000001</v>
    <v>20.618500000000001</v>
    <v>20.633099999999999</v>
    <v>20.0671</v>
    <v>19.6311</v>
    <v>20.456499999999998</v>
    <v>20.8658</v>
    <v>20.3291</v>
    <v>19.432500000000001</v>
    <v>19.666799999999999</v>
    <v>21.9998</v>
    <v>24.3111</v>
    <v>24.915099999999999</v>
    <v>23.801100000000002</v>
    <v>24.3184</v>
    <v>21.844899999999999</v>
    <v>21.6998</v>
    <v>20.713100000000001</v>
    <v>23.666399999999999</v>
    <v>25.830400000000001</v>
    <v>24.212399999999999</v>
    <v>21.821100000000001</v>
    <v>21.4955</v>
    <v>19.879100000000001</v>
    <v>19.8215</v>
    <v>20.398499999999999</v>
    <v>20.9971</v>
    <v>21.122499999999999</v>
    <v>17.8505</v>
    <v>18.846499999999999</v>
    <v>22.659800000000001</v>
    <v>23.279800000000002</v>
    <v>23.838100000000001</v>
    <v>23.713100000000001</v>
    <v>24.4498</v>
    <v>23.439800000000002</v>
    <v>25.299099999999999</v>
    <v>25.191099999999999</v>
    <v>24.379799999999999</v>
    <v>22.415800000000001</v>
    <v>22.613800000000001</v>
    <v>23.2271</v>
    <v>23.4664</v>
    <v>20.533100000000001</v>
    <v>21.0731</v>
    <v>21.6158</v>
    <v>21.239799999999999</v>
    <v>20.769400000000001</v>
    <v>21.333100000000002</v>
    <v>19.9331</v>
    <v>19.692499999999999</v>
    <v>18.5365</v>
    <v>18.688500000000001</v>
    <v>19.744499999999999</v>
    <v>18.7438</v>
    <v>18.333200000000001</v>
    <v>17.9785</v>
    <v>17.107199999999999</v>
    <v>17.223199999999999</v>
    <v>15.6332</v>
    <v>13.826499999999999</v>
    <v>12.9999</v>
    <v>14.0665</v>
    <v>14.8919</v>
    <v>15.6492</v>
    <v>15.1485</v>
    <v>16.104500000000002</v>
    <v>16.358499999999999</v>
    <v>17.330500000000001</v>
    <v>17.7378</v>
    <v>16.4452</v>
    <v>15.986499999999999</v>
    <v>15.7332</v>
    <v>15.272500000000001</v>
    <v>15.495799999999999</v>
    <v>15.319800000000001</v>
    <v>16.899799999999999</v>
    <v>16.5444</v>
    <v>16.580500000000001</v>
    <v>16.3965</v>
    <v>16.738499999999998</v>
    <v>17.651800000000001</v>
    <v>21.9998</v>
    <v>22.7224</v>
    <v>22.766400000000001</v>
    <v>23.755099999999999</v>
    <v>24.079799999999999</v>
    <v>22.9711</v>
    <v>22.590399999999999</v>
    <v>24.347100000000001</v>
    <v>27.533100000000001</v>
    <v>29.020399999999999</v>
    <v>30.266400000000001</v>
    <v>33.253</v>
    <v>36.493600000000001</v>
    <v>39.632899999999999</v>
    <v>43.532899999999998</v>
    <v>64.598699999999994</v>
    <v>54.665500000000002</v>
    <v>62.984699999999997</v>
    <v>57.566099999999999</v>
    <v>53.798099999999998</v>
    <v>44.532899999999998</v>
    <v>32.991</v>
    <v>37.332999999999998</v>
    <v>36.197000000000003</v>
    <v>38.345100000000002</v>
    <v>51.662799999999997</v>
    <v>51.037500000000001</v>
    <v>57.987400000000001</v>
    <v>54.9328</v>
    <v>56.218800000000002</v>
    <v>55.647500000000001</v>
    <v>55.6661</v>
    <v>60.576700000000002</v>
    <v>68.498000000000005</v>
    <v>67.945999999999998</v>
    <v>67.465999999999994</v>
    <v>81.865799999999993</v>
    <v>103.26</v>
    <v>119.6648</v>
    <v>112.5989</v>
    <v>104.31229999999999</v>
    <v>101.8263</v>
    <v>111.2522</v>
    <v>139.6979</v>
    <v>154.56450000000001</v>
    <v>167.495</v>
    <v>132.99529999999999</v>
    <v>153.9785</v>
    <v>151.89179999999999</v>
    <v>149.62520000000001</v>
    <v>146.33189999999999</v>
    <v>155.29839999999999</v>
    <v>148.99850000000001</v>
    <v>143.49860000000001</v>
    <v>146.6652</v>
    <v>150.83179999999999</v>
    <v>169.53540000000001</v>
    <v>199.59129999999999</v>
    <v>202.59800000000001</v>
    <v>218.1045</v>
    <v>231.6644</v>
    <v>222.83109999999999</v>
    <v>239.57089999999999</v>
    <v>294.82709999999997</v>
    <v>289.3304</v>
    <v>286.49709999999999</v>
    <v>300.13029999999998</v>
    <v>293.49709999999999</v>
    <v>292.58710000000002</v>
    <v>273.66390000000001</v>
    <v>256.16410000000002</v>
    <v>240.36760000000001</v>
    <v>239.2809</v>
    <v>237.7243</v>
    <v>233.20429999999999</v>
    <v>230.80449999999999</v>
    <v>236.05099999999999</v>
    <v>260.26069999999999</v>
    <v>251.2542</v>
    <v>249.76419999999999</v>
    <v>235.33099999999999</v>
    <v>221.68109999999999</v>
    <v>198.8913</v>
    <v>211.8612</v>
    <v>211.2646</v>
    <v>207.69460000000001</v>
    <v>209.4479</v>
    <v>232.5377</v>
    <v>233.33099999999999</v>
    <v>227.99770000000001</v>
    <v>231.09100000000001</v>
    <v>221.61779999999999</v>
    <v>232.5077</v>
    <v>242.3109</v>
    <v>243.29759999999999</v>
    <v>236.49760000000001</v>
    <v>238.98759999999999</v>
    <v>247.32749999999999</v>
    <v>254.8141</v>
    <v>253.67750000000001</v>
    <v>258.26409999999998</v>
    <v>266.33069999999998</v>
    <v>268.9873</v>
    <v>281.06720000000001</v>
    <v>303.33030000000002</v>
    <v>371.73289999999997</v>
    <v>414.49250000000001</v>
    <v>398.99599999999998</v>
    <v>379.56950000000001</v>
    <v>400.64600000000002</v>
    <v>390.9427</v>
    <v>357.45639999999997</v>
    <v>334.99669999999998</v>
    <v>357.65530000000001</v>
    <v>372.99619999999999</v>
    <v>402.6626</v>
    <v>371.86290000000002</v>
    <v>356.9264</v>
    <v>329.22669999999999</v>
    <v>314.56349999999998</v>
    <v>315.92020000000002</v>
    <v>308.80689999999998</v>
    <v>285.57510000000002</v>
    <v>296.62369999999999</v>
    <v>288.71039999999999</v>
    <v>302.61360000000002</v>
    <v>346.8965</v>
    <v>371.58629999999999</v>
    <v>384.28620000000001</v>
    <v>342.07659999999998</v>
    <v>364.06970000000001</v>
    <v>336.20330000000001</v>
    <v>318.49680000000001</v>
    <v>281.87380000000002</v>
    <v>256.58409999999998</v>
    <v>253.26410000000001</v>
    <v>264.20740000000001</v>
    <v>255.54409999999999</v>
    <v>235.6609</v>
    <v>246.83090000000001</v>
    <v>252.0675</v>
    <v>254.97739999999999</v>
    <v>253.0608</v>
    <v>280.78390000000002</v>
    <v>298.31700000000001</v>
    <v>313.6035</v>
    <v>305.19690000000003</v>
    <v>314.6635</v>
    <v>303.64359999999999</v>
    <v>288.48</v>
    <v>299.85000000000002</v>
    <v>309.12</v>
    <v>313.8</v>
    <v>289</v>
    <v>257.5</v>
    <v>226.99</v>
    <v>229.82</v>
    <v>233.81</v>
    <v>237.39510000000001</v>
    <v>208.9</v>
    <v>200.8237</v>
    <v>185.2</v>
    <v>198.92</v>
    <v>191.27</v>
    <v>177.37</v>
    <v>155.25</v>
    <v>124.48</v>
    <v>118.8</v>
    <v>125.95</v>
    <v>136.68</v>
    <v>180.68</v>
    <v>199</v>
    <v>214</v>
    <v>217.65</v>
    <v>209.71</v>
    <v>211.23</v>
    <v>198.6</v>
    <v>186.2199</v>
    <v>200.66</v>
    <v>207.79</v>
    <v>202.68969999999999</v>
    <v>191.58459999999999</v>
    <v>189.69</v>
    <v>165.65</v>
    <v>170.78989999999999</v>
    <v>177.38</v>
    <v>181.95</v>
    <v>198.6</v>
    <v>217.25</v>
    <v>252.42</v>
    <v>263.60000000000002</v>
    <v>276.99</v>
    <v>264.45</v>
    <v>284.25</v>
    <v>285.3</v>
    <v>299.29000000000002</v>
    <v>272.89999999999998</v>
    <v>269.08</v>
    <v>253.65110000000001</v>
    <v>240.66</v>
    <v>240.82</v>
    <v>261.18</v>
    <v>258</v>
    <v>278.98</v>
    <v>273.93</v>
    <v>254.77</v>
    <v>263.60000000000002</v>
    <v>268.94</v>
    <v>257.18299999999999</v>
    <v>222.05</v>
    <v>226.37010000000001</v>
    <v>226.32</v>
    <v>246.7</v>
    <v>244.01</v>
    <v>252.75</v>
    <v>246.66</v>
    <v>254.13</v>
    <v>259.83999999999997</v>
    <v>265.13</v>
    <v>251.25</v>
    <v>241.25</v>
    <v>223.49</v>
    <v>217.8</v>
    <v>196.35929999999999</v>
    <v>194.12</v>
    <v>203.17</v>
    <v>199.44</v>
    <v>205.6</v>
    <v>199.75</v>
    <v>182.87</v>
    <v>178.18</v>
    <v>184.25</v>
    <v>177.19</v>
    <v>179.22</v>
    <v>170.69</v>
    <v>172.12</v>
    <v>198.87</v>
    <v>187.56</v>
    <v>180</v>
    <v>186.875</v>
    <v>182.67</v>
    <v>182.63890000000001</v>
    <v>191.08</v>
    <v>188.81</v>
    <v>203.2</v>
    <v>252.37</v>
    <v>271</v>
    <v>265.60000000000002</v>
    <v>255.7594</v>
    <v>234.68</v>
    <v>203.87989999999999</v>
    <v>219.8</v>
    <v>228.22</v>
    <v>219.09</v>
    <v>235</v>
    <v>232.67</v>
    <v>244.24</v>
    <v>261.75</v>
    <v>264.86</v>
    <v>249.83</v>
    <v>224.26</v>
    <v>269.49</v>
    <v>273.536</v>
    <v>328.71</v>
    <v>358.64</v>
    <v>361.53</v>
    <v>361.93</v>
    <v>389.49</v>
    <v>436.3</v>
    <v>488.53989999999999</v>
    <v>465.32990000000001</v>
    <v>427.93</v>
    <v>426.43</v>
    <v>439.74</v>
    <v>433.2</v>
    <v>419.99</v>
    <v>394</v>
    <v>362.7</v>
    <v>367.34</v>
    <v>342.39729999999997</v>
    <v>303.94</v>
    <v>253.37</v>
    <v>249.52</v>
    <v>291.85000000000002</v>
    <v>284.99</v>
    <v>274.69</v>
    <v>261.8</v>
    <v>286.85000000000002</v>
    <v>294.86</v>
  </a>
  <a r="1" c="523">
    <v>14.6935</v>
    <v>14.683199999999999</v>
    <v>15.687200000000001</v>
    <v>16.0913</v>
    <v>16.336500000000001</v>
    <v>16.378499999999999</v>
    <v>16.566500000000001</v>
    <v>16.400500000000001</v>
    <v>17.0458</v>
    <v>17.379799999999999</v>
    <v>16.953800000000001</v>
    <v>17.069800000000001</v>
    <v>17.390499999999999</v>
    <v>16.719200000000001</v>
    <v>15.741199999999999</v>
    <v>15.5158</v>
    <v>15.3672</v>
    <v>12.9999</v>
    <v>15.797800000000001</v>
    <v>16.2698</v>
    <v>16.633199999999999</v>
    <v>17.0532</v>
    <v>15.661799999999999</v>
    <v>14.5572</v>
    <v>14.075200000000001</v>
    <v>13.4665</v>
    <v>13.592499999999999</v>
    <v>13.814500000000001</v>
    <v>13.767899999999999</v>
    <v>13.719900000000001</v>
    <v>14.3118</v>
    <v>15.177199999999999</v>
    <v>14.442500000000001</v>
    <v>14.3245</v>
    <v>15.208500000000001</v>
    <v>15.0358</v>
    <v>14.0512</v>
    <v>12.8919</v>
    <v>12.7499</v>
    <v>12.160500000000001</v>
    <v>10.5162</v>
    <v>9.4032</v>
    <v>10.273899999999999</v>
    <v>11.1892</v>
    <v>12.0999</v>
    <v>13.1599</v>
    <v>14.0425</v>
    <v>14.3332</v>
    <v>14.9999</v>
    <v>15.9998</v>
    <v>16.241800000000001</v>
    <v>16.083200000000001</v>
    <v>15.8538</v>
    <v>13.873900000000001</v>
    <v>13.577</v>
    <v>13.6012</v>
    <v>14.3452</v>
    <v>14.459199999999999</v>
    <v>14.363200000000001</v>
    <v>14.1685</v>
    <v>12.6485</v>
    <v>12.5245</v>
    <v>13.8665</v>
    <v>14.633900000000001</v>
    <v>14.5532</v>
    <v>14.757999999999999</v>
    <v>14.7599</v>
    <v>14.8939</v>
    <v>14.8192</v>
    <v>14.587899999999999</v>
    <v>13.0799</v>
    <v>12.9132</v>
    <v>12.8965</v>
    <v>13.437200000000001</v>
    <v>13.3032</v>
    <v>13.0532</v>
    <v>13.086499999999999</v>
    <v>12.799899999999999</v>
    <v>13.321899999999999</v>
    <v>12.3972</v>
    <v>12.027900000000001</v>
    <v>11.879200000000001</v>
    <v>12.247199999999999</v>
    <v>11.9999</v>
    <v>12.167199999999999</v>
    <v>12.735900000000001</v>
    <v>13.3225</v>
    <v>14.1119</v>
    <v>14.0639</v>
    <v>15.038500000000001</v>
    <v>15.624499999999999</v>
    <v>16.366499999999998</v>
    <v>16.473199999999999</v>
    <v>16.708500000000001</v>
    <v>17.6098</v>
    <v>16.6798</v>
    <v>16.133800000000001</v>
    <v>16.1998</v>
    <v>16.185199999999998</v>
    <v>16.682500000000001</v>
    <v>17.316500000000001</v>
    <v>18.971800000000002</v>
    <v>19.686499999999999</v>
    <v>19.8598</v>
    <v>20.390499999999999</v>
    <v>19.383800000000001</v>
    <v>20.387799999999999</v>
    <v>20.3538</v>
    <v>20.2318</v>
    <v>21.717099999999999</v>
    <v>22.2804</v>
    <v>23.374400000000001</v>
    <v>24.5198</v>
    <v>23.606400000000001</v>
    <v>20.419799999999999</v>
    <v>20.208500000000001</v>
    <v>20.8965</v>
    <v>21.752400000000002</v>
    <v>20.747800000000002</v>
    <v>23.516400000000001</v>
    <v>23.053100000000001</v>
    <v>22.123100000000001</v>
    <v>22.583100000000002</v>
    <v>22.770399999999999</v>
    <v>23.333100000000002</v>
    <v>23.3918</v>
    <v>22.3598</v>
    <v>22.085100000000001</v>
    <v>22.8444</v>
    <v>22.9558</v>
    <v>21.110499999999998</v>
    <v>19.508500000000002</v>
    <v>19.7531</v>
    <v>19.9405</v>
    <v>20.316500000000001</v>
    <v>20.081800000000001</v>
    <v>19.9998</v>
    <v>20.916499999999999</v>
    <v>21.654499999999999</v>
    <v>20.6358</v>
    <v>20.378499999999999</v>
    <v>21.033100000000001</v>
    <v>22.319800000000001</v>
    <v>22.380400000000002</v>
    <v>22.5518</v>
    <v>19.650500000000001</v>
    <v>20.416499999999999</v>
    <v>22.099799999999998</v>
    <v>21.531099999999999</v>
    <v>21.449100000000001</v>
    <v>21.271100000000001</v>
    <v>20.029800000000002</v>
    <v>16.5472</v>
    <v>16.305800000000001</v>
    <v>19.2805</v>
    <v>18.8338</v>
    <v>18.4331</v>
    <v>18.348500000000001</v>
    <v>19.677800000000001</v>
    <v>18.266500000000001</v>
    <v>18.228000000000002</v>
    <v>18.409800000000001</v>
    <v>19.1158</v>
    <v>21.4998</v>
    <v>22.133099999999999</v>
    <v>21.7197</v>
    <v>19.747800000000002</v>
    <v>20.533100000000001</v>
    <v>20.416499999999999</v>
    <v>19.502800000000001</v>
    <v>19.075099999999999</v>
    <v>22.6098</v>
    <v>20.235099999999999</v>
    <v>19.213100000000001</v>
    <v>19.847799999999999</v>
    <v>16.816800000000001</v>
    <v>18.066500000000001</v>
    <v>18.366499999999998</v>
    <v>17.370200000000001</v>
    <v>17.333200000000001</v>
    <v>16.517800000000001</v>
    <v>16.899799999999999</v>
    <v>16.839200000000002</v>
    <v>21.483799999999999</v>
    <v>22.0091</v>
    <v>22.022400000000001</v>
    <v>21.703099999999999</v>
    <v>21.666499999999999</v>
    <v>23.383800000000001</v>
    <v>23.5411</v>
    <v>20.7911</v>
    <v>19.605799999999999</v>
    <v>19.825099999999999</v>
    <v>21.183199999999999</v>
    <v>19.9818</v>
    <v>18.6187</v>
    <v>19.1831</v>
    <v>19.899799999999999</v>
    <v>20.066500000000001</v>
    <v>19.366499999999998</v>
    <v>19.251100000000001</v>
    <v>18.006499999999999</v>
    <v>18.293199999999999</v>
    <v>17.563800000000001</v>
    <v>16.963799999999999</v>
    <v>17.372499999999999</v>
    <v>17.706499999999998</v>
    <v>17.241800000000001</v>
    <v>15.4085</v>
    <v>15.433199999999999</v>
    <v>15.734500000000001</v>
    <v>13.927899999999999</v>
    <v>12.4145</v>
    <v>12.273199999999999</v>
    <v>11.799300000000001</v>
    <v>13.8339</v>
    <v>14.2845</v>
    <v>14.4899</v>
    <v>14.814500000000001</v>
    <v>15.1518</v>
    <v>16.323799999999999</v>
    <v>14.8165</v>
    <v>15.0687</v>
    <v>15.049799999999999</v>
    <v>14.103199999999999</v>
    <v>14.0665</v>
    <v>14.102499999999999</v>
    <v>14.6135</v>
    <v>15.262499999999999</v>
    <v>15.8772</v>
    <v>14.5572</v>
    <v>14.9519</v>
    <v>15.236499999999999</v>
    <v>16.475200000000001</v>
    <v>16.6785</v>
    <v>20.653099999999998</v>
    <v>20.617100000000001</v>
    <v>22.799800000000001</v>
    <v>21.9998</v>
    <v>21.8064</v>
    <v>21.816400000000002</v>
    <v>22.3384</v>
    <v>24.166399999999999</v>
    <v>27.333100000000002</v>
    <v>26.805099999999999</v>
    <v>29.332999999999998</v>
    <v>32.799700000000001</v>
    <v>35.226999999999997</v>
    <v>35.951599999999999</v>
    <v>44.9009</v>
    <v>48.999499999999998</v>
    <v>55.490099999999998</v>
    <v>40.767600000000002</v>
    <v>45.6175</v>
    <v>33.466299999999997</v>
    <v>23.367100000000001</v>
    <v>27.366399999999999</v>
    <v>29.759699999999999</v>
    <v>33.197000000000003</v>
    <v>38.701599999999999</v>
    <v>44.918900000000001</v>
    <v>45.535499999999999</v>
    <v>46.532899999999998</v>
    <v>50.886200000000002</v>
    <v>53.066099999999999</v>
    <v>52.332799999999999</v>
    <v>56.939399999999999</v>
    <v>60.610100000000003</v>
    <v>60.566099999999999</v>
    <v>62.475999999999999</v>
    <v>63.234000000000002</v>
    <v>84.402100000000004</v>
    <v>95.399000000000001</v>
    <v>91.101799999999997</v>
    <v>94.199100000000001</v>
    <v>94.333100000000002</v>
    <v>90.999099999999999</v>
    <v>111.5209</v>
    <v>128.5</v>
    <v>124.0055</v>
    <v>109.9589</v>
    <v>124.43210000000001</v>
    <v>117.0988</v>
    <v>137.1986</v>
    <v>135.3486</v>
    <v>145.53190000000001</v>
    <v>135.792</v>
    <v>126.3687</v>
    <v>130.7654</v>
    <v>132.0087</v>
    <v>134.6943</v>
    <v>167.26169999999999</v>
    <v>180.4015</v>
    <v>188.77809999999999</v>
    <v>201.66470000000001</v>
    <v>204.7413</v>
    <v>218.3312</v>
    <v>239.0608</v>
    <v>267.87139999999999</v>
    <v>276.20389999999998</v>
    <v>260.03070000000002</v>
    <v>265.18400000000003</v>
    <v>261.77420000000001</v>
    <v>254.0008</v>
    <v>206.3313</v>
    <v>179.82820000000001</v>
    <v>186.26150000000001</v>
    <v>208.2046</v>
    <v>199.96129999999999</v>
    <v>197.00139999999999</v>
    <v>222.61109999999999</v>
    <v>227.36109999999999</v>
    <v>230.5977</v>
    <v>222.0444</v>
    <v>216.6645</v>
    <v>186.54810000000001</v>
    <v>182.32480000000001</v>
    <v>191.2148</v>
    <v>190.40479999999999</v>
    <v>194.29140000000001</v>
    <v>197.8314</v>
    <v>202.958</v>
    <v>223.43780000000001</v>
    <v>206.81790000000001</v>
    <v>212.62450000000001</v>
    <v>207.09460000000001</v>
    <v>209.0779</v>
    <v>232.541</v>
    <v>233.131</v>
    <v>216.27780000000001</v>
    <v>226.91460000000001</v>
    <v>237.57429999999999</v>
    <v>244.83760000000001</v>
    <v>236.28100000000001</v>
    <v>239.53919999999999</v>
    <v>254.5275</v>
    <v>257.73739999999998</v>
    <v>261.83069999999998</v>
    <v>283.82049999999998</v>
    <v>314.73020000000002</v>
    <v>372.88290000000001</v>
    <v>329.1</v>
    <v>326.19670000000002</v>
    <v>353.99650000000003</v>
    <v>333.4</v>
    <v>316.83019999999999</v>
    <v>303.01029999999997</v>
    <v>295.37040000000002</v>
    <v>351.04649999999998</v>
    <v>336.66329999999999</v>
    <v>326.66340000000002</v>
    <v>313.49689999999998</v>
    <v>264.00069999999999</v>
    <v>287.34710000000001</v>
    <v>283.56380000000001</v>
    <v>279.20049999999998</v>
    <v>233.33099999999999</v>
    <v>271.56650000000002</v>
    <v>260.72070000000002</v>
    <v>252.01079999999999</v>
    <v>302.3603</v>
    <v>351.19650000000001</v>
    <v>340.51</v>
    <v>324.36239999999998</v>
    <v>324.46679999999998</v>
    <v>273.89729999999997</v>
    <v>281.03219999999999</v>
    <v>226.6644</v>
    <v>210.99789999999999</v>
    <v>206.8546</v>
    <v>233.41550000000001</v>
    <v>227.9111</v>
    <v>208.69120000000001</v>
    <v>224.33109999999999</v>
    <v>218.86109999999999</v>
    <v>216.1645</v>
    <v>225.03110000000001</v>
    <v>236.9743</v>
    <v>256.26080000000002</v>
    <v>285.54180000000002</v>
    <v>279.35050000000001</v>
    <v>292.49709999999999</v>
    <v>286.29379999999998</v>
    <v>266.14999999999998</v>
    <v>265.74</v>
    <v>290.39999999999998</v>
    <v>272.82</v>
    <v>262.47000000000003</v>
    <v>222.02</v>
    <v>204.16</v>
    <v>202</v>
    <v>198.58629999999999</v>
    <v>203.08</v>
    <v>177.12</v>
    <v>176.55</v>
    <v>166.185</v>
    <v>178.75</v>
    <v>169.06</v>
    <v>150.04</v>
    <v>121.02</v>
    <v>108.24</v>
    <v>101.81</v>
    <v>114.92</v>
    <v>124.3082</v>
    <v>134.27000000000001</v>
    <v>162.78</v>
    <v>189.55</v>
    <v>187.61</v>
    <v>191.78</v>
    <v>186.01</v>
    <v>168.44</v>
    <v>163.91</v>
    <v>176.35</v>
    <v>185.43</v>
    <v>179.74</v>
    <v>176.11</v>
    <v>160.56</v>
    <v>152.37</v>
    <v>158.83000000000001</v>
    <v>166.56</v>
    <v>164.35</v>
    <v>178.22</v>
    <v>195.12</v>
    <v>212.53</v>
    <v>244.59</v>
    <v>248.25</v>
    <v>240.7</v>
    <v>272.88</v>
    <v>265.10000000000002</v>
    <v>255.8</v>
    <v>254.12</v>
    <v>250.49</v>
    <v>238.02</v>
    <v>212.36</v>
    <v>220.58</v>
    <v>235.35</v>
    <v>243.26499999999999</v>
    <v>260.61</v>
    <v>244.48</v>
    <v>234.58</v>
    <v>242.62</v>
    <v>250.22</v>
    <v>210.42</v>
    <v>202.51</v>
    <v>194.07</v>
    <v>205.69</v>
    <v>211.61009999999999</v>
    <v>231.02</v>
    <v>231.9</v>
    <v>233.2902</v>
    <v>228.2</v>
    <v>247</v>
    <v>247.43</v>
    <v>234.90010000000001</v>
    <v>217.15010000000001</v>
    <v>207.56</v>
    <v>180.06</v>
    <v>182</v>
    <v>175.01</v>
    <v>182.1087</v>
    <v>189.13</v>
    <v>192</v>
    <v>173.7</v>
    <v>160.51</v>
    <v>165.9</v>
    <v>168.73</v>
    <v>160.51</v>
    <v>167.79</v>
    <v>146.22</v>
    <v>138.80250000000001</v>
    <v>176.02</v>
    <v>167.75</v>
    <v>169</v>
    <v>173.26</v>
    <v>173.16</v>
    <v>172.13</v>
    <v>167.41</v>
    <v>177</v>
    <v>182.01</v>
    <v>200.85</v>
    <v>233.09119999999999</v>
    <v>236.83</v>
    <v>214.71</v>
    <v>205.78</v>
    <v>182</v>
    <v>194.67</v>
    <v>210.32</v>
    <v>202.59</v>
    <v>209.64</v>
    <v>213.67</v>
    <v>223.53</v>
    <v>241.92</v>
    <v>237.81</v>
    <v>214.38</v>
    <v>213.74</v>
    <v>212.11</v>
    <v>246.63</v>
    <v>238.88</v>
    <v>309.22000000000003</v>
    <v>330.01</v>
    <v>326.58999999999997</v>
    <v>348.2</v>
    <v>378.01</v>
    <v>417.64</v>
    <v>415.41120000000001</v>
    <v>373.04</v>
    <v>377.29</v>
    <v>380.07</v>
    <v>405.78</v>
    <v>384.41</v>
    <v>360.34</v>
    <v>325.10000000000002</v>
    <v>334.42</v>
    <v>273.60000000000002</v>
    <v>250.73</v>
    <v>217.02</v>
    <v>222.28</v>
    <v>256.33</v>
    <v>236</v>
    <v>214.25</v>
    <v>233.89</v>
    <v>222.79</v>
    <v>270.77999999999997</v>
  </a>
  <a r="1" c="523">
    <v>30887629</v>
    <v>29626547</v>
    <v>24899355</v>
    <v>14976744</v>
    <v>14343448</v>
    <v>11897012</v>
    <v>14548989</v>
    <v>14929489</v>
    <v>17531828</v>
    <v>15830998</v>
    <v>22393071</v>
    <v>13509641</v>
    <v>19255837</v>
    <v>15637207</v>
    <v>30817467</v>
    <v>21243948</v>
    <v>26471998</v>
    <v>32041553</v>
    <v>22668096</v>
    <v>11588887</v>
    <v>17590274</v>
    <v>19606869</v>
    <v>22530739</v>
    <v>28031307</v>
    <v>19291010</v>
    <v>28652034</v>
    <v>15883413</v>
    <v>31928932</v>
    <v>18161900</v>
    <v>14791071</v>
    <v>10946624</v>
    <v>14870713</v>
    <v>14230030</v>
    <v>16493091</v>
    <v>6179925</v>
    <v>10720553</v>
    <v>20975335</v>
    <v>23379136</v>
    <v>16167498</v>
    <v>18725183</v>
    <v>32825595</v>
    <v>49859296</v>
    <v>18265917</v>
    <v>28255892</v>
    <v>27391628</v>
    <v>21259919</v>
    <v>19257545</v>
    <v>19533551</v>
    <v>35983378</v>
    <v>51349611</v>
    <v>27735047</v>
    <v>22392325</v>
    <v>18032772</v>
    <v>33786680</v>
    <v>20482120</v>
    <v>27283909</v>
    <v>18971633</v>
    <v>10033499</v>
    <v>24953754</v>
    <v>16234590</v>
    <v>48984154</v>
    <v>29670715</v>
    <v>17782007</v>
    <v>18483131</v>
    <v>16103961</v>
    <v>16299604</v>
    <v>19190687</v>
    <v>10504194</v>
    <v>9462599</v>
    <v>13422115</v>
    <v>23632295</v>
    <v>15166433</v>
    <v>15756694</v>
    <v>12631620</v>
    <v>13169214</v>
    <v>19615327</v>
    <v>14380671</v>
    <v>25242017</v>
    <v>28203302</v>
    <v>23804757</v>
    <v>26049602</v>
    <v>23986074</v>
    <v>17222395</v>
    <v>21684267</v>
    <v>18842365</v>
    <v>20430143</v>
    <v>21166336</v>
    <v>18385776</v>
    <v>28576313</v>
    <v>21173453</v>
    <v>20323067</v>
    <v>22693209</v>
    <v>16562505</v>
    <v>23180267</v>
    <v>32657156</v>
    <v>37518597</v>
    <v>28629510</v>
    <v>17489184</v>
    <v>29581526</v>
    <v>23549643</v>
    <v>25337622</v>
    <v>42004313</v>
    <v>28724351</v>
    <v>21731566</v>
    <v>24490304</v>
    <v>43675062</v>
    <v>31300046</v>
    <v>28827801</v>
    <v>26505386</v>
    <v>30944595</v>
    <v>53592056</v>
    <v>52301451</v>
    <v>32886779</v>
    <v>33972520</v>
    <v>56853512</v>
    <v>49946095</v>
    <v>32675440</v>
    <v>33629888</v>
    <v>52733642</v>
    <v>32125054</v>
    <v>21453890</v>
    <v>23840537</v>
    <v>18372915</v>
    <v>15442454</v>
    <v>30448213</v>
    <v>31336526</v>
    <v>31249249</v>
    <v>32073062</v>
    <v>26600561</v>
    <v>23600143</v>
    <v>30836295</v>
    <v>47069451</v>
    <v>26578130</v>
    <v>38796897</v>
    <v>23670624</v>
    <v>26917238</v>
    <v>25926056</v>
    <v>35625756</v>
    <v>26855966</v>
    <v>17184026</v>
    <v>23411252</v>
    <v>32786535</v>
    <v>24151904</v>
    <v>28242911</v>
    <v>23581441</v>
    <v>39770118</v>
    <v>26294350</v>
    <v>20016279</v>
    <v>27185492</v>
    <v>22189818</v>
    <v>34879290</v>
    <v>29801668</v>
    <v>58419390</v>
    <v>87496485</v>
    <v>43693001</v>
    <v>31438789</v>
    <v>23312899</v>
    <v>43745629</v>
    <v>30666799</v>
    <v>34152495</v>
    <v>32165170</v>
    <v>24500433</v>
    <v>52110709</v>
    <v>66829957</v>
    <v>51451989</v>
    <v>37607919</v>
    <v>57384228</v>
    <v>33549263</v>
    <v>31520990</v>
    <v>38011759</v>
    <v>58891866</v>
    <v>92747117</v>
    <v>51574211</v>
    <v>45255397</v>
    <v>40767581</v>
    <v>46043981</v>
    <v>46574892</v>
    <v>44129916</v>
    <v>59326684</v>
    <v>69274845</v>
    <v>53717647</v>
    <v>39178641</v>
    <v>92856019</v>
    <v>47023565</v>
    <v>34148947</v>
    <v>29186890</v>
    <v>26546835</v>
    <v>27161339</v>
    <v>36052839</v>
    <v>31610772</v>
    <v>40113501</v>
    <v>32237176</v>
    <v>32214551</v>
    <v>31052966</v>
    <v>43774028</v>
    <v>39613907</v>
    <v>42073110</v>
    <v>31432273</v>
    <v>26744209</v>
    <v>25960300</v>
    <v>59824993</v>
    <v>64459151</v>
    <v>43630112</v>
    <v>43682541</v>
    <v>39110574</v>
    <v>58278229</v>
    <v>39957682</v>
    <v>28314302</v>
    <v>78028556</v>
    <v>78749568</v>
    <v>40861509</v>
    <v>50653123</v>
    <v>97898995</v>
    <v>40614746</v>
    <v>76628366</v>
    <v>53037782</v>
    <v>51673266</v>
    <v>33631144</v>
    <v>38763877</v>
    <v>37932064</v>
    <v>40726701</v>
    <v>55388178</v>
    <v>40956550</v>
    <v>26541572</v>
    <v>32534854</v>
    <v>32406687</v>
    <v>28224645</v>
    <v>22721936</v>
    <v>33623515</v>
    <v>24292507</v>
    <v>49978992</v>
    <v>41557942</v>
    <v>38513111</v>
    <v>33943331</v>
    <v>80774700</v>
    <v>52647248</v>
    <v>44194264</v>
    <v>37105201</v>
    <v>41859203</v>
    <v>28330931</v>
    <v>29490126</v>
    <v>38886689</v>
    <v>73766620</v>
    <v>41992657</v>
    <v>50050101</v>
    <v>100934936</v>
    <v>108201325</v>
    <v>82681673</v>
    <v>84458519</v>
    <v>213375229</v>
    <v>90329909</v>
    <v>73989439</v>
    <v>94964298</v>
    <v>84405334</v>
    <v>87451961</v>
    <v>126616110</v>
    <v>92371954</v>
    <v>85313847</v>
    <v>59051028</v>
    <v>109420132</v>
    <v>74817054</v>
    <v>113123049</v>
    <v>74776994</v>
    <v>75496991</v>
    <v>50762522</v>
    <v>38300743</v>
    <v>53171974</v>
    <v>75767915</v>
    <v>57674813</v>
    <v>41507220</v>
    <v>56454873</v>
    <v>92252432</v>
    <v>102296095</v>
    <v>90582247</v>
    <v>60818109</v>
    <v>36874002</v>
    <v>70934061</v>
    <v>90930028</v>
    <v>88380423</v>
    <v>502587924</v>
    <v>337655285</v>
    <v>413043290</v>
    <v>437082777</v>
    <v>267202496</v>
    <v>204462829</v>
    <v>187943090</v>
    <v>168928962</v>
    <v>141368069</v>
    <v>144243126</v>
    <v>121930620</v>
    <v>252416180</v>
    <v>188776353</v>
    <v>220449954</v>
    <v>304140213</v>
    <v>417184591</v>
    <v>165616195</v>
    <v>145859145</v>
    <v>251440960</v>
    <v>209181285</v>
    <v>91697493</v>
    <v>153007757</v>
    <v>102460406</v>
    <v>116926526</v>
    <v>82796535</v>
    <v>220756576</v>
    <v>236392226</v>
    <v>249753690</v>
    <v>178254604</v>
    <v>176876942</v>
    <v>136705010</v>
    <v>141785455</v>
    <v>178486575</v>
    <v>170514922</v>
    <v>152350715</v>
    <v>129938147</v>
    <v>188999186</v>
    <v>165651036</v>
    <v>140310958</v>
    <v>95536458</v>
    <v>105306562</v>
    <v>107532072</v>
    <v>153549954</v>
    <v>103666230</v>
    <v>82990274</v>
    <v>105114865</v>
    <v>80448226</v>
    <v>134207490</v>
    <v>100781351</v>
    <v>72361365</v>
    <v>96329308</v>
    <v>73041547</v>
    <v>80731775</v>
    <v>68094762</v>
    <v>98962617</v>
    <v>89535196</v>
    <v>109382331</v>
    <v>99483120</v>
    <v>81512174</v>
    <v>109982713</v>
    <v>220925116</v>
    <v>180441254</v>
    <v>183323989</v>
    <v>135304561</v>
    <v>103485337</v>
    <v>124636821</v>
    <v>99585638</v>
    <v>136074239</v>
    <v>104781767</v>
    <v>91799445</v>
    <v>153185108</v>
    <v>137250435</v>
    <v>105445556</v>
    <v>208578950</v>
    <v>132282831</v>
    <v>103251907</v>
    <v>100126871</v>
    <v>129978416</v>
    <v>125740178</v>
    <v>112587689</v>
    <v>129673130</v>
    <v>146492926</v>
    <v>113080628</v>
    <v>128687334</v>
    <v>79625639</v>
    <v>115795758</v>
    <v>164837640</v>
    <v>128852318</v>
    <v>168299966</v>
    <v>163138813</v>
    <v>155144601</v>
    <v>128343063</v>
    <v>142601983</v>
    <v>173306821</v>
    <v>141431196</v>
    <v>143934321</v>
    <v>113472506</v>
    <v>144545065</v>
    <v>165932217</v>
    <v>133013375</v>
    <v>159380225</v>
    <v>143447053</v>
    <v>118385794</v>
    <v>169423329</v>
    <v>249690952</v>
    <v>214072878</v>
    <v>341416185</v>
    <v>318723370</v>
    <v>320014147</v>
    <v>448139986</v>
    <v>397406475</v>
    <v>415404010</v>
    <v>413072923</v>
    <v>342474516</v>
    <v>596889173</v>
    <v>390472869</v>
    <v>331544487</v>
    <v>439273798</v>
    <v>471983601</v>
    <v>687706165</v>
    <v>821451251</v>
    <v>809414633</v>
    <v>790689169</v>
    <v>891852239</v>
    <v>691307319</v>
    <v>1095958317</v>
    <v>1091608981</v>
    <v>973057671</v>
    <v>1014364828</v>
    <v>660435100</v>
    <v>807198448</v>
    <v>789636325</v>
    <v>712075329</v>
    <v>694177636</v>
    <v>623640604</v>
    <v>553750170</v>
    <v>617553456</v>
    <v>668971665</v>
    <v>664901002</v>
    <v>559718515</v>
    <v>582794740</v>
    <v>575071860</v>
    <v>685490829</v>
    <v>591958785</v>
    <v>848497515</v>
    <v>811787289</v>
    <v>721745073</v>
    <v>748633707</v>
    <v>485803346</v>
    <v>539813729</v>
    <v>723314005</v>
    <v>560761830</v>
    <v>467350209</v>
    <v>517873700</v>
    <v>556272451</v>
    <v>573767855</v>
    <v>605113105</v>
    <v>480301845</v>
    <v>663743610</v>
    <v>575237587</v>
    <v>588808971</v>
    <v>592798300</v>
    <v>541545143</v>
    <v>616410739</v>
    <v>585973376</v>
    <v>621700507</v>
    <v>614241373</v>
    <v>720156239</v>
    <v>422092683</v>
    <v>649667916</v>
    <v>578776202</v>
    <v>636290550</v>
    <v>551215167</v>
    <v>407898262</v>
    <v>420854984</v>
    <v>502418170</v>
    <v>429375220</v>
    <v>653348423</v>
    <v>540672852</v>
    <v>536016008</v>
    <v>495639529</v>
    <v>379971148</v>
    <v>488348794</v>
    <v>549590219</v>
    <v>502780258</v>
    <v>418091163</v>
    <v>346873723</v>
    <v>547482425</v>
    <v>451427058</v>
    <v>462858314</v>
    <v>649063934</v>
    <v>628370764</v>
    <v>377983065</v>
    <v>370347383</v>
    <v>402867388</v>
    <v>259618626</v>
    <v>312710972</v>
    <v>407043372</v>
    <v>297690969</v>
    <v>389591990</v>
    <v>661801938</v>
    <v>824144572</v>
    <v>587103140</v>
    <v>576337172</v>
    <v>464001152</v>
    <v>368934704</v>
    <v>389155956</v>
    <v>381622057</v>
    <v>311918353</v>
    <v>388898006</v>
    <v>361418443</v>
    <v>401668481</v>
    <v>378582771</v>
    <v>429710449</v>
    <v>416421896</v>
    <v>299317185</v>
    <v>537640455</v>
    <v>366288979</v>
    <v>625405564</v>
    <v>726819635</v>
    <v>428892998</v>
    <v>253250816</v>
    <v>349923951</v>
    <v>474962693</v>
    <v>645429899</v>
    <v>291567836</v>
    <v>346900211</v>
    <v>296542197</v>
    <v>396847556</v>
    <v>255401977</v>
    <v>356730932</v>
    <v>356635566</v>
    <v>459159830</v>
    <v>238750078</v>
    <v>527844539</v>
    <v>537122156</v>
    <v>721244833</v>
    <v>567128908</v>
    <v>762077379</v>
    <v>810687308</v>
    <v>885161310</v>
    <v>375513071</v>
    <v>631033245</v>
    <v>603713038</v>
  </a>
  <a r="1" c="523">
    <v>79.575599999999994</v>
    <v>82.085599999999999</v>
    <v>87.607100000000003</v>
    <v>88.838499999999996</v>
    <v>89.151300000000006</v>
    <v>90.459900000000005</v>
    <v>94.418499999999995</v>
    <v>93.871300000000005</v>
    <v>93.088499999999996</v>
    <v>94.044200000000004</v>
    <v>97.228499999999997</v>
    <v>114.77</v>
    <v>109.34</v>
    <v>114.31</v>
    <v>123.52</v>
    <v>123.39</v>
    <v>103.96</v>
    <v>117.63</v>
    <v>98.79</v>
    <v>97.51</v>
    <v>102.62</v>
    <v>102.24</v>
    <v>106.11</v>
    <v>113.33</v>
    <v>98.99</v>
    <v>100.04</v>
    <v>108.38</v>
    <v>114.06</v>
    <v>103.65</v>
    <v>123.84</v>
    <v>125.44</v>
    <v>130.93</v>
    <v>118.91</v>
    <v>118.02</v>
    <v>117.33</v>
    <v>114.38</v>
    <v>111.39</v>
    <v>104.04</v>
    <v>100.72</v>
    <v>91.84</v>
    <v>82.79</v>
    <v>87.4</v>
    <v>89.23</v>
    <v>94.79</v>
    <v>101.58</v>
    <v>97.66</v>
    <v>101.12</v>
    <v>98.36</v>
    <v>105.7</v>
    <v>103.81</v>
    <v>111.51</v>
    <v>95.9</v>
    <v>90.03</v>
    <v>90.84</v>
    <v>87.88</v>
    <v>92.49</v>
    <v>103.3</v>
    <v>99.59</v>
    <v>93.75</v>
    <v>94.45</v>
    <v>88.44</v>
    <v>96.67</v>
    <v>97.06</v>
    <v>98.39</v>
    <v>85.89</v>
    <v>91.25</v>
    <v>97.03</v>
    <v>96.59</v>
    <v>95.87</v>
    <v>97.58</v>
    <v>97.38</v>
    <v>96.5</v>
    <v>99.48</v>
    <v>95.94</v>
    <v>98.55</v>
    <v>104.82</v>
    <v>101.47</v>
    <v>127.5</v>
    <v>126.57</v>
    <v>122.03</v>
    <v>114.78</v>
    <v>115.21</v>
    <v>117.41</v>
    <v>120.81</v>
    <v>122.88</v>
    <v>124.22</v>
    <v>125.59</v>
    <v>123.8</v>
    <v>131.07</v>
    <v>133.69999999999999</v>
    <v>138.6</v>
    <v>142.44999999999999</v>
    <v>140.25</v>
    <v>144.82</v>
    <v>142.22</v>
    <v>143.25</v>
    <v>139.13999999999999</v>
    <v>140.88999999999999</v>
    <v>145.11000000000001</v>
    <v>142.02000000000001</v>
    <v>147.81</v>
    <v>143.11000000000001</v>
    <v>142.91999999999999</v>
    <v>142.87</v>
    <v>152.19999999999999</v>
    <v>156.6</v>
    <v>160.81</v>
    <v>157.02000000000001</v>
    <v>162.43</v>
    <v>165.18</v>
    <v>158.03</v>
    <v>152.38</v>
    <v>158.02000000000001</v>
    <v>149.41</v>
    <v>150.18</v>
    <v>161.12</v>
    <v>188.54</v>
    <v>184.04</v>
    <v>180.27</v>
    <v>171.4</v>
    <v>166.54</v>
    <v>165.95</v>
    <v>174.74</v>
    <v>176.42</v>
    <v>182.35</v>
    <v>187.35</v>
    <v>181.35</v>
    <v>198.02</v>
    <v>199.49</v>
    <v>194.16</v>
    <v>199.54</v>
    <v>200.01</v>
    <v>192.02</v>
    <v>193.2</v>
    <v>195.75</v>
    <v>186.82</v>
    <v>188.54</v>
    <v>190.12</v>
    <v>189.94</v>
    <v>191.96</v>
    <v>209.99</v>
    <v>221.23</v>
    <v>220.46</v>
    <v>274.60000000000002</v>
    <v>267.43</v>
    <v>249.47</v>
    <v>278.52</v>
    <v>285.93</v>
    <v>301.05</v>
    <v>331.44</v>
    <v>318.45</v>
    <v>300.94</v>
    <v>295.35000000000002</v>
    <v>288.85000000000002</v>
    <v>311.64999999999998</v>
    <v>327.77</v>
    <v>311.76</v>
    <v>320.08999999999997</v>
    <v>326.45999999999998</v>
    <v>324.18</v>
    <v>351.29</v>
    <v>359.93</v>
    <v>360.57</v>
    <v>391.98</v>
    <v>411.09</v>
    <v>391.43</v>
    <v>408.25</v>
    <v>395.8</v>
    <v>361.05</v>
    <v>355.21</v>
    <v>343.09</v>
    <v>345.87</v>
    <v>316.77999999999997</v>
    <v>358.82</v>
    <v>367.68</v>
    <v>348.68</v>
    <v>364.56</v>
    <v>361.19</v>
    <v>374.13</v>
    <v>351.35</v>
    <v>339.56</v>
    <v>332.67</v>
    <v>299.83</v>
    <v>309.10000000000002</v>
    <v>303.47000000000003</v>
    <v>286.20999999999998</v>
    <v>258.82</v>
    <v>286.13</v>
    <v>265.14</v>
    <v>266.83999999999997</v>
    <v>246.39</v>
    <v>256.08</v>
    <v>297.57</v>
    <v>337.59</v>
    <v>339.1</v>
    <v>338.05</v>
    <v>339.85</v>
    <v>347.57</v>
    <v>356.87</v>
    <v>363.02</v>
    <v>357.32</v>
    <v>349.6</v>
    <v>361.46</v>
    <v>361.01</v>
    <v>356.56</v>
    <v>365.49</v>
    <v>351.14</v>
    <v>360.35</v>
    <v>374.85</v>
    <v>385.03</v>
    <v>361.04</v>
    <v>354.45</v>
    <v>354.39</v>
    <v>343.28</v>
    <v>360.87</v>
    <v>339.73</v>
    <v>369.21</v>
    <v>367.32</v>
    <v>380.55</v>
    <v>373.25</v>
    <v>315.10000000000002</v>
    <v>335.78</v>
    <v>318.83</v>
    <v>308.93</v>
    <v>302.8</v>
    <v>291.44</v>
    <v>293.75</v>
    <v>290.17</v>
    <v>294.14999999999998</v>
    <v>270.75</v>
    <v>263.08</v>
    <v>272.79000000000002</v>
    <v>282.93</v>
    <v>275.3</v>
    <v>276.82</v>
    <v>286.81</v>
    <v>291.57</v>
    <v>295.02999999999997</v>
    <v>310.48</v>
    <v>314.66000000000003</v>
    <v>307.35000000000002</v>
    <v>298.5</v>
    <v>336.9</v>
    <v>329.09</v>
    <v>325.89999999999998</v>
    <v>329.05</v>
    <v>339.67</v>
    <v>353.16</v>
    <v>345.09</v>
    <v>366.77</v>
    <v>380.4</v>
    <v>380.07</v>
    <v>369.03</v>
    <v>368.97</v>
    <v>336.29500000000002</v>
    <v>332.83</v>
    <v>357.12</v>
    <v>361.76</v>
    <v>370.72</v>
    <v>422.96</v>
    <v>424.99</v>
    <v>415.27</v>
    <v>435.55</v>
    <v>454.19</v>
    <v>429.32</v>
    <v>419.73</v>
    <v>419.6</v>
    <v>418.07</v>
    <v>453.72</v>
    <v>443.4</v>
    <v>476.89</v>
    <v>548.73</v>
    <v>492.99</v>
    <v>480.45</v>
    <v>488.88</v>
    <v>494.73</v>
    <v>482.68</v>
    <v>492.31</v>
    <v>523.89</v>
    <v>516.04999999999995</v>
    <v>482.03</v>
    <v>469.96</v>
    <v>482.88</v>
    <v>503.06</v>
    <v>539.44000000000005</v>
    <v>530.79</v>
    <v>488.28</v>
    <v>475.74</v>
    <v>514.73</v>
    <v>482.84</v>
    <v>488.24</v>
    <v>491.36</v>
    <v>498.31</v>
    <v>503.22</v>
    <v>534.45000000000005</v>
    <v>513.97</v>
    <v>540.73</v>
    <v>510.4</v>
    <v>497.98</v>
    <v>565.16999999999996</v>
    <v>532.39</v>
    <v>550.79</v>
    <v>556.52</v>
    <v>540.22</v>
    <v>538.85</v>
    <v>516.39</v>
    <v>518.02</v>
    <v>512.17999999999995</v>
    <v>508.05</v>
    <v>539.41999999999996</v>
    <v>555.30999999999995</v>
    <v>546.54</v>
    <v>505.55</v>
    <v>513.47</v>
    <v>503.84</v>
    <v>493.37</v>
    <v>497.89</v>
    <v>502.81</v>
    <v>494.74</v>
    <v>488.77</v>
    <v>500.77</v>
    <v>527.07000000000005</v>
    <v>533.98</v>
    <v>535.98</v>
    <v>530.30999999999995</v>
    <v>515.41</v>
    <v>517.57000000000005</v>
    <v>520.54999999999995</v>
    <v>515.91999999999996</v>
    <v>546.88</v>
    <v>558.91999999999996</v>
    <v>590.53</v>
    <v>598.72</v>
    <v>589.35</v>
    <v>592.39</v>
    <v>613.15</v>
    <v>632.66</v>
    <v>628.29</v>
    <v>664.78</v>
    <v>690.31</v>
    <v>645.72</v>
    <v>682.61</v>
    <v>678.8</v>
    <v>665.64</v>
    <v>602.13</v>
    <v>611.66</v>
    <v>586.73</v>
    <v>614.09</v>
    <v>602.44000000000005</v>
    <v>541.05999999999995</v>
    <v>525.69000000000005</v>
    <v>397.5</v>
    <v>384.36</v>
    <v>410.17</v>
    <v>391.31</v>
    <v>391.29</v>
    <v>390.8</v>
    <v>361.73</v>
    <v>340.32</v>
    <v>380.6</v>
    <v>373.85</v>
    <v>373.47</v>
    <v>355.88</v>
    <v>341.13</v>
    <v>215.52</v>
    <v>190.36</v>
    <v>180.97</v>
    <v>187.64</v>
    <v>186.35</v>
    <v>195.19</v>
    <v>198.98</v>
    <v>182.94</v>
    <v>175.51</v>
    <v>190.85</v>
    <v>179.95</v>
    <v>186.97499999999999</v>
    <v>189.11</v>
    <v>220.44</v>
    <v>224.9</v>
    <v>226.78</v>
    <v>249.3</v>
    <v>241.16</v>
    <v>223.28</v>
    <v>226.11</v>
    <v>233.57</v>
    <v>240.13</v>
    <v>226.41</v>
    <v>235.44</v>
    <v>224.75</v>
    <v>230</v>
    <v>289.57</v>
    <v>295.72000000000003</v>
    <v>260.79000000000002</v>
    <v>290.13</v>
    <v>287.98</v>
    <v>285.54000000000002</v>
    <v>320.41000000000003</v>
    <v>320.01</v>
    <v>290.70999999999998</v>
    <v>294.96499999999997</v>
    <v>294.88</v>
    <v>315.55</v>
    <v>332.82</v>
    <v>342.5</v>
    <v>360.77</v>
    <v>365.9</v>
    <v>347.36</v>
    <v>347.96</v>
    <v>317.14999999999998</v>
    <v>315.18</v>
    <v>292.76</v>
    <v>303.5</v>
    <v>328.39</v>
    <v>345.48</v>
    <v>339.33</v>
    <v>338.63</v>
    <v>327.98</v>
    <v>329.93</v>
    <v>322.76</v>
    <v>339.89</v>
    <v>365.36</v>
    <v>378.88</v>
    <v>400.47</v>
    <v>420.02</v>
    <v>431.96</v>
    <v>424.02</v>
    <v>440.49</v>
    <v>438.1</v>
    <v>441.91</v>
    <v>427.5</v>
    <v>425.78</v>
    <v>431.6</v>
    <v>421.66</v>
    <v>404.53</v>
    <v>416.03</v>
    <v>439.88</v>
    <v>442.8</v>
    <v>396.94</v>
    <v>379.81</v>
    <v>377.6</v>
    <v>381.51</v>
    <v>355.68</v>
    <v>400.96</v>
    <v>397.87</v>
    <v>432.36</v>
    <v>447.24</v>
    <v>465.91</v>
    <v>479.56</v>
    <v>465.74</v>
    <v>453.76</v>
    <v>472.06</v>
    <v>486.76</v>
    <v>486.88</v>
    <v>474.06</v>
    <v>492.16</v>
    <v>482.95</v>
    <v>570.41999999999996</v>
    <v>564.64</v>
    <v>561.32000000000005</v>
    <v>583.95000000000005</v>
    <v>583.55999999999995</v>
    <v>619.34</v>
    <v>604.82000000000005</v>
    <v>605.88</v>
    <v>628.01</v>
    <v>607.33000000000004</v>
    <v>636.17999999999995</v>
    <v>622.83000000000004</v>
    <v>555.04</v>
    <v>561.23</v>
    <v>579.34</v>
    <v>610.87</v>
    <v>621.1</v>
    <v>646.75</v>
    <v>641.62</v>
    <v>641.47</v>
    <v>669.38</v>
    <v>686.12</v>
    <v>674.88</v>
    <v>690.65</v>
    <v>647.6</v>
    <v>633.34</v>
    <v>631.37</v>
    <v>613.64</v>
    <v>633.94000000000005</v>
    <v>674.07</v>
    <v>686.73</v>
    <v>701.35</v>
    <v>665.77</v>
    <v>697.06</v>
    <v>701.03</v>
    <v>707.35</v>
    <v>719.7</v>
    <v>722.79</v>
    <v>763.89</v>
    <v>754.68</v>
    <v>756.1</v>
    <v>795.04</v>
    <v>823.96</v>
    <v>897.79</v>
    <v>886.81</v>
    <v>934.74</v>
    <v>918.87</v>
    <v>909.05</v>
    <v>907.55</v>
    <v>881.05</v>
    <v>837.69</v>
    <v>858.1</v>
    <v>977.59</v>
    <v>976.76</v>
    <v>1013.93</v>
    <v>1058.5999999999999</v>
    <v>1003.15</v>
    <v>980.56</v>
    <v>891.11</v>
    <v>918</v>
    <v>960.29</v>
    <v>933.85</v>
    <v>855.86</v>
    <v>918.29</v>
    <v>973.03</v>
    <v>1101.53</v>
    <v>115.649</v>
  </a>
  <a r="1" c="523">
    <v>80.2928</v>
    <v>79.571299999999994</v>
    <v>82.324200000000005</v>
    <v>87.544200000000004</v>
    <v>88.874200000000002</v>
    <v>88.837100000000007</v>
    <v>90.714200000000005</v>
    <v>92.857100000000003</v>
    <v>95.0428</v>
    <v>91.505600000000001</v>
    <v>93.472800000000007</v>
    <v>98.098500000000001</v>
    <v>114.7</v>
    <v>107.79</v>
    <v>114.6</v>
    <v>126.09</v>
    <v>123.14</v>
    <v>88.75</v>
    <v>115.24</v>
    <v>102.08</v>
    <v>96.84</v>
    <v>103.3</v>
    <v>101.57</v>
    <v>107.48</v>
    <v>114.45</v>
    <v>98.07</v>
    <v>100.05</v>
    <v>109.2</v>
    <v>113.36</v>
    <v>102.97</v>
    <v>124.3</v>
    <v>126.03</v>
    <v>131.19</v>
    <v>119.77</v>
    <v>119.51</v>
    <v>117.26</v>
    <v>109</v>
    <v>112.13</v>
    <v>106.57</v>
    <v>99.78</v>
    <v>91.79</v>
    <v>80.569999999999993</v>
    <v>89</v>
    <v>90.75</v>
    <v>94.81</v>
    <v>101</v>
    <v>97.2</v>
    <v>101.15</v>
    <v>98.34</v>
    <v>105.9</v>
    <v>104.04</v>
    <v>109.9</v>
    <v>95.7</v>
    <v>90.41</v>
    <v>90.73</v>
    <v>87.56</v>
    <v>92.98</v>
    <v>102.95</v>
    <v>100.29</v>
    <v>95.02</v>
    <v>95.22</v>
    <v>87.88</v>
    <v>95.2</v>
    <v>96.19</v>
    <v>98.43</v>
    <v>85.73</v>
    <v>91.23</v>
    <v>95.91</v>
    <v>96.83</v>
    <v>95.67</v>
    <v>96.97</v>
    <v>97.76</v>
    <v>95.91</v>
    <v>99.9</v>
    <v>95.38</v>
    <v>98</v>
    <v>103.18</v>
    <v>100.5</v>
    <v>127.42</v>
    <v>126.85</v>
    <v>124.26</v>
    <v>114.75</v>
    <v>116.2</v>
    <v>117.05</v>
    <v>120.73</v>
    <v>122.84</v>
    <v>124.3</v>
    <v>126.24</v>
    <v>124.96</v>
    <v>131.47999999999999</v>
    <v>135.04</v>
    <v>138.65</v>
    <v>141.77000000000001</v>
    <v>140</v>
    <v>145.19</v>
    <v>142.99</v>
    <v>143.12</v>
    <v>141</v>
    <v>140.9</v>
    <v>145.44999999999999</v>
    <v>140.83000000000001</v>
    <v>146.69999999999999</v>
    <v>143.04</v>
    <v>144.43</v>
    <v>143.61000000000001</v>
    <v>151.91</v>
    <v>156.55000000000001</v>
    <v>160.25</v>
    <v>157.86000000000001</v>
    <v>163.6</v>
    <v>165.49</v>
    <v>155.30000000000001</v>
    <v>154.29</v>
    <v>158.78</v>
    <v>149.80000000000001</v>
    <v>150.34</v>
    <v>162.91</v>
    <v>188.685</v>
    <v>184.26</v>
    <v>181</v>
    <v>169.8</v>
    <v>166.91</v>
    <v>166.43</v>
    <v>173.4</v>
    <v>178.1</v>
    <v>183.61</v>
    <v>186.46</v>
    <v>182.11</v>
    <v>199.1</v>
    <v>201.95</v>
    <v>194.17</v>
    <v>199.62</v>
    <v>200</v>
    <v>191.12</v>
    <v>193.3</v>
    <v>195.56</v>
    <v>189.36</v>
    <v>187.85</v>
    <v>191.2</v>
    <v>189.78</v>
    <v>196.1</v>
    <v>210.02</v>
    <v>224.24</v>
    <v>222</v>
    <v>274.2</v>
    <v>262</v>
    <v>252.14</v>
    <v>277.74</v>
    <v>288.75</v>
    <v>302.85000000000002</v>
    <v>333.56</v>
    <v>315.8</v>
    <v>309.36</v>
    <v>291.94</v>
    <v>291.77</v>
    <v>315.99</v>
    <v>329.1499</v>
    <v>311.07</v>
    <v>321.99470000000002</v>
    <v>327.25</v>
    <v>327.11</v>
    <v>351.5</v>
    <v>362.68470000000002</v>
    <v>361.88</v>
    <v>387.72</v>
    <v>404.69</v>
    <v>385.45</v>
    <v>415.95</v>
    <v>398.98</v>
    <v>359.14530000000002</v>
    <v>351.93</v>
    <v>342.86529999999999</v>
    <v>339.89</v>
    <v>314.64</v>
    <v>367.14530000000002</v>
    <v>366.47</v>
    <v>352.27</v>
    <v>364.22</v>
    <v>359</v>
    <v>375.85</v>
    <v>345.18</v>
    <v>337.63</v>
    <v>333.1</v>
    <v>305.26</v>
    <v>311.10000000000002</v>
    <v>300</v>
    <v>283.79000000000002</v>
    <v>260.55</v>
    <v>293.19</v>
    <v>264.19</v>
    <v>266.51</v>
    <v>242</v>
    <v>260.16000000000003</v>
    <v>302.10000000000002</v>
    <v>334.24</v>
    <v>334.89</v>
    <v>334.7</v>
    <v>342.6</v>
    <v>350</v>
    <v>355.8</v>
    <v>367.01</v>
    <v>359.72</v>
    <v>352</v>
    <v>362.47</v>
    <v>359</v>
    <v>359</v>
    <v>365.11</v>
    <v>350.71</v>
    <v>359.7</v>
    <v>373.68</v>
    <v>377.69</v>
    <v>352.29</v>
    <v>351.23</v>
    <v>354.39</v>
    <v>343.56</v>
    <v>363.65</v>
    <v>342.69</v>
    <v>370.27</v>
    <v>373.5</v>
    <v>378.19</v>
    <v>372.94</v>
    <v>312</v>
    <v>335.98</v>
    <v>310.95999999999998</v>
    <v>305.45999999999998</v>
    <v>306.25</v>
    <v>295.24</v>
    <v>290.82</v>
    <v>294.81</v>
    <v>294.23</v>
    <v>268.34500000000003</v>
    <v>264</v>
    <v>271.99</v>
    <v>283.93</v>
    <v>272.89</v>
    <v>278.05</v>
    <v>288</v>
    <v>289.16000000000003</v>
    <v>296</v>
    <v>308.83</v>
    <v>314.39</v>
    <v>307.35000000000002</v>
    <v>300.85000000000002</v>
    <v>337.76</v>
    <v>329.08</v>
    <v>323.12</v>
    <v>331.8</v>
    <v>340</v>
    <v>345.95</v>
    <v>347.24</v>
    <v>365</v>
    <v>379.3</v>
    <v>364.76</v>
    <v>373.11</v>
    <v>343.86</v>
    <v>306.63</v>
    <v>347.89</v>
    <v>363</v>
    <v>365.22</v>
    <v>371.31</v>
    <v>435.17</v>
    <v>425</v>
    <v>417.78</v>
    <v>436.33</v>
    <v>451.16</v>
    <v>427.77</v>
    <v>418.83</v>
    <v>416</v>
    <v>421.4</v>
    <v>455.01</v>
    <v>445.23</v>
    <v>480.77</v>
    <v>567.98</v>
    <v>489.14</v>
    <v>484.51</v>
    <v>490.86</v>
    <v>493.35</v>
    <v>484.19</v>
    <v>495.43830000000003</v>
    <v>521.16</v>
    <v>498.4</v>
    <v>480.62</v>
    <v>467.69229999999999</v>
    <v>489.10939999999999</v>
    <v>506.8</v>
    <v>548.80999999999995</v>
    <v>537.07000000000005</v>
    <v>487.02499999999998</v>
    <v>478.87</v>
    <v>485.54</v>
    <v>480</v>
    <v>490.46</v>
    <v>490.08</v>
    <v>500.01</v>
    <v>505.44</v>
    <v>530.04999999999995</v>
    <v>516.42999999999995</v>
    <v>539</v>
    <v>507.84</v>
    <v>501</v>
    <v>567</v>
    <v>536.79</v>
    <v>555</v>
    <v>557.28599999999994</v>
    <v>534.99</v>
    <v>545.57339999999999</v>
    <v>514.46</v>
    <v>516.32000000000005</v>
    <v>509.13</v>
    <v>505.66</v>
    <v>540.01</v>
    <v>551.04999999999995</v>
    <v>546.9</v>
    <v>506.76</v>
    <v>512.65</v>
    <v>502</v>
    <v>485.59</v>
    <v>501.05</v>
    <v>504.01</v>
    <v>492.9169</v>
    <v>489.68</v>
    <v>501.64</v>
    <v>528.12</v>
    <v>533</v>
    <v>540.29999999999995</v>
    <v>526.04999999999995</v>
    <v>514.38</v>
    <v>519</v>
    <v>521.14689999999996</v>
    <v>515.24</v>
    <v>545.98</v>
    <v>557.25</v>
    <v>594.69000000000005</v>
    <v>598.57000000000005</v>
    <v>586.79</v>
    <v>587.95000000000005</v>
    <v>613.39</v>
    <v>633.19500000000005</v>
    <v>632.1</v>
    <v>663.74</v>
    <v>689.06</v>
    <v>650.29</v>
    <v>681.23500000000001</v>
    <v>676.02</v>
    <v>663.2</v>
    <v>606.01</v>
    <v>612</v>
    <v>586.42999999999995</v>
    <v>615</v>
    <v>605.61</v>
    <v>538.49</v>
    <v>520.08000000000004</v>
    <v>383.91</v>
    <v>401.97</v>
    <v>410.17</v>
    <v>387.59</v>
    <v>388.95</v>
    <v>387.33</v>
    <v>360.41</v>
    <v>338.72</v>
    <v>378.02</v>
    <v>375.23</v>
    <v>373.55</v>
    <v>350</v>
    <v>340</v>
    <v>213.81</v>
    <v>191.71</v>
    <v>177.655</v>
    <v>193.3</v>
    <v>186.15</v>
    <v>196.18</v>
    <v>202.09</v>
    <v>177.07</v>
    <v>177.6</v>
    <v>191.77</v>
    <v>176.28</v>
    <v>184.73</v>
    <v>192.5</v>
    <v>221.31</v>
    <v>223.095</v>
    <v>227.49</v>
    <v>248.11</v>
    <v>232.55</v>
    <v>221.93</v>
    <v>225.59</v>
    <v>233.61</v>
    <v>245.05</v>
    <v>225.6</v>
    <v>237.85</v>
    <v>225.64</v>
    <v>234.41</v>
    <v>290.23</v>
    <v>295.13</v>
    <v>261.06</v>
    <v>290</v>
    <v>291</v>
    <v>284</v>
    <v>316.45999999999998</v>
    <v>320</v>
    <v>289.73</v>
    <v>293.19</v>
    <v>298.06</v>
    <v>316.83</v>
    <v>331.08</v>
    <v>341.71499999999997</v>
    <v>358.44</v>
    <v>363.642</v>
    <v>349.5</v>
    <v>342.85</v>
    <v>323.87</v>
    <v>317</v>
    <v>287.33999999999997</v>
    <v>299.79000000000002</v>
    <v>327.55</v>
    <v>341.83</v>
    <v>335.27</v>
    <v>338</v>
    <v>330.2</v>
    <v>329.435</v>
    <v>322.99</v>
    <v>340.62</v>
    <v>365.36</v>
    <v>397.48</v>
    <v>400.47</v>
    <v>418.83</v>
    <v>430.18</v>
    <v>422.435</v>
    <v>439.76</v>
    <v>438.52</v>
    <v>445.57</v>
    <v>425</v>
    <v>426.51</v>
    <v>436.45499999999998</v>
    <v>421.99</v>
    <v>402.23</v>
    <v>418.04</v>
    <v>438.39</v>
    <v>443.07</v>
    <v>395.5</v>
    <v>382.9</v>
    <v>377.48</v>
    <v>378.05</v>
    <v>356.21</v>
    <v>403.32</v>
    <v>402.35</v>
    <v>434.38</v>
    <v>447.25</v>
    <v>465.4</v>
    <v>479.03</v>
    <v>460.99</v>
    <v>459.36</v>
    <v>476.3</v>
    <v>489.39</v>
    <v>483.185</v>
    <v>473.89</v>
    <v>490</v>
    <v>487.55</v>
    <v>571.35</v>
    <v>562.47</v>
    <v>560.36</v>
    <v>580.17999999999995</v>
    <v>583.55999999999995</v>
    <v>621.55999999999995</v>
    <v>608.08000000000004</v>
    <v>613.55999999999995</v>
    <v>627.9</v>
    <v>608</v>
    <v>636.39</v>
    <v>630.16999999999996</v>
    <v>550.66</v>
    <v>559.17999999999995</v>
    <v>581.82000000000005</v>
    <v>614.29999999999995</v>
    <v>620.4</v>
    <v>647.04999999999995</v>
    <v>645.21500000000003</v>
    <v>641.01</v>
    <v>669.11</v>
    <v>685</v>
    <v>674.89</v>
    <v>687</v>
    <v>647.5</v>
    <v>639.5</v>
    <v>634.61</v>
    <v>587.04</v>
    <v>631</v>
    <v>674.07</v>
    <v>687.26</v>
    <v>700.1</v>
    <v>674</v>
    <v>700</v>
    <v>702.39</v>
    <v>707</v>
    <v>714.755</v>
    <v>725</v>
    <v>765.76</v>
    <v>758.68</v>
    <v>753.14</v>
    <v>795.9</v>
    <v>815.5</v>
    <v>902.05</v>
    <v>887.51</v>
    <v>928</v>
    <v>923.94</v>
    <v>913.42</v>
    <v>894.51</v>
    <v>888.76</v>
    <v>831.52499999999998</v>
    <v>863.53</v>
    <v>971.1</v>
    <v>973</v>
    <v>1023.05</v>
    <v>1060</v>
    <v>1008</v>
    <v>983</v>
    <v>875.07</v>
    <v>939.95</v>
    <v>969.67</v>
    <v>920.53</v>
    <v>827.84500000000003</v>
    <v>932.7</v>
    <v>984.4</v>
    <v>110</v>
  </a>
  <a r="1" c="523">
    <v>81.785600000000002</v>
    <v>82.442800000000005</v>
    <v>88.348299999999995</v>
    <v>89.785600000000002</v>
    <v>90.205600000000004</v>
    <v>90.539900000000003</v>
    <v>98.969899999999996</v>
    <v>96.4178</v>
    <v>100.8913</v>
    <v>95.238500000000002</v>
    <v>98.502700000000004</v>
    <v>117.88</v>
    <v>114.7</v>
    <v>115</v>
    <v>129.29</v>
    <v>126.5</v>
    <v>126.749</v>
    <v>119.35</v>
    <v>117</v>
    <v>102.79</v>
    <v>107.5</v>
    <v>105.4487</v>
    <v>106.87</v>
    <v>115.83</v>
    <v>115.42</v>
    <v>103.62</v>
    <v>110.1</v>
    <v>115.68</v>
    <v>115.25</v>
    <v>124.07</v>
    <v>126.39</v>
    <v>132.19999999999999</v>
    <v>133.27000000000001</v>
    <v>126.35</v>
    <v>119.59</v>
    <v>119.6</v>
    <v>122.18</v>
    <v>117.78</v>
    <v>110.14</v>
    <v>102.68</v>
    <v>97.18</v>
    <v>92.21</v>
    <v>94.9</v>
    <v>97.48</v>
    <v>102.22</v>
    <v>101.79</v>
    <v>102.41</v>
    <v>102.1</v>
    <v>105.79</v>
    <v>106.44</v>
    <v>111.85</v>
    <v>110.7</v>
    <v>95.746099999999998</v>
    <v>93.25</v>
    <v>93.25</v>
    <v>93.28</v>
    <v>104</v>
    <v>103.45</v>
    <v>101.63</v>
    <v>97.2</v>
    <v>95.88</v>
    <v>97</v>
    <v>101.27</v>
    <v>98.7</v>
    <v>99.84</v>
    <v>93.1</v>
    <v>97.74</v>
    <v>96.83</v>
    <v>97.216800000000006</v>
    <v>98.245000000000005</v>
    <v>98.85</v>
    <v>100.32</v>
    <v>99.49</v>
    <v>100.35</v>
    <v>99.53</v>
    <v>106.97</v>
    <v>104.53</v>
    <v>127.85</v>
    <v>129.29</v>
    <v>126.9</v>
    <v>125.81</v>
    <v>116.81</v>
    <v>119.46</v>
    <v>120.98</v>
    <v>126.35</v>
    <v>127.43</v>
    <v>127.7372</v>
    <v>129.07</v>
    <v>133.88</v>
    <v>133.93</v>
    <v>143.46</v>
    <v>142.49</v>
    <v>142.41</v>
    <v>145.29920000000001</v>
    <v>145.94999999999999</v>
    <v>144.49</v>
    <v>143.91999999999999</v>
    <v>142.84</v>
    <v>146.5</v>
    <v>147.69999999999999</v>
    <v>148.29</v>
    <v>148.005</v>
    <v>145.74</v>
    <v>147.4</v>
    <v>153.52000000000001</v>
    <v>158.59</v>
    <v>161.1</v>
    <v>161.78</v>
    <v>164.1</v>
    <v>165.36</v>
    <v>166.87</v>
    <v>155.68</v>
    <v>158.19</v>
    <v>159.97</v>
    <v>150.75</v>
    <v>161.35</v>
    <v>191.5</v>
    <v>190.25</v>
    <v>184.97380000000001</v>
    <v>182.27</v>
    <v>172.45</v>
    <v>171.2363</v>
    <v>176.48</v>
    <v>180.39</v>
    <v>185.33</v>
    <v>189.95</v>
    <v>186.55</v>
    <v>198.92</v>
    <v>200.81989999999999</v>
    <v>204.38</v>
    <v>200.65</v>
    <v>201.09899999999999</v>
    <v>202.48</v>
    <v>197.7</v>
    <v>197.52</v>
    <v>199.68</v>
    <v>189.72</v>
    <v>192.64</v>
    <v>191.65</v>
    <v>194.49</v>
    <v>210.02</v>
    <v>222.55</v>
    <v>226.07</v>
    <v>274.60000000000002</v>
    <v>286.81</v>
    <v>272.45</v>
    <v>281.95999999999998</v>
    <v>286.64</v>
    <v>301.18</v>
    <v>331.44</v>
    <v>333.98</v>
    <v>319.5</v>
    <v>322.89999999999998</v>
    <v>299.16000000000003</v>
    <v>317.49</v>
    <v>338.82</v>
    <v>331.22</v>
    <v>320.98</v>
    <v>332.05500000000001</v>
    <v>330.50380000000001</v>
    <v>354.36</v>
    <v>359.99</v>
    <v>369.83</v>
    <v>398.86</v>
    <v>423.2056</v>
    <v>411.5865</v>
    <v>408.64949999999999</v>
    <v>419.77</v>
    <v>403.35500000000002</v>
    <v>367.4</v>
    <v>352.03</v>
    <v>357.31</v>
    <v>347.19</v>
    <v>359.15</v>
    <v>376.80849999999998</v>
    <v>368.88</v>
    <v>374.09</v>
    <v>377.61</v>
    <v>383.2</v>
    <v>386.79989999999998</v>
    <v>358.72</v>
    <v>380</v>
    <v>336.58</v>
    <v>321.88</v>
    <v>332.04989999999998</v>
    <v>303.55</v>
    <v>285.08999999999997</v>
    <v>290.81</v>
    <v>298.72000000000003</v>
    <v>281.76949999999999</v>
    <v>280.87</v>
    <v>261.9144</v>
    <v>297.8</v>
    <v>341.09</v>
    <v>358.85</v>
    <v>340</v>
    <v>346.84</v>
    <v>360</v>
    <v>364.4</v>
    <v>366.71</v>
    <v>371.49</v>
    <v>362.86</v>
    <v>364</v>
    <v>379</v>
    <v>368.38</v>
    <v>373.41050000000001</v>
    <v>370.12</v>
    <v>368.76400000000001</v>
    <v>384.8</v>
    <v>385.99</v>
    <v>381.35</v>
    <v>364</v>
    <v>370.46</v>
    <v>361.2</v>
    <v>365.15</v>
    <v>367.1</v>
    <v>371.45</v>
    <v>375</v>
    <v>381.99</v>
    <v>384.76</v>
    <v>373.68</v>
    <v>336</v>
    <v>336.4</v>
    <v>316.64</v>
    <v>316.43</v>
    <v>311.75</v>
    <v>299.93</v>
    <v>293.97000000000003</v>
    <v>301.55</v>
    <v>299.14999999999998</v>
    <v>273.39</v>
    <v>275.4846</v>
    <v>287.87</v>
    <v>308.75</v>
    <v>279.93990000000002</v>
    <v>293.49</v>
    <v>298.19</v>
    <v>296.36</v>
    <v>312.69</v>
    <v>316.82</v>
    <v>314.39</v>
    <v>311.49</v>
    <v>338</v>
    <v>337.95</v>
    <v>329.98</v>
    <v>343.4196</v>
    <v>345.38</v>
    <v>359.85</v>
    <v>352.4</v>
    <v>375.25</v>
    <v>385.37</v>
    <v>392.95</v>
    <v>391.56240000000003</v>
    <v>393.52</v>
    <v>364.54</v>
    <v>350.49</v>
    <v>372.93</v>
    <v>383.01</v>
    <v>381.33</v>
    <v>449.52</v>
    <v>447</v>
    <v>429</v>
    <v>442</v>
    <v>455</v>
    <v>458.97</v>
    <v>428.5</v>
    <v>428.71</v>
    <v>445.57</v>
    <v>453.97</v>
    <v>474.01</v>
    <v>492.28</v>
    <v>555.87990000000002</v>
    <v>575.37</v>
    <v>506.22</v>
    <v>497.79270000000002</v>
    <v>510.82</v>
    <v>497.45839999999998</v>
    <v>498.94</v>
    <v>549.04</v>
    <v>557.3895</v>
    <v>522</v>
    <v>504.66</v>
    <v>491.82</v>
    <v>529.54999999999995</v>
    <v>544.28</v>
    <v>572.49</v>
    <v>541.79999999999995</v>
    <v>513.8999</v>
    <v>518.7337</v>
    <v>496.52</v>
    <v>494.76</v>
    <v>493.25</v>
    <v>509.47</v>
    <v>521.49090000000001</v>
    <v>536.37</v>
    <v>532.62</v>
    <v>545.5</v>
    <v>540.79999999999995</v>
    <v>514.5</v>
    <v>593.28769999999997</v>
    <v>569.75</v>
    <v>559.48</v>
    <v>566.65</v>
    <v>563.63</v>
    <v>556.84990000000005</v>
    <v>556.99</v>
    <v>530.23500000000001</v>
    <v>533.41999999999996</v>
    <v>543.12</v>
    <v>540.5</v>
    <v>556.9</v>
    <v>559.75</v>
    <v>563.55999999999995</v>
    <v>514.54999999999995</v>
    <v>518.95000000000005</v>
    <v>503.15</v>
    <v>505.4</v>
    <v>511.76</v>
    <v>505.41</v>
    <v>498.82</v>
    <v>504.49</v>
    <v>533.05999999999995</v>
    <v>538.53510000000006</v>
    <v>544.64</v>
    <v>557.53989999999999</v>
    <v>536.64</v>
    <v>524.47</v>
    <v>526.84</v>
    <v>522.66989999999998</v>
    <v>551.38829999999996</v>
    <v>564.16999999999996</v>
    <v>598.75670000000002</v>
    <v>615.6</v>
    <v>598.57000000000005</v>
    <v>599.32000000000005</v>
    <v>619</v>
    <v>646.84</v>
    <v>639.41999999999996</v>
    <v>665.46</v>
    <v>690.96990000000005</v>
    <v>689.97</v>
    <v>683.34</v>
    <v>700.98940000000005</v>
    <v>679.48</v>
    <v>675.38</v>
    <v>632.45500000000004</v>
    <v>612.64</v>
    <v>616.88</v>
    <v>620.61</v>
    <v>609.99</v>
    <v>544.27</v>
    <v>526.64</v>
    <v>394.8</v>
    <v>458.48</v>
    <v>412.98</v>
    <v>409.36</v>
    <v>392.42</v>
    <v>397.75</v>
    <v>367.02</v>
    <v>381.8</v>
    <v>386.66</v>
    <v>396.5</v>
    <v>396.02</v>
    <v>359.41</v>
    <v>351.68</v>
    <v>216.66</v>
    <v>204.38</v>
    <v>187.77</v>
    <v>195.89</v>
    <v>195.25</v>
    <v>205.47</v>
    <v>207.38</v>
    <v>183.845</v>
    <v>191.19</v>
    <v>192.2</v>
    <v>190.21</v>
    <v>189.22</v>
    <v>229.35</v>
    <v>230.75</v>
    <v>232.07</v>
    <v>251.62</v>
    <v>251.99</v>
    <v>236.95</v>
    <v>233.88140000000001</v>
    <v>234.7799</v>
    <v>242.28710000000001</v>
    <v>250.49</v>
    <v>246.98</v>
    <v>245.79990000000001</v>
    <v>238.8</v>
    <v>290.75</v>
    <v>305.63</v>
    <v>299.7</v>
    <v>290.66000000000003</v>
    <v>312.70999999999998</v>
    <v>292.47000000000003</v>
    <v>321.99</v>
    <v>329</v>
    <v>332.72359999999998</v>
    <v>300.66000000000003</v>
    <v>295.49990000000003</v>
    <v>316.77</v>
    <v>336.65</v>
    <v>344</v>
    <v>369.02</v>
    <v>379.43009999999998</v>
    <v>373.83</v>
    <v>363.75</v>
    <v>344.12529999999998</v>
    <v>330</v>
    <v>323.3</v>
    <v>316.60000000000002</v>
    <v>331.83</v>
    <v>345.84</v>
    <v>349.8</v>
    <v>347.14</v>
    <v>338.39</v>
    <v>334.66</v>
    <v>331.23</v>
    <v>348.16640000000001</v>
    <v>375.87</v>
    <v>383.76</v>
    <v>407.52</v>
    <v>425.9</v>
    <v>448.65</v>
    <v>440</v>
    <v>444.12</v>
    <v>450.97</v>
    <v>456.48</v>
    <v>485</v>
    <v>430.87990000000002</v>
    <v>445.24990000000003</v>
    <v>443.57</v>
    <v>429.12</v>
    <v>437.02</v>
    <v>445.5</v>
    <v>453.45</v>
    <v>449.89</v>
    <v>399.46499999999997</v>
    <v>386.62</v>
    <v>394.9</v>
    <v>388.7</v>
    <v>410.64</v>
    <v>418.84</v>
    <v>434.815</v>
    <v>447.48</v>
    <v>467.65</v>
    <v>482.7</v>
    <v>482</v>
    <v>461.2</v>
    <v>481.25</v>
    <v>500.89</v>
    <v>494.01499999999999</v>
    <v>484.65</v>
    <v>503.41</v>
    <v>494.15</v>
    <v>579.64</v>
    <v>578.54989999999998</v>
    <v>575.75</v>
    <v>597</v>
    <v>592.42999999999995</v>
    <v>620.28</v>
    <v>624.41999999999996</v>
    <v>622.91999999999996</v>
    <v>634.36170000000004</v>
    <v>634.38990000000001</v>
    <v>638</v>
    <v>639</v>
    <v>630.16999999999996</v>
    <v>579.21</v>
    <v>580.26</v>
    <v>623.98</v>
    <v>625.79</v>
    <v>652</v>
    <v>664.25</v>
    <v>657.99</v>
    <v>675.58</v>
    <v>689.88</v>
    <v>688.57</v>
    <v>697.49</v>
    <v>695.27</v>
    <v>678.97</v>
    <v>656.29</v>
    <v>646.70989999999995</v>
    <v>636.62</v>
    <v>680.23</v>
    <v>711.33</v>
    <v>707.89</v>
    <v>703.86</v>
    <v>699.64</v>
    <v>715.66</v>
    <v>725.26</v>
    <v>721.01</v>
    <v>736</v>
    <v>766.28099999999995</v>
    <v>773</v>
    <v>763.88</v>
    <v>799.06</v>
    <v>840.99969999999996</v>
    <v>908</v>
    <v>902.05</v>
    <v>935.27</v>
    <v>941.75</v>
    <v>928.94</v>
    <v>935.85</v>
    <v>908.22990000000004</v>
    <v>892.83</v>
    <v>868.98</v>
    <v>999</v>
    <v>994.59</v>
    <v>1027.76</v>
    <v>1064.5</v>
    <v>1062</v>
    <v>1015.17</v>
    <v>995.59990000000005</v>
    <v>927.18</v>
    <v>968</v>
    <v>998.7</v>
    <v>949.54790000000003</v>
    <v>951.43</v>
    <v>993.44989999999996</v>
    <v>1106.7983999999999</v>
    <v>115.944</v>
  </a>
  <a r="1" c="523">
    <v>78.894199999999998</v>
    <v>78.899900000000002</v>
    <v>82.185599999999994</v>
    <v>87.024199999999993</v>
    <v>87.786199999999994</v>
    <v>87.944199999999995</v>
    <v>88.995599999999996</v>
    <v>91.658500000000004</v>
    <v>93.088499999999996</v>
    <v>91.117099999999994</v>
    <v>92.284199999999998</v>
    <v>97.05</v>
    <v>108.9</v>
    <v>103.88</v>
    <v>111.78</v>
    <v>118.66</v>
    <v>102.751</v>
    <v>85.5</v>
    <v>97.34</v>
    <v>93.55</v>
    <v>93.61</v>
    <v>96.78</v>
    <v>96.85</v>
    <v>102.6</v>
    <v>98.41</v>
    <v>96.26</v>
    <v>99.38</v>
    <v>106.3</v>
    <v>103.27</v>
    <v>101.86</v>
    <v>120.03</v>
    <v>122.42</v>
    <v>118.6</v>
    <v>114.66</v>
    <v>114.86</v>
    <v>113.85</v>
    <v>104.96</v>
    <v>101.21</v>
    <v>97.0501</v>
    <v>90.11</v>
    <v>81.86</v>
    <v>79.95</v>
    <v>87.54</v>
    <v>86.7</v>
    <v>93.34</v>
    <v>94.5</v>
    <v>96.43</v>
    <v>97.07</v>
    <v>97.82</v>
    <v>102.82</v>
    <v>102.21</v>
    <v>93.14</v>
    <v>88.21</v>
    <v>88.11</v>
    <v>85.74</v>
    <v>86.15</v>
    <v>92.85</v>
    <v>98.53</v>
    <v>93.28</v>
    <v>93.247399999999999</v>
    <v>87.21</v>
    <v>84.81</v>
    <v>93.18</v>
    <v>94.09</v>
    <v>84.5</v>
    <v>85.01</v>
    <v>90.5</v>
    <v>92.95</v>
    <v>94.4</v>
    <v>94.91</v>
    <v>96.57</v>
    <v>96.5</v>
    <v>95.33</v>
    <v>93.26</v>
    <v>94.04</v>
    <v>98</v>
    <v>97.63</v>
    <v>98.38</v>
    <v>125.75</v>
    <v>121.62</v>
    <v>113.11</v>
    <v>110.68</v>
    <v>116.19</v>
    <v>113.95</v>
    <v>118.4</v>
    <v>122.3</v>
    <v>122.87</v>
    <v>123.6</v>
    <v>124.31</v>
    <v>128.5</v>
    <v>131.06</v>
    <v>137.03</v>
    <v>138.80000000000001</v>
    <v>139.16</v>
    <v>140.05000000000001</v>
    <v>141.5196</v>
    <v>138.26</v>
    <v>139.74</v>
    <v>140.321</v>
    <v>140.76</v>
    <v>140</v>
    <v>142.71</v>
    <v>141.21</v>
    <v>138.66</v>
    <v>143.4</v>
    <v>151.61000000000001</v>
    <v>155.30000000000001</v>
    <v>153</v>
    <v>156.43</v>
    <v>160.74</v>
    <v>154.5</v>
    <v>147.30000000000001</v>
    <v>151.4</v>
    <v>148</v>
    <v>144.25</v>
    <v>149.65</v>
    <v>160.02010000000001</v>
    <v>179.38</v>
    <v>177.81489999999999</v>
    <v>167.6</v>
    <v>165.72</v>
    <v>164.23</v>
    <v>164.73</v>
    <v>172.44</v>
    <v>178.03</v>
    <v>182.73</v>
    <v>176.55</v>
    <v>176.58</v>
    <v>192.1</v>
    <v>191.16</v>
    <v>191.03460000000001</v>
    <v>195.21799999999999</v>
    <v>189.5</v>
    <v>191</v>
    <v>191.9</v>
    <v>184.32</v>
    <v>178.38</v>
    <v>184.81829999999999</v>
    <v>185.26</v>
    <v>185.22</v>
    <v>195.42</v>
    <v>206.91</v>
    <v>216.32</v>
    <v>221.2</v>
    <v>262.70999999999998</v>
    <v>236.11</v>
    <v>249</v>
    <v>274.45</v>
    <v>283.23</v>
    <v>297.60000000000002</v>
    <v>313.27800000000002</v>
    <v>300.36</v>
    <v>275.89999999999998</v>
    <v>271.22390000000001</v>
    <v>289.12</v>
    <v>304</v>
    <v>292.61500000000001</v>
    <v>305.73</v>
    <v>319.33999999999997</v>
    <v>322.43400000000003</v>
    <v>325.45</v>
    <v>346.71</v>
    <v>355.51</v>
    <v>360.91</v>
    <v>386.5</v>
    <v>378.75</v>
    <v>380</v>
    <v>395.08100000000002</v>
    <v>344</v>
    <v>351.65</v>
    <v>328</v>
    <v>341.74</v>
    <v>312.95999999999998</v>
    <v>310.928</v>
    <v>360</v>
    <v>335.83</v>
    <v>343.08</v>
    <v>349.57</v>
    <v>354.33</v>
    <v>343</v>
    <v>315.81</v>
    <v>326.93</v>
    <v>292.3</v>
    <v>271.20929999999998</v>
    <v>298.01</v>
    <v>278.29689999999999</v>
    <v>250</v>
    <v>253.8</v>
    <v>263.38</v>
    <v>260.60939999999999</v>
    <v>241.29</v>
    <v>231.23</v>
    <v>256.58</v>
    <v>301.64999999999998</v>
    <v>329.13</v>
    <v>318.60000000000002</v>
    <v>328.15100000000001</v>
    <v>338</v>
    <v>344.81</v>
    <v>353.88</v>
    <v>354.69150000000002</v>
    <v>342.47</v>
    <v>350.03</v>
    <v>356.8</v>
    <v>349.2</v>
    <v>358.51</v>
    <v>349.36</v>
    <v>342.27</v>
    <v>359</v>
    <v>368.34800000000001</v>
    <v>352.75</v>
    <v>341.39</v>
    <v>345.4</v>
    <v>342.92</v>
    <v>332.65</v>
    <v>336.15499999999997</v>
    <v>342.06</v>
    <v>358.29</v>
    <v>370.31</v>
    <v>372.79169999999999</v>
    <v>314.23</v>
    <v>305.81</v>
    <v>311.8</v>
    <v>296.81259999999997</v>
    <v>288</v>
    <v>290.32</v>
    <v>287.1968</v>
    <v>282.78500000000003</v>
    <v>282.66289999999998</v>
    <v>266</v>
    <v>252.28</v>
    <v>257.01</v>
    <v>264.57</v>
    <v>273.36</v>
    <v>265.8</v>
    <v>277.35000000000002</v>
    <v>285.83999999999997</v>
    <v>281.14</v>
    <v>293.27999999999997</v>
    <v>305.25</v>
    <v>298.81</v>
    <v>292.02</v>
    <v>298.63</v>
    <v>326.01</v>
    <v>321.08999999999997</v>
    <v>321.2</v>
    <v>331.51</v>
    <v>323.60000000000002</v>
    <v>338.55</v>
    <v>346.28</v>
    <v>362.52</v>
    <v>376.68</v>
    <v>356.8</v>
    <v>356.85</v>
    <v>307.32</v>
    <v>290.25</v>
    <v>339.17</v>
    <v>357.51</v>
    <v>361.71</v>
    <v>367.70030000000003</v>
    <v>413</v>
    <v>393.6</v>
    <v>414.87</v>
    <v>427.27</v>
    <v>427.18</v>
    <v>397.86</v>
    <v>404.25</v>
    <v>406.5</v>
    <v>415.42380000000003</v>
    <v>442.24</v>
    <v>432.14</v>
    <v>479.8</v>
    <v>484.14</v>
    <v>467.54</v>
    <v>477.51010000000002</v>
    <v>486.68</v>
    <v>466.55</v>
    <v>479.1</v>
    <v>483.16</v>
    <v>485.98</v>
    <v>476.81</v>
    <v>458.6</v>
    <v>466.32</v>
    <v>477.88</v>
    <v>501.69970000000001</v>
    <v>530.03</v>
    <v>481.35</v>
    <v>472.21</v>
    <v>475</v>
    <v>463.41</v>
    <v>477.3</v>
    <v>475.84</v>
    <v>481.26780000000002</v>
    <v>491.29</v>
    <v>501.18</v>
    <v>512.21040000000005</v>
    <v>507.13</v>
    <v>499.5</v>
    <v>485.67009999999999</v>
    <v>493.54270000000002</v>
    <v>515.73</v>
    <v>531.73</v>
    <v>543</v>
    <v>538.22649999999999</v>
    <v>518.28</v>
    <v>498.7901</v>
    <v>492.85</v>
    <v>501.63</v>
    <v>496.68</v>
    <v>504.4</v>
    <v>529.23</v>
    <v>538.53</v>
    <v>500.55</v>
    <v>499</v>
    <v>491.37</v>
    <v>478.63</v>
    <v>478.54</v>
    <v>498.54</v>
    <v>487.25</v>
    <v>482.14</v>
    <v>486.28</v>
    <v>492.28</v>
    <v>524.55999999999995</v>
    <v>528.58000000000004</v>
    <v>527.04999999999995</v>
    <v>504.66</v>
    <v>509.01010000000002</v>
    <v>505.37</v>
    <v>507.20139999999998</v>
    <v>512.29999999999995</v>
    <v>543.74</v>
    <v>556.45000000000005</v>
    <v>593.66999999999996</v>
    <v>575.37</v>
    <v>568.08000000000004</v>
    <v>576.92999999999995</v>
    <v>594.67999999999995</v>
    <v>621.99</v>
    <v>617.15</v>
    <v>657.07</v>
    <v>645.01</v>
    <v>642.11</v>
    <v>671.49</v>
    <v>646.04999999999995</v>
    <v>594</v>
    <v>601</v>
    <v>581.74</v>
    <v>584.26</v>
    <v>602.04999999999995</v>
    <v>538.21749999999997</v>
    <v>511.88</v>
    <v>379.99</v>
    <v>351.46</v>
    <v>396.63909999999998</v>
    <v>387.65</v>
    <v>385.7</v>
    <v>354.72</v>
    <v>357.17</v>
    <v>340</v>
    <v>329.82</v>
    <v>366.43</v>
    <v>366.73</v>
    <v>353.68970000000002</v>
    <v>339.86</v>
    <v>210.05</v>
    <v>185.6</v>
    <v>175.81</v>
    <v>162.71</v>
    <v>175.71</v>
    <v>177.17</v>
    <v>190.8</v>
    <v>180.85</v>
    <v>164.28</v>
    <v>169.8</v>
    <v>170.3</v>
    <v>172.68010000000001</v>
    <v>169.702</v>
    <v>188.4</v>
    <v>211.64</v>
    <v>220.88</v>
    <v>224.65</v>
    <v>235.68</v>
    <v>223.15</v>
    <v>218.74</v>
    <v>214.69</v>
    <v>215.8</v>
    <v>221.43</v>
    <v>220.72</v>
    <v>224.28</v>
    <v>211.73</v>
    <v>234.4</v>
    <v>280.36</v>
    <v>255.32</v>
    <v>252.09</v>
    <v>287</v>
    <v>277.33999999999997</v>
    <v>275.94</v>
    <v>302.10000000000002</v>
    <v>286.55</v>
    <v>280.81</v>
    <v>273.41000000000003</v>
    <v>288.7</v>
    <v>311.07</v>
    <v>313.39</v>
    <v>340.63290000000001</v>
    <v>348.71</v>
    <v>347.14</v>
    <v>342.44</v>
    <v>314.3</v>
    <v>310.38</v>
    <v>289</v>
    <v>285.33010000000002</v>
    <v>293.54000000000002</v>
    <v>321.27999999999997</v>
    <v>332.63</v>
    <v>330.04</v>
    <v>316.10000000000002</v>
    <v>317.44</v>
    <v>315.62</v>
    <v>322.02999999999997</v>
    <v>329.61500000000001</v>
    <v>354.31</v>
    <v>385.79</v>
    <v>396.34</v>
    <v>416.56689999999998</v>
    <v>417.73</v>
    <v>411.5</v>
    <v>430.72</v>
    <v>431.04149999999998</v>
    <v>423.19</v>
    <v>411.88</v>
    <v>426.27</v>
    <v>421.32769999999999</v>
    <v>398.15</v>
    <v>399.5</v>
    <v>413.27</v>
    <v>436.7</v>
    <v>395.03</v>
    <v>378.36</v>
    <v>371.1</v>
    <v>367.24</v>
    <v>352.05</v>
    <v>344.73</v>
    <v>395.62</v>
    <v>399.41</v>
    <v>429.61</v>
    <v>442.6</v>
    <v>465.4</v>
    <v>464.6</v>
    <v>445.73</v>
    <v>457.21</v>
    <v>475.09500000000003</v>
    <v>481.935</v>
    <v>461.86</v>
    <v>472.95</v>
    <v>475.26420000000002</v>
    <v>479.9</v>
    <v>560.82000000000005</v>
    <v>554.37</v>
    <v>549</v>
    <v>567.32000000000005</v>
    <v>583.27</v>
    <v>592</v>
    <v>596.27</v>
    <v>608</v>
    <v>601.59</v>
    <v>605.51009999999997</v>
    <v>609.34</v>
    <v>552.16</v>
    <v>542.01</v>
    <v>544.25</v>
    <v>580.25</v>
    <v>606.83000000000004</v>
    <v>619.52</v>
    <v>628.29999999999995</v>
    <v>626.44000000000005</v>
    <v>635.59</v>
    <v>665.11009999999999</v>
    <v>662.3</v>
    <v>663.78</v>
    <v>643.70749999999998</v>
    <v>629.12009999999998</v>
    <v>621.70010000000002</v>
    <v>608.35</v>
    <v>587.04</v>
    <v>627.07000000000005</v>
    <v>672.91</v>
    <v>677.1</v>
    <v>662.34</v>
    <v>660.8</v>
    <v>688</v>
    <v>699.16</v>
    <v>698.59</v>
    <v>696.43</v>
    <v>677.88</v>
    <v>744.26</v>
    <v>747.77</v>
    <v>749.69</v>
    <v>795.56500000000005</v>
    <v>809.33010000000002</v>
    <v>858.91</v>
    <v>884.12</v>
    <v>902.59</v>
    <v>886.56</v>
    <v>894.5</v>
    <v>877</v>
    <v>834.4</v>
    <v>823.51900000000001</v>
    <v>854.745</v>
    <v>957.3</v>
    <v>964.375</v>
    <v>998.34730000000002</v>
    <v>999.39</v>
    <v>955</v>
    <v>858.07</v>
    <v>854.5</v>
    <v>916.3</v>
    <v>929.23</v>
    <v>853.87</v>
    <v>821.1</v>
    <v>919.49789999999996</v>
    <v>973.05</v>
    <v>108.262</v>
  </a>
  <a r="1" c="523">
    <v>7583612</v>
    <v>10090960</v>
    <v>13270964</v>
    <v>9557634</v>
    <v>5812241</v>
    <v>6484497</v>
    <v>18171083</v>
    <v>10540002</v>
    <v>25919434</v>
    <v>9601285</v>
    <v>12105751</v>
    <v>127059598</v>
    <v>63694722</v>
    <v>59732476</v>
    <v>108822041</v>
    <v>62855077</v>
    <v>90004727</v>
    <v>191033613</v>
    <v>146584546</v>
    <v>117409877</v>
    <v>113727976</v>
    <v>85224186</v>
    <v>90413824</v>
    <v>119610924</v>
    <v>133192935</v>
    <v>91876565</v>
    <v>62808062</v>
    <v>66525279</v>
    <v>74747739</v>
    <v>113466265</v>
    <v>51688400</v>
    <v>97373181</v>
    <v>89310988</v>
    <v>78909515</v>
    <v>34224773</v>
    <v>34006181</v>
    <v>123208867</v>
    <v>105415424</v>
    <v>146581445</v>
    <v>112987392</v>
    <v>114094863</v>
    <v>114963029</v>
    <v>66634967</v>
    <v>79912997</v>
    <v>88550262</v>
    <v>83118662</v>
    <v>62852590</v>
    <v>37632990</v>
    <v>67075977</v>
    <v>49239645</v>
    <v>57889759</v>
    <v>150884422</v>
    <v>67978092</v>
    <v>51338054</v>
    <v>64391989</v>
    <v>63244280</v>
    <v>77366448</v>
    <v>34335478</v>
    <v>44558511</v>
    <v>46237797</v>
    <v>55748403</v>
    <v>62274597</v>
    <v>60429462</v>
    <v>52589308</v>
    <v>135323922</v>
    <v>55628087</v>
    <v>51942289</v>
    <v>40962538</v>
    <v>36127095</v>
    <v>34786813</v>
    <v>27188383</v>
    <v>28079131</v>
    <v>42779918</v>
    <v>50789625</v>
    <v>39679958</v>
    <v>55677730</v>
    <v>41009400</v>
    <v>124064693</v>
    <v>46828456</v>
    <v>28431699</v>
    <v>49022509</v>
    <v>36290728</v>
    <v>20209290</v>
    <v>37666761</v>
    <v>41032674</v>
    <v>30836546</v>
    <v>21491673</v>
    <v>17577733</v>
    <v>38124809</v>
    <v>33276600</v>
    <v>61089654</v>
    <v>37163636</v>
    <v>25542472</v>
    <v>29739686</v>
    <v>25902840</v>
    <v>15024141</v>
    <v>23461296</v>
    <v>21420909</v>
    <v>27137696</v>
    <v>24836916</v>
    <v>21613989</v>
    <v>19938807</v>
    <v>18501634</v>
    <v>62503748</v>
    <v>48834780</v>
    <v>29271779</v>
    <v>26369945</v>
    <v>27515505</v>
    <v>23500034</v>
    <v>18312954</v>
    <v>25621421</v>
    <v>43290432</v>
    <v>27246345</v>
    <v>31385886</v>
    <v>19583763</v>
    <v>30990303</v>
    <v>93613031</v>
    <v>36073951</v>
    <v>24886436</v>
    <v>35099724</v>
    <v>32752953</v>
    <v>25425079</v>
    <v>27066885</v>
    <v>23967076</v>
    <v>27091829</v>
    <v>27579064</v>
    <v>28985096</v>
    <v>55295860</v>
    <v>39490291</v>
    <v>70234668</v>
    <v>32678768</v>
    <v>23260739</v>
    <v>29154041</v>
    <v>21845224</v>
    <v>16670722</v>
    <v>37243534</v>
    <v>29990362</v>
    <v>29353021</v>
    <v>27198073</v>
    <v>22342748</v>
    <v>32621114</v>
    <v>33516427</v>
    <v>41413029</v>
    <v>89119290</v>
    <v>60500294</v>
    <v>59687045</v>
    <v>45434089</v>
    <v>33333488</v>
    <v>52615940</v>
    <v>80484450</v>
    <v>56738066</v>
    <v>38774271</v>
    <v>62175340</v>
    <v>61114555</v>
    <v>57746066</v>
    <v>82725727</v>
    <v>54122013</v>
    <v>32167887</v>
    <v>27378990</v>
    <v>21021011</v>
    <v>45246874</v>
    <v>29437431</v>
    <v>37256118</v>
    <v>55132660</v>
    <v>68835027</v>
    <v>75695904</v>
    <v>30501344</v>
    <v>58714864</v>
    <v>135109033</v>
    <v>48816112</v>
    <v>56116251</v>
    <v>30729265</v>
    <v>41580957</v>
    <v>63303904</v>
    <v>53693111</v>
    <v>42853981</v>
    <v>35553564</v>
    <v>48061421</v>
    <v>44363190</v>
    <v>45411189</v>
    <v>69266492</v>
    <v>99160594</v>
    <v>83959111</v>
    <v>94184268</v>
    <v>57781092</v>
    <v>58918883</v>
    <v>45585407</v>
    <v>65633896</v>
    <v>52413910</v>
    <v>49191508</v>
    <v>71918542</v>
    <v>47172854</v>
    <v>59321400</v>
    <v>80135500</v>
    <v>90657897</v>
    <v>53235905</v>
    <v>43808324</v>
    <v>40014167</v>
    <v>44845628</v>
    <v>28823411</v>
    <v>29857160</v>
    <v>32686814</v>
    <v>30710587</v>
    <v>42858679</v>
    <v>33059286</v>
    <v>26104260</v>
    <v>36811697</v>
    <v>53989842</v>
    <v>40489623</v>
    <v>27477550</v>
    <v>30879720</v>
    <v>30886755</v>
    <v>24338679</v>
    <v>19407548</v>
    <v>29248578</v>
    <v>29020035</v>
    <v>29801740</v>
    <v>22981581</v>
    <v>16161651</v>
    <v>26898238</v>
    <v>75055819</v>
    <v>60504211</v>
    <v>30915130</v>
    <v>35448932</v>
    <v>36000377</v>
    <v>29301872</v>
    <v>23810106</v>
    <v>22476754</v>
    <v>39552992</v>
    <v>50465997</v>
    <v>56914199</v>
    <v>42444267</v>
    <v>39689885</v>
    <v>93596597</v>
    <v>41312844</v>
    <v>30634490</v>
    <v>23482750</v>
    <v>31831334</v>
    <v>33115251</v>
    <v>19719717</v>
    <v>23995454</v>
    <v>30419397</v>
    <v>46064645</v>
    <v>16420269</v>
    <v>16072234</v>
    <v>26904424</v>
    <v>29641577</v>
    <v>70288595</v>
    <v>31971312</v>
    <v>28572831</v>
    <v>22891927</v>
    <v>18061664</v>
    <v>44463184</v>
    <v>37706424</v>
    <v>42497802</v>
    <v>54601703</v>
    <v>49039023</v>
    <v>33906523</v>
    <v>29644177</v>
    <v>65233416</v>
    <v>77808398</v>
    <v>42271115</v>
    <v>31375058</v>
    <v>33246384</v>
    <v>32701565</v>
    <v>29104622</v>
    <v>21968956</v>
    <v>30988951</v>
    <v>26605892</v>
    <v>27693791</v>
    <v>25068522</v>
    <v>46440832</v>
    <v>90547441</v>
    <v>43429880</v>
    <v>32867979</v>
    <v>25336754</v>
    <v>23369347</v>
    <v>18043311</v>
    <v>43727944</v>
    <v>37465840</v>
    <v>23455864</v>
    <v>28932568</v>
    <v>19985570</v>
    <v>27041927</v>
    <v>26047330</v>
    <v>31453040</v>
    <v>45691143</v>
    <v>34718987</v>
    <v>22507895</v>
    <v>32191259</v>
    <v>17691594</v>
    <v>15280805</v>
    <v>17815913</v>
    <v>18791926</v>
    <v>20297971</v>
    <v>9303882</v>
    <v>14089961</v>
    <v>19455903</v>
    <v>24908389</v>
    <v>64344719</v>
    <v>31195695</v>
    <v>18028076</v>
    <v>15414199</v>
    <v>9994748</v>
    <v>18468617</v>
    <v>21551614</v>
    <v>19919496</v>
    <v>18024749</v>
    <v>21440820</v>
    <v>13189926</v>
    <v>16185291</v>
    <v>15739196</v>
    <v>54819530</v>
    <v>20884183</v>
    <v>18487247</v>
    <v>19240454</v>
    <v>15449818</v>
    <v>13742427</v>
    <v>11799466</v>
    <v>15727895</v>
    <v>19330486</v>
    <v>23691624</v>
    <v>12694037</v>
    <v>11543768</v>
    <v>18347840</v>
    <v>30871536</v>
    <v>11677162</v>
    <v>11191918</v>
    <v>8866136</v>
    <v>18198746</v>
    <v>11625250</v>
    <v>19361726</v>
    <v>18160460</v>
    <v>15252617</v>
    <v>14657363</v>
    <v>23863702</v>
    <v>25939638</v>
    <v>15303866</v>
    <v>37547301</v>
    <v>15699968</v>
    <v>19482871</v>
    <v>14775659</v>
    <v>12312248</v>
    <v>9826030</v>
    <v>20195715</v>
    <v>13546265</v>
    <v>15945570</v>
    <v>9634685</v>
    <v>8854873</v>
    <v>20705360</v>
    <v>23687525</v>
    <v>80761185</v>
    <v>96507931</v>
    <v>74656569</v>
    <v>38801483</v>
    <v>29346336</v>
    <v>23222165</v>
    <v>25088310</v>
    <v>28284916</v>
    <v>32494099</v>
    <v>20302593</v>
    <v>23006416</v>
    <v>24572720</v>
    <v>15176144</v>
    <v>250416136</v>
    <v>108523579</v>
    <v>69806615</v>
    <v>71379202</v>
    <v>56565237</v>
    <v>42466411</v>
    <v>36629507</v>
    <v>37478902</v>
    <v>54508449</v>
    <v>46150407</v>
    <v>34428916</v>
    <v>25262633</v>
    <v>50986705</v>
    <v>139657396</v>
    <v>48989839</v>
    <v>30969546</v>
    <v>41311956</v>
    <v>30076515</v>
    <v>28450070</v>
    <v>36923537</v>
    <v>29057841</v>
    <v>60646192</v>
    <v>64341766</v>
    <v>64419728</v>
    <v>52403998</v>
    <v>71024611</v>
    <v>135615969</v>
    <v>68749521</v>
    <v>42971221</v>
    <v>42118010</v>
    <v>58877214</v>
    <v>22656567</v>
    <v>53919511</v>
    <v>45009416</v>
    <v>60252934</v>
    <v>31565254</v>
    <v>28897886</v>
    <v>33397247</v>
    <v>48561657</v>
    <v>62291311</v>
    <v>50170680</v>
    <v>36052487</v>
    <v>31729685</v>
    <v>26239601</v>
    <v>30325906</v>
    <v>25604338</v>
    <v>26895964</v>
    <v>36295565</v>
    <v>44465176</v>
    <v>34144116</v>
    <v>16577809</v>
    <v>23425061</v>
    <v>62504610</v>
    <v>25483649</v>
    <v>22594447</v>
    <v>29439233</v>
    <v>39731578</v>
    <v>35869355</v>
    <v>30915563</v>
    <v>42535251</v>
    <v>38054991</v>
    <v>23079600</v>
    <v>30548134</v>
    <v>19718657</v>
    <v>27911288</v>
    <v>82424238</v>
    <v>32174058</v>
    <v>28936064</v>
    <v>21790658</v>
    <v>21644647</v>
    <v>26718316</v>
    <v>19637029</v>
    <v>15645168</v>
    <v>37706606</v>
    <v>21907563</v>
    <v>20265395</v>
    <v>26096784</v>
    <v>33432542</v>
    <v>63324340</v>
    <v>31996180</v>
    <v>22143913</v>
    <v>15829935</v>
    <v>18448498</v>
    <v>10867441</v>
    <v>18000448</v>
    <v>19682248</v>
    <v>27069943</v>
    <v>20282261</v>
    <v>9046894</v>
    <v>14760880</v>
    <v>24541963</v>
    <v>19300317</v>
    <v>69373616</v>
    <v>25151632</v>
    <v>17588156</v>
    <v>22300793</v>
    <v>11500828</v>
    <v>17330696</v>
    <v>14859509</v>
    <v>17306746</v>
    <v>12769725</v>
    <v>10944787</v>
    <v>13519564</v>
    <v>12720545</v>
    <v>34834844</v>
    <v>27068177</v>
    <v>15719359</v>
    <v>15113294</v>
    <v>17388220</v>
    <v>13883381</v>
    <v>12769763</v>
    <v>12357566</v>
    <v>12639260</v>
    <v>13717134</v>
    <v>15558158</v>
    <v>8686862</v>
    <v>15649313</v>
    <v>27303140</v>
    <v>20246017</v>
    <v>16275599</v>
    <v>16815461</v>
    <v>15706814</v>
    <v>15148527</v>
    <v>12403312</v>
    <v>9747638</v>
    <v>12019136</v>
    <v>15353328</v>
    <v>14278425</v>
    <v>10769745</v>
    <v>13596379</v>
    <v>33124890</v>
    <v>18255787</v>
    <v>14299378</v>
    <v>12999356</v>
    <v>14692937</v>
    <v>19717434</v>
    <v>13757921</v>
    <v>13270919</v>
    <v>14212374</v>
    <v>15418573</v>
    <v>10228244</v>
    <v>9364571</v>
    <v>13258740</v>
    <v>16889652</v>
    <v>36427090</v>
    <v>18485447</v>
    <v>20069213</v>
    <v>16638827</v>
    <v>13679928</v>
    <v>21045711</v>
    <v>27698243</v>
    <v>31462462</v>
    <v>30586641</v>
    <v>19464777</v>
    <v>24074345</v>
    <v>28983572</v>
    <v>26707725</v>
    <v>35948400</v>
    <v>191488720</v>
  </a>
</arrayData>
</file>

<file path=xl/richData/rdrichvalue.xml><?xml version="1.0" encoding="utf-8"?>
<rvData xmlns="http://schemas.microsoft.com/office/spreadsheetml/2017/richdata" count="17312">
  <rv s="0">
    <v>https://www.bing.com/financeapi/forcetrigger?t=a1mou2&amp;q=XNAS%3aAAPL&amp;form=skydnc</v>
    <v>Learn more on Bing</v>
  </rv>
  <rv s="1">
    <v>en-US</v>
    <v>a1mou2</v>
    <v>268435456</v>
    <v>1</v>
    <v>Powered by Refinitiv</v>
    <v>0</v>
    <v>APPLE INC. (XNAS:AAPL)</v>
    <v>2</v>
    <v>3</v>
    <v>Finance</v>
    <v>4</v>
    <v>288.62</v>
    <v>169.21010000000001</v>
    <v>1.1172</v>
    <v>0.95</v>
    <v>1.457E-3</v>
    <v>3.656E-3</v>
    <v>0.38</v>
    <v>USD</v>
    <v>Apple Inc. designs, manufactures and markets smartphones, personal computers, tablets, wearables and accessories, and sells a variety of related services. Its product categories include iPhone, Mac, iPad, and Wearables, Home and Accessories. Its software platforms include iOS, iPadOS, macOS, watchOS, visionOS, and tvOS. Its services include advertising, AppleCare, cloud services, digital content and payment services. The Company operates various platforms, including the App Store, that allow customers to discover and download applications and digital content, such as books, music, video, games and podcasts. It also offers digital content through subscription-based services, including Apple Arcade, Apple Fitness+, Apple Music, Apple News+, and Apple TV+. Its products include iPhone 16 Pro, iPhone 16, iPhone 15, iPhone 14, iPhone SE, MacBook Air, MacBook Pro, iMac, Mac mini, Mac Studio, Mac Pro, iPad Pro, iPad Air, AirPods, AirPods Pro, AirPods Max, Apple TV, Apple Vision Pro and others.</v>
    <v>166000</v>
    <v>Nasdaq Stock Market</v>
    <v>XNAS</v>
    <v>XNAS</v>
    <v>One Apple Park Way, CUPERTINO, CA, 95014 US</v>
    <v>262.48</v>
    <v>Computers, Phones &amp; Household Electronics</v>
    <v>Stock</v>
    <v>46091.838335219531</v>
    <v>0</v>
    <v>256.95</v>
    <v>3834905241000</v>
    <v>APPLE INC.</v>
    <v>APPLE INC.</v>
    <v>257.57</v>
    <v>33.137700000000002</v>
    <v>259.88</v>
    <v>260.83</v>
    <v>261.20999999999998</v>
    <v>14702700000</v>
    <v>AAPL</v>
    <v>APPLE INC. (XNAS:AAPL)</v>
    <v>28544718</v>
    <v>49524731</v>
    <v>1977</v>
  </rv>
  <rv s="2">
    <v>1</v>
  </rv>
  <rv s="0">
    <v>http://en.wikipedia.org/wiki/Public_domain</v>
    <v>Public domain</v>
  </rv>
  <rv s="0">
    <v>http://en.wikipedia.org/wiki/Hewlett-Packard</v>
    <v>Wikipedia</v>
  </rv>
  <rv s="3">
    <v>3</v>
    <v>4</v>
  </rv>
  <rv s="4">
    <v>9</v>
    <v>https://www.bing.com/th?id=AMMS_98757b1e7b158827481b7c629463c21b&amp;qlt=95</v>
    <v>5</v>
    <v>0</v>
    <v>https://www.bing.com/images/search?form=xlimg&amp;q=hp+company</v>
    <v>Image of HP INC.</v>
  </rv>
  <rv s="0">
    <v>https://www.bing.com/financeapi/forcetrigger?t=a1uu5r&amp;q=XNYS%3aHPQ&amp;form=skydnc</v>
    <v>Learn more on Bing</v>
  </rv>
  <rv s="5">
    <v>en-US</v>
    <v>a1uu5r</v>
    <v>268435456</v>
    <v>1</v>
    <v>Powered by Refinitiv</v>
    <v>5</v>
    <v>HP INC. (XNYS:HPQ)</v>
    <v>7</v>
    <v>8</v>
    <v>Finance</v>
    <v>4</v>
    <v>30.5</v>
    <v>17.559999999999999</v>
    <v>1.1721999999999999</v>
    <v>-0.13</v>
    <v>-2.6590000000000001E-4</v>
    <v>-6.8669999999999998E-3</v>
    <v>-5.0000000000000001E-3</v>
    <v>USD</v>
    <v>HP Inc. is a global provider of sustainable devices, services and subscriptions for personal computing (PC), printing, three-dimensional (3D) printing, hybrid work, gaming and other related technologies. The Company’s segments include Personal Systems, Printing and Corporate Investments. Its Personal Systems segment offers desktops, notebooks, and workstations, thin clients, retail point-of-sale (POS) systems, displays, hybrid systems, software, solutions including endpoint security and services. Its Printing segment provides consumer and commercial printer hardware, supplies, services and solutions. Printing is also focused on graphics and 3D printing and personalization in the commercial and industrial markets. Its Corporate Investments segment includes certain business incubation and investment projects. Its security solutions provide layered resiliency using features such as containment and isolation technology as well as artificial intelligence (AI) deep learning.</v>
    <v>55000</v>
    <v>New York Stock Exchange</v>
    <v>XNYS</v>
    <v>XNYS</v>
    <v>1501 Page Mill Road, PALO ALTO, CA, 94304 US</v>
    <v>19.18</v>
    <v>6</v>
    <v>Computers, Phones &amp; Household Electronics</v>
    <v>Stock</v>
    <v>46091.837961296093</v>
    <v>7</v>
    <v>18.47</v>
    <v>17193543760</v>
    <v>HP INC.</v>
    <v>HP INC.</v>
    <v>18.920000000000002</v>
    <v>7.0978000000000003</v>
    <v>18.93</v>
    <v>18.8</v>
    <v>18.8</v>
    <v>914550200</v>
    <v>HPQ</v>
    <v>HP INC. (XNYS:HPQ)</v>
    <v>18300737</v>
    <v>21484357</v>
    <v>1998</v>
  </rv>
  <rv s="2">
    <v>8</v>
  </rv>
  <rv s="0">
    <v>https://www.bing.com/financeapi/forcetrigger?t=a1yv52&amp;q=XNAS%3aNVDA&amp;form=skydnc</v>
    <v>Learn more on Bing</v>
  </rv>
  <rv s="1">
    <v>en-US</v>
    <v>a1yv52</v>
    <v>268435456</v>
    <v>1</v>
    <v>Powered by Refinitiv</v>
    <v>0</v>
    <v>NVIDIA CORPORATION (XNAS:NVDA)</v>
    <v>2</v>
    <v>3</v>
    <v>Finance</v>
    <v>4</v>
    <v>212.18989999999999</v>
    <v>86.62</v>
    <v>2.3681999999999999</v>
    <v>2.12</v>
    <v>1.2989999999999998E-3</v>
    <v>1.1607000000000001E-2</v>
    <v>0.24</v>
    <v>USD</v>
    <v>NVIDIA Corporation is a full-stack computing infrastructure company. The Company is engaged in accelerated computing to help solve the challenging computational problems. The Company’s segments include Compute &amp; Networking and Graphics. The Compute &amp; Networking segment includes its Data Center accelerated computing platforms and artificial intelligence (AI) solutions and software; networking; automotive platforms and autonomous and electric vehicle solutions; Jetson for robotics and other embedded platforms, and DGX Cloud computing services. The Graphics segment includes GeForce GPUs for gaming and PCs, the GeForce NOW game streaming service and related infrastructure, and solutions for gaming platforms; Quadro/NVIDIA RTX GPUs for enterprise workstation graphics; virtual GPU software for cloud-based visual and virtual computing; automotive platforms for infotainment systems, and Omniverse Enterprise software for building and operating industrial AI and digital twin applications.</v>
    <v>42000</v>
    <v>Nasdaq Stock Market</v>
    <v>XNAS</v>
    <v>XNAS</v>
    <v>2788 San Tomas Expressway, SANTA CLARA, CA, 95051 US</v>
    <v>186.44</v>
    <v>Semiconductors &amp; Semiconductor Equipment</v>
    <v>Stock</v>
    <v>46091.838782870313</v>
    <v>10</v>
    <v>182.01009999999999</v>
    <v>4489911000000</v>
    <v>NVIDIA CORPORATION</v>
    <v>NVIDIA CORPORATION</v>
    <v>182.42</v>
    <v>37.694299999999998</v>
    <v>182.65</v>
    <v>184.77</v>
    <v>185.01</v>
    <v>24300000000</v>
    <v>NVDA</v>
    <v>NVIDIA CORPORATION (XNAS:NVDA)</v>
    <v>177545459</v>
    <v>195015451</v>
    <v>1998</v>
  </rv>
  <rv s="2">
    <v>11</v>
  </rv>
  <rv s="0">
    <v>https://www.bing.com/financeapi/forcetrigger?t=a24kar&amp;q=XNAS%3aTSLA&amp;form=skydnc</v>
    <v>Learn more on Bing</v>
  </rv>
  <rv s="1">
    <v>en-US</v>
    <v>a24kar</v>
    <v>268435456</v>
    <v>1</v>
    <v>Powered by Refinitiv</v>
    <v>0</v>
    <v>TESLA, INC. (XNAS:TSLA)</v>
    <v>2</v>
    <v>3</v>
    <v>Finance</v>
    <v>4</v>
    <v>498.83</v>
    <v>214.25</v>
    <v>1.9229000000000001</v>
    <v>0.55500000000000005</v>
    <v>9.142E-4</v>
    <v>1.392E-3</v>
    <v>0.36499999999999999</v>
    <v>USD</v>
    <v>Tesla, Inc. designs, develops, manufactures, sells and leases high-performance fully electric vehicles and energy generation and storage systems, and offers services related to its products. Its segments include automotive, and energy generation and storage. The automotive segment includes the design, development, manufacturing, sales and leasing of high-performance fully electric vehicles, and sales of automotive regulatory credits. It also includes sales of used vehicles, non-warranty maintenance services and collisions, part sales, paid supercharging, insurance services revenue and retail merchandise sales. The energy generation and storage segment include the design, manufacture, installation, sales and leasing of solar energy generation and energy storage products and related services and sales of solar energy systems incentives. Its consumer vehicles include the Model 3, Y, S, X and Cybertruck. Its lithium-ion battery energy storage products include Powerwall and Megapack.</v>
    <v>134785</v>
    <v>Nasdaq Stock Market</v>
    <v>XNAS</v>
    <v>XNAS</v>
    <v>1 Tesla Road, AUSTIN, TX, 78725 US</v>
    <v>406.58</v>
    <v>Automobiles &amp; Auto Parts</v>
    <v>Stock</v>
    <v>46091.838773483592</v>
    <v>13</v>
    <v>398.19</v>
    <v>1498102189520</v>
    <v>TESLA, INC.</v>
    <v>TESLA, INC.</v>
    <v>401.99</v>
    <v>371.24329999999998</v>
    <v>398.68</v>
    <v>399.23500000000001</v>
    <v>399.6</v>
    <v>3752432000</v>
    <v>TSLA</v>
    <v>TESLA, INC. (XNAS:TSLA)</v>
    <v>58631119</v>
    <v>59699929</v>
    <v>2024</v>
  </rv>
  <rv s="2">
    <v>14</v>
  </rv>
  <rv s="0">
    <v>https://www.bing.com/financeapi/forcetrigger?t=a1y1qh&amp;q=XNAS%3aMSTR&amp;form=skydnc</v>
    <v>Learn more on Bing</v>
  </rv>
  <rv s="1">
    <v>en-US</v>
    <v>a1y1qh</v>
    <v>268435456</v>
    <v>1</v>
    <v>Powered by Refinitiv</v>
    <v>0</v>
    <v>STRATEGY INC (XNAS:MSTR)</v>
    <v>2</v>
    <v>3</v>
    <v>Finance</v>
    <v>4</v>
    <v>457.22</v>
    <v>104.16500000000001</v>
    <v>3.6107999999999998</v>
    <v>-0.49</v>
    <v>1.7330000000000002E-3</v>
    <v>-3.5260000000000001E-3</v>
    <v>0.24</v>
    <v>USD</v>
    <v>Strategy Inc., formerly MicroStrategy Incorporated, is a bitcoin treasury and business intelligence company. The Company provides cloud-native, artificial intelligence (AI)-powered enterprise analytics software to thousands of global customers. The Company’s Strategy ONE platform provides access to AI-powered workflows, unlimited data sources, cloud-native technologies, and performance to speed up time from data to action. Strategy One delivers visualization, reporting, and embedded analytics capabilities across retail, banking, technology, manufacturing, insurance, consulting, healthcare, telecommunications, and the public sector. Its Strategy Mosaic is a universal intelligence layer that provides enterprises with consistent definitions and governance across data sources, regardless of where that data resides or which tools access it. The Strategy Mosaic offers data clarity and connection by eliminating trade-offs between flexibility, control, and speed.</v>
    <v>1539</v>
    <v>Nasdaq Stock Market</v>
    <v>XNAS</v>
    <v>XNAS</v>
    <v>1850 TOWERS CRESCENT PLAZA, TYSONS CORNER, VA, 22182 US</v>
    <v>142.44999999999999</v>
    <v>Software &amp; IT Services</v>
    <v>Stock</v>
    <v>46091.838330867969</v>
    <v>16</v>
    <v>135</v>
    <v>44372553120</v>
    <v>STRATEGY INC</v>
    <v>STRATEGY INC</v>
    <v>141.87</v>
    <v>0</v>
    <v>138.94999999999999</v>
    <v>138.46</v>
    <v>138.69999999999999</v>
    <v>320472000</v>
    <v>MSTR</v>
    <v>STRATEGY INC (XNAS:MSTR)</v>
    <v>18159623</v>
    <v>25158352</v>
    <v>1989</v>
  </rv>
  <rv s="2">
    <v>17</v>
  </rv>
  <rv s="0">
    <v>https://www.bing.com/financeapi/forcetrigger?t=a1nhlh&amp;q=XNAS%3aAMZN&amp;form=skydnc</v>
    <v>Learn more on Bing</v>
  </rv>
  <rv s="1">
    <v>en-US</v>
    <v>a1nhlh</v>
    <v>268435456</v>
    <v>1</v>
    <v>Powered by Refinitiv</v>
    <v>0</v>
    <v>AMAZON.COM, INC. (XNAS:AMZN)</v>
    <v>2</v>
    <v>3</v>
    <v>Finance</v>
    <v>4</v>
    <v>258.60000000000002</v>
    <v>161.38</v>
    <v>1.4121999999999999</v>
    <v>0.84</v>
    <v>6.9989999999999994E-4</v>
    <v>3.9350000000000001E-3</v>
    <v>0.15</v>
    <v>USD</v>
    <v>Amazon.com, Inc. provides a range of products and services to customers. The products offered through its stores include merchandise and content it has purchased for resale and products offered by third-party sellers. The Company’s segments include North America, International and Amazon Web Services (AWS). It serves consumers through its online and physical stores and focuses on selection, price, and convenience. Customers access its offerings through its websites, mobile apps, Alexa, devices, streaming, and physically visiting its stores. It also manufactures and sells electronic devices, including Kindle, Fire tablet, Fire TV, Echo, Ring, Blink, and eero, and develops and produces media content. It serves developers and enterprises of all sizes, including start-ups, government agencies, and academic institutions, through AWS, which offers a set of on-demand technology services, including compute, storage, database, analytics, and machine learning, and other services.</v>
    <v>1576000</v>
    <v>Nasdaq Stock Market</v>
    <v>XNAS</v>
    <v>XNAS</v>
    <v>410 Terry Avenue North, SEATTLE, WA, 98109 US</v>
    <v>215.65</v>
    <v>Diversified Retail</v>
    <v>Stock</v>
    <v>46091.83877798594</v>
    <v>19</v>
    <v>212.43</v>
    <v>2300815403600</v>
    <v>AMAZON.COM, INC.</v>
    <v>AMAZON.COM, INC.</v>
    <v>213.91</v>
    <v>29.883400000000002</v>
    <v>213.49</v>
    <v>214.33</v>
    <v>214.48</v>
    <v>10734920000</v>
    <v>AMZN</v>
    <v>AMAZON.COM, INC. (XNAS:AMZN)</v>
    <v>35435341</v>
    <v>62957111</v>
    <v>1996</v>
  </rv>
  <rv s="2">
    <v>20</v>
  </rv>
  <rv s="0">
    <v>https://www.bing.com/financeapi/forcetrigger?t=a1ygoc&amp;q=XNAS%3aNFLX&amp;form=skydnc</v>
    <v>Learn more on Bing</v>
  </rv>
  <rv s="1">
    <v>en-US</v>
    <v>a1ygoc</v>
    <v>268435456</v>
    <v>1</v>
    <v>Powered by Refinitiv</v>
    <v>0</v>
    <v>NETFLIX, INC. (XNAS:NFLX)</v>
    <v>2</v>
    <v>3</v>
    <v>Finance</v>
    <v>4</v>
    <v>134.11500000000001</v>
    <v>75.010000000000005</v>
    <v>1.7055</v>
    <v>-1.38</v>
    <v>-3.8580000000000005E-4</v>
    <v>-1.4036E-2</v>
    <v>-3.7400000000000003E-2</v>
    <v>USD</v>
    <v>Netflix, Inc. is a provider of entertainment services. The Company acquires, licenses and produces content, including original programming. It provides paid memberships in over 190 countries offering television (TV) series, films and games across a variety of genres and languages. It allows members to play, pause and resume watching as much as they want, anytime, anywhere, and can change their plans at any time. The Company offers members the ability to receive streaming content through a host of Internet-connected devices, including TVs, digital video players, TV set-top boxes and mobile devices. It is engaged in scaling its streaming service, such as introducing games and advertising on its service, as well as offering live programming. It is developing technology and utilizing third-party cloud computing, technology and other services. The Company is also engaged in scaling its own studio operations to produce original content.</v>
    <v>16000</v>
    <v>Nasdaq Stock Market</v>
    <v>XNAS</v>
    <v>XNAS</v>
    <v>121 Albright Way, LOS GATOS, CA, 95032 US</v>
    <v>98.49</v>
    <v>Software &amp; IT Services</v>
    <v>Stock</v>
    <v>46091.838789432812</v>
    <v>22</v>
    <v>96.29</v>
    <v>409296384280</v>
    <v>NETFLIX, INC.</v>
    <v>NETFLIX, INC.</v>
    <v>97.77</v>
    <v>38.358699999999999</v>
    <v>98.32</v>
    <v>96.94</v>
    <v>96.902600000000007</v>
    <v>4222162000</v>
    <v>NFLX</v>
    <v>NETFLIX, INC. (XNAS:NFLX)</v>
    <v>40877954</v>
    <v>54960988</v>
    <v>1997</v>
  </rv>
  <rv s="2">
    <v>23</v>
  </rv>
  <rv s="6">
    <fb>42121</fb>
    <v>10</v>
  </rv>
  <rv s="6">
    <fb>32.237499999999997</fb>
    <v>11</v>
  </rv>
  <rv s="6">
    <fb>33.077500000000001</fb>
    <v>11</v>
  </rv>
  <rv s="6">
    <fb>33.634999999999998</fb>
    <v>11</v>
  </rv>
  <rv s="6">
    <fb>31.145</fb>
    <v>11</v>
  </rv>
  <rv s="6">
    <fb>420972321</fb>
    <v>12</v>
  </rv>
  <rv s="6">
    <fb>42128</fb>
    <v>10</v>
  </rv>
  <rv s="6">
    <fb>31.905000000000001</fb>
    <v>11</v>
  </rv>
  <rv s="6">
    <fb>32.375</fb>
    <v>11</v>
  </rv>
  <rv s="6">
    <fb>32.642499999999998</fb>
    <v>11</v>
  </rv>
  <rv s="6">
    <fb>30.84</fb>
    <v>11</v>
  </rv>
  <rv s="6">
    <fb>271891981</fb>
    <v>12</v>
  </rv>
  <rv s="6">
    <fb>42135</fb>
    <v>10</v>
  </rv>
  <rv s="6">
    <fb>32.192500000000003</fb>
    <v>11</v>
  </rv>
  <rv s="6">
    <fb>31.8475</fb>
    <v>11</v>
  </rv>
  <rv s="6">
    <fb>32.372500000000002</fb>
    <v>11</v>
  </rv>
  <rv s="6">
    <fb>31.204999999999998</fb>
    <v>11</v>
  </rv>
  <rv s="6">
    <fb>208301514</fb>
    <v>12</v>
  </rv>
  <rv s="6">
    <fb>42142</fb>
    <v>10</v>
  </rv>
  <rv s="6">
    <fb>33.134999999999998</fb>
    <v>11</v>
  </rv>
  <rv s="6">
    <fb>32.094999999999999</fb>
    <v>11</v>
  </rv>
  <rv s="6">
    <fb>33.2425</fb>
    <v>11</v>
  </rv>
  <rv s="6">
    <fb>32.090000000000003</fb>
    <v>11</v>
  </rv>
  <rv s="6">
    <fb>217297426</fb>
    <v>12</v>
  </rv>
  <rv s="6">
    <fb>42150</fb>
    <v>10</v>
  </rv>
  <rv s="6">
    <fb>32.57</fb>
    <v>11</v>
  </rv>
  <rv s="6">
    <fb>33.15</fb>
    <v>11</v>
  </rv>
  <rv s="6">
    <fb>33.227499999999999</fb>
    <v>11</v>
  </rv>
  <rv s="6">
    <fb>32.28</fb>
    <v>11</v>
  </rv>
  <rv s="6">
    <fb>198148567</fb>
    <v>12</v>
  </rv>
  <rv s="6">
    <fb>42156</fb>
    <v>10</v>
  </rv>
  <rv s="6">
    <fb>32.162500000000001</fb>
    <v>11</v>
  </rv>
  <rv s="6">
    <fb>32.799999999999997</fb>
    <v>11</v>
  </rv>
  <rv s="6">
    <fb>32.847499999999997</fb>
    <v>11</v>
  </rv>
  <rv s="6">
    <fb>170840884</fb>
    <v>12</v>
  </rv>
  <rv s="6">
    <fb>42163</fb>
    <v>10</v>
  </rv>
  <rv s="6">
    <fb>31.7925</fb>
    <v>11</v>
  </rv>
  <rv s="6">
    <fb>32.225000000000001</fb>
    <v>11</v>
  </rv>
  <rv s="6">
    <fb>32.545000000000002</fb>
    <v>11</v>
  </rv>
  <rv s="6">
    <fb>31.405000000000001</fb>
    <v>11</v>
  </rv>
  <rv s="6">
    <fb>220114589</fb>
    <v>12</v>
  </rv>
  <rv s="6">
    <fb>42170</fb>
    <v>10</v>
  </rv>
  <rv s="6">
    <fb>31.65</fb>
    <v>11</v>
  </rv>
  <rv s="6">
    <fb>31.524999999999999</fb>
    <v>11</v>
  </rv>
  <rv s="6">
    <fb>32.077500000000001</fb>
    <v>11</v>
  </rv>
  <rv s="6">
    <fb>31.427499999999998</fb>
    <v>11</v>
  </rv>
  <rv s="6">
    <fb>198525255</fb>
    <v>12</v>
  </rv>
  <rv s="6">
    <fb>42177</fb>
    <v>10</v>
  </rv>
  <rv s="6">
    <fb>31.6875</fb>
    <v>11</v>
  </rv>
  <rv s="6">
    <fb>31.872499999999999</fb>
    <v>11</v>
  </rv>
  <rv s="6">
    <fb>32.450000000000003</fb>
    <v>11</v>
  </rv>
  <rv s="6">
    <fb>31.627500000000001</fb>
    <v>11</v>
  </rv>
  <rv s="6">
    <fb>195594004</fb>
    <v>12</v>
  </rv>
  <rv s="6">
    <fb>42184</fb>
    <v>10</v>
  </rv>
  <rv s="6">
    <fb>31.61</fb>
    <v>11</v>
  </rv>
  <rv s="6">
    <fb>31.364999999999998</fb>
    <v>11</v>
  </rv>
  <rv s="6">
    <fb>31.734999999999999</fb>
    <v>11</v>
  </rv>
  <rv s="6">
    <fb>31.12</fb>
    <v>11</v>
  </rv>
  <rv s="6">
    <fb>150981872</fb>
    <v>12</v>
  </rv>
  <rv s="6">
    <fb>42191</fb>
    <v>10</v>
  </rv>
  <rv s="6">
    <fb>30.82</fb>
    <v>11</v>
  </rv>
  <rv s="6">
    <fb>31.234999999999999</fb>
    <v>11</v>
  </rv>
  <rv s="6">
    <fb>31.557500000000001</fb>
    <v>11</v>
  </rv>
  <rv s="6">
    <fb>29.805</fb>
    <v>11</v>
  </rv>
  <rv s="6">
    <fb>275718368</fb>
    <v>12</v>
  </rv>
  <rv s="6">
    <fb>42198</fb>
    <v>10</v>
  </rv>
  <rv s="6">
    <fb>32.405000000000001</fb>
    <v>11</v>
  </rv>
  <rv s="6">
    <fb>31.2575</fb>
    <v>11</v>
  </rv>
  <rv s="6">
    <fb>31.08</fb>
    <v>11</v>
  </rv>
  <rv s="6">
    <fb>189245034</fb>
    <v>12</v>
  </rv>
  <rv s="6">
    <fb>42205</fb>
    <v>10</v>
  </rv>
  <rv s="6">
    <fb>31.125</fb>
    <v>11</v>
  </rv>
  <rv s="6">
    <fb>32.7425</fb>
    <v>11</v>
  </rv>
  <rv s="6">
    <fb>30.497499999999999</fb>
    <v>11</v>
  </rv>
  <rv s="6">
    <fb>344269021</fb>
    <v>12</v>
  </rv>
  <rv s="6">
    <fb>42212</fb>
    <v>10</v>
  </rv>
  <rv s="6">
    <fb>30.324999999999999</fb>
    <v>11</v>
  </rv>
  <rv s="6">
    <fb>30.772500000000001</fb>
    <v>11</v>
  </rv>
  <rv s="6">
    <fb>30.977499999999999</fb>
    <v>11</v>
  </rv>
  <rv s="6">
    <fb>30.227499999999999</fb>
    <v>11</v>
  </rv>
  <rv s="6">
    <fb>191598511</fb>
    <v>12</v>
  </rv>
  <rv s="6">
    <fb>42219</fb>
    <v>10</v>
  </rv>
  <rv s="6">
    <fb>28.88</fb>
    <v>11</v>
  </rv>
  <rv s="6">
    <fb>30.375</fb>
    <v>11</v>
  </rv>
  <rv s="6">
    <fb>30.642499999999998</fb>
    <v>11</v>
  </rv>
  <rv s="6">
    <fb>28.024999999999999</fb>
    <v>11</v>
  </rv>
  <rv s="6">
    <fb>385000649</fb>
    <v>12</v>
  </rv>
  <rv s="6">
    <fb>42226</fb>
    <v>10</v>
  </rv>
  <rv s="6">
    <fb>28.99</fb>
    <v>11</v>
  </rv>
  <rv s="6">
    <fb>29.1325</fb>
    <v>11</v>
  </rv>
  <rv s="6">
    <fb>29.997499999999999</fb>
    <v>11</v>
  </rv>
  <rv s="6">
    <fb>27.407499999999999</fb>
    <v>11</v>
  </rv>
  <rv s="6">
    <fb>345185326</fb>
    <v>12</v>
  </rv>
  <rv s="6">
    <fb>42233</fb>
    <v>10</v>
  </rv>
  <rv s="6">
    <fb>26.44</fb>
    <v>11</v>
  </rv>
  <rv s="6">
    <fb>29.01</fb>
    <v>11</v>
  </rv>
  <rv s="6">
    <fb>29.412500000000001</fb>
    <v>11</v>
  </rv>
  <rv s="6">
    <fb>26.411300000000001</fb>
    <v>11</v>
  </rv>
  <rv s="6">
    <fb>320509056</fb>
    <v>12</v>
  </rv>
  <rv s="6">
    <fb>42240</fb>
    <v>10</v>
  </rv>
  <rv s="6">
    <fb>28.322500000000002</fb>
    <v>11</v>
  </rv>
  <rv s="6">
    <fb>23.717500000000001</fb>
    <v>11</v>
  </rv>
  <rv s="6">
    <fb>28.327500000000001</fb>
    <v>11</v>
  </rv>
  <rv s="6">
    <fb>23</fb>
    <v>11</v>
  </rv>
  <rv s="6">
    <fb>500362965</fb>
    <v>12</v>
  </rv>
  <rv s="6">
    <fb>42247</fb>
    <v>10</v>
  </rv>
  <rv s="6">
    <fb>27.317499999999999</fb>
    <v>11</v>
  </rv>
  <rv s="6">
    <fb>28.0075</fb>
    <v>11</v>
  </rv>
  <rv s="6">
    <fb>28.6325</fb>
    <v>11</v>
  </rv>
  <rv s="6">
    <fb>26.84</fb>
    <v>11</v>
  </rv>
  <rv s="6">
    <fb>298194194</fb>
    <v>12</v>
  </rv>
  <rv s="6">
    <fb>42255</fb>
    <v>10</v>
  </rv>
  <rv s="6">
    <fb>28.552499999999998</fb>
    <v>11</v>
  </rv>
  <rv s="6">
    <fb>27.912500000000001</fb>
    <v>11</v>
  </rv>
  <rv s="6">
    <fb>27.442499999999999</fb>
    <v>11</v>
  </rv>
  <rv s="6">
    <fb>252662734</fb>
    <v>12</v>
  </rv>
  <rv s="6">
    <fb>42261</fb>
    <v>10</v>
  </rv>
  <rv s="6">
    <fb>28.362500000000001</fb>
    <v>11</v>
  </rv>
  <rv s="6">
    <fb>29.145</fb>
    <v>11</v>
  </rv>
  <rv s="6">
    <fb>29.2225</fb>
    <v>11</v>
  </rv>
  <rv s="6">
    <fb>27.967500000000001</fb>
    <v>11</v>
  </rv>
  <rv s="6">
    <fb>277276007</fb>
    <v>12</v>
  </rv>
  <rv s="6">
    <fb>42268</fb>
    <v>10</v>
  </rv>
  <rv s="6">
    <fb>28.677499999999998</fb>
    <v>11</v>
  </rv>
  <rv s="6">
    <fb>28.4175</fb>
    <v>11</v>
  </rv>
  <rv s="6">
    <fb>29.172499999999999</fb>
    <v>11</v>
  </rv>
  <rv s="6">
    <fb>28.092500000000001</fb>
    <v>11</v>
  </rv>
  <rv s="6">
    <fb>242696241</fb>
    <v>12</v>
  </rv>
  <rv s="6">
    <fb>42275</fb>
    <v>10</v>
  </rv>
  <rv s="6">
    <fb>27.594999999999999</fb>
    <v>11</v>
  </rv>
  <rv s="6">
    <fb>28.462499999999999</fb>
    <v>11</v>
  </rv>
  <rv s="6">
    <fb>28.642499999999998</fb>
    <v>11</v>
  </rv>
  <rv s="6">
    <fb>26.827500000000001</fb>
    <v>11</v>
  </rv>
  <rv s="6">
    <fb>313896286</fb>
    <v>12</v>
  </rv>
  <rv s="6">
    <fb>42282</fb>
    <v>10</v>
  </rv>
  <rv s="6">
    <fb>28.03</fb>
    <v>11</v>
  </rv>
  <rv s="6">
    <fb>27.47</fb>
    <v>11</v>
  </rv>
  <rv s="6">
    <fb>28.07</fb>
    <v>11</v>
  </rv>
  <rv s="6">
    <fb>27.052499999999998</fb>
    <v>11</v>
  </rv>
  <rv s="6">
    <fb>262432987</fb>
    <v>12</v>
  </rv>
  <rv s="6">
    <fb>42289</fb>
    <v>10</v>
  </rv>
  <rv s="6">
    <fb>27.76</fb>
    <v>11</v>
  </rv>
  <rv s="6">
    <fb>28.182500000000001</fb>
    <v>11</v>
  </rv>
  <rv s="6">
    <fb>28.1875</fb>
    <v>11</v>
  </rv>
  <rv s="6">
    <fb>27.39</fb>
    <v>11</v>
  </rv>
  <rv s="6">
    <fb>184884970</fb>
    <v>12</v>
  </rv>
  <rv s="6">
    <fb>42296</fb>
    <v>10</v>
  </rv>
  <rv s="6">
    <fb>29.77</fb>
    <v>11</v>
  </rv>
  <rv s="6">
    <fb>27.7</fb>
    <v>11</v>
  </rv>
  <rv s="6">
    <fb>29.806999999999999</fb>
    <v>11</v>
  </rv>
  <rv s="6">
    <fb>27.5275</fb>
    <v>11</v>
  </rv>
  <rv s="6">
    <fb>222074893</fb>
    <v>12</v>
  </rv>
  <rv s="6">
    <fb>42303</fb>
    <v>10</v>
  </rv>
  <rv s="6">
    <fb>29.875</fb>
    <v>11</v>
  </rv>
  <rv s="6">
    <fb>29.52</fb>
    <v>11</v>
  </rv>
  <rv s="6">
    <fb>30.305</fb>
    <v>11</v>
  </rv>
  <rv s="6">
    <fb>28.497499999999999</fb>
    <v>11</v>
  </rv>
  <rv s="6">
    <fb>322362121</fb>
    <v>12</v>
  </rv>
  <rv s="6">
    <fb>42310</fb>
    <v>10</v>
  </rv>
  <rv s="6">
    <fb>30.265000000000001</fb>
    <v>11</v>
  </rv>
  <rv s="6">
    <fb>29.967500000000001</fb>
    <v>11</v>
  </rv>
  <rv s="6">
    <fb>30.954999999999998</fb>
    <v>11</v>
  </rv>
  <rv s="6">
    <fb>29.9025</fb>
    <v>11</v>
  </rv>
  <rv s="6">
    <fb>195203256</fb>
    <v>12</v>
  </rv>
  <rv s="6">
    <fb>42317</fb>
    <v>10</v>
  </rv>
  <rv s="6">
    <fb>28.085000000000001</fb>
    <v>11</v>
  </rv>
  <rv s="6">
    <fb>30.24</fb>
    <v>11</v>
  </rv>
  <rv s="6">
    <fb>30.452500000000001</fb>
    <v>11</v>
  </rv>
  <rv s="6">
    <fb>28.067499999999999</fb>
    <v>11</v>
  </rv>
  <rv s="6">
    <fb>216555289</fb>
    <v>12</v>
  </rv>
  <rv s="6">
    <fb>42324</fb>
    <v>10</v>
  </rv>
  <rv s="6">
    <fb>29.824999999999999</fb>
    <v>11</v>
  </rv>
  <rv s="6">
    <fb>27.844999999999999</fb>
    <v>11</v>
  </rv>
  <rv s="6">
    <fb>29.98</fb>
    <v>11</v>
  </rv>
  <rv s="6">
    <fb>27.75</fb>
    <v>11</v>
  </rv>
  <rv s="6">
    <fb>189981253</fb>
    <v>12</v>
  </rv>
  <rv s="6">
    <fb>42331</fb>
    <v>10</v>
  </rv>
  <rv s="6">
    <fb>29.452500000000001</fb>
    <v>11</v>
  </rv>
  <rv s="6">
    <fb>29.817499999999999</fb>
    <v>11</v>
  </rv>
  <rv s="6">
    <fb>29.932500000000001</fb>
    <v>11</v>
  </rv>
  <rv s="6">
    <fb>29.28</fb>
    <v>11</v>
  </rv>
  <rv s="6">
    <fb>109720453</fb>
    <v>12</v>
  </rv>
  <rv s="6">
    <fb>42338</fb>
    <v>10</v>
  </rv>
  <rv s="6">
    <fb>29.7575</fb>
    <v>11</v>
  </rv>
  <rv s="6">
    <fb>29.497499999999999</fb>
    <v>11</v>
  </rv>
  <rv s="6">
    <fb>29.852499999999999</fb>
    <v>11</v>
  </rv>
  <rv s="6">
    <fb>28.555</fb>
    <v>11</v>
  </rv>
  <rv s="6">
    <fb>206765745</fb>
    <v>12</v>
  </rv>
  <rv s="6">
    <fb>42345</fb>
    <v>10</v>
  </rv>
  <rv s="6">
    <fb>28.295000000000002</fb>
    <v>11</v>
  </rv>
  <rv s="6">
    <fb>29.745000000000001</fb>
    <v>11</v>
  </rv>
  <rv s="6">
    <fb>29.965</fb>
    <v>11</v>
  </rv>
  <rv s="6">
    <fb>28.212800000000001</fb>
    <v>11</v>
  </rv>
  <rv s="6">
    <fb>188853944</fb>
    <v>12</v>
  </rv>
  <rv s="6">
    <fb>42352</fb>
    <v>10</v>
  </rv>
  <rv s="6">
    <fb>26.5075</fb>
    <v>11</v>
  </rv>
  <rv s="6">
    <fb>28.045000000000002</fb>
    <v>11</v>
  </rv>
  <rv s="6">
    <fb>28.2</fb>
    <v>11</v>
  </rv>
  <rv s="6">
    <fb>26.452500000000001</fb>
    <v>11</v>
  </rv>
  <rv s="6">
    <fb>315791335</fb>
    <v>12</v>
  </rv>
  <rv s="6">
    <fb>42359</fb>
    <v>10</v>
  </rv>
  <rv s="6">
    <fb>27.0075</fb>
    <v>11</v>
  </rv>
  <rv s="6">
    <fb>26.82</fb>
    <v>11</v>
  </rv>
  <rv s="6">
    <fb>27.25</fb>
    <v>11</v>
  </rv>
  <rv s="6">
    <fb>26.392499999999998</fb>
    <v>11</v>
  </rv>
  <rv s="6">
    <fb>126634011</fb>
    <v>12</v>
  </rv>
  <rv s="6">
    <fb>42366</fb>
    <v>10</v>
  </rv>
  <rv s="6">
    <fb>26.315000000000001</fb>
    <v>11</v>
  </rv>
  <rv s="6">
    <fb>26.897500000000001</fb>
    <v>11</v>
  </rv>
  <rv s="6">
    <fb>27.357500000000002</fb>
    <v>11</v>
  </rv>
  <rv s="6">
    <fb>26.204999999999998</fb>
    <v>11</v>
  </rv>
  <rv s="6">
    <fb>123761546</fb>
    <v>12</v>
  </rv>
  <rv s="6">
    <fb>42373</fb>
    <v>10</v>
  </rv>
  <rv s="6">
    <fb>24.24</fb>
    <v>11</v>
  </rv>
  <rv s="6">
    <fb>25.6525</fb>
    <v>11</v>
  </rv>
  <rv s="6">
    <fb>26.462499999999999</fb>
    <v>11</v>
  </rv>
  <rv s="6">
    <fb>24.107500000000002</fb>
    <v>11</v>
  </rv>
  <rv s="6">
    <fb>343790211</fb>
    <v>12</v>
  </rv>
  <rv s="6">
    <fb>42380</fb>
    <v>10</v>
  </rv>
  <rv s="6">
    <fb>24.282499999999999</fb>
    <v>11</v>
  </rv>
  <rv s="6">
    <fb>24.7425</fb>
    <v>11</v>
  </rv>
  <rv s="6">
    <fb>25.297499999999999</fb>
    <v>11</v>
  </rv>
  <rv s="6">
    <fb>23.84</fb>
    <v>11</v>
  </rv>
  <rv s="6">
    <fb>304337253</fb>
    <v>12</v>
  </rv>
  <rv s="6">
    <fb>42388</fb>
    <v>10</v>
  </rv>
  <rv s="6">
    <fb>25.355</fb>
    <v>11</v>
  </rv>
  <rv s="6">
    <fb>24.602499999999999</fb>
    <v>11</v>
  </rv>
  <rv s="6">
    <fb>25.364999999999998</fb>
    <v>11</v>
  </rv>
  <rv s="6">
    <fb>23.355</fb>
    <v>11</v>
  </rv>
  <rv s="6">
    <fb>243384093</fb>
    <v>12</v>
  </rv>
  <rv s="6">
    <fb>42394</fb>
    <v>10</v>
  </rv>
  <rv s="6">
    <fb>24.335000000000001</fb>
    <v>11</v>
  </rv>
  <rv s="6">
    <fb>25.38</fb>
    <v>11</v>
  </rv>
  <rv s="6">
    <fb>25.3825</fb>
    <v>11</v>
  </rv>
  <rv s="6">
    <fb>23.0975</fb>
    <v>11</v>
  </rv>
  <rv s="6">
    <fb>380336530</fb>
    <v>12</v>
  </rv>
  <rv s="6">
    <fb>42401</fb>
    <v>10</v>
  </rv>
  <rv s="6">
    <fb>23.504999999999999</fb>
    <v>11</v>
  </rv>
  <rv s="6">
    <fb>24.1175</fb>
    <v>11</v>
  </rv>
  <rv s="6">
    <fb>24.3325</fb>
    <v>11</v>
  </rv>
  <rv s="6">
    <fb>23.422499999999999</fb>
    <v>11</v>
  </rv>
  <rv s="6">
    <fb>217154766</fb>
    <v>12</v>
  </rv>
  <rv s="6">
    <fb>42408</fb>
    <v>10</v>
  </rv>
  <rv s="6">
    <fb>23.497499999999999</fb>
    <v>11</v>
  </rv>
  <rv s="6">
    <fb>23.282499999999999</fb>
    <v>11</v>
  </rv>
  <rv s="6">
    <fb>24.087499999999999</fb>
    <v>11</v>
  </rv>
  <rv s="6">
    <fb>23.147500000000001</fb>
    <v>11</v>
  </rv>
  <rv s="6">
    <fb>231122263</fb>
    <v>12</v>
  </rv>
  <rv s="6">
    <fb>42416</fb>
    <v>10</v>
  </rv>
  <rv s="6">
    <fb>24.01</fb>
    <v>11</v>
  </rv>
  <rv s="6">
    <fb>23.754999999999999</fb>
    <v>11</v>
  </rv>
  <rv s="6">
    <fb>24.7225</fb>
    <v>11</v>
  </rv>
  <rv s="6">
    <fb>23.6525</fb>
    <v>11</v>
  </rv>
  <rv s="6">
    <fb>168316315</fb>
    <v>12</v>
  </rv>
  <rv s="6">
    <fb>42422</fb>
    <v>10</v>
  </rv>
  <rv s="6">
    <fb>24.227499999999999</fb>
    <v>11</v>
  </rv>
  <rv s="6">
    <fb>24.077500000000001</fb>
    <v>11</v>
  </rv>
  <rv s="6">
    <fb>24.5059</fb>
    <v>11</v>
  </rv>
  <rv s="6">
    <fb>23.33</fb>
    <v>11</v>
  </rv>
  <rv s="6">
    <fb>159052926</fb>
    <v>12</v>
  </rv>
  <rv s="6">
    <fb>42429</fb>
    <v>10</v>
  </rv>
  <rv s="6">
    <fb>25.752500000000001</fb>
    <v>11</v>
  </rv>
  <rv s="6">
    <fb>24.215</fb>
    <v>11</v>
  </rv>
  <rv s="6">
    <fb>25.9375</fb>
    <v>11</v>
  </rv>
  <rv s="6">
    <fb>24.162500000000001</fb>
    <v>11</v>
  </rv>
  <rv s="6">
    <fb>201803826</fb>
    <v>12</v>
  </rv>
  <rv s="6">
    <fb>42436</fb>
    <v>10</v>
  </rv>
  <rv s="6">
    <fb>25.565000000000001</fb>
    <v>11</v>
  </rv>
  <rv s="6">
    <fb>25.5975</fb>
    <v>11</v>
  </rv>
  <rv s="6">
    <fb>25.7075</fb>
    <v>11</v>
  </rv>
  <rv s="6">
    <fb>25.037500000000001</fb>
    <v>11</v>
  </rv>
  <rv s="6">
    <fb>155601196</fb>
    <v>12</v>
  </rv>
  <rv s="6">
    <fb>42443</fb>
    <v>10</v>
  </rv>
  <rv s="6">
    <fb>26.48</fb>
    <v>11</v>
  </rv>
  <rv s="6">
    <fb>25.477499999999999</fb>
    <v>11</v>
  </rv>
  <rv s="6">
    <fb>26.625</fb>
    <v>11</v>
  </rv>
  <rv s="6">
    <fb>25.445</fb>
    <v>11</v>
  </rv>
  <rv s="6">
    <fb>182073165</fb>
    <v>12</v>
  </rv>
  <rv s="6">
    <fb>42450</fb>
    <v>10</v>
  </rv>
  <rv s="6">
    <fb>26.4175</fb>
    <v>11</v>
  </rv>
  <rv s="6">
    <fb>26.482500000000002</fb>
    <v>11</v>
  </rv>
  <rv s="6">
    <fb>26.912500000000001</fb>
    <v>11</v>
  </rv>
  <rv s="6">
    <fb>26.2225</fb>
    <v>11</v>
  </rv>
  <rv s="6">
    <fb>119783503</fb>
    <v>12</v>
  </rv>
  <rv s="6">
    <fb>42457</fb>
    <v>10</v>
  </rv>
  <rv s="6">
    <fb>27.497499999999999</fb>
    <v>11</v>
  </rv>
  <rv s="6">
    <fb>26.5</fb>
    <v>11</v>
  </rv>
  <rv s="6">
    <fb>27.605</fb>
    <v>11</v>
  </rv>
  <rv s="6">
    <fb>26.22</fb>
    <v>11</v>
  </rv>
  <rv s="6">
    <fb>147965003</fb>
    <v>12</v>
  </rv>
  <rv s="6">
    <fb>42464</fb>
    <v>10</v>
  </rv>
  <rv s="6">
    <fb>27.164999999999999</fb>
    <v>11</v>
  </rv>
  <rv s="6">
    <fb>28.047499999999999</fb>
    <v>11</v>
  </rv>
  <rv s="6">
    <fb>27.0303</fb>
    <v>11</v>
  </rv>
  <rv s="6">
    <fb>145722543</fb>
    <v>12</v>
  </rv>
  <rv s="6">
    <fb>42471</fb>
    <v>10</v>
  </rv>
  <rv s="6">
    <fb>27.462499999999999</fb>
    <v>11</v>
  </rv>
  <rv s="6">
    <fb>27.2425</fb>
    <v>11</v>
  </rv>
  <rv s="6">
    <fb>28.0975</fb>
    <v>11</v>
  </rv>
  <rv s="6">
    <fb>162310051</fb>
    <v>12</v>
  </rv>
  <rv s="6">
    <fb>42478</fb>
    <v>10</v>
  </rv>
  <rv s="6">
    <fb>26.42</fb>
    <v>11</v>
  </rv>
  <rv s="6">
    <fb>27.2225</fb>
    <v>11</v>
  </rv>
  <rv s="6">
    <fb>27.237500000000001</fb>
    <v>11</v>
  </rv>
  <rv s="6">
    <fb>26.155000000000001</fb>
    <v>11</v>
  </rv>
  <rv s="6">
    <fb>189053016</fb>
    <v>12</v>
  </rv>
  <rv s="6">
    <fb>42485</fb>
    <v>10</v>
  </rv>
  <rv s="6">
    <fb>23.434999999999999</fb>
    <v>11</v>
  </rv>
  <rv s="6">
    <fb>26.25</fb>
    <v>11</v>
  </rv>
  <rv s="6">
    <fb>26.412500000000001</fb>
    <v>11</v>
  </rv>
  <rv s="6">
    <fb>23.127500000000001</fb>
    <v>11</v>
  </rv>
  <rv s="6">
    <fb>349424063</fb>
    <v>12</v>
  </rv>
  <rv s="6">
    <fb>42492</fb>
    <v>10</v>
  </rv>
  <rv s="6">
    <fb>23.18</fb>
    <v>11</v>
  </rv>
  <rv s="6">
    <fb>23.491299999999999</fb>
    <v>11</v>
  </rv>
  <rv s="6">
    <fb>23.975000000000001</fb>
    <v>11</v>
  </rv>
  <rv s="6">
    <fb>22.962499999999999</fb>
    <v>11</v>
  </rv>
  <rv s="6">
    <fb>225607242</fb>
    <v>12</v>
  </rv>
  <rv s="6">
    <fb>42499</fb>
    <v>10</v>
  </rv>
  <rv s="6">
    <fb>22.63</fb>
    <v>11</v>
  </rv>
  <rv s="6">
    <fb>23.25</fb>
    <v>11</v>
  </rv>
  <rv s="6">
    <fb>23.442499999999999</fb>
    <v>11</v>
  </rv>
  <rv s="6">
    <fb>22.3675</fb>
    <v>11</v>
  </rv>
  <rv s="6">
    <fb>216049836</fb>
    <v>12</v>
  </rv>
  <rv s="6">
    <fb>42506</fb>
    <v>10</v>
  </rv>
  <rv s="6">
    <fb>23.805</fb>
    <v>11</v>
  </rv>
  <rv s="6">
    <fb>23.857500000000002</fb>
    <v>11</v>
  </rv>
  <rv s="6">
    <fb>22.912500000000001</fb>
    <v>11</v>
  </rv>
  <rv s="6">
    <fb>212707154</fb>
    <v>12</v>
  </rv>
  <rv s="6">
    <fb>42513</fb>
    <v>10</v>
  </rv>
  <rv s="6">
    <fb>25.087499999999999</fb>
    <v>11</v>
  </rv>
  <rv s="6">
    <fb>23.967500000000001</fb>
    <v>11</v>
  </rv>
  <rv s="6">
    <fb>25.182500000000001</fb>
    <v>11</v>
  </rv>
  <rv s="6">
    <fb>23.9175</fb>
    <v>11</v>
  </rv>
  <rv s="6">
    <fb>204473324</fb>
    <v>12</v>
  </rv>
  <rv s="6">
    <fb>42521</fb>
    <v>10</v>
  </rv>
  <rv s="6">
    <fb>24.48</fb>
    <v>11</v>
  </rv>
  <rv s="6">
    <fb>24.9</fb>
    <v>11</v>
  </rv>
  <rv s="6">
    <fb>25.1</fb>
    <v>11</v>
  </rv>
  <rv s="6">
    <fb>24.157499999999999</fb>
    <v>11</v>
  </rv>
  <rv s="6">
    <fb>140176985</fb>
    <v>12</v>
  </rv>
  <rv s="6">
    <fb>42527</fb>
    <v>10</v>
  </rv>
  <rv s="6">
    <fb>24.7075</fb>
    <v>11</v>
  </rv>
  <rv s="6">
    <fb>24.497499999999999</fb>
    <v>11</v>
  </rv>
  <rv s="6">
    <fb>25.4725</fb>
    <v>11</v>
  </rv>
  <rv s="6">
    <fb>24.387499999999999</fb>
    <v>11</v>
  </rv>
  <rv s="6">
    <fb>124864375</fb>
    <v>12</v>
  </rv>
  <rv s="6">
    <fb>42534</fb>
    <v>10</v>
  </rv>
  <rv s="6">
    <fb>23.8325</fb>
    <v>11</v>
  </rv>
  <rv s="6">
    <fb>24.672499999999999</fb>
    <v>11</v>
  </rv>
  <rv s="6">
    <fb>24.78</fb>
    <v>11</v>
  </rv>
  <rv s="6">
    <fb>23.824999999999999</fb>
    <v>11</v>
  </rv>
  <rv s="6">
    <fb>191732699</fb>
    <v>12</v>
  </rv>
  <rv s="6">
    <fb>42541</fb>
    <v>10</v>
  </rv>
  <rv s="6">
    <fb>23.35</fb>
    <v>11</v>
  </rv>
  <rv s="6">
    <fb>24</fb>
    <v>11</v>
  </rv>
  <rv s="6">
    <fb>24.2225</fb>
    <v>11</v>
  </rv>
  <rv s="6">
    <fb>23.162500000000001</fb>
    <v>11</v>
  </rv>
  <rv s="6">
    <fb>206728924</fb>
    <v>12</v>
  </rv>
  <rv s="6">
    <fb>42548</fb>
    <v>10</v>
  </rv>
  <rv s="6">
    <fb>23.9725</fb>
    <v>11</v>
  </rv>
  <rv s="6">
    <fb>24.116299999999999</fb>
    <v>11</v>
  </rv>
  <rv s="6">
    <fb>22.875</fb>
    <v>11</v>
  </rv>
  <rv s="6">
    <fb>185461004</fb>
    <v>12</v>
  </rv>
  <rv s="6">
    <fb>42556</fb>
    <v>10</v>
  </rv>
  <rv s="6">
    <fb>24.17</fb>
    <v>11</v>
  </rv>
  <rv s="6">
    <fb>23.8475</fb>
    <v>11</v>
  </rv>
  <rv s="6">
    <fb>23.592500000000001</fb>
    <v>11</v>
  </rv>
  <rv s="6">
    <fb>112705961</fb>
    <v>12</v>
  </rv>
  <rv s="6">
    <fb>42562</fb>
    <v>10</v>
  </rv>
  <rv s="6">
    <fb>24.695</fb>
    <v>11</v>
  </rv>
  <rv s="6">
    <fb>24.1875</fb>
    <v>11</v>
  </rv>
  <rv s="6">
    <fb>24.824999999999999</fb>
    <v>11</v>
  </rv>
  <rv s="6">
    <fb>24.182500000000001</fb>
    <v>11</v>
  </rv>
  <rv s="6">
    <fb>142910566</fb>
    <v>12</v>
  </rv>
  <rv s="6">
    <fb>42569</fb>
    <v>10</v>
  </rv>
  <rv s="6">
    <fb>24.664999999999999</fb>
    <v>11</v>
  </rv>
  <rv s="6">
    <fb>24.675000000000001</fb>
    <v>11</v>
  </rv>
  <rv s="6">
    <fb>25.25</fb>
    <v>11</v>
  </rv>
  <rv s="6">
    <fb>24.577500000000001</fb>
    <v>11</v>
  </rv>
  <rv s="6">
    <fb>147565456</fb>
    <v>12</v>
  </rv>
  <rv s="6">
    <fb>42576</fb>
    <v>10</v>
  </rv>
  <rv s="6">
    <fb>26.052499999999998</fb>
    <v>11</v>
  </rv>
  <rv s="6">
    <fb>24.5625</fb>
    <v>11</v>
  </rv>
  <rv s="6">
    <fb>26.137499999999999</fb>
    <v>11</v>
  </rv>
  <rv s="6">
    <fb>24.105</fb>
    <v>11</v>
  </rv>
  <rv s="6">
    <fb>256571090</fb>
    <v>12</v>
  </rv>
  <rv s="6">
    <fb>42583</fb>
    <v>10</v>
  </rv>
  <rv s="6">
    <fb>26.87</fb>
    <v>11</v>
  </rv>
  <rv s="6">
    <fb>26.102499999999999</fb>
    <v>11</v>
  </rv>
  <rv s="6">
    <fb>26</fb>
    <v>11</v>
  </rv>
  <rv s="6">
    <fb>170149120</fb>
    <v>12</v>
  </rv>
  <rv s="6">
    <fb>42590</fb>
    <v>10</v>
  </rv>
  <rv s="6">
    <fb>27.045000000000002</fb>
    <v>11</v>
  </rv>
  <rv s="6">
    <fb>26.88</fb>
    <v>11</v>
  </rv>
  <rv s="6">
    <fb>27.234999999999999</fb>
    <v>11</v>
  </rv>
  <rv s="6">
    <fb>26.79</fb>
    <v>11</v>
  </rv>
  <rv s="6">
    <fb>124505869</fb>
    <v>12</v>
  </rv>
  <rv s="6">
    <fb>42597</fb>
    <v>10</v>
  </rv>
  <rv s="6">
    <fb>27.34</fb>
    <v>11</v>
  </rv>
  <rv s="6">
    <fb>27.035</fb>
    <v>11</v>
  </rv>
  <rv s="6">
    <fb>27.557500000000001</fb>
    <v>11</v>
  </rv>
  <rv s="6">
    <fb>27.02</fb>
    <v>11</v>
  </rv>
  <rv s="6">
    <fb>132371408</fb>
    <v>12</v>
  </rv>
  <rv s="6">
    <fb>42604</fb>
    <v>10</v>
  </rv>
  <rv s="6">
    <fb>26.734999999999999</fb>
    <v>11</v>
  </rv>
  <rv s="6">
    <fb>27.215</fb>
    <v>11</v>
  </rv>
  <rv s="6">
    <fb>27.33</fb>
    <v>11</v>
  </rv>
  <rv s="6">
    <fb>26.577500000000001</fb>
    <v>11</v>
  </rv>
  <rv s="6">
    <fb>123605519</fb>
    <v>12</v>
  </rv>
  <rv s="6">
    <fb>42611</fb>
    <v>10</v>
  </rv>
  <rv s="6">
    <fb>26.932500000000001</fb>
    <v>11</v>
  </rv>
  <rv s="6">
    <fb>26.655000000000001</fb>
    <v>11</v>
  </rv>
  <rv s="6">
    <fb>27</fb>
    <v>11</v>
  </rv>
  <rv s="6">
    <fb>26.375</fb>
    <v>11</v>
  </rv>
  <rv s="6">
    <fb>133000624</fb>
    <v>12</v>
  </rv>
  <rv s="6">
    <fb>42619</fb>
    <v>10</v>
  </rv>
  <rv s="6">
    <fb>25.782499999999999</fb>
    <v>11</v>
  </rv>
  <rv s="6">
    <fb>26.975000000000001</fb>
    <v>11</v>
  </rv>
  <rv s="6">
    <fb>27.19</fb>
    <v>11</v>
  </rv>
  <rv s="6">
    <fb>168803729</fb>
    <v>12</v>
  </rv>
  <rv s="6">
    <fb>42625</fb>
    <v>10</v>
  </rv>
  <rv s="6">
    <fb>28.73</fb>
    <v>11</v>
  </rv>
  <rv s="6">
    <fb>25.662500000000001</fb>
    <v>11</v>
  </rv>
  <rv s="6">
    <fb>29.032499999999999</fb>
    <v>11</v>
  </rv>
  <rv s="6">
    <fb>25.6325</fb>
    <v>11</v>
  </rv>
  <rv s="6">
    <fb>390309366</fb>
    <v>12</v>
  </rv>
  <rv s="6">
    <fb>42632</fb>
    <v>10</v>
  </rv>
  <rv s="6">
    <fb>28.177499999999998</fb>
    <v>11</v>
  </rv>
  <rv s="6">
    <fb>28.797499999999999</fb>
    <v>11</v>
  </rv>
  <rv s="6">
    <fb>29.045000000000002</fb>
    <v>11</v>
  </rv>
  <rv s="6">
    <fb>27.887499999999999</fb>
    <v>11</v>
  </rv>
  <rv s="6">
    <fb>201095635</fb>
    <v>12</v>
  </rv>
  <rv s="6">
    <fb>42639</fb>
    <v>10</v>
  </rv>
  <rv s="6">
    <fb>28.262499999999999</fb>
    <v>11</v>
  </rv>
  <rv s="6">
    <fb>27.91</fb>
    <v>11</v>
  </rv>
  <rv s="6">
    <fb>28.66</fb>
    <v>11</v>
  </rv>
  <rv s="6">
    <fb>156384035</fb>
    <v>12</v>
  </rv>
  <rv s="6">
    <fb>42646</fb>
    <v>10</v>
  </rv>
  <rv s="6">
    <fb>28.515000000000001</fb>
    <v>11</v>
  </rv>
  <rv s="6">
    <fb>28.64</fb>
    <v>11</v>
  </rv>
  <rv s="6">
    <fb>126029440</fb>
    <v>12</v>
  </rv>
  <rv s="6">
    <fb>42653</fb>
    <v>10</v>
  </rv>
  <rv s="6">
    <fb>29.407499999999999</fb>
    <v>11</v>
  </rv>
  <rv s="6">
    <fb>28.754999999999999</fb>
    <v>11</v>
  </rv>
  <rv s="6">
    <fb>29.672499999999999</fb>
    <v>11</v>
  </rv>
  <rv s="6">
    <fb>28.68</fb>
    <v>11</v>
  </rv>
  <rv s="6">
    <fb>208708383</fb>
    <v>12</v>
  </rv>
  <rv s="6">
    <fb>42660</fb>
    <v>10</v>
  </rv>
  <rv s="6">
    <fb>29.15</fb>
    <v>11</v>
  </rv>
  <rv s="6">
    <fb>29.3325</fb>
    <v>11</v>
  </rv>
  <rv s="6">
    <fb>29.552499999999998</fb>
    <v>11</v>
  </rv>
  <rv s="6">
    <fb>28.45</fb>
    <v>11</v>
  </rv>
  <rv s="6">
    <fb>115531434</fb>
    <v>12</v>
  </rv>
  <rv s="6">
    <fb>42667</fb>
    <v>10</v>
  </rv>
  <rv s="6">
    <fb>28.43</fb>
    <v>11</v>
  </rv>
  <rv s="6">
    <fb>29.274999999999999</fb>
    <v>11</v>
  </rv>
  <rv s="6">
    <fb>29.59</fb>
    <v>11</v>
  </rv>
  <rv s="6">
    <fb>210225569</fb>
    <v>12</v>
  </rv>
  <rv s="6">
    <fb>42674</fb>
    <v>10</v>
  </rv>
  <rv s="6">
    <fb>27.21</fb>
    <v>11</v>
  </rv>
  <rv s="6">
    <fb>28.412500000000001</fb>
    <v>11</v>
  </rv>
  <rv s="6">
    <fb>28.557500000000001</fb>
    <v>11</v>
  </rv>
  <rv s="6">
    <fb>27.0275</fb>
    <v>11</v>
  </rv>
  <rv s="6">
    <fb>156346518</fb>
    <v>12</v>
  </rv>
  <rv s="6">
    <fb>42681</fb>
    <v>10</v>
  </rv>
  <rv s="6">
    <fb>27.107500000000002</fb>
    <v>11</v>
  </rv>
  <rv s="6">
    <fb>27.52</fb>
    <v>11</v>
  </rv>
  <rv s="6">
    <fb>27.93</fb>
    <v>11</v>
  </rv>
  <rv s="6">
    <fb>26.4575</fb>
    <v>11</v>
  </rv>
  <rv s="6">
    <fb>207268979</fb>
    <v>12</v>
  </rv>
  <rv s="6">
    <fb>42688</fb>
    <v>10</v>
  </rv>
  <rv s="6">
    <fb>27.515000000000001</fb>
    <v>11</v>
  </rv>
  <rv s="6">
    <fb>26.927499999999998</fb>
    <v>11</v>
  </rv>
  <rv s="6">
    <fb>27.635000000000002</fb>
    <v>11</v>
  </rv>
  <rv s="6">
    <fb>26.02</fb>
    <v>11</v>
  </rv>
  <rv s="6">
    <fb>198341456</fb>
    <v>12</v>
  </rv>
  <rv s="6">
    <fb>42695</fb>
    <v>10</v>
  </rv>
  <rv s="6">
    <fb>27.947500000000002</fb>
    <v>11</v>
  </rv>
  <rv s="6">
    <fb>27.53</fb>
    <v>11</v>
  </rv>
  <rv s="6">
    <fb>28.105</fb>
    <v>11</v>
  </rv>
  <rv s="6">
    <fb>27.502500000000001</fb>
    <v>11</v>
  </rv>
  <rv s="6">
    <fb>94132421</fb>
    <v>12</v>
  </rv>
  <rv s="6">
    <fb>42702</fb>
    <v>10</v>
  </rv>
  <rv s="6">
    <fb>27.475000000000001</fb>
    <v>11</v>
  </rv>
  <rv s="6">
    <fb>27.857500000000002</fb>
    <v>11</v>
  </rv>
  <rv s="6">
    <fb>28.116299999999999</fb>
    <v>11</v>
  </rv>
  <rv s="6">
    <fb>27.212499999999999</fb>
    <v>11</v>
  </rv>
  <rv s="6">
    <fb>155499850</fb>
    <v>12</v>
  </rv>
  <rv s="6">
    <fb>42709</fb>
    <v>10</v>
  </rv>
  <rv s="6">
    <fb>28.487500000000001</fb>
    <v>11</v>
  </rv>
  <rv s="6">
    <fb>27.5</fb>
    <v>11</v>
  </rv>
  <rv s="6">
    <fb>28.675000000000001</fb>
    <v>11</v>
  </rv>
  <rv s="6">
    <fb>27.0625</fb>
    <v>11</v>
  </rv>
  <rv s="6">
    <fb>151989664</fb>
    <v>12</v>
  </rv>
  <rv s="6">
    <fb>42716</fb>
    <v>10</v>
  </rv>
  <rv s="6">
    <fb>28.9925</fb>
    <v>11</v>
  </rv>
  <rv s="6">
    <fb>29.182500000000001</fb>
    <v>11</v>
  </rv>
  <rv s="6">
    <fb>28.122499999999999</fb>
    <v>11</v>
  </rv>
  <rv s="6">
    <fb>195015700</fb>
    <v>12</v>
  </rv>
  <rv s="6">
    <fb>42723</fb>
    <v>10</v>
  </rv>
  <rv s="6">
    <fb>29.13</fb>
    <v>11</v>
  </rv>
  <rv s="6">
    <fb>28.95</fb>
    <v>11</v>
  </rv>
  <rv s="6">
    <fb>29.375</fb>
    <v>11</v>
  </rv>
  <rv s="6">
    <fb>28.897500000000001</fb>
    <v>11</v>
  </rv>
  <rv s="6">
    <fb>113322891</fb>
    <v>12</v>
  </rv>
  <rv s="6">
    <fb>42731</fb>
    <v>10</v>
  </rv>
  <rv s="6">
    <fb>28.954999999999998</fb>
    <v>11</v>
  </rv>
  <rv s="6">
    <fb>29.504200000000001</fb>
    <v>11</v>
  </rv>
  <rv s="6">
    <fb>28.857500000000002</fb>
    <v>11</v>
  </rv>
  <rv s="6">
    <fb>84828531</fb>
    <v>12</v>
  </rv>
  <rv s="6">
    <fb>42738</fb>
    <v>10</v>
  </rv>
  <rv s="6">
    <fb>29.477499999999999</fb>
    <v>11</v>
  </rv>
  <rv s="6">
    <fb>29.54</fb>
    <v>11</v>
  </rv>
  <rv s="6">
    <fb>28.69</fb>
    <v>11</v>
  </rv>
  <rv s="6">
    <fb>103845468</fb>
    <v>12</v>
  </rv>
  <rv s="6">
    <fb>42744</fb>
    <v>10</v>
  </rv>
  <rv s="6">
    <fb>29.76</fb>
    <v>11</v>
  </rv>
  <rv s="6">
    <fb>29.487500000000001</fb>
    <v>11</v>
  </rv>
  <rv s="6">
    <fb>29.982500000000002</fb>
    <v>11</v>
  </rv>
  <rv s="6">
    <fb>29.484999999999999</fb>
    <v>11</v>
  </rv>
  <rv s="6">
    <fb>138810760</fb>
    <v>12</v>
  </rv>
  <rv s="6">
    <fb>42752</fb>
    <v>10</v>
  </rv>
  <rv s="6">
    <fb>30</fb>
    <v>11</v>
  </rv>
  <rv s="6">
    <fb>29.585000000000001</fb>
    <v>11</v>
  </rv>
  <rv s="6">
    <fb>30.125</fb>
    <v>11</v>
  </rv>
  <rv s="6">
    <fb>29.555</fb>
    <v>11</v>
  </rv>
  <rv s="6">
    <fb>116347987</fb>
    <v>12</v>
  </rv>
  <rv s="6">
    <fb>42758</fb>
    <v>10</v>
  </rv>
  <rv s="6">
    <fb>30.487500000000001</fb>
    <v>11</v>
  </rv>
  <rv s="6">
    <fb>30.61</fb>
    <v>11</v>
  </rv>
  <rv s="6">
    <fb>124748449</fb>
    <v>12</v>
  </rv>
  <rv s="6">
    <fb>42765</fb>
    <v>10</v>
  </rv>
  <rv s="6">
    <fb>32.270000000000003</fb>
    <v>11</v>
  </rv>
  <rv s="6">
    <fb>30.232500000000002</fb>
    <v>11</v>
  </rv>
  <rv s="6">
    <fb>32.622500000000002</fb>
    <v>11</v>
  </rv>
  <rv s="6">
    <fb>30.155000000000001</fb>
    <v>11</v>
  </rv>
  <rv s="6">
    <fb>249781248</fb>
    <v>12</v>
  </rv>
  <rv s="6">
    <fb>42772</fb>
    <v>10</v>
  </rv>
  <rv s="6">
    <fb>33.03</fb>
    <v>11</v>
  </rv>
  <rv s="6">
    <fb>32.282499999999999</fb>
    <v>11</v>
  </rv>
  <rv s="6">
    <fb>33.234999999999999</fb>
    <v>11</v>
  </rv>
  <rv s="6">
    <fb>136449154</fb>
    <v>12</v>
  </rv>
  <rv s="6">
    <fb>42779</fb>
    <v>10</v>
  </rv>
  <rv s="6">
    <fb>33.93</fb>
    <v>11</v>
  </rv>
  <rv s="6">
    <fb>33.270000000000003</fb>
    <v>11</v>
  </rv>
  <rv s="6">
    <fb>34.067500000000003</fb>
    <v>11</v>
  </rv>
  <rv s="6">
    <fb>33.1875</fb>
    <v>11</v>
  </rv>
  <rv s="6">
    <fb>136667496</fb>
    <v>12</v>
  </rv>
  <rv s="6">
    <fb>42787</fb>
    <v>10</v>
  </rv>
  <rv s="6">
    <fb>34.164999999999999</fb>
    <v>11</v>
  </rv>
  <rv s="6">
    <fb>34.057499999999997</fb>
    <v>11</v>
  </rv>
  <rv s="6">
    <fb>34.369999999999997</fb>
    <v>11</v>
  </rv>
  <rv s="6">
    <fb>33.82</fb>
    <v>11</v>
  </rv>
  <rv s="6">
    <fb>87908859</fb>
    <v>12</v>
  </rv>
  <rv s="6">
    <fb>42793</fb>
    <v>10</v>
  </rv>
  <rv s="6">
    <fb>34.945</fb>
    <v>11</v>
  </rv>
  <rv s="6">
    <fb>34.284999999999997</fb>
    <v>11</v>
  </rv>
  <rv s="6">
    <fb>35.069699999999997</fb>
    <v>11</v>
  </rv>
  <rv s="6">
    <fb>34.07</fb>
    <v>11</v>
  </rv>
  <rv s="6">
    <fb>127936976</fb>
    <v>12</v>
  </rv>
  <rv s="6">
    <fb>42800</fb>
    <v>10</v>
  </rv>
  <rv s="6">
    <fb>34.784999999999997</fb>
    <v>11</v>
  </rv>
  <rv s="6">
    <fb>34.841299999999997</fb>
    <v>11</v>
  </rv>
  <rv s="6">
    <fb>34.994999999999997</fb>
    <v>11</v>
  </rv>
  <rv s="6">
    <fb>34.262500000000003</fb>
    <v>11</v>
  </rv>
  <rv s="6">
    <fb>99672282</fb>
    <v>12</v>
  </rv>
  <rv s="6">
    <fb>42807</fb>
    <v>10</v>
  </rv>
  <rv s="6">
    <fb>34.997500000000002</fb>
    <v>11</v>
  </rv>
  <rv s="6">
    <fb>34.712499999999999</fb>
    <v>11</v>
  </rv>
  <rv s="6">
    <fb>35.255000000000003</fb>
    <v>11</v>
  </rv>
  <rv s="6">
    <fb>34.704999999999998</fb>
    <v>11</v>
  </rv>
  <rv s="6">
    <fb>121539506</fb>
    <v>12</v>
  </rv>
  <rv s="6">
    <fb>42814</fb>
    <v>10</v>
  </rv>
  <rv s="6">
    <fb>35.159999999999997</fb>
    <v>11</v>
  </rv>
  <rv s="6">
    <fb>35.1</fb>
    <v>11</v>
  </rv>
  <rv s="6">
    <fb>35.700000000000003</fb>
    <v>11</v>
  </rv>
  <rv s="6">
    <fb>34.932499999999997</fb>
    <v>11</v>
  </rv>
  <rv s="6">
    <fb>129673979</fb>
    <v>12</v>
  </rv>
  <rv s="6">
    <fb>42821</fb>
    <v>10</v>
  </rv>
  <rv s="6">
    <fb>35.914999999999999</fb>
    <v>11</v>
  </rv>
  <rv s="6">
    <fb>34.847499999999997</fb>
    <v>11</v>
  </rv>
  <rv s="6">
    <fb>36.125</fb>
    <v>11</v>
  </rv>
  <rv s="6">
    <fb>34.655000000000001</fb>
    <v>11</v>
  </rv>
  <rv s="6">
    <fb>127008757</fb>
    <v>12</v>
  </rv>
  <rv s="6">
    <fb>42828</fb>
    <v>10</v>
  </rv>
  <rv s="6">
    <fb>35.835000000000001</fb>
    <v>11</v>
  </rv>
  <rv s="6">
    <fb>35.927500000000002</fb>
    <v>11</v>
  </rv>
  <rv s="6">
    <fb>36.365000000000002</fb>
    <v>11</v>
  </rv>
  <rv s="6">
    <fb>35.762500000000003</fb>
    <v>11</v>
  </rv>
  <rv s="6">
    <fb>105416154</fb>
    <v>12</v>
  </rv>
  <rv s="6">
    <fb>42835</fb>
    <v>10</v>
  </rv>
  <rv s="6">
    <fb>35.262500000000003</fb>
    <v>11</v>
  </rv>
  <rv s="6">
    <fb>35.9</fb>
    <v>11</v>
  </rv>
  <rv s="6">
    <fb>35.969799999999999</fb>
    <v>11</v>
  </rv>
  <rv s="6">
    <fb>35.015000000000001</fb>
    <v>11</v>
  </rv>
  <rv s="6">
    <fb>87485653</fb>
    <v>12</v>
  </rv>
  <rv s="6">
    <fb>42842</fb>
    <v>10</v>
  </rv>
  <rv s="6">
    <fb>35.567500000000003</fb>
    <v>11</v>
  </rv>
  <rv s="6">
    <fb>35.369999999999997</fb>
    <v>11</v>
  </rv>
  <rv s="6">
    <fb>35.729999999999997</fb>
    <v>11</v>
  </rv>
  <rv s="6">
    <fb>35.112499999999997</fb>
    <v>11</v>
  </rv>
  <rv s="6">
    <fb>89248503</fb>
    <v>12</v>
  </rv>
  <rv s="6">
    <fb>42849</fb>
    <v>10</v>
  </rv>
  <rv s="6">
    <fb>35.912500000000001</fb>
    <v>11</v>
  </rv>
  <rv s="6">
    <fb>35.875</fb>
    <v>11</v>
  </rv>
  <rv s="6">
    <fb>36.225000000000001</fb>
    <v>11</v>
  </rv>
  <rv s="6">
    <fb>35.795000000000002</fb>
    <v>11</v>
  </rv>
  <rv s="6">
    <fb>91153780</fb>
    <v>12</v>
  </rv>
  <rv s="6">
    <fb>42856</fb>
    <v>10</v>
  </rv>
  <rv s="6">
    <fb>37.24</fb>
    <v>11</v>
  </rv>
  <rv s="6">
    <fb>36.274999999999999</fb>
    <v>11</v>
  </rv>
  <rv s="6">
    <fb>37.244999999999997</fb>
    <v>11</v>
  </rv>
  <rv s="6">
    <fb>36.067500000000003</fb>
    <v>11</v>
  </rv>
  <rv s="6">
    <fb>175351768</fb>
    <v>12</v>
  </rv>
  <rv s="6">
    <fb>42863</fb>
    <v>10</v>
  </rv>
  <rv s="6">
    <fb>39.024999999999999</fb>
    <v>11</v>
  </rv>
  <rv s="6">
    <fb>37.2575</fb>
    <v>11</v>
  </rv>
  <rv s="6">
    <fb>39.104999999999997</fb>
    <v>11</v>
  </rv>
  <rv s="6">
    <fb>173470543</fb>
    <v>12</v>
  </rv>
  <rv s="6">
    <fb>42870</fb>
    <v>10</v>
  </rv>
  <rv s="6">
    <fb>38.265000000000001</fb>
    <v>11</v>
  </rv>
  <rv s="6">
    <fb>39.002499999999998</fb>
    <v>11</v>
  </rv>
  <rv s="6">
    <fb>39.162500000000001</fb>
    <v>11</v>
  </rv>
  <rv s="6">
    <fb>37.427500000000002</fb>
    <v>11</v>
  </rv>
  <rv s="6">
    <fb>157354878</fb>
    <v>12</v>
  </rv>
  <rv s="6">
    <fb>42877</fb>
    <v>10</v>
  </rv>
  <rv s="6">
    <fb>38.402500000000003</fb>
    <v>11</v>
  </rv>
  <rv s="6">
    <fb>38.5</fb>
    <v>11</v>
  </rv>
  <rv s="6">
    <fb>38.725000000000001</fb>
    <v>11</v>
  </rv>
  <rv s="6">
    <fb>38.167499999999997</fb>
    <v>11</v>
  </rv>
  <rv s="6">
    <fb>103267697</fb>
    <v>12</v>
  </rv>
  <rv s="6">
    <fb>42885</fb>
    <v>10</v>
  </rv>
  <rv s="6">
    <fb>38.862499999999997</fb>
    <v>11</v>
  </rv>
  <rv s="6">
    <fb>38.354999999999997</fb>
    <v>11</v>
  </rv>
  <rv s="6">
    <fb>38.055</fb>
    <v>11</v>
  </rv>
  <rv s="6">
    <fb>88752818</fb>
    <v>12</v>
  </rv>
  <rv s="6">
    <fb>42891</fb>
    <v>10</v>
  </rv>
  <rv s="6">
    <fb>38.585000000000001</fb>
    <v>11</v>
  </rv>
  <rv s="6">
    <fb>38.994999999999997</fb>
    <v>11</v>
  </rv>
  <rv s="6">
    <fb>36.505000000000003</fb>
    <v>11</v>
  </rv>
  <rv s="6">
    <fb>159159690</fb>
    <v>12</v>
  </rv>
  <rv s="6">
    <fb>42898</fb>
    <v>10</v>
  </rv>
  <rv s="6">
    <fb>36.435000000000002</fb>
    <v>11</v>
  </rv>
  <rv s="6">
    <fb>36.875</fb>
    <v>11</v>
  </rv>
  <rv s="6">
    <fb>35.549999999999997</fb>
    <v>11</v>
  </rv>
  <rv s="6">
    <fb>220530473</fb>
    <v>12</v>
  </rv>
  <rv s="6">
    <fb>42905</fb>
    <v>10</v>
  </rv>
  <rv s="6">
    <fb>36.57</fb>
    <v>11</v>
  </rv>
  <rv s="6">
    <fb>36.79</fb>
    <v>11</v>
  </rv>
  <rv s="6">
    <fb>133252911</fb>
    <v>12</v>
  </rv>
  <rv s="6">
    <fb>42912</fb>
    <v>10</v>
  </rv>
  <rv s="6">
    <fb>36.005000000000003</fb>
    <v>11</v>
  </rv>
  <rv s="6">
    <fb>36.792499999999997</fb>
    <v>11</v>
  </rv>
  <rv s="6">
    <fb>37.07</fb>
    <v>11</v>
  </rv>
  <rv s="6">
    <fb>35.57</fb>
    <v>11</v>
  </rv>
  <rv s="6">
    <fb>127060159</fb>
    <v>12</v>
  </rv>
  <rv s="6">
    <fb>42919</fb>
    <v>10</v>
  </rv>
  <rv s="6">
    <fb>36.045000000000002</fb>
    <v>11</v>
  </rv>
  <rv s="6">
    <fb>36.22</fb>
    <v>11</v>
  </rv>
  <rv s="6">
    <fb>36.325000000000003</fb>
    <v>11</v>
  </rv>
  <rv s="6">
    <fb>35.602499999999999</fb>
    <v>11</v>
  </rv>
  <rv s="6">
    <fb>79177899</fb>
    <v>12</v>
  </rv>
  <rv s="6">
    <fb>42926</fb>
    <v>10</v>
  </rv>
  <rv s="6">
    <fb>37.26</fb>
    <v>11</v>
  </rv>
  <rv s="6">
    <fb>36.027500000000003</fb>
    <v>11</v>
  </rv>
  <rv s="6">
    <fb>37.332500000000003</fb>
    <v>11</v>
  </rv>
  <rv s="6">
    <fb>35.842500000000001</fb>
    <v>11</v>
  </rv>
  <rv s="6">
    <fb>111088384</fb>
    <v>12</v>
  </rv>
  <rv s="6">
    <fb>42933</fb>
    <v>10</v>
  </rv>
  <rv s="6">
    <fb>37.567500000000003</fb>
    <v>11</v>
  </rv>
  <rv s="6">
    <fb>37.204999999999998</fb>
    <v>11</v>
  </rv>
  <rv s="6">
    <fb>37.935000000000002</fb>
    <v>11</v>
  </rv>
  <rv s="6">
    <fb>37.142499999999998</fb>
    <v>11</v>
  </rv>
  <rv s="6">
    <fb>106081595</fb>
    <v>12</v>
  </rv>
  <rv s="6">
    <fb>42940</fb>
    <v>10</v>
  </rv>
  <rv s="6">
    <fb>37.375</fb>
    <v>11</v>
  </rv>
  <rv s="6">
    <fb>37.645000000000003</fb>
    <v>11</v>
  </rv>
  <rv s="6">
    <fb>38.497500000000002</fb>
    <v>11</v>
  </rv>
  <rv s="6">
    <fb>36.825000000000003</fb>
    <v>11</v>
  </rv>
  <rv s="6">
    <fb>105818033</fb>
    <v>12</v>
  </rv>
  <rv s="6">
    <fb>42947</fb>
    <v>10</v>
  </rv>
  <rv s="6">
    <fb>39.097499999999997</fb>
    <v>11</v>
  </rv>
  <rv s="6">
    <fb>37.475000000000001</fb>
    <v>11</v>
  </rv>
  <rv s="6">
    <fb>39.9375</fb>
    <v>11</v>
  </rv>
  <rv s="6">
    <fb>37.032499999999999</fb>
    <v>11</v>
  </rv>
  <rv s="6">
    <fb>172808513</fb>
    <v>12</v>
  </rv>
  <rv s="6">
    <fb>42954</fb>
    <v>10</v>
  </rv>
  <rv s="6">
    <fb>39.369999999999997</fb>
    <v>11</v>
  </rv>
  <rv s="6">
    <fb>39.265000000000001</fb>
    <v>11</v>
  </rv>
  <rv s="6">
    <fb>40.457500000000003</fb>
    <v>11</v>
  </rv>
  <rv s="6">
    <fb>38.657499999999999</fb>
    <v>11</v>
  </rv>
  <rv s="6">
    <fb>151269116</fb>
    <v>12</v>
  </rv>
  <rv s="6">
    <fb>42961</fb>
    <v>10</v>
  </rv>
  <rv s="6">
    <fb>39.375</fb>
    <v>11</v>
  </rv>
  <rv s="6">
    <fb>39.83</fb>
    <v>11</v>
  </rv>
  <rv s="6">
    <fb>40.627499999999998</fb>
    <v>11</v>
  </rv>
  <rv s="6">
    <fb>39.18</fb>
    <v>11</v>
  </rv>
  <rv s="6">
    <fb>134628467</fb>
    <v>12</v>
  </rv>
  <rv s="6">
    <fb>42968</fb>
    <v>10</v>
  </rv>
  <rv s="6">
    <fb>39.965000000000003</fb>
    <v>11</v>
  </rv>
  <rv s="6">
    <fb>40.185000000000002</fb>
    <v>11</v>
  </rv>
  <rv s="6">
    <fb>38.777500000000003</fb>
    <v>11</v>
  </rv>
  <rv s="6">
    <fb>112671175</fb>
    <v>12</v>
  </rv>
  <rv s="6">
    <fb>42975</fb>
    <v>10</v>
  </rv>
  <rv s="6">
    <fb>41.012500000000003</fb>
    <v>11</v>
  </rv>
  <rv s="6">
    <fb>40.034999999999997</fb>
    <v>11</v>
  </rv>
  <rv s="6">
    <fb>41.234999999999999</fb>
    <v>11</v>
  </rv>
  <rv s="6">
    <fb>39.982500000000002</fb>
    <v>11</v>
  </rv>
  <rv s="6">
    <fb>126128613</fb>
    <v>12</v>
  </rv>
  <rv s="6">
    <fb>42983</fb>
    <v>10</v>
  </rv>
  <rv s="6">
    <fb>39.657499999999999</fb>
    <v>11</v>
  </rv>
  <rv s="6">
    <fb>40.9375</fb>
    <v>11</v>
  </rv>
  <rv s="6">
    <fb>41.0625</fb>
    <v>11</v>
  </rv>
  <rv s="6">
    <fb>39.6325</fb>
    <v>11</v>
  </rv>
  <rv s="6">
    <fb>101728077</fb>
    <v>12</v>
  </rv>
  <rv s="6">
    <fb>42989</fb>
    <v>10</v>
  </rv>
  <rv s="6">
    <fb>39.97</fb>
    <v>11</v>
  </rv>
  <rv s="6">
    <fb>40.125</fb>
    <v>11</v>
  </rv>
  <rv s="6">
    <fb>40.99</fb>
    <v>11</v>
  </rv>
  <rv s="6">
    <fb>39.477499999999999</fb>
    <v>11</v>
  </rv>
  <rv s="6">
    <fb>221077556</fb>
    <v>12</v>
  </rv>
  <rv s="6">
    <fb>42996</fb>
    <v>10</v>
  </rv>
  <rv s="6">
    <fb>37.972499999999997</fb>
    <v>11</v>
  </rv>
  <rv s="6">
    <fb>40.027500000000003</fb>
    <v>11</v>
  </rv>
  <rv s="6">
    <fb>37.64</fb>
    <v>11</v>
  </rv>
  <rv s="6">
    <fb>186188535</fb>
    <v>12</v>
  </rv>
  <rv s="6">
    <fb>43003</fb>
    <v>10</v>
  </rv>
  <rv s="6">
    <fb>38.53</fb>
    <v>11</v>
  </rv>
  <rv s="6">
    <fb>37.497500000000002</fb>
    <v>11</v>
  </rv>
  <rv s="6">
    <fb>38.679699999999997</fb>
    <v>11</v>
  </rv>
  <rv s="6">
    <fb>37.29</fb>
    <v>11</v>
  </rv>
  <rv s="6">
    <fb>154856873</fb>
    <v>12</v>
  </rv>
  <rv s="6">
    <fb>43010</fb>
    <v>10</v>
  </rv>
  <rv s="6">
    <fb>38.825000000000003</fb>
    <v>11</v>
  </rv>
  <rv s="6">
    <fb>38.564999999999998</fb>
    <v>11</v>
  </rv>
  <rv s="6">
    <fb>38.872500000000002</fb>
    <v>11</v>
  </rv>
  <rv s="6">
    <fb>38.115000000000002</fb>
    <v>11</v>
  </rv>
  <rv s="6">
    <fb>93784212</fb>
    <v>12</v>
  </rv>
  <rv s="6">
    <fb>43017</fb>
    <v>10</v>
  </rv>
  <rv s="6">
    <fb>39.247500000000002</fb>
    <v>11</v>
  </rv>
  <rv s="6">
    <fb>38.952500000000001</fb>
    <v>11</v>
  </rv>
  <rv s="6">
    <fb>39.5</fb>
    <v>11</v>
  </rv>
  <rv s="6">
    <fb>38.774999999999999</fb>
    <v>11</v>
  </rv>
  <rv s="6">
    <fb>81304819</fb>
    <v>12</v>
  </rv>
  <rv s="6">
    <fb>43024</fb>
    <v>10</v>
  </rv>
  <rv s="6">
    <fb>39.0625</fb>
    <v>11</v>
  </rv>
  <rv s="6">
    <fb>39.475000000000001</fb>
    <v>11</v>
  </rv>
  <rv s="6">
    <fb>40.217500000000001</fb>
    <v>11</v>
  </rv>
  <rv s="6">
    <fb>38.755000000000003</fb>
    <v>11</v>
  </rv>
  <rv s="6">
    <fb>126051203</fb>
    <v>12</v>
  </rv>
  <rv s="6">
    <fb>43031</fb>
    <v>10</v>
  </rv>
  <rv s="6">
    <fb>40.762500000000003</fb>
    <v>11</v>
  </rv>
  <rv s="6">
    <fb>39.222499999999997</fb>
    <v>11</v>
  </rv>
  <rv s="6">
    <fb>40.9</fb>
    <v>11</v>
  </rv>
  <rv s="6">
    <fb>38.817500000000003</fb>
    <v>11</v>
  </rv>
  <rv s="6">
    <fb>122403284</fb>
    <v>12</v>
  </rv>
  <rv s="6">
    <fb>43038</fb>
    <v>10</v>
  </rv>
  <rv s="6">
    <fb>43.125</fb>
    <v>11</v>
  </rv>
  <rv s="6">
    <fb>40.972499999999997</fb>
    <v>11</v>
  </rv>
  <rv s="6">
    <fb>43.564999999999998</fb>
    <v>11</v>
  </rv>
  <rv s="6">
    <fb>40.93</fb>
    <v>11</v>
  </rv>
  <rv s="6">
    <fb>215177366</fb>
    <v>12</v>
  </rv>
  <rv s="6">
    <fb>43045</fb>
    <v>10</v>
  </rv>
  <rv s="6">
    <fb>43.667499999999997</fb>
    <v>11</v>
  </rv>
  <rv s="6">
    <fb>43.091299999999997</fb>
    <v>11</v>
  </rv>
  <rv s="6">
    <fb>44.06</fb>
    <v>11</v>
  </rv>
  <rv s="6">
    <fb>42.93</fb>
    <v>11</v>
  </rv>
  <rv s="6">
    <fb>138425414</fb>
    <v>12</v>
  </rv>
  <rv s="6">
    <fb>43052</fb>
    <v>10</v>
  </rv>
  <rv s="6">
    <fb>42.537500000000001</fb>
    <v>11</v>
  </rv>
  <rv s="6">
    <fb>43.375</fb>
    <v>11</v>
  </rv>
  <rv s="6">
    <fb>43.625</fb>
    <v>11</v>
  </rv>
  <rv s="6">
    <fb>42.094999999999999</fb>
    <v>11</v>
  </rv>
  <rv s="6">
    <fb>116459665</fb>
    <v>12</v>
  </rv>
  <rv s="6">
    <fb>43059</fb>
    <v>10</v>
  </rv>
  <rv s="6">
    <fb>43.7425</fb>
    <v>11</v>
  </rv>
  <rv s="6">
    <fb>42.572499999999998</fb>
    <v>11</v>
  </rv>
  <rv s="6">
    <fb>43.875</fb>
    <v>11</v>
  </rv>
  <rv s="6">
    <fb>42.39</fb>
    <v>11</v>
  </rv>
  <rv s="6">
    <fb>81009340</fb>
    <v>12</v>
  </rv>
  <rv s="6">
    <fb>43066</fb>
    <v>10</v>
  </rv>
  <rv s="6">
    <fb>42.762500000000003</fb>
    <v>11</v>
  </rv>
  <rv s="6">
    <fb>43.762500000000003</fb>
    <v>11</v>
  </rv>
  <rv s="6">
    <fb>43.77</fb>
    <v>11</v>
  </rv>
  <rv s="6">
    <fb>41.79</fb>
    <v>11</v>
  </rv>
  <rv s="6">
    <fb>170098474</fb>
    <v>12</v>
  </rv>
  <rv s="6">
    <fb>43073</fb>
    <v>10</v>
  </rv>
  <rv s="6">
    <fb>42.342500000000001</fb>
    <v>11</v>
  </rv>
  <rv s="6">
    <fb>43.12</fb>
    <v>11</v>
  </rv>
  <rv s="6">
    <fb>43.155000000000001</fb>
    <v>11</v>
  </rv>
  <rv s="6">
    <fb>41.615000000000002</fb>
    <v>11</v>
  </rv>
  <rv s="6">
    <fb>137481078</fb>
    <v>12</v>
  </rv>
  <rv s="6">
    <fb>43080</fb>
    <v>10</v>
  </rv>
  <rv s="6">
    <fb>43.4925</fb>
    <v>11</v>
  </rv>
  <rv s="6">
    <fb>42.3</fb>
    <v>11</v>
  </rv>
  <rv s="6">
    <fb>43.542499999999997</fb>
    <v>11</v>
  </rv>
  <rv s="6">
    <fb>42.197499999999998</fb>
    <v>11</v>
  </rv>
  <rv s="6">
    <fb>139147284</fb>
    <v>12</v>
  </rv>
  <rv s="6">
    <fb>43087</fb>
    <v>10</v>
  </rv>
  <rv s="6">
    <fb>43.752499999999998</fb>
    <v>11</v>
  </rv>
  <rv s="6">
    <fb>43.72</fb>
    <v>11</v>
  </rv>
  <rv s="6">
    <fb>44.3</fb>
    <v>11</v>
  </rv>
  <rv s="6">
    <fb>43.3125</fb>
    <v>11</v>
  </rv>
  <rv s="6">
    <fb>117632550</fb>
    <v>12</v>
  </rv>
  <rv s="6">
    <fb>43095</fb>
    <v>10</v>
  </rv>
  <rv s="6">
    <fb>42.307499999999997</fb>
    <v>11</v>
  </rv>
  <rv s="6">
    <fb>42.7</fb>
    <v>11</v>
  </rv>
  <rv s="6">
    <fb>42.962499999999999</fb>
    <v>11</v>
  </rv>
  <rv s="6">
    <fb>42.305</fb>
    <v>11</v>
  </rv>
  <rv s="6">
    <fb>97163858</fb>
    <v>12</v>
  </rv>
  <rv s="6">
    <fb>43102</fb>
    <v>10</v>
  </rv>
  <rv s="6">
    <fb>43.75</fb>
    <v>11</v>
  </rv>
  <rv s="6">
    <fb>42.54</fb>
    <v>11</v>
  </rv>
  <rv s="6">
    <fb>43.842500000000001</fb>
    <v>11</v>
  </rv>
  <rv s="6">
    <fb>42.314999999999998</fb>
    <v>11</v>
  </rv>
  <rv s="6">
    <fb>101168448</fb>
    <v>12</v>
  </rv>
  <rv s="6">
    <fb>43108</fb>
    <v>10</v>
  </rv>
  <rv s="6">
    <fb>44.272500000000001</fb>
    <v>11</v>
  </rv>
  <rv s="6">
    <fb>43.587499999999999</fb>
    <v>11</v>
  </rv>
  <rv s="6">
    <fb>44.34</fb>
    <v>11</v>
  </rv>
  <rv s="6">
    <fb>43.25</fb>
    <v>11</v>
  </rv>
  <rv s="6">
    <fb>110197467</fb>
    <v>12</v>
  </rv>
  <rv s="6">
    <fb>43116</fb>
    <v>10</v>
  </rv>
  <rv s="6">
    <fb>44.615000000000002</fb>
    <v>11</v>
  </rv>
  <rv s="6">
    <fb>44.475000000000001</fb>
    <v>11</v>
  </rv>
  <rv s="6">
    <fb>45.024999999999999</fb>
    <v>11</v>
  </rv>
  <rv s="6">
    <fb>43.767499999999998</fb>
    <v>11</v>
  </rv>
  <rv s="6">
    <fb>127571202</fb>
    <v>12</v>
  </rv>
  <rv s="6">
    <fb>43122</fb>
    <v>10</v>
  </rv>
  <rv s="6">
    <fb>42.877499999999998</fb>
    <v>11</v>
  </rv>
  <rv s="6">
    <fb>44.325000000000003</fb>
    <v>11</v>
  </rv>
  <rv s="6">
    <fb>44.86</fb>
    <v>11</v>
  </rv>
  <rv s="6">
    <fb>42.515000000000001</fb>
    <v>11</v>
  </rv>
  <rv s="6">
    <fb>191574802</fb>
    <v>12</v>
  </rv>
  <rv s="6">
    <fb>43129</fb>
    <v>10</v>
  </rv>
  <rv s="6">
    <fb>40.024999999999999</fb>
    <v>11</v>
  </rv>
  <rv s="6">
    <fb>262992133</fb>
    <v>12</v>
  </rv>
  <rv s="6">
    <fb>43136</fb>
    <v>10</v>
  </rv>
  <rv s="6">
    <fb>39.102499999999999</fb>
    <v>11</v>
  </rv>
  <rv s="6">
    <fb>39.774999999999999</fb>
    <v>11</v>
  </rv>
  <rv s="6">
    <fb>40.97</fb>
    <v>11</v>
  </rv>
  <rv s="6">
    <fb>37.56</fb>
    <v>11</v>
  </rv>
  <rv s="6">
    <fb>317654064</fb>
    <v>12</v>
  </rv>
  <rv s="6">
    <fb>43143</fb>
    <v>10</v>
  </rv>
  <rv s="6">
    <fb>43.107500000000002</fb>
    <v>11</v>
  </rv>
  <rv s="6">
    <fb>39.625</fb>
    <v>11</v>
  </rv>
  <rv s="6">
    <fb>43.704999999999998</fb>
    <v>11</v>
  </rv>
  <rv s="6">
    <fb>39.377499999999998</fb>
    <v>11</v>
  </rv>
  <rv s="6">
    <fb>225336897</fb>
    <v>12</v>
  </rv>
  <rv s="6">
    <fb>43151</fb>
    <v>10</v>
  </rv>
  <rv s="6">
    <fb>43.012500000000003</fb>
    <v>11</v>
  </rv>
  <rv s="6">
    <fb>43.912500000000001</fb>
    <v>11</v>
  </rv>
  <rv s="6">
    <fb>42.752499999999998</fb>
    <v>11</v>
  </rv>
  <rv s="6">
    <fb>136206463</fb>
    <v>12</v>
  </rv>
  <rv s="6">
    <fb>43157</fb>
    <v>10</v>
  </rv>
  <rv s="6">
    <fb>44.052500000000002</fb>
    <v>11</v>
  </rv>
  <rv s="6">
    <fb>44.087499999999999</fb>
    <v>11</v>
  </rv>
  <rv s="6">
    <fb>45.153799999999997</fb>
    <v>11</v>
  </rv>
  <rv s="6">
    <fb>43.112499999999997</fb>
    <v>11</v>
  </rv>
  <rv s="6">
    <fb>202128357</fb>
    <v>12</v>
  </rv>
  <rv s="6">
    <fb>43164</fb>
    <v>10</v>
  </rv>
  <rv s="6">
    <fb>44.994999999999997</fb>
    <v>11</v>
  </rv>
  <rv s="6">
    <fb>43.802500000000002</fb>
    <v>11</v>
  </rv>
  <rv s="6">
    <fb>45</fb>
    <v>11</v>
  </rv>
  <rv s="6">
    <fb>43.567500000000003</fb>
    <v>11</v>
  </rv>
  <rv s="6">
    <fb>139852603</fb>
    <v>12</v>
  </rv>
  <rv s="6">
    <fb>43171</fb>
    <v>10</v>
  </rv>
  <rv s="6">
    <fb>44.505000000000003</fb>
    <v>11</v>
  </rv>
  <rv s="6">
    <fb>45.072499999999998</fb>
    <v>11</v>
  </rv>
  <rv s="6">
    <fb>45.875</fb>
    <v>11</v>
  </rv>
  <rv s="6">
    <fb>44.405000000000001</fb>
    <v>11</v>
  </rv>
  <rv s="6">
    <fb>155417452</fb>
    <v>12</v>
  </rv>
  <rv s="6">
    <fb>43178</fb>
    <v>10</v>
  </rv>
  <rv s="6">
    <fb>44.33</fb>
    <v>11</v>
  </rv>
  <rv s="6">
    <fb>44.3675</fb>
    <v>11</v>
  </rv>
  <rv s="6">
    <fb>172670607</fb>
    <v>12</v>
  </rv>
  <rv s="6">
    <fb>43185</fb>
    <v>10</v>
  </rv>
  <rv s="6">
    <fb>41.945</fb>
    <v>11</v>
  </rv>
  <rv s="6">
    <fb>42.017499999999998</fb>
    <v>11</v>
  </rv>
  <rv s="6">
    <fb>43.787500000000001</fb>
    <v>11</v>
  </rv>
  <rv s="6">
    <fb>41.297499999999999</fb>
    <v>11</v>
  </rv>
  <rv s="6">
    <fb>158530865</fb>
    <v>12</v>
  </rv>
  <rv s="6">
    <fb>43192</fb>
    <v>10</v>
  </rv>
  <rv s="6">
    <fb>41.97</fb>
    <v>11</v>
  </rv>
  <rv s="6">
    <fb>43.557600000000001</fb>
    <v>11</v>
  </rv>
  <rv s="6">
    <fb>41.1175</fb>
    <v>11</v>
  </rv>
  <rv s="6">
    <fb>164408813</fb>
    <v>12</v>
  </rv>
  <rv s="6">
    <fb>43199</fb>
    <v>10</v>
  </rv>
  <rv s="6">
    <fb>43.682499999999997</fb>
    <v>11</v>
  </rv>
  <rv s="6">
    <fb>42.47</fb>
    <v>11</v>
  </rv>
  <rv s="6">
    <fb>43.96</fb>
    <v>11</v>
  </rv>
  <rv s="6">
    <fb>42.461300000000001</fb>
    <v>11</v>
  </rv>
  <rv s="6">
    <fb>128077139</fb>
    <v>12</v>
  </rv>
  <rv s="6">
    <fb>43206</fb>
    <v>10</v>
  </rv>
  <rv s="6">
    <fb>41.43</fb>
    <v>11</v>
  </rv>
  <rv s="6">
    <fb>43.7575</fb>
    <v>11</v>
  </rv>
  <rv s="6">
    <fb>44.734099999999998</fb>
    <v>11</v>
  </rv>
  <rv s="6">
    <fb>41.357500000000002</fb>
    <v>11</v>
  </rv>
  <rv s="6">
    <fb>169238340</fb>
    <v>12</v>
  </rv>
  <rv s="6">
    <fb>43213</fb>
    <v>10</v>
  </rv>
  <rv s="6">
    <fb>40.58</fb>
    <v>11</v>
  </rv>
  <rv s="6">
    <fb>41.7087</fb>
    <v>11</v>
  </rv>
  <rv s="6">
    <fb>41.73</fb>
    <v>11</v>
  </rv>
  <rv s="6">
    <fb>40.157499999999999</fb>
    <v>11</v>
  </rv>
  <rv s="6">
    <fb>162208431</fb>
    <v>12</v>
  </rv>
  <rv s="6">
    <fb>43220</fb>
    <v>10</v>
  </rv>
  <rv s="6">
    <fb>45.957500000000003</fb>
    <v>11</v>
  </rv>
  <rv s="6">
    <fb>40.532600000000002</fb>
    <v>11</v>
  </rv>
  <rv s="6">
    <fb>46.0625</fb>
    <v>11</v>
  </rv>
  <rv s="6">
    <fb>40.46</fb>
    <v>11</v>
  </rv>
  <rv s="6">
    <fb>252805668</fb>
    <v>12</v>
  </rv>
  <rv s="6">
    <fb>43227</fb>
    <v>10</v>
  </rv>
  <rv s="6">
    <fb>47.147500000000001</fb>
    <v>11</v>
  </rv>
  <rv s="6">
    <fb>46.295000000000002</fb>
    <v>11</v>
  </rv>
  <rv s="6">
    <fb>47.592500000000001</fb>
    <v>11</v>
  </rv>
  <rv s="6">
    <fb>45.9163</fb>
    <v>11</v>
  </rv>
  <rv s="6">
    <fb>148266951</fb>
    <v>12</v>
  </rv>
  <rv s="6">
    <fb>43234</fb>
    <v>10</v>
  </rv>
  <rv s="6">
    <fb>46.577500000000001</fb>
    <v>11</v>
  </rv>
  <rv s="6">
    <fb>47.252499999999998</fb>
    <v>11</v>
  </rv>
  <rv s="6">
    <fb>47.3825</fb>
    <v>11</v>
  </rv>
  <rv s="6">
    <fb>46.274999999999999</fb>
    <v>11</v>
  </rv>
  <rv s="6">
    <fb>99248752</fb>
    <v>12</v>
  </rv>
  <rv s="6">
    <fb>43241</fb>
    <v>10</v>
  </rv>
  <rv s="6">
    <fb>47.145000000000003</fb>
    <v>11</v>
  </rv>
  <rv s="6">
    <fb>47</fb>
    <v>11</v>
  </rv>
  <rv s="6">
    <fb>47.412500000000001</fb>
    <v>11</v>
  </rv>
  <rv s="6">
    <fb>46.44</fb>
    <v>11</v>
  </rv>
  <rv s="6">
    <fb>94394844</fb>
    <v>12</v>
  </rv>
  <rv s="6">
    <fb>43249</fb>
    <v>10</v>
  </rv>
  <rv s="6">
    <fb>47.56</fb>
    <v>11</v>
  </rv>
  <rv s="6">
    <fb>46.9</fb>
    <v>11</v>
  </rv>
  <rv s="6">
    <fb>47.564999999999998</fb>
    <v>11</v>
  </rv>
  <rv s="6">
    <fb>46.534999999999997</fb>
    <v>11</v>
  </rv>
  <rv s="6">
    <fb>92129925</fb>
    <v>12</v>
  </rv>
  <rv s="6">
    <fb>43255</fb>
    <v>10</v>
  </rv>
  <rv s="6">
    <fb>47.924999999999997</fb>
    <v>11</v>
  </rv>
  <rv s="6">
    <fb>47.908799999999999</fb>
    <v>11</v>
  </rv>
  <rv s="6">
    <fb>48.55</fb>
    <v>11</v>
  </rv>
  <rv s="6">
    <fb>47.442500000000003</fb>
    <v>11</v>
  </rv>
  <rv s="6">
    <fb>116769735</fb>
    <v>12</v>
  </rv>
  <rv s="6">
    <fb>43262</fb>
    <v>10</v>
  </rv>
  <rv s="6">
    <fb>47.21</fb>
    <v>11</v>
  </rv>
  <rv s="6">
    <fb>47.837499999999999</fb>
    <v>11</v>
  </rv>
  <rv s="6">
    <fb>48.22</fb>
    <v>11</v>
  </rv>
  <rv s="6">
    <fb>47.064999999999998</fb>
    <v>11</v>
  </rv>
  <rv s="6">
    <fb>140187228</fb>
    <v>12</v>
  </rv>
  <rv s="6">
    <fb>43269</fb>
    <v>10</v>
  </rv>
  <rv s="6">
    <fb>46.23</fb>
    <v>11</v>
  </rv>
  <rv s="6">
    <fb>46.97</fb>
    <v>11</v>
  </rv>
  <rv s="6">
    <fb>47.305</fb>
    <v>11</v>
  </rv>
  <rv s="6">
    <fb>45.862499999999997</fb>
    <v>11</v>
  </rv>
  <rv s="6">
    <fb>125604366</fb>
    <v>12</v>
  </rv>
  <rv s="6">
    <fb>43276</fb>
    <v>10</v>
  </rv>
  <rv s="6">
    <fb>46.277500000000003</fb>
    <v>11</v>
  </rv>
  <rv s="6">
    <fb>45.85</fb>
    <v>11</v>
  </rv>
  <rv s="6">
    <fb>46.82</fb>
    <v>11</v>
  </rv>
  <rv s="6">
    <fb>45.182499999999997</fb>
    <v>11</v>
  </rv>
  <rv s="6">
    <fb>121620526</fb>
    <v>12</v>
  </rv>
  <rv s="6">
    <fb>43283</fb>
    <v>10</v>
  </rv>
  <rv s="6">
    <fb>46.9925</fb>
    <v>11</v>
  </rv>
  <rv s="6">
    <fb>45.954999999999998</fb>
    <v>11</v>
  </rv>
  <rv s="6">
    <fb>47.108499999999999</fb>
    <v>11</v>
  </rv>
  <rv s="6">
    <fb>45.854999999999997</fb>
    <v>11</v>
  </rv>
  <rv s="6">
    <fb>65775642</fb>
    <v>12</v>
  </rv>
  <rv s="6">
    <fb>43290</fb>
    <v>10</v>
  </rv>
  <rv s="6">
    <fb>47.832500000000003</fb>
    <v>11</v>
  </rv>
  <rv s="6">
    <fb>47.375</fb>
    <v>11</v>
  </rv>
  <rv s="6">
    <fb>47.96</fb>
    <v>11</v>
  </rv>
  <rv s="6">
    <fb>46.902500000000003</fb>
    <v>11</v>
  </rv>
  <rv s="6">
    <fb>85088176</fb>
    <v>12</v>
  </rv>
  <rv s="6">
    <fb>43297</fb>
    <v>10</v>
  </rv>
  <rv s="6">
    <fb>47.86</fb>
    <v>11</v>
  </rv>
  <rv s="6">
    <fb>47.88</fb>
    <v>11</v>
  </rv>
  <rv s="6">
    <fb>48.162500000000001</fb>
    <v>11</v>
  </rv>
  <rv s="6">
    <fb>47.3</fb>
    <v>11</v>
  </rv>
  <rv s="6">
    <fb>87963808</fb>
    <v>12</v>
  </rv>
  <rv s="6">
    <fb>43304</fb>
    <v>10</v>
  </rv>
  <rv s="6">
    <fb>47.744999999999997</fb>
    <v>11</v>
  </rv>
  <rv s="6">
    <fb>47.67</fb>
    <v>11</v>
  </rv>
  <rv s="6">
    <fb>48.99</fb>
    <v>11</v>
  </rv>
  <rv s="6">
    <fb>47.39</fb>
    <v>11</v>
  </rv>
  <rv s="6">
    <fb>94613682</fb>
    <v>12</v>
  </rv>
  <rv s="6">
    <fb>43311</fb>
    <v>10</v>
  </rv>
  <rv s="6">
    <fb>51.997500000000002</fb>
    <v>11</v>
  </rv>
  <rv s="6">
    <fb>47.975000000000001</fb>
    <v>11</v>
  </rv>
  <rv s="6">
    <fb>52.185000000000002</fb>
    <v>11</v>
  </rv>
  <rv s="6">
    <fb>47.267499999999998</fb>
    <v>11</v>
  </rv>
  <rv s="6">
    <fb>224189697</fb>
    <v>12</v>
  </rv>
  <rv s="6">
    <fb>43318</fb>
    <v>10</v>
  </rv>
  <rv s="6">
    <fb>51.8825</fb>
    <v>11</v>
  </rv>
  <rv s="6">
    <fb>52</fb>
    <v>11</v>
  </rv>
  <rv s="6">
    <fb>52.445</fb>
    <v>11</v>
  </rv>
  <rv s="6">
    <fb>51.13</fb>
    <v>11</v>
  </rv>
  <rv s="6">
    <fb>121642089</fb>
    <v>12</v>
  </rv>
  <rv s="6">
    <fb>43325</fb>
    <v>10</v>
  </rv>
  <rv s="6">
    <fb>54.395000000000003</fb>
    <v>11</v>
  </rv>
  <rv s="6">
    <fb>51.924999999999997</fb>
    <v>11</v>
  </rv>
  <rv s="6">
    <fb>54.487499999999997</fb>
    <v>11</v>
  </rv>
  <rv s="6">
    <fb>139373818</fb>
    <v>12</v>
  </rv>
  <rv s="6">
    <fb>43332</fb>
    <v>10</v>
  </rv>
  <rv s="6">
    <fb>54.04</fb>
    <v>11</v>
  </rv>
  <rv s="6">
    <fb>54.524999999999999</fb>
    <v>11</v>
  </rv>
  <rv s="6">
    <fb>54.795000000000002</fb>
    <v>11</v>
  </rv>
  <rv s="6">
    <fb>53.46</fb>
    <v>11</v>
  </rv>
  <rv s="6">
    <fb>112825161</fb>
    <v>12</v>
  </rv>
  <rv s="6">
    <fb>43339</fb>
    <v>10</v>
  </rv>
  <rv s="6">
    <fb>56.907499999999999</fb>
    <v>11</v>
  </rv>
  <rv s="6">
    <fb>54.287500000000001</fb>
    <v>11</v>
  </rv>
  <rv s="6">
    <fb>57.217500000000001</fb>
    <v>11</v>
  </rv>
  <rv s="6">
    <fb>54.082500000000003</fb>
    <v>11</v>
  </rv>
  <rv s="6">
    <fb>162690645</fb>
    <v>12</v>
  </rv>
  <rv s="6">
    <fb>43347</fb>
    <v>10</v>
  </rv>
  <rv s="6">
    <fb>55.325000000000003</fb>
    <v>11</v>
  </rv>
  <rv s="6">
    <fb>57.102499999999999</fb>
    <v>11</v>
  </rv>
  <rv s="6">
    <fb>57.417499999999997</fb>
    <v>11</v>
  </rv>
  <rv s="6">
    <fb>55.177500000000002</fb>
    <v>11</v>
  </rv>
  <rv s="6">
    <fb>132632878</fb>
    <v>12</v>
  </rv>
  <rv s="6">
    <fb>43353</fb>
    <v>10</v>
  </rv>
  <rv s="6">
    <fb>55.96</fb>
    <v>11</v>
  </rv>
  <rv s="6">
    <fb>55.237499999999997</fb>
    <v>11</v>
  </rv>
  <rv s="6">
    <fb>57.087499999999999</fb>
    <v>11</v>
  </rv>
  <rv s="6">
    <fb>54.1175</fb>
    <v>11</v>
  </rv>
  <rv s="6">
    <fb>198249908</fb>
    <v>12</v>
  </rv>
  <rv s="6">
    <fb>43360</fb>
    <v>10</v>
  </rv>
  <rv s="6">
    <fb>54.414999999999999</fb>
    <v>11</v>
  </rv>
  <rv s="6">
    <fb>55.537500000000001</fb>
    <v>11</v>
  </rv>
  <rv s="6">
    <fb>55.737499999999997</fb>
    <v>11</v>
  </rv>
  <rv s="6">
    <fb>53.825000000000003</fb>
    <v>11</v>
  </rv>
  <rv s="6">
    <fb>218746220</fb>
    <v>12</v>
  </rv>
  <rv s="6">
    <fb>43367</fb>
    <v>10</v>
  </rv>
  <rv s="6">
    <fb>56.435000000000002</fb>
    <v>11</v>
  </rv>
  <rv s="6">
    <fb>54.204999999999998</fb>
    <v>11</v>
  </rv>
  <rv s="6">
    <fb>56.61</fb>
    <v>11</v>
  </rv>
  <rv s="6">
    <fb>54.157499999999999</fb>
    <v>11</v>
  </rv>
  <rv s="6">
    <fb>129343034</fb>
    <v>12</v>
  </rv>
  <rv s="6">
    <fb>43374</fb>
    <v>10</v>
  </rv>
  <rv s="6">
    <fb>56.072499999999998</fb>
    <v>11</v>
  </rv>
  <rv s="6">
    <fb>56.987499999999997</fb>
    <v>11</v>
  </rv>
  <rv s="6">
    <fb>58.3675</fb>
    <v>11</v>
  </rv>
  <rv s="6">
    <fb>55.145000000000003</fb>
    <v>11</v>
  </rv>
  <rv s="6">
    <fb>142666234</fb>
    <v>12</v>
  </rv>
  <rv s="6">
    <fb>43381</fb>
    <v>10</v>
  </rv>
  <rv s="6">
    <fb>55.527500000000003</fb>
    <v>11</v>
  </rv>
  <rv s="6">
    <fb>55.552500000000002</fb>
    <v>11</v>
  </rv>
  <rv s="6">
    <fb>56.817500000000003</fb>
    <v>11</v>
  </rv>
  <rv s="6">
    <fb>53.08</fb>
    <v>11</v>
  </rv>
  <rv s="6">
    <fb>192007749</fb>
    <v>12</v>
  </rv>
  <rv s="6">
    <fb>43388</fb>
    <v>10</v>
  </rv>
  <rv s="6">
    <fb>54.827500000000001</fb>
    <v>11</v>
  </rv>
  <rv s="6">
    <fb>55.29</fb>
    <v>11</v>
  </rv>
  <rv s="6">
    <fb>55.747500000000002</fb>
    <v>11</v>
  </rv>
  <rv s="6">
    <fb>53.25</fb>
    <v>11</v>
  </rv>
  <rv s="6">
    <fb>148520408</fb>
    <v>12</v>
  </rv>
  <rv s="6">
    <fb>43395</fb>
    <v>10</v>
  </rv>
  <rv s="6">
    <fb>54.075000000000003</fb>
    <v>11</v>
  </rv>
  <rv s="6">
    <fb>54.947499999999998</fb>
    <v>11</v>
  </rv>
  <rv s="6">
    <fb>56.057499999999997</fb>
    <v>11</v>
  </rv>
  <rv s="6">
    <fb>53.167499999999997</fb>
    <v>11</v>
  </rv>
  <rv s="6">
    <fb>185599234</fb>
    <v>12</v>
  </rv>
  <rv s="6">
    <fb>43402</fb>
    <v>10</v>
  </rv>
  <rv s="6">
    <fb>51.87</fb>
    <v>11</v>
  </rv>
  <rv s="6">
    <fb>54.797499999999999</fb>
    <v>11</v>
  </rv>
  <rv s="6">
    <fb>55.59</fb>
    <v>11</v>
  </rv>
  <rv s="6">
    <fb>51.357500000000002</fb>
    <v>11</v>
  </rv>
  <rv s="6">
    <fb>270606277</fb>
    <v>12</v>
  </rv>
  <rv s="6">
    <fb>43409</fb>
    <v>10</v>
  </rv>
  <rv s="6">
    <fb>51.1175</fb>
    <v>11</v>
  </rv>
  <rv s="6">
    <fb>51.075000000000003</fb>
    <v>11</v>
  </rv>
  <rv s="6">
    <fb>52.53</fb>
    <v>11</v>
  </rv>
  <rv s="6">
    <fb>49.542499999999997</fb>
    <v>11</v>
  </rv>
  <rv s="6">
    <fb>191199370</fb>
    <v>12</v>
  </rv>
  <rv s="6">
    <fb>43416</fb>
    <v>10</v>
  </rv>
  <rv s="6">
    <fb>48.3825</fb>
    <v>11</v>
  </rv>
  <rv s="6">
    <fb>49.75</fb>
    <v>11</v>
  </rv>
  <rv s="6">
    <fb>49.962499999999999</fb>
    <v>11</v>
  </rv>
  <rv s="6">
    <fb>46.482500000000002</fb>
    <v>11</v>
  </rv>
  <rv s="6">
    <fb>242226465</fb>
    <v>12</v>
  </rv>
  <rv s="6">
    <fb>43423</fb>
    <v>10</v>
  </rv>
  <rv s="6">
    <fb>43.072499999999998</fb>
    <v>11</v>
  </rv>
  <rv s="6">
    <fb>47.5</fb>
    <v>11</v>
  </rv>
  <rv s="6">
    <fb>47.674999999999997</fb>
    <v>11</v>
  </rv>
  <rv s="6">
    <fb>43.024999999999999</fb>
    <v>11</v>
  </rv>
  <rv s="6">
    <fb>164494301</fb>
    <v>12</v>
  </rv>
  <rv s="6">
    <fb>43430</fb>
    <v>10</v>
  </rv>
  <rv s="6">
    <fb>44.645000000000003</fb>
    <v>11</v>
  </rv>
  <rv s="6">
    <fb>43.56</fb>
    <v>11</v>
  </rv>
  <rv s="6">
    <fb>45.7</fb>
    <v>11</v>
  </rv>
  <rv s="6">
    <fb>42.564999999999998</fb>
    <v>11</v>
  </rv>
  <rv s="6">
    <fb>213749977</fb>
    <v>12</v>
  </rv>
  <rv s="6">
    <fb>43437</fb>
    <v>10</v>
  </rv>
  <rv s="6">
    <fb>42.122500000000002</fb>
    <v>11</v>
  </rv>
  <rv s="6">
    <fb>46.115000000000002</fb>
    <v>11</v>
  </rv>
  <rv s="6">
    <fb>46.234999999999999</fb>
    <v>11</v>
  </rv>
  <rv s="6">
    <fb>42.075000000000003</fb>
    <v>11</v>
  </rv>
  <rv s="6">
    <fb>167522325</fb>
    <v>12</v>
  </rv>
  <rv s="6">
    <fb>43444</fb>
    <v>10</v>
  </rv>
  <rv s="6">
    <fb>41.37</fb>
    <v>11</v>
  </rv>
  <rv s="6">
    <fb>41.25</fb>
    <v>11</v>
  </rv>
  <rv s="6">
    <fb>43.142499999999998</fb>
    <v>11</v>
  </rv>
  <rv s="6">
    <fb>40.832500000000003</fb>
    <v>11</v>
  </rv>
  <rv s="6">
    <fb>217536870</fb>
    <v>12</v>
  </rv>
  <rv s="6">
    <fb>43451</fb>
    <v>10</v>
  </rv>
  <rv s="6">
    <fb>37.682499999999997</fb>
    <v>11</v>
  </rv>
  <rv s="6">
    <fb>41.362499999999997</fb>
    <v>11</v>
  </rv>
  <rv s="6">
    <fb>42.087499999999999</fb>
    <v>11</v>
  </rv>
  <rv s="6">
    <fb>37.407499999999999</fb>
    <v>11</v>
  </rv>
  <rv s="6">
    <fb>287694081</fb>
    <v>12</v>
  </rv>
  <rv s="6">
    <fb>43458</fb>
    <v>10</v>
  </rv>
  <rv s="6">
    <fb>39.057499999999997</fb>
    <v>11</v>
  </rv>
  <rv s="6">
    <fb>37.037500000000001</fb>
    <v>11</v>
  </rv>
  <rv s="6">
    <fb>39.630000000000003</fb>
    <v>11</v>
  </rv>
  <rv s="6">
    <fb>36.647500000000001</fb>
    <v>11</v>
  </rv>
  <rv s="6">
    <fb>191160265</fb>
    <v>12</v>
  </rv>
  <rv s="6">
    <fb>43465</fb>
    <v>10</v>
  </rv>
  <rv s="6">
    <fb>37.064999999999998</fb>
    <v>11</v>
  </rv>
  <rv s="6">
    <fb>39.840000000000003</fb>
    <v>11</v>
  </rv>
  <rv s="6">
    <fb>35.5</fb>
    <v>11</v>
  </rv>
  <rv s="6">
    <fb>216208369</fb>
    <v>12</v>
  </rv>
  <rv s="6">
    <fb>43472</fb>
    <v>10</v>
  </rv>
  <rv s="6">
    <fb>38.072499999999998</fb>
    <v>11</v>
  </rv>
  <rv s="6">
    <fb>37.174999999999997</fb>
    <v>11</v>
  </rv>
  <rv s="6">
    <fb>38.6325</fb>
    <v>11</v>
  </rv>
  <rv s="6">
    <fb>36.475000000000001</fb>
    <v>11</v>
  </rv>
  <rv s="6">
    <fb>202623336</fb>
    <v>12</v>
  </rv>
  <rv s="6">
    <fb>43479</fb>
    <v>10</v>
  </rv>
  <rv s="6">
    <fb>39.204999999999998</fb>
    <v>11</v>
  </rv>
  <rv s="6">
    <fb>37.712499999999999</fb>
    <v>11</v>
  </rv>
  <rv s="6">
    <fb>39.47</fb>
    <v>11</v>
  </rv>
  <rv s="6">
    <fb>37.305</fb>
    <v>11</v>
  </rv>
  <rv s="6">
    <fb>154530021</fb>
    <v>12</v>
  </rv>
  <rv s="6">
    <fb>43487</fb>
    <v>10</v>
  </rv>
  <rv s="6">
    <fb>39.44</fb>
    <v>11</v>
  </rv>
  <rv s="6">
    <fb>39.532499999999999</fb>
    <v>11</v>
  </rv>
  <rv s="6">
    <fb>37.924999999999997</fb>
    <v>11</v>
  </rv>
  <rv s="6">
    <fb>111834395</fb>
    <v>12</v>
  </rv>
  <rv s="6">
    <fb>43493</fb>
    <v>10</v>
  </rv>
  <rv s="6">
    <fb>41.63</fb>
    <v>11</v>
  </rv>
  <rv s="6">
    <fb>38.947499999999998</fb>
    <v>11</v>
  </rv>
  <rv s="6">
    <fb>42.25</fb>
    <v>11</v>
  </rv>
  <rv s="6">
    <fb>38.414999999999999</fb>
    <v>11</v>
  </rv>
  <rv s="6">
    <fb>201920026</fb>
    <v>12</v>
  </rv>
  <rv s="6">
    <fb>43500</fb>
    <v>10</v>
  </rv>
  <rv s="6">
    <fb>42.602499999999999</fb>
    <v>11</v>
  </rv>
  <rv s="6">
    <fb>41.852499999999999</fb>
    <v>11</v>
  </rv>
  <rv s="6">
    <fb>43.892499999999998</fb>
    <v>11</v>
  </rv>
  <rv s="6">
    <fb>41.82</fb>
    <v>11</v>
  </rv>
  <rv s="6">
    <fb>150593397</fb>
    <v>12</v>
  </rv>
  <rv s="6">
    <fb>43507</fb>
    <v>10</v>
  </rv>
  <rv s="6">
    <fb>42.604999999999997</fb>
    <v>11</v>
  </rv>
  <rv s="6">
    <fb>42.3125</fb>
    <v>11</v>
  </rv>
  <rv s="6">
    <fb>111602508</fb>
    <v>12</v>
  </rv>
  <rv s="6">
    <fb>43515</fb>
    <v>10</v>
  </rv>
  <rv s="6">
    <fb>43.2425</fb>
    <v>11</v>
  </rv>
  <rv s="6">
    <fb>42.427500000000002</fb>
    <v>11</v>
  </rv>
  <rv s="6">
    <fb>43.33</fb>
    <v>11</v>
  </rv>
  <rv s="6">
    <fb>42.372500000000002</fb>
    <v>11</v>
  </rv>
  <rv s="6">
    <fb>81250012</fb>
    <v>12</v>
  </rv>
  <rv s="6">
    <fb>43521</fb>
    <v>10</v>
  </rv>
  <rv s="6">
    <fb>43.54</fb>
    <v>11</v>
  </rv>
  <rv s="6">
    <fb>43.967500000000001</fb>
    <v>11</v>
  </rv>
  <rv s="6">
    <fb>43.182499999999997</fb>
    <v>11</v>
  </rv>
  <rv s="6">
    <fb>120880541</fb>
    <v>12</v>
  </rv>
  <rv s="6">
    <fb>43528</fb>
    <v>10</v>
  </rv>
  <rv s="6">
    <fb>43.227499999999999</fb>
    <v>11</v>
  </rv>
  <rv s="6">
    <fb>43.922499999999999</fb>
    <v>11</v>
  </rv>
  <rv s="6">
    <fb>44.4375</fb>
    <v>11</v>
  </rv>
  <rv s="6">
    <fb>42.375</fb>
    <v>11</v>
  </rv>
  <rv s="6">
    <fb>116779738</fb>
    <v>12</v>
  </rv>
  <rv s="6">
    <fb>43535</fb>
    <v>10</v>
  </rv>
  <rv s="6">
    <fb>46.53</fb>
    <v>11</v>
  </rv>
  <rv s="6">
    <fb>43.872500000000002</fb>
    <v>11</v>
  </rv>
  <rv s="6">
    <fb>46.832500000000003</fb>
    <v>11</v>
  </rv>
  <rv s="6">
    <fb>43.837499999999999</fb>
    <v>11</v>
  </rv>
  <rv s="6">
    <fb>158133562</fb>
    <v>12</v>
  </rv>
  <rv s="6">
    <fb>43542</fb>
    <v>10</v>
  </rv>
  <rv s="6">
    <fb>47.762500000000003</fb>
    <v>11</v>
  </rv>
  <rv s="6">
    <fb>46.45</fb>
    <v>11</v>
  </rv>
  <rv s="6">
    <fb>49.422499999999999</fb>
    <v>11</v>
  </rv>
  <rv s="6">
    <fb>46.182499999999997</fb>
    <v>11</v>
  </rv>
  <rv s="6">
    <fb>182343335</fb>
    <v>12</v>
  </rv>
  <rv s="6">
    <fb>43549</fb>
    <v>10</v>
  </rv>
  <rv s="6">
    <fb>47.487499999999997</fb>
    <v>11</v>
  </rv>
  <rv s="6">
    <fb>47.877499999999998</fb>
    <v>11</v>
  </rv>
  <rv s="6">
    <fb>46.145000000000003</fb>
    <v>11</v>
  </rv>
  <rv s="6">
    <fb>167838582</fb>
    <v>12</v>
  </rv>
  <rv s="6">
    <fb>43556</fb>
    <v>10</v>
  </rv>
  <rv s="6">
    <fb>49.25</fb>
    <v>11</v>
  </rv>
  <rv s="6">
    <fb>47.91</fb>
    <v>11</v>
  </rv>
  <rv s="6">
    <fb>49.274999999999999</fb>
    <v>11</v>
  </rv>
  <rv s="6">
    <fb>47.094999999999999</fb>
    <v>11</v>
  </rv>
  <rv s="6">
    <fb>111540445</fb>
    <v>12</v>
  </rv>
  <rv s="6">
    <fb>43563</fb>
    <v>10</v>
  </rv>
  <rv s="6">
    <fb>49.717500000000001</fb>
    <v>11</v>
  </rv>
  <rv s="6">
    <fb>49.104999999999997</fb>
    <v>11</v>
  </rv>
  <rv s="6">
    <fb>50.712499999999999</fb>
    <v>11</v>
  </rv>
  <rv s="6">
    <fb>49.052500000000002</fb>
    <v>11</v>
  </rv>
  <rv s="6">
    <fb>132006698</fb>
    <v>12</v>
  </rv>
  <rv s="6">
    <fb>43570</fb>
    <v>10</v>
  </rv>
  <rv s="6">
    <fb>50.965000000000003</fb>
    <v>11</v>
  </rv>
  <rv s="6">
    <fb>49.645000000000003</fb>
    <v>11</v>
  </rv>
  <rv s="6">
    <fb>51.037500000000001</fb>
    <v>11</v>
  </rv>
  <rv s="6">
    <fb>49.502499999999998</fb>
    <v>11</v>
  </rv>
  <rv s="6">
    <fb>96335577</fb>
    <v>12</v>
  </rv>
  <rv s="6">
    <fb>43577</fb>
    <v>10</v>
  </rv>
  <rv s="6">
    <fb>50.707500000000003</fb>
    <v>11</v>
  </rv>
  <rv s="6">
    <fb>52.12</fb>
    <v>11</v>
  </rv>
  <rv s="6">
    <fb>50.53</fb>
    <v>11</v>
  </rv>
  <rv s="6">
    <fb>97495453</fb>
    <v>12</v>
  </rv>
  <rv s="6">
    <fb>43584</fb>
    <v>10</v>
  </rv>
  <rv s="6">
    <fb>52.9375</fb>
    <v>11</v>
  </rv>
  <rv s="6">
    <fb>51.1</fb>
    <v>11</v>
  </rv>
  <rv s="6">
    <fb>53.827500000000001</fb>
    <v>11</v>
  </rv>
  <rv s="6">
    <fb>49.777500000000003</fb>
    <v>11</v>
  </rv>
  <rv s="6">
    <fb>186455669</fb>
    <v>12</v>
  </rv>
  <rv s="6">
    <fb>43591</fb>
    <v>10</v>
  </rv>
  <rv s="6">
    <fb>49.295000000000002</fb>
    <v>11</v>
  </rv>
  <rv s="6">
    <fb>51.072499999999998</fb>
    <v>11</v>
  </rv>
  <rv s="6">
    <fb>52.21</fb>
    <v>11</v>
  </rv>
  <rv s="6">
    <fb>48.192500000000003</fb>
    <v>11</v>
  </rv>
  <rv s="6">
    <fb>173663634</fb>
    <v>12</v>
  </rv>
  <rv s="6">
    <fb>43598</fb>
    <v>10</v>
  </rv>
  <rv s="6">
    <fb>47.25</fb>
    <v>11</v>
  </rv>
  <rv s="6">
    <fb>46.927500000000002</fb>
    <v>11</v>
  </rv>
  <rv s="6">
    <fb>48.117199999999997</fb>
    <v>11</v>
  </rv>
  <rv s="6">
    <fb>45.712499999999999</fb>
    <v>11</v>
  </rv>
  <rv s="6">
    <fb>186415472</fb>
    <v>12</v>
  </rv>
  <rv s="6">
    <fb>43605</fb>
    <v>10</v>
  </rv>
  <rv s="6">
    <fb>44.7425</fb>
    <v>11</v>
  </rv>
  <rv s="6">
    <fb>45.88</fb>
    <v>11</v>
  </rv>
  <rv s="6">
    <fb>44.452500000000001</fb>
    <v>11</v>
  </rv>
  <rv s="6">
    <fb>156970116</fb>
    <v>12</v>
  </rv>
  <rv s="6">
    <fb>43613</fb>
    <v>10</v>
  </rv>
  <rv s="6">
    <fb>44.73</fb>
    <v>11</v>
  </rv>
  <rv s="6">
    <fb>45.147500000000001</fb>
    <v>11</v>
  </rv>
  <rv s="6">
    <fb>43.747500000000002</fb>
    <v>11</v>
  </rv>
  <rv s="6">
    <fb>104691321</fb>
    <v>12</v>
  </rv>
  <rv s="6">
    <fb>43619</fb>
    <v>10</v>
  </rv>
  <rv s="6">
    <fb>47.537500000000001</fb>
    <v>11</v>
  </rv>
  <rv s="6">
    <fb>43.9</fb>
    <v>11</v>
  </rv>
  <rv s="6">
    <fb>47.98</fb>
    <v>11</v>
  </rv>
  <rv s="6">
    <fb>42.567500000000003</fb>
    <v>11</v>
  </rv>
  <rv s="6">
    <fb>154348161</fb>
    <v>12</v>
  </rv>
  <rv s="6">
    <fb>43626</fb>
    <v>10</v>
  </rv>
  <rv s="6">
    <fb>48.185000000000002</fb>
    <v>11</v>
  </rv>
  <rv s="6">
    <fb>47.952500000000001</fb>
    <v>11</v>
  </rv>
  <rv s="6">
    <fb>49.197499999999998</fb>
    <v>11</v>
  </rv>
  <rv s="6">
    <fb>47.575000000000003</fb>
    <v>11</v>
  </rv>
  <rv s="6">
    <fb>111843021</fb>
    <v>12</v>
  </rv>
  <rv s="6">
    <fb>43633</fb>
    <v>10</v>
  </rv>
  <rv s="6">
    <fb>49.695</fb>
    <v>11</v>
  </rv>
  <rv s="6">
    <fb>48.225000000000001</fb>
    <v>11</v>
  </rv>
  <rv s="6">
    <fb>50.212499999999999</fb>
    <v>11</v>
  </rv>
  <rv s="6">
    <fb>48.042499999999997</fb>
    <v>11</v>
  </rv>
  <rv s="6">
    <fb>131658960</fb>
    <v>12</v>
  </rv>
  <rv s="6">
    <fb>43640</fb>
    <v>10</v>
  </rv>
  <rv s="6">
    <fb>49.48</fb>
    <v>11</v>
  </rv>
  <rv s="6">
    <fb>49.634999999999998</fb>
    <v>11</v>
  </rv>
  <rv s="6">
    <fb>50.392499999999998</fb>
    <v>11</v>
  </rv>
  <rv s="6">
    <fb>48.822499999999998</fb>
    <v>11</v>
  </rv>
  <rv s="6">
    <fb>117368626</fb>
    <v>12</v>
  </rv>
  <rv s="6">
    <fb>43647</fb>
    <v>10</v>
  </rv>
  <rv s="6">
    <fb>51.057499999999997</fb>
    <v>11</v>
  </rv>
  <rv s="6">
    <fb>50.792499999999997</fb>
    <v>11</v>
  </rv>
  <rv s="6">
    <fb>51.27</fb>
    <v>11</v>
  </rv>
  <rv s="6">
    <fb>50.162500000000001</fb>
    <v>11</v>
  </rv>
  <rv s="6">
    <fb>72879519</fb>
    <v>12</v>
  </rv>
  <rv s="6">
    <fb>43654</fb>
    <v>10</v>
  </rv>
  <rv s="6">
    <fb>50.825000000000003</fb>
    <v>11</v>
  </rv>
  <rv s="6">
    <fb>50.202500000000001</fb>
    <v>11</v>
  </rv>
  <rv s="6">
    <fb>51.097499999999997</fb>
    <v>11</v>
  </rv>
  <rv s="6">
    <fb>49.602499999999999</fb>
    <v>11</v>
  </rv>
  <rv s="6">
    <fb>101600835</fb>
    <v>12</v>
  </rv>
  <rv s="6">
    <fb>43661</fb>
    <v>10</v>
  </rv>
  <rv s="6">
    <fb>50.647500000000001</fb>
    <v>11</v>
  </rv>
  <rv s="6">
    <fb>51.022500000000001</fb>
    <v>11</v>
  </rv>
  <rv s="6">
    <fb>51.625</fb>
    <v>11</v>
  </rv>
  <rv s="6">
    <fb>50.59</fb>
    <v>11</v>
  </rv>
  <rv s="6">
    <fb>87433154</fb>
    <v>12</v>
  </rv>
  <rv s="6">
    <fb>43668</fb>
    <v>10</v>
  </rv>
  <rv s="6">
    <fb>51.935000000000002</fb>
    <v>11</v>
  </rv>
  <rv s="6">
    <fb>50.912500000000001</fb>
    <v>11</v>
  </rv>
  <rv s="6">
    <fb>52.432499999999997</fb>
    <v>11</v>
  </rv>
  <rv s="6">
    <fb>50.902500000000003</fb>
    <v>11</v>
  </rv>
  <rv s="6">
    <fb>87153145</fb>
    <v>12</v>
  </rv>
  <rv s="6">
    <fb>43675</fb>
    <v>10</v>
  </rv>
  <rv s="6">
    <fb>51.005000000000003</fb>
    <v>11</v>
  </rv>
  <rv s="6">
    <fb>52.115000000000002</fb>
    <v>11</v>
  </rv>
  <rv s="6">
    <fb>55.342500000000001</fb>
    <v>11</v>
  </rv>
  <rv s="6">
    <fb>50.407499999999999</fb>
    <v>11</v>
  </rv>
  <rv s="6">
    <fb>219770512</fb>
    <v>12</v>
  </rv>
  <rv s="6">
    <fb>43682</fb>
    <v>10</v>
  </rv>
  <rv s="6">
    <fb>50.247500000000002</fb>
    <v>11</v>
  </rv>
  <rv s="6">
    <fb>49.497500000000002</fb>
    <v>11</v>
  </rv>
  <rv s="6">
    <fb>50.8825</fb>
    <v>11</v>
  </rv>
  <rv s="6">
    <fb>48.145000000000003</fb>
    <v>11</v>
  </rv>
  <rv s="6">
    <fb>173211425</fb>
    <v>12</v>
  </rv>
  <rv s="6">
    <fb>43689</fb>
    <v>10</v>
  </rv>
  <rv s="6">
    <fb>49.905000000000001</fb>
    <v>11</v>
  </rv>
  <rv s="6">
    <fb>53.034999999999997</fb>
    <v>11</v>
  </rv>
  <rv s="6">
    <fb>49.787500000000001</fb>
    <v>11</v>
  </rv>
  <rv s="6">
    <fb>163266105</fb>
    <v>12</v>
  </rv>
  <rv s="6">
    <fb>43696</fb>
    <v>10</v>
  </rv>
  <rv s="6">
    <fb>50.66</fb>
    <v>11</v>
  </rv>
  <rv s="6">
    <fb>52.655000000000001</fb>
    <v>11</v>
  </rv>
  <rv s="6">
    <fb>53.608800000000002</fb>
    <v>11</v>
  </rv>
  <rv s="6">
    <fb>50.25</fb>
    <v>11</v>
  </rv>
  <rv s="6">
    <fb>142066853</fb>
    <v>12</v>
  </rv>
  <rv s="6">
    <fb>43703</fb>
    <v>10</v>
  </rv>
  <rv s="6">
    <fb>51.465000000000003</fb>
    <v>11</v>
  </rv>
  <rv s="6">
    <fb>52.612499999999997</fb>
    <v>11</v>
  </rv>
  <rv s="6">
    <fb>50.83</fb>
    <v>11</v>
  </rv>
  <rv s="6">
    <fb>110091319</fb>
    <v>12</v>
  </rv>
  <rv s="6">
    <fb>43711</fb>
    <v>10</v>
  </rv>
  <rv s="6">
    <fb>53.314999999999998</fb>
    <v>11</v>
  </rv>
  <rv s="6">
    <fb>51.607500000000002</fb>
    <v>11</v>
  </rv>
  <rv s="6">
    <fb>53.604999999999997</fb>
    <v>11</v>
  </rv>
  <rv s="6">
    <fb>51.055</fb>
    <v>11</v>
  </rv>
  <rv s="6">
    <fb>82585672</fb>
    <v>12</v>
  </rv>
  <rv s="6">
    <fb>43717</fb>
    <v>10</v>
  </rv>
  <rv s="6">
    <fb>54.6875</fb>
    <v>11</v>
  </rv>
  <rv s="6">
    <fb>53.71</fb>
    <v>11</v>
  </rv>
  <rv s="6">
    <fb>56.604999999999997</fb>
    <v>11</v>
  </rv>
  <rv s="6">
    <fb>52.767499999999998</fb>
    <v>11</v>
  </rv>
  <rv s="6">
    <fb>175366943</fb>
    <v>12</v>
  </rv>
  <rv s="6">
    <fb>43724</fb>
    <v>10</v>
  </rv>
  <rv s="6">
    <fb>54.432499999999997</fb>
    <v>11</v>
  </rv>
  <rv s="6">
    <fb>55.94</fb>
    <v>11</v>
  </rv>
  <rv s="6">
    <fb>54.368299999999998</fb>
    <v>11</v>
  </rv>
  <rv s="6">
    <fb>145352672</fb>
    <v>12</v>
  </rv>
  <rv s="6">
    <fb>43731</fb>
    <v>10</v>
  </rv>
  <rv s="6">
    <fb>54.704999999999998</fb>
    <v>11</v>
  </rv>
  <rv s="6">
    <fb>54.737499999999997</fb>
    <v>11</v>
  </rv>
  <rv s="6">
    <fb>55.622500000000002</fb>
    <v>11</v>
  </rv>
  <rv s="6">
    <fb>54.2851</fb>
    <v>11</v>
  </rv>
  <rv s="6">
    <fb>117784618</fb>
    <v>12</v>
  </rv>
  <rv s="6">
    <fb>43738</fb>
    <v>10</v>
  </rv>
  <rv s="6">
    <fb>56.752499999999998</fb>
    <v>11</v>
  </rv>
  <rv s="6">
    <fb>55.225000000000001</fb>
    <v>11</v>
  </rv>
  <rv s="6">
    <fb>57.055</fb>
    <v>11</v>
  </rv>
  <rv s="6">
    <fb>53.783000000000001</fb>
    <v>11</v>
  </rv>
  <rv s="6">
    <fb>163381242</fb>
    <v>12</v>
  </rv>
  <rv s="6">
    <fb>43745</fb>
    <v>10</v>
  </rv>
  <rv s="6">
    <fb>59.052500000000002</fb>
    <v>11</v>
  </rv>
  <rv s="6">
    <fb>56.567500000000003</fb>
    <v>11</v>
  </rv>
  <rv s="6">
    <fb>59.41</fb>
    <v>11</v>
  </rv>
  <rv s="6">
    <fb>56.082500000000003</fb>
    <v>11</v>
  </rv>
  <rv s="6">
    <fb>149863370</fb>
    <v>12</v>
  </rv>
  <rv s="6">
    <fb>43752</fb>
    <v>10</v>
  </rv>
  <rv s="6">
    <fb>59.102499999999999</fb>
    <v>11</v>
  </rv>
  <rv s="6">
    <fb>58.725000000000001</fb>
    <v>11</v>
  </rv>
  <rv s="6">
    <fb>59.5336</fb>
    <v>11</v>
  </rv>
  <rv s="6">
    <fb>58.3</fb>
    <v>11</v>
  </rv>
  <rv s="6">
    <fb>108390724</fb>
    <v>12</v>
  </rv>
  <rv s="6">
    <fb>43759</fb>
    <v>10</v>
  </rv>
  <rv s="6">
    <fb>61.645000000000003</fb>
    <v>11</v>
  </rv>
  <rv s="6">
    <fb>59.38</fb>
    <v>11</v>
  </rv>
  <rv s="6">
    <fb>61.682499999999997</fb>
    <v>11</v>
  </rv>
  <rv s="6">
    <fb>59.33</fb>
    <v>11</v>
  </rv>
  <rv s="6">
    <fb>101269580</fb>
    <v>12</v>
  </rv>
  <rv s="6">
    <fb>43766</fb>
    <v>10</v>
  </rv>
  <rv s="6">
    <fb>63.954999999999998</fb>
    <v>11</v>
  </rv>
  <rv s="6">
    <fb>61.854999999999997</fb>
    <v>11</v>
  </rv>
  <rv s="6">
    <fb>63.982500000000002</fb>
    <v>11</v>
  </rv>
  <rv s="6">
    <fb>59.314999999999998</fb>
    <v>11</v>
  </rv>
  <rv s="6">
    <fb>163555484</fb>
    <v>12</v>
  </rv>
  <rv s="6">
    <fb>43773</fb>
    <v>10</v>
  </rv>
  <rv s="6">
    <fb>65.034999999999997</fb>
    <v>11</v>
  </rv>
  <rv s="6">
    <fb>64.332499999999996</fb>
    <v>11</v>
  </rv>
  <rv s="6">
    <fb>65.11</fb>
    <v>11</v>
  </rv>
  <rv s="6">
    <fb>63.841299999999997</fb>
    <v>11</v>
  </rv>
  <rv s="6">
    <fb>105793905</fb>
    <v>12</v>
  </rv>
  <rv s="6">
    <fb>43780</fb>
    <v>10</v>
  </rv>
  <rv s="6">
    <fb>66.44</fb>
    <v>11</v>
  </rv>
  <rv s="6">
    <fb>64.575000000000003</fb>
    <v>11</v>
  </rv>
  <rv s="6">
    <fb>66.444999999999993</fb>
    <v>11</v>
  </rv>
  <rv s="6">
    <fb>64.569999999999993</fb>
    <v>11</v>
  </rv>
  <rv s="6">
    <fb>115661500</fb>
    <v>12</v>
  </rv>
  <rv s="6">
    <fb>43787</fb>
    <v>10</v>
  </rv>
  <rv s="6">
    <fb>65.444999999999993</fb>
    <v>11</v>
  </rv>
  <rv s="6">
    <fb>66.45</fb>
    <v>11</v>
  </rv>
  <rv s="6">
    <fb>67</fb>
    <v>11</v>
  </rv>
  <rv s="6">
    <fb>65.099999999999994</fb>
    <v>11</v>
  </rv>
  <rv s="6">
    <fb>114060454</fb>
    <v>12</v>
  </rv>
  <rv s="6">
    <fb>43794</fb>
    <v>10</v>
  </rv>
  <rv s="6">
    <fb>66.8125</fb>
    <v>11</v>
  </rv>
  <rv s="6">
    <fb>65.677499999999995</fb>
    <v>11</v>
  </rv>
  <rv s="6">
    <fb>65.625</fb>
    <v>11</v>
  </rv>
  <rv s="6">
    <fb>75403134</fb>
    <v>12</v>
  </rv>
  <rv s="6">
    <fb>43801</fb>
    <v>10</v>
  </rv>
  <rv s="6">
    <fb>67.677499999999995</fb>
    <v>11</v>
  </rv>
  <rv s="6">
    <fb>66.817499999999995</fb>
    <v>11</v>
  </rv>
  <rv s="6">
    <fb>67.75</fb>
    <v>11</v>
  </rv>
  <rv s="6">
    <fb>64.072500000000005</fb>
    <v>11</v>
  </rv>
  <rv s="6">
    <fb>113373764</fb>
    <v>12</v>
  </rv>
  <rv s="6">
    <fb>43808</fb>
    <v>10</v>
  </rv>
  <rv s="6">
    <fb>68.787499999999994</fb>
    <v>11</v>
  </rv>
  <rv s="6">
    <fb>67.5</fb>
    <v>11</v>
  </rv>
  <rv s="6">
    <fb>68.825000000000003</fb>
    <v>11</v>
  </rv>
  <rv s="6">
    <fb>66.227500000000006</fb>
    <v>11</v>
  </rv>
  <rv s="6">
    <fb>140985773</fb>
    <v>12</v>
  </rv>
  <rv s="6">
    <fb>43815</fb>
    <v>10</v>
  </rv>
  <rv s="6">
    <fb>69.86</fb>
    <v>11</v>
  </rv>
  <rv s="6">
    <fb>69.25</fb>
    <v>11</v>
  </rv>
  <rv s="6">
    <fb>70.662499999999994</fb>
    <v>11</v>
  </rv>
  <rv s="6">
    <fb>69.245000000000005</fb>
    <v>11</v>
  </rv>
  <rv s="6">
    <fb>183341280</fb>
    <v>12</v>
  </rv>
  <rv s="6">
    <fb>43822</fb>
    <v>10</v>
  </rv>
  <rv s="6">
    <fb>72.45</fb>
    <v>11</v>
  </rv>
  <rv s="6">
    <fb>70.132499999999993</fb>
    <v>11</v>
  </rv>
  <rv s="6">
    <fb>73.492500000000007</fb>
    <v>11</v>
  </rv>
  <rv s="6">
    <fb>70.093400000000003</fb>
    <v>11</v>
  </rv>
  <rv s="6">
    <fb>96724537</fb>
    <v>12</v>
  </rv>
  <rv s="6">
    <fb>43829</fb>
    <v>10</v>
  </rv>
  <rv s="6">
    <fb>74.357500000000002</fb>
    <v>11</v>
  </rv>
  <rv s="6">
    <fb>72.364999999999995</fb>
    <v>11</v>
  </rv>
  <rv s="6">
    <fb>75.150000000000006</fb>
    <v>11</v>
  </rv>
  <rv s="6">
    <fb>71.305000000000007</fb>
    <v>11</v>
  </rv>
  <rv s="6">
    <fb>131138568</fb>
    <v>12</v>
  </rv>
  <rv s="6">
    <fb>43836</fb>
    <v>10</v>
  </rv>
  <rv s="6">
    <fb>77.582499999999996</fb>
    <v>11</v>
  </rv>
  <rv s="6">
    <fb>73.447500000000005</fb>
    <v>11</v>
  </rv>
  <rv s="6">
    <fb>78.167500000000004</fb>
    <v>11</v>
  </rv>
  <rv s="6">
    <fb>73.1875</fb>
    <v>11</v>
  </rv>
  <rv s="6">
    <fb>168111555</fb>
    <v>12</v>
  </rv>
  <rv s="6">
    <fb>43843</fb>
    <v>10</v>
  </rv>
  <rv s="6">
    <fb>79.682500000000005</fb>
    <v>11</v>
  </rv>
  <rv s="6">
    <fb>77.91</fb>
    <v>11</v>
  </rv>
  <rv s="6">
    <fb>79.685000000000002</fb>
    <v>11</v>
  </rv>
  <rv s="6">
    <fb>77.387500000000003</fb>
    <v>11</v>
  </rv>
  <rv s="6">
    <fb>162322438</fb>
    <v>12</v>
  </rv>
  <rv s="6">
    <fb>43851</fb>
    <v>10</v>
  </rv>
  <rv s="6">
    <fb>79.577500000000001</fb>
    <v>11</v>
  </rv>
  <rv s="6">
    <fb>79.297499999999999</fb>
    <v>11</v>
  </rv>
  <rv s="6">
    <fb>80.832499999999996</fb>
    <v>11</v>
  </rv>
  <rv s="6">
    <fb>78.912499999999994</fb>
    <v>11</v>
  </rv>
  <rv s="6">
    <fb>115734332</fb>
    <v>12</v>
  </rv>
  <rv s="6">
    <fb>43857</fb>
    <v>10</v>
  </rv>
  <rv s="6">
    <fb>77.377499999999998</fb>
    <v>11</v>
  </rv>
  <rv s="6">
    <fb>77.515000000000001</fb>
    <v>11</v>
  </rv>
  <rv s="6">
    <fb>81.962500000000006</fb>
    <v>11</v>
  </rv>
  <rv s="6">
    <fb>76.22</fb>
    <v>11</v>
  </rv>
  <rv s="6">
    <fb>208852369</fb>
    <v>12</v>
  </rv>
  <rv s="6">
    <fb>43864</fb>
    <v>10</v>
  </rv>
  <rv s="6">
    <fb>80.007499999999993</fb>
    <v>11</v>
  </rv>
  <rv s="6">
    <fb>76.075000000000003</fb>
    <v>11</v>
  </rv>
  <rv s="6">
    <fb>81.305000000000007</fb>
    <v>11</v>
  </rv>
  <rv s="6">
    <fb>75.555000000000007</fb>
    <v>11</v>
  </rv>
  <rv s="6">
    <fb>162483195</fb>
    <v>12</v>
  </rv>
  <rv s="6">
    <fb>43871</fb>
    <v>10</v>
  </rv>
  <rv s="6">
    <fb>81.237499999999997</fb>
    <v>11</v>
  </rv>
  <rv s="6">
    <fb>78.545000000000002</fb>
    <v>11</v>
  </rv>
  <rv s="6">
    <fb>81.805000000000007</fb>
    <v>11</v>
  </rv>
  <rv s="6">
    <fb>78.462500000000006</fb>
    <v>11</v>
  </rv>
  <rv s="6">
    <fb>122923560</fb>
    <v>12</v>
  </rv>
  <rv s="6">
    <fb>43879</fb>
    <v>10</v>
  </rv>
  <rv s="6">
    <fb>78.262500000000003</fb>
    <v>11</v>
  </rv>
  <rv s="6">
    <fb>78.84</fb>
    <v>11</v>
  </rv>
  <rv s="6">
    <fb>81.162499999999994</fb>
    <v>11</v>
  </rv>
  <rv s="6">
    <fb>77.625</fb>
    <v>11</v>
  </rv>
  <rv s="6">
    <fb>118970437</fb>
    <v>12</v>
  </rv>
  <rv s="6">
    <fb>43885</fb>
    <v>10</v>
  </rv>
  <rv s="6">
    <fb>68.34</fb>
    <v>11</v>
  </rv>
  <rv s="6">
    <fb>74.314999999999998</fb>
    <v>11</v>
  </rv>
  <rv s="6">
    <fb>76.045000000000002</fb>
    <v>11</v>
  </rv>
  <rv s="6">
    <fb>64.092500000000001</fb>
    <v>11</v>
  </rv>
  <rv s="6">
    <fb>348295432</fb>
    <v>12</v>
  </rv>
  <rv s="6">
    <fb>43892</fb>
    <v>10</v>
  </rv>
  <rv s="6">
    <fb>72.257499999999993</fb>
    <v>11</v>
  </rv>
  <rv s="6">
    <fb>70.569999999999993</fb>
    <v>11</v>
  </rv>
  <rv s="6">
    <fb>76</fb>
    <v>11</v>
  </rv>
  <rv s="6">
    <fb>69.430000000000007</fb>
    <v>11</v>
  </rv>
  <rv s="6">
    <fb>322985590</fb>
    <v>12</v>
  </rv>
  <rv s="6">
    <fb>43899</fb>
    <v>10</v>
  </rv>
  <rv s="6">
    <fb>69.492500000000007</fb>
    <v>11</v>
  </rv>
  <rv s="6">
    <fb>65.9375</fb>
    <v>11</v>
  </rv>
  <rv s="6">
    <fb>71.61</fb>
    <v>11</v>
  </rv>
  <rv s="6">
    <fb>62</fb>
    <v>11</v>
  </rv>
  <rv s="6">
    <fb>402628434</fb>
    <v>12</v>
  </rv>
  <rv s="6">
    <fb>43906</fb>
    <v>10</v>
  </rv>
  <rv s="6">
    <fb>57.31</fb>
    <v>11</v>
  </rv>
  <rv s="6">
    <fb>60.487499999999997</fb>
    <v>11</v>
  </rv>
  <rv s="6">
    <fb>64.77</fb>
    <v>11</v>
  </rv>
  <rv s="6">
    <fb>57</fb>
    <v>11</v>
  </rv>
  <rv s="6">
    <fb>404354970</fb>
    <v>12</v>
  </rv>
  <rv s="6">
    <fb>43913</fb>
    <v>10</v>
  </rv>
  <rv s="6">
    <fb>61.935000000000002</fb>
    <v>11</v>
  </rv>
  <rv s="6">
    <fb>57.02</fb>
    <v>11</v>
  </rv>
  <rv s="6">
    <fb>64.67</fb>
    <v>11</v>
  </rv>
  <rv s="6">
    <fb>53.152500000000003</fb>
    <v>11</v>
  </rv>
  <rv s="6">
    <fb>346165813</fb>
    <v>12</v>
  </rv>
  <rv s="6">
    <fb>43920</fb>
    <v>10</v>
  </rv>
  <rv s="6">
    <fb>60.352499999999999</fb>
    <v>11</v>
  </rv>
  <rv s="6">
    <fb>62.685000000000002</fb>
    <v>11</v>
  </rv>
  <rv s="6">
    <fb>65.622500000000002</fb>
    <v>11</v>
  </rv>
  <rv s="6">
    <fb>59.225000000000001</fb>
    <v>11</v>
  </rv>
  <rv s="6">
    <fb>208858835</fb>
    <v>12</v>
  </rv>
  <rv s="6">
    <fb>43927</fb>
    <v>10</v>
  </rv>
  <rv s="6">
    <fb>66.997500000000002</fb>
    <v>11</v>
  </rv>
  <rv s="6">
    <fb>62.725000000000001</fb>
    <v>11</v>
  </rv>
  <rv s="6">
    <fb>67.924999999999997</fb>
    <v>11</v>
  </rv>
  <rv s="6">
    <fb>62.344999999999999</fb>
    <v>11</v>
  </rv>
  <rv s="6">
    <fb>182915363</fb>
    <v>12</v>
  </rv>
  <rv s="6">
    <fb>43934</fb>
    <v>10</v>
  </rv>
  <rv s="6">
    <fb>70.7</fb>
    <v>11</v>
  </rv>
  <rv s="6">
    <fb>67.077500000000001</fb>
    <v>11</v>
  </rv>
  <rv s="6">
    <fb>72.0625</fb>
    <v>11</v>
  </rv>
  <rv s="6">
    <fb>66.457499999999996</fb>
    <v>11</v>
  </rv>
  <rv s="6">
    <fb>206105489</fb>
    <v>12</v>
  </rv>
  <rv s="6">
    <fb>43941</fb>
    <v>10</v>
  </rv>
  <rv s="6">
    <fb>70.742500000000007</fb>
    <v>11</v>
  </rv>
  <rv s="6">
    <fb>69.487499999999997</fb>
    <v>11</v>
  </rv>
  <rv s="6">
    <fb>70.752499999999998</fb>
    <v>11</v>
  </rv>
  <rv s="6">
    <fb>66.357500000000002</fb>
    <v>11</v>
  </rv>
  <rv s="6">
    <fb>168460455</fb>
    <v>12</v>
  </rv>
  <rv s="6">
    <fb>43948</fb>
    <v>10</v>
  </rv>
  <rv s="6">
    <fb>72.267499999999998</fb>
    <v>11</v>
  </rv>
  <rv s="6">
    <fb>70.45</fb>
    <v>11</v>
  </rv>
  <rv s="6">
    <fb>74.75</fb>
    <v>11</v>
  </rv>
  <rv s="6">
    <fb>69.55</fb>
    <v>11</v>
  </rv>
  <rv s="6">
    <fb>197513427</fb>
    <v>12</v>
  </rv>
  <rv s="6">
    <fb>43955</fb>
    <v>10</v>
  </rv>
  <rv s="6">
    <fb>77.532499999999999</fb>
    <v>11</v>
  </rv>
  <rv s="6">
    <fb>72.292500000000004</fb>
    <v>11</v>
  </rv>
  <rv s="6">
    <fb>77.587500000000006</fb>
    <v>11</v>
  </rv>
  <rv s="6">
    <fb>71.579300000000003</fb>
    <v>11</v>
  </rv>
  <rv s="6">
    <fb>167845547</fb>
    <v>12</v>
  </rv>
  <rv s="6">
    <fb>43962</fb>
    <v>10</v>
  </rv>
  <rv s="6">
    <fb>76.927499999999995</fb>
    <v>11</v>
  </rv>
  <rv s="6">
    <fb>77.025000000000006</fb>
    <v>11</v>
  </rv>
  <rv s="6">
    <fb>79.921999999999997</fb>
    <v>11</v>
  </rv>
  <rv s="6">
    <fb>75.052499999999995</fb>
    <v>11</v>
  </rv>
  <rv s="6">
    <fb>207823935</fb>
    <v>12</v>
  </rv>
  <rv s="6">
    <fb>43969</fb>
    <v>10</v>
  </rv>
  <rv s="6">
    <fb>79.722499999999997</fb>
    <v>11</v>
  </rv>
  <rv s="6">
    <fb>78.292500000000004</fb>
    <v>11</v>
  </rv>
  <rv s="6">
    <fb>80.222499999999997</fb>
    <v>11</v>
  </rv>
  <rv s="6">
    <fb>77.581000000000003</fb>
    <v>11</v>
  </rv>
  <rv s="6">
    <fb>132970476</fb>
    <v>12</v>
  </rv>
  <rv s="6">
    <fb>43977</fb>
    <v>10</v>
  </rv>
  <rv s="6">
    <fb>79.484999999999999</fb>
    <v>11</v>
  </rv>
  <rv s="6">
    <fb>80.875</fb>
    <v>11</v>
  </rv>
  <rv s="6">
    <fb>81.06</fb>
    <v>11</v>
  </rv>
  <rv s="6">
    <fb>78.272499999999994</fb>
    <v>11</v>
  </rv>
  <rv s="6">
    <fb>130318981</fb>
    <v>12</v>
  </rv>
  <rv s="6">
    <fb>43983</fb>
    <v>10</v>
  </rv>
  <rv s="6">
    <fb>82.875</fb>
    <v>11</v>
  </rv>
  <rv s="6">
    <fb>79.4375</fb>
    <v>11</v>
  </rv>
  <rv s="6">
    <fb>82.9375</fb>
    <v>11</v>
  </rv>
  <rv s="6">
    <fb>79.302499999999995</fb>
    <v>11</v>
  </rv>
  <rv s="6">
    <fb>123777291</fb>
    <v>12</v>
  </rv>
  <rv s="6">
    <fb>43990</fb>
    <v>10</v>
  </rv>
  <rv s="6">
    <fb>84.7</fb>
    <v>11</v>
  </rv>
  <rv s="6">
    <fb>82.5625</fb>
    <v>11</v>
  </rv>
  <rv s="6">
    <fb>88.692499999999995</fb>
    <v>11</v>
  </rv>
  <rv s="6">
    <fb>81.83</fb>
    <v>11</v>
  </rv>
  <rv s="6">
    <fb>200256184</fb>
    <v>12</v>
  </rv>
  <rv s="6">
    <fb>43997</fb>
    <v>10</v>
  </rv>
  <rv s="6">
    <fb>87.43</fb>
    <v>11</v>
  </rv>
  <rv s="6">
    <fb>83.3125</fb>
    <v>11</v>
  </rv>
  <rv s="6">
    <fb>89.14</fb>
    <v>11</v>
  </rv>
  <rv s="6">
    <fb>83.144999999999996</fb>
    <v>11</v>
  </rv>
  <rv s="6">
    <fb>192898592</fb>
    <v>12</v>
  </rv>
  <rv s="6">
    <fb>44004</fb>
    <v>10</v>
  </rv>
  <rv s="6">
    <fb>88.407499999999999</fb>
    <v>11</v>
  </rv>
  <rv s="6">
    <fb>87.834999999999994</fb>
    <v>11</v>
  </rv>
  <rv s="6">
    <fb>93.094999999999999</fb>
    <v>11</v>
  </rv>
  <rv s="6">
    <fb>87.787499999999994</fb>
    <v>11</v>
  </rv>
  <rv s="6">
    <fb>219534883</fb>
    <v>12</v>
  </rv>
  <rv s="6">
    <fb>44011</fb>
    <v>10</v>
  </rv>
  <rv s="6">
    <fb>91.027500000000003</fb>
    <v>11</v>
  </rv>
  <rv s="6">
    <fb>88.3125</fb>
    <v>11</v>
  </rv>
  <rv s="6">
    <fb>92.617500000000007</fb>
    <v>11</v>
  </rv>
  <rv s="6">
    <fb>87.82</fb>
    <v>11</v>
  </rv>
  <rv s="6">
    <fb>123653969</fb>
    <v>12</v>
  </rv>
  <rv s="6">
    <fb>44018</fb>
    <v>10</v>
  </rv>
  <rv s="6">
    <fb>95.92</fb>
    <v>11</v>
  </rv>
  <rv s="6">
    <fb>92.5</fb>
    <v>11</v>
  </rv>
  <rv s="6">
    <fb>96.317499999999995</fb>
    <v>11</v>
  </rv>
  <rv s="6">
    <fb>92.467500000000001</fb>
    <v>11</v>
  </rv>
  <rv s="6">
    <fb>140034250</fb>
    <v>12</v>
  </rv>
  <rv s="6">
    <fb>44025</fb>
    <v>10</v>
  </rv>
  <rv s="6">
    <fb>96.327500000000001</fb>
    <v>11</v>
  </rv>
  <rv s="6">
    <fb>97.265000000000001</fb>
    <v>11</v>
  </rv>
  <rv s="6">
    <fb>99.954999999999998</fb>
    <v>11</v>
  </rv>
  <rv s="6">
    <fb>93.877499999999998</fb>
    <v>11</v>
  </rv>
  <rv s="6">
    <fb>178622180</fb>
    <v>12</v>
  </rv>
  <rv s="6">
    <fb>44032</fb>
    <v>10</v>
  </rv>
  <rv s="6">
    <fb>92.614999999999995</fb>
    <v>11</v>
  </rv>
  <rv s="6">
    <fb>96.416300000000007</fb>
    <v>11</v>
  </rv>
  <rv s="6">
    <fb>99.25</fb>
    <v>11</v>
  </rv>
  <rv s="6">
    <fb>89.144999999999996</fb>
    <v>11</v>
  </rv>
  <rv s="6">
    <fb>163820147</fb>
    <v>12</v>
  </rv>
  <rv s="6">
    <fb>44039</fb>
    <v>10</v>
  </rv>
  <rv s="6">
    <fb>106.26</fb>
    <v>11</v>
  </rv>
  <rv s="6">
    <fb>93.71</fb>
    <v>11</v>
  </rv>
  <rv s="6">
    <fb>106.41500000000001</fb>
    <v>11</v>
  </rv>
  <rv s="6">
    <fb>93.247500000000002</fb>
    <v>11</v>
  </rv>
  <rv s="6">
    <fb>203554426</fb>
    <v>12</v>
  </rv>
  <rv s="6">
    <fb>44046</fb>
    <v>10</v>
  </rv>
  <rv s="6">
    <fb>111.1125</fb>
    <v>11</v>
  </rv>
  <rv s="6">
    <fb>108.2</fb>
    <v>11</v>
  </rv>
  <rv s="6">
    <fb>114.41249999999999</fb>
    <v>11</v>
  </rv>
  <rv s="6">
    <fb>107.8925</fb>
    <v>11</v>
  </rv>
  <rv s="6">
    <fb>248864024</fb>
    <v>12</v>
  </rv>
  <rv s="6">
    <fb>44053</fb>
    <v>10</v>
  </rv>
  <rv s="6">
    <fb>114.9075</fb>
    <v>11</v>
  </rv>
  <rv s="6">
    <fb>112.6</fb>
    <v>11</v>
  </rv>
  <rv s="6">
    <fb>116.0425</fb>
    <v>11</v>
  </rv>
  <rv s="6">
    <fb>109.1067</fb>
    <v>11</v>
  </rv>
  <rv s="6">
    <fb>234587391</fb>
    <v>12</v>
  </rv>
  <rv s="6">
    <fb>44060</fb>
    <v>10</v>
  </rv>
  <rv s="6">
    <fb>124.37</fb>
    <v>11</v>
  </rv>
  <rv s="6">
    <fb>116.0625</fb>
    <v>11</v>
  </rv>
  <rv s="6">
    <fb>124.86799999999999</fb>
    <v>11</v>
  </rv>
  <rv s="6">
    <fb>113.96250000000001</fb>
    <v>11</v>
  </rv>
  <rv s="6">
    <fb>208281800</fb>
    <v>12</v>
  </rv>
  <rv s="6">
    <fb>44067</fb>
    <v>10</v>
  </rv>
  <rv s="6">
    <fb>124.8075</fb>
    <v>11</v>
  </rv>
  <rv s="6">
    <fb>128.69749999999999</fb>
    <v>11</v>
  </rv>
  <rv s="6">
    <fb>128.785</fb>
    <v>11</v>
  </rv>
  <rv s="6">
    <fb>123.05249999999999</fb>
    <v>11</v>
  </rv>
  <rv s="6">
    <fb>264421233</fb>
    <v>12</v>
  </rv>
  <rv s="6">
    <fb>44074</fb>
    <v>10</v>
  </rv>
  <rv s="6">
    <fb>120.96</fb>
    <v>11</v>
  </rv>
  <rv s="6">
    <fb>127.58</fb>
    <v>11</v>
  </rv>
  <rv s="6">
    <fb>137.97999999999999</fb>
    <v>11</v>
  </rv>
  <rv s="6">
    <fb>110.89</fb>
    <v>11</v>
  </rv>
  <rv s="6">
    <fb>1155704851</fb>
    <v>12</v>
  </rv>
  <rv s="6">
    <fb>44082</fb>
    <v>10</v>
  </rv>
  <rv s="6">
    <fb>112</fb>
    <v>11</v>
  </rv>
  <rv s="6">
    <fb>113.95</fb>
    <v>11</v>
  </rv>
  <rv s="6">
    <fb>120.5</fb>
    <v>11</v>
  </rv>
  <rv s="6">
    <fb>110</fb>
    <v>11</v>
  </rv>
  <rv s="6">
    <fb>758002424</fb>
    <v>12</v>
  </rv>
  <rv s="6">
    <fb>44088</fb>
    <v>10</v>
  </rv>
  <rv s="6">
    <fb>106.84</fb>
    <v>11</v>
  </rv>
  <rv s="6">
    <fb>114.72</fb>
    <v>11</v>
  </rv>
  <rv s="6">
    <fb>118.82899999999999</fb>
    <v>11</v>
  </rv>
  <rv s="6">
    <fb>106.09</fb>
    <v>11</v>
  </rv>
  <rv s="6">
    <fb>936721313</fb>
    <v>12</v>
  </rv>
  <rv s="6">
    <fb>44095</fb>
    <v>10</v>
  </rv>
  <rv s="6">
    <fb>112.28</fb>
    <v>11</v>
  </rv>
  <rv s="6">
    <fb>104.54</fb>
    <v>11</v>
  </rv>
  <rv s="6">
    <fb>112.86</fb>
    <v>11</v>
  </rv>
  <rv s="6">
    <fb>103.1</fb>
    <v>11</v>
  </rv>
  <rv s="6">
    <fb>838071542</fb>
    <v>12</v>
  </rv>
  <rv s="6">
    <fb>44102</fb>
    <v>10</v>
  </rv>
  <rv s="6">
    <fb>113.02</fb>
    <v>11</v>
  </rv>
  <rv s="6">
    <fb>115.01</fb>
    <v>11</v>
  </rv>
  <rv s="6">
    <fb>117.72</fb>
    <v>11</v>
  </rv>
  <rv s="6">
    <fb>112.22</fb>
    <v>11</v>
  </rv>
  <rv s="6">
    <fb>636665070</fb>
    <v>12</v>
  </rv>
  <rv s="6">
    <fb>44109</fb>
    <v>10</v>
  </rv>
  <rv s="6">
    <fb>116.97</fb>
    <v>11</v>
  </rv>
  <rv s="6">
    <fb>113.91</fb>
    <v>11</v>
  </rv>
  <rv s="6">
    <fb>117</fb>
    <v>11</v>
  </rv>
  <rv s="6">
    <fb>112.25</fb>
    <v>11</v>
  </rv>
  <rv s="6">
    <fb>545141382</fb>
    <v>12</v>
  </rv>
  <rv s="6">
    <fb>44116</fb>
    <v>10</v>
  </rv>
  <rv s="6">
    <fb>119.02</fb>
    <v>11</v>
  </rv>
  <rv s="6">
    <fb>120.06</fb>
    <v>11</v>
  </rv>
  <rv s="6">
    <fb>125.39</fb>
    <v>11</v>
  </rv>
  <rv s="6">
    <fb>118.15</fb>
    <v>11</v>
  </rv>
  <rv s="6">
    <fb>875555946</fb>
    <v>12</v>
  </rv>
  <rv s="6">
    <fb>44123</fb>
    <v>10</v>
  </rv>
  <rv s="6">
    <fb>115.04</fb>
    <v>11</v>
  </rv>
  <rv s="6">
    <fb>119.96</fb>
    <v>11</v>
  </rv>
  <rv s="6">
    <fb>120.419</fb>
    <v>11</v>
  </rv>
  <rv s="6">
    <fb>114.28</fb>
    <v>11</v>
  </rv>
  <rv s="6">
    <fb>516833892</fb>
    <v>12</v>
  </rv>
  <rv s="6">
    <fb>44130</fb>
    <v>10</v>
  </rv>
  <rv s="6">
    <fb>108.86</fb>
    <v>11</v>
  </rv>
  <rv s="6">
    <fb>114.01</fb>
    <v>11</v>
  </rv>
  <rv s="6">
    <fb>117.28</fb>
    <v>11</v>
  </rv>
  <rv s="6">
    <fb>107.72</fb>
    <v>11</v>
  </rv>
  <rv s="6">
    <fb>683918815</fb>
    <v>12</v>
  </rv>
  <rv s="6">
    <fb>44137</fb>
    <v>10</v>
  </rv>
  <rv s="6">
    <fb>118.69</fb>
    <v>11</v>
  </rv>
  <rv s="6">
    <fb>109.11</fb>
    <v>11</v>
  </rv>
  <rv s="6">
    <fb>119.62</fb>
    <v>11</v>
  </rv>
  <rv s="6">
    <fb>107.32</fb>
    <v>11</v>
  </rv>
  <rv s="6">
    <fb>606687018</fb>
    <v>12</v>
  </rv>
  <rv s="6">
    <fb>44144</fb>
    <v>10</v>
  </rv>
  <rv s="6">
    <fb>119.26</fb>
    <v>11</v>
  </rv>
  <rv s="6">
    <fb>121.99</fb>
    <v>11</v>
  </rv>
  <rv s="6">
    <fb>114.13</fb>
    <v>11</v>
  </rv>
  <rv s="6">
    <fb>587521408</fb>
    <v>12</v>
  </rv>
  <rv s="6">
    <fb>44151</fb>
    <v>10</v>
  </rv>
  <rv s="6">
    <fb>117.34</fb>
    <v>11</v>
  </rv>
  <rv s="6">
    <fb>118.92</fb>
    <v>11</v>
  </rv>
  <rv s="6">
    <fb>120.99</fb>
    <v>11</v>
  </rv>
  <rv s="6">
    <fb>116.81</fb>
    <v>11</v>
  </rv>
  <rv s="6">
    <fb>383925283</fb>
    <v>12</v>
  </rv>
  <rv s="6">
    <fb>44158</fb>
    <v>10</v>
  </rv>
  <rv s="6">
    <fb>116.59</fb>
    <v>11</v>
  </rv>
  <rv s="6">
    <fb>117.18</fb>
    <v>11</v>
  </rv>
  <rv s="6">
    <fb>117.6202</fb>
    <v>11</v>
  </rv>
  <rv s="6">
    <fb>112.59</fb>
    <v>11</v>
  </rv>
  <rv s="6">
    <fb>363919155</fb>
    <v>12</v>
  </rv>
  <rv s="6">
    <fb>44165</fb>
    <v>10</v>
  </rv>
  <rv s="6">
    <fb>122.25</fb>
    <v>11</v>
  </rv>
  <rv s="6">
    <fb>123.78</fb>
    <v>11</v>
  </rv>
  <rv s="6">
    <fb>538543016</fb>
    <v>12</v>
  </rv>
  <rv s="6">
    <fb>44172</fb>
    <v>10</v>
  </rv>
  <rv s="6">
    <fb>122.41</fb>
    <v>11</v>
  </rv>
  <rv s="6">
    <fb>122.31</fb>
    <v>11</v>
  </rv>
  <rv s="6">
    <fb>125.95</fb>
    <v>11</v>
  </rv>
  <rv s="6">
    <fb>120.15</fb>
    <v>11</v>
  </rv>
  <rv s="6">
    <fb>448680004</fb>
    <v>12</v>
  </rv>
  <rv s="6">
    <fb>44179</fb>
    <v>10</v>
  </rv>
  <rv s="6">
    <fb>126.655</fb>
    <v>11</v>
  </rv>
  <rv s="6">
    <fb>122.6</fb>
    <v>11</v>
  </rv>
  <rv s="6">
    <fb>129.58000000000001</fb>
    <v>11</v>
  </rv>
  <rv s="6">
    <fb>121.54</fb>
    <v>11</v>
  </rv>
  <rv s="6">
    <fb>619124673</fb>
    <v>12</v>
  </rv>
  <rv s="6">
    <fb>44186</fb>
    <v>10</v>
  </rv>
  <rv s="6">
    <fb>131.97</fb>
    <v>11</v>
  </rv>
  <rv s="6">
    <fb>125.02</fb>
    <v>11</v>
  </rv>
  <rv s="6">
    <fb>134.405</fb>
    <v>11</v>
  </rv>
  <rv s="6">
    <fb>123.449</fb>
    <v>11</v>
  </rv>
  <rv s="6">
    <fb>431446326</fb>
    <v>12</v>
  </rv>
  <rv s="6">
    <fb>44193</fb>
    <v>10</v>
  </rv>
  <rv s="6">
    <fb>132.69</fb>
    <v>11</v>
  </rv>
  <rv s="6">
    <fb>133.99</fb>
    <v>11</v>
  </rv>
  <rv s="6">
    <fb>138.78899999999999</fb>
    <v>11</v>
  </rv>
  <rv s="6">
    <fb>131.72</fb>
    <v>11</v>
  </rv>
  <rv s="6">
    <fb>439050070</fb>
    <v>12</v>
  </rv>
  <rv s="6">
    <fb>44200</fb>
    <v>10</v>
  </rv>
  <rv s="6">
    <fb>132.05000000000001</fb>
    <v>11</v>
  </rv>
  <rv s="6">
    <fb>133.52000000000001</fb>
    <v>11</v>
  </rv>
  <rv s="6">
    <fb>133.61160000000001</fb>
    <v>11</v>
  </rv>
  <rv s="6">
    <fb>126.38200000000001</fb>
    <v>11</v>
  </rv>
  <rv s="6">
    <fb>606568502</fb>
    <v>12</v>
  </rv>
  <rv s="6">
    <fb>44207</fb>
    <v>10</v>
  </rv>
  <rv s="6">
    <fb>127.14</fb>
    <v>11</v>
  </rv>
  <rv s="6">
    <fb>129.19</fb>
    <v>11</v>
  </rv>
  <rv s="6">
    <fb>131.44999999999999</fb>
    <v>11</v>
  </rv>
  <rv s="6">
    <fb>126.86</fb>
    <v>11</v>
  </rv>
  <rv s="6">
    <fb>483029142</fb>
    <v>12</v>
  </rv>
  <rv s="6">
    <fb>44215</fb>
    <v>10</v>
  </rv>
  <rv s="6">
    <fb>139.07</fb>
    <v>11</v>
  </rv>
  <rv s="6">
    <fb>127.78</fb>
    <v>11</v>
  </rv>
  <rv s="6">
    <fb>139.85</fb>
    <v>11</v>
  </rv>
  <rv s="6">
    <fb>126.938</fb>
    <v>11</v>
  </rv>
  <rv s="6">
    <fb>430065722</fb>
    <v>12</v>
  </rv>
  <rv s="6">
    <fb>44221</fb>
    <v>10</v>
  </rv>
  <rv s="6">
    <fb>131.96</fb>
    <v>11</v>
  </rv>
  <rv s="6">
    <fb>143.07</fb>
    <v>11</v>
  </rv>
  <rv s="6">
    <fb>145.09</fb>
    <v>11</v>
  </rv>
  <rv s="6">
    <fb>130.21</fb>
    <v>11</v>
  </rv>
  <rv s="6">
    <fb>716990967</fb>
    <v>12</v>
  </rv>
  <rv s="6">
    <fb>44228</fb>
    <v>10</v>
  </rv>
  <rv s="6">
    <fb>136.76</fb>
    <v>11</v>
  </rv>
  <rv s="6">
    <fb>133.75</fb>
    <v>11</v>
  </rv>
  <rv s="6">
    <fb>137.41999999999999</fb>
    <v>11</v>
  </rv>
  <rv s="6">
    <fb>130.93</fb>
    <v>11</v>
  </rv>
  <rv s="6">
    <fb>439303018</fb>
    <v>12</v>
  </rv>
  <rv s="6">
    <fb>44235</fb>
    <v>10</v>
  </rv>
  <rv s="6">
    <fb>135.37</fb>
    <v>11</v>
  </rv>
  <rv s="6">
    <fb>136.03</fb>
    <v>11</v>
  </rv>
  <rv s="6">
    <fb>137.87700000000001</fb>
    <v>11</v>
  </rv>
  <rv s="6">
    <fb>133.69210000000001</fb>
    <v>11</v>
  </rv>
  <rv s="6">
    <fb>345543149</fb>
    <v>12</v>
  </rv>
  <rv s="6">
    <fb>44243</fb>
    <v>10</v>
  </rv>
  <rv s="6">
    <fb>129.87</fb>
    <v>11</v>
  </rv>
  <rv s="6">
    <fb>135.49</fb>
    <v>11</v>
  </rv>
  <rv s="6">
    <fb>136.01</fb>
    <v>11</v>
  </rv>
  <rv s="6">
    <fb>127.41</fb>
    <v>11</v>
  </rv>
  <rv s="6">
    <fb>363187147</fb>
    <v>12</v>
  </rv>
  <rv s="6">
    <fb>44249</fb>
    <v>10</v>
  </rv>
  <rv s="6">
    <fb>121.26</fb>
    <v>11</v>
  </rv>
  <rv s="6">
    <fb>128.01</fb>
    <v>11</v>
  </rv>
  <rv s="6">
    <fb>129.72</fb>
    <v>11</v>
  </rv>
  <rv s="6">
    <fb>118.39</fb>
    <v>11</v>
  </rv>
  <rv s="6">
    <fb>685989279</fb>
    <v>12</v>
  </rv>
  <rv s="6">
    <fb>44256</fb>
    <v>10</v>
  </rv>
  <rv s="6">
    <fb>121.42</fb>
    <v>11</v>
  </rv>
  <rv s="6">
    <fb>123.75</fb>
    <v>11</v>
  </rv>
  <rv s="6">
    <fb>128.72</fb>
    <v>11</v>
  </rv>
  <rv s="6">
    <fb>117.57</fb>
    <v>11</v>
  </rv>
  <rv s="6">
    <fb>663456753</fb>
    <v>12</v>
  </rv>
  <rv s="6">
    <fb>44263</fb>
    <v>10</v>
  </rv>
  <rv s="6">
    <fb>121.03</fb>
    <v>11</v>
  </rv>
  <rv s="6">
    <fb>120.93</fb>
    <v>11</v>
  </rv>
  <rv s="6">
    <fb>123.21</fb>
    <v>11</v>
  </rv>
  <rv s="6">
    <fb>116.21</fb>
    <v>11</v>
  </rv>
  <rv s="6">
    <fb>586977280</fb>
    <v>12</v>
  </rv>
  <rv s="6">
    <fb>44270</fb>
    <v>10</v>
  </rv>
  <rv s="6">
    <fb>119.99</fb>
    <v>11</v>
  </rv>
  <rv s="6">
    <fb>121.41</fb>
    <v>11</v>
  </rv>
  <rv s="6">
    <fb>127.22</fb>
    <v>11</v>
  </rv>
  <rv s="6">
    <fb>119.675</fb>
    <v>11</v>
  </rv>
  <rv s="6">
    <fb>626770404</fb>
    <v>12</v>
  </rv>
  <rv s="6">
    <fb>44277</fb>
    <v>10</v>
  </rv>
  <rv s="6">
    <fb>121.21</fb>
    <v>11</v>
  </rv>
  <rv s="6">
    <fb>120.33</fb>
    <v>11</v>
  </rv>
  <rv s="6">
    <fb>124.24</fb>
    <v>11</v>
  </rv>
  <rv s="6">
    <fb>488825826</fb>
    <v>12</v>
  </rv>
  <rv s="6">
    <fb>44284</fb>
    <v>10</v>
  </rv>
  <rv s="6">
    <fb>123</fb>
    <v>11</v>
  </rv>
  <rv s="6">
    <fb>121.65</fb>
    <v>11</v>
  </rv>
  <rv s="6">
    <fb>124.18</fb>
    <v>11</v>
  </rv>
  <rv s="6">
    <fb>118.86</fb>
    <v>11</v>
  </rv>
  <rv s="6">
    <fb>359904082</fb>
    <v>12</v>
  </rv>
  <rv s="6">
    <fb>44291</fb>
    <v>10</v>
  </rv>
  <rv s="6">
    <fb>132.995</fb>
    <v>11</v>
  </rv>
  <rv s="6">
    <fb>123.87</fb>
    <v>11</v>
  </rv>
  <rv s="6">
    <fb>133.04</fb>
    <v>11</v>
  </rv>
  <rv s="6">
    <fb>123.07</fb>
    <v>11</v>
  </rv>
  <rv s="6">
    <fb>447820438</fb>
    <v>12</v>
  </rv>
  <rv s="6">
    <fb>44298</fb>
    <v>10</v>
  </rv>
  <rv s="6">
    <fb>134.16</fb>
    <v>11</v>
  </rv>
  <rv s="6">
    <fb>132.52000000000001</fb>
    <v>11</v>
  </rv>
  <rv s="6">
    <fb>135</fb>
    <v>11</v>
  </rv>
  <rv s="6">
    <fb>130.63</fb>
    <v>11</v>
  </rv>
  <rv s="6">
    <fb>443891825</fb>
    <v>12</v>
  </rv>
  <rv s="6">
    <fb>44305</fb>
    <v>10</v>
  </rv>
  <rv s="6">
    <fb>134.32</fb>
    <v>11</v>
  </rv>
  <rv s="6">
    <fb>133.51</fb>
    <v>11</v>
  </rv>
  <rv s="6">
    <fb>135.53</fb>
    <v>11</v>
  </rv>
  <rv s="6">
    <fb>131.30009999999999</fb>
    <v>11</v>
  </rv>
  <rv s="6">
    <fb>421246935</fb>
    <v>12</v>
  </rv>
  <rv s="6">
    <fb>44312</fb>
    <v>10</v>
  </rv>
  <rv s="6">
    <fb>131.46</fb>
    <v>11</v>
  </rv>
  <rv s="6">
    <fb>134.83000000000001</fb>
    <v>11</v>
  </rv>
  <rv s="6">
    <fb>137.07</fb>
    <v>11</v>
  </rv>
  <rv s="6">
    <fb>131.065</fb>
    <v>11</v>
  </rv>
  <rv s="6">
    <fb>501621389</fb>
    <v>12</v>
  </rv>
  <rv s="6">
    <fb>44319</fb>
    <v>10</v>
  </rv>
  <rv s="6">
    <fb>132.04</fb>
    <v>11</v>
  </rv>
  <rv s="6">
    <fb>134.07</fb>
    <v>11</v>
  </rv>
  <rv s="6">
    <fb>126.7</fb>
    <v>11</v>
  </rv>
  <rv s="6">
    <fb>453802325</fb>
    <v>12</v>
  </rv>
  <rv s="6">
    <fb>44326</fb>
    <v>10</v>
  </rv>
  <rv s="6">
    <fb>127.45</fb>
    <v>11</v>
  </rv>
  <rv s="6">
    <fb>129.41</fb>
    <v>11</v>
  </rv>
  <rv s="6">
    <fb>129.54</fb>
    <v>11</v>
  </rv>
  <rv s="6">
    <fb>513411623</fb>
    <v>12</v>
  </rv>
  <rv s="6">
    <fb>44333</fb>
    <v>10</v>
  </rv>
  <rv s="6">
    <fb>125.43</fb>
    <v>11</v>
  </rv>
  <rv s="6">
    <fb>126.82</fb>
    <v>11</v>
  </rv>
  <rv s="6">
    <fb>128</fb>
    <v>11</v>
  </rv>
  <rv s="6">
    <fb>122.86</fb>
    <v>11</v>
  </rv>
  <rv s="6">
    <fb>386352101</fb>
    <v>12</v>
  </rv>
  <rv s="6">
    <fb>44340</fb>
    <v>10</v>
  </rv>
  <rv s="6">
    <fb>124.61</fb>
    <v>11</v>
  </rv>
  <rv s="6">
    <fb>126.01</fb>
    <v>11</v>
  </rv>
  <rv s="6">
    <fb>128.32</fb>
    <v>11</v>
  </rv>
  <rv s="6">
    <fb>124.55</fb>
    <v>11</v>
  </rv>
  <rv s="6">
    <fb>357615057</fb>
    <v>12</v>
  </rv>
  <rv s="6">
    <fb>44348</fb>
    <v>10</v>
  </rv>
  <rv s="6">
    <fb>125.89</fb>
    <v>11</v>
  </rv>
  <rv s="6">
    <fb>125.08</fb>
    <v>11</v>
  </rv>
  <rv s="6">
    <fb>126.16</fb>
    <v>11</v>
  </rv>
  <rv s="6">
    <fb>123.13</fb>
    <v>11</v>
  </rv>
  <rv s="6">
    <fb>278314493</fb>
    <v>12</v>
  </rv>
  <rv s="6">
    <fb>44354</fb>
    <v>10</v>
  </rv>
  <rv s="6">
    <fb>127.35</fb>
    <v>11</v>
  </rv>
  <rv s="6">
    <fb>126.17</fb>
    <v>11</v>
  </rv>
  <rv s="6">
    <fb>128.46</fb>
    <v>11</v>
  </rv>
  <rv s="6">
    <fb>124.8321</fb>
    <v>11</v>
  </rv>
  <rv s="6">
    <fb>327048055</fb>
    <v>12</v>
  </rv>
  <rv s="6">
    <fb>44361</fb>
    <v>10</v>
  </rv>
  <rv s="6">
    <fb>130.46</fb>
    <v>11</v>
  </rv>
  <rv s="6">
    <fb>127.82</fb>
    <v>11</v>
  </rv>
  <rv s="6">
    <fb>132.55000000000001</fb>
    <v>11</v>
  </rv>
  <rv s="6">
    <fb>127.07</fb>
    <v>11</v>
  </rv>
  <rv s="6">
    <fb>454843491</fb>
    <v>12</v>
  </rv>
  <rv s="6">
    <fb>44368</fb>
    <v>10</v>
  </rv>
  <rv s="6">
    <fb>133.11000000000001</fb>
    <v>11</v>
  </rv>
  <rv s="6">
    <fb>130.30000000000001</fb>
    <v>11</v>
  </rv>
  <rv s="6">
    <fb>134.63999999999999</fb>
    <v>11</v>
  </rv>
  <rv s="6">
    <fb>129.21</fb>
    <v>11</v>
  </rv>
  <rv s="6">
    <fb>354155878</fb>
    <v>12</v>
  </rv>
  <rv s="6">
    <fb>44375</fb>
    <v>10</v>
  </rv>
  <rv s="6">
    <fb>139.96</fb>
    <v>11</v>
  </rv>
  <rv s="6">
    <fb>133.41</fb>
    <v>11</v>
  </rv>
  <rv s="6">
    <fb>140</fb>
    <v>11</v>
  </rv>
  <rv s="6">
    <fb>133.35</fb>
    <v>11</v>
  </rv>
  <rv s="6">
    <fb>321360130</fb>
    <v>12</v>
  </rv>
  <rv s="6">
    <fb>44383</fb>
    <v>10</v>
  </rv>
  <rv s="6">
    <fb>145.11000000000001</fb>
    <v>11</v>
  </rv>
  <rv s="6">
    <fb>140.07</fb>
    <v>11</v>
  </rv>
  <rv s="6">
    <fb>145.65</fb>
    <v>11</v>
  </rv>
  <rv s="6">
    <fb>418559640</fb>
    <v>12</v>
  </rv>
  <rv s="6">
    <fb>44389</fb>
    <v>10</v>
  </rv>
  <rv s="6">
    <fb>146.38999999999999</fb>
    <v>11</v>
  </rv>
  <rv s="6">
    <fb>146.21</fb>
    <v>11</v>
  </rv>
  <rv s="6">
    <fb>150</fb>
    <v>11</v>
  </rv>
  <rv s="6">
    <fb>143.63</fb>
    <v>11</v>
  </rv>
  <rv s="6">
    <fb>504249326</fb>
    <v>12</v>
  </rv>
  <rv s="6">
    <fb>44396</fb>
    <v>10</v>
  </rv>
  <rv s="6">
    <fb>148.56</fb>
    <v>11</v>
  </rv>
  <rv s="6">
    <fb>143.75</fb>
    <v>11</v>
  </rv>
  <rv s="6">
    <fb>148.71770000000001</fb>
    <v>11</v>
  </rv>
  <rv s="6">
    <fb>141.66999999999999</fb>
    <v>11</v>
  </rv>
  <rv s="6">
    <fb>441563639</fb>
    <v>12</v>
  </rv>
  <rv s="6">
    <fb>44403</fb>
    <v>10</v>
  </rv>
  <rv s="6">
    <fb>145.86000000000001</fb>
    <v>11</v>
  </rv>
  <rv s="6">
    <fb>148.27000000000001</fb>
    <v>11</v>
  </rv>
  <rv s="6">
    <fb>149.83000000000001</fb>
    <v>11</v>
  </rv>
  <rv s="6">
    <fb>142.54</fb>
    <v>11</v>
  </rv>
  <rv s="6">
    <fb>423323959</fb>
    <v>12</v>
  </rv>
  <rv s="6">
    <fb>44410</fb>
    <v>10</v>
  </rv>
  <rv s="6">
    <fb>146.13999999999999</fb>
    <v>11</v>
  </rv>
  <rv s="6">
    <fb>146.36000000000001</fb>
    <v>11</v>
  </rv>
  <rv s="6">
    <fb>148.04499999999999</fb>
    <v>11</v>
  </rv>
  <rv s="6">
    <fb>145.18</fb>
    <v>11</v>
  </rv>
  <rv s="6">
    <fb>284559337</fb>
    <v>12</v>
  </rv>
  <rv s="6">
    <fb>44417</fb>
    <v>10</v>
  </rv>
  <rv s="6">
    <fb>149.1</fb>
    <v>11</v>
  </rv>
  <rv s="6">
    <fb>146.19999999999999</fb>
    <v>11</v>
  </rv>
  <rv s="6">
    <fb>149.4444</fb>
    <v>11</v>
  </rv>
  <rv s="6">
    <fb>145.30000000000001</fb>
    <v>11</v>
  </rv>
  <rv s="6">
    <fb>299579355</fb>
    <v>12</v>
  </rv>
  <rv s="6">
    <fb>44424</fb>
    <v>10</v>
  </rv>
  <rv s="6">
    <fb>148.19</fb>
    <v>11</v>
  </rv>
  <rv s="6">
    <fb>148.535</fb>
    <v>11</v>
  </rv>
  <rv s="6">
    <fb>151.68</fb>
    <v>11</v>
  </rv>
  <rv s="6">
    <fb>144.5</fb>
    <v>11</v>
  </rv>
  <rv s="6">
    <fb>429624447</fb>
    <v>12</v>
  </rv>
  <rv s="6">
    <fb>44431</fb>
    <v>10</v>
  </rv>
  <rv s="6">
    <fb>148.6</fb>
    <v>11</v>
  </rv>
  <rv s="6">
    <fb>148.31</fb>
    <v>11</v>
  </rv>
  <rv s="6">
    <fb>150.86000000000001</fb>
    <v>11</v>
  </rv>
  <rv s="6">
    <fb>146.83000000000001</fb>
    <v>11</v>
  </rv>
  <rv s="6">
    <fb>272129118</fb>
    <v>12</v>
  </rv>
  <rv s="6">
    <fb>44438</fb>
    <v>10</v>
  </rv>
  <rv s="6">
    <fb>154.30000000000001</fb>
    <v>11</v>
  </rv>
  <rv s="6">
    <fb>149</fb>
    <v>11</v>
  </rv>
  <rv s="6">
    <fb>154.97999999999999</fb>
    <v>11</v>
  </rv>
  <rv s="6">
    <fb>148.61000000000001</fb>
    <v>11</v>
  </rv>
  <rv s="6">
    <fb>386760934</fb>
    <v>12</v>
  </rv>
  <rv s="6">
    <fb>44446</fb>
    <v>10</v>
  </rv>
  <rv s="6">
    <fb>148.97</fb>
    <v>11</v>
  </rv>
  <rv s="6">
    <fb>154.97</fb>
    <v>11</v>
  </rv>
  <rv s="6">
    <fb>157.26</fb>
    <v>11</v>
  </rv>
  <rv s="6">
    <fb>148.69999999999999</fb>
    <v>11</v>
  </rv>
  <rv s="6">
    <fb>354897433</fb>
    <v>12</v>
  </rv>
  <rv s="6">
    <fb>44452</fb>
    <v>10</v>
  </rv>
  <rv s="6">
    <fb>146.06</fb>
    <v>11</v>
  </rv>
  <rv s="6">
    <fb>150.63</fb>
    <v>11</v>
  </rv>
  <rv s="6">
    <fb>151.41999999999999</fb>
    <v>11</v>
  </rv>
  <rv s="6">
    <fb>145.76</fb>
    <v>11</v>
  </rv>
  <rv s="6">
    <fb>492884912</fb>
    <v>12</v>
  </rv>
  <rv s="6">
    <fb>44459</fb>
    <v>10</v>
  </rv>
  <rv s="6">
    <fb>146.91999999999999</fb>
    <v>11</v>
  </rv>
  <rv s="6">
    <fb>143.80000000000001</fb>
    <v>11</v>
  </rv>
  <rv s="6">
    <fb>147.4701</fb>
    <v>11</v>
  </rv>
  <rv s="6">
    <fb>141.27000000000001</fb>
    <v>11</v>
  </rv>
  <rv s="6">
    <fb>394033205</fb>
    <v>12</v>
  </rv>
  <rv s="6">
    <fb>44466</fb>
    <v>10</v>
  </rv>
  <rv s="6">
    <fb>142.65</fb>
    <v>11</v>
  </rv>
  <rv s="6">
    <fb>145.47</fb>
    <v>11</v>
  </rv>
  <rv s="6">
    <fb>145.96</fb>
    <v>11</v>
  </rv>
  <rv s="6">
    <fb>139.11009999999999</fb>
    <v>11</v>
  </rv>
  <rv s="6">
    <fb>441421358</fb>
    <v>12</v>
  </rv>
  <rv s="6">
    <fb>44473</fb>
    <v>10</v>
  </rv>
  <rv s="6">
    <fb>142.9</fb>
    <v>11</v>
  </rv>
  <rv s="6">
    <fb>141.76</fb>
    <v>11</v>
  </rv>
  <rv s="6">
    <fb>144.215</fb>
    <v>11</v>
  </rv>
  <rv s="6">
    <fb>138.27000000000001</fb>
    <v>11</v>
  </rv>
  <rv s="6">
    <fb>382910000</fb>
    <v>12</v>
  </rv>
  <rv s="6">
    <fb>44480</fb>
    <v>10</v>
  </rv>
  <rv s="6">
    <fb>144.84</fb>
    <v>11</v>
  </rv>
  <rv s="6">
    <fb>142.27000000000001</fb>
    <v>11</v>
  </rv>
  <rv s="6">
    <fb>144.89500000000001</fb>
    <v>11</v>
  </rv>
  <rv s="6">
    <fb>139.19999999999999</fb>
    <v>11</v>
  </rv>
  <rv s="6">
    <fb>354098233</fb>
    <v>12</v>
  </rv>
  <rv s="6">
    <fb>44487</fb>
    <v>10</v>
  </rv>
  <rv s="6">
    <fb>148.69</fb>
    <v>11</v>
  </rv>
  <rv s="6">
    <fb>143.44499999999999</fb>
    <v>11</v>
  </rv>
  <rv s="6">
    <fb>150.18</fb>
    <v>11</v>
  </rv>
  <rv s="6">
    <fb>143.16</fb>
    <v>11</v>
  </rv>
  <rv s="6">
    <fb>340691290</fb>
    <v>12</v>
  </rv>
  <rv s="6">
    <fb>44494</fb>
    <v>10</v>
  </rv>
  <rv s="6">
    <fb>149.80000000000001</fb>
    <v>11</v>
  </rv>
  <rv s="6">
    <fb>148.68</fb>
    <v>11</v>
  </rv>
  <rv s="6">
    <fb>153.16499999999999</fb>
    <v>11</v>
  </rv>
  <rv s="6">
    <fb>146.4128</fb>
    <v>11</v>
  </rv>
  <rv s="6">
    <fb>392739936</fb>
    <v>12</v>
  </rv>
  <rv s="6">
    <fb>44501</fb>
    <v>10</v>
  </rv>
  <rv s="6">
    <fb>151.28</fb>
    <v>11</v>
  </rv>
  <rv s="6">
    <fb>148.98500000000001</fb>
    <v>11</v>
  </rv>
  <rv s="6">
    <fb>152.43</fb>
    <v>11</v>
  </rv>
  <rv s="6">
    <fb>147.80000000000001</fb>
    <v>11</v>
  </rv>
  <rv s="6">
    <fb>324080278</fb>
    <v>12</v>
  </rv>
  <rv s="6">
    <fb>44508</fb>
    <v>10</v>
  </rv>
  <rv s="6">
    <fb>149.99</fb>
    <v>11</v>
  </rv>
  <rv s="6">
    <fb>151.41</fb>
    <v>11</v>
  </rv>
  <rv s="6">
    <fb>151.57</fb>
    <v>11</v>
  </rv>
  <rv s="6">
    <fb>147.47999999999999</fb>
    <v>11</v>
  </rv>
  <rv s="6">
    <fb>281799848</fb>
    <v>12</v>
  </rv>
  <rv s="6">
    <fb>44515</fb>
    <v>10</v>
  </rv>
  <rv s="6">
    <fb>160.55000000000001</fb>
    <v>11</v>
  </rv>
  <rv s="6">
    <fb>150.37</fb>
    <v>11</v>
  </rv>
  <rv s="6">
    <fb>161.02000000000001</fb>
    <v>11</v>
  </rv>
  <rv s="6">
    <fb>149.34</fb>
    <v>11</v>
  </rv>
  <rv s="6">
    <fb>462419283</fb>
    <v>12</v>
  </rv>
  <rv s="6">
    <fb>44522</fb>
    <v>10</v>
  </rv>
  <rv s="6">
    <fb>156.81</fb>
    <v>11</v>
  </rv>
  <rv s="6">
    <fb>161.68</fb>
    <v>11</v>
  </rv>
  <rv s="6">
    <fb>165.7</fb>
    <v>11</v>
  </rv>
  <rv s="6">
    <fb>156.36000000000001</fb>
    <v>11</v>
  </rv>
  <rv s="6">
    <fb>359933163</fb>
    <v>12</v>
  </rv>
  <rv s="6">
    <fb>44529</fb>
    <v>10</v>
  </rv>
  <rv s="6">
    <fb>161.84</fb>
    <v>11</v>
  </rv>
  <rv s="6">
    <fb>159.37</fb>
    <v>11</v>
  </rv>
  <rv s="6">
    <fb>170.3</fb>
    <v>11</v>
  </rv>
  <rv s="6">
    <fb>157.80000000000001</fb>
    <v>11</v>
  </rv>
  <rv s="6">
    <fb>669981566</fb>
    <v>12</v>
  </rv>
  <rv s="6">
    <fb>44536</fb>
    <v>10</v>
  </rv>
  <rv s="6">
    <fb>179.45</fb>
    <v>11</v>
  </rv>
  <rv s="6">
    <fb>164.29</fb>
    <v>11</v>
  </rv>
  <rv s="6">
    <fb>179.63</fb>
    <v>11</v>
  </rv>
  <rv s="6">
    <fb>164.28</fb>
    <v>11</v>
  </rv>
  <rv s="6">
    <fb>569227705</fb>
    <v>12</v>
  </rv>
  <rv s="6">
    <fb>44543</fb>
    <v>10</v>
  </rv>
  <rv s="6">
    <fb>171.14</fb>
    <v>11</v>
  </rv>
  <rv s="6">
    <fb>181.11500000000001</fb>
    <v>11</v>
  </rv>
  <rv s="6">
    <fb>182.13</fb>
    <v>11</v>
  </rv>
  <rv s="6">
    <fb>169.69</fb>
    <v>11</v>
  </rv>
  <rv s="6">
    <fb>769789942</fb>
    <v>12</v>
  </rv>
  <rv s="6">
    <fb>44550</fb>
    <v>10</v>
  </rv>
  <rv s="6">
    <fb>176.28</fb>
    <v>11</v>
  </rv>
  <rv s="6">
    <fb>168.28</fb>
    <v>11</v>
  </rv>
  <rv s="6">
    <fb>176.84989999999999</fb>
    <v>11</v>
  </rv>
  <rv s="6">
    <fb>167.46</fb>
    <v>11</v>
  </rv>
  <rv s="6">
    <fb>359176889</fb>
    <v>12</v>
  </rv>
  <rv s="6">
    <fb>44557</fb>
    <v>10</v>
  </rv>
  <rv s="6">
    <fb>177.57</fb>
    <v>11</v>
  </rv>
  <rv s="6">
    <fb>177.08500000000001</fb>
    <v>11</v>
  </rv>
  <rv s="6">
    <fb>181.33</fb>
    <v>11</v>
  </rv>
  <rv s="6">
    <fb>177.07</fb>
    <v>11</v>
  </rv>
  <rv s="6">
    <fb>340248127</fb>
    <v>12</v>
  </rv>
  <rv s="6">
    <fb>44564</fb>
    <v>10</v>
  </rv>
  <rv s="6">
    <fb>172.17</fb>
    <v>11</v>
  </rv>
  <rv s="6">
    <fb>177.83</fb>
    <v>11</v>
  </rv>
  <rv s="6">
    <fb>182.94</fb>
    <v>11</v>
  </rv>
  <rv s="6">
    <fb>171.03</fb>
    <v>11</v>
  </rv>
  <rv s="6">
    <fb>482162362</fb>
    <v>12</v>
  </rv>
  <rv s="6">
    <fb>44571</fb>
    <v>10</v>
  </rv>
  <rv s="6">
    <fb>173.07</fb>
    <v>11</v>
  </rv>
  <rv s="6">
    <fb>169.08</fb>
    <v>11</v>
  </rv>
  <rv s="6">
    <fb>177.18</fb>
    <v>11</v>
  </rv>
  <rv s="6">
    <fb>168.17</fb>
    <v>11</v>
  </rv>
  <rv s="6">
    <fb>422655577</fb>
    <v>12</v>
  </rv>
  <rv s="6">
    <fb>44579</fb>
    <v>10</v>
  </rv>
  <rv s="6">
    <fb>162.41</fb>
    <v>11</v>
  </rv>
  <rv s="6">
    <fb>171.51</fb>
    <v>11</v>
  </rv>
  <rv s="6">
    <fb>172.54</fb>
    <v>11</v>
  </rv>
  <rv s="6">
    <fb>162.30000000000001</fb>
    <v>11</v>
  </rv>
  <rv s="6">
    <fb>400253092</fb>
    <v>12</v>
  </rv>
  <rv s="6">
    <fb>44585</fb>
    <v>10</v>
  </rv>
  <rv s="6">
    <fb>170.33</fb>
    <v>11</v>
  </rv>
  <rv s="6">
    <fb>160.02000000000001</fb>
    <v>11</v>
  </rv>
  <rv s="6">
    <fb>170.35</fb>
    <v>11</v>
  </rv>
  <rv s="6">
    <fb>154.69999999999999</fb>
    <v>11</v>
  </rv>
  <rv s="6">
    <fb>688670659</fb>
    <v>12</v>
  </rv>
  <rv s="6">
    <fb>44592</fb>
    <v>10</v>
  </rv>
  <rv s="6">
    <fb>172.39</fb>
    <v>11</v>
  </rv>
  <rv s="6">
    <fb>170.16</fb>
    <v>11</v>
  </rv>
  <rv s="6">
    <fb>176.23990000000001</fb>
    <v>11</v>
  </rv>
  <rv s="6">
    <fb>169.51</fb>
    <v>11</v>
  </rv>
  <rv s="6">
    <fb>458553231</fb>
    <v>12</v>
  </rv>
  <rv s="6">
    <fb>44599</fb>
    <v>10</v>
  </rv>
  <rv s="6">
    <fb>168.64</fb>
    <v>11</v>
  </rv>
  <rv s="6">
    <fb>172.86</fb>
    <v>11</v>
  </rv>
  <rv s="6">
    <fb>176.65</fb>
    <v>11</v>
  </rv>
  <rv s="6">
    <fb>168.04</fb>
    <v>11</v>
  </rv>
  <rv s="6">
    <fb>412902045</fb>
    <v>12</v>
  </rv>
  <rv s="6">
    <fb>44606</fb>
    <v>10</v>
  </rv>
  <rv s="6">
    <fb>167.3</fb>
    <v>11</v>
  </rv>
  <rv s="6">
    <fb>167.37</fb>
    <v>11</v>
  </rv>
  <rv s="6">
    <fb>173.34</fb>
    <v>11</v>
  </rv>
  <rv s="6">
    <fb>166.19</fb>
    <v>11</v>
  </rv>
  <rv s="6">
    <fb>364011266</fb>
    <v>12</v>
  </rv>
  <rv s="6">
    <fb>44614</fb>
    <v>10</v>
  </rv>
  <rv s="6">
    <fb>164.85</fb>
    <v>11</v>
  </rv>
  <rv s="6">
    <fb>164.98</fb>
    <v>11</v>
  </rv>
  <rv s="6">
    <fb>166.69</fb>
    <v>11</v>
  </rv>
  <rv s="6">
    <fb>152</fb>
    <v>11</v>
  </rv>
  <rv s="6">
    <fb>414293767</fb>
    <v>12</v>
  </rv>
  <rv s="6">
    <fb>44620</fb>
    <v>10</v>
  </rv>
  <rv s="6">
    <fb>163.16999999999999</fb>
    <v>11</v>
  </rv>
  <rv s="6">
    <fb>163.06</fb>
    <v>11</v>
  </rv>
  <rv s="6">
    <fb>168.91</fb>
    <v>11</v>
  </rv>
  <rv s="6">
    <fb>161.97</fb>
    <v>11</v>
  </rv>
  <rv s="6">
    <fb>418753837</fb>
    <v>12</v>
  </rv>
  <rv s="6">
    <fb>44627</fb>
    <v>10</v>
  </rv>
  <rv s="6">
    <fb>154.72999999999999</fb>
    <v>11</v>
  </rv>
  <rv s="6">
    <fb>163.36000000000001</fb>
    <v>11</v>
  </rv>
  <rv s="6">
    <fb>165.02</fb>
    <v>11</v>
  </rv>
  <rv s="6">
    <fb>154.5</fb>
    <v>11</v>
  </rv>
  <rv s="6">
    <fb>521334165</fb>
    <v>12</v>
  </rv>
  <rv s="6">
    <fb>44634</fb>
    <v>10</v>
  </rv>
  <rv s="6">
    <fb>163.98</fb>
    <v>11</v>
  </rv>
  <rv s="6">
    <fb>151.44999999999999</fb>
    <v>11</v>
  </rv>
  <rv s="6">
    <fb>164.48</fb>
    <v>11</v>
  </rv>
  <rv s="6">
    <fb>150.1</fb>
    <v>11</v>
  </rv>
  <rv s="6">
    <fb>503123638</fb>
    <v>12</v>
  </rv>
  <rv s="6">
    <fb>44641</fb>
    <v>10</v>
  </rv>
  <rv s="6">
    <fb>174.72</fb>
    <v>11</v>
  </rv>
  <rv s="6">
    <fb>163.51</fb>
    <v>11</v>
  </rv>
  <rv s="6">
    <fb>175.28</fb>
    <v>11</v>
  </rv>
  <rv s="6">
    <fb>163.01499999999999</fb>
    <v>11</v>
  </rv>
  <rv s="6">
    <fb>446083607</fb>
    <v>12</v>
  </rv>
  <rv s="6">
    <fb>44648</fb>
    <v>10</v>
  </rv>
  <rv s="6">
    <fb>174.31</fb>
    <v>11</v>
  </rv>
  <rv s="6">
    <fb>179.61</fb>
    <v>11</v>
  </rv>
  <rv s="6">
    <fb>171.94</fb>
    <v>11</v>
  </rv>
  <rv s="6">
    <fb>465395123</fb>
    <v>12</v>
  </rv>
  <rv s="6">
    <fb>44655</fb>
    <v>10</v>
  </rv>
  <rv s="6">
    <fb>170.09</fb>
    <v>11</v>
  </rv>
  <rv s="6">
    <fb>174.57</fb>
    <v>11</v>
  </rv>
  <rv s="6">
    <fb>178.49</fb>
    <v>11</v>
  </rv>
  <rv s="6">
    <fb>169.2</fb>
    <v>11</v>
  </rv>
  <rv s="6">
    <fb>393176709</fb>
    <v>12</v>
  </rv>
  <rv s="6">
    <fb>44662</fb>
    <v>10</v>
  </rv>
  <rv s="6">
    <fb>165.29</fb>
    <v>11</v>
  </rv>
  <rv s="6">
    <fb>168.71</fb>
    <v>11</v>
  </rv>
  <rv s="6">
    <fb>171.27</fb>
    <v>11</v>
  </rv>
  <rv s="6">
    <fb>165.04</fb>
    <v>11</v>
  </rv>
  <rv s="6">
    <fb>297460188</fb>
    <v>12</v>
  </rv>
  <rv s="6">
    <fb>44669</fb>
    <v>10</v>
  </rv>
  <rv s="6">
    <fb>161.79</fb>
    <v>11</v>
  </rv>
  <rv s="6">
    <fb>163.92</fb>
    <v>11</v>
  </rv>
  <rv s="6">
    <fb>171.53</fb>
    <v>11</v>
  </rv>
  <rv s="6">
    <fb>161.5</fb>
    <v>11</v>
  </rv>
  <rv s="6">
    <fb>376787780</fb>
    <v>12</v>
  </rv>
  <rv s="6">
    <fb>44676</fb>
    <v>10</v>
  </rv>
  <rv s="6">
    <fb>157.65</fb>
    <v>11</v>
  </rv>
  <rv s="6">
    <fb>161.12</fb>
    <v>11</v>
  </rv>
  <rv s="6">
    <fb>166.2</fb>
    <v>11</v>
  </rv>
  <rv s="6">
    <fb>155.38</fb>
    <v>11</v>
  </rv>
  <rv s="6">
    <fb>541697170</fb>
    <v>12</v>
  </rv>
  <rv s="6">
    <fb>44683</fb>
    <v>10</v>
  </rv>
  <rv s="6">
    <fb>157.28</fb>
    <v>11</v>
  </rv>
  <rv s="6">
    <fb>156.71</fb>
    <v>11</v>
  </rv>
  <rv s="6">
    <fb>166.48</fb>
    <v>11</v>
  </rv>
  <rv s="6">
    <fb>153.27000000000001</fb>
    <v>11</v>
  </rv>
  <rv s="6">
    <fb>566928216</fb>
    <v>12</v>
  </rv>
  <rv s="6">
    <fb>44690</fb>
    <v>10</v>
  </rv>
  <rv s="6">
    <fb>147.11000000000001</fb>
    <v>11</v>
  </rv>
  <rv s="6">
    <fb>154.92500000000001</fb>
    <v>11</v>
  </rv>
  <rv s="6">
    <fb>156.74</fb>
    <v>11</v>
  </rv>
  <rv s="6">
    <fb>138.80000000000001</fb>
    <v>11</v>
  </rv>
  <rv s="6">
    <fb>686227375</fb>
    <v>12</v>
  </rv>
  <rv s="6">
    <fb>44697</fb>
    <v>10</v>
  </rv>
  <rv s="6">
    <fb>137.59</fb>
    <v>11</v>
  </rv>
  <rv s="6">
    <fb>145.55000000000001</fb>
    <v>11</v>
  </rv>
  <rv s="6">
    <fb>149.77000000000001</fb>
    <v>11</v>
  </rv>
  <rv s="6">
    <fb>132.61000000000001</fb>
    <v>11</v>
  </rv>
  <rv s="6">
    <fb>548244690</fb>
    <v>12</v>
  </rv>
  <rv s="6">
    <fb>44704</fb>
    <v>10</v>
  </rv>
  <rv s="6">
    <fb>149.63999999999999</fb>
    <v>11</v>
  </rv>
  <rv s="6">
    <fb>137.79</fb>
    <v>11</v>
  </rv>
  <rv s="6">
    <fb>149.68</fb>
    <v>11</v>
  </rv>
  <rv s="6">
    <fb>137.13999999999999</fb>
    <v>11</v>
  </rv>
  <rv s="6">
    <fb>495921758</fb>
    <v>12</v>
  </rv>
  <rv s="6">
    <fb>44712</fb>
    <v>10</v>
  </rv>
  <rv s="6">
    <fb>145.38</fb>
    <v>11</v>
  </rv>
  <rv s="6">
    <fb>149.07</fb>
    <v>11</v>
  </rv>
  <rv s="6">
    <fb>151.74</fb>
    <v>11</v>
  </rv>
  <rv s="6">
    <fb>144.46</fb>
    <v>11</v>
  </rv>
  <rv s="6">
    <fb>338923395</fb>
    <v>12</v>
  </rv>
  <rv s="6">
    <fb>44718</fb>
    <v>10</v>
  </rv>
  <rv s="6">
    <fb>137.13</fb>
    <v>11</v>
  </rv>
  <rv s="6">
    <fb>147.03</fb>
    <v>11</v>
  </rv>
  <rv s="6">
    <fb>149.86969999999999</fb>
    <v>11</v>
  </rv>
  <rv s="6">
    <fb>137.06</fb>
    <v>11</v>
  </rv>
  <rv s="6">
    <fb>354396344</fb>
    <v>12</v>
  </rv>
  <rv s="6">
    <fb>44725</fb>
    <v>10</v>
  </rv>
  <rv s="6">
    <fb>131.56</fb>
    <v>11</v>
  </rv>
  <rv s="6">
    <fb>132.87</fb>
    <v>11</v>
  </rv>
  <rv s="6">
    <fb>137.34</fb>
    <v>11</v>
  </rv>
  <rv s="6">
    <fb>129.04</fb>
    <v>11</v>
  </rv>
  <rv s="6">
    <fb>541006195</fb>
    <v>12</v>
  </rv>
  <rv s="6">
    <fb>44733</fb>
    <v>10</v>
  </rv>
  <rv s="6">
    <fb>141.66</fb>
    <v>11</v>
  </rv>
  <rv s="6">
    <fb>133.41999999999999</fb>
    <v>11</v>
  </rv>
  <rv s="6">
    <fb>141.91</fb>
    <v>11</v>
  </rv>
  <rv s="6">
    <fb>133.32</fb>
    <v>11</v>
  </rv>
  <rv s="6">
    <fb>315960327</fb>
    <v>12</v>
  </rv>
  <rv s="6">
    <fb>44739</fb>
    <v>10</v>
  </rv>
  <rv s="6">
    <fb>138.93</fb>
    <v>11</v>
  </rv>
  <rv s="6">
    <fb>142.69499999999999</fb>
    <v>11</v>
  </rv>
  <rv s="6">
    <fb>143.49</fb>
    <v>11</v>
  </rv>
  <rv s="6">
    <fb>133.77369999999999</fb>
    <v>11</v>
  </rv>
  <rv s="6">
    <fb>373781666</fb>
    <v>12</v>
  </rv>
  <rv s="6">
    <fb>44747</fb>
    <v>10</v>
  </rv>
  <rv s="6">
    <fb>147.04</fb>
    <v>11</v>
  </rv>
  <rv s="6">
    <fb>137.77000000000001</fb>
    <v>11</v>
  </rv>
  <rv s="6">
    <fb>147.55000000000001</fb>
    <v>11</v>
  </rv>
  <rv s="6">
    <fb>136.93</fb>
    <v>11</v>
  </rv>
  <rv s="6">
    <fb>278295402</fb>
    <v>12</v>
  </rv>
  <rv s="6">
    <fb>44753</fb>
    <v>10</v>
  </rv>
  <rv s="6">
    <fb>150.16999999999999</fb>
    <v>11</v>
  </rv>
  <rv s="6">
    <fb>145.66999999999999</fb>
    <v>11</v>
  </rv>
  <rv s="6">
    <fb>142.12010000000001</fb>
    <v>11</v>
  </rv>
  <rv s="6">
    <fb>366480107</fb>
    <v>12</v>
  </rv>
  <rv s="6">
    <fb>44760</fb>
    <v>10</v>
  </rv>
  <rv s="6">
    <fb>154.09</fb>
    <v>11</v>
  </rv>
  <rv s="6">
    <fb>150.74</fb>
    <v>11</v>
  </rv>
  <rv s="6">
    <fb>156.28</fb>
    <v>11</v>
  </rv>
  <rv s="6">
    <fb>146.69999999999999</fb>
    <v>11</v>
  </rv>
  <rv s="6">
    <fb>360988692</fb>
    <v>12</v>
  </rv>
  <rv s="6">
    <fb>44767</fb>
    <v>10</v>
  </rv>
  <rv s="6">
    <fb>162.51</fb>
    <v>11</v>
  </rv>
  <rv s="6">
    <fb>154.01</fb>
    <v>11</v>
  </rv>
  <rv s="6">
    <fb>163.63</fb>
    <v>11</v>
  </rv>
  <rv s="6">
    <fb>150.80000000000001</fb>
    <v>11</v>
  </rv>
  <rv s="6">
    <fb>370548915</fb>
    <v>12</v>
  </rv>
  <rv s="6">
    <fb>44774</fb>
    <v>10</v>
  </rv>
  <rv s="6">
    <fb>165.35</fb>
    <v>11</v>
  </rv>
  <rv s="6">
    <fb>161.01</fb>
    <v>11</v>
  </rv>
  <rv s="6">
    <fb>167.19</fb>
    <v>11</v>
  </rv>
  <rv s="6">
    <fb>159.63</fb>
    <v>11</v>
  </rv>
  <rv s="6">
    <fb>322415021</fb>
    <v>12</v>
  </rv>
  <rv s="6">
    <fb>44781</fb>
    <v>10</v>
  </rv>
  <rv s="6">
    <fb>172.1</fb>
    <v>11</v>
  </rv>
  <rv s="6">
    <fb>166.37</fb>
    <v>11</v>
  </rv>
  <rv s="6">
    <fb>163.25</fb>
    <v>11</v>
  </rv>
  <rv s="6">
    <fb>318856922</fb>
    <v>12</v>
  </rv>
  <rv s="6">
    <fb>44788</fb>
    <v>10</v>
  </rv>
  <rv s="6">
    <fb>171.52</fb>
    <v>11</v>
  </rv>
  <rv s="6">
    <fb>176.15</fb>
    <v>11</v>
  </rv>
  <rv s="6">
    <fb>171.31010000000001</fb>
    <v>11</v>
  </rv>
  <rv s="6">
    <fb>322647151</fb>
    <v>12</v>
  </rv>
  <rv s="6">
    <fb>44795</fb>
    <v>10</v>
  </rv>
  <rv s="6">
    <fb>163.62</fb>
    <v>11</v>
  </rv>
  <rv s="6">
    <fb>171.05</fb>
    <v>11</v>
  </rv>
  <rv s="6">
    <fb>163.56</fb>
    <v>11</v>
  </rv>
  <rv s="6">
    <fb>307194601</fb>
    <v>12</v>
  </rv>
  <rv s="6">
    <fb>44802</fb>
    <v>10</v>
  </rv>
  <rv s="6">
    <fb>155.81</fb>
    <v>11</v>
  </rv>
  <rv s="6">
    <fb>161.14500000000001</fb>
    <v>11</v>
  </rv>
  <rv s="6">
    <fb>162.9</fb>
    <v>11</v>
  </rv>
  <rv s="6">
    <fb>154.66999999999999</fb>
    <v>11</v>
  </rv>
  <rv s="6">
    <fb>390398905</fb>
    <v>12</v>
  </rv>
  <rv s="6">
    <fb>44810</fb>
    <v>10</v>
  </rv>
  <rv s="6">
    <fb>157.37</fb>
    <v>11</v>
  </rv>
  <rv s="6">
    <fb>156.47</fb>
    <v>11</v>
  </rv>
  <rv s="6">
    <fb>157.82</fb>
    <v>11</v>
  </rv>
  <rv s="6">
    <fb>152.68</fb>
    <v>11</v>
  </rv>
  <rv s="6">
    <fb>314169270</fb>
    <v>12</v>
  </rv>
  <rv s="6">
    <fb>44816</fb>
    <v>10</v>
  </rv>
  <rv s="6">
    <fb>150.69999999999999</fb>
    <v>11</v>
  </rv>
  <rv s="6">
    <fb>159.59</fb>
    <v>11</v>
  </rv>
  <rv s="6">
    <fb>164.26</fb>
    <v>11</v>
  </rv>
  <rv s="6">
    <fb>148.37</fb>
    <v>11</v>
  </rv>
  <rv s="6">
    <fb>568337936</fb>
    <v>12</v>
  </rv>
  <rv s="6">
    <fb>44823</fb>
    <v>10</v>
  </rv>
  <rv s="6">
    <fb>150.43</fb>
    <v>11</v>
  </rv>
  <rv s="6">
    <fb>149.31</fb>
    <v>11</v>
  </rv>
  <rv s="6">
    <fb>158.74</fb>
    <v>11</v>
  </rv>
  <rv s="6">
    <fb>473543283</fb>
    <v>12</v>
  </rv>
  <rv s="6">
    <fb>44830</fb>
    <v>10</v>
  </rv>
  <rv s="6">
    <fb>138.19999999999999</fb>
    <v>11</v>
  </rv>
  <rv s="6">
    <fb>149.66</fb>
    <v>11</v>
  </rv>
  <rv s="6">
    <fb>154.72</fb>
    <v>11</v>
  </rv>
  <rv s="6">
    <fb>138</fb>
    <v>11</v>
  </rv>
  <rv s="6">
    <fb>577537048</fb>
    <v>12</v>
  </rv>
  <rv s="6">
    <fb>44837</fb>
    <v>10</v>
  </rv>
  <rv s="6">
    <fb>140.09</fb>
    <v>11</v>
  </rv>
  <rv s="6">
    <fb>138.21</fb>
    <v>11</v>
  </rv>
  <rv s="6">
    <fb>147.54</fb>
    <v>11</v>
  </rv>
  <rv s="6">
    <fb>137.685</fb>
    <v>11</v>
  </rv>
  <rv s="6">
    <fb>435940423</fb>
    <v>12</v>
  </rv>
  <rv s="6">
    <fb>44844</fb>
    <v>10</v>
  </rv>
  <rv s="6">
    <fb>138.38</fb>
    <v>11</v>
  </rv>
  <rv s="6">
    <fb>140.41999999999999</fb>
    <v>11</v>
  </rv>
  <rv s="6">
    <fb>144.52000000000001</fb>
    <v>11</v>
  </rv>
  <rv s="6">
    <fb>134.37</fb>
    <v>11</v>
  </rv>
  <rv s="6">
    <fb>424188362</fb>
    <v>12</v>
  </rv>
  <rv s="6">
    <fb>44851</fb>
    <v>10</v>
  </rv>
  <rv s="6">
    <fb>147.27000000000001</fb>
    <v>11</v>
  </rv>
  <rv s="6">
    <fb>141.065</fb>
    <v>11</v>
  </rv>
  <rv s="6">
    <fb>147.84790000000001</fb>
    <v>11</v>
  </rv>
  <rv s="6">
    <fb>140.27000000000001</fb>
    <v>11</v>
  </rv>
  <rv s="6">
    <fb>397216487</fb>
    <v>12</v>
  </rv>
  <rv s="6">
    <fb>44858</fb>
    <v>10</v>
  </rv>
  <rv s="6">
    <fb>155.74</fb>
    <v>11</v>
  </rv>
  <rv s="6">
    <fb>147.185</fb>
    <v>11</v>
  </rv>
  <rv s="6">
    <fb>157.5</fb>
    <v>11</v>
  </rv>
  <rv s="6">
    <fb>144.13</fb>
    <v>11</v>
  </rv>
  <rv s="6">
    <fb>513092901</fb>
    <v>12</v>
  </rv>
  <rv s="6">
    <fb>44865</fb>
    <v>10</v>
  </rv>
  <rv s="6">
    <fb>153.155</fb>
    <v>11</v>
  </rv>
  <rv s="6">
    <fb>155.44999999999999</fb>
    <v>11</v>
  </rv>
  <rv s="6">
    <fb>134.38</fb>
    <v>11</v>
  </rv>
  <rv s="6">
    <fb>510660451</fb>
    <v>12</v>
  </rv>
  <rv s="6">
    <fb>44872</fb>
    <v>10</v>
  </rv>
  <rv s="6">
    <fb>149.69999999999999</fb>
    <v>11</v>
  </rv>
  <rv s="6">
    <fb>137.11000000000001</fb>
    <v>11</v>
  </rv>
  <rv s="6">
    <fb>150.01</fb>
    <v>11</v>
  </rv>
  <rv s="6">
    <fb>134.5933</fb>
    <v>11</v>
  </rv>
  <rv s="6">
    <fb>461034592</fb>
    <v>12</v>
  </rv>
  <rv s="6">
    <fb>44879</fb>
    <v>10</v>
  </rv>
  <rv s="6">
    <fb>151.29</fb>
    <v>11</v>
  </rv>
  <rv s="6">
    <fb>153.59</fb>
    <v>11</v>
  </rv>
  <rv s="6">
    <fb>146.15</fb>
    <v>11</v>
  </rv>
  <rv s="6">
    <fb>382679685</fb>
    <v>12</v>
  </rv>
  <rv s="6">
    <fb>44886</fb>
    <v>10</v>
  </rv>
  <rv s="6">
    <fb>148.11000000000001</fb>
    <v>11</v>
  </rv>
  <rv s="6">
    <fb>150.16</fb>
    <v>11</v>
  </rv>
  <rv s="6">
    <fb>151.83000000000001</fb>
    <v>11</v>
  </rv>
  <rv s="6">
    <fb>146.92500000000001</fb>
    <v>11</v>
  </rv>
  <rv s="6">
    <fb>204025457</fb>
    <v>12</v>
  </rv>
  <rv s="6">
    <fb>44893</fb>
    <v>10</v>
  </rv>
  <rv s="6">
    <fb>147.81</fb>
    <v>11</v>
  </rv>
  <rv s="6">
    <fb>145.13999999999999</fb>
    <v>11</v>
  </rv>
  <rv s="6">
    <fb>149.13</fb>
    <v>11</v>
  </rv>
  <rv s="6">
    <fb>140.35499999999999</fb>
    <v>11</v>
  </rv>
  <rv s="6">
    <fb>401189067</fb>
    <v>12</v>
  </rv>
  <rv s="6">
    <fb>44900</fb>
    <v>10</v>
  </rv>
  <rv s="6">
    <fb>142.16</fb>
    <v>11</v>
  </rv>
  <rv s="6">
    <fb>147.77000000000001</fb>
    <v>11</v>
  </rv>
  <rv s="6">
    <fb>150.91990000000001</fb>
    <v>11</v>
  </rv>
  <rv s="6">
    <fb>341500071</fb>
    <v>12</v>
  </rv>
  <rv s="6">
    <fb>44907</fb>
    <v>10</v>
  </rv>
  <rv s="6">
    <fb>134.51</fb>
    <v>11</v>
  </rv>
  <rv s="6">
    <fb>142.69999999999999</fb>
    <v>11</v>
  </rv>
  <rv s="6">
    <fb>149.9692</fb>
    <v>11</v>
  </rv>
  <rv s="6">
    <fb>133.72999999999999</fb>
    <v>11</v>
  </rv>
  <rv s="6">
    <fb>505728804</fb>
    <v>12</v>
  </rv>
  <rv s="6">
    <fb>44914</fb>
    <v>10</v>
  </rv>
  <rv s="6">
    <fb>131.86000000000001</fb>
    <v>11</v>
  </rv>
  <rv s="6">
    <fb>135.11000000000001</fb>
    <v>11</v>
  </rv>
  <rv s="6">
    <fb>136.81</fb>
    <v>11</v>
  </rv>
  <rv s="6">
    <fb>129.63999999999999</fb>
    <v>11</v>
  </rv>
  <rv s="6">
    <fb>384620427</fb>
    <v>12</v>
  </rv>
  <rv s="6">
    <fb>44922</fb>
    <v>10</v>
  </rv>
  <rv s="6">
    <fb>129.93</fb>
    <v>11</v>
  </rv>
  <rv s="6">
    <fb>131.38</fb>
    <v>11</v>
  </rv>
  <rv s="6">
    <fb>131.41</fb>
    <v>11</v>
  </rv>
  <rv s="6">
    <fb>125.87</fb>
    <v>11</v>
  </rv>
  <rv s="6">
    <fb>307184140</fb>
    <v>12</v>
  </rv>
  <rv s="6">
    <fb>44929</fb>
    <v>10</v>
  </rv>
  <rv s="6">
    <fb>129.62</fb>
    <v>11</v>
  </rv>
  <rv s="6">
    <fb>130.28</fb>
    <v>11</v>
  </rv>
  <rv s="6">
    <fb>130.9</fb>
    <v>11</v>
  </rv>
  <rv s="6">
    <fb>124.17</fb>
    <v>11</v>
  </rv>
  <rv s="6">
    <fb>369948527</fb>
    <v>12</v>
  </rv>
  <rv s="6">
    <fb>44935</fb>
    <v>10</v>
  </rv>
  <rv s="6">
    <fb>134.76</fb>
    <v>11</v>
  </rv>
  <rv s="6">
    <fb>130.465</fb>
    <v>11</v>
  </rv>
  <rv s="6">
    <fb>134.91999999999999</fb>
    <v>11</v>
  </rv>
  <rv s="6">
    <fb>128.12</fb>
    <v>11</v>
  </rv>
  <rv s="6">
    <fb>333335284</fb>
    <v>12</v>
  </rv>
  <rv s="6">
    <fb>44943</fb>
    <v>10</v>
  </rv>
  <rv s="6">
    <fb>137.87</fb>
    <v>11</v>
  </rv>
  <rv s="6">
    <fb>138.61000000000001</fb>
    <v>11</v>
  </rv>
  <rv s="6">
    <fb>133.77000000000001</fb>
    <v>11</v>
  </rv>
  <rv s="6">
    <fb>271823466</fb>
    <v>12</v>
  </rv>
  <rv s="6">
    <fb>44949</fb>
    <v>10</v>
  </rv>
  <rv s="6">
    <fb>145.93</fb>
    <v>11</v>
  </rv>
  <rv s="6">
    <fb>138.12</fb>
    <v>11</v>
  </rv>
  <rv s="6">
    <fb>147.22999999999999</fb>
    <v>11</v>
  </rv>
  <rv s="6">
    <fb>137.9</fb>
    <v>11</v>
  </rv>
  <rv s="6">
    <fb>338655715</fb>
    <v>12</v>
  </rv>
  <rv s="6">
    <fb>44956</fb>
    <v>10</v>
  </rv>
  <rv s="6">
    <fb>144.95500000000001</fb>
    <v>11</v>
  </rv>
  <rv s="6">
    <fb>157.38</fb>
    <v>11</v>
  </rv>
  <rv s="6">
    <fb>141.32</fb>
    <v>11</v>
  </rv>
  <rv s="6">
    <fb>480249683</fb>
    <v>12</v>
  </rv>
  <rv s="6">
    <fb>44963</fb>
    <v>10</v>
  </rv>
  <rv s="6">
    <fb>151.01</fb>
    <v>11</v>
  </rv>
  <rv s="6">
    <fb>152.57499999999999</fb>
    <v>11</v>
  </rv>
  <rv s="6">
    <fb>155.22999999999999</fb>
    <v>11</v>
  </rv>
  <rv s="6">
    <fb>149.22</fb>
    <v>11</v>
  </rv>
  <rv s="6">
    <fb>330758787</fb>
    <v>12</v>
  </rv>
  <rv s="6">
    <fb>44970</fb>
    <v>10</v>
  </rv>
  <rv s="6">
    <fb>152.55000000000001</fb>
    <v>11</v>
  </rv>
  <rv s="6">
    <fb>150.952</fb>
    <v>11</v>
  </rv>
  <rv s="6">
    <fb>156.33000000000001</fb>
    <v>11</v>
  </rv>
  <rv s="6">
    <fb>150.85</fb>
    <v>11</v>
  </rv>
  <rv s="6">
    <fb>316887898</fb>
    <v>12</v>
  </rv>
  <rv s="6">
    <fb>44978</fb>
    <v>10</v>
  </rv>
  <rv s="6">
    <fb>146.71</fb>
    <v>11</v>
  </rv>
  <rv s="6">
    <fb>150.19999999999999</fb>
    <v>11</v>
  </rv>
  <rv s="6">
    <fb>151.30000000000001</fb>
    <v>11</v>
  </rv>
  <rv s="6">
    <fb>145.72020000000001</fb>
    <v>11</v>
  </rv>
  <rv s="6">
    <fb>213742390</fb>
    <v>12</v>
  </rv>
  <rv s="6">
    <fb>44984</fb>
    <v>10</v>
  </rv>
  <rv s="6">
    <fb>151.03</fb>
    <v>11</v>
  </rv>
  <rv s="6">
    <fb>147.71</fb>
    <v>11</v>
  </rv>
  <rv s="6">
    <fb>151.11000000000001</fb>
    <v>11</v>
  </rv>
  <rv s="6">
    <fb>143.9</fb>
    <v>11</v>
  </rv>
  <rv s="6">
    <fb>274036517</fb>
    <v>12</v>
  </rv>
  <rv s="6">
    <fb>44991</fb>
    <v>10</v>
  </rv>
  <rv s="6">
    <fb>148.5</fb>
    <v>11</v>
  </rv>
  <rv s="6">
    <fb>153.785</fb>
    <v>11</v>
  </rv>
  <rv s="6">
    <fb>156.30000000000001</fb>
    <v>11</v>
  </rv>
  <rv s="6">
    <fb>147.6096</fb>
    <v>11</v>
  </rv>
  <rv s="6">
    <fb>313350829</fb>
    <v>12</v>
  </rv>
  <rv s="6">
    <fb>44998</fb>
    <v>10</v>
  </rv>
  <rv s="6">
    <fb>155</fb>
    <v>11</v>
  </rv>
  <rv s="6">
    <fb>147.80500000000001</fb>
    <v>11</v>
  </rv>
  <rv s="6">
    <fb>147.69999999999999</fb>
    <v>11</v>
  </rv>
  <rv s="6">
    <fb>410519933</fb>
    <v>12</v>
  </rv>
  <rv s="6">
    <fb>45005</fb>
    <v>10</v>
  </rv>
  <rv s="6">
    <fb>160.25</fb>
    <v>11</v>
  </rv>
  <rv s="6">
    <fb>155.07</fb>
    <v>11</v>
  </rv>
  <rv s="6">
    <fb>162.13999999999999</fb>
    <v>11</v>
  </rv>
  <rv s="6">
    <fb>154.15</fb>
    <v>11</v>
  </rv>
  <rv s="6">
    <fb>350159914</fb>
    <v>12</v>
  </rv>
  <rv s="6">
    <fb>45012</fb>
    <v>10</v>
  </rv>
  <rv s="6">
    <fb>164.9</fb>
    <v>11</v>
  </rv>
  <rv s="6">
    <fb>159.94</fb>
    <v>11</v>
  </rv>
  <rv s="6">
    <fb>165</fb>
    <v>11</v>
  </rv>
  <rv s="6">
    <fb>155.97999999999999</fb>
    <v>11</v>
  </rv>
  <rv s="6">
    <fb>267939590</fb>
    <v>12</v>
  </rv>
  <rv s="6">
    <fb>45019</fb>
    <v>10</v>
  </rv>
  <rv s="6">
    <fb>164.66</fb>
    <v>11</v>
  </rv>
  <rv s="6">
    <fb>164.27</fb>
    <v>11</v>
  </rv>
  <rv s="6">
    <fb>166.84</fb>
    <v>11</v>
  </rv>
  <rv s="6">
    <fb>161.80000000000001</fb>
    <v>11</v>
  </rv>
  <rv s="6">
    <fb>200156349</fb>
    <v>12</v>
  </rv>
  <rv s="6">
    <fb>45026</fb>
    <v>10</v>
  </rv>
  <rv s="6">
    <fb>165.21</fb>
    <v>11</v>
  </rv>
  <rv s="6">
    <fb>161.41999999999999</fb>
    <v>11</v>
  </rv>
  <rv s="6">
    <fb>166.32</fb>
    <v>11</v>
  </rv>
  <rv s="6">
    <fb>159.78</fb>
    <v>11</v>
  </rv>
  <rv s="6">
    <fb>263326290</fb>
    <v>12</v>
  </rv>
  <rv s="6">
    <fb>45033</fb>
    <v>10</v>
  </rv>
  <rv s="6">
    <fb>165.09</fb>
    <v>11</v>
  </rv>
  <rv s="6">
    <fb>168.16</fb>
    <v>11</v>
  </rv>
  <rv s="6">
    <fb>164.03</fb>
    <v>11</v>
  </rv>
  <rv s="6">
    <fb>249953109</fb>
    <v>12</v>
  </rv>
  <rv s="6">
    <fb>45040</fb>
    <v>10</v>
  </rv>
  <rv s="6">
    <fb>169.68</fb>
    <v>11</v>
  </rv>
  <rv s="6">
    <fb>169.85</fb>
    <v>11</v>
  </rv>
  <rv s="6">
    <fb>162.80000000000001</fb>
    <v>11</v>
  </rv>
  <rv s="6">
    <fb>256340620</fb>
    <v>12</v>
  </rv>
  <rv s="6">
    <fb>45047</fb>
    <v>10</v>
  </rv>
  <rv s="6">
    <fb>173.57</fb>
    <v>11</v>
  </rv>
  <rv s="6">
    <fb>169.28</fb>
    <v>11</v>
  </rv>
  <rv s="6">
    <fb>174.3</fb>
    <v>11</v>
  </rv>
  <rv s="6">
    <fb>164.31</fb>
    <v>11</v>
  </rv>
  <rv s="6">
    <fb>360723248</fb>
    <v>12</v>
  </rv>
  <rv s="6">
    <fb>45054</fb>
    <v>10</v>
  </rv>
  <rv s="6">
    <fb>172.57</fb>
    <v>11</v>
  </rv>
  <rv s="6">
    <fb>172.48</fb>
    <v>11</v>
  </rv>
  <rv s="6">
    <fb>174.59</fb>
    <v>11</v>
  </rv>
  <rv s="6">
    <fb>171</fb>
    <v>11</v>
  </rv>
  <rv s="6">
    <fb>250061982</fb>
    <v>12</v>
  </rv>
  <rv s="6">
    <fb>45061</fb>
    <v>10</v>
  </rv>
  <rv s="6">
    <fb>175.16</fb>
    <v>11</v>
  </rv>
  <rv s="6">
    <fb>173.16</fb>
    <v>11</v>
  </rv>
  <rv s="6">
    <fb>176.39</fb>
    <v>11</v>
  </rv>
  <rv s="6">
    <fb>170.42009999999999</fb>
    <v>11</v>
  </rv>
  <rv s="6">
    <fb>258634688</fb>
    <v>12</v>
  </rv>
  <rv s="6">
    <fb>45068</fb>
    <v>10</v>
  </rv>
  <rv s="6">
    <fb>175.43</fb>
    <v>11</v>
  </rv>
  <rv s="6">
    <fb>173.98</fb>
    <v>11</v>
  </rv>
  <rv s="6">
    <fb>175.77</fb>
    <v>11</v>
  </rv>
  <rv s="6">
    <fb>170.52</fb>
    <v>11</v>
  </rv>
  <rv s="6">
    <fb>250354916</fb>
    <v>12</v>
  </rv>
  <rv s="6">
    <fb>45076</fb>
    <v>10</v>
  </rv>
  <rv s="6">
    <fb>180.95</fb>
    <v>11</v>
  </rv>
  <rv s="6">
    <fb>176.96</fb>
    <v>11</v>
  </rv>
  <rv s="6">
    <fb>181.78</fb>
    <v>11</v>
  </rv>
  <rv s="6">
    <fb>176.57</fb>
    <v>11</v>
  </rv>
  <rv s="6">
    <fb>286488411</fb>
    <v>12</v>
  </rv>
  <rv s="6">
    <fb>45082</fb>
    <v>10</v>
  </rv>
  <rv s="6">
    <fb>180.96</fb>
    <v>11</v>
  </rv>
  <rv s="6">
    <fb>182.63</fb>
    <v>11</v>
  </rv>
  <rv s="6">
    <fb>184.95099999999999</fb>
    <v>11</v>
  </rv>
  <rv s="6">
    <fb>177.32</fb>
    <v>11</v>
  </rv>
  <rv s="6">
    <fb>347854340</fb>
    <v>12</v>
  </rv>
  <rv s="6">
    <fb>45089</fb>
    <v>10</v>
  </rv>
  <rv s="6">
    <fb>184.92</fb>
    <v>11</v>
  </rv>
  <rv s="6">
    <fb>181.27</fb>
    <v>11</v>
  </rv>
  <rv s="6">
    <fb>186.99</fb>
    <v>11</v>
  </rv>
  <rv s="6">
    <fb>180.97</fb>
    <v>11</v>
  </rv>
  <rv s="6">
    <fb>333836397</fb>
    <v>12</v>
  </rv>
  <rv s="6">
    <fb>45097</fb>
    <v>10</v>
  </rv>
  <rv s="6">
    <fb>186.68</fb>
    <v>11</v>
  </rv>
  <rv s="6">
    <fb>184.41</fb>
    <v>11</v>
  </rv>
  <rv s="6">
    <fb>187.56</fb>
    <v>11</v>
  </rv>
  <rv s="6">
    <fb>182.59010000000001</fb>
    <v>11</v>
  </rv>
  <rv s="6">
    <fb>203677112</fb>
    <v>12</v>
  </rv>
  <rv s="6">
    <fb>45103</fb>
    <v>10</v>
  </rv>
  <rv s="6">
    <fb>193.97</fb>
    <v>11</v>
  </rv>
  <rv s="6">
    <fb>186.83</fb>
    <v>11</v>
  </rv>
  <rv s="6">
    <fb>194.48</fb>
    <v>11</v>
  </rv>
  <rv s="6">
    <fb>185.23</fb>
    <v>11</v>
  </rv>
  <rv s="6">
    <fb>281596832</fb>
    <v>12</v>
  </rv>
  <rv s="6">
    <fb>45110</fb>
    <v>10</v>
  </rv>
  <rv s="6">
    <fb>190.68</fb>
    <v>11</v>
  </rv>
  <rv s="6">
    <fb>193.78</fb>
    <v>11</v>
  </rv>
  <rv s="6">
    <fb>193.88</fb>
    <v>11</v>
  </rv>
  <rv s="6">
    <fb>189.2</fb>
    <v>11</v>
  </rv>
  <rv s="6">
    <fb>170349466</fb>
    <v>12</v>
  </rv>
  <rv s="6">
    <fb>45117</fb>
    <v>10</v>
  </rv>
  <rv s="6">
    <fb>190.69</fb>
    <v>11</v>
  </rv>
  <rv s="6">
    <fb>189.26</fb>
    <v>11</v>
  </rv>
  <rv s="6">
    <fb>191.7</fb>
    <v>11</v>
  </rv>
  <rv s="6">
    <fb>186.6</fb>
    <v>11</v>
  </rv>
  <rv s="6">
    <fb>250269110</fb>
    <v>12</v>
  </rv>
  <rv s="6">
    <fb>45124</fb>
    <v>10</v>
  </rv>
  <rv s="6">
    <fb>191.94</fb>
    <v>11</v>
  </rv>
  <rv s="6">
    <fb>191.9</fb>
    <v>11</v>
  </rv>
  <rv s="6">
    <fb>198.23</fb>
    <v>11</v>
  </rv>
  <rv s="6">
    <fb>191.23</fb>
    <v>11</v>
  </rv>
  <rv s="6">
    <fb>310914135</fb>
    <v>12</v>
  </rv>
  <rv s="6">
    <fb>45131</fb>
    <v>10</v>
  </rv>
  <rv s="6">
    <fb>195.83</fb>
    <v>11</v>
  </rv>
  <rv s="6">
    <fb>193.41</fb>
    <v>11</v>
  </rv>
  <rv s="6">
    <fb>197.2</fb>
    <v>11</v>
  </rv>
  <rv s="6">
    <fb>192.25</fb>
    <v>11</v>
  </rv>
  <rv s="6">
    <fb>226011789</fb>
    <v>12</v>
  </rv>
  <rv s="6">
    <fb>45138</fb>
    <v>10</v>
  </rv>
  <rv s="6">
    <fb>181.99</fb>
    <v>11</v>
  </rv>
  <rv s="6">
    <fb>196.06</fb>
    <v>11</v>
  </rv>
  <rv s="6">
    <fb>196.73</fb>
    <v>11</v>
  </rv>
  <rv s="6">
    <fb>181.92</fb>
    <v>11</v>
  </rv>
  <rv s="6">
    <fb>302694989</fb>
    <v>12</v>
  </rv>
  <rv s="6">
    <fb>45145</fb>
    <v>10</v>
  </rv>
  <rv s="6">
    <fb>177.79</fb>
    <v>11</v>
  </rv>
  <rv s="6">
    <fb>183.13</fb>
    <v>11</v>
  </rv>
  <rv s="6">
    <fb>176.55</fb>
    <v>11</v>
  </rv>
  <rv s="6">
    <fb>332501087</fb>
    <v>12</v>
  </rv>
  <rv s="6">
    <fb>45152</fb>
    <v>10</v>
  </rv>
  <rv s="6">
    <fb>174.49</fb>
    <v>11</v>
  </rv>
  <rv s="6">
    <fb>177.97</fb>
    <v>11</v>
  </rv>
  <rv s="6">
    <fb>179.69</fb>
    <v>11</v>
  </rv>
  <rv s="6">
    <fb>171.96</fb>
    <v>11</v>
  </rv>
  <rv s="6">
    <fb>261498109</fb>
    <v>12</v>
  </rv>
  <rv s="6">
    <fb>45159</fb>
    <v>10</v>
  </rv>
  <rv s="6">
    <fb>178.61</fb>
    <v>11</v>
  </rv>
  <rv s="6">
    <fb>175.07</fb>
    <v>11</v>
  </rv>
  <rv s="6">
    <fb>181.55</fb>
    <v>11</v>
  </rv>
  <rv s="6">
    <fb>173.73500000000001</fb>
    <v>11</v>
  </rv>
  <rv s="6">
    <fb>247514268</fb>
    <v>12</v>
  </rv>
  <rv s="6">
    <fb>45166</fb>
    <v>10</v>
  </rv>
  <rv s="6">
    <fb>189.46</fb>
    <v>11</v>
  </rv>
  <rv s="6">
    <fb>180.09</fb>
    <v>11</v>
  </rv>
  <rv s="6">
    <fb>189.92</fb>
    <v>11</v>
  </rv>
  <rv s="6">
    <fb>178.54499999999999</fb>
    <v>11</v>
  </rv>
  <rv s="6">
    <fb>264199503</fb>
    <v>12</v>
  </rv>
  <rv s="6">
    <fb>45174</fb>
    <v>10</v>
  </rv>
  <rv s="6">
    <fb>178.18</fb>
    <v>11</v>
  </rv>
  <rv s="6">
    <fb>188.28</fb>
    <v>11</v>
  </rv>
  <rv s="6">
    <fb>189.98</fb>
    <v>11</v>
  </rv>
  <rv s="6">
    <fb>173.54</fb>
    <v>11</v>
  </rv>
  <rv s="6">
    <fb>305126712</fb>
    <v>12</v>
  </rv>
  <rv s="6">
    <fb>45180</fb>
    <v>10</v>
  </rv>
  <rv s="6">
    <fb>175.01</fb>
    <v>11</v>
  </rv>
  <rv s="6">
    <fb>180.07</fb>
    <v>11</v>
  </rv>
  <rv s="6">
    <fb>180.3</fb>
    <v>11</v>
  </rv>
  <rv s="6">
    <fb>173.58</fb>
    <v>11</v>
  </rv>
  <rv s="6">
    <fb>403746390</fb>
    <v>12</v>
  </rv>
  <rv s="6">
    <fb>45187</fb>
    <v>10</v>
  </rv>
  <rv s="6">
    <fb>174.79</fb>
    <v>11</v>
  </rv>
  <rv s="6">
    <fb>176.48</fb>
    <v>11</v>
  </rv>
  <rv s="6">
    <fb>179.69499999999999</fb>
    <v>11</v>
  </rv>
  <rv s="6">
    <fb>173.86</fb>
    <v>11</v>
  </rv>
  <rv s="6">
    <fb>297395196</fb>
    <v>12</v>
  </rv>
  <rv s="6">
    <fb>45194</fb>
    <v>10</v>
  </rv>
  <rv s="6">
    <fb>171.21</fb>
    <v>11</v>
  </rv>
  <rv s="6">
    <fb>174.2</fb>
    <v>11</v>
  </rv>
  <rv s="6">
    <fb>176.97</fb>
    <v>11</v>
  </rv>
  <rv s="6">
    <fb>167.62</fb>
    <v>11</v>
  </rv>
  <rv s="6">
    <fb>285838995</fb>
    <v>12</v>
  </rv>
  <rv s="6">
    <fb>45201</fb>
    <v>10</v>
  </rv>
  <rv s="6">
    <fb>177.49</fb>
    <v>11</v>
  </rv>
  <rv s="6">
    <fb>171.22</fb>
    <v>11</v>
  </rv>
  <rv s="6">
    <fb>177.99</fb>
    <v>11</v>
  </rv>
  <rv s="6">
    <fb>170.82</fb>
    <v>11</v>
  </rv>
  <rv s="6">
    <fb>260574027</fb>
    <v>12</v>
  </rv>
  <rv s="6">
    <fb>45208</fb>
    <v>10</v>
  </rv>
  <rv s="6">
    <fb>178.85</fb>
    <v>11</v>
  </rv>
  <rv s="6">
    <fb>176.81</fb>
    <v>11</v>
  </rv>
  <rv s="6">
    <fb>182.34</fb>
    <v>11</v>
  </rv>
  <rv s="6">
    <fb>175.8</fb>
    <v>11</v>
  </rv>
  <rv s="6">
    <fb>241839090</fb>
    <v>12</v>
  </rv>
  <rv s="6">
    <fb>45215</fb>
    <v>10</v>
  </rv>
  <rv s="6">
    <fb>172.88</fb>
    <v>11</v>
  </rv>
  <rv s="6">
    <fb>176.75</fb>
    <v>11</v>
  </rv>
  <rv s="6">
    <fb>179.07499999999999</fb>
    <v>11</v>
  </rv>
  <rv s="6">
    <fb>172.64</fb>
    <v>11</v>
  </rv>
  <rv s="6">
    <fb>288377600</fb>
    <v>12</v>
  </rv>
  <rv s="6">
    <fb>45222</fb>
    <v>10</v>
  </rv>
  <rv s="6">
    <fb>168.22</fb>
    <v>11</v>
  </rv>
  <rv s="6">
    <fb>170.91</fb>
    <v>11</v>
  </rv>
  <rv s="6">
    <fb>174.01</fb>
    <v>11</v>
  </rv>
  <rv s="6">
    <fb>165.67</fb>
    <v>11</v>
  </rv>
  <rv s="6">
    <fb>286078102</fb>
    <v>12</v>
  </rv>
  <rv s="6">
    <fb>45229</fb>
    <v>10</v>
  </rv>
  <rv s="6">
    <fb>169.02</fb>
    <v>11</v>
  </rv>
  <rv s="6">
    <fb>177.78</fb>
    <v>11</v>
  </rv>
  <rv s="6">
    <fb>167.9</fb>
    <v>11</v>
  </rv>
  <rv s="6">
    <fb>310075876</fb>
    <v>12</v>
  </rv>
  <rv s="6">
    <fb>45236</fb>
    <v>10</v>
  </rv>
  <rv s="6">
    <fb>186.4</fb>
    <v>11</v>
  </rv>
  <rv s="6">
    <fb>176.38</fb>
    <v>11</v>
  </rv>
  <rv s="6">
    <fb>186.565</fb>
    <v>11</v>
  </rv>
  <rv s="6">
    <fb>176.21</fb>
    <v>11</v>
  </rv>
  <rv s="6">
    <fb>303653020</fb>
    <v>12</v>
  </rv>
  <rv s="6">
    <fb>45243</fb>
    <v>10</v>
  </rv>
  <rv s="6">
    <fb>189.69</fb>
    <v>11</v>
  </rv>
  <rv s="6">
    <fb>185.82</fb>
    <v>11</v>
  </rv>
  <rv s="6">
    <fb>190.96</fb>
    <v>11</v>
  </rv>
  <rv s="6">
    <fb>184.21</fb>
    <v>11</v>
  </rv>
  <rv s="6">
    <fb>262880715</fb>
    <v>12</v>
  </rv>
  <rv s="6">
    <fb>45250</fb>
    <v>10</v>
  </rv>
  <rv s="6">
    <fb>189.97</fb>
    <v>11</v>
  </rv>
  <rv s="6">
    <fb>189.89</fb>
    <v>11</v>
  </rv>
  <rv s="6">
    <fb>192.93</fb>
    <v>11</v>
  </rv>
  <rv s="6">
    <fb>189.25</fb>
    <v>11</v>
  </rv>
  <rv s="6">
    <fb>148351454</fb>
    <v>12</v>
  </rv>
  <rv s="6">
    <fb>45257</fb>
    <v>10</v>
  </rv>
  <rv s="6">
    <fb>191.24</fb>
    <v>11</v>
  </rv>
  <rv s="6">
    <fb>192.09</fb>
    <v>11</v>
  </rv>
  <rv s="6">
    <fb>188.19</fb>
    <v>11</v>
  </rv>
  <rv s="6">
    <fb>216481441</fb>
    <v>12</v>
  </rv>
  <rv s="6">
    <fb>45264</fb>
    <v>10</v>
  </rv>
  <rv s="6">
    <fb>195.71</fb>
    <v>11</v>
  </rv>
  <rv s="6">
    <fb>195.99</fb>
    <v>11</v>
  </rv>
  <rv s="6">
    <fb>187.4511</fb>
    <v>11</v>
  </rv>
  <rv s="6">
    <fb>251991667</fb>
    <v>12</v>
  </rv>
  <rv s="6">
    <fb>45271</fb>
    <v>10</v>
  </rv>
  <rv s="6">
    <fb>197.57</fb>
    <v>11</v>
  </rv>
  <rv s="6">
    <fb>193.11</fb>
    <v>11</v>
  </rv>
  <rv s="6">
    <fb>199.62</fb>
    <v>11</v>
  </rv>
  <rv s="6">
    <fb>191.42</fb>
    <v>11</v>
  </rv>
  <rv s="6">
    <fb>379414755</fb>
    <v>12</v>
  </rv>
  <rv s="6">
    <fb>45278</fb>
    <v>10</v>
  </rv>
  <rv s="6">
    <fb>193.6</fb>
    <v>11</v>
  </rv>
  <rv s="6">
    <fb>196.09</fb>
    <v>11</v>
  </rv>
  <rv s="6">
    <fb>197.68</fb>
    <v>11</v>
  </rv>
  <rv s="6">
    <fb>192.97</fb>
    <v>11</v>
  </rv>
  <rv s="6">
    <fb>232340846</fb>
    <v>12</v>
  </rv>
  <rv s="6">
    <fb>45286</fb>
    <v>10</v>
  </rv>
  <rv s="6">
    <fb>192.53</fb>
    <v>11</v>
  </rv>
  <rv s="6">
    <fb>193.61</fb>
    <v>11</v>
  </rv>
  <rv s="6">
    <fb>194.66</fb>
    <v>11</v>
  </rv>
  <rv s="6">
    <fb>191.09</fb>
    <v>11</v>
  </rv>
  <rv s="6">
    <fb>153729037</fb>
    <v>12</v>
  </rv>
  <rv s="6">
    <fb>45293</fb>
    <v>10</v>
  </rv>
  <rv s="6">
    <fb>181.18</fb>
    <v>11</v>
  </rv>
  <rv s="6">
    <fb>187.15</fb>
    <v>11</v>
  </rv>
  <rv s="6">
    <fb>188.44</fb>
    <v>11</v>
  </rv>
  <rv s="6">
    <fb>180.17</fb>
    <v>11</v>
  </rv>
  <rv s="6">
    <fb>275266365</fb>
    <v>12</v>
  </rv>
  <rv s="6">
    <fb>45299</fb>
    <v>10</v>
  </rv>
  <rv s="6">
    <fb>185.92</fb>
    <v>11</v>
  </rv>
  <rv s="6">
    <fb>182.08500000000001</fb>
    <v>11</v>
  </rv>
  <rv s="6">
    <fb>187.05</fb>
    <v>11</v>
  </rv>
  <rv s="6">
    <fb>181.5</fb>
    <v>11</v>
  </rv>
  <rv s="6">
    <fb>238385377</fb>
    <v>12</v>
  </rv>
  <rv s="6">
    <fb>45307</fb>
    <v>10</v>
  </rv>
  <rv s="6">
    <fb>191.56</fb>
    <v>11</v>
  </rv>
  <rv s="6">
    <fb>182.16</fb>
    <v>11</v>
  </rv>
  <rv s="6">
    <fb>191.95</fb>
    <v>11</v>
  </rv>
  <rv s="6">
    <fb>259829213</fb>
    <v>12</v>
  </rv>
  <rv s="6">
    <fb>45313</fb>
    <v>10</v>
  </rv>
  <rv s="6">
    <fb>192.42</fb>
    <v>11</v>
  </rv>
  <rv s="6">
    <fb>192.3</fb>
    <v>11</v>
  </rv>
  <rv s="6">
    <fb>196.38</fb>
    <v>11</v>
  </rv>
  <rv s="6">
    <fb>255536895</fb>
    <v>12</v>
  </rv>
  <rv s="6">
    <fb>45320</fb>
    <v>10</v>
  </rv>
  <rv s="6">
    <fb>185.85</fb>
    <v>11</v>
  </rv>
  <rv s="6">
    <fb>192.01</fb>
    <v>11</v>
  </rv>
  <rv s="6">
    <fb>192.2</fb>
    <v>11</v>
  </rv>
  <rv s="6">
    <fb>179.25</fb>
    <v>11</v>
  </rv>
  <rv s="6">
    <fb>325909883</fb>
    <v>12</v>
  </rv>
  <rv s="6">
    <fb>45327</fb>
    <v>10</v>
  </rv>
  <rv s="6">
    <fb>188.85</fb>
    <v>11</v>
  </rv>
  <rv s="6">
    <fb>188.15</fb>
    <v>11</v>
  </rv>
  <rv s="6">
    <fb>191.05</fb>
    <v>11</v>
  </rv>
  <rv s="6">
    <fb>185.84</fb>
    <v>11</v>
  </rv>
  <rv s="6">
    <fb>252715796</fb>
    <v>12</v>
  </rv>
  <rv s="6">
    <fb>45334</fb>
    <v>10</v>
  </rv>
  <rv s="6">
    <fb>182.31</fb>
    <v>11</v>
  </rv>
  <rv s="6">
    <fb>188.41499999999999</fb>
    <v>11</v>
  </rv>
  <rv s="6">
    <fb>188.67</fb>
    <v>11</v>
  </rv>
  <rv s="6">
    <fb>181.35</fb>
    <v>11</v>
  </rv>
  <rv s="6">
    <fb>268128941</fb>
    <v>12</v>
  </rv>
  <rv s="6">
    <fb>45342</fb>
    <v>10</v>
  </rv>
  <rv s="6">
    <fb>182.52</fb>
    <v>11</v>
  </rv>
  <rv s="6">
    <fb>181.79</fb>
    <v>11</v>
  </rv>
  <rv s="6">
    <fb>185.04</fb>
    <v>11</v>
  </rv>
  <rv s="6">
    <fb>180</fb>
    <v>11</v>
  </rv>
  <rv s="6">
    <fb>192607112</fb>
    <v>12</v>
  </rv>
  <rv s="6">
    <fb>45348</fb>
    <v>10</v>
  </rv>
  <rv s="6">
    <fb>179.66</fb>
    <v>11</v>
  </rv>
  <rv s="6">
    <fb>182.24</fb>
    <v>11</v>
  </rv>
  <rv s="6">
    <fb>183.92250000000001</fb>
    <v>11</v>
  </rv>
  <rv s="6">
    <fb>177.38</fb>
    <v>11</v>
  </rv>
  <rv s="6">
    <fb>354385890</fb>
    <v>12</v>
  </rv>
  <rv s="6">
    <fb>45355</fb>
    <v>10</v>
  </rv>
  <rv s="6">
    <fb>170.73</fb>
    <v>11</v>
  </rv>
  <rv s="6">
    <fb>176.9</fb>
    <v>11</v>
  </rv>
  <rv s="6">
    <fb>168.49</fb>
    <v>11</v>
  </rv>
  <rv s="6">
    <fb>393262265</fb>
    <v>12</v>
  </rv>
  <rv s="6">
    <fb>45362</fb>
    <v>10</v>
  </rv>
  <rv s="6">
    <fb>172.62</fb>
    <v>11</v>
  </rv>
  <rv s="6">
    <fb>172.94</fb>
    <v>11</v>
  </rv>
  <rv s="6">
    <fb>174.38</fb>
    <v>11</v>
  </rv>
  <rv s="6">
    <fb>170.285</fb>
    <v>11</v>
  </rv>
  <rv s="6">
    <fb>367119743</fb>
    <v>12</v>
  </rv>
  <rv s="6">
    <fb>45369</fb>
    <v>10</v>
  </rv>
  <rv s="6">
    <fb>172.28</fb>
    <v>11</v>
  </rv>
  <rv s="6">
    <fb>175.57</fb>
    <v>11</v>
  </rv>
  <rv s="6">
    <fb>178.67</fb>
    <v>11</v>
  </rv>
  <rv s="6">
    <fb>170.06</fb>
    <v>11</v>
  </rv>
  <rv s="6">
    <fb>361583938</fb>
    <v>12</v>
  </rv>
  <rv s="6">
    <fb>45376</fb>
    <v>10</v>
  </rv>
  <rv s="6">
    <fb>171.48</fb>
    <v>11</v>
  </rv>
  <rv s="6">
    <fb>170.565</fb>
    <v>11</v>
  </rv>
  <rv s="6">
    <fb>173.6</fb>
    <v>11</v>
  </rv>
  <rv s="6">
    <fb>169.45</fb>
    <v>11</v>
  </rv>
  <rv s="6">
    <fb>237622732</fb>
    <v>12</v>
  </rv>
  <rv s="6">
    <fb>45383</fb>
    <v>10</v>
  </rv>
  <rv s="6">
    <fb>169.58</fb>
    <v>11</v>
  </rv>
  <rv s="6">
    <fb>171.19</fb>
    <v>11</v>
  </rv>
  <rv s="6">
    <fb>171.92</fb>
    <v>11</v>
  </rv>
  <rv s="6">
    <fb>168.2302</fb>
    <v>11</v>
  </rv>
  <rv s="6">
    <fb>239070908</fb>
    <v>12</v>
  </rv>
  <rv s="6">
    <fb>45390</fb>
    <v>10</v>
  </rv>
  <rv s="6">
    <fb>169.03</fb>
    <v>11</v>
  </rv>
  <rv s="6">
    <fb>178.36</fb>
    <v>11</v>
  </rv>
  <rv s="6">
    <fb>167.11</fb>
    <v>11</v>
  </rv>
  <rv s="6">
    <fb>322327219</fb>
    <v>12</v>
  </rv>
  <rv s="6">
    <fb>45397</fb>
    <v>10</v>
  </rv>
  <rv s="6">
    <fb>175.36</fb>
    <v>11</v>
  </rv>
  <rv s="6">
    <fb>176.63</fb>
    <v>11</v>
  </rv>
  <rv s="6">
    <fb>164.07499999999999</fb>
    <v>11</v>
  </rv>
  <rv s="6">
    <fb>309416498</fb>
    <v>12</v>
  </rv>
  <rv s="6">
    <fb>45404</fb>
    <v>10</v>
  </rv>
  <rv s="6">
    <fb>169.3</fb>
    <v>11</v>
  </rv>
  <rv s="6">
    <fb>165.51499999999999</fb>
    <v>11</v>
  </rv>
  <rv s="6">
    <fb>171.34</fb>
    <v>11</v>
  </rv>
  <rv s="6">
    <fb>164.77</fb>
    <v>11</v>
  </rv>
  <rv s="6">
    <fb>241302722</fb>
    <v>12</v>
  </rv>
  <rv s="6">
    <fb>45411</fb>
    <v>10</v>
  </rv>
  <rv s="6">
    <fb>183.38</fb>
    <v>11</v>
  </rv>
  <rv s="6">
    <fb>173.37</fb>
    <v>11</v>
  </rv>
  <rv s="6">
    <fb>187</fb>
    <v>11</v>
  </rv>
  <rv s="6">
    <fb>169.11</fb>
    <v>11</v>
  </rv>
  <rv s="6">
    <fb>441926366</fb>
    <v>12</v>
  </rv>
  <rv s="6">
    <fb>45418</fb>
    <v>10</v>
  </rv>
  <rv s="6">
    <fb>183.05</fb>
    <v>11</v>
  </rv>
  <rv s="6">
    <fb>182.35400000000001</fb>
    <v>11</v>
  </rv>
  <rv s="6">
    <fb>185.09</fb>
    <v>11</v>
  </rv>
  <rv s="6">
    <fb>180.42</fb>
    <v>11</v>
  </rv>
  <rv s="6">
    <fb>300674993</fb>
    <v>12</v>
  </rv>
  <rv s="6">
    <fb>45425</fb>
    <v>10</v>
  </rv>
  <rv s="6">
    <fb>189.87</fb>
    <v>11</v>
  </rv>
  <rv s="6">
    <fb>185.435</fb>
    <v>11</v>
  </rv>
  <rv s="6">
    <fb>191.095</fb>
    <v>11</v>
  </rv>
  <rv s="6">
    <fb>184.62</fb>
    <v>11</v>
  </rv>
  <rv s="6">
    <fb>288966571</fb>
    <v>12</v>
  </rv>
  <rv s="6">
    <fb>45432</fb>
    <v>10</v>
  </rv>
  <rv s="6">
    <fb>189.32499999999999</fb>
    <v>11</v>
  </rv>
  <rv s="6">
    <fb>192.82310000000001</fb>
    <v>11</v>
  </rv>
  <rv s="6">
    <fb>186.625</fb>
    <v>11</v>
  </rv>
  <rv s="6">
    <fb>208652122</fb>
    <v>12</v>
  </rv>
  <rv s="6">
    <fb>45440</fb>
    <v>10</v>
  </rv>
  <rv s="6">
    <fb>191.51</fb>
    <v>11</v>
  </rv>
  <rv s="6">
    <fb>193</fb>
    <v>11</v>
  </rv>
  <rv s="6">
    <fb>189.1</fb>
    <v>11</v>
  </rv>
  <rv s="6">
    <fb>230454285</fb>
    <v>12</v>
  </rv>
  <rv s="6">
    <fb>45446</fb>
    <v>10</v>
  </rv>
  <rv s="6">
    <fb>196.89</fb>
    <v>11</v>
  </rv>
  <rv s="6">
    <fb>192.9</fb>
    <v>11</v>
  </rv>
  <rv s="6">
    <fb>196.94</fb>
    <v>11</v>
  </rv>
  <rv s="6">
    <fb>192.52</fb>
    <v>11</v>
  </rv>
  <rv s="6">
    <fb>245994434</fb>
    <v>12</v>
  </rv>
  <rv s="6">
    <fb>45453</fb>
    <v>10</v>
  </rv>
  <rv s="6">
    <fb>212.49</fb>
    <v>11</v>
  </rv>
  <rv s="6">
    <fb>196.9</fb>
    <v>11</v>
  </rv>
  <rv s="6">
    <fb>220.2</fb>
    <v>11</v>
  </rv>
  <rv s="6">
    <fb>192.15</fb>
    <v>11</v>
  </rv>
  <rv s="6">
    <fb>635755143</fb>
    <v>12</v>
  </rv>
  <rv s="6">
    <fb>45460</fb>
    <v>10</v>
  </rv>
  <rv s="6">
    <fb>207.49</fb>
    <v>11</v>
  </rv>
  <rv s="6">
    <fb>213.37</fb>
    <v>11</v>
  </rv>
  <rv s="6">
    <fb>218.95</fb>
    <v>11</v>
  </rv>
  <rv s="6">
    <fb>207.11</fb>
    <v>11</v>
  </rv>
  <rv s="6">
    <fb>506265358</fb>
    <v>12</v>
  </rv>
  <rv s="6">
    <fb>45467</fb>
    <v>10</v>
  </rv>
  <rv s="6">
    <fb>210.62</fb>
    <v>11</v>
  </rv>
  <rv s="6">
    <fb>207.72</fb>
    <v>11</v>
  </rv>
  <rv s="6">
    <fb>216.07</fb>
    <v>11</v>
  </rv>
  <rv s="6">
    <fb>206.59</fb>
    <v>11</v>
  </rv>
  <rv s="6">
    <fb>335969485</fb>
    <v>12</v>
  </rv>
  <rv s="6">
    <fb>45474</fb>
    <v>10</v>
  </rv>
  <rv s="6">
    <fb>226.34</fb>
    <v>11</v>
  </rv>
  <rv s="6">
    <fb>212.09</fb>
    <v>11</v>
  </rv>
  <rv s="6">
    <fb>226.45</fb>
    <v>11</v>
  </rv>
  <rv s="6">
    <fb>211.92</fb>
    <v>11</v>
  </rv>
  <rv s="6">
    <fb>216231316</fb>
    <v>12</v>
  </rv>
  <rv s="6">
    <fb>45481</fb>
    <v>10</v>
  </rv>
  <rv s="6">
    <fb>230.54</fb>
    <v>11</v>
  </rv>
  <rv s="6">
    <fb>227.09</fb>
    <v>11</v>
  </rv>
  <rv s="6">
    <fb>233.08</fb>
    <v>11</v>
  </rv>
  <rv s="6">
    <fb>223.25</fb>
    <v>11</v>
  </rv>
  <rv s="6">
    <fb>287640514</fb>
    <v>12</v>
  </rv>
  <rv s="6">
    <fb>45488</fb>
    <v>10</v>
  </rv>
  <rv s="6">
    <fb>224.31</fb>
    <v>11</v>
  </rv>
  <rv s="6">
    <fb>236.48</fb>
    <v>11</v>
  </rv>
  <rv s="6">
    <fb>237.23</fb>
    <v>11</v>
  </rv>
  <rv s="6">
    <fb>222.27</fb>
    <v>11</v>
  </rv>
  <rv s="6">
    <fb>278397452</fb>
    <v>12</v>
  </rv>
  <rv s="6">
    <fb>45495</fb>
    <v>10</v>
  </rv>
  <rv s="6">
    <fb>217.96</fb>
    <v>11</v>
  </rv>
  <rv s="6">
    <fb>227.01</fb>
    <v>11</v>
  </rv>
  <rv s="6">
    <fb>227.78</fb>
    <v>11</v>
  </rv>
  <rv s="6">
    <fb>214.62</fb>
    <v>11</v>
  </rv>
  <rv s="6">
    <fb>242932215</fb>
    <v>12</v>
  </rv>
  <rv s="6">
    <fb>45502</fb>
    <v>10</v>
  </rv>
  <rv s="6">
    <fb>219.86</fb>
    <v>11</v>
  </rv>
  <rv s="6">
    <fb>216.96</fb>
    <v>11</v>
  </rv>
  <rv s="6">
    <fb>225.6</fb>
    <v>11</v>
  </rv>
  <rv s="6">
    <fb>215.75</fb>
    <v>11</v>
  </rv>
  <rv s="6">
    <fb>296061436</fb>
    <v>12</v>
  </rv>
  <rv s="6">
    <fb>45509</fb>
    <v>10</v>
  </rv>
  <rv s="6">
    <fb>216.24</fb>
    <v>11</v>
  </rv>
  <rv s="6">
    <fb>199.09</fb>
    <v>11</v>
  </rv>
  <rv s="6">
    <fb>216.78</fb>
    <v>11</v>
  </rv>
  <rv s="6">
    <fb>196</fb>
    <v>11</v>
  </rv>
  <rv s="6">
    <fb>342088289</fb>
    <v>12</v>
  </rv>
  <rv s="6">
    <fb>45516</fb>
    <v>10</v>
  </rv>
  <rv s="6">
    <fb>226.05</fb>
    <v>11</v>
  </rv>
  <rv s="6">
    <fb>226.8271</fb>
    <v>11</v>
  </rv>
  <rv s="6">
    <fb>215.6</fb>
    <v>11</v>
  </rv>
  <rv s="6">
    <fb>214898250</fb>
    <v>12</v>
  </rv>
  <rv s="6">
    <fb>45523</fb>
    <v>10</v>
  </rv>
  <rv s="6">
    <fb>226.84</fb>
    <v>11</v>
  </rv>
  <rv s="6">
    <fb>225.72</fb>
    <v>11</v>
  </rv>
  <rv s="6">
    <fb>228.34</fb>
    <v>11</v>
  </rv>
  <rv s="6">
    <fb>223.04</fb>
    <v>11</v>
  </rv>
  <rv s="6">
    <fb>188124897</fb>
    <v>12</v>
  </rv>
  <rv s="6">
    <fb>45530</fb>
    <v>10</v>
  </rv>
  <rv s="6">
    <fb>229</fb>
    <v>11</v>
  </rv>
  <rv s="6">
    <fb>226.76</fb>
    <v>11</v>
  </rv>
  <rv s="6">
    <fb>232.92</fb>
    <v>11</v>
  </rv>
  <rv s="6">
    <fb>223.8905</fb>
    <v>11</v>
  </rv>
  <rv s="6">
    <fb>209486001</fb>
    <v>12</v>
  </rv>
  <rv s="6">
    <fb>45538</fb>
    <v>10</v>
  </rv>
  <rv s="6">
    <fb>220.82</fb>
    <v>11</v>
  </rv>
  <rv s="6">
    <fb>228.55</fb>
    <v>11</v>
  </rv>
  <rv s="6">
    <fb>217.48</fb>
    <v>11</v>
  </rv>
  <rv s="6">
    <fb>179069179</fb>
    <v>12</v>
  </rv>
  <rv s="6">
    <fb>45544</fb>
    <v>10</v>
  </rv>
  <rv s="6">
    <fb>222.5</fb>
    <v>11</v>
  </rv>
  <rv s="6">
    <fb>224.04</fb>
    <v>11</v>
  </rv>
  <rv s="6">
    <fb>216.71</fb>
    <v>11</v>
  </rv>
  <rv s="6">
    <fb>237622914</fb>
    <v>12</v>
  </rv>
  <rv s="6">
    <fb>45551</fb>
    <v>10</v>
  </rv>
  <rv s="6">
    <fb>228.2</fb>
    <v>11</v>
  </rv>
  <rv s="6">
    <fb>216.54</fb>
    <v>11</v>
  </rv>
  <rv s="6">
    <fb>233.09</fb>
    <v>11</v>
  </rv>
  <rv s="6">
    <fb>213.92</fb>
    <v>11</v>
  </rv>
  <rv s="6">
    <fb>550232897</fb>
    <v>12</v>
  </rv>
  <rv s="6">
    <fb>45558</fb>
    <v>10</v>
  </rv>
  <rv s="6">
    <fb>227.79</fb>
    <v>11</v>
  </rv>
  <rv s="6">
    <fb>227.34</fb>
    <v>11</v>
  </rv>
  <rv s="6">
    <fb>229.52</fb>
    <v>11</v>
  </rv>
  <rv s="6">
    <fb>224.02</fb>
    <v>11</v>
  </rv>
  <rv s="6">
    <fb>210673480</fb>
    <v>12</v>
  </rv>
  <rv s="6">
    <fb>45565</fb>
    <v>10</v>
  </rv>
  <rv s="6">
    <fb>226.8</fb>
    <v>11</v>
  </rv>
  <rv s="6">
    <fb>230.04</fb>
    <v>11</v>
  </rv>
  <rv s="6">
    <fb>233</fb>
    <v>11</v>
  </rv>
  <rv s="6">
    <fb>223.02</fb>
    <v>11</v>
  </rv>
  <rv s="6">
    <fb>222348300</fb>
    <v>12</v>
  </rv>
  <rv s="6">
    <fb>45572</fb>
    <v>10</v>
  </rv>
  <rv s="6">
    <fb>227.55</fb>
    <v>11</v>
  </rv>
  <rv s="6">
    <fb>224.5</fb>
    <v>11</v>
  </rv>
  <rv s="6">
    <fb>229.75</fb>
    <v>11</v>
  </rv>
  <rv s="6">
    <fb>221.33</fb>
    <v>11</v>
  </rv>
  <rv s="6">
    <fb>164894870</fb>
    <v>12</v>
  </rv>
  <rv s="6">
    <fb>45579</fb>
    <v>10</v>
  </rv>
  <rv s="6">
    <fb>235</fb>
    <v>11</v>
  </rv>
  <rv s="6">
    <fb>228.7</fb>
    <v>11</v>
  </rv>
  <rv s="6">
    <fb>237.49</fb>
    <v>11</v>
  </rv>
  <rv s="6">
    <fb>228.6</fb>
    <v>11</v>
  </rv>
  <rv s="6">
    <fb>218140974</fb>
    <v>12</v>
  </rv>
  <rv s="6">
    <fb>45586</fb>
    <v>10</v>
  </rv>
  <rv s="6">
    <fb>231.41</fb>
    <v>11</v>
  </rv>
  <rv s="6">
    <fb>234.45</fb>
    <v>11</v>
  </rv>
  <rv s="6">
    <fb>236.85</fb>
    <v>11</v>
  </rv>
  <rv s="6">
    <fb>227.76</fb>
    <v>11</v>
  </rv>
  <rv s="6">
    <fb>197299834</fb>
    <v>12</v>
  </rv>
  <rv s="6">
    <fb>45593</fb>
    <v>10</v>
  </rv>
  <rv s="6">
    <fb>222.91</fb>
    <v>11</v>
  </rv>
  <rv s="6">
    <fb>233.32</fb>
    <v>11</v>
  </rv>
  <rv s="6">
    <fb>234.73</fb>
    <v>11</v>
  </rv>
  <rv s="6">
    <fb>220.27</fb>
    <v>11</v>
  </rv>
  <rv s="6">
    <fb>248222115</fb>
    <v>12</v>
  </rv>
  <rv s="6">
    <fb>45600</fb>
    <v>10</v>
  </rv>
  <rv s="6">
    <fb>226.96</fb>
    <v>11</v>
  </rv>
  <rv s="6">
    <fb>220.99</fb>
    <v>11</v>
  </rv>
  <rv s="6">
    <fb>228.66</fb>
    <v>11</v>
  </rv>
  <rv s="6">
    <fb>219.71</fb>
    <v>11</v>
  </rv>
  <rv s="6">
    <fb>208083442</fb>
    <v>12</v>
  </rv>
  <rv s="6">
    <fb>45607</fb>
    <v>10</v>
  </rv>
  <rv s="6">
    <fb>225</fb>
    <v>11</v>
  </rv>
  <rv s="6">
    <fb>228.87</fb>
    <v>11</v>
  </rv>
  <rv s="6">
    <fb>221.5</fb>
    <v>11</v>
  </rv>
  <rv s="6">
    <fb>223817755</fb>
    <v>12</v>
  </rv>
  <rv s="6">
    <fb>45614</fb>
    <v>10</v>
  </rv>
  <rv s="6">
    <fb>229.87</fb>
    <v>11</v>
  </rv>
  <rv s="6">
    <fb>225.25</fb>
    <v>11</v>
  </rv>
  <rv s="6">
    <fb>230.7199</fb>
    <v>11</v>
  </rv>
  <rv s="6">
    <fb>225.17</fb>
    <v>11</v>
  </rv>
  <rv s="6">
    <fb>196343939</fb>
    <v>12</v>
  </rv>
  <rv s="6">
    <fb>45621</fb>
    <v>10</v>
  </rv>
  <rv s="6">
    <fb>237.33</fb>
    <v>11</v>
  </rv>
  <rv s="6">
    <fb>231.46</fb>
    <v>11</v>
  </rv>
  <rv s="6">
    <fb>237.81</fb>
    <v>11</v>
  </rv>
  <rv s="6">
    <fb>229.74</fb>
    <v>11</v>
  </rv>
  <rv s="6">
    <fb>198118837</fb>
    <v>12</v>
  </rv>
  <rv s="6">
    <fb>45628</fb>
    <v>10</v>
  </rv>
  <rv s="6">
    <fb>242.84</fb>
    <v>11</v>
  </rv>
  <rv s="6">
    <fb>237.27</fb>
    <v>11</v>
  </rv>
  <rv s="6">
    <fb>244.63</fb>
    <v>11</v>
  </rv>
  <rv s="6">
    <fb>237.16</fb>
    <v>11</v>
  </rv>
  <rv s="6">
    <fb>208286552</fb>
    <v>12</v>
  </rv>
  <rv s="6">
    <fb>45635</fb>
    <v>10</v>
  </rv>
  <rv s="6">
    <fb>248.13</fb>
    <v>11</v>
  </rv>
  <rv s="6">
    <fb>241.83</fb>
    <v>11</v>
  </rv>
  <rv s="6">
    <fb>250.8</fb>
    <v>11</v>
  </rv>
  <rv s="6">
    <fb>241.75</fb>
    <v>11</v>
  </rv>
  <rv s="6">
    <fb>192702674</fb>
    <v>12</v>
  </rv>
  <rv s="6">
    <fb>45642</fb>
    <v>10</v>
  </rv>
  <rv s="6">
    <fb>254.49</fb>
    <v>11</v>
  </rv>
  <rv s="6">
    <fb>247.99</fb>
    <v>11</v>
  </rv>
  <rv s="6">
    <fb>255</fb>
    <v>11</v>
  </rv>
  <rv s="6">
    <fb>245.69</fb>
    <v>11</v>
  </rv>
  <rv s="6">
    <fb>368202745</fb>
    <v>12</v>
  </rv>
  <rv s="6">
    <fb>45649</fb>
    <v>10</v>
  </rv>
  <rv s="6">
    <fb>255.59</fb>
    <v>11</v>
  </rv>
  <rv s="6">
    <fb>254.77</fb>
    <v>11</v>
  </rv>
  <rv s="6">
    <fb>260.10000000000002</fb>
    <v>11</v>
  </rv>
  <rv s="6">
    <fb>253.06</fb>
    <v>11</v>
  </rv>
  <rv s="6">
    <fb>133711783</fb>
    <v>12</v>
  </rv>
  <rv s="6">
    <fb>45656</fb>
    <v>10</v>
  </rv>
  <rv s="6">
    <fb>243.36</fb>
    <v>11</v>
  </rv>
  <rv s="6">
    <fb>252.23</fb>
    <v>11</v>
  </rv>
  <rv s="6">
    <fb>253.5</fb>
    <v>11</v>
  </rv>
  <rv s="6">
    <fb>241.8201</fb>
    <v>11</v>
  </rv>
  <rv s="6">
    <fb>171023105</fb>
    <v>12</v>
  </rv>
  <rv s="6">
    <fb>45663</fb>
    <v>10</v>
  </rv>
  <rv s="6">
    <fb>244.31</fb>
    <v>11</v>
  </rv>
  <rv s="6">
    <fb>247.33</fb>
    <v>11</v>
  </rv>
  <rv s="6">
    <fb>185241327</fb>
    <v>12</v>
  </rv>
  <rv s="6">
    <fb>45670</fb>
    <v>10</v>
  </rv>
  <rv s="6">
    <fb>229.98</fb>
    <v>11</v>
  </rv>
  <rv s="6">
    <fb>233.53</fb>
    <v>11</v>
  </rv>
  <rv s="6">
    <fb>238.96</fb>
    <v>11</v>
  </rv>
  <rv s="6">
    <fb>228.03</fb>
    <v>11</v>
  </rv>
  <rv s="6">
    <fb>269145341</fb>
    <v>12</v>
  </rv>
  <rv s="6">
    <fb>45678</fb>
    <v>10</v>
  </rv>
  <rv s="6">
    <fb>222.78</fb>
    <v>11</v>
  </rv>
  <rv s="6">
    <fb>224</fb>
    <v>11</v>
  </rv>
  <rv s="6">
    <fb>227.03</fb>
    <v>11</v>
  </rv>
  <rv s="6">
    <fb>219.38</fb>
    <v>11</v>
  </rv>
  <rv s="6">
    <fb>277129596</fb>
    <v>12</v>
  </rv>
  <rv s="6">
    <fb>45684</fb>
    <v>10</v>
  </rv>
  <rv s="6">
    <fb>236</fb>
    <v>11</v>
  </rv>
  <rv s="6">
    <fb>247.19</fb>
    <v>11</v>
  </rv>
  <rv s="6">
    <fb>223.98</fb>
    <v>11</v>
  </rv>
  <rv s="6">
    <fb>372790494</fb>
    <v>12</v>
  </rv>
  <rv s="6">
    <fb>45691</fb>
    <v>10</v>
  </rv>
  <rv s="6">
    <fb>227.63</fb>
    <v>11</v>
  </rv>
  <rv s="6">
    <fb>229.99</fb>
    <v>11</v>
  </rv>
  <rv s="6">
    <fb>234</fb>
    <v>11</v>
  </rv>
  <rv s="6">
    <fb>225.7</fb>
    <v>11</v>
  </rv>
  <rv s="6">
    <fb>227428164</fb>
    <v>12</v>
  </rv>
  <rv s="6">
    <fb>45698</fb>
    <v>10</v>
  </rv>
  <rv s="6">
    <fb>244.6</fb>
    <v>11</v>
  </rv>
  <rv s="6">
    <fb>229.57</fb>
    <v>11</v>
  </rv>
  <rv s="6">
    <fb>245.55</fb>
    <v>11</v>
  </rv>
  <rv s="6">
    <fb>227.2</fb>
    <v>11</v>
  </rv>
  <rv s="6">
    <fb>226587580</fb>
    <v>12</v>
  </rv>
  <rv s="6">
    <fb>45706</fb>
    <v>10</v>
  </rv>
  <rv s="6">
    <fb>244.15</fb>
    <v>11</v>
  </rv>
  <rv s="6">
    <fb>248.69</fb>
    <v>11</v>
  </rv>
  <rv s="6">
    <fb>241.84</fb>
    <v>11</v>
  </rv>
  <rv s="6">
    <fb>166541044</fb>
    <v>12</v>
  </rv>
  <rv s="6">
    <fb>45712</fb>
    <v>10</v>
  </rv>
  <rv s="6">
    <fb>244.92500000000001</fb>
    <v>11</v>
  </rv>
  <rv s="6">
    <fb>250</fb>
    <v>11</v>
  </rv>
  <rv s="6">
    <fb>230.2</fb>
    <v>11</v>
  </rv>
  <rv s="6">
    <fb>241760231</fb>
    <v>12</v>
  </rv>
  <rv s="6">
    <fb>45719</fb>
    <v>10</v>
  </rv>
  <rv s="6">
    <fb>239.07</fb>
    <v>11</v>
  </rv>
  <rv s="6">
    <fb>241.79</fb>
    <v>11</v>
  </rv>
  <rv s="6">
    <fb>244.02719999999999</fb>
    <v>11</v>
  </rv>
  <rv s="6">
    <fb>229.23</fb>
    <v>11</v>
  </rv>
  <rv s="6">
    <fb>239653674</fb>
    <v>12</v>
  </rv>
  <rv s="6">
    <fb>45726</fb>
    <v>10</v>
  </rv>
  <rv s="6">
    <fb>213.49</fb>
    <v>11</v>
  </rv>
  <rv s="6">
    <fb>235.54</fb>
    <v>11</v>
  </rv>
  <rv s="6">
    <fb>236.16</fb>
    <v>11</v>
  </rv>
  <rv s="6">
    <fb>208.42</fb>
    <v>11</v>
  </rv>
  <rv s="6">
    <fb>332231986</fb>
    <v>12</v>
  </rv>
  <rv s="6">
    <fb>45733</fb>
    <v>10</v>
  </rv>
  <rv s="6">
    <fb>218.27</fb>
    <v>11</v>
  </rv>
  <rv s="6">
    <fb>213.31</fb>
    <v>11</v>
  </rv>
  <rv s="6">
    <fb>218.84</fb>
    <v>11</v>
  </rv>
  <rv s="6">
    <fb>209.97</fb>
    <v>11</v>
  </rv>
  <rv s="6">
    <fb>287881958</fb>
    <v>12</v>
  </rv>
  <rv s="6">
    <fb>45740</fb>
    <v>10</v>
  </rv>
  <rv s="6">
    <fb>217.9</fb>
    <v>11</v>
  </rv>
  <rv s="6">
    <fb>221</fb>
    <v>11</v>
  </rv>
  <rv s="6">
    <fb>225.02</fb>
    <v>11</v>
  </rv>
  <rv s="6">
    <fb>217.68</fb>
    <v>11</v>
  </rv>
  <rv s="6">
    <fb>190239113</fb>
    <v>12</v>
  </rv>
  <rv s="6">
    <fb>45747</fb>
    <v>10</v>
  </rv>
  <rv s="6">
    <fb>188.38</fb>
    <v>11</v>
  </rv>
  <rv s="6">
    <fb>217.005</fb>
    <v>11</v>
  </rv>
  <rv s="6">
    <fb>225.62</fb>
    <v>11</v>
  </rv>
  <rv s="6">
    <fb>187.34</fb>
    <v>11</v>
  </rv>
  <rv s="6">
    <fb>366947884</fb>
    <v>12</v>
  </rv>
  <rv s="6">
    <fb>45754</fb>
    <v>10</v>
  </rv>
  <rv s="6">
    <fb>198.15</fb>
    <v>11</v>
  </rv>
  <rv s="6">
    <fb>177.2</fb>
    <v>11</v>
  </rv>
  <rv s="6">
    <fb>200.61</fb>
    <v>11</v>
  </rv>
  <rv s="6">
    <fb>169.21010000000001</fb>
    <v>11</v>
  </rv>
  <rv s="6">
    <fb>673678015</fb>
    <v>12</v>
  </rv>
  <rv s="6">
    <fb>45761</fb>
    <v>10</v>
  </rv>
  <rv s="6">
    <fb>196.98</fb>
    <v>11</v>
  </rv>
  <rv s="6">
    <fb>211.44</fb>
    <v>11</v>
  </rv>
  <rv s="6">
    <fb>212.94</fb>
    <v>11</v>
  </rv>
  <rv s="6">
    <fb>192.37</fb>
    <v>11</v>
  </rv>
  <rv s="6">
    <fb>264593881</fb>
    <v>12</v>
  </rv>
  <rv s="6">
    <fb>45768</fb>
    <v>10</v>
  </rv>
  <rv s="6">
    <fb>209.28</fb>
    <v>11</v>
  </rv>
  <rv s="6">
    <fb>193.26499999999999</fb>
    <v>11</v>
  </rv>
  <rv s="6">
    <fb>209.75</fb>
    <v>11</v>
  </rv>
  <rv s="6">
    <fb>189.81120000000001</fb>
    <v>11</v>
  </rv>
  <rv s="6">
    <fb>238181320</fb>
    <v>12</v>
  </rv>
  <rv s="6">
    <fb>45775</fb>
    <v>10</v>
  </rv>
  <rv s="6">
    <fb>205.35</fb>
    <v>11</v>
  </rv>
  <rv s="6">
    <fb>210</fb>
    <v>11</v>
  </rv>
  <rv s="6">
    <fb>214.56</fb>
    <v>11</v>
  </rv>
  <rv s="6">
    <fb>202.16</fb>
    <v>11</v>
  </rv>
  <rv s="6">
    <fb>286233457</fb>
    <v>12</v>
  </rv>
  <rv s="6">
    <fb>15.3454</fb>
    <v>11</v>
  </rv>
  <rv s="6">
    <fb>15.1593</fb>
    <v>11</v>
  </rv>
  <rv s="6">
    <fb>15.404400000000001</fb>
    <v>11</v>
  </rv>
  <rv s="6">
    <fb>14.8596</fb>
    <v>11</v>
  </rv>
  <rv s="6">
    <fb>48097603</fb>
    <v>12</v>
  </rv>
  <rv s="6">
    <fb>15.1683</fb>
    <v>11</v>
  </rv>
  <rv s="6">
    <fb>15.3863</fb>
    <v>11</v>
  </rv>
  <rv s="6">
    <fb>14.6417</fb>
    <v>11</v>
  </rv>
  <rv s="6">
    <fb>37590956</fb>
    <v>12</v>
  </rv>
  <rv s="6">
    <fb>15.2546</fb>
    <v>11</v>
  </rv>
  <rv s="6">
    <fb>15.1638</fb>
    <v>11</v>
  </rv>
  <rv s="6">
    <fb>15.3545</fb>
    <v>11</v>
  </rv>
  <rv s="6">
    <fb>14.9368</fb>
    <v>11</v>
  </rv>
  <rv s="6">
    <fb>41093289</fb>
    <v>12</v>
  </rv>
  <rv s="6">
    <fb>15.7812</fb>
    <v>11</v>
  </rv>
  <rv s="6">
    <fb>15.204700000000001</fb>
    <v>11</v>
  </rv>
  <rv s="6">
    <fb>16.162600000000001</fb>
    <v>11</v>
  </rv>
  <rv s="6">
    <fb>14.88</fb>
    <v>11</v>
  </rv>
  <rv s="6">
    <fb>70482448</fb>
    <v>12</v>
  </rv>
  <rv s="6">
    <fb>15.6496</fb>
    <v>11</v>
  </rv>
  <rv s="6">
    <fb>15.717700000000001</fb>
    <v>11</v>
  </rv>
  <rv s="6">
    <fb>15.082100000000001</fb>
    <v>11</v>
  </rv>
  <rv s="6">
    <fb>50144729</fb>
    <v>12</v>
  </rv>
  <rv s="6">
    <fb>14.9459</fb>
    <v>11</v>
  </rv>
  <rv s="6">
    <fb>15.5633</fb>
    <v>11</v>
  </rv>
  <rv s="6">
    <fb>14.898199999999999</fb>
    <v>11</v>
  </rv>
  <rv s="6">
    <fb>54685083</fb>
    <v>12</v>
  </rv>
  <rv s="6">
    <fb>14.7143</fb>
    <v>11</v>
  </rv>
  <rv s="6">
    <fb>14.877800000000001</fb>
    <v>11</v>
  </rv>
  <rv s="6">
    <fb>15.0503</fb>
    <v>11</v>
  </rv>
  <rv s="6">
    <fb>14.619</fb>
    <v>11</v>
  </rv>
  <rv s="6">
    <fb>38472713</fb>
    <v>12</v>
  </rv>
  <rv s="6">
    <fb>14.4374</fb>
    <v>11</v>
  </rv>
  <rv s="6">
    <fb>14.6508</fb>
    <v>11</v>
  </rv>
  <rv s="6">
    <fb>14.782400000000001</fb>
    <v>11</v>
  </rv>
  <rv s="6">
    <fb>14.2921</fb>
    <v>11</v>
  </rv>
  <rv s="6">
    <fb>66444326</fb>
    <v>12</v>
  </rv>
  <rv s="6">
    <fb>13.860799999999999</fb>
    <v>11</v>
  </rv>
  <rv s="6">
    <fb>14.51</fb>
    <v>11</v>
  </rv>
  <rv s="6">
    <fb>14.5282</fb>
    <v>11</v>
  </rv>
  <rv s="6">
    <fb>13.742800000000001</fb>
    <v>11</v>
  </rv>
  <rv s="6">
    <fb>63426766</fb>
    <v>12</v>
  </rv>
  <rv s="6">
    <fb>13.933400000000001</fb>
    <v>11</v>
  </rv>
  <rv s="6">
    <fb>13.77</fb>
    <v>11</v>
  </rv>
  <rv s="6">
    <fb>14.0787</fb>
    <v>11</v>
  </rv>
  <rv s="6">
    <fb>13.4023</fb>
    <v>11</v>
  </rv>
  <rv s="6">
    <fb>69912288</fb>
    <v>12</v>
  </rv>
  <rv s="6">
    <fb>13.9153</fb>
    <v>11</v>
  </rv>
  <rv s="6">
    <fb>13.7927</fb>
    <v>11</v>
  </rv>
  <rv s="6">
    <fb>14.1196</fb>
    <v>11</v>
  </rv>
  <rv s="6">
    <fb>13.4931</fb>
    <v>11</v>
  </rv>
  <rv s="6">
    <fb>67484843</fb>
    <v>12</v>
  </rv>
  <rv s="6">
    <fb>13.7836</fb>
    <v>11</v>
  </rv>
  <rv s="6">
    <fb>14.046900000000001</fb>
    <v>11</v>
  </rv>
  <rv s="6">
    <fb>14.065099999999999</fb>
    <v>11</v>
  </rv>
  <rv s="6">
    <fb>13.5975</fb>
    <v>11</v>
  </rv>
  <rv s="6">
    <fb>50364208</fb>
    <v>12</v>
  </rv>
  <rv s="6">
    <fb>13.9879</fb>
    <v>11</v>
  </rv>
  <rv s="6">
    <fb>13.8018</fb>
    <v>11</v>
  </rv>
  <rv s="6">
    <fb>14.282999999999999</fb>
    <v>11</v>
  </rv>
  <rv s="6">
    <fb>13.661</fb>
    <v>11</v>
  </rv>
  <rv s="6">
    <fb>79762874</fb>
    <v>12</v>
  </rv>
  <rv s="6">
    <fb>13.856299999999999</fb>
    <v>11</v>
  </rv>
  <rv s="6">
    <fb>13.842599999999999</fb>
    <v>11</v>
  </rv>
  <rv s="6">
    <fb>13.9925</fb>
    <v>11</v>
  </rv>
  <rv s="6">
    <fb>13.6248</fb>
    <v>11</v>
  </rv>
  <rv s="6">
    <fb>45559778</fb>
    <v>12</v>
  </rv>
  <rv s="6">
    <fb>13.3523</fb>
    <v>11</v>
  </rv>
  <rv s="6">
    <fb>13.888</fb>
    <v>11</v>
  </rv>
  <rv s="6">
    <fb>13.974299999999999</fb>
    <v>11</v>
  </rv>
  <rv s="6">
    <fb>13.347799999999999</fb>
    <v>11</v>
  </rv>
  <rv s="6">
    <fb>55566044</fb>
    <v>12</v>
  </rv>
  <rv s="6">
    <fb>13.0345</fb>
    <v>11</v>
  </rv>
  <rv s="6">
    <fb>13.3796</fb>
    <v>11</v>
  </rv>
  <rv s="6">
    <fb>13.751799999999999</fb>
    <v>11</v>
  </rv>
  <rv s="6">
    <fb>12.8847</fb>
    <v>11</v>
  </rv>
  <rv s="6">
    <fb>48677301</fb>
    <v>12</v>
  </rv>
  <rv s="6">
    <fb>12.471500000000001</fb>
    <v>11</v>
  </rv>
  <rv s="6">
    <fb>12.9392</fb>
    <v>11</v>
  </rv>
  <rv s="6">
    <fb>13.3614</fb>
    <v>11</v>
  </rv>
  <rv s="6">
    <fb>12.2309</fb>
    <v>11</v>
  </rv>
  <rv s="6">
    <fb>89229511</fb>
    <v>12</v>
  </rv>
  <rv s="6">
    <fb>12.7258</fb>
    <v>11</v>
  </rv>
  <rv s="6">
    <fb>11.6271</fb>
    <v>11</v>
  </rv>
  <rv s="6">
    <fb>12.7712</fb>
    <v>11</v>
  </rv>
  <rv s="6">
    <fb>11.2834</fb>
    <v>11</v>
  </rv>
  <rv s="6">
    <fb>114305505</fb>
    <v>12</v>
  </rv>
  <rv s="6">
    <fb>12.2536</fb>
    <v>11</v>
  </rv>
  <rv s="6">
    <fb>12.6259</fb>
    <v>11</v>
  </rv>
  <rv s="6">
    <fb>13.03</fb>
    <v>11</v>
  </rv>
  <rv s="6">
    <fb>12.2445</fb>
    <v>11</v>
  </rv>
  <rv s="6">
    <fb>69879665</fb>
    <v>12</v>
  </rv>
  <rv s="6">
    <fb>12.3263</fb>
    <v>11</v>
  </rv>
  <rv s="6">
    <fb>12.4534</fb>
    <v>11</v>
  </rv>
  <rv s="6">
    <fb>12.716699999999999</fb>
    <v>11</v>
  </rv>
  <rv s="6">
    <fb>12.190099999999999</fb>
    <v>11</v>
  </rv>
  <rv s="6">
    <fb>43776217</fb>
    <v>12</v>
  </rv>
  <rv s="6">
    <fb>12.049300000000001</fb>
    <v>11</v>
  </rv>
  <rv s="6">
    <fb>12.3444</fb>
    <v>11</v>
  </rv>
  <rv s="6">
    <fb>12.9596</fb>
    <v>11</v>
  </rv>
  <rv s="6">
    <fb>12.0085</fb>
    <v>11</v>
  </rv>
  <rv s="6">
    <fb>107779497</fb>
    <v>12</v>
  </rv>
  <rv s="6">
    <fb>11.354699999999999</fb>
    <v>11</v>
  </rv>
  <rv s="6">
    <fb>11.885899999999999</fb>
    <v>11</v>
  </rv>
  <rv s="6">
    <fb>12.122</fb>
    <v>11</v>
  </rv>
  <rv s="6">
    <fb>11.241199999999999</fb>
    <v>11</v>
  </rv>
  <rv s="6">
    <fb>85658061</fb>
    <v>12</v>
  </rv>
  <rv s="6">
    <fb>11.835900000000001</fb>
    <v>11</v>
  </rv>
  <rv s="6">
    <fb>11.118600000000001</fb>
    <v>11</v>
  </rv>
  <rv s="6">
    <fb>11.032299999999999</fb>
    <v>11</v>
  </rv>
  <rv s="6">
    <fb>79447773</fb>
    <v>12</v>
  </rv>
  <rv s="6">
    <fb>13.3024</fb>
    <v>11</v>
  </rv>
  <rv s="6">
    <fb>11.963100000000001</fb>
    <v>11</v>
  </rv>
  <rv s="6">
    <fb>13.5158</fb>
    <v>11</v>
  </rv>
  <rv s="6">
    <fb>11.9131</fb>
    <v>11</v>
  </rv>
  <rv s="6">
    <fb>98010634</fb>
    <v>12</v>
  </rv>
  <rv s="6">
    <fb>13.102600000000001</fb>
    <v>11</v>
  </rv>
  <rv s="6">
    <fb>13.2615</fb>
    <v>11</v>
  </rv>
  <rv s="6">
    <fb>13.438599999999999</fb>
    <v>11</v>
  </rv>
  <rv s="6">
    <fb>12.9483</fb>
    <v>11</v>
  </rv>
  <rv s="6">
    <fb>49783873</fb>
    <v>12</v>
  </rv>
  <rv s="6">
    <fb>13.1798</fb>
    <v>11</v>
  </rv>
  <rv s="6">
    <fb>12.9846</fb>
    <v>11</v>
  </rv>
  <rv s="6">
    <fb>13.278499999999999</fb>
    <v>11</v>
  </rv>
  <rv s="6">
    <fb>12.807499999999999</fb>
    <v>11</v>
  </rv>
  <rv s="6">
    <fb>45327395</fb>
    <v>12</v>
  </rv>
  <rv s="6">
    <fb>12.24</fb>
    <v>11</v>
  </rv>
  <rv s="6">
    <fb>13.1389</fb>
    <v>11</v>
  </rv>
  <rv s="6">
    <fb>13.1753</fb>
    <v>11</v>
  </rv>
  <rv s="6">
    <fb>12.131</fb>
    <v>11</v>
  </rv>
  <rv s="6">
    <fb>69920019</fb>
    <v>12</v>
  </rv>
  <rv s="6">
    <fb>14.01</fb>
    <v>11</v>
  </rv>
  <rv s="6">
    <fb>12.47</fb>
    <v>11</v>
  </rv>
  <rv s="6">
    <fb>14.5</fb>
    <v>11</v>
  </rv>
  <rv s="6">
    <fb>12.41</fb>
    <v>11</v>
  </rv>
  <rv s="6">
    <fb>164472115</fb>
    <v>12</v>
  </rv>
  <rv s="6">
    <fb>13.11</fb>
    <v>11</v>
  </rv>
  <rv s="6">
    <fb>14.25</fb>
    <v>11</v>
  </rv>
  <rv s="6">
    <fb>14.35</fb>
    <v>11</v>
  </rv>
  <rv s="6">
    <fb>83055790</fb>
    <v>12</v>
  </rv>
  <rv s="6">
    <fb>14.06</fb>
    <v>11</v>
  </rv>
  <rv s="6">
    <fb>13.15</fb>
    <v>11</v>
  </rv>
  <rv s="6">
    <fb>14.09</fb>
    <v>11</v>
  </rv>
  <rv s="6">
    <fb>75772789</fb>
    <v>12</v>
  </rv>
  <rv s="6">
    <fb>12.61</fb>
    <v>11</v>
  </rv>
  <rv s="6">
    <fb>14.31</fb>
    <v>11</v>
  </rv>
  <rv s="6">
    <fb>14.82</fb>
    <v>11</v>
  </rv>
  <rv s="6">
    <fb>12.26</fb>
    <v>11</v>
  </rv>
  <rv s="6">
    <fb>132547158</fb>
    <v>12</v>
  </rv>
  <rv s="6">
    <fb>12.32</fb>
    <v>11</v>
  </rv>
  <rv s="6">
    <fb>12.58</fb>
    <v>11</v>
  </rv>
  <rv s="6">
    <fb>12.77</fb>
    <v>11</v>
  </rv>
  <rv s="6">
    <fb>11.86</fb>
    <v>11</v>
  </rv>
  <rv s="6">
    <fb>168010371</fb>
    <v>12</v>
  </rv>
  <rv s="6">
    <fb>12.21</fb>
    <v>11</v>
  </rv>
  <rv s="6">
    <fb>12.465</fb>
    <v>11</v>
  </rv>
  <rv s="6">
    <fb>11.89</fb>
    <v>11</v>
  </rv>
  <rv s="6">
    <fb>101904738</fb>
    <v>12</v>
  </rv>
  <rv s="6">
    <fb>11.51</fb>
    <v>11</v>
  </rv>
  <rv s="6">
    <fb>12.3</fb>
    <v>11</v>
  </rv>
  <rv s="6">
    <fb>11.45</fb>
    <v>11</v>
  </rv>
  <rv s="6">
    <fb>120610733</fb>
    <v>12</v>
  </rv>
  <rv s="6">
    <fb>11.73</fb>
    <v>11</v>
  </rv>
  <rv s="6">
    <fb>11.6</fb>
    <v>11</v>
  </rv>
  <rv s="6">
    <fb>11.3</fb>
    <v>11</v>
  </rv>
  <rv s="6">
    <fb>54594726</fb>
    <v>12</v>
  </rv>
  <rv s="6">
    <fb>11.84</fb>
    <v>11</v>
  </rv>
  <rv s="6">
    <fb>11.7</fb>
    <v>11</v>
  </rv>
  <rv s="6">
    <fb>11.99</fb>
    <v>11</v>
  </rv>
  <rv s="6">
    <fb>11.58</fb>
    <v>11</v>
  </rv>
  <rv s="6">
    <fb>36492049</fb>
    <v>12</v>
  </rv>
  <rv s="6">
    <fb>10.58</fb>
    <v>11</v>
  </rv>
  <rv s="6">
    <fb>11.78</fb>
    <v>11</v>
  </rv>
  <rv s="6">
    <fb>10.55</fb>
    <v>11</v>
  </rv>
  <rv s="6">
    <fb>87971636</fb>
    <v>12</v>
  </rv>
  <rv s="6">
    <fb>10.11</fb>
    <v>11</v>
  </rv>
  <rv s="6">
    <fb>10.66</fb>
    <v>11</v>
  </rv>
  <rv s="6">
    <fb>10.925000000000001</fb>
    <v>11</v>
  </rv>
  <rv s="6">
    <fb>9.99</fb>
    <v>11</v>
  </rv>
  <rv s="6">
    <fb>116770432</fb>
    <v>12</v>
  </rv>
  <rv s="6">
    <fb>9.8000000000000007</fb>
    <v>11</v>
  </rv>
  <rv s="6">
    <fb>10.27</fb>
    <v>11</v>
  </rv>
  <rv s="6">
    <fb>10.28</fb>
    <v>11</v>
  </rv>
  <rv s="6">
    <fb>9.24</fb>
    <v>11</v>
  </rv>
  <rv s="6">
    <fb>97469956</fb>
    <v>12</v>
  </rv>
  <rv s="6">
    <fb>9.7100000000000009</fb>
    <v>11</v>
  </rv>
  <rv s="6">
    <fb>9.7899999999999991</fb>
    <v>11</v>
  </rv>
  <rv s="6">
    <fb>9.89</fb>
    <v>11</v>
  </rv>
  <rv s="6">
    <fb>9.4</fb>
    <v>11</v>
  </rv>
  <rv s="6">
    <fb>95167139</fb>
    <v>12</v>
  </rv>
  <rv s="6">
    <fb>9.91</fb>
    <v>11</v>
  </rv>
  <rv s="6">
    <fb>9.65</fb>
    <v>11</v>
  </rv>
  <rv s="6">
    <fb>10.119999999999999</fb>
    <v>11</v>
  </rv>
  <rv s="6">
    <fb>9.33</fb>
    <v>11</v>
  </rv>
  <rv s="6">
    <fb>87350211</fb>
    <v>12</v>
  </rv>
  <rv s="6">
    <fb>9.42</fb>
    <v>11</v>
  </rv>
  <rv s="6">
    <fb>9.76</fb>
    <v>11</v>
  </rv>
  <rv s="6">
    <fb>9.8089999999999993</fb>
    <v>11</v>
  </rv>
  <rv s="6">
    <fb>8.91</fb>
    <v>11</v>
  </rv>
  <rv s="6">
    <fb>73058444</fb>
    <v>12</v>
  </rv>
  <rv s="6">
    <fb>10.32</fb>
    <v>11</v>
  </rv>
  <rv s="6">
    <fb>9.56</fb>
    <v>11</v>
  </rv>
  <rv s="6">
    <fb>10.67</fb>
    <v>11</v>
  </rv>
  <rv s="6">
    <fb>9.4499999999999993</fb>
    <v>11</v>
  </rv>
  <rv s="6">
    <fb>56749342</fb>
    <v>12</v>
  </rv>
  <rv s="6">
    <fb>10.64</fb>
    <v>11</v>
  </rv>
  <rv s="6">
    <fb>10.44</fb>
    <v>11</v>
  </rv>
  <rv s="6">
    <fb>10.99</fb>
    <v>11</v>
  </rv>
  <rv s="6">
    <fb>9.9499999999999993</fb>
    <v>11</v>
  </rv>
  <rv s="6">
    <fb>103986434</fb>
    <v>12</v>
  </rv>
  <rv s="6">
    <fb>11.18</fb>
    <v>11</v>
  </rv>
  <rv s="6">
    <fb>11.32</fb>
    <v>11</v>
  </rv>
  <rv s="6">
    <fb>10.6</fb>
    <v>11</v>
  </rv>
  <rv s="6">
    <fb>80534519</fb>
    <v>12</v>
  </rv>
  <rv s="6">
    <fb>10.95</fb>
    <v>11</v>
  </rv>
  <rv s="6">
    <fb>66360328</fb>
    <v>12</v>
  </rv>
  <rv s="6">
    <fb>12.18</fb>
    <v>11</v>
  </rv>
  <rv s="6">
    <fb>11.63</fb>
    <v>11</v>
  </rv>
  <rv s="6">
    <fb>12.25</fb>
    <v>11</v>
  </rv>
  <rv s="6">
    <fb>11.2</fb>
    <v>11</v>
  </rv>
  <rv s="6">
    <fb>90182315</fb>
    <v>12</v>
  </rv>
  <rv s="6">
    <fb>12.07</fb>
    <v>11</v>
  </rv>
  <rv s="6">
    <fb>12.14</fb>
    <v>11</v>
  </rv>
  <rv s="6">
    <fb>11.715</fb>
    <v>11</v>
  </rv>
  <rv s="6">
    <fb>49497171</fb>
    <v>12</v>
  </rv>
  <rv s="6">
    <fb>12.06</fb>
    <v>11</v>
  </rv>
  <rv s="6">
    <fb>12.39</fb>
    <v>11</v>
  </rv>
  <rv s="6">
    <fb>11.92</fb>
    <v>11</v>
  </rv>
  <rv s="6">
    <fb>57803672</fb>
    <v>12</v>
  </rv>
  <rv s="6">
    <fb>62234482</fb>
    <v>12</v>
  </rv>
  <rv s="6">
    <fb>12.52</fb>
    <v>11</v>
  </rv>
  <rv s="6">
    <fb>12.1</fb>
    <v>11</v>
  </rv>
  <rv s="6">
    <fb>12.74</fb>
    <v>11</v>
  </rv>
  <rv s="6">
    <fb>87021440</fb>
    <v>12</v>
  </rv>
  <rv s="6">
    <fb>12.48</fb>
    <v>11</v>
  </rv>
  <rv s="6">
    <fb>12.96</fb>
    <v>11</v>
  </rv>
  <rv s="6">
    <fb>12.45</fb>
    <v>11</v>
  </rv>
  <rv s="6">
    <fb>73572363</fb>
    <v>12</v>
  </rv>
  <rv s="6">
    <fb>12.27</fb>
    <v>11</v>
  </rv>
  <rv s="6">
    <fb>12.55</fb>
    <v>11</v>
  </rv>
  <rv s="6">
    <fb>12.8</fb>
    <v>11</v>
  </rv>
  <rv s="6">
    <fb>12.13</fb>
    <v>11</v>
  </rv>
  <rv s="6">
    <fb>61733321</fb>
    <v>12</v>
  </rv>
  <rv s="6">
    <fb>11.59</fb>
    <v>11</v>
  </rv>
  <rv s="6">
    <fb>12.33</fb>
    <v>11</v>
  </rv>
  <rv s="6">
    <fb>11.37</fb>
    <v>11</v>
  </rv>
  <rv s="6">
    <fb>54689574</fb>
    <v>12</v>
  </rv>
  <rv s="6">
    <fb>11.5</fb>
    <v>11</v>
  </rv>
  <rv s="6">
    <fb>11.8</fb>
    <v>11</v>
  </rv>
  <rv s="6">
    <fb>11.38</fb>
    <v>11</v>
  </rv>
  <rv s="6">
    <fb>58407132</fb>
    <v>12</v>
  </rv>
  <rv s="6">
    <fb>11.66</fb>
    <v>11</v>
  </rv>
  <rv s="6">
    <fb>11.53</fb>
    <v>11</v>
  </rv>
  <rv s="6">
    <fb>11.79</fb>
    <v>11</v>
  </rv>
  <rv s="6">
    <fb>11.31</fb>
    <v>11</v>
  </rv>
  <rv s="6">
    <fb>43921843</fb>
    <v>12</v>
  </rv>
  <rv s="6">
    <fb>13.17</fb>
    <v>11</v>
  </rv>
  <rv s="6">
    <fb>13.305</fb>
    <v>11</v>
  </rv>
  <rv s="6">
    <fb>11.62</fb>
    <v>11</v>
  </rv>
  <rv s="6">
    <fb>82310833</fb>
    <v>12</v>
  </rv>
  <rv s="6">
    <fb>13.44</fb>
    <v>11</v>
  </rv>
  <rv s="6">
    <fb>13.12</fb>
    <v>11</v>
  </rv>
  <rv s="6">
    <fb>13.645</fb>
    <v>11</v>
  </rv>
  <rv s="6">
    <fb>13.07</fb>
    <v>11</v>
  </rv>
  <rv s="6">
    <fb>61780837</fb>
    <v>12</v>
  </rv>
  <rv s="6">
    <fb>13.5</fb>
    <v>11</v>
  </rv>
  <rv s="6">
    <fb>13.43</fb>
    <v>11</v>
  </rv>
  <rv s="6">
    <fb>13.9</fb>
    <v>11</v>
  </rv>
  <rv s="6">
    <fb>13.39</fb>
    <v>11</v>
  </rv>
  <rv s="6">
    <fb>47086654</fb>
    <v>12</v>
  </rv>
  <rv s="6">
    <fb>13.27</fb>
    <v>11</v>
  </rv>
  <rv s="6">
    <fb>13.29</fb>
    <v>11</v>
  </rv>
  <rv s="6">
    <fb>12.71</fb>
    <v>11</v>
  </rv>
  <rv s="6">
    <fb>58057024</fb>
    <v>12</v>
  </rv>
  <rv s="6">
    <fb>13.28</fb>
    <v>11</v>
  </rv>
  <rv s="6">
    <fb>13.38</fb>
    <v>11</v>
  </rv>
  <rv s="6">
    <fb>12.15</fb>
    <v>11</v>
  </rv>
  <rv s="6">
    <fb>77064580</fb>
    <v>12</v>
  </rv>
  <rv s="6">
    <fb>12.73</fb>
    <v>11</v>
  </rv>
  <rv s="6">
    <fb>12.11</fb>
    <v>11</v>
  </rv>
  <rv s="6">
    <fb>12.76</fb>
    <v>11</v>
  </rv>
  <rv s="6">
    <fb>11.48</fb>
    <v>11</v>
  </rv>
  <rv s="6">
    <fb>69950728</fb>
    <v>12</v>
  </rv>
  <rv s="6">
    <fb>13.08</fb>
    <v>11</v>
  </rv>
  <rv s="6">
    <fb>12.62</fb>
    <v>11</v>
  </rv>
  <rv s="6">
    <fb>13.154999999999999</fb>
    <v>11</v>
  </rv>
  <rv s="6">
    <fb>12.04</fb>
    <v>11</v>
  </rv>
  <rv s="6">
    <fb>43511857</fb>
    <v>12</v>
  </rv>
  <rv s="6">
    <fb>13.85</fb>
    <v>11</v>
  </rv>
  <rv s="6">
    <fb>13.94</fb>
    <v>11</v>
  </rv>
  <rv s="6">
    <fb>13.0265</fb>
    <v>11</v>
  </rv>
  <rv s="6">
    <fb>56089435</fb>
    <v>12</v>
  </rv>
  <rv s="6">
    <fb>14.11</fb>
    <v>11</v>
  </rv>
  <rv s="6">
    <fb>64099295</fb>
    <v>12</v>
  </rv>
  <rv s="6">
    <fb>14.1</fb>
    <v>11</v>
  </rv>
  <rv s="6">
    <fb>14.27</fb>
    <v>11</v>
  </rv>
  <rv s="6">
    <fb>13.79</fb>
    <v>11</v>
  </rv>
  <rv s="6">
    <fb>65854850</fb>
    <v>12</v>
  </rv>
  <rv s="6">
    <fb>14.28</fb>
    <v>11</v>
  </rv>
  <rv s="6">
    <fb>14.38</fb>
    <v>11</v>
  </rv>
  <rv s="6">
    <fb>59716895</fb>
    <v>12</v>
  </rv>
  <rv s="6">
    <fb>14.3</fb>
    <v>11</v>
  </rv>
  <rv s="6">
    <fb>14.14</fb>
    <v>11</v>
  </rv>
  <rv s="6">
    <fb>54032923</fb>
    <v>12</v>
  </rv>
  <rv s="6">
    <fb>14.42</fb>
    <v>11</v>
  </rv>
  <rv s="6">
    <fb>14.6</fb>
    <v>11</v>
  </rv>
  <rv s="6">
    <fb>51045259</fb>
    <v>12</v>
  </rv>
  <rv s="6">
    <fb>14.39</fb>
    <v>11</v>
  </rv>
  <rv s="6">
    <fb>14.36</fb>
    <v>11</v>
  </rv>
  <rv s="6">
    <fb>14.73</fb>
    <v>11</v>
  </rv>
  <rv s="6">
    <fb>13.55</fb>
    <v>11</v>
  </rv>
  <rv s="6">
    <fb>98646408</fb>
    <v>12</v>
  </rv>
  <rv s="6">
    <fb>14.49</fb>
    <v>11</v>
  </rv>
  <rv s="6">
    <fb>14.41</fb>
    <v>11</v>
  </rv>
  <rv s="6">
    <fb>14.7</fb>
    <v>11</v>
  </rv>
  <rv s="6">
    <fb>14.21</fb>
    <v>11</v>
  </rv>
  <rv s="6">
    <fb>49028296</fb>
    <v>12</v>
  </rv>
  <rv s="6">
    <fb>14.07</fb>
    <v>11</v>
  </rv>
  <rv s="6">
    <fb>14.54</fb>
    <v>11</v>
  </rv>
  <rv s="6">
    <fb>14.75</fb>
    <v>11</v>
  </rv>
  <rv s="6">
    <fb>41329345</fb>
    <v>12</v>
  </rv>
  <rv s="6">
    <fb>14.53</fb>
    <v>11</v>
  </rv>
  <rv s="6">
    <fb>14.8</fb>
    <v>11</v>
  </rv>
  <rv s="6">
    <fb>13.78</fb>
    <v>11</v>
  </rv>
  <rv s="6">
    <fb>69784796</fb>
    <v>12</v>
  </rv>
  <rv s="6">
    <fb>15.09</fb>
    <v>11</v>
  </rv>
  <rv s="6">
    <fb>14.58</fb>
    <v>11</v>
  </rv>
  <rv s="6">
    <fb>15.185</fb>
    <v>11</v>
  </rv>
  <rv s="6">
    <fb>14.52</fb>
    <v>11</v>
  </rv>
  <rv s="6">
    <fb>47978191</fb>
    <v>12</v>
  </rv>
  <rv s="6">
    <fb>15.53</fb>
    <v>11</v>
  </rv>
  <rv s="6">
    <fb>15</fb>
    <v>11</v>
  </rv>
  <rv s="6">
    <fb>15.73</fb>
    <v>11</v>
  </rv>
  <rv s="6">
    <fb>14.93</fb>
    <v>11</v>
  </rv>
  <rv s="6">
    <fb>47540061</fb>
    <v>12</v>
  </rv>
  <rv s="6">
    <fb>15.58</fb>
    <v>11</v>
  </rv>
  <rv s="6">
    <fb>15.46</fb>
    <v>11</v>
  </rv>
  <rv s="6">
    <fb>15.74</fb>
    <v>11</v>
  </rv>
  <rv s="6">
    <fb>15.27</fb>
    <v>11</v>
  </rv>
  <rv s="6">
    <fb>39421611</fb>
    <v>12</v>
  </rv>
  <rv s="6">
    <fb>14.48</fb>
    <v>11</v>
  </rv>
  <rv s="6">
    <fb>15.69</fb>
    <v>11</v>
  </rv>
  <rv s="6">
    <fb>15.88</fb>
    <v>11</v>
  </rv>
  <rv s="6">
    <fb>65971349</fb>
    <v>12</v>
  </rv>
  <rv s="6">
    <fb>13.8</fb>
    <v>11</v>
  </rv>
  <rv s="6">
    <fb>14.56</fb>
    <v>11</v>
  </rv>
  <rv s="6">
    <fb>66173142</fb>
    <v>12</v>
  </rv>
  <rv s="6">
    <fb>13.86</fb>
    <v>11</v>
  </rv>
  <rv s="6">
    <fb>14.19</fb>
    <v>11</v>
  </rv>
  <rv s="6">
    <fb>13.83</fb>
    <v>11</v>
  </rv>
  <rv s="6">
    <fb>67515221</fb>
    <v>12</v>
  </rv>
  <rv s="6">
    <fb>14.71</fb>
    <v>11</v>
  </rv>
  <rv s="6">
    <fb>14.13</fb>
    <v>11</v>
  </rv>
  <rv s="6">
    <fb>14.03</fb>
    <v>11</v>
  </rv>
  <rv s="6">
    <fb>86401976</fb>
    <v>12</v>
  </rv>
  <rv s="6">
    <fb>15.82</fb>
    <v>11</v>
  </rv>
  <rv s="6">
    <fb>14.9</fb>
    <v>11</v>
  </rv>
  <rv s="6">
    <fb>15.9</fb>
    <v>11</v>
  </rv>
  <rv s="6">
    <fb>14.8735</fb>
    <v>11</v>
  </rv>
  <rv s="6">
    <fb>64778658</fb>
    <v>12</v>
  </rv>
  <rv s="6">
    <fb>15.87</fb>
    <v>11</v>
  </rv>
  <rv s="6">
    <fb>15.85</fb>
    <v>11</v>
  </rv>
  <rv s="6">
    <fb>16.190000000000001</fb>
    <v>11</v>
  </rv>
  <rv s="6">
    <fb>15.72</fb>
    <v>11</v>
  </rv>
  <rv s="6">
    <fb>59473297</fb>
    <v>12</v>
  </rv>
  <rv s="6">
    <fb>15.18</fb>
    <v>11</v>
  </rv>
  <rv s="6">
    <fb>15.94</fb>
    <v>11</v>
  </rv>
  <rv s="6">
    <fb>14.78</fb>
    <v>11</v>
  </rv>
  <rv s="6">
    <fb>62568320</fb>
    <v>12</v>
  </rv>
  <rv s="6">
    <fb>15.12</fb>
    <v>11</v>
  </rv>
  <rv s="6">
    <fb>15.06</fb>
    <v>11</v>
  </rv>
  <rv s="6">
    <fb>59686794</fb>
    <v>12</v>
  </rv>
  <rv s="6">
    <fb>15.78</fb>
    <v>11</v>
  </rv>
  <rv s="6">
    <fb>15.26</fb>
    <v>11</v>
  </rv>
  <rv s="6">
    <fb>16.25</fb>
    <v>11</v>
  </rv>
  <rv s="6">
    <fb>15.255000000000001</fb>
    <v>11</v>
  </rv>
  <rv s="6">
    <fb>49551553</fb>
    <v>12</v>
  </rv>
  <rv s="6">
    <fb>15.05</fb>
    <v>11</v>
  </rv>
  <rv s="6">
    <fb>15.41</fb>
    <v>11</v>
  </rv>
  <rv s="6">
    <fb>15.95</fb>
    <v>11</v>
  </rv>
  <rv s="6">
    <fb>64210656</fb>
    <v>12</v>
  </rv>
  <rv s="6">
    <fb>15.1</fb>
    <v>11</v>
  </rv>
  <rv s="6">
    <fb>15.03</fb>
    <v>11</v>
  </rv>
  <rv s="6">
    <fb>15.36</fb>
    <v>11</v>
  </rv>
  <rv s="6">
    <fb>14.91</fb>
    <v>11</v>
  </rv>
  <rv s="6">
    <fb>44523144</fb>
    <v>12</v>
  </rv>
  <rv s="6">
    <fb>14.84</fb>
    <v>11</v>
  </rv>
  <rv s="6">
    <fb>15.14</fb>
    <v>11</v>
  </rv>
  <rv s="6">
    <fb>15.31</fb>
    <v>11</v>
  </rv>
  <rv s="6">
    <fb>14.77</fb>
    <v>11</v>
  </rv>
  <rv s="6">
    <fb>23675703</fb>
    <v>12</v>
  </rv>
  <rv s="6">
    <fb>14.95</fb>
    <v>11</v>
  </rv>
  <rv s="6">
    <fb>15.21</fb>
    <v>11</v>
  </rv>
  <rv s="6">
    <fb>14.62</fb>
    <v>11</v>
  </rv>
  <rv s="6">
    <fb>42345342</fb>
    <v>12</v>
  </rv>
  <rv s="6">
    <fb>14.98</fb>
    <v>11</v>
  </rv>
  <rv s="6">
    <fb>14.4</fb>
    <v>11</v>
  </rv>
  <rv s="6">
    <fb>64650749</fb>
    <v>12</v>
  </rv>
  <rv s="6">
    <fb>14.68</fb>
    <v>11</v>
  </rv>
  <rv s="6">
    <fb>15.02</fb>
    <v>11</v>
  </rv>
  <rv s="6">
    <fb>55410700</fb>
    <v>12</v>
  </rv>
  <rv s="6">
    <fb>15.35</fb>
    <v>11</v>
  </rv>
  <rv s="6">
    <fb>73184193</fb>
    <v>12</v>
  </rv>
  <rv s="6">
    <fb>14.83</fb>
    <v>11</v>
  </rv>
  <rv s="6">
    <fb>15.32</fb>
    <v>11</v>
  </rv>
  <rv s="6">
    <fb>14.57</fb>
    <v>11</v>
  </rv>
  <rv s="6">
    <fb>65822115</fb>
    <v>12</v>
  </rv>
  <rv s="6">
    <fb>15.17</fb>
    <v>11</v>
  </rv>
  <rv s="6">
    <fb>15.77</fb>
    <v>11</v>
  </rv>
  <rv s="6">
    <fb>51225826</fb>
    <v>12</v>
  </rv>
  <rv s="6">
    <fb>15.75</fb>
    <v>11</v>
  </rv>
  <rv s="6">
    <fb>16.41</fb>
    <v>11</v>
  </rv>
  <rv s="6">
    <fb>15.7</fb>
    <v>11</v>
  </rv>
  <rv s="6">
    <fb>77604449</fb>
    <v>12</v>
  </rv>
  <rv s="6">
    <fb>17.649999999999999</fb>
    <v>11</v>
  </rv>
  <rv s="6">
    <fb>15.93</fb>
    <v>11</v>
  </rv>
  <rv s="6">
    <fb>17.8</fb>
    <v>11</v>
  </rv>
  <rv s="6">
    <fb>90907186</fb>
    <v>12</v>
  </rv>
  <rv s="6">
    <fb>17.350000000000001</fb>
    <v>11</v>
  </rv>
  <rv s="6">
    <fb>17.809999999999999</fb>
    <v>11</v>
  </rv>
  <rv s="6">
    <fb>17.12</fb>
    <v>11</v>
  </rv>
  <rv s="6">
    <fb>65564872</fb>
    <v>12</v>
  </rv>
  <rv s="6">
    <fb>17.39</fb>
    <v>11</v>
  </rv>
  <rv s="6">
    <fb>17.440000000000001</fb>
    <v>11</v>
  </rv>
  <rv s="6">
    <fb>17.600000000000001</fb>
    <v>11</v>
  </rv>
  <rv s="6">
    <fb>17.05</fb>
    <v>11</v>
  </rv>
  <rv s="6">
    <fb>45782798</fb>
    <v>12</v>
  </rv>
  <rv s="6">
    <fb>17.559999999999999</fb>
    <v>11</v>
  </rv>
  <rv s="6">
    <fb>17.41</fb>
    <v>11</v>
  </rv>
  <rv s="6">
    <fb>17.71</fb>
    <v>11</v>
  </rv>
  <rv s="6">
    <fb>17.28</fb>
    <v>11</v>
  </rv>
  <rv s="6">
    <fb>50145558</fb>
    <v>12</v>
  </rv>
  <rv s="6">
    <fb>17.23</fb>
    <v>11</v>
  </rv>
  <rv s="6">
    <fb>17.57</fb>
    <v>11</v>
  </rv>
  <rv s="6">
    <fb>17.690000000000001</fb>
    <v>11</v>
  </rv>
  <rv s="6">
    <fb>17.100000000000001</fb>
    <v>11</v>
  </rv>
  <rv s="6">
    <fb>46545597</fb>
    <v>12</v>
  </rv>
  <rv s="6">
    <fb>17.88</fb>
    <v>11</v>
  </rv>
  <rv s="6">
    <fb>17.09</fb>
    <v>11</v>
  </rv>
  <rv s="6">
    <fb>17.96</fb>
    <v>11</v>
  </rv>
  <rv s="6">
    <fb>17.03</fb>
    <v>11</v>
  </rv>
  <rv s="6">
    <fb>49963782</fb>
    <v>12</v>
  </rv>
  <rv s="6">
    <fb>17.37</fb>
    <v>11</v>
  </rv>
  <rv s="6">
    <fb>17.93</fb>
    <v>11</v>
  </rv>
  <rv s="6">
    <fb>17.95</fb>
    <v>11</v>
  </rv>
  <rv s="6">
    <fb>49463829</fb>
    <v>12</v>
  </rv>
  <rv s="6">
    <fb>18.2</fb>
    <v>11</v>
  </rv>
  <rv s="6">
    <fb>17.399999999999999</fb>
    <v>11</v>
  </rv>
  <rv s="6">
    <fb>18.37</fb>
    <v>11</v>
  </rv>
  <rv s="6">
    <fb>17.29</fb>
    <v>11</v>
  </rv>
  <rv s="6">
    <fb>53312901</fb>
    <v>12</v>
  </rv>
  <rv s="6">
    <fb>18.29</fb>
    <v>11</v>
  </rv>
  <rv s="6">
    <fb>18.170000000000002</fb>
    <v>11</v>
  </rv>
  <rv s="6">
    <fb>18.61</fb>
    <v>11</v>
  </rv>
  <rv s="6">
    <fb>18.07</fb>
    <v>11</v>
  </rv>
  <rv s="6">
    <fb>47482432</fb>
    <v>12</v>
  </rv>
  <rv s="6">
    <fb>18.82</fb>
    <v>11</v>
  </rv>
  <rv s="6">
    <fb>18.52</fb>
    <v>11</v>
  </rv>
  <rv s="6">
    <fb>18.829999999999998</fb>
    <v>11</v>
  </rv>
  <rv s="6">
    <fb>18.36</fb>
    <v>11</v>
  </rv>
  <rv s="6">
    <fb>43581615</fb>
    <v>12</v>
  </rv>
  <rv s="6">
    <fb>18.91</fb>
    <v>11</v>
  </rv>
  <rv s="6">
    <fb>18.850000000000001</fb>
    <v>11</v>
  </rv>
  <rv s="6">
    <fb>19.03</fb>
    <v>11</v>
  </rv>
  <rv s="6">
    <fb>18.690000000000001</fb>
    <v>11</v>
  </rv>
  <rv s="6">
    <fb>45584341</fb>
    <v>12</v>
  </rv>
  <rv s="6">
    <fb>19.3</fb>
    <v>11</v>
  </rv>
  <rv s="6">
    <fb>19.420000000000002</fb>
    <v>11</v>
  </rv>
  <rv s="6">
    <fb>18.89</fb>
    <v>11</v>
  </rv>
  <rv s="6">
    <fb>38629928</fb>
    <v>12</v>
  </rv>
  <rv s="6">
    <fb>19</fb>
    <v>11</v>
  </rv>
  <rv s="6">
    <fb>19.350000000000001</fb>
    <v>11</v>
  </rv>
  <rv s="6">
    <fb>19.484999999999999</fb>
    <v>11</v>
  </rv>
  <rv s="6">
    <fb>18.649999999999999</fb>
    <v>11</v>
  </rv>
  <rv s="6">
    <fb>47954295</fb>
    <v>12</v>
  </rv>
  <rv s="6">
    <fb>18.47</fb>
    <v>11</v>
  </rv>
  <rv s="6">
    <fb>19.079999999999998</fb>
    <v>11</v>
  </rv>
  <rv s="6">
    <fb>19.579999999999998</fb>
    <v>11</v>
  </rv>
  <rv s="6">
    <fb>18.21</fb>
    <v>11</v>
  </rv>
  <rv s="6">
    <fb>66892839</fb>
    <v>12</v>
  </rv>
  <rv s="6">
    <fb>18.98</fb>
    <v>11</v>
  </rv>
  <rv s="6">
    <fb>18.43</fb>
    <v>11</v>
  </rv>
  <rv s="6">
    <fb>19.16</fb>
    <v>11</v>
  </rv>
  <rv s="6">
    <fb>18.420000000000002</fb>
    <v>11</v>
  </rv>
  <rv s="6">
    <fb>46260809</fb>
    <v>12</v>
  </rv>
  <rv s="6">
    <fb>18.940000000000001</fb>
    <v>11</v>
  </rv>
  <rv s="6">
    <fb>18.96</fb>
    <v>11</v>
  </rv>
  <rv s="6">
    <fb>71226651</fb>
    <v>12</v>
  </rv>
  <rv s="6">
    <fb>17.61</fb>
    <v>11</v>
  </rv>
  <rv s="6">
    <fb>17.940000000000001</fb>
    <v>11</v>
  </rv>
  <rv s="6">
    <fb>17.14</fb>
    <v>11</v>
  </rv>
  <rv s="6">
    <fb>53707843</fb>
    <v>12</v>
  </rv>
  <rv s="6">
    <fb>17.420000000000002</fb>
    <v>11</v>
  </rv>
  <rv s="6">
    <fb>66410095</fb>
    <v>12</v>
  </rv>
  <rv s="6">
    <fb>17.48</fb>
    <v>11</v>
  </rv>
  <rv s="6">
    <fb>17.89</fb>
    <v>11</v>
  </rv>
  <rv s="6">
    <fb>18.245000000000001</fb>
    <v>11</v>
  </rv>
  <rv s="6">
    <fb>17.425000000000001</fb>
    <v>11</v>
  </rv>
  <rv s="6">
    <fb>46593922</fb>
    <v>12</v>
  </rv>
  <rv s="6">
    <fb>17.59</fb>
    <v>11</v>
  </rv>
  <rv s="6">
    <fb>17.745000000000001</fb>
    <v>11</v>
  </rv>
  <rv s="6">
    <fb>38532390</fb>
    <v>12</v>
  </rv>
  <rv s="6">
    <fb>17.53</fb>
    <v>11</v>
  </rv>
  <rv s="6">
    <fb>18.489999999999998</fb>
    <v>11</v>
  </rv>
  <rv s="6">
    <fb>17.45</fb>
    <v>11</v>
  </rv>
  <rv s="6">
    <fb>49578485</fb>
    <v>12</v>
  </rv>
  <rv s="6">
    <fb>19.149999999999999</fb>
    <v>11</v>
  </rv>
  <rv s="6">
    <fb>19.234999999999999</fb>
    <v>11</v>
  </rv>
  <rv s="6">
    <fb>18.25</fb>
    <v>11</v>
  </rv>
  <rv s="6">
    <fb>45722172</fb>
    <v>12</v>
  </rv>
  <rv s="6">
    <fb>19.170000000000002</fb>
    <v>11</v>
  </rv>
  <rv s="6">
    <fb>19.12</fb>
    <v>11</v>
  </rv>
  <rv s="6">
    <fb>46069454</fb>
    <v>12</v>
  </rv>
  <rv s="6">
    <fb>19.37</fb>
    <v>11</v>
  </rv>
  <rv s="6">
    <fb>19.2</fb>
    <v>11</v>
  </rv>
  <rv s="6">
    <fb>18.87</fb>
    <v>11</v>
  </rv>
  <rv s="6">
    <fb>54199816</fb>
    <v>12</v>
  </rv>
  <rv s="6">
    <fb>18.899999999999999</fb>
    <v>11</v>
  </rv>
  <rv s="6">
    <fb>19.48</fb>
    <v>11</v>
  </rv>
  <rv s="6">
    <fb>48490605</fb>
    <v>12</v>
  </rv>
  <rv s="6">
    <fb>18.510000000000002</fb>
    <v>11</v>
  </rv>
  <rv s="6">
    <fb>19.07</fb>
    <v>11</v>
  </rv>
  <rv s="6">
    <fb>47414978</fb>
    <v>12</v>
  </rv>
  <rv s="6">
    <fb>19.309999999999999</fb>
    <v>11</v>
  </rv>
  <rv s="6">
    <fb>18.48</fb>
    <v>11</v>
  </rv>
  <rv s="6">
    <fb>19.78</fb>
    <v>11</v>
  </rv>
  <rv s="6">
    <fb>18.405000000000001</fb>
    <v>11</v>
  </rv>
  <rv s="6">
    <fb>71386418</fb>
    <v>12</v>
  </rv>
  <rv s="6">
    <fb>19.36</fb>
    <v>11</v>
  </rv>
  <rv s="6">
    <fb>19.5</fb>
    <v>11</v>
  </rv>
  <rv s="6">
    <fb>48543436</fb>
    <v>12</v>
  </rv>
  <rv s="6">
    <fb>19.28</fb>
    <v>11</v>
  </rv>
  <rv s="6">
    <fb>19.475000000000001</fb>
    <v>11</v>
  </rv>
  <rv s="6">
    <fb>36075487</fb>
    <v>12</v>
  </rv>
  <rv s="6">
    <fb>19.47</fb>
    <v>11</v>
  </rv>
  <rv s="6">
    <fb>19.263000000000002</fb>
    <v>11</v>
  </rv>
  <rv s="6">
    <fb>19.55</fb>
    <v>11</v>
  </rv>
  <rv s="6">
    <fb>19.100000000000001</fb>
    <v>11</v>
  </rv>
  <rv s="6">
    <fb>45188045</fb>
    <v>12</v>
  </rv>
  <rv s="6">
    <fb>19.940000000000001</fb>
    <v>11</v>
  </rv>
  <rv s="6">
    <fb>19.52</fb>
    <v>11</v>
  </rv>
  <rv s="6">
    <fb>19.95</fb>
    <v>11</v>
  </rv>
  <rv s="6">
    <fb>33267796</fb>
    <v>12</v>
  </rv>
  <rv s="6">
    <fb>19.96</fb>
    <v>11</v>
  </rv>
  <rv s="6">
    <fb>19.84</fb>
    <v>11</v>
  </rv>
  <rv s="6">
    <fb>20.125</fb>
    <v>11</v>
  </rv>
  <rv s="6">
    <fb>19.683299999999999</fb>
    <v>11</v>
  </rv>
  <rv s="6">
    <fb>51726614</fb>
    <v>12</v>
  </rv>
  <rv s="6">
    <fb>20.58</fb>
    <v>11</v>
  </rv>
  <rv s="6">
    <fb>20.61</fb>
    <v>11</v>
  </rv>
  <rv s="6">
    <fb>43783603</fb>
    <v>12</v>
  </rv>
  <rv s="6">
    <fb>21.71</fb>
    <v>11</v>
  </rv>
  <rv s="6">
    <fb>20.64</fb>
    <v>11</v>
  </rv>
  <rv s="6">
    <fb>22</fb>
    <v>11</v>
  </rv>
  <rv s="6">
    <fb>20.25</fb>
    <v>11</v>
  </rv>
  <rv s="6">
    <fb>56794655</fb>
    <v>12</v>
  </rv>
  <rv s="6">
    <fb>22.02</fb>
    <v>11</v>
  </rv>
  <rv s="6">
    <fb>21.77</fb>
    <v>11</v>
  </rv>
  <rv s="6">
    <fb>22.16</fb>
    <v>11</v>
  </rv>
  <rv s="6">
    <fb>21.46</fb>
    <v>11</v>
  </rv>
  <rv s="6">
    <fb>43262233</fb>
    <v>12</v>
  </rv>
  <rv s="6">
    <fb>21.5</fb>
    <v>11</v>
  </rv>
  <rv s="6">
    <fb>22.15</fb>
    <v>11</v>
  </rv>
  <rv s="6">
    <fb>22.305900000000001</fb>
    <v>11</v>
  </rv>
  <rv s="6">
    <fb>21.32</fb>
    <v>11</v>
  </rv>
  <rv s="6">
    <fb>67712937</fb>
    <v>12</v>
  </rv>
  <rv s="6">
    <fb>21.47</fb>
    <v>11</v>
  </rv>
  <rv s="6">
    <fb>21.704999999999998</fb>
    <v>11</v>
  </rv>
  <rv s="6">
    <fb>21.07</fb>
    <v>11</v>
  </rv>
  <rv s="6">
    <fb>48480807</fb>
    <v>12</v>
  </rv>
  <rv s="6">
    <fb>21.23</fb>
    <v>11</v>
  </rv>
  <rv s="6">
    <fb>21.53</fb>
    <v>11</v>
  </rv>
  <rv s="6">
    <fb>21.14</fb>
    <v>11</v>
  </rv>
  <rv s="6">
    <fb>37738571</fb>
    <v>12</v>
  </rv>
  <rv s="6">
    <fb>21.75</fb>
    <v>11</v>
  </rv>
  <rv s="6">
    <fb>21.87</fb>
    <v>11</v>
  </rv>
  <rv s="6">
    <fb>20.99</fb>
    <v>11</v>
  </rv>
  <rv s="6">
    <fb>49407233</fb>
    <v>12</v>
  </rv>
  <rv s="6">
    <fb>21.24</fb>
    <v>11</v>
  </rv>
  <rv s="6">
    <fb>21.81</fb>
    <v>11</v>
  </rv>
  <rv s="6">
    <fb>22.68</fb>
    <v>11</v>
  </rv>
  <rv s="6">
    <fb>20.59</fb>
    <v>11</v>
  </rv>
  <rv s="6">
    <fb>67507397</fb>
    <v>12</v>
  </rv>
  <rv s="6">
    <fb>21.41</fb>
    <v>11</v>
  </rv>
  <rv s="6">
    <fb>21.17</fb>
    <v>11</v>
  </rv>
  <rv s="6">
    <fb>21.97</fb>
    <v>11</v>
  </rv>
  <rv s="6">
    <fb>20.954999999999998</fb>
    <v>11</v>
  </rv>
  <rv s="6">
    <fb>61672940</fb>
    <v>12</v>
  </rv>
  <rv s="6">
    <fb>21.73</fb>
    <v>11</v>
  </rv>
  <rv s="6">
    <fb>20.855</fb>
    <v>11</v>
  </rv>
  <rv s="6">
    <fb>54489660</fb>
    <v>12</v>
  </rv>
  <rv s="6">
    <fb>20.92</fb>
    <v>11</v>
  </rv>
  <rv s="6">
    <fb>20.97</fb>
    <v>11</v>
  </rv>
  <rv s="6">
    <fb>21.36</fb>
    <v>11</v>
  </rv>
  <rv s="6">
    <fb>20.66</fb>
    <v>11</v>
  </rv>
  <rv s="6">
    <fb>51246077</fb>
    <v>12</v>
  </rv>
  <rv s="6">
    <fb>21.26</fb>
    <v>11</v>
  </rv>
  <rv s="6">
    <fb>21</fb>
    <v>11</v>
  </rv>
  <rv s="6">
    <fb>21.62</fb>
    <v>11</v>
  </rv>
  <rv s="6">
    <fb>42118545</fb>
    <v>12</v>
  </rv>
  <rv s="6">
    <fb>21.01</fb>
    <v>11</v>
  </rv>
  <rv s="6">
    <fb>21.13</fb>
    <v>11</v>
  </rv>
  <rv s="6">
    <fb>21.305</fb>
    <v>11</v>
  </rv>
  <rv s="6">
    <fb>21038621</fb>
    <v>12</v>
  </rv>
  <rv s="6">
    <fb>21.18</fb>
    <v>11</v>
  </rv>
  <rv s="6">
    <fb>26819581</fb>
    <v>12</v>
  </rv>
  <rv s="6">
    <fb>22.92</fb>
    <v>11</v>
  </rv>
  <rv s="6">
    <fb>21.78</fb>
    <v>11</v>
  </rv>
  <rv s="6">
    <fb>22.97</fb>
    <v>11</v>
  </rv>
  <rv s="6">
    <fb>21.59</fb>
    <v>11</v>
  </rv>
  <rv s="6">
    <fb>39250460</fb>
    <v>12</v>
  </rv>
  <rv s="6">
    <fb>23.7</fb>
    <v>11</v>
  </rv>
  <rv s="6">
    <fb>23.05</fb>
    <v>11</v>
  </rv>
  <rv s="6">
    <fb>23.79</fb>
    <v>11</v>
  </rv>
  <rv s="6">
    <fb>22.66</fb>
    <v>11</v>
  </rv>
  <rv s="6">
    <fb>44291829</fb>
    <v>12</v>
  </rv>
  <rv s="6">
    <fb>23.91</fb>
    <v>11</v>
  </rv>
  <rv s="6">
    <fb>23.68</fb>
    <v>11</v>
  </rv>
  <rv s="6">
    <fb>23.998000000000001</fb>
    <v>11</v>
  </rv>
  <rv s="6">
    <fb>23.3</fb>
    <v>11</v>
  </rv>
  <rv s="6">
    <fb>39159417</fb>
    <v>12</v>
  </rv>
  <rv s="6">
    <fb>22.48</fb>
    <v>11</v>
  </rv>
  <rv s="6">
    <fb>24.1</fb>
    <v>11</v>
  </rv>
  <rv s="6">
    <fb>22.47</fb>
    <v>11</v>
  </rv>
  <rv s="6">
    <fb>45195250</fb>
    <v>12</v>
  </rv>
  <rv s="6">
    <fb>20.11</fb>
    <v>11</v>
  </rv>
  <rv s="6">
    <fb>22.32</fb>
    <v>11</v>
  </rv>
  <rv s="6">
    <fb>22.56</fb>
    <v>11</v>
  </rv>
  <rv s="6">
    <fb>75560021</fb>
    <v>12</v>
  </rv>
  <rv s="6">
    <fb>21.4</fb>
    <v>11</v>
  </rv>
  <rv s="6">
    <fb>20.29</fb>
    <v>11</v>
  </rv>
  <rv s="6">
    <fb>20.14</fb>
    <v>11</v>
  </rv>
  <rv s="6">
    <fb>50524853</fb>
    <v>12</v>
  </rv>
  <rv s="6">
    <fb>22.13</fb>
    <v>11</v>
  </rv>
  <rv s="6">
    <fb>21.27</fb>
    <v>11</v>
  </rv>
  <rv s="6">
    <fb>23.22</fb>
    <v>11</v>
  </rv>
  <rv s="6">
    <fb>48637219</fb>
    <v>12</v>
  </rv>
  <rv s="6">
    <fb>23.57</fb>
    <v>11</v>
  </rv>
  <rv s="6">
    <fb>22.55</fb>
    <v>11</v>
  </rv>
  <rv s="6">
    <fb>23.9</fb>
    <v>11</v>
  </rv>
  <rv s="6">
    <fb>72080484</fb>
    <v>12</v>
  </rv>
  <rv s="6">
    <fb>24.65</fb>
    <v>11</v>
  </rv>
  <rv s="6">
    <fb>23.46</fb>
    <v>11</v>
  </rv>
  <rv s="6">
    <fb>24.75</fb>
    <v>11</v>
  </rv>
  <rv s="6">
    <fb>23.335000000000001</fb>
    <v>11</v>
  </rv>
  <rv s="6">
    <fb>48338792</fb>
    <v>12</v>
  </rv>
  <rv s="6">
    <fb>23.51</fb>
    <v>11</v>
  </rv>
  <rv s="6">
    <fb>24.69</fb>
    <v>11</v>
  </rv>
  <rv s="6">
    <fb>23.28</fb>
    <v>11</v>
  </rv>
  <rv s="6">
    <fb>76260848</fb>
    <v>12</v>
  </rv>
  <rv s="6">
    <fb>21.85</fb>
    <v>11</v>
  </rv>
  <rv s="6">
    <fb>23.45</fb>
    <v>11</v>
  </rv>
  <rv s="6">
    <fb>21.83</fb>
    <v>11</v>
  </rv>
  <rv s="6">
    <fb>54960576</fb>
    <v>12</v>
  </rv>
  <rv s="6">
    <fb>21.92</fb>
    <v>11</v>
  </rv>
  <rv s="6">
    <fb>22.25</fb>
    <v>11</v>
  </rv>
  <rv s="6">
    <fb>22.44</fb>
    <v>11</v>
  </rv>
  <rv s="6">
    <fb>21.434100000000001</fb>
    <v>11</v>
  </rv>
  <rv s="6">
    <fb>46633443</fb>
    <v>12</v>
  </rv>
  <rv s="6">
    <fb>20.78</fb>
    <v>11</v>
  </rv>
  <rv s="6">
    <fb>21.84</fb>
    <v>11</v>
  </rv>
  <rv s="6">
    <fb>21.88</fb>
    <v>11</v>
  </rv>
  <rv s="6">
    <fb>20.6</fb>
    <v>11</v>
  </rv>
  <rv s="6">
    <fb>44151204</fb>
    <v>12</v>
  </rv>
  <rv s="6">
    <fb>20.94</fb>
    <v>11</v>
  </rv>
  <rv s="6">
    <fb>22.12</fb>
    <v>11</v>
  </rv>
  <rv s="6">
    <fb>20.754999999999999</fb>
    <v>11</v>
  </rv>
  <rv s="6">
    <fb>43816408</fb>
    <v>12</v>
  </rv>
  <rv s="6">
    <fb>22.14</fb>
    <v>11</v>
  </rv>
  <rv s="6">
    <fb>21.43</fb>
    <v>11</v>
  </rv>
  <rv s="6">
    <fb>36374612</fb>
    <v>12</v>
  </rv>
  <rv s="6">
    <fb>21.61</fb>
    <v>11</v>
  </rv>
  <rv s="6">
    <fb>21.56</fb>
    <v>11</v>
  </rv>
  <rv s="6">
    <fb>21.66</fb>
    <v>11</v>
  </rv>
  <rv s="6">
    <fb>21.03</fb>
    <v>11</v>
  </rv>
  <rv s="6">
    <fb>33855201</fb>
    <v>12</v>
  </rv>
  <rv s="6">
    <fb>21.68</fb>
    <v>11</v>
  </rv>
  <rv s="6">
    <fb>21.91</fb>
    <v>11</v>
  </rv>
  <rv s="6">
    <fb>20.96</fb>
    <v>11</v>
  </rv>
  <rv s="6">
    <fb>36792657</fb>
    <v>12</v>
  </rv>
  <rv s="6">
    <fb>22.71</fb>
    <v>11</v>
  </rv>
  <rv s="6">
    <fb>22.84</fb>
    <v>11</v>
  </rv>
  <rv s="6">
    <fb>21.65</fb>
    <v>11</v>
  </rv>
  <rv s="6">
    <fb>30007207</fb>
    <v>12</v>
  </rv>
  <rv s="6">
    <fb>22.82</fb>
    <v>11</v>
  </rv>
  <rv s="6">
    <fb>23.065000000000001</fb>
    <v>11</v>
  </rv>
  <rv s="6">
    <fb>21.7865</fb>
    <v>11</v>
  </rv>
  <rv s="6">
    <fb>35940560</fb>
    <v>12</v>
  </rv>
  <rv s="6">
    <fb>22.34</fb>
    <v>11</v>
  </rv>
  <rv s="6">
    <fb>21.44</fb>
    <v>11</v>
  </rv>
  <rv s="6">
    <fb>40910091</fb>
    <v>12</v>
  </rv>
  <rv s="6">
    <fb>21.739000000000001</fb>
    <v>11</v>
  </rv>
  <rv s="6">
    <fb>21.04</fb>
    <v>11</v>
  </rv>
  <rv s="6">
    <fb>56153779</fb>
    <v>12</v>
  </rv>
  <rv s="6">
    <fb>23.71</fb>
    <v>11</v>
  </rv>
  <rv s="6">
    <fb>22.7</fb>
    <v>11</v>
  </rv>
  <rv s="6">
    <fb>23.745000000000001</fb>
    <v>11</v>
  </rv>
  <rv s="6">
    <fb>22.6</fb>
    <v>11</v>
  </rv>
  <rv s="6">
    <fb>48651917</fb>
    <v>12</v>
  </rv>
  <rv s="6">
    <fb>23.59</fb>
    <v>11</v>
  </rv>
  <rv s="6">
    <fb>24.2</fb>
    <v>11</v>
  </rv>
  <rv s="6">
    <fb>23.44</fb>
    <v>11</v>
  </rv>
  <rv s="6">
    <fb>44576491</fb>
    <v>12</v>
  </rv>
  <rv s="6">
    <fb>23.8</fb>
    <v>11</v>
  </rv>
  <rv s="6">
    <fb>23.37</fb>
    <v>11</v>
  </rv>
  <rv s="6">
    <fb>23.899899999999999</fb>
    <v>11</v>
  </rv>
  <rv s="6">
    <fb>23.155000000000001</fb>
    <v>11</v>
  </rv>
  <rv s="6">
    <fb>45266907</fb>
    <v>12</v>
  </rv>
  <rv s="6">
    <fb>22.69</fb>
    <v>11</v>
  </rv>
  <rv s="6">
    <fb>23.63</fb>
    <v>11</v>
  </rv>
  <rv s="6">
    <fb>23.76</fb>
    <v>11</v>
  </rv>
  <rv s="6">
    <fb>22.344999999999999</fb>
    <v>11</v>
  </rv>
  <rv s="6">
    <fb>40556031</fb>
    <v>12</v>
  </rv>
  <rv s="6">
    <fb>23.01</fb>
    <v>11</v>
  </rv>
  <rv s="6">
    <fb>22.54</fb>
    <v>11</v>
  </rv>
  <rv s="6">
    <fb>22.38</fb>
    <v>11</v>
  </rv>
  <rv s="6">
    <fb>22008785</fb>
    <v>12</v>
  </rv>
  <rv s="6">
    <fb>23.14</fb>
    <v>11</v>
  </rv>
  <rv s="6">
    <fb>23.97</fb>
    <v>11</v>
  </rv>
  <rv s="6">
    <fb>35896039</fb>
    <v>12</v>
  </rv>
  <rv s="6">
    <fb>22.94</fb>
    <v>11</v>
  </rv>
  <rv s="6">
    <fb>23.69</fb>
    <v>11</v>
  </rv>
  <rv s="6">
    <fb>23.74</fb>
    <v>11</v>
  </rv>
  <rv s="6">
    <fb>22.89</fb>
    <v>11</v>
  </rv>
  <rv s="6">
    <fb>27330882</fb>
    <v>12</v>
  </rv>
  <rv s="6">
    <fb>23.23</fb>
    <v>11</v>
  </rv>
  <rv s="6">
    <fb>22.87</fb>
    <v>11</v>
  </rv>
  <rv s="6">
    <fb>23.645</fb>
    <v>11</v>
  </rv>
  <rv s="6">
    <fb>29871904</fb>
    <v>12</v>
  </rv>
  <rv s="6">
    <fb>23.34</fb>
    <v>11</v>
  </rv>
  <rv s="6">
    <fb>23.484999999999999</fb>
    <v>11</v>
  </rv>
  <rv s="6">
    <fb>25052605</fb>
    <v>12</v>
  </rv>
  <rv s="6">
    <fb>23.99</fb>
    <v>11</v>
  </rv>
  <rv s="6">
    <fb>24.32</fb>
    <v>11</v>
  </rv>
  <rv s="6">
    <fb>27702153</fb>
    <v>12</v>
  </rv>
  <rv s="6">
    <fb>24.54</fb>
    <v>11</v>
  </rv>
  <rv s="6">
    <fb>24.05</fb>
    <v>11</v>
  </rv>
  <rv s="6">
    <fb>24.62</fb>
    <v>11</v>
  </rv>
  <rv s="6">
    <fb>29671576</fb>
    <v>12</v>
  </rv>
  <rv s="6">
    <fb>24.15</fb>
    <v>11</v>
  </rv>
  <rv s="6">
    <fb>24.8</fb>
    <v>11</v>
  </rv>
  <rv s="6">
    <fb>40552030</fb>
    <v>12</v>
  </rv>
  <rv s="6">
    <fb>24.39</fb>
    <v>11</v>
  </rv>
  <rv s="6">
    <fb>25.28</fb>
    <v>11</v>
  </rv>
  <rv s="6">
    <fb>24.27</fb>
    <v>11</v>
  </rv>
  <rv s="6">
    <fb>41982959</fb>
    <v>12</v>
  </rv>
  <rv s="6">
    <fb>24.71</fb>
    <v>11</v>
  </rv>
  <rv s="6">
    <fb>24.53</fb>
    <v>11</v>
  </rv>
  <rv s="6">
    <fb>24.958400000000001</fb>
    <v>11</v>
  </rv>
  <rv s="6">
    <fb>24.385000000000002</fb>
    <v>11</v>
  </rv>
  <rv s="6">
    <fb>43737472</fb>
    <v>12</v>
  </rv>
  <rv s="6">
    <fb>25.04</fb>
    <v>11</v>
  </rv>
  <rv s="6">
    <fb>25.15</fb>
    <v>11</v>
  </rv>
  <rv s="6">
    <fb>24.344999999999999</fb>
    <v>11</v>
  </rv>
  <rv s="6">
    <fb>44579537</fb>
    <v>12</v>
  </rv>
  <rv s="6">
    <fb>25.83</fb>
    <v>11</v>
  </rv>
  <rv s="6">
    <fb>26.14</fb>
    <v>11</v>
  </rv>
  <rv s="6">
    <fb>24.96</fb>
    <v>11</v>
  </rv>
  <rv s="6">
    <fb>52721077</fb>
    <v>12</v>
  </rv>
  <rv s="6">
    <fb>25.77</fb>
    <v>11</v>
  </rv>
  <rv s="6">
    <fb>25.73</fb>
    <v>11</v>
  </rv>
  <rv s="6">
    <fb>25.48</fb>
    <v>11</v>
  </rv>
  <rv s="6">
    <fb>43428291</fb>
    <v>12</v>
  </rv>
  <rv s="6">
    <fb>25.34</fb>
    <v>11</v>
  </rv>
  <rv s="6">
    <fb>25.8</fb>
    <v>11</v>
  </rv>
  <rv s="6">
    <fb>27.08</fb>
    <v>11</v>
  </rv>
  <rv s="6">
    <fb>25.215</fb>
    <v>11</v>
  </rv>
  <rv s="6">
    <fb>60305169</fb>
    <v>12</v>
  </rv>
  <rv s="6">
    <fb>23.67</fb>
    <v>11</v>
  </rv>
  <rv s="6">
    <fb>25.19</fb>
    <v>11</v>
  </rv>
  <rv s="6">
    <fb>25.344999999999999</fb>
    <v>11</v>
  </rv>
  <rv s="6">
    <fb>65665666</fb>
    <v>12</v>
  </rv>
  <rv s="6">
    <fb>23.62</fb>
    <v>11</v>
  </rv>
  <rv s="6">
    <fb>24.25</fb>
    <v>11</v>
  </rv>
  <rv s="6">
    <fb>23.54</fb>
    <v>11</v>
  </rv>
  <rv s="6">
    <fb>44080904</fb>
    <v>12</v>
  </rv>
  <rv s="6">
    <fb>23.13</fb>
    <v>11</v>
  </rv>
  <rv s="6">
    <fb>24.43</fb>
    <v>11</v>
  </rv>
  <rv s="6">
    <fb>22.844999999999999</fb>
    <v>11</v>
  </rv>
  <rv s="6">
    <fb>55068051</fb>
    <v>12</v>
  </rv>
  <rv s="6">
    <fb>24.63</fb>
    <v>11</v>
  </rv>
  <rv s="6">
    <fb>23.48</fb>
    <v>11</v>
  </rv>
  <rv s="6">
    <fb>24.83</fb>
    <v>11</v>
  </rv>
  <rv s="6">
    <fb>48432156</fb>
    <v>12</v>
  </rv>
  <rv s="6">
    <fb>25</fb>
    <v>11</v>
  </rv>
  <rv s="6">
    <fb>25.72</fb>
    <v>11</v>
  </rv>
  <rv s="6">
    <fb>24.420999999999999</fb>
    <v>11</v>
  </rv>
  <rv s="6">
    <fb>36235668</fb>
    <v>12</v>
  </rv>
  <rv s="6">
    <fb>24.16</fb>
    <v>11</v>
  </rv>
  <rv s="6">
    <fb>24.77</fb>
    <v>11</v>
  </rv>
  <rv s="6">
    <fb>24.86</fb>
    <v>11</v>
  </rv>
  <rv s="6">
    <fb>23.414999999999999</fb>
    <v>11</v>
  </rv>
  <rv s="6">
    <fb>44632848</fb>
    <v>12</v>
  </rv>
  <rv s="6">
    <fb>22.51</fb>
    <v>11</v>
  </rv>
  <rv s="6">
    <fb>24.09</fb>
    <v>11</v>
  </rv>
  <rv s="6">
    <fb>22.27</fb>
    <v>11</v>
  </rv>
  <rv s="6">
    <fb>32804757</fb>
    <v>12</v>
  </rv>
  <rv s="6">
    <fb>22.85</fb>
    <v>11</v>
  </rv>
  <rv s="6">
    <fb>22.42</fb>
    <v>11</v>
  </rv>
  <rv s="6">
    <fb>65516346</fb>
    <v>12</v>
  </rv>
  <rv s="6">
    <fb>22.93</fb>
    <v>11</v>
  </rv>
  <rv s="6">
    <fb>23.4</fb>
    <v>11</v>
  </rv>
  <rv s="6">
    <fb>65594997</fb>
    <v>12</v>
  </rv>
  <rv s="6">
    <fb>22.01</fb>
    <v>11</v>
  </rv>
  <rv s="6">
    <fb>22.8</fb>
    <v>11</v>
  </rv>
  <rv s="6">
    <fb>21.94</fb>
    <v>11</v>
  </rv>
  <rv s="6">
    <fb>58772278</fb>
    <v>12</v>
  </rv>
  <rv s="6">
    <fb>19.649999999999999</fb>
    <v>11</v>
  </rv>
  <rv s="6">
    <fb>21.9</fb>
    <v>11</v>
  </rv>
  <rv s="6">
    <fb>22.274999999999999</fb>
    <v>11</v>
  </rv>
  <rv s="6">
    <fb>19.63</fb>
    <v>11</v>
  </rv>
  <rv s="6">
    <fb>79071027</fb>
    <v>12</v>
  </rv>
  <rv s="6">
    <fb>20.34</fb>
    <v>11</v>
  </rv>
  <rv s="6">
    <fb>19.399999999999999</fb>
    <v>11</v>
  </rv>
  <rv s="6">
    <fb>20.795000000000002</fb>
    <v>11</v>
  </rv>
  <rv s="6">
    <fb>19.215</fb>
    <v>11</v>
  </rv>
  <rv s="6">
    <fb>42116963</fb>
    <v>12</v>
  </rv>
  <rv s="6">
    <fb>20.72</fb>
    <v>11</v>
  </rv>
  <rv s="6">
    <fb>20.49</fb>
    <v>11</v>
  </rv>
  <rv s="6">
    <fb>20.89</fb>
    <v>11</v>
  </rv>
  <rv s="6">
    <fb>19.704999999999998</fb>
    <v>11</v>
  </rv>
  <rv s="6">
    <fb>40323225</fb>
    <v>12</v>
  </rv>
  <rv s="6">
    <fb>20.75</fb>
    <v>11</v>
  </rv>
  <rv s="6">
    <fb>21.524999999999999</fb>
    <v>11</v>
  </rv>
  <rv s="6">
    <fb>20.734999999999999</fb>
    <v>11</v>
  </rv>
  <rv s="6">
    <fb>43225537</fb>
    <v>12</v>
  </rv>
  <rv s="6">
    <fb>21.79</fb>
    <v>11</v>
  </rv>
  <rv s="6">
    <fb>20.645</fb>
    <v>11</v>
  </rv>
  <rv s="6">
    <fb>48935650</fb>
    <v>12</v>
  </rv>
  <rv s="6">
    <fb>22.1</fb>
    <v>11</v>
  </rv>
  <rv s="6">
    <fb>37478866</fb>
    <v>12</v>
  </rv>
  <rv s="6">
    <fb>22.26</fb>
    <v>11</v>
  </rv>
  <rv s="6">
    <fb>22.29</fb>
    <v>11</v>
  </rv>
  <rv s="6">
    <fb>38976298</fb>
    <v>12</v>
  </rv>
  <rv s="6">
    <fb>23.09</fb>
    <v>11</v>
  </rv>
  <rv s="6">
    <fb>32623143</fb>
    <v>12</v>
  </rv>
  <rv s="6">
    <fb>22.79</fb>
    <v>11</v>
  </rv>
  <rv s="6">
    <fb>41082287</fb>
    <v>12</v>
  </rv>
  <rv s="6">
    <fb>23.24</fb>
    <v>11</v>
  </rv>
  <rv s="6">
    <fb>23.82</fb>
    <v>11</v>
  </rv>
  <rv s="6">
    <fb>23.175000000000001</fb>
    <v>11</v>
  </rv>
  <rv s="6">
    <fb>31177831</fb>
    <v>12</v>
  </rv>
  <rv s="6">
    <fb>19.600000000000001</fb>
    <v>11</v>
  </rv>
  <rv s="6">
    <fb>23.83</fb>
    <v>11</v>
  </rv>
  <rv s="6">
    <fb>19.34</fb>
    <v>11</v>
  </rv>
  <rv s="6">
    <fb>116634508</fb>
    <v>12</v>
  </rv>
  <rv s="6">
    <fb>18.739999999999998</fb>
    <v>11</v>
  </rv>
  <rv s="6">
    <fb>19.61</fb>
    <v>11</v>
  </rv>
  <rv s="6">
    <fb>19.91</fb>
    <v>11</v>
  </rv>
  <rv s="6">
    <fb>18.46</fb>
    <v>11</v>
  </rv>
  <rv s="6">
    <fb>75862972</fb>
    <v>12</v>
  </rv>
  <rv s="6">
    <fb>18.78</fb>
    <v>11</v>
  </rv>
  <rv s="6">
    <fb>19.97</fb>
    <v>11</v>
  </rv>
  <rv s="6">
    <fb>97206888</fb>
    <v>12</v>
  </rv>
  <rv s="6">
    <fb>20.344999999999999</fb>
    <v>11</v>
  </rv>
  <rv s="6">
    <fb>19.329999999999998</fb>
    <v>11</v>
  </rv>
  <rv s="6">
    <fb>65416079</fb>
    <v>12</v>
  </rv>
  <rv s="6">
    <fb>19.43</fb>
    <v>11</v>
  </rv>
  <rv s="6">
    <fb>19.279900000000001</fb>
    <v>11</v>
  </rv>
  <rv s="6">
    <fb>18.86</fb>
    <v>11</v>
  </rv>
  <rv s="6">
    <fb>68250264</fb>
    <v>12</v>
  </rv>
  <rv s="6">
    <fb>19.79</fb>
    <v>11</v>
  </rv>
  <rv s="6">
    <fb>19.73</fb>
    <v>11</v>
  </rv>
  <rv s="6">
    <fb>20.195</fb>
    <v>11</v>
  </rv>
  <rv s="6">
    <fb>19.54</fb>
    <v>11</v>
  </rv>
  <rv s="6">
    <fb>60284666</fb>
    <v>12</v>
  </rv>
  <rv s="6">
    <fb>20.21</fb>
    <v>11</v>
  </rv>
  <rv s="6">
    <fb>19.739999999999998</fb>
    <v>11</v>
  </rv>
  <rv s="6">
    <fb>20.245000000000001</fb>
    <v>11</v>
  </rv>
  <rv s="6">
    <fb>53156094</fb>
    <v>12</v>
  </rv>
  <rv s="6">
    <fb>20.52</fb>
    <v>11</v>
  </rv>
  <rv s="6">
    <fb>20.23</fb>
    <v>11</v>
  </rv>
  <rv s="6">
    <fb>20.65</fb>
    <v>11</v>
  </rv>
  <rv s="6">
    <fb>20.010000000000002</fb>
    <v>11</v>
  </rv>
  <rv s="6">
    <fb>35738851</fb>
    <v>12</v>
  </rv>
  <rv s="6">
    <fb>19.41</fb>
    <v>11</v>
  </rv>
  <rv s="6">
    <fb>20.420000000000002</fb>
    <v>11</v>
  </rv>
  <rv s="6">
    <fb>20.48</fb>
    <v>11</v>
  </rv>
  <rv s="6">
    <fb>19.29</fb>
    <v>11</v>
  </rv>
  <rv s="6">
    <fb>50732297</fb>
    <v>12</v>
  </rv>
  <rv s="6">
    <fb>20.350000000000001</fb>
    <v>11</v>
  </rv>
  <rv s="6">
    <fb>42054535</fb>
    <v>12</v>
  </rv>
  <rv s="6">
    <fb>19.829999999999998</fb>
    <v>11</v>
  </rv>
  <rv s="6">
    <fb>18.774999999999999</fb>
    <v>11</v>
  </rv>
  <rv s="6">
    <fb>46052112</fb>
    <v>12</v>
  </rv>
  <rv s="6">
    <fb>19.02</fb>
    <v>11</v>
  </rv>
  <rv s="6">
    <fb>18.55</fb>
    <v>11</v>
  </rv>
  <rv s="6">
    <fb>19.135000000000002</fb>
    <v>11</v>
  </rv>
  <rv s="6">
    <fb>18.059999999999999</fb>
    <v>11</v>
  </rv>
  <rv s="6">
    <fb>51792386</fb>
    <v>12</v>
  </rv>
  <rv s="6">
    <fb>20.03</fb>
    <v>11</v>
  </rv>
  <rv s="6">
    <fb>18.75</fb>
    <v>11</v>
  </rv>
  <rv s="6">
    <fb>20.226500000000001</fb>
    <v>11</v>
  </rv>
  <rv s="6">
    <fb>18.670000000000002</fb>
    <v>11</v>
  </rv>
  <rv s="6">
    <fb>70305860</fb>
    <v>12</v>
  </rv>
  <rv s="6">
    <fb>18.68</fb>
    <v>11</v>
  </rv>
  <rv s="6">
    <fb>19.98</fb>
    <v>11</v>
  </rv>
  <rv s="6">
    <fb>20.13</fb>
    <v>11</v>
  </rv>
  <rv s="6">
    <fb>18.350000000000001</fb>
    <v>11</v>
  </rv>
  <rv s="6">
    <fb>59198574</fb>
    <v>12</v>
  </rv>
  <rv s="6">
    <fb>19.71</fb>
    <v>11</v>
  </rv>
  <rv s="6">
    <fb>18.605</fb>
    <v>11</v>
  </rv>
  <rv s="6">
    <fb>44674558</fb>
    <v>12</v>
  </rv>
  <rv s="6">
    <fb>20.09</fb>
    <v>11</v>
  </rv>
  <rv s="6">
    <fb>19.7</fb>
    <v>11</v>
  </rv>
  <rv s="6">
    <fb>39837649</fb>
    <v>12</v>
  </rv>
  <rv s="6">
    <fb>20.7</fb>
    <v>11</v>
  </rv>
  <rv s="6">
    <fb>19.87</fb>
    <v>11</v>
  </rv>
  <rv s="6">
    <fb>20.9</fb>
    <v>11</v>
  </rv>
  <rv s="6">
    <fb>50533624</fb>
    <v>12</v>
  </rv>
  <rv s="6">
    <fb>20.79</fb>
    <v>11</v>
  </rv>
  <rv s="6">
    <fb>21.09</fb>
    <v>11</v>
  </rv>
  <rv s="6">
    <fb>20.57</fb>
    <v>11</v>
  </rv>
  <rv s="6">
    <fb>46068071</fb>
    <v>12</v>
  </rv>
  <rv s="6">
    <fb>21.16</fb>
    <v>11</v>
  </rv>
  <rv s="6">
    <fb>21.12</fb>
    <v>11</v>
  </rv>
  <rv s="6">
    <fb>21.38</fb>
    <v>11</v>
  </rv>
  <rv s="6">
    <fb>20.88</fb>
    <v>11</v>
  </rv>
  <rv s="6">
    <fb>25547318</fb>
    <v>12</v>
  </rv>
  <rv s="6">
    <fb>20.47</fb>
    <v>11</v>
  </rv>
  <rv s="6">
    <fb>41183462</fb>
    <v>12</v>
  </rv>
  <rv s="6">
    <fb>21.39</fb>
    <v>11</v>
  </rv>
  <rv s="6">
    <fb>21.25</fb>
    <v>11</v>
  </rv>
  <rv s="6">
    <fb>21.614999999999998</fb>
    <v>11</v>
  </rv>
  <rv s="6">
    <fb>21.08</fb>
    <v>11</v>
  </rv>
  <rv s="6">
    <fb>33839585</fb>
    <v>12</v>
  </rv>
  <rv s="6">
    <fb>21.52</fb>
    <v>11</v>
  </rv>
  <rv s="6">
    <fb>21.74</fb>
    <v>11</v>
  </rv>
  <rv s="6">
    <fb>21.1601</fb>
    <v>11</v>
  </rv>
  <rv s="6">
    <fb>35429496</fb>
    <v>12</v>
  </rv>
  <rv s="6">
    <fb>21.6</fb>
    <v>11</v>
  </rv>
  <rv s="6">
    <fb>19.93</fb>
    <v>11</v>
  </rv>
  <rv s="6">
    <fb>46321699</fb>
    <v>12</v>
  </rv>
  <rv s="6">
    <fb>20</fb>
    <v>11</v>
  </rv>
  <rv s="6">
    <fb>18.809999999999999</fb>
    <v>11</v>
  </rv>
  <rv s="6">
    <fb>37866426</fb>
    <v>12</v>
  </rv>
  <rv s="6">
    <fb>18.440000000000001</fb>
    <v>11</v>
  </rv>
  <rv s="6">
    <fb>57237828</fb>
    <v>12</v>
  </rv>
  <rv s="6">
    <fb>19.46</fb>
    <v>11</v>
  </rv>
  <rv s="6">
    <fb>61398301</fb>
    <v>12</v>
  </rv>
  <rv s="6">
    <fb>17.98</fb>
    <v>11</v>
  </rv>
  <rv s="6">
    <fb>55282458</fb>
    <v>12</v>
  </rv>
  <rv s="6">
    <fb>17.97</fb>
    <v>11</v>
  </rv>
  <rv s="6">
    <fb>30477377</fb>
    <v>12</v>
  </rv>
  <rv s="6">
    <fb>18.79</fb>
    <v>11</v>
  </rv>
  <rv s="6">
    <fb>18.465</fb>
    <v>11</v>
  </rv>
  <rv s="6">
    <fb>69511796</fb>
    <v>12</v>
  </rv>
  <rv s="6">
    <fb>18.559999999999999</fb>
    <v>11</v>
  </rv>
  <rv s="6">
    <fb>19.04</fb>
    <v>11</v>
  </rv>
  <rv s="6">
    <fb>47480686</fb>
    <v>12</v>
  </rv>
  <rv s="6">
    <fb>18.53</fb>
    <v>11</v>
  </rv>
  <rv s="6">
    <fb>18.39</fb>
    <v>11</v>
  </rv>
  <rv s="6">
    <fb>18.12</fb>
    <v>11</v>
  </rv>
  <rv s="6">
    <fb>66663573</fb>
    <v>12</v>
  </rv>
  <rv s="6">
    <fb>16.64</fb>
    <v>11</v>
  </rv>
  <rv s="6">
    <fb>18.600000000000001</fb>
    <v>11</v>
  </rv>
  <rv s="6">
    <fb>19.18</fb>
    <v>11</v>
  </rv>
  <rv s="6">
    <fb>16.46</fb>
    <v>11</v>
  </rv>
  <rv s="6">
    <fb>112947678</fb>
    <v>12</v>
  </rv>
  <rv s="6">
    <fb>16.239999999999998</fb>
    <v>11</v>
  </rv>
  <rv s="6">
    <fb>16.53</fb>
    <v>11</v>
  </rv>
  <rv s="6">
    <fb>17.02</fb>
    <v>11</v>
  </rv>
  <rv s="6">
    <fb>87011074</fb>
    <v>12</v>
  </rv>
  <rv s="6">
    <fb>16.850000000000001</fb>
    <v>11</v>
  </rv>
  <rv s="6">
    <fb>16.329999999999998</fb>
    <v>11</v>
  </rv>
  <rv s="6">
    <fb>17.16</fb>
    <v>11</v>
  </rv>
  <rv s="6">
    <fb>16.29</fb>
    <v>11</v>
  </rv>
  <rv s="6">
    <fb>68821659</fb>
    <v>12</v>
  </rv>
  <rv s="6">
    <fb>17.329999999999998</fb>
    <v>11</v>
  </rv>
  <rv s="6">
    <fb>16.989999999999998</fb>
    <v>11</v>
  </rv>
  <rv s="6">
    <fb>17.454999999999998</fb>
    <v>11</v>
  </rv>
  <rv s="6">
    <fb>16.905000000000001</fb>
    <v>11</v>
  </rv>
  <rv s="6">
    <fb>49918574</fb>
    <v>12</v>
  </rv>
  <rv s="6">
    <fb>17.78</fb>
    <v>11</v>
  </rv>
  <rv s="6">
    <fb>17.46</fb>
    <v>11</v>
  </rv>
  <rv s="6">
    <fb>52264520</fb>
    <v>12</v>
  </rv>
  <rv s="6">
    <fb>17.850000000000001</fb>
    <v>11</v>
  </rv>
  <rv s="6">
    <fb>21.67</fb>
    <v>11</v>
  </rv>
  <rv s="6">
    <fb>17.82</fb>
    <v>11</v>
  </rv>
  <rv s="6">
    <fb>137619282</fb>
    <v>12</v>
  </rv>
  <rv s="6">
    <fb>20.18</fb>
    <v>11</v>
  </rv>
  <rv s="6">
    <fb>19.53</fb>
    <v>11</v>
  </rv>
  <rv s="6">
    <fb>19.25</fb>
    <v>11</v>
  </rv>
  <rv s="6">
    <fb>64512819</fb>
    <v>12</v>
  </rv>
  <rv s="6">
    <fb>19.899999999999999</fb>
    <v>11</v>
  </rv>
  <rv s="6">
    <fb>63189356</fb>
    <v>12</v>
  </rv>
  <rv s="6">
    <fb>20.079999999999998</fb>
    <v>11</v>
  </rv>
  <rv s="6">
    <fb>20.440000000000001</fb>
    <v>11</v>
  </rv>
  <rv s="6">
    <fb>58307742</fb>
    <v>12</v>
  </rv>
  <rv s="6">
    <fb>20.5</fb>
    <v>11</v>
  </rv>
  <rv s="6">
    <fb>68563965</fb>
    <v>12</v>
  </rv>
  <rv s="6">
    <fb>57327698</fb>
    <v>12</v>
  </rv>
  <rv s="6">
    <fb>20.56</fb>
    <v>11</v>
  </rv>
  <rv s="6">
    <fb>20.399999999999999</fb>
    <v>11</v>
  </rv>
  <rv s="6">
    <fb>20.69</fb>
    <v>11</v>
  </rv>
  <rv s="6">
    <fb>20.22</fb>
    <v>11</v>
  </rv>
  <rv s="6">
    <fb>51327793</fb>
    <v>12</v>
  </rv>
  <rv s="6">
    <fb>20.53</fb>
    <v>11</v>
  </rv>
  <rv s="6">
    <fb>20.55</fb>
    <v>11</v>
  </rv>
  <rv s="6">
    <fb>18997770</fb>
    <v>12</v>
  </rv>
  <rv s="6">
    <fb>20.83</fb>
    <v>11</v>
  </rv>
  <rv s="6">
    <fb>20.329999999999998</fb>
    <v>11</v>
  </rv>
  <rv s="6">
    <fb>23247742</fb>
    <v>12</v>
  </rv>
  <rv s="6">
    <fb>21.54</fb>
    <v>11</v>
  </rv>
  <rv s="6">
    <fb>20.51</fb>
    <v>11</v>
  </rv>
  <rv s="6">
    <fb>43025431</fb>
    <v>12</v>
  </rv>
  <rv s="6">
    <fb>21.98</fb>
    <v>11</v>
  </rv>
  <rv s="6">
    <fb>54120038</fb>
    <v>12</v>
  </rv>
  <rv s="6">
    <fb>22.2</fb>
    <v>11</v>
  </rv>
  <rv s="6">
    <fb>40783258</fb>
    <v>12</v>
  </rv>
  <rv s="6">
    <fb>21.63</fb>
    <v>11</v>
  </rv>
  <rv s="6">
    <fb>46316744</fb>
    <v>12</v>
  </rv>
  <rv s="6">
    <fb>21.93</fb>
    <v>11</v>
  </rv>
  <rv s="6">
    <fb>40267250</fb>
    <v>12</v>
  </rv>
  <rv s="6">
    <fb>22.37</fb>
    <v>11</v>
  </rv>
  <rv s="6">
    <fb>21.844999999999999</fb>
    <v>11</v>
  </rv>
  <rv s="6">
    <fb>53177085</fb>
    <v>12</v>
  </rv>
  <rv s="6">
    <fb>22.07</fb>
    <v>11</v>
  </rv>
  <rv s="6">
    <fb>59142481</fb>
    <v>12</v>
  </rv>
  <rv s="6">
    <fb>22.28</fb>
    <v>11</v>
  </rv>
  <rv s="6">
    <fb>23.93</fb>
    <v>11</v>
  </rv>
  <rv s="6">
    <fb>20.170000000000002</fb>
    <v>11</v>
  </rv>
  <rv s="6">
    <fb>132875502</fb>
    <v>12</v>
  </rv>
  <rv s="6">
    <fb>20.41</fb>
    <v>11</v>
  </rv>
  <rv s="6">
    <fb>83168300</fb>
    <v>12</v>
  </rv>
  <rv s="6">
    <fb>17.18</fb>
    <v>11</v>
  </rv>
  <rv s="6">
    <fb>16.350000000000001</fb>
    <v>11</v>
  </rv>
  <rv s="6">
    <fb>67279720</fb>
    <v>12</v>
  </rv>
  <rv s="6">
    <fb>13.95</fb>
    <v>11</v>
  </rv>
  <rv s="6">
    <fb>12.54</fb>
    <v>11</v>
  </rv>
  <rv s="6">
    <fb>78859916</fb>
    <v>12</v>
  </rv>
  <rv s="6">
    <fb>16.86</fb>
    <v>11</v>
  </rv>
  <rv s="6">
    <fb>12.97</fb>
    <v>11</v>
  </rv>
  <rv s="6">
    <fb>75293661</fb>
    <v>12</v>
  </rv>
  <rv s="6">
    <fb>16.93</fb>
    <v>11</v>
  </rv>
  <rv s="6">
    <fb>18.09</fb>
    <v>11</v>
  </rv>
  <rv s="6">
    <fb>14.205</fb>
    <v>11</v>
  </rv>
  <rv s="6">
    <fb>74966700</fb>
    <v>12</v>
  </rv>
  <rv s="6">
    <fb>15.97</fb>
    <v>11</v>
  </rv>
  <rv s="6">
    <fb>15.22</fb>
    <v>11</v>
  </rv>
  <rv s="6">
    <fb>16.489999999999998</fb>
    <v>11</v>
  </rv>
  <rv s="6">
    <fb>80445187</fb>
    <v>12</v>
  </rv>
  <rv s="6">
    <fb>15.52</fb>
    <v>11</v>
  </rv>
  <rv s="6">
    <fb>16.149999999999999</fb>
    <v>11</v>
  </rv>
  <rv s="6">
    <fb>14.55</fb>
    <v>11</v>
  </rv>
  <rv s="6">
    <fb>66149396</fb>
    <v>12</v>
  </rv>
  <rv s="6">
    <fb>15.49</fb>
    <v>11</v>
  </rv>
  <rv s="6">
    <fb>62298380</fb>
    <v>12</v>
  </rv>
  <rv s="6">
    <fb>66567585</fb>
    <v>12</v>
  </rv>
  <rv s="6">
    <fb>15.66</fb>
    <v>11</v>
  </rv>
  <rv s="6">
    <fb>14.63</fb>
    <v>11</v>
  </rv>
  <rv s="6">
    <fb>50455117</fb>
    <v>12</v>
  </rv>
  <rv s="6">
    <fb>14.86</fb>
    <v>11</v>
  </rv>
  <rv s="6">
    <fb>15.42</fb>
    <v>11</v>
  </rv>
  <rv s="6">
    <fb>15.59</fb>
    <v>11</v>
  </rv>
  <rv s="6">
    <fb>59847801</fb>
    <v>12</v>
  </rv>
  <rv s="6">
    <fb>17</fb>
    <v>11</v>
  </rv>
  <rv s="6">
    <fb>17.54</fb>
    <v>11</v>
  </rv>
  <rv s="6">
    <fb>71156652</fb>
    <v>12</v>
  </rv>
  <rv s="6">
    <fb>99925973</fb>
    <v>12</v>
  </rv>
  <rv s="6">
    <fb>17.64</fb>
    <v>11</v>
  </rv>
  <rv s="6">
    <fb>107248441</fb>
    <v>12</v>
  </rv>
  <rv s="6">
    <fb>16.28</fb>
    <v>11</v>
  </rv>
  <rv s="6">
    <fb>18.324999999999999</fb>
    <v>11</v>
  </rv>
  <rv s="6">
    <fb>15.55</fb>
    <v>11</v>
  </rv>
  <rv s="6">
    <fb>94811239</fb>
    <v>12</v>
  </rv>
  <rv s="6">
    <fb>16.78</fb>
    <v>11</v>
  </rv>
  <rv s="6">
    <fb>15.83</fb>
    <v>11</v>
  </rv>
  <rv s="6">
    <fb>15.67</fb>
    <v>11</v>
  </rv>
  <rv s="6">
    <fb>80612101</fb>
    <v>12</v>
  </rv>
  <rv s="6">
    <fb>16.61</fb>
    <v>11</v>
  </rv>
  <rv s="6">
    <fb>16.670000000000002</fb>
    <v>11</v>
  </rv>
  <rv s="6">
    <fb>17.344999999999999</fb>
    <v>11</v>
  </rv>
  <rv s="6">
    <fb>15.984999999999999</fb>
    <v>11</v>
  </rv>
  <rv s="6">
    <fb>82278538</fb>
    <v>12</v>
  </rv>
  <rv s="6">
    <fb>17.07</fb>
    <v>11</v>
  </rv>
  <rv s="6">
    <fb>16.7</fb>
    <v>11</v>
  </rv>
  <rv s="6">
    <fb>17.594999999999999</fb>
    <v>11</v>
  </rv>
  <rv s="6">
    <fb>16.48</fb>
    <v>11</v>
  </rv>
  <rv s="6">
    <fb>46295545</fb>
    <v>12</v>
  </rv>
  <rv s="6">
    <fb>17.6281</fb>
    <v>11</v>
  </rv>
  <rv s="6">
    <fb>16.02</fb>
    <v>11</v>
  </rv>
  <rv s="6">
    <fb>65884558</fb>
    <v>12</v>
  </rv>
  <rv s="6">
    <fb>17.55</fb>
    <v>11</v>
  </rv>
  <rv s="6">
    <fb>17.170000000000002</fb>
    <v>11</v>
  </rv>
  <rv s="6">
    <fb>18.3627</fb>
    <v>11</v>
  </rv>
  <rv s="6">
    <fb>62773100</fb>
    <v>12</v>
  </rv>
  <rv s="6">
    <fb>17.5</fb>
    <v>11</v>
  </rv>
  <rv s="6">
    <fb>18.03</fb>
    <v>11</v>
  </rv>
  <rv s="6">
    <fb>17.27</fb>
    <v>11</v>
  </rv>
  <rv s="6">
    <fb>42097845</fb>
    <v>12</v>
  </rv>
  <rv s="6">
    <fb>17.579999999999998</fb>
    <v>11</v>
  </rv>
  <rv s="6">
    <fb>17.87</fb>
    <v>11</v>
  </rv>
  <rv s="6">
    <fb>16.655000000000001</fb>
    <v>11</v>
  </rv>
  <rv s="6">
    <fb>64989195</fb>
    <v>12</v>
  </rv>
  <rv s="6">
    <fb>17.38</fb>
    <v>11</v>
  </rv>
  <rv s="6">
    <fb>41155146</fb>
    <v>12</v>
  </rv>
  <rv s="6">
    <fb>18.18</fb>
    <v>11</v>
  </rv>
  <rv s="6">
    <fb>18.5</fb>
    <v>11</v>
  </rv>
  <rv s="6">
    <fb>18.035</fb>
    <v>11</v>
  </rv>
  <rv s="6">
    <fb>48877013</fb>
    <v>12</v>
  </rv>
  <rv s="6">
    <fb>18.23</fb>
    <v>11</v>
  </rv>
  <rv s="6">
    <fb>18.239999999999998</fb>
    <v>11</v>
  </rv>
  <rv s="6">
    <fb>40676821</fb>
    <v>12</v>
  </rv>
  <rv s="6">
    <fb>19.850000000000001</fb>
    <v>11</v>
  </rv>
  <rv s="6">
    <fb>18.3</fb>
    <v>11</v>
  </rv>
  <rv s="6">
    <fb>59871009</fb>
    <v>12</v>
  </rv>
  <rv s="6">
    <fb>19.23</fb>
    <v>11</v>
  </rv>
  <rv s="6">
    <fb>19.8</fb>
    <v>11</v>
  </rv>
  <rv s="6">
    <fb>18.920000000000002</fb>
    <v>11</v>
  </rv>
  <rv s="6">
    <fb>64462604</fb>
    <v>12</v>
  </rv>
  <rv s="6">
    <fb>18.73</fb>
    <v>11</v>
  </rv>
  <rv s="6">
    <fb>48249342</fb>
    <v>12</v>
  </rv>
  <rv s="6">
    <fb>18.95</fb>
    <v>11</v>
  </rv>
  <rv s="6">
    <fb>19.754999999999999</fb>
    <v>11</v>
  </rv>
  <rv s="6">
    <fb>18.875</fb>
    <v>11</v>
  </rv>
  <rv s="6">
    <fb>61117599</fb>
    <v>12</v>
  </rv>
  <rv s="6">
    <fb>17.829999999999998</fb>
    <v>11</v>
  </rv>
  <rv s="6">
    <fb>45988552</fb>
    <v>12</v>
  </rv>
  <rv s="6">
    <fb>19.09</fb>
    <v>11</v>
  </rv>
  <rv s="6">
    <fb>19.32</fb>
    <v>11</v>
  </rv>
  <rv s="6">
    <fb>50621138</fb>
    <v>12</v>
  </rv>
  <rv s="6">
    <fb>19.68</fb>
    <v>11</v>
  </rv>
  <rv s="6">
    <fb>18.945</fb>
    <v>11</v>
  </rv>
  <rv s="6">
    <fb>49620965</fb>
    <v>12</v>
  </rv>
  <rv s="6">
    <fb>19.57</fb>
    <v>11</v>
  </rv>
  <rv s="6">
    <fb>19.11</fb>
    <v>11</v>
  </rv>
  <rv s="6">
    <fb>36023694</fb>
    <v>12</v>
  </rv>
  <rv s="6">
    <fb>19.670000000000002</fb>
    <v>11</v>
  </rv>
  <rv s="6">
    <fb>19.77</fb>
    <v>11</v>
  </rv>
  <rv s="6">
    <fb>29296049</fb>
    <v>12</v>
  </rv>
  <rv s="6">
    <fb>18.88</fb>
    <v>11</v>
  </rv>
  <rv s="6">
    <fb>17.25</fb>
    <v>11</v>
  </rv>
  <rv s="6">
    <fb>49132957</fb>
    <v>12</v>
  </rv>
  <rv s="6">
    <fb>18.02</fb>
    <v>11</v>
  </rv>
  <rv s="6">
    <fb>37605577</fb>
    <v>12</v>
  </rv>
  <rv s="6">
    <fb>19.920000000000002</fb>
    <v>11</v>
  </rv>
  <rv s="6">
    <fb>50290527</fb>
    <v>12</v>
  </rv>
  <rv s="6">
    <fb>20.45</fb>
    <v>11</v>
  </rv>
  <rv s="6">
    <fb>19.89</fb>
    <v>11</v>
  </rv>
  <rv s="6">
    <fb>20.95</fb>
    <v>11</v>
  </rv>
  <rv s="6">
    <fb>19.734999999999999</fb>
    <v>11</v>
  </rv>
  <rv s="6">
    <fb>45481611</fb>
    <v>12</v>
  </rv>
  <rv s="6">
    <fb>51031596</fb>
    <v>12</v>
  </rv>
  <rv s="6">
    <fb>23.78</fb>
    <v>11</v>
  </rv>
  <rv s="6">
    <fb>22.09</fb>
    <v>11</v>
  </rv>
  <rv s="6">
    <fb>23.88</fb>
    <v>11</v>
  </rv>
  <rv s="6">
    <fb>21.8</fb>
    <v>11</v>
  </rv>
  <rv s="6">
    <fb>52233437</fb>
    <v>12</v>
  </rv>
  <rv s="6">
    <fb>23.11</fb>
    <v>11</v>
  </rv>
  <rv s="6">
    <fb>23.89</fb>
    <v>11</v>
  </rv>
  <rv s="6">
    <fb>44771228</fb>
    <v>12</v>
  </rv>
  <rv s="6">
    <fb>24.46</fb>
    <v>11</v>
  </rv>
  <rv s="6">
    <fb>23.12</fb>
    <v>11</v>
  </rv>
  <rv s="6">
    <fb>52979047</fb>
    <v>12</v>
  </rv>
  <rv s="6">
    <fb>24.26</fb>
    <v>11</v>
  </rv>
  <rv s="6">
    <fb>23.96</fb>
    <v>11</v>
  </rv>
  <rv s="6">
    <fb>23.715</fb>
    <v>11</v>
  </rv>
  <rv s="6">
    <fb>24388207</fb>
    <v>12</v>
  </rv>
  <rv s="6">
    <fb>24.59</fb>
    <v>11</v>
  </rv>
  <rv s="6">
    <fb>24.31</fb>
    <v>11</v>
  </rv>
  <rv s="6">
    <fb>25190222</fb>
    <v>12</v>
  </rv>
  <rv s="6">
    <fb>25.53</fb>
    <v>11</v>
  </rv>
  <rv s="6">
    <fb>24.7</fb>
    <v>11</v>
  </rv>
  <rv s="6">
    <fb>25.94</fb>
    <v>11</v>
  </rv>
  <rv s="6">
    <fb>23.85</fb>
    <v>11</v>
  </rv>
  <rv s="6">
    <fb>40839819</fb>
    <v>12</v>
  </rv>
  <rv s="6">
    <fb>25.17</fb>
    <v>11</v>
  </rv>
  <rv s="6">
    <fb>25.5</fb>
    <v>11</v>
  </rv>
  <rv s="6">
    <fb>26.145</fb>
    <v>11</v>
  </rv>
  <rv s="6">
    <fb>24.99</fb>
    <v>11</v>
  </rv>
  <rv s="6">
    <fb>39398750</fb>
    <v>12</v>
  </rv>
  <rv s="6">
    <fb>25.27</fb>
    <v>11</v>
  </rv>
  <rv s="6">
    <fb>25.26</fb>
    <v>11</v>
  </rv>
  <rv s="6">
    <fb>25.44</fb>
    <v>11</v>
  </rv>
  <rv s="6">
    <fb>24.965</fb>
    <v>11</v>
  </rv>
  <rv s="6">
    <fb>26909370</fb>
    <v>12</v>
  </rv>
  <rv s="6">
    <fb>24.34</fb>
    <v>11</v>
  </rv>
  <rv s="6">
    <fb>25.22</fb>
    <v>11</v>
  </rv>
  <rv s="6">
    <fb>25.36</fb>
    <v>11</v>
  </rv>
  <rv s="6">
    <fb>24.07</fb>
    <v>11</v>
  </rv>
  <rv s="6">
    <fb>58410104</fb>
    <v>12</v>
  </rv>
  <rv s="6">
    <fb>26.15</fb>
    <v>11</v>
  </rv>
  <rv s="6">
    <fb>26.58</fb>
    <v>11</v>
  </rv>
  <rv s="6">
    <fb>24.101900000000001</fb>
    <v>11</v>
  </rv>
  <rv s="6">
    <fb>35837276</fb>
    <v>12</v>
  </rv>
  <rv s="6">
    <fb>27.49</fb>
    <v>11</v>
  </rv>
  <rv s="6">
    <fb>26.37</fb>
    <v>11</v>
  </rv>
  <rv s="6">
    <fb>27.55</fb>
    <v>11</v>
  </rv>
  <rv s="6">
    <fb>26.31</fb>
    <v>11</v>
  </rv>
  <rv s="6">
    <fb>31966632</fb>
    <v>12</v>
  </rv>
  <rv s="6">
    <fb>27.1</fb>
    <v>11</v>
  </rv>
  <rv s="6">
    <fb>27.68</fb>
    <v>11</v>
  </rv>
  <rv s="6">
    <fb>25.96</fb>
    <v>11</v>
  </rv>
  <rv s="6">
    <fb>32110646</fb>
    <v>12</v>
  </rv>
  <rv s="6">
    <fb>28.97</fb>
    <v>11</v>
  </rv>
  <rv s="6">
    <fb>26.99</fb>
    <v>11</v>
  </rv>
  <rv s="6">
    <fb>30.25</fb>
    <v>11</v>
  </rv>
  <rv s="6">
    <fb>26.49</fb>
    <v>11</v>
  </rv>
  <rv s="6">
    <fb>74090388</fb>
    <v>12</v>
  </rv>
  <rv s="6">
    <fb>29.75</fb>
    <v>11</v>
  </rv>
  <rv s="6">
    <fb>29.37</fb>
    <v>11</v>
  </rv>
  <rv s="6">
    <fb>30.44</fb>
    <v>11</v>
  </rv>
  <rv s="6">
    <fb>27.854099999999999</fb>
    <v>11</v>
  </rv>
  <rv s="6">
    <fb>66459094</fb>
    <v>12</v>
  </rv>
  <rv s="6">
    <fb>30.28</fb>
    <v>11</v>
  </rv>
  <rv s="6">
    <fb>29.61</fb>
    <v>11</v>
  </rv>
  <rv s="6">
    <fb>30.83</fb>
    <v>11</v>
  </rv>
  <rv s="6">
    <fb>29.56</fb>
    <v>11</v>
  </rv>
  <rv s="6">
    <fb>54901194</fb>
    <v>12</v>
  </rv>
  <rv s="6">
    <fb>30.08</fb>
    <v>11</v>
  </rv>
  <rv s="6">
    <fb>30.26</fb>
    <v>11</v>
  </rv>
  <rv s="6">
    <fb>31.11</fb>
    <v>11</v>
  </rv>
  <rv s="6">
    <fb>29.68</fb>
    <v>11</v>
  </rv>
  <rv s="6">
    <fb>96843012</fb>
    <v>12</v>
  </rv>
  <rv s="6">
    <fb>31.66</fb>
    <v>11</v>
  </rv>
  <rv s="6">
    <fb>30.11</fb>
    <v>11</v>
  </rv>
  <rv s="6">
    <fb>31.69</fb>
    <v>11</v>
  </rv>
  <rv s="6">
    <fb>57099302</fb>
    <v>12</v>
  </rv>
  <rv s="6">
    <fb>32.049999999999997</fb>
    <v>11</v>
  </rv>
  <rv s="6">
    <fb>31.59</fb>
    <v>11</v>
  </rv>
  <rv s="6">
    <fb>32.14</fb>
    <v>11</v>
  </rv>
  <rv s="6">
    <fb>30.96</fb>
    <v>11</v>
  </rv>
  <rv s="6">
    <fb>33667743</fb>
    <v>12</v>
  </rv>
  <rv s="6">
    <fb>32.979999999999997</fb>
    <v>11</v>
  </rv>
  <rv s="6">
    <fb>32.32</fb>
    <v>11</v>
  </rv>
  <rv s="6">
    <fb>32.99</fb>
    <v>11</v>
  </rv>
  <rv s="6">
    <fb>31.745000000000001</fb>
    <v>11</v>
  </rv>
  <rv s="6">
    <fb>36427363</fb>
    <v>12</v>
  </rv>
  <rv s="6">
    <fb>33.979999999999997</fb>
    <v>11</v>
  </rv>
  <rv s="6">
    <fb>34.270000000000003</fb>
    <v>11</v>
  </rv>
  <rv s="6">
    <fb>32.340000000000003</fb>
    <v>11</v>
  </rv>
  <rv s="6">
    <fb>39923094</fb>
    <v>12</v>
  </rv>
  <rv s="6">
    <fb>34.42</fb>
    <v>11</v>
  </rv>
  <rv s="6">
    <fb>33.799999999999997</fb>
    <v>11</v>
  </rv>
  <rv s="6">
    <fb>34.607900000000001</fb>
    <v>11</v>
  </rv>
  <rv s="6">
    <fb>33.200000000000003</fb>
    <v>11</v>
  </rv>
  <rv s="6">
    <fb>36193557</fb>
    <v>12</v>
  </rv>
  <rv s="6">
    <fb>34.11</fb>
    <v>11</v>
  </rv>
  <rv s="6">
    <fb>34.5</fb>
    <v>11</v>
  </rv>
  <rv s="6">
    <fb>34.869999999999997</fb>
    <v>11</v>
  </rv>
  <rv s="6">
    <fb>33.905000000000001</fb>
    <v>11</v>
  </rv>
  <rv s="6">
    <fb>34477289</fb>
    <v>12</v>
  </rv>
  <rv s="6">
    <fb>34.33</fb>
    <v>11</v>
  </rv>
  <rv s="6">
    <fb>35.590000000000003</fb>
    <v>11</v>
  </rv>
  <rv s="6">
    <fb>33.630000000000003</fb>
    <v>11</v>
  </rv>
  <rv s="6">
    <fb>32904713</fb>
    <v>12</v>
  </rv>
  <rv s="6">
    <fb>32.92</fb>
    <v>11</v>
  </rv>
  <rv s="6">
    <fb>35.89</fb>
    <v>11</v>
  </rv>
  <rv s="6">
    <fb>36</fb>
    <v>11</v>
  </rv>
  <rv s="6">
    <fb>31.765000000000001</fb>
    <v>11</v>
  </rv>
  <rv s="6">
    <fb>49355751</fb>
    <v>12</v>
  </rv>
  <rv s="6">
    <fb>32.74</fb>
    <v>11</v>
  </rv>
  <rv s="6">
    <fb>33.125</fb>
    <v>11</v>
  </rv>
  <rv s="6">
    <fb>31.22</fb>
    <v>11</v>
  </rv>
  <rv s="6">
    <fb>43160923</fb>
    <v>12</v>
  </rv>
  <rv s="6">
    <fb>29.23</fb>
    <v>11</v>
  </rv>
  <rv s="6">
    <fb>32.89</fb>
    <v>11</v>
  </rv>
  <rv s="6">
    <fb>29.065000000000001</fb>
    <v>11</v>
  </rv>
  <rv s="6">
    <fb>89643539</fb>
    <v>12</v>
  </rv>
  <rv s="6">
    <fb>30.63</fb>
    <v>11</v>
  </rv>
  <rv s="6">
    <fb>29.72</fb>
    <v>11</v>
  </rv>
  <rv s="6">
    <fb>30.81</fb>
    <v>11</v>
  </rv>
  <rv s="6">
    <fb>29.38</fb>
    <v>11</v>
  </rv>
  <rv s="6">
    <fb>46841684</fb>
    <v>12</v>
  </rv>
  <rv s="6">
    <fb>30.8</fb>
    <v>11</v>
  </rv>
  <rv s="6">
    <fb>30.885000000000002</fb>
    <v>11</v>
  </rv>
  <rv s="6">
    <fb>29.85</fb>
    <v>11</v>
  </rv>
  <rv s="6">
    <fb>50999314</fb>
    <v>12</v>
  </rv>
  <rv s="6">
    <fb>28.67</fb>
    <v>11</v>
  </rv>
  <rv s="6">
    <fb>30.04</fb>
    <v>11</v>
  </rv>
  <rv s="6">
    <fb>30.12</fb>
    <v>11</v>
  </rv>
  <rv s="6">
    <fb>28.02</fb>
    <v>11</v>
  </rv>
  <rv s="6">
    <fb>70989125</fb>
    <v>12</v>
  </rv>
  <rv s="6">
    <fb>29.71</fb>
    <v>11</v>
  </rv>
  <rv s="6">
    <fb>28.9</fb>
    <v>11</v>
  </rv>
  <rv s="6">
    <fb>29.914999999999999</fb>
    <v>11</v>
  </rv>
  <rv s="6">
    <fb>28.78</fb>
    <v>11</v>
  </rv>
  <rv s="6">
    <fb>49185395</fb>
    <v>12</v>
  </rv>
  <rv s="6">
    <fb>30.7</fb>
    <v>11</v>
  </rv>
  <rv s="6">
    <fb>30.8063</fb>
    <v>11</v>
  </rv>
  <rv s="6">
    <fb>29.64</fb>
    <v>11</v>
  </rv>
  <rv s="6">
    <fb>35380090</fb>
    <v>12</v>
  </rv>
  <rv s="6">
    <fb>30.58</fb>
    <v>11</v>
  </rv>
  <rv s="6">
    <fb>30.65</fb>
    <v>11</v>
  </rv>
  <rv s="6">
    <fb>29.46</fb>
    <v>11</v>
  </rv>
  <rv s="6">
    <fb>32839794</fb>
    <v>12</v>
  </rv>
  <rv s="6">
    <fb>29.9</fb>
    <v>11</v>
  </rv>
  <rv s="6">
    <fb>29.925000000000001</fb>
    <v>11</v>
  </rv>
  <rv s="6">
    <fb>27.454999999999998</fb>
    <v>11</v>
  </rv>
  <rv s="6">
    <fb>52295791</fb>
    <v>12</v>
  </rv>
  <rv s="6">
    <fb>27.12</fb>
    <v>11</v>
  </rv>
  <rv s="6">
    <fb>26.91</fb>
    <v>11</v>
  </rv>
  <rv s="6">
    <fb>54191851</fb>
    <v>12</v>
  </rv>
  <rv s="6">
    <fb>28.87</fb>
    <v>11</v>
  </rv>
  <rv s="6">
    <fb>28.35</fb>
    <v>11</v>
  </rv>
  <rv s="6">
    <fb>28.98</fb>
    <v>11</v>
  </rv>
  <rv s="6">
    <fb>27.85</fb>
    <v>11</v>
  </rv>
  <rv s="6">
    <fb>33959059</fb>
    <v>12</v>
  </rv>
  <rv s="6">
    <fb>29.32</fb>
    <v>11</v>
  </rv>
  <rv s="6">
    <fb>29.05</fb>
    <v>11</v>
  </rv>
  <rv s="6">
    <fb>29.69</fb>
    <v>11</v>
  </rv>
  <rv s="6">
    <fb>28.914999999999999</fb>
    <v>11</v>
  </rv>
  <rv s="6">
    <fb>32783454</fb>
    <v>12</v>
  </rv>
  <rv s="6">
    <fb>29.3</fb>
    <v>11</v>
  </rv>
  <rv s="6">
    <fb>30.475000000000001</fb>
    <v>11</v>
  </rv>
  <rv s="6">
    <fb>35655495</fb>
    <v>12</v>
  </rv>
  <rv s="6">
    <fb>28.22</fb>
    <v>11</v>
  </rv>
  <rv s="6">
    <fb>28.92</fb>
    <v>11</v>
  </rv>
  <rv s="6">
    <fb>29.53</fb>
    <v>11</v>
  </rv>
  <rv s="6">
    <fb>27.545000000000002</fb>
    <v>11</v>
  </rv>
  <rv s="6">
    <fb>41826085</fb>
    <v>12</v>
  </rv>
  <rv s="6">
    <fb>28.44</fb>
    <v>11</v>
  </rv>
  <rv s="6">
    <fb>29.734999999999999</fb>
    <v>11</v>
  </rv>
  <rv s="6">
    <fb>27.51</fb>
    <v>11</v>
  </rv>
  <rv s="6">
    <fb>61141099</fb>
    <v>12</v>
  </rv>
  <rv s="6">
    <fb>29.86</fb>
    <v>11</v>
  </rv>
  <rv s="6">
    <fb>29.14</fb>
    <v>11</v>
  </rv>
  <rv s="6">
    <fb>30.36</fb>
    <v>11</v>
  </rv>
  <rv s="6">
    <fb>55947618</fb>
    <v>12</v>
  </rv>
  <rv s="6">
    <fb>28</fb>
    <v>11</v>
  </rv>
  <rv s="6">
    <fb>29.5</fb>
    <v>11</v>
  </rv>
  <rv s="6">
    <fb>29.574999999999999</fb>
    <v>11</v>
  </rv>
  <rv s="6">
    <fb>27.88</fb>
    <v>11</v>
  </rv>
  <rv s="6">
    <fb>36490914</fb>
    <v>12</v>
  </rv>
  <rv s="6">
    <fb>28.21</fb>
    <v>11</v>
  </rv>
  <rv s="6">
    <fb>28.47</fb>
    <v>11</v>
  </rv>
  <rv s="6">
    <fb>27.38</fb>
    <v>11</v>
  </rv>
  <rv s="6">
    <fb>41288572</fb>
    <v>12</v>
  </rv>
  <rv s="6">
    <fb>27.89</fb>
    <v>11</v>
  </rv>
  <rv s="6">
    <fb>27.06</fb>
    <v>11</v>
  </rv>
  <rv s="6">
    <fb>28.225000000000001</fb>
    <v>11</v>
  </rv>
  <rv s="6">
    <fb>26.765000000000001</fb>
    <v>11</v>
  </rv>
  <rv s="6">
    <fb>35640600</fb>
    <v>12</v>
  </rv>
  <rv s="6">
    <fb>29.535</fb>
    <v>11</v>
  </rv>
  <rv s="6">
    <fb>27.170999999999999</fb>
    <v>11</v>
  </rv>
  <rv s="6">
    <fb>49819481</fb>
    <v>12</v>
  </rv>
  <rv s="6">
    <fb>27.96</fb>
    <v>11</v>
  </rv>
  <rv s="6">
    <fb>28.54</fb>
    <v>11</v>
  </rv>
  <rv s="6">
    <fb>38540465</fb>
    <v>12</v>
  </rv>
  <rv s="6">
    <fb>28.28</fb>
    <v>11</v>
  </rv>
  <rv s="6">
    <fb>27.97</fb>
    <v>11</v>
  </rv>
  <rv s="6">
    <fb>28.62</fb>
    <v>11</v>
  </rv>
  <rv s="6">
    <fb>26.11</fb>
    <v>11</v>
  </rv>
  <rv s="6">
    <fb>57027327</fb>
    <v>12</v>
  </rv>
  <rv s="6">
    <fb>30.47</fb>
    <v>11</v>
  </rv>
  <rv s="6">
    <fb>28.09</fb>
    <v>11</v>
  </rv>
  <rv s="6">
    <fb>30.995000000000001</fb>
    <v>11</v>
  </rv>
  <rv s="6">
    <fb>61254617</fb>
    <v>12</v>
  </rv>
  <rv s="6">
    <fb>30.33</fb>
    <v>11</v>
  </rv>
  <rv s="6">
    <fb>30.85</fb>
    <v>11</v>
  </rv>
  <rv s="6">
    <fb>30.98</fb>
    <v>11</v>
  </rv>
  <rv s="6">
    <fb>29.65</fb>
    <v>11</v>
  </rv>
  <rv s="6">
    <fb>38621551</fb>
    <v>12</v>
  </rv>
  <rv s="6">
    <fb>31.95</fb>
    <v>11</v>
  </rv>
  <rv s="6">
    <fb>30.42</fb>
    <v>11</v>
  </rv>
  <rv s="6">
    <fb>32.04</fb>
    <v>11</v>
  </rv>
  <rv s="6">
    <fb>36824679</fb>
    <v>12</v>
  </rv>
  <rv s="6">
    <fb>31.82</fb>
    <v>11</v>
  </rv>
  <rv s="6">
    <fb>31.9</fb>
    <v>11</v>
  </rv>
  <rv s="6">
    <fb>31.39</fb>
    <v>11</v>
  </rv>
  <rv s="6">
    <fb>29550544</fb>
    <v>12</v>
  </rv>
  <rv s="6">
    <fb>31.45</fb>
    <v>11</v>
  </rv>
  <rv s="6">
    <fb>31.92</fb>
    <v>11</v>
  </rv>
  <rv s="6">
    <fb>32.03</fb>
    <v>11</v>
  </rv>
  <rv s="6">
    <fb>30.64</fb>
    <v>11</v>
  </rv>
  <rv s="6">
    <fb>34974108</fb>
    <v>12</v>
  </rv>
  <rv s="6">
    <fb>34.58</fb>
    <v>11</v>
  </rv>
  <rv s="6">
    <fb>31.6</fb>
    <v>11</v>
  </rv>
  <rv s="6">
    <fb>36.21</fb>
    <v>11</v>
  </rv>
  <rv s="6">
    <fb>31.414999999999999</fb>
    <v>11</v>
  </rv>
  <rv s="6">
    <fb>67273875</fb>
    <v>12</v>
  </rv>
  <rv s="6">
    <fb>37.549999999999997</fb>
    <v>11</v>
  </rv>
  <rv s="6">
    <fb>34.765000000000001</fb>
    <v>11</v>
  </rv>
  <rv s="6">
    <fb>38.49</fb>
    <v>11</v>
  </rv>
  <rv s="6">
    <fb>34.659999999999997</fb>
    <v>11</v>
  </rv>
  <rv s="6">
    <fb>96214678</fb>
    <v>12</v>
  </rv>
  <rv s="6">
    <fb>36.43</fb>
    <v>11</v>
  </rv>
  <rv s="6">
    <fb>37.799999999999997</fb>
    <v>11</v>
  </rv>
  <rv s="6">
    <fb>38.22</fb>
    <v>11</v>
  </rv>
  <rv s="6">
    <fb>35.805</fb>
    <v>11</v>
  </rv>
  <rv s="6">
    <fb>58002686</fb>
    <v>12</v>
  </rv>
  <rv s="6">
    <fb>36.299999999999997</fb>
    <v>11</v>
  </rv>
  <rv s="6">
    <fb>34.83</fb>
    <v>11</v>
  </rv>
  <rv s="6">
    <fb>73349060</fb>
    <v>12</v>
  </rv>
  <rv s="6">
    <fb>37.65</fb>
    <v>11</v>
  </rv>
  <rv s="6">
    <fb>36.090000000000003</fb>
    <v>11</v>
  </rv>
  <rv s="6">
    <fb>38.04</fb>
    <v>11</v>
  </rv>
  <rv s="6">
    <fb>35.58</fb>
    <v>11</v>
  </rv>
  <rv s="6">
    <fb>31980942</fb>
    <v>12</v>
  </rv>
  <rv s="6">
    <fb>37.67</fb>
    <v>11</v>
  </rv>
  <rv s="6">
    <fb>37.53</fb>
    <v>11</v>
  </rv>
  <rv s="6">
    <fb>38.409999999999997</fb>
    <v>11</v>
  </rv>
  <rv s="6">
    <fb>24815628</fb>
    <v>12</v>
  </rv>
  <rv s="6">
    <fb>38.65</fb>
    <v>11</v>
  </rv>
  <rv s="6">
    <fb>37.71</fb>
    <v>11</v>
  </rv>
  <rv s="6">
    <fb>39.645000000000003</fb>
    <v>11</v>
  </rv>
  <rv s="6">
    <fb>37.590000000000003</fb>
    <v>11</v>
  </rv>
  <rv s="6">
    <fb>42846944</fb>
    <v>12</v>
  </rv>
  <rv s="6">
    <fb>38.42</fb>
    <v>11</v>
  </rv>
  <rv s="6">
    <fb>38.590000000000003</fb>
    <v>11</v>
  </rv>
  <rv s="6">
    <fb>39.65</fb>
    <v>11</v>
  </rv>
  <rv s="6">
    <fb>37.96</fb>
    <v>11</v>
  </rv>
  <rv s="6">
    <fb>45299519</fb>
    <v>12</v>
  </rv>
  <rv s="6">
    <fb>34.86</fb>
    <v>11</v>
  </rv>
  <rv s="6">
    <fb>38.01</fb>
    <v>11</v>
  </rv>
  <rv s="6">
    <fb>38.340000000000003</fb>
    <v>11</v>
  </rv>
  <rv s="6">
    <fb>34.79</fb>
    <v>11</v>
  </rv>
  <rv s="6">
    <fb>35613911</fb>
    <v>12</v>
  </rv>
  <rv s="6">
    <fb>34.295000000000002</fb>
    <v>11</v>
  </rv>
  <rv s="6">
    <fb>36.459299999999999</fb>
    <v>11</v>
  </rv>
  <rv s="6">
    <fb>33.61</fb>
    <v>11</v>
  </rv>
  <rv s="6">
    <fb>55070931</fb>
    <v>12</v>
  </rv>
  <rv s="6">
    <fb>37.6</fb>
    <v>11</v>
  </rv>
  <rv s="6">
    <fb>36.119999999999997</fb>
    <v>11</v>
  </rv>
  <rv s="6">
    <fb>38.44</fb>
    <v>11</v>
  </rv>
  <rv s="6">
    <fb>35.92</fb>
    <v>11</v>
  </rv>
  <rv s="6">
    <fb>46840179</fb>
    <v>12</v>
  </rv>
  <rv s="6">
    <fb>37.33</fb>
    <v>11</v>
  </rv>
  <rv s="6">
    <fb>37.54</fb>
    <v>11</v>
  </rv>
  <rv s="6">
    <fb>39.07</fb>
    <v>11</v>
  </rv>
  <rv s="6">
    <fb>37.119999999999997</fb>
    <v>11</v>
  </rv>
  <rv s="6">
    <fb>37812433</fb>
    <v>12</v>
  </rv>
  <rv s="6">
    <fb>36.200000000000003</fb>
    <v>11</v>
  </rv>
  <rv s="6">
    <fb>38.049999999999997</fb>
    <v>11</v>
  </rv>
  <rv s="6">
    <fb>35.984999999999999</fb>
    <v>11</v>
  </rv>
  <rv s="6">
    <fb>41671079</fb>
    <v>12</v>
  </rv>
  <rv s="6">
    <fb>34.450000000000003</fb>
    <v>11</v>
  </rv>
  <rv s="6">
    <fb>36.049999999999997</fb>
    <v>11</v>
  </rv>
  <rv s="6">
    <fb>33.04</fb>
    <v>11</v>
  </rv>
  <rv s="6">
    <fb>45996386</fb>
    <v>12</v>
  </rv>
  <rv s="6">
    <fb>36.35</fb>
    <v>11</v>
  </rv>
  <rv s="6">
    <fb>34.29</fb>
    <v>11</v>
  </rv>
  <rv s="6">
    <fb>33.53</fb>
    <v>11</v>
  </rv>
  <rv s="6">
    <fb>93426284</fb>
    <v>12</v>
  </rv>
  <rv s="6">
    <fb>36.29</fb>
    <v>11</v>
  </rv>
  <rv s="6">
    <fb>36.750100000000003</fb>
    <v>11</v>
  </rv>
  <rv s="6">
    <fb>35.090000000000003</fb>
    <v>11</v>
  </rv>
  <rv s="6">
    <fb>88314763</fb>
    <v>12</v>
  </rv>
  <rv s="6">
    <fb>37.090000000000003</fb>
    <v>11</v>
  </rv>
  <rv s="6">
    <fb>35.97</fb>
    <v>11</v>
  </rv>
  <rv s="6">
    <fb>33.74</fb>
    <v>11</v>
  </rv>
  <rv s="6">
    <fb>133287462</fb>
    <v>12</v>
  </rv>
  <rv s="6">
    <fb>36.9</fb>
    <v>11</v>
  </rv>
  <rv s="6">
    <fb>36.72</fb>
    <v>11</v>
  </rv>
  <rv s="6">
    <fb>79218614</fb>
    <v>12</v>
  </rv>
  <rv s="6">
    <fb>35.6</fb>
    <v>11</v>
  </rv>
  <rv s="6">
    <fb>38.36</fb>
    <v>11</v>
  </rv>
  <rv s="6">
    <fb>40.365000000000002</fb>
    <v>11</v>
  </rv>
  <rv s="6">
    <fb>89635373</fb>
    <v>12</v>
  </rv>
  <rv s="6">
    <fb>38.630000000000003</fb>
    <v>11</v>
  </rv>
  <rv s="6">
    <fb>35.78</fb>
    <v>11</v>
  </rv>
  <rv s="6">
    <fb>41.47</fb>
    <v>11</v>
  </rv>
  <rv s="6">
    <fb>34.465000000000003</fb>
    <v>11</v>
  </rv>
  <rv s="6">
    <fb>174420185</fb>
    <v>12</v>
  </rv>
  <rv s="6">
    <fb>37.47</fb>
    <v>11</v>
  </rv>
  <rv s="6">
    <fb>39.54</fb>
    <v>11</v>
  </rv>
  <rv s="6">
    <fb>37.450000000000003</fb>
    <v>11</v>
  </rv>
  <rv s="6">
    <fb>48872676</fb>
    <v>12</v>
  </rv>
  <rv s="6">
    <fb>39.78</fb>
    <v>11</v>
  </rv>
  <rv s="6">
    <fb>36.75</fb>
    <v>11</v>
  </rv>
  <rv s="6">
    <fb>51085462</fb>
    <v>12</v>
  </rv>
  <rv s="6">
    <fb>36.630000000000003</fb>
    <v>11</v>
  </rv>
  <rv s="6">
    <fb>36.6</fb>
    <v>11</v>
  </rv>
  <rv s="6">
    <fb>38.204999999999998</fb>
    <v>11</v>
  </rv>
  <rv s="6">
    <fb>47479770</fb>
    <v>12</v>
  </rv>
  <rv s="6">
    <fb>36.619999999999997</fb>
    <v>11</v>
  </rv>
  <rv s="6">
    <fb>39.520000000000003</fb>
    <v>11</v>
  </rv>
  <rv s="6">
    <fb>36.01</fb>
    <v>11</v>
  </rv>
  <rv s="6">
    <fb>45677324</fb>
    <v>12</v>
  </rv>
  <rv s="6">
    <fb>36.78</fb>
    <v>11</v>
  </rv>
  <rv s="6">
    <fb>36.159999999999997</fb>
    <v>11</v>
  </rv>
  <rv s="6">
    <fb>35</fb>
    <v>11</v>
  </rv>
  <rv s="6">
    <fb>54942402</fb>
    <v>12</v>
  </rv>
  <rv s="6">
    <fb>34.65</fb>
    <v>11</v>
  </rv>
  <rv s="6">
    <fb>36.89</fb>
    <v>11</v>
  </rv>
  <rv s="6">
    <fb>39.706600000000002</fb>
    <v>11</v>
  </rv>
  <rv s="6">
    <fb>33.450000000000003</fb>
    <v>11</v>
  </rv>
  <rv s="6">
    <fb>63629743</fb>
    <v>12</v>
  </rv>
  <rv s="6">
    <fb>38.75</fb>
    <v>11</v>
  </rv>
  <rv s="6">
    <fb>34.770000000000003</fb>
    <v>11</v>
  </rv>
  <rv s="6">
    <fb>39.14</fb>
    <v>11</v>
  </rv>
  <rv s="6">
    <fb>33.89</fb>
    <v>11</v>
  </rv>
  <rv s="6">
    <fb>59469746</fb>
    <v>12</v>
  </rv>
  <rv s="6">
    <fb>39.81</fb>
    <v>11</v>
  </rv>
  <rv s="6">
    <fb>38.69</fb>
    <v>11</v>
  </rv>
  <rv s="6">
    <fb>40.79</fb>
    <v>11</v>
  </rv>
  <rv s="6">
    <fb>38.26</fb>
    <v>11</v>
  </rv>
  <rv s="6">
    <fb>65444880</fb>
    <v>12</v>
  </rv>
  <rv s="6">
    <fb>35.28</fb>
    <v>11</v>
  </rv>
  <rv s="6">
    <fb>40.07</fb>
    <v>11</v>
  </rv>
  <rv s="6">
    <fb>40.590000000000003</fb>
    <v>11</v>
  </rv>
  <rv s="6">
    <fb>35.25</fb>
    <v>11</v>
  </rv>
  <rv s="6">
    <fb>43058380</fb>
    <v>12</v>
  </rv>
  <rv s="6">
    <fb>33.549999999999997</fb>
    <v>11</v>
  </rv>
  <rv s="6">
    <fb>34.4</fb>
    <v>11</v>
  </rv>
  <rv s="6">
    <fb>34.94</fb>
    <v>11</v>
  </rv>
  <rv s="6">
    <fb>32.305</fb>
    <v>11</v>
  </rv>
  <rv s="6">
    <fb>69508093</fb>
    <v>12</v>
  </rv>
  <rv s="6">
    <fb>35.229999999999997</fb>
    <v>11</v>
  </rv>
  <rv s="6">
    <fb>34.46</fb>
    <v>11</v>
  </rv>
  <rv s="6">
    <fb>35.26</fb>
    <v>11</v>
  </rv>
  <rv s="6">
    <fb>33.405000000000001</fb>
    <v>11</v>
  </rv>
  <rv s="6">
    <fb>39846344</fb>
    <v>12</v>
  </rv>
  <rv s="6">
    <fb>31.87</fb>
    <v>11</v>
  </rv>
  <rv s="6">
    <fb>35.44</fb>
    <v>11</v>
  </rv>
  <rv s="6">
    <fb>35.75</fb>
    <v>11</v>
  </rv>
  <rv s="6">
    <fb>31.48</fb>
    <v>11</v>
  </rv>
  <rv s="6">
    <fb>42092236</fb>
    <v>12</v>
  </rv>
  <rv s="6">
    <fb>32.11</fb>
    <v>11</v>
  </rv>
  <rv s="6">
    <fb>30.91</fb>
    <v>11</v>
  </rv>
  <rv s="6">
    <fb>32.424999999999997</fb>
    <v>11</v>
  </rv>
  <rv s="6">
    <fb>30.01</fb>
    <v>11</v>
  </rv>
  <rv s="6">
    <fb>35884065</fb>
    <v>12</v>
  </rv>
  <rv s="6">
    <fb>31.56</fb>
    <v>11</v>
  </rv>
  <rv s="6">
    <fb>31.94</fb>
    <v>11</v>
  </rv>
  <rv s="6">
    <fb>37521452</fb>
    <v>12</v>
  </rv>
  <rv s="6">
    <fb>32.47</fb>
    <v>11</v>
  </rv>
  <rv s="6">
    <fb>31.99</fb>
    <v>11</v>
  </rv>
  <rv s="6">
    <fb>33.57</fb>
    <v>11</v>
  </rv>
  <rv s="6">
    <fb>31.37</fb>
    <v>11</v>
  </rv>
  <rv s="6">
    <fb>36326940</fb>
    <v>12</v>
  </rv>
  <rv s="6">
    <fb>33.39</fb>
    <v>11</v>
  </rv>
  <rv s="6">
    <fb>32.64</fb>
    <v>11</v>
  </rv>
  <rv s="6">
    <fb>33.42</fb>
    <v>11</v>
  </rv>
  <rv s="6">
    <fb>31.85</fb>
    <v>11</v>
  </rv>
  <rv s="6">
    <fb>30554540</fb>
    <v>12</v>
  </rv>
  <rv s="6">
    <fb>33.58</fb>
    <v>11</v>
  </rv>
  <rv s="6">
    <fb>33.049999999999997</fb>
    <v>11</v>
  </rv>
  <rv s="6">
    <fb>33.99</fb>
    <v>11</v>
  </rv>
  <rv s="6">
    <fb>32.299999999999997</fb>
    <v>11</v>
  </rv>
  <rv s="6">
    <fb>32334527</fb>
    <v>12</v>
  </rv>
  <rv s="6">
    <fb>34.78</fb>
    <v>11</v>
  </rv>
  <rv s="6">
    <fb>34827467</fb>
    <v>12</v>
  </rv>
  <rv s="6">
    <fb>34.229999999999997</fb>
    <v>11</v>
  </rv>
  <rv s="6">
    <fb>35.32</fb>
    <v>11</v>
  </rv>
  <rv s="6">
    <fb>33.659999999999997</fb>
    <v>11</v>
  </rv>
  <rv s="6">
    <fb>33795133</fb>
    <v>12</v>
  </rv>
  <rv s="6">
    <fb>33.715000000000003</fb>
    <v>11</v>
  </rv>
  <rv s="6">
    <fb>34.520000000000003</fb>
    <v>11</v>
  </rv>
  <rv s="6">
    <fb>40278360</fb>
    <v>12</v>
  </rv>
  <rv s="6">
    <fb>27.64</fb>
    <v>11</v>
  </rv>
  <rv s="6">
    <fb>31.05</fb>
    <v>11</v>
  </rv>
  <rv s="6">
    <fb>31.984999999999999</fb>
    <v>11</v>
  </rv>
  <rv s="6">
    <fb>83442655</fb>
    <v>12</v>
  </rv>
  <rv s="6">
    <fb>28.26</fb>
    <v>11</v>
  </rv>
  <rv s="6">
    <fb>27.61</fb>
    <v>11</v>
  </rv>
  <rv s="6">
    <fb>28.36</fb>
    <v>11</v>
  </rv>
  <rv s="6">
    <fb>26.864999999999998</fb>
    <v>11</v>
  </rv>
  <rv s="6">
    <fb>44262078</fb>
    <v>12</v>
  </rv>
  <rv s="6">
    <fb>27.23</fb>
    <v>11</v>
  </rv>
  <rv s="6">
    <fb>26.52</fb>
    <v>11</v>
  </rv>
  <rv s="6">
    <fb>79907213</fb>
    <v>12</v>
  </rv>
  <rv s="6">
    <fb>25.35</fb>
    <v>11</v>
  </rv>
  <rv s="6">
    <fb>26.98</fb>
    <v>11</v>
  </rv>
  <rv s="6">
    <fb>27.315000000000001</fb>
    <v>11</v>
  </rv>
  <rv s="6">
    <fb>24.92</fb>
    <v>11</v>
  </rv>
  <rv s="6">
    <fb>45929551</fb>
    <v>12</v>
  </rv>
  <rv s="6">
    <fb>25.07</fb>
    <v>11</v>
  </rv>
  <rv s="6">
    <fb>25.69</fb>
    <v>11</v>
  </rv>
  <rv s="6">
    <fb>24.734999999999999</fb>
    <v>11</v>
  </rv>
  <rv s="6">
    <fb>39524230</fb>
    <v>12</v>
  </rv>
  <rv s="6">
    <fb>27.04</fb>
    <v>11</v>
  </rv>
  <rv s="6">
    <fb>43959240</fb>
    <v>12</v>
  </rv>
  <rv s="6">
    <fb>26.35</fb>
    <v>11</v>
  </rv>
  <rv s="6">
    <fb>24.074999999999999</fb>
    <v>11</v>
  </rv>
  <rv s="6">
    <fb>44234591</fb>
    <v>12</v>
  </rv>
  <rv s="6">
    <fb>25.87</fb>
    <v>11</v>
  </rv>
  <rv s="6">
    <fb>26.835000000000001</fb>
    <v>11</v>
  </rv>
  <rv s="6">
    <fb>25.204999999999998</fb>
    <v>11</v>
  </rv>
  <rv s="6">
    <fb>36123295</fb>
    <v>12</v>
  </rv>
  <rv s="6">
    <fb>28.05</fb>
    <v>11</v>
  </rv>
  <rv s="6">
    <fb>28.12</fb>
    <v>11</v>
  </rv>
  <rv s="6">
    <fb>34142688</fb>
    <v>12</v>
  </rv>
  <rv s="6">
    <fb>28.29</fb>
    <v>11</v>
  </rv>
  <rv s="6">
    <fb>27.79</fb>
    <v>11</v>
  </rv>
  <rv s="6">
    <fb>28.31</fb>
    <v>11</v>
  </rv>
  <rv s="6">
    <fb>26.2</fb>
    <v>11</v>
  </rv>
  <rv s="6">
    <fb>35227681</fb>
    <v>12</v>
  </rv>
  <rv s="6">
    <fb>30.55</fb>
    <v>11</v>
  </rv>
  <rv s="6">
    <fb>30.684999999999999</fb>
    <v>11</v>
  </rv>
  <rv s="6">
    <fb>27.72</fb>
    <v>11</v>
  </rv>
  <rv s="6">
    <fb>48406343</fb>
    <v>12</v>
  </rv>
  <rv s="6">
    <fb>29.48</fb>
    <v>11</v>
  </rv>
  <rv s="6">
    <fb>30.17</fb>
    <v>11</v>
  </rv>
  <rv s="6">
    <fb>31.085000000000001</fb>
    <v>11</v>
  </rv>
  <rv s="6">
    <fb>28.305</fb>
    <v>11</v>
  </rv>
  <rv s="6">
    <fb>45021712</fb>
    <v>12</v>
  </rv>
  <rv s="6">
    <fb>30.15</fb>
    <v>11</v>
  </rv>
  <rv s="6">
    <fb>29.16</fb>
    <v>11</v>
  </rv>
  <rv s="6">
    <fb>30.74</fb>
    <v>11</v>
  </rv>
  <rv s="6">
    <fb>49512590</fb>
    <v>12</v>
  </rv>
  <rv s="6">
    <fb>30.23</fb>
    <v>11</v>
  </rv>
  <rv s="6">
    <fb>28.72</fb>
    <v>11</v>
  </rv>
  <rv s="6">
    <fb>35733935</fb>
    <v>12</v>
  </rv>
  <rv s="6">
    <fb>29.41</fb>
    <v>11</v>
  </rv>
  <rv s="6">
    <fb>29.62</fb>
    <v>11</v>
  </rv>
  <rv s="6">
    <fb>27.625</fb>
    <v>11</v>
  </rv>
  <rv s="6">
    <fb>30863698</fb>
    <v>12</v>
  </rv>
  <rv s="6">
    <fb>26.72</fb>
    <v>11</v>
  </rv>
  <rv s="6">
    <fb>28.18</fb>
    <v>11</v>
  </rv>
  <rv s="6">
    <fb>29.73</fb>
    <v>11</v>
  </rv>
  <rv s="6">
    <fb>26.41</fb>
    <v>11</v>
  </rv>
  <rv s="6">
    <fb>50121007</fb>
    <v>12</v>
  </rv>
  <rv s="6">
    <fb>26.76</fb>
    <v>11</v>
  </rv>
  <rv s="6">
    <fb>26.085000000000001</fb>
    <v>11</v>
  </rv>
  <rv s="6">
    <fb>24948972</fb>
    <v>12</v>
  </rv>
  <rv s="6">
    <fb>26.77</fb>
    <v>11</v>
  </rv>
  <rv s="6">
    <fb>27.3</fb>
    <v>11</v>
  </rv>
  <rv s="6">
    <fb>19632144</fb>
    <v>12</v>
  </rv>
  <rv s="6">
    <fb>28.57</fb>
    <v>11</v>
  </rv>
  <rv s="6">
    <fb>26.574999999999999</fb>
    <v>11</v>
  </rv>
  <rv s="6">
    <fb>22571516</fb>
    <v>12</v>
  </rv>
  <rv s="6">
    <fb>28.63</fb>
    <v>11</v>
  </rv>
  <rv s="6">
    <fb>29.175000000000001</fb>
    <v>11</v>
  </rv>
  <rv s="6">
    <fb>27.62</fb>
    <v>11</v>
  </rv>
  <rv s="6">
    <fb>29619531</fb>
    <v>12</v>
  </rv>
  <rv s="6">
    <fb>27.86</fb>
    <v>11</v>
  </rv>
  <rv s="6">
    <fb>23946161</fb>
    <v>12</v>
  </rv>
  <rv s="6">
    <fb>27.9</fb>
    <v>11</v>
  </rv>
  <rv s="6">
    <fb>24898073</fb>
    <v>12</v>
  </rv>
  <rv s="6">
    <fb>30.51</fb>
    <v>11</v>
  </rv>
  <rv s="6">
    <fb>31.02</fb>
    <v>11</v>
  </rv>
  <rv s="6">
    <fb>28.6</fb>
    <v>11</v>
  </rv>
  <rv s="6">
    <fb>27111384</fb>
    <v>12</v>
  </rv>
  <rv s="6">
    <fb>29.97</fb>
    <v>11</v>
  </rv>
  <rv s="6">
    <fb>30.22</fb>
    <v>11</v>
  </rv>
  <rv s="6">
    <fb>30.32</fb>
    <v>11</v>
  </rv>
  <rv s="6">
    <fb>29.34</fb>
    <v>11</v>
  </rv>
  <rv s="6">
    <fb>22823156</fb>
    <v>12</v>
  </rv>
  <rv s="6">
    <fb>30.16</fb>
    <v>11</v>
  </rv>
  <rv s="6">
    <fb>30.57</fb>
    <v>11</v>
  </rv>
  <rv s="6">
    <fb>29.744700000000002</fb>
    <v>11</v>
  </rv>
  <rv s="6">
    <fb>23470997</fb>
    <v>12</v>
  </rv>
  <rv s="6">
    <fb>29.22</fb>
    <v>11</v>
  </rv>
  <rv s="6">
    <fb>29.63</fb>
    <v>11</v>
  </rv>
  <rv s="6">
    <fb>23197100</fb>
    <v>12</v>
  </rv>
  <rv s="6">
    <fb>28.61</fb>
    <v>11</v>
  </rv>
  <rv s="6">
    <fb>29.57</fb>
    <v>11</v>
  </rv>
  <rv s="6">
    <fb>28.15</fb>
    <v>11</v>
  </rv>
  <rv s="6">
    <fb>47267734</fb>
    <v>12</v>
  </rv>
  <rv s="6">
    <fb>27.45</fb>
    <v>11</v>
  </rv>
  <rv s="6">
    <fb>29.085000000000001</fb>
    <v>11</v>
  </rv>
  <rv s="6">
    <fb>27.05</fb>
    <v>11</v>
  </rv>
  <rv s="6">
    <fb>34643790</fb>
    <v>12</v>
  </rv>
  <rv s="6">
    <fb>28.04</fb>
    <v>11</v>
  </rv>
  <rv s="6">
    <fb>27.11</fb>
    <v>11</v>
  </rv>
  <rv s="6">
    <fb>28.424900000000001</fb>
    <v>11</v>
  </rv>
  <rv s="6">
    <fb>26.93</fb>
    <v>11</v>
  </rv>
  <rv s="6">
    <fb>54658889</fb>
    <v>12</v>
  </rv>
  <rv s="6">
    <fb>28.79</fb>
    <v>11</v>
  </rv>
  <rv s="6">
    <fb>27.24</fb>
    <v>11</v>
  </rv>
  <rv s="6">
    <fb>30580312</fb>
    <v>12</v>
  </rv>
  <rv s="6">
    <fb>29.35</fb>
    <v>11</v>
  </rv>
  <rv s="6">
    <fb>29.39</fb>
    <v>11</v>
  </rv>
  <rv s="6">
    <fb>27.42</fb>
    <v>11</v>
  </rv>
  <rv s="6">
    <fb>25665614</fb>
    <v>12</v>
  </rv>
  <rv s="6">
    <fb>29.29</fb>
    <v>11</v>
  </rv>
  <rv s="6">
    <fb>29.18</fb>
    <v>11</v>
  </rv>
  <rv s="6">
    <fb>21151929</fb>
    <v>12</v>
  </rv>
  <rv s="6">
    <fb>29.82</fb>
    <v>11</v>
  </rv>
  <rv s="6">
    <fb>29.17</fb>
    <v>11</v>
  </rv>
  <rv s="6">
    <fb>29.12</fb>
    <v>11</v>
  </rv>
  <rv s="6">
    <fb>28087577</fb>
    <v>12</v>
  </rv>
  <rv s="6">
    <fb>31.47</fb>
    <v>11</v>
  </rv>
  <rv s="6">
    <fb>32743195</fb>
    <v>12</v>
  </rv>
  <rv s="6">
    <fb>29.44</fb>
    <v>11</v>
  </rv>
  <rv s="6">
    <fb>30.07</fb>
    <v>11</v>
  </rv>
  <rv s="6">
    <fb>28490773</fb>
    <v>12</v>
  </rv>
  <rv s="6">
    <fb>30.13</fb>
    <v>11</v>
  </rv>
  <rv s="6">
    <fb>30.48</fb>
    <v>11</v>
  </rv>
  <rv s="6">
    <fb>29.27</fb>
    <v>11</v>
  </rv>
  <rv s="6">
    <fb>26706426</fb>
    <v>12</v>
  </rv>
  <rv s="6">
    <fb>30.680099999999999</fb>
    <v>11</v>
  </rv>
  <rv s="6">
    <fb>28.53</fb>
    <v>11</v>
  </rv>
  <rv s="6">
    <fb>28845487</fb>
    <v>12</v>
  </rv>
  <rv s="6">
    <fb>30.54</fb>
    <v>11</v>
  </rv>
  <rv s="6">
    <fb>28.8</fb>
    <v>11</v>
  </rv>
  <rv s="6">
    <fb>27947420</fb>
    <v>12</v>
  </rv>
  <rv s="6">
    <fb>31.3</fb>
    <v>11</v>
  </rv>
  <rv s="6">
    <fb>30.49</fb>
    <v>11</v>
  </rv>
  <rv s="6">
    <fb>31.4</fb>
    <v>11</v>
  </rv>
  <rv s="6">
    <fb>29.83</fb>
    <v>11</v>
  </rv>
  <rv s="6">
    <fb>32891334</fb>
    <v>12</v>
  </rv>
  <rv s="6">
    <fb>31.62</fb>
    <v>11</v>
  </rv>
  <rv s="6">
    <fb>31.71</fb>
    <v>11</v>
  </rv>
  <rv s="6">
    <fb>67211097</fb>
    <v>12</v>
  </rv>
  <rv s="6">
    <fb>29.8</fb>
    <v>11</v>
  </rv>
  <rv s="6">
    <fb>30.46</fb>
    <v>11</v>
  </rv>
  <rv s="6">
    <fb>30.52</fb>
    <v>11</v>
  </rv>
  <rv s="6">
    <fb>29.06</fb>
    <v>11</v>
  </rv>
  <rv s="6">
    <fb>35900842</fb>
    <v>12</v>
  </rv>
  <rv s="6">
    <fb>31</fb>
    <v>11</v>
  </rv>
  <rv s="6">
    <fb>29.95</fb>
    <v>11</v>
  </rv>
  <rv s="6">
    <fb>31.38</fb>
    <v>11</v>
  </rv>
  <rv s="6">
    <fb>29.89</fb>
    <v>11</v>
  </rv>
  <rv s="6">
    <fb>57444537</fb>
    <v>12</v>
  </rv>
  <rv s="6">
    <fb>30.875</fb>
    <v>11</v>
  </rv>
  <rv s="6">
    <fb>44229290</fb>
    <v>12</v>
  </rv>
  <rv s="6">
    <fb>30.71</fb>
    <v>11</v>
  </rv>
  <rv s="6">
    <fb>29.78</fb>
    <v>11</v>
  </rv>
  <rv s="6">
    <fb>30.78</fb>
    <v>11</v>
  </rv>
  <rv s="6">
    <fb>32616518</fb>
    <v>12</v>
  </rv>
  <rv s="6">
    <fb>31.13</fb>
    <v>11</v>
  </rv>
  <rv s="6">
    <fb>31.41</fb>
    <v>11</v>
  </rv>
  <rv s="6">
    <fb>23213078</fb>
    <v>12</v>
  </rv>
  <rv s="6">
    <fb>32.79</fb>
    <v>11</v>
  </rv>
  <rv s="6">
    <fb>33.9</fb>
    <v>11</v>
  </rv>
  <rv s="6">
    <fb>31.03</fb>
    <v>11</v>
  </rv>
  <rv s="6">
    <fb>35966751</fb>
    <v>12</v>
  </rv>
  <rv s="6">
    <fb>32.24</fb>
    <v>11</v>
  </rv>
  <rv s="6">
    <fb>32.67</fb>
    <v>11</v>
  </rv>
  <rv s="6">
    <fb>33.25</fb>
    <v>11</v>
  </rv>
  <rv s="6">
    <fb>32.229999999999997</fb>
    <v>11</v>
  </rv>
  <rv s="6">
    <fb>22175050</fb>
    <v>12</v>
  </rv>
  <rv s="6">
    <fb>32.630000000000003</fb>
    <v>11</v>
  </rv>
  <rv s="6">
    <fb>32.369999999999997</fb>
    <v>11</v>
  </rv>
  <rv s="6">
    <fb>33.5</fb>
    <v>11</v>
  </rv>
  <rv s="6">
    <fb>32.244999999999997</fb>
    <v>11</v>
  </rv>
  <rv s="6">
    <fb>20713055</fb>
    <v>12</v>
  </rv>
  <rv s="6">
    <fb>32.43</fb>
    <v>11</v>
  </rv>
  <rv s="6">
    <fb>32.15</fb>
    <v>11</v>
  </rv>
  <rv s="6">
    <fb>20695450</fb>
    <v>12</v>
  </rv>
  <rv s="6">
    <fb>32.770000000000003</fb>
    <v>11</v>
  </rv>
  <rv s="6">
    <fb>32.65</fb>
    <v>11</v>
  </rv>
  <rv s="6">
    <fb>33.244999999999997</fb>
    <v>11</v>
  </rv>
  <rv s="6">
    <fb>32.414999999999999</fb>
    <v>11</v>
  </rv>
  <rv s="6">
    <fb>22901714</fb>
    <v>12</v>
  </rv>
  <rv s="6">
    <fb>31.06</fb>
    <v>11</v>
  </rv>
  <rv s="6">
    <fb>32.75</fb>
    <v>11</v>
  </rv>
  <rv s="6">
    <fb>30.67</fb>
    <v>11</v>
  </rv>
  <rv s="6">
    <fb>30291067</fb>
    <v>12</v>
  </rv>
  <rv s="6">
    <fb>31.07</fb>
    <v>11</v>
  </rv>
  <rv s="6">
    <fb>31.53</fb>
    <v>11</v>
  </rv>
  <rv s="6">
    <fb>30.355</fb>
    <v>11</v>
  </rv>
  <rv s="6">
    <fb>23547384</fb>
    <v>12</v>
  </rv>
  <rv s="6">
    <fb>30.37</fb>
    <v>11</v>
  </rv>
  <rv s="6">
    <fb>30.94</fb>
    <v>11</v>
  </rv>
  <rv s="6">
    <fb>31.86</fb>
    <v>11</v>
  </rv>
  <rv s="6">
    <fb>56061906</fb>
    <v>12</v>
  </rv>
  <rv s="6">
    <fb>29.45</fb>
    <v>11</v>
  </rv>
  <rv s="6">
    <fb>30.38</fb>
    <v>11</v>
  </rv>
  <rv s="6">
    <fb>29.25</fb>
    <v>11</v>
  </rv>
  <rv s="6">
    <fb>30411835</fb>
    <v>12</v>
  </rv>
  <rv s="6">
    <fb>29.7</fb>
    <v>11</v>
  </rv>
  <rv s="6">
    <fb>29.91</fb>
    <v>11</v>
  </rv>
  <rv s="6">
    <fb>26.8001</fb>
    <v>11</v>
  </rv>
  <rv s="6">
    <fb>59633225</fb>
    <v>12</v>
  </rv>
  <rv s="6">
    <fb>27.26</fb>
    <v>11</v>
  </rv>
  <rv s="6">
    <fb>27.74</fb>
    <v>11</v>
  </rv>
  <rv s="6">
    <fb>26.745000000000001</fb>
    <v>11</v>
  </rv>
  <rv s="6">
    <fb>40961275</fb>
    <v>12</v>
  </rv>
  <rv s="6">
    <fb>25.7</fb>
    <v>11</v>
  </rv>
  <rv s="6">
    <fb>26.18</fb>
    <v>11</v>
  </rv>
  <rv s="6">
    <fb>26.92</fb>
    <v>11</v>
  </rv>
  <rv s="6">
    <fb>45980430</fb>
    <v>12</v>
  </rv>
  <rv s="6">
    <fb>25.9</fb>
    <v>11</v>
  </rv>
  <rv s="6">
    <fb>25.64</fb>
    <v>11</v>
  </rv>
  <rv s="6">
    <fb>26.61</fb>
    <v>11</v>
  </rv>
  <rv s="6">
    <fb>25.56</fb>
    <v>11</v>
  </rv>
  <rv s="6">
    <fb>51966239</fb>
    <v>12</v>
  </rv>
  <rv s="6">
    <fb>25.86</fb>
    <v>11</v>
  </rv>
  <rv s="6">
    <fb>25.59</fb>
    <v>11</v>
  </rv>
  <rv s="6">
    <fb>41785074</fb>
    <v>12</v>
  </rv>
  <rv s="6">
    <fb>26.01</fb>
    <v>11</v>
  </rv>
  <rv s="6">
    <fb>26.7</fb>
    <v>11</v>
  </rv>
  <rv s="6">
    <fb>35948481</fb>
    <v>12</v>
  </rv>
  <rv s="6">
    <fb>25.84</fb>
    <v>11</v>
  </rv>
  <rv s="6">
    <fb>25.67</fb>
    <v>11</v>
  </rv>
  <rv s="6">
    <fb>29929429</fb>
    <v>12</v>
  </rv>
  <rv s="6">
    <fb>27.535</fb>
    <v>11</v>
  </rv>
  <rv s="6">
    <fb>29762774</fb>
    <v>12</v>
  </rv>
  <rv s="6">
    <fb>27.01</fb>
    <v>11</v>
  </rv>
  <rv s="6">
    <fb>35093754</fb>
    <v>12</v>
  </rv>
  <rv s="6">
    <fb>28.855</fb>
    <v>11</v>
  </rv>
  <rv s="6">
    <fb>40904514</fb>
    <v>12</v>
  </rv>
  <rv s="6">
    <fb>28.08</fb>
    <v>11</v>
  </rv>
  <rv s="6">
    <fb>29.292200000000001</fb>
    <v>11</v>
  </rv>
  <rv s="6">
    <fb>27.66</fb>
    <v>11</v>
  </rv>
  <rv s="6">
    <fb>41929586</fb>
    <v>12</v>
  </rv>
  <rv s="6">
    <fb>28.41</fb>
    <v>11</v>
  </rv>
  <rv s="6">
    <fb>29.58</fb>
    <v>11</v>
  </rv>
  <rv s="6">
    <fb>28.254999999999999</fb>
    <v>11</v>
  </rv>
  <rv s="6">
    <fb>43217099</fb>
    <v>12</v>
  </rv>
  <rv s="6">
    <fb>29.24</fb>
    <v>11</v>
  </rv>
  <rv s="6">
    <fb>46627242</fb>
    <v>12</v>
  </rv>
  <rv s="6">
    <fb>31.17</fb>
    <v>11</v>
  </rv>
  <rv s="6">
    <fb>74573468</fb>
    <v>12</v>
  </rv>
  <rv s="6">
    <fb>30.18</fb>
    <v>11</v>
  </rv>
  <rv s="6">
    <fb>30.68</fb>
    <v>11</v>
  </rv>
  <rv s="6">
    <fb>29.79</fb>
    <v>11</v>
  </rv>
  <rv s="6">
    <fb>43009981</fb>
    <v>12</v>
  </rv>
  <rv s="6">
    <fb>30.09</fb>
    <v>11</v>
  </rv>
  <rv s="6">
    <fb>30.14</fb>
    <v>11</v>
  </rv>
  <rv s="6">
    <fb>20888319</fb>
    <v>12</v>
  </rv>
  <rv s="6">
    <fb>31453593</fb>
    <v>12</v>
  </rv>
  <rv s="6">
    <fb>29.81</fb>
    <v>11</v>
  </rv>
  <rv s="6">
    <fb>31.09</fb>
    <v>11</v>
  </rv>
  <rv s="6">
    <fb>44288243</fb>
    <v>12</v>
  </rv>
  <rv s="6">
    <fb>28.4</fb>
    <v>11</v>
  </rv>
  <rv s="6">
    <fb>32829687</fb>
    <v>12</v>
  </rv>
  <rv s="6">
    <fb>29.114999999999998</fb>
    <v>11</v>
  </rv>
  <rv s="6">
    <fb>41070437</fb>
    <v>12</v>
  </rv>
  <rv s="6">
    <fb>28.38</fb>
    <v>11</v>
  </rv>
  <rv s="6">
    <fb>44211340</fb>
    <v>12</v>
  </rv>
  <rv s="6">
    <fb>28.42</fb>
    <v>11</v>
  </rv>
  <rv s="6">
    <fb>28.59</fb>
    <v>11</v>
  </rv>
  <rv s="6">
    <fb>35303052</fb>
    <v>12</v>
  </rv>
  <rv s="6">
    <fb>28.58</fb>
    <v>11</v>
  </rv>
  <rv s="6">
    <fb>29.094999999999999</fb>
    <v>11</v>
  </rv>
  <rv s="6">
    <fb>30703112</fb>
    <v>12</v>
  </rv>
  <rv s="6">
    <fb>29.33</fb>
    <v>11</v>
  </rv>
  <rv s="6">
    <fb>25081846</fb>
    <v>12</v>
  </rv>
  <rv s="6">
    <fb>29.31</fb>
    <v>11</v>
  </rv>
  <rv s="6">
    <fb>27.658200000000001</fb>
    <v>11</v>
  </rv>
  <rv s="6">
    <fb>63022223</fb>
    <v>12</v>
  </rv>
  <rv s="6">
    <fb>60227049</fb>
    <v>12</v>
  </rv>
  <rv s="6">
    <fb>30.9559</fb>
    <v>11</v>
  </rv>
  <rv s="6">
    <fb>30.19</fb>
    <v>11</v>
  </rv>
  <rv s="6">
    <fb>53449336</fb>
    <v>12</v>
  </rv>
  <rv s="6">
    <fb>30.05</fb>
    <v>11</v>
  </rv>
  <rv s="6">
    <fb>30.39</fb>
    <v>11</v>
  </rv>
  <rv s="6">
    <fb>32126425</fb>
    <v>12</v>
  </rv>
  <rv s="6">
    <fb>30.364999999999998</fb>
    <v>11</v>
  </rv>
  <rv s="6">
    <fb>29.725000000000001</fb>
    <v>11</v>
  </rv>
  <rv s="6">
    <fb>25467066</fb>
    <v>12</v>
  </rv>
  <rv s="6">
    <fb>29.11</fb>
    <v>11</v>
  </rv>
  <rv s="6">
    <fb>30.56</fb>
    <v>11</v>
  </rv>
  <rv s="6">
    <fb>30365131</fb>
    <v>12</v>
  </rv>
  <rv s="6">
    <fb>31614815</fb>
    <v>12</v>
  </rv>
  <rv s="6">
    <fb>27.81</fb>
    <v>11</v>
  </rv>
  <rv s="6">
    <fb>28.77</fb>
    <v>11</v>
  </rv>
  <rv s="6">
    <fb>27.510100000000001</fb>
    <v>11</v>
  </rv>
  <rv s="6">
    <fb>28750395</fb>
    <v>12</v>
  </rv>
  <rv s="6">
    <fb>27.425000000000001</fb>
    <v>11</v>
  </rv>
  <rv s="6">
    <fb>36153456</fb>
    <v>12</v>
  </rv>
  <rv s="6">
    <fb>28.5</fb>
    <v>11</v>
  </rv>
  <rv s="6">
    <fb>28979369</fb>
    <v>12</v>
  </rv>
  <rv s="6">
    <fb>28.33</fb>
    <v>11</v>
  </rv>
  <rv s="6">
    <fb>29.88</fb>
    <v>11</v>
  </rv>
  <rv s="6">
    <fb>28509335</fb>
    <v>12</v>
  </rv>
  <rv s="6">
    <fb>31.19</fb>
    <v>11</v>
  </rv>
  <rv s="6">
    <fb>29.84</fb>
    <v>11</v>
  </rv>
  <rv s="6">
    <fb>31.395</fb>
    <v>11</v>
  </rv>
  <rv s="6">
    <fb>30422716</fb>
    <v>12</v>
  </rv>
  <rv s="6">
    <fb>33.380000000000003</fb>
    <v>11</v>
  </rv>
  <rv s="6">
    <fb>31.26</fb>
    <v>11</v>
  </rv>
  <rv s="6">
    <fb>34836660</fb>
    <v>12</v>
  </rv>
  <rv s="6">
    <fb>36.5</fb>
    <v>11</v>
  </rv>
  <rv s="6">
    <fb>32.409999999999997</fb>
    <v>11</v>
  </rv>
  <rv s="6">
    <fb>88720126</fb>
    <v>12</v>
  </rv>
  <rv s="6">
    <fb>36.450000000000003</fb>
    <v>11</v>
  </rv>
  <rv s="6">
    <fb>34.840000000000003</fb>
    <v>11</v>
  </rv>
  <rv s="6">
    <fb>48206378</fb>
    <v>12</v>
  </rv>
  <rv s="6">
    <fb>35.51</fb>
    <v>11</v>
  </rv>
  <rv s="6">
    <fb>36.975000000000001</fb>
    <v>11</v>
  </rv>
  <rv s="6">
    <fb>35.435000000000002</fb>
    <v>11</v>
  </rv>
  <rv s="6">
    <fb>39307778</fb>
    <v>12</v>
  </rv>
  <rv s="6">
    <fb>36.369999999999997</fb>
    <v>11</v>
  </rv>
  <rv s="6">
    <fb>35.61</fb>
    <v>11</v>
  </rv>
  <rv s="6">
    <fb>37.18</fb>
    <v>11</v>
  </rv>
  <rv s="6">
    <fb>35.22</fb>
    <v>11</v>
  </rv>
  <rv s="6">
    <fb>43554758</fb>
    <v>12</v>
  </rv>
  <rv s="6">
    <fb>35.020000000000003</fb>
    <v>11</v>
  </rv>
  <rv s="6">
    <fb>34.645000000000003</fb>
    <v>11</v>
  </rv>
  <rv s="6">
    <fb>41417209</fb>
    <v>12</v>
  </rv>
  <rv s="6">
    <fb>34.630000000000003</fb>
    <v>11</v>
  </rv>
  <rv s="6">
    <fb>35.200000000000003</fb>
    <v>11</v>
  </rv>
  <rv s="6">
    <fb>34.39</fb>
    <v>11</v>
  </rv>
  <rv s="6">
    <fb>19138140</fb>
    <v>12</v>
  </rv>
  <rv s="6">
    <fb>36.729999999999997</fb>
    <v>11</v>
  </rv>
  <rv s="6">
    <fb>34.85</fb>
    <v>11</v>
  </rv>
  <rv s="6">
    <fb>36.909999999999997</fb>
    <v>11</v>
  </rv>
  <rv s="6">
    <fb>34.799999999999997</fb>
    <v>11</v>
  </rv>
  <rv s="6">
    <fb>30332392</fb>
    <v>12</v>
  </rv>
  <rv s="6">
    <fb>37.15</fb>
    <v>11</v>
  </rv>
  <rv s="6">
    <fb>36.409999999999997</fb>
    <v>11</v>
  </rv>
  <rv s="6">
    <fb>33867700</fb>
    <v>12</v>
  </rv>
  <rv s="6">
    <fb>36.340000000000003</fb>
    <v>11</v>
  </rv>
  <rv s="6">
    <fb>37.619999999999997</fb>
    <v>11</v>
  </rv>
  <rv s="6">
    <fb>38.14</fb>
    <v>11</v>
  </rv>
  <rv s="6">
    <fb>36.195</fb>
    <v>11</v>
  </rv>
  <rv s="6">
    <fb>31192574</fb>
    <v>12</v>
  </rv>
  <rv s="6">
    <fb>33.72</fb>
    <v>11</v>
  </rv>
  <rv s="6">
    <fb>36.4</fb>
    <v>11</v>
  </rv>
  <rv s="6">
    <fb>36.424999999999997</fb>
    <v>11</v>
  </rv>
  <rv s="6">
    <fb>33.555</fb>
    <v>11</v>
  </rv>
  <rv s="6">
    <fb>31820622</fb>
    <v>12</v>
  </rv>
  <rv s="6">
    <fb>33.54</fb>
    <v>11</v>
  </rv>
  <rv s="6">
    <fb>32.58</fb>
    <v>11</v>
  </rv>
  <rv s="6">
    <fb>31.951000000000001</fb>
    <v>11</v>
  </rv>
  <rv s="6">
    <fb>33611922</fb>
    <v>12</v>
  </rv>
  <rv s="6">
    <fb>35.909999999999997</fb>
    <v>11</v>
  </rv>
  <rv s="6">
    <fb>36.03</fb>
    <v>11</v>
  </rv>
  <rv s="6">
    <fb>27673375</fb>
    <v>12</v>
  </rv>
  <rv s="6">
    <fb>35.659999999999997</fb>
    <v>11</v>
  </rv>
  <rv s="6">
    <fb>34.619999999999997</fb>
    <v>11</v>
  </rv>
  <rv s="6">
    <fb>36.17</fb>
    <v>11</v>
  </rv>
  <rv s="6">
    <fb>34.28</fb>
    <v>11</v>
  </rv>
  <rv s="6">
    <fb>32459816</fb>
    <v>12</v>
  </rv>
  <rv s="6">
    <fb>36.18</fb>
    <v>11</v>
  </rv>
  <rv s="6">
    <fb>35.85</fb>
    <v>11</v>
  </rv>
  <rv s="6">
    <fb>36.869900000000001</fb>
    <v>11</v>
  </rv>
  <rv s="6">
    <fb>54772238</fb>
    <v>12</v>
  </rv>
  <rv s="6">
    <fb>35.99</fb>
    <v>11</v>
  </rv>
  <rv s="6">
    <fb>33.765000000000001</fb>
    <v>11</v>
  </rv>
  <rv s="6">
    <fb>30524080</fb>
    <v>12</v>
  </rv>
  <rv s="6">
    <fb>33.32</fb>
    <v>11</v>
  </rv>
  <rv s="6">
    <fb>32.685000000000002</fb>
    <v>11</v>
  </rv>
  <rv s="6">
    <fb>37286433</fb>
    <v>12</v>
  </rv>
  <rv s="6">
    <fb>34.76</fb>
    <v>11</v>
  </rv>
  <rv s="6">
    <fb>33.19</fb>
    <v>11</v>
  </rv>
  <rv s="6">
    <fb>35.216000000000001</fb>
    <v>11</v>
  </rv>
  <rv s="6">
    <fb>33.14</fb>
    <v>11</v>
  </rv>
  <rv s="6">
    <fb>69590769</fb>
    <v>12</v>
  </rv>
  <rv s="6">
    <fb>35.409999999999997</fb>
    <v>11</v>
  </rv>
  <rv s="6">
    <fb>36.93</fb>
    <v>11</v>
  </rv>
  <rv s="6">
    <fb>37390753</fb>
    <v>12</v>
  </rv>
  <rv s="6">
    <fb>36.11</fb>
    <v>11</v>
  </rv>
  <rv s="6">
    <fb>34.15</fb>
    <v>11</v>
  </rv>
  <rv s="6">
    <fb>39813560</fb>
    <v>12</v>
  </rv>
  <rv s="6">
    <fb>37.01</fb>
    <v>11</v>
  </rv>
  <rv s="6">
    <fb>37.479999999999997</fb>
    <v>11</v>
  </rv>
  <rv s="6">
    <fb>35.21</fb>
    <v>11</v>
  </rv>
  <rv s="6">
    <fb>28941363</fb>
    <v>12</v>
  </rv>
  <rv s="6">
    <fb>37.28</fb>
    <v>11</v>
  </rv>
  <rv s="6">
    <fb>37</fb>
    <v>11</v>
  </rv>
  <rv s="6">
    <fb>37.97</fb>
    <v>11</v>
  </rv>
  <rv s="6">
    <fb>36.844999999999999</fb>
    <v>11</v>
  </rv>
  <rv s="6">
    <fb>26802411</fb>
    <v>12</v>
  </rv>
  <rv s="6">
    <fb>36.880000000000003</fb>
    <v>11</v>
  </rv>
  <rv s="6">
    <fb>37.340000000000003</fb>
    <v>11</v>
  </rv>
  <rv s="6">
    <fb>37.545000000000002</fb>
    <v>11</v>
  </rv>
  <rv s="6">
    <fb>35.564999999999998</fb>
    <v>11</v>
  </rv>
  <rv s="6">
    <fb>26128024</fb>
    <v>12</v>
  </rv>
  <rv s="6">
    <fb>36.28</fb>
    <v>11</v>
  </rv>
  <rv s="6">
    <fb>37.634999999999998</fb>
    <v>11</v>
  </rv>
  <rv s="6">
    <fb>35.39</fb>
    <v>11</v>
  </rv>
  <rv s="6">
    <fb>28893113</fb>
    <v>12</v>
  </rv>
  <rv s="6">
    <fb>36.82</fb>
    <v>11</v>
  </rv>
  <rv s="6">
    <fb>36.270000000000003</fb>
    <v>11</v>
  </rv>
  <rv s="6">
    <fb>35.799999999999997</fb>
    <v>11</v>
  </rv>
  <rv s="6">
    <fb>34559134</fb>
    <v>12</v>
  </rv>
  <rv s="6">
    <fb>36.99</fb>
    <v>11</v>
  </rv>
  <rv s="6">
    <fb>38.669899999999998</fb>
    <v>11</v>
  </rv>
  <rv s="6">
    <fb>36.33</fb>
    <v>11</v>
  </rv>
  <rv s="6">
    <fb>36365605</fb>
    <v>12</v>
  </rv>
  <rv s="6">
    <fb>38.130000000000003</fb>
    <v>11</v>
  </rv>
  <rv s="6">
    <fb>36.92</fb>
    <v>11</v>
  </rv>
  <rv s="6">
    <fb>30149915</fb>
    <v>12</v>
  </rv>
  <rv s="6">
    <fb>35.43</fb>
    <v>11</v>
  </rv>
  <rv s="6">
    <fb>39.795000000000002</fb>
    <v>11</v>
  </rv>
  <rv s="6">
    <fb>33.534999999999997</fb>
    <v>11</v>
  </rv>
  <rv s="6">
    <fb>61997402</fb>
    <v>12</v>
  </rv>
  <rv s="6">
    <fb>42203524</fb>
    <v>12</v>
  </rv>
  <rv s="6">
    <fb>34.549999999999997</fb>
    <v>11</v>
  </rv>
  <rv s="6">
    <fb>36.81</fb>
    <v>11</v>
  </rv>
  <rv s="6">
    <fb>34.26</fb>
    <v>11</v>
  </rv>
  <rv s="6">
    <fb>32752880</fb>
    <v>12</v>
  </rv>
  <rv s="6">
    <fb>32.94</fb>
    <v>11</v>
  </rv>
  <rv s="6">
    <fb>52234919</fb>
    <v>12</v>
  </rv>
  <rv s="6">
    <fb>33.28</fb>
    <v>11</v>
  </rv>
  <rv s="6">
    <fb>32.840000000000003</fb>
    <v>11</v>
  </rv>
  <rv s="6">
    <fb>33.65</fb>
    <v>11</v>
  </rv>
  <rv s="6">
    <fb>14856335</fb>
    <v>12</v>
  </rv>
  <rv s="6">
    <fb>32.204999999999998</fb>
    <v>11</v>
  </rv>
  <rv s="6">
    <fb>18482034</fb>
    <v>12</v>
  </rv>
  <rv s="6">
    <fb>24215776</fb>
    <v>12</v>
  </rv>
  <rv s="6">
    <fb>32.51</fb>
    <v>11</v>
  </rv>
  <rv s="6">
    <fb>33.090000000000003</fb>
    <v>11</v>
  </rv>
  <rv s="6">
    <fb>33.545000000000002</fb>
    <v>11</v>
  </rv>
  <rv s="6">
    <fb>36237410</fb>
    <v>12</v>
  </rv>
  <rv s="6">
    <fb>32.729999999999997</fb>
    <v>11</v>
  </rv>
  <rv s="6">
    <fb>32.42</fb>
    <v>11</v>
  </rv>
  <rv s="6">
    <fb>32.22</fb>
    <v>11</v>
  </rv>
  <rv s="6">
    <fb>21615175</fb>
    <v>12</v>
  </rv>
  <rv s="6">
    <fb>32.5</fb>
    <v>11</v>
  </rv>
  <rv s="6">
    <fb>32.53</fb>
    <v>11</v>
  </rv>
  <rv s="6">
    <fb>33.36</fb>
    <v>11</v>
  </rv>
  <rv s="6">
    <fb>32.29</fb>
    <v>11</v>
  </rv>
  <rv s="6">
    <fb>29963405</fb>
    <v>12</v>
  </rv>
  <rv s="6">
    <fb>32.97</fb>
    <v>11</v>
  </rv>
  <rv s="6">
    <fb>29354400</fb>
    <v>12</v>
  </rv>
  <rv s="6">
    <fb>33.64</fb>
    <v>11</v>
  </rv>
  <rv s="6">
    <fb>32.590000000000003</fb>
    <v>11</v>
  </rv>
  <rv s="6">
    <fb>33.81</fb>
    <v>11</v>
  </rv>
  <rv s="6">
    <fb>32.380000000000003</fb>
    <v>11</v>
  </rv>
  <rv s="6">
    <fb>23697986</fb>
    <v>12</v>
  </rv>
  <rv s="6">
    <fb>33.869999999999997</fb>
    <v>11</v>
  </rv>
  <rv s="6">
    <fb>34.950000000000003</fb>
    <v>11</v>
  </rv>
  <rv s="6">
    <fb>33.604999999999997</fb>
    <v>11</v>
  </rv>
  <rv s="6">
    <fb>23196679</fb>
    <v>12</v>
  </rv>
  <rv s="6">
    <fb>30.87</fb>
    <v>11</v>
  </rv>
  <rv s="6">
    <fb>35.274999999999999</fb>
    <v>11</v>
  </rv>
  <rv s="6">
    <fb>53832547</fb>
    <v>12</v>
  </rv>
  <rv s="6">
    <fb>31.43</fb>
    <v>11</v>
  </rv>
  <rv s="6">
    <fb>47974589</fb>
    <v>12</v>
  </rv>
  <rv s="6">
    <fb>30.31</fb>
    <v>11</v>
  </rv>
  <rv s="6">
    <fb>30.5</fb>
    <v>11</v>
  </rv>
  <rv s="6">
    <fb>27.67</fb>
    <v>11</v>
  </rv>
  <rv s="6">
    <fb>41076609</fb>
    <v>12</v>
  </rv>
  <rv s="6">
    <fb>28.395</fb>
    <v>11</v>
  </rv>
  <rv s="6">
    <fb>27.95</fb>
    <v>11</v>
  </rv>
  <rv s="6">
    <fb>48736178</fb>
    <v>12</v>
  </rv>
  <rv s="6">
    <fb>29788602</fb>
    <v>12</v>
  </rv>
  <rv s="6">
    <fb>22.61</fb>
    <v>11</v>
  </rv>
  <rv s="6">
    <fb>28.065000000000001</fb>
    <v>11</v>
  </rv>
  <rv s="6">
    <fb>21.96</fb>
    <v>11</v>
  </rv>
  <rv s="6">
    <fb>67446123</fb>
    <v>12</v>
  </rv>
  <rv s="6">
    <fb>21.82</fb>
    <v>11</v>
  </rv>
  <rv s="6">
    <fb>21.21</fb>
    <v>11</v>
  </rv>
  <rv s="6">
    <fb>81086808</fb>
    <v>12</v>
  </rv>
  <rv s="6">
    <fb>25.109200000000001</fb>
    <v>11</v>
  </rv>
  <rv s="6">
    <fb>23.071100000000001</fb>
    <v>11</v>
  </rv>
  <rv s="6">
    <fb>33867500</fb>
    <v>12</v>
  </rv>
  <rv s="6">
    <fb>25.58</fb>
    <v>11</v>
  </rv>
  <rv s="6">
    <fb>23.105</fb>
    <v>11</v>
  </rv>
  <rv s="6">
    <fb>34082476</fb>
    <v>12</v>
  </rv>
  <rv s="6">
    <fb>25.95</fb>
    <v>11</v>
  </rv>
  <rv s="6">
    <fb>26.074999999999999</fb>
    <v>11</v>
  </rv>
  <rv s="6">
    <fb>28974716</fb>
    <v>12</v>
  </rv>
  <rv s="6">
    <fb>0.56879999999999997</fb>
    <v>11</v>
  </rv>
  <rv s="6">
    <fb>0.55249999999999999</fb>
    <v>11</v>
  </rv>
  <rv s="6">
    <fb>0.57050000000000001</fb>
    <v>11</v>
  </rv>
  <rv s="6">
    <fb>0.54779999999999995</fb>
    <v>11</v>
  </rv>
  <rv s="6">
    <fb>1153905960</fb>
    <v>12</v>
  </rv>
  <rv s="6">
    <fb>0.52059999999999995</fb>
    <v>11</v>
  </rv>
  <rv s="6">
    <fb>0.56830000000000003</fb>
    <v>11</v>
  </rv>
  <rv s="6">
    <fb>0.57199999999999995</fb>
    <v>11</v>
  </rv>
  <rv s="6">
    <fb>0.51229999999999998</fb>
    <v>11</v>
  </rv>
  <rv s="6">
    <fb>2491247400</fb>
    <v>12</v>
  </rv>
  <rv s="6">
    <fb>0.53249999999999997</fb>
    <v>11</v>
  </rv>
  <rv s="6">
    <fb>0.51349999999999996</fb>
    <v>11</v>
  </rv>
  <rv s="6">
    <fb>0.53700000000000003</fb>
    <v>11</v>
  </rv>
  <rv s="6">
    <fb>0.50949999999999995</fb>
    <v>11</v>
  </rv>
  <rv s="6">
    <fb>1750344280</fb>
    <v>12</v>
  </rv>
  <rv s="6">
    <fb>0.52149999999999996</fb>
    <v>11</v>
  </rv>
  <rv s="6">
    <fb>0.53129999999999999</fb>
    <v>11</v>
  </rv>
  <rv s="6">
    <fb>0.53500000000000003</fb>
    <v>11</v>
  </rv>
  <rv s="6">
    <fb>0.52029999999999998</fb>
    <v>11</v>
  </rv>
  <rv s="6">
    <fb>1227905080</fb>
    <v>12</v>
  </rv>
  <rv s="6">
    <fb>0.55330000000000001</fb>
    <v>11</v>
  </rv>
  <rv s="6">
    <fb>0.51900000000000002</fb>
    <v>11</v>
  </rv>
  <rv s="6">
    <fb>0.55700000000000005</fb>
    <v>11</v>
  </rv>
  <rv s="6">
    <fb>0.51439999999999997</fb>
    <v>11</v>
  </rv>
  <rv s="6">
    <fb>1354888920</fb>
    <v>12</v>
  </rv>
  <rv s="6">
    <fb>0.55649999999999999</fb>
    <v>11</v>
  </rv>
  <rv s="6">
    <fb>0.55679999999999996</fb>
    <v>11</v>
  </rv>
  <rv s="6">
    <fb>0.56499999999999995</fb>
    <v>11</v>
  </rv>
  <rv s="6">
    <fb>0.5393</fb>
    <v>11</v>
  </rv>
  <rv s="6">
    <fb>1484781760</fb>
    <v>12</v>
  </rv>
  <rv s="6">
    <fb>0.52780000000000005</fb>
    <v>11</v>
  </rv>
  <rv s="6">
    <fb>0.55479999999999996</fb>
    <v>11</v>
  </rv>
  <rv s="6">
    <fb>0.5585</fb>
    <v>11</v>
  </rv>
  <rv s="6">
    <fb>0.52649999999999997</fb>
    <v>11</v>
  </rv>
  <rv s="6">
    <fb>1735940360</fb>
    <v>12</v>
  </rv>
  <rv s="6">
    <fb>0.54679999999999995</fb>
    <v>11</v>
  </rv>
  <rv s="6">
    <fb>0.52500000000000002</fb>
    <v>11</v>
  </rv>
  <rv s="6">
    <fb>0.55300000000000005</fb>
    <v>11</v>
  </rv>
  <rv s="6">
    <fb>0.52049999999999996</fb>
    <v>11</v>
  </rv>
  <rv s="6">
    <fb>1452043640</fb>
    <v>12</v>
  </rv>
  <rv s="6">
    <fb>0.51849999999999996</fb>
    <v>11</v>
  </rv>
  <rv s="6">
    <fb>0.55079999999999996</fb>
    <v>11</v>
  </rv>
  <rv s="6">
    <fb>0.51629999999999998</fb>
    <v>11</v>
  </rv>
  <rv s="6">
    <fb>1953427240</fb>
    <v>12</v>
  </rv>
  <rv s="6">
    <fb>0.51049999999999995</fb>
    <v>11</v>
  </rv>
  <rv s="6">
    <fb>0.51249999999999996</fb>
    <v>11</v>
  </rv>
  <rv s="6">
    <fb>0.52249999999999996</fb>
    <v>11</v>
  </rv>
  <rv s="6">
    <fb>0.49930000000000002</fb>
    <v>11</v>
  </rv>
  <rv s="6">
    <fb>1156322760</fb>
    <v>12</v>
  </rv>
  <rv s="6">
    <fb>0.49380000000000002</fb>
    <v>11</v>
  </rv>
  <rv s="6">
    <fb>0.50629999999999997</fb>
    <v>11</v>
  </rv>
  <rv s="6">
    <fb>0.51329999999999998</fb>
    <v>11</v>
  </rv>
  <rv s="6">
    <fb>0.47899999999999998</fb>
    <v>11</v>
  </rv>
  <rv s="6">
    <fb>1715819560</fb>
    <v>12</v>
  </rv>
  <rv s="6">
    <fb>0.50180000000000002</fb>
    <v>11</v>
  </rv>
  <rv s="6">
    <fb>0.49880000000000002</fb>
    <v>11</v>
  </rv>
  <rv s="6">
    <fb>0.50480000000000003</fb>
    <v>11</v>
  </rv>
  <rv s="6">
    <fb>0.48930000000000001</fb>
    <v>11</v>
  </rv>
  <rv s="6">
    <fb>1230686680</fb>
    <v>12</v>
  </rv>
  <rv s="6">
    <fb>0.48549999999999999</fb>
    <v>11</v>
  </rv>
  <rv s="6">
    <fb>0.50380000000000003</fb>
    <v>11</v>
  </rv>
  <rv s="6">
    <fb>0.4793</fb>
    <v>11</v>
  </rv>
  <rv s="6">
    <fb>1053362360</fb>
    <v>12</v>
  </rv>
  <rv s="6">
    <fb>0.48130000000000001</fb>
    <v>11</v>
  </rv>
  <rv s="6">
    <fb>0.50549999999999995</fb>
    <v>11</v>
  </rv>
  <rv s="6">
    <fb>0.4773</fb>
    <v>11</v>
  </rv>
  <rv s="6">
    <fb>1031959040</fb>
    <v>12</v>
  </rv>
  <rv s="6">
    <fb>0.57450000000000001</fb>
    <v>11</v>
  </rv>
  <rv s="6">
    <fb>0.50280000000000002</fb>
    <v>11</v>
  </rv>
  <rv s="6">
    <fb>0.58430000000000004</fb>
    <v>11</v>
  </rv>
  <rv s="6">
    <fb>0.49630000000000002</fb>
    <v>11</v>
  </rv>
  <rv s="6">
    <fb>2952780200</fb>
    <v>12</v>
  </rv>
  <rv s="6">
    <fb>0.58850000000000002</fb>
    <v>11</v>
  </rv>
  <rv s="6">
    <fb>0.5988</fb>
    <v>11</v>
  </rv>
  <rv s="6">
    <fb>0.56699999999999995</fb>
    <v>11</v>
  </rv>
  <rv s="6">
    <fb>1972930560</fb>
    <v>12</v>
  </rv>
  <rv s="6">
    <fb>0.53669999999999995</fb>
    <v>11</v>
  </rv>
  <rv s="6">
    <fb>0.58750000000000002</fb>
    <v>11</v>
  </rv>
  <rv s="6">
    <fb>0.5363</fb>
    <v>11</v>
  </rv>
  <rv s="6">
    <fb>1619833520</fb>
    <v>12</v>
  </rv>
  <rv s="6">
    <fb>0.50680000000000003</fb>
    <v>11</v>
  </rv>
  <rv s="6">
    <fb>0.57179999999999997</fb>
    <v>11</v>
  </rv>
  <rv s="6">
    <fb>0.5</fb>
    <v>11</v>
  </rv>
  <rv s="6">
    <fb>2704653480</fb>
    <v>12</v>
  </rv>
  <rv s="6">
    <fb>0.54379999999999995</fb>
    <v>11</v>
  </rv>
  <rv s="6">
    <fb>0.5655</fb>
    <v>11</v>
  </rv>
  <rv s="6">
    <fb>0.56950000000000001</fb>
    <v>11</v>
  </rv>
  <rv s="6">
    <fb>1467371120</fb>
    <v>12</v>
  </rv>
  <rv s="6">
    <fb>0.56630000000000003</fb>
    <v>11</v>
  </rv>
  <rv s="6">
    <fb>0.57350000000000001</fb>
    <v>11</v>
  </rv>
  <rv s="6">
    <fb>0.54990000000000006</fb>
    <v>11</v>
  </rv>
  <rv s="6">
    <fb>1186502840</fb>
    <v>12</v>
  </rv>
  <rv s="6">
    <fb>0.58230000000000004</fb>
    <v>11</v>
  </rv>
  <rv s="6">
    <fb>0.56899999999999995</fb>
    <v>11</v>
  </rv>
  <rv s="6">
    <fb>0.59279999999999999</fb>
    <v>11</v>
  </rv>
  <rv s="6">
    <fb>0.56430000000000002</fb>
    <v>11</v>
  </rv>
  <rv s="6">
    <fb>1289070240</fb>
    <v>12</v>
  </rv>
  <rv s="6">
    <fb>0.59030000000000005</fb>
    <v>11</v>
  </rv>
  <rv s="6">
    <fb>0.58299999999999996</fb>
    <v>11</v>
  </rv>
  <rv s="6">
    <fb>0.6018</fb>
    <v>11</v>
  </rv>
  <rv s="6">
    <fb>0.5625</fb>
    <v>11</v>
  </rv>
  <rv s="6">
    <fb>1423987480</fb>
    <v>12</v>
  </rv>
  <rv s="6">
    <fb>0.62</fb>
    <v>11</v>
  </rv>
  <rv s="6">
    <fb>0.57879999999999998</fb>
    <v>11</v>
  </rv>
  <rv s="6">
    <fb>2208142240</fb>
    <v>12</v>
  </rv>
  <rv s="6">
    <fb>0.65180000000000005</fb>
    <v>11</v>
  </rv>
  <rv s="6">
    <fb>0.624</fb>
    <v>11</v>
  </rv>
  <rv s="6">
    <fb>0.65700000000000003</fb>
    <v>11</v>
  </rv>
  <rv s="6">
    <fb>0.62080000000000002</fb>
    <v>11</v>
  </rv>
  <rv s="6">
    <fb>2129913880</fb>
    <v>12</v>
  </rv>
  <rv s="6">
    <fb>0.69650000000000001</fb>
    <v>11</v>
  </rv>
  <rv s="6">
    <fb>0.65249999999999997</fb>
    <v>11</v>
  </rv>
  <rv s="6">
    <fb>0.70299999999999996</fb>
    <v>11</v>
  </rv>
  <rv s="6">
    <fb>0.64759999999999995</fb>
    <v>11</v>
  </rv>
  <rv s="6">
    <fb>2112664080</fb>
    <v>12</v>
  </rv>
  <rv s="6">
    <fb>0.71479999999999999</fb>
    <v>11</v>
  </rv>
  <rv s="6">
    <fb>0.69879999999999998</fb>
    <v>11</v>
  </rv>
  <rv s="6">
    <fb>0.71950000000000003</fb>
    <v>11</v>
  </rv>
  <rv s="6">
    <fb>0.68400000000000005</fb>
    <v>11</v>
  </rv>
  <rv s="6">
    <fb>1634875640</fb>
    <v>12</v>
  </rv>
  <rv s="6">
    <fb>0.70930000000000004</fb>
    <v>11</v>
  </rv>
  <rv s="6">
    <fb>0.71530000000000005</fb>
    <v>11</v>
  </rv>
  <rv s="6">
    <fb>0.71699999999999997</fb>
    <v>11</v>
  </rv>
  <rv s="6">
    <fb>0.69079999999999997</fb>
    <v>11</v>
  </rv>
  <rv s="6">
    <fb>1301064280</fb>
    <v>12</v>
  </rv>
  <rv s="6">
    <fb>0.78879999999999995</fb>
    <v>11</v>
  </rv>
  <rv s="6">
    <fb>0.71150000000000002</fb>
    <v>11</v>
  </rv>
  <rv s="6">
    <fb>0.79849999999999999</fb>
    <v>11</v>
  </rv>
  <rv s="6">
    <fb>2660189960</fb>
    <v>12</v>
  </rv>
  <rv s="6">
    <fb>0.745</fb>
    <v>11</v>
  </rv>
  <rv s="6">
    <fb>0.78100000000000003</fb>
    <v>11</v>
  </rv>
  <rv s="6">
    <fb>0.78749999999999998</fb>
    <v>11</v>
  </rv>
  <rv s="6">
    <fb>0.74129999999999996</fb>
    <v>11</v>
  </rv>
  <rv s="6">
    <fb>2248975880</fb>
    <v>12</v>
  </rv>
  <rv s="6">
    <fb>0.78480000000000005</fb>
    <v>11</v>
  </rv>
  <rv s="6">
    <fb>0.75480000000000003</fb>
    <v>11</v>
  </rv>
  <rv s="6">
    <fb>0.7893</fb>
    <v>11</v>
  </rv>
  <rv s="6">
    <fb>0.74880000000000002</fb>
    <v>11</v>
  </rv>
  <rv s="6">
    <fb>1445359640</fb>
    <v>12</v>
  </rv>
  <rv s="6">
    <fb>0.7913</fb>
    <v>11</v>
  </rv>
  <rv s="6">
    <fb>0.76949999999999996</fb>
    <v>11</v>
  </rv>
  <rv s="6">
    <fb>663284840</fb>
    <v>12</v>
  </rv>
  <rv s="6">
    <fb>0.84379999999999999</fb>
    <v>11</v>
  </rv>
  <rv s="6">
    <fb>0.78549999999999998</fb>
    <v>11</v>
  </rv>
  <rv s="6">
    <fb>0.84530000000000005</fb>
    <v>11</v>
  </rv>
  <rv s="6">
    <fb>1734530040</fb>
    <v>12</v>
  </rv>
  <rv s="6">
    <fb>0.81230000000000002</fb>
    <v>11</v>
  </rv>
  <rv s="6">
    <fb>0.84350000000000003</fb>
    <v>11</v>
  </rv>
  <rv s="6">
    <fb>0.80930000000000002</fb>
    <v>11</v>
  </rv>
  <rv s="6">
    <fb>1484669760</fb>
    <v>12</v>
  </rv>
  <rv s="6">
    <fb>0.80349999999999999</fb>
    <v>11</v>
  </rv>
  <rv s="6">
    <fb>0.81299999999999994</fb>
    <v>11</v>
  </rv>
  <rv s="6">
    <fb>0.83899999999999997</fb>
    <v>11</v>
  </rv>
  <rv s="6">
    <fb>0.80249999999999999</fb>
    <v>11</v>
  </rv>
  <rv s="6">
    <fb>1470053640</fb>
    <v>12</v>
  </rv>
  <rv s="6">
    <fb>0.82930000000000004</fb>
    <v>11</v>
  </rv>
  <rv s="6">
    <fb>0.83150000000000002</fb>
    <v>11</v>
  </rv>
  <rv s="6">
    <fb>0.80500000000000005</fb>
    <v>11</v>
  </rv>
  <rv s="6">
    <fb>589200480</fb>
    <v>12</v>
  </rv>
  <rv s="6">
    <fb>0.82399999999999995</fb>
    <v>11</v>
  </rv>
  <rv s="6">
    <fb>0.82050000000000001</fb>
    <v>11</v>
  </rv>
  <rv s="6">
    <fb>0.84850000000000003</fb>
    <v>11</v>
  </rv>
  <rv s="6">
    <fb>0.80900000000000005</fb>
    <v>11</v>
  </rv>
  <rv s="6">
    <fb>674559480</fb>
    <v>12</v>
  </rv>
  <rv s="6">
    <fb>0.74080000000000001</fb>
    <v>11</v>
  </rv>
  <rv s="6">
    <fb>0.80730000000000002</fb>
    <v>11</v>
  </rv>
  <rv s="6">
    <fb>0.83599999999999997</fb>
    <v>11</v>
  </rv>
  <rv s="6">
    <fb>0.73909999999999998</fb>
    <v>11</v>
  </rv>
  <rv s="6">
    <fb>2341467280</fb>
    <v>12</v>
  </rv>
  <rv s="6">
    <fb>0.67779999999999996</fb>
    <v>11</v>
  </rv>
  <rv s="6">
    <fb>0.74150000000000005</fb>
    <v>11</v>
  </rv>
  <rv s="6">
    <fb>0.76549999999999996</fb>
    <v>11</v>
  </rv>
  <rv s="6">
    <fb>0.66600000000000004</fb>
    <v>11</v>
  </rv>
  <rv s="6">
    <fb>2802116680</fb>
    <v>12</v>
  </rv>
  <rv s="6">
    <fb>0.71130000000000004</fb>
    <v>11</v>
  </rv>
  <rv s="6">
    <fb>0.69179999999999997</fb>
    <v>11</v>
  </rv>
  <rv s="6">
    <fb>0.71599999999999997</fb>
    <v>11</v>
  </rv>
  <rv s="6">
    <fb>0.6613</fb>
    <v>11</v>
  </rv>
  <rv s="6">
    <fb>1677789120</fb>
    <v>12</v>
  </rv>
  <rv s="6">
    <fb>0.73229999999999995</fb>
    <v>11</v>
  </rv>
  <rv s="6">
    <fb>0.71099999999999997</fb>
    <v>11</v>
  </rv>
  <rv s="6">
    <fb>0.73360000000000003</fb>
    <v>11</v>
  </rv>
  <rv s="6">
    <fb>0.6875</fb>
    <v>11</v>
  </rv>
  <rv s="6">
    <fb>1317679440</fb>
    <v>12</v>
  </rv>
  <rv s="6">
    <fb>0.66080000000000005</fb>
    <v>11</v>
  </rv>
  <rv s="6">
    <fb>0.73150000000000004</fb>
    <v>11</v>
  </rv>
  <rv s="6">
    <fb>0.73629999999999995</fb>
    <v>11</v>
  </rv>
  <rv s="6">
    <fb>0.65880000000000005</fb>
    <v>11</v>
  </rv>
  <rv s="6">
    <fb>1907131800</fb>
    <v>12</v>
  </rv>
  <rv s="6">
    <fb>0.64329999999999998</fb>
    <v>11</v>
  </rv>
  <rv s="6">
    <fb>0.65080000000000005</fb>
    <v>11</v>
  </rv>
  <rv s="6">
    <fb>0.66379999999999995</fb>
    <v>11</v>
  </rv>
  <rv s="6">
    <fb>0.61880000000000002</fb>
    <v>11</v>
  </rv>
  <rv s="6">
    <fb>2050984640</fb>
    <v>12</v>
  </rv>
  <rv s="6">
    <fb>0.76100000000000001</fb>
    <v>11</v>
  </rv>
  <rv s="6">
    <fb>0.77439999999999998</fb>
    <v>11</v>
  </rv>
  <rv s="6">
    <fb>0.65049999999999997</fb>
    <v>11</v>
  </rv>
  <rv s="6">
    <fb>2851107280</fb>
    <v>12</v>
  </rv>
  <rv s="6">
    <fb>0.79200000000000004</fb>
    <v>11</v>
  </rv>
  <rv s="6">
    <fb>0.77200000000000002</fb>
    <v>11</v>
  </rv>
  <rv s="6">
    <fb>0.80289999999999995</fb>
    <v>11</v>
  </rv>
  <rv s="6">
    <fb>0.76500000000000001</fb>
    <v>11</v>
  </rv>
  <rv s="6">
    <fb>1867476920</fb>
    <v>12</v>
  </rv>
  <rv s="6">
    <fb>0.81379999999999997</fb>
    <v>11</v>
  </rv>
  <rv s="6">
    <fb>0.7903</fb>
    <v>11</v>
  </rv>
  <rv s="6">
    <fb>0.82650000000000001</fb>
    <v>11</v>
  </rv>
  <rv s="6">
    <fb>0.78349999999999997</fb>
    <v>11</v>
  </rv>
  <rv s="6">
    <fb>1383191400</fb>
    <v>12</v>
  </rv>
  <rv s="6">
    <fb>0.80549999999999999</fb>
    <v>11</v>
  </rv>
  <rv s="6">
    <fb>0.81479999999999997</fb>
    <v>11</v>
  </rv>
  <rv s="6">
    <fb>0.77600000000000002</fb>
    <v>11</v>
  </rv>
  <rv s="6">
    <fb>1301433320</fb>
    <v>12</v>
  </rv>
  <rv s="6">
    <fb>0.80179999999999996</fb>
    <v>11</v>
  </rv>
  <rv s="6">
    <fb>0.85629999999999995</fb>
    <v>11</v>
  </rv>
  <rv s="6">
    <fb>1679364680</fb>
    <v>12</v>
  </rv>
  <rv s="6">
    <fb>0.86199999999999999</fb>
    <v>11</v>
  </rv>
  <rv s="6">
    <fb>0.83779999999999999</fb>
    <v>11</v>
  </rv>
  <rv s="6">
    <fb>0.86699999999999999</fb>
    <v>11</v>
  </rv>
  <rv s="6">
    <fb>0.82879999999999998</fb>
    <v>11</v>
  </rv>
  <rv s="6">
    <fb>1253753200</fb>
    <v>12</v>
  </rv>
  <rv s="6">
    <fb>0.90380000000000005</fb>
    <v>11</v>
  </rv>
  <rv s="6">
    <fb>0.86050000000000004</fb>
    <v>11</v>
  </rv>
  <rv s="6">
    <fb>0.90629999999999999</fb>
    <v>11</v>
  </rv>
  <rv s="6">
    <fb>0.85950000000000004</fb>
    <v>11</v>
  </rv>
  <rv s="6">
    <fb>1632072440</fb>
    <v>12</v>
  </rv>
  <rv s="6">
    <fb>0.89149999999999996</fb>
    <v>11</v>
  </rv>
  <rv s="6">
    <fb>0.9113</fb>
    <v>11</v>
  </rv>
  <rv s="6">
    <fb>0.91600000000000004</fb>
    <v>11</v>
  </rv>
  <rv s="6">
    <fb>0.86580000000000001</fb>
    <v>11</v>
  </rv>
  <rv s="6">
    <fb>1820926480</fb>
    <v>12</v>
  </rv>
  <rv s="6">
    <fb>0.92830000000000001</fb>
    <v>11</v>
  </rv>
  <rv s="6">
    <fb>0.89680000000000004</fb>
    <v>11</v>
  </rv>
  <rv s="6">
    <fb>0.9365</fb>
    <v>11</v>
  </rv>
  <rv s="6">
    <fb>0.87849999999999995</fb>
    <v>11</v>
  </rv>
  <rv s="6">
    <fb>1884537600</fb>
    <v>12</v>
  </rv>
  <rv s="6">
    <fb>0.90680000000000005</fb>
    <v>11</v>
  </rv>
  <rv s="6">
    <fb>0.92649999999999999</fb>
    <v>11</v>
  </rv>
  <rv s="6">
    <fb>0.92949999999999999</fb>
    <v>11</v>
  </rv>
  <rv s="6">
    <fb>0.90200000000000002</fb>
    <v>11</v>
  </rv>
  <rv s="6">
    <fb>1218471320</fb>
    <v>12</v>
  </rv>
  <rv s="6">
    <fb>0.88829999999999998</fb>
    <v>11</v>
  </rv>
  <rv s="6">
    <fb>0.90700000000000003</fb>
    <v>11</v>
  </rv>
  <rv s="6">
    <fb>0.93330000000000002</fb>
    <v>11</v>
  </rv>
  <rv s="6">
    <fb>1462044000</fb>
    <v>12</v>
  </rv>
  <rv s="6">
    <fb>0.88329999999999997</fb>
    <v>11</v>
  </rv>
  <rv s="6">
    <fb>0.90549999999999997</fb>
    <v>11</v>
  </rv>
  <rv s="6">
    <fb>0.86</fb>
    <v>11</v>
  </rv>
  <rv s="6">
    <fb>1435987320</fb>
    <v>12</v>
  </rv>
  <rv s="6">
    <fb>1.0245</fb>
    <v>11</v>
  </rv>
  <rv s="6">
    <fb>0.88549999999999995</fb>
    <v>11</v>
  </rv>
  <rv s="6">
    <fb>1.0249999999999999</fb>
    <v>11</v>
  </rv>
  <rv s="6">
    <fb>0.87329999999999997</fb>
    <v>11</v>
  </rv>
  <rv s="6">
    <fb>3711988720</fb>
    <v>12</v>
  </rv>
  <rv s="6">
    <fb>1.1083000000000001</fb>
    <v>11</v>
  </rv>
  <rv s="6">
    <fb>1.0167999999999999</fb>
    <v>11</v>
  </rv>
  <rv s="6">
    <fb>1.1127</fb>
    <v>11</v>
  </rv>
  <rv s="6">
    <fb>1.0135000000000001</fb>
    <v>11</v>
  </rv>
  <rv s="6">
    <fb>2932455480</fb>
    <v>12</v>
  </rv>
  <rv s="6">
    <fb>1.1475</fb>
    <v>11</v>
  </rv>
  <rv s="6">
    <fb>1.113</fb>
    <v>11</v>
  </rv>
  <rv s="6">
    <fb>1.1495</fb>
    <v>11</v>
  </rv>
  <rv s="6">
    <fb>1.1032999999999999</fb>
    <v>11</v>
  </rv>
  <rv s="6">
    <fb>1875579160</fb>
    <v>12</v>
  </rv>
  <rv s="6">
    <fb>1.1619999999999999</fb>
    <v>11</v>
  </rv>
  <rv s="6">
    <fb>1.1525000000000001</fb>
    <v>11</v>
  </rv>
  <rv s="6">
    <fb>1.1884999999999999</fb>
    <v>11</v>
  </rv>
  <rv s="6">
    <fb>1.1415</fb>
    <v>11</v>
  </rv>
  <rv s="6">
    <fb>1589938560</fb>
    <v>12</v>
  </rv>
  <rv s="6">
    <fb>1.155</fb>
    <v>11</v>
  </rv>
  <rv s="6">
    <fb>1.165</fb>
    <v>11</v>
  </rv>
  <rv s="6">
    <fb>1.1862999999999999</fb>
    <v>11</v>
  </rv>
  <rv s="6">
    <fb>1.145</fb>
    <v>11</v>
  </rv>
  <rv s="6">
    <fb>1622721920</fb>
    <v>12</v>
  </rv>
  <rv s="6">
    <fb>1.1679999999999999</fb>
    <v>11</v>
  </rv>
  <rv s="6">
    <fb>1.1563000000000001</fb>
    <v>11</v>
  </rv>
  <rv s="6">
    <fb>1.1942999999999999</fb>
    <v>11</v>
  </rv>
  <rv s="6">
    <fb>1.1538999999999999</fb>
    <v>11</v>
  </rv>
  <rv s="6">
    <fb>1792426280</fb>
    <v>12</v>
  </rv>
  <rv s="6">
    <fb>1.1432</fb>
    <v>11</v>
  </rv>
  <rv s="6">
    <fb>1.1868000000000001</fb>
    <v>11</v>
  </rv>
  <rv s="6">
    <fb>1.2135</fb>
    <v>11</v>
  </rv>
  <rv s="6">
    <fb>1.1325000000000001</fb>
    <v>11</v>
  </rv>
  <rv s="6">
    <fb>2024460480</fb>
    <v>12</v>
  </rv>
  <rv s="6">
    <fb>1.1665000000000001</fb>
    <v>11</v>
  </rv>
  <rv s="6">
    <fb>1.1337999999999999</fb>
    <v>11</v>
  </rv>
  <rv s="6">
    <fb>1.1839999999999999</fb>
    <v>11</v>
  </rv>
  <rv s="6">
    <fb>1.1143000000000001</fb>
    <v>11</v>
  </rv>
  <rv s="6">
    <fb>1800616160</fb>
    <v>12</v>
  </rv>
  <rv s="6">
    <fb>1.2713000000000001</fb>
    <v>11</v>
  </rv>
  <rv s="6">
    <fb>1.1599999999999999</fb>
    <v>11</v>
  </rv>
  <rv s="6">
    <fb>1.2773000000000001</fb>
    <v>11</v>
  </rv>
  <rv s="6">
    <fb>1.1508</fb>
    <v>11</v>
  </rv>
  <rv s="6">
    <fb>1521516800</fb>
    <v>12</v>
  </rv>
  <rv s="6">
    <fb>1.3174999999999999</fb>
    <v>11</v>
  </rv>
  <rv s="6">
    <fb>1.2895000000000001</fb>
    <v>11</v>
  </rv>
  <rv s="6">
    <fb>1.345</fb>
    <v>11</v>
  </rv>
  <rv s="6">
    <fb>1.288</fb>
    <v>11</v>
  </rv>
  <rv s="6">
    <fb>1955650080</fb>
    <v>12</v>
  </rv>
  <rv s="6">
    <fb>1.3668</fb>
    <v>11</v>
  </rv>
  <rv s="6">
    <fb>1.3338000000000001</fb>
    <v>11</v>
  </rv>
  <rv s="6">
    <fb>1.3192999999999999</fb>
    <v>11</v>
  </rv>
  <rv s="6">
    <fb>1609178080</fb>
    <v>12</v>
  </rv>
  <rv s="6">
    <fb>1.4275</fb>
    <v>11</v>
  </rv>
  <rv s="6">
    <fb>1.375</fb>
    <v>11</v>
  </rv>
  <rv s="6">
    <fb>1.4313</fb>
    <v>11</v>
  </rv>
  <rv s="6">
    <fb>1.369</fb>
    <v>11</v>
  </rv>
  <rv s="6">
    <fb>1905217360</fb>
    <v>12</v>
  </rv>
  <rv s="6">
    <fb>1.4550000000000001</fb>
    <v>11</v>
  </rv>
  <rv s="6">
    <fb>1.4335</fb>
    <v>11</v>
  </rv>
  <rv s="6">
    <fb>1.4558</fb>
    <v>11</v>
  </rv>
  <rv s="6">
    <fb>1.3875</fb>
    <v>11</v>
  </rv>
  <rv s="6">
    <fb>1527997480</fb>
    <v>12</v>
  </rv>
  <rv s="6">
    <fb>1.5760000000000001</fb>
    <v>11</v>
  </rv>
  <rv s="6">
    <fb>1.4750000000000001</fb>
    <v>11</v>
  </rv>
  <rv s="6">
    <fb>1.5845</fb>
    <v>11</v>
  </rv>
  <rv s="6">
    <fb>1.4530000000000001</fb>
    <v>11</v>
  </rv>
  <rv s="6">
    <fb>3159952520</fb>
    <v>12</v>
  </rv>
  <rv s="6">
    <fb>1.5565</fb>
    <v>11</v>
  </rv>
  <rv s="6">
    <fb>1.5778000000000001</fb>
    <v>11</v>
  </rv>
  <rv s="6">
    <fb>1.5873999999999999</fb>
    <v>11</v>
  </rv>
  <rv s="6">
    <fb>1.5164</fb>
    <v>11</v>
  </rv>
  <rv s="6">
    <fb>2079413560</fb>
    <v>12</v>
  </rv>
  <rv s="6">
    <fb>1.5508</fb>
    <v>11</v>
  </rv>
  <rv s="6">
    <fb>1.5612999999999999</fb>
    <v>11</v>
  </rv>
  <rv s="6">
    <fb>1.583</fb>
    <v>11</v>
  </rv>
  <rv s="6">
    <fb>1.5189999999999999</fb>
    <v>11</v>
  </rv>
  <rv s="6">
    <fb>1589015680</fb>
    <v>12</v>
  </rv>
  <rv s="6">
    <fb>1.5632999999999999</fb>
    <v>11</v>
  </rv>
  <rv s="6">
    <fb>1.5569999999999999</fb>
    <v>11</v>
  </rv>
  <rv s="6">
    <fb>1.5289999999999999</fb>
    <v>11</v>
  </rv>
  <rv s="6">
    <fb>1700383600</fb>
    <v>12</v>
  </rv>
  <rv s="6">
    <fb>1.488</fb>
    <v>11</v>
  </rv>
  <rv s="6">
    <fb>1.5688</fb>
    <v>11</v>
  </rv>
  <rv s="6">
    <fb>1.5807</fb>
    <v>11</v>
  </rv>
  <rv s="6">
    <fb>1718368200</fb>
    <v>12</v>
  </rv>
  <rv s="6">
    <fb>1.571</fb>
    <v>11</v>
  </rv>
  <rv s="6">
    <fb>1.4682999999999999</fb>
    <v>11</v>
  </rv>
  <rv s="6">
    <fb>1.5812999999999999</fb>
    <v>11</v>
  </rv>
  <rv s="6">
    <fb>1.4329000000000001</fb>
    <v>11</v>
  </rv>
  <rv s="6">
    <fb>2807239240</fb>
    <v>12</v>
  </rv>
  <rv s="6">
    <fb>1.6237999999999999</fb>
    <v>11</v>
  </rv>
  <rv s="6">
    <fb>1.5874999999999999</fb>
    <v>11</v>
  </rv>
  <rv s="6">
    <fb>1.6359999999999999</fb>
    <v>11</v>
  </rv>
  <rv s="6">
    <fb>1.5685</fb>
    <v>11</v>
  </rv>
  <rv s="6">
    <fb>1669320280</fb>
    <v>12</v>
  </rv>
  <rv s="6">
    <fb>1.7130000000000001</fb>
    <v>11</v>
  </rv>
  <rv s="6">
    <fb>1.6052</fb>
    <v>11</v>
  </rv>
  <rv s="6">
    <fb>1.7298</fb>
    <v>11</v>
  </rv>
  <rv s="6">
    <fb>1.5883</fb>
    <v>11</v>
  </rv>
  <rv s="6">
    <fb>1719197800</fb>
    <v>12</v>
  </rv>
  <rv s="6">
    <fb>1.6713</fb>
    <v>11</v>
  </rv>
  <rv s="6">
    <fb>1.7424999999999999</fb>
    <v>11</v>
  </rv>
  <rv s="6">
    <fb>1.6565000000000001</fb>
    <v>11</v>
  </rv>
  <rv s="6">
    <fb>1476133040</fb>
    <v>12</v>
  </rv>
  <rv s="6">
    <fb>1.6497999999999999</fb>
    <v>11</v>
  </rv>
  <rv s="6">
    <fb>1.68</fb>
    <v>11</v>
  </rv>
  <rv s="6">
    <fb>1.6890000000000001</fb>
    <v>11</v>
  </rv>
  <rv s="6">
    <fb>1.5925</fb>
    <v>11</v>
  </rv>
  <rv s="6">
    <fb>1817085200</fb>
    <v>12</v>
  </rv>
  <rv s="6">
    <fb>1.6884999999999999</fb>
    <v>11</v>
  </rv>
  <rv s="6">
    <fb>1.6495</fb>
    <v>11</v>
  </rv>
  <rv s="6">
    <fb>1.6988000000000001</fb>
    <v>11</v>
  </rv>
  <rv s="6">
    <fb>1.6379999999999999</fb>
    <v>11</v>
  </rv>
  <rv s="6">
    <fb>1255344880</fb>
    <v>12</v>
  </rv>
  <rv s="6">
    <fb>1.764</fb>
    <v>11</v>
  </rv>
  <rv s="6">
    <fb>1.7</fb>
    <v>11</v>
  </rv>
  <rv s="6">
    <fb>1.8238000000000001</fb>
    <v>11</v>
  </rv>
  <rv s="6">
    <fb>1.6998</fb>
    <v>11</v>
  </rv>
  <rv s="6">
    <fb>1750610200</fb>
    <v>12</v>
  </rv>
  <rv s="6">
    <fb>1.6893</fb>
    <v>11</v>
  </rv>
  <rv s="6">
    <fb>1.7698</fb>
    <v>11</v>
  </rv>
  <rv s="6">
    <fb>1.7952999999999999</fb>
    <v>11</v>
  </rv>
  <rv s="6">
    <fb>1.6644000000000001</fb>
    <v>11</v>
  </rv>
  <rv s="6">
    <fb>1659906440</fb>
    <v>12</v>
  </rv>
  <rv s="6">
    <fb>2.1993</fb>
    <v>11</v>
  </rv>
  <rv s="6">
    <fb>1.7387999999999999</fb>
    <v>11</v>
  </rv>
  <rv s="6">
    <fb>2.2193000000000001</fb>
    <v>11</v>
  </rv>
  <rv s="6">
    <fb>1.669</fb>
    <v>11</v>
  </rv>
  <rv s="6">
    <fb>4418622280</fb>
    <v>12</v>
  </rv>
  <rv s="6">
    <fb>2.3340000000000001</fb>
    <v>11</v>
  </rv>
  <rv s="6">
    <fb>2.2023000000000001</fb>
    <v>11</v>
  </rv>
  <rv s="6">
    <fb>2.3698000000000001</fb>
    <v>11</v>
  </rv>
  <rv s="6">
    <fb>2.0905</fb>
    <v>11</v>
  </rv>
  <rv s="6">
    <fb>4371922320</fb>
    <v>12</v>
  </rv>
  <rv s="6">
    <fb>2.3540000000000001</fb>
    <v>11</v>
  </rv>
  <rv s="6">
    <fb>2.3523000000000001</fb>
    <v>11</v>
  </rv>
  <rv s="6">
    <fb>2.3812000000000002</fb>
    <v>11</v>
  </rv>
  <rv s="6">
    <fb>2.3094999999999999</fb>
    <v>11</v>
  </rv>
  <rv s="6">
    <fb>1405601400</fb>
    <v>12</v>
  </rv>
  <rv s="6">
    <fb>2.2113</fb>
    <v>11</v>
  </rv>
  <rv s="6">
    <fb>2.3468</fb>
    <v>11</v>
  </rv>
  <rv s="6">
    <fb>2.3685</fb>
    <v>11</v>
  </rv>
  <rv s="6">
    <fb>2.1193</fb>
    <v>11</v>
  </rv>
  <rv s="6">
    <fb>2677619040</fb>
    <v>12</v>
  </rv>
  <rv s="6">
    <fb>2.2955000000000001</fb>
    <v>11</v>
  </rv>
  <rv s="6">
    <fb>2.2498</fb>
    <v>11</v>
  </rv>
  <rv s="6">
    <fb>2.4155000000000002</fb>
    <v>11</v>
  </rv>
  <rv s="6">
    <fb>2.2250000000000001</fb>
    <v>11</v>
  </rv>
  <rv s="6">
    <fb>2345739760</fb>
    <v>12</v>
  </rv>
  <rv s="6">
    <fb>2.5103</fb>
    <v>11</v>
  </rv>
  <rv s="6">
    <fb>2.2463000000000002</fb>
    <v>11</v>
  </rv>
  <rv s="6">
    <fb>2.5175000000000001</fb>
    <v>11</v>
  </rv>
  <rv s="6">
    <fb>2.1884999999999999</fb>
    <v>11</v>
  </rv>
  <rv s="6">
    <fb>3809181920</fb>
    <v>12</v>
  </rv>
  <rv s="6">
    <fb>2.7444999999999999</fb>
    <v>11</v>
  </rv>
  <rv s="6">
    <fb>2.4925000000000002</fb>
    <v>11</v>
  </rv>
  <rv s="6">
    <fb>2.7458999999999998</fb>
    <v>11</v>
  </rv>
  <rv s="6">
    <fb>2.4750000000000001</fb>
    <v>11</v>
  </rv>
  <rv s="6">
    <fb>3535152600</fb>
    <v>12</v>
  </rv>
  <rv s="6">
    <fb>2.6684999999999999</fb>
    <v>11</v>
  </rv>
  <rv s="6">
    <fb>2.8014999999999999</fb>
    <v>11</v>
  </rv>
  <rv s="6">
    <fb>2.9983</fb>
    <v>11</v>
  </rv>
  <rv s="6">
    <fb>2.57</fb>
    <v>11</v>
  </rv>
  <rv s="6">
    <fb>6878335960</fb>
    <v>12</v>
  </rv>
  <rv s="6">
    <fb>2.5775000000000001</fb>
    <v>11</v>
  </rv>
  <rv s="6">
    <fb>2.61</fb>
    <v>11</v>
  </rv>
  <rv s="6">
    <fb>2.6593</fb>
    <v>11</v>
  </rv>
  <rv s="6">
    <fb>2.4845000000000002</fb>
    <v>11</v>
  </rv>
  <rv s="6">
    <fb>4508367200</fb>
    <v>12</v>
  </rv>
  <rv s="6">
    <fb>2.5857999999999999</fb>
    <v>11</v>
  </rv>
  <rv s="6">
    <fb>2.5874999999999999</fb>
    <v>11</v>
  </rv>
  <rv s="6">
    <fb>2.7298</fb>
    <v>11</v>
  </rv>
  <rv s="6">
    <fb>2.5405000000000002</fb>
    <v>11</v>
  </rv>
  <rv s="6">
    <fb>3406269560</fb>
    <v>12</v>
  </rv>
  <rv s="6">
    <fb>2.6002999999999998</fb>
    <v>11</v>
  </rv>
  <rv s="6">
    <fb>2.5750000000000002</fb>
    <v>11</v>
  </rv>
  <rv s="6">
    <fb>2.67</fb>
    <v>11</v>
  </rv>
  <rv s="6">
    <fb>2.4777999999999998</fb>
    <v>11</v>
  </rv>
  <rv s="6">
    <fb>2371928360</fb>
    <v>12</v>
  </rv>
  <rv s="6">
    <fb>2.7942999999999998</fb>
    <v>11</v>
  </rv>
  <rv s="6">
    <fb>2.5950000000000002</fb>
    <v>11</v>
  </rv>
  <rv s="6">
    <fb>2.7972999999999999</fb>
    <v>11</v>
  </rv>
  <rv s="6">
    <fb>2.5924999999999998</fb>
    <v>11</v>
  </rv>
  <rv s="6">
    <fb>2252132320</fb>
    <v>12</v>
  </rv>
  <rv s="6">
    <fb>2.8595000000000002</fb>
    <v>11</v>
  </rv>
  <rv s="6">
    <fb>2.7730000000000001</fb>
    <v>11</v>
  </rv>
  <rv s="6">
    <fb>2.8975</fb>
    <v>11</v>
  </rv>
  <rv s="6">
    <fb>2.6978</fb>
    <v>11</v>
  </rv>
  <rv s="6">
    <fb>2304748160</fb>
    <v>12</v>
  </rv>
  <rv s="6">
    <fb>2.8405</fb>
    <v>11</v>
  </rv>
  <rv s="6">
    <fb>2.85</fb>
    <v>11</v>
  </rv>
  <rv s="6">
    <fb>3.0230000000000001</fb>
    <v>11</v>
  </rv>
  <rv s="6">
    <fb>2.8149999999999999</fb>
    <v>11</v>
  </rv>
  <rv s="6">
    <fb>4196231120</fb>
    <v>12</v>
  </rv>
  <rv s="6">
    <fb>2.6808000000000001</fb>
    <v>11</v>
  </rv>
  <rv s="6">
    <fb>2.8348</fb>
    <v>11</v>
  </rv>
  <rv s="6">
    <fb>2.8494999999999999</fb>
    <v>11</v>
  </rv>
  <rv s="6">
    <fb>2.6198000000000001</fb>
    <v>11</v>
  </rv>
  <rv s="6">
    <fb>3615288840</fb>
    <v>12</v>
  </rv>
  <rv s="6">
    <fb>2.5365000000000002</fb>
    <v>11</v>
  </rv>
  <rv s="6">
    <fb>2.7058</fb>
    <v>11</v>
  </rv>
  <rv s="6">
    <fb>2.7949999999999999</fb>
    <v>11</v>
  </rv>
  <rv s="6">
    <fb>2.3925000000000001</fb>
    <v>11</v>
  </rv>
  <rv s="6">
    <fb>3608513960</fb>
    <v>12</v>
  </rv>
  <rv s="6">
    <fb>2.4607999999999999</fb>
    <v>11</v>
  </rv>
  <rv s="6">
    <fb>2.5550000000000002</fb>
    <v>11</v>
  </rv>
  <rv s="6">
    <fb>2.63</fb>
    <v>11</v>
  </rv>
  <rv s="6">
    <fb>2.4055</fb>
    <v>11</v>
  </rv>
  <rv s="6">
    <fb>3465353120</fb>
    <v>12</v>
  </rv>
  <rv s="6">
    <fb>2.4780000000000002</fb>
    <v>11</v>
  </rv>
  <rv s="6">
    <fb>2.4239999999999999</fb>
    <v>11</v>
  </rv>
  <rv s="6">
    <fb>2.5325000000000002</fb>
    <v>11</v>
  </rv>
  <rv s="6">
    <fb>2.3793000000000002</fb>
    <v>11</v>
  </rv>
  <rv s="6">
    <fb>3103479280</fb>
    <v>12</v>
  </rv>
  <rv s="6">
    <fb>2.6518000000000002</fb>
    <v>11</v>
  </rv>
  <rv s="6">
    <fb>2.4885000000000002</fb>
    <v>11</v>
  </rv>
  <rv s="6">
    <fb>2.653</fb>
    <v>11</v>
  </rv>
  <rv s="6">
    <fb>2.4878</fb>
    <v>11</v>
  </rv>
  <rv s="6">
    <fb>3553973320</fb>
    <v>12</v>
  </rv>
  <rv s="6">
    <fb>2.6867999999999999</fb>
    <v>11</v>
  </rv>
  <rv s="6">
    <fb>2.6695000000000002</fb>
    <v>11</v>
  </rv>
  <rv s="6">
    <fb>2.7490000000000001</fb>
    <v>11</v>
  </rv>
  <rv s="6">
    <fb>2.6324999999999998</fb>
    <v>11</v>
  </rv>
  <rv s="6">
    <fb>3252257960</fb>
    <v>12</v>
  </rv>
  <rv s="6">
    <fb>2.7233000000000001</fb>
    <v>11</v>
  </rv>
  <rv s="6">
    <fb>2.6395</fb>
    <v>11</v>
  </rv>
  <rv s="6">
    <fb>2.75</fb>
    <v>11</v>
  </rv>
  <rv s="6">
    <fb>2.5893999999999999</fb>
    <v>11</v>
  </rv>
  <rv s="6">
    <fb>2255420560</fb>
    <v>12</v>
  </rv>
  <rv s="6">
    <fb>2.5083000000000002</fb>
    <v>11</v>
  </rv>
  <rv s="6">
    <fb>2.7238000000000002</fb>
    <v>11</v>
  </rv>
  <rv s="6">
    <fb>2.7412999999999998</fb>
    <v>11</v>
  </rv>
  <rv s="6">
    <fb>2.4603000000000002</fb>
    <v>11</v>
  </rv>
  <rv s="6">
    <fb>3527748120</fb>
    <v>12</v>
  </rv>
  <rv s="6">
    <fb>2.3873000000000002</fb>
    <v>11</v>
  </rv>
  <rv s="6">
    <fb>2.5089999999999999</fb>
    <v>11</v>
  </rv>
  <rv s="6">
    <fb>2.5158</fb>
    <v>11</v>
  </rv>
  <rv s="6">
    <fb>2295466080</fb>
    <v>12</v>
  </rv>
  <rv s="6">
    <fb>2.5419999999999998</fb>
    <v>11</v>
  </rv>
  <rv s="6">
    <fb>2.4003000000000001</fb>
    <v>11</v>
  </rv>
  <rv s="6">
    <fb>2.5448</fb>
    <v>11</v>
  </rv>
  <rv s="6">
    <fb>2.395</fb>
    <v>11</v>
  </rv>
  <rv s="6">
    <fb>1994146240</fb>
    <v>12</v>
  </rv>
  <rv s="6">
    <fb>2.6074999999999999</fb>
    <v>11</v>
  </rv>
  <rv s="6">
    <fb>2.5739999999999998</fb>
    <v>11</v>
  </rv>
  <rv s="6">
    <fb>2.6495000000000002</fb>
    <v>11</v>
  </rv>
  <rv s="6">
    <fb>2.5528</fb>
    <v>11</v>
  </rv>
  <rv s="6">
    <fb>1755209160</fb>
    <v>12</v>
  </rv>
  <rv s="6">
    <fb>2.5964999999999998</fb>
    <v>11</v>
  </rv>
  <rv s="6">
    <fb>2.6185</fb>
    <v>11</v>
  </rv>
  <rv s="6">
    <fb>2.6713</fb>
    <v>11</v>
  </rv>
  <rv s="6">
    <fb>2.5640000000000001</fb>
    <v>11</v>
  </rv>
  <rv s="6">
    <fb>1712828840</fb>
    <v>12</v>
  </rv>
  <rv s="6">
    <fb>3.1972999999999998</fb>
    <v>11</v>
  </rv>
  <rv s="6">
    <fb>2.6084999999999998</fb>
    <v>11</v>
  </rv>
  <rv s="6">
    <fb>3.2608000000000001</fb>
    <v>11</v>
  </rv>
  <rv s="6">
    <fb>2.5577999999999999</fb>
    <v>11</v>
  </rv>
  <rv s="6">
    <fb>6244419320</fb>
    <v>12</v>
  </rv>
  <rv s="6">
    <fb>3.4</fb>
    <v>11</v>
  </rv>
  <rv s="6">
    <fb>3.2389999999999999</fb>
    <v>11</v>
  </rv>
  <rv s="6">
    <fb>3.4554999999999998</fb>
    <v>11</v>
  </rv>
  <rv s="6">
    <fb>3.1762999999999999</fb>
    <v>11</v>
  </rv>
  <rv s="6">
    <fb>5654008200</fb>
    <v>12</v>
  </rv>
  <rv s="6">
    <fb>3.5459999999999998</fb>
    <v>11</v>
  </rv>
  <rv s="6">
    <fb>3.4443000000000001</fb>
    <v>11</v>
  </rv>
  <rv s="6">
    <fb>3.6320000000000001</fb>
    <v>11</v>
  </rv>
  <rv s="6">
    <fb>3.3927999999999998</fb>
    <v>11</v>
  </rv>
  <rv s="6">
    <fb>3722606600</fb>
    <v>12</v>
  </rv>
  <rv s="6">
    <fb>3.5910000000000002</fb>
    <v>11</v>
  </rv>
  <rv s="6">
    <fb>3.5924999999999998</fb>
    <v>11</v>
  </rv>
  <rv s="6">
    <fb>3.6749999999999998</fb>
    <v>11</v>
  </rv>
  <rv s="6">
    <fb>3.5512999999999999</fb>
    <v>11</v>
  </rv>
  <rv s="6">
    <fb>2867763720</fb>
    <v>12</v>
  </rv>
  <rv s="6">
    <fb>3.74</fb>
    <v>11</v>
  </rv>
  <rv s="6">
    <fb>3.5745</fb>
    <v>11</v>
  </rv>
  <rv s="6">
    <fb>4.2125000000000004</fb>
    <v>11</v>
  </rv>
  <rv s="6">
    <fb>3.5628000000000002</fb>
    <v>11</v>
  </rv>
  <rv s="6">
    <fb>7043389000</fb>
    <v>12</v>
  </rv>
  <rv s="6">
    <fb>3.7905000000000002</fb>
    <v>11</v>
  </rv>
  <rv s="6">
    <fb>3.6469999999999998</fb>
    <v>11</v>
  </rv>
  <rv s="6">
    <fb>3.8693</fb>
    <v>11</v>
  </rv>
  <rv s="6">
    <fb>3.5528</fb>
    <v>11</v>
  </rv>
  <rv s="6">
    <fb>6443458320</fb>
    <v>12</v>
  </rv>
  <rv s="6">
    <fb>3.8458000000000001</fb>
    <v>11</v>
  </rv>
  <rv s="6">
    <fb>3.8353000000000002</fb>
    <v>11</v>
  </rv>
  <rv s="6">
    <fb>4.0434999999999999</fb>
    <v>11</v>
  </rv>
  <rv s="6">
    <fb>3.8304999999999998</fb>
    <v>11</v>
  </rv>
  <rv s="6">
    <fb>4113993200</fb>
    <v>12</v>
  </rv>
  <rv s="6">
    <fb>3.6139999999999999</fb>
    <v>11</v>
  </rv>
  <rv s="6">
    <fb>3.879</fb>
    <v>11</v>
  </rv>
  <rv s="6">
    <fb>3.915</fb>
    <v>11</v>
  </rv>
  <rv s="6">
    <fb>3.5874999999999999</fb>
    <v>11</v>
  </rv>
  <rv s="6">
    <fb>4853885800</fb>
    <v>12</v>
  </rv>
  <rv s="6">
    <fb>3.669</fb>
    <v>11</v>
  </rv>
  <rv s="6">
    <fb>3.6263000000000001</fb>
    <v>11</v>
  </rv>
  <rv s="6">
    <fb>3.6875</fb>
    <v>11</v>
  </rv>
  <rv s="6">
    <fb>3.4645000000000001</fb>
    <v>11</v>
  </rv>
  <rv s="6">
    <fb>2930519720</fb>
    <v>12</v>
  </rv>
  <rv s="6">
    <fb>4.1238000000000001</fb>
    <v>11</v>
  </rv>
  <rv s="6">
    <fb>3.7435</fb>
    <v>11</v>
  </rv>
  <rv s="6">
    <fb>4.1574999999999998</fb>
    <v>11</v>
  </rv>
  <rv s="6">
    <fb>3.7170999999999998</fb>
    <v>11</v>
  </rv>
  <rv s="6">
    <fb>5172736240</fb>
    <v>12</v>
  </rv>
  <rv s="6">
    <fb>4.2024999999999997</fb>
    <v>11</v>
  </rv>
  <rv s="6">
    <fb>4.1582999999999997</fb>
    <v>11</v>
  </rv>
  <rv s="6">
    <fb>4.2324999999999999</fb>
    <v>11</v>
  </rv>
  <rv s="6">
    <fb>4.0324999999999998</fb>
    <v>11</v>
  </rv>
  <rv s="6">
    <fb>3742401280</fb>
    <v>12</v>
  </rv>
  <rv s="6">
    <fb>4.1097999999999999</fb>
    <v>11</v>
  </rv>
  <rv s="6">
    <fb>4.2098000000000004</fb>
    <v>11</v>
  </rv>
  <rv s="6">
    <fb>4.2481999999999998</fb>
    <v>11</v>
  </rv>
  <rv s="6">
    <fb>3.9390000000000001</fb>
    <v>11</v>
  </rv>
  <rv s="6">
    <fb>3085687080</fb>
    <v>12</v>
  </rv>
  <rv s="6">
    <fb>4.1802999999999999</fb>
    <v>11</v>
  </rv>
  <rv s="6">
    <fb>4.1234999999999999</fb>
    <v>11</v>
  </rv>
  <rv s="6">
    <fb>4.2518000000000002</fb>
    <v>11</v>
  </rv>
  <rv s="6">
    <fb>4.0155000000000003</fb>
    <v>11</v>
  </rv>
  <rv s="6">
    <fb>2501014240</fb>
    <v>12</v>
  </rv>
  <rv s="6">
    <fb>3.899</fb>
    <v>11</v>
  </rv>
  <rv s="6">
    <fb>4.3639999999999999</fb>
    <v>11</v>
  </rv>
  <rv s="6">
    <fb>3.8228</fb>
    <v>11</v>
  </rv>
  <rv s="6">
    <fb>4828812600</fb>
    <v>12</v>
  </rv>
  <rv s="6">
    <fb>4.0374999999999996</fb>
    <v>11</v>
  </rv>
  <rv s="6">
    <fb>3.9918</fb>
    <v>11</v>
  </rv>
  <rv s="6">
    <fb>4.2417999999999996</fb>
    <v>11</v>
  </rv>
  <rv s="6">
    <fb>3.98</fb>
    <v>11</v>
  </rv>
  <rv s="6">
    <fb>3766830480</fb>
    <v>12</v>
  </rv>
  <rv s="6">
    <fb>4.0952999999999999</fb>
    <v>11</v>
  </rv>
  <rv s="6">
    <fb>4.0622999999999996</fb>
    <v>11</v>
  </rv>
  <rv s="6">
    <fb>4.1820000000000004</fb>
    <v>11</v>
  </rv>
  <rv s="6">
    <fb>3.9342999999999999</fb>
    <v>11</v>
  </rv>
  <rv s="6">
    <fb>2480547560</fb>
    <v>12</v>
  </rv>
  <rv s="6">
    <fb>4.2614999999999998</fb>
    <v>11</v>
  </rv>
  <rv s="6">
    <fb>4.1144999999999996</fb>
    <v>11</v>
  </rv>
  <rv s="6">
    <fb>4.2975000000000003</fb>
    <v>11</v>
  </rv>
  <rv s="6">
    <fb>4.0564999999999998</fb>
    <v>11</v>
  </rv>
  <rv s="6">
    <fb>2156107240</fb>
    <v>12</v>
  </rv>
  <rv s="6">
    <fb>4.0922999999999998</fb>
    <v>11</v>
  </rv>
  <rv s="6">
    <fb>4.2095000000000002</fb>
    <v>11</v>
  </rv>
  <rv s="6">
    <fb>4.2145999999999999</fb>
    <v>11</v>
  </rv>
  <rv s="6">
    <fb>4.0678000000000001</fb>
    <v>11</v>
  </rv>
  <rv s="6">
    <fb>1946091960</fb>
    <v>12</v>
  </rv>
  <rv s="6">
    <fb>4.5027999999999997</fb>
    <v>11</v>
  </rv>
  <rv s="6">
    <fb>4.1384999999999996</fb>
    <v>11</v>
  </rv>
  <rv s="6">
    <fb>4.133</fb>
    <v>11</v>
  </rv>
  <rv s="6">
    <fb>3438394200</fb>
    <v>12</v>
  </rv>
  <rv s="6">
    <fb>4.4749999999999996</fb>
    <v>11</v>
  </rv>
  <rv s="6">
    <fb>4.6284999999999998</fb>
    <v>11</v>
  </rv>
  <rv s="6">
    <fb>4.78</fb>
    <v>11</v>
  </rv>
  <rv s="6">
    <fb>4.4402999999999997</fb>
    <v>11</v>
  </rv>
  <rv s="6">
    <fb>4850490640</fb>
    <v>12</v>
  </rv>
  <rv s="6">
    <fb>4.4692999999999996</fb>
    <v>11</v>
  </rv>
  <rv s="6">
    <fb>4.4438000000000004</fb>
    <v>11</v>
  </rv>
  <rv s="6">
    <fb>4.4932999999999996</fb>
    <v>11</v>
  </rv>
  <rv s="6">
    <fb>4.2539999999999996</fb>
    <v>11</v>
  </rv>
  <rv s="6">
    <fb>3768252480</fb>
    <v>12</v>
  </rv>
  <rv s="6">
    <fb>4.5324999999999998</fb>
    <v>11</v>
  </rv>
  <rv s="6">
    <fb>4.5199999999999996</fb>
    <v>11</v>
  </rv>
  <rv s="6">
    <fb>4.55</fb>
    <v>11</v>
  </rv>
  <rv s="6">
    <fb>4.4249999999999998</fb>
    <v>11</v>
  </rv>
  <rv s="6">
    <fb>2077820400</fb>
    <v>12</v>
  </rv>
  <rv s="6">
    <fb>4.8647999999999998</fb>
    <v>11</v>
  </rv>
  <rv s="6">
    <fb>4.5697999999999999</fb>
    <v>11</v>
  </rv>
  <rv s="6">
    <fb>4.875</fb>
    <v>11</v>
  </rv>
  <rv s="6">
    <fb>4.5507999999999997</fb>
    <v>11</v>
  </rv>
  <rv s="6">
    <fb>3224898240</fb>
    <v>12</v>
  </rv>
  <rv s="6">
    <fb>4.9225000000000003</fb>
    <v>11</v>
  </rv>
  <rv s="6">
    <fb>4.8949999999999996</fb>
    <v>11</v>
  </rv>
  <rv s="6">
    <fb>4.9897999999999998</fb>
    <v>11</v>
  </rv>
  <rv s="6">
    <fb>4.8113000000000001</fb>
    <v>11</v>
  </rv>
  <rv s="6">
    <fb>2644937880</fb>
    <v>12</v>
  </rv>
  <rv s="6">
    <fb>5.0465</fb>
    <v>11</v>
  </rv>
  <rv s="6">
    <fb>4.9444999999999997</fb>
    <v>11</v>
  </rv>
  <rv s="6">
    <fb>5.0468000000000002</fb>
    <v>11</v>
  </rv>
  <rv s="6">
    <fb>4.7793000000000001</fb>
    <v>11</v>
  </rv>
  <rv s="6">
    <fb>2559037440</fb>
    <v>12</v>
  </rv>
  <rv s="6">
    <fb>5.2172999999999998</fb>
    <v>11</v>
  </rv>
  <rv s="6">
    <fb>5.2492999999999999</fb>
    <v>11</v>
  </rv>
  <rv s="6">
    <fb>5.0305</fb>
    <v>11</v>
  </rv>
  <rv s="6">
    <fb>2114493280</fb>
    <v>12</v>
  </rv>
  <rv s="6">
    <fb>5.4035000000000002</fb>
    <v>11</v>
  </rv>
  <rv s="6">
    <fb>5.18</fb>
    <v>11</v>
  </rv>
  <rv s="6">
    <fb>5.4668000000000001</fb>
    <v>11</v>
  </rv>
  <rv s="6">
    <fb>5.0092999999999996</fb>
    <v>11</v>
  </rv>
  <rv s="6">
    <fb>3572452160</fb>
    <v>12</v>
  </rv>
  <rv s="6">
    <fb>5.2839999999999998</fb>
    <v>11</v>
  </rv>
  <rv s="6">
    <fb>5.4292999999999996</fb>
    <v>11</v>
  </rv>
  <rv s="6">
    <fb>5.1950000000000003</fb>
    <v>11</v>
  </rv>
  <rv s="6">
    <fb>2571048560</fb>
    <v>12</v>
  </rv>
  <rv s="6">
    <fb>5.4240000000000004</fb>
    <v>11</v>
  </rv>
  <rv s="6">
    <fb>5.2998000000000003</fb>
    <v>11</v>
  </rv>
  <rv s="6">
    <fb>5.4249999999999998</fb>
    <v>11</v>
  </rv>
  <rv s="6">
    <fb>5.2625000000000002</fb>
    <v>11</v>
  </rv>
  <rv s="6">
    <fb>1332666680</fb>
    <v>12</v>
  </rv>
  <rv s="6">
    <fb>4.9420000000000002</fb>
    <v>11</v>
  </rv>
  <rv s="6">
    <fb>5.4328000000000003</fb>
    <v>11</v>
  </rv>
  <rv s="6">
    <fb>5.4340000000000002</fb>
    <v>11</v>
  </rv>
  <rv s="6">
    <fb>4.7808000000000002</fb>
    <v>11</v>
  </rv>
  <rv s="6">
    <fb>3967754240</fb>
    <v>12</v>
  </rv>
  <rv s="6">
    <fb>4.7873000000000001</fb>
    <v>11</v>
  </rv>
  <rv s="6">
    <fb>5.0012999999999996</fb>
    <v>11</v>
  </rv>
  <rv s="6">
    <fb>5.0075000000000003</fb>
    <v>11</v>
  </rv>
  <rv s="6">
    <fb>4.5145</fb>
    <v>11</v>
  </rv>
  <rv s="6">
    <fb>3698836840</fb>
    <v>12</v>
  </rv>
  <rv s="6">
    <fb>4.7889999999999997</fb>
    <v>11</v>
  </rv>
  <rv s="6">
    <fb>4.8014999999999999</fb>
    <v>11</v>
  </rv>
  <rv s="6">
    <fb>4.8695000000000004</fb>
    <v>11</v>
  </rv>
  <rv s="6">
    <fb>4.6150000000000002</fb>
    <v>11</v>
  </rv>
  <rv s="6">
    <fb>2490244480</fb>
    <v>12</v>
  </rv>
  <rv s="6">
    <fb>4.8818000000000001</fb>
    <v>11</v>
  </rv>
  <rv s="6">
    <fb>4.83</fb>
    <v>11</v>
  </rv>
  <rv s="6">
    <fb>4.9518000000000004</fb>
    <v>11</v>
  </rv>
  <rv s="6">
    <fb>4.7812999999999999</fb>
    <v>11</v>
  </rv>
  <rv s="6">
    <fb>1906800160</fb>
    <v>12</v>
  </rv>
  <rv s="6">
    <fb>4.8375000000000004</fb>
    <v>11</v>
  </rv>
  <rv s="6">
    <fb>4.8258000000000001</fb>
    <v>11</v>
  </rv>
  <rv s="6">
    <fb>4.9992999999999999</fb>
    <v>11</v>
  </rv>
  <rv s="6">
    <fb>4.7954999999999997</fb>
    <v>11</v>
  </rv>
  <rv s="6">
    <fb>1204784800</fb>
    <v>12</v>
  </rv>
  <rv s="6">
    <fb>5.3849999999999998</fb>
    <v>11</v>
  </rv>
  <rv s="6">
    <fb>4.8944999999999999</fb>
    <v>11</v>
  </rv>
  <rv s="6">
    <fb>5.4512999999999998</fb>
    <v>11</v>
  </rv>
  <rv s="6">
    <fb>4.8624999999999998</fb>
    <v>11</v>
  </rv>
  <rv s="6">
    <fb>2433713240</fb>
    <v>12</v>
  </rv>
  <rv s="6">
    <fb>5.5744999999999996</fb>
    <v>11</v>
  </rv>
  <rv s="6">
    <fb>5.51</fb>
    <v>11</v>
  </rv>
  <rv s="6">
    <fb>5.6567999999999996</fb>
    <v>11</v>
  </rv>
  <rv s="6">
    <fb>5.4</fb>
    <v>11</v>
  </rv>
  <rv s="6">
    <fb>2726828480</fb>
    <v>12</v>
  </rv>
  <rv s="6">
    <fb>5.7527999999999997</fb>
    <v>11</v>
  </rv>
  <rv s="6">
    <fb>5.6013000000000002</fb>
    <v>11</v>
  </rv>
  <rv s="6">
    <fb>5.7773000000000003</fb>
    <v>11</v>
  </rv>
  <rv s="6">
    <fb>5.4173</fb>
    <v>11</v>
  </rv>
  <rv s="6">
    <fb>2258769440</fb>
    <v>12</v>
  </rv>
  <rv s="6">
    <fb>6.0833000000000004</fb>
    <v>11</v>
  </rv>
  <rv s="6">
    <fb>5.7607999999999997</fb>
    <v>11</v>
  </rv>
  <rv s="6">
    <fb>6.0834999999999999</fb>
    <v>11</v>
  </rv>
  <rv s="6">
    <fb>5.7024999999999997</fb>
    <v>11</v>
  </rv>
  <rv s="6">
    <fb>2532380800</fb>
    <v>12</v>
  </rv>
  <rv s="6">
    <fb>5.8380000000000001</fb>
    <v>11</v>
  </rv>
  <rv s="6">
    <fb>6.0685000000000002</fb>
    <v>11</v>
  </rv>
  <rv s="6">
    <fb>6.2317999999999998</fb>
    <v>11</v>
  </rv>
  <rv s="6">
    <fb>5.7793000000000001</fb>
    <v>11</v>
  </rv>
  <rv s="6">
    <fb>2742210720</fb>
    <v>12</v>
  </rv>
  <rv s="6">
    <fb>5.8019999999999996</fb>
    <v>11</v>
  </rv>
  <rv s="6">
    <fb>5.6749999999999998</fb>
    <v>11</v>
  </rv>
  <rv s="6">
    <fb>5.9722999999999997</fb>
    <v>11</v>
  </rv>
  <rv s="6">
    <fb>5.0999999999999996</fb>
    <v>11</v>
  </rv>
  <rv s="6">
    <fb>5901541600</fb>
    <v>12</v>
  </rv>
  <rv s="6">
    <fb>6.0960000000000001</fb>
    <v>11</v>
  </rv>
  <rv s="6">
    <fb>5.8838999999999997</fb>
    <v>11</v>
  </rv>
  <rv s="6">
    <fb>6.25</fb>
    <v>11</v>
  </rv>
  <rv s="6">
    <fb>5.6257999999999999</fb>
    <v>11</v>
  </rv>
  <rv s="6">
    <fb>3800246040</fb>
    <v>12</v>
  </rv>
  <rv s="6">
    <fb>6.1482999999999999</fb>
    <v>11</v>
  </rv>
  <rv s="6">
    <fb>6.1188000000000002</fb>
    <v>11</v>
  </rv>
  <rv s="6">
    <fb>6.2991999999999999</fb>
    <v>11</v>
  </rv>
  <rv s="6">
    <fb>5.9874999999999998</fb>
    <v>11</v>
  </rv>
  <rv s="6">
    <fb>2528197960</fb>
    <v>12</v>
  </rv>
  <rv s="6">
    <fb>5.9135</fb>
    <v>11</v>
  </rv>
  <rv s="6">
    <fb>6.1950000000000003</fb>
    <v>11</v>
  </rv>
  <rv s="6">
    <fb>6.2228000000000003</fb>
    <v>11</v>
  </rv>
  <rv s="6">
    <fb>5.5462999999999996</fb>
    <v>11</v>
  </rv>
  <rv s="6">
    <fb>3401411120</fb>
    <v>12</v>
  </rv>
  <rv s="6">
    <fb>6.1333000000000002</fb>
    <v>11</v>
  </rv>
  <rv s="6">
    <fb>5.8628</fb>
    <v>11</v>
  </rv>
  <rv s="6">
    <fb>6.1463000000000001</fb>
    <v>11</v>
  </rv>
  <rv s="6">
    <fb>5.7380000000000004</fb>
    <v>11</v>
  </rv>
  <rv s="6">
    <fb>2756231640</fb>
    <v>12</v>
  </rv>
  <rv s="6">
    <fb>6.2619999999999996</fb>
    <v>11</v>
  </rv>
  <rv s="6">
    <fb>6.1749999999999998</fb>
    <v>11</v>
  </rv>
  <rv s="6">
    <fb>6.3624999999999998</fb>
    <v>11</v>
  </rv>
  <rv s="6">
    <fb>6.1509999999999998</fb>
    <v>11</v>
  </rv>
  <rv s="6">
    <fb>2531739200</fb>
    <v>12</v>
  </rv>
  <rv s="6">
    <fb>5.8243</fb>
    <v>11</v>
  </rv>
  <rv s="6">
    <fb>6.2045000000000003</fb>
    <v>11</v>
  </rv>
  <rv s="6">
    <fb>6.3</fb>
    <v>11</v>
  </rv>
  <rv s="6">
    <fb>5.8129999999999997</fb>
    <v>11</v>
  </rv>
  <rv s="6">
    <fb>2993973720</fb>
    <v>12</v>
  </rv>
  <rv s="6">
    <fb>5.7897999999999996</fb>
    <v>11</v>
  </rv>
  <rv s="6">
    <fb>5.95</fb>
    <v>11</v>
  </rv>
  <rv s="6">
    <fb>3882959680</fb>
    <v>12</v>
  </rv>
  <rv s="6">
    <fb>5.3563000000000001</fb>
    <v>11</v>
  </rv>
  <rv s="6">
    <fb>5.7184999999999997</fb>
    <v>11</v>
  </rv>
  <rv s="6">
    <fb>5.8662999999999998</fb>
    <v>11</v>
  </rv>
  <rv s="6">
    <fb>5.3268000000000004</fb>
    <v>11</v>
  </rv>
  <rv s="6">
    <fb>3742917120</fb>
    <v>12</v>
  </rv>
  <rv s="6">
    <fb>5.7874999999999996</fb>
    <v>11</v>
  </rv>
  <rv s="6">
    <fb>5.42</fb>
    <v>11</v>
  </rv>
  <rv s="6">
    <fb>5.9378000000000002</fb>
    <v>11</v>
  </rv>
  <rv s="6">
    <fb>5.3650000000000002</fb>
    <v>11</v>
  </rv>
  <rv s="6">
    <fb>2821473040</fb>
    <v>12</v>
  </rv>
  <rv s="6">
    <fb>5.7178000000000004</fb>
    <v>11</v>
  </rv>
  <rv s="6">
    <fb>5.7942999999999998</fb>
    <v>11</v>
  </rv>
  <rv s="6">
    <fb>5.9813000000000001</fb>
    <v>11</v>
  </rv>
  <rv s="6">
    <fb>5.67</fb>
    <v>11</v>
  </rv>
  <rv s="6">
    <fb>2045685240</fb>
    <v>12</v>
  </rv>
  <rv s="6">
    <fb>5.6582999999999997</fb>
    <v>11</v>
  </rv>
  <rv s="6">
    <fb>5.7358000000000002</fb>
    <v>11</v>
  </rv>
  <rv s="6">
    <fb>5.2575000000000003</fb>
    <v>11</v>
  </rv>
  <rv s="6">
    <fb>2207271160</fb>
    <v>12</v>
  </rv>
  <rv s="6">
    <fb>5.9764999999999997</fb>
    <v>11</v>
  </rv>
  <rv s="6">
    <fb>5.6748000000000003</fb>
    <v>11</v>
  </rv>
  <rv s="6">
    <fb>5.9797000000000002</fb>
    <v>11</v>
  </rv>
  <rv s="6">
    <fb>5.5549999999999997</fb>
    <v>11</v>
  </rv>
  <rv s="6">
    <fb>1693686280</fb>
    <v>12</v>
  </rv>
  <rv s="6">
    <fb>6.3632999999999997</fb>
    <v>11</v>
  </rv>
  <rv s="6">
    <fb>6.0823999999999998</fb>
    <v>11</v>
  </rv>
  <rv s="6">
    <fb>6.5125000000000002</fb>
    <v>11</v>
  </rv>
  <rv s="6">
    <fb>6.0723000000000003</fb>
    <v>11</v>
  </rv>
  <rv s="6">
    <fb>3999526680</fb>
    <v>12</v>
  </rv>
  <rv s="6">
    <fb>6.1485000000000003</fb>
    <v>11</v>
  </rv>
  <rv s="6">
    <fb>6.4017999999999997</fb>
    <v>11</v>
  </rv>
  <rv s="6">
    <fb>6.4622999999999999</fb>
    <v>11</v>
  </rv>
  <rv s="6">
    <fb>6.0374999999999996</fb>
    <v>11</v>
  </rv>
  <rv s="6">
    <fb>3043997600</fb>
    <v>12</v>
  </rv>
  <rv s="6">
    <fb>6.2320000000000002</fb>
    <v>11</v>
  </rv>
  <rv s="6">
    <fb>6.2469999999999999</fb>
    <v>11</v>
  </rv>
  <rv s="6">
    <fb>6.2507999999999999</fb>
    <v>11</v>
  </rv>
  <rv s="6">
    <fb>6.0063000000000004</fb>
    <v>11</v>
  </rv>
  <rv s="6">
    <fb>2331330400</fb>
    <v>12</v>
  </rv>
  <rv s="6">
    <fb>6.4405000000000001</fb>
    <v>11</v>
  </rv>
  <rv s="6">
    <fb>6.2138</fb>
    <v>11</v>
  </rv>
  <rv s="6">
    <fb>6.4467999999999996</fb>
    <v>11</v>
  </rv>
  <rv s="6">
    <fb>6.1675000000000004</fb>
    <v>11</v>
  </rv>
  <rv s="6">
    <fb>1659516160</fb>
    <v>12</v>
  </rv>
  <rv s="6">
    <fb>6.5570000000000004</fb>
    <v>11</v>
  </rv>
  <rv s="6">
    <fb>6.4749999999999996</fb>
    <v>11</v>
  </rv>
  <rv s="6">
    <fb>6.6647999999999996</fb>
    <v>11</v>
  </rv>
  <rv s="6">
    <fb>6.4424999999999999</fb>
    <v>11</v>
  </rv>
  <rv s="6">
    <fb>2134998280</fb>
    <v>12</v>
  </rv>
  <rv s="6">
    <fb>6.6315</fb>
    <v>11</v>
  </rv>
  <rv s="6">
    <fb>6.5442999999999998</fb>
    <v>11</v>
  </rv>
  <rv s="6">
    <fb>6.73</fb>
    <v>11</v>
  </rv>
  <rv s="6">
    <fb>6.4915000000000003</fb>
    <v>11</v>
  </rv>
  <rv s="6">
    <fb>1785011840</fb>
    <v>12</v>
  </rv>
  <rv s="6">
    <fb>6.2737999999999996</fb>
    <v>11</v>
  </rv>
  <rv s="6">
    <fb>6.5869999999999997</fb>
    <v>11</v>
  </rv>
  <rv s="6">
    <fb>6.6449999999999996</fb>
    <v>11</v>
  </rv>
  <rv s="6">
    <fb>6.2583000000000002</fb>
    <v>11</v>
  </rv>
  <rv s="6">
    <fb>2114654080</fb>
    <v>12</v>
  </rv>
  <rv s="6">
    <fb>5.9225000000000003</fb>
    <v>11</v>
  </rv>
  <rv s="6">
    <fb>6.1662999999999997</fb>
    <v>11</v>
  </rv>
  <rv s="6">
    <fb>6.17</fb>
    <v>11</v>
  </rv>
  <rv s="6">
    <fb>5.8753000000000002</fb>
    <v>11</v>
  </rv>
  <rv s="6">
    <fb>2328905800</fb>
    <v>12</v>
  </rv>
  <rv s="6">
    <fb>6.1833</fb>
    <v>11</v>
  </rv>
  <rv s="6">
    <fb>5.8522999999999996</fb>
    <v>11</v>
  </rv>
  <rv s="6">
    <fb>6.1916000000000002</fb>
    <v>11</v>
  </rv>
  <rv s="6">
    <fb>5.8315999999999999</fb>
    <v>11</v>
  </rv>
  <rv s="6">
    <fb>1182877720</fb>
    <v>12</v>
  </rv>
  <rv s="6">
    <fb>6.2329999999999997</fb>
    <v>11</v>
  </rv>
  <rv s="6">
    <fb>6.2582000000000004</fb>
    <v>11</v>
  </rv>
  <rv s="6">
    <fb>6.3535000000000004</fb>
    <v>11</v>
  </rv>
  <rv s="6">
    <fb>6.1517999999999997</fb>
    <v>11</v>
  </rv>
  <rv s="6">
    <fb>1624072920</fb>
    <v>12</v>
  </rv>
  <rv s="6">
    <fb>6.2723000000000004</fb>
    <v>11</v>
  </rv>
  <rv s="6">
    <fb>6.2050000000000001</fb>
    <v>11</v>
  </rv>
  <rv s="6">
    <fb>6.3574999999999999</fb>
    <v>11</v>
  </rv>
  <rv s="6">
    <fb>6.1295000000000002</fb>
    <v>11</v>
  </rv>
  <rv s="6">
    <fb>1295052240</fb>
    <v>12</v>
  </rv>
  <rv s="6">
    <fb>6.3005000000000004</fb>
    <v>11</v>
  </rv>
  <rv s="6">
    <fb>6.2454999999999998</fb>
    <v>11</v>
  </rv>
  <rv s="6">
    <fb>6.415</fb>
    <v>11</v>
  </rv>
  <rv s="6">
    <fb>6.0819999999999999</fb>
    <v>11</v>
  </rv>
  <rv s="6">
    <fb>1596935200</fb>
    <v>12</v>
  </rv>
  <rv s="6">
    <fb>6.3025000000000002</fb>
    <v>11</v>
  </rv>
  <rv s="6">
    <fb>6.3148</fb>
    <v>11</v>
  </rv>
  <rv s="6">
    <fb>6.3265000000000002</fb>
    <v>11</v>
  </rv>
  <rv s="6">
    <fb>6.0303000000000004</fb>
    <v>11</v>
  </rv>
  <rv s="6">
    <fb>1391840600</fb>
    <v>12</v>
  </rv>
  <rv s="6">
    <fb>6.3697999999999997</fb>
    <v>11</v>
  </rv>
  <rv s="6">
    <fb>6.2897999999999996</fb>
    <v>11</v>
  </rv>
  <rv s="6">
    <fb>6.5060000000000002</fb>
    <v>11</v>
  </rv>
  <rv s="6">
    <fb>6.2426000000000004</fb>
    <v>11</v>
  </rv>
  <rv s="6">
    <fb>1188640680</fb>
    <v>12</v>
  </rv>
  <rv s="6">
    <fb>6.1204999999999998</fb>
    <v>11</v>
  </rv>
  <rv s="6">
    <fb>6.3784999999999998</fb>
    <v>11</v>
  </rv>
  <rv s="6">
    <fb>6.5910000000000002</fb>
    <v>11</v>
  </rv>
  <rv s="6">
    <fb>6.0933000000000002</fb>
    <v>11</v>
  </rv>
  <rv s="6">
    <fb>3377008320</fb>
    <v>12</v>
  </rv>
  <rv s="6">
    <fb>6.8055000000000003</fb>
    <v>11</v>
  </rv>
  <rv s="6">
    <fb>6.0795000000000003</fb>
    <v>11</v>
  </rv>
  <rv s="6">
    <fb>6.8202999999999996</fb>
    <v>11</v>
  </rv>
  <rv s="6">
    <fb>5.968</fb>
    <v>11</v>
  </rv>
  <rv s="6">
    <fb>3529287920</fb>
    <v>12</v>
  </rv>
  <rv s="6">
    <fb>7.0170000000000003</fb>
    <v>11</v>
  </rv>
  <rv s="6">
    <fb>6.8354999999999997</fb>
    <v>11</v>
  </rv>
  <rv s="6">
    <fb>7.0429000000000004</fb>
    <v>11</v>
  </rv>
  <rv s="6">
    <fb>6.7382999999999997</fb>
    <v>11</v>
  </rv>
  <rv s="6">
    <fb>2054470120</fb>
    <v>12</v>
  </rv>
  <rv s="6">
    <fb>6.7965</fb>
    <v>11</v>
  </rv>
  <rv s="6">
    <fb>7.0038</fb>
    <v>11</v>
  </rv>
  <rv s="6">
    <fb>7.1304999999999996</fb>
    <v>11</v>
  </rv>
  <rv s="6">
    <fb>6.6798000000000002</fb>
    <v>11</v>
  </rv>
  <rv s="6">
    <fb>1403092120</fb>
    <v>12</v>
  </rv>
  <rv s="6">
    <fb>6.9108000000000001</fb>
    <v>11</v>
  </rv>
  <rv s="6">
    <fb>6.8193000000000001</fb>
    <v>11</v>
  </rv>
  <rv s="6">
    <fb>6.9775</fb>
    <v>11</v>
  </rv>
  <rv s="6">
    <fb>6.548</fb>
    <v>11</v>
  </rv>
  <rv s="6">
    <fb>1574812040</fb>
    <v>12</v>
  </rv>
  <rv s="6">
    <fb>6.5862999999999996</fb>
    <v>11</v>
  </rv>
  <rv s="6">
    <fb>6.8849999999999998</fb>
    <v>11</v>
  </rv>
  <rv s="6">
    <fb>6.9560000000000004</fb>
    <v>11</v>
  </rv>
  <rv s="6">
    <fb>6.5528000000000004</fb>
    <v>11</v>
  </rv>
  <rv s="6">
    <fb>1595616120</fb>
    <v>12</v>
  </rv>
  <rv s="6">
    <fb>7.0255000000000001</fb>
    <v>11</v>
  </rv>
  <rv s="6">
    <fb>6.5549999999999997</fb>
    <v>11</v>
  </rv>
  <rv s="6">
    <fb>7.0479000000000003</fb>
    <v>11</v>
  </rv>
  <rv s="6">
    <fb>6.4669999999999996</fb>
    <v>11</v>
  </rv>
  <rv s="6">
    <fb>1766675640</fb>
    <v>12</v>
  </rv>
  <rv s="6">
    <fb>6.7465000000000002</fb>
    <v>11</v>
  </rv>
  <rv s="6">
    <fb>7.1040000000000001</fb>
    <v>11</v>
  </rv>
  <rv s="6">
    <fb>7.319</fb>
    <v>11</v>
  </rv>
  <rv s="6">
    <fb>6.6885000000000003</fb>
    <v>11</v>
  </rv>
  <rv s="6">
    <fb>2144427600</fb>
    <v>12</v>
  </rv>
  <rv s="6">
    <fb>6.1635</fb>
    <v>11</v>
  </rv>
  <rv s="6">
    <fb>6.6624999999999996</fb>
    <v>11</v>
  </rv>
  <rv s="6">
    <fb>6.7789999999999999</fb>
    <v>11</v>
  </rv>
  <rv s="6">
    <fb>5.8564999999999996</fb>
    <v>11</v>
  </rv>
  <rv s="6">
    <fb>2700722320</fb>
    <v>12</v>
  </rv>
  <rv s="6">
    <fb>5.7293000000000003</fb>
    <v>11</v>
  </rv>
  <rv s="6">
    <fb>6.15</fb>
    <v>11</v>
  </rv>
  <rv s="6">
    <fb>5.6924999999999999</fb>
    <v>11</v>
  </rv>
  <rv s="6">
    <fb>2325773000</fb>
    <v>12</v>
  </rv>
  <rv s="6">
    <fb>4.9573</fb>
    <v>11</v>
  </rv>
  <rv s="6">
    <fb>5.782</fb>
    <v>11</v>
  </rv>
  <rv s="6">
    <fb>5.883</fb>
    <v>11</v>
  </rv>
  <rv s="6">
    <fb>4.8280000000000003</fb>
    <v>11</v>
  </rv>
  <rv s="6">
    <fb>3494475000</fb>
    <v>12</v>
  </rv>
  <rv s="6">
    <fb>5.3730000000000002</fb>
    <v>11</v>
  </rv>
  <rv s="6">
    <fb>5.0998000000000001</fb>
    <v>11</v>
  </rv>
  <rv s="6">
    <fb>5.55</fb>
    <v>11</v>
  </rv>
  <rv s="6">
    <fb>4.4002999999999997</fb>
    <v>11</v>
  </rv>
  <rv s="6">
    <fb>3320015440</fb>
    <v>12</v>
  </rv>
  <rv s="6">
    <fb>5.1417999999999999</fb>
    <v>11</v>
  </rv>
  <rv s="6">
    <fb>5.3597999999999999</fb>
    <v>11</v>
  </rv>
  <rv s="6">
    <fb>5.4352999999999998</fb>
    <v>11</v>
  </rv>
  <rv s="6">
    <fb>5.0259999999999998</fb>
    <v>11</v>
  </rv>
  <rv s="6">
    <fb>2084373400</fb>
    <v>12</v>
  </rv>
  <rv s="6">
    <fb>4.1108000000000002</fb>
    <v>11</v>
  </rv>
  <rv s="6">
    <fb>5.0495000000000001</fb>
    <v>11</v>
  </rv>
  <rv s="6">
    <fb>5.1719999999999997</fb>
    <v>11</v>
  </rv>
  <rv s="6">
    <fb>4.0403000000000002</fb>
    <v>11</v>
  </rv>
  <rv s="6">
    <fb>4584686560</fb>
    <v>12</v>
  </rv>
  <rv s="6">
    <fb>3.625</fb>
    <v>11</v>
  </rv>
  <rv s="6">
    <fb>4.0446999999999997</fb>
    <v>11</v>
  </rv>
  <rv s="6">
    <fb>4.0454999999999997</fb>
    <v>11</v>
  </rv>
  <rv s="6">
    <fb>3.3328000000000002</fb>
    <v>11</v>
  </rv>
  <rv s="6">
    <fb>4817748120</fb>
    <v>12</v>
  </rv>
  <rv s="6">
    <fb>4.0857999999999999</fb>
    <v>11</v>
  </rv>
  <rv s="6">
    <fb>3.7473000000000001</fb>
    <v>11</v>
  </rv>
  <rv s="6">
    <fb>4.0964999999999998</fb>
    <v>11</v>
  </rv>
  <rv s="6">
    <fb>3.6640000000000001</fb>
    <v>11</v>
  </rv>
  <rv s="6">
    <fb>3632083960</fb>
    <v>12</v>
  </rv>
  <rv s="6">
    <fb>3.6903000000000001</fb>
    <v>11</v>
  </rv>
  <rv s="6">
    <fb>4.3150000000000004</fb>
    <v>11</v>
  </rv>
  <rv s="6">
    <fb>4.367</fb>
    <v>11</v>
  </rv>
  <rv s="6">
    <fb>3.6404000000000001</fb>
    <v>11</v>
  </rv>
  <rv s="6">
    <fb>3074769800</fb>
    <v>12</v>
  </rv>
  <rv s="6">
    <fb>3.6613000000000002</fb>
    <v>11</v>
  </rv>
  <rv s="6">
    <fb>3.645</fb>
    <v>11</v>
  </rv>
  <rv s="6">
    <fb>3.8973</fb>
    <v>11</v>
  </rv>
  <rv s="6">
    <fb>3.6204999999999998</fb>
    <v>11</v>
  </rv>
  <rv s="6">
    <fb>2898728800</fb>
    <v>12</v>
  </rv>
  <rv s="6">
    <fb>3.2393000000000001</fb>
    <v>11</v>
  </rv>
  <rv s="6">
    <fb>3.6309999999999998</fb>
    <v>11</v>
  </rv>
  <rv s="6">
    <fb>3.7583000000000002</fb>
    <v>11</v>
  </rv>
  <rv s="6">
    <fb>3.2115</fb>
    <v>11</v>
  </rv>
  <rv s="6">
    <fb>3569614400</fb>
    <v>12</v>
  </rv>
  <rv s="6">
    <fb>3.3412999999999999</fb>
    <v>11</v>
  </rv>
  <rv s="6">
    <fb>3.1623000000000001</fb>
    <v>11</v>
  </rv>
  <rv s="6">
    <fb>3.4348000000000001</fb>
    <v>11</v>
  </rv>
  <rv s="6">
    <fb>3.1114999999999999</fb>
    <v>11</v>
  </rv>
  <rv s="6">
    <fb>2424474440</fb>
    <v>12</v>
  </rv>
  <rv s="6">
    <fb>3.4047999999999998</fb>
    <v>11</v>
  </rv>
  <rv s="6">
    <fb>3.3849999999999998</fb>
    <v>11</v>
  </rv>
  <rv s="6">
    <fb>3.4620000000000002</fb>
    <v>11</v>
  </rv>
  <rv s="6">
    <fb>3.1922999999999999</fb>
    <v>11</v>
  </rv>
  <rv s="6">
    <fb>2263986600</fb>
    <v>12</v>
  </rv>
  <rv s="6">
    <fb>3.7208000000000001</fb>
    <v>11</v>
  </rv>
  <rv s="6">
    <fb>3.4624999999999999</fb>
    <v>11</v>
  </rv>
  <rv s="6">
    <fb>3.7437999999999998</fb>
    <v>11</v>
  </rv>
  <rv s="6">
    <fb>3.4108000000000001</fb>
    <v>11</v>
  </rv>
  <rv s="6">
    <fb>3505611960</fb>
    <v>12</v>
  </rv>
  <rv s="6">
    <fb>3.9232999999999998</fb>
    <v>11</v>
  </rv>
  <rv s="6">
    <fb>3.6680000000000001</fb>
    <v>11</v>
  </rv>
  <rv s="6">
    <fb>3.9495</fb>
    <v>11</v>
  </rv>
  <rv s="6">
    <fb>3.6442999999999999</fb>
    <v>11</v>
  </rv>
  <rv s="6">
    <fb>2959090680</fb>
    <v>12</v>
  </rv>
  <rv s="6">
    <fb>4.0038</fb>
    <v>11</v>
  </rv>
  <rv s="6">
    <fb>3.8927999999999998</fb>
    <v>11</v>
  </rv>
  <rv s="6">
    <fb>4.0220000000000002</fb>
    <v>11</v>
  </rv>
  <rv s="6">
    <fb>3.6888000000000001</fb>
    <v>11</v>
  </rv>
  <rv s="6">
    <fb>3116765160</fb>
    <v>12</v>
  </rv>
  <rv s="6">
    <fb>3.6183000000000001</fb>
    <v>11</v>
  </rv>
  <rv s="6">
    <fb>3.4138000000000002</fb>
    <v>11</v>
  </rv>
  <rv s="6">
    <fb>3.6698</fb>
    <v>11</v>
  </rv>
  <rv s="6">
    <fb>3.2749999999999999</fb>
    <v>11</v>
  </rv>
  <rv s="6">
    <fb>6107590720</fb>
    <v>12</v>
  </rv>
  <rv s="6">
    <fb>3.7042999999999999</fb>
    <v>11</v>
  </rv>
  <rv s="6">
    <fb>3.6343000000000001</fb>
    <v>11</v>
  </rv>
  <rv s="6">
    <fb>3.89</fb>
    <v>11</v>
  </rv>
  <rv s="6">
    <fb>3.6032999999999999</fb>
    <v>11</v>
  </rv>
  <rv s="6">
    <fb>2872217080</fb>
    <v>12</v>
  </rv>
  <rv s="6">
    <fb>3.9335</fb>
    <v>11</v>
  </rv>
  <rv s="6">
    <fb>3.6598000000000002</fb>
    <v>11</v>
  </rv>
  <rv s="6">
    <fb>4.0968</fb>
    <v>11</v>
  </rv>
  <rv s="6">
    <fb>3.6124999999999998</fb>
    <v>11</v>
  </rv>
  <rv s="6">
    <fb>4027446240</fb>
    <v>12</v>
  </rv>
  <rv s="6">
    <fb>3.9798</fb>
    <v>11</v>
  </rv>
  <rv s="6">
    <fb>3.9228000000000001</fb>
    <v>11</v>
  </rv>
  <rv s="6">
    <fb>4.0315000000000003</fb>
    <v>11</v>
  </rv>
  <rv s="6">
    <fb>3.8795000000000002</fb>
    <v>11</v>
  </rv>
  <rv s="6">
    <fb>1943170080</fb>
    <v>12</v>
  </rv>
  <rv s="6">
    <fb>3.9113000000000002</fb>
    <v>11</v>
  </rv>
  <rv s="6">
    <fb>4.0640000000000001</fb>
    <v>11</v>
  </rv>
  <rv s="6">
    <fb>4.1319999999999997</fb>
    <v>11</v>
  </rv>
  <rv s="6">
    <fb>3.8277999999999999</fb>
    <v>11</v>
  </rv>
  <rv s="6">
    <fb>2326867040</fb>
    <v>12</v>
  </rv>
  <rv s="6">
    <fb>3.766</fb>
    <v>11</v>
  </rv>
  <rv s="6">
    <fb>3.95</fb>
    <v>11</v>
  </rv>
  <rv s="6">
    <fb>3.9729999999999999</fb>
    <v>11</v>
  </rv>
  <rv s="6">
    <fb>3.62</fb>
    <v>11</v>
  </rv>
  <rv s="6">
    <fb>2048960880</fb>
    <v>12</v>
  </rv>
  <rv s="6">
    <fb>4.2453000000000003</fb>
    <v>11</v>
  </rv>
  <rv s="6">
    <fb>3.7898000000000001</fb>
    <v>11</v>
  </rv>
  <rv s="6">
    <fb>4.2882999999999996</fb>
    <v>11</v>
  </rv>
  <rv s="6">
    <fb>3.7423000000000002</fb>
    <v>11</v>
  </rv>
  <rv s="6">
    <fb>3389045920</fb>
    <v>12</v>
  </rv>
  <rv s="6">
    <fb>4.4375</fb>
    <v>11</v>
  </rv>
  <rv s="6">
    <fb>4.2770000000000001</fb>
    <v>11</v>
  </rv>
  <rv s="6">
    <fb>4.625</fb>
    <v>11</v>
  </rv>
  <rv s="6">
    <fb>4.1963999999999997</fb>
    <v>11</v>
  </rv>
  <rv s="6">
    <fb>3633068320</fb>
    <v>12</v>
  </rv>
  <rv s="6">
    <fb>4.4889999999999999</fb>
    <v>11</v>
  </rv>
  <rv s="6">
    <fb>4.3964999999999996</fb>
    <v>11</v>
  </rv>
  <rv s="6">
    <fb>4.5438000000000001</fb>
    <v>11</v>
  </rv>
  <rv s="6">
    <fb>4.2778</fb>
    <v>11</v>
  </rv>
  <rv s="6">
    <fb>2640250160</fb>
    <v>12</v>
  </rv>
  <rv s="6">
    <fb>4.7737999999999996</fb>
    <v>11</v>
  </rv>
  <rv s="6">
    <fb>4.5815000000000001</fb>
    <v>11</v>
  </rv>
  <rv s="6">
    <fb>4.7912999999999997</fb>
    <v>11</v>
  </rv>
  <rv s="6">
    <fb>4.5094000000000003</fb>
    <v>11</v>
  </rv>
  <rv s="6">
    <fb>2652645760</fb>
    <v>12</v>
  </rv>
  <rv s="6">
    <fb>4.7503000000000002</fb>
    <v>11</v>
  </rv>
  <rv s="6">
    <fb>4.7430000000000003</fb>
    <v>11</v>
  </rv>
  <rv s="6">
    <fb>4.8368000000000002</fb>
    <v>11</v>
  </rv>
  <rv s="6">
    <fb>4.6890000000000001</fb>
    <v>11</v>
  </rv>
  <rv s="6">
    <fb>2155247040</fb>
    <v>12</v>
  </rv>
  <rv s="6">
    <fb>4.6574999999999998</fb>
    <v>11</v>
  </rv>
  <rv s="6">
    <fb>4.7424999999999997</fb>
    <v>11</v>
  </rv>
  <rv s="6">
    <fb>4.7614999999999998</fb>
    <v>11</v>
  </rv>
  <rv s="6">
    <fb>4.5774999999999997</fb>
    <v>11</v>
  </rv>
  <rv s="6">
    <fb>1567048320</fb>
    <v>12</v>
  </rv>
  <rv s="6">
    <fb>4.4523000000000001</fb>
    <v>11</v>
  </rv>
  <rv s="6">
    <fb>4.6337999999999999</fb>
    <v>11</v>
  </rv>
  <rv s="6">
    <fb>4.8202999999999996</fb>
    <v>11</v>
  </rv>
  <rv s="6">
    <fb>4.3324999999999996</fb>
    <v>11</v>
  </rv>
  <rv s="6">
    <fb>2313282200</fb>
    <v>12</v>
  </rv>
  <rv s="6">
    <fb>4.5751999999999997</fb>
    <v>11</v>
  </rv>
  <rv s="6">
    <fb>4.4603000000000002</fb>
    <v>11</v>
  </rv>
  <rv s="6">
    <fb>4.6218000000000004</fb>
    <v>11</v>
  </rv>
  <rv s="6">
    <fb>4.3875000000000002</fb>
    <v>11</v>
  </rv>
  <rv s="6">
    <fb>1840631040</fb>
    <v>12</v>
  </rv>
  <rv s="6">
    <fb>4.2205000000000004</fb>
    <v>11</v>
  </rv>
  <rv s="6">
    <fb>4.5084999999999997</fb>
    <v>11</v>
  </rv>
  <rv s="6">
    <fb>4.0999999999999996</fb>
    <v>11</v>
  </rv>
  <rv s="6">
    <fb>2626306880</fb>
    <v>12</v>
  </rv>
  <rv s="6">
    <fb>3.9133</fb>
    <v>11</v>
  </rv>
  <rv s="6">
    <fb>4.0875000000000004</fb>
    <v>11</v>
  </rv>
  <rv s="6">
    <fb>3.8734999999999999</fb>
    <v>11</v>
  </rv>
  <rv s="6">
    <fb>3487267760</fb>
    <v>12</v>
  </rv>
  <rv s="6">
    <fb>3.6288</fb>
    <v>11</v>
  </rv>
  <rv s="6">
    <fb>3.8138000000000001</fb>
    <v>11</v>
  </rv>
  <rv s="6">
    <fb>3.8925000000000001</fb>
    <v>11</v>
  </rv>
  <rv s="6">
    <fb>3.6219999999999999</fb>
    <v>11</v>
  </rv>
  <rv s="6">
    <fb>2209214480</fb>
    <v>12</v>
  </rv>
  <rv s="6">
    <fb>3.3864999999999998</fb>
    <v>11</v>
  </rv>
  <rv s="6">
    <fb>3.6465000000000001</fb>
    <v>11</v>
  </rv>
  <rv s="6">
    <fb>3.6795</fb>
    <v>11</v>
  </rv>
  <rv s="6">
    <fb>3.3847999999999998</fb>
    <v>11</v>
  </rv>
  <rv s="6">
    <fb>1772174840</fb>
    <v>12</v>
  </rv>
  <rv s="6">
    <fb>3.6375000000000002</fb>
    <v>11</v>
  </rv>
  <rv s="6">
    <fb>3.3978000000000002</fb>
    <v>11</v>
  </rv>
  <rv s="6">
    <fb>3.6720000000000002</fb>
    <v>11</v>
  </rv>
  <rv s="6">
    <fb>3.3149999999999999</fb>
    <v>11</v>
  </rv>
  <rv s="6">
    <fb>2389090000</fb>
    <v>12</v>
  </rv>
  <rv s="6">
    <fb>3.6160000000000001</fb>
    <v>11</v>
  </rv>
  <rv s="6">
    <fb>3.694</fb>
    <v>11</v>
  </rv>
  <rv s="6">
    <fb>3.8090000000000002</fb>
    <v>11</v>
  </rv>
  <rv s="6">
    <fb>3.5709</fb>
    <v>11</v>
  </rv>
  <rv s="6">
    <fb>1848050160</fb>
    <v>12</v>
  </rv>
  <rv s="6">
    <fb>3.794</fb>
    <v>11</v>
  </rv>
  <rv s="6">
    <fb>3.6143000000000001</fb>
    <v>11</v>
  </rv>
  <rv s="6">
    <fb>3.9333</fb>
    <v>11</v>
  </rv>
  <rv s="6">
    <fb>3.5912999999999999</fb>
    <v>11</v>
  </rv>
  <rv s="6">
    <fb>1974197600</fb>
    <v>12</v>
  </rv>
  <rv s="6">
    <fb>4.1056999999999997</fb>
    <v>11</v>
  </rv>
  <rv s="6">
    <fb>3.8155000000000001</fb>
    <v>11</v>
  </rv>
  <rv s="6">
    <fb>4.1342999999999996</fb>
    <v>11</v>
  </rv>
  <rv s="6">
    <fb>3.7679999999999998</fb>
    <v>11</v>
  </rv>
  <rv s="6">
    <fb>2021996040</fb>
    <v>12</v>
  </rv>
  <rv s="6">
    <fb>4.0057999999999998</fb>
    <v>11</v>
  </rv>
  <rv s="6">
    <fb>4.3143000000000002</fb>
    <v>11</v>
  </rv>
  <rv s="6">
    <fb>4.3487999999999998</fb>
    <v>11</v>
  </rv>
  <rv s="6">
    <fb>3.9420000000000002</fb>
    <v>11</v>
  </rv>
  <rv s="6">
    <fb>1754948720</fb>
    <v>12</v>
  </rv>
  <rv s="6">
    <fb>4.1902999999999997</fb>
    <v>11</v>
  </rv>
  <rv s="6">
    <fb>3.9458000000000002</fb>
    <v>11</v>
  </rv>
  <rv s="6">
    <fb>4.2618</fb>
    <v>11</v>
  </rv>
  <rv s="6">
    <fb>3.875</fb>
    <v>11</v>
  </rv>
  <rv s="6">
    <fb>2313674400</fb>
    <v>12</v>
  </rv>
  <rv s="6">
    <fb>4.2110000000000003</fb>
    <v>11</v>
  </rv>
  <rv s="6">
    <fb>4.2115</fb>
    <v>11</v>
  </rv>
  <rv s="6">
    <fb>4.3178000000000001</fb>
    <v>11</v>
  </rv>
  <rv s="6">
    <fb>4.1211000000000002</fb>
    <v>11</v>
  </rv>
  <rv s="6">
    <fb>1767562680</fb>
    <v>12</v>
  </rv>
  <rv s="6">
    <fb>4.3768000000000002</fb>
    <v>11</v>
  </rv>
  <rv s="6">
    <fb>4.4722999999999997</fb>
    <v>11</v>
  </rv>
  <rv s="6">
    <fb>4.2249999999999996</fb>
    <v>11</v>
  </rv>
  <rv s="6">
    <fb>1777211960</fb>
    <v>12</v>
  </rv>
  <rv s="6">
    <fb>4.0297999999999998</fb>
    <v>11</v>
  </rv>
  <rv s="6">
    <fb>4.3695000000000004</fb>
    <v>11</v>
  </rv>
  <rv s="6">
    <fb>4.3985000000000003</fb>
    <v>11</v>
  </rv>
  <rv s="6">
    <fb>3.9820000000000002</fb>
    <v>11</v>
  </rv>
  <rv s="6">
    <fb>1654909880</fb>
    <v>12</v>
  </rv>
  <rv s="6">
    <fb>3.8544999999999998</fb>
    <v>11</v>
  </rv>
  <rv s="6">
    <fb>3.8450000000000002</fb>
    <v>11</v>
  </rv>
  <rv s="6">
    <fb>3.9578000000000002</fb>
    <v>11</v>
  </rv>
  <rv s="6">
    <fb>3.7225000000000001</fb>
    <v>11</v>
  </rv>
  <rv s="6">
    <fb>1974105520</fb>
    <v>12</v>
  </rv>
  <rv s="6">
    <fb>3.9889999999999999</fb>
    <v>11</v>
  </rv>
  <rv s="6">
    <fb>3.802</fb>
    <v>11</v>
  </rv>
  <rv s="6">
    <fb>4.0385</fb>
    <v>11</v>
  </rv>
  <rv s="6">
    <fb>3.6848999999999998</fb>
    <v>11</v>
  </rv>
  <rv s="6">
    <fb>2629441400</fb>
    <v>12</v>
  </rv>
  <rv s="6">
    <fb>4.0609999999999999</fb>
    <v>11</v>
  </rv>
  <rv s="6">
    <fb>4.1029999999999998</fb>
    <v>11</v>
  </rv>
  <rv s="6">
    <fb>4.3362999999999996</fb>
    <v>11</v>
  </rv>
  <rv s="6">
    <fb>4.0410000000000004</fb>
    <v>11</v>
  </rv>
  <rv s="6">
    <fb>2581009000</fb>
    <v>12</v>
  </rv>
  <rv s="6">
    <fb>4.1878000000000002</fb>
    <v>11</v>
  </rv>
  <rv s="6">
    <fb>4.1402999999999999</fb>
    <v>11</v>
  </rv>
  <rv s="6">
    <fb>4.2714999999999996</fb>
    <v>11</v>
  </rv>
  <rv s="6">
    <fb>3.9750000000000001</fb>
    <v>11</v>
  </rv>
  <rv s="6">
    <fb>1515253360</fb>
    <v>12</v>
  </rv>
  <rv s="6">
    <fb>4.4663000000000004</fb>
    <v>11</v>
  </rv>
  <rv s="6">
    <fb>4.5273000000000003</fb>
    <v>11</v>
  </rv>
  <rv s="6">
    <fb>4.0812999999999997</fb>
    <v>11</v>
  </rv>
  <rv s="6">
    <fb>1598092920</fb>
    <v>12</v>
  </rv>
  <rv s="6">
    <fb>4.5484999999999998</fb>
    <v>11</v>
  </rv>
  <rv s="6">
    <fb>4.4974999999999996</fb>
    <v>11</v>
  </rv>
  <rv s="6">
    <fb>4.71</fb>
    <v>11</v>
  </rv>
  <rv s="6">
    <fb>4.4698000000000002</fb>
    <v>11</v>
  </rv>
  <rv s="6">
    <fb>1784281280</fb>
    <v>12</v>
  </rv>
  <rv s="6">
    <fb>4.3173000000000004</fb>
    <v>11</v>
  </rv>
  <rv s="6">
    <fb>4.4729999999999999</fb>
    <v>11</v>
  </rv>
  <rv s="6">
    <fb>4.54</fb>
    <v>11</v>
  </rv>
  <rv s="6">
    <fb>4.3070000000000004</fb>
    <v>11</v>
  </rv>
  <rv s="6">
    <fb>1337937200</fb>
    <v>12</v>
  </rv>
  <rv s="6">
    <fb>4.2939999999999996</fb>
    <v>11</v>
  </rv>
  <rv s="6">
    <fb>4.3174999999999999</fb>
    <v>11</v>
  </rv>
  <rv s="6">
    <fb>4.4755000000000003</fb>
    <v>11</v>
  </rv>
  <rv s="6">
    <fb>4.2329999999999997</fb>
    <v>11</v>
  </rv>
  <rv s="6">
    <fb>1493959440</fb>
    <v>12</v>
  </rv>
  <rv s="6">
    <fb>4.5492999999999997</fb>
    <v>11</v>
  </rv>
  <rv s="6">
    <fb>4.32</fb>
    <v>11</v>
  </rv>
  <rv s="6">
    <fb>4.5788000000000002</fb>
    <v>11</v>
  </rv>
  <rv s="6">
    <fb>4.2533000000000003</fb>
    <v>11</v>
  </rv>
  <rv s="6">
    <fb>1587117640</fb>
    <v>12</v>
  </rv>
  <rv s="6">
    <fb>4.6497999999999999</fb>
    <v>11</v>
  </rv>
  <rv s="6">
    <fb>4.6144999999999996</fb>
    <v>11</v>
  </rv>
  <rv s="6">
    <fb>4.7335000000000003</fb>
    <v>11</v>
  </rv>
  <rv s="6">
    <fb>4.4124999999999996</fb>
    <v>11</v>
  </rv>
  <rv s="6">
    <fb>2019458120</fb>
    <v>12</v>
  </rv>
  <rv s="6">
    <fb>4.7622999999999998</fb>
    <v>11</v>
  </rv>
  <rv s="6">
    <fb>4.641</fb>
    <v>11</v>
  </rv>
  <rv s="6">
    <fb>4.9823000000000004</fb>
    <v>11</v>
  </rv>
  <rv s="6">
    <fb>4.6096000000000004</fb>
    <v>11</v>
  </rv>
  <rv s="6">
    <fb>1883015360</fb>
    <v>12</v>
  </rv>
  <rv s="6">
    <fb>5.1135000000000002</fb>
    <v>11</v>
  </rv>
  <rv s="6">
    <fb>4.8239999999999998</fb>
    <v>11</v>
  </rv>
  <rv s="6">
    <fb>5.1345000000000001</fb>
    <v>11</v>
  </rv>
  <rv s="6">
    <fb>4.7758000000000003</fb>
    <v>11</v>
  </rv>
  <rv s="6">
    <fb>1541119800</fb>
    <v>12</v>
  </rv>
  <rv s="6">
    <fb>5.0648</fb>
    <v>11</v>
  </rv>
  <rv s="6">
    <fb>5.1574999999999998</fb>
    <v>11</v>
  </rv>
  <rv s="6">
    <fb>5.2225000000000001</fb>
    <v>11</v>
  </rv>
  <rv s="6">
    <fb>4.9452999999999996</fb>
    <v>11</v>
  </rv>
  <rv s="6">
    <fb>1241360800</fb>
    <v>12</v>
  </rv>
  <rv s="6">
    <fb>5.1944999999999997</fb>
    <v>11</v>
  </rv>
  <rv s="6">
    <fb>5.1463000000000001</fb>
    <v>11</v>
  </rv>
  <rv s="6">
    <fb>5.2925000000000004</fb>
    <v>11</v>
  </rv>
  <rv s="6">
    <fb>5.1028000000000002</fb>
    <v>11</v>
  </rv>
  <rv s="6">
    <fb>1414527480</fb>
    <v>12</v>
  </rv>
  <rv s="6">
    <fb>5.1048</fb>
    <v>11</v>
  </rv>
  <rv s="6">
    <fb>5.1938000000000004</fb>
    <v>11</v>
  </rv>
  <rv s="6">
    <fb>5.2965</fb>
    <v>11</v>
  </rv>
  <rv s="6">
    <fb>5.0159000000000002</fb>
    <v>11</v>
  </rv>
  <rv s="6">
    <fb>2411216440</fb>
    <v>12</v>
  </rv>
  <rv s="6">
    <fb>5.2723000000000004</fb>
    <v>11</v>
  </rv>
  <rv s="6">
    <fb>5.0972999999999997</fb>
    <v>11</v>
  </rv>
  <rv s="6">
    <fb>5.3638000000000003</fb>
    <v>11</v>
  </rv>
  <rv s="6">
    <fb>5.0942999999999996</fb>
    <v>11</v>
  </rv>
  <rv s="6">
    <fb>1973973280</fb>
    <v>12</v>
  </rv>
  <rv s="6">
    <fb>5.4184999999999999</fb>
    <v>11</v>
  </rv>
  <rv s="6">
    <fb>5.4009999999999998</fb>
    <v>11</v>
  </rv>
  <rv s="6">
    <fb>5.5353000000000003</fb>
    <v>11</v>
  </rv>
  <rv s="6">
    <fb>5.3879999999999999</fb>
    <v>11</v>
  </rv>
  <rv s="6">
    <fb>1247538400</fb>
    <v>12</v>
  </rv>
  <rv s="6">
    <fb>5.3042999999999996</fb>
    <v>11</v>
  </rv>
  <rv s="6">
    <fb>5.4115000000000002</fb>
    <v>11</v>
  </rv>
  <rv s="6">
    <fb>1530486440</fb>
    <v>12</v>
  </rv>
  <rv s="6">
    <fb>5.5998000000000001</fb>
    <v>11</v>
  </rv>
  <rv s="6">
    <fb>5.2812999999999999</fb>
    <v>11</v>
  </rv>
  <rv s="6">
    <fb>5.7244999999999999</fb>
    <v>11</v>
  </rv>
  <rv s="6">
    <fb>5.2725</fb>
    <v>11</v>
  </rv>
  <rv s="6">
    <fb>1546358480</fb>
    <v>12</v>
  </rv>
  <rv s="6">
    <fb>5.9843000000000002</fb>
    <v>11</v>
  </rv>
  <rv s="6">
    <fb>5.6475</fb>
    <v>11</v>
  </rv>
  <rv s="6">
    <fb>6.0098000000000003</fb>
    <v>11</v>
  </rv>
  <rv s="6">
    <fb>5.6193</fb>
    <v>11</v>
  </rv>
  <rv s="6">
    <fb>2034699080</fb>
    <v>12</v>
  </rv>
  <rv s="6">
    <fb>5.9218000000000002</fb>
    <v>11</v>
  </rv>
  <rv s="6">
    <fb>6.0129999999999999</fb>
    <v>11</v>
  </rv>
  <rv s="6">
    <fb>6.0453000000000001</fb>
    <v>11</v>
  </rv>
  <rv s="6">
    <fb>5.8952999999999998</fb>
    <v>11</v>
  </rv>
  <rv s="6">
    <fb>932284560</fb>
    <v>12</v>
  </rv>
  <rv s="6">
    <fb>5.9017999999999997</fb>
    <v>11</v>
  </rv>
  <rv s="6">
    <fb>5.8997999999999999</fb>
    <v>11</v>
  </rv>
  <rv s="6">
    <fb>5.9977999999999998</fb>
    <v>11</v>
  </rv>
  <rv s="6">
    <fb>5.7533000000000003</fb>
    <v>11</v>
  </rv>
  <rv s="6">
    <fb>929174880</fb>
    <v>12</v>
  </rv>
  <rv s="6">
    <fb>6.1079999999999997</fb>
    <v>11</v>
  </rv>
  <rv s="6">
    <fb>5.8079999999999998</fb>
    <v>11</v>
  </rv>
  <rv s="6">
    <fb>5.7817999999999996</fb>
    <v>11</v>
  </rv>
  <rv s="6">
    <fb>1429822280</fb>
    <v>12</v>
  </rv>
  <rv s="6">
    <fb>6.1914999999999996</fb>
    <v>11</v>
  </rv>
  <rv s="6">
    <fb>6.3247</fb>
    <v>11</v>
  </rv>
  <rv s="6">
    <fb>6.1132999999999997</fb>
    <v>11</v>
  </rv>
  <rv s="6">
    <fb>1472001720</fb>
    <v>12</v>
  </rv>
  <rv s="6">
    <fb>6.1951000000000001</fb>
    <v>11</v>
  </rv>
  <rv s="6">
    <fb>6.4874999999999998</fb>
    <v>11</v>
  </rv>
  <rv s="6">
    <fb>6.1642999999999999</fb>
    <v>11</v>
  </rv>
  <rv s="6">
    <fb>1068963600</fb>
    <v>12</v>
  </rv>
  <rv s="6">
    <fb>5.9108000000000001</fb>
    <v>11</v>
  </rv>
  <rv s="6">
    <fb>5.9560000000000004</fb>
    <v>11</v>
  </rv>
  <rv s="6">
    <fb>5.8057999999999996</fb>
    <v>11</v>
  </rv>
  <rv s="6">
    <fb>1677600800</fb>
    <v>12</v>
  </rv>
  <rv s="6">
    <fb>5.8925000000000001</fb>
    <v>11</v>
  </rv>
  <rv s="6">
    <fb>6.3563000000000001</fb>
    <v>11</v>
  </rv>
  <rv s="6">
    <fb>5.8863000000000003</fb>
    <v>11</v>
  </rv>
  <rv s="6">
    <fb>1142730360</fb>
    <v>12</v>
  </rv>
  <rv s="6">
    <fb>7.2447999999999997</fb>
    <v>11</v>
  </rv>
  <rv s="6">
    <fb>6.3125</fb>
    <v>11</v>
  </rv>
  <rv s="6">
    <fb>7.3742999999999999</fb>
    <v>11</v>
  </rv>
  <rv s="6">
    <fb>6.3075000000000001</fb>
    <v>11</v>
  </rv>
  <rv s="6">
    <fb>3109676960</fb>
    <v>12</v>
  </rv>
  <rv s="6">
    <fb>7.3517999999999999</fb>
    <v>11</v>
  </rv>
  <rv s="6">
    <fb>7.1410999999999998</fb>
    <v>11</v>
  </rv>
  <rv s="6">
    <fb>7.9080000000000004</fb>
    <v>11</v>
  </rv>
  <rv s="6">
    <fb>7.1215000000000002</fb>
    <v>11</v>
  </rv>
  <rv s="6">
    <fb>2889694240</fb>
    <v>12</v>
  </rv>
  <rv s="6">
    <fb>6.7518000000000002</fb>
    <v>11</v>
  </rv>
  <rv s="6">
    <fb>6.7548000000000004</fb>
    <v>11</v>
  </rv>
  <rv s="6">
    <fb>7.0468000000000002</fb>
    <v>11</v>
  </rv>
  <rv s="6">
    <fb>6.0448000000000004</fb>
    <v>11</v>
  </rv>
  <rv s="6">
    <fb>4695556240</fb>
    <v>12</v>
  </rv>
  <rv s="6">
    <fb>6.6509999999999998</fb>
    <v>11</v>
  </rv>
  <rv s="6">
    <fb>6.9225000000000003</fb>
    <v>11</v>
  </rv>
  <rv s="6">
    <fb>7.1223000000000001</fb>
    <v>11</v>
  </rv>
  <rv s="6">
    <fb>6.45</fb>
    <v>11</v>
  </rv>
  <rv s="6">
    <fb>3194872240</fb>
    <v>12</v>
  </rv>
  <rv s="6">
    <fb>6.0209999999999999</fb>
    <v>11</v>
  </rv>
  <rv s="6">
    <fb>5.9974999999999996</fb>
    <v>11</v>
  </rv>
  <rv s="6">
    <fb>6.5270000000000001</fb>
    <v>11</v>
  </rv>
  <rv s="6">
    <fb>5.3949999999999996</fb>
    <v>11</v>
  </rv>
  <rv s="6">
    <fb>3143088160</fb>
    <v>12</v>
  </rv>
  <rv s="6">
    <fb>5.1437999999999997</fb>
    <v>11</v>
  </rv>
  <rv s="6">
    <fb>5.3102999999999998</fb>
    <v>11</v>
  </rv>
  <rv s="6">
    <fb>5.758</fb>
    <v>11</v>
  </rv>
  <rv s="6">
    <fb>4.5170000000000003</fb>
    <v>11</v>
  </rv>
  <rv s="6">
    <fb>3999754920</fb>
    <v>12</v>
  </rv>
  <rv s="6">
    <fb>6.3182999999999998</fb>
    <v>11</v>
  </rv>
  <rv s="6">
    <fb>5.1428000000000003</fb>
    <v>11</v>
  </rv>
  <rv s="6">
    <fb>6.5778999999999996</fb>
    <v>11</v>
  </rv>
  <rv s="6">
    <fb>4.9630000000000001</fb>
    <v>11</v>
  </rv>
  <rv s="6">
    <fb>3871658520</fb>
    <v>12</v>
  </rv>
  <rv s="6">
    <fb>6.0978000000000003</fb>
    <v>11</v>
  </rv>
  <rv s="6">
    <fb>6.3840000000000003</fb>
    <v>11</v>
  </rv>
  <rv s="6">
    <fb>5.9598000000000004</fb>
    <v>11</v>
  </rv>
  <rv s="6">
    <fb>3527046560</fb>
    <v>12</v>
  </rv>
  <rv s="6">
    <fb>6.5738000000000003</fb>
    <v>11</v>
  </rv>
  <rv s="6">
    <fb>6.3810000000000002</fb>
    <v>11</v>
  </rv>
  <rv s="6">
    <fb>6.9562999999999997</fb>
    <v>11</v>
  </rv>
  <rv s="6">
    <fb>6.3232999999999997</fb>
    <v>11</v>
  </rv>
  <rv s="6">
    <fb>2568369920</fb>
    <v>12</v>
  </rv>
  <rv s="6">
    <fb>7.3079999999999998</fb>
    <v>11</v>
  </rv>
  <rv s="6">
    <fb>6.5137999999999998</fb>
    <v>11</v>
  </rv>
  <rv s="6">
    <fb>7.4749999999999996</fb>
    <v>11</v>
  </rv>
  <rv s="6">
    <fb>6.4249999999999998</fb>
    <v>11</v>
  </rv>
  <rv s="6">
    <fb>2565408600</fb>
    <v>12</v>
  </rv>
  <rv s="6">
    <fb>7.2397999999999998</fb>
    <v>11</v>
  </rv>
  <rv s="6">
    <fb>7.181</fb>
    <v>11</v>
  </rv>
  <rv s="6">
    <fb>7.3375000000000004</fb>
    <v>11</v>
  </rv>
  <rv s="6">
    <fb>6.6778000000000004</fb>
    <v>11</v>
  </rv>
  <rv s="6">
    <fb>2426258240</fb>
    <v>12</v>
  </rv>
  <rv s="6">
    <fb>7.0694999999999997</fb>
    <v>11</v>
  </rv>
  <rv s="6">
    <fb>7.3747999999999996</fb>
    <v>11</v>
  </rv>
  <rv s="6">
    <fb>7.6050000000000004</fb>
    <v>11</v>
  </rv>
  <rv s="6">
    <fb>7.0210999999999997</fb>
    <v>11</v>
  </rv>
  <rv s="6">
    <fb>2016809040</fb>
    <v>12</v>
  </rv>
  <rv s="6">
    <fb>7.8125</fb>
    <v>11</v>
  </rv>
  <rv s="6">
    <fb>7.0220000000000002</fb>
    <v>11</v>
  </rv>
  <rv s="6">
    <fb>7.8188000000000004</fb>
    <v>11</v>
  </rv>
  <rv s="6">
    <fb>1720010720</fb>
    <v>12</v>
  </rv>
  <rv s="6">
    <fb>8.4908000000000001</fb>
    <v>11</v>
  </rv>
  <rv s="6">
    <fb>7.8075000000000001</fb>
    <v>11</v>
  </rv>
  <rv s="6">
    <fb>8.5005000000000006</fb>
    <v>11</v>
  </rv>
  <rv s="6">
    <fb>7.5948000000000002</fb>
    <v>11</v>
  </rv>
  <rv s="6">
    <fb>3159646000</fb>
    <v>12</v>
  </rv>
  <rv s="6">
    <fb>9.0263000000000009</fb>
    <v>11</v>
  </rv>
  <rv s="6">
    <fb>8.7605000000000004</fb>
    <v>11</v>
  </rv>
  <rv s="6">
    <fb>9.093</fb>
    <v>11</v>
  </rv>
  <rv s="6">
    <fb>8.6805000000000003</fb>
    <v>11</v>
  </rv>
  <rv s="6">
    <fb>3860914240</fb>
    <v>12</v>
  </rv>
  <rv s="6">
    <fb>8.8755000000000006</fb>
    <v>11</v>
  </rv>
  <rv s="6">
    <fb>9.1568000000000005</fb>
    <v>11</v>
  </rv>
  <rv s="6">
    <fb>9.1816999999999993</fb>
    <v>11</v>
  </rv>
  <rv s="6">
    <fb>7.9968000000000004</fb>
    <v>11</v>
  </rv>
  <rv s="6">
    <fb>3406733480</fb>
    <v>12</v>
  </rv>
  <rv s="6">
    <fb>8.92</fb>
    <v>11</v>
  </rv>
  <rv s="6">
    <fb>8.8332999999999995</fb>
    <v>11</v>
  </rv>
  <rv s="6">
    <fb>8.9969999999999999</fb>
    <v>11</v>
  </rv>
  <rv s="6">
    <fb>8.6579999999999995</fb>
    <v>11</v>
  </rv>
  <rv s="6">
    <fb>2050255000</fb>
    <v>12</v>
  </rv>
  <rv s="6">
    <fb>8.9324999999999992</fb>
    <v>11</v>
  </rv>
  <rv s="6">
    <fb>8.8773</fb>
    <v>11</v>
  </rv>
  <rv s="6">
    <fb>9.5</fb>
    <v>11</v>
  </rv>
  <rv s="6">
    <fb>8.6858000000000004</fb>
    <v>11</v>
  </rv>
  <rv s="6">
    <fb>2617364200</fb>
    <v>12</v>
  </rv>
  <rv s="6">
    <fb>9.2613000000000003</fb>
    <v>11</v>
  </rv>
  <rv s="6">
    <fb>8.8153000000000006</fb>
    <v>11</v>
  </rv>
  <rv s="6">
    <fb>9.4450000000000003</fb>
    <v>11</v>
  </rv>
  <rv s="6">
    <fb>8.7438000000000002</fb>
    <v>11</v>
  </rv>
  <rv s="6">
    <fb>2113695400</fb>
    <v>12</v>
  </rv>
  <rv s="6">
    <fb>9.1549999999999994</fb>
    <v>11</v>
  </rv>
  <rv s="6">
    <fb>9.3000000000000007</fb>
    <v>11</v>
  </rv>
  <rv s="6">
    <fb>9.6425000000000001</fb>
    <v>11</v>
  </rv>
  <rv s="6">
    <fb>9.125</fb>
    <v>11</v>
  </rv>
  <rv s="6">
    <fb>2183130920</fb>
    <v>12</v>
  </rv>
  <rv s="6">
    <fb>9.6122999999999994</fb>
    <v>11</v>
  </rv>
  <rv s="6">
    <fb>9.1698000000000004</fb>
    <v>11</v>
  </rv>
  <rv s="6">
    <fb>9.7375000000000007</fb>
    <v>11</v>
  </rv>
  <rv s="6">
    <fb>8.9</fb>
    <v>11</v>
  </rv>
  <rv s="6">
    <fb>1399303000</fb>
    <v>12</v>
  </rv>
  <rv s="6">
    <fb>10.4793</fb>
    <v>11</v>
  </rv>
  <rv s="6">
    <fb>9.7417999999999996</fb>
    <v>11</v>
  </rv>
  <rv s="6">
    <fb>10.6553</fb>
    <v>11</v>
  </rv>
  <rv s="6">
    <fb>9.7125000000000004</fb>
    <v>11</v>
  </rv>
  <rv s="6">
    <fb>2020077440</fb>
    <v>12</v>
  </rv>
  <rv s="6">
    <fb>10.201499999999999</fb>
    <v>11</v>
  </rv>
  <rv s="6">
    <fb>10.595000000000001</fb>
    <v>11</v>
  </rv>
  <rv s="6">
    <fb>10.792199999999999</fb>
    <v>11</v>
  </rv>
  <rv s="6">
    <fb>9.7855000000000008</fb>
    <v>11</v>
  </rv>
  <rv s="6">
    <fb>2012119880</fb>
    <v>12</v>
  </rv>
  <rv s="6">
    <fb>10.1945</fb>
    <v>11</v>
  </rv>
  <rv s="6">
    <fb>10.2743</fb>
    <v>11</v>
  </rv>
  <rv s="6">
    <fb>10.602499999999999</fb>
    <v>11</v>
  </rv>
  <rv s="6">
    <fb>9.7769999999999992</fb>
    <v>11</v>
  </rv>
  <rv s="6">
    <fb>1808310000</fb>
    <v>12</v>
  </rv>
  <rv s="6">
    <fb>10.614800000000001</fb>
    <v>11</v>
  </rv>
  <rv s="6">
    <fb>10.2323</fb>
    <v>11</v>
  </rv>
  <rv s="6">
    <fb>10.766500000000001</fb>
    <v>11</v>
  </rv>
  <rv s="6">
    <fb>10.209300000000001</fb>
    <v>11</v>
  </rv>
  <rv s="6">
    <fb>1525183520</fb>
    <v>12</v>
  </rv>
  <rv s="6">
    <fb>11.1995</fb>
    <v>11</v>
  </rv>
  <rv s="6">
    <fb>10.7325</fb>
    <v>11</v>
  </rv>
  <rv s="6">
    <fb>11.504799999999999</fb>
    <v>11</v>
  </rv>
  <rv s="6">
    <fb>10.715299999999999</fb>
    <v>11</v>
  </rv>
  <rv s="6">
    <fb>1552769520</fb>
    <v>12</v>
  </rv>
  <rv s="6">
    <fb>11.564</fb>
    <v>11</v>
  </rv>
  <rv s="6">
    <fb>11.334300000000001</fb>
    <v>11</v>
  </rv>
  <rv s="6">
    <fb>11.7218</fb>
    <v>11</v>
  </rv>
  <rv s="6">
    <fb>10.7958</fb>
    <v>11</v>
  </rv>
  <rv s="6">
    <fb>1984240800</fb>
    <v>12</v>
  </rv>
  <rv s="6">
    <fb>12.6835</fb>
    <v>11</v>
  </rv>
  <rv s="6">
    <fb>11.8513</fb>
    <v>11</v>
  </rv>
  <rv s="6">
    <fb>12.8087</fb>
    <v>11</v>
  </rv>
  <rv s="6">
    <fb>11.8172</fb>
    <v>11</v>
  </rv>
  <rv s="6">
    <fb>3594897400</fb>
    <v>12</v>
  </rv>
  <rv s="6">
    <fb>13.1478</fb>
    <v>11</v>
  </rv>
  <rv s="6">
    <fb>12.883800000000001</fb>
    <v>11</v>
  </rv>
  <rv s="6">
    <fb>13.148</fb>
    <v>11</v>
  </rv>
  <rv s="6">
    <fb>12.5075</fb>
    <v>11</v>
  </rv>
  <rv s="6">
    <fb>1947549800</fb>
    <v>12</v>
  </rv>
  <rv s="6">
    <fb>12.6225</fb>
    <v>11</v>
  </rv>
  <rv s="6">
    <fb>13.1828</fb>
    <v>11</v>
  </rv>
  <rv s="6">
    <fb>14.726699999999999</fb>
    <v>11</v>
  </rv>
  <rv s="6">
    <fb>11.704800000000001</fb>
    <v>11</v>
  </rv>
  <rv s="6">
    <fb>4253656400</fb>
    <v>12</v>
  </rv>
  <rv s="6">
    <fb>12.1645</fb>
    <v>11</v>
  </rv>
  <rv s="6">
    <fb>11.734500000000001</fb>
    <v>11</v>
  </rv>
  <rv s="6">
    <fb>13.065300000000001</fb>
    <v>11</v>
  </rv>
  <rv s="6">
    <fb>11.7043</fb>
    <v>11</v>
  </rv>
  <rv s="6">
    <fb>2849165760</fb>
    <v>12</v>
  </rv>
  <rv s="6">
    <fb>12.189299999999999</fb>
    <v>11</v>
  </rv>
  <rv s="6">
    <fb>13.081</fb>
    <v>11</v>
  </rv>
  <rv s="6">
    <fb>13.315</fb>
    <v>11</v>
  </rv>
  <rv s="6">
    <fb>11.988799999999999</fb>
    <v>11</v>
  </rv>
  <rv s="6">
    <fb>3959882840</fb>
    <v>12</v>
  </rv>
  <rv s="6">
    <fb>12.873799999999999</fb>
    <v>11</v>
  </rv>
  <rv s="6">
    <fb>11.925000000000001</fb>
    <v>11</v>
  </rv>
  <rv s="6">
    <fb>12.8835</fb>
    <v>11</v>
  </rv>
  <rv s="6">
    <fb>11.904500000000001</fb>
    <v>11</v>
  </rv>
  <rv s="6">
    <fb>3316856320</fb>
    <v>12</v>
  </rv>
  <rv s="6">
    <fb>13.0623</fb>
    <v>11</v>
  </rv>
  <rv s="6">
    <fb>13.0403</fb>
    <v>11</v>
  </rv>
  <rv s="6">
    <fb>13.762700000000001</fb>
    <v>11</v>
  </rv>
  <rv s="6">
    <fb>12.75</fb>
    <v>11</v>
  </rv>
  <rv s="6">
    <fb>2946837480</fb>
    <v>12</v>
  </rv>
  <rv s="6">
    <fb>13.7628</fb>
    <v>11</v>
  </rv>
  <rv s="6">
    <fb>13.236000000000001</fb>
    <v>11</v>
  </rv>
  <rv s="6">
    <fb>14.141999999999999</fb>
    <v>11</v>
  </rv>
  <rv s="6">
    <fb>13.222799999999999</fb>
    <v>11</v>
  </rv>
  <rv s="6">
    <fb>2392258400</fb>
    <v>12</v>
  </rv>
  <rv s="6">
    <fb>13.811500000000001</fb>
    <v>11</v>
  </rv>
  <rv s="6">
    <fb>13.9895</fb>
    <v>11</v>
  </rv>
  <rv s="6">
    <fb>14.3485</fb>
    <v>11</v>
  </rv>
  <rv s="6">
    <fb>13.767799999999999</fb>
    <v>11</v>
  </rv>
  <rv s="6">
    <fb>1548373520</fb>
    <v>12</v>
  </rv>
  <rv s="6">
    <fb>13.590299999999999</fb>
    <v>11</v>
  </rv>
  <rv s="6">
    <fb>13.902900000000001</fb>
    <v>11</v>
  </rv>
  <rv s="6">
    <fb>13.983499999999999</fb>
    <v>11</v>
  </rv>
  <rv s="6">
    <fb>13.2318</fb>
    <v>11</v>
  </rv>
  <rv s="6">
    <fb>1256545320</fb>
    <v>12</v>
  </rv>
  <rv s="6">
    <fb>12.534000000000001</fb>
    <v>11</v>
  </rv>
  <rv s="6">
    <fb>13.427</fb>
    <v>11</v>
  </rv>
  <rv s="6">
    <fb>13.6928</fb>
    <v>11</v>
  </rv>
  <rv s="6">
    <fb>1697406240</fb>
    <v>12</v>
  </rv>
  <rv s="6">
    <fb>14.561999999999999</fb>
    <v>11</v>
  </rv>
  <rv s="6">
    <fb>12.6578</fb>
    <v>11</v>
  </rv>
  <rv s="6">
    <fb>14.588800000000001</fb>
    <v>11</v>
  </rv>
  <rv s="6">
    <fb>12.395</fb>
    <v>11</v>
  </rv>
  <rv s="6">
    <fb>1673286760</fb>
    <v>12</v>
  </rv>
  <rv s="6">
    <fb>13.297000000000001</fb>
    <v>11</v>
  </rv>
  <rv s="6">
    <fb>14.5525</fb>
    <v>11</v>
  </rv>
  <rv s="6">
    <fb>14.6915</fb>
    <v>11</v>
  </rv>
  <rv s="6">
    <fb>12.628299999999999</fb>
    <v>11</v>
  </rv>
  <rv s="6">
    <fb>2339939040</fb>
    <v>12</v>
  </rv>
  <rv s="6">
    <fb>13.0878</fb>
    <v>11</v>
  </rv>
  <rv s="6">
    <fb>13.172499999999999</fb>
    <v>11</v>
  </rv>
  <rv s="6">
    <fb>13.6495</fb>
    <v>11</v>
  </rv>
  <rv s="6">
    <fb>13.065</fb>
    <v>11</v>
  </rv>
  <rv s="6">
    <fb>2057367280</fb>
    <v>12</v>
  </rv>
  <rv s="6">
    <fb>13.2613</fb>
    <v>11</v>
  </rv>
  <rv s="6">
    <fb>13.171099999999999</fb>
    <v>11</v>
  </rv>
  <rv s="6">
    <fb>13.407500000000001</fb>
    <v>11</v>
  </rv>
  <rv s="6">
    <fb>12.885</fb>
    <v>11</v>
  </rv>
  <rv s="6">
    <fb>1131039720</fb>
    <v>12</v>
  </rv>
  <rv s="6">
    <fb>13.558299999999999</fb>
    <v>11</v>
  </rv>
  <rv s="6">
    <fb>13.265000000000001</fb>
    <v>11</v>
  </rv>
  <rv s="6">
    <fb>13.673400000000001</fb>
    <v>11</v>
  </rv>
  <rv s="6">
    <fb>12.9724</fb>
    <v>11</v>
  </rv>
  <rv s="6">
    <fb>1262694280</fb>
    <v>12</v>
  </rv>
  <rv s="6">
    <fb>13.013299999999999</fb>
    <v>11</v>
  </rv>
  <rv s="6">
    <fb>13.6013</fb>
    <v>11</v>
  </rv>
  <rv s="6">
    <fb>13.731299999999999</fb>
    <v>11</v>
  </rv>
  <rv s="6">
    <fb>12.823</fb>
    <v>11</v>
  </rv>
  <rv s="6">
    <fb>1308602840</fb>
    <v>12</v>
  </rv>
  <rv s="6">
    <fb>13.272</fb>
    <v>11</v>
  </rv>
  <rv s="6">
    <fb>13.087899999999999</fb>
    <v>11</v>
  </rv>
  <rv s="6">
    <fb>13.464</fb>
    <v>11</v>
  </rv>
  <rv s="6">
    <fb>13.070499999999999</fb>
    <v>11</v>
  </rv>
  <rv s="6">
    <fb>1249809040</fb>
    <v>12</v>
  </rv>
  <rv s="6">
    <fb>12.9938</fb>
    <v>11</v>
  </rv>
  <rv s="6">
    <fb>13.0748</fb>
    <v>11</v>
  </rv>
  <rv s="6">
    <fb>13.37</fb>
    <v>11</v>
  </rv>
  <rv s="6">
    <fb>12.938700000000001</fb>
    <v>11</v>
  </rv>
  <rv s="6">
    <fb>763913160</fb>
    <v>12</v>
  </rv>
  <rv s="6">
    <fb>13.055</fb>
    <v>11</v>
  </rv>
  <rv s="6">
    <fb>13.0625</fb>
    <v>11</v>
  </rv>
  <rv s="6">
    <fb>13.213800000000001</fb>
    <v>11</v>
  </rv>
  <rv s="6">
    <fb>12.763199999999999</fb>
    <v>11</v>
  </rv>
  <rv s="6">
    <fb>795932080</fb>
    <v>12</v>
  </rv>
  <rv s="6">
    <fb>13.2768</fb>
    <v>11</v>
  </rv>
  <rv s="6">
    <fb>13.1043</fb>
    <v>11</v>
  </rv>
  <rv s="6">
    <fb>13.6525</fb>
    <v>11</v>
  </rv>
  <rv s="6">
    <fb>12.586</fb>
    <v>11</v>
  </rv>
  <rv s="6">
    <fb>2203239520</fb>
    <v>12</v>
  </rv>
  <rv s="6">
    <fb>12.859500000000001</fb>
    <v>11</v>
  </rv>
  <rv s="6">
    <fb>13.418799999999999</fb>
    <v>11</v>
  </rv>
  <rv s="6">
    <fb>13.961</fb>
    <v>11</v>
  </rv>
  <rv s="6">
    <fb>12.8485</fb>
    <v>11</v>
  </rv>
  <rv s="6">
    <fb>1581436520</fb>
    <v>12</v>
  </rv>
  <rv s="6">
    <fb>13.7125</fb>
    <v>11</v>
  </rv>
  <rv s="6">
    <fb>13.016299999999999</fb>
    <v>11</v>
  </rv>
  <rv s="6">
    <fb>13.9994</fb>
    <v>11</v>
  </rv>
  <rv s="6">
    <fb>12.843999999999999</fb>
    <v>11</v>
  </rv>
  <rv s="6">
    <fb>1069915920</fb>
    <v>12</v>
  </rv>
  <rv s="6">
    <fb>12.989800000000001</fb>
    <v>11</v>
  </rv>
  <rv s="6">
    <fb>13.7818</fb>
    <v>11</v>
  </rv>
  <rv s="6">
    <fb>13.8285</fb>
    <v>11</v>
  </rv>
  <rv s="6">
    <fb>12.793799999999999</fb>
    <v>11</v>
  </rv>
  <rv s="6">
    <fb>1286232400</fb>
    <v>12</v>
  </rv>
  <rv s="6">
    <fb>13.590999999999999</fb>
    <v>11</v>
  </rv>
  <rv s="6">
    <fb>13.0533</fb>
    <v>11</v>
  </rv>
  <rv s="6">
    <fb>13.931800000000001</fb>
    <v>11</v>
  </rv>
  <rv s="6">
    <fb>12.902799999999999</fb>
    <v>11</v>
  </rv>
  <rv s="6">
    <fb>1053544000</fb>
    <v>12</v>
  </rv>
  <rv s="6">
    <fb>14.9613</fb>
    <v>11</v>
  </rv>
  <rv s="6">
    <fb>13.7272</fb>
    <v>11</v>
  </rv>
  <rv s="6">
    <fb>15.2911</fb>
    <v>11</v>
  </rv>
  <rv s="6">
    <fb>2033120480</fb>
    <v>12</v>
  </rv>
  <rv s="6">
    <fb>14.926500000000001</fb>
    <v>11</v>
  </rv>
  <rv s="6">
    <fb>15.064299999999999</fb>
    <v>11</v>
  </rv>
  <rv s="6">
    <fb>15.3725</fb>
    <v>11</v>
  </rv>
  <rv s="6">
    <fb>14.574999999999999</fb>
    <v>11</v>
  </rv>
  <rv s="6">
    <fb>1103463120</fb>
    <v>12</v>
  </rv>
  <rv s="6">
    <fb>13.714499999999999</fb>
    <v>11</v>
  </rv>
  <rv s="6">
    <fb>14.774800000000001</fb>
    <v>11</v>
  </rv>
  <rv s="6">
    <fb>15.1333</fb>
    <v>11</v>
  </rv>
  <rv s="6">
    <fb>13.2163</fb>
    <v>11</v>
  </rv>
  <rv s="6">
    <fb>2491350400</fb>
    <v>12</v>
  </rv>
  <rv s="6">
    <fb>12.461499999999999</fb>
    <v>11</v>
  </rv>
  <rv s="6">
    <fb>13.875</fb>
    <v>11</v>
  </rv>
  <rv s="6">
    <fb>13.925000000000001</fb>
    <v>11</v>
  </rv>
  <rv s="6">
    <fb>11.6793</fb>
    <v>11</v>
  </rv>
  <rv s="6">
    <fb>2111071400</fb>
    <v>12</v>
  </rv>
  <rv s="6">
    <fb>12.856</fb>
    <v>11</v>
  </rv>
  <rv s="6">
    <fb>13.0463</fb>
    <v>11</v>
  </rv>
  <rv s="6">
    <fb>11.5665</fb>
    <v>11</v>
  </rv>
  <rv s="6">
    <fb>1993192000</fb>
    <v>12</v>
  </rv>
  <rv s="6">
    <fb>12.845800000000001</fb>
    <v>11</v>
  </rv>
  <rv s="6">
    <fb>12.864800000000001</fb>
    <v>11</v>
  </rv>
  <rv s="6">
    <fb>13.512499999999999</fb>
    <v>11</v>
  </rv>
  <rv s="6">
    <fb>12.612500000000001</fb>
    <v>11</v>
  </rv>
  <rv s="6">
    <fb>1331909280</fb>
    <v>12</v>
  </rv>
  <rv s="6">
    <fb>12.8393</fb>
    <v>11</v>
  </rv>
  <rv s="6">
    <fb>12.912800000000001</fb>
    <v>11</v>
  </rv>
  <rv s="6">
    <fb>13.394500000000001</fb>
    <v>11</v>
  </rv>
  <rv s="6">
    <fb>12.272</fb>
    <v>11</v>
  </rv>
  <rv s="6">
    <fb>1424801200</fb>
    <v>12</v>
  </rv>
  <rv s="6">
    <fb>13.8118</fb>
    <v>11</v>
  </rv>
  <rv s="6">
    <fb>12.8203</fb>
    <v>11</v>
  </rv>
  <rv s="6">
    <fb>13.87</fb>
    <v>11</v>
  </rv>
  <rv s="6">
    <fb>12.7</fb>
    <v>11</v>
  </rv>
  <rv s="6">
    <fb>1096774480</fb>
    <v>12</v>
  </rv>
  <rv s="6">
    <fb>13.8675</fb>
    <v>11</v>
  </rv>
  <rv s="6">
    <fb>14.471500000000001</fb>
    <v>11</v>
  </rv>
  <rv s="6">
    <fb>13.711499999999999</fb>
    <v>11</v>
  </rv>
  <rv s="6">
    <fb>1138287520</fb>
    <v>12</v>
  </rv>
  <rv s="6">
    <fb>15.9125</fb>
    <v>11</v>
  </rv>
  <rv s="6">
    <fb>14.2898</fb>
    <v>11</v>
  </rv>
  <rv s="6">
    <fb>16.214200000000002</fb>
    <v>11</v>
  </rv>
  <rv s="6">
    <fb>14.1393</fb>
    <v>11</v>
  </rv>
  <rv s="6">
    <fb>2858447480</fb>
    <v>12</v>
  </rv>
  <rv s="6">
    <fb>15.2653</fb>
    <v>11</v>
  </rv>
  <rv s="6">
    <fb>15.5365</fb>
    <v>11</v>
  </rv>
  <rv s="6">
    <fb>15.807499999999999</fb>
    <v>11</v>
  </rv>
  <rv s="6">
    <fb>14.7835</fb>
    <v>11</v>
  </rv>
  <rv s="6">
    <fb>1460886640</fb>
    <v>12</v>
  </rv>
  <rv s="6">
    <fb>15.009499999999999</fb>
    <v>11</v>
  </rv>
  <rv s="6">
    <fb>15.670500000000001</fb>
    <v>11</v>
  </rv>
  <rv s="6">
    <fb>14.997</fb>
    <v>11</v>
  </rv>
  <rv s="6">
    <fb>946892840</fb>
    <v>12</v>
  </rv>
  <rv s="6">
    <fb>14.8123</fb>
    <v>11</v>
  </rv>
  <rv s="6">
    <fb>15.125</fb>
    <v>11</v>
  </rv>
  <rv s="6">
    <fb>15.2468</fb>
    <v>11</v>
  </rv>
  <rv s="6">
    <fb>14.010300000000001</fb>
    <v>11</v>
  </rv>
  <rv s="6">
    <fb>1323967920</fb>
    <v>12</v>
  </rv>
  <rv s="6">
    <fb>14.243</fb>
    <v>11</v>
  </rv>
  <rv s="6">
    <fb>14.7873</fb>
    <v>11</v>
  </rv>
  <rv s="6">
    <fb>14.805999999999999</fb>
    <v>11</v>
  </rv>
  <rv s="6">
    <fb>13.459</fb>
    <v>11</v>
  </rv>
  <rv s="6">
    <fb>1401381080</fb>
    <v>12</v>
  </rv>
  <rv s="6">
    <fb>14.9918</fb>
    <v>11</v>
  </rv>
  <rv s="6">
    <fb>14.157</fb>
    <v>11</v>
  </rv>
  <rv s="6">
    <fb>15.222</fb>
    <v>11</v>
  </rv>
  <rv s="6">
    <fb>13.5433</fb>
    <v>11</v>
  </rv>
  <rv s="6">
    <fb>1741818360</fb>
    <v>12</v>
  </rv>
  <rv s="6">
    <fb>16.244499999999999</fb>
    <v>11</v>
  </rv>
  <rv s="6">
    <fb>15.2125</fb>
    <v>11</v>
  </rv>
  <rv s="6">
    <fb>16.2775</fb>
    <v>11</v>
  </rv>
  <rv s="6">
    <fb>15.176</fb>
    <v>11</v>
  </rv>
  <rv s="6">
    <fb>2586672520</fb>
    <v>12</v>
  </rv>
  <rv s="6">
    <fb>17.578299999999999</fb>
    <v>11</v>
  </rv>
  <rv s="6">
    <fb>16.27</fb>
    <v>11</v>
  </rv>
  <rv s="6">
    <fb>17.661000000000001</fb>
    <v>11</v>
  </rv>
  <rv s="6">
    <fb>15.9033</fb>
    <v>11</v>
  </rv>
  <rv s="6">
    <fb>2264097640</fb>
    <v>12</v>
  </rv>
  <rv s="6">
    <fb>17.825299999999999</fb>
    <v>11</v>
  </rv>
  <rv s="6">
    <fb>17.571100000000001</fb>
    <v>11</v>
  </rv>
  <rv s="6">
    <fb>17.9392</fb>
    <v>11</v>
  </rv>
  <rv s="6">
    <fb>17.175999999999998</fb>
    <v>11</v>
  </rv>
  <rv s="6">
    <fb>1985337240</fb>
    <v>12</v>
  </rv>
  <rv s="6">
    <fb>18.6387</fb>
    <v>11</v>
  </rv>
  <rv s="6">
    <fb>17.905999999999999</fb>
    <v>11</v>
  </rv>
  <rv s="6">
    <fb>19.375</fb>
    <v>11</v>
  </rv>
  <rv s="6">
    <fb>17.584399999999999</fb>
    <v>11</v>
  </rv>
  <rv s="6">
    <fb>2641301880</fb>
    <v>12</v>
  </rv>
  <rv s="6">
    <fb>19.030999999999999</fb>
    <v>11</v>
  </rv>
  <rv s="6">
    <fb>18.435300000000002</fb>
    <v>11</v>
  </rv>
  <rv s="6">
    <fb>17.822700000000001</fb>
    <v>11</v>
  </rv>
  <rv s="6">
    <fb>2184173080</fb>
    <v>12</v>
  </rv>
  <rv s="6">
    <fb>20.486999999999998</fb>
    <v>11</v>
  </rv>
  <rv s="6">
    <fb>19.3613</fb>
    <v>11</v>
  </rv>
  <rv s="6">
    <fb>20.505299999999998</fb>
    <v>11</v>
  </rv>
  <rv s="6">
    <fb>19.318999999999999</fb>
    <v>11</v>
  </rv>
  <rv s="6">
    <fb>2013168200</fb>
    <v>12</v>
  </rv>
  <rv s="6">
    <fb>20.0503</fb>
    <v>11</v>
  </rv>
  <rv s="6">
    <fb>20.737500000000001</fb>
    <v>11</v>
  </rv>
  <rv s="6">
    <fb>20.875</fb>
    <v>11</v>
  </rv>
  <rv s="6">
    <fb>19.700800000000001</fb>
    <v>11</v>
  </rv>
  <rv s="6">
    <fb>1665057120</fb>
    <v>12</v>
  </rv>
  <rv s="6">
    <fb>18.161000000000001</fb>
    <v>11</v>
  </rv>
  <rv s="6">
    <fb>20.239999999999998</fb>
    <v>11</v>
  </rv>
  <rv s="6">
    <fb>20.532800000000002</fb>
    <v>11</v>
  </rv>
  <rv s="6">
    <fb>18.073</fb>
    <v>11</v>
  </rv>
  <rv s="6">
    <fb>2231577440</fb>
    <v>12</v>
  </rv>
  <rv s="6">
    <fb>19.558</fb>
    <v>11</v>
  </rv>
  <rv s="6">
    <fb>17.915299999999998</fb>
    <v>11</v>
  </rv>
  <rv s="6">
    <fb>19.887</fb>
    <v>11</v>
  </rv>
  <rv s="6">
    <fb>17.865500000000001</fb>
    <v>11</v>
  </rv>
  <rv s="6">
    <fb>2074260590</fb>
    <v>12</v>
  </rv>
  <rv s="6">
    <fb>19.498999999999999</fb>
    <v>11</v>
  </rv>
  <rv s="6">
    <fb>19.311</fb>
    <v>11</v>
  </rv>
  <rv s="6">
    <fb>19.853000000000002</fb>
    <v>11</v>
  </rv>
  <rv s="6">
    <fb>18.741</fb>
    <v>11</v>
  </rv>
  <rv s="6">
    <fb>1029275230</fb>
    <v>12</v>
  </rv>
  <rv s="6">
    <fb>20.366</fb>
    <v>11</v>
  </rv>
  <rv s="6">
    <fb>20.733000000000001</fb>
    <v>11</v>
  </rv>
  <rv s="6">
    <fb>19.22</fb>
    <v>11</v>
  </rv>
  <rv s="6">
    <fb>1140496090</fb>
    <v>12</v>
  </rv>
  <rv s="6">
    <fb>20.187999999999999</fb>
    <v>11</v>
  </rv>
  <rv s="6">
    <fb>20.446000000000002</fb>
    <v>11</v>
  </rv>
  <rv s="6">
    <fb>20.507999999999999</fb>
    <v>11</v>
  </rv>
  <rv s="6">
    <fb>846530130</fb>
    <v>12</v>
  </rv>
  <rv s="6">
    <fb>20.815999999999999</fb>
    <v>11</v>
  </rv>
  <rv s="6">
    <fb>20.135000000000002</fb>
    <v>11</v>
  </rv>
  <rv s="6">
    <fb>20.865100000000002</fb>
    <v>11</v>
  </rv>
  <rv s="6">
    <fb>18.762</fb>
    <v>11</v>
  </rv>
  <rv s="6">
    <fb>2143947210</fb>
    <v>12</v>
  </rv>
  <rv s="6">
    <fb>22.635999999999999</fb>
    <v>11</v>
  </rv>
  <rv s="6">
    <fb>20.971</fb>
    <v>11</v>
  </rv>
  <rv s="6">
    <fb>22.722000000000001</fb>
    <v>11</v>
  </rv>
  <rv s="6">
    <fb>1763469150</fb>
    <v>12</v>
  </rv>
  <rv s="6">
    <fb>22.843</fb>
    <v>11</v>
  </rv>
  <rv s="6">
    <fb>22.83</fb>
    <v>11</v>
  </rv>
  <rv s="6">
    <fb>23.042999999999999</fb>
    <v>11</v>
  </rv>
  <rv s="6">
    <fb>1193138080</fb>
    <v>12</v>
  </rv>
  <rv s="6">
    <fb>22.478000000000002</fb>
    <v>11</v>
  </rv>
  <rv s="6">
    <fb>22.832999999999998</fb>
    <v>11</v>
  </rv>
  <rv s="6">
    <fb>22.899000000000001</fb>
    <v>11</v>
  </rv>
  <rv s="6">
    <fb>21.977</fb>
    <v>11</v>
  </rv>
  <rv s="6">
    <fb>897773120</fb>
    <v>12</v>
  </rv>
  <rv s="6">
    <fb>22.684000000000001</fb>
    <v>11</v>
  </rv>
  <rv s="6">
    <fb>22.963999999999999</fb>
    <v>11</v>
  </rv>
  <rv s="6">
    <fb>1114328790</fb>
    <v>12</v>
  </rv>
  <rv s="6">
    <fb>22.081</fb>
    <v>11</v>
  </rv>
  <rv s="6">
    <fb>21.146000000000001</fb>
    <v>11</v>
  </rv>
  <rv s="6">
    <fb>22.534500000000001</fb>
    <v>11</v>
  </rv>
  <rv s="6">
    <fb>20.661999999999999</fb>
    <v>11</v>
  </rv>
  <rv s="6">
    <fb>1289064470</fb>
    <v>12</v>
  </rv>
  <rv s="6">
    <fb>20.742000000000001</fb>
    <v>11</v>
  </rv>
  <rv s="6">
    <fb>21.7104</fb>
    <v>11</v>
  </rv>
  <rv s="6">
    <fb>21.798999999999999</fb>
    <v>11</v>
  </rv>
  <rv s="6">
    <fb>20.202999999999999</fb>
    <v>11</v>
  </rv>
  <rv s="6">
    <fb>1268664800</fb>
    <v>12</v>
  </rv>
  <rv s="6">
    <fb>20.831</fb>
    <v>11</v>
  </rv>
  <rv s="6">
    <fb>20.504000000000001</fb>
    <v>11</v>
  </rv>
  <rv s="6">
    <fb>21.321999999999999</fb>
    <v>11</v>
  </rv>
  <rv s="6">
    <fb>19.555</fb>
    <v>11</v>
  </rv>
  <rv s="6">
    <fb>1330295210</fb>
    <v>12</v>
  </rv>
  <rv s="6">
    <fb>21.861999999999998</fb>
    <v>11</v>
  </rv>
  <rv s="6">
    <fb>20.574999999999999</fb>
    <v>11</v>
  </rv>
  <rv s="6">
    <fb>21.931000000000001</fb>
    <v>11</v>
  </rv>
  <rv s="6">
    <fb>20.510999999999999</fb>
    <v>11</v>
  </rv>
  <rv s="6">
    <fb>976755780</fb>
    <v>12</v>
  </rv>
  <rv s="6">
    <fb>22.725999999999999</fb>
    <v>11</v>
  </rv>
  <rv s="6">
    <fb>21.748999999999999</fb>
    <v>11</v>
  </rv>
  <rv s="6">
    <fb>21.643999999999998</fb>
    <v>11</v>
  </rv>
  <rv s="6">
    <fb>934216900</fb>
    <v>12</v>
  </rv>
  <rv s="6">
    <fb>25.567</fb>
    <v>11</v>
  </rv>
  <rv s="6">
    <fb>22.972999999999999</fb>
    <v>11</v>
  </rv>
  <rv s="6">
    <fb>25.709</fb>
    <v>11</v>
  </rv>
  <rv s="6">
    <fb>22.77</fb>
    <v>11</v>
  </rv>
  <rv s="6">
    <fb>1488830170</fb>
    <v>12</v>
  </rv>
  <rv s="6">
    <fb>29.751999999999999</fb>
    <v>11</v>
  </rv>
  <rv s="6">
    <fb>25.649000000000001</fb>
    <v>11</v>
  </rv>
  <rv s="6">
    <fb>25.227</fb>
    <v>11</v>
  </rv>
  <rv s="6">
    <fb>2804653780</fb>
    <v>12</v>
  </rv>
  <rv s="6">
    <fb>30.149000000000001</fb>
    <v>11</v>
  </rv>
  <rv s="6">
    <fb>32.31</fb>
    <v>11</v>
  </rv>
  <rv s="6">
    <fb>28.777999999999999</fb>
    <v>11</v>
  </rv>
  <rv s="6">
    <fb>2531279250</fb>
    <v>12</v>
  </rv>
  <rv s="6">
    <fb>32.984999999999999</fb>
    <v>11</v>
  </rv>
  <rv s="6">
    <fb>30.552</fb>
    <v>11</v>
  </rv>
  <rv s="6">
    <fb>33.088000000000001</fb>
    <v>11</v>
  </rv>
  <rv s="6">
    <fb>2393478060</fb>
    <v>12</v>
  </rv>
  <rv s="6">
    <fb>31.503</fb>
    <v>11</v>
  </rv>
  <rv s="6">
    <fb>33.517000000000003</fb>
    <v>11</v>
  </rv>
  <rv s="6">
    <fb>34.646999999999998</fb>
    <v>11</v>
  </rv>
  <rv s="6">
    <fb>30.88</fb>
    <v>11</v>
  </rv>
  <rv s="6">
    <fb>2004729060</fb>
    <v>12</v>
  </rv>
  <rv s="6">
    <fb>30.693000000000001</fb>
    <v>11</v>
  </rv>
  <rv s="6">
    <fb>32.366</fb>
    <v>11</v>
  </rv>
  <rv s="6">
    <fb>33.411999999999999</fb>
    <v>11</v>
  </rv>
  <rv s="6">
    <fb>2580047870</fb>
    <v>12</v>
  </rv>
  <rv s="6">
    <fb>30.198</fb>
    <v>11</v>
  </rv>
  <rv s="6">
    <fb>32.448999999999998</fb>
    <v>11</v>
  </rv>
  <rv s="6">
    <fb>28.038</fb>
    <v>11</v>
  </rv>
  <rv s="6">
    <fb>2704875630</fb>
    <v>12</v>
  </rv>
  <rv s="6">
    <fb>27.800999999999998</fb>
    <v>11</v>
  </rv>
  <rv s="6">
    <fb>30.248999999999999</fb>
    <v>11</v>
  </rv>
  <rv s="6">
    <fb>31.16</fb>
    <v>11</v>
  </rv>
  <rv s="6">
    <fb>3387664250</fb>
    <v>12</v>
  </rv>
  <rv s="6">
    <fb>27.305</fb>
    <v>11</v>
  </rv>
  <rv s="6">
    <fb>30.059000000000001</fb>
    <v>11</v>
  </rv>
  <rv s="6">
    <fb>27.145</fb>
    <v>11</v>
  </rv>
  <rv s="6">
    <fb>1724437820</fb>
    <v>12</v>
  </rv>
  <rv s="6">
    <fb>29.411000000000001</fb>
    <v>11</v>
  </rv>
  <rv s="6">
    <fb>29.66</fb>
    <v>11</v>
  </rv>
  <rv s="6">
    <fb>31.33</fb>
    <v>11</v>
  </rv>
  <rv s="6">
    <fb>29.3306</fb>
    <v>11</v>
  </rv>
  <rv s="6">
    <fb>1742810490</fb>
    <v>12</v>
  </rv>
  <rv s="6">
    <fb>27.247</fb>
    <v>11</v>
  </rv>
  <rv s="6">
    <fb>29.815000000000001</fb>
    <v>11</v>
  </rv>
  <rv s="6">
    <fb>30.710999999999999</fb>
    <v>11</v>
  </rv>
  <rv s="6">
    <fb>27.056999999999999</fb>
    <v>11</v>
  </rv>
  <rv s="6">
    <fb>2281746100</fb>
    <v>12</v>
  </rv>
  <rv s="6">
    <fb>26.942</fb>
    <v>11</v>
  </rv>
  <rv s="6">
    <fb>26.581</fb>
    <v>11</v>
  </rv>
  <rv s="6">
    <fb>28.594999999999999</fb>
    <v>11</v>
  </rv>
  <rv s="6">
    <fb>25.643799999999999</fb>
    <v>11</v>
  </rv>
  <rv s="6">
    <fb>2316884160</fb>
    <v>12</v>
  </rv>
  <rv s="6">
    <fb>23.373999999999999</fb>
    <v>11</v>
  </rv>
  <rv s="6">
    <fb>26.26</fb>
    <v>11</v>
  </rv>
  <rv s="6">
    <fb>26.638000000000002</fb>
    <v>11</v>
  </rv>
  <rv s="6">
    <fb>23.263000000000002</fb>
    <v>11</v>
  </rv>
  <rv s="6">
    <fb>2067759250</fb>
    <v>12</v>
  </rv>
  <rv s="6">
    <fb>22.33</fb>
    <v>11</v>
  </rv>
  <rv s="6">
    <fb>24.056999999999999</fb>
    <v>11</v>
  </rv>
  <rv s="6">
    <fb>20.888000000000002</fb>
    <v>11</v>
  </rv>
  <rv s="6">
    <fb>3453512690</fb>
    <v>12</v>
  </rv>
  <rv s="6">
    <fb>24.318999999999999</fb>
    <v>11</v>
  </rv>
  <rv s="6">
    <fb>23.181999999999999</fb>
    <v>11</v>
  </rv>
  <rv s="6">
    <fb>25.817</fb>
    <v>11</v>
  </rv>
  <rv s="6">
    <fb>23.052</fb>
    <v>11</v>
  </rv>
  <rv s="6">
    <fb>2392030540</fb>
    <v>12</v>
  </rv>
  <rv s="6">
    <fb>23.949000000000002</fb>
    <v>11</v>
  </rv>
  <rv s="6">
    <fb>24.372</fb>
    <v>11</v>
  </rv>
  <rv s="6">
    <fb>26.925000000000001</fb>
    <v>11</v>
  </rv>
  <rv s="6">
    <fb>23.773</fb>
    <v>11</v>
  </rv>
  <rv s="6">
    <fb>2430179500</fb>
    <v>12</v>
  </rv>
  <rv s="6">
    <fb>23.641999999999999</fb>
    <v>11</v>
  </rv>
  <rv s="6">
    <fb>23.934000000000001</fb>
    <v>11</v>
  </rv>
  <rv s="6">
    <fb>26.582000000000001</fb>
    <v>11</v>
  </rv>
  <rv s="6">
    <fb>23.1</fb>
    <v>11</v>
  </rv>
  <rv s="6">
    <fb>3446703550</fb>
    <v>12</v>
  </rv>
  <rv s="6">
    <fb>24.157</fb>
    <v>11</v>
  </rv>
  <rv s="6">
    <fb>23.035</fb>
    <v>11</v>
  </rv>
  <rv s="6">
    <fb>24.216999999999999</fb>
    <v>11</v>
  </rv>
  <rv s="6">
    <fb>2464599350</fb>
    <v>12</v>
  </rv>
  <rv s="6">
    <fb>22.936</fb>
    <v>11</v>
  </rv>
  <rv s="6">
    <fb>23.992000000000001</fb>
    <v>11</v>
  </rv>
  <rv s="6">
    <fb>22.481999999999999</fb>
    <v>11</v>
  </rv>
  <rv s="6">
    <fb>2076122180</fb>
    <v>12</v>
  </rv>
  <rv s="6">
    <fb>22.817</fb>
    <v>11</v>
  </rv>
  <rv s="6">
    <fb>2296304250</fb>
    <v>12</v>
  </rv>
  <rv s="6">
    <fb>26.452999999999999</fb>
    <v>11</v>
  </rv>
  <rv s="6">
    <fb>21.869</fb>
    <v>11</v>
  </rv>
  <rv s="6">
    <fb>26.568999999999999</fb>
    <v>11</v>
  </rv>
  <rv s="6">
    <fb>21.158999999999999</fb>
    <v>11</v>
  </rv>
  <rv s="6">
    <fb>2751431420</fb>
    <v>12</v>
  </rv>
  <rv s="6">
    <fb>27.692</fb>
    <v>11</v>
  </rv>
  <rv s="6">
    <fb>26.507000000000001</fb>
    <v>11</v>
  </rv>
  <rv s="6">
    <fb>28.358000000000001</fb>
    <v>11</v>
  </rv>
  <rv s="6">
    <fb>25.574999999999999</fb>
    <v>11</v>
  </rv>
  <rv s="6">
    <fb>3097249360</fb>
    <v>12</v>
  </rv>
  <rv s="6">
    <fb>26.712</fb>
    <v>11</v>
  </rv>
  <rv s="6">
    <fb>27.755500000000001</fb>
    <v>11</v>
  </rv>
  <rv s="6">
    <fb>28.946000000000002</fb>
    <v>11</v>
  </rv>
  <rv s="6">
    <fb>26.266999999999999</fb>
    <v>11</v>
  </rv>
  <rv s="6">
    <fb>2418640780</fb>
    <v>12</v>
  </rv>
  <rv s="6">
    <fb>23.119</fb>
    <v>11</v>
  </rv>
  <rv s="6">
    <fb>26.728000000000002</fb>
    <v>11</v>
  </rv>
  <rv s="6">
    <fb>27.558</fb>
    <v>11</v>
  </rv>
  <rv s="6">
    <fb>23.062000000000001</fb>
    <v>11</v>
  </rv>
  <rv s="6">
    <fb>2620928110</fb>
    <v>12</v>
  </rv>
  <rv s="6">
    <fb>21.257999999999999</fb>
    <v>11</v>
  </rv>
  <rv s="6">
    <fb>22.213999999999999</fb>
    <v>11</v>
  </rv>
  <rv s="6">
    <fb>22.777000000000001</fb>
    <v>11</v>
  </rv>
  <rv s="6">
    <fb>21.163</fb>
    <v>11</v>
  </rv>
  <rv s="6">
    <fb>2323505200</fb>
    <v>12</v>
  </rv>
  <rv s="6">
    <fb>19.515000000000001</fb>
    <v>11</v>
  </rv>
  <rv s="6">
    <fb>21.2</fb>
    <v>11</v>
  </rv>
  <rv s="6">
    <fb>22.670400000000001</fb>
    <v>11</v>
  </rv>
  <rv s="6">
    <fb>2788378500</fb>
    <v>12</v>
  </rv>
  <rv s="6">
    <fb>18.547000000000001</fb>
    <v>11</v>
  </rv>
  <rv s="6">
    <fb>19.202000000000002</fb>
    <v>11</v>
  </rv>
  <rv s="6">
    <fb>20.128499999999999</fb>
    <v>11</v>
  </rv>
  <rv s="6">
    <fb>2864929900</fb>
    <v>12</v>
  </rv>
  <rv s="6">
    <fb>18.675000000000001</fb>
    <v>11</v>
  </rv>
  <rv s="6">
    <fb>18.540500000000002</fb>
    <v>11</v>
  </rv>
  <rv s="6">
    <fb>17.989999999999998</fb>
    <v>11</v>
  </rv>
  <rv s="6">
    <fb>2956282280</fb>
    <v>12</v>
  </rv>
  <rv s="6">
    <fb>17.706</fb>
    <v>11</v>
  </rv>
  <rv s="6">
    <fb>18.033999999999999</fb>
    <v>11</v>
  </rv>
  <rv s="6">
    <fb>18.254999999999999</fb>
    <v>11</v>
  </rv>
  <rv s="6">
    <fb>15.567</fb>
    <v>11</v>
  </rv>
  <rv s="6">
    <fb>3455260710</fb>
    <v>12</v>
  </rv>
  <rv s="6">
    <fb>16.693999999999999</fb>
    <v>11</v>
  </rv>
  <rv s="6">
    <fb>17.509</fb>
    <v>11</v>
  </rv>
  <rv s="6">
    <fb>18.370999999999999</fb>
    <v>11</v>
  </rv>
  <rv s="6">
    <fb>15.755000000000001</fb>
    <v>11</v>
  </rv>
  <rv s="6">
    <fb>3012851600</fb>
    <v>12</v>
  </rv>
  <rv s="6">
    <fb>18.811</fb>
    <v>11</v>
  </rv>
  <rv s="6">
    <fb>16.274000000000001</fb>
    <v>11</v>
  </rv>
  <rv s="6">
    <fb>18.881</fb>
    <v>11</v>
  </rv>
  <rv s="6">
    <fb>3744524480</fb>
    <v>12</v>
  </rv>
  <rv s="6">
    <fb>18.72</fb>
    <v>11</v>
  </rv>
  <rv s="6">
    <fb>19.619</fb>
    <v>11</v>
  </rv>
  <rv s="6">
    <fb>18.122</fb>
    <v>11</v>
  </rv>
  <rv s="6">
    <fb>2456047910</fb>
    <v>12</v>
  </rv>
  <rv s="6">
    <fb>16.974</fb>
    <v>11</v>
  </rv>
  <rv s="6">
    <fb>19.138999999999999</fb>
    <v>11</v>
  </rv>
  <rv s="6">
    <fb>19.337</fb>
    <v>11</v>
  </rv>
  <rv s="6">
    <fb>16.869</fb>
    <v>11</v>
  </rv>
  <rv s="6">
    <fb>2035796170</fb>
    <v>12</v>
  </rv>
  <rv s="6">
    <fb>16</fb>
    <v>11</v>
  </rv>
  <rv s="6">
    <fb>16.867999999999999</fb>
    <v>11</v>
  </rv>
  <rv s="6">
    <fb>15.327999999999999</fb>
    <v>11</v>
  </rv>
  <rv s="6">
    <fb>2813851190</fb>
    <v>12</v>
  </rv>
  <rv s="6">
    <fb>17.126000000000001</fb>
    <v>11</v>
  </rv>
  <rv s="6">
    <fb>16.474499999999999</fb>
    <v>11</v>
  </rv>
  <rv s="6">
    <fb>15.853</fb>
    <v>11</v>
  </rv>
  <rv s="6">
    <fb>1856918740</fb>
    <v>12</v>
  </rv>
  <rv s="6">
    <fb>14.523</fb>
    <v>11</v>
  </rv>
  <rv s="6">
    <fb>17.312000000000001</fb>
    <v>11</v>
  </rv>
  <rv s="6">
    <fb>14.391999999999999</fb>
    <v>11</v>
  </rv>
  <rv s="6">
    <fb>2635859630</fb>
    <v>12</v>
  </rv>
  <rv s="6">
    <fb>15.837999999999999</fb>
    <v>11</v>
  </rv>
  <rv s="6">
    <fb>14.175000000000001</fb>
    <v>11</v>
  </rv>
  <rv s="6">
    <fb>16.036999999999999</fb>
    <v>11</v>
  </rv>
  <rv s="6">
    <fb>14.055</fb>
    <v>11</v>
  </rv>
  <rv s="6">
    <fb>2142147990</fb>
    <v>12</v>
  </rv>
  <rv s="6">
    <fb>15.762</fb>
    <v>11</v>
  </rv>
  <rv s="6">
    <fb>15.526</fb>
    <v>11</v>
  </rv>
  <rv s="6">
    <fb>15.782</fb>
    <v>11</v>
  </rv>
  <rv s="6">
    <fb>14.465</fb>
    <v>11</v>
  </rv>
  <rv s="6">
    <fb>2260960480</fb>
    <v>12</v>
  </rv>
  <rv s="6">
    <fb>17.318999999999999</fb>
    <v>11</v>
  </rv>
  <rv s="6">
    <fb>16.302</fb>
    <v>11</v>
  </rv>
  <rv s="6">
    <fb>18.143999999999998</fb>
    <v>11</v>
  </rv>
  <rv s="6">
    <fb>16.001999999999999</fb>
    <v>11</v>
  </rv>
  <rv s="6">
    <fb>3227141480</fb>
    <v>12</v>
  </rv>
  <rv s="6">
    <fb>18.163</fb>
    <v>11</v>
  </rv>
  <rv s="6">
    <fb>17.018999999999998</fb>
    <v>11</v>
  </rv>
  <rv s="6">
    <fb>18.244</fb>
    <v>11</v>
  </rv>
  <rv s="6">
    <fb>16.478000000000002</fb>
    <v>11</v>
  </rv>
  <rv s="6">
    <fb>2358495350</fb>
    <v>12</v>
  </rv>
  <rv s="6">
    <fb>18.989000000000001</fb>
    <v>11</v>
  </rv>
  <rv s="6">
    <fb>18.181999999999999</fb>
    <v>11</v>
  </rv>
  <rv s="6">
    <fb>19.274000000000001</fb>
    <v>11</v>
  </rv>
  <rv s="6">
    <fb>2179862090</fb>
    <v>12</v>
  </rv>
  <rv s="6">
    <fb>18.709</fb>
    <v>11</v>
  </rv>
  <rv s="6">
    <fb>17.501999999999999</fb>
    <v>11</v>
  </rv>
  <rv s="6">
    <fb>18.718</fb>
    <v>11</v>
  </rv>
  <rv s="6">
    <fb>16.724</fb>
    <v>11</v>
  </rv>
  <rv s="6">
    <fb>3236888990</fb>
    <v>12</v>
  </rv>
  <rv s="6">
    <fb>17.849</fb>
    <v>11</v>
  </rv>
  <rv s="6">
    <fb>18.701000000000001</fb>
    <v>11</v>
  </rv>
  <rv s="6">
    <fb>19.164000000000001</fb>
    <v>11</v>
  </rv>
  <rv s="6">
    <fb>17.77</fb>
    <v>11</v>
  </rv>
  <rv s="6">
    <fb>2212739200</fb>
    <v>12</v>
  </rv>
  <rv s="6">
    <fb>16.260000000000002</fb>
    <v>11</v>
  </rv>
  <rv s="6">
    <fb>17.489999999999998</fb>
    <v>11</v>
  </rv>
  <rv s="6">
    <fb>17.946999999999999</fb>
    <v>11</v>
  </rv>
  <rv s="6">
    <fb>16.236999999999998</fb>
    <v>11</v>
  </rv>
  <rv s="6">
    <fb>2842057950</fb>
    <v>12</v>
  </rv>
  <rv s="6">
    <fb>13.647</fb>
    <v>11</v>
  </rv>
  <rv s="6">
    <fb>16.338000000000001</fb>
    <v>11</v>
  </rv>
  <rv s="6">
    <fb>13.270200000000001</fb>
    <v>11</v>
  </rv>
  <rv s="6">
    <fb>3522045090</fb>
    <v>12</v>
  </rv>
  <rv s="6">
    <fb>14.387</fb>
    <v>11</v>
  </rv>
  <rv s="6">
    <fb>13.731</fb>
    <v>11</v>
  </rv>
  <rv s="6">
    <fb>14.474</fb>
    <v>11</v>
  </rv>
  <rv s="6">
    <fb>13.346</fb>
    <v>11</v>
  </rv>
  <rv s="6">
    <fb>2160410180</fb>
    <v>12</v>
  </rv>
  <rv s="6">
    <fb>13.198</fb>
    <v>11</v>
  </rv>
  <rv s="6">
    <fb>14.369</fb>
    <v>11</v>
  </rv>
  <rv s="6">
    <fb>14.547000000000001</fb>
    <v>11</v>
  </rv>
  <rv s="6">
    <fb>12.617000000000001</fb>
    <v>11</v>
  </rv>
  <rv s="6">
    <fb>2981997970</fb>
    <v>12</v>
  </rv>
  <rv s="6">
    <fb>12.516</fb>
    <v>11</v>
  </rv>
  <rv s="6">
    <fb>13.012</fb>
    <v>11</v>
  </rv>
  <rv s="6">
    <fb>14.031000000000001</fb>
    <v>11</v>
  </rv>
  <rv s="6">
    <fb>12.257</fb>
    <v>11</v>
  </rv>
  <rv s="6">
    <fb>3324653900</fb>
    <v>12</v>
  </rv>
  <rv s="6">
    <fb>12.138999999999999</fb>
    <v>11</v>
  </rv>
  <rv s="6">
    <fb>12.491</fb>
    <v>11</v>
  </rv>
  <rv s="6">
    <fb>11.946</fb>
    <v>11</v>
  </rv>
  <rv s="6">
    <fb>2742012170</fb>
    <v>12</v>
  </rv>
  <rv s="6">
    <fb>12.076000000000001</fb>
    <v>11</v>
  </rv>
  <rv s="6">
    <fb>12.347</fb>
    <v>11</v>
  </rv>
  <rv s="6">
    <fb>13.656000000000001</fb>
    <v>11</v>
  </rv>
  <rv s="6">
    <fb>12.022</fb>
    <v>11</v>
  </rv>
  <rv s="6">
    <fb>2955425920</fb>
    <v>12</v>
  </rv>
  <rv s="6">
    <fb>11.227</fb>
    <v>11</v>
  </rv>
  <rv s="6">
    <fb>12.037000000000001</fb>
    <v>11</v>
  </rv>
  <rv s="6">
    <fb>12.1243</fb>
    <v>11</v>
  </rv>
  <rv s="6">
    <fb>10.813000000000001</fb>
    <v>11</v>
  </rv>
  <rv s="6">
    <fb>3422306070</fb>
    <v>12</v>
  </rv>
  <rv s="6">
    <fb>12.465999999999999</fb>
    <v>11</v>
  </rv>
  <rv s="6">
    <fb>11.518000000000001</fb>
    <v>11</v>
  </rv>
  <rv s="6">
    <fb>12.769</fb>
    <v>11</v>
  </rv>
  <rv s="6">
    <fb>11.516999999999999</fb>
    <v>11</v>
  </rv>
  <rv s="6">
    <fb>3025158860</fb>
    <v>12</v>
  </rv>
  <rv s="6">
    <fb>13.834</fb>
    <v>11</v>
  </rv>
  <rv s="6">
    <fb>12.507999999999999</fb>
    <v>11</v>
  </rv>
  <rv s="6">
    <fb>12.064</fb>
    <v>11</v>
  </rv>
  <rv s="6">
    <fb>2662626030</fb>
    <v>12</v>
  </rv>
  <rv s="6">
    <fb>14.156000000000001</fb>
    <v>11</v>
  </rv>
  <rv s="6">
    <fb>13.778</fb>
    <v>11</v>
  </rv>
  <rv s="6">
    <fb>14.228999999999999</fb>
    <v>11</v>
  </rv>
  <rv s="6">
    <fb>12.956</fb>
    <v>11</v>
  </rv>
  <rv s="6">
    <fb>2704426500</fb>
    <v>12</v>
  </rv>
  <rv s="6">
    <fb>16.327000000000002</fb>
    <v>11</v>
  </rv>
  <rv s="6">
    <fb>14.228</fb>
    <v>11</v>
  </rv>
  <rv s="6">
    <fb>16.388999999999999</fb>
    <v>11</v>
  </rv>
  <rv s="6">
    <fb>13.759</fb>
    <v>11</v>
  </rv>
  <rv s="6">
    <fb>2816073320</fb>
    <v>12</v>
  </rv>
  <rv s="6">
    <fb>15.409000000000001</fb>
    <v>11</v>
  </rv>
  <rv s="6">
    <fb>16.218</fb>
    <v>11</v>
  </rv>
  <rv s="6">
    <fb>16.998000000000001</fb>
    <v>11</v>
  </rv>
  <rv s="6">
    <fb>2926240000</fb>
    <v>12</v>
  </rv>
  <rv s="6">
    <fb>15.147</fb>
    <v>11</v>
  </rv>
  <rv s="6">
    <fb>16.527000000000001</fb>
    <v>11</v>
  </rv>
  <rv s="6">
    <fb>15.08</fb>
    <v>11</v>
  </rv>
  <rv s="6">
    <fb>1472780610</fb>
    <v>12</v>
  </rv>
  <rv s="6">
    <fb>16.876000000000001</fb>
    <v>11</v>
  </rv>
  <rv s="6">
    <fb>16.026</fb>
    <v>11</v>
  </rv>
  <rv s="6">
    <fb>17.265000000000001</fb>
    <v>11</v>
  </rv>
  <rv s="6">
    <fb>2010199870</fb>
    <v>12</v>
  </rv>
  <rv s="6">
    <fb>17.001000000000001</fb>
    <v>11</v>
  </rv>
  <rv s="6">
    <fb>16.678999999999998</fb>
    <v>11</v>
  </rv>
  <rv s="6">
    <fb>17.582999999999998</fb>
    <v>11</v>
  </rv>
  <rv s="6">
    <fb>15.667</fb>
    <v>11</v>
  </rv>
  <rv s="6">
    <fb>2058130750</fb>
    <v>12</v>
  </rv>
  <rv s="6">
    <fb>16.571000000000002</fb>
    <v>11</v>
  </rv>
  <rv s="6">
    <fb>17.036999999999999</fb>
    <v>11</v>
  </rv>
  <rv s="6">
    <fb>2567578690</fb>
    <v>12</v>
  </rv>
  <rv s="6">
    <fb>15.206</fb>
    <v>11</v>
  </rv>
  <rv s="6">
    <fb>16.571999999999999</fb>
    <v>11</v>
  </rv>
  <rv s="6">
    <fb>16.626999999999999</fb>
    <v>11</v>
  </rv>
  <rv s="6">
    <fb>14.882</fb>
    <v>11</v>
  </rv>
  <rv s="6">
    <fb>1996694840</fb>
    <v>12</v>
  </rv>
  <rv s="6">
    <fb>14.614000000000001</fb>
    <v>11</v>
  </rv>
  <rv s="6">
    <fb>15.074</fb>
    <v>11</v>
  </rv>
  <rv s="6">
    <fb>13.884</fb>
    <v>11</v>
  </rv>
  <rv s="6">
    <fb>1481381780</fb>
    <v>12</v>
  </rv>
  <rv s="6">
    <fb>14.859</fb>
    <v>11</v>
  </rv>
  <rv s="6">
    <fb>14.851000000000001</fb>
    <v>11</v>
  </rv>
  <rv s="6">
    <fb>15.01</fb>
    <v>11</v>
  </rv>
  <rv s="6">
    <fb>14.034000000000001</fb>
    <v>11</v>
  </rv>
  <rv s="6">
    <fb>1626811910</fb>
    <v>12</v>
  </rv>
  <rv s="6">
    <fb>16.899000000000001</fb>
    <v>11</v>
  </rv>
  <rv s="6">
    <fb>15.284000000000001</fb>
    <v>11</v>
  </rv>
  <rv s="6">
    <fb>16.922000000000001</fb>
    <v>11</v>
  </rv>
  <rv s="6">
    <fb>15.141</fb>
    <v>11</v>
  </rv>
  <rv s="6">
    <fb>2240312870</fb>
    <v>12</v>
  </rv>
  <rv s="6">
    <fb>17.838999999999999</fb>
    <v>11</v>
  </rv>
  <rv s="6">
    <fb>17.873000000000001</fb>
    <v>11</v>
  </rv>
  <rv s="6">
    <fb>16.731000000000002</fb>
    <v>11</v>
  </rv>
  <rv s="6">
    <fb>1968624430</fb>
    <v>12</v>
  </rv>
  <rv s="6">
    <fb>20.364999999999998</fb>
    <v>11</v>
  </rv>
  <rv s="6">
    <fb>18.064</fb>
    <v>11</v>
  </rv>
  <rv s="6">
    <fb>20.628</fb>
    <v>11</v>
  </rv>
  <rv s="6">
    <fb>17.817499999999999</fb>
    <v>11</v>
  </rv>
  <rv s="6">
    <fb>2632581200</fb>
    <v>12</v>
  </rv>
  <rv s="6">
    <fb>21.1</fb>
    <v>11</v>
  </rv>
  <rv s="6">
    <fb>21.949000000000002</fb>
    <v>11</v>
  </rv>
  <rv s="6">
    <fb>2640746520</fb>
    <v>12</v>
  </rv>
  <rv s="6">
    <fb>21.265000000000001</fb>
    <v>11</v>
  </rv>
  <rv s="6">
    <fb>20.806000000000001</fb>
    <v>11</v>
  </rv>
  <rv s="6">
    <fb>23.02</fb>
    <v>11</v>
  </rv>
  <rv s="6">
    <fb>20.786000000000001</fb>
    <v>11</v>
  </rv>
  <rv s="6">
    <fb>2750610450</fb>
    <v>12</v>
  </rv>
  <rv s="6">
    <fb>21.388000000000002</fb>
    <v>11</v>
  </rv>
  <rv s="6">
    <fb>21.538</fb>
    <v>11</v>
  </rv>
  <rv s="6">
    <fb>23.0488</fb>
    <v>11</v>
  </rv>
  <rv s="6">
    <fb>20.962</fb>
    <v>11</v>
  </rv>
  <rv s="6">
    <fb>2449494300</fb>
    <v>12</v>
  </rv>
  <rv s="6">
    <fb>23.286000000000001</fb>
    <v>11</v>
  </rv>
  <rv s="6">
    <fb>23.888000000000002</fb>
    <v>11</v>
  </rv>
  <rv s="6">
    <fb>20.420999999999999</fb>
    <v>11</v>
  </rv>
  <rv s="6">
    <fb>2630910190</fb>
    <v>12</v>
  </rv>
  <rv s="6">
    <fb>22.431999999999999</fb>
    <v>11</v>
  </rv>
  <rv s="6">
    <fb>2171450040</fb>
    <v>12</v>
  </rv>
  <rv s="6">
    <fb>22.965</fb>
    <v>11</v>
  </rv>
  <rv s="6">
    <fb>23.890999999999998</fb>
    <v>11</v>
  </rv>
  <rv s="6">
    <fb>24.454000000000001</fb>
    <v>11</v>
  </rv>
  <rv s="6">
    <fb>2442279140</fb>
    <v>12</v>
  </rv>
  <rv s="6">
    <fb>25.725000000000001</fb>
    <v>11</v>
  </rv>
  <rv s="6">
    <fb>22.751999999999999</fb>
    <v>11</v>
  </rv>
  <rv s="6">
    <fb>26.399000000000001</fb>
    <v>11</v>
  </rv>
  <rv s="6">
    <fb>22.297000000000001</fb>
    <v>11</v>
  </rv>
  <rv s="6">
    <fb>2854779010</fb>
    <v>12</v>
  </rv>
  <rv s="6">
    <fb>26.779</fb>
    <v>11</v>
  </rv>
  <rv s="6">
    <fb>25.614999999999998</fb>
    <v>11</v>
  </rv>
  <rv s="6">
    <fb>27.588999999999999</fb>
    <v>11</v>
  </rv>
  <rv s="6">
    <fb>25.129799999999999</fb>
    <v>11</v>
  </rv>
  <rv s="6">
    <fb>2797752890</fb>
    <v>12</v>
  </rv>
  <rv s="6">
    <fb>27.777000000000001</fb>
    <v>11</v>
  </rv>
  <rv s="6">
    <fb>26.837</fb>
    <v>11</v>
  </rv>
  <rv s="6">
    <fb>27.834299999999999</fb>
    <v>11</v>
  </rv>
  <rv s="6">
    <fb>25.85</fb>
    <v>11</v>
  </rv>
  <rv s="6">
    <fb>1909271900</fb>
    <v>12</v>
  </rv>
  <rv s="6">
    <fb>27.036999999999999</fb>
    <v>11</v>
  </rv>
  <rv s="6">
    <fb>27.509</fb>
    <v>11</v>
  </rv>
  <rv s="6">
    <fb>26.395</fb>
    <v>11</v>
  </rv>
  <rv s="6">
    <fb>1679976210</fb>
    <v>12</v>
  </rv>
  <rv s="6">
    <fb>26.757999999999999</fb>
    <v>11</v>
  </rv>
  <rv s="6">
    <fb>26.823</fb>
    <v>11</v>
  </rv>
  <rv s="6">
    <fb>1905191080</fb>
    <v>12</v>
  </rv>
  <rv s="6">
    <fb>27.119</fb>
    <v>11</v>
  </rv>
  <rv s="6">
    <fb>26.5655</fb>
    <v>11</v>
  </rv>
  <rv s="6">
    <fb>28.11</fb>
    <v>11</v>
  </rv>
  <rv s="6">
    <fb>26.433199999999999</fb>
    <v>11</v>
  </rv>
  <rv s="6">
    <fb>2057759280</fb>
    <v>12</v>
  </rv>
  <rv s="6">
    <fb>27.748999999999999</fb>
    <v>11</v>
  </rv>
  <rv s="6">
    <fb>27.013000000000002</fb>
    <v>11</v>
  </rv>
  <rv s="6">
    <fb>27.757999999999999</fb>
    <v>11</v>
  </rv>
  <rv s="6">
    <fb>26.225000000000001</fb>
    <v>11</v>
  </rv>
  <rv s="6">
    <fb>1793523160</fb>
    <v>12</v>
  </rv>
  <rv s="6">
    <fb>27.84</fb>
    <v>11</v>
  </rv>
  <rv s="6">
    <fb>29.058399999999999</fb>
    <v>11</v>
  </rv>
  <rv s="6">
    <fb>2039789990</fb>
    <v>12</v>
  </rv>
  <rv s="6">
    <fb>28.34</fb>
    <v>11</v>
  </rv>
  <rv s="6">
    <fb>28.521999999999998</fb>
    <v>11</v>
  </rv>
  <rv s="6">
    <fb>28.045999999999999</fb>
    <v>11</v>
  </rv>
  <rv s="6">
    <fb>1625569620</fb>
    <v>12</v>
  </rv>
  <rv s="6">
    <fb>31.263999999999999</fb>
    <v>11</v>
  </rv>
  <rv s="6">
    <fb>28.508500000000002</fb>
    <v>11</v>
  </rv>
  <rv s="6">
    <fb>31.827999999999999</fb>
    <v>11</v>
  </rv>
  <rv s="6">
    <fb>28.152000000000001</fb>
    <v>11</v>
  </rv>
  <rv s="6">
    <fb>2398498880</fb>
    <v>12</v>
  </rv>
  <rv s="6">
    <fb>38.945999999999998</fb>
    <v>11</v>
  </rv>
  <rv s="6">
    <fb>30.901</fb>
    <v>11</v>
  </rv>
  <rv s="6">
    <fb>39.479999999999997</fb>
    <v>11</v>
  </rv>
  <rv s="6">
    <fb>29.806000000000001</fb>
    <v>11</v>
  </rv>
  <rv s="6">
    <fb>3707978870</fb>
    <v>12</v>
  </rv>
  <rv s="6">
    <fb>39.326999999999998</fb>
    <v>11</v>
  </rv>
  <rv s="6">
    <fb>40.594999999999999</fb>
    <v>11</v>
  </rv>
  <rv s="6">
    <fb>41.938000000000002</fb>
    <v>11</v>
  </rv>
  <rv s="6">
    <fb>37.822000000000003</fb>
    <v>11</v>
  </rv>
  <rv s="6">
    <fb>3044585460</fb>
    <v>12</v>
  </rv>
  <rv s="6">
    <fb>38.770000000000003</fb>
    <v>11</v>
  </rv>
  <rv s="6">
    <fb>38.908999999999999</fb>
    <v>11</v>
  </rv>
  <rv s="6">
    <fb>39.710999999999999</fb>
    <v>11</v>
  </rv>
  <rv s="6">
    <fb>37.356000000000002</fb>
    <v>11</v>
  </rv>
  <rv s="6">
    <fb>2142310710</fb>
    <v>12</v>
  </rv>
  <rv s="6">
    <fb>42.692</fb>
    <v>11</v>
  </rv>
  <rv s="6">
    <fb>39.200000000000003</fb>
    <v>11</v>
  </rv>
  <rv s="6">
    <fb>43.720999999999997</fb>
    <v>11</v>
  </rv>
  <rv s="6">
    <fb>38.618000000000002</fb>
    <v>11</v>
  </rv>
  <rv s="6">
    <fb>2967677980</fb>
    <v>12</v>
  </rv>
  <rv s="6">
    <fb>42.209000000000003</fb>
    <v>11</v>
  </rv>
  <rv s="6">
    <fb>42.997999999999998</fb>
    <v>11</v>
  </rv>
  <rv s="6">
    <fb>43.99</fb>
    <v>11</v>
  </rv>
  <rv s="6">
    <fb>42.015000000000001</fb>
    <v>11</v>
  </rv>
  <rv s="6">
    <fb>1778633290</fb>
    <v>12</v>
  </rv>
  <rv s="6">
    <fb>42.302</fb>
    <v>11</v>
  </rv>
  <rv s="6">
    <fb>42.460999999999999</fb>
    <v>11</v>
  </rv>
  <rv s="6">
    <fb>42.764000000000003</fb>
    <v>11</v>
  </rv>
  <rv s="6">
    <fb>40.1</fb>
    <v>11</v>
  </rv>
  <rv s="6">
    <fb>2520797940</fb>
    <v>12</v>
  </rv>
  <rv s="6">
    <fb>42.503</fb>
    <v>11</v>
  </rv>
  <rv s="6">
    <fb>42.517000000000003</fb>
    <v>11</v>
  </rv>
  <rv s="6">
    <fb>43.213999999999999</fb>
    <v>11</v>
  </rv>
  <rv s="6">
    <fb>41.345999999999997</fb>
    <v>11</v>
  </rv>
  <rv s="6">
    <fb>1181847010</fb>
    <v>12</v>
  </rv>
  <rv s="6">
    <fb>45.469000000000001</fb>
    <v>11</v>
  </rv>
  <rv s="6">
    <fb>42.656999999999996</fb>
    <v>11</v>
  </rv>
  <rv s="6">
    <fb>48.088000000000001</fb>
    <v>11</v>
  </rv>
  <rv s="6">
    <fb>41.649000000000001</fb>
    <v>11</v>
  </rv>
  <rv s="6">
    <fb>2383708210</fb>
    <v>12</v>
  </rv>
  <rv s="6">
    <fb>44.308999999999997</fb>
    <v>11</v>
  </rv>
  <rv s="6">
    <fb>46.289000000000001</fb>
    <v>11</v>
  </rv>
  <rv s="6">
    <fb>47.896000000000001</fb>
    <v>11</v>
  </rv>
  <rv s="6">
    <fb>44.1</fb>
    <v>11</v>
  </rv>
  <rv s="6">
    <fb>3009813570</fb>
    <v>12</v>
  </rv>
  <rv s="6">
    <fb>46.75</fb>
    <v>11</v>
  </rv>
  <rv s="6">
    <fb>44.731000000000002</fb>
    <v>11</v>
  </rv>
  <rv s="6">
    <fb>47.395000000000003</fb>
    <v>11</v>
  </rv>
  <rv s="6">
    <fb>44.04</fb>
    <v>11</v>
  </rv>
  <rv s="6">
    <fb>1882587670</fb>
    <v>12</v>
  </rv>
  <rv s="6">
    <fb>44.68</fb>
    <v>11</v>
  </rv>
  <rv s="6">
    <fb>46.753999999999998</fb>
    <v>11</v>
  </rv>
  <rv s="6">
    <fb>47.13</fb>
    <v>11</v>
  </rv>
  <rv s="6">
    <fb>43.387</fb>
    <v>11</v>
  </rv>
  <rv s="6">
    <fb>1708215600</fb>
    <v>12</v>
  </rv>
  <rv s="6">
    <fb>40.854999999999997</fb>
    <v>11</v>
  </rv>
  <rv s="6">
    <fb>45.110999999999997</fb>
    <v>11</v>
  </rv>
  <rv s="6">
    <fb>45.54</fb>
    <v>11</v>
  </rv>
  <rv s="6">
    <fb>40.639000000000003</fb>
    <v>11</v>
  </rv>
  <rv s="6">
    <fb>2288236600</fb>
    <v>12</v>
  </rv>
  <rv s="6">
    <fb>43.298999999999999</fb>
    <v>11</v>
  </rv>
  <rv s="6">
    <fb>40.485999999999997</fb>
    <v>11</v>
  </rv>
  <rv s="6">
    <fb>45.268000000000001</fb>
    <v>11</v>
  </rv>
  <rv s="6">
    <fb>40.311</fb>
    <v>11</v>
  </rv>
  <rv s="6">
    <fb>2930410710</fb>
    <v>12</v>
  </rv>
  <rv s="6">
    <fb>46.018000000000001</fb>
    <v>11</v>
  </rv>
  <rv s="6">
    <fb>44.494</fb>
    <v>11</v>
  </rv>
  <rv s="6">
    <fb>50.265999999999998</fb>
    <v>11</v>
  </rv>
  <rv s="6">
    <fb>44.222000000000001</fb>
    <v>11</v>
  </rv>
  <rv s="6">
    <fb>4310210970</fb>
    <v>12</v>
  </rv>
  <rv s="6">
    <fb>48.509</fb>
    <v>11</v>
  </rv>
  <rv s="6">
    <fb>46.481999999999999</fb>
    <v>11</v>
  </rv>
  <rv s="6">
    <fb>49.927</fb>
    <v>11</v>
  </rv>
  <rv s="6">
    <fb>44.887999999999998</fb>
    <v>11</v>
  </rv>
  <rv s="6">
    <fb>3114195270</fb>
    <v>12</v>
  </rv>
  <rv s="6">
    <fb>45.572000000000003</fb>
    <v>11</v>
  </rv>
  <rv s="6">
    <fb>48.222999999999999</fb>
    <v>11</v>
  </rv>
  <rv s="6">
    <fb>48.8508</fb>
    <v>11</v>
  </rv>
  <rv s="6">
    <fb>45.152000000000001</fb>
    <v>11</v>
  </rv>
  <rv s="6">
    <fb>1758551980</fb>
    <v>12</v>
  </rv>
  <rv s="6">
    <fb>46.148000000000003</fb>
    <v>11</v>
  </rv>
  <rv s="6">
    <fb>46.162999999999997</fb>
    <v>11</v>
  </rv>
  <rv s="6">
    <fb>43.808</fb>
    <v>11</v>
  </rv>
  <rv s="6">
    <fb>2098504950</fb>
    <v>12</v>
  </rv>
  <rv s="6">
    <fb>41.61</fb>
    <v>11</v>
  </rv>
  <rv s="6">
    <fb>42.747999999999998</fb>
    <v>11</v>
  </rv>
  <rv s="6">
    <fb>44.241999999999997</fb>
    <v>11</v>
  </rv>
  <rv s="6">
    <fb>40.98</fb>
    <v>11</v>
  </rv>
  <rv s="6">
    <fb>2170414990</fb>
    <v>12</v>
  </rv>
  <rv s="6">
    <fb>43.499000000000002</fb>
    <v>11</v>
  </rv>
  <rv s="6">
    <fb>41.591000000000001</fb>
    <v>11</v>
  </rv>
  <rv s="6">
    <fb>44.143999999999998</fb>
    <v>11</v>
  </rv>
  <rv s="6">
    <fb>41.177</fb>
    <v>11</v>
  </rv>
  <rv s="6">
    <fb>2088800970</fb>
    <v>12</v>
  </rv>
  <rv s="6">
    <fb>45.762</fb>
    <v>11</v>
  </rv>
  <rv s="6">
    <fb>44.03</fb>
    <v>11</v>
  </rv>
  <rv s="6">
    <fb>45.789000000000001</fb>
    <v>11</v>
  </rv>
  <rv s="6">
    <fb>43.246000000000002</fb>
    <v>11</v>
  </rv>
  <rv s="6">
    <fb>2093887720</fb>
    <v>12</v>
  </rv>
  <rv s="6">
    <fb>45.460999999999999</fb>
    <v>11</v>
  </rv>
  <rv s="6">
    <fb>44.841999999999999</fb>
    <v>11</v>
  </rv>
  <rv s="6">
    <fb>47.609000000000002</fb>
    <v>11</v>
  </rv>
  <rv s="6">
    <fb>44.368000000000002</fb>
    <v>11</v>
  </rv>
  <rv s="6">
    <fb>2113144680</fb>
    <v>12</v>
  </rv>
  <rv s="6">
    <fb>41.387</fb>
    <v>11</v>
  </rv>
  <rv s="6">
    <fb>45.063000000000002</fb>
    <v>11</v>
  </rv>
  <rv s="6">
    <fb>46.225000000000001</fb>
    <v>11</v>
  </rv>
  <rv s="6">
    <fb>41.078000000000003</fb>
    <v>11</v>
  </rv>
  <rv s="6">
    <fb>2793225380</fb>
    <v>12</v>
  </rv>
  <rv s="6">
    <fb>40.5</fb>
    <v>11</v>
  </rv>
  <rv s="6">
    <fb>41.228999999999999</fb>
    <v>11</v>
  </rv>
  <rv s="6">
    <fb>43.697000000000003</fb>
    <v>11</v>
  </rv>
  <rv s="6">
    <fb>39.880200000000002</fb>
    <v>11</v>
  </rv>
  <rv s="6">
    <fb>2236158810</fb>
    <v>12</v>
  </rv>
  <rv s="6">
    <fb>45.005000000000003</fb>
    <v>11</v>
  </rv>
  <rv s="6">
    <fb>41.087000000000003</fb>
    <v>11</v>
  </rv>
  <rv s="6">
    <fb>45.308999999999997</fb>
    <v>11</v>
  </rv>
  <rv s="6">
    <fb>39.229999999999997</fb>
    <v>11</v>
  </rv>
  <rv s="6">
    <fb>2177371200</fb>
    <v>12</v>
  </rv>
  <rv s="6">
    <fb>48.335000000000001</fb>
    <v>11</v>
  </rv>
  <rv s="6">
    <fb>45.284500000000001</fb>
    <v>11</v>
  </rv>
  <rv s="6">
    <fb>48.472000000000001</fb>
    <v>11</v>
  </rv>
  <rv s="6">
    <fb>44.899000000000001</fb>
    <v>11</v>
  </rv>
  <rv s="6">
    <fb>2053555290</fb>
    <v>12</v>
  </rv>
  <rv s="6">
    <fb>49.298000000000002</fb>
    <v>11</v>
  </rv>
  <rv s="6">
    <fb>48.32</fb>
    <v>11</v>
  </rv>
  <rv s="6">
    <fb>49.96</fb>
    <v>11</v>
  </rv>
  <rv s="6">
    <fb>48.098999999999997</fb>
    <v>11</v>
  </rv>
  <rv s="6">
    <fb>1942240070</fb>
    <v>12</v>
  </rv>
  <rv s="6">
    <fb>47.776000000000003</fb>
    <v>11</v>
  </rv>
  <rv s="6">
    <fb>49.311999999999998</fb>
    <v>11</v>
  </rv>
  <rv s="6">
    <fb>50.548000000000002</fb>
    <v>11</v>
  </rv>
  <rv s="6">
    <fb>47.69</fb>
    <v>11</v>
  </rv>
  <rv s="6">
    <fb>2177176440</fb>
    <v>12</v>
  </rv>
  <rv s="6">
    <fb>46.765000000000001</fb>
    <v>11</v>
  </rv>
  <rv s="6">
    <fb>47.8</fb>
    <v>11</v>
  </rv>
  <rv s="6">
    <fb>48.762</fb>
    <v>11</v>
  </rv>
  <rv s="6">
    <fb>46.186999999999998</fb>
    <v>11</v>
  </rv>
  <rv s="6">
    <fb>2074721040</fb>
    <v>12</v>
  </rv>
  <rv s="6">
    <fb>47.506</fb>
    <v>11</v>
  </rv>
  <rv s="6">
    <fb>46.076999999999998</fb>
    <v>11</v>
  </rv>
  <rv s="6">
    <fb>47.740900000000003</fb>
    <v>11</v>
  </rv>
  <rv s="6">
    <fb>45.01</fb>
    <v>11</v>
  </rv>
  <rv s="6">
    <fb>1899896860</fb>
    <v>12</v>
  </rv>
  <rv s="6">
    <fb>48.89</fb>
    <v>11</v>
  </rv>
  <rv s="6">
    <fb>47.491</fb>
    <v>11</v>
  </rv>
  <rv s="6">
    <fb>49.404000000000003</fb>
    <v>11</v>
  </rv>
  <rv s="6">
    <fb>45.83</fb>
    <v>11</v>
  </rv>
  <rv s="6">
    <fb>2201086130</fb>
    <v>12</v>
  </rv>
  <rv s="6">
    <fb>48.83</fb>
    <v>11</v>
  </rv>
  <rv s="6">
    <fb>49.4</fb>
    <v>11</v>
  </rv>
  <rv s="6">
    <fb>50.433</fb>
    <v>11</v>
  </rv>
  <rv s="6">
    <fb>48.097999999999999</fb>
    <v>11</v>
  </rv>
  <rv s="6">
    <fb>1827858130</fb>
    <v>12</v>
  </rv>
  <rv s="6">
    <fb>49.521999999999998</fb>
    <v>11</v>
  </rv>
  <rv s="6">
    <fb>48.968000000000004</fb>
    <v>11</v>
  </rv>
  <rv s="6">
    <fb>49.997</fb>
    <v>11</v>
  </rv>
  <rv s="6">
    <fb>48.750999999999998</fb>
    <v>11</v>
  </rv>
  <rv s="6">
    <fb>1113728280</fb>
    <v>12</v>
  </rv>
  <rv s="6">
    <fb>49.097000000000001</fb>
    <v>11</v>
  </rv>
  <rv s="6">
    <fb>49.244</fb>
    <v>11</v>
  </rv>
  <rv s="6">
    <fb>49.546999999999997</fb>
    <v>11</v>
  </rv>
  <rv s="6">
    <fb>47.32</fb>
    <v>11</v>
  </rv>
  <rv s="6">
    <fb>1453724550</fb>
    <v>12</v>
  </rv>
  <rv s="6">
    <fb>54.71</fb>
    <v>11</v>
  </rv>
  <rv s="6">
    <fb>49.512</fb>
    <v>11</v>
  </rv>
  <rv s="6">
    <fb>55.345999999999997</fb>
    <v>11</v>
  </rv>
  <rv s="6">
    <fb>49.478999999999999</fb>
    <v>11</v>
  </rv>
  <rv s="6">
    <fb>2899158090</fb>
    <v>12</v>
  </rv>
  <rv s="6">
    <fb>59.491</fb>
    <v>11</v>
  </rv>
  <rv s="6">
    <fb>55.018000000000001</fb>
    <v>11</v>
  </rv>
  <rv s="6">
    <fb>59.5</fb>
    <v>11</v>
  </rv>
  <rv s="6">
    <fb>54.74</fb>
    <v>11</v>
  </rv>
  <rv s="6">
    <fb>1959126010</fb>
    <v>12</v>
  </rv>
  <rv s="6">
    <fb>61.030999999999999</fb>
    <v>11</v>
  </rv>
  <rv s="6">
    <fb>60.048999999999999</fb>
    <v>11</v>
  </rv>
  <rv s="6">
    <fb>62.848999999999997</fb>
    <v>11</v>
  </rv>
  <rv s="6">
    <fb>58.585000000000001</fb>
    <v>11</v>
  </rv>
  <rv s="6">
    <fb>2180965270</fb>
    <v>12</v>
  </rv>
  <rv s="6">
    <fb>66.16</fb>
    <v>11</v>
  </rv>
  <rv s="6">
    <fb>61.231999999999999</fb>
    <v>11</v>
  </rv>
  <rv s="6">
    <fb>66.599999999999994</fb>
    <v>11</v>
  </rv>
  <rv s="6">
    <fb>60.7</fb>
    <v>11</v>
  </rv>
  <rv s="6">
    <fb>2058986590</fb>
    <v>12</v>
  </rv>
  <rv s="6">
    <fb>72.132999999999996</fb>
    <v>11</v>
  </rv>
  <rv s="6">
    <fb>68.224999999999994</fb>
    <v>11</v>
  </rv>
  <rv s="6">
    <fb>72.185000000000002</fb>
    <v>11</v>
  </rv>
  <rv s="6">
    <fb>66.3</fb>
    <v>11</v>
  </rv>
  <rv s="6">
    <fb>2709822920</fb>
    <v>12</v>
  </rv>
  <rv s="6">
    <fb>72.613</fb>
    <v>11</v>
  </rv>
  <rv s="6">
    <fb>72.599999999999994</fb>
    <v>11</v>
  </rv>
  <rv s="6">
    <fb>74.611000000000004</fb>
    <v>11</v>
  </rv>
  <rv s="6">
    <fb>69.62</fb>
    <v>11</v>
  </rv>
  <rv s="6">
    <fb>2636656180</fb>
    <v>12</v>
  </rv>
  <rv s="6">
    <fb>78.816999999999993</fb>
    <v>11</v>
  </rv>
  <rv s="6">
    <fb>71.947000000000003</fb>
    <v>11</v>
  </rv>
  <rv s="6">
    <fb>82.394000000000005</fb>
    <v>11</v>
  </rv>
  <rv s="6">
    <fb>66.248000000000005</fb>
    <v>11</v>
  </rv>
  <rv s="6">
    <fb>3089619340</fb>
    <v>12</v>
  </rv>
  <rv s="6">
    <fb>82.278999999999996</fb>
    <v>11</v>
  </rv>
  <rv s="6">
    <fb>79.7</fb>
    <v>11</v>
  </rv>
  <rv s="6">
    <fb>82.3</fb>
    <v>11</v>
  </rv>
  <rv s="6">
    <fb>77.125</fb>
    <v>11</v>
  </rv>
  <rv s="6">
    <fb>2275212450</fb>
    <v>12</v>
  </rv>
  <rv s="6">
    <fb>87.528000000000006</fb>
    <v>11</v>
  </rv>
  <rv s="6">
    <fb>84.13</fb>
    <v>11</v>
  </rv>
  <rv s="6">
    <fb>97.4</fb>
    <v>11</v>
  </rv>
  <rv s="6">
    <fb>83.417000000000002</fb>
    <v>11</v>
  </rv>
  <rv s="6">
    <fb>3469164270</fb>
    <v>12</v>
  </rv>
  <rv s="6">
    <fb>87.836500000000001</fb>
    <v>11</v>
  </rv>
  <rv s="6">
    <fb>86.429000000000002</fb>
    <v>11</v>
  </rv>
  <rv s="6">
    <fb>91.96</fb>
    <v>11</v>
  </rv>
  <rv s="6">
    <fb>84.165999999999997</fb>
    <v>11</v>
  </rv>
  <rv s="6">
    <fb>3226556480</fb>
    <v>12</v>
  </rv>
  <rv s="6">
    <fb>94.289000000000001</fb>
    <v>11</v>
  </rv>
  <rv s="6">
    <fb>90.388000000000005</fb>
    <v>11</v>
  </rv>
  <rv s="6">
    <fb>94.778000000000006</fb>
    <v>11</v>
  </rv>
  <rv s="6">
    <fb>85.01</fb>
    <v>11</v>
  </rv>
  <rv s="6">
    <fb>2887301660</fb>
    <v>12</v>
  </rv>
  <rv s="6">
    <fb>90.355999999999995</fb>
    <v>11</v>
  </rv>
  <rv s="6">
    <fb>93.941000000000003</fb>
    <v>11</v>
  </rv>
  <rv s="6">
    <fb>96.766000000000005</fb>
    <v>11</v>
  </rv>
  <rv s="6">
    <fb>89.123000000000005</fb>
    <v>11</v>
  </rv>
  <rv s="6">
    <fb>2087063160</fb>
    <v>12</v>
  </rv>
  <rv s="6">
    <fb>88.007999999999996</fb>
    <v>11</v>
  </rv>
  <rv s="6">
    <fb>90.299000000000007</fb>
    <v>11</v>
  </rv>
  <rv s="6">
    <fb>92.224999999999994</fb>
    <v>11</v>
  </rv>
  <rv s="6">
    <fb>85.88</fb>
    <v>11</v>
  </rv>
  <rv s="6">
    <fb>2090214970</fb>
    <v>12</v>
  </rv>
  <rv s="6">
    <fb>88.186000000000007</fb>
    <v>11</v>
  </rv>
  <rv s="6">
    <fb>88.7</fb>
    <v>11</v>
  </rv>
  <rv s="6">
    <fb>90.739000000000004</fb>
    <v>11</v>
  </rv>
  <rv s="6">
    <fb>83.022000000000006</fb>
    <v>11</v>
  </rv>
  <rv s="6">
    <fb>2077137940</fb>
    <v>12</v>
  </rv>
  <rv s="6">
    <fb>76.2</fb>
    <v>11</v>
  </rv>
  <rv s="6">
    <fb>89.097999999999999</fb>
    <v>11</v>
  </rv>
  <rv s="6">
    <fb>90.613</fb>
    <v>11</v>
  </rv>
  <rv s="6">
    <fb>75.605999999999995</fb>
    <v>11</v>
  </rv>
  <rv s="6">
    <fb>2631387820</fb>
    <v>12</v>
  </rv>
  <rv s="6">
    <fb>87.734999999999999</fb>
    <v>11</v>
  </rv>
  <rv s="6">
    <fb>78.103999999999999</fb>
    <v>11</v>
  </rv>
  <rv s="6">
    <fb>88.3309</fb>
    <v>11</v>
  </rv>
  <rv s="6">
    <fb>76.400000000000006</fb>
    <v>11</v>
  </rv>
  <rv s="6">
    <fb>2522758920</fb>
    <v>12</v>
  </rv>
  <rv s="6">
    <fb>88.789000000000001</fb>
    <v>11</v>
  </rv>
  <rv s="6">
    <fb>87.594999999999999</fb>
    <v>11</v>
  </rv>
  <rv s="6">
    <fb>89.281000000000006</fb>
    <v>11</v>
  </rv>
  <rv s="6">
    <fb>81.254599999999996</fb>
    <v>11</v>
  </rv>
  <rv s="6">
    <fb>2088780890</fb>
    <v>12</v>
  </rv>
  <rv s="6">
    <fb>89.878</fb>
    <v>11</v>
  </rv>
  <rv s="6">
    <fb>89.39</fb>
    <v>11</v>
  </rv>
  <rv s="6">
    <fb>92.22</fb>
    <v>11</v>
  </rv>
  <rv s="6">
    <fb>88.230999999999995</fb>
    <v>11</v>
  </rv>
  <rv s="6">
    <fb>1852603270</fb>
    <v>12</v>
  </rv>
  <rv s="6">
    <fb>92.478999999999999</fb>
    <v>11</v>
  </rv>
  <rv s="6">
    <fb>90.477999999999994</fb>
    <v>11</v>
  </rv>
  <rv s="6">
    <fb>95.819000000000003</fb>
    <v>11</v>
  </rv>
  <rv s="6">
    <fb>88.528999999999996</fb>
    <v>11</v>
  </rv>
  <rv s="6">
    <fb>1687565550</fb>
    <v>12</v>
  </rv>
  <rv s="6">
    <fb>106.46899999999999</fb>
    <v>11</v>
  </rv>
  <rv s="6">
    <fb>93.75</fb>
    <v>11</v>
  </rv>
  <rv s="6">
    <fb>106.47499999999999</fb>
    <v>11</v>
  </rv>
  <rv s="6">
    <fb>93.18</fb>
    <v>11</v>
  </rv>
  <rv s="6">
    <fb>2460917860</fb>
    <v>12</v>
  </rv>
  <rv s="6">
    <fb>109.633</fb>
    <v>11</v>
  </rv>
  <rv s="6">
    <fb>110.244</fb>
    <v>11</v>
  </rv>
  <rv s="6">
    <fb>115.8192</fb>
    <v>11</v>
  </rv>
  <rv s="6">
    <fb>106.94</fb>
    <v>11</v>
  </rv>
  <rv s="6">
    <fb>2310782650</fb>
    <v>12</v>
  </rv>
  <rv s="6">
    <fb>120.88800000000001</fb>
    <v>11</v>
  </rv>
  <rv s="6">
    <fb>113.621</fb>
    <v>11</v>
  </rv>
  <rv s="6">
    <fb>125.587</fb>
    <v>11</v>
  </rv>
  <rv s="6">
    <fb>112.003</fb>
    <v>11</v>
  </rv>
  <rv s="6">
    <fb>2447199540</fb>
    <v>12</v>
  </rv>
  <rv s="6">
    <fb>131.88</fb>
    <v>11</v>
  </rv>
  <rv s="6">
    <fb>120.37</fb>
    <v>11</v>
  </rv>
  <rv s="6">
    <fb>132.84</fb>
    <v>11</v>
  </rv>
  <rv s="6">
    <fb>117.01</fb>
    <v>11</v>
  </rv>
  <rv s="6">
    <fb>1406333722</fb>
    <v>12</v>
  </rv>
  <rv s="6">
    <fb>126.57</fb>
    <v>11</v>
  </rv>
  <rv s="6">
    <fb>132.99</fb>
    <v>11</v>
  </rv>
  <rv s="6">
    <fb>140.76</fb>
    <v>11</v>
  </rv>
  <rv s="6">
    <fb>124.3</fb>
    <v>11</v>
  </rv>
  <rv s="6">
    <fb>1756092587</fb>
    <v>12</v>
  </rv>
  <rv s="6">
    <fb>123.54</fb>
    <v>11</v>
  </rv>
  <rv s="6">
    <fb>123.24</fb>
    <v>11</v>
  </rv>
  <rv s="6">
    <fb>118.04</fb>
    <v>11</v>
  </rv>
  <rv s="6">
    <fb>1832912673</fb>
    <v>12</v>
  </rv>
  <rv s="6">
    <fb>125.83</fb>
    <v>11</v>
  </rv>
  <rv s="6">
    <fb>123.47</fb>
    <v>11</v>
  </rv>
  <rv s="6">
    <fb>128.85</fb>
    <v>11</v>
  </rv>
  <rv s="6">
    <fb>118.83</fb>
    <v>11</v>
  </rv>
  <rv s="6">
    <fb>933185147</fb>
    <v>12</v>
  </rv>
  <rv s="6">
    <fb>129.24</fb>
    <v>11</v>
  </rv>
  <rv s="6">
    <fb>127.49</fb>
    <v>11</v>
  </rv>
  <rv s="6">
    <fb>136.15</fb>
    <v>11</v>
  </rv>
  <rv s="6">
    <fb>127.04</fb>
    <v>11</v>
  </rv>
  <rv s="6">
    <fb>1401139984</fb>
    <v>12</v>
  </rv>
  <rv s="6">
    <fb>117.93</fb>
    <v>11</v>
  </rv>
  <rv s="6">
    <fb>130.56</fb>
    <v>11</v>
  </rv>
  <rv s="6">
    <fb>131.38999999999999</fb>
    <v>11</v>
  </rv>
  <rv s="6">
    <fb>116.56</fb>
    <v>11</v>
  </rv>
  <rv s="6">
    <fb>1351385198</fb>
    <v>12</v>
  </rv>
  <rv s="6">
    <fb>113.06</fb>
    <v>11</v>
  </rv>
  <rv s="6">
    <fb>120.35</fb>
    <v>11</v>
  </rv>
  <rv s="6">
    <fb>124.69</fb>
    <v>11</v>
  </rv>
  <rv s="6">
    <fb>106.3</fb>
    <v>11</v>
  </rv>
  <rv s="6">
    <fb>1513222902</fb>
    <v>12</v>
  </rv>
  <rv s="6">
    <fb>107.27</fb>
    <v>11</v>
  </rv>
  <rv s="6">
    <fb>113.69</fb>
    <v>11</v>
  </rv>
  <rv s="6">
    <fb>120.16</fb>
    <v>11</v>
  </rv>
  <rv s="6">
    <fb>101.37</fb>
    <v>11</v>
  </rv>
  <rv s="6">
    <fb>2213649314</fb>
    <v>12</v>
  </rv>
  <rv s="6">
    <fb>104.75</fb>
    <v>11</v>
  </rv>
  <rv s="6">
    <fb>92.06</fb>
    <v>11</v>
  </rv>
  <rv s="6">
    <fb>108.8</fb>
    <v>11</v>
  </rv>
  <rv s="6">
    <fb>90.69</fb>
    <v>11</v>
  </rv>
  <rv s="6">
    <fb>2056049067</fb>
    <v>12</v>
  </rv>
  <rv s="6">
    <fb>124.58</fb>
    <v>11</v>
  </rv>
  <rv s="6">
    <fb>106.32</fb>
    <v>11</v>
  </rv>
  <rv s="6">
    <fb>125</fb>
    <v>11</v>
  </rv>
  <rv s="6">
    <fb>1598129482</fb>
    <v>12</v>
  </rv>
  <rv s="6">
    <fb>129.37</fb>
    <v>11</v>
  </rv>
  <rv s="6">
    <fb>124.28</fb>
    <v>11</v>
  </rv>
  <rv s="6">
    <fb>130.75</fb>
    <v>11</v>
  </rv>
  <rv s="6">
    <fb>123.1</fb>
    <v>11</v>
  </rv>
  <rv s="6">
    <fb>1575723972</fb>
    <v>12</v>
  </rv>
  <rv s="6">
    <fb>119.37</fb>
    <v>11</v>
  </rv>
  <rv s="6">
    <fb>129.57</fb>
    <v>11</v>
  </rv>
  <rv s="6">
    <fb>131.26</fb>
    <v>11</v>
  </rv>
  <rv s="6">
    <fb>116.71</fb>
    <v>11</v>
  </rv>
  <rv s="6">
    <fb>1869975248</fb>
    <v>12</v>
  </rv>
  <rv s="6">
    <fb>102.83</fb>
    <v>11</v>
  </rv>
  <rv s="6">
    <fb>116.01</fb>
    <v>11</v>
  </rv>
  <rv s="6">
    <fb>100.95</fb>
    <v>11</v>
  </rv>
  <rv s="6">
    <fb>1570114185</fb>
    <v>12</v>
  </rv>
  <rv s="6">
    <fb>119.1</fb>
    <v>11</v>
  </rv>
  <rv s="6">
    <fb>104.88</fb>
    <v>11</v>
  </rv>
  <rv s="6">
    <fb>120.79</fb>
    <v>11</v>
  </rv>
  <rv s="6">
    <fb>103.69</fb>
    <v>11</v>
  </rv>
  <rv s="6">
    <fb>1589076945</fb>
    <v>12</v>
  </rv>
  <rv s="6">
    <fb>116</fb>
    <v>11</v>
  </rv>
  <rv s="6">
    <fb>116.79</fb>
    <v>11</v>
  </rv>
  <rv s="6">
    <fb>119.66</fb>
    <v>11</v>
  </rv>
  <rv s="6">
    <fb>113.22</fb>
    <v>11</v>
  </rv>
  <rv s="6">
    <fb>1466985987</fb>
    <v>12</v>
  </rv>
  <rv s="6">
    <fb>121.4</fb>
    <v>11</v>
  </rv>
  <rv s="6">
    <fb>116.55</fb>
    <v>11</v>
  </rv>
  <rv s="6">
    <fb>127.66500000000001</fb>
    <v>11</v>
  </rv>
  <rv s="6">
    <fb>114.86</fb>
    <v>11</v>
  </rv>
  <rv s="6">
    <fb>1419480253</fb>
    <v>12</v>
  </rv>
  <rv s="6">
    <fb>124.92</fb>
    <v>11</v>
  </rv>
  <rv s="6">
    <fb>118.31</fb>
    <v>11</v>
  </rv>
  <rv s="6">
    <fb>125.04</fb>
    <v>11</v>
  </rv>
  <rv s="6">
    <fb>115.14</fb>
    <v>11</v>
  </rv>
  <rv s="6">
    <fb>1272577548</fb>
    <v>12</v>
  </rv>
  <rv s="6">
    <fb>134.80000000000001</fb>
    <v>11</v>
  </rv>
  <rv s="6">
    <fb>124.99</fb>
    <v>11</v>
  </rv>
  <rv s="6">
    <fb>135.78</fb>
    <v>11</v>
  </rv>
  <rv s="6">
    <fb>124.95</fb>
    <v>11</v>
  </rv>
  <rv s="6">
    <fb>1290685141</fb>
    <v>12</v>
  </rv>
  <rv s="6">
    <fb>136.47</fb>
    <v>11</v>
  </rv>
  <rv s="6">
    <fb>140.88999999999999</fb>
    <v>11</v>
  </rv>
  <rv s="6">
    <fb>128.74</fb>
    <v>11</v>
  </rv>
  <rv s="6">
    <fb>1357584514</fb>
    <v>12</v>
  </rv>
  <rv s="6">
    <fb>141.54</fb>
    <v>11</v>
  </rv>
  <rv s="6">
    <fb>138.13</fb>
    <v>11</v>
  </rv>
  <rv s="6">
    <fb>144.41999999999999</fb>
    <v>11</v>
  </rv>
  <rv s="6">
    <fb>137.46</fb>
    <v>11</v>
  </rv>
  <rv s="6">
    <fb>1154273138</fb>
    <v>12</v>
  </rv>
  <rv s="6">
    <fb>135.4</fb>
    <v>11</v>
  </rv>
  <rv s="6">
    <fb>143</fb>
    <v>11</v>
  </rv>
  <rv s="6">
    <fb>143.13999999999999</fb>
    <v>11</v>
  </rv>
  <rv s="6">
    <fb>132.11060000000001</fb>
    <v>11</v>
  </rv>
  <rv s="6">
    <fb>987765940</fb>
    <v>12</v>
  </rv>
  <rv s="6">
    <fb>147.63</fb>
    <v>11</v>
  </rv>
  <rv s="6">
    <fb>137.21</fb>
    <v>11</v>
  </rv>
  <rv s="6">
    <fb>135.57</fb>
    <v>11</v>
  </rv>
  <rv s="6">
    <fb>973098624</fb>
    <v>12</v>
  </rv>
  <rv s="6">
    <fb>141.97999999999999</fb>
    <v>11</v>
  </rv>
  <rv s="6">
    <fb>149.65</fb>
    <v>11</v>
  </rv>
  <rv s="6">
    <fb>140.08000000000001</fb>
    <v>11</v>
  </rv>
  <rv s="6">
    <fb>1017459795</fb>
    <v>12</v>
  </rv>
  <rv s="6">
    <fb>141.94999999999999</fb>
    <v>11</v>
  </rv>
  <rv s="6">
    <fb>139.5</fb>
    <v>11</v>
  </rv>
  <rv s="6">
    <fb>152.88999999999999</fb>
    <v>11</v>
  </rv>
  <rv s="6">
    <fb>137.15</fb>
    <v>11</v>
  </rv>
  <rv s="6">
    <fb>1396925283</fb>
    <v>12</v>
  </rv>
  <rv s="6">
    <fb>138.25</fb>
    <v>11</v>
  </rv>
  <rv s="6">
    <fb>141.99</fb>
    <v>11</v>
  </rv>
  <rv s="6">
    <fb>142.05000000000001</fb>
    <v>11</v>
  </rv>
  <rv s="6">
    <fb>131.80000000000001</fb>
    <v>11</v>
  </rv>
  <rv s="6">
    <fb>903463597</fb>
    <v>12</v>
  </rv>
  <rv s="6">
    <fb>142.44</fb>
    <v>11</v>
  </rv>
  <rv s="6">
    <fb>138.83000000000001</fb>
    <v>11</v>
  </rv>
  <rv s="6">
    <fb>146.54</fb>
    <v>11</v>
  </rv>
  <rv s="6">
    <fb>137.82499999999999</fb>
    <v>11</v>
  </rv>
  <rv s="6">
    <fb>928447790</fb>
    <v>12</v>
  </rv>
  <rv s="6">
    <fb>134.25</fb>
    <v>11</v>
  </rv>
  <rv s="6">
    <fb>138.97</fb>
    <v>11</v>
  </rv>
  <rv s="6">
    <fb>141.82</fb>
    <v>11</v>
  </rv>
  <rv s="6">
    <fb>132.54</fb>
    <v>11</v>
  </rv>
  <rv s="6">
    <fb>974960979</fb>
    <v>12</v>
  </rv>
  <rv s="6">
    <fb>134.69999999999999</fb>
    <v>11</v>
  </rv>
  <rv s="6">
    <fb>134.18</fb>
    <v>11</v>
  </rv>
  <rv s="6">
    <fb>136.69999999999999</fb>
    <v>11</v>
  </rv>
  <rv s="6">
    <fb>1291053689</fb>
    <v>12</v>
  </rv>
  <rv s="6">
    <fb>137.01</fb>
    <v>11</v>
  </rv>
  <rv s="6">
    <fb>136.28</fb>
    <v>11</v>
  </rv>
  <rv s="6">
    <fb>141.9</fb>
    <v>11</v>
  </rv>
  <rv s="6">
    <fb>134.71</fb>
    <v>11</v>
  </rv>
  <rv s="6">
    <fb>568312188</fb>
    <v>12</v>
  </rv>
  <rv s="6">
    <fb>144.47</fb>
    <v>11</v>
  </rv>
  <rv s="6">
    <fb>144.9</fb>
    <v>11</v>
  </rv>
  <rv s="6">
    <fb>133.83000000000001</fb>
    <v>11</v>
  </rv>
  <rv s="6">
    <fb>750963555</fb>
    <v>12</v>
  </rv>
  <rv s="6">
    <fb>135.91</fb>
    <v>11</v>
  </rv>
  <rv s="6">
    <fb>148.59</fb>
    <v>11</v>
  </rv>
  <rv s="6">
    <fb>153.13</fb>
    <v>11</v>
  </rv>
  <rv s="6">
    <fb>134.22</fb>
    <v>11</v>
  </rv>
  <rv s="6">
    <fb>1052111995</fb>
    <v>12</v>
  </rv>
  <rv s="6">
    <fb>137.71</fb>
    <v>11</v>
  </rv>
  <rv s="6">
    <fb>129.99</fb>
    <v>11</v>
  </rv>
  <rv s="6">
    <fb>138.75</fb>
    <v>11</v>
  </rv>
  <rv s="6">
    <fb>129.51</fb>
    <v>11</v>
  </rv>
  <rv s="6">
    <fb>996041080</fb>
    <v>12</v>
  </rv>
  <rv s="6">
    <fb>142.62</fb>
    <v>11</v>
  </rv>
  <rv s="6">
    <fb>139.16</fb>
    <v>11</v>
  </rv>
  <rv s="6">
    <fb>137.09</fb>
    <v>11</v>
  </rv>
  <rv s="6">
    <fb>825973564</fb>
    <v>12</v>
  </rv>
  <rv s="6">
    <fb>120.07</fb>
    <v>11</v>
  </rv>
  <rv s="6">
    <fb>124.8</fb>
    <v>11</v>
  </rv>
  <rv s="6">
    <fb>129</fb>
    <v>11</v>
  </rv>
  <rv s="6">
    <fb>116.25</fb>
    <v>11</v>
  </rv>
  <rv s="6">
    <fb>2648916253</fb>
    <v>12</v>
  </rv>
  <rv s="6">
    <fb>129.84</fb>
    <v>11</v>
  </rv>
  <rv s="6">
    <fb>114.75</fb>
    <v>11</v>
  </rv>
  <rv s="6">
    <fb>130.37</fb>
    <v>11</v>
  </rv>
  <rv s="6">
    <fb>113.01</fb>
    <v>11</v>
  </rv>
  <rv s="6">
    <fb>1370566218</fb>
    <v>12</v>
  </rv>
  <rv s="6">
    <fb>138.85</fb>
    <v>11</v>
  </rv>
  <rv s="6">
    <fb>130.09</fb>
    <v>11</v>
  </rv>
  <rv s="6">
    <fb>139.25</fb>
    <v>11</v>
  </rv>
  <rv s="6">
    <fb>129.08000000000001</fb>
    <v>11</v>
  </rv>
  <rv s="6">
    <fb>949079549</fb>
    <v>12</v>
  </rv>
  <rv s="6">
    <fb>134.43</fb>
    <v>11</v>
  </rv>
  <rv s="6">
    <fb>143.44</fb>
    <v>11</v>
  </rv>
  <rv s="6">
    <fb>134.03</fb>
    <v>11</v>
  </rv>
  <rv s="6">
    <fb>758833801</fb>
    <v>12</v>
  </rv>
  <rv s="6">
    <fb>136.56</fb>
    <v>11</v>
  </rv>
  <rv s="6">
    <fb>138.59</fb>
    <v>11</v>
  </rv>
  <rv s="6">
    <fb>116.4</fb>
    <v>11</v>
  </rv>
  <rv s="6">
    <fb>1677630653</fb>
    <v>12</v>
  </rv>
  <rv s="6">
    <fb>112.69</fb>
    <v>11</v>
  </rv>
  <rv s="6">
    <fb>123.51</fb>
    <v>11</v>
  </rv>
  <rv s="6">
    <fb>123.7</fb>
    <v>11</v>
  </rv>
  <rv s="6">
    <fb>107.56</fb>
    <v>11</v>
  </rv>
  <rv s="6">
    <fb>1756819893</fb>
    <v>12</v>
  </rv>
  <rv s="6">
    <fb>121.67</fb>
    <v>11</v>
  </rv>
  <rv s="6">
    <fb>109.9</fb>
    <v>11</v>
  </rv>
  <rv s="6">
    <fb>121.88</fb>
    <v>11</v>
  </rv>
  <rv s="6">
    <fb>104.77</fb>
    <v>11</v>
  </rv>
  <rv s="6">
    <fb>1621837095</fb>
    <v>12</v>
  </rv>
  <rv s="6">
    <fb>117.7</fb>
    <v>11</v>
  </rv>
  <rv s="6">
    <fb>122.74</fb>
    <v>11</v>
  </rv>
  <rv s="6">
    <fb>122.89</fb>
    <v>11</v>
  </rv>
  <rv s="6">
    <fb>114.54</fb>
    <v>11</v>
  </rv>
  <rv s="6">
    <fb>1343942927</fb>
    <v>12</v>
  </rv>
  <rv s="6">
    <fb>109.67</fb>
    <v>11</v>
  </rv>
  <rv s="6">
    <fb>119.88</fb>
    <v>11</v>
  </rv>
  <rv s="6">
    <fb>122.22</fb>
    <v>11</v>
  </rv>
  <rv s="6">
    <fb>109.0701</fb>
    <v>11</v>
  </rv>
  <rv s="6">
    <fb>1159106003</fb>
    <v>12</v>
  </rv>
  <rv s="6">
    <fb>94.31</fb>
    <v>11</v>
  </rv>
  <rv s="6">
    <fb>105.13</fb>
    <v>11</v>
  </rv>
  <rv s="6">
    <fb>111.98</fb>
    <v>11</v>
  </rv>
  <rv s="6">
    <fb>92.11</fb>
    <v>11</v>
  </rv>
  <rv s="6">
    <fb>1613471152</fb>
    <v>12</v>
  </rv>
  <rv s="6">
    <fb>110.93</fb>
    <v>11</v>
  </rv>
  <rv s="6">
    <fb>87.46</fb>
    <v>11</v>
  </rv>
  <rv s="6">
    <fb>115.1</fb>
    <v>11</v>
  </rv>
  <rv s="6">
    <fb>86.62</fb>
    <v>11</v>
  </rv>
  <rv s="6">
    <fb>2451432693</fb>
    <v>12</v>
  </rv>
  <rv s="6">
    <fb>101.49</fb>
    <v>11</v>
  </rv>
  <rv s="6">
    <fb>114.11</fb>
    <v>11</v>
  </rv>
  <rv s="6">
    <fb>114.29</fb>
    <v>11</v>
  </rv>
  <rv s="6">
    <fb>100.05</fb>
    <v>11</v>
  </rv>
  <rv s="6">
    <fb>1183206284</fb>
    <v>12</v>
  </rv>
  <rv s="6">
    <fb>111.01</fb>
    <v>11</v>
  </rv>
  <rv s="6">
    <fb>98.77</fb>
    <v>11</v>
  </rv>
  <rv s="6">
    <fb>111.92</fb>
    <v>11</v>
  </rv>
  <rv s="6">
    <fb>95.04</fb>
    <v>11</v>
  </rv>
  <rv s="6">
    <fb>1248911604</fb>
    <v>12</v>
  </rv>
  <rv s="6">
    <fb>114.5</fb>
    <v>11</v>
  </rv>
  <rv s="6">
    <fb>109.69</fb>
    <v>11</v>
  </rv>
  <rv s="6">
    <fb>115.4</fb>
    <v>11</v>
  </rv>
  <rv s="6">
    <fb>104.08</fb>
    <v>11</v>
  </rv>
  <rv s="6">
    <fb>1039513638</fb>
    <v>12</v>
  </rv>
  <rv s="6">
    <fb>15.0685</fb>
    <v>11</v>
  </rv>
  <rv s="6">
    <fb>14.837199999999999</fb>
    <v>11</v>
  </rv>
  <rv s="6">
    <fb>15.916499999999999</fb>
    <v>11</v>
  </rv>
  <rv s="6">
    <fb>14.6935</fb>
    <v>11</v>
  </rv>
  <rv s="6">
    <fb>30887629</fb>
    <v>12</v>
  </rv>
  <rv s="6">
    <fb>15.7738</fb>
    <v>11</v>
  </rv>
  <rv s="6">
    <fb>15.2118</fb>
    <v>11</v>
  </rv>
  <rv s="6">
    <fb>15.9665</fb>
    <v>11</v>
  </rv>
  <rv s="6">
    <fb>14.683199999999999</fb>
    <v>11</v>
  </rv>
  <rv s="6">
    <fb>29626547</fb>
    <v>12</v>
  </rv>
  <rv s="6">
    <fb>16.589200000000002</fb>
    <v>11</v>
  </rv>
  <rv s="6">
    <fb>15.7525</fb>
    <v>11</v>
  </rv>
  <rv s="6">
    <fb>16.6265</fb>
    <v>11</v>
  </rv>
  <rv s="6">
    <fb>15.687200000000001</fb>
    <v>11</v>
  </rv>
  <rv s="6">
    <fb>24899355</fb>
    <v>12</v>
  </rv>
  <rv s="6">
    <fb>16.5152</fb>
    <v>11</v>
  </rv>
  <rv s="6">
    <fb>16.4665</fb>
    <v>11</v>
  </rv>
  <rv s="6">
    <fb>16.7332</fb>
    <v>11</v>
  </rv>
  <rv s="6">
    <fb>16.0913</fb>
    <v>11</v>
  </rv>
  <rv s="6">
    <fb>14976744</fb>
    <v>12</v>
  </rv>
  <rv s="6">
    <fb>16.719799999999999</fb>
    <v>11</v>
  </rv>
  <rv s="6">
    <fb>16.511800000000001</fb>
    <v>11</v>
  </rv>
  <rv s="6">
    <fb>16.857700000000001</fb>
    <v>11</v>
  </rv>
  <rv s="6">
    <fb>16.336500000000001</fb>
    <v>11</v>
  </rv>
  <rv s="6">
    <fb>14343448</fb>
    <v>12</v>
  </rv>
  <rv s="6">
    <fb>16.609200000000001</fb>
    <v>11</v>
  </rv>
  <rv s="6">
    <fb>16.7605</fb>
    <v>11</v>
  </rv>
  <rv s="6">
    <fb>16.773199999999999</fb>
    <v>11</v>
  </rv>
  <rv s="6">
    <fb>16.378499999999999</fb>
    <v>11</v>
  </rv>
  <rv s="6">
    <fb>11897012</fb>
    <v>12</v>
  </rv>
  <rv s="6">
    <fb>16.712499999999999</fb>
    <v>11</v>
  </rv>
  <rv s="6">
    <fb>16.723199999999999</fb>
    <v>11</v>
  </rv>
  <rv s="6">
    <fb>17.2498</fb>
    <v>11</v>
  </rv>
  <rv s="6">
    <fb>16.566500000000001</fb>
    <v>11</v>
  </rv>
  <rv s="6">
    <fb>14548989</fb>
    <v>12</v>
  </rv>
  <rv s="6">
    <fb>17.500499999999999</fb>
    <v>11</v>
  </rv>
  <rv s="6">
    <fb>16.6465</fb>
    <v>11</v>
  </rv>
  <rv s="6">
    <fb>17.623799999999999</fb>
    <v>11</v>
  </rv>
  <rv s="6">
    <fb>16.400500000000001</fb>
    <v>11</v>
  </rv>
  <rv s="6">
    <fb>14929489</fb>
    <v>12</v>
  </rv>
  <rv s="6">
    <fb>17.805800000000001</fb>
    <v>11</v>
  </rv>
  <rv s="6">
    <fb>17.476500000000001</fb>
    <v>11</v>
  </rv>
  <rv s="6">
    <fb>18.093800000000002</fb>
    <v>11</v>
  </rv>
  <rv s="6">
    <fb>17.0458</fb>
    <v>11</v>
  </rv>
  <rv s="6">
    <fb>17531828</fb>
    <v>12</v>
  </rv>
  <rv s="6">
    <fb>18.6678</fb>
    <v>11</v>
  </rv>
  <rv s="6">
    <fb>17.463200000000001</fb>
    <v>11</v>
  </rv>
  <rv s="6">
    <fb>18.829799999999999</fb>
    <v>11</v>
  </rv>
  <rv s="6">
    <fb>17.379799999999999</fb>
    <v>11</v>
  </rv>
  <rv s="6">
    <fb>15830998</fb>
    <v>12</v>
  </rv>
  <rv s="6">
    <fb>17.276499999999999</fb>
    <v>11</v>
  </rv>
  <rv s="6">
    <fb>18.591799999999999</fb>
    <v>11</v>
  </rv>
  <rv s="6">
    <fb>18.7791</fb>
    <v>11</v>
  </rv>
  <rv s="6">
    <fb>16.953800000000001</fb>
    <v>11</v>
  </rv>
  <rv s="6">
    <fb>22393071</fb>
    <v>12</v>
  </rv>
  <rv s="6">
    <fb>18.310500000000001</fb>
    <v>11</v>
  </rv>
  <rv s="6">
    <fb>17.4832</fb>
    <v>11</v>
  </rv>
  <rv s="6">
    <fb>18.3691</fb>
    <v>11</v>
  </rv>
  <rv s="6">
    <fb>17.069800000000001</fb>
    <v>11</v>
  </rv>
  <rv s="6">
    <fb>13509641</fb>
    <v>12</v>
  </rv>
  <rv s="6">
    <fb>17.6938</fb>
    <v>11</v>
  </rv>
  <rv s="6">
    <fb>18.333200000000001</fb>
    <v>11</v>
  </rv>
  <rv s="6">
    <fb>19.1098</fb>
    <v>11</v>
  </rv>
  <rv s="6">
    <fb>17.390499999999999</fb>
    <v>11</v>
  </rv>
  <rv s="6">
    <fb>19255837</fb>
    <v>12</v>
  </rv>
  <rv s="6">
    <fb>17.743200000000002</fb>
    <v>11</v>
  </rv>
  <rv s="6">
    <fb>17.495200000000001</fb>
    <v>11</v>
  </rv>
  <rv s="6">
    <fb>17.957100000000001</fb>
    <v>11</v>
  </rv>
  <rv s="6">
    <fb>16.719200000000001</fb>
    <v>11</v>
  </rv>
  <rv s="6">
    <fb>15637207</fb>
    <v>12</v>
  </rv>
  <rv s="6">
    <fb>16.167200000000001</fb>
    <v>11</v>
  </rv>
  <rv s="6">
    <fb>17.752500000000001</fb>
    <v>11</v>
  </rv>
  <rv s="6">
    <fb>18.066500000000001</fb>
    <v>11</v>
  </rv>
  <rv s="6">
    <fb>15.741199999999999</fb>
    <v>11</v>
  </rv>
  <rv s="6">
    <fb>30817467</fb>
    <v>12</v>
  </rv>
  <rv s="6">
    <fb>16.209800000000001</fb>
    <v>11</v>
  </rv>
  <rv s="6">
    <fb>15.8765</fb>
    <v>11</v>
  </rv>
  <rv s="6">
    <fb>16.528500000000001</fb>
    <v>11</v>
  </rv>
  <rv s="6">
    <fb>15.5158</fb>
    <v>11</v>
  </rv>
  <rv s="6">
    <fb>21243948</fb>
    <v>12</v>
  </rv>
  <rv s="6">
    <fb>15.384499999999999</fb>
    <v>11</v>
  </rv>
  <rv s="6">
    <fb>17.037199999999999</fb>
    <v>11</v>
  </rv>
  <rv s="6">
    <fb>17.3965</fb>
    <v>11</v>
  </rv>
  <rv s="6">
    <fb>15.3672</fb>
    <v>11</v>
  </rv>
  <rv s="6">
    <fb>26471998</fb>
    <v>12</v>
  </rv>
  <rv s="6">
    <fb>16.565200000000001</fb>
    <v>11</v>
  </rv>
  <rv s="6">
    <fb>13.5192</fb>
    <v>11</v>
  </rv>
  <rv s="6">
    <fb>16.763200000000001</fb>
    <v>11</v>
  </rv>
  <rv s="6">
    <fb>12.9999</fb>
    <v>11</v>
  </rv>
  <rv s="6">
    <fb>32041553</fb>
    <v>12</v>
  </rv>
  <rv s="6">
    <fb>16.128499999999999</fb>
    <v>11</v>
  </rv>
  <rv s="6">
    <fb>16.374500000000001</fb>
    <v>11</v>
  </rv>
  <rv s="6">
    <fb>16.996500000000001</fb>
    <v>11</v>
  </rv>
  <rv s="6">
    <fb>15.797800000000001</fb>
    <v>11</v>
  </rv>
  <rv s="6">
    <fb>22668096</fb>
    <v>12</v>
  </rv>
  <rv s="6">
    <fb>16.682500000000001</fb>
    <v>11</v>
  </rv>
  <rv s="6">
    <fb>16.9498</fb>
    <v>11</v>
  </rv>
  <rv s="6">
    <fb>16.2698</fb>
    <v>11</v>
  </rv>
  <rv s="6">
    <fb>11588887</fb>
    <v>12</v>
  </rv>
  <rv s="6">
    <fb>17.374500000000001</fb>
    <v>11</v>
  </rv>
  <rv s="6">
    <fb>16.739799999999999</fb>
    <v>11</v>
  </rv>
  <rv s="6">
    <fb>17.6998</fb>
    <v>11</v>
  </rv>
  <rv s="6">
    <fb>16.633199999999999</fb>
    <v>11</v>
  </rv>
  <rv s="6">
    <fb>17590274</fb>
    <v>12</v>
  </rv>
  <rv s="6">
    <fb>17.127199999999998</fb>
    <v>11</v>
  </rv>
  <rv s="6">
    <fb>17.598500000000001</fb>
    <v>11</v>
  </rv>
  <rv s="6">
    <fb>18.104500000000002</fb>
    <v>11</v>
  </rv>
  <rv s="6">
    <fb>17.0532</fb>
    <v>11</v>
  </rv>
  <rv s="6">
    <fb>19606869</fb>
    <v>12</v>
  </rv>
  <rv s="6">
    <fb>16.5045</fb>
    <v>11</v>
  </rv>
  <rv s="6">
    <fb>17.156500000000001</fb>
    <v>11</v>
  </rv>
  <rv s="6">
    <fb>17.319199999999999</fb>
    <v>11</v>
  </rv>
  <rv s="6">
    <fb>15.661799999999999</fb>
    <v>11</v>
  </rv>
  <rv s="6">
    <fb>22530739</fb>
    <v>12</v>
  </rv>
  <rv s="6">
    <fb>14.7125</fb>
    <v>11</v>
  </rv>
  <rv s="6">
    <fb>16.655799999999999</fb>
    <v>11</v>
  </rv>
  <rv s="6">
    <fb>14.5572</fb>
    <v>11</v>
  </rv>
  <rv s="6">
    <fb>28031307</fb>
    <v>12</v>
  </rv>
  <rv s="6">
    <fb>15.133800000000001</fb>
    <v>11</v>
  </rv>
  <rv s="6">
    <fb>14.8659</fb>
    <v>11</v>
  </rv>
  <rv s="6">
    <fb>15.3652</fb>
    <v>11</v>
  </rv>
  <rv s="6">
    <fb>14.075200000000001</fb>
    <v>11</v>
  </rv>
  <rv s="6">
    <fb>19291010</fb>
    <v>12</v>
  </rv>
  <rv s="6">
    <fb>13.9392</fb>
    <v>11</v>
  </rv>
  <rv s="6">
    <fb>15.0998</fb>
    <v>11</v>
  </rv>
  <rv s="6">
    <fb>15.409800000000001</fb>
    <v>11</v>
  </rv>
  <rv s="6">
    <fb>13.4665</fb>
    <v>11</v>
  </rv>
  <rv s="6">
    <fb>28652034</fb>
    <v>12</v>
  </rv>
  <rv s="6">
    <fb>13.795199999999999</fb>
    <v>11</v>
  </rv>
  <rv s="6">
    <fb>14.091900000000001</fb>
    <v>11</v>
  </rv>
  <rv s="6">
    <fb>14.4732</fb>
    <v>11</v>
  </rv>
  <rv s="6">
    <fb>13.592499999999999</fb>
    <v>11</v>
  </rv>
  <rv s="6">
    <fb>15883413</fb>
    <v>12</v>
  </rv>
  <rv s="6">
    <fb>15.490500000000001</fb>
    <v>11</v>
  </rv>
  <rv s="6">
    <fb>13.927899999999999</fb>
    <v>11</v>
  </rv>
  <rv s="6">
    <fb>15.6388</fb>
    <v>11</v>
  </rv>
  <rv s="6">
    <fb>13.814500000000001</fb>
    <v>11</v>
  </rv>
  <rv s="6">
    <fb>31928932</fb>
    <v>12</v>
  </rv>
  <rv s="6">
    <fb>13.8125</fb>
    <v>11</v>
  </rv>
  <rv s="6">
    <fb>15.532500000000001</fb>
    <v>11</v>
  </rv>
  <rv s="6">
    <fb>13.767899999999999</fb>
    <v>11</v>
  </rv>
  <rv s="6">
    <fb>18161900</fb>
    <v>12</v>
  </rv>
  <rv s="6">
    <fb>14.667199999999999</fb>
    <v>11</v>
  </rv>
  <rv s="6">
    <fb>13.7392</fb>
    <v>11</v>
  </rv>
  <rv s="6">
    <fb>15.0792</fb>
    <v>11</v>
  </rv>
  <rv s="6">
    <fb>13.719900000000001</fb>
    <v>11</v>
  </rv>
  <rv s="6">
    <fb>14791071</fb>
    <v>12</v>
  </rv>
  <rv s="6">
    <fb>15.4405</fb>
    <v>11</v>
  </rv>
  <rv s="6">
    <fb>14.4899</fb>
    <v>11</v>
  </rv>
  <rv s="6">
    <fb>15.4832</fb>
    <v>11</v>
  </rv>
  <rv s="6">
    <fb>14.3118</fb>
    <v>11</v>
  </rv>
  <rv s="6">
    <fb>10946624</fb>
    <v>12</v>
  </rv>
  <rv s="6">
    <fb>15.358499999999999</fb>
    <v>11</v>
  </rv>
  <rv s="6">
    <fb>15.452500000000001</fb>
    <v>11</v>
  </rv>
  <rv s="6">
    <fb>15.906499999999999</fb>
    <v>11</v>
  </rv>
  <rv s="6">
    <fb>15.177199999999999</fb>
    <v>11</v>
  </rv>
  <rv s="6">
    <fb>14870713</fb>
    <v>12</v>
  </rv>
  <rv s="6">
    <fb>14.4679</fb>
    <v>11</v>
  </rv>
  <rv s="6">
    <fb>15.1798</fb>
    <v>11</v>
  </rv>
  <rv s="6">
    <fb>15.708500000000001</fb>
    <v>11</v>
  </rv>
  <rv s="6">
    <fb>14.442500000000001</fb>
    <v>11</v>
  </rv>
  <rv s="6">
    <fb>14230030</fb>
    <v>12</v>
  </rv>
  <rv s="6">
    <fb>15.363799999999999</fb>
    <v>11</v>
  </rv>
  <rv s="6">
    <fb>14.500500000000001</fb>
    <v>11</v>
  </rv>
  <rv s="6">
    <fb>15.8505</fb>
    <v>11</v>
  </rv>
  <rv s="6">
    <fb>14.3245</fb>
    <v>11</v>
  </rv>
  <rv s="6">
    <fb>16493091</fb>
    <v>12</v>
  </rv>
  <rv s="6">
    <fb>15.3712</fb>
    <v>11</v>
  </rv>
  <rv s="6">
    <fb>15.4458</fb>
    <v>11</v>
  </rv>
  <rv s="6">
    <fb>15.7698</fb>
    <v>11</v>
  </rv>
  <rv s="6">
    <fb>15.208500000000001</fb>
    <v>11</v>
  </rv>
  <rv s="6">
    <fb>6179925</fb>
    <v>12</v>
  </rv>
  <rv s="6">
    <fb>16.000499999999999</fb>
    <v>11</v>
  </rv>
  <rv s="6">
    <fb>15.432499999999999</fb>
    <v>11</v>
  </rv>
  <rv s="6">
    <fb>16.242100000000001</fb>
    <v>11</v>
  </rv>
  <rv s="6">
    <fb>15.0358</fb>
    <v>11</v>
  </rv>
  <rv s="6">
    <fb>10720553</fb>
    <v>12</v>
  </rv>
  <rv s="6">
    <fb>14.0665</fb>
    <v>11</v>
  </rv>
  <rv s="6">
    <fb>15.3812</fb>
    <v>11</v>
  </rv>
  <rv s="6">
    <fb>15.4252</fb>
    <v>11</v>
  </rv>
  <rv s="6">
    <fb>14.0512</fb>
    <v>11</v>
  </rv>
  <rv s="6">
    <fb>20975335</fb>
    <v>12</v>
  </rv>
  <rv s="6">
    <fb>13.665900000000001</fb>
    <v>11</v>
  </rv>
  <rv s="6">
    <fb>14.267200000000001</fb>
    <v>11</v>
  </rv>
  <rv s="6">
    <fb>14.2965</fb>
    <v>11</v>
  </rv>
  <rv s="6">
    <fb>12.8919</fb>
    <v>11</v>
  </rv>
  <rv s="6">
    <fb>23379136</fb>
    <v>12</v>
  </rv>
  <rv s="6">
    <fb>13.5032</fb>
    <v>11</v>
  </rv>
  <rv s="6">
    <fb>13.9139</fb>
    <v>11</v>
  </rv>
  <rv s="6">
    <fb>14.0312</fb>
    <v>11</v>
  </rv>
  <rv s="6">
    <fb>12.7499</fb>
    <v>11</v>
  </rv>
  <rv s="6">
    <fb>16167498</fb>
    <v>12</v>
  </rv>
  <rv s="6">
    <fb>12.746499999999999</fb>
    <v>11</v>
  </rv>
  <rv s="6">
    <fb>13.337199999999999</fb>
    <v>11</v>
  </rv>
  <rv s="6">
    <fb>13.571199999999999</fb>
    <v>11</v>
  </rv>
  <rv s="6">
    <fb>12.160500000000001</fb>
    <v>11</v>
  </rv>
  <rv s="6">
    <fb>18725183</fb>
    <v>12</v>
  </rv>
  <rv s="6">
    <fb>10.8399</fb>
    <v>11</v>
  </rv>
  <rv s="6">
    <fb>12.5839</fb>
    <v>11</v>
  </rv>
  <rv s="6">
    <fb>13.3012</fb>
    <v>11</v>
  </rv>
  <rv s="6">
    <fb>10.5162</fb>
    <v>11</v>
  </rv>
  <rv s="6">
    <fb>32825595</fb>
    <v>12</v>
  </rv>
  <rv s="6">
    <fb>10.0692</fb>
    <v>11</v>
  </rv>
  <rv s="6">
    <fb>10.473599999999999</fb>
    <v>11</v>
  </rv>
  <rv s="6">
    <fb>10.883900000000001</fb>
    <v>11</v>
  </rv>
  <rv s="6">
    <fb>9.4032</fb>
    <v>11</v>
  </rv>
  <rv s="6">
    <fb>49859296</fb>
    <v>12</v>
  </rv>
  <rv s="6">
    <fb>11.1052</fb>
    <v>11</v>
  </rv>
  <rv s="6">
    <fb>10.5799</fb>
    <v>11</v>
  </rv>
  <rv s="6">
    <fb>11.5299</fb>
    <v>11</v>
  </rv>
  <rv s="6">
    <fb>10.273899999999999</fb>
    <v>11</v>
  </rv>
  <rv s="6">
    <fb>18265917</fb>
    <v>12</v>
  </rv>
  <rv s="6">
    <fb>12.6892</fb>
    <v>11</v>
  </rv>
  <rv s="6">
    <fb>11.341200000000001</fb>
    <v>11</v>
  </rv>
  <rv s="6">
    <fb>12.799899999999999</fb>
    <v>11</v>
  </rv>
  <rv s="6">
    <fb>11.1892</fb>
    <v>11</v>
  </rv>
  <rv s="6">
    <fb>28255892</fb>
    <v>12</v>
  </rv>
  <rv s="6">
    <fb>13.4025</fb>
    <v>11</v>
  </rv>
  <rv s="6">
    <fb>12.826499999999999</fb>
    <v>11</v>
  </rv>
  <rv s="6">
    <fb>13.601900000000001</fb>
    <v>11</v>
  </rv>
  <rv s="6">
    <fb>12.0999</fb>
    <v>11</v>
  </rv>
  <rv s="6">
    <fb>27391628</fb>
    <v>12</v>
  </rv>
  <rv s="6">
    <fb>13.8332</fb>
    <v>11</v>
  </rv>
  <rv s="6">
    <fb>13.1785</fb>
    <v>11</v>
  </rv>
  <rv s="6">
    <fb>14.219200000000001</fb>
    <v>11</v>
  </rv>
  <rv s="6">
    <fb>13.1599</fb>
    <v>11</v>
  </rv>
  <rv s="6">
    <fb>21259919</fb>
    <v>12</v>
  </rv>
  <rv s="6">
    <fb>14.176500000000001</fb>
    <v>11</v>
  </rv>
  <rv s="6">
    <fb>15.6318</fb>
    <v>11</v>
  </rv>
  <rv s="6">
    <fb>14.0425</fb>
    <v>11</v>
  </rv>
  <rv s="6">
    <fb>19257545</fb>
    <v>12</v>
  </rv>
  <rv s="6">
    <fb>15.183199999999999</fb>
    <v>11</v>
  </rv>
  <rv s="6">
    <fb>15.6892</fb>
    <v>11</v>
  </rv>
  <rv s="6">
    <fb>15.9918</fb>
    <v>11</v>
  </rv>
  <rv s="6">
    <fb>14.3332</fb>
    <v>11</v>
  </rv>
  <rv s="6">
    <fb>19533551</fb>
    <v>12</v>
  </rv>
  <rv s="6">
    <fb>15.8392</fb>
    <v>11</v>
  </rv>
  <rv s="6">
    <fb>16.526499999999999</fb>
    <v>11</v>
  </rv>
  <rv s="6">
    <fb>14.9999</fb>
    <v>11</v>
  </rv>
  <rv s="6">
    <fb>35983378</fb>
    <v>12</v>
  </rv>
  <rv s="6">
    <fb>16.671199999999999</fb>
    <v>11</v>
  </rv>
  <rv s="6">
    <fb>16.607800000000001</fb>
    <v>11</v>
  </rv>
  <rv s="6">
    <fb>17.9558</fb>
    <v>11</v>
  </rv>
  <rv s="6">
    <fb>15.9998</fb>
    <v>11</v>
  </rv>
  <rv s="6">
    <fb>51349611</fb>
    <v>12</v>
  </rv>
  <rv s="6">
    <fb>16.967199999999998</fb>
    <v>11</v>
  </rv>
  <rv s="6">
    <fb>17.265799999999999</fb>
    <v>11</v>
  </rv>
  <rv s="6">
    <fb>16.241800000000001</fb>
    <v>11</v>
  </rv>
  <rv s="6">
    <fb>27735047</fb>
    <v>12</v>
  </rv>
  <rv s="6">
    <fb>16.916499999999999</fb>
    <v>11</v>
  </rv>
  <rv s="6">
    <fb>16.815200000000001</fb>
    <v>11</v>
  </rv>
  <rv s="6">
    <fb>17.220500000000001</fb>
    <v>11</v>
  </rv>
  <rv s="6">
    <fb>16.083200000000001</fb>
    <v>11</v>
  </rv>
  <rv s="6">
    <fb>22392325</fb>
    <v>12</v>
  </rv>
  <rv s="6">
    <fb>16.0505</fb>
    <v>11</v>
  </rv>
  <rv s="6">
    <fb>16.8672</fb>
    <v>11</v>
  </rv>
  <rv s="6">
    <fb>17.1585</fb>
    <v>11</v>
  </rv>
  <rv s="6">
    <fb>15.8538</fb>
    <v>11</v>
  </rv>
  <rv s="6">
    <fb>18032772</fb>
    <v>12</v>
  </rv>
  <rv s="6">
    <fb>14.3285</fb>
    <v>11</v>
  </rv>
  <rv s="6">
    <fb>16.099799999999998</fb>
    <v>11</v>
  </rv>
  <rv s="6">
    <fb>16.212499999999999</fb>
    <v>11</v>
  </rv>
  <rv s="6">
    <fb>13.873900000000001</fb>
    <v>11</v>
  </rv>
  <rv s="6">
    <fb>33786680</fb>
    <v>12</v>
  </rv>
  <rv s="6">
    <fb>13.8405</fb>
    <v>11</v>
  </rv>
  <rv s="6">
    <fb>14.3812</fb>
    <v>11</v>
  </rv>
  <rv s="6">
    <fb>14.4099</fb>
    <v>11</v>
  </rv>
  <rv s="6">
    <fb>13.577</fb>
    <v>11</v>
  </rv>
  <rv s="6">
    <fb>20482120</fb>
    <v>12</v>
  </rv>
  <rv s="6">
    <fb>14.6852</fb>
    <v>11</v>
  </rv>
  <rv s="6">
    <fb>13.8765</fb>
    <v>11</v>
  </rv>
  <rv s="6">
    <fb>14.703200000000001</fb>
    <v>11</v>
  </rv>
  <rv s="6">
    <fb>13.6012</fb>
    <v>11</v>
  </rv>
  <rv s="6">
    <fb>27283909</fb>
    <v>12</v>
  </rv>
  <rv s="6">
    <fb>14.869199999999999</fb>
    <v>11</v>
  </rv>
  <rv s="6">
    <fb>14.6579</fb>
    <v>11</v>
  </rv>
  <rv s="6">
    <fb>15.0618</fb>
    <v>11</v>
  </rv>
  <rv s="6">
    <fb>14.3452</fb>
    <v>11</v>
  </rv>
  <rv s="6">
    <fb>18971633</fb>
    <v>12</v>
  </rv>
  <rv s="6">
    <fb>14.5992</fb>
    <v>11</v>
  </rv>
  <rv s="6">
    <fb>14.9832</fb>
    <v>11</v>
  </rv>
  <rv s="6">
    <fb>14.459199999999999</fb>
    <v>11</v>
  </rv>
  <rv s="6">
    <fb>10033499</fb>
    <v>12</v>
  </rv>
  <rv s="6">
    <fb>14.585900000000001</fb>
    <v>11</v>
  </rv>
  <rv s="6">
    <fb>14.533200000000001</fb>
    <v>11</v>
  </rv>
  <rv s="6">
    <fb>16.0562</fb>
    <v>11</v>
  </rv>
  <rv s="6">
    <fb>14.363200000000001</fb>
    <v>11</v>
  </rv>
  <rv s="6">
    <fb>24953754</fb>
    <v>12</v>
  </rv>
  <rv s="6">
    <fb>14.3645</fb>
    <v>11</v>
  </rv>
  <rv s="6">
    <fb>14.6332</fb>
    <v>11</v>
  </rv>
  <rv s="6">
    <fb>15.0512</fb>
    <v>11</v>
  </rv>
  <rv s="6">
    <fb>14.1685</fb>
    <v>11</v>
  </rv>
  <rv s="6">
    <fb>16234590</fb>
    <v>12</v>
  </rv>
  <rv s="6">
    <fb>12.8765</fb>
    <v>11</v>
  </rv>
  <rv s="6">
    <fb>14.916499999999999</fb>
    <v>11</v>
  </rv>
  <rv s="6">
    <fb>12.6485</fb>
    <v>11</v>
  </rv>
  <rv s="6">
    <fb>48984154</fb>
    <v>12</v>
  </rv>
  <rv s="6">
    <fb>14.433199999999999</fb>
    <v>11</v>
  </rv>
  <rv s="6">
    <fb>12.7239</fb>
    <v>11</v>
  </rv>
  <rv s="6">
    <fb>14.549200000000001</fb>
    <v>11</v>
  </rv>
  <rv s="6">
    <fb>12.5245</fb>
    <v>11</v>
  </rv>
  <rv s="6">
    <fb>29670715</fb>
    <v>12</v>
  </rv>
  <rv s="6">
    <fb>14.4519</fb>
    <v>11</v>
  </rv>
  <rv s="6">
    <fb>13.9819</fb>
    <v>11</v>
  </rv>
  <rv s="6">
    <fb>14.6539</fb>
    <v>11</v>
  </rv>
  <rv s="6">
    <fb>13.8665</fb>
    <v>11</v>
  </rv>
  <rv s="6">
    <fb>17782007</fb>
    <v>12</v>
  </rv>
  <rv s="6">
    <fb>14.693199999999999</fb>
    <v>11</v>
  </rv>
  <rv s="6">
    <fb>14.6639</fb>
    <v>11</v>
  </rv>
  <rv s="6">
    <fb>15.166499999999999</fb>
    <v>11</v>
  </rv>
  <rv s="6">
    <fb>14.633900000000001</fb>
    <v>11</v>
  </rv>
  <rv s="6">
    <fb>18483131</fb>
    <v>12</v>
  </rv>
  <rv s="6">
    <fb>14.8179</fb>
    <v>11</v>
  </rv>
  <rv s="6">
    <fb>14.6425</fb>
    <v>11</v>
  </rv>
  <rv s="6">
    <fb>15.319800000000001</fb>
    <v>11</v>
  </rv>
  <rv s="6">
    <fb>14.5532</fb>
    <v>11</v>
  </rv>
  <rv s="6">
    <fb>16103961</fb>
    <v>12</v>
  </rv>
  <rv s="6">
    <fb>15.6525</fb>
    <v>11</v>
  </rv>
  <rv s="6">
    <fb>15.6852</fb>
    <v>11</v>
  </rv>
  <rv s="6">
    <fb>14.757999999999999</fb>
    <v>11</v>
  </rv>
  <rv s="6">
    <fb>16299604</fb>
    <v>12</v>
  </rv>
  <rv s="6">
    <fb>15.3352</fb>
    <v>11</v>
  </rv>
  <rv s="6">
    <fb>15.6998</fb>
    <v>11</v>
  </rv>
  <rv s="6">
    <fb>15.7752</fb>
    <v>11</v>
  </rv>
  <rv s="6">
    <fb>14.7599</fb>
    <v>11</v>
  </rv>
  <rv s="6">
    <fb>19190687</fb>
    <v>12</v>
  </rv>
  <rv s="6">
    <fb>15.0405</fb>
    <v>11</v>
  </rv>
  <rv s="6">
    <fb>15.1998</fb>
    <v>11</v>
  </rv>
  <rv s="6">
    <fb>15.435700000000001</fb>
    <v>11</v>
  </rv>
  <rv s="6">
    <fb>14.8939</fb>
    <v>11</v>
  </rv>
  <rv s="6">
    <fb>10504194</fb>
    <v>12</v>
  </rv>
  <rv s="6">
    <fb>15.0678</fb>
    <v>11</v>
  </rv>
  <rv s="6">
    <fb>15.299799999999999</fb>
    <v>11</v>
  </rv>
  <rv s="6">
    <fb>14.8192</fb>
    <v>11</v>
  </rv>
  <rv s="6">
    <fb>9462599</fb>
    <v>12</v>
  </rv>
  <rv s="6">
    <fb>14.665900000000001</fb>
    <v>11</v>
  </rv>
  <rv s="6">
    <fb>14.9445</fb>
    <v>11</v>
  </rv>
  <rv s="6">
    <fb>15.2325</fb>
    <v>11</v>
  </rv>
  <rv s="6">
    <fb>14.587899999999999</fb>
    <v>11</v>
  </rv>
  <rv s="6">
    <fb>13422115</fb>
    <v>12</v>
  </rv>
  <rv s="6">
    <fb>13.1852</fb>
    <v>11</v>
  </rv>
  <rv s="6">
    <fb>14.676500000000001</fb>
    <v>11</v>
  </rv>
  <rv s="6">
    <fb>13.0799</fb>
    <v>11</v>
  </rv>
  <rv s="6">
    <fb>23632295</fb>
    <v>12</v>
  </rv>
  <rv s="6">
    <fb>12.964499999999999</fb>
    <v>11</v>
  </rv>
  <rv s="6">
    <fb>13.267899999999999</fb>
    <v>11</v>
  </rv>
  <rv s="6">
    <fb>13.766299999999999</fb>
    <v>11</v>
  </rv>
  <rv s="6">
    <fb>12.9132</fb>
    <v>11</v>
  </rv>
  <rv s="6">
    <fb>15166433</fb>
    <v>12</v>
  </rv>
  <rv s="6">
    <fb>13.693199999999999</fb>
    <v>11</v>
  </rv>
  <rv s="6">
    <fb>13.713200000000001</fb>
    <v>11</v>
  </rv>
  <rv s="6">
    <fb>12.8965</fb>
    <v>11</v>
  </rv>
  <rv s="6">
    <fb>15756694</fb>
    <v>12</v>
  </rv>
  <rv s="6">
    <fb>13.8299</fb>
    <v>11</v>
  </rv>
  <rv s="6">
    <fb>13.799899999999999</fb>
    <v>11</v>
  </rv>
  <rv s="6">
    <fb>14.011900000000001</fb>
    <v>11</v>
  </rv>
  <rv s="6">
    <fb>13.437200000000001</fb>
    <v>11</v>
  </rv>
  <rv s="6">
    <fb>12631620</fb>
    <v>12</v>
  </rv>
  <rv s="6">
    <fb>13.766500000000001</fb>
    <v>11</v>
  </rv>
  <rv s="6">
    <fb>13.3032</fb>
    <v>11</v>
  </rv>
  <rv s="6">
    <fb>13169214</fb>
    <v>12</v>
  </rv>
  <rv s="6">
    <fb>13.107200000000001</fb>
    <v>11</v>
  </rv>
  <rv s="6">
    <fb>14.1532</fb>
    <v>11</v>
  </rv>
  <rv s="6">
    <fb>14.377800000000001</fb>
    <v>11</v>
  </rv>
  <rv s="6">
    <fb>13.0532</fb>
    <v>11</v>
  </rv>
  <rv s="6">
    <fb>19615327</fb>
    <v>12</v>
  </rv>
  <rv s="6">
    <fb>13.1005</fb>
    <v>11</v>
  </rv>
  <rv s="6">
    <fb>13.4232</fb>
    <v>11</v>
  </rv>
  <rv s="6">
    <fb>13.6092</fb>
    <v>11</v>
  </rv>
  <rv s="6">
    <fb>13.086499999999999</fb>
    <v>11</v>
  </rv>
  <rv s="6">
    <fb>14380671</fb>
    <v>12</v>
  </rv>
  <rv s="6">
    <fb>13.3392</fb>
    <v>11</v>
  </rv>
  <rv s="6">
    <fb>13.1365</fb>
    <v>11</v>
  </rv>
  <rv s="6">
    <fb>13.777200000000001</fb>
    <v>11</v>
  </rv>
  <rv s="6">
    <fb>25242017</fb>
    <v>12</v>
  </rv>
  <rv s="6">
    <fb>13.331200000000001</fb>
    <v>11</v>
  </rv>
  <rv s="6">
    <fb>13.399900000000001</fb>
    <v>11</v>
  </rv>
  <rv s="6">
    <fb>14.246499999999999</fb>
    <v>11</v>
  </rv>
  <rv s="6">
    <fb>13.321899999999999</fb>
    <v>11</v>
  </rv>
  <rv s="6">
    <fb>28203302</fb>
    <v>12</v>
  </rv>
  <rv s="6">
    <fb>12.703900000000001</fb>
    <v>11</v>
  </rv>
  <rv s="6">
    <fb>13.4992</fb>
    <v>11</v>
  </rv>
  <rv s="6">
    <fb>12.3972</fb>
    <v>11</v>
  </rv>
  <rv s="6">
    <fb>23804757</fb>
    <v>12</v>
  </rv>
  <rv s="6">
    <fb>12.570499999999999</fb>
    <v>11</v>
  </rv>
  <rv s="6">
    <fb>12.905900000000001</fb>
    <v>11</v>
  </rv>
  <rv s="6">
    <fb>13.165900000000001</fb>
    <v>11</v>
  </rv>
  <rv s="6">
    <fb>12.027900000000001</fb>
    <v>11</v>
  </rv>
  <rv s="6">
    <fb>26049602</fb>
    <v>12</v>
  </rv>
  <rv s="6">
    <fb>12.3345</fb>
    <v>11</v>
  </rv>
  <rv s="6">
    <fb>12.533200000000001</fb>
    <v>11</v>
  </rv>
  <rv s="6">
    <fb>12.8665</fb>
    <v>11</v>
  </rv>
  <rv s="6">
    <fb>11.879200000000001</fb>
    <v>11</v>
  </rv>
  <rv s="6">
    <fb>23986074</fb>
    <v>12</v>
  </rv>
  <rv s="6">
    <fb>13.1099</fb>
    <v>11</v>
  </rv>
  <rv s="6">
    <fb>12.335900000000001</fb>
    <v>11</v>
  </rv>
  <rv s="6">
    <fb>13.148999999999999</fb>
    <v>11</v>
  </rv>
  <rv s="6">
    <fb>12.247199999999999</fb>
    <v>11</v>
  </rv>
  <rv s="6">
    <fb>17222395</fb>
    <v>12</v>
  </rv>
  <rv s="6">
    <fb>12.097899999999999</fb>
    <v>11</v>
  </rv>
  <rv s="6">
    <fb>13.0319</fb>
    <v>11</v>
  </rv>
  <rv s="6">
    <fb>13.289899999999999</fb>
    <v>11</v>
  </rv>
  <rv s="6">
    <fb>11.9999</fb>
    <v>11</v>
  </rv>
  <rv s="6">
    <fb>21684267</fb>
    <v>12</v>
  </rv>
  <rv s="6">
    <fb>12.8119</fb>
    <v>11</v>
  </rv>
  <rv s="6">
    <fb>12.167199999999999</fb>
    <v>11</v>
  </rv>
  <rv s="6">
    <fb>12.9223</fb>
    <v>11</v>
  </rv>
  <rv s="6">
    <fb>18842365</fb>
    <v>12</v>
  </rv>
  <rv s="6">
    <fb>12.853199999999999</fb>
    <v>11</v>
  </rv>
  <rv s="6">
    <fb>13.533200000000001</fb>
    <v>11</v>
  </rv>
  <rv s="6">
    <fb>12.735900000000001</fb>
    <v>11</v>
  </rv>
  <rv s="6">
    <fb>20430143</fb>
    <v>12</v>
  </rv>
  <rv s="6">
    <fb>14.2225</fb>
    <v>11</v>
  </rv>
  <rv s="6">
    <fb>14.229900000000001</fb>
    <v>11</v>
  </rv>
  <rv s="6">
    <fb>13.3225</fb>
    <v>11</v>
  </rv>
  <rv s="6">
    <fb>21166336</fb>
    <v>12</v>
  </rv>
  <rv s="6">
    <fb>14.245900000000001</fb>
    <v>11</v>
  </rv>
  <rv s="6">
    <fb>14.325200000000001</fb>
    <v>11</v>
  </rv>
  <rv s="6">
    <fb>14.9199</fb>
    <v>11</v>
  </rv>
  <rv s="6">
    <fb>14.1119</fb>
    <v>11</v>
  </rv>
  <rv s="6">
    <fb>18385776</fb>
    <v>12</v>
  </rv>
  <rv s="6">
    <fb>15.267200000000001</fb>
    <v>11</v>
  </rv>
  <rv s="6">
    <fb>14.3239</fb>
    <v>11</v>
  </rv>
  <rv s="6">
    <fb>15.3538</fb>
    <v>11</v>
  </rv>
  <rv s="6">
    <fb>14.0639</fb>
    <v>11</v>
  </rv>
  <rv s="6">
    <fb>28576313</fb>
    <v>12</v>
  </rv>
  <rv s="6">
    <fb>15.8498</fb>
    <v>11</v>
  </rv>
  <rv s="6">
    <fb>15.2645</fb>
    <v>11</v>
  </rv>
  <rv s="6">
    <fb>15.8565</fb>
    <v>11</v>
  </rv>
  <rv s="6">
    <fb>15.038500000000001</fb>
    <v>11</v>
  </rv>
  <rv s="6">
    <fb>21173453</fb>
    <v>12</v>
  </rv>
  <rv s="6">
    <fb>16.315200000000001</fb>
    <v>11</v>
  </rv>
  <rv s="6">
    <fb>15.7798</fb>
    <v>11</v>
  </rv>
  <rv s="6">
    <fb>16.578499999999998</fb>
    <v>11</v>
  </rv>
  <rv s="6">
    <fb>15.624499999999999</fb>
    <v>11</v>
  </rv>
  <rv s="6">
    <fb>20323067</fb>
    <v>12</v>
  </rv>
  <rv s="6">
    <fb>16.863199999999999</fb>
    <v>11</v>
  </rv>
  <rv s="6">
    <fb>16.389800000000001</fb>
    <v>11</v>
  </rv>
  <rv s="6">
    <fb>17.230499999999999</fb>
    <v>11</v>
  </rv>
  <rv s="6">
    <fb>16.366499999999998</fb>
    <v>11</v>
  </rv>
  <rv s="6">
    <fb>22693209</fb>
    <v>12</v>
  </rv>
  <rv s="6">
    <fb>16.755199999999999</fb>
    <v>11</v>
  </rv>
  <rv s="6">
    <fb>16.8352</fb>
    <v>11</v>
  </rv>
  <rv s="6">
    <fb>17.059200000000001</fb>
    <v>11</v>
  </rv>
  <rv s="6">
    <fb>16.473199999999999</fb>
    <v>11</v>
  </rv>
  <rv s="6">
    <fb>16562505</fb>
    <v>12</v>
  </rv>
  <rv s="6">
    <fb>17.948499999999999</fb>
    <v>11</v>
  </rv>
  <rv s="6">
    <fb>18.078499999999998</fb>
    <v>11</v>
  </rv>
  <rv s="6">
    <fb>16.708500000000001</fb>
    <v>11</v>
  </rv>
  <rv s="6">
    <fb>23180267</fb>
    <v>12</v>
  </rv>
  <rv s="6">
    <fb>18.148499999999999</fb>
    <v>11</v>
  </rv>
  <rv s="6">
    <fb>18.049199999999999</fb>
    <v>11</v>
  </rv>
  <rv s="6">
    <fb>19.159099999999999</fb>
    <v>11</v>
  </rv>
  <rv s="6">
    <fb>17.6098</fb>
    <v>11</v>
  </rv>
  <rv s="6">
    <fb>32657156</fb>
    <v>12</v>
  </rv>
  <rv s="6">
    <fb>17.133199999999999</fb>
    <v>11</v>
  </rv>
  <rv s="6">
    <fb>18.363099999999999</fb>
    <v>11</v>
  </rv>
  <rv s="6">
    <fb>18.8965</fb>
    <v>11</v>
  </rv>
  <rv s="6">
    <fb>16.6798</fb>
    <v>11</v>
  </rv>
  <rv s="6">
    <fb>37518597</fb>
    <v>12</v>
  </rv>
  <rv s="6">
    <fb>16.7712</fb>
    <v>11</v>
  </rv>
  <rv s="6">
    <fb>16.544499999999999</fb>
    <v>11</v>
  </rv>
  <rv s="6">
    <fb>16.989799999999999</fb>
    <v>11</v>
  </rv>
  <rv s="6">
    <fb>16.133800000000001</fb>
    <v>11</v>
  </rv>
  <rv s="6">
    <fb>28629510</fb>
    <v>12</v>
  </rv>
  <rv s="6">
    <fb>16.245799999999999</fb>
    <v>11</v>
  </rv>
  <rv s="6">
    <fb>16.527200000000001</fb>
    <v>11</v>
  </rv>
  <rv s="6">
    <fb>16.925799999999999</fb>
    <v>11</v>
  </rv>
  <rv s="6">
    <fb>16.1998</fb>
    <v>11</v>
  </rv>
  <rv s="6">
    <fb>17489184</fb>
    <v>12</v>
  </rv>
  <rv s="6">
    <fb>17.433199999999999</fb>
    <v>11</v>
  </rv>
  <rv s="6">
    <fb>16.321200000000001</fb>
    <v>11</v>
  </rv>
  <rv s="6">
    <fb>17.7165</fb>
    <v>11</v>
  </rv>
  <rv s="6">
    <fb>16.185199999999998</fb>
    <v>11</v>
  </rv>
  <rv s="6">
    <fb>29581526</fb>
    <v>12</v>
  </rv>
  <rv s="6">
    <fb>17.543800000000001</fb>
    <v>11</v>
  </rv>
  <rv s="6">
    <fb>17.373200000000001</fb>
    <v>11</v>
  </rv>
  <rv s="6">
    <fb>17.653199999999998</fb>
    <v>11</v>
  </rv>
  <rv s="6">
    <fb>23549643</fb>
    <v>12</v>
  </rv>
  <rv s="6">
    <fb>18.553100000000001</fb>
    <v>11</v>
  </rv>
  <rv s="6">
    <fb>18.799800000000001</fb>
    <v>11</v>
  </rv>
  <rv s="6">
    <fb>17.316500000000001</fb>
    <v>11</v>
  </rv>
  <rv s="6">
    <fb>25337622</fb>
    <v>12</v>
  </rv>
  <rv s="6">
    <fb>20.1691</fb>
    <v>11</v>
  </rv>
  <rv s="6">
    <fb>19.1265</fb>
    <v>11</v>
  </rv>
  <rv s="6">
    <fb>20.325099999999999</fb>
    <v>11</v>
  </rv>
  <rv s="6">
    <fb>18.971800000000002</fb>
    <v>11</v>
  </rv>
  <rv s="6">
    <fb>42004313</fb>
    <v>12</v>
  </rv>
  <rv s="6">
    <fb>20.266500000000001</fb>
    <v>11</v>
  </rv>
  <rv s="6">
    <fb>20.6098</fb>
    <v>11</v>
  </rv>
  <rv s="6">
    <fb>20.915099999999999</fb>
    <v>11</v>
  </rv>
  <rv s="6">
    <fb>19.686499999999999</fb>
    <v>11</v>
  </rv>
  <rv s="6">
    <fb>28724351</fb>
    <v>12</v>
  </rv>
  <rv s="6">
    <fb>20.373100000000001</fb>
    <v>11</v>
  </rv>
  <rv s="6">
    <fb>20.1798</fb>
    <v>11</v>
  </rv>
  <rv s="6">
    <fb>19.8598</fb>
    <v>11</v>
  </rv>
  <rv s="6">
    <fb>21731566</fb>
    <v>12</v>
  </rv>
  <rv s="6">
    <fb>20.937799999999999</fb>
    <v>11</v>
  </rv>
  <rv s="6">
    <fb>20.6145</fb>
    <v>11</v>
  </rv>
  <rv s="6">
    <fb>20.986499999999999</fb>
    <v>11</v>
  </rv>
  <rv s="6">
    <fb>20.390499999999999</fb>
    <v>11</v>
  </rv>
  <rv s="6">
    <fb>24490304</fb>
    <v>12</v>
  </rv>
  <rv s="6">
    <fb>20.5565</fb>
    <v>11</v>
  </rv>
  <rv s="6">
    <fb>20.991800000000001</fb>
    <v>11</v>
  </rv>
  <rv s="6">
    <fb>21.843800000000002</fb>
    <v>11</v>
  </rv>
  <rv s="6">
    <fb>19.383800000000001</fb>
    <v>11</v>
  </rv>
  <rv s="6">
    <fb>43675062</fb>
    <v>12</v>
  </rv>
  <rv s="6">
    <fb>21.6538</fb>
    <v>11</v>
  </rv>
  <rv s="6">
    <fb>20.726500000000001</fb>
    <v>11</v>
  </rv>
  <rv s="6">
    <fb>21.799800000000001</fb>
    <v>11</v>
  </rv>
  <rv s="6">
    <fb>20.387799999999999</fb>
    <v>11</v>
  </rv>
  <rv s="6">
    <fb>31300046</fb>
    <v>12</v>
  </rv>
  <rv s="6">
    <fb>20.721800000000002</fb>
    <v>11</v>
  </rv>
  <rv s="6">
    <fb>21.225100000000001</fb>
    <v>11</v>
  </rv>
  <rv s="6">
    <fb>21.346499999999999</fb>
    <v>11</v>
  </rv>
  <rv s="6">
    <fb>20.3538</fb>
    <v>11</v>
  </rv>
  <rv s="6">
    <fb>28827801</fb>
    <v>12</v>
  </rv>
  <rv s="6">
    <fb>21.675799999999999</fb>
    <v>11</v>
  </rv>
  <rv s="6">
    <fb>20.853100000000001</fb>
    <v>11</v>
  </rv>
  <rv s="6">
    <fb>21.699100000000001</fb>
    <v>11</v>
  </rv>
  <rv s="6">
    <fb>20.2318</fb>
    <v>11</v>
  </rv>
  <rv s="6">
    <fb>26505386</fb>
    <v>12</v>
  </rv>
  <rv s="6">
    <fb>22.656400000000001</fb>
    <v>11</v>
  </rv>
  <rv s="6">
    <fb>21.7331</fb>
    <v>11</v>
  </rv>
  <rv s="6">
    <fb>22.991800000000001</fb>
    <v>11</v>
  </rv>
  <rv s="6">
    <fb>21.717099999999999</fb>
    <v>11</v>
  </rv>
  <rv s="6">
    <fb>30944595</fb>
    <v>12</v>
  </rv>
  <rv s="6">
    <fb>23.821100000000001</fb>
    <v>11</v>
  </rv>
  <rv s="6">
    <fb>22.566400000000002</fb>
    <v>11</v>
  </rv>
  <rv s="6">
    <fb>25.124400000000001</fb>
    <v>11</v>
  </rv>
  <rv s="6">
    <fb>22.2804</fb>
    <v>11</v>
  </rv>
  <rv s="6">
    <fb>53592056</fb>
    <v>12</v>
  </rv>
  <rv s="6">
    <fb>24.759799999999998</fb>
    <v>11</v>
  </rv>
  <rv s="6">
    <fb>23.8658</fb>
    <v>11</v>
  </rv>
  <rv s="6">
    <fb>25.616399999999999</fb>
    <v>11</v>
  </rv>
  <rv s="6">
    <fb>23.374400000000001</fb>
    <v>11</v>
  </rv>
  <rv s="6">
    <fb>52301451</fb>
    <v>12</v>
  </rv>
  <rv s="6">
    <fb>25.563099999999999</fb>
    <v>11</v>
  </rv>
  <rv s="6">
    <fb>24.9998</fb>
    <v>11</v>
  </rv>
  <rv s="6">
    <fb>25.799099999999999</fb>
    <v>11</v>
  </rv>
  <rv s="6">
    <fb>24.5198</fb>
    <v>11</v>
  </rv>
  <rv s="6">
    <fb>32886779</fb>
    <v>12</v>
  </rv>
  <rv s="6">
    <fb>24.107099999999999</fb>
    <v>11</v>
  </rv>
  <rv s="6">
    <fb>25.7791</fb>
    <v>11</v>
  </rv>
  <rv s="6">
    <fb>25.796399999999998</fb>
    <v>11</v>
  </rv>
  <rv s="6">
    <fb>23.606400000000001</fb>
    <v>11</v>
  </rv>
  <rv s="6">
    <fb>33972520</fb>
    <v>12</v>
  </rv>
  <rv s="6">
    <fb>20.8811</fb>
    <v>11</v>
  </rv>
  <rv s="6">
    <fb>24.682400000000001</fb>
    <v>11</v>
  </rv>
  <rv s="6">
    <fb>24.756399999999999</fb>
    <v>11</v>
  </rv>
  <rv s="6">
    <fb>20.419799999999999</fb>
    <v>11</v>
  </rv>
  <rv s="6">
    <fb>56853512</fb>
    <v>12</v>
  </rv>
  <rv s="6">
    <fb>21.851800000000001</fb>
    <v>11</v>
  </rv>
  <rv s="6">
    <fb>20.8598</fb>
    <v>11</v>
  </rv>
  <rv s="6">
    <fb>22.206399999999999</fb>
    <v>11</v>
  </rv>
  <rv s="6">
    <fb>20.208500000000001</fb>
    <v>11</v>
  </rv>
  <rv s="6">
    <fb>49946095</fb>
    <v>12</v>
  </rv>
  <rv s="6">
    <fb>21.8931</fb>
    <v>11</v>
  </rv>
  <rv s="6">
    <fb>21.702400000000001</fb>
    <v>11</v>
  </rv>
  <rv s="6">
    <fb>22.1098</fb>
    <v>11</v>
  </rv>
  <rv s="6">
    <fb>20.8965</fb>
    <v>11</v>
  </rv>
  <rv s="6">
    <fb>32675440</fb>
    <v>12</v>
  </rv>
  <rv s="6">
    <fb>22.337800000000001</fb>
    <v>11</v>
  </rv>
  <rv s="6">
    <fb>22.015799999999999</fb>
    <v>11</v>
  </rv>
  <rv s="6">
    <fb>23.166399999999999</fb>
    <v>11</v>
  </rv>
  <rv s="6">
    <fb>21.752400000000002</fb>
    <v>11</v>
  </rv>
  <rv s="6">
    <fb>33629888</fb>
    <v>12</v>
  </rv>
  <rv s="6">
    <fb>23.793800000000001</fb>
    <v>11</v>
  </rv>
  <rv s="6">
    <fb>22.366399999999999</fb>
    <v>11</v>
  </rv>
  <rv s="6">
    <fb>23.817799999999998</fb>
    <v>11</v>
  </rv>
  <rv s="6">
    <fb>20.747800000000002</fb>
    <v>11</v>
  </rv>
  <rv s="6">
    <fb>52733642</fb>
    <v>12</v>
  </rv>
  <rv s="6">
    <fb>23.857800000000001</fb>
    <v>11</v>
  </rv>
  <rv s="6">
    <fb>23.8231</fb>
    <v>11</v>
  </rv>
  <rv s="6">
    <fb>24.666399999999999</fb>
    <v>11</v>
  </rv>
  <rv s="6">
    <fb>23.516400000000001</fb>
    <v>11</v>
  </rv>
  <rv s="6">
    <fb>32125054</fb>
    <v>12</v>
  </rv>
  <rv s="6">
    <fb>23.163799999999998</fb>
    <v>11</v>
  </rv>
  <rv s="6">
    <fb>24.308399999999999</fb>
    <v>11</v>
  </rv>
  <rv s="6">
    <fb>24.510400000000001</fb>
    <v>11</v>
  </rv>
  <rv s="6">
    <fb>23.053100000000001</fb>
    <v>11</v>
  </rv>
  <rv s="6">
    <fb>21453890</fb>
    <v>12</v>
  </rv>
  <rv s="6">
    <fb>23.203099999999999</fb>
    <v>11</v>
  </rv>
  <rv s="6">
    <fb>23.054400000000001</fb>
    <v>11</v>
  </rv>
  <rv s="6">
    <fb>23.777100000000001</fb>
    <v>11</v>
  </rv>
  <rv s="6">
    <fb>22.123100000000001</fb>
    <v>11</v>
  </rv>
  <rv s="6">
    <fb>23840537</fb>
    <v>12</v>
  </rv>
  <rv s="6">
    <fb>23.693100000000001</fb>
    <v>11</v>
  </rv>
  <rv s="6">
    <fb>23.151800000000001</fb>
    <v>11</v>
  </rv>
  <rv s="6">
    <fb>23.895800000000001</fb>
    <v>11</v>
  </rv>
  <rv s="6">
    <fb>22.583100000000002</fb>
    <v>11</v>
  </rv>
  <rv s="6">
    <fb>18372915</fb>
    <v>12</v>
  </rv>
  <rv s="6">
    <fb>22.8931</fb>
    <v>11</v>
  </rv>
  <rv s="6">
    <fb>23.586400000000001</fb>
    <v>11</v>
  </rv>
  <rv s="6">
    <fb>23.699100000000001</fb>
    <v>11</v>
  </rv>
  <rv s="6">
    <fb>22.770399999999999</fb>
    <v>11</v>
  </rv>
  <rv s="6">
    <fb>15442454</fb>
    <v>12</v>
  </rv>
  <rv s="6">
    <fb>25.320399999999999</fb>
    <v>11</v>
  </rv>
  <rv s="6">
    <fb>23.423100000000002</fb>
    <v>11</v>
  </rv>
  <rv s="6">
    <fb>25.333100000000002</fb>
    <v>11</v>
  </rv>
  <rv s="6">
    <fb>23.333100000000002</fb>
    <v>11</v>
  </rv>
  <rv s="6">
    <fb>30448213</fb>
    <v>12</v>
  </rv>
  <rv s="6">
    <fb>23.405799999999999</fb>
    <v>11</v>
  </rv>
  <rv s="6">
    <fb>25.349699999999999</fb>
    <v>11</v>
  </rv>
  <rv s="6">
    <fb>25.973700000000001</fb>
    <v>11</v>
  </rv>
  <rv s="6">
    <fb>23.3918</fb>
    <v>11</v>
  </rv>
  <rv s="6">
    <fb>31336526</fb>
    <v>12</v>
  </rv>
  <rv s="6">
    <fb>22.739799999999999</fb>
    <v>11</v>
  </rv>
  <rv s="6">
    <fb>23.543099999999999</fb>
    <v>11</v>
  </rv>
  <rv s="6">
    <fb>23.831</fb>
    <v>11</v>
  </rv>
  <rv s="6">
    <fb>22.3598</fb>
    <v>11</v>
  </rv>
  <rv s="6">
    <fb>31249249</fb>
    <v>12</v>
  </rv>
  <rv s="6">
    <fb>23.791799999999999</fb>
    <v>11</v>
  </rv>
  <rv s="6">
    <fb>22.834399999999999</fb>
    <v>11</v>
  </rv>
  <rv s="6">
    <fb>24.006399999999999</fb>
    <v>11</v>
  </rv>
  <rv s="6">
    <fb>22.085100000000001</fb>
    <v>11</v>
  </rv>
  <rv s="6">
    <fb>32073062</fb>
    <v>12</v>
  </rv>
  <rv s="6">
    <fb>23.7044</fb>
    <v>11</v>
  </rv>
  <rv s="6">
    <fb>23.309799999999999</fb>
    <v>11</v>
  </rv>
  <rv s="6">
    <fb>23.985099999999999</fb>
    <v>11</v>
  </rv>
  <rv s="6">
    <fb>22.8444</fb>
    <v>11</v>
  </rv>
  <rv s="6">
    <fb>26600561</fb>
    <v>12</v>
  </rv>
  <rv s="6">
    <fb>23.006399999999999</fb>
    <v>11</v>
  </rv>
  <rv s="6">
    <fb>23.5838</fb>
    <v>11</v>
  </rv>
  <rv s="6">
    <fb>24.1998</fb>
    <v>11</v>
  </rv>
  <rv s="6">
    <fb>22.9558</fb>
    <v>11</v>
  </rv>
  <rv s="6">
    <fb>23600143</fb>
    <v>12</v>
  </rv>
  <rv s="6">
    <fb>21.391100000000002</fb>
    <v>11</v>
  </rv>
  <rv s="6">
    <fb>23.325099999999999</fb>
    <v>11</v>
  </rv>
  <rv s="6">
    <fb>23.329799999999999</fb>
    <v>11</v>
  </rv>
  <rv s="6">
    <fb>21.110499999999998</fb>
    <v>11</v>
  </rv>
  <rv s="6">
    <fb>30836295</fb>
    <v>12</v>
  </rv>
  <rv s="6">
    <fb>20.405799999999999</fb>
    <v>11</v>
  </rv>
  <rv s="6">
    <fb>21.278500000000001</fb>
    <v>11</v>
  </rv>
  <rv s="6">
    <fb>22.1737</fb>
    <v>11</v>
  </rv>
  <rv s="6">
    <fb>19.508500000000002</fb>
    <v>11</v>
  </rv>
  <rv s="6">
    <fb>47069451</fb>
    <v>12</v>
  </rv>
  <rv s="6">
    <fb>20.199100000000001</fb>
    <v>11</v>
  </rv>
  <rv s="6">
    <fb>20.4665</fb>
    <v>11</v>
  </rv>
  <rv s="6">
    <fb>20.557099999999998</fb>
    <v>11</v>
  </rv>
  <rv s="6">
    <fb>19.7531</fb>
    <v>11</v>
  </rv>
  <rv s="6">
    <fb>26578130</fb>
    <v>12</v>
  </rv>
  <rv s="6">
    <fb>21.0031</fb>
    <v>11</v>
  </rv>
  <rv s="6">
    <fb>20.008500000000002</fb>
    <v>11</v>
  </rv>
  <rv s="6">
    <fb>21.777799999999999</fb>
    <v>11</v>
  </rv>
  <rv s="6">
    <fb>19.9405</fb>
    <v>11</v>
  </rv>
  <rv s="6">
    <fb>38796897</fb>
    <v>12</v>
  </rv>
  <rv s="6">
    <fb>21.0365</fb>
    <v>11</v>
  </rv>
  <rv s="6">
    <fb>20.9191</fb>
    <v>11</v>
  </rv>
  <rv s="6">
    <fb>21.2151</fb>
    <v>11</v>
  </rv>
  <rv s="6">
    <fb>20.316500000000001</fb>
    <v>11</v>
  </rv>
  <rv s="6">
    <fb>23670624</fb>
    <v>12</v>
  </rv>
  <rv s="6">
    <fb>20.435099999999998</fb>
    <v>11</v>
  </rv>
  <rv s="6">
    <fb>20.883099999999999</fb>
    <v>11</v>
  </rv>
  <rv s="6">
    <fb>21.333100000000002</fb>
    <v>11</v>
  </rv>
  <rv s="6">
    <fb>20.081800000000001</fb>
    <v>11</v>
  </rv>
  <rv s="6">
    <fb>26917238</fb>
    <v>12</v>
  </rv>
  <rv s="6">
    <fb>21.008500000000002</fb>
    <v>11</v>
  </rv>
  <rv s="6">
    <fb>20.4331</fb>
    <v>11</v>
  </rv>
  <rv s="6">
    <fb>21.242100000000001</fb>
    <v>11</v>
  </rv>
  <rv s="6">
    <fb>19.9998</fb>
    <v>11</v>
  </rv>
  <rv s="6">
    <fb>25926056</fb>
    <v>12</v>
  </rv>
  <rv s="6">
    <fb>22.8964</fb>
    <v>11</v>
  </rv>
  <rv s="6">
    <fb>20.975100000000001</fb>
    <v>11</v>
  </rv>
  <rv s="6">
    <fb>23.162400000000002</fb>
    <v>11</v>
  </rv>
  <rv s="6">
    <fb>20.916499999999999</fb>
    <v>11</v>
  </rv>
  <rv s="6">
    <fb>35625756</fb>
    <v>12</v>
  </rv>
  <rv s="6">
    <fb>21.6798</fb>
    <v>11</v>
  </rv>
  <rv s="6">
    <fb>22.993099999999998</fb>
    <v>11</v>
  </rv>
  <rv s="6">
    <fb>23.115100000000002</fb>
    <v>11</v>
  </rv>
  <rv s="6">
    <fb>21.654499999999999</fb>
    <v>11</v>
  </rv>
  <rv s="6">
    <fb>26855966</fb>
    <v>12</v>
  </rv>
  <rv s="6">
    <fb>20.756499999999999</fb>
    <v>11</v>
  </rv>
  <rv s="6">
    <fb>21.5885</fb>
    <v>11</v>
  </rv>
  <rv s="6">
    <fb>21.595800000000001</fb>
    <v>11</v>
  </rv>
  <rv s="6">
    <fb>20.6358</fb>
    <v>11</v>
  </rv>
  <rv s="6">
    <fb>17184026</fb>
    <v>12</v>
  </rv>
  <rv s="6">
    <fb>21.1051</fb>
    <v>11</v>
  </rv>
  <rv s="6">
    <fb>20.799800000000001</fb>
    <v>11</v>
  </rv>
  <rv s="6">
    <fb>21.6831</fb>
    <v>11</v>
  </rv>
  <rv s="6">
    <fb>20.378499999999999</fb>
    <v>11</v>
  </rv>
  <rv s="6">
    <fb>23411252</fb>
    <v>12</v>
  </rv>
  <rv s="6">
    <fb>22.414400000000001</fb>
    <v>11</v>
  </rv>
  <rv s="6">
    <fb>21.066500000000001</fb>
    <v>11</v>
  </rv>
  <rv s="6">
    <fb>22.987100000000002</fb>
    <v>11</v>
  </rv>
  <rv s="6">
    <fb>21.033100000000001</fb>
    <v>11</v>
  </rv>
  <rv s="6">
    <fb>32786535</fb>
    <v>12</v>
  </rv>
  <rv s="6">
    <fb>23.334399999999999</fb>
    <v>11</v>
  </rv>
  <rv s="6">
    <fb>22.502400000000002</fb>
    <v>11</v>
  </rv>
  <rv s="6">
    <fb>23.4864</fb>
    <v>11</v>
  </rv>
  <rv s="6">
    <fb>22.319800000000001</fb>
    <v>11</v>
  </rv>
  <rv s="6">
    <fb>24151904</fb>
    <v>12</v>
  </rv>
  <rv s="6">
    <fb>22.856400000000001</fb>
    <v>11</v>
  </rv>
  <rv s="6">
    <fb>23.293099999999999</fb>
    <v>11</v>
  </rv>
  <rv s="6">
    <fb>24.033100000000001</fb>
    <v>11</v>
  </rv>
  <rv s="6">
    <fb>22.380400000000002</fb>
    <v>11</v>
  </rv>
  <rv s="6">
    <fb>28242911</fb>
    <v>12</v>
  </rv>
  <rv s="6">
    <fb>22.916399999999999</fb>
    <v>11</v>
  </rv>
  <rv s="6">
    <fb>23.9771</fb>
    <v>11</v>
  </rv>
  <rv s="6">
    <fb>22.5518</fb>
    <v>11</v>
  </rv>
  <rv s="6">
    <fb>23581441</fb>
    <v>12</v>
  </rv>
  <rv s="6">
    <fb>20.694500000000001</fb>
    <v>11</v>
  </rv>
  <rv s="6">
    <fb>22.531099999999999</fb>
    <v>11</v>
  </rv>
  <rv s="6">
    <fb>23.241099999999999</fb>
    <v>11</v>
  </rv>
  <rv s="6">
    <fb>19.650500000000001</fb>
    <v>11</v>
  </rv>
  <rv s="6">
    <fb>39770118</fb>
    <v>12</v>
  </rv>
  <rv s="6">
    <fb>22.3658</fb>
    <v>11</v>
  </rv>
  <rv s="6">
    <fb>21.075099999999999</fb>
    <v>11</v>
  </rv>
  <rv s="6">
    <fb>22.874400000000001</fb>
    <v>11</v>
  </rv>
  <rv s="6">
    <fb>20.416499999999999</fb>
    <v>11</v>
  </rv>
  <rv s="6">
    <fb>26294350</fb>
    <v>12</v>
  </rv>
  <rv s="6">
    <fb>23.469799999999999</fb>
    <v>11</v>
  </rv>
  <rv s="6">
    <fb>22.297799999999999</fb>
    <v>11</v>
  </rv>
  <rv s="6">
    <fb>23.665800000000001</fb>
    <v>11</v>
  </rv>
  <rv s="6">
    <fb>22.099799999999998</fb>
    <v>11</v>
  </rv>
  <rv s="6">
    <fb>20016279</fb>
    <v>12</v>
  </rv>
  <rv s="6">
    <fb>22.341100000000001</fb>
    <v>11</v>
  </rv>
  <rv s="6">
    <fb>23.566400000000002</fb>
    <v>11</v>
  </rv>
  <rv s="6">
    <fb>23.999099999999999</fb>
    <v>11</v>
  </rv>
  <rv s="6">
    <fb>21.531099999999999</fb>
    <v>11</v>
  </rv>
  <rv s="6">
    <fb>27185492</fb>
    <v>12</v>
  </rv>
  <rv s="6">
    <fb>21.8111</fb>
    <v>11</v>
  </rv>
  <rv s="6">
    <fb>22.159099999999999</fb>
    <v>11</v>
  </rv>
  <rv s="6">
    <fb>22.516400000000001</fb>
    <v>11</v>
  </rv>
  <rv s="6">
    <fb>21.449100000000001</fb>
    <v>11</v>
  </rv>
  <rv s="6">
    <fb>22189818</fb>
    <v>12</v>
  </rv>
  <rv s="6">
    <fb>21.423100000000002</fb>
    <v>11</v>
  </rv>
  <rv s="6">
    <fb>21.9071</fb>
    <v>11</v>
  </rv>
  <rv s="6">
    <fb>23.147099999999998</fb>
    <v>11</v>
  </rv>
  <rv s="6">
    <fb>21.271100000000001</fb>
    <v>11</v>
  </rv>
  <rv s="6">
    <fb>34879290</fb>
    <v>12</v>
  </rv>
  <rv s="6">
    <fb>20.102499999999999</fb>
    <v>11</v>
  </rv>
  <rv s="6">
    <fb>21.099799999999998</fb>
    <v>11</v>
  </rv>
  <rv s="6">
    <fb>21.495799999999999</fb>
    <v>11</v>
  </rv>
  <rv s="6">
    <fb>20.029800000000002</fb>
    <v>11</v>
  </rv>
  <rv s="6">
    <fb>29801668</fb>
    <v>12</v>
  </rv>
  <rv s="6">
    <fb>17.741800000000001</fb>
    <v>11</v>
  </rv>
  <rv s="6">
    <fb>20.489100000000001</fb>
    <v>11</v>
  </rv>
  <rv s="6">
    <fb>20.505800000000001</fb>
    <v>11</v>
  </rv>
  <rv s="6">
    <fb>16.5472</fb>
    <v>11</v>
  </rv>
  <rv s="6">
    <fb>58419390</fb>
    <v>12</v>
  </rv>
  <rv s="6">
    <fb>19.953099999999999</fb>
    <v>11</v>
  </rv>
  <rv s="6">
    <fb>17.0838</fb>
    <v>11</v>
  </rv>
  <rv s="6">
    <fb>20.618500000000001</fb>
    <v>11</v>
  </rv>
  <rv s="6">
    <fb>16.305800000000001</fb>
    <v>11</v>
  </rv>
  <rv s="6">
    <fb>87496485</fb>
    <v>12</v>
  </rv>
  <rv s="6">
    <fb>20.022500000000001</fb>
    <v>11</v>
  </rv>
  <rv s="6">
    <fb>20.0245</fb>
    <v>11</v>
  </rv>
  <rv s="6">
    <fb>20.633099999999999</fb>
    <v>11</v>
  </rv>
  <rv s="6">
    <fb>19.2805</fb>
    <v>11</v>
  </rv>
  <rv s="6">
    <fb>43693001</fb>
    <v>12</v>
  </rv>
  <rv s="6">
    <fb>19.3491</fb>
    <v>11</v>
  </rv>
  <rv s="6">
    <fb>19.9331</fb>
    <v>11</v>
  </rv>
  <rv s="6">
    <fb>20.0671</fb>
    <v>11</v>
  </rv>
  <rv s="6">
    <fb>18.8338</fb>
    <v>11</v>
  </rv>
  <rv s="6">
    <fb>31438789</fb>
    <v>12</v>
  </rv>
  <rv s="6">
    <fb>19.604800000000001</fb>
    <v>11</v>
  </rv>
  <rv s="6">
    <fb>19.4191</fb>
    <v>11</v>
  </rv>
  <rv s="6">
    <fb>19.6311</fb>
    <v>11</v>
  </rv>
  <rv s="6">
    <fb>18.4331</fb>
    <v>11</v>
  </rv>
  <rv s="6">
    <fb>23312899</fb>
    <v>12</v>
  </rv>
  <rv s="6">
    <fb>19.605799999999999</fb>
    <v>11</v>
  </rv>
  <rv s="6">
    <fb>19.573799999999999</fb>
    <v>11</v>
  </rv>
  <rv s="6">
    <fb>20.456499999999998</fb>
    <v>11</v>
  </rv>
  <rv s="6">
    <fb>18.348500000000001</fb>
    <v>11</v>
  </rv>
  <rv s="6">
    <fb>43745629</fb>
    <v>12</v>
  </rv>
  <rv s="6">
    <fb>20.070499999999999</fb>
    <v>11</v>
  </rv>
  <rv s="6">
    <fb>19.833100000000002</fb>
    <v>11</v>
  </rv>
  <rv s="6">
    <fb>20.8658</fb>
    <v>11</v>
  </rv>
  <rv s="6">
    <fb>19.677800000000001</fb>
    <v>11</v>
  </rv>
  <rv s="6">
    <fb>30666799</fb>
    <v>12</v>
  </rv>
  <rv s="6">
    <fb>18.454499999999999</fb>
    <v>11</v>
  </rv>
  <rv s="6">
    <fb>20.2211</fb>
    <v>11</v>
  </rv>
  <rv s="6">
    <fb>20.3291</fb>
    <v>11</v>
  </rv>
  <rv s="6">
    <fb>18.266500000000001</fb>
    <v>11</v>
  </rv>
  <rv s="6">
    <fb>34152495</fb>
    <v>12</v>
  </rv>
  <rv s="6">
    <fb>18.5898</fb>
    <v>11</v>
  </rv>
  <rv s="6">
    <fb>18.755099999999999</fb>
    <v>11</v>
  </rv>
  <rv s="6">
    <fb>19.432500000000001</fb>
    <v>11</v>
  </rv>
  <rv s="6">
    <fb>18.228000000000002</fb>
    <v>11</v>
  </rv>
  <rv s="6">
    <fb>32165170</fb>
    <v>12</v>
  </rv>
  <rv s="6">
    <fb>19.454499999999999</fb>
    <v>11</v>
  </rv>
  <rv s="6">
    <fb>18.5671</fb>
    <v>11</v>
  </rv>
  <rv s="6">
    <fb>19.666799999999999</fb>
    <v>11</v>
  </rv>
  <rv s="6">
    <fb>18.409800000000001</fb>
    <v>11</v>
  </rv>
  <rv s="6">
    <fb>24500433</fb>
    <v>12</v>
  </rv>
  <rv s="6">
    <fb>21.177099999999999</fb>
    <v>11</v>
  </rv>
  <rv s="6">
    <fb>19.622499999999999</fb>
    <v>11</v>
  </rv>
  <rv s="6">
    <fb>21.9998</fb>
    <v>11</v>
  </rv>
  <rv s="6">
    <fb>19.1158</fb>
    <v>11</v>
  </rv>
  <rv s="6">
    <fb>52110709</fb>
    <v>12</v>
  </rv>
  <rv s="6">
    <fb>23.877800000000001</fb>
    <v>11</v>
  </rv>
  <rv s="6">
    <fb>21.500499999999999</fb>
    <v>11</v>
  </rv>
  <rv s="6">
    <fb>24.3111</fb>
    <v>11</v>
  </rv>
  <rv s="6">
    <fb>21.4998</fb>
    <v>11</v>
  </rv>
  <rv s="6">
    <fb>66829957</fb>
    <v>12</v>
  </rv>
  <rv s="6">
    <fb>22.241800000000001</fb>
    <v>11</v>
  </rv>
  <rv s="6">
    <fb>24.915099999999999</fb>
    <v>11</v>
  </rv>
  <rv s="6">
    <fb>22.133099999999999</fb>
    <v>11</v>
  </rv>
  <rv s="6">
    <fb>51451989</fb>
    <v>12</v>
  </rv>
  <rv s="6">
    <fb>22.863099999999999</fb>
    <v>11</v>
  </rv>
  <rv s="6">
    <fb>22.0078</fb>
    <v>11</v>
  </rv>
  <rv s="6">
    <fb>23.801100000000002</fb>
    <v>11</v>
  </rv>
  <rv s="6">
    <fb>21.7197</fb>
    <v>11</v>
  </rv>
  <rv s="6">
    <fb>37607919</fb>
    <v>12</v>
  </rv>
  <rv s="6">
    <fb>20.5931</fb>
    <v>11</v>
  </rv>
  <rv s="6">
    <fb>24.0044</fb>
    <v>11</v>
  </rv>
  <rv s="6">
    <fb>24.3184</fb>
    <v>11</v>
  </rv>
  <rv s="6">
    <fb>19.747800000000002</fb>
    <v>11</v>
  </rv>
  <rv s="6">
    <fb>57384228</fb>
    <v>12</v>
  </rv>
  <rv s="6">
    <fb>21.2578</fb>
    <v>11</v>
  </rv>
  <rv s="6">
    <fb>20.799099999999999</fb>
    <v>11</v>
  </rv>
  <rv s="6">
    <fb>21.844899999999999</fb>
    <v>11</v>
  </rv>
  <rv s="6">
    <fb>20.533100000000001</fb>
    <v>11</v>
  </rv>
  <rv s="6">
    <fb>33549263</fb>
    <v>12</v>
  </rv>
  <rv s="6">
    <fb>20.905100000000001</fb>
    <v>11</v>
  </rv>
  <rv s="6">
    <fb>20.7805</fb>
    <v>11</v>
  </rv>
  <rv s="6">
    <fb>21.6998</fb>
    <v>11</v>
  </rv>
  <rv s="6">
    <fb>31520990</fb>
    <v>12</v>
  </rv>
  <rv s="6">
    <fb>19.811800000000002</fb>
    <v>11</v>
  </rv>
  <rv s="6">
    <fb>20.122499999999999</fb>
    <v>11</v>
  </rv>
  <rv s="6">
    <fb>20.713100000000001</fb>
    <v>11</v>
  </rv>
  <rv s="6">
    <fb>19.502800000000001</fb>
    <v>11</v>
  </rv>
  <rv s="6">
    <fb>38011759</fb>
    <v>12</v>
  </rv>
  <rv s="6">
    <fb>23.211099999999998</fb>
    <v>11</v>
  </rv>
  <rv s="6">
    <fb>19.726500000000001</fb>
    <v>11</v>
  </rv>
  <rv s="6">
    <fb>23.666399999999999</fb>
    <v>11</v>
  </rv>
  <rv s="6">
    <fb>19.075099999999999</fb>
    <v>11</v>
  </rv>
  <rv s="6">
    <fb>58891866</fb>
    <v>12</v>
  </rv>
  <rv s="6">
    <fb>23.0304</fb>
    <v>11</v>
  </rv>
  <rv s="6">
    <fb>25.830400000000001</fb>
    <v>11</v>
  </rv>
  <rv s="6">
    <fb>22.6098</fb>
    <v>11</v>
  </rv>
  <rv s="6">
    <fb>92747117</fb>
    <v>12</v>
  </rv>
  <rv s="6">
    <fb>20.366499999999998</fb>
    <v>11</v>
  </rv>
  <rv s="6">
    <fb>24.075099999999999</fb>
    <v>11</v>
  </rv>
  <rv s="6">
    <fb>24.212399999999999</fb>
    <v>11</v>
  </rv>
  <rv s="6">
    <fb>20.235099999999999</fb>
    <v>11</v>
  </rv>
  <rv s="6">
    <fb>51574211</fb>
    <v>12</v>
  </rv>
  <rv s="6">
    <fb>21.521100000000001</fb>
    <v>11</v>
  </rv>
  <rv s="6">
    <fb>19.4467</fb>
    <v>11</v>
  </rv>
  <rv s="6">
    <fb>21.821100000000001</fb>
    <v>11</v>
  </rv>
  <rv s="6">
    <fb>19.213100000000001</fb>
    <v>11</v>
  </rv>
  <rv s="6">
    <fb>45255397</fb>
    <v>12</v>
  </rv>
  <rv s="6">
    <fb>20.110499999999998</fb>
    <v>11</v>
  </rv>
  <rv s="6">
    <fb>21.1998</fb>
    <v>11</v>
  </rv>
  <rv s="6">
    <fb>21.4955</fb>
    <v>11</v>
  </rv>
  <rv s="6">
    <fb>19.847799999999999</fb>
    <v>11</v>
  </rv>
  <rv s="6">
    <fb>40767581</fb>
    <v>12</v>
  </rv>
  <rv s="6">
    <fb>17.549199999999999</fb>
    <v>11</v>
  </rv>
  <rv s="6">
    <fb>19.7958</fb>
    <v>11</v>
  </rv>
  <rv s="6">
    <fb>19.879100000000001</fb>
    <v>11</v>
  </rv>
  <rv s="6">
    <fb>16.816800000000001</fb>
    <v>11</v>
  </rv>
  <rv s="6">
    <fb>46043981</fb>
    <v>12</v>
  </rv>
  <rv s="6">
    <fb>19.6798</fb>
    <v>11</v>
  </rv>
  <rv s="6">
    <fb>18.217199999999998</fb>
    <v>11</v>
  </rv>
  <rv s="6">
    <fb>19.8215</fb>
    <v>11</v>
  </rv>
  <rv s="6">
    <fb>46574892</fb>
    <v>12</v>
  </rv>
  <rv s="6">
    <fb>19.939800000000002</fb>
    <v>11</v>
  </rv>
  <rv s="6">
    <fb>19.335799999999999</fb>
    <v>11</v>
  </rv>
  <rv s="6">
    <fb>20.398499999999999</fb>
    <v>11</v>
  </rv>
  <rv s="6">
    <fb>18.366499999999998</fb>
    <v>11</v>
  </rv>
  <rv s="6">
    <fb>44129916</fb>
    <v>12</v>
  </rv>
  <rv s="6">
    <fb>17.651199999999999</fb>
    <v>11</v>
  </rv>
  <rv s="6">
    <fb>19.898499999999999</fb>
    <v>11</v>
  </rv>
  <rv s="6">
    <fb>20.9971</fb>
    <v>11</v>
  </rv>
  <rv s="6">
    <fb>17.370200000000001</fb>
    <v>11</v>
  </rv>
  <rv s="6">
    <fb>59326684</fb>
    <v>12</v>
  </rv>
  <rv s="6">
    <fb>20.384499999999999</fb>
    <v>11</v>
  </rv>
  <rv s="6">
    <fb>21.122499999999999</fb>
    <v>11</v>
  </rv>
  <rv s="6">
    <fb>17.333200000000001</fb>
    <v>11</v>
  </rv>
  <rv s="6">
    <fb>69274845</fb>
    <v>12</v>
  </rv>
  <rv s="6">
    <fb>17.251799999999999</fb>
    <v>11</v>
  </rv>
  <rv s="6">
    <fb>17.634499999999999</fb>
    <v>11</v>
  </rv>
  <rv s="6">
    <fb>17.8505</fb>
    <v>11</v>
  </rv>
  <rv s="6">
    <fb>16.517800000000001</fb>
    <v>11</v>
  </rv>
  <rv s="6">
    <fb>53717647</fb>
    <v>12</v>
  </rv>
  <rv s="6">
    <fb>17.270499999999998</fb>
    <v>11</v>
  </rv>
  <rv s="6">
    <fb>18.846499999999999</fb>
    <v>11</v>
  </rv>
  <rv s="6">
    <fb>16.899799999999999</fb>
    <v>11</v>
  </rv>
  <rv s="6">
    <fb>39178641</fb>
    <v>12</v>
  </rv>
  <rv s="6">
    <fb>22.059799999999999</fb>
    <v>11</v>
  </rv>
  <rv s="6">
    <fb>17.378499999999999</fb>
    <v>11</v>
  </rv>
  <rv s="6">
    <fb>22.659800000000001</fb>
    <v>11</v>
  </rv>
  <rv s="6">
    <fb>16.839200000000002</fb>
    <v>11</v>
  </rv>
  <rv s="6">
    <fb>92856019</fb>
    <v>12</v>
  </rv>
  <rv s="6">
    <fb>23.093800000000002</fb>
    <v>11</v>
  </rv>
  <rv s="6">
    <fb>22.497800000000002</fb>
    <v>11</v>
  </rv>
  <rv s="6">
    <fb>23.279800000000002</fb>
    <v>11</v>
  </rv>
  <rv s="6">
    <fb>21.483799999999999</fb>
    <v>11</v>
  </rv>
  <rv s="6">
    <fb>47023565</fb>
    <v>12</v>
  </rv>
  <rv s="6">
    <fb>23.367100000000001</fb>
    <v>11</v>
  </rv>
  <rv s="6">
    <fb>22.6998</fb>
    <v>11</v>
  </rv>
  <rv s="6">
    <fb>23.838100000000001</fb>
    <v>11</v>
  </rv>
  <rv s="6">
    <fb>22.0091</fb>
    <v>11</v>
  </rv>
  <rv s="6">
    <fb>34148947</fb>
    <v>12</v>
  </rv>
  <rv s="6">
    <fb>23.6204</fb>
    <v>11</v>
  </rv>
  <rv s="6">
    <fb>23.224399999999999</fb>
    <v>11</v>
  </rv>
  <rv s="6">
    <fb>23.713100000000001</fb>
    <v>11</v>
  </rv>
  <rv s="6">
    <fb>22.022400000000001</fb>
    <v>11</v>
  </rv>
  <rv s="6">
    <fb>29186890</fb>
    <v>12</v>
  </rv>
  <rv s="6">
    <fb>21.721800000000002</fb>
    <v>11</v>
  </rv>
  <rv s="6">
    <fb>23.755800000000001</fb>
    <v>11</v>
  </rv>
  <rv s="6">
    <fb>24.4498</fb>
    <v>11</v>
  </rv>
  <rv s="6">
    <fb>21.703099999999999</fb>
    <v>11</v>
  </rv>
  <rv s="6">
    <fb>26546835</fb>
    <v>12</v>
  </rv>
  <rv s="6">
    <fb>23.365100000000002</fb>
    <v>11</v>
  </rv>
  <rv s="6">
    <fb>21.666499999999999</fb>
    <v>11</v>
  </rv>
  <rv s="6">
    <fb>23.439800000000002</fb>
    <v>11</v>
  </rv>
  <rv s="6">
    <fb>27161339</fb>
    <v>12</v>
  </rv>
  <rv s="6">
    <fb>23.864100000000001</fb>
    <v>11</v>
  </rv>
  <rv s="6">
    <fb>23.9998</fb>
    <v>11</v>
  </rv>
  <rv s="6">
    <fb>25.299099999999999</fb>
    <v>11</v>
  </rv>
  <rv s="6">
    <fb>23.383800000000001</fb>
    <v>11</v>
  </rv>
  <rv s="6">
    <fb>36052839</fb>
    <v>12</v>
  </rv>
  <rv s="6">
    <fb>24.380400000000002</fb>
    <v>11</v>
  </rv>
  <rv s="6">
    <fb>25.191099999999999</fb>
    <v>11</v>
  </rv>
  <rv s="6">
    <fb>23.5411</fb>
    <v>11</v>
  </rv>
  <rv s="6">
    <fb>31610772</fb>
    <v>12</v>
  </rv>
  <rv s="6">
    <fb>21.317799999999998</fb>
    <v>11</v>
  </rv>
  <rv s="6">
    <fb>24.133099999999999</fb>
    <v>11</v>
  </rv>
  <rv s="6">
    <fb>24.379799999999999</fb>
    <v>11</v>
  </rv>
  <rv s="6">
    <fb>20.7911</fb>
    <v>11</v>
  </rv>
  <rv s="6">
    <fb>40113501</fb>
    <v>12</v>
  </rv>
  <rv s="6">
    <fb>22.2578</fb>
    <v>11</v>
  </rv>
  <rv s="6">
    <fb>20.899799999999999</fb>
    <v>11</v>
  </rv>
  <rv s="6">
    <fb>22.415800000000001</fb>
    <v>11</v>
  </rv>
  <rv s="6">
    <fb>32237176</fb>
    <v>12</v>
  </rv>
  <rv s="6">
    <fb>21.179099999999998</fb>
    <v>11</v>
  </rv>
  <rv s="6">
    <fb>22.519100000000002</fb>
    <v>11</v>
  </rv>
  <rv s="6">
    <fb>22.613800000000001</fb>
    <v>11</v>
  </rv>
  <rv s="6">
    <fb>19.825099999999999</fb>
    <v>11</v>
  </rv>
  <rv s="6">
    <fb>32214551</fb>
    <v>12</v>
  </rv>
  <rv s="6">
    <fb>23.150400000000001</fb>
    <v>11</v>
  </rv>
  <rv s="6">
    <fb>21.447800000000001</fb>
    <v>11</v>
  </rv>
  <rv s="6">
    <fb>23.2271</fb>
    <v>11</v>
  </rv>
  <rv s="6">
    <fb>21.183199999999999</fb>
    <v>11</v>
  </rv>
  <rv s="6">
    <fb>31052966</fb>
    <v>12</v>
  </rv>
  <rv s="6">
    <fb>20.150500000000001</fb>
    <v>11</v>
  </rv>
  <rv s="6">
    <fb>22.825099999999999</fb>
    <v>11</v>
  </rv>
  <rv s="6">
    <fb>23.4664</fb>
    <v>11</v>
  </rv>
  <rv s="6">
    <fb>19.9818</fb>
    <v>11</v>
  </rv>
  <rv s="6">
    <fb>43774028</fb>
    <v>12</v>
  </rv>
  <rv s="6">
    <fb>19.802499999999998</fb>
    <v>11</v>
  </rv>
  <rv s="6">
    <fb>20.321100000000001</fb>
    <v>11</v>
  </rv>
  <rv s="6">
    <fb>18.6187</fb>
    <v>11</v>
  </rv>
  <rv s="6">
    <fb>39613907</fb>
    <v>12</v>
  </rv>
  <rv s="6">
    <fb>20.813800000000001</fb>
    <v>11</v>
  </rv>
  <rv s="6">
    <fb>19.527100000000001</fb>
    <v>11</v>
  </rv>
  <rv s="6">
    <fb>21.0731</fb>
    <v>11</v>
  </rv>
  <rv s="6">
    <fb>19.1831</fb>
    <v>11</v>
  </rv>
  <rv s="6">
    <fb>42073110</fb>
    <v>12</v>
  </rv>
  <rv s="6">
    <fb>20.386500000000002</fb>
    <v>11</v>
  </rv>
  <rv s="6">
    <fb>21.6158</fb>
    <v>11</v>
  </rv>
  <rv s="6">
    <fb>19.899799999999999</fb>
    <v>11</v>
  </rv>
  <rv s="6">
    <fb>31432273</fb>
    <v>12</v>
  </rv>
  <rv s="6">
    <fb>20.525099999999998</fb>
    <v>11</v>
  </rv>
  <rv s="6">
    <fb>20.773099999999999</fb>
    <v>11</v>
  </rv>
  <rv s="6">
    <fb>21.239799999999999</fb>
    <v>11</v>
  </rv>
  <rv s="6">
    <fb>20.066500000000001</fb>
    <v>11</v>
  </rv>
  <rv s="6">
    <fb>26744209</fb>
    <v>12</v>
  </rv>
  <rv s="6">
    <fb>19.647099999999998</fb>
    <v>11</v>
  </rv>
  <rv s="6">
    <fb>20.437100000000001</fb>
    <v>11</v>
  </rv>
  <rv s="6">
    <fb>20.769400000000001</fb>
    <v>11</v>
  </rv>
  <rv s="6">
    <fb>19.366499999999998</fb>
    <v>11</v>
  </rv>
  <rv s="6">
    <fb>25960300</fb>
    <v>12</v>
  </rv>
  <rv s="6">
    <fb>19.6525</fb>
    <v>11</v>
  </rv>
  <rv s="6">
    <fb>19.860499999999998</fb>
    <v>11</v>
  </rv>
  <rv s="6">
    <fb>19.251100000000001</fb>
    <v>11</v>
  </rv>
  <rv s="6">
    <fb>59824993</fb>
    <v>12</v>
  </rv>
  <rv s="6">
    <fb>18.942499999999999</fb>
    <v>11</v>
  </rv>
  <rv s="6">
    <fb>19.874500000000001</fb>
    <v>11</v>
  </rv>
  <rv s="6">
    <fb>18.006499999999999</fb>
    <v>11</v>
  </rv>
  <rv s="6">
    <fb>64459151</fb>
    <v>12</v>
  </rv>
  <rv s="6">
    <fb>18.361799999999999</fb>
    <v>11</v>
  </rv>
  <rv s="6">
    <fb>18.9011</fb>
    <v>11</v>
  </rv>
  <rv s="6">
    <fb>19.692499999999999</fb>
    <v>11</v>
  </rv>
  <rv s="6">
    <fb>18.293199999999999</fb>
    <v>11</v>
  </rv>
  <rv s="6">
    <fb>43630112</fb>
    <v>12</v>
  </rv>
  <rv s="6">
    <fb>17.635200000000001</fb>
    <v>11</v>
  </rv>
  <rv s="6">
    <fb>18.399799999999999</fb>
    <v>11</v>
  </rv>
  <rv s="6">
    <fb>18.5365</fb>
    <v>11</v>
  </rv>
  <rv s="6">
    <fb>17.563800000000001</fb>
    <v>11</v>
  </rv>
  <rv s="6">
    <fb>43682541</fb>
    <v>12</v>
  </rv>
  <rv s="6">
    <fb>18.6571</fb>
    <v>11</v>
  </rv>
  <rv s="6">
    <fb>17.313800000000001</fb>
    <v>11</v>
  </rv>
  <rv s="6">
    <fb>18.688500000000001</fb>
    <v>11</v>
  </rv>
  <rv s="6">
    <fb>16.963799999999999</fb>
    <v>11</v>
  </rv>
  <rv s="6">
    <fb>39110574</fb>
    <v>12</v>
  </rv>
  <rv s="6">
    <fb>18.330500000000001</fb>
    <v>11</v>
  </rv>
  <rv s="6">
    <fb>18.841100000000001</fb>
    <v>11</v>
  </rv>
  <rv s="6">
    <fb>19.744499999999999</fb>
    <v>11</v>
  </rv>
  <rv s="6">
    <fb>17.372499999999999</fb>
    <v>11</v>
  </rv>
  <rv s="6">
    <fb>58278229</fb>
    <v>12</v>
  </rv>
  <rv s="6">
    <fb>17.846499999999999</fb>
    <v>11</v>
  </rv>
  <rv s="6">
    <fb>18.512499999999999</fb>
    <v>11</v>
  </rv>
  <rv s="6">
    <fb>18.7438</fb>
    <v>11</v>
  </rv>
  <rv s="6">
    <fb>17.706499999999998</fb>
    <v>11</v>
  </rv>
  <rv s="6">
    <fb>39957682</fb>
    <v>12</v>
  </rv>
  <rv s="6">
    <fb>17.9085</fb>
    <v>11</v>
  </rv>
  <rv s="6">
    <fb>17.241800000000001</fb>
    <v>11</v>
  </rv>
  <rv s="6">
    <fb>28314302</fb>
    <v>12</v>
  </rv>
  <rv s="6">
    <fb>15.675800000000001</fb>
    <v>11</v>
  </rv>
  <rv s="6">
    <fb>17.933199999999999</fb>
    <v>11</v>
  </rv>
  <rv s="6">
    <fb>17.9785</fb>
    <v>11</v>
  </rv>
  <rv s="6">
    <fb>15.4085</fb>
    <v>11</v>
  </rv>
  <rv s="6">
    <fb>78028556</fb>
    <v>12</v>
  </rv>
  <rv s="6">
    <fb>17.001799999999999</fb>
    <v>11</v>
  </rv>
  <rv s="6">
    <fb>15.723800000000001</fb>
    <v>11</v>
  </rv>
  <rv s="6">
    <fb>17.107199999999999</fb>
    <v>11</v>
  </rv>
  <rv s="6">
    <fb>15.433199999999999</fb>
    <v>11</v>
  </rv>
  <rv s="6">
    <fb>78749568</fb>
    <v>12</v>
  </rv>
  <rv s="6">
    <fb>15.9678</fb>
    <v>11</v>
  </rv>
  <rv s="6">
    <fb>16.6678</fb>
    <v>11</v>
  </rv>
  <rv s="6">
    <fb>17.223199999999999</fb>
    <v>11</v>
  </rv>
  <rv s="6">
    <fb>15.734500000000001</fb>
    <v>11</v>
  </rv>
  <rv s="6">
    <fb>40861509</fb>
    <v>12</v>
  </rv>
  <rv s="6">
    <fb>14.0685</fb>
    <v>11</v>
  </rv>
  <rv s="6">
    <fb>15.4672</fb>
    <v>11</v>
  </rv>
  <rv s="6">
    <fb>15.6332</fb>
    <v>11</v>
  </rv>
  <rv s="6">
    <fb>50653123</fb>
    <v>12</v>
  </rv>
  <rv s="6">
    <fb>12.708500000000001</fb>
    <v>11</v>
  </rv>
  <rv s="6">
    <fb>13.5199</fb>
    <v>11</v>
  </rv>
  <rv s="6">
    <fb>13.826499999999999</fb>
    <v>11</v>
  </rv>
  <rv s="6">
    <fb>12.4145</fb>
    <v>11</v>
  </rv>
  <rv s="6">
    <fb>97898995</fb>
    <v>12</v>
  </rv>
  <rv s="6">
    <fb>12.3439</fb>
    <v>11</v>
  </rv>
  <rv s="6">
    <fb>12.273199999999999</fb>
    <v>11</v>
  </rv>
  <rv s="6">
    <fb>40614746</fb>
    <v>12</v>
  </rv>
  <rv s="6">
    <fb>13.6332</fb>
    <v>11</v>
  </rv>
  <rv s="6">
    <fb>12.3672</fb>
    <v>11</v>
  </rv>
  <rv s="6">
    <fb>11.799300000000001</fb>
    <v>11</v>
  </rv>
  <rv s="6">
    <fb>76628366</fb>
    <v>12</v>
  </rv>
  <rv s="6">
    <fb>14.3279</fb>
    <v>11</v>
  </rv>
  <rv s="6">
    <fb>14.016500000000001</fb>
    <v>11</v>
  </rv>
  <rv s="6">
    <fb>14.8919</fb>
    <v>11</v>
  </rv>
  <rv s="6">
    <fb>13.8339</fb>
    <v>11</v>
  </rv>
  <rv s="6">
    <fb>53037782</fb>
    <v>12</v>
  </rv>
  <rv s="6">
    <fb>14.7905</fb>
    <v>11</v>
  </rv>
  <rv s="6">
    <fb>14.3652</fb>
    <v>11</v>
  </rv>
  <rv s="6">
    <fb>15.6492</fb>
    <v>11</v>
  </rv>
  <rv s="6">
    <fb>14.2845</fb>
    <v>11</v>
  </rv>
  <rv s="6">
    <fb>51673266</fb>
    <v>12</v>
  </rv>
  <rv s="6">
    <fb>14.8972</fb>
    <v>11</v>
  </rv>
  <rv s="6">
    <fb>14.8825</fb>
    <v>11</v>
  </rv>
  <rv s="6">
    <fb>15.1485</fb>
    <v>11</v>
  </rv>
  <rv s="6">
    <fb>33631144</fb>
    <v>12</v>
  </rv>
  <rv s="6">
    <fb>15.5398</fb>
    <v>11</v>
  </rv>
  <rv s="6">
    <fb>15.347200000000001</fb>
    <v>11</v>
  </rv>
  <rv s="6">
    <fb>16.104500000000002</fb>
    <v>11</v>
  </rv>
  <rv s="6">
    <fb>14.814500000000001</fb>
    <v>11</v>
  </rv>
  <rv s="6">
    <fb>38763877</fb>
    <v>12</v>
  </rv>
  <rv s="6">
    <fb>16.3385</fb>
    <v>11</v>
  </rv>
  <rv s="6">
    <fb>15.415800000000001</fb>
    <v>11</v>
  </rv>
  <rv s="6">
    <fb>16.358499999999999</fb>
    <v>11</v>
  </rv>
  <rv s="6">
    <fb>15.1518</fb>
    <v>11</v>
  </rv>
  <rv s="6">
    <fb>37932064</fb>
    <v>12</v>
  </rv>
  <rv s="6">
    <fb>17.2118</fb>
    <v>11</v>
  </rv>
  <rv s="6">
    <fb>16.533200000000001</fb>
    <v>11</v>
  </rv>
  <rv s="6">
    <fb>17.330500000000001</fb>
    <v>11</v>
  </rv>
  <rv s="6">
    <fb>16.323799999999999</fb>
    <v>11</v>
  </rv>
  <rv s="6">
    <fb>40726701</fb>
    <v>12</v>
  </rv>
  <rv s="6">
    <fb>15.202500000000001</fb>
    <v>11</v>
  </rv>
  <rv s="6">
    <fb>17.7378</fb>
    <v>11</v>
  </rv>
  <rv s="6">
    <fb>14.8165</fb>
    <v>11</v>
  </rv>
  <rv s="6">
    <fb>55388178</fb>
    <v>12</v>
  </rv>
  <rv s="6">
    <fb>15.6225</fb>
    <v>11</v>
  </rv>
  <rv s="6">
    <fb>15.139200000000001</fb>
    <v>11</v>
  </rv>
  <rv s="6">
    <fb>16.4452</fb>
    <v>11</v>
  </rv>
  <rv s="6">
    <fb>15.0687</fb>
    <v>11</v>
  </rv>
  <rv s="6">
    <fb>40956550</fb>
    <v>12</v>
  </rv>
  <rv s="6">
    <fb>15.667199999999999</fb>
    <v>11</v>
  </rv>
  <rv s="6">
    <fb>15.3065</fb>
    <v>11</v>
  </rv>
  <rv s="6">
    <fb>15.986499999999999</fb>
    <v>11</v>
  </rv>
  <rv s="6">
    <fb>15.049799999999999</fb>
    <v>11</v>
  </rv>
  <rv s="6">
    <fb>26541572</fb>
    <v>12</v>
  </rv>
  <rv s="6">
    <fb>14.6625</fb>
    <v>11</v>
  </rv>
  <rv s="6">
    <fb>15.7332</fb>
    <v>11</v>
  </rv>
  <rv s="6">
    <fb>14.103199999999999</fb>
    <v>11</v>
  </rv>
  <rv s="6">
    <fb>32534854</fb>
    <v>12</v>
  </rv>
  <rv s="6">
    <fb>14.0932</fb>
    <v>11</v>
  </rv>
  <rv s="6">
    <fb>14.9472</fb>
    <v>11</v>
  </rv>
  <rv s="6">
    <fb>15.272500000000001</fb>
    <v>11</v>
  </rv>
  <rv s="6">
    <fb>32406687</fb>
    <v>12</v>
  </rv>
  <rv s="6">
    <fb>14.2399</fb>
    <v>11</v>
  </rv>
  <rv s="6">
    <fb>15.495799999999999</fb>
    <v>11</v>
  </rv>
  <rv s="6">
    <fb>14.102499999999999</fb>
    <v>11</v>
  </rv>
  <rv s="6">
    <fb>28224645</fb>
    <v>12</v>
  </rv>
  <rv s="6">
    <fb>15.1632</fb>
    <v>11</v>
  </rv>
  <rv s="6">
    <fb>14.938499999999999</fb>
    <v>11</v>
  </rv>
  <rv s="6">
    <fb>14.6135</fb>
    <v>11</v>
  </rv>
  <rv s="6">
    <fb>22721936</fb>
    <v>12</v>
  </rv>
  <rv s="6">
    <fb>16.346499999999999</fb>
    <v>11</v>
  </rv>
  <rv s="6">
    <fb>15.3332</fb>
    <v>11</v>
  </rv>
  <rv s="6">
    <fb>15.262499999999999</fb>
    <v>11</v>
  </rv>
  <rv s="6">
    <fb>33623515</fb>
    <v>12</v>
  </rv>
  <rv s="6">
    <fb>16.0412</fb>
    <v>11</v>
  </rv>
  <rv s="6">
    <fb>16.399799999999999</fb>
    <v>11</v>
  </rv>
  <rv s="6">
    <fb>16.5444</fb>
    <v>11</v>
  </rv>
  <rv s="6">
    <fb>15.8772</fb>
    <v>11</v>
  </rv>
  <rv s="6">
    <fb>24292507</fb>
    <v>12</v>
  </rv>
  <rv s="6">
    <fb>16.1418</fb>
    <v>11</v>
  </rv>
  <rv s="6">
    <fb>16.580500000000001</fb>
    <v>11</v>
  </rv>
  <rv s="6">
    <fb>49978992</fb>
    <v>12</v>
  </rv>
  <rv s="6">
    <fb>15.4285</fb>
    <v>11</v>
  </rv>
  <rv s="6">
    <fb>16.3965</fb>
    <v>11</v>
  </rv>
  <rv s="6">
    <fb>14.9519</fb>
    <v>11</v>
  </rv>
  <rv s="6">
    <fb>41557942</fb>
    <v>12</v>
  </rv>
  <rv s="6">
    <fb>16.5258</fb>
    <v>11</v>
  </rv>
  <rv s="6">
    <fb>16.738499999999998</fb>
    <v>11</v>
  </rv>
  <rv s="6">
    <fb>15.236499999999999</fb>
    <v>11</v>
  </rv>
  <rv s="6">
    <fb>38513111</fb>
    <v>12</v>
  </rv>
  <rv s="6">
    <fb>17.129799999999999</fb>
    <v>11</v>
  </rv>
  <rv s="6">
    <fb>17.651800000000001</fb>
    <v>11</v>
  </rv>
  <rv s="6">
    <fb>16.475200000000001</fb>
    <v>11</v>
  </rv>
  <rv s="6">
    <fb>33943331</fb>
    <v>12</v>
  </rv>
  <rv s="6">
    <fb>21.8751</fb>
    <v>11</v>
  </rv>
  <rv s="6">
    <fb>17.221800000000002</fb>
    <v>11</v>
  </rv>
  <rv s="6">
    <fb>16.6785</fb>
    <v>11</v>
  </rv>
  <rv s="6">
    <fb>80774700</fb>
    <v>12</v>
  </rv>
  <rv s="6">
    <fb>20.8871</fb>
    <v>11</v>
  </rv>
  <rv s="6">
    <fb>21.835799999999999</fb>
    <v>11</v>
  </rv>
  <rv s="6">
    <fb>22.7224</fb>
    <v>11</v>
  </rv>
  <rv s="6">
    <fb>20.653099999999998</fb>
    <v>11</v>
  </rv>
  <rv s="6">
    <fb>52647248</fb>
    <v>12</v>
  </rv>
  <rv s="6">
    <fb>22.4758</fb>
    <v>11</v>
  </rv>
  <rv s="6">
    <fb>22.766400000000001</fb>
    <v>11</v>
  </rv>
  <rv s="6">
    <fb>20.617100000000001</fb>
    <v>11</v>
  </rv>
  <rv s="6">
    <fb>44194264</fb>
    <v>12</v>
  </rv>
  <rv s="6">
    <fb>23.477799999999998</fb>
    <v>11</v>
  </rv>
  <rv s="6">
    <fb>22.9298</fb>
    <v>11</v>
  </rv>
  <rv s="6">
    <fb>23.755099999999999</fb>
    <v>11</v>
  </rv>
  <rv s="6">
    <fb>22.799800000000001</fb>
    <v>11</v>
  </rv>
  <rv s="6">
    <fb>37105201</fb>
    <v>12</v>
  </rv>
  <rv s="6">
    <fb>22.202400000000001</fb>
    <v>11</v>
  </rv>
  <rv s="6">
    <fb>23.5275</fb>
    <v>11</v>
  </rv>
  <rv s="6">
    <fb>24.079799999999999</fb>
    <v>11</v>
  </rv>
  <rv s="6">
    <fb>41859203</fb>
    <v>12</v>
  </rv>
  <rv s="6">
    <fb>21.995799999999999</fb>
    <v>11</v>
  </rv>
  <rv s="6">
    <fb>22.9544</fb>
    <v>11</v>
  </rv>
  <rv s="6">
    <fb>22.9711</fb>
    <v>11</v>
  </rv>
  <rv s="6">
    <fb>21.8064</fb>
    <v>11</v>
  </rv>
  <rv s="6">
    <fb>28330931</fb>
    <v>12</v>
  </rv>
  <rv s="6">
    <fb>22.392399999999999</fb>
    <v>11</v>
  </rv>
  <rv s="6">
    <fb>21.959800000000001</fb>
    <v>11</v>
  </rv>
  <rv s="6">
    <fb>22.590399999999999</fb>
    <v>11</v>
  </rv>
  <rv s="6">
    <fb>21.816400000000002</fb>
    <v>11</v>
  </rv>
  <rv s="6">
    <fb>29490126</fb>
    <v>12</v>
  </rv>
  <rv s="6">
    <fb>23.892399999999999</fb>
    <v>11</v>
  </rv>
  <rv s="6">
    <fb>22.4391</fb>
    <v>11</v>
  </rv>
  <rv s="6">
    <fb>24.347100000000001</fb>
    <v>11</v>
  </rv>
  <rv s="6">
    <fb>22.3384</fb>
    <v>11</v>
  </rv>
  <rv s="6">
    <fb>38886689</fb>
    <v>12</v>
  </rv>
  <rv s="6">
    <fb>27.039100000000001</fb>
    <v>11</v>
  </rv>
  <rv s="6">
    <fb>24.169799999999999</fb>
    <v>11</v>
  </rv>
  <rv s="6">
    <fb>27.533100000000001</fb>
    <v>11</v>
  </rv>
  <rv s="6">
    <fb>24.166399999999999</fb>
    <v>11</v>
  </rv>
  <rv s="6">
    <fb>73766620</fb>
    <v>12</v>
  </rv>
  <rv s="6">
    <fb>28.691700000000001</fb>
    <v>11</v>
  </rv>
  <rv s="6">
    <fb>27.451699999999999</fb>
    <v>11</v>
  </rv>
  <rv s="6">
    <fb>29.020399999999999</fb>
    <v>11</v>
  </rv>
  <rv s="6">
    <fb>27.333100000000002</fb>
    <v>11</v>
  </rv>
  <rv s="6">
    <fb>41992657</fb>
    <v>12</v>
  </rv>
  <rv s="6">
    <fb>29.5337</fb>
    <v>11</v>
  </rv>
  <rv s="6">
    <fb>28.585699999999999</fb>
    <v>11</v>
  </rv>
  <rv s="6">
    <fb>30.266400000000001</fb>
    <v>11</v>
  </rv>
  <rv s="6">
    <fb>26.805099999999999</fb>
    <v>11</v>
  </rv>
  <rv s="6">
    <fb>50050101</fb>
    <v>12</v>
  </rv>
  <rv s="6">
    <fb>31.876300000000001</fb>
    <v>11</v>
  </rv>
  <rv s="6">
    <fb>29.3644</fb>
    <v>11</v>
  </rv>
  <rv s="6">
    <fb>33.253</fb>
    <v>11</v>
  </rv>
  <rv s="6">
    <fb>29.332999999999998</fb>
    <v>11</v>
  </rv>
  <rv s="6">
    <fb>100934936</fb>
    <v>12</v>
  </rv>
  <rv s="6">
    <fb>34.033000000000001</fb>
    <v>11</v>
  </rv>
  <rv s="6">
    <fb>32.899700000000003</fb>
    <v>11</v>
  </rv>
  <rv s="6">
    <fb>36.493600000000001</fb>
    <v>11</v>
  </rv>
  <rv s="6">
    <fb>32.799700000000001</fb>
    <v>11</v>
  </rv>
  <rv s="6">
    <fb>108201325</fb>
    <v>12</v>
  </rv>
  <rv s="6">
    <fb>37.654299999999999</fb>
    <v>11</v>
  </rv>
  <rv s="6">
    <fb>35.349600000000002</fb>
    <v>11</v>
  </rv>
  <rv s="6">
    <fb>39.632899999999999</fb>
    <v>11</v>
  </rv>
  <rv s="6">
    <fb>35.226999999999997</fb>
    <v>11</v>
  </rv>
  <rv s="6">
    <fb>82681673</fb>
    <v>12</v>
  </rv>
  <rv s="6">
    <fb>43.370899999999999</fb>
    <v>11</v>
  </rv>
  <rv s="6">
    <fb>36.132300000000001</fb>
    <v>11</v>
  </rv>
  <rv s="6">
    <fb>43.532899999999998</fb>
    <v>11</v>
  </rv>
  <rv s="6">
    <fb>35.951599999999999</fb>
    <v>11</v>
  </rv>
  <rv s="6">
    <fb>84458519</fb>
    <v>12</v>
  </rv>
  <rv s="6">
    <fb>49.870800000000003</fb>
    <v>11</v>
  </rv>
  <rv s="6">
    <fb>44.912199999999999</fb>
    <v>11</v>
  </rv>
  <rv s="6">
    <fb>64.598699999999994</fb>
    <v>11</v>
  </rv>
  <rv s="6">
    <fb>44.9009</fb>
    <v>11</v>
  </rv>
  <rv s="6">
    <fb>213375229</fb>
    <v>12</v>
  </rv>
  <rv s="6">
    <fb>53.334800000000001</fb>
    <v>11</v>
  </rv>
  <rv s="6">
    <fb>53.332799999999999</fb>
    <v>11</v>
  </rv>
  <rv s="6">
    <fb>54.665500000000002</fb>
    <v>11</v>
  </rv>
  <rv s="6">
    <fb>48.999499999999998</fb>
    <v>11</v>
  </rv>
  <rv s="6">
    <fb>90329909</fb>
    <v>12</v>
  </rv>
  <rv s="6">
    <fb>60.066099999999999</fb>
    <v>11</v>
  </rv>
  <rv s="6">
    <fb>56.106099999999998</fb>
    <v>11</v>
  </rv>
  <rv s="6">
    <fb>62.984699999999997</fb>
    <v>11</v>
  </rv>
  <rv s="6">
    <fb>55.490099999999998</fb>
    <v>11</v>
  </rv>
  <rv s="6">
    <fb>73989439</fb>
    <v>12</v>
  </rv>
  <rv s="6">
    <fb>44.532200000000003</fb>
    <v>11</v>
  </rv>
  <rv s="6">
    <fb>55.9328</fb>
    <v>11</v>
  </rv>
  <rv s="6">
    <fb>57.566099999999999</fb>
    <v>11</v>
  </rv>
  <rv s="6">
    <fb>40.767600000000002</fb>
    <v>11</v>
  </rv>
  <rv s="6">
    <fb>94964298</fb>
    <v>12</v>
  </rv>
  <rv s="6">
    <fb>46.898200000000003</fb>
    <v>11</v>
  </rv>
  <rv s="6">
    <fb>47.416899999999998</fb>
    <v>11</v>
  </rv>
  <rv s="6">
    <fb>53.798099999999998</fb>
    <v>11</v>
  </rv>
  <rv s="6">
    <fb>45.6175</fb>
    <v>11</v>
  </rv>
  <rv s="6">
    <fb>84405334</fb>
    <v>12</v>
  </rv>
  <rv s="6">
    <fb>36.441000000000003</fb>
    <v>11</v>
  </rv>
  <rv s="6">
    <fb>40.358899999999998</fb>
    <v>11</v>
  </rv>
  <rv s="6">
    <fb>44.532899999999998</fb>
    <v>11</v>
  </rv>
  <rv s="6">
    <fb>33.466299999999997</fb>
    <v>11</v>
  </rv>
  <rv s="6">
    <fb>87451961</fb>
    <v>12</v>
  </rv>
  <rv s="6">
    <fb>28.5017</fb>
    <v>11</v>
  </rv>
  <rv s="6">
    <fb>31.299700000000001</fb>
    <v>11</v>
  </rv>
  <rv s="6">
    <fb>32.991</fb>
    <v>11</v>
  </rv>
  <rv s="6">
    <fb>126616110</fb>
    <v>12</v>
  </rv>
  <rv s="6">
    <fb>34.290300000000002</fb>
    <v>11</v>
  </rv>
  <rv s="6">
    <fb>28.906400000000001</fb>
    <v>11</v>
  </rv>
  <rv s="6">
    <fb>37.332999999999998</fb>
    <v>11</v>
  </rv>
  <rv s="6">
    <fb>27.366399999999999</fb>
    <v>11</v>
  </rv>
  <rv s="6">
    <fb>92371954</fb>
    <v>12</v>
  </rv>
  <rv s="6">
    <fb>32.000300000000003</fb>
    <v>11</v>
  </rv>
  <rv s="6">
    <fb>34.017000000000003</fb>
    <v>11</v>
  </rv>
  <rv s="6">
    <fb>36.197000000000003</fb>
    <v>11</v>
  </rv>
  <rv s="6">
    <fb>29.759699999999999</fb>
    <v>11</v>
  </rv>
  <rv s="6">
    <fb>85313847</fb>
    <v>12</v>
  </rv>
  <rv s="6">
    <fb>38.199599999999997</fb>
    <v>11</v>
  </rv>
  <rv s="6">
    <fb>34.079700000000003</fb>
    <v>11</v>
  </rv>
  <rv s="6">
    <fb>38.345100000000002</fb>
    <v>11</v>
  </rv>
  <rv s="6">
    <fb>33.197000000000003</fb>
    <v>11</v>
  </rv>
  <rv s="6">
    <fb>59051028</fb>
    <v>12</v>
  </rv>
  <rv s="6">
    <fb>50.258800000000001</fb>
    <v>11</v>
  </rv>
  <rv s="6">
    <fb>39.343600000000002</fb>
    <v>11</v>
  </rv>
  <rv s="6">
    <fb>51.662799999999997</fb>
    <v>11</v>
  </rv>
  <rv s="6">
    <fb>38.701599999999999</fb>
    <v>11</v>
  </rv>
  <rv s="6">
    <fb>109420132</fb>
    <v>12</v>
  </rv>
  <rv s="6">
    <fb>48.342799999999997</fb>
    <v>11</v>
  </rv>
  <rv s="6">
    <fb>48.846200000000003</fb>
    <v>11</v>
  </rv>
  <rv s="6">
    <fb>44.918900000000001</fb>
    <v>11</v>
  </rv>
  <rv s="6">
    <fb>74817054</fb>
    <v>12</v>
  </rv>
  <rv s="6">
    <fb>46.754199999999997</fb>
    <v>11</v>
  </rv>
  <rv s="6">
    <fb>49.173499999999997</fb>
    <v>11</v>
  </rv>
  <rv s="6">
    <fb>57.987400000000001</fb>
    <v>11</v>
  </rv>
  <rv s="6">
    <fb>45.535499999999999</fb>
    <v>11</v>
  </rv>
  <rv s="6">
    <fb>113123049</fb>
    <v>12</v>
  </rv>
  <rv s="6">
    <fb>54.627499999999998</fb>
    <v>11</v>
  </rv>
  <rv s="6">
    <fb>46.732900000000001</fb>
    <v>11</v>
  </rv>
  <rv s="6">
    <fb>54.9328</fb>
    <v>11</v>
  </rv>
  <rv s="6">
    <fb>46.532899999999998</fb>
    <v>11</v>
  </rv>
  <rv s="6">
    <fb>74776994</fb>
    <v>12</v>
  </rv>
  <rv s="6">
    <fb>53.277500000000003</fb>
    <v>11</v>
  </rv>
  <rv s="6">
    <fb>52.700099999999999</fb>
    <v>11</v>
  </rv>
  <rv s="6">
    <fb>56.218800000000002</fb>
    <v>11</v>
  </rv>
  <rv s="6">
    <fb>50.886200000000002</fb>
    <v>11</v>
  </rv>
  <rv s="6">
    <fb>75496991</fb>
    <v>12</v>
  </rv>
  <rv s="6">
    <fb>54.458100000000002</fb>
    <v>11</v>
  </rv>
  <rv s="6">
    <fb>55.184800000000003</fb>
    <v>11</v>
  </rv>
  <rv s="6">
    <fb>55.647500000000001</fb>
    <v>11</v>
  </rv>
  <rv s="6">
    <fb>53.066099999999999</fb>
    <v>11</v>
  </rv>
  <rv s="6">
    <fb>50762522</fb>
    <v>12</v>
  </rv>
  <rv s="6">
    <fb>55.6661</fb>
    <v>11</v>
  </rv>
  <rv s="6">
    <fb>55.632800000000003</fb>
    <v>11</v>
  </rv>
  <rv s="6">
    <fb>52.332799999999999</fb>
    <v>11</v>
  </rv>
  <rv s="6">
    <fb>38300743</fb>
    <v>12</v>
  </rv>
  <rv s="6">
    <fb>59.043399999999998</fb>
    <v>11</v>
  </rv>
  <rv s="6">
    <fb>57.199399999999997</fb>
    <v>11</v>
  </rv>
  <rv s="6">
    <fb>60.576700000000002</fb>
    <v>11</v>
  </rv>
  <rv s="6">
    <fb>56.939399999999999</fb>
    <v>11</v>
  </rv>
  <rv s="6">
    <fb>53171974</fb>
    <v>12</v>
  </rv>
  <rv s="6">
    <fb>62.351399999999998</fb>
    <v>11</v>
  </rv>
  <rv s="6">
    <fb>61.266100000000002</fb>
    <v>11</v>
  </rv>
  <rv s="6">
    <fb>68.498000000000005</fb>
    <v>11</v>
  </rv>
  <rv s="6">
    <fb>60.610100000000003</fb>
    <v>11</v>
  </rv>
  <rv s="6">
    <fb>75767915</fb>
    <v>12</v>
  </rv>
  <rv s="6">
    <fb>66.725999999999999</fb>
    <v>11</v>
  </rv>
  <rv s="6">
    <fb>61.185400000000001</fb>
    <v>11</v>
  </rv>
  <rv s="6">
    <fb>67.945999999999998</fb>
    <v>11</v>
  </rv>
  <rv s="6">
    <fb>60.566099999999999</fb>
    <v>11</v>
  </rv>
  <rv s="6">
    <fb>57674813</fb>
    <v>12</v>
  </rv>
  <rv s="6">
    <fb>63.981999999999999</fb>
    <v>11</v>
  </rv>
  <rv s="6">
    <fb>66.662700000000001</fb>
    <v>11</v>
  </rv>
  <rv s="6">
    <fb>67.465999999999994</fb>
    <v>11</v>
  </rv>
  <rv s="6">
    <fb>62.475999999999999</fb>
    <v>11</v>
  </rv>
  <rv s="6">
    <fb>41507220</fb>
    <v>12</v>
  </rv>
  <rv s="6">
    <fb>80.576499999999996</fb>
    <v>11</v>
  </rv>
  <rv s="6">
    <fb>64.599999999999994</fb>
    <v>11</v>
  </rv>
  <rv s="6">
    <fb>81.865799999999993</fb>
    <v>11</v>
  </rv>
  <rv s="6">
    <fb>63.234000000000002</fb>
    <v>11</v>
  </rv>
  <rv s="6">
    <fb>56454873</fb>
    <v>12</v>
  </rv>
  <rv s="6">
    <fb>102.9756</fb>
    <v>11</v>
  </rv>
  <rv s="6">
    <fb>85.111800000000002</fb>
    <v>11</v>
  </rv>
  <rv s="6">
    <fb>103.26</fb>
    <v>11</v>
  </rv>
  <rv s="6">
    <fb>84.402100000000004</fb>
    <v>11</v>
  </rv>
  <rv s="6">
    <fb>92252432</fb>
    <v>12</v>
  </rv>
  <rv s="6">
    <fb>100.05500000000001</fb>
    <v>11</v>
  </rv>
  <rv s="6">
    <fb>110.5989</fb>
    <v>11</v>
  </rv>
  <rv s="6">
    <fb>119.6648</fb>
    <v>11</v>
  </rv>
  <rv s="6">
    <fb>95.399000000000001</fb>
    <v>11</v>
  </rv>
  <rv s="6">
    <fb>102296095</fb>
    <v>12</v>
  </rv>
  <rv s="6">
    <fb>94.465699999999998</fb>
    <v>11</v>
  </rv>
  <rv s="6">
    <fb>101.2663</fb>
    <v>11</v>
  </rv>
  <rv s="6">
    <fb>112.5989</fb>
    <v>11</v>
  </rv>
  <rv s="6">
    <fb>91.101799999999997</fb>
    <v>11</v>
  </rv>
  <rv s="6">
    <fb>90582247</fb>
    <v>12</v>
  </rv>
  <rv s="6">
    <fb>95.382999999999996</fb>
    <v>11</v>
  </rv>
  <rv s="6">
    <fb>95.665700000000001</fb>
    <v>11</v>
  </rv>
  <rv s="6">
    <fb>104.31229999999999</fb>
    <v>11</v>
  </rv>
  <rv s="6">
    <fb>94.199100000000001</fb>
    <v>11</v>
  </rv>
  <rv s="6">
    <fb>60818109</fb>
    <v>12</v>
  </rv>
  <rv s="6">
    <fb>96.846400000000003</fb>
    <v>11</v>
  </rv>
  <rv s="6">
    <fb>96.612399999999994</fb>
    <v>11</v>
  </rv>
  <rv s="6">
    <fb>101.8263</fb>
    <v>11</v>
  </rv>
  <rv s="6">
    <fb>94.333100000000002</fb>
    <v>11</v>
  </rv>
  <rv s="6">
    <fb>36874002</fb>
    <v>12</v>
  </rv>
  <rv s="6">
    <fb>110.0462</fb>
    <v>11</v>
  </rv>
  <rv s="6">
    <fb>96.532399999999996</fb>
    <v>11</v>
  </rv>
  <rv s="6">
    <fb>111.2522</fb>
    <v>11</v>
  </rv>
  <rv s="6">
    <fb>90.999099999999999</fb>
    <v>11</v>
  </rv>
  <rv s="6">
    <fb>70934061</fb>
    <v>12</v>
  </rv>
  <rv s="6">
    <fb>136.66399999999999</fb>
    <v>11</v>
  </rv>
  <rv s="6">
    <fb>111.7989</fb>
    <v>11</v>
  </rv>
  <rv s="6">
    <fb>139.6979</fb>
    <v>11</v>
  </rv>
  <rv s="6">
    <fb>111.5209</fb>
    <v>11</v>
  </rv>
  <rv s="6">
    <fb>90930028</fb>
    <v>12</v>
  </rv>
  <rv s="6">
    <fb>147.55850000000001</fb>
    <v>11</v>
  </rv>
  <rv s="6">
    <fb>141.75020000000001</fb>
    <v>11</v>
  </rv>
  <rv s="6">
    <fb>154.56450000000001</fb>
    <v>11</v>
  </rv>
  <rv s="6">
    <fb>128.5</fb>
    <v>11</v>
  </rv>
  <rv s="6">
    <fb>88380423</fb>
    <v>12</v>
  </rv>
  <rv s="6">
    <fb>139.43860000000001</fb>
    <v>11</v>
  </rv>
  <rv s="6">
    <fb>148.20189999999999</fb>
    <v>11</v>
  </rv>
  <rv s="6">
    <fb>167.495</fb>
    <v>11</v>
  </rv>
  <rv s="6">
    <fb>124.0055</fb>
    <v>11</v>
  </rv>
  <rv s="6">
    <fb>502587924</fb>
    <v>12</v>
  </rv>
  <rv s="6">
    <fb>124.2388</fb>
    <v>11</v>
  </rv>
  <rv s="6">
    <fb>118.66549999999999</fb>
    <v>11</v>
  </rv>
  <rv s="6">
    <fb>132.99529999999999</fb>
    <v>11</v>
  </rv>
  <rv s="6">
    <fb>109.9589</fb>
    <v>11</v>
  </rv>
  <rv s="6">
    <fb>337655285</fb>
    <v>12</v>
  </rv>
  <rv s="6">
    <fb>147.3819</fb>
    <v>11</v>
  </rv>
  <rv s="6">
    <fb>126.9821</fb>
    <v>11</v>
  </rv>
  <rv s="6">
    <fb>153.9785</fb>
    <v>11</v>
  </rv>
  <rv s="6">
    <fb>124.43210000000001</fb>
    <v>11</v>
  </rv>
  <rv s="6">
    <fb>413043290</fb>
    <v>12</v>
  </rv>
  <rv s="6">
    <fb>135.77860000000001</fb>
    <v>11</v>
  </rv>
  <rv s="6">
    <fb>151.04179999999999</fb>
    <v>11</v>
  </rv>
  <rv s="6">
    <fb>151.89179999999999</fb>
    <v>11</v>
  </rv>
  <rv s="6">
    <fb>117.0988</fb>
    <v>11</v>
  </rv>
  <rv s="6">
    <fb>437082777</fb>
    <v>12</v>
  </rv>
  <rv s="6">
    <fb>138.36189999999999</fb>
    <v>11</v>
  </rv>
  <rv s="6">
    <fb>141.5386</fb>
    <v>11</v>
  </rv>
  <rv s="6">
    <fb>149.62520000000001</fb>
    <v>11</v>
  </rv>
  <rv s="6">
    <fb>137.1986</fb>
    <v>11</v>
  </rv>
  <rv s="6">
    <fb>267202496</fb>
    <v>12</v>
  </rv>
  <rv s="6">
    <fb>144.6652</fb>
    <v>11</v>
  </rv>
  <rv s="6">
    <fb>141.11529999999999</fb>
    <v>11</v>
  </rv>
  <rv s="6">
    <fb>146.33189999999999</fb>
    <v>11</v>
  </rv>
  <rv s="6">
    <fb>135.3486</fb>
    <v>11</v>
  </rv>
  <rv s="6">
    <fb>204462829</fb>
    <v>12</v>
  </rv>
  <rv s="6">
    <fb>146.55520000000001</fb>
    <v>11</v>
  </rv>
  <rv s="6">
    <fb>147.33189999999999</fb>
    <v>11</v>
  </rv>
  <rv s="6">
    <fb>155.29839999999999</fb>
    <v>11</v>
  </rv>
  <rv s="6">
    <fb>145.53190000000001</fb>
    <v>11</v>
  </rv>
  <rv s="6">
    <fb>187943090</fb>
    <v>12</v>
  </rv>
  <rv s="6">
    <fb>140.20859999999999</fb>
    <v>11</v>
  </rv>
  <rv s="6">
    <fb>148.74520000000001</fb>
    <v>11</v>
  </rv>
  <rv s="6">
    <fb>148.99850000000001</fb>
    <v>11</v>
  </rv>
  <rv s="6">
    <fb>135.792</fb>
    <v>11</v>
  </rv>
  <rv s="6">
    <fb>168928962</fb>
    <v>12</v>
  </rv>
  <rv s="6">
    <fb>129.34540000000001</fb>
    <v>11</v>
  </rv>
  <rv s="6">
    <fb>137.20859999999999</fb>
    <v>11</v>
  </rv>
  <rv s="6">
    <fb>143.49860000000001</fb>
    <v>11</v>
  </rv>
  <rv s="6">
    <fb>126.3687</fb>
    <v>11</v>
  </rv>
  <rv s="6">
    <fb>141368069</fb>
    <v>12</v>
  </rv>
  <rv s="6">
    <fb>143.3152</fb>
    <v>11</v>
  </rv>
  <rv s="6">
    <fb>131.33199999999999</fb>
    <v>11</v>
  </rv>
  <rv s="6">
    <fb>146.6652</fb>
    <v>11</v>
  </rv>
  <rv s="6">
    <fb>130.7654</fb>
    <v>11</v>
  </rv>
  <rv s="6">
    <fb>144243126</fb>
    <v>12</v>
  </rv>
  <rv s="6">
    <fb>136.1653</fb>
    <v>11</v>
  </rv>
  <rv s="6">
    <fb>146.49850000000001</fb>
    <v>11</v>
  </rv>
  <rv s="6">
    <fb>150.83179999999999</fb>
    <v>11</v>
  </rv>
  <rv s="6">
    <fb>132.0087</fb>
    <v>11</v>
  </rv>
  <rv s="6">
    <fb>121930620</fb>
    <v>12</v>
  </rv>
  <rv s="6">
    <fb>163.20169999999999</fb>
    <v>11</v>
  </rv>
  <rv s="6">
    <fb>136.30860000000001</fb>
    <v>11</v>
  </rv>
  <rv s="6">
    <fb>169.53540000000001</fb>
    <v>11</v>
  </rv>
  <rv s="6">
    <fb>134.6943</fb>
    <v>11</v>
  </rv>
  <rv s="6">
    <fb>252416180</fb>
    <v>12</v>
  </rv>
  <rv s="6">
    <fb>195.25139999999999</fb>
    <v>11</v>
  </rv>
  <rv s="6">
    <fb>167.83170000000001</fb>
    <v>11</v>
  </rv>
  <rv s="6">
    <fb>199.59129999999999</fb>
    <v>11</v>
  </rv>
  <rv s="6">
    <fb>167.26169999999999</fb>
    <v>11</v>
  </rv>
  <rv s="6">
    <fb>188776353</fb>
    <v>12</v>
  </rv>
  <rv s="6">
    <fb>199.678</fb>
    <v>11</v>
  </rv>
  <rv s="6">
    <fb>200.7347</fb>
    <v>11</v>
  </rv>
  <rv s="6">
    <fb>202.59800000000001</fb>
    <v>11</v>
  </rv>
  <rv s="6">
    <fb>180.4015</fb>
    <v>11</v>
  </rv>
  <rv s="6">
    <fb>220449954</fb>
    <v>12</v>
  </rv>
  <rv s="6">
    <fb>203.328</fb>
    <v>11</v>
  </rv>
  <rv s="6">
    <fb>201.6379</fb>
    <v>11</v>
  </rv>
  <rv s="6">
    <fb>218.1045</fb>
    <v>11</v>
  </rv>
  <rv s="6">
    <fb>188.77809999999999</fb>
    <v>11</v>
  </rv>
  <rv s="6">
    <fb>304140213</fb>
    <v>12</v>
  </rv>
  <rv s="6">
    <fb>231.6644</fb>
    <v>11</v>
  </rv>
  <rv s="6">
    <fb>206.3313</fb>
    <v>11</v>
  </rv>
  <rv s="6">
    <fb>201.66470000000001</fb>
    <v>11</v>
  </rv>
  <rv s="6">
    <fb>417184591</fb>
    <v>12</v>
  </rv>
  <rv s="6">
    <fb>220.58779999999999</fb>
    <v>11</v>
  </rv>
  <rv s="6">
    <fb>222.0778</fb>
    <v>11</v>
  </rv>
  <rv s="6">
    <fb>222.83109999999999</fb>
    <v>11</v>
  </rv>
  <rv s="6">
    <fb>204.7413</fb>
    <v>11</v>
  </rv>
  <rv s="6">
    <fb>165616195</fb>
    <v>12</v>
  </rv>
  <rv s="6">
    <fb>235.221</fb>
    <v>11</v>
  </rv>
  <rv s="6">
    <fb>224.83439999999999</fb>
    <v>11</v>
  </rv>
  <rv s="6">
    <fb>239.57089999999999</fb>
    <v>11</v>
  </rv>
  <rv s="6">
    <fb>218.3312</fb>
    <v>11</v>
  </rv>
  <rv s="6">
    <fb>145859145</fb>
    <v>12</v>
  </rv>
  <rv s="6">
    <fb>293.33710000000002</fb>
    <v>11</v>
  </rv>
  <rv s="6">
    <fb>239.8176</fb>
    <v>11</v>
  </rv>
  <rv s="6">
    <fb>294.82709999999997</fb>
    <v>11</v>
  </rv>
  <rv s="6">
    <fb>239.0608</fb>
    <v>11</v>
  </rv>
  <rv s="6">
    <fb>251440960</fb>
    <v>12</v>
  </rv>
  <rv s="6">
    <fb>275.38389999999998</fb>
    <v>11</v>
  </rv>
  <rv s="6">
    <fb>283.13049999999998</fb>
    <v>11</v>
  </rv>
  <rv s="6">
    <fb>289.3304</fb>
    <v>11</v>
  </rv>
  <rv s="6">
    <fb>267.87139999999999</fb>
    <v>11</v>
  </rv>
  <rv s="6">
    <fb>209181285</fb>
    <v>12</v>
  </rv>
  <rv s="6">
    <fb>282.21050000000002</fb>
    <v>11</v>
  </rv>
  <rv s="6">
    <fb>279.26389999999998</fb>
    <v>11</v>
  </rv>
  <rv s="6">
    <fb>286.49709999999999</fb>
    <v>11</v>
  </rv>
  <rv s="6">
    <fb>276.20389999999998</fb>
    <v>11</v>
  </rv>
  <rv s="6">
    <fb>91697493</fb>
    <v>12</v>
  </rv>
  <rv s="6">
    <fb>264.50740000000002</fb>
    <v>11</v>
  </rv>
  <rv s="6">
    <fb>284.99720000000002</fb>
    <v>11</v>
  </rv>
  <rv s="6">
    <fb>300.13029999999998</fb>
    <v>11</v>
  </rv>
  <rv s="6">
    <fb>260.03070000000002</fb>
    <v>11</v>
  </rv>
  <rv s="6">
    <fb>153007757</fb>
    <v>12</v>
  </rv>
  <rv s="6">
    <fb>284.07380000000001</fb>
    <v>11</v>
  </rv>
  <rv s="6">
    <fb>271.4273</fb>
    <v>11</v>
  </rv>
  <rv s="6">
    <fb>293.49709999999999</fb>
    <v>11</v>
  </rv>
  <rv s="6">
    <fb>265.18400000000003</fb>
    <v>11</v>
  </rv>
  <rv s="6">
    <fb>102460406</fb>
    <v>12</v>
  </rv>
  <rv s="6">
    <fb>272.03730000000002</fb>
    <v>11</v>
  </rv>
  <rv s="6">
    <fb>289.88709999999998</fb>
    <v>11</v>
  </rv>
  <rv s="6">
    <fb>292.58710000000002</fb>
    <v>11</v>
  </rv>
  <rv s="6">
    <fb>261.77420000000001</fb>
    <v>11</v>
  </rv>
  <rv s="6">
    <fb>116926526</fb>
    <v>12</v>
  </rv>
  <rv s="6">
    <fb>260.4307</fb>
    <v>11</v>
  </rv>
  <rv s="6">
    <fb>272.66390000000001</fb>
    <v>11</v>
  </rv>
  <rv s="6">
    <fb>273.66390000000001</fb>
    <v>11</v>
  </rv>
  <rv s="6">
    <fb>254.0008</fb>
    <v>11</v>
  </rv>
  <rv s="6">
    <fb>82796535</fb>
    <v>12</v>
  </rv>
  <rv s="6">
    <fb>225.1644</fb>
    <v>11</v>
  </rv>
  <rv s="6">
    <fb>254.21080000000001</fb>
    <v>11</v>
  </rv>
  <rv s="6">
    <fb>256.16410000000002</fb>
    <v>11</v>
  </rv>
  <rv s="6">
    <fb>220756576</fb>
    <v>12</v>
  </rv>
  <rv s="6">
    <fb>199.31469999999999</fb>
    <v>11</v>
  </rv>
  <rv s="6">
    <fb>230.03440000000001</fb>
    <v>11</v>
  </rv>
  <rv s="6">
    <fb>240.36760000000001</fb>
    <v>11</v>
  </rv>
  <rv s="6">
    <fb>179.82820000000001</fb>
    <v>11</v>
  </rv>
  <rv s="6">
    <fb>236392226</fb>
    <v>12</v>
  </rv>
  <rv s="6">
    <fb>231.24100000000001</fb>
    <v>11</v>
  </rv>
  <rv s="6">
    <fb>200.18129999999999</fb>
    <v>11</v>
  </rv>
  <rv s="6">
    <fb>239.2809</fb>
    <v>11</v>
  </rv>
  <rv s="6">
    <fb>186.26150000000001</fb>
    <v>11</v>
  </rv>
  <rv s="6">
    <fb>249753690</fb>
    <v>12</v>
  </rv>
  <rv s="6">
    <fb>218.2878</fb>
    <v>11</v>
  </rv>
  <rv s="6">
    <fb>231.36099999999999</fb>
    <v>11</v>
  </rv>
  <rv s="6">
    <fb>237.7243</fb>
    <v>11</v>
  </rv>
  <rv s="6">
    <fb>208.2046</fb>
    <v>11</v>
  </rv>
  <rv s="6">
    <fb>178254604</fb>
    <v>12</v>
  </rv>
  <rv s="6">
    <fb>206.2346</fb>
    <v>11</v>
  </rv>
  <rv s="6">
    <fb>228.1944</fb>
    <v>11</v>
  </rv>
  <rv s="6">
    <fb>233.20429999999999</fb>
    <v>11</v>
  </rv>
  <rv s="6">
    <fb>199.96129999999999</fb>
    <v>11</v>
  </rv>
  <rv s="6">
    <fb>176876942</fb>
    <v>12</v>
  </rv>
  <rv s="6">
    <fb>220.58109999999999</fb>
    <v>11</v>
  </rv>
  <rv s="6">
    <fb>205.21129999999999</fb>
    <v>11</v>
  </rv>
  <rv s="6">
    <fb>230.80449999999999</fb>
    <v>11</v>
  </rv>
  <rv s="6">
    <fb>197.00139999999999</fb>
    <v>11</v>
  </rv>
  <rv s="6">
    <fb>136705010</fb>
    <v>12</v>
  </rv>
  <rv s="6">
    <fb>225.6711</fb>
    <v>11</v>
  </rv>
  <rv s="6">
    <fb>235.90100000000001</fb>
    <v>11</v>
  </rv>
  <rv s="6">
    <fb>236.05099999999999</fb>
    <v>11</v>
  </rv>
  <rv s="6">
    <fb>222.61109999999999</fb>
    <v>11</v>
  </rv>
  <rv s="6">
    <fb>141785455</fb>
    <v>12</v>
  </rv>
  <rv s="6">
    <fb>246.5909</fb>
    <v>11</v>
  </rv>
  <rv s="6">
    <fb>228.56440000000001</fb>
    <v>11</v>
  </rv>
  <rv s="6">
    <fb>260.26069999999999</fb>
    <v>11</v>
  </rv>
  <rv s="6">
    <fb>227.36109999999999</fb>
    <v>11</v>
  </rv>
  <rv s="6">
    <fb>178486575</fb>
    <v>12</v>
  </rv>
  <rv s="6">
    <fb>243.1309</fb>
    <v>11</v>
  </rv>
  <rv s="6">
    <fb>239.86429999999999</fb>
    <v>11</v>
  </rv>
  <rv s="6">
    <fb>251.2542</fb>
    <v>11</v>
  </rv>
  <rv s="6">
    <fb>230.5977</fb>
    <v>11</v>
  </rv>
  <rv s="6">
    <fb>170514922</fb>
    <v>12</v>
  </rv>
  <rv s="6">
    <fb>236.4776</fb>
    <v>11</v>
  </rv>
  <rv s="6">
    <fb>246.9975</fb>
    <v>11</v>
  </rv>
  <rv s="6">
    <fb>249.76419999999999</fb>
    <v>11</v>
  </rv>
  <rv s="6">
    <fb>222.0444</fb>
    <v>11</v>
  </rv>
  <rv s="6">
    <fb>152350715</fb>
    <v>12</v>
  </rv>
  <rv s="6">
    <fb>224.12110000000001</fb>
    <v>11</v>
  </rv>
  <rv s="6">
    <fb>234.5977</fb>
    <v>11</v>
  </rv>
  <rv s="6">
    <fb>235.33099999999999</fb>
    <v>11</v>
  </rv>
  <rv s="6">
    <fb>216.6645</fb>
    <v>11</v>
  </rv>
  <rv s="6">
    <fb>129938147</fb>
    <v>12</v>
  </rv>
  <rv s="6">
    <fb>196.578</fb>
    <v>11</v>
  </rv>
  <rv s="6">
    <fb>221.6311</fb>
    <v>11</v>
  </rv>
  <rv s="6">
    <fb>221.68109999999999</fb>
    <v>11</v>
  </rv>
  <rv s="6">
    <fb>186.54810000000001</fb>
    <v>11</v>
  </rv>
  <rv s="6">
    <fb>188999186</fb>
    <v>12</v>
  </rv>
  <rv s="6">
    <fb>193.62469999999999</fb>
    <v>11</v>
  </rv>
  <rv s="6">
    <fb>191.84909999999999</fb>
    <v>11</v>
  </rv>
  <rv s="6">
    <fb>198.8913</fb>
    <v>11</v>
  </rv>
  <rv s="6">
    <fb>182.32480000000001</fb>
    <v>11</v>
  </rv>
  <rv s="6">
    <fb>165651036</fb>
    <v>12</v>
  </rv>
  <rv s="6">
    <fb>208.40459999999999</fb>
    <v>11</v>
  </rv>
  <rv s="6">
    <fb>193.8647</fb>
    <v>11</v>
  </rv>
  <rv s="6">
    <fb>211.8612</fb>
    <v>11</v>
  </rv>
  <rv s="6">
    <fb>191.2148</fb>
    <v>11</v>
  </rv>
  <rv s="6">
    <fb>140310958</fb>
    <v>12</v>
  </rv>
  <rv s="6">
    <fb>199.68129999999999</fb>
    <v>11</v>
  </rv>
  <rv s="6">
    <fb>209.2646</fb>
    <v>11</v>
  </rv>
  <rv s="6">
    <fb>211.2646</fb>
    <v>11</v>
  </rv>
  <rv s="6">
    <fb>190.40479999999999</fb>
    <v>11</v>
  </rv>
  <rv s="6">
    <fb>95536458</fb>
    <v>12</v>
  </rv>
  <rv s="6">
    <fb>203.2946</fb>
    <v>11</v>
  </rv>
  <rv s="6">
    <fb>197.273</fb>
    <v>11</v>
  </rv>
  <rv s="6">
    <fb>207.69460000000001</fb>
    <v>11</v>
  </rv>
  <rv s="6">
    <fb>194.29140000000001</fb>
    <v>11</v>
  </rv>
  <rv s="6">
    <fb>105306562</fb>
    <v>12</v>
  </rv>
  <rv s="6">
    <fb>207.7679</fb>
    <v>11</v>
  </rv>
  <rv s="6">
    <fb>204.0746</fb>
    <v>11</v>
  </rv>
  <rv s="6">
    <fb>209.4479</fb>
    <v>11</v>
  </rv>
  <rv s="6">
    <fb>197.8314</fb>
    <v>11</v>
  </rv>
  <rv s="6">
    <fb>107532072</fb>
    <v>12</v>
  </rv>
  <rv s="6">
    <fb>223.95439999999999</fb>
    <v>11</v>
  </rv>
  <rv s="6">
    <fb>208.15790000000001</fb>
    <v>11</v>
  </rv>
  <rv s="6">
    <fb>232.5377</fb>
    <v>11</v>
  </rv>
  <rv s="6">
    <fb>202.958</fb>
    <v>11</v>
  </rv>
  <rv s="6">
    <fb>153549954</fb>
    <v>12</v>
  </rv>
  <rv s="6">
    <fb>226.29769999999999</fb>
    <v>11</v>
  </rv>
  <rv s="6">
    <fb>223.87780000000001</fb>
    <v>11</v>
  </rv>
  <rv s="6">
    <fb>233.33099999999999</fb>
    <v>11</v>
  </rv>
  <rv s="6">
    <fb>223.43780000000001</fb>
    <v>11</v>
  </rv>
  <rv s="6">
    <fb>103666230</fb>
    <v>12</v>
  </rv>
  <rv s="6">
    <fb>218.9811</fb>
    <v>11</v>
  </rv>
  <rv s="6">
    <fb>227.23490000000001</fb>
    <v>11</v>
  </rv>
  <rv s="6">
    <fb>227.99770000000001</fb>
    <v>11</v>
  </rv>
  <rv s="6">
    <fb>206.81790000000001</fb>
    <v>11</v>
  </rv>
  <rv s="6">
    <fb>82990274</fb>
    <v>12</v>
  </rv>
  <rv s="6">
    <fb>214.7379</fb>
    <v>11</v>
  </rv>
  <rv s="6">
    <fb>220.7311</fb>
    <v>11</v>
  </rv>
  <rv s="6">
    <fb>231.09100000000001</fb>
    <v>11</v>
  </rv>
  <rv s="6">
    <fb>212.62450000000001</fb>
    <v>11</v>
  </rv>
  <rv s="6">
    <fb>105114865</fb>
    <v>12</v>
  </rv>
  <rv s="6">
    <fb>214.4579</fb>
    <v>11</v>
  </rv>
  <rv s="6">
    <fb>209.96119999999999</fb>
    <v>11</v>
  </rv>
  <rv s="6">
    <fb>221.61779999999999</fb>
    <v>11</v>
  </rv>
  <rv s="6">
    <fb>207.09460000000001</fb>
    <v>11</v>
  </rv>
  <rv s="6">
    <fb>80448226</fb>
    <v>12</v>
  </rv>
  <rv s="6">
    <fb>229.06440000000001</fb>
    <v>11</v>
  </rv>
  <rv s="6">
    <fb>216.98779999999999</fb>
    <v>11</v>
  </rv>
  <rv s="6">
    <fb>232.5077</fb>
    <v>11</v>
  </rv>
  <rv s="6">
    <fb>209.0779</fb>
    <v>11</v>
  </rv>
  <rv s="6">
    <fb>134207490</fb>
    <v>12</v>
  </rv>
  <rv s="6">
    <fb>233.03100000000001</fb>
    <v>11</v>
  </rv>
  <rv s="6">
    <fb>242.3109</fb>
    <v>11</v>
  </rv>
  <rv s="6">
    <fb>232.541</fb>
    <v>11</v>
  </rv>
  <rv s="6">
    <fb>100781351</fb>
    <v>12</v>
  </rv>
  <rv s="6">
    <fb>239.05430000000001</fb>
    <v>11</v>
  </rv>
  <rv s="6">
    <fb>236.721</fb>
    <v>11</v>
  </rv>
  <rv s="6">
    <fb>243.29759999999999</fb>
    <v>11</v>
  </rv>
  <rv s="6">
    <fb>233.131</fb>
    <v>11</v>
  </rv>
  <rv s="6">
    <fb>72361365</fb>
    <v>12</v>
  </rv>
  <rv s="6">
    <fb>226.75110000000001</fb>
    <v>11</v>
  </rv>
  <rv s="6">
    <fb>235.02099999999999</fb>
    <v>11</v>
  </rv>
  <rv s="6">
    <fb>236.49760000000001</fb>
    <v>11</v>
  </rv>
  <rv s="6">
    <fb>216.27780000000001</fb>
    <v>11</v>
  </rv>
  <rv s="6">
    <fb>96329308</fb>
    <v>12</v>
  </rv>
  <rv s="6">
    <fb>237.30430000000001</fb>
    <v>11</v>
  </rv>
  <rv s="6">
    <fb>228.47839999999999</fb>
    <v>11</v>
  </rv>
  <rv s="6">
    <fb>238.98759999999999</fb>
    <v>11</v>
  </rv>
  <rv s="6">
    <fb>226.91460000000001</fb>
    <v>11</v>
  </rv>
  <rv s="6">
    <fb>73041547</fb>
    <v>12</v>
  </rv>
  <rv s="6">
    <fb>244.52090000000001</fb>
    <v>11</v>
  </rv>
  <rv s="6">
    <fb>238.23599999999999</fb>
    <v>11</v>
  </rv>
  <rv s="6">
    <fb>247.32749999999999</fb>
    <v>11</v>
  </rv>
  <rv s="6">
    <fb>237.57429999999999</fb>
    <v>11</v>
  </rv>
  <rv s="6">
    <fb>80731775</fb>
    <v>12</v>
  </rv>
  <rv s="6">
    <fb>245.42089999999999</fb>
    <v>11</v>
  </rv>
  <rv s="6">
    <fb>246.66419999999999</fb>
    <v>11</v>
  </rv>
  <rv s="6">
    <fb>254.8141</fb>
    <v>11</v>
  </rv>
  <rv s="6">
    <fb>244.83760000000001</fb>
    <v>11</v>
  </rv>
  <rv s="6">
    <fb>68094762</fb>
    <v>12</v>
  </rv>
  <rv s="6">
    <fb>253.16079999999999</fb>
    <v>11</v>
  </rv>
  <rv s="6">
    <fb>246.73560000000001</fb>
    <v>11</v>
  </rv>
  <rv s="6">
    <fb>253.67750000000001</fb>
    <v>11</v>
  </rv>
  <rv s="6">
    <fb>236.28100000000001</fb>
    <v>11</v>
  </rv>
  <rv s="6">
    <fb>98962617</fb>
    <v>12</v>
  </rv>
  <rv s="6">
    <fb>258.12740000000002</fb>
    <v>11</v>
  </rv>
  <rv s="6">
    <fb>244.8501</fb>
    <v>11</v>
  </rv>
  <rv s="6">
    <fb>258.26409999999998</fb>
    <v>11</v>
  </rv>
  <rv s="6">
    <fb>239.53919999999999</fb>
    <v>11</v>
  </rv>
  <rv s="6">
    <fb>89535196</fb>
    <v>12</v>
  </rv>
  <rv s="6">
    <fb>258.40410000000003</fb>
    <v>11</v>
  </rv>
  <rv s="6">
    <fb>257.70409999999998</fb>
    <v>11</v>
  </rv>
  <rv s="6">
    <fb>266.33069999999998</fb>
    <v>11</v>
  </rv>
  <rv s="6">
    <fb>254.5275</fb>
    <v>11</v>
  </rv>
  <rv s="6">
    <fb>109382331</fb>
    <v>12</v>
  </rv>
  <rv s="6">
    <fb>261.82740000000001</fb>
    <v>11</v>
  </rv>
  <rv s="6">
    <fb>265.4973</fb>
    <v>11</v>
  </rv>
  <rv s="6">
    <fb>268.9873</fb>
    <v>11</v>
  </rv>
  <rv s="6">
    <fb>257.73739999999998</fb>
    <v>11</v>
  </rv>
  <rv s="6">
    <fb>99483120</fb>
    <v>12</v>
  </rv>
  <rv s="6">
    <fb>281.00720000000001</fb>
    <v>11</v>
  </rv>
  <rv s="6">
    <fb>262.54739999999998</fb>
    <v>11</v>
  </rv>
  <rv s="6">
    <fb>281.06720000000001</fb>
    <v>11</v>
  </rv>
  <rv s="6">
    <fb>261.83069999999998</fb>
    <v>11</v>
  </rv>
  <rv s="6">
    <fb>81512174</fb>
    <v>12</v>
  </rv>
  <rv s="6">
    <fb>303.22359999999998</fb>
    <v>11</v>
  </rv>
  <rv s="6">
    <fb>283.92720000000003</fb>
    <v>11</v>
  </rv>
  <rv s="6">
    <fb>303.33030000000002</fb>
    <v>11</v>
  </rv>
  <rv s="6">
    <fb>283.82049999999998</fb>
    <v>11</v>
  </rv>
  <rv s="6">
    <fb>109982713</fb>
    <v>12</v>
  </rv>
  <rv s="6">
    <fb>371.32960000000003</fb>
    <v>11</v>
  </rv>
  <rv s="6">
    <fb>316.84019999999998</fb>
    <v>11</v>
  </rv>
  <rv s="6">
    <fb>371.73289999999997</fb>
    <v>11</v>
  </rv>
  <rv s="6">
    <fb>314.73020000000002</fb>
    <v>11</v>
  </rv>
  <rv s="6">
    <fb>220925116</fb>
    <v>12</v>
  </rv>
  <rv s="6">
    <fb>407.35930000000002</fb>
    <v>11</v>
  </rv>
  <rv s="6">
    <fb>381.66289999999998</fb>
    <v>11</v>
  </rv>
  <rv s="6">
    <fb>414.49250000000001</fb>
    <v>11</v>
  </rv>
  <rv s="6">
    <fb>372.88290000000001</fb>
    <v>11</v>
  </rv>
  <rv s="6">
    <fb>180441254</fb>
    <v>12</v>
  </rv>
  <rv s="6">
    <fb>344.4699</fb>
    <v>11</v>
  </rv>
  <rv s="6">
    <fb>383.25779999999997</fb>
    <v>11</v>
  </rv>
  <rv s="6">
    <fb>398.99599999999998</fb>
    <v>11</v>
  </rv>
  <rv s="6">
    <fb>329.1</fb>
    <v>11</v>
  </rv>
  <rv s="6">
    <fb>183323989</fb>
    <v>12</v>
  </rv>
  <rv s="6">
    <fb>379.01620000000003</fb>
    <v>11</v>
  </rv>
  <rv s="6">
    <fb>339.20659999999998</fb>
    <v>11</v>
  </rv>
  <rv s="6">
    <fb>379.56950000000001</fb>
    <v>11</v>
  </rv>
  <rv s="6">
    <fb>326.19670000000002</fb>
    <v>11</v>
  </rv>
  <rv s="6">
    <fb>135304561</fb>
    <v>12</v>
  </rv>
  <rv s="6">
    <fb>360.63639999999998</fb>
    <v>11</v>
  </rv>
  <rv s="6">
    <fb>387.43950000000001</fb>
    <v>11</v>
  </rv>
  <rv s="6">
    <fb>400.64600000000002</fb>
    <v>11</v>
  </rv>
  <rv s="6">
    <fb>353.99650000000003</fb>
    <v>11</v>
  </rv>
  <rv s="6">
    <fb>103485337</fb>
    <v>12</v>
  </rv>
  <rv s="6">
    <fb>338.32</fb>
    <v>11</v>
  </rv>
  <rv s="6">
    <fb>366.99299999999999</fb>
    <v>11</v>
  </rv>
  <rv s="6">
    <fb>390.9427</fb>
    <v>11</v>
  </rv>
  <rv s="6">
    <fb>333.4</fb>
    <v>11</v>
  </rv>
  <rv s="6">
    <fb>124636821</fb>
    <v>12</v>
  </rv>
  <rv s="6">
    <fb>339.00659999999999</fb>
    <v>11</v>
  </rv>
  <rv s="6">
    <fb>333.83330000000001</fb>
    <v>11</v>
  </rv>
  <rv s="6">
    <fb>357.45639999999997</fb>
    <v>11</v>
  </rv>
  <rv s="6">
    <fb>316.83019999999999</fb>
    <v>11</v>
  </rv>
  <rv s="6">
    <fb>99585638</fb>
    <v>12</v>
  </rv>
  <rv s="6">
    <fb>310.85359999999997</fb>
    <v>11</v>
  </rv>
  <rv s="6">
    <fb>333.69330000000002</fb>
    <v>11</v>
  </rv>
  <rv s="6">
    <fb>334.99669999999998</fb>
    <v>11</v>
  </rv>
  <rv s="6">
    <fb>303.01029999999997</fb>
    <v>11</v>
  </rv>
  <rv s="6">
    <fb>136074239</fb>
    <v>12</v>
  </rv>
  <rv s="6">
    <fb>355.66309999999999</fb>
    <v>11</v>
  </rv>
  <rv s="6">
    <fb>303.56360000000001</fb>
    <v>11</v>
  </rv>
  <rv s="6">
    <fb>357.65530000000001</fb>
    <v>11</v>
  </rv>
  <rv s="6">
    <fb>295.37040000000002</fb>
    <v>11</v>
  </rv>
  <rv s="6">
    <fb>104781767</fb>
    <v>12</v>
  </rv>
  <rv s="6">
    <fb>352.25650000000002</fb>
    <v>11</v>
  </rv>
  <rv s="6">
    <fb>357.88639999999998</fb>
    <v>11</v>
  </rv>
  <rv s="6">
    <fb>372.99619999999999</fb>
    <v>11</v>
  </rv>
  <rv s="6">
    <fb>351.04649999999998</fb>
    <v>11</v>
  </rv>
  <rv s="6">
    <fb>91799445</fb>
    <v>12</v>
  </rv>
  <rv s="6">
    <fb>342.31659999999999</fb>
    <v>11</v>
  </rv>
  <rv s="6">
    <fb>382.5795</fb>
    <v>11</v>
  </rv>
  <rv s="6">
    <fb>402.6626</fb>
    <v>11</v>
  </rv>
  <rv s="6">
    <fb>336.66329999999999</fb>
    <v>11</v>
  </rv>
  <rv s="6">
    <fb>153185108</fb>
    <v>12</v>
  </rv>
  <rv s="6">
    <fb>349.86649999999997</fb>
    <v>11</v>
  </rv>
  <rv s="6">
    <fb>333.33</fb>
    <v>11</v>
  </rv>
  <rv s="6">
    <fb>371.86290000000002</fb>
    <v>11</v>
  </rv>
  <rv s="6">
    <fb>326.66340000000002</fb>
    <v>11</v>
  </rv>
  <rv s="6">
    <fb>137250435</fb>
    <v>12</v>
  </rv>
  <rv s="6">
    <fb>314.6302</fb>
    <v>11</v>
  </rv>
  <rv s="6">
    <fb>342.19819999999999</fb>
    <v>11</v>
  </rv>
  <rv s="6">
    <fb>356.9264</fb>
    <v>11</v>
  </rv>
  <rv s="6">
    <fb>313.49689999999998</fb>
    <v>11</v>
  </rv>
  <rv s="6">
    <fb>105445556</fb>
    <v>12</v>
  </rv>
  <rv s="6">
    <fb>282.11380000000003</fb>
    <v>11</v>
  </rv>
  <rv s="6">
    <fb>301.58370000000002</fb>
    <v>11</v>
  </rv>
  <rv s="6">
    <fb>329.22669999999999</fb>
    <v>11</v>
  </rv>
  <rv s="6">
    <fb>264.00069999999999</fb>
    <v>11</v>
  </rv>
  <rv s="6">
    <fb>208578950</fb>
    <v>12</v>
  </rv>
  <rv s="6">
    <fb>307.77030000000002</fb>
    <v>11</v>
  </rv>
  <rv s="6">
    <fb>290.90039999999999</fb>
    <v>11</v>
  </rv>
  <rv s="6">
    <fb>314.56349999999998</fb>
    <v>11</v>
  </rv>
  <rv s="6">
    <fb>287.34710000000001</fb>
    <v>11</v>
  </rv>
  <rv s="6">
    <fb>132282831</fb>
    <v>12</v>
  </rv>
  <rv s="6">
    <fb>286.66379999999998</fb>
    <v>11</v>
  </rv>
  <rv s="6">
    <fb>307.92689999999999</fb>
    <v>11</v>
  </rv>
  <rv s="6">
    <fb>315.92020000000002</fb>
    <v>11</v>
  </rv>
  <rv s="6">
    <fb>283.56380000000001</fb>
    <v>11</v>
  </rv>
  <rv s="6">
    <fb>103251907</fb>
    <v>12</v>
  </rv>
  <rv s="6">
    <fb>285.65710000000001</fb>
    <v>11</v>
  </rv>
  <rv s="6">
    <fb>287.18709999999999</fb>
    <v>11</v>
  </rv>
  <rv s="6">
    <fb>308.80689999999998</fb>
    <v>11</v>
  </rv>
  <rv s="6">
    <fb>279.20049999999998</fb>
    <v>11</v>
  </rv>
  <rv s="6">
    <fb>100126871</fb>
    <v>12</v>
  </rv>
  <rv s="6">
    <fb>269.95400000000001</fb>
    <v>11</v>
  </rv>
  <rv s="6">
    <fb>278.04059999999998</fb>
    <v>11</v>
  </rv>
  <rv s="6">
    <fb>285.57510000000002</fb>
    <v>11</v>
  </rv>
  <rv s="6">
    <fb>129978416</fb>
    <v>12</v>
  </rv>
  <rv s="6">
    <fb>279.42720000000003</fb>
    <v>11</v>
  </rv>
  <rv s="6">
    <fb>271.66730000000001</fb>
    <v>11</v>
  </rv>
  <rv s="6">
    <fb>296.62369999999999</fb>
    <v>11</v>
  </rv>
  <rv s="6">
    <fb>271.56650000000002</fb>
    <v>11</v>
  </rv>
  <rv s="6">
    <fb>125740178</fb>
    <v>12</v>
  </rv>
  <rv s="6">
    <fb>265.11399999999998</fb>
    <v>11</v>
  </rv>
  <rv s="6">
    <fb>285.43049999999999</fb>
    <v>11</v>
  </rv>
  <rv s="6">
    <fb>288.71039999999999</fb>
    <v>11</v>
  </rv>
  <rv s="6">
    <fb>260.72070000000002</fb>
    <v>11</v>
  </rv>
  <rv s="6">
    <fb>112587689</fb>
    <v>12</v>
  </rv>
  <rv s="6">
    <fb>301.79360000000003</fb>
    <v>11</v>
  </rv>
  <rv s="6">
    <fb>260.20069999999998</fb>
    <v>11</v>
  </rv>
  <rv s="6">
    <fb>302.61360000000002</fb>
    <v>11</v>
  </rv>
  <rv s="6">
    <fb>252.01079999999999</fb>
    <v>11</v>
  </rv>
  <rv s="6">
    <fb>129673130</fb>
    <v>12</v>
  </rv>
  <rv s="6">
    <fb>336.8766</fb>
    <v>11</v>
  </rv>
  <rv s="6">
    <fb>304.99029999999999</fb>
    <v>11</v>
  </rv>
  <rv s="6">
    <fb>346.8965</fb>
    <v>11</v>
  </rv>
  <rv s="6">
    <fb>302.3603</fb>
    <v>11</v>
  </rv>
  <rv s="6">
    <fb>146492926</fb>
    <v>12</v>
  </rv>
  <rv s="6">
    <fb>361.52640000000002</fb>
    <v>11</v>
  </rv>
  <rv s="6">
    <fb>355.02980000000002</fb>
    <v>11</v>
  </rv>
  <rv s="6">
    <fb>371.58629999999999</fb>
    <v>11</v>
  </rv>
  <rv s="6">
    <fb>351.19650000000001</fb>
    <v>11</v>
  </rv>
  <rv s="6">
    <fb>113080628</fb>
    <v>12</v>
  </rv>
  <rv s="6">
    <fb>341.82659999999998</fb>
    <v>11</v>
  </rv>
  <rv s="6">
    <fb>363.12299999999999</fb>
    <v>11</v>
  </rv>
  <rv s="6">
    <fb>384.28620000000001</fb>
    <v>11</v>
  </rv>
  <rv s="6">
    <fb>340.51</fb>
    <v>11</v>
  </rv>
  <rv s="6">
    <fb>128687334</fb>
    <v>12</v>
  </rv>
  <rv s="6">
    <fb>328.33010000000002</fb>
    <v>11</v>
  </rv>
  <rv s="6">
    <fb>326.79669999999999</fb>
    <v>11</v>
  </rv>
  <rv s="6">
    <fb>342.07659999999998</fb>
    <v>11</v>
  </rv>
  <rv s="6">
    <fb>324.36239999999998</fb>
    <v>11</v>
  </rv>
  <rv s="6">
    <fb>79625639</fb>
    <v>12</v>
  </rv>
  <rv s="6">
    <fb>335.01330000000002</fb>
    <v>11</v>
  </rv>
  <rv s="6">
    <fb>329.67340000000002</fb>
    <v>11</v>
  </rv>
  <rv s="6">
    <fb>364.06970000000001</fb>
    <v>11</v>
  </rv>
  <rv s="6">
    <fb>324.46679999999998</fb>
    <v>11</v>
  </rv>
  <rv s="6">
    <fb>115795758</fb>
    <v>12</v>
  </rv>
  <rv s="6">
    <fb>290.25040000000001</fb>
    <v>11</v>
  </rv>
  <rv s="6">
    <fb>326.32010000000002</fb>
    <v>11</v>
  </rv>
  <rv s="6">
    <fb>336.20330000000001</fb>
    <v>11</v>
  </rv>
  <rv s="6">
    <fb>273.89729999999997</fb>
    <v>11</v>
  </rv>
  <rv s="6">
    <fb>164837640</fb>
    <v>12</v>
  </rv>
  <rv s="6">
    <fb>288.5471</fb>
    <v>11</v>
  </rv>
  <rv s="6">
    <fb>286.9205</fb>
    <v>11</v>
  </rv>
  <rv s="6">
    <fb>318.49680000000001</fb>
    <v>11</v>
  </rv>
  <rv s="6">
    <fb>281.03219999999999</fb>
    <v>11</v>
  </rv>
  <rv s="6">
    <fb>128852318</fb>
    <v>12</v>
  </rv>
  <rv s="6">
    <fb>256.5274</fb>
    <v>11</v>
  </rv>
  <rv s="6">
    <fb>278.81389999999999</fb>
    <v>11</v>
  </rv>
  <rv s="6">
    <fb>281.87380000000002</fb>
    <v>11</v>
  </rv>
  <rv s="6">
    <fb>226.6644</fb>
    <v>11</v>
  </rv>
  <rv s="6">
    <fb>168299966</fb>
    <v>12</v>
  </rv>
  <rv s="6">
    <fb>221.2978</fb>
    <v>11</v>
  </rv>
  <rv s="6">
    <fb>255.7174</fb>
    <v>11</v>
  </rv>
  <rv s="6">
    <fb>256.58409999999998</fb>
    <v>11</v>
  </rv>
  <rv s="6">
    <fb>210.99789999999999</fb>
    <v>11</v>
  </rv>
  <rv s="6">
    <fb>163138813</fb>
    <v>12</v>
  </rv>
  <rv s="6">
    <fb>253.20750000000001</fb>
    <v>11</v>
  </rv>
  <rv s="6">
    <fb>218.33779999999999</fb>
    <v>11</v>
  </rv>
  <rv s="6">
    <fb>253.26410000000001</fb>
    <v>11</v>
  </rv>
  <rv s="6">
    <fb>206.8546</fb>
    <v>11</v>
  </rv>
  <rv s="6">
    <fb>155144601</fb>
    <v>12</v>
  </rv>
  <rv s="6">
    <fb>234.51429999999999</fb>
    <v>11</v>
  </rv>
  <rv s="6">
    <fb>257.94409999999999</fb>
    <v>11</v>
  </rv>
  <rv s="6">
    <fb>264.20740000000001</fb>
    <v>11</v>
  </rv>
  <rv s="6">
    <fb>233.41550000000001</fb>
    <v>11</v>
  </rv>
  <rv s="6">
    <fb>128343063</fb>
    <v>12</v>
  </rv>
  <rv s="6">
    <fb>232.2277</fb>
    <v>11</v>
  </rv>
  <rv s="6">
    <fb>244.3509</fb>
    <v>11</v>
  </rv>
  <rv s="6">
    <fb>255.54409999999999</fb>
    <v>11</v>
  </rv>
  <rv s="6">
    <fb>227.9111</fb>
    <v>11</v>
  </rv>
  <rv s="6">
    <fb>142601983</fb>
    <v>12</v>
  </rv>
  <rv s="6">
    <fb>216.7578</fb>
    <v>11</v>
  </rv>
  <rv s="6">
    <fb>223.1644</fb>
    <v>11</v>
  </rv>
  <rv s="6">
    <fb>235.6609</fb>
    <v>11</v>
  </rv>
  <rv s="6">
    <fb>208.69120000000001</fb>
    <v>11</v>
  </rv>
  <rv s="6">
    <fb>173306821</fb>
    <v>12</v>
  </rv>
  <rv s="6">
    <fb>245.70419999999999</fb>
    <v>11</v>
  </rv>
  <rv s="6">
    <fb>224.6011</fb>
    <v>11</v>
  </rv>
  <rv s="6">
    <fb>246.83090000000001</fb>
    <v>11</v>
  </rv>
  <rv s="6">
    <fb>224.33109999999999</fb>
    <v>11</v>
  </rv>
  <rv s="6">
    <fb>141431196</fb>
    <v>12</v>
  </rv>
  <rv s="6">
    <fb>227.2611</fb>
    <v>11</v>
  </rv>
  <rv s="6">
    <fb>249.36420000000001</fb>
    <v>11</v>
  </rv>
  <rv s="6">
    <fb>252.0675</fb>
    <v>11</v>
  </rv>
  <rv s="6">
    <fb>218.86109999999999</fb>
    <v>11</v>
  </rv>
  <rv s="6">
    <fb>143934321</fb>
    <v>12</v>
  </rv>
  <rv s="6">
    <fb>250.76079999999999</fb>
    <v>11</v>
  </rv>
  <rv s="6">
    <fb>222.99780000000001</fb>
    <v>11</v>
  </rv>
  <rv s="6">
    <fb>254.97739999999999</fb>
    <v>11</v>
  </rv>
  <rv s="6">
    <fb>216.1645</fb>
    <v>11</v>
  </rv>
  <rv s="6">
    <fb>113472506</fb>
    <v>12</v>
  </rv>
  <rv s="6">
    <fb>240.0643</fb>
    <v>11</v>
  </rv>
  <rv s="6">
    <fb>252.10079999999999</fb>
    <v>11</v>
  </rv>
  <rv s="6">
    <fb>253.0608</fb>
    <v>11</v>
  </rv>
  <rv s="6">
    <fb>225.03110000000001</fb>
    <v>11</v>
  </rv>
  <rv s="6">
    <fb>144545065</fb>
    <v>12</v>
  </rv>
  <rv s="6">
    <fb>272.24059999999997</fb>
    <v>11</v>
  </rv>
  <rv s="6">
    <fb>244.9342</fb>
    <v>11</v>
  </rv>
  <rv s="6">
    <fb>280.78390000000002</fb>
    <v>11</v>
  </rv>
  <rv s="6">
    <fb>236.9743</fb>
    <v>11</v>
  </rv>
  <rv s="6">
    <fb>165932217</fb>
    <v>12</v>
  </rv>
  <rv s="6">
    <fb>297.14699999999999</fb>
    <v>11</v>
  </rv>
  <rv s="6">
    <fb>272.21390000000002</fb>
    <v>11</v>
  </rv>
  <rv s="6">
    <fb>298.31700000000001</fb>
    <v>11</v>
  </rv>
  <rv s="6">
    <fb>256.26080000000002</fb>
    <v>11</v>
  </rv>
  <rv s="6">
    <fb>133013375</fb>
    <v>12</v>
  </rv>
  <rv s="6">
    <fb>288.1671</fb>
    <v>11</v>
  </rv>
  <rv s="6">
    <fb>301.27199999999999</fb>
    <v>11</v>
  </rv>
  <rv s="6">
    <fb>313.6035</fb>
    <v>11</v>
  </rv>
  <rv s="6">
    <fb>285.54180000000002</fb>
    <v>11</v>
  </rv>
  <rv s="6">
    <fb>159380225</fb>
    <v>12</v>
  </rv>
  <rv s="6">
    <fb>300.02699999999999</fb>
    <v>11</v>
  </rv>
  <rv s="6">
    <fb>294.99709999999999</fb>
    <v>11</v>
  </rv>
  <rv s="6">
    <fb>305.19690000000003</fb>
    <v>11</v>
  </rv>
  <rv s="6">
    <fb>279.35050000000001</fb>
    <v>11</v>
  </rv>
  <rv s="6">
    <fb>143447053</fb>
    <v>12</v>
  </rv>
  <rv s="6">
    <fb>296.66370000000001</fb>
    <v>11</v>
  </rv>
  <rv s="6">
    <fb>301.78359999999998</fb>
    <v>11</v>
  </rv>
  <rv s="6">
    <fb>314.6635</fb>
    <v>11</v>
  </rv>
  <rv s="6">
    <fb>292.49709999999999</fb>
    <v>11</v>
  </rv>
  <rv s="6">
    <fb>118385794</fb>
    <v>12</v>
  </rv>
  <rv s="6">
    <fb>288.08999999999997</fb>
    <v>11</v>
  </rv>
  <rv s="6">
    <fb>291.91039999999998</fb>
    <v>11</v>
  </rv>
  <rv s="6">
    <fb>303.64359999999999</fb>
    <v>11</v>
  </rv>
  <rv s="6">
    <fb>286.29379999999998</fb>
    <v>11</v>
  </rv>
  <rv s="6">
    <fb>169423329</fb>
    <v>12</v>
  </rv>
  <rv s="6">
    <fb>270.20999999999998</fb>
    <v>11</v>
  </rv>
  <rv s="6">
    <fb>282.83</fb>
    <v>11</v>
  </rv>
  <rv s="6">
    <fb>288.48</fb>
    <v>11</v>
  </rv>
  <rv s="6">
    <fb>266.14999999999998</fb>
    <v>11</v>
  </rv>
  <rv s="6">
    <fb>249690952</fb>
    <v>12</v>
  </rv>
  <rv s="6">
    <fb>299.68</fb>
    <v>11</v>
  </rv>
  <rv s="6">
    <fb>272.67500000000001</fb>
    <v>11</v>
  </rv>
  <rv s="6">
    <fb>299.85000000000002</fb>
    <v>11</v>
  </rv>
  <rv s="6">
    <fb>265.74</fb>
    <v>11</v>
  </rv>
  <rv s="6">
    <fb>214072878</fb>
    <v>12</v>
  </rv>
  <rv s="6">
    <fb>303.35000000000002</fb>
    <v>11</v>
  </rv>
  <rv s="6">
    <fb>300.72000000000003</fb>
    <v>11</v>
  </rv>
  <rv s="6">
    <fb>309.12</fb>
    <v>11</v>
  </rv>
  <rv s="6">
    <fb>290.39999999999998</fb>
    <v>11</v>
  </rv>
  <rv s="6">
    <fb>341416185</fb>
    <v>12</v>
  </rv>
  <rv s="6">
    <fb>275.33</fb>
    <v>11</v>
  </rv>
  <rv s="6">
    <fb>300.08999999999997</fb>
    <v>11</v>
  </rv>
  <rv s="6">
    <fb>313.8</fb>
    <v>11</v>
  </rv>
  <rv s="6">
    <fb>272.82</fb>
    <v>11</v>
  </rv>
  <rv s="6">
    <fb>318723370</fb>
    <v>12</v>
  </rv>
  <rv s="6">
    <fb>265.25</fb>
    <v>11</v>
  </rv>
  <rv s="6">
    <fb>271.83</fb>
    <v>11</v>
  </rv>
  <rv s="6">
    <fb>289</fb>
    <v>11</v>
  </rv>
  <rv s="6">
    <fb>262.47000000000003</fb>
    <v>11</v>
  </rv>
  <rv s="6">
    <fb>320014147</fb>
    <v>12</v>
  </rv>
  <rv s="6">
    <fb>223.07</fb>
    <v>11</v>
  </rv>
  <rv s="6">
    <fb>254.5</fb>
    <v>11</v>
  </rv>
  <rv s="6">
    <fb>257.5</fb>
    <v>11</v>
  </rv>
  <rv s="6">
    <fb>222.02</fb>
    <v>11</v>
  </rv>
  <rv s="6">
    <fb>448139986</fb>
    <v>12</v>
  </rv>
  <rv s="6">
    <fb>204.99</fb>
    <v>11</v>
  </rv>
  <rv s="6">
    <fb>223.93</fb>
    <v>11</v>
  </rv>
  <rv s="6">
    <fb>226.99</fb>
    <v>11</v>
  </rv>
  <rv s="6">
    <fb>204.16</fb>
    <v>11</v>
  </rv>
  <rv s="6">
    <fb>397406475</fb>
    <v>12</v>
  </rv>
  <rv s="6">
    <fb>214.44</fb>
    <v>11</v>
  </rv>
  <rv s="6">
    <fb>210.04</fb>
    <v>11</v>
  </rv>
  <rv s="6">
    <fb>229.82</fb>
    <v>11</v>
  </rv>
  <rv s="6">
    <fb>202</fb>
    <v>11</v>
  </rv>
  <rv s="6">
    <fb>415404010</fb>
    <v>12</v>
  </rv>
  <rv s="6">
    <fb>228.52</fb>
    <v>11</v>
  </rv>
  <rv s="6">
    <fb>205.82</fb>
    <v>11</v>
  </rv>
  <rv s="6">
    <fb>233.81</fb>
    <v>11</v>
  </rv>
  <rv s="6">
    <fb>198.58629999999999</fb>
    <v>11</v>
  </rv>
  <rv s="6">
    <fb>413072923</fb>
    <v>12</v>
  </rv>
  <rv s="6">
    <fb>207.47</fb>
    <v>11</v>
  </rv>
  <rv s="6">
    <fb>226.19</fb>
    <v>11</v>
  </rv>
  <rv s="6">
    <fb>237.39510000000001</fb>
    <v>11</v>
  </rv>
  <rv s="6">
    <fb>203.08</fb>
    <v>11</v>
  </rv>
  <rv s="6">
    <fb>342474516</fb>
    <v>12</v>
  </rv>
  <rv s="6">
    <fb>195.97</fb>
    <v>11</v>
  </rv>
  <rv s="6">
    <fb>208.65</fb>
    <v>11</v>
  </rv>
  <rv s="6">
    <fb>208.9</fb>
    <v>11</v>
  </rv>
  <rv s="6">
    <fb>177.12</fb>
    <v>11</v>
  </rv>
  <rv s="6">
    <fb>596889173</fb>
    <v>12</v>
  </rv>
  <rv s="6">
    <fb>180.19</fb>
    <v>11</v>
  </rv>
  <rv s="6">
    <fb>192.77</fb>
    <v>11</v>
  </rv>
  <rv s="6">
    <fb>200.8237</fb>
    <v>11</v>
  </rv>
  <rv s="6">
    <fb>390472869</fb>
    <v>12</v>
  </rv>
  <rv s="6">
    <fb>182.86</fb>
    <v>11</v>
  </rv>
  <rv s="6">
    <fb>175.85</fb>
    <v>11</v>
  </rv>
  <rv s="6">
    <fb>185.2</fb>
    <v>11</v>
  </rv>
  <rv s="6">
    <fb>166.185</fb>
    <v>11</v>
  </rv>
  <rv s="6">
    <fb>331544487</fb>
    <v>12</v>
  </rv>
  <rv s="6">
    <fb>194.86</fb>
    <v>11</v>
  </rv>
  <rv s="6">
    <fb>179.96</fb>
    <v>11</v>
  </rv>
  <rv s="6">
    <fb>198.92</fb>
    <v>11</v>
  </rv>
  <rv s="6">
    <fb>178.75</fb>
    <v>11</v>
  </rv>
  <rv s="6">
    <fb>439273798</fb>
    <v>12</v>
  </rv>
  <rv s="6">
    <fb>179.05</fb>
    <v>11</v>
  </rv>
  <rv s="6">
    <fb>189.44</fb>
    <v>11</v>
  </rv>
  <rv s="6">
    <fb>191.27</fb>
    <v>11</v>
  </rv>
  <rv s="6">
    <fb>169.06</fb>
    <v>11</v>
  </rv>
  <rv s="6">
    <fb>471983601</fb>
    <v>12</v>
  </rv>
  <rv s="6">
    <fb>150.22999999999999</fb>
    <v>11</v>
  </rv>
  <rv s="6">
    <fb>176.1</fb>
    <v>11</v>
  </rv>
  <rv s="6">
    <fb>177.37</fb>
    <v>11</v>
  </rv>
  <rv s="6">
    <fb>150.04</fb>
    <v>11</v>
  </rv>
  <rv s="6">
    <fb>687706165</fb>
    <v>12</v>
  </rv>
  <rv s="6">
    <fb>123.15</fb>
    <v>11</v>
  </rv>
  <rv s="6">
    <fb>154</fb>
    <v>11</v>
  </rv>
  <rv s="6">
    <fb>155.25</fb>
    <v>11</v>
  </rv>
  <rv s="6">
    <fb>121.02</fb>
    <v>11</v>
  </rv>
  <rv s="6">
    <fb>821451251</fb>
    <v>12</v>
  </rv>
  <rv s="6">
    <fb>123.18</fb>
    <v>11</v>
  </rv>
  <rv s="6">
    <fb>117.495</fb>
    <v>11</v>
  </rv>
  <rv s="6">
    <fb>124.48</fb>
    <v>11</v>
  </rv>
  <rv s="6">
    <fb>108.24</fb>
    <v>11</v>
  </rv>
  <rv s="6">
    <fb>809414633</fb>
    <v>12</v>
  </rv>
  <rv s="6">
    <fb>118.47</fb>
    <v>11</v>
  </rv>
  <rv s="6">
    <fb>118.8</fb>
    <v>11</v>
  </rv>
  <rv s="6">
    <fb>101.81</fb>
    <v>11</v>
  </rv>
  <rv s="6">
    <fb>790689169</fb>
    <v>12</v>
  </rv>
  <rv s="6">
    <fb>122.4</fb>
    <v>11</v>
  </rv>
  <rv s="6">
    <fb>118.96</fb>
    <v>11</v>
  </rv>
  <rv s="6">
    <fb>114.92</fb>
    <v>11</v>
  </rv>
  <rv s="6">
    <fb>891852239</fb>
    <v>12</v>
  </rv>
  <rv s="6">
    <fb>125.69499999999999</fb>
    <v>11</v>
  </rv>
  <rv s="6">
    <fb>136.68</fb>
    <v>11</v>
  </rv>
  <rv s="6">
    <fb>124.3082</fb>
    <v>11</v>
  </rv>
  <rv s="6">
    <fb>691307319</fb>
    <v>12</v>
  </rv>
  <rv s="6">
    <fb>177.9</fb>
    <v>11</v>
  </rv>
  <rv s="6">
    <fb>135.87</fb>
    <v>11</v>
  </rv>
  <rv s="6">
    <fb>180.68</fb>
    <v>11</v>
  </rv>
  <rv s="6">
    <fb>134.27000000000001</fb>
    <v>11</v>
  </rv>
  <rv s="6">
    <fb>1095958317</fb>
    <v>12</v>
  </rv>
  <rv s="6">
    <fb>178.05</fb>
    <v>11</v>
  </rv>
  <rv s="6">
    <fb>199</fb>
    <v>11</v>
  </rv>
  <rv s="6">
    <fb>162.78</fb>
    <v>11</v>
  </rv>
  <rv s="6">
    <fb>1091608981</fb>
    <v>12</v>
  </rv>
  <rv s="6">
    <fb>193.01</fb>
    <v>11</v>
  </rv>
  <rv s="6">
    <fb>214</fb>
    <v>11</v>
  </rv>
  <rv s="6">
    <fb>189.55</fb>
    <v>11</v>
  </rv>
  <rv s="6">
    <fb>973057671</fb>
    <v>12</v>
  </rv>
  <rv s="6">
    <fb>208.31</fb>
    <v>11</v>
  </rv>
  <rv s="6">
    <fb>194.41499999999999</fb>
    <v>11</v>
  </rv>
  <rv s="6">
    <fb>217.65</fb>
    <v>11</v>
  </rv>
  <rv s="6">
    <fb>187.61</fb>
    <v>11</v>
  </rv>
  <rv s="6">
    <fb>1014364828</fb>
    <v>12</v>
  </rv>
  <rv s="6">
    <fb>196.88</fb>
    <v>11</v>
  </rv>
  <rv s="6">
    <fb>209.71</fb>
    <v>11</v>
  </rv>
  <rv s="6">
    <fb>191.78</fb>
    <v>11</v>
  </rv>
  <rv s="6">
    <fb>660435100</fb>
    <v>12</v>
  </rv>
  <rv s="6">
    <fb>197.79</fb>
    <v>11</v>
  </rv>
  <rv s="6">
    <fb>202.03</fb>
    <v>11</v>
  </rv>
  <rv s="6">
    <fb>211.23</fb>
    <v>11</v>
  </rv>
  <rv s="6">
    <fb>186.01</fb>
    <v>11</v>
  </rv>
  <rv s="6">
    <fb>807198448</fb>
    <v>12</v>
  </rv>
  <rv s="6">
    <fb>173.44</fb>
    <v>11</v>
  </rv>
  <rv s="6">
    <fb>198.54</fb>
    <v>11</v>
  </rv>
  <rv s="6">
    <fb>198.6</fb>
    <v>11</v>
  </rv>
  <rv s="6">
    <fb>168.44</fb>
    <v>11</v>
  </rv>
  <rv s="6">
    <fb>789636325</fb>
    <v>12</v>
  </rv>
  <rv s="6">
    <fb>180.13</fb>
    <v>11</v>
  </rv>
  <rv s="6">
    <fb>167.45500000000001</fb>
    <v>11</v>
  </rv>
  <rv s="6">
    <fb>186.2199</fb>
    <v>11</v>
  </rv>
  <rv s="6">
    <fb>163.91</fb>
    <v>11</v>
  </rv>
  <rv s="6">
    <fb>712075329</fb>
    <v>12</v>
  </rv>
  <rv s="6">
    <fb>190.41</fb>
    <v>11</v>
  </rv>
  <rv s="6">
    <fb>178.08</fb>
    <v>11</v>
  </rv>
  <rv s="6">
    <fb>200.66</fb>
    <v>11</v>
  </rv>
  <rv s="6">
    <fb>176.35</fb>
    <v>11</v>
  </rv>
  <rv s="6">
    <fb>694177636</fb>
    <v>12</v>
  </rv>
  <rv s="6">
    <fb>207.46</fb>
    <v>11</v>
  </rv>
  <rv s="6">
    <fb>207.79</fb>
    <v>11</v>
  </rv>
  <rv s="6">
    <fb>185.43</fb>
    <v>11</v>
  </rv>
  <rv s="6">
    <fb>623640604</fb>
    <v>12</v>
  </rv>
  <rv s="6">
    <fb>185.06</fb>
    <v>11</v>
  </rv>
  <rv s="6">
    <fb>199.91</fb>
    <v>11</v>
  </rv>
  <rv s="6">
    <fb>202.68969999999999</fb>
    <v>11</v>
  </rv>
  <rv s="6">
    <fb>179.74</fb>
    <v>11</v>
  </rv>
  <rv s="6">
    <fb>553750170</fb>
    <v>12</v>
  </rv>
  <rv s="6">
    <fb>185</fb>
    <v>11</v>
  </rv>
  <rv s="6">
    <fb>179.94</fb>
    <v>11</v>
  </rv>
  <rv s="6">
    <fb>191.58459999999999</fb>
    <v>11</v>
  </rv>
  <rv s="6">
    <fb>176.11</fb>
    <v>11</v>
  </rv>
  <rv s="6">
    <fb>617553456</fb>
    <v>12</v>
  </rv>
  <rv s="6">
    <fb>165.08</fb>
    <v>11</v>
  </rv>
  <rv s="6">
    <fb>186.32</fb>
    <v>11</v>
  </rv>
  <rv s="6">
    <fb>160.56</fb>
    <v>11</v>
  </rv>
  <rv s="6">
    <fb>668971665</fb>
    <v>12</v>
  </rv>
  <rv s="6">
    <fb>164.65</fb>
    <v>11</v>
  </rv>
  <rv s="6">
    <fb>165.65</fb>
    <v>11</v>
  </rv>
  <rv s="6">
    <fb>152.37</fb>
    <v>11</v>
  </rv>
  <rv s="6">
    <fb>664901002</fb>
    <v>12</v>
  </rv>
  <rv s="6">
    <fb>170.78989999999999</fb>
    <v>11</v>
  </rv>
  <rv s="6">
    <fb>158.83000000000001</fb>
    <v>11</v>
  </rv>
  <rv s="6">
    <fb>559718515</fb>
    <v>12</v>
  </rv>
  <rv s="6">
    <fb>167.98</fb>
    <v>11</v>
  </rv>
  <rv s="6">
    <fb>173.72</fb>
    <v>11</v>
  </rv>
  <rv s="6">
    <fb>166.56</fb>
    <v>11</v>
  </rv>
  <rv s="6">
    <fb>582794740</fb>
    <v>12</v>
  </rv>
  <rv s="6">
    <fb>180.14</fb>
    <v>11</v>
  </rv>
  <rv s="6">
    <fb>167.655</fb>
    <v>11</v>
  </rv>
  <rv s="6">
    <fb>181.95</fb>
    <v>11</v>
  </rv>
  <rv s="6">
    <fb>164.35</fb>
    <v>11</v>
  </rv>
  <rv s="6">
    <fb>575071860</fb>
    <v>12</v>
  </rv>
  <rv s="6">
    <fb>193.17</fb>
    <v>11</v>
  </rv>
  <rv s="6">
    <fb>180.7</fb>
    <v>11</v>
  </rv>
  <rv s="6">
    <fb>178.22</fb>
    <v>11</v>
  </rv>
  <rv s="6">
    <fb>685490829</fb>
    <v>12</v>
  </rv>
  <rv s="6">
    <fb>213.97</fb>
    <v>11</v>
  </rv>
  <rv s="6">
    <fb>200.1</fb>
    <v>11</v>
  </rv>
  <rv s="6">
    <fb>217.25</fb>
    <v>11</v>
  </rv>
  <rv s="6">
    <fb>195.12</fb>
    <v>11</v>
  </rv>
  <rv s="6">
    <fb>591958785</fb>
    <v>12</v>
  </rv>
  <rv s="6">
    <fb>244.4</fb>
    <v>11</v>
  </rv>
  <rv s="6">
    <fb>217.8</fb>
    <v>11</v>
  </rv>
  <rv s="6">
    <fb>252.42</fb>
    <v>11</v>
  </rv>
  <rv s="6">
    <fb>212.53</fb>
    <v>11</v>
  </rv>
  <rv s="6">
    <fb>848497515</fb>
    <v>12</v>
  </rv>
  <rv s="6">
    <fb>260.54000000000002</fb>
    <v>11</v>
  </rv>
  <rv s="6">
    <fb>247.94</fb>
    <v>11</v>
  </rv>
  <rv s="6">
    <fb>263.60000000000002</fb>
    <v>11</v>
  </rv>
  <rv s="6">
    <fb>244.59</fb>
    <v>11</v>
  </rv>
  <rv s="6">
    <fb>811787289</fb>
    <v>12</v>
  </rv>
  <rv s="6">
    <fb>256.60000000000002</fb>
    <v>11</v>
  </rv>
  <rv s="6">
    <fb>261.5</fb>
    <v>11</v>
  </rv>
  <rv s="6">
    <fb>276.99</fb>
    <v>11</v>
  </rv>
  <rv s="6">
    <fb>248.25</fb>
    <v>11</v>
  </rv>
  <rv s="6">
    <fb>721745073</fb>
    <v>12</v>
  </rv>
  <rv s="6">
    <fb>261.77</fb>
    <v>11</v>
  </rv>
  <rv s="6">
    <fb>250.065</fb>
    <v>11</v>
  </rv>
  <rv s="6">
    <fb>264.45</fb>
    <v>11</v>
  </rv>
  <rv s="6">
    <fb>240.7</fb>
    <v>11</v>
  </rv>
  <rv s="6">
    <fb>748633707</fb>
    <v>12</v>
  </rv>
  <rv s="6">
    <fb>274.43</fb>
    <v>11</v>
  </rv>
  <rv s="6">
    <fb>276.49</fb>
    <v>11</v>
  </rv>
  <rv s="6">
    <fb>284.25</fb>
    <v>11</v>
  </rv>
  <rv s="6">
    <fb>272.88</fb>
    <v>11</v>
  </rv>
  <rv s="6">
    <fb>485803346</fb>
    <v>12</v>
  </rv>
  <rv s="6">
    <fb>281.38</fb>
    <v>11</v>
  </rv>
  <rv s="6">
    <fb>276.47000000000003</fb>
    <v>11</v>
  </rv>
  <rv s="6">
    <fb>285.3</fb>
    <v>11</v>
  </rv>
  <rv s="6">
    <fb>265.10000000000002</fb>
    <v>11</v>
  </rv>
  <rv s="6">
    <fb>539813729</fb>
    <v>12</v>
  </rv>
  <rv s="6">
    <fb>260.02</fb>
    <v>11</v>
  </rv>
  <rv s="6">
    <fb>286.625</fb>
    <v>11</v>
  </rv>
  <rv s="6">
    <fb>299.29000000000002</fb>
    <v>11</v>
  </rv>
  <rv s="6">
    <fb>255.8</fb>
    <v>11</v>
  </rv>
  <rv s="6">
    <fb>723314005</fb>
    <v>12</v>
  </rv>
  <rv s="6">
    <fb>266.44</fb>
    <v>11</v>
  </rv>
  <rv s="6">
    <fb>255.85</fb>
    <v>11</v>
  </rv>
  <rv s="6">
    <fb>272.89999999999998</fb>
    <v>11</v>
  </rv>
  <rv s="6">
    <fb>254.12</fb>
    <v>11</v>
  </rv>
  <rv s="6">
    <fb>560761830</fb>
    <v>12</v>
  </rv>
  <rv s="6">
    <fb>253.86</fb>
    <v>11</v>
  </rv>
  <rv s="6">
    <fb>267.48</fb>
    <v>11</v>
  </rv>
  <rv s="6">
    <fb>269.08</fb>
    <v>11</v>
  </rv>
  <rv s="6">
    <fb>250.49</fb>
    <v>11</v>
  </rv>
  <rv s="6">
    <fb>467350209</fb>
    <v>12</v>
  </rv>
  <rv s="6">
    <fb>242.65</fb>
    <v>11</v>
  </rv>
  <rv s="6">
    <fb>251.45</fb>
    <v>11</v>
  </rv>
  <rv s="6">
    <fb>253.65110000000001</fb>
    <v>11</v>
  </rv>
  <rv s="6">
    <fb>238.02</fb>
    <v>11</v>
  </rv>
  <rv s="6">
    <fb>517873700</fb>
    <v>12</v>
  </rv>
  <rv s="6">
    <fb>215.49</fb>
    <v>11</v>
  </rv>
  <rv s="6">
    <fb>235.7</fb>
    <v>11</v>
  </rv>
  <rv s="6">
    <fb>240.66</fb>
    <v>11</v>
  </rv>
  <rv s="6">
    <fb>212.36</fb>
    <v>11</v>
  </rv>
  <rv s="6">
    <fb>556272451</fb>
    <v>12</v>
  </rv>
  <rv s="6">
    <fb>238.59</fb>
    <v>11</v>
  </rv>
  <rv s="6">
    <fb>221.55119999999999</fb>
    <v>11</v>
  </rv>
  <rv s="6">
    <fb>240.82</fb>
    <v>11</v>
  </rv>
  <rv s="6">
    <fb>220.58</fb>
    <v>11</v>
  </rv>
  <rv s="6">
    <fb>573767855</fb>
    <v>12</v>
  </rv>
  <rv s="6">
    <fb>245.01</fb>
    <v>11</v>
  </rv>
  <rv s="6">
    <fb>242.58</fb>
    <v>11</v>
  </rv>
  <rv s="6">
    <fb>261.18</fb>
    <v>11</v>
  </rv>
  <rv s="6">
    <fb>235.35</fb>
    <v>11</v>
  </rv>
  <rv s="6">
    <fb>605113105</fb>
    <v>12</v>
  </rv>
  <rv s="6">
    <fb>248.5</fb>
    <v>11</v>
  </rv>
  <rv s="6">
    <fb>245</fb>
    <v>11</v>
  </rv>
  <rv s="6">
    <fb>258</fb>
    <v>11</v>
  </rv>
  <rv s="6">
    <fb>243.26499999999999</fb>
    <v>11</v>
  </rv>
  <rv s="6">
    <fb>480301845</fb>
    <v>12</v>
  </rv>
  <rv s="6">
    <fb>274.39</fb>
    <v>11</v>
  </rv>
  <rv s="6">
    <fb>264.27</fb>
    <v>11</v>
  </rv>
  <rv s="6">
    <fb>278.98</fb>
    <v>11</v>
  </rv>
  <rv s="6">
    <fb>260.61</fb>
    <v>11</v>
  </rv>
  <rv s="6">
    <fb>663743610</fb>
    <v>12</v>
  </rv>
  <rv s="6">
    <fb>244.88</fb>
    <v>11</v>
  </rv>
  <rv s="6">
    <fb>271.16000000000003</fb>
    <v>11</v>
  </rv>
  <rv s="6">
    <fb>273.93</fb>
    <v>11</v>
  </rv>
  <rv s="6">
    <fb>244.48</fb>
    <v>11</v>
  </rv>
  <rv s="6">
    <fb>575237587</fb>
    <v>12</v>
  </rv>
  <rv s="6">
    <fb>250.22</fb>
    <v>11</v>
  </rv>
  <rv s="6">
    <fb>243.38</fb>
    <v>11</v>
  </rv>
  <rv s="6">
    <fb>234.58</fb>
    <v>11</v>
  </rv>
  <rv s="6">
    <fb>588808971</fb>
    <v>12</v>
  </rv>
  <rv s="6">
    <fb>260.52999999999997</fb>
    <v>11</v>
  </rv>
  <rv s="6">
    <fb>244.81</fb>
    <v>11</v>
  </rv>
  <rv s="6">
    <fb>242.62</fb>
    <v>11</v>
  </rv>
  <rv s="6">
    <fb>592798300</fb>
    <v>12</v>
  </rv>
  <rv s="6">
    <fb>251.12</fb>
    <v>11</v>
  </rv>
  <rv s="6">
    <fb>255.31</fb>
    <v>11</v>
  </rv>
  <rv s="6">
    <fb>268.94</fb>
    <v>11</v>
  </rv>
  <rv s="6">
    <fb>541545143</fb>
    <v>12</v>
  </rv>
  <rv s="6">
    <fb>211.99</fb>
    <v>11</v>
  </rv>
  <rv s="6">
    <fb>250.05</fb>
    <v>11</v>
  </rv>
  <rv s="6">
    <fb>257.18299999999999</fb>
    <v>11</v>
  </rv>
  <rv s="6">
    <fb>210.42</fb>
    <v>11</v>
  </rv>
  <rv s="6">
    <fb>616410739</fb>
    <v>12</v>
  </rv>
  <rv s="6">
    <fb>207.3</fb>
    <v>11</v>
  </rv>
  <rv s="6">
    <fb>222.05</fb>
    <v>11</v>
  </rv>
  <rv s="6">
    <fb>202.51</fb>
    <v>11</v>
  </rv>
  <rv s="6">
    <fb>585973376</fb>
    <v>12</v>
  </rv>
  <rv s="6">
    <fb>219.96</fb>
    <v>11</v>
  </rv>
  <rv s="6">
    <fb>226.37010000000001</fb>
    <v>11</v>
  </rv>
  <rv s="6">
    <fb>194.07</fb>
    <v>11</v>
  </rv>
  <rv s="6">
    <fb>621700507</fb>
    <v>12</v>
  </rv>
  <rv s="6">
    <fb>214.65</fb>
    <v>11</v>
  </rv>
  <rv s="6">
    <fb>226.32</fb>
    <v>11</v>
  </rv>
  <rv s="6">
    <fb>205.69</fb>
    <v>11</v>
  </rv>
  <rv s="6">
    <fb>614241373</fb>
    <v>12</v>
  </rv>
  <rv s="6">
    <fb>234.3</fb>
    <v>11</v>
  </rv>
  <rv s="6">
    <fb>246.7</fb>
    <v>11</v>
  </rv>
  <rv s="6">
    <fb>211.61009999999999</fb>
    <v>11</v>
  </rv>
  <rv s="6">
    <fb>720156239</fb>
    <v>12</v>
  </rv>
  <rv s="6">
    <fb>235.45</fb>
    <v>11</v>
  </rv>
  <rv s="6">
    <fb>234.04</fb>
    <v>11</v>
  </rv>
  <rv s="6">
    <fb>244.01</fb>
    <v>11</v>
  </rv>
  <rv s="6">
    <fb>231.02</fb>
    <v>11</v>
  </rv>
  <rv s="6">
    <fb>422092683</fb>
    <v>12</v>
  </rv>
  <rv s="6">
    <fb>238.83</fb>
    <v>11</v>
  </rv>
  <rv s="6">
    <fb>236.89</fb>
    <v>11</v>
  </rv>
  <rv s="6">
    <fb>252.75</fb>
    <v>11</v>
  </rv>
  <rv s="6">
    <fb>231.9</fb>
    <v>11</v>
  </rv>
  <rv s="6">
    <fb>649667916</fb>
    <v>12</v>
  </rv>
  <rv s="6">
    <fb>243.84</fb>
    <v>11</v>
  </rv>
  <rv s="6">
    <fb>235.75</fb>
    <v>11</v>
  </rv>
  <rv s="6">
    <fb>246.66</fb>
    <v>11</v>
  </rv>
  <rv s="6">
    <fb>233.2902</fb>
    <v>11</v>
  </rv>
  <rv s="6">
    <fb>578776202</fb>
    <v>12</v>
  </rv>
  <rv s="6">
    <fb>242.74</fb>
    <v>11</v>
  </rv>
  <rv s="6">
    <fb>254.13</fb>
    <v>11</v>
  </rv>
  <rv s="6">
    <fb>636290550</fb>
    <v>12</v>
  </rv>
  <rv s="6">
    <fb>252.54</fb>
    <v>11</v>
  </rv>
  <rv s="6">
    <fb>253.78</fb>
    <v>11</v>
  </rv>
  <rv s="6">
    <fb>259.83999999999997</fb>
    <v>11</v>
  </rv>
  <rv s="6">
    <fb>247</fb>
    <v>11</v>
  </rv>
  <rv s="6">
    <fb>551215167</fb>
    <v>12</v>
  </rv>
  <rv s="6">
    <fb>248.48</fb>
    <v>11</v>
  </rv>
  <rv s="6">
    <fb>265.13</fb>
    <v>11</v>
  </rv>
  <rv s="6">
    <fb>247.43</fb>
    <v>11</v>
  </rv>
  <rv s="6">
    <fb>407898262</fb>
    <v>12</v>
  </rv>
  <rv s="6">
    <fb>250.08</fb>
    <v>11</v>
  </rv>
  <rv s="6">
    <fb>251.25</fb>
    <v>11</v>
  </rv>
  <rv s="6">
    <fb>234.90010000000001</fb>
    <v>11</v>
  </rv>
  <rv s="6">
    <fb>420854984</fb>
    <v>12</v>
  </rv>
  <rv s="6">
    <fb>218.89</fb>
    <v>11</v>
  </rv>
  <rv s="6">
    <fb>236.14</fb>
    <v>11</v>
  </rv>
  <rv s="6">
    <fb>241.25</fb>
    <v>11</v>
  </rv>
  <rv s="6">
    <fb>217.15010000000001</fb>
    <v>11</v>
  </rv>
  <rv s="6">
    <fb>502418170</fb>
    <v>12</v>
  </rv>
  <rv s="6">
    <fb>212.19</fb>
    <v>11</v>
  </rv>
  <rv s="6">
    <fb>215.1</fb>
    <v>11</v>
  </rv>
  <rv s="6">
    <fb>223.49</fb>
    <v>11</v>
  </rv>
  <rv s="6">
    <fb>207.56</fb>
    <v>11</v>
  </rv>
  <rv s="6">
    <fb>429375220</fb>
    <v>12</v>
  </rv>
  <rv s="6">
    <fb>183.25</fb>
    <v>11</v>
  </rv>
  <rv s="6">
    <fb>212.26</fb>
    <v>11</v>
  </rv>
  <rv s="6">
    <fb>180.06</fb>
    <v>11</v>
  </rv>
  <rv s="6">
    <fb>653348423</fb>
    <v>12</v>
  </rv>
  <rv s="6">
    <fb>187.91</fb>
    <v>11</v>
  </rv>
  <rv s="6">
    <fb>185.63</fb>
    <v>11</v>
  </rv>
  <rv s="6">
    <fb>196.35929999999999</fb>
    <v>11</v>
  </rv>
  <rv s="6">
    <fb>182</fb>
    <v>11</v>
  </rv>
  <rv s="6">
    <fb>540672852</fb>
    <v>12</v>
  </rv>
  <rv s="6">
    <fb>193.57</fb>
    <v>11</v>
  </rv>
  <rv s="6">
    <fb>184.26</fb>
    <v>11</v>
  </rv>
  <rv s="6">
    <fb>194.12</fb>
    <v>11</v>
  </rv>
  <rv s="6">
    <fb>536016008</fb>
    <v>12</v>
  </rv>
  <rv s="6">
    <fb>199.95</fb>
    <v>11</v>
  </rv>
  <rv s="6">
    <fb>192.11</fb>
    <v>11</v>
  </rv>
  <rv s="6">
    <fb>203.17</fb>
    <v>11</v>
  </rv>
  <rv s="6">
    <fb>182.1087</fb>
    <v>11</v>
  </rv>
  <rv s="6">
    <fb>495639529</fb>
    <v>12</v>
  </rv>
  <rv s="6">
    <fb>191.97</fb>
    <v>11</v>
  </rv>
  <rv s="6">
    <fb>196.13</fb>
    <v>11</v>
  </rv>
  <rv s="6">
    <fb>199.44</fb>
    <v>11</v>
  </rv>
  <rv s="6">
    <fb>189.13</fb>
    <v>11</v>
  </rv>
  <rv s="6">
    <fb>379971148</fb>
    <v>12</v>
  </rv>
  <rv s="6">
    <fb>202.64</fb>
    <v>11</v>
  </rv>
  <rv s="6">
    <fb>192.29</fb>
    <v>11</v>
  </rv>
  <rv s="6">
    <fb>205.6</fb>
    <v>11</v>
  </rv>
  <rv s="6">
    <fb>192</fb>
    <v>11</v>
  </rv>
  <rv s="6">
    <fb>488348794</fb>
    <v>12</v>
  </rv>
  <rv s="6">
    <fb>175.34</fb>
    <v>11</v>
  </rv>
  <rv s="6">
    <fb>198.73</fb>
    <v>11</v>
  </rv>
  <rv s="6">
    <fb>199.75</fb>
    <v>11</v>
  </rv>
  <rv s="6">
    <fb>173.7</fb>
    <v>11</v>
  </rv>
  <rv s="6">
    <fb>549590219</fb>
    <v>12</v>
  </rv>
  <rv s="6">
    <fb>163.57</fb>
    <v>11</v>
  </rv>
  <rv s="6">
    <fb>175.44499999999999</fb>
    <v>11</v>
  </rv>
  <rv s="6">
    <fb>182.87</fb>
    <v>11</v>
  </rv>
  <rv s="6">
    <fb>160.51</fb>
    <v>11</v>
  </rv>
  <rv s="6">
    <fb>502780258</fb>
    <v>12</v>
  </rv>
  <rv s="6">
    <fb>170.83</fb>
    <v>11</v>
  </rv>
  <rv s="6">
    <fb>170.02</fb>
    <v>11</v>
  </rv>
  <rv s="6">
    <fb>165.9</fb>
    <v>11</v>
  </rv>
  <rv s="6">
    <fb>418091163</fb>
    <v>12</v>
  </rv>
  <rv s="6">
    <fb>175.79</fb>
    <v>11</v>
  </rv>
  <rv s="6">
    <fb>168.76</fb>
    <v>11</v>
  </rv>
  <rv s="6">
    <fb>184.25</fb>
    <v>11</v>
  </rv>
  <rv s="6">
    <fb>168.73</fb>
    <v>11</v>
  </rv>
  <rv s="6">
    <fb>346873723</fb>
    <v>12</v>
  </rv>
  <rv s="6">
    <fb>176.17</fb>
    <v>11</v>
  </rv>
  <rv s="6">
    <fb>177.19</fb>
    <v>11</v>
  </rv>
  <rv s="6">
    <fb>547482425</fb>
    <v>12</v>
  </rv>
  <rv s="6">
    <fb>169.34</fb>
    <v>11</v>
  </rv>
  <rv s="6">
    <fb>179.22</fb>
    <v>11</v>
  </rv>
  <rv s="6">
    <fb>167.79</fb>
    <v>11</v>
  </rv>
  <rv s="6">
    <fb>451427058</fb>
    <v>12</v>
  </rv>
  <rv s="6">
    <fb>147.05000000000001</fb>
    <v>11</v>
  </rv>
  <rv s="6">
    <fb>170.24</fb>
    <v>11</v>
  </rv>
  <rv s="6">
    <fb>170.69</fb>
    <v>11</v>
  </rv>
  <rv s="6">
    <fb>146.22</fb>
    <v>11</v>
  </rv>
  <rv s="6">
    <fb>462858314</fb>
    <v>12</v>
  </rv>
  <rv s="6">
    <fb>168.29</fb>
    <v>11</v>
  </rv>
  <rv s="6">
    <fb>140.56</fb>
    <v>11</v>
  </rv>
  <rv s="6">
    <fb>172.12</fb>
    <v>11</v>
  </rv>
  <rv s="6">
    <fb>138.80250000000001</fb>
    <v>11</v>
  </rv>
  <rv s="6">
    <fb>649063934</fb>
    <v>12</v>
  </rv>
  <rv s="6">
    <fb>181.19</fb>
    <v>11</v>
  </rv>
  <rv s="6">
    <fb>188.42</fb>
    <v>11</v>
  </rv>
  <rv s="6">
    <fb>198.87</fb>
    <v>11</v>
  </rv>
  <rv s="6">
    <fb>176.02</fb>
    <v>11</v>
  </rv>
  <rv s="6">
    <fb>628370764</fb>
    <v>12</v>
  </rv>
  <rv s="6">
    <fb>168.47</fb>
    <v>11</v>
  </rv>
  <rv s="6">
    <fb>183.8</fb>
    <v>11</v>
  </rv>
  <rv s="6">
    <fb>167.75</fb>
    <v>11</v>
  </rv>
  <rv s="6">
    <fb>377983065</fb>
    <v>12</v>
  </rv>
  <rv s="6">
    <fb>177.46</fb>
    <v>11</v>
  </rv>
  <rv s="6">
    <fb>170</fb>
    <v>11</v>
  </rv>
  <rv s="6">
    <fb>169</fb>
    <v>11</v>
  </rv>
  <rv s="6">
    <fb>370347383</fb>
    <v>12</v>
  </rv>
  <rv s="6">
    <fb>179.24</fb>
    <v>11</v>
  </rv>
  <rv s="6">
    <fb>177.56</fb>
    <v>11</v>
  </rv>
  <rv s="6">
    <fb>186.875</fb>
    <v>11</v>
  </rv>
  <rv s="6">
    <fb>173.26</fb>
    <v>11</v>
  </rv>
  <rv s="6">
    <fb>402867388</fb>
    <v>12</v>
  </rv>
  <rv s="6">
    <fb>176.4</fb>
    <v>11</v>
  </rv>
  <rv s="6">
    <fb>182.67</fb>
    <v>11</v>
  </rv>
  <rv s="6">
    <fb>259618626</fb>
    <v>12</v>
  </rv>
  <rv s="6">
    <fb>177.48</fb>
    <v>11</v>
  </rv>
  <rv s="6">
    <fb>178.13</fb>
    <v>11</v>
  </rv>
  <rv s="6">
    <fb>182.63890000000001</fb>
    <v>11</v>
  </rv>
  <rv s="6">
    <fb>172.13</fb>
    <v>11</v>
  </rv>
  <rv s="6">
    <fb>312710972</fb>
    <v>12</v>
  </rv>
  <rv s="6">
    <fb>178.01</fb>
    <v>11</v>
  </rv>
  <rv s="6">
    <fb>176.06</fb>
    <v>11</v>
  </rv>
  <rv s="6">
    <fb>191.08</fb>
    <v>11</v>
  </rv>
  <rv s="6">
    <fb>167.41</fb>
    <v>11</v>
  </rv>
  <rv s="6">
    <fb>407043372</fb>
    <v>12</v>
  </rv>
  <rv s="6">
    <fb>183.01</fb>
    <v>11</v>
  </rv>
  <rv s="6">
    <fb>177.92</fb>
    <v>11</v>
  </rv>
  <rv s="6">
    <fb>188.81</fb>
    <v>11</v>
  </rv>
  <rv s="6">
    <fb>177</fb>
    <v>11</v>
  </rv>
  <rv s="6">
    <fb>297690969</fb>
    <v>12</v>
  </rv>
  <rv s="6">
    <fb>197.88</fb>
    <v>11</v>
  </rv>
  <rv s="6">
    <fb>184.97</fb>
    <v>11</v>
  </rv>
  <rv s="6">
    <fb>203.2</fb>
    <v>11</v>
  </rv>
  <rv s="6">
    <fb>182.01</fb>
    <v>11</v>
  </rv>
  <rv s="6">
    <fb>389591990</fb>
    <v>12</v>
  </rv>
  <rv s="6">
    <fb>251.52</fb>
    <v>11</v>
  </rv>
  <rv s="6">
    <fb>201.02</fb>
    <v>11</v>
  </rv>
  <rv s="6">
    <fb>252.37</fb>
    <v>11</v>
  </rv>
  <rv s="6">
    <fb>200.85</fb>
    <v>11</v>
  </rv>
  <rv s="6">
    <fb>661801938</fb>
    <v>12</v>
  </rv>
  <rv s="6">
    <fb>248.23</fb>
    <v>11</v>
  </rv>
  <rv s="6">
    <fb>247.71</fb>
    <v>11</v>
  </rv>
  <rv s="6">
    <fb>271</fb>
    <v>11</v>
  </rv>
  <rv s="6">
    <fb>233.09119999999999</fb>
    <v>11</v>
  </rv>
  <rv s="6">
    <fb>824144572</fb>
    <v>12</v>
  </rv>
  <rv s="6">
    <fb>239.2</fb>
    <v>11</v>
  </rv>
  <rv s="6">
    <fb>255.97</fb>
    <v>11</v>
  </rv>
  <rv s="6">
    <fb>265.60000000000002</fb>
    <v>11</v>
  </rv>
  <rv s="6">
    <fb>236.83</fb>
    <v>11</v>
  </rv>
  <rv s="6">
    <fb>587103140</fb>
    <v>12</v>
  </rv>
  <rv s="6">
    <fb>219.8</fb>
    <v>11</v>
  </rv>
  <rv s="6">
    <fb>244.21</fb>
    <v>11</v>
  </rv>
  <rv s="6">
    <fb>255.7594</fb>
    <v>11</v>
  </rv>
  <rv s="6">
    <fb>214.71</fb>
    <v>11</v>
  </rv>
  <rv s="6">
    <fb>576337172</fb>
    <v>12</v>
  </rv>
  <rv s="6">
    <fb>207.67</fb>
    <v>11</v>
  </rv>
  <rv s="6">
    <fb>224.9</fb>
    <v>11</v>
  </rv>
  <rv s="6">
    <fb>234.68</fb>
    <v>11</v>
  </rv>
  <rv s="6">
    <fb>205.78</fb>
    <v>11</v>
  </rv>
  <rv s="6">
    <fb>464001152</fb>
    <v>12</v>
  </rv>
  <rv s="6">
    <fb>200</fb>
    <v>11</v>
  </rv>
  <rv s="6">
    <fb>185.22</fb>
    <v>11</v>
  </rv>
  <rv s="6">
    <fb>203.87989999999999</fb>
    <v>11</v>
  </rv>
  <rv s="6">
    <fb>368934704</fb>
    <v>12</v>
  </rv>
  <rv s="6">
    <fb>216.12</fb>
    <v>11</v>
  </rv>
  <rv s="6">
    <fb>199.02</fb>
    <v>11</v>
  </rv>
  <rv s="6">
    <fb>194.67</fb>
    <v>11</v>
  </rv>
  <rv s="6">
    <fb>389155956</fb>
    <v>12</v>
  </rv>
  <rv s="6">
    <fb>220.32</fb>
    <v>11</v>
  </rv>
  <rv s="6">
    <fb>217.07</fb>
    <v>11</v>
  </rv>
  <rv s="6">
    <fb>228.22</fb>
    <v>11</v>
  </rv>
  <rv s="6">
    <fb>210.32</fb>
    <v>11</v>
  </rv>
  <rv s="6">
    <fb>381622057</fb>
    <v>12</v>
  </rv>
  <rv s="6">
    <fb>214.11</fb>
    <v>11</v>
  </rv>
  <rv s="6">
    <fb>218.75</fb>
    <v>11</v>
  </rv>
  <rv s="6">
    <fb>219.09</fb>
    <v>11</v>
  </rv>
  <rv s="6">
    <fb>202.59</fb>
    <v>11</v>
  </rv>
  <rv s="6">
    <fb>311918353</fb>
    <v>12</v>
  </rv>
  <rv s="6">
    <fb>210.73</fb>
    <v>11</v>
  </rv>
  <rv s="6">
    <fb>215.26</fb>
    <v>11</v>
  </rv>
  <rv s="6">
    <fb>209.64</fb>
    <v>11</v>
  </rv>
  <rv s="6">
    <fb>388898006</fb>
    <v>12</v>
  </rv>
  <rv s="6">
    <fb>230.29</fb>
    <v>11</v>
  </rv>
  <rv s="6">
    <fb>216.2</fb>
    <v>11</v>
  </rv>
  <rv s="6">
    <fb>232.67</fb>
    <v>11</v>
  </rv>
  <rv s="6">
    <fb>213.67</fb>
    <v>11</v>
  </rv>
  <rv s="6">
    <fb>361418443</fb>
    <v>12</v>
  </rv>
  <rv s="6">
    <fb>238.25</fb>
    <v>11</v>
  </rv>
  <rv s="6">
    <fb>229.3</fb>
    <v>11</v>
  </rv>
  <rv s="6">
    <fb>244.24</fb>
    <v>11</v>
  </rv>
  <rv s="6">
    <fb>223.53</fb>
    <v>11</v>
  </rv>
  <rv s="6">
    <fb>401668481</fb>
    <v>12</v>
  </rv>
  <rv s="6">
    <fb>260.45999999999998</fb>
    <v>11</v>
  </rv>
  <rv s="6">
    <fb>242.61</fb>
    <v>11</v>
  </rv>
  <rv s="6">
    <fb>261.75</fb>
    <v>11</v>
  </rv>
  <rv s="6">
    <fb>241.92</fb>
    <v>11</v>
  </rv>
  <rv s="6">
    <fb>378582771</fb>
    <v>12</v>
  </rv>
  <rv s="6">
    <fb>259.04000000000002</fb>
    <v>11</v>
  </rv>
  <rv s="6">
    <fb>264.86</fb>
    <v>11</v>
  </rv>
  <rv s="6">
    <fb>429710449</fb>
    <v>12</v>
  </rv>
  <rv s="6">
    <fb>249</fb>
    <v>11</v>
  </rv>
  <rv s="6">
    <fb>249.83</fb>
    <v>11</v>
  </rv>
  <rv s="6">
    <fb>214.38</fb>
    <v>11</v>
  </rv>
  <rv s="6">
    <fb>416421896</fb>
    <v>12</v>
  </rv>
  <rv s="6">
    <fb>220.7</fb>
    <v>11</v>
  </rv>
  <rv s="6">
    <fb>220.13</fb>
    <v>11</v>
  </rv>
  <rv s="6">
    <fb>224.26</fb>
    <v>11</v>
  </rv>
  <rv s="6">
    <fb>213.74</fb>
    <v>11</v>
  </rv>
  <rv s="6">
    <fb>299317185</fb>
    <v>12</v>
  </rv>
  <rv s="6">
    <fb>269.19</fb>
    <v>11</v>
  </rv>
  <rv s="6">
    <fb>218.9</fb>
    <v>11</v>
  </rv>
  <rv s="6">
    <fb>269.49</fb>
    <v>11</v>
  </rv>
  <rv s="6">
    <fb>212.11</fb>
    <v>11</v>
  </rv>
  <rv s="6">
    <fb>537640455</fb>
    <v>12</v>
  </rv>
  <rv s="6">
    <fb>248.98</fb>
    <v>11</v>
  </rv>
  <rv s="6">
    <fb>270</fb>
    <v>11</v>
  </rv>
  <rv s="6">
    <fb>273.536</fb>
    <v>11</v>
  </rv>
  <rv s="6">
    <fb>246.63</fb>
    <v>11</v>
  </rv>
  <rv s="6">
    <fb>366288979</fb>
    <v>12</v>
  </rv>
  <rv s="6">
    <fb>321.22000000000003</fb>
    <v>11</v>
  </rv>
  <rv s="6">
    <fb>244.56</fb>
    <v>11</v>
  </rv>
  <rv s="6">
    <fb>328.71</fb>
    <v>11</v>
  </rv>
  <rv s="6">
    <fb>238.88</fb>
    <v>11</v>
  </rv>
  <rv s="6">
    <fb>625405564</fb>
    <v>12</v>
  </rv>
  <rv s="6">
    <fb>320.72000000000003</fb>
    <v>11</v>
  </rv>
  <rv s="6">
    <fb>346.3</fb>
    <v>11</v>
  </rv>
  <rv s="6">
    <fb>358.64</fb>
    <v>11</v>
  </rv>
  <rv s="6">
    <fb>309.22000000000003</fb>
    <v>11</v>
  </rv>
  <rv s="6">
    <fb>726819635</fb>
    <v>12</v>
  </rv>
  <rv s="6">
    <fb>352.56</fb>
    <v>11</v>
  </rv>
  <rv s="6">
    <fb>340.73</fb>
    <v>11</v>
  </rv>
  <rv s="6">
    <fb>361.53</fb>
    <v>11</v>
  </rv>
  <rv s="6">
    <fb>330.01</fb>
    <v>11</v>
  </rv>
  <rv s="6">
    <fb>428892998</fb>
    <v>12</v>
  </rv>
  <rv s="6">
    <fb>345.16</fb>
    <v>11</v>
  </rv>
  <rv s="6">
    <fb>360.14</fb>
    <v>11</v>
  </rv>
  <rv s="6">
    <fb>361.93</fb>
    <v>11</v>
  </rv>
  <rv s="6">
    <fb>326.58999999999997</fb>
    <v>11</v>
  </rv>
  <rv s="6">
    <fb>253250816</fb>
    <v>12</v>
  </rv>
  <rv s="6">
    <fb>389.22</fb>
    <v>11</v>
  </rv>
  <rv s="6">
    <fb>352.38</fb>
    <v>11</v>
  </rv>
  <rv s="6">
    <fb>389.49</fb>
    <v>11</v>
  </rv>
  <rv s="6">
    <fb>348.2</fb>
    <v>11</v>
  </rv>
  <rv s="6">
    <fb>349923951</fb>
    <v>12</v>
  </rv>
  <rv s="6">
    <fb>436.23</fb>
    <v>11</v>
  </rv>
  <rv s="6">
    <fb>397.61</fb>
    <v>11</v>
  </rv>
  <rv s="6">
    <fb>436.3</fb>
    <v>11</v>
  </rv>
  <rv s="6">
    <fb>378.01</fb>
    <v>11</v>
  </rv>
  <rv s="6">
    <fb>474962693</fb>
    <v>12</v>
  </rv>
  <rv s="6">
    <fb>421.06</fb>
    <v>11</v>
  </rv>
  <rv s="6">
    <fb>441.09</fb>
    <v>11</v>
  </rv>
  <rv s="6">
    <fb>488.53989999999999</fb>
    <v>11</v>
  </rv>
  <rv s="6">
    <fb>417.64</fb>
    <v>11</v>
  </rv>
  <rv s="6">
    <fb>645429899</fb>
    <v>12</v>
  </rv>
  <rv s="6">
    <fb>431.66</fb>
    <v>11</v>
  </rv>
  <rv s="6">
    <fb>431</fb>
    <v>11</v>
  </rv>
  <rv s="6">
    <fb>465.32990000000001</fb>
    <v>11</v>
  </rv>
  <rv s="6">
    <fb>415.41120000000001</fb>
    <v>11</v>
  </rv>
  <rv s="6">
    <fb>291567836</fb>
    <v>12</v>
  </rv>
  <rv s="6">
    <fb>410.44</fb>
    <v>11</v>
  </rv>
  <rv s="6">
    <fb>419.4</fb>
    <v>11</v>
  </rv>
  <rv s="6">
    <fb>427.93</fb>
    <v>11</v>
  </rv>
  <rv s="6">
    <fb>373.04</fb>
    <v>11</v>
  </rv>
  <rv s="6">
    <fb>346900211</fb>
    <v>12</v>
  </rv>
  <rv s="6">
    <fb>394.74</fb>
    <v>11</v>
  </rv>
  <rv s="6">
    <fb>423.2</fb>
    <v>11</v>
  </rv>
  <rv s="6">
    <fb>426.43</fb>
    <v>11</v>
  </rv>
  <rv s="6">
    <fb>377.29</fb>
    <v>11</v>
  </rv>
  <rv s="6">
    <fb>296542197</fb>
    <v>12</v>
  </rv>
  <rv s="6">
    <fb>426.5</fb>
    <v>11</v>
  </rv>
  <rv s="6">
    <fb>383.21</fb>
    <v>11</v>
  </rv>
  <rv s="6">
    <fb>439.74</fb>
    <v>11</v>
  </rv>
  <rv s="6">
    <fb>380.07</fb>
    <v>11</v>
  </rv>
  <rv s="6">
    <fb>396847556</fb>
    <v>12</v>
  </rv>
  <rv s="6">
    <fb>406.58</fb>
    <v>11</v>
  </rv>
  <rv s="6">
    <fb>432.64</fb>
    <v>11</v>
  </rv>
  <rv s="6">
    <fb>433.2</fb>
    <v>11</v>
  </rv>
  <rv s="6">
    <fb>405.78</fb>
    <v>11</v>
  </rv>
  <rv s="6">
    <fb>255401977</fb>
    <v>12</v>
  </rv>
  <rv s="6">
    <fb>404.6</fb>
    <v>11</v>
  </rv>
  <rv s="6">
    <fb>394.8</fb>
    <v>11</v>
  </rv>
  <rv s="6">
    <fb>419.99</fb>
    <v>11</v>
  </rv>
  <rv s="6">
    <fb>384.41</fb>
    <v>11</v>
  </rv>
  <rv s="6">
    <fb>356730932</fb>
    <v>12</v>
  </rv>
  <rv s="6">
    <fb>361.62</fb>
    <v>11</v>
  </rv>
  <rv s="6">
    <fb>386.68</fb>
    <v>11</v>
  </rv>
  <rv s="6">
    <fb>394</fb>
    <v>11</v>
  </rv>
  <rv s="6">
    <fb>360.34</fb>
    <v>11</v>
  </rv>
  <rv s="6">
    <fb>356635566</fb>
    <v>12</v>
  </rv>
  <rv s="6">
    <fb>355.84</fb>
    <v>11</v>
  </rv>
  <rv s="6">
    <fb>356.21</fb>
    <v>11</v>
  </rv>
  <rv s="6">
    <fb>362.7</fb>
    <v>11</v>
  </rv>
  <rv s="6">
    <fb>325.10000000000002</fb>
    <v>11</v>
  </rv>
  <rv s="6">
    <fb>459159830</fb>
    <v>12</v>
  </rv>
  <rv s="6">
    <fb>337.8</fb>
    <v>11</v>
  </rv>
  <rv s="6">
    <fb>355.01</fb>
    <v>11</v>
  </rv>
  <rv s="6">
    <fb>367.34</fb>
    <v>11</v>
  </rv>
  <rv s="6">
    <fb>334.42</fb>
    <v>11</v>
  </rv>
  <rv s="6">
    <fb>238750078</fb>
    <v>12</v>
  </rv>
  <rv s="6">
    <fb>292.98</fb>
    <v>11</v>
  </rv>
  <rv s="6">
    <fb>338.14</fb>
    <v>11</v>
  </rv>
  <rv s="6">
    <fb>342.39729999999997</fb>
    <v>11</v>
  </rv>
  <rv s="6">
    <fb>273.60000000000002</fb>
    <v>11</v>
  </rv>
  <rv s="6">
    <fb>527844539</fb>
    <v>12</v>
  </rv>
  <rv s="6">
    <fb>262.67</fb>
    <v>11</v>
  </rv>
  <rv s="6">
    <fb>300.33999999999997</fb>
    <v>11</v>
  </rv>
  <rv s="6">
    <fb>303.94</fb>
    <v>11</v>
  </rv>
  <rv s="6">
    <fb>250.73</fb>
    <v>11</v>
  </rv>
  <rv s="6">
    <fb>537122156</fb>
    <v>12</v>
  </rv>
  <rv s="6">
    <fb>249.98</fb>
    <v>11</v>
  </rv>
  <rv s="6">
    <fb>252.535</fb>
    <v>11</v>
  </rv>
  <rv s="6">
    <fb>253.37</fb>
    <v>11</v>
  </rv>
  <rv s="6">
    <fb>217.02</fb>
    <v>11</v>
  </rv>
  <rv s="6">
    <fb>721244833</fb>
    <v>12</v>
  </rv>
  <rv s="6">
    <fb>248.71</fb>
    <v>11</v>
  </rv>
  <rv s="6">
    <fb>245.05500000000001</fb>
    <v>11</v>
  </rv>
  <rv s="6">
    <fb>249.52</fb>
    <v>11</v>
  </rv>
  <rv s="6">
    <fb>222.28</fb>
    <v>11</v>
  </rv>
  <rv s="6">
    <fb>567128908</fb>
    <v>12</v>
  </rv>
  <rv s="6">
    <fb>263.55</fb>
    <v>11</v>
  </rv>
  <rv s="6">
    <fb>258.07499999999999</fb>
    <v>11</v>
  </rv>
  <rv s="6">
    <fb>291.85000000000002</fb>
    <v>11</v>
  </rv>
  <rv s="6">
    <fb>256.33</fb>
    <v>11</v>
  </rv>
  <rv s="6">
    <fb>762077379</fb>
    <v>12</v>
  </rv>
  <rv s="6">
    <fb>239.43</fb>
    <v>11</v>
  </rv>
  <rv s="6">
    <fb>249.31</fb>
    <v>11</v>
  </rv>
  <rv s="6">
    <fb>284.99</fb>
    <v>11</v>
  </rv>
  <rv s="6">
    <fb>810687308</fb>
    <v>12</v>
  </rv>
  <rv s="6">
    <fb>252.31</fb>
    <v>11</v>
  </rv>
  <rv s="6">
    <fb>223.78</fb>
    <v>11</v>
  </rv>
  <rv s="6">
    <fb>274.69</fb>
    <v>11</v>
  </rv>
  <rv s="6">
    <fb>214.25</fb>
    <v>11</v>
  </rv>
  <rv s="6">
    <fb>885161310</fb>
    <v>12</v>
  </rv>
  <rv s="6">
    <fb>241.37</fb>
    <v>11</v>
  </rv>
  <rv s="6">
    <fb>258.36</fb>
    <v>11</v>
  </rv>
  <rv s="6">
    <fb>261.8</fb>
    <v>11</v>
  </rv>
  <rv s="6">
    <fb>233.89</fb>
    <v>11</v>
  </rv>
  <rv s="6">
    <fb>375513071</fb>
    <v>12</v>
  </rv>
  <rv s="6">
    <fb>284.95</fb>
    <v>11</v>
  </rv>
  <rv s="6">
    <fb>230.26</fb>
    <v>11</v>
  </rv>
  <rv s="6">
    <fb>286.85000000000002</fb>
    <v>11</v>
  </rv>
  <rv s="6">
    <fb>222.79</fb>
    <v>11</v>
  </rv>
  <rv s="6">
    <fb>631033245</fb>
    <v>12</v>
  </rv>
  <rv s="6">
    <fb>287.20999999999998</fb>
    <v>11</v>
  </rv>
  <rv s="6">
    <fb>288.98</fb>
    <v>11</v>
  </rv>
  <rv s="6">
    <fb>294.86</fb>
    <v>11</v>
  </rv>
  <rv s="6">
    <fb>270.77999999999997</fb>
    <v>11</v>
  </rv>
  <rv s="6">
    <fb>603713038</fb>
    <v>12</v>
  </rv>
  <rv s="6">
    <fb>18.268000000000001</fb>
    <v>11</v>
  </rv>
  <rv s="6">
    <fb>17.637</fb>
    <v>11</v>
  </rv>
  <rv s="6">
    <fb>19.789200000000001</fb>
    <v>11</v>
  </rv>
  <rv s="6">
    <fb>16.901</fb>
    <v>11</v>
  </rv>
  <rv s="6">
    <fb>9381760</fb>
    <v>12</v>
  </rv>
  <rv s="6">
    <fb>18.084</fb>
    <v>11</v>
  </rv>
  <rv s="6">
    <fb>18.282</fb>
    <v>11</v>
  </rv>
  <rv s="6">
    <fb>18.654</fb>
    <v>11</v>
  </rv>
  <rv s="6">
    <fb>17.507000000000001</fb>
    <v>11</v>
  </rv>
  <rv s="6">
    <fb>4126240</fb>
    <v>12</v>
  </rv>
  <rv s="6">
    <fb>18.027000000000001</fb>
    <v>11</v>
  </rv>
  <rv s="6">
    <fb>18.417400000000001</fb>
    <v>11</v>
  </rv>
  <rv s="6">
    <fb>17.504000000000001</fb>
    <v>11</v>
  </rv>
  <rv s="6">
    <fb>3415050</fb>
    <v>12</v>
  </rv>
  <rv s="6">
    <fb>18.027999999999999</fb>
    <v>11</v>
  </rv>
  <rv s="6">
    <fb>18.046500000000002</fb>
    <v>11</v>
  </rv>
  <rv s="6">
    <fb>17.271000000000001</fb>
    <v>11</v>
  </rv>
  <rv s="6">
    <fb>5390330</fb>
    <v>12</v>
  </rv>
  <rv s="6">
    <fb>17.597999999999999</fb>
    <v>11</v>
  </rv>
  <rv s="6">
    <fb>17.315999999999999</fb>
    <v>11</v>
  </rv>
  <rv s="6">
    <fb>17.904</fb>
    <v>11</v>
  </rv>
  <rv s="6">
    <fb>3291130</fb>
    <v>12</v>
  </rv>
  <rv s="6">
    <fb>18.042999999999999</fb>
    <v>11</v>
  </rv>
  <rv s="6">
    <fb>17.760999999999999</fb>
    <v>11</v>
  </rv>
  <rv s="6">
    <fb>18.117000000000001</fb>
    <v>11</v>
  </rv>
  <rv s="6">
    <fb>17.437000000000001</fb>
    <v>11</v>
  </rv>
  <rv s="6">
    <fb>3822720</fb>
    <v>12</v>
  </rv>
  <rv s="6">
    <fb>17.875</fb>
    <v>11</v>
  </rv>
  <rv s="6">
    <fb>17.959</fb>
    <v>11</v>
  </rv>
  <rv s="6">
    <fb>17.475000000000001</fb>
    <v>11</v>
  </rv>
  <rv s="6">
    <fb>4462750</fb>
    <v>12</v>
  </rv>
  <rv s="6">
    <fb>17.768999999999998</fb>
    <v>11</v>
  </rv>
  <rv s="6">
    <fb>17.734999999999999</fb>
    <v>11</v>
  </rv>
  <rv s="6">
    <fb>17.905000000000001</fb>
    <v>11</v>
  </rv>
  <rv s="6">
    <fb>17.292999999999999</fb>
    <v>11</v>
  </rv>
  <rv s="6">
    <fb>3464830</fb>
    <v>12</v>
  </rv>
  <rv s="6">
    <fb>17.385999999999999</fb>
    <v>11</v>
  </rv>
  <rv s="6">
    <fb>17.983499999999999</fb>
    <v>11</v>
  </rv>
  <rv s="6">
    <fb>2436640</fb>
    <v>12</v>
  </rv>
  <rv s="6">
    <fb>17.257000000000001</fb>
    <v>11</v>
  </rv>
  <rv s="6">
    <fb>17.210999999999999</fb>
    <v>11</v>
  </rv>
  <rv s="6">
    <fb>17.358000000000001</fb>
    <v>11</v>
  </rv>
  <rv s="6">
    <fb>16.7178</fb>
    <v>11</v>
  </rv>
  <rv s="6">
    <fb>2942550</fb>
    <v>12</v>
  </rv>
  <rv s="6">
    <fb>17.087</fb>
    <v>11</v>
  </rv>
  <rv s="6">
    <fb>17.7</fb>
    <v>11</v>
  </rv>
  <rv s="6">
    <fb>16.863</fb>
    <v>11</v>
  </rv>
  <rv s="6">
    <fb>4402320</fb>
    <v>12</v>
  </rv>
  <rv s="6">
    <fb>18.562999999999999</fb>
    <v>11</v>
  </rv>
  <rv s="6">
    <fb>18.71</fb>
    <v>11</v>
  </rv>
  <rv s="6">
    <fb>17.597000000000001</fb>
    <v>11</v>
  </rv>
  <rv s="6">
    <fb>4017220</fb>
    <v>12</v>
  </rv>
  <rv s="6">
    <fb>18.143000000000001</fb>
    <v>11</v>
  </rv>
  <rv s="6">
    <fb>18.678000000000001</fb>
    <v>11</v>
  </rv>
  <rv s="6">
    <fb>18.739000000000001</fb>
    <v>11</v>
  </rv>
  <rv s="6">
    <fb>17.805299999999999</fb>
    <v>11</v>
  </rv>
  <rv s="6">
    <fb>3759580</fb>
    <v>12</v>
  </rv>
  <rv s="6">
    <fb>20.385000000000002</fb>
    <v>11</v>
  </rv>
  <rv s="6">
    <fb>18.067</fb>
    <v>11</v>
  </rv>
  <rv s="6">
    <fb>17.585000000000001</fb>
    <v>11</v>
  </rv>
  <rv s="6">
    <fb>11085750</fb>
    <v>12</v>
  </rv>
  <rv s="6">
    <fb>21.561</fb>
    <v>11</v>
  </rv>
  <rv s="6">
    <fb>20.437999999999999</fb>
    <v>11</v>
  </rv>
  <rv s="6">
    <fb>22.129000000000001</fb>
    <v>11</v>
  </rv>
  <rv s="6">
    <fb>20.306999999999999</fb>
    <v>11</v>
  </rv>
  <rv s="6">
    <fb>5606190</fb>
    <v>12</v>
  </rv>
  <rv s="6">
    <fb>21.620999999999999</fb>
    <v>11</v>
  </rv>
  <rv s="6">
    <fb>22.166</fb>
    <v>11</v>
  </rv>
  <rv s="6">
    <fb>21.248000000000001</fb>
    <v>11</v>
  </rv>
  <rv s="6">
    <fb>4454270</fb>
    <v>12</v>
  </rv>
  <rv s="6">
    <fb>21.760999999999999</fb>
    <v>11</v>
  </rv>
  <rv s="6">
    <fb>22.647500000000001</fb>
    <v>11</v>
  </rv>
  <rv s="6">
    <fb>20.068000000000001</fb>
    <v>11</v>
  </rv>
  <rv s="6">
    <fb>5305110</fb>
    <v>12</v>
  </rv>
  <rv s="6">
    <fb>20.099</fb>
    <v>11</v>
  </rv>
  <rv s="6">
    <fb>19.501999999999999</fb>
    <v>11</v>
  </rv>
  <rv s="6">
    <fb>20.659500000000001</fb>
    <v>11</v>
  </rv>
  <rv s="6">
    <fb>19.300999999999998</fb>
    <v>11</v>
  </rv>
  <rv s="6">
    <fb>5961480</fb>
    <v>12</v>
  </rv>
  <rv s="6">
    <fb>19.542999999999999</fb>
    <v>11</v>
  </rv>
  <rv s="6">
    <fb>19.221</fb>
    <v>11</v>
  </rv>
  <rv s="6">
    <fb>4094570</fb>
    <v>12</v>
  </rv>
  <rv s="6">
    <fb>20.114000000000001</fb>
    <v>11</v>
  </rv>
  <rv s="6">
    <fb>19.748999999999999</fb>
    <v>11</v>
  </rv>
  <rv s="6">
    <fb>20.341999999999999</fb>
    <v>11</v>
  </rv>
  <rv s="6">
    <fb>19.599</fb>
    <v>11</v>
  </rv>
  <rv s="6">
    <fb>4928230</fb>
    <v>12</v>
  </rv>
  <rv s="6">
    <fb>20.667999999999999</fb>
    <v>11</v>
  </rv>
  <rv s="6">
    <fb>20.106000000000002</fb>
    <v>11</v>
  </rv>
  <rv s="6">
    <fb>21.321000000000002</fb>
    <v>11</v>
  </rv>
  <rv s="6">
    <fb>19.520800000000001</fb>
    <v>11</v>
  </rv>
  <rv s="6">
    <fb>4771450</fb>
    <v>12</v>
  </rv>
  <rv s="6">
    <fb>20.518999999999998</fb>
    <v>11</v>
  </rv>
  <rv s="6">
    <fb>20.800999999999998</fb>
    <v>11</v>
  </rv>
  <rv s="6">
    <fb>21.458400000000001</fb>
    <v>11</v>
  </rv>
  <rv s="6">
    <fb>4944550</fb>
    <v>12</v>
  </rv>
  <rv s="6">
    <fb>19.884</fb>
    <v>11</v>
  </rv>
  <rv s="6">
    <fb>20.401</fb>
    <v>11</v>
  </rv>
  <rv s="6">
    <fb>19.199000000000002</fb>
    <v>11</v>
  </rv>
  <rv s="6">
    <fb>6799100</fb>
    <v>12</v>
  </rv>
  <rv s="6">
    <fb>20.524999999999999</fb>
    <v>11</v>
  </rv>
  <rv s="6">
    <fb>19.984999999999999</fb>
    <v>11</v>
  </rv>
  <rv s="6">
    <fb>20.640999999999998</fb>
    <v>11</v>
  </rv>
  <rv s="6">
    <fb>19.536999999999999</fb>
    <v>11</v>
  </rv>
  <rv s="6">
    <fb>6309350</fb>
    <v>12</v>
  </rv>
  <rv s="6">
    <fb>20.311</fb>
    <v>11</v>
  </rv>
  <rv s="6">
    <fb>20.542999999999999</fb>
    <v>11</v>
  </rv>
  <rv s="6">
    <fb>20.977</fb>
    <v>11</v>
  </rv>
  <rv s="6">
    <fb>19.526</fb>
    <v>11</v>
  </rv>
  <rv s="6">
    <fb>4135110</fb>
    <v>12</v>
  </rv>
  <rv s="6">
    <fb>18.818000000000001</fb>
    <v>11</v>
  </rv>
  <rv s="6">
    <fb>20.302</fb>
    <v>11</v>
  </rv>
  <rv s="6">
    <fb>20.478999999999999</fb>
    <v>11</v>
  </rv>
  <rv s="6">
    <fb>18.673999999999999</fb>
    <v>11</v>
  </rv>
  <rv s="6">
    <fb>5194280</fb>
    <v>12</v>
  </rv>
  <rv s="6">
    <fb>17.207000000000001</fb>
    <v>11</v>
  </rv>
  <rv s="6">
    <fb>18.765000000000001</fb>
    <v>11</v>
  </rv>
  <rv s="6">
    <fb>19.704000000000001</fb>
    <v>11</v>
  </rv>
  <rv s="6">
    <fb>16.419</fb>
    <v>11</v>
  </rv>
  <rv s="6">
    <fb>17955390</fb>
    <v>12</v>
  </rv>
  <rv s="6">
    <fb>17.765000000000001</fb>
    <v>11</v>
  </rv>
  <rv s="6">
    <fb>17.280999999999999</fb>
    <v>11</v>
  </rv>
  <rv s="6">
    <fb>18.167999999999999</fb>
    <v>11</v>
  </rv>
  <rv s="6">
    <fb>17.128</fb>
    <v>11</v>
  </rv>
  <rv s="6">
    <fb>7797000</fb>
    <v>12</v>
  </rv>
  <rv s="6">
    <fb>16.887</fb>
    <v>11</v>
  </rv>
  <rv s="6">
    <fb>17.786000000000001</fb>
    <v>11</v>
  </rv>
  <rv s="6">
    <fb>16.821000000000002</fb>
    <v>11</v>
  </rv>
  <rv s="6">
    <fb>4900310</fb>
    <v>12</v>
  </rv>
  <rv s="6">
    <fb>17.321000000000002</fb>
    <v>11</v>
  </rv>
  <rv s="6">
    <fb>16.888000000000002</fb>
    <v>11</v>
  </rv>
  <rv s="6">
    <fb>17.625</fb>
    <v>11</v>
  </rv>
  <rv s="6">
    <fb>16.811</fb>
    <v>11</v>
  </rv>
  <rv s="6">
    <fb>4207330</fb>
    <v>12</v>
  </rv>
  <rv s="6">
    <fb>17.556000000000001</fb>
    <v>11</v>
  </rv>
  <rv s="6">
    <fb>17.347999999999999</fb>
    <v>11</v>
  </rv>
  <rv s="6">
    <fb>3375030</fb>
    <v>12</v>
  </rv>
  <rv s="6">
    <fb>17.684000000000001</fb>
    <v>11</v>
  </rv>
  <rv s="6">
    <fb>17.899999999999999</fb>
    <v>11</v>
  </rv>
  <rv s="6">
    <fb>17.135999999999999</fb>
    <v>11</v>
  </rv>
  <rv s="6">
    <fb>5296320</fb>
    <v>12</v>
  </rv>
  <rv s="6">
    <fb>17.414000000000001</fb>
    <v>11</v>
  </rv>
  <rv s="6">
    <fb>17.741</fb>
    <v>11</v>
  </rv>
  <rv s="6">
    <fb>17.053999999999998</fb>
    <v>11</v>
  </rv>
  <rv s="6">
    <fb>6833860</fb>
    <v>12</v>
  </rv>
  <rv s="6">
    <fb>17.574000000000002</fb>
    <v>11</v>
  </rv>
  <rv s="6">
    <fb>17.391999999999999</fb>
    <v>11</v>
  </rv>
  <rv s="6">
    <fb>17.114000000000001</fb>
    <v>11</v>
  </rv>
  <rv s="6">
    <fb>8183050</fb>
    <v>12</v>
  </rv>
  <rv s="6">
    <fb>17.734000000000002</fb>
    <v>11</v>
  </rv>
  <rv s="6">
    <fb>17.84</fb>
    <v>11</v>
  </rv>
  <rv s="6">
    <fb>17.454000000000001</fb>
    <v>11</v>
  </rv>
  <rv s="6">
    <fb>3751690</fb>
    <v>12</v>
  </rv>
  <rv s="6">
    <fb>17.928999999999998</fb>
    <v>11</v>
  </rv>
  <rv s="6">
    <fb>17.536000000000001</fb>
    <v>11</v>
  </rv>
  <rv s="6">
    <fb>2896400</fb>
    <v>12</v>
  </rv>
  <rv s="6">
    <fb>14.815</fb>
    <v>11</v>
  </rv>
  <rv s="6">
    <fb>17.617000000000001</fb>
    <v>11</v>
  </rv>
  <rv s="6">
    <fb>17.797999999999998</fb>
    <v>11</v>
  </rv>
  <rv s="6">
    <fb>14.106</fb>
    <v>11</v>
  </rv>
  <rv s="6">
    <fb>12710410</fb>
    <v>12</v>
  </rv>
  <rv s="6">
    <fb>14.993</fb>
    <v>11</v>
  </rv>
  <rv s="6">
    <fb>14.981999999999999</fb>
    <v>11</v>
  </rv>
  <rv s="6">
    <fb>15.704000000000001</fb>
    <v>11</v>
  </rv>
  <rv s="6">
    <fb>14.295</fb>
    <v>11</v>
  </rv>
  <rv s="6">
    <fb>8104920</fb>
    <v>12</v>
  </rv>
  <rv s="6">
    <fb>14.991</fb>
    <v>11</v>
  </rv>
  <rv s="6">
    <fb>15.121</fb>
    <v>11</v>
  </rv>
  <rv s="6">
    <fb>15.407999999999999</fb>
    <v>11</v>
  </rv>
  <rv s="6">
    <fb>14.101000000000001</fb>
    <v>11</v>
  </rv>
  <rv s="6">
    <fb>5828190</fb>
    <v>12</v>
  </rv>
  <rv s="6">
    <fb>17.251000000000001</fb>
    <v>11</v>
  </rv>
  <rv s="6">
    <fb>14.920999999999999</fb>
    <v>11</v>
  </rv>
  <rv s="6">
    <fb>17.376999999999999</fb>
    <v>11</v>
  </rv>
  <rv s="6">
    <fb>14.154</fb>
    <v>11</v>
  </rv>
  <rv s="6">
    <fb>15931320</fb>
    <v>12</v>
  </rv>
  <rv s="6">
    <fb>15.646000000000001</fb>
    <v>11</v>
  </rv>
  <rv s="6">
    <fb>17.108000000000001</fb>
    <v>11</v>
  </rv>
  <rv s="6">
    <fb>17.616</fb>
    <v>11</v>
  </rv>
  <rv s="6">
    <fb>15.580500000000001</fb>
    <v>11</v>
  </rv>
  <rv s="6">
    <fb>8892810</fb>
    <v>12</v>
  </rv>
  <rv s="6">
    <fb>15.19</fb>
    <v>11</v>
  </rv>
  <rv s="6">
    <fb>15.452999999999999</fb>
    <v>11</v>
  </rv>
  <rv s="6">
    <fb>16.170999999999999</fb>
    <v>11</v>
  </rv>
  <rv s="6">
    <fb>14.555</fb>
    <v>11</v>
  </rv>
  <rv s="6">
    <fb>7795170</fb>
    <v>12</v>
  </rv>
  <rv s="6">
    <fb>15.324999999999999</fb>
    <v>11</v>
  </rv>
  <rv s="6">
    <fb>15.371</fb>
    <v>11</v>
  </rv>
  <rv s="6">
    <fb>15.824</fb>
    <v>11</v>
  </rv>
  <rv s="6">
    <fb>14.762</fb>
    <v>11</v>
  </rv>
  <rv s="6">
    <fb>7906840</fb>
    <v>12</v>
  </rv>
  <rv s="6">
    <fb>15.858000000000001</fb>
    <v>11</v>
  </rv>
  <rv s="6">
    <fb>15.532</fb>
    <v>11</v>
  </rv>
  <rv s="6">
    <fb>15.026999999999999</fb>
    <v>11</v>
  </rv>
  <rv s="6">
    <fb>8140290</fb>
    <v>12</v>
  </rv>
  <rv s="6">
    <fb>16.898</fb>
    <v>11</v>
  </rv>
  <rv s="6">
    <fb>15.835000000000001</fb>
    <v>11</v>
  </rv>
  <rv s="6">
    <fb>17.283000000000001</fb>
    <v>11</v>
  </rv>
  <rv s="6">
    <fb>15.8</fb>
    <v>11</v>
  </rv>
  <rv s="6">
    <fb>7436740</fb>
    <v>12</v>
  </rv>
  <rv s="6">
    <fb>17.059000000000001</fb>
    <v>11</v>
  </rv>
  <rv s="6">
    <fb>16.797999999999998</fb>
    <v>11</v>
  </rv>
  <rv s="6">
    <fb>17.111000000000001</fb>
    <v>11</v>
  </rv>
  <rv s="6">
    <fb>15.936999999999999</fb>
    <v>11</v>
  </rv>
  <rv s="6">
    <fb>5681710</fb>
    <v>12</v>
  </rv>
  <rv s="6">
    <fb>17.512</fb>
    <v>11</v>
  </rv>
  <rv s="6">
    <fb>16.959</fb>
    <v>11</v>
  </rv>
  <rv s="6">
    <fb>17.558</fb>
    <v>11</v>
  </rv>
  <rv s="6">
    <fb>16.221</fb>
    <v>11</v>
  </rv>
  <rv s="6">
    <fb>6406220</fb>
    <v>12</v>
  </rv>
  <rv s="6">
    <fb>17.282</fb>
    <v>11</v>
  </rv>
  <rv s="6">
    <fb>17.484000000000002</fb>
    <v>11</v>
  </rv>
  <rv s="6">
    <fb>17.73</fb>
    <v>11</v>
  </rv>
  <rv s="6">
    <fb>16.8535</fb>
    <v>11</v>
  </rv>
  <rv s="6">
    <fb>4187970</fb>
    <v>12</v>
  </rv>
  <rv s="6">
    <fb>18.274999999999999</fb>
    <v>11</v>
  </rv>
  <rv s="6">
    <fb>17.417999999999999</fb>
    <v>11</v>
  </rv>
  <rv s="6">
    <fb>18.309000000000001</fb>
    <v>11</v>
  </rv>
  <rv s="6">
    <fb>16.847999999999999</fb>
    <v>11</v>
  </rv>
  <rv s="6">
    <fb>5783290</fb>
    <v>12</v>
  </rv>
  <rv s="6">
    <fb>18.341999999999999</fb>
    <v>11</v>
  </rv>
  <rv s="6">
    <fb>18.664999999999999</fb>
    <v>11</v>
  </rv>
  <rv s="6">
    <fb>17.672000000000001</fb>
    <v>11</v>
  </rv>
  <rv s="6">
    <fb>4927330</fb>
    <v>12</v>
  </rv>
  <rv s="6">
    <fb>18.617000000000001</fb>
    <v>11</v>
  </rv>
  <rv s="6">
    <fb>18.212</fb>
    <v>11</v>
  </rv>
  <rv s="6">
    <fb>18.940999999999999</fb>
    <v>11</v>
  </rv>
  <rv s="6">
    <fb>17.896999999999998</fb>
    <v>11</v>
  </rv>
  <rv s="6">
    <fb>7008200</fb>
    <v>12</v>
  </rv>
  <rv s="6">
    <fb>18.632000000000001</fb>
    <v>11</v>
  </rv>
  <rv s="6">
    <fb>19.184000000000001</fb>
    <v>11</v>
  </rv>
  <rv s="6">
    <fb>18.523</fb>
    <v>11</v>
  </rv>
  <rv s="6">
    <fb>7736670</fb>
    <v>12</v>
  </rv>
  <rv s="6">
    <fb>17.931999999999999</fb>
    <v>11</v>
  </rv>
  <rv s="6">
    <fb>19.190000000000001</fb>
    <v>11</v>
  </rv>
  <rv s="6">
    <fb>19.239999999999998</fb>
    <v>11</v>
  </rv>
  <rv s="6">
    <fb>17.026</fb>
    <v>11</v>
  </rv>
  <rv s="6">
    <fb>12746060</fb>
    <v>12</v>
  </rv>
  <rv s="6">
    <fb>18.257000000000001</fb>
    <v>11</v>
  </rv>
  <rv s="6">
    <fb>17.981999999999999</fb>
    <v>11</v>
  </rv>
  <rv s="6">
    <fb>18.594000000000001</fb>
    <v>11</v>
  </rv>
  <rv s="6">
    <fb>17.751000000000001</fb>
    <v>11</v>
  </rv>
  <rv s="6">
    <fb>7696660</fb>
    <v>12</v>
  </rv>
  <rv s="6">
    <fb>18.215</fb>
    <v>11</v>
  </rv>
  <rv s="6">
    <fb>19.218</fb>
    <v>11</v>
  </rv>
  <rv s="6">
    <fb>18.125</fb>
    <v>11</v>
  </rv>
  <rv s="6">
    <fb>8938110</fb>
    <v>12</v>
  </rv>
  <rv s="6">
    <fb>17.928000000000001</fb>
    <v>11</v>
  </rv>
  <rv s="6">
    <fb>18.260000000000002</fb>
    <v>11</v>
  </rv>
  <rv s="6">
    <fb>18.542000000000002</fb>
    <v>11</v>
  </rv>
  <rv s="6">
    <fb>17.635999999999999</fb>
    <v>11</v>
  </rv>
  <rv s="6">
    <fb>5902660</fb>
    <v>12</v>
  </rv>
  <rv s="6">
    <fb>19.093</fb>
    <v>11</v>
  </rv>
  <rv s="6">
    <fb>19.151</fb>
    <v>11</v>
  </rv>
  <rv s="6">
    <fb>17.957999999999998</fb>
    <v>11</v>
  </rv>
  <rv s="6">
    <fb>4216900</fb>
    <v>12</v>
  </rv>
  <rv s="6">
    <fb>18.869</fb>
    <v>11</v>
  </rv>
  <rv s="6">
    <fb>18.382000000000001</fb>
    <v>11</v>
  </rv>
  <rv s="6">
    <fb>6059120</fb>
    <v>12</v>
  </rv>
  <rv s="6">
    <fb>18.776</fb>
    <v>11</v>
  </rv>
  <rv s="6">
    <fb>18.975000000000001</fb>
    <v>11</v>
  </rv>
  <rv s="6">
    <fb>18.669</fb>
    <v>11</v>
  </rv>
  <rv s="6">
    <fb>5839510</fb>
    <v>12</v>
  </rv>
  <rv s="6">
    <fb>17.917999999999999</fb>
    <v>11</v>
  </rv>
  <rv s="6">
    <fb>18.658000000000001</fb>
    <v>11</v>
  </rv>
  <rv s="6">
    <fb>19.1005</fb>
    <v>11</v>
  </rv>
  <rv s="6">
    <fb>17.739000000000001</fb>
    <v>11</v>
  </rv>
  <rv s="6">
    <fb>4246000</fb>
    <v>12</v>
  </rv>
  <rv s="6">
    <fb>18.201000000000001</fb>
    <v>11</v>
  </rv>
  <rv s="6">
    <fb>18.625</fb>
    <v>11</v>
  </rv>
  <rv s="6">
    <fb>17.260000000000002</fb>
    <v>11</v>
  </rv>
  <rv s="6">
    <fb>6201350</fb>
    <v>12</v>
  </rv>
  <rv s="6">
    <fb>17.239000000000001</fb>
    <v>11</v>
  </rv>
  <rv s="6">
    <fb>17.073</fb>
    <v>11</v>
  </rv>
  <rv s="6">
    <fb>17.696000000000002</fb>
    <v>11</v>
  </rv>
  <rv s="6">
    <fb>16.501999999999999</fb>
    <v>11</v>
  </rv>
  <rv s="6">
    <fb>7735610</fb>
    <v>12</v>
  </rv>
  <rv s="6">
    <fb>17.829000000000001</fb>
    <v>11</v>
  </rv>
  <rv s="6">
    <fb>17.117999999999999</fb>
    <v>11</v>
  </rv>
  <rv s="6">
    <fb>17.991</fb>
    <v>11</v>
  </rv>
  <rv s="6">
    <fb>16.8</fb>
    <v>11</v>
  </rv>
  <rv s="6">
    <fb>3585100</fb>
    <v>12</v>
  </rv>
  <rv s="6">
    <fb>18.721</fb>
    <v>11</v>
  </rv>
  <rv s="6">
    <fb>18.007000000000001</fb>
    <v>11</v>
  </rv>
  <rv s="6">
    <fb>18.806100000000001</fb>
    <v>11</v>
  </rv>
  <rv s="6">
    <fb>17.797000000000001</fb>
    <v>11</v>
  </rv>
  <rv s="6">
    <fb>6791000</fb>
    <v>12</v>
  </rv>
  <rv s="6">
    <fb>18.783999999999999</fb>
    <v>11</v>
  </rv>
  <rv s="6">
    <fb>19.175999999999998</fb>
    <v>11</v>
  </rv>
  <rv s="6">
    <fb>18.225000000000001</fb>
    <v>11</v>
  </rv>
  <rv s="6">
    <fb>7437010</fb>
    <v>12</v>
  </rv>
  <rv s="6">
    <fb>17.489000000000001</fb>
    <v>11</v>
  </rv>
  <rv s="6">
    <fb>18.765999999999998</fb>
    <v>11</v>
  </rv>
  <rv s="6">
    <fb>16.189499999999999</fb>
    <v>11</v>
  </rv>
  <rv s="6">
    <fb>10915160</fb>
    <v>12</v>
  </rv>
  <rv s="6">
    <fb>16.632000000000001</fb>
    <v>11</v>
  </rv>
  <rv s="6">
    <fb>17.431999999999999</fb>
    <v>11</v>
  </rv>
  <rv s="6">
    <fb>16.294</fb>
    <v>11</v>
  </rv>
  <rv s="6">
    <fb>9293770</fb>
    <v>12</v>
  </rv>
  <rv s="6">
    <fb>16.542999999999999</fb>
    <v>11</v>
  </rv>
  <rv s="6">
    <fb>16.611000000000001</fb>
    <v>11</v>
  </rv>
  <rv s="6">
    <fb>16.707999999999998</fb>
    <v>11</v>
  </rv>
  <rv s="6">
    <fb>16.321000000000002</fb>
    <v>11</v>
  </rv>
  <rv s="6">
    <fb>5385470</fb>
    <v>12</v>
  </rv>
  <rv s="6">
    <fb>16.664000000000001</fb>
    <v>11</v>
  </rv>
  <rv s="6">
    <fb>16.760000000000002</fb>
    <v>11</v>
  </rv>
  <rv s="6">
    <fb>16.318000000000001</fb>
    <v>11</v>
  </rv>
  <rv s="6">
    <fb>3912380</fb>
    <v>12</v>
  </rv>
  <rv s="6">
    <fb>16.747</fb>
    <v>11</v>
  </rv>
  <rv s="6">
    <fb>16.66</fb>
    <v>11</v>
  </rv>
  <rv s="6">
    <fb>17.1815</fb>
    <v>11</v>
  </rv>
  <rv s="6">
    <fb>16.404</fb>
    <v>11</v>
  </rv>
  <rv s="6">
    <fb>4973120</fb>
    <v>12</v>
  </rv>
  <rv s="6">
    <fb>16.978000000000002</fb>
    <v>11</v>
  </rv>
  <rv s="6">
    <fb>16.73</fb>
    <v>11</v>
  </rv>
  <rv s="6">
    <fb>16.509</fb>
    <v>11</v>
  </rv>
  <rv s="6">
    <fb>4084830</fb>
    <v>12</v>
  </rv>
  <rv s="6">
    <fb>16.949000000000002</fb>
    <v>11</v>
  </rv>
  <rv s="6">
    <fb>17.367000000000001</fb>
    <v>11</v>
  </rv>
  <rv s="6">
    <fb>16.75</fb>
    <v>11</v>
  </rv>
  <rv s="6">
    <fb>5602120</fb>
    <v>12</v>
  </rv>
  <rv s="6">
    <fb>16.484000000000002</fb>
    <v>11</v>
  </rv>
  <rv s="6">
    <fb>17.088000000000001</fb>
    <v>11</v>
  </rv>
  <rv s="6">
    <fb>17.289000000000001</fb>
    <v>11</v>
  </rv>
  <rv s="6">
    <fb>16.402000000000001</fb>
    <v>11</v>
  </rv>
  <rv s="6">
    <fb>7513820</fb>
    <v>12</v>
  </rv>
  <rv s="6">
    <fb>17.178000000000001</fb>
    <v>11</v>
  </rv>
  <rv s="6">
    <fb>16.614000000000001</fb>
    <v>11</v>
  </rv>
  <rv s="6">
    <fb>17.231000000000002</fb>
    <v>11</v>
  </rv>
  <rv s="6">
    <fb>16.358000000000001</fb>
    <v>11</v>
  </rv>
  <rv s="6">
    <fb>6401230</fb>
    <v>12</v>
  </rv>
  <rv s="6">
    <fb>16.744</fb>
    <v>11</v>
  </rv>
  <rv s="6">
    <fb>17.094000000000001</fb>
    <v>11</v>
  </rv>
  <rv s="6">
    <fb>17.170500000000001</fb>
    <v>11</v>
  </rv>
  <rv s="6">
    <fb>16.452000000000002</fb>
    <v>11</v>
  </rv>
  <rv s="6">
    <fb>5904770</fb>
    <v>12</v>
  </rv>
  <rv s="6">
    <fb>17.297999999999998</fb>
    <v>11</v>
  </rv>
  <rv s="6">
    <fb>16.696999999999999</fb>
    <v>11</v>
  </rv>
  <rv s="6">
    <fb>17.427</fb>
    <v>11</v>
  </rv>
  <rv s="6">
    <fb>16.271999999999998</fb>
    <v>11</v>
  </rv>
  <rv s="6">
    <fb>6725880</fb>
    <v>12</v>
  </rv>
  <rv s="6">
    <fb>17.22</fb>
    <v>11</v>
  </rv>
  <rv s="6">
    <fb>17.422000000000001</fb>
    <v>11</v>
  </rv>
  <rv s="6">
    <fb>17.007000000000001</fb>
    <v>11</v>
  </rv>
  <rv s="6">
    <fb>4689260</fb>
    <v>12</v>
  </rv>
  <rv s="6">
    <fb>16.861000000000001</fb>
    <v>11</v>
  </rv>
  <rv s="6">
    <fb>16.667000000000002</fb>
    <v>11</v>
  </rv>
  <rv s="6">
    <fb>5231290</fb>
    <v>12</v>
  </rv>
  <rv s="6">
    <fb>19.146999999999998</fb>
    <v>11</v>
  </rv>
  <rv s="6">
    <fb>16.984000000000002</fb>
    <v>11</v>
  </rv>
  <rv s="6">
    <fb>19.901</fb>
    <v>11</v>
  </rv>
  <rv s="6">
    <fb>16.903500000000001</fb>
    <v>11</v>
  </rv>
  <rv s="6">
    <fb>11053240</fb>
    <v>12</v>
  </rv>
  <rv s="6">
    <fb>19.015999999999998</fb>
    <v>11</v>
  </rv>
  <rv s="6">
    <fb>19.277000000000001</fb>
    <v>11</v>
  </rv>
  <rv s="6">
    <fb>19.678999999999998</fb>
    <v>11</v>
  </rv>
  <rv s="6">
    <fb>8525620</fb>
    <v>12</v>
  </rv>
  <rv s="6">
    <fb>19.675000000000001</fb>
    <v>11</v>
  </rv>
  <rv s="6">
    <fb>19.297999999999998</fb>
    <v>11</v>
  </rv>
  <rv s="6">
    <fb>19.811499999999999</fb>
    <v>11</v>
  </rv>
  <rv s="6">
    <fb>18.643999999999998</fb>
    <v>11</v>
  </rv>
  <rv s="6">
    <fb>13665940</fb>
    <v>12</v>
  </rv>
  <rv s="6">
    <fb>19.667999999999999</fb>
    <v>11</v>
  </rv>
  <rv s="6">
    <fb>19.879000000000001</fb>
    <v>11</v>
  </rv>
  <rv s="6">
    <fb>19.914000000000001</fb>
    <v>11</v>
  </rv>
  <rv s="6">
    <fb>19.074999999999999</fb>
    <v>11</v>
  </rv>
  <rv s="6">
    <fb>5061740</fb>
    <v>12</v>
  </rv>
  <rv s="6">
    <fb>19.785</fb>
    <v>11</v>
  </rv>
  <rv s="6">
    <fb>19.9695</fb>
    <v>11</v>
  </rv>
  <rv s="6">
    <fb>19.539000000000001</fb>
    <v>11</v>
  </rv>
  <rv s="6">
    <fb>2378060</fb>
    <v>12</v>
  </rv>
  <rv s="6">
    <fb>19.193999999999999</fb>
    <v>11</v>
  </rv>
  <rv s="6">
    <fb>19.727</fb>
    <v>11</v>
  </rv>
  <rv s="6">
    <fb>19.927</fb>
    <v>11</v>
  </rv>
  <rv s="6">
    <fb>18.501999999999999</fb>
    <v>11</v>
  </rv>
  <rv s="6">
    <fb>4662180</fb>
    <v>12</v>
  </rv>
  <rv s="6">
    <fb>20.097000000000001</fb>
    <v>11</v>
  </rv>
  <rv s="6">
    <fb>19.277999999999999</fb>
    <v>11</v>
  </rv>
  <rv s="6">
    <fb>20.513500000000001</fb>
    <v>11</v>
  </rv>
  <rv s="6">
    <fb>19.256</fb>
    <v>11</v>
  </rv>
  <rv s="6">
    <fb>4513080</fb>
    <v>12</v>
  </rv>
  <rv s="6">
    <fb>20.04</fb>
    <v>11</v>
  </rv>
  <rv s="6">
    <fb>20.071999999999999</fb>
    <v>11</v>
  </rv>
  <rv s="6">
    <fb>19.623999999999999</fb>
    <v>11</v>
  </rv>
  <rv s="6">
    <fb>4983270</fb>
    <v>12</v>
  </rv>
  <rv s="6">
    <fb>20.122</fb>
    <v>11</v>
  </rv>
  <rv s="6">
    <fb>20.728000000000002</fb>
    <v>11</v>
  </rv>
  <rv s="6">
    <fb>19.536000000000001</fb>
    <v>11</v>
  </rv>
  <rv s="6">
    <fb>4334230</fb>
    <v>12</v>
  </rv>
  <rv s="6">
    <fb>20.065000000000001</fb>
    <v>11</v>
  </rv>
  <rv s="6">
    <fb>20.698</fb>
    <v>11</v>
  </rv>
  <rv s="6">
    <fb>19.59</fb>
    <v>11</v>
  </rv>
  <rv s="6">
    <fb>2518870</fb>
    <v>12</v>
  </rv>
  <rv s="6">
    <fb>19.917000000000002</fb>
    <v>11</v>
  </rv>
  <rv s="6">
    <fb>19.855</fb>
    <v>11</v>
  </rv>
  <rv s="6">
    <fb>20.274000000000001</fb>
    <v>11</v>
  </rv>
  <rv s="6">
    <fb>19.702000000000002</fb>
    <v>11</v>
  </rv>
  <rv s="6">
    <fb>4129440</fb>
    <v>12</v>
  </rv>
  <rv s="6">
    <fb>20.38</fb>
    <v>11</v>
  </rv>
  <rv s="6">
    <fb>19.969000000000001</fb>
    <v>11</v>
  </rv>
  <rv s="6">
    <fb>20.422000000000001</fb>
    <v>11</v>
  </rv>
  <rv s="6">
    <fb>19.667000000000002</fb>
    <v>11</v>
  </rv>
  <rv s="6">
    <fb>3390590</fb>
    <v>12</v>
  </rv>
  <rv s="6">
    <fb>20.155000000000001</fb>
    <v>11</v>
  </rv>
  <rv s="6">
    <fb>20.248999999999999</fb>
    <v>11</v>
  </rv>
  <rv s="6">
    <fb>20.408999999999999</fb>
    <v>11</v>
  </rv>
  <rv s="6">
    <fb>19.786999999999999</fb>
    <v>11</v>
  </rv>
  <rv s="6">
    <fb>2871790</fb>
    <v>12</v>
  </rv>
  <rv s="6">
    <fb>19.957999999999998</fb>
    <v>11</v>
  </rv>
  <rv s="6">
    <fb>20.192</fb>
    <v>11</v>
  </rv>
  <rv s="6">
    <fb>20.596</fb>
    <v>11</v>
  </rv>
  <rv s="6">
    <fb>3704480</fb>
    <v>12</v>
  </rv>
  <rv s="6">
    <fb>19.547999999999998</fb>
    <v>11</v>
  </rv>
  <rv s="6">
    <fb>19.858000000000001</fb>
    <v>11</v>
  </rv>
  <rv s="6">
    <fb>19.001999999999999</fb>
    <v>11</v>
  </rv>
  <rv s="6">
    <fb>5848360</fb>
    <v>12</v>
  </rv>
  <rv s="6">
    <fb>18.934999999999999</fb>
    <v>11</v>
  </rv>
  <rv s="6">
    <fb>19.431000000000001</fb>
    <v>11</v>
  </rv>
  <rv s="6">
    <fb>19.463000000000001</fb>
    <v>11</v>
  </rv>
  <rv s="6">
    <fb>2524300</fb>
    <v>12</v>
  </rv>
  <rv s="6">
    <fb>19.286999999999999</fb>
    <v>11</v>
  </rv>
  <rv s="6">
    <fb>19.055</fb>
    <v>11</v>
  </rv>
  <rv s="6">
    <fb>19.524999999999999</fb>
    <v>11</v>
  </rv>
  <rv s="6">
    <fb>18.787700000000001</fb>
    <v>11</v>
  </rv>
  <rv s="6">
    <fb>2547430</fb>
    <v>12</v>
  </rv>
  <rv s="6">
    <fb>19.433</fb>
    <v>11</v>
  </rv>
  <rv s="6">
    <fb>19.308</fb>
    <v>11</v>
  </rv>
  <rv s="6">
    <fb>19.722000000000001</fb>
    <v>11</v>
  </rv>
  <rv s="6">
    <fb>19.152000000000001</fb>
    <v>11</v>
  </rv>
  <rv s="6">
    <fb>2583390</fb>
    <v>12</v>
  </rv>
  <rv s="6">
    <fb>19.353000000000002</fb>
    <v>11</v>
  </rv>
  <rv s="6">
    <fb>2597010</fb>
    <v>12</v>
  </rv>
  <rv s="6">
    <fb>18.696999999999999</fb>
    <v>11</v>
  </rv>
  <rv s="6">
    <fb>19.190999999999999</fb>
    <v>11</v>
  </rv>
  <rv s="6">
    <fb>18.542999999999999</fb>
    <v>11</v>
  </rv>
  <rv s="6">
    <fb>2858000</fb>
    <v>12</v>
  </rv>
  <rv s="6">
    <fb>19.186</fb>
    <v>11</v>
  </rv>
  <rv s="6">
    <fb>2741280</fb>
    <v>12</v>
  </rv>
  <rv s="6">
    <fb>18.614000000000001</fb>
    <v>11</v>
  </rv>
  <rv s="6">
    <fb>19.161000000000001</fb>
    <v>11</v>
  </rv>
  <rv s="6">
    <fb>19.401</fb>
    <v>11</v>
  </rv>
  <rv s="6">
    <fb>18.361999999999998</fb>
    <v>11</v>
  </rv>
  <rv s="6">
    <fb>3585730</fb>
    <v>12</v>
  </rv>
  <rv s="6">
    <fb>18.222000000000001</fb>
    <v>11</v>
  </rv>
  <rv s="6">
    <fb>2392860</fb>
    <v>12</v>
  </rv>
  <rv s="6">
    <fb>18.28</fb>
    <v>11</v>
  </rv>
  <rv s="6">
    <fb>18.103000000000002</fb>
    <v>11</v>
  </rv>
  <rv s="6">
    <fb>3254010</fb>
    <v>12</v>
  </rv>
  <rv s="6">
    <fb>18.347999999999999</fb>
    <v>11</v>
  </rv>
  <rv s="6">
    <fb>18.716999999999999</fb>
    <v>11</v>
  </rv>
  <rv s="6">
    <fb>18.155000000000001</fb>
    <v>11</v>
  </rv>
  <rv s="6">
    <fb>1363820</fb>
    <v>12</v>
  </rv>
  <rv s="6">
    <fb>18.759</fb>
    <v>11</v>
  </rv>
  <rv s="6">
    <fb>18.265499999999999</fb>
    <v>11</v>
  </rv>
  <rv s="6">
    <fb>19.143999999999998</fb>
    <v>11</v>
  </rv>
  <rv s="6">
    <fb>18.184999999999999</fb>
    <v>11</v>
  </rv>
  <rv s="6">
    <fb>3060170</fb>
    <v>12</v>
  </rv>
  <rv s="6">
    <fb>19.016999999999999</fb>
    <v>11</v>
  </rv>
  <rv s="6">
    <fb>19.045999999999999</fb>
    <v>11</v>
  </rv>
  <rv s="6">
    <fb>19.457999999999998</fb>
    <v>11</v>
  </rv>
  <rv s="6">
    <fb>18.154</fb>
    <v>11</v>
  </rv>
  <rv s="6">
    <fb>3900180</fb>
    <v>12</v>
  </rv>
  <rv s="6">
    <fb>19.094999999999999</fb>
    <v>11</v>
  </rv>
  <rv s="6">
    <fb>19.044</fb>
    <v>11</v>
  </rv>
  <rv s="6">
    <fb>19.457000000000001</fb>
    <v>11</v>
  </rv>
  <rv s="6">
    <fb>18.277999999999999</fb>
    <v>11</v>
  </rv>
  <rv s="6">
    <fb>4287620</fb>
    <v>12</v>
  </rv>
  <rv s="6">
    <fb>18.530999999999999</fb>
    <v>11</v>
  </rv>
  <rv s="6">
    <fb>19.085999999999999</fb>
    <v>11</v>
  </rv>
  <rv s="6">
    <fb>19.39</fb>
    <v>11</v>
  </rv>
  <rv s="6">
    <fb>18.385000000000002</fb>
    <v>11</v>
  </rv>
  <rv s="6">
    <fb>3348490</fb>
    <v>12</v>
  </rv>
  <rv s="6">
    <fb>18.378</fb>
    <v>11</v>
  </rv>
  <rv s="6">
    <fb>18.504999999999999</fb>
    <v>11</v>
  </rv>
  <rv s="6">
    <fb>18.919</fb>
    <v>11</v>
  </rv>
  <rv s="6">
    <fb>18.295500000000001</fb>
    <v>11</v>
  </rv>
  <rv s="6">
    <fb>3744490</fb>
    <v>12</v>
  </rv>
  <rv s="6">
    <fb>18.077000000000002</fb>
    <v>11</v>
  </rv>
  <rv s="6">
    <fb>18.408000000000001</fb>
    <v>11</v>
  </rv>
  <rv s="6">
    <fb>18.613</fb>
    <v>11</v>
  </rv>
  <rv s="6">
    <fb>18</fb>
    <v>11</v>
  </rv>
  <rv s="6">
    <fb>4748840</fb>
    <v>12</v>
  </rv>
  <rv s="6">
    <fb>18.832000000000001</fb>
    <v>11</v>
  </rv>
  <rv s="6">
    <fb>18.042000000000002</fb>
    <v>11</v>
  </rv>
  <rv s="6">
    <fb>18.0001</fb>
    <v>11</v>
  </rv>
  <rv s="6">
    <fb>3213810</fb>
    <v>12</v>
  </rv>
  <rv s="6">
    <fb>18.079000000000001</fb>
    <v>11</v>
  </rv>
  <rv s="6">
    <fb>18.821000000000002</fb>
    <v>11</v>
  </rv>
  <rv s="6">
    <fb>17.867000000000001</fb>
    <v>11</v>
  </rv>
  <rv s="6">
    <fb>3260590</fb>
    <v>12</v>
  </rv>
  <rv s="6">
    <fb>18.488</fb>
    <v>11</v>
  </rv>
  <rv s="6">
    <fb>17.75</fb>
    <v>11</v>
  </rv>
  <rv s="6">
    <fb>4127770</fb>
    <v>12</v>
  </rv>
  <rv s="6">
    <fb>18.495000000000001</fb>
    <v>11</v>
  </rv>
  <rv s="6">
    <fb>18.297000000000001</fb>
    <v>11</v>
  </rv>
  <rv s="6">
    <fb>18.777000000000001</fb>
    <v>11</v>
  </rv>
  <rv s="6">
    <fb>18.096299999999999</fb>
    <v>11</v>
  </rv>
  <rv s="6">
    <fb>5187120</fb>
    <v>12</v>
  </rv>
  <rv s="6">
    <fb>19.167000000000002</fb>
    <v>11</v>
  </rv>
  <rv s="6">
    <fb>19.347000000000001</fb>
    <v>11</v>
  </rv>
  <rv s="6">
    <fb>18.411000000000001</fb>
    <v>11</v>
  </rv>
  <rv s="6">
    <fb>7264990</fb>
    <v>12</v>
  </rv>
  <rv s="6">
    <fb>18.498999999999999</fb>
    <v>11</v>
  </rv>
  <rv s="6">
    <fb>19.204000000000001</fb>
    <v>11</v>
  </rv>
  <rv s="6">
    <fb>19.224499999999999</fb>
    <v>11</v>
  </rv>
  <rv s="6">
    <fb>2195290</fb>
    <v>12</v>
  </rv>
  <rv s="6">
    <fb>18.472999999999999</fb>
    <v>11</v>
  </rv>
  <rv s="6">
    <fb>18.468</fb>
    <v>11</v>
  </rv>
  <rv s="6">
    <fb>19.449000000000002</fb>
    <v>11</v>
  </rv>
  <rv s="6">
    <fb>18.228999999999999</fb>
    <v>11</v>
  </rv>
  <rv s="6">
    <fb>2327050</fb>
    <v>12</v>
  </rv>
  <rv s="6">
    <fb>18.847999999999999</fb>
    <v>11</v>
  </rv>
  <rv s="6">
    <fb>18.472000000000001</fb>
    <v>11</v>
  </rv>
  <rv s="6">
    <fb>19.116</fb>
    <v>11</v>
  </rv>
  <rv s="6">
    <fb>18.416</fb>
    <v>11</v>
  </rv>
  <rv s="6">
    <fb>3283300</fb>
    <v>12</v>
  </rv>
  <rv s="6">
    <fb>13.999000000000001</fb>
    <v>11</v>
  </rv>
  <rv s="6">
    <fb>18.780999999999999</fb>
    <v>11</v>
  </rv>
  <rv s="6">
    <fb>19.635000000000002</fb>
    <v>11</v>
  </rv>
  <rv s="6">
    <fb>13.521000000000001</fb>
    <v>11</v>
  </rv>
  <rv s="6">
    <fb>10531420</fb>
    <v>12</v>
  </rv>
  <rv s="6">
    <fb>13.573</fb>
    <v>11</v>
  </rv>
  <rv s="6">
    <fb>13.99</fb>
    <v>11</v>
  </rv>
  <rv s="6">
    <fb>14.071</fb>
    <v>11</v>
  </rv>
  <rv s="6">
    <fb>13.226000000000001</fb>
    <v>11</v>
  </rv>
  <rv s="6">
    <fb>11194120</fb>
    <v>12</v>
  </rv>
  <rv s="6">
    <fb>12.901</fb>
    <v>11</v>
  </rv>
  <rv s="6">
    <fb>13.555999999999999</fb>
    <v>11</v>
  </rv>
  <rv s="6">
    <fb>13.563000000000001</fb>
    <v>11</v>
  </rv>
  <rv s="6">
    <fb>12.606999999999999</fb>
    <v>11</v>
  </rv>
  <rv s="6">
    <fb>6877570</fb>
    <v>12</v>
  </rv>
  <rv s="6">
    <fb>12.593</fb>
    <v>11</v>
  </rv>
  <rv s="6">
    <fb>12.904999999999999</fb>
    <v>11</v>
  </rv>
  <rv s="6">
    <fb>13.249000000000001</fb>
    <v>11</v>
  </rv>
  <rv s="6">
    <fb>12.515000000000001</fb>
    <v>11</v>
  </rv>
  <rv s="6">
    <fb>9709630</fb>
    <v>12</v>
  </rv>
  <rv s="6">
    <fb>12.576000000000001</fb>
    <v>11</v>
  </rv>
  <rv s="6">
    <fb>12.56</fb>
    <v>11</v>
  </rv>
  <rv s="6">
    <fb>12.816000000000001</fb>
    <v>11</v>
  </rv>
  <rv s="6">
    <fb>12.336</fb>
    <v>11</v>
  </rv>
  <rv s="6">
    <fb>4320260</fb>
    <v>12</v>
  </rv>
  <rv s="6">
    <fb>12.85</fb>
    <v>11</v>
  </rv>
  <rv s="6">
    <fb>12.577999999999999</fb>
    <v>11</v>
  </rv>
  <rv s="6">
    <fb>12.506</fb>
    <v>11</v>
  </rv>
  <rv s="6">
    <fb>6292330</fb>
    <v>12</v>
  </rv>
  <rv s="6">
    <fb>12.824999999999999</fb>
    <v>11</v>
  </rv>
  <rv s="6">
    <fb>13.0395</fb>
    <v>11</v>
  </rv>
  <rv s="6">
    <fb>12.708299999999999</fb>
    <v>11</v>
  </rv>
  <rv s="6">
    <fb>5109760</fb>
    <v>12</v>
  </rv>
  <rv s="6">
    <fb>12.680999999999999</fb>
    <v>11</v>
  </rv>
  <rv s="6">
    <fb>12.891999999999999</fb>
    <v>11</v>
  </rv>
  <rv s="6">
    <fb>12.601000000000001</fb>
    <v>11</v>
  </rv>
  <rv s="6">
    <fb>7806210</fb>
    <v>12</v>
  </rv>
  <rv s="6">
    <fb>12.476000000000001</fb>
    <v>11</v>
  </rv>
  <rv s="6">
    <fb>12.670999999999999</fb>
    <v>11</v>
  </rv>
  <rv s="6">
    <fb>12.733000000000001</fb>
    <v>11</v>
  </rv>
  <rv s="6">
    <fb>12.3154</fb>
    <v>11</v>
  </rv>
  <rv s="6">
    <fb>4624340</fb>
    <v>12</v>
  </rv>
  <rv s="6">
    <fb>12.771000000000001</fb>
    <v>11</v>
  </rv>
  <rv s="6">
    <fb>12.478999999999999</fb>
    <v>11</v>
  </rv>
  <rv s="6">
    <fb>12.851000000000001</fb>
    <v>11</v>
  </rv>
  <rv s="6">
    <fb>12.2905</fb>
    <v>11</v>
  </rv>
  <rv s="6">
    <fb>3521540</fb>
    <v>12</v>
  </rv>
  <rv s="6">
    <fb>13.135999999999999</fb>
    <v>11</v>
  </rv>
  <rv s="6">
    <fb>13.195</fb>
    <v>11</v>
  </rv>
  <rv s="6">
    <fb>4185360</fb>
    <v>12</v>
  </rv>
  <rv s="6">
    <fb>13.185</fb>
    <v>11</v>
  </rv>
  <rv s="6">
    <fb>13.6015</fb>
    <v>11</v>
  </rv>
  <rv s="6">
    <fb>13.073499999999999</fb>
    <v>11</v>
  </rv>
  <rv s="6">
    <fb>4809060</fb>
    <v>12</v>
  </rv>
  <rv s="6">
    <fb>13.7</fb>
    <v>11</v>
  </rv>
  <rv s="6">
    <fb>13.499000000000001</fb>
    <v>11</v>
  </rv>
  <rv s="6">
    <fb>13.855</fb>
    <v>11</v>
  </rv>
  <rv s="6">
    <fb>13.4801</fb>
    <v>11</v>
  </rv>
  <rv s="6">
    <fb>4548790</fb>
    <v>12</v>
  </rv>
  <rv s="6">
    <fb>14.086</fb>
    <v>11</v>
  </rv>
  <rv s="6">
    <fb>13.727</fb>
    <v>11</v>
  </rv>
  <rv s="6">
    <fb>14.337</fb>
    <v>11</v>
  </rv>
  <rv s="6">
    <fb>13.51</fb>
    <v>11</v>
  </rv>
  <rv s="6">
    <fb>6780920</fb>
    <v>12</v>
  </rv>
  <rv s="6">
    <fb>13.368</fb>
    <v>11</v>
  </rv>
  <rv s="6">
    <fb>14.032</fb>
    <v>11</v>
  </rv>
  <rv s="6">
    <fb>14.128</fb>
    <v>11</v>
  </rv>
  <rv s="6">
    <fb>12.968</fb>
    <v>11</v>
  </rv>
  <rv s="6">
    <fb>7925000</fb>
    <v>12</v>
  </rv>
  <rv s="6">
    <fb>13.35</fb>
    <v>11</v>
  </rv>
  <rv s="6">
    <fb>13.332000000000001</fb>
    <v>11</v>
  </rv>
  <rv s="6">
    <fb>13.599</fb>
    <v>11</v>
  </rv>
  <rv s="6">
    <fb>13.21</fb>
    <v>11</v>
  </rv>
  <rv s="6">
    <fb>4787660</fb>
    <v>12</v>
  </rv>
  <rv s="6">
    <fb>13.375999999999999</fb>
    <v>11</v>
  </rv>
  <rv s="6">
    <fb>13.457000000000001</fb>
    <v>11</v>
  </rv>
  <rv s="6">
    <fb>13.087</fb>
    <v>11</v>
  </rv>
  <rv s="6">
    <fb>6013780</fb>
    <v>12</v>
  </rv>
  <rv s="6">
    <fb>13.743</fb>
    <v>11</v>
  </rv>
  <rv s="6">
    <fb>13.4</fb>
    <v>11</v>
  </rv>
  <rv s="6">
    <fb>13.811999999999999</fb>
    <v>11</v>
  </rv>
  <rv s="6">
    <fb>13.379</fb>
    <v>11</v>
  </rv>
  <rv s="6">
    <fb>2210950</fb>
    <v>12</v>
  </rv>
  <rv s="6">
    <fb>13.744</fb>
    <v>11</v>
  </rv>
  <rv s="6">
    <fb>13.342000000000001</fb>
    <v>11</v>
  </rv>
  <rv s="6">
    <fb>2777000</fb>
    <v>12</v>
  </rv>
  <rv s="6">
    <fb>13.625</fb>
    <v>11</v>
  </rv>
  <rv s="6">
    <fb>13.616</fb>
    <v>11</v>
  </rv>
  <rv s="6">
    <fb>13.88</fb>
    <v>11</v>
  </rv>
  <rv s="6">
    <fb>13.106999999999999</fb>
    <v>11</v>
  </rv>
  <rv s="6">
    <fb>4449320</fb>
    <v>12</v>
  </rv>
  <rv s="6">
    <fb>13.637</fb>
    <v>11</v>
  </rv>
  <rv s="6">
    <fb>12.975</fb>
    <v>11</v>
  </rv>
  <rv s="6">
    <fb>5477660</fb>
    <v>12</v>
  </rv>
  <rv s="6">
    <fb>13.193</fb>
    <v>11</v>
  </rv>
  <rv s="6">
    <fb>13.287000000000001</fb>
    <v>11</v>
  </rv>
  <rv s="6">
    <fb>13.648</fb>
    <v>11</v>
  </rv>
  <rv s="6">
    <fb>3863890</fb>
    <v>12</v>
  </rv>
  <rv s="6">
    <fb>13.13</fb>
    <v>11</v>
  </rv>
  <rv s="6">
    <fb>13.2028</fb>
    <v>11</v>
  </rv>
  <rv s="6">
    <fb>13.295999999999999</fb>
    <v>11</v>
  </rv>
  <rv s="6">
    <fb>13.0505</fb>
    <v>11</v>
  </rv>
  <rv s="6">
    <fb>2097710</fb>
    <v>12</v>
  </rv>
  <rv s="6">
    <fb>13.500999999999999</fb>
    <v>11</v>
  </rv>
  <rv s="6">
    <fb>13.164</fb>
    <v>11</v>
  </rv>
  <rv s="6">
    <fb>13.589</fb>
    <v>11</v>
  </rv>
  <rv s="6">
    <fb>2552220</fb>
    <v>12</v>
  </rv>
  <rv s="6">
    <fb>13.975</fb>
    <v>11</v>
  </rv>
  <rv s="6">
    <fb>13.477</fb>
    <v>11</v>
  </rv>
  <rv s="6">
    <fb>13.98</fb>
    <v>11</v>
  </rv>
  <rv s="6">
    <fb>13.395</fb>
    <v>11</v>
  </rv>
  <rv s="6">
    <fb>2665770</fb>
    <v>12</v>
  </rv>
  <rv s="6">
    <fb>14.098000000000001</fb>
    <v>11</v>
  </rv>
  <rv s="6">
    <fb>13.996</fb>
    <v>11</v>
  </rv>
  <rv s="6">
    <fb>14.215</fb>
    <v>11</v>
  </rv>
  <rv s="6">
    <fb>13.788</fb>
    <v>11</v>
  </rv>
  <rv s="6">
    <fb>2594410</fb>
    <v>12</v>
  </rv>
  <rv s="6">
    <fb>13.779</fb>
    <v>11</v>
  </rv>
  <rv s="6">
    <fb>14.065</fb>
    <v>11</v>
  </rv>
  <rv s="6">
    <fb>13.2</fb>
    <v>11</v>
  </rv>
  <rv s="6">
    <fb>5717370</fb>
    <v>12</v>
  </rv>
  <rv s="6">
    <fb>13.712</fb>
    <v>11</v>
  </rv>
  <rv s="6">
    <fb>13.984999999999999</fb>
    <v>11</v>
  </rv>
  <rv s="6">
    <fb>13.482100000000001</fb>
    <v>11</v>
  </rv>
  <rv s="6">
    <fb>4340680</fb>
    <v>12</v>
  </rv>
  <rv s="6">
    <fb>13.061999999999999</fb>
    <v>11</v>
  </rv>
  <rv s="6">
    <fb>13.5565</fb>
    <v>11</v>
  </rv>
  <rv s="6">
    <fb>4363730</fb>
    <v>12</v>
  </rv>
  <rv s="6">
    <fb>13.755000000000001</fb>
    <v>11</v>
  </rv>
  <rv s="6">
    <fb>13.119</fb>
    <v>11</v>
  </rv>
  <rv s="6">
    <fb>13.914</fb>
    <v>11</v>
  </rv>
  <rv s="6">
    <fb>12.942</fb>
    <v>11</v>
  </rv>
  <rv s="6">
    <fb>5317950</fb>
    <v>12</v>
  </rv>
  <rv s="6">
    <fb>13.798</fb>
    <v>11</v>
  </rv>
  <rv s="6">
    <fb>13.724</fb>
    <v>11</v>
  </rv>
  <rv s="6">
    <fb>13.971</fb>
    <v>11</v>
  </rv>
  <rv s="6">
    <fb>13.605</fb>
    <v>11</v>
  </rv>
  <rv s="6">
    <fb>2594870</fb>
    <v>12</v>
  </rv>
  <rv s="6">
    <fb>12.542999999999999</fb>
    <v>11</v>
  </rv>
  <rv s="6">
    <fb>13.819000000000001</fb>
    <v>11</v>
  </rv>
  <rv s="6">
    <fb>13.855499999999999</fb>
    <v>11</v>
  </rv>
  <rv s="6">
    <fb>12.215999999999999</fb>
    <v>11</v>
  </rv>
  <rv s="6">
    <fb>7409150</fb>
    <v>12</v>
  </rv>
  <rv s="6">
    <fb>13.627000000000001</fb>
    <v>11</v>
  </rv>
  <rv s="6">
    <fb>12.484</fb>
    <v>11</v>
  </rv>
  <rv s="6">
    <fb>13.693</fb>
    <v>11</v>
  </rv>
  <rv s="6">
    <fb>6111080</fb>
    <v>12</v>
  </rv>
  <rv s="6">
    <fb>13.176</fb>
    <v>11</v>
  </rv>
  <rv s="6">
    <fb>13.657999999999999</fb>
    <v>11</v>
  </rv>
  <rv s="6">
    <fb>13.67</fb>
    <v>11</v>
  </rv>
  <rv s="6">
    <fb>13.103</fb>
    <v>11</v>
  </rv>
  <rv s="6">
    <fb>4599630</fb>
    <v>12</v>
  </rv>
  <rv s="6">
    <fb>12.977</fb>
    <v>11</v>
  </rv>
  <rv s="6">
    <fb>13.154</fb>
    <v>11</v>
  </rv>
  <rv s="6">
    <fb>13.273</fb>
    <v>11</v>
  </rv>
  <rv s="6">
    <fb>12.775</fb>
    <v>11</v>
  </rv>
  <rv s="6">
    <fb>4360820</fb>
    <v>12</v>
  </rv>
  <rv s="6">
    <fb>12.898999999999999</fb>
    <v>11</v>
  </rv>
  <rv s="6">
    <fb>13.083</fb>
    <v>11</v>
  </rv>
  <rv s="6">
    <fb>13.314500000000001</fb>
    <v>11</v>
  </rv>
  <rv s="6">
    <fb>12.5945</fb>
    <v>11</v>
  </rv>
  <rv s="6">
    <fb>3895700</fb>
    <v>12</v>
  </rv>
  <rv s="6">
    <fb>12.587</fb>
    <v>11</v>
  </rv>
  <rv s="6">
    <fb>12.871</fb>
    <v>11</v>
  </rv>
  <rv s="6">
    <fb>13.241</fb>
    <v>11</v>
  </rv>
  <rv s="6">
    <fb>4960730</fb>
    <v>12</v>
  </rv>
  <rv s="6">
    <fb>13.018000000000001</fb>
    <v>11</v>
  </rv>
  <rv s="6">
    <fb>12.657</fb>
    <v>11</v>
  </rv>
  <rv s="6">
    <fb>13.09</fb>
    <v>11</v>
  </rv>
  <rv s="6">
    <fb>12.532</fb>
    <v>11</v>
  </rv>
  <rv s="6">
    <fb>4741800</fb>
    <v>12</v>
  </rv>
  <rv s="6">
    <fb>13.074</fb>
    <v>11</v>
  </rv>
  <rv s="6">
    <fb>13.624000000000001</fb>
    <v>11</v>
  </rv>
  <rv s="6">
    <fb>12.798</fb>
    <v>11</v>
  </rv>
  <rv s="6">
    <fb>3639190</fb>
    <v>12</v>
  </rv>
  <rv s="6">
    <fb>12.669</fb>
    <v>11</v>
  </rv>
  <rv s="6">
    <fb>13.238</fb>
    <v>11</v>
  </rv>
  <rv s="6">
    <fb>13.406499999999999</fb>
    <v>11</v>
  </rv>
  <rv s="6">
    <fb>12.362</fb>
    <v>11</v>
  </rv>
  <rv s="6">
    <fb>3493100</fb>
    <v>12</v>
  </rv>
  <rv s="6">
    <fb>13.02</fb>
    <v>11</v>
  </rv>
  <rv s="6">
    <fb>12.677</fb>
    <v>11</v>
  </rv>
  <rv s="6">
    <fb>13.4092</fb>
    <v>11</v>
  </rv>
  <rv s="6">
    <fb>12.584</fb>
    <v>11</v>
  </rv>
  <rv s="6">
    <fb>4974530</fb>
    <v>12</v>
  </rv>
  <rv s="6">
    <fb>12.928000000000001</fb>
    <v>11</v>
  </rv>
  <rv s="6">
    <fb>13.041</fb>
    <v>11</v>
  </rv>
  <rv s="6">
    <fb>13.234999999999999</fb>
    <v>11</v>
  </rv>
  <rv s="6">
    <fb>12.862</fb>
    <v>11</v>
  </rv>
  <rv s="6">
    <fb>2900470</fb>
    <v>12</v>
  </rv>
  <rv s="6">
    <fb>12.958</fb>
    <v>11</v>
  </rv>
  <rv s="6">
    <fb>12.648999999999999</fb>
    <v>11</v>
  </rv>
  <rv s="6">
    <fb>4359730</fb>
    <v>12</v>
  </rv>
  <rv s="6">
    <fb>13.071999999999999</fb>
    <v>11</v>
  </rv>
  <rv s="6">
    <fb>13.087999999999999</fb>
    <v>11</v>
  </rv>
  <rv s="6">
    <fb>13.205</fb>
    <v>11</v>
  </rv>
  <rv s="6">
    <fb>12.845000000000001</fb>
    <v>11</v>
  </rv>
  <rv s="6">
    <fb>3514020</fb>
    <v>12</v>
  </rv>
  <rv s="6">
    <fb>13.042</fb>
    <v>11</v>
  </rv>
  <rv s="6">
    <fb>13.032</fb>
    <v>11</v>
  </rv>
  <rv s="6">
    <fb>13.5289</fb>
    <v>11</v>
  </rv>
  <rv s="6">
    <fb>12.8978</fb>
    <v>11</v>
  </rv>
  <rv s="6">
    <fb>2796710</fb>
    <v>12</v>
  </rv>
  <rv s="6">
    <fb>12.996</fb>
    <v>11</v>
  </rv>
  <rv s="6">
    <fb>13.108000000000001</fb>
    <v>11</v>
  </rv>
  <rv s="6">
    <fb>13.3665</fb>
    <v>11</v>
  </rv>
  <rv s="6">
    <fb>12.925000000000001</fb>
    <v>11</v>
  </rv>
  <rv s="6">
    <fb>2538500</fb>
    <v>12</v>
  </rv>
  <rv s="6">
    <fb>13.474</fb>
    <v>11</v>
  </rv>
  <rv s="6">
    <fb>13.015000000000001</fb>
    <v>11</v>
  </rv>
  <rv s="6">
    <fb>13.529</fb>
    <v>11</v>
  </rv>
  <rv s="6">
    <fb>12.907</fb>
    <v>11</v>
  </rv>
  <rv s="6">
    <fb>2998300</fb>
    <v>12</v>
  </rv>
  <rv s="6">
    <fb>13.115</fb>
    <v>11</v>
  </rv>
  <rv s="6">
    <fb>13.428000000000001</fb>
    <v>11</v>
  </rv>
  <rv s="6">
    <fb>13.699</fb>
    <v>11</v>
  </rv>
  <rv s="6">
    <fb>12.9361</fb>
    <v>11</v>
  </rv>
  <rv s="6">
    <fb>4742390</fb>
    <v>12</v>
  </rv>
  <rv s="6">
    <fb>13.069000000000001</fb>
    <v>11</v>
  </rv>
  <rv s="6">
    <fb>13.242000000000001</fb>
    <v>11</v>
  </rv>
  <rv s="6">
    <fb>12.4</fb>
    <v>11</v>
  </rv>
  <rv s="6">
    <fb>3366110</fb>
    <v>12</v>
  </rv>
  <rv s="6">
    <fb>13.488</fb>
    <v>11</v>
  </rv>
  <rv s="6">
    <fb>13.586</fb>
    <v>11</v>
  </rv>
  <rv s="6">
    <fb>12.6</fb>
    <v>11</v>
  </rv>
  <rv s="6">
    <fb>2643310</fb>
    <v>12</v>
  </rv>
  <rv s="6">
    <fb>13.583</fb>
    <v>11</v>
  </rv>
  <rv s="6">
    <fb>13.454000000000001</fb>
    <v>11</v>
  </rv>
  <rv s="6">
    <fb>13.722</fb>
    <v>11</v>
  </rv>
  <rv s="6">
    <fb>13.31</fb>
    <v>11</v>
  </rv>
  <rv s="6">
    <fb>2524120</fb>
    <v>12</v>
  </rv>
  <rv s="6">
    <fb>13.601000000000001</fb>
    <v>11</v>
  </rv>
  <rv s="6">
    <fb>13.781000000000001</fb>
    <v>11</v>
  </rv>
  <rv s="6">
    <fb>13.396000000000001</fb>
    <v>11</v>
  </rv>
  <rv s="6">
    <fb>2002520</fb>
    <v>12</v>
  </rv>
  <rv s="6">
    <fb>12.916</fb>
    <v>11</v>
  </rv>
  <rv s="6">
    <fb>13.509</fb>
    <v>11</v>
  </rv>
  <rv s="6">
    <fb>12.848000000000001</fb>
    <v>11</v>
  </rv>
  <rv s="6">
    <fb>4369240</fb>
    <v>12</v>
  </rv>
  <rv s="6">
    <fb>13.489000000000001</fb>
    <v>11</v>
  </rv>
  <rv s="6">
    <fb>12.929</fb>
    <v>11</v>
  </rv>
  <rv s="6">
    <fb>13.749000000000001</fb>
    <v>11</v>
  </rv>
  <rv s="6">
    <fb>12.632</fb>
    <v>11</v>
  </rv>
  <rv s="6">
    <fb>5454320</fb>
    <v>12</v>
  </rv>
  <rv s="6">
    <fb>14.146000000000001</fb>
    <v>11</v>
  </rv>
  <rv s="6">
    <fb>13.446999999999999</fb>
    <v>11</v>
  </rv>
  <rv s="6">
    <fb>14.26</fb>
    <v>11</v>
  </rv>
  <rv s="6">
    <fb>13.42</fb>
    <v>11</v>
  </rv>
  <rv s="6">
    <fb>4435200</fb>
    <v>12</v>
  </rv>
  <rv s="6">
    <fb>13.952999999999999</fb>
    <v>11</v>
  </rv>
  <rv s="6">
    <fb>14.121</fb>
    <v>11</v>
  </rv>
  <rv s="6">
    <fb>14.381</fb>
    <v>11</v>
  </rv>
  <rv s="6">
    <fb>13.851000000000001</fb>
    <v>11</v>
  </rv>
  <rv s="6">
    <fb>4730780</fb>
    <v>12</v>
  </rv>
  <rv s="6">
    <fb>14.967000000000001</fb>
    <v>11</v>
  </rv>
  <rv s="6">
    <fb>14.007999999999999</fb>
    <v>11</v>
  </rv>
  <rv s="6">
    <fb>15.007999999999999</fb>
    <v>11</v>
  </rv>
  <rv s="6">
    <fb>13.871</fb>
    <v>11</v>
  </rv>
  <rv s="6">
    <fb>4552610</fb>
    <v>12</v>
  </rv>
  <rv s="6">
    <fb>14.651999999999999</fb>
    <v>11</v>
  </rv>
  <rv s="6">
    <fb>2862720</fb>
    <v>12</v>
  </rv>
  <rv s="6">
    <fb>14.454000000000001</fb>
    <v>11</v>
  </rv>
  <rv s="6">
    <fb>14.849</fb>
    <v>11</v>
  </rv>
  <rv s="6">
    <fb>14.2</fb>
    <v>11</v>
  </rv>
  <rv s="6">
    <fb>3141030</fb>
    <v>12</v>
  </rv>
  <rv s="6">
    <fb>14.913</fb>
    <v>11</v>
  </rv>
  <rv s="6">
    <fb>14.487</fb>
    <v>11</v>
  </rv>
  <rv s="6">
    <fb>14.986499999999999</fb>
    <v>11</v>
  </rv>
  <rv s="6">
    <fb>14.374000000000001</fb>
    <v>11</v>
  </rv>
  <rv s="6">
    <fb>2542860</fb>
    <v>12</v>
  </rv>
  <rv s="6">
    <fb>14.811999999999999</fb>
    <v>11</v>
  </rv>
  <rv s="6">
    <fb>15.1225</fb>
    <v>11</v>
  </rv>
  <rv s="6">
    <fb>14.537000000000001</fb>
    <v>11</v>
  </rv>
  <rv s="6">
    <fb>3839580</fb>
    <v>12</v>
  </rv>
  <rv s="6">
    <fb>14.061999999999999</fb>
    <v>11</v>
  </rv>
  <rv s="6">
    <fb>14.752000000000001</fb>
    <v>11</v>
  </rv>
  <rv s="6">
    <fb>14.875500000000001</fb>
    <v>11</v>
  </rv>
  <rv s="6">
    <fb>13.916</fb>
    <v>11</v>
  </rv>
  <rv s="6">
    <fb>4985410</fb>
    <v>12</v>
  </rv>
  <rv s="6">
    <fb>14.122999999999999</fb>
    <v>11</v>
  </rv>
  <rv s="6">
    <fb>14.196</fb>
    <v>11</v>
  </rv>
  <rv s="6">
    <fb>12.952500000000001</fb>
    <v>11</v>
  </rv>
  <rv s="6">
    <fb>4065210</fb>
    <v>12</v>
  </rv>
  <rv s="6">
    <fb>12.728</fb>
    <v>11</v>
  </rv>
  <rv s="6">
    <fb>13.093999999999999</fb>
    <v>11</v>
  </rv>
  <rv s="6">
    <fb>13.230499999999999</fb>
    <v>11</v>
  </rv>
  <rv s="6">
    <fb>12.6075</fb>
    <v>11</v>
  </rv>
  <rv s="6">
    <fb>4852830</fb>
    <v>12</v>
  </rv>
  <rv s="6">
    <fb>12.648</fb>
    <v>11</v>
  </rv>
  <rv s="6">
    <fb>12.696</fb>
    <v>11</v>
  </rv>
  <rv s="6">
    <fb>13.196</fb>
    <v>11</v>
  </rv>
  <rv s="6">
    <fb>12.558</fb>
    <v>11</v>
  </rv>
  <rv s="6">
    <fb>4577000</fb>
    <v>12</v>
  </rv>
  <rv s="6">
    <fb>12.249000000000001</fb>
    <v>11</v>
  </rv>
  <rv s="6">
    <fb>12.686</fb>
    <v>11</v>
  </rv>
  <rv s="6">
    <fb>12.8985</fb>
    <v>11</v>
  </rv>
  <rv s="6">
    <fb>12.067</fb>
    <v>11</v>
  </rv>
  <rv s="6">
    <fb>5834790</fb>
    <v>12</v>
  </rv>
  <rv s="6">
    <fb>12.673</fb>
    <v>11</v>
  </rv>
  <rv s="6">
    <fb>12.385999999999999</fb>
    <v>11</v>
  </rv>
  <rv s="6">
    <fb>12.746</fb>
    <v>11</v>
  </rv>
  <rv s="6">
    <fb>12.026</fb>
    <v>11</v>
  </rv>
  <rv s="6">
    <fb>8071840</fb>
    <v>12</v>
  </rv>
  <rv s="6">
    <fb>12.827999999999999</fb>
    <v>11</v>
  </rv>
  <rv s="6">
    <fb>12.709</fb>
    <v>11</v>
  </rv>
  <rv s="6">
    <fb>12.439500000000001</fb>
    <v>11</v>
  </rv>
  <rv s="6">
    <fb>6491890</fb>
    <v>12</v>
  </rv>
  <rv s="6">
    <fb>12.708</fb>
    <v>11</v>
  </rv>
  <rv s="6">
    <fb>12.821999999999999</fb>
    <v>11</v>
  </rv>
  <rv s="6">
    <fb>12.9</fb>
    <v>11</v>
  </rv>
  <rv s="6">
    <fb>12.458</fb>
    <v>11</v>
  </rv>
  <rv s="6">
    <fb>5999150</fb>
    <v>12</v>
  </rv>
  <rv s="6">
    <fb>12.435</fb>
    <v>11</v>
  </rv>
  <rv s="6">
    <fb>12.667999999999999</fb>
    <v>11</v>
  </rv>
  <rv s="6">
    <fb>12.244999999999999</fb>
    <v>11</v>
  </rv>
  <rv s="6">
    <fb>3697990</fb>
    <v>12</v>
  </rv>
  <rv s="6">
    <fb>12.964</fb>
    <v>11</v>
  </rv>
  <rv s="6">
    <fb>12.57</fb>
    <v>11</v>
  </rv>
  <rv s="6">
    <fb>12.978</fb>
    <v>11</v>
  </rv>
  <rv s="6">
    <fb>12.462999999999999</fb>
    <v>11</v>
  </rv>
  <rv s="6">
    <fb>7634550</fb>
    <v>12</v>
  </rv>
  <rv s="6">
    <fb>12.757999999999999</fb>
    <v>11</v>
  </rv>
  <rv s="6">
    <fb>13.356999999999999</fb>
    <v>11</v>
  </rv>
  <rv s="6">
    <fb>12.526</fb>
    <v>11</v>
  </rv>
  <rv s="6">
    <fb>4872500</fb>
    <v>12</v>
  </rv>
  <rv s="6">
    <fb>12.692</fb>
    <v>11</v>
  </rv>
  <rv s="6">
    <fb>12.683</fb>
    <v>11</v>
  </rv>
  <rv s="6">
    <fb>12.984999999999999</fb>
    <v>11</v>
  </rv>
  <rv s="6">
    <fb>5826360</fb>
    <v>12</v>
  </rv>
  <rv s="6">
    <fb>11.657999999999999</fb>
    <v>11</v>
  </rv>
  <rv s="6">
    <fb>11.627000000000001</fb>
    <v>11</v>
  </rv>
  <rv s="6">
    <fb>5833240</fb>
    <v>12</v>
  </rv>
  <rv s="6">
    <fb>12.688000000000001</fb>
    <v>11</v>
  </rv>
  <rv s="6">
    <fb>11.606999999999999</fb>
    <v>11</v>
  </rv>
  <rv s="6">
    <fb>12.827</fb>
    <v>11</v>
  </rv>
  <rv s="6">
    <fb>11.55</fb>
    <v>11</v>
  </rv>
  <rv s="6">
    <fb>3010390</fb>
    <v>12</v>
  </rv>
  <rv s="6">
    <fb>13.04</fb>
    <v>11</v>
  </rv>
  <rv s="6">
    <fb>13.102</fb>
    <v>11</v>
  </rv>
  <rv s="6">
    <fb>12.563000000000001</fb>
    <v>11</v>
  </rv>
  <rv s="6">
    <fb>4137580</fb>
    <v>12</v>
  </rv>
  <rv s="6">
    <fb>13.385999999999999</fb>
    <v>11</v>
  </rv>
  <rv s="6">
    <fb>13.039</fb>
    <v>11</v>
  </rv>
  <rv s="6">
    <fb>13.4108</fb>
    <v>11</v>
  </rv>
  <rv s="6">
    <fb>12.972</fb>
    <v>11</v>
  </rv>
  <rv s="6">
    <fb>5029760</fb>
    <v>12</v>
  </rv>
  <rv s="6">
    <fb>13.632</fb>
    <v>11</v>
  </rv>
  <rv s="6">
    <fb>13.324</fb>
    <v>11</v>
  </rv>
  <rv s="6">
    <fb>13.765499999999999</fb>
    <v>11</v>
  </rv>
  <rv s="6">
    <fb>12.752000000000001</fb>
    <v>11</v>
  </rv>
  <rv s="6">
    <fb>4814040</fb>
    <v>12</v>
  </rv>
  <rv s="6">
    <fb>13.989000000000001</fb>
    <v>11</v>
  </rv>
  <rv s="6">
    <fb>13.523999999999999</fb>
    <v>11</v>
  </rv>
  <rv s="6">
    <fb>2618870</fb>
    <v>12</v>
  </rv>
  <rv s="6">
    <fb>12.804</fb>
    <v>11</v>
  </rv>
  <rv s="6">
    <fb>13.821999999999999</fb>
    <v>11</v>
  </rv>
  <rv s="6">
    <fb>14.023</fb>
    <v>11</v>
  </rv>
  <rv s="6">
    <fb>12.535</fb>
    <v>11</v>
  </rv>
  <rv s="6">
    <fb>11073910</fb>
    <v>12</v>
  </rv>
  <rv s="6">
    <fb>13.077999999999999</fb>
    <v>11</v>
  </rv>
  <rv s="6">
    <fb>13.284000000000001</fb>
    <v>11</v>
  </rv>
  <rv s="6">
    <fb>8756280</fb>
    <v>12</v>
  </rv>
  <rv s="6">
    <fb>5742690</fb>
    <v>12</v>
  </rv>
  <rv s="6">
    <fb>14.541</fb>
    <v>11</v>
  </rv>
  <rv s="6">
    <fb>14.077999999999999</fb>
    <v>11</v>
  </rv>
  <rv s="6">
    <fb>14.545</fb>
    <v>11</v>
  </rv>
  <rv s="6">
    <fb>14.023999999999999</fb>
    <v>11</v>
  </rv>
  <rv s="6">
    <fb>4465530</fb>
    <v>12</v>
  </rv>
  <rv s="6">
    <fb>14.173999999999999</fb>
    <v>11</v>
  </rv>
  <rv s="6">
    <fb>14.634</fb>
    <v>11</v>
  </rv>
  <rv s="6">
    <fb>14.7445</fb>
    <v>11</v>
  </rv>
  <rv s="6">
    <fb>13.967000000000001</fb>
    <v>11</v>
  </rv>
  <rv s="6">
    <fb>4463440</fb>
    <v>12</v>
  </rv>
  <rv s="6">
    <fb>14.234999999999999</fb>
    <v>11</v>
  </rv>
  <rv s="6">
    <fb>13.551</fb>
    <v>11</v>
  </rv>
  <rv s="6">
    <fb>4877790</fb>
    <v>12</v>
  </rv>
  <rv s="6">
    <fb>14.833</fb>
    <v>11</v>
  </rv>
  <rv s="6">
    <fb>13.827</fb>
    <v>11</v>
  </rv>
  <rv s="6">
    <fb>13.7491</fb>
    <v>11</v>
  </rv>
  <rv s="6">
    <fb>8483280</fb>
    <v>12</v>
  </rv>
  <rv s="6">
    <fb>14.382999999999999</fb>
    <v>11</v>
  </rv>
  <rv s="6">
    <fb>14.361000000000001</fb>
    <v>11</v>
  </rv>
  <rv s="6">
    <fb>4371640</fb>
    <v>12</v>
  </rv>
  <rv s="6">
    <fb>14.425000000000001</fb>
    <v>11</v>
  </rv>
  <rv s="6">
    <fb>14.333</fb>
    <v>11</v>
  </rv>
  <rv s="6">
    <fb>14.176</fb>
    <v>11</v>
  </rv>
  <rv s="6">
    <fb>3738390</fb>
    <v>12</v>
  </rv>
  <rv s="6">
    <fb>14.523999999999999</fb>
    <v>11</v>
  </rv>
  <rv s="6">
    <fb>14.867000000000001</fb>
    <v>11</v>
  </rv>
  <rv s="6">
    <fb>14.297000000000001</fb>
    <v>11</v>
  </rv>
  <rv s="6">
    <fb>3358530</fb>
    <v>12</v>
  </rv>
  <rv s="6">
    <fb>15.065</fb>
    <v>11</v>
  </rv>
  <rv s="6">
    <fb>14.611000000000001</fb>
    <v>11</v>
  </rv>
  <rv s="6">
    <fb>15.093</fb>
    <v>11</v>
  </rv>
  <rv s="6">
    <fb>14.3675</fb>
    <v>11</v>
  </rv>
  <rv s="6">
    <fb>3030960</fb>
    <v>12</v>
  </rv>
  <rv s="6">
    <fb>14.648</fb>
    <v>11</v>
  </rv>
  <rv s="6">
    <fb>15.035</fb>
    <v>11</v>
  </rv>
  <rv s="6">
    <fb>15.237500000000001</fb>
    <v>11</v>
  </rv>
  <rv s="6">
    <fb>14.358000000000001</fb>
    <v>11</v>
  </rv>
  <rv s="6">
    <fb>3015600</fb>
    <v>12</v>
  </rv>
  <rv s="6">
    <fb>14.942</fb>
    <v>11</v>
  </rv>
  <rv s="6">
    <fb>14.583</fb>
    <v>11</v>
  </rv>
  <rv s="6">
    <fb>15.081</fb>
    <v>11</v>
  </rv>
  <rv s="6">
    <fb>14.401</fb>
    <v>11</v>
  </rv>
  <rv s="6">
    <fb>4589800</fb>
    <v>12</v>
  </rv>
  <rv s="6">
    <fb>14.103</fb>
    <v>11</v>
  </rv>
  <rv s="6">
    <fb>14.973000000000001</fb>
    <v>11</v>
  </rv>
  <rv s="6">
    <fb>15.198</fb>
    <v>11</v>
  </rv>
  <rv s="6">
    <fb>7727230</fb>
    <v>12</v>
  </rv>
  <rv s="6">
    <fb>13.926</fb>
    <v>11</v>
  </rv>
  <rv s="6">
    <fb>13.962</fb>
    <v>11</v>
  </rv>
  <rv s="6">
    <fb>14.212</fb>
    <v>11</v>
  </rv>
  <rv s="6">
    <fb>4574390</fb>
    <v>12</v>
  </rv>
  <rv s="6">
    <fb>13.683999999999999</fb>
    <v>11</v>
  </rv>
  <rv s="6">
    <fb>13.709</fb>
    <v>11</v>
  </rv>
  <rv s="6">
    <fb>13.856</fb>
    <v>11</v>
  </rv>
  <rv s="6">
    <fb>13.481999999999999</fb>
    <v>11</v>
  </rv>
  <rv s="6">
    <fb>3279860</fb>
    <v>12</v>
  </rv>
  <rv s="6">
    <fb>13.407999999999999</fb>
    <v>11</v>
  </rv>
  <rv s="6">
    <fb>13.596</fb>
    <v>11</v>
  </rv>
  <rv s="6">
    <fb>13.3</fb>
    <v>11</v>
  </rv>
  <rv s="6">
    <fb>3748290</fb>
    <v>12</v>
  </rv>
  <rv s="6">
    <fb>13.291</fb>
    <v>11</v>
  </rv>
  <rv s="6">
    <fb>13.404999999999999</fb>
    <v>11</v>
  </rv>
  <rv s="6">
    <fb>13.641299999999999</fb>
    <v>11</v>
  </rv>
  <rv s="6">
    <fb>13.161</fb>
    <v>11</v>
  </rv>
  <rv s="6">
    <fb>2413520</fb>
    <v>12</v>
  </rv>
  <rv s="6">
    <fb>13.714</fb>
    <v>11</v>
  </rv>
  <rv s="6">
    <fb>13.307</fb>
    <v>11</v>
  </rv>
  <rv s="6">
    <fb>13.726000000000001</fb>
    <v>11</v>
  </rv>
  <rv s="6">
    <fb>13.026</fb>
    <v>11</v>
  </rv>
  <rv s="6">
    <fb>3186910</fb>
    <v>12</v>
  </rv>
  <rv s="6">
    <fb>13.365</fb>
    <v>11</v>
  </rv>
  <rv s="6">
    <fb>13.097</fb>
    <v>11</v>
  </rv>
  <rv s="6">
    <fb>4497750</fb>
    <v>12</v>
  </rv>
  <rv s="6">
    <fb>14.672000000000001</fb>
    <v>11</v>
  </rv>
  <rv s="6">
    <fb>13.433</fb>
    <v>11</v>
  </rv>
  <rv s="6">
    <fb>14.9885</fb>
    <v>11</v>
  </rv>
  <rv s="6">
    <fb>15451610</fb>
    <v>12</v>
  </rv>
  <rv s="6">
    <fb>14.331</fb>
    <v>11</v>
  </rv>
  <rv s="6">
    <fb>14.685</fb>
    <v>11</v>
  </rv>
  <rv s="6">
    <fb>14.746</fb>
    <v>11</v>
  </rv>
  <rv s="6">
    <fb>13.872</fb>
    <v>11</v>
  </rv>
  <rv s="6">
    <fb>8665980</fb>
    <v>12</v>
  </rv>
  <rv s="6">
    <fb>14.430999999999999</fb>
    <v>11</v>
  </rv>
  <rv s="6">
    <fb>13.756</fb>
    <v>11</v>
  </rv>
  <rv s="6">
    <fb>3481180</fb>
    <v>12</v>
  </rv>
  <rv s="6">
    <fb>12.302</fb>
    <v>11</v>
  </rv>
  <rv s="6">
    <fb>13.92</fb>
    <v>11</v>
  </rv>
  <rv s="6">
    <fb>12.05</fb>
    <v>11</v>
  </rv>
  <rv s="6">
    <fb>9728880</fb>
    <v>12</v>
  </rv>
  <rv s="6">
    <fb>12.175000000000001</fb>
    <v>11</v>
  </rv>
  <rv s="6">
    <fb>12.297000000000001</fb>
    <v>11</v>
  </rv>
  <rv s="6">
    <fb>12.5</fb>
    <v>11</v>
  </rv>
  <rv s="6">
    <fb>12.086</fb>
    <v>11</v>
  </rv>
  <rv s="6">
    <fb>5090810</fb>
    <v>12</v>
  </rv>
  <rv s="6">
    <fb>12.332000000000001</fb>
    <v>11</v>
  </rv>
  <rv s="6">
    <fb>12.183</fb>
    <v>11</v>
  </rv>
  <rv s="6">
    <fb>12.384</fb>
    <v>11</v>
  </rv>
  <rv s="6">
    <fb>12.053000000000001</fb>
    <v>11</v>
  </rv>
  <rv s="6">
    <fb>3383940</fb>
    <v>12</v>
  </rv>
  <rv s="6">
    <fb>12.313000000000001</fb>
    <v>11</v>
  </rv>
  <rv s="6">
    <fb>14.071999999999999</fb>
    <v>11</v>
  </rv>
  <rv s="6">
    <fb>12.113</fb>
    <v>11</v>
  </rv>
  <rv s="6">
    <fb>8968500</fb>
    <v>12</v>
  </rv>
  <rv s="6">
    <fb>13.246</fb>
    <v>11</v>
  </rv>
  <rv s="6">
    <fb>14.356</fb>
    <v>11</v>
  </rv>
  <rv s="6">
    <fb>13.061</fb>
    <v>11</v>
  </rv>
  <rv s="6">
    <fb>5760210</fb>
    <v>12</v>
  </rv>
  <rv s="6">
    <fb>13.733000000000001</fb>
    <v>11</v>
  </rv>
  <rv s="6">
    <fb>13.959</fb>
    <v>11</v>
  </rv>
  <rv s="6">
    <fb>13.553000000000001</fb>
    <v>11</v>
  </rv>
  <rv s="6">
    <fb>7634630</fb>
    <v>12</v>
  </rv>
  <rv s="6">
    <fb>13.811</fb>
    <v>11</v>
  </rv>
  <rv s="6">
    <fb>13.882</fb>
    <v>11</v>
  </rv>
  <rv s="6">
    <fb>14.29</fb>
    <v>11</v>
  </rv>
  <rv s="6">
    <fb>13.670999999999999</fb>
    <v>11</v>
  </rv>
  <rv s="6">
    <fb>4127830</fb>
    <v>12</v>
  </rv>
  <rv s="6">
    <fb>14.329000000000001</fb>
    <v>11</v>
  </rv>
  <rv s="6">
    <fb>13.917</fb>
    <v>11</v>
  </rv>
  <rv s="6">
    <fb>13.686999999999999</fb>
    <v>11</v>
  </rv>
  <rv s="6">
    <fb>5227490</fb>
    <v>12</v>
  </rv>
  <rv s="6">
    <fb>14.247999999999999</fb>
    <v>11</v>
  </rv>
  <rv s="6">
    <fb>14.483000000000001</fb>
    <v>11</v>
  </rv>
  <rv s="6">
    <fb>13.592000000000001</fb>
    <v>11</v>
  </rv>
  <rv s="6">
    <fb>6146610</fb>
    <v>12</v>
  </rv>
  <rv s="6">
    <fb>14.577999999999999</fb>
    <v>11</v>
  </rv>
  <rv s="6">
    <fb>13.978</fb>
    <v>11</v>
  </rv>
  <rv s="6">
    <fb>13.792999999999999</fb>
    <v>11</v>
  </rv>
  <rv s="6">
    <fb>5995140</fb>
    <v>12</v>
  </rv>
  <rv s="6">
    <fb>14.904999999999999</fb>
    <v>11</v>
  </rv>
  <rv s="6">
    <fb>14.484</fb>
    <v>11</v>
  </rv>
  <rv s="6">
    <fb>15.346</fb>
    <v>11</v>
  </rv>
  <rv s="6">
    <fb>14.429</fb>
    <v>11</v>
  </rv>
  <rv s="6">
    <fb>7080980</fb>
    <v>12</v>
  </rv>
  <rv s="6">
    <fb>14.702999999999999</fb>
    <v>11</v>
  </rv>
  <rv s="6">
    <fb>14.864000000000001</fb>
    <v>11</v>
  </rv>
  <rv s="6">
    <fb>15.226000000000001</fb>
    <v>11</v>
  </rv>
  <rv s="6">
    <fb>3141140</fb>
    <v>12</v>
  </rv>
  <rv s="6">
    <fb>14.659000000000001</fb>
    <v>11</v>
  </rv>
  <rv s="6">
    <fb>14.715999999999999</fb>
    <v>11</v>
  </rv>
  <rv s="6">
    <fb>14.99</fb>
    <v>11</v>
  </rv>
  <rv s="6">
    <fb>14.257999999999999</fb>
    <v>11</v>
  </rv>
  <rv s="6">
    <fb>3038380</fb>
    <v>12</v>
  </rv>
  <rv s="6">
    <fb>14.414999999999999</fb>
    <v>11</v>
  </rv>
  <rv s="6">
    <fb>14.673</fb>
    <v>11</v>
  </rv>
  <rv s="6">
    <fb>3140600</fb>
    <v>12</v>
  </rv>
  <rv s="6">
    <fb>14.315</fb>
    <v>11</v>
  </rv>
  <rv s="6">
    <fb>14.394</fb>
    <v>11</v>
  </rv>
  <rv s="6">
    <fb>13.958</fb>
    <v>11</v>
  </rv>
  <rv s="6">
    <fb>3325430</fb>
    <v>12</v>
  </rv>
  <rv s="6">
    <fb>14.577</fb>
    <v>11</v>
  </rv>
  <rv s="6">
    <fb>14.385</fb>
    <v>11</v>
  </rv>
  <rv s="6">
    <fb>14.661</fb>
    <v>11</v>
  </rv>
  <rv s="6">
    <fb>14.195</fb>
    <v>11</v>
  </rv>
  <rv s="6">
    <fb>2105050</fb>
    <v>12</v>
  </rv>
  <rv s="6">
    <fb>15.369</fb>
    <v>11</v>
  </rv>
  <rv s="6">
    <fb>15.484999999999999</fb>
    <v>11</v>
  </rv>
  <rv s="6">
    <fb>14.525</fb>
    <v>11</v>
  </rv>
  <rv s="6">
    <fb>2895570</fb>
    <v>12</v>
  </rv>
  <rv s="6">
    <fb>15.613</fb>
    <v>11</v>
  </rv>
  <rv s="6">
    <fb>15.499000000000001</fb>
    <v>11</v>
  </rv>
  <rv s="6">
    <fb>15.7074</fb>
    <v>11</v>
  </rv>
  <rv s="6">
    <fb>3388300</fb>
    <v>12</v>
  </rv>
  <rv s="6">
    <fb>15.64</fb>
    <v>11</v>
  </rv>
  <rv s="6">
    <fb>15.557</fb>
    <v>11</v>
  </rv>
  <rv s="6">
    <fb>15.4825</fb>
    <v>11</v>
  </rv>
  <rv s="6">
    <fb>3058630</fb>
    <v>12</v>
  </rv>
  <rv s="6">
    <fb>15.16</fb>
    <v>11</v>
  </rv>
  <rv s="6">
    <fb>15.611000000000001</fb>
    <v>11</v>
  </rv>
  <rv s="6">
    <fb>15.89</fb>
    <v>11</v>
  </rv>
  <rv s="6">
    <fb>14.87</fb>
    <v>11</v>
  </rv>
  <rv s="6">
    <fb>3155000</fb>
    <v>12</v>
  </rv>
  <rv s="6">
    <fb>15.032999999999999</fb>
    <v>11</v>
  </rv>
  <rv s="6">
    <fb>15.2</fb>
    <v>11</v>
  </rv>
  <rv s="6">
    <fb>15.335000000000001</fb>
    <v>11</v>
  </rv>
  <rv s="6">
    <fb>2250050</fb>
    <v>12</v>
  </rv>
  <rv s="6">
    <fb>15.071999999999999</fb>
    <v>11</v>
  </rv>
  <rv s="6">
    <fb>15.2265</fb>
    <v>11</v>
  </rv>
  <rv s="6">
    <fb>14.728</fb>
    <v>11</v>
  </rv>
  <rv s="6">
    <fb>5406100</fb>
    <v>12</v>
  </rv>
  <rv s="6">
    <fb>14.535</fb>
    <v>11</v>
  </rv>
  <rv s="6">
    <fb>15.125999999999999</fb>
    <v>11</v>
  </rv>
  <rv s="6">
    <fb>15.287000000000001</fb>
    <v>11</v>
  </rv>
  <rv s="6">
    <fb>14.502000000000001</fb>
    <v>11</v>
  </rv>
  <rv s="6">
    <fb>2330980</fb>
    <v>12</v>
  </rv>
  <rv s="6">
    <fb>14.462999999999999</fb>
    <v>11</v>
  </rv>
  <rv s="6">
    <fb>2731940</fb>
    <v>12</v>
  </rv>
  <rv s="6">
    <fb>14.476000000000001</fb>
    <v>11</v>
  </rv>
  <rv s="6">
    <fb>14.375</fb>
    <v>11</v>
  </rv>
  <rv s="6">
    <fb>1436440</fb>
    <v>12</v>
  </rv>
  <rv s="6">
    <fb>14.356999999999999</fb>
    <v>11</v>
  </rv>
  <rv s="6">
    <fb>14.507999999999999</fb>
    <v>11</v>
  </rv>
  <rv s="6">
    <fb>1857630</fb>
    <v>12</v>
  </rv>
  <rv s="6">
    <fb>14.239000000000001</fb>
    <v>11</v>
  </rv>
  <rv s="6">
    <fb>14.324999999999999</fb>
    <v>11</v>
  </rv>
  <rv s="6">
    <fb>14.2075</fb>
    <v>11</v>
  </rv>
  <rv s="6">
    <fb>2124610</fb>
    <v>12</v>
  </rv>
  <rv s="6">
    <fb>14.673999999999999</fb>
    <v>11</v>
  </rv>
  <rv s="6">
    <fb>14.252000000000001</fb>
    <v>11</v>
  </rv>
  <rv s="6">
    <fb>14.795999999999999</fb>
    <v>11</v>
  </rv>
  <rv s="6">
    <fb>2186040</fb>
    <v>12</v>
  </rv>
  <rv s="6">
    <fb>14.316000000000001</fb>
    <v>11</v>
  </rv>
  <rv s="6">
    <fb>14.629</fb>
    <v>11</v>
  </rv>
  <rv s="6">
    <fb>14.757</fb>
    <v>11</v>
  </rv>
  <rv s="6">
    <fb>14.278</fb>
    <v>11</v>
  </rv>
  <rv s="6">
    <fb>1838830</fb>
    <v>12</v>
  </rv>
  <rv s="6">
    <fb>15.202999999999999</fb>
    <v>11</v>
  </rv>
  <rv s="6">
    <fb>14.151999999999999</fb>
    <v>11</v>
  </rv>
  <rv s="6">
    <fb>16.5</fb>
    <v>11</v>
  </rv>
  <rv s="6">
    <fb>14.125</fb>
    <v>11</v>
  </rv>
  <rv s="6">
    <fb>5713460</fb>
    <v>12</v>
  </rv>
  <rv s="6">
    <fb>15.266</fb>
    <v>11</v>
  </rv>
  <rv s="6">
    <fb>15.244999999999999</fb>
    <v>11</v>
  </rv>
  <rv s="6">
    <fb>15.608499999999999</fb>
    <v>11</v>
  </rv>
  <rv s="6">
    <fb>14.901</fb>
    <v>11</v>
  </rv>
  <rv s="6">
    <fb>4157150</fb>
    <v>12</v>
  </rv>
  <rv s="6">
    <fb>14.884</fb>
    <v>11</v>
  </rv>
  <rv s="6">
    <fb>15.305999999999999</fb>
    <v>11</v>
  </rv>
  <rv s="6">
    <fb>15.356999999999999</fb>
    <v>11</v>
  </rv>
  <rv s="6">
    <fb>14.693</fb>
    <v>11</v>
  </rv>
  <rv s="6">
    <fb>2471770</fb>
    <v>12</v>
  </rv>
  <rv s="6">
    <fb>14.994999999999999</fb>
    <v>11</v>
  </rv>
  <rv s="6">
    <fb>14.863</fb>
    <v>11</v>
  </rv>
  <rv s="6">
    <fb>15.068</fb>
    <v>11</v>
  </rv>
  <rv s="6">
    <fb>14.753</fb>
    <v>11</v>
  </rv>
  <rv s="6">
    <fb>2208130</fb>
    <v>12</v>
  </rv>
  <rv s="6">
    <fb>13.516</fb>
    <v>11</v>
  </rv>
  <rv s="6">
    <fb>14.632</fb>
    <v>11</v>
  </rv>
  <rv s="6">
    <fb>14.786</fb>
    <v>11</v>
  </rv>
  <rv s="6">
    <fb>13.262</fb>
    <v>11</v>
  </rv>
  <rv s="6">
    <fb>3733570</fb>
    <v>12</v>
  </rv>
  <rv s="6">
    <fb>13.628</fb>
    <v>11</v>
  </rv>
  <rv s="6">
    <fb>3902170</fb>
    <v>12</v>
  </rv>
  <rv s="6">
    <fb>11.132999999999999</fb>
    <v>11</v>
  </rv>
  <rv s="6">
    <fb>13.135</fb>
    <v>11</v>
  </rv>
  <rv s="6">
    <fb>13.281000000000001</fb>
    <v>11</v>
  </rv>
  <rv s="6">
    <fb>10.627000000000001</fb>
    <v>11</v>
  </rv>
  <rv s="6">
    <fb>5801610</fb>
    <v>12</v>
  </rv>
  <rv s="6">
    <fb>10.074</fb>
    <v>11</v>
  </rv>
  <rv s="6">
    <fb>10.288</fb>
    <v>11</v>
  </rv>
  <rv s="6">
    <fb>11.281000000000001</fb>
    <v>11</v>
  </rv>
  <rv s="6">
    <fb>9</fb>
    <v>11</v>
  </rv>
  <rv s="6">
    <fb>5527440</fb>
    <v>12</v>
  </rv>
  <rv s="6">
    <fb>10.631</fb>
    <v>11</v>
  </rv>
  <rv s="6">
    <fb>10.231</fb>
    <v>11</v>
  </rv>
  <rv s="6">
    <fb>11.164</fb>
    <v>11</v>
  </rv>
  <rv s="6">
    <fb>9.6530000000000005</fb>
    <v>11</v>
  </rv>
  <rv s="6">
    <fb>3705380</fb>
    <v>12</v>
  </rv>
  <rv s="6">
    <fb>11.223000000000001</fb>
    <v>11</v>
  </rv>
  <rv s="6">
    <fb>10.72</fb>
    <v>11</v>
  </rv>
  <rv s="6">
    <fb>11.817500000000001</fb>
    <v>11</v>
  </rv>
  <rv s="6">
    <fb>10.467000000000001</fb>
    <v>11</v>
  </rv>
  <rv s="6">
    <fb>3526670</fb>
    <v>12</v>
  </rv>
  <rv s="6">
    <fb>12.542</fb>
    <v>11</v>
  </rv>
  <rv s="6">
    <fb>11.756</fb>
    <v>11</v>
  </rv>
  <rv s="6">
    <fb>11.249000000000001</fb>
    <v>11</v>
  </rv>
  <rv s="6">
    <fb>2331760</fb>
    <v>12</v>
  </rv>
  <rv s="6">
    <fb>12.653</fb>
    <v>11</v>
  </rv>
  <rv s="6">
    <fb>12.43</fb>
    <v>11</v>
  </rv>
  <rv s="6">
    <fb>12.7605</fb>
    <v>11</v>
  </rv>
  <rv s="6">
    <fb>11.957000000000001</fb>
    <v>11</v>
  </rv>
  <rv s="6">
    <fb>3149920</fb>
    <v>12</v>
  </rv>
  <rv s="6">
    <fb>12.555</fb>
    <v>11</v>
  </rv>
  <rv s="6">
    <fb>12.406000000000001</fb>
    <v>11</v>
  </rv>
  <rv s="6">
    <fb>12.1655</fb>
    <v>11</v>
  </rv>
  <rv s="6">
    <fb>2609690</fb>
    <v>12</v>
  </rv>
  <rv s="6">
    <fb>12.259</fb>
    <v>11</v>
  </rv>
  <rv s="6">
    <fb>12.727</fb>
    <v>11</v>
  </rv>
  <rv s="6">
    <fb>12.096500000000001</fb>
    <v>11</v>
  </rv>
  <rv s="6">
    <fb>4689290</fb>
    <v>12</v>
  </rv>
  <rv s="6">
    <fb>12.467000000000001</fb>
    <v>11</v>
  </rv>
  <rv s="6">
    <fb>12.218999999999999</fb>
    <v>11</v>
  </rv>
  <rv s="6">
    <fb>12.574999999999999</fb>
    <v>11</v>
  </rv>
  <rv s="6">
    <fb>11.714</fb>
    <v>11</v>
  </rv>
  <rv s="6">
    <fb>3916470</fb>
    <v>12</v>
  </rv>
  <rv s="6">
    <fb>11.558</fb>
    <v>11</v>
  </rv>
  <rv s="6">
    <fb>12.49</fb>
    <v>11</v>
  </rv>
  <rv s="6">
    <fb>12.557499999999999</fb>
    <v>11</v>
  </rv>
  <rv s="6">
    <fb>10.964</fb>
    <v>11</v>
  </rv>
  <rv s="6">
    <fb>5142640</fb>
    <v>12</v>
  </rv>
  <rv s="6">
    <fb>12.237</fb>
    <v>11</v>
  </rv>
  <rv s="6">
    <fb>11.881</fb>
    <v>11</v>
  </rv>
  <rv s="6">
    <fb>12.2675</fb>
    <v>11</v>
  </rv>
  <rv s="6">
    <fb>11.824</fb>
    <v>11</v>
  </rv>
  <rv s="6">
    <fb>4108440</fb>
    <v>12</v>
  </rv>
  <rv s="6">
    <fb>12.448</fb>
    <v>11</v>
  </rv>
  <rv s="6">
    <fb>12.734999999999999</fb>
    <v>11</v>
  </rv>
  <rv s="6">
    <fb>12.2845</fb>
    <v>11</v>
  </rv>
  <rv s="6">
    <fb>3146330</fb>
    <v>12</v>
  </rv>
  <rv s="6">
    <fb>12.521000000000001</fb>
    <v>11</v>
  </rv>
  <rv s="6">
    <fb>12.499000000000001</fb>
    <v>11</v>
  </rv>
  <rv s="6">
    <fb>13.048</fb>
    <v>11</v>
  </rv>
  <rv s="6">
    <fb>12.0305</fb>
    <v>11</v>
  </rv>
  <rv s="6">
    <fb>3712780</fb>
    <v>12</v>
  </rv>
  <rv s="6">
    <fb>11.802</fb>
    <v>11</v>
  </rv>
  <rv s="6">
    <fb>12.552</fb>
    <v>11</v>
  </rv>
  <rv s="6">
    <fb>12.782500000000001</fb>
    <v>11</v>
  </rv>
  <rv s="6">
    <fb>11.576000000000001</fb>
    <v>11</v>
  </rv>
  <rv s="6">
    <fb>2959240</fb>
    <v>12</v>
  </rv>
  <rv s="6">
    <fb>11.819000000000001</fb>
    <v>11</v>
  </rv>
  <rv s="6">
    <fb>11.577999999999999</fb>
    <v>11</v>
  </rv>
  <rv s="6">
    <fb>12.613</fb>
    <v>11</v>
  </rv>
  <rv s="6">
    <fb>11.507999999999999</fb>
    <v>11</v>
  </rv>
  <rv s="6">
    <fb>7775000</fb>
    <v>12</v>
  </rv>
  <rv s="6">
    <fb>11.901</fb>
    <v>11</v>
  </rv>
  <rv s="6">
    <fb>11.999000000000001</fb>
    <v>11</v>
  </rv>
  <rv s="6">
    <fb>11.355</fb>
    <v>11</v>
  </rv>
  <rv s="6">
    <fb>3594720</fb>
    <v>12</v>
  </rv>
  <rv s="6">
    <fb>11.734999999999999</fb>
    <v>11</v>
  </rv>
  <rv s="6">
    <fb>11.718999999999999</fb>
    <v>11</v>
  </rv>
  <rv s="6">
    <fb>11.997</fb>
    <v>11</v>
  </rv>
  <rv s="6">
    <fb>1834300</fb>
    <v>12</v>
  </rv>
  <rv s="6">
    <fb>11.766</fb>
    <v>11</v>
  </rv>
  <rv s="6">
    <fb>11.882999999999999</fb>
    <v>11</v>
  </rv>
  <rv s="6">
    <fb>12.102</fb>
    <v>11</v>
  </rv>
  <rv s="6">
    <fb>11.609</fb>
    <v>11</v>
  </rv>
  <rv s="6">
    <fb>3096310</fb>
    <v>12</v>
  </rv>
  <rv s="6">
    <fb>11.834</fb>
    <v>11</v>
  </rv>
  <rv s="6">
    <fb>11.811</fb>
    <v>11</v>
  </rv>
  <rv s="6">
    <fb>12.1435</fb>
    <v>11</v>
  </rv>
  <rv s="6">
    <fb>11.420999999999999</fb>
    <v>11</v>
  </rv>
  <rv s="6">
    <fb>3577240</fb>
    <v>12</v>
  </rv>
  <rv s="6">
    <fb>11.695</fb>
    <v>11</v>
  </rv>
  <rv s="6">
    <fb>11.81</fb>
    <v>11</v>
  </rv>
  <rv s="6">
    <fb>12.2585</fb>
    <v>11</v>
  </rv>
  <rv s="6">
    <fb>11.632</fb>
    <v>11</v>
  </rv>
  <rv s="6">
    <fb>2504570</fb>
    <v>12</v>
  </rv>
  <rv s="6">
    <fb>12.391999999999999</fb>
    <v>11</v>
  </rv>
  <rv s="6">
    <fb>11.755000000000001</fb>
    <v>11</v>
  </rv>
  <rv s="6">
    <fb>12.726000000000001</fb>
    <v>11</v>
  </rv>
  <rv s="6">
    <fb>11.587</fb>
    <v>11</v>
  </rv>
  <rv s="6">
    <fb>4168140</fb>
    <v>12</v>
  </rv>
  <rv s="6">
    <fb>12.339</fb>
    <v>11</v>
  </rv>
  <rv s="6">
    <fb>12.436999999999999</fb>
    <v>11</v>
  </rv>
  <rv s="6">
    <fb>12.516999999999999</fb>
    <v>11</v>
  </rv>
  <rv s="6">
    <fb>12.1835</fb>
    <v>11</v>
  </rv>
  <rv s="6">
    <fb>2269160</fb>
    <v>12</v>
  </rv>
  <rv s="6">
    <fb>14.663</fb>
    <v>11</v>
  </rv>
  <rv s="6">
    <fb>12.337999999999999</fb>
    <v>11</v>
  </rv>
  <rv s="6">
    <fb>14.675000000000001</fb>
    <v>11</v>
  </rv>
  <rv s="6">
    <fb>12.238</fb>
    <v>11</v>
  </rv>
  <rv s="6">
    <fb>9227270</fb>
    <v>12</v>
  </rv>
  <rv s="6">
    <fb>14.801</fb>
    <v>11</v>
  </rv>
  <rv s="6">
    <fb>13.971500000000001</fb>
    <v>11</v>
  </rv>
  <rv s="6">
    <fb>6814750</fb>
    <v>12</v>
  </rv>
  <rv s="6">
    <fb>14.689</fb>
    <v>11</v>
  </rv>
  <rv s="6">
    <fb>14.65</fb>
    <v>11</v>
  </rv>
  <rv s="6">
    <fb>15.045999999999999</fb>
    <v>11</v>
  </rv>
  <rv s="6">
    <fb>14.414</fb>
    <v>11</v>
  </rv>
  <rv s="6">
    <fb>4463990</fb>
    <v>12</v>
  </rv>
  <rv s="6">
    <fb>14.218999999999999</fb>
    <v>11</v>
  </rv>
  <rv s="6">
    <fb>14.726000000000001</fb>
    <v>11</v>
  </rv>
  <rv s="6">
    <fb>15.122999999999999</fb>
    <v>11</v>
  </rv>
  <rv s="6">
    <fb>13.689</fb>
    <v>11</v>
  </rv>
  <rv s="6">
    <fb>4679200</fb>
    <v>12</v>
  </rv>
  <rv s="6">
    <fb>14.113</fb>
    <v>11</v>
  </rv>
  <rv s="6">
    <fb>14.061</fb>
    <v>11</v>
  </rv>
  <rv s="6">
    <fb>4261840</fb>
    <v>12</v>
  </rv>
  <rv s="6">
    <fb>15.959</fb>
    <v>11</v>
  </rv>
  <rv s="6">
    <fb>14.163</fb>
    <v>11</v>
  </rv>
  <rv s="6">
    <fb>17.655999999999999</fb>
    <v>11</v>
  </rv>
  <rv s="6">
    <fb>14.021000000000001</fb>
    <v>11</v>
  </rv>
  <rv s="6">
    <fb>13176970</fb>
    <v>12</v>
  </rv>
  <rv s="6">
    <fb>14.613</fb>
    <v>11</v>
  </rv>
  <rv s="6">
    <fb>14.46</fb>
    <v>11</v>
  </rv>
  <rv s="6">
    <fb>6521640</fb>
    <v>12</v>
  </rv>
  <rv s="6">
    <fb>14.646000000000001</fb>
    <v>11</v>
  </rv>
  <rv s="6">
    <fb>14.845000000000001</fb>
    <v>11</v>
  </rv>
  <rv s="6">
    <fb>15.340999999999999</fb>
    <v>11</v>
  </rv>
  <rv s="6">
    <fb>14.516</fb>
    <v>11</v>
  </rv>
  <rv s="6">
    <fb>4688500</fb>
    <v>12</v>
  </rv>
  <rv s="6">
    <fb>16.472999999999999</fb>
    <v>11</v>
  </rv>
  <rv s="6">
    <fb>14.773</fb>
    <v>11</v>
  </rv>
  <rv s="6">
    <fb>16.553000000000001</fb>
    <v>11</v>
  </rv>
  <rv s="6">
    <fb>14.69</fb>
    <v>11</v>
  </rv>
  <rv s="6">
    <fb>4623480</fb>
    <v>12</v>
  </rv>
  <rv s="6">
    <fb>16.47</fb>
    <v>11</v>
  </rv>
  <rv s="6">
    <fb>16.716000000000001</fb>
    <v>11</v>
  </rv>
  <rv s="6">
    <fb>16.940000000000001</fb>
    <v>11</v>
  </rv>
  <rv s="6">
    <fb>16.233000000000001</fb>
    <v>11</v>
  </rv>
  <rv s="6">
    <fb>2922060</fb>
    <v>12</v>
  </rv>
  <rv s="6">
    <fb>16.559999999999999</fb>
    <v>11</v>
  </rv>
  <rv s="6">
    <fb>18.620999999999999</fb>
    <v>11</v>
  </rv>
  <rv s="6">
    <fb>16.343</fb>
    <v>11</v>
  </rv>
  <rv s="6">
    <fb>9708110</fb>
    <v>12</v>
  </rv>
  <rv s="6">
    <fb>16.707000000000001</fb>
    <v>11</v>
  </rv>
  <rv s="6">
    <fb>18.448</fb>
    <v>11</v>
  </rv>
  <rv s="6">
    <fb>18.7</fb>
    <v>11</v>
  </rv>
  <rv s="6">
    <fb>15.954000000000001</fb>
    <v>11</v>
  </rv>
  <rv s="6">
    <fb>11465700</fb>
    <v>12</v>
  </rv>
  <rv s="6">
    <fb>18.562000000000001</fb>
    <v>11</v>
  </rv>
  <rv s="6">
    <fb>16.890999999999998</fb>
    <v>11</v>
  </rv>
  <rv s="6">
    <fb>18.617999999999999</fb>
    <v>11</v>
  </rv>
  <rv s="6">
    <fb>6586190</fb>
    <v>12</v>
  </rv>
  <rv s="6">
    <fb>19.227</fb>
    <v>11</v>
  </rv>
  <rv s="6">
    <fb>18.399000000000001</fb>
    <v>11</v>
  </rv>
  <rv s="6">
    <fb>19.608000000000001</fb>
    <v>11</v>
  </rv>
  <rv s="6">
    <fb>18.173999999999999</fb>
    <v>11</v>
  </rv>
  <rv s="6">
    <fb>9547290</fb>
    <v>12</v>
  </rv>
  <rv s="6">
    <fb>22.210999999999999</fb>
    <v>11</v>
  </rv>
  <rv s="6">
    <fb>19.220800000000001</fb>
    <v>11</v>
  </rv>
  <rv s="6">
    <fb>11232410</fb>
    <v>12</v>
  </rv>
  <rv s="6">
    <fb>27.126000000000001</fb>
    <v>11</v>
  </rv>
  <rv s="6">
    <fb>21.437000000000001</fb>
    <v>11</v>
  </rv>
  <rv s="6">
    <fb>27685270</fb>
    <v>12</v>
  </rv>
  <rv s="6">
    <fb>30.03</fb>
    <v>11</v>
  </rv>
  <rv s="6">
    <fb>35.893999999999998</fb>
    <v>11</v>
  </rv>
  <rv s="6">
    <fb>32853360</fb>
    <v>12</v>
  </rv>
  <rv s="6">
    <fb>28.591999999999999</fb>
    <v>11</v>
  </rv>
  <rv s="6">
    <fb>33.006999999999998</fb>
    <v>11</v>
  </rv>
  <rv s="6">
    <fb>34.972000000000001</fb>
    <v>11</v>
  </rv>
  <rv s="6">
    <fb>27.408999999999999</fb>
    <v>11</v>
  </rv>
  <rv s="6">
    <fb>40368720</fb>
    <v>12</v>
  </rv>
  <rv s="6">
    <fb>29.893000000000001</fb>
    <v>11</v>
  </rv>
  <rv s="6">
    <fb>32.232500000000002</fb>
    <v>11</v>
  </rv>
  <rv s="6">
    <fb>27.638000000000002</fb>
    <v>11</v>
  </rv>
  <rv s="6">
    <fb>50397820</fb>
    <v>12</v>
  </rv>
  <rv s="6">
    <fb>32.261000000000003</fb>
    <v>11</v>
  </rv>
  <rv s="6">
    <fb>29.763000000000002</fb>
    <v>11</v>
  </rv>
  <rv s="6">
    <fb>34.32</fb>
    <v>11</v>
  </rv>
  <rv s="6">
    <fb>29.501999999999999</fb>
    <v>11</v>
  </rv>
  <rv s="6">
    <fb>21813870</fb>
    <v>12</v>
  </rv>
  <rv s="6">
    <fb>38.854999999999997</fb>
    <v>11</v>
  </rv>
  <rv s="6">
    <fb>36.728999999999999</fb>
    <v>11</v>
  </rv>
  <rv s="6">
    <fb>39.997999999999998</fb>
    <v>11</v>
  </rv>
  <rv s="6">
    <fb>34879120</fb>
    <v>12</v>
  </rv>
  <rv s="6">
    <fb>53.164000000000001</fb>
    <v>11</v>
  </rv>
  <rv s="6">
    <fb>41.633000000000003</fb>
    <v>11</v>
  </rv>
  <rv s="6">
    <fb>56.866</fb>
    <v>11</v>
  </rv>
  <rv s="6">
    <fb>40.651000000000003</fb>
    <v>11</v>
  </rv>
  <rv s="6">
    <fb>79903700</fb>
    <v>12</v>
  </rv>
  <rv s="6">
    <fb>57.807000000000002</fb>
    <v>11</v>
  </rv>
  <rv s="6">
    <fb>47.213999999999999</fb>
    <v>11</v>
  </rv>
  <rv s="6">
    <fb>63.16</fb>
    <v>11</v>
  </rv>
  <rv s="6">
    <fb>46.451000000000001</fb>
    <v>11</v>
  </rv>
  <rv s="6">
    <fb>62955430</fb>
    <v>12</v>
  </rv>
  <rv s="6">
    <fb>57.703000000000003</fb>
    <v>11</v>
  </rv>
  <rv s="6">
    <fb>61.652999999999999</fb>
    <v>11</v>
  </rv>
  <rv s="6">
    <fb>62.145000000000003</fb>
    <v>11</v>
  </rv>
  <rv s="6">
    <fb>50.46</fb>
    <v>11</v>
  </rv>
  <rv s="6">
    <fb>45811770</fb>
    <v>12</v>
  </rv>
  <rv s="6">
    <fb>61.731000000000002</fb>
    <v>11</v>
  </rv>
  <rv s="6">
    <fb>59.03</fb>
    <v>11</v>
  </rv>
  <rv s="6">
    <fb>69.647599999999997</fb>
    <v>11</v>
  </rv>
  <rv s="6">
    <fb>50.57</fb>
    <v>11</v>
  </rv>
  <rv s="6">
    <fb>40171110</fb>
    <v>12</v>
  </rv>
  <rv s="6">
    <fb>80.599999999999994</fb>
    <v>11</v>
  </rv>
  <rv s="6">
    <fb>62.033999999999999</fb>
    <v>11</v>
  </rv>
  <rv s="6">
    <fb>80.600999999999999</fb>
    <v>11</v>
  </rv>
  <rv s="6">
    <fb>58.604999999999997</fb>
    <v>11</v>
  </rv>
  <rv s="6">
    <fb>34141420</fb>
    <v>12</v>
  </rv>
  <rv s="6">
    <fb>103.431</fb>
    <v>11</v>
  </rv>
  <rv s="6">
    <fb>92.582999999999998</fb>
    <v>11</v>
  </rv>
  <rv s="6">
    <fb>131.5</fb>
    <v>11</v>
  </rv>
  <rv s="6">
    <fb>89.001000000000005</fb>
    <v>11</v>
  </rv>
  <rv s="6">
    <fb>90973210</fb>
    <v>12</v>
  </rv>
  <rv s="6">
    <fb>96.372</fb>
    <v>11</v>
  </rv>
  <rv s="6">
    <fb>107.084</fb>
    <v>11</v>
  </rv>
  <rv s="6">
    <fb>108.2568</fb>
    <v>11</v>
  </rv>
  <rv s="6">
    <fb>87.8</fb>
    <v>11</v>
  </rv>
  <rv s="6">
    <fb>52683660</fb>
    <v>12</v>
  </rv>
  <rv s="6">
    <fb>75.040999999999997</fb>
    <v>11</v>
  </rv>
  <rv s="6">
    <fb>87.1</fb>
    <v>11</v>
  </rv>
  <rv s="6">
    <fb>93.227999999999994</fb>
    <v>11</v>
  </rv>
  <rv s="6">
    <fb>66</fb>
    <v>11</v>
  </rv>
  <rv s="6">
    <fb>58043200</fb>
    <v>12</v>
  </rv>
  <rv s="6">
    <fb>62.024000000000001</fb>
    <v>11</v>
  </rv>
  <rv s="6">
    <fb>79.84</fb>
    <v>11</v>
  </rv>
  <rv s="6">
    <fb>81.748599999999996</fb>
    <v>11</v>
  </rv>
  <rv s="6">
    <fb>53.722000000000001</fb>
    <v>11</v>
  </rv>
  <rv s="6">
    <fb>47594490</fb>
    <v>12</v>
  </rv>
  <rv s="6">
    <fb>78.400000000000006</fb>
    <v>11</v>
  </rv>
  <rv s="6">
    <fb>64.501000000000005</fb>
    <v>11</v>
  </rv>
  <rv s="6">
    <fb>81</fb>
    <v>11</v>
  </rv>
  <rv s="6">
    <fb>61.7</fb>
    <v>11</v>
  </rv>
  <rv s="6">
    <fb>31847800</fb>
    <v>12</v>
  </rv>
  <rv s="6">
    <fb>77.703999999999994</fb>
    <v>11</v>
  </rv>
  <rv s="6">
    <fb>78.832999999999998</fb>
    <v>11</v>
  </rv>
  <rv s="6">
    <fb>80.900000000000006</fb>
    <v>11</v>
  </rv>
  <rv s="6">
    <fb>69.826999999999998</fb>
    <v>11</v>
  </rv>
  <rv s="6">
    <fb>29774160</fb>
    <v>12</v>
  </rv>
  <rv s="6">
    <fb>62.4</fb>
    <v>11</v>
  </rv>
  <rv s="6">
    <fb>76.72</fb>
    <v>11</v>
  </rv>
  <rv s="6">
    <fb>77.5</fb>
    <v>11</v>
  </rv>
  <rv s="6">
    <fb>56.6</fb>
    <v>11</v>
  </rv>
  <rv s="6">
    <fb>33282150</fb>
    <v>12</v>
  </rv>
  <rv s="6">
    <fb>70.355999999999995</fb>
    <v>11</v>
  </rv>
  <rv s="6">
    <fb>65.885999999999996</fb>
    <v>11</v>
  </rv>
  <rv s="6">
    <fb>72.582999999999998</fb>
    <v>11</v>
  </rv>
  <rv s="6">
    <fb>62.030999999999999</fb>
    <v>11</v>
  </rv>
  <rv s="6">
    <fb>19695310</fb>
    <v>12</v>
  </rv>
  <rv s="6">
    <fb>71.099999999999994</fb>
    <v>11</v>
  </rv>
  <rv s="6">
    <fb>70.974999999999994</fb>
    <v>11</v>
  </rv>
  <rv s="6">
    <fb>73.603499999999997</fb>
    <v>11</v>
  </rv>
  <rv s="6">
    <fb>65.2</fb>
    <v>11</v>
  </rv>
  <rv s="6">
    <fb>23125740</fb>
    <v>12</v>
  </rv>
  <rv s="6">
    <fb>69.361999999999995</fb>
    <v>11</v>
  </rv>
  <rv s="6">
    <fb>73.519000000000005</fb>
    <v>11</v>
  </rv>
  <rv s="6">
    <fb>88.21</fb>
    <v>11</v>
  </rv>
  <rv s="6">
    <fb>68.5</fb>
    <v>11</v>
  </rv>
  <rv s="6">
    <fb>52131160</fb>
    <v>12</v>
  </rv>
  <rv s="6">
    <fb>61.304000000000002</fb>
    <v>11</v>
  </rv>
  <rv s="6">
    <fb>65.004000000000005</fb>
    <v>11</v>
  </rv>
  <rv s="6">
    <fb>66.546000000000006</fb>
    <v>11</v>
  </rv>
  <rv s="6">
    <fb>56.9</fb>
    <v>11</v>
  </rv>
  <rv s="6">
    <fb>32274030</fb>
    <v>12</v>
  </rv>
  <rv s="6">
    <fb>65.715999999999994</fb>
    <v>11</v>
  </rv>
  <rv s="6">
    <fb>63.676000000000002</fb>
    <v>11</v>
  </rv>
  <rv s="6">
    <fb>68.900000000000006</fb>
    <v>11</v>
  </rv>
  <rv s="6">
    <fb>62.8</fb>
    <v>11</v>
  </rv>
  <rv s="6">
    <fb>22871190</fb>
    <v>12</v>
  </rv>
  <rv s="6">
    <fb>62.045999999999999</fb>
    <v>11</v>
  </rv>
  <rv s="6">
    <fb>67.397000000000006</fb>
    <v>11</v>
  </rv>
  <rv s="6">
    <fb>58.701000000000001</fb>
    <v>11</v>
  </rv>
  <rv s="6">
    <fb>21953130</fb>
    <v>12</v>
  </rv>
  <rv s="6">
    <fb>52.131</fb>
    <v>11</v>
  </rv>
  <rv s="6">
    <fb>61.585999999999999</fb>
    <v>11</v>
  </rv>
  <rv s="6">
    <fb>47.807000000000002</fb>
    <v>11</v>
  </rv>
  <rv s="6">
    <fb>31055390</fb>
    <v>12</v>
  </rv>
  <rv s="6">
    <fb>45.052</fb>
    <v>11</v>
  </rv>
  <rv s="6">
    <fb>48.4</fb>
    <v>11</v>
  </rv>
  <rv s="6">
    <fb>50.426000000000002</fb>
    <v>11</v>
  </rv>
  <rv s="6">
    <fb>41.158000000000001</fb>
    <v>11</v>
  </rv>
  <rv s="6">
    <fb>46227200</fb>
    <v>12</v>
  </rv>
  <rv s="6">
    <fb>46.5</fb>
    <v>11</v>
  </rv>
  <rv s="6">
    <fb>50.206099999999999</fb>
    <v>11</v>
  </rv>
  <rv s="6">
    <fb>44.724899999999998</fb>
    <v>11</v>
  </rv>
  <rv s="6">
    <fb>29621000</fb>
    <v>12</v>
  </rv>
  <rv s="6">
    <fb>48.466999999999999</fb>
    <v>11</v>
  </rv>
  <rv s="6">
    <fb>47.124000000000002</fb>
    <v>11</v>
  </rv>
  <rv s="6">
    <fb>50.198</fb>
    <v>11</v>
  </rv>
  <rv s="6">
    <fb>46.898000000000003</fb>
    <v>11</v>
  </rv>
  <rv s="6">
    <fb>14980920</fb>
    <v>12</v>
  </rv>
  <rv s="6">
    <fb>51.643999999999998</fb>
    <v>11</v>
  </rv>
  <rv s="6">
    <fb>48.25</fb>
    <v>11</v>
  </rv>
  <rv s="6">
    <fb>52.987000000000002</fb>
    <v>11</v>
  </rv>
  <rv s="6">
    <fb>42.792999999999999</fb>
    <v>11</v>
  </rv>
  <rv s="6">
    <fb>46384110</fb>
    <v>12</v>
  </rv>
  <rv s="6">
    <fb>64.646000000000001</fb>
    <v>11</v>
  </rv>
  <rv s="6">
    <fb>54.4</fb>
    <v>11</v>
  </rv>
  <rv s="6">
    <fb>64.765000000000001</fb>
    <v>11</v>
  </rv>
  <rv s="6">
    <fb>63352840</fb>
    <v>12</v>
  </rv>
  <rv s="6">
    <fb>55.005000000000003</fb>
    <v>11</v>
  </rv>
  <rv s="6">
    <fb>59.917000000000002</fb>
    <v>11</v>
  </rv>
  <rv s="6">
    <fb>61.4</fb>
    <v>11</v>
  </rv>
  <rv s="6">
    <fb>51.302</fb>
    <v>11</v>
  </rv>
  <rv s="6">
    <fb>67989160</fb>
    <v>12</v>
  </rv>
  <rv s="6">
    <fb>63.561</fb>
    <v>11</v>
  </rv>
  <rv s="6">
    <fb>57.033000000000001</fb>
    <v>11</v>
  </rv>
  <rv s="6">
    <fb>69.299000000000007</fb>
    <v>11</v>
  </rv>
  <rv s="6">
    <fb>56.5867</fb>
    <v>11</v>
  </rv>
  <rv s="6">
    <fb>53182790</fb>
    <v>12</v>
  </rv>
  <rv s="6">
    <fb>62.866</fb>
    <v>11</v>
  </rv>
  <rv s="6">
    <fb>65.207999999999998</fb>
    <v>11</v>
  </rv>
  <rv s="6">
    <fb>65.352000000000004</fb>
    <v>11</v>
  </rv>
  <rv s="6">
    <fb>59.469000000000001</fb>
    <v>11</v>
  </rv>
  <rv s="6">
    <fb>18493100</fb>
    <v>12</v>
  </rv>
  <rv s="6">
    <fb>52.308999999999997</fb>
    <v>11</v>
  </rv>
  <rv s="6">
    <fb>63.225000000000001</fb>
    <v>11</v>
  </rv>
  <rv s="6">
    <fb>63.241999999999997</fb>
    <v>11</v>
  </rv>
  <rv s="6">
    <fb>52.052</fb>
    <v>11</v>
  </rv>
  <rv s="6">
    <fb>35141110</fb>
    <v>12</v>
  </rv>
  <rv s="6">
    <fb>53.970999999999997</fb>
    <v>11</v>
  </rv>
  <rv s="6">
    <fb>50.765999999999998</fb>
    <v>11</v>
  </rv>
  <rv s="6">
    <fb>56.981200000000001</fb>
    <v>11</v>
  </rv>
  <rv s="6">
    <fb>47.238</fb>
    <v>11</v>
  </rv>
  <rv s="6">
    <fb>38487640</fb>
    <v>12</v>
  </rv>
  <rv s="6">
    <fb>62.600999999999999</fb>
    <v>11</v>
  </rv>
  <rv s="6">
    <fb>62.1</fb>
    <v>11</v>
  </rv>
  <rv s="6">
    <fb>69.5</fb>
    <v>11</v>
  </rv>
  <rv s="6">
    <fb>60.691000000000003</fb>
    <v>11</v>
  </rv>
  <rv s="6">
    <fb>52813750</fb>
    <v>12</v>
  </rv>
  <rv s="6">
    <fb>74.872</fb>
    <v>11</v>
  </rv>
  <rv s="6">
    <fb>62.259</fb>
    <v>11</v>
  </rv>
  <rv s="6">
    <fb>75.099000000000004</fb>
    <v>11</v>
  </rv>
  <rv s="6">
    <fb>60.512999999999998</fb>
    <v>11</v>
  </rv>
  <rv s="6">
    <fb>55795110</fb>
    <v>12</v>
  </rv>
  <rv s="6">
    <fb>72.8</fb>
    <v>11</v>
  </rv>
  <rv s="6">
    <fb>79.631100000000004</fb>
    <v>11</v>
  </rv>
  <rv s="6">
    <fb>79.8</fb>
    <v>11</v>
  </rv>
  <rv s="6">
    <fb>71.239999999999995</fb>
    <v>11</v>
  </rv>
  <rv s="6">
    <fb>43244290</fb>
    <v>12</v>
  </rv>
  <rv s="6">
    <fb>71.656000000000006</fb>
    <v>11</v>
  </rv>
  <rv s="6">
    <fb>74</fb>
    <v>11</v>
  </rv>
  <rv s="6">
    <fb>74.099999999999994</fb>
    <v>11</v>
  </rv>
  <rv s="6">
    <fb>64.143000000000001</fb>
    <v>11</v>
  </rv>
  <rv s="6">
    <fb>35363530</fb>
    <v>12</v>
  </rv>
  <rv s="6">
    <fb>70.72</fb>
    <v>11</v>
  </rv>
  <rv s="6">
    <fb>74.19</fb>
    <v>11</v>
  </rv>
  <rv s="6">
    <fb>74.778000000000006</fb>
    <v>11</v>
  </rv>
  <rv s="6">
    <fb>69.122</fb>
    <v>11</v>
  </rv>
  <rv s="6">
    <fb>36723940</fb>
    <v>12</v>
  </rv>
  <rv s="6">
    <fb>71.225999999999999</fb>
    <v>11</v>
  </rv>
  <rv s="6">
    <fb>70.259</fb>
    <v>11</v>
  </rv>
  <rv s="6">
    <fb>73.266000000000005</fb>
    <v>11</v>
  </rv>
  <rv s="6">
    <fb>68.709000000000003</fb>
    <v>11</v>
  </rv>
  <rv s="6">
    <fb>33587450</fb>
    <v>12</v>
  </rv>
  <rv s="6">
    <fb>61.557000000000002</fb>
    <v>11</v>
  </rv>
  <rv s="6">
    <fb>69.900000000000006</fb>
    <v>11</v>
  </rv>
  <rv s="6">
    <fb>70.2</fb>
    <v>11</v>
  </rv>
  <rv s="6">
    <fb>61.203000000000003</fb>
    <v>11</v>
  </rv>
  <rv s="6">
    <fb>39646650</fb>
    <v>12</v>
  </rv>
  <rv s="6">
    <fb>61.429000000000002</fb>
    <v>11</v>
  </rv>
  <rv s="6">
    <fb>60.9</fb>
    <v>11</v>
  </rv>
  <rv s="6">
    <fb>65.101399999999998</fb>
    <v>11</v>
  </rv>
  <rv s="6">
    <fb>60.031100000000002</fb>
    <v>11</v>
  </rv>
  <rv s="6">
    <fb>47378610</fb>
    <v>12</v>
  </rv>
  <rv s="6">
    <fb>59.939</fb>
    <v>11</v>
  </rv>
  <rv s="6">
    <fb>57.442</fb>
    <v>11</v>
  </rv>
  <rv s="6">
    <fb>61.776000000000003</fb>
    <v>11</v>
  </rv>
  <rv s="6">
    <fb>56.829000000000001</fb>
    <v>11</v>
  </rv>
  <rv s="6">
    <fb>24828630</fb>
    <v>12</v>
  </rv>
  <rv s="6">
    <fb>61.246000000000002</fb>
    <v>11</v>
  </rv>
  <rv s="6">
    <fb>60.325000000000003</fb>
    <v>11</v>
  </rv>
  <rv s="6">
    <fb>61.561</fb>
    <v>11</v>
  </rv>
  <rv s="6">
    <fb>56.526000000000003</fb>
    <v>11</v>
  </rv>
  <rv s="6">
    <fb>17350110</fb>
    <v>12</v>
  </rv>
  <rv s="6">
    <fb>70.882000000000005</fb>
    <v>11</v>
  </rv>
  <rv s="6">
    <fb>61.148000000000003</fb>
    <v>11</v>
  </rv>
  <rv s="6">
    <fb>71.278999999999996</fb>
    <v>11</v>
  </rv>
  <rv s="6">
    <fb>58.279000000000003</fb>
    <v>11</v>
  </rv>
  <rv s="6">
    <fb>27859610</fb>
    <v>12</v>
  </rv>
  <rv s="6">
    <fb>74.984999999999999</fb>
    <v>11</v>
  </rv>
  <rv s="6">
    <fb>72</fb>
    <v>11</v>
  </rv>
  <rv s="6">
    <fb>76.197999999999993</fb>
    <v>11</v>
  </rv>
  <rv s="6">
    <fb>70.194000000000003</fb>
    <v>11</v>
  </rv>
  <rv s="6">
    <fb>22947130</fb>
    <v>12</v>
  </rv>
  <rv s="6">
    <fb>71.852000000000004</fb>
    <v>11</v>
  </rv>
  <rv s="6">
    <fb>74.8</fb>
    <v>11</v>
  </rv>
  <rv s="6">
    <fb>77.706999999999994</fb>
    <v>11</v>
  </rv>
  <rv s="6">
    <fb>70.100999999999999</fb>
    <v>11</v>
  </rv>
  <rv s="6">
    <fb>29034120</fb>
    <v>12</v>
  </rv>
  <rv s="6">
    <fb>71.506</fb>
    <v>11</v>
  </rv>
  <rv s="6">
    <fb>73.644999999999996</fb>
    <v>11</v>
  </rv>
  <rv s="6">
    <fb>75.548500000000004</fb>
    <v>11</v>
  </rv>
  <rv s="6">
    <fb>69.141000000000005</fb>
    <v>11</v>
  </rv>
  <rv s="6">
    <fb>24383470</fb>
    <v>12</v>
  </rv>
  <rv s="6">
    <fb>79.751000000000005</fb>
    <v>11</v>
  </rv>
  <rv s="6">
    <fb>72.099999999999994</fb>
    <v>11</v>
  </rv>
  <rv s="6">
    <fb>84.1</fb>
    <v>11</v>
  </rv>
  <rv s="6">
    <fb>71.119</fb>
    <v>11</v>
  </rv>
  <rv s="6">
    <fb>35897200</fb>
    <v>12</v>
  </rv>
  <rv s="6">
    <fb>81.173000000000002</fb>
    <v>11</v>
  </rv>
  <rv s="6">
    <fb>84.198999999999998</fb>
    <v>11</v>
  </rv>
  <rv s="6">
    <fb>89.138000000000005</fb>
    <v>11</v>
  </rv>
  <rv s="6">
    <fb>78.585700000000003</fb>
    <v>11</v>
  </rv>
  <rv s="6">
    <fb>25575420</fb>
    <v>12</v>
  </rv>
  <rv s="6">
    <fb>71.831000000000003</fb>
    <v>11</v>
  </rv>
  <rv s="6">
    <fb>81.995999999999995</fb>
    <v>11</v>
  </rv>
  <rv s="6">
    <fb>71.697000000000003</fb>
    <v>11</v>
  </rv>
  <rv s="6">
    <fb>21786940</fb>
    <v>12</v>
  </rv>
  <rv s="6">
    <fb>72.471000000000004</fb>
    <v>11</v>
  </rv>
  <rv s="6">
    <fb>72.581000000000003</fb>
    <v>11</v>
  </rv>
  <rv s="6">
    <fb>65.5</fb>
    <v>11</v>
  </rv>
  <rv s="6">
    <fb>16741720</fb>
    <v>12</v>
  </rv>
  <rv s="6">
    <fb>63.098999999999997</fb>
    <v>11</v>
  </rv>
  <rv s="6">
    <fb>69</fb>
    <v>11</v>
  </rv>
  <rv s="6">
    <fb>74.399000000000001</fb>
    <v>11</v>
  </rv>
  <rv s="6">
    <fb>61.624000000000002</fb>
    <v>11</v>
  </rv>
  <rv s="6">
    <fb>33255660</fb>
    <v>12</v>
  </rv>
  <rv s="6">
    <fb>60.084000000000003</fb>
    <v>11</v>
  </rv>
  <rv s="6">
    <fb>59.491999999999997</fb>
    <v>11</v>
  </rv>
  <rv s="6">
    <fb>64.718999999999994</fb>
    <v>11</v>
  </rv>
  <rv s="6">
    <fb>56.573</fb>
    <v>11</v>
  </rv>
  <rv s="6">
    <fb>19906200</fb>
    <v>12</v>
  </rv>
  <rv s="6">
    <fb>57.158000000000001</fb>
    <v>11</v>
  </rv>
  <rv s="6">
    <fb>59.494999999999997</fb>
    <v>11</v>
  </rv>
  <rv s="6">
    <fb>60.3</fb>
    <v>11</v>
  </rv>
  <rv s="6">
    <fb>52.881</fb>
    <v>11</v>
  </rv>
  <rv s="6">
    <fb>24177860</fb>
    <v>12</v>
  </rv>
  <rv s="6">
    <fb>59.720999999999997</fb>
    <v>11</v>
  </rv>
  <rv s="6">
    <fb>55.281999999999996</fb>
    <v>11</v>
  </rv>
  <rv s="6">
    <fb>60</fb>
    <v>11</v>
  </rv>
  <rv s="6">
    <fb>54.3</fb>
    <v>11</v>
  </rv>
  <rv s="6">
    <fb>14429470</fb>
    <v>12</v>
  </rv>
  <rv s="6">
    <fb>54.448999999999998</fb>
    <v>11</v>
  </rv>
  <rv s="6">
    <fb>62.151699999999998</fb>
    <v>11</v>
  </rv>
  <rv s="6">
    <fb>54.332500000000003</fb>
    <v>11</v>
  </rv>
  <rv s="6">
    <fb>15887240</fb>
    <v>12</v>
  </rv>
  <rv s="6">
    <fb>48.295000000000002</fb>
    <v>11</v>
  </rv>
  <rv s="6">
    <fb>55.061</fb>
    <v>11</v>
  </rv>
  <rv s="6">
    <fb>57.625999999999998</fb>
    <v>11</v>
  </rv>
  <rv s="6">
    <fb>47.121000000000002</fb>
    <v>11</v>
  </rv>
  <rv s="6">
    <fb>21989450</fb>
    <v>12</v>
  </rv>
  <rv s="6">
    <fb>49.956000000000003</fb>
    <v>11</v>
  </rv>
  <rv s="6">
    <fb>46.369</fb>
    <v>11</v>
  </rv>
  <rv s="6">
    <fb>52.997999999999998</fb>
    <v>11</v>
  </rv>
  <rv s="6">
    <fb>44.825000000000003</fb>
    <v>11</v>
  </rv>
  <rv s="6">
    <fb>19859630</fb>
    <v>12</v>
  </rv>
  <rv s="6">
    <fb>37.588999999999999</fb>
    <v>11</v>
  </rv>
  <rv s="6">
    <fb>48.48</fb>
    <v>11</v>
  </rv>
  <rv s="6">
    <fb>49.198999999999998</fb>
    <v>11</v>
  </rv>
  <rv s="6">
    <fb>36.598500000000001</fb>
    <v>11</v>
  </rv>
  <rv s="6">
    <fb>28415590</fb>
    <v>12</v>
  </rv>
  <rv s="6">
    <fb>33.895000000000003</fb>
    <v>11</v>
  </rv>
  <rv s="6">
    <fb>32</fb>
    <v>11</v>
  </rv>
  <rv s="6">
    <fb>39.366</fb>
    <v>11</v>
  </rv>
  <rv s="6">
    <fb>30.719000000000001</fb>
    <v>11</v>
  </rv>
  <rv s="6">
    <fb>48152780</fb>
    <v>12</v>
  </rv>
  <rv s="6">
    <fb>39.164000000000001</fb>
    <v>11</v>
  </rv>
  <rv s="6">
    <fb>33.787999999999997</fb>
    <v>11</v>
  </rv>
  <rv s="6">
    <fb>39.857999999999997</fb>
    <v>11</v>
  </rv>
  <rv s="6">
    <fb>33.195999999999998</fb>
    <v>11</v>
  </rv>
  <rv s="6">
    <fb>36413510</fb>
    <v>12</v>
  </rv>
  <rv s="6">
    <fb>41.100999999999999</fb>
    <v>11</v>
  </rv>
  <rv s="6">
    <fb>40.4512</fb>
    <v>11</v>
  </rv>
  <rv s="6">
    <fb>46.304000000000002</fb>
    <v>11</v>
  </rv>
  <rv s="6">
    <fb>40.347499999999997</fb>
    <v>11</v>
  </rv>
  <rv s="6">
    <fb>30959250</fb>
    <v>12</v>
  </rv>
  <rv s="6">
    <fb>39.597000000000001</fb>
    <v>11</v>
  </rv>
  <rv s="6">
    <fb>43.827599999999997</fb>
    <v>11</v>
  </rv>
  <rv s="6">
    <fb>38.521999999999998</fb>
    <v>11</v>
  </rv>
  <rv s="6">
    <fb>18321260</fb>
    <v>12</v>
  </rv>
  <rv s="6">
    <fb>37.581400000000002</fb>
    <v>11</v>
  </rv>
  <rv s="6">
    <fb>41.2</fb>
    <v>11</v>
  </rv>
  <rv s="6">
    <fb>33.683999999999997</fb>
    <v>11</v>
  </rv>
  <rv s="6">
    <fb>19710650</fb>
    <v>12</v>
  </rv>
  <rv s="6">
    <fb>41.036000000000001</fb>
    <v>11</v>
  </rv>
  <rv s="6">
    <fb>40.156999999999996</fb>
    <v>11</v>
  </rv>
  <rv s="6">
    <fb>47.3048</fb>
    <v>11</v>
  </rv>
  <rv s="6">
    <fb>23176640</fb>
    <v>12</v>
  </rv>
  <rv s="6">
    <fb>39.082000000000001</fb>
    <v>11</v>
  </rv>
  <rv s="6">
    <fb>41.51</fb>
    <v>11</v>
  </rv>
  <rv s="6">
    <fb>45.445</fb>
    <v>11</v>
  </rv>
  <rv s="6">
    <fb>38.843000000000004</fb>
    <v>11</v>
  </rv>
  <rv s="6">
    <fb>20193600</fb>
    <v>12</v>
  </rv>
  <rv s="6">
    <fb>45.427999999999997</fb>
    <v>11</v>
  </rv>
  <rv s="6">
    <fb>45.69</fb>
    <v>11</v>
  </rv>
  <rv s="6">
    <fb>36.32</fb>
    <v>11</v>
  </rv>
  <rv s="6">
    <fb>24907550</fb>
    <v>12</v>
  </rv>
  <rv s="6">
    <fb>47.241999999999997</fb>
    <v>11</v>
  </rv>
  <rv s="6">
    <fb>45.106999999999999</fb>
    <v>11</v>
  </rv>
  <rv s="6">
    <fb>49.3934</fb>
    <v>11</v>
  </rv>
  <rv s="6">
    <fb>43.029400000000003</fb>
    <v>11</v>
  </rv>
  <rv s="6">
    <fb>18899500</fb>
    <v>12</v>
  </rv>
  <rv s="6">
    <fb>49.097999999999999</fb>
    <v>11</v>
  </rv>
  <rv s="6">
    <fb>49.603999999999999</fb>
    <v>11</v>
  </rv>
  <rv s="6">
    <fb>52.280299999999997</fb>
    <v>11</v>
  </rv>
  <rv s="6">
    <fb>16725270</fb>
    <v>12</v>
  </rv>
  <rv s="6">
    <fb>45.323999999999998</fb>
    <v>11</v>
  </rv>
  <rv s="6">
    <fb>49.171999999999997</fb>
    <v>11</v>
  </rv>
  <rv s="6">
    <fb>50.856999999999999</fb>
    <v>11</v>
  </rv>
  <rv s="6">
    <fb>44.6</fb>
    <v>11</v>
  </rv>
  <rv s="6">
    <fb>17690530</fb>
    <v>12</v>
  </rv>
  <rv s="6">
    <fb>44.918999999999997</fb>
    <v>11</v>
  </rv>
  <rv s="6">
    <fb>44.122</fb>
    <v>11</v>
  </rv>
  <rv s="6">
    <fb>47.606999999999999</fb>
    <v>11</v>
  </rv>
  <rv s="6">
    <fb>13669640</fb>
    <v>12</v>
  </rv>
  <rv s="6">
    <fb>40.908000000000001</fb>
    <v>11</v>
  </rv>
  <rv s="6">
    <fb>44.78</fb>
    <v>11</v>
  </rv>
  <rv s="6">
    <fb>47.728000000000002</fb>
    <v>11</v>
  </rv>
  <rv s="6">
    <fb>40.799999999999997</fb>
    <v>11</v>
  </rv>
  <rv s="6">
    <fb>15896870</fb>
    <v>12</v>
  </rv>
  <rv s="6">
    <fb>35.417000000000002</fb>
    <v>11</v>
  </rv>
  <rv s="6">
    <fb>40.508000000000003</fb>
    <v>11</v>
  </rv>
  <rv s="6">
    <fb>42.8</fb>
    <v>11</v>
  </rv>
  <rv s="6">
    <fb>35.299999999999997</fb>
    <v>11</v>
  </rv>
  <rv s="6">
    <fb>19647940</fb>
    <v>12</v>
  </rv>
  <rv s="6">
    <fb>29.423999999999999</fb>
    <v>11</v>
  </rv>
  <rv s="6">
    <fb>35.600999999999999</fb>
    <v>11</v>
  </rv>
  <rv s="6">
    <fb>36.953000000000003</fb>
    <v>11</v>
  </rv>
  <rv s="6">
    <fb>28.2545</fb>
    <v>11</v>
  </rv>
  <rv s="6">
    <fb>38694500</fb>
    <v>12</v>
  </rv>
  <rv s="6">
    <fb>20.457000000000001</fb>
    <v>11</v>
  </rv>
  <rv s="6">
    <fb>27.125</fb>
    <v>11</v>
  </rv>
  <rv s="6">
    <fb>13.409000000000001</fb>
    <v>11</v>
  </rv>
  <rv s="6">
    <fb>144681220</fb>
    <v>12</v>
  </rv>
  <rv s="6">
    <fb>20.274999999999999</fb>
    <v>11</v>
  </rv>
  <rv s="6">
    <fb>22.596</fb>
    <v>11</v>
  </rv>
  <rv s="6">
    <fb>47419940</fb>
    <v>12</v>
  </rv>
  <rv s="6">
    <fb>21.939</fb>
    <v>11</v>
  </rv>
  <rv s="6">
    <fb>21.164000000000001</fb>
    <v>11</v>
  </rv>
  <rv s="6">
    <fb>23.387</fb>
    <v>11</v>
  </rv>
  <rv s="6">
    <fb>41826240</fb>
    <v>12</v>
  </rv>
  <rv s="6">
    <fb>23.516999999999999</fb>
    <v>11</v>
  </rv>
  <rv s="6">
    <fb>27.288</fb>
    <v>11</v>
  </rv>
  <rv s="6">
    <fb>22.355</fb>
    <v>11</v>
  </rv>
  <rv s="6">
    <fb>35189850</fb>
    <v>12</v>
  </rv>
  <rv s="6">
    <fb>20.335999999999999</fb>
    <v>11</v>
  </rv>
  <rv s="6">
    <fb>24.395</fb>
    <v>11</v>
  </rv>
  <rv s="6">
    <fb>24.876999999999999</fb>
    <v>11</v>
  </rv>
  <rv s="6">
    <fb>28720970</fb>
    <v>12</v>
  </rv>
  <rv s="6">
    <fb>14.930999999999999</fb>
    <v>11</v>
  </rv>
  <rv s="6">
    <fb>17.687999999999999</fb>
    <v>11</v>
  </rv>
  <rv s="6">
    <fb>98176170</fb>
    <v>12</v>
  </rv>
  <rv s="6">
    <fb>20.544</fb>
    <v>11</v>
  </rv>
  <rv s="6">
    <fb>20.798999999999999</fb>
    <v>11</v>
  </rv>
  <rv s="6">
    <fb>16.827999999999999</fb>
    <v>11</v>
  </rv>
  <rv s="6">
    <fb>35517570</fb>
    <v>12</v>
  </rv>
  <rv s="6">
    <fb>16.677</fb>
    <v>11</v>
  </rv>
  <rv s="6">
    <fb>20.251000000000001</fb>
    <v>11</v>
  </rv>
  <rv s="6">
    <fb>20.612500000000001</fb>
    <v>11</v>
  </rv>
  <rv s="6">
    <fb>16.138999999999999</fb>
    <v>11</v>
  </rv>
  <rv s="6">
    <fb>37299080</fb>
    <v>12</v>
  </rv>
  <rv s="6">
    <fb>22.128</fb>
    <v>11</v>
  </rv>
  <rv s="6">
    <fb>16.584</fb>
    <v>11</v>
  </rv>
  <rv s="6">
    <fb>23.6281</fb>
    <v>11</v>
  </rv>
  <rv s="6">
    <fb>37955230</fb>
    <v>12</v>
  </rv>
  <rv s="6">
    <fb>21.398</fb>
    <v>11</v>
  </rv>
  <rv s="6">
    <fb>21.035</fb>
    <v>11</v>
  </rv>
  <rv s="6">
    <fb>21.419</fb>
    <v>11</v>
  </rv>
  <rv s="6">
    <fb>18.244499999999999</fb>
    <v>11</v>
  </rv>
  <rv s="6">
    <fb>30619520</fb>
    <v>12</v>
  </rv>
  <rv s="6">
    <fb>28.192</fb>
    <v>11</v>
  </rv>
  <rv s="6">
    <fb>23.012</fb>
    <v>11</v>
  </rv>
  <rv s="6">
    <fb>22.425000000000001</fb>
    <v>11</v>
  </rv>
  <rv s="6">
    <fb>53307040</fb>
    <v>12</v>
  </rv>
  <rv s="6">
    <fb>28.606000000000002</fb>
    <v>11</v>
  </rv>
  <rv s="6">
    <fb>26.702000000000002</fb>
    <v>11</v>
  </rv>
  <rv s="6">
    <fb>28.797000000000001</fb>
    <v>11</v>
  </rv>
  <rv s="6">
    <fb>23.568000000000001</fb>
    <v>11</v>
  </rv>
  <rv s="6">
    <fb>30631900</fb>
    <v>12</v>
  </rv>
  <rv s="6">
    <fb>31.914999999999999</fb>
    <v>11</v>
  </rv>
  <rv s="6">
    <fb>27.652999999999999</fb>
    <v>11</v>
  </rv>
  <rv s="6">
    <fb>33.222999999999999</fb>
    <v>11</v>
  </rv>
  <rv s="6">
    <fb>27.146000000000001</fb>
    <v>11</v>
  </rv>
  <rv s="6">
    <fb>39601910</fb>
    <v>12</v>
  </rv>
  <rv s="6">
    <fb>35.283999999999999</fb>
    <v>11</v>
  </rv>
  <rv s="6">
    <fb>33.564999999999998</fb>
    <v>11</v>
  </rv>
  <rv s="6">
    <fb>31.425000000000001</fb>
    <v>11</v>
  </rv>
  <rv s="6">
    <fb>25164290</fb>
    <v>12</v>
  </rv>
  <rv s="6">
    <fb>28.3</fb>
    <v>11</v>
  </rv>
  <rv s="6">
    <fb>34.646000000000001</fb>
    <v>11</v>
  </rv>
  <rv s="6">
    <fb>35.8322</fb>
    <v>11</v>
  </rv>
  <rv s="6">
    <fb>28.175999999999998</fb>
    <v>11</v>
  </rv>
  <rv s="6">
    <fb>19741920</fb>
    <v>12</v>
  </rv>
  <rv s="6">
    <fb>27.300999999999998</fb>
    <v>11</v>
  </rv>
  <rv s="6">
    <fb>28.327000000000002</fb>
    <v>11</v>
  </rv>
  <rv s="6">
    <fb>21124030</fb>
    <v>12</v>
  </rv>
  <rv s="6">
    <fb>21.806000000000001</fb>
    <v>11</v>
  </rv>
  <rv s="6">
    <fb>24.137</fb>
    <v>11</v>
  </rv>
  <rv s="6">
    <fb>25.419799999999999</fb>
    <v>11</v>
  </rv>
  <rv s="6">
    <fb>21.329000000000001</fb>
    <v>11</v>
  </rv>
  <rv s="6">
    <fb>29169380</fb>
    <v>12</v>
  </rv>
  <rv s="6">
    <fb>26.196999999999999</fb>
    <v>11</v>
  </rv>
  <rv s="6">
    <fb>21.853000000000002</fb>
    <v>11</v>
  </rv>
  <rv s="6">
    <fb>26.221</fb>
    <v>11</v>
  </rv>
  <rv s="6">
    <fb>28085600</fb>
    <v>12</v>
  </rv>
  <rv s="6">
    <fb>20.634</fb>
    <v>11</v>
  </rv>
  <rv s="6">
    <fb>26.321000000000002</fb>
    <v>11</v>
  </rv>
  <rv s="6">
    <fb>26.798999999999999</fb>
    <v>11</v>
  </rv>
  <rv s="6">
    <fb>20.321999999999999</fb>
    <v>11</v>
  </rv>
  <rv s="6">
    <fb>40894450</fb>
    <v>12</v>
  </rv>
  <rv s="6">
    <fb>19.145</fb>
    <v>11</v>
  </rv>
  <rv s="6">
    <fb>19.926500000000001</fb>
    <v>11</v>
  </rv>
  <rv s="6">
    <fb>20.832999999999998</fb>
    <v>11</v>
  </rv>
  <rv s="6">
    <fb>18.349</fb>
    <v>11</v>
  </rv>
  <rv s="6">
    <fb>36024870</fb>
    <v>12</v>
  </rv>
  <rv s="6">
    <fb>21.225999999999999</fb>
    <v>11</v>
  </rv>
  <rv s="6">
    <fb>19.181999999999999</fb>
    <v>11</v>
  </rv>
  <rv s="6">
    <fb>22.603999999999999</fb>
    <v>11</v>
  </rv>
  <rv s="6">
    <fb>25237720</fb>
    <v>12</v>
  </rv>
  <rv s="6">
    <fb>22.03</fb>
    <v>11</v>
  </rv>
  <rv s="6">
    <fb>24.916599999999999</fb>
    <v>11</v>
  </rv>
  <rv s="6">
    <fb>21.213999999999999</fb>
    <v>11</v>
  </rv>
  <rv s="6">
    <fb>22520520</fb>
    <v>12</v>
  </rv>
  <rv s="6">
    <fb>20.931000000000001</fb>
    <v>11</v>
  </rv>
  <rv s="6">
    <fb>21.962</fb>
    <v>11</v>
  </rv>
  <rv s="6">
    <fb>23.186</fb>
    <v>11</v>
  </rv>
  <rv s="6">
    <fb>19.8125</fb>
    <v>11</v>
  </rv>
  <rv s="6">
    <fb>19682860</fb>
    <v>12</v>
  </rv>
  <rv s="6">
    <fb>23.262</fb>
    <v>11</v>
  </rv>
  <rv s="6">
    <fb>23.530999999999999</fb>
    <v>11</v>
  </rv>
  <rv s="6">
    <fb>21.649000000000001</fb>
    <v>11</v>
  </rv>
  <rv s="6">
    <fb>18461340</fb>
    <v>12</v>
  </rv>
  <rv s="6">
    <fb>27.998999999999999</fb>
    <v>11</v>
  </rv>
  <rv s="6">
    <fb>29</fb>
    <v>11</v>
  </rv>
  <rv s="6">
    <fb>23377730</fb>
    <v>12</v>
  </rv>
  <rv s="6">
    <fb>27.71</fb>
    <v>11</v>
  </rv>
  <rv s="6">
    <fb>28.388000000000002</fb>
    <v>11</v>
  </rv>
  <rv s="6">
    <fb>24.135999999999999</fb>
    <v>11</v>
  </rv>
  <rv s="6">
    <fb>22391270</fb>
    <v>12</v>
  </rv>
  <rv s="6">
    <fb>17.518000000000001</fb>
    <v>11</v>
  </rv>
  <rv s="6">
    <fb>27.140999999999998</fb>
    <v>11</v>
  </rv>
  <rv s="6">
    <fb>97950900</fb>
    <v>12</v>
  </rv>
  <rv s="6">
    <fb>17.012</fb>
    <v>11</v>
  </rv>
  <rv s="6">
    <fb>17.131</fb>
    <v>11</v>
  </rv>
  <rv s="6">
    <fb>17.91</fb>
    <v>11</v>
  </rv>
  <rv s="6">
    <fb>35112370</fb>
    <v>12</v>
  </rv>
  <rv s="6">
    <fb>15.234</fb>
    <v>11</v>
  </rv>
  <rv s="6">
    <fb>22368810</fb>
    <v>12</v>
  </rv>
  <rv s="6">
    <fb>20.693999999999999</fb>
    <v>11</v>
  </rv>
  <rv s="6">
    <fb>17.872</fb>
    <v>11</v>
  </rv>
  <rv s="6">
    <fb>21.149000000000001</fb>
    <v>11</v>
  </rv>
  <rv s="6">
    <fb>16.916</fb>
    <v>11</v>
  </rv>
  <rv s="6">
    <fb>28821590</fb>
    <v>12</v>
  </rv>
  <rv s="6">
    <fb>20.324999999999999</fb>
    <v>11</v>
  </rv>
  <rv s="6">
    <fb>20.85</fb>
    <v>11</v>
  </rv>
  <rv s="6">
    <fb>21.073</fb>
    <v>11</v>
  </rv>
  <rv s="6">
    <fb>18.725000000000001</fb>
    <v>11</v>
  </rv>
  <rv s="6">
    <fb>21763240</fb>
    <v>12</v>
  </rv>
  <rv s="6">
    <fb>17.375</fb>
    <v>11</v>
  </rv>
  <rv s="6">
    <fb>21.378</fb>
    <v>11</v>
  </rv>
  <rv s="6">
    <fb>17.233000000000001</fb>
    <v>11</v>
  </rv>
  <rv s="6">
    <fb>25391910</fb>
    <v>12</v>
  </rv>
  <rv s="6">
    <fb>16.266999999999999</fb>
    <v>11</v>
  </rv>
  <rv s="6">
    <fb>17.884</fb>
    <v>11</v>
  </rv>
  <rv s="6">
    <fb>16.053999999999998</fb>
    <v>11</v>
  </rv>
  <rv s="6">
    <fb>16120280</fb>
    <v>12</v>
  </rv>
  <rv s="6">
    <fb>16.007000000000001</fb>
    <v>11</v>
  </rv>
  <rv s="6">
    <fb>13.256</fb>
    <v>11</v>
  </rv>
  <rv s="6">
    <fb>28238540</fb>
    <v>12</v>
  </rv>
  <rv s="6">
    <fb>16.045000000000002</fb>
    <v>11</v>
  </rv>
  <rv s="6">
    <fb>14.567</fb>
    <v>11</v>
  </rv>
  <rv s="6">
    <fb>16.569500000000001</fb>
    <v>11</v>
  </rv>
  <rv s="6">
    <fb>13.938000000000001</fb>
    <v>11</v>
  </rv>
  <rv s="6">
    <fb>25406900</fb>
    <v>12</v>
  </rv>
  <rv s="6">
    <fb>21.696999999999999</fb>
    <v>11</v>
  </rv>
  <rv s="6">
    <fb>22.216999999999999</fb>
    <v>11</v>
  </rv>
  <rv s="6">
    <fb>16.54</fb>
    <v>11</v>
  </rv>
  <rv s="6">
    <fb>38745580</fb>
    <v>12</v>
  </rv>
  <rv s="6">
    <fb>24.003</fb>
    <v>11</v>
  </rv>
  <rv s="6">
    <fb>23.2</fb>
    <v>11</v>
  </rv>
  <rv s="6">
    <fb>24.202999999999999</fb>
    <v>11</v>
  </rv>
  <rv s="6">
    <fb>34482200</fb>
    <v>12</v>
  </rv>
  <rv s="6">
    <fb>25.835999999999999</fb>
    <v>11</v>
  </rv>
  <rv s="6">
    <fb>24.094999999999999</fb>
    <v>11</v>
  </rv>
  <rv s="6">
    <fb>26.21</fb>
    <v>11</v>
  </rv>
  <rv s="6">
    <fb>23.215</fb>
    <v>11</v>
  </rv>
  <rv s="6">
    <fb>24594440</fb>
    <v>12</v>
  </rv>
  <rv s="6">
    <fb>28.475999999999999</fb>
    <v>11</v>
  </rv>
  <rv s="6">
    <fb>25.234999999999999</fb>
    <v>11</v>
  </rv>
  <rv s="6">
    <fb>30.34</fb>
    <v>11</v>
  </rv>
  <rv s="6">
    <fb>23.942</fb>
    <v>11</v>
  </rv>
  <rv s="6">
    <fb>32400510</fb>
    <v>12</v>
  </rv>
  <rv s="6">
    <fb>24.337</fb>
    <v>11</v>
  </rv>
  <rv s="6">
    <fb>27.431000000000001</fb>
    <v>11</v>
  </rv>
  <rv s="6">
    <fb>29.040900000000001</fb>
    <v>11</v>
  </rv>
  <rv s="6">
    <fb>24.100999999999999</fb>
    <v>11</v>
  </rv>
  <rv s="6">
    <fb>24005710</fb>
    <v>12</v>
  </rv>
  <rv s="6">
    <fb>29.405000000000001</fb>
    <v>11</v>
  </rv>
  <rv s="6">
    <fb>23.902999999999999</fb>
    <v>11</v>
  </rv>
  <rv s="6">
    <fb>31.5</fb>
    <v>11</v>
  </rv>
  <rv s="6">
    <fb>23.654199999999999</fb>
    <v>11</v>
  </rv>
  <rv s="6">
    <fb>32001620</fb>
    <v>12</v>
  </rv>
  <rv s="6">
    <fb>28.623999999999999</fb>
    <v>11</v>
  </rv>
  <rv s="6">
    <fb>29.074000000000002</fb>
    <v>11</v>
  </rv>
  <rv s="6">
    <fb>24.887</fb>
    <v>11</v>
  </rv>
  <rv s="6">
    <fb>17979370</fb>
    <v>12</v>
  </rv>
  <rv s="6">
    <fb>24.690999999999999</fb>
    <v>11</v>
  </rv>
  <rv s="6">
    <fb>26.359000000000002</fb>
    <v>11</v>
  </rv>
  <rv s="6">
    <fb>23.684999999999999</fb>
    <v>11</v>
  </rv>
  <rv s="6">
    <fb>23484670</fb>
    <v>12</v>
  </rv>
  <rv s="6">
    <fb>19.201000000000001</fb>
    <v>11</v>
  </rv>
  <rv s="6">
    <fb>24.934999999999999</fb>
    <v>11</v>
  </rv>
  <rv s="6">
    <fb>25.204000000000001</fb>
    <v>11</v>
  </rv>
  <rv s="6">
    <fb>35952150</fb>
    <v>12</v>
  </rv>
  <rv s="6">
    <fb>26.765999999999998</fb>
    <v>11</v>
  </rv>
  <rv s="6">
    <fb>20.202000000000002</fb>
    <v>11</v>
  </rv>
  <rv s="6">
    <fb>27.4</fb>
    <v>11</v>
  </rv>
  <rv s="6">
    <fb>61452930</fb>
    <v>12</v>
  </rv>
  <rv s="6">
    <fb>25.667000000000002</fb>
    <v>11</v>
  </rv>
  <rv s="6">
    <fb>28.042999999999999</fb>
    <v>11</v>
  </rv>
  <rv s="6">
    <fb>28.172999999999998</fb>
    <v>11</v>
  </rv>
  <rv s="6">
    <fb>24.600999999999999</fb>
    <v>11</v>
  </rv>
  <rv s="6">
    <fb>50284160</fb>
    <v>12</v>
  </rv>
  <rv s="6">
    <fb>29.231999999999999</fb>
    <v>11</v>
  </rv>
  <rv s="6">
    <fb>25.986000000000001</fb>
    <v>11</v>
  </rv>
  <rv s="6">
    <fb>23.071999999999999</fb>
    <v>11</v>
  </rv>
  <rv s="6">
    <fb>45621220</fb>
    <v>12</v>
  </rv>
  <rv s="6">
    <fb>29.099</fb>
    <v>11</v>
  </rv>
  <rv s="6">
    <fb>27.837</fb>
    <v>11</v>
  </rv>
  <rv s="6">
    <fb>26273430</fb>
    <v>12</v>
  </rv>
  <rv s="6">
    <fb>33.375</fb>
    <v>11</v>
  </rv>
  <rv s="6">
    <fb>34.762999999999998</fb>
    <v>11</v>
  </rv>
  <rv s="6">
    <fb>52958280</fb>
    <v>12</v>
  </rv>
  <rv s="6">
    <fb>29.102</fb>
    <v>11</v>
  </rv>
  <rv s="6">
    <fb>32.173000000000002</fb>
    <v>11</v>
  </rv>
  <rv s="6">
    <fb>33.4</fb>
    <v>11</v>
  </rv>
  <rv s="6">
    <fb>28.774000000000001</fb>
    <v>11</v>
  </rv>
  <rv s="6">
    <fb>38769990</fb>
    <v>12</v>
  </rv>
  <rv s="6">
    <fb>32.838000000000001</fb>
    <v>11</v>
  </rv>
  <rv s="6">
    <fb>29.103000000000002</fb>
    <v>11</v>
  </rv>
  <rv s="6">
    <fb>32.898000000000003</fb>
    <v>11</v>
  </rv>
  <rv s="6">
    <fb>28.015000000000001</fb>
    <v>11</v>
  </rv>
  <rv s="6">
    <fb>39968760</fb>
    <v>12</v>
  </rv>
  <rv s="6">
    <fb>32.671999999999997</fb>
    <v>11</v>
  </rv>
  <rv s="6">
    <fb>33.292700000000004</fb>
    <v>11</v>
  </rv>
  <rv s="6">
    <fb>30.167999999999999</fb>
    <v>11</v>
  </rv>
  <rv s="6">
    <fb>50950970</fb>
    <v>12</v>
  </rv>
  <rv s="6">
    <fb>31.114999999999998</fb>
    <v>11</v>
  </rv>
  <rv s="6">
    <fb>32.564999999999998</fb>
    <v>11</v>
  </rv>
  <rv s="6">
    <fb>26.651</fb>
    <v>11</v>
  </rv>
  <rv s="6">
    <fb>56874910</fb>
    <v>12</v>
  </rv>
  <rv s="6">
    <fb>28.827999999999999</fb>
    <v>11</v>
  </rv>
  <rv s="6">
    <fb>29.721</fb>
    <v>11</v>
  </rv>
  <rv s="6">
    <fb>26.925999999999998</fb>
    <v>11</v>
  </rv>
  <rv s="6">
    <fb>27702360</fb>
    <v>12</v>
  </rv>
  <rv s="6">
    <fb>28.51</fb>
    <v>11</v>
  </rv>
  <rv s="6">
    <fb>27.285</fb>
    <v>11</v>
  </rv>
  <rv s="6">
    <fb>35741010</fb>
    <v>12</v>
  </rv>
  <rv s="6">
    <fb>30.213000000000001</fb>
    <v>11</v>
  </rv>
  <rv s="6">
    <fb>31.364000000000001</fb>
    <v>11</v>
  </rv>
  <rv s="6">
    <fb>28453860</fb>
    <v>12</v>
  </rv>
  <rv s="6">
    <fb>28.233000000000001</fb>
    <v>11</v>
  </rv>
  <rv s="6">
    <fb>29.446999999999999</fb>
    <v>11</v>
  </rv>
  <rv s="6">
    <fb>30.456499999999998</fb>
    <v>11</v>
  </rv>
  <rv s="6">
    <fb>50109300</fb>
    <v>12</v>
  </rv>
  <rv s="6">
    <fb>29.338999999999999</fb>
    <v>11</v>
  </rv>
  <rv s="6">
    <fb>26.6</fb>
    <v>11</v>
  </rv>
  <rv s="6">
    <fb>34239000</fb>
    <v>12</v>
  </rv>
  <rv s="6">
    <fb>32.911000000000001</fb>
    <v>11</v>
  </rv>
  <rv s="6">
    <fb>28.969000000000001</fb>
    <v>11</v>
  </rv>
  <rv s="6">
    <fb>65191820</fb>
    <v>12</v>
  </rv>
  <rv s="6">
    <fb>34.241999999999997</fb>
    <v>11</v>
  </rv>
  <rv s="6">
    <fb>32.4</fb>
    <v>11</v>
  </rv>
  <rv s="6">
    <fb>30.108499999999999</fb>
    <v>11</v>
  </rv>
  <rv s="6">
    <fb>50466190</fb>
    <v>12</v>
  </rv>
  <rv s="6">
    <fb>38.073999999999998</fb>
    <v>11</v>
  </rv>
  <rv s="6">
    <fb>34.700000000000003</fb>
    <v>11</v>
  </rv>
  <rv s="6">
    <fb>34.598999999999997</fb>
    <v>11</v>
  </rv>
  <rv s="6">
    <fb>41277890</fb>
    <v>12</v>
  </rv>
  <rv s="6">
    <fb>45.886000000000003</fb>
    <v>11</v>
  </rv>
  <rv s="6">
    <fb>38.116999999999997</fb>
    <v>11</v>
  </rv>
  <rv s="6">
    <fb>47.5092</fb>
    <v>11</v>
  </rv>
  <rv s="6">
    <fb>37.0047</fb>
    <v>11</v>
  </rv>
  <rv s="6">
    <fb>69287730</fb>
    <v>12</v>
  </rv>
  <rv s="6">
    <fb>43.664999999999999</fb>
    <v>11</v>
  </rv>
  <rv s="6">
    <fb>45.719499999999996</fb>
    <v>11</v>
  </rv>
  <rv s="6">
    <fb>46.7</fb>
    <v>11</v>
  </rv>
  <rv s="6">
    <fb>42.655000000000001</fb>
    <v>11</v>
  </rv>
  <rv s="6">
    <fb>33922640</fb>
    <v>12</v>
  </rv>
  <rv s="6">
    <fb>43.460999999999999</fb>
    <v>11</v>
  </rv>
  <rv s="6">
    <fb>45.246000000000002</fb>
    <v>11</v>
  </rv>
  <rv s="6">
    <fb>41.292999999999999</fb>
    <v>11</v>
  </rv>
  <rv s="6">
    <fb>26631400</fb>
    <v>12</v>
  </rv>
  <rv s="6">
    <fb>37.697000000000003</fb>
    <v>11</v>
  </rv>
  <rv s="6">
    <fb>44</fb>
    <v>11</v>
  </rv>
  <rv s="6">
    <fb>44.283999999999999</fb>
    <v>11</v>
  </rv>
  <rv s="6">
    <fb>37.445</fb>
    <v>11</v>
  </rv>
  <rv s="6">
    <fb>34158190</fb>
    <v>12</v>
  </rv>
  <rv s="6">
    <fb>38.430999999999997</fb>
    <v>11</v>
  </rv>
  <rv s="6">
    <fb>37.103000000000002</fb>
    <v>11</v>
  </rv>
  <rv s="6">
    <fb>35.770000000000003</fb>
    <v>11</v>
  </rv>
  <rv s="6">
    <fb>27259020</fb>
    <v>12</v>
  </rv>
  <rv s="6">
    <fb>32.862000000000002</fb>
    <v>11</v>
  </rv>
  <rv s="6">
    <fb>38.156999999999996</fb>
    <v>11</v>
  </rv>
  <rv s="6">
    <fb>39.268999999999998</fb>
    <v>11</v>
  </rv>
  <rv s="6">
    <fb>32.228999999999999</fb>
    <v>11</v>
  </rv>
  <rv s="6">
    <fb>30217370</fb>
    <v>12</v>
  </rv>
  <rv s="6">
    <fb>33.029000000000003</fb>
    <v>11</v>
  </rv>
  <rv s="6">
    <fb>35.052500000000002</fb>
    <v>11</v>
  </rv>
  <rv s="6">
    <fb>32.502000000000002</fb>
    <v>11</v>
  </rv>
  <rv s="6">
    <fb>21946880</fb>
    <v>12</v>
  </rv>
  <rv s="6">
    <fb>35.148000000000003</fb>
    <v>11</v>
  </rv>
  <rv s="6">
    <fb>33.936</fb>
    <v>11</v>
  </rv>
  <rv s="6">
    <fb>38.799300000000002</fb>
    <v>11</v>
  </rv>
  <rv s="6">
    <fb>33.854500000000002</fb>
    <v>11</v>
  </rv>
  <rv s="6">
    <fb>34985570</fb>
    <v>12</v>
  </rv>
  <rv s="6">
    <fb>35.628</fb>
    <v>11</v>
  </rv>
  <rv s="6">
    <fb>33.783999999999999</fb>
    <v>11</v>
  </rv>
  <rv s="6">
    <fb>18254390</fb>
    <v>12</v>
  </rv>
  <rv s="6">
    <fb>34.078000000000003</fb>
    <v>11</v>
  </rv>
  <rv s="6">
    <fb>36.76</fb>
    <v>11</v>
  </rv>
  <rv s="6">
    <fb>33.6</fb>
    <v>11</v>
  </rv>
  <rv s="6">
    <fb>31666510</fb>
    <v>12</v>
  </rv>
  <rv s="6">
    <fb>32.280999999999999</fb>
    <v>11</v>
  </rv>
  <rv s="6">
    <fb>35.125</fb>
    <v>11</v>
  </rv>
  <rv s="6">
    <fb>35.633000000000003</fb>
    <v>11</v>
  </rv>
  <rv s="6">
    <fb>32.056699999999999</fb>
    <v>11</v>
  </rv>
  <rv s="6">
    <fb>21688110</fb>
    <v>12</v>
  </rv>
  <rv s="6">
    <fb>32.828000000000003</fb>
    <v>11</v>
  </rv>
  <rv s="6">
    <fb>33.755299999999998</fb>
    <v>11</v>
  </rv>
  <rv s="6">
    <fb>31.01</fb>
    <v>11</v>
  </rv>
  <rv s="6">
    <fb>21935200</fb>
    <v>12</v>
  </rv>
  <rv s="6">
    <fb>34.063000000000002</fb>
    <v>11</v>
  </rv>
  <rv s="6">
    <fb>34.656999999999996</fb>
    <v>11</v>
  </rv>
  <rv s="6">
    <fb>28762490</fb>
    <v>12</v>
  </rv>
  <rv s="6">
    <fb>31.821999999999999</fb>
    <v>11</v>
  </rv>
  <rv s="6">
    <fb>33.152999999999999</fb>
    <v>11</v>
  </rv>
  <rv s="6">
    <fb>19161040</fb>
    <v>12</v>
  </rv>
  <rv s="6">
    <fb>34.804000000000002</fb>
    <v>11</v>
  </rv>
  <rv s="6">
    <fb>32.104999999999997</fb>
    <v>11</v>
  </rv>
  <rv s="6">
    <fb>36541210</fb>
    <v>12</v>
  </rv>
  <rv s="6">
    <fb>40.676000000000002</fb>
    <v>11</v>
  </rv>
  <rv s="6">
    <fb>35.534999999999997</fb>
    <v>11</v>
  </rv>
  <rv s="6">
    <fb>44.948999999999998</fb>
    <v>11</v>
  </rv>
  <rv s="6">
    <fb>34.609000000000002</fb>
    <v>11</v>
  </rv>
  <rv s="6">
    <fb>65287550</fb>
    <v>12</v>
  </rv>
  <rv s="6">
    <fb>45.395000000000003</fb>
    <v>11</v>
  </rv>
  <rv s="6">
    <fb>46.418999999999997</fb>
    <v>11</v>
  </rv>
  <rv s="6">
    <fb>41</fb>
    <v>11</v>
  </rv>
  <rv s="6">
    <fb>43230130</fb>
    <v>12</v>
  </rv>
  <rv s="6">
    <fb>50.917999999999999</fb>
    <v>11</v>
  </rv>
  <rv s="6">
    <fb>46.101999999999997</fb>
    <v>11</v>
  </rv>
  <rv s="6">
    <fb>53.521000000000001</fb>
    <v>11</v>
  </rv>
  <rv s="6">
    <fb>44.9</fb>
    <v>11</v>
  </rv>
  <rv s="6">
    <fb>53579440</fb>
    <v>12</v>
  </rv>
  <rv s="6">
    <fb>48.622</fb>
    <v>11</v>
  </rv>
  <rv s="6">
    <fb>50.2</fb>
    <v>11</v>
  </rv>
  <rv s="6">
    <fb>50.927999999999997</fb>
    <v>11</v>
  </rv>
  <rv s="6">
    <fb>46</fb>
    <v>11</v>
  </rv>
  <rv s="6">
    <fb>59343430</fb>
    <v>12</v>
  </rv>
  <rv s="6">
    <fb>52.024000000000001</fb>
    <v>11</v>
  </rv>
  <rv s="6">
    <fb>49.201000000000001</fb>
    <v>11</v>
  </rv>
  <rv s="6">
    <fb>52.679000000000002</fb>
    <v>11</v>
  </rv>
  <rv s="6">
    <fb>48.107999999999997</fb>
    <v>11</v>
  </rv>
  <rv s="6">
    <fb>34973130</fb>
    <v>12</v>
  </rv>
  <rv s="6">
    <fb>52.768000000000001</fb>
    <v>11</v>
  </rv>
  <rv s="6">
    <fb>50.575000000000003</fb>
    <v>11</v>
  </rv>
  <rv s="6">
    <fb>52.98</fb>
    <v>11</v>
  </rv>
  <rv s="6">
    <fb>48.731400000000001</fb>
    <v>11</v>
  </rv>
  <rv s="6">
    <fb>47447130</fb>
    <v>12</v>
  </rv>
  <rv s="6">
    <fb>56.7</fb>
    <v>11</v>
  </rv>
  <rv s="6">
    <fb>55</fb>
    <v>11</v>
  </rv>
  <rv s="6">
    <fb>56829600</fb>
    <v>12</v>
  </rv>
  <rv s="6">
    <fb>57.040999999999997</fb>
    <v>11</v>
  </rv>
  <rv s="6">
    <fb>57.411000000000001</fb>
    <v>11</v>
  </rv>
  <rv s="6">
    <fb>59</fb>
    <v>11</v>
  </rv>
  <rv s="6">
    <fb>54.617899999999999</fb>
    <v>11</v>
  </rv>
  <rv s="6">
    <fb>49276710</fb>
    <v>12</v>
  </rv>
  <rv s="6">
    <fb>61.923999999999999</fb>
    <v>11</v>
  </rv>
  <rv s="6">
    <fb>56.11</fb>
    <v>11</v>
  </rv>
  <rv s="6">
    <fb>62.258000000000003</fb>
    <v>11</v>
  </rv>
  <rv s="6">
    <fb>55.9</fb>
    <v>11</v>
  </rv>
  <rv s="6">
    <fb>50805030</fb>
    <v>12</v>
  </rv>
  <rv s="6">
    <fb>63.161999999999999</fb>
    <v>11</v>
  </rv>
  <rv s="6">
    <fb>60.948999999999998</fb>
    <v>11</v>
  </rv>
  <rv s="6">
    <fb>68.935000000000002</fb>
    <v>11</v>
  </rv>
  <rv s="6">
    <fb>59.649000000000001</fb>
    <v>11</v>
  </rv>
  <rv s="6">
    <fb>64945320</fb>
    <v>12</v>
  </rv>
  <rv s="6">
    <fb>63.107999999999997</fb>
    <v>11</v>
  </rv>
  <rv s="6">
    <fb>69.248999999999995</fb>
    <v>11</v>
  </rv>
  <rv s="6">
    <fb>72.777000000000001</fb>
    <v>11</v>
  </rv>
  <rv s="6">
    <fb>62.53</fb>
    <v>11</v>
  </rv>
  <rv s="6">
    <fb>61395890</fb>
    <v>12</v>
  </rv>
  <rv s="6">
    <fb>48.552999999999997</fb>
    <v>11</v>
  </rv>
  <rv s="6">
    <fb>64</fb>
    <v>11</v>
  </rv>
  <rv s="6">
    <fb>64.688000000000002</fb>
    <v>11</v>
  </rv>
  <rv s="6">
    <fb>48.1</fb>
    <v>11</v>
  </rv>
  <rv s="6">
    <fb>109005130</fb>
    <v>12</v>
  </rv>
  <rv s="6">
    <fb>47.9</fb>
    <v>11</v>
  </rv>
  <rv s="6">
    <fb>52.2</fb>
    <v>11</v>
  </rv>
  <rv s="6">
    <fb>54596010</fb>
    <v>12</v>
  </rv>
  <rv s="6">
    <fb>49.45</fb>
    <v>11</v>
  </rv>
  <rv s="6">
    <fb>46.8</fb>
    <v>11</v>
  </rv>
  <rv s="6">
    <fb>50.094999999999999</fb>
    <v>11</v>
  </rv>
  <rv s="6">
    <fb>43.874000000000002</fb>
    <v>11</v>
  </rv>
  <rv s="6">
    <fb>52649050</fb>
    <v>12</v>
  </rv>
  <rv s="6">
    <fb>50.01</fb>
    <v>11</v>
  </rv>
  <rv s="6">
    <fb>50</fb>
    <v>11</v>
  </rv>
  <rv s="6">
    <fb>52.789000000000001</fb>
    <v>11</v>
  </rv>
  <rv s="6">
    <fb>49.021000000000001</fb>
    <v>11</v>
  </rv>
  <rv s="6">
    <fb>42795480</fb>
    <v>12</v>
  </rv>
  <rv s="6">
    <fb>64.632000000000005</fb>
    <v>11</v>
  </rv>
  <rv s="6">
    <fb>64.89</fb>
    <v>11</v>
  </rv>
  <rv s="6">
    <fb>46.749000000000002</fb>
    <v>11</v>
  </rv>
  <rv s="6">
    <fb>73811190</fb>
    <v>12</v>
  </rv>
  <rv s="6">
    <fb>69.956000000000003</fb>
    <v>11</v>
  </rv>
  <rv s="6">
    <fb>65.198999999999998</fb>
    <v>11</v>
  </rv>
  <rv s="6">
    <fb>80.677999999999997</fb>
    <v>11</v>
  </rv>
  <rv s="6">
    <fb>65.016999999999996</fb>
    <v>11</v>
  </rv>
  <rv s="6">
    <fb>94953800</fb>
    <v>12</v>
  </rv>
  <rv s="6">
    <fb>68.744</fb>
    <v>11</v>
  </rv>
  <rv s="6">
    <fb>71.078999999999994</fb>
    <v>11</v>
  </rv>
  <rv s="6">
    <fb>72.325000000000003</fb>
    <v>11</v>
  </rv>
  <rv s="6">
    <fb>66.425700000000006</fb>
    <v>11</v>
  </rv>
  <rv s="6">
    <fb>34531070</fb>
    <v>12</v>
  </rv>
  <rv s="6">
    <fb>107.93899999999999</fb>
    <v>11</v>
  </rv>
  <rv s="6">
    <fb>68.793999999999997</fb>
    <v>11</v>
  </rv>
  <rv s="6">
    <fb>108</fb>
    <v>11</v>
  </rv>
  <rv s="6">
    <fb>156001480</fb>
    <v>12</v>
  </rv>
  <rv s="6">
    <fb>142.559</fb>
    <v>11</v>
  </rv>
  <rv s="6">
    <fb>120</fb>
    <v>11</v>
  </rv>
  <rv s="6">
    <fb>145.173</fb>
    <v>11</v>
  </rv>
  <rv s="6">
    <fb>103.506</fb>
    <v>11</v>
  </rv>
  <rv s="6">
    <fb>207651060</fb>
    <v>12</v>
  </rv>
  <rv s="6">
    <fb>178.23599999999999</fb>
    <v>11</v>
  </rv>
  <rv s="6">
    <fb>143.80019999999999</fb>
    <v>11</v>
  </rv>
  <rv s="6">
    <fb>208889860</fb>
    <v>12</v>
  </rv>
  <rv s="6">
    <fb>152.30000000000001</fb>
    <v>11</v>
  </rv>
  <rv s="6">
    <fb>171.845</fb>
    <v>11</v>
  </rv>
  <rv s="6">
    <fb>173.49</fb>
    <v>11</v>
  </rv>
  <rv s="6">
    <fb>123.012</fb>
    <v>11</v>
  </rv>
  <rv s="6">
    <fb>175495640</fb>
    <v>12</v>
  </rv>
  <rv s="6">
    <fb>170.45599999999999</fb>
    <v>11</v>
  </rv>
  <rv s="6">
    <fb>160.5</fb>
    <v>11</v>
  </rv>
  <rv s="6">
    <fb>199.999</fb>
    <v>11</v>
  </rv>
  <rv s="6">
    <fb>159.44200000000001</fb>
    <v>11</v>
  </rv>
  <rv s="6">
    <fb>134564400</fb>
    <v>12</v>
  </rv>
  <rv s="6">
    <fb>164.501</fb>
    <v>11</v>
  </rv>
  <rv s="6">
    <fb>173.97200000000001</fb>
    <v>11</v>
  </rv>
  <rv s="6">
    <fb>143.19999999999999</fb>
    <v>11</v>
  </rv>
  <rv s="6">
    <fb>101159120</fb>
    <v>12</v>
  </rv>
  <rv s="6">
    <fb>147.958</fb>
    <v>11</v>
  </rv>
  <rv s="6">
    <fb>160.21</fb>
    <v>11</v>
  </rv>
  <rv s="6">
    <fb>162.37799999999999</fb>
    <v>11</v>
  </rv>
  <rv s="6">
    <fb>137.37700000000001</fb>
    <v>11</v>
  </rv>
  <rv s="6">
    <fb>83973720</fb>
    <v>12</v>
  </rv>
  <rv s="6">
    <fb>117.411</fb>
    <v>11</v>
  </rv>
  <rv s="6">
    <fb>147</fb>
    <v>11</v>
  </rv>
  <rv s="6">
    <fb>148.99700000000001</fb>
    <v>11</v>
  </rv>
  <rv s="6">
    <fb>113.199</fb>
    <v>11</v>
  </rv>
  <rv s="6">
    <fb>86234930</fb>
    <v>12</v>
  </rv>
  <rv s="6">
    <fb>128.238</fb>
    <v>11</v>
  </rv>
  <rv s="6">
    <fb>120.9</fb>
    <v>11</v>
  </rv>
  <rv s="6">
    <fb>139.4451</fb>
    <v>11</v>
  </rv>
  <rv s="6">
    <fb>120.114</fb>
    <v>11</v>
  </rv>
  <rv s="6">
    <fb>55949660</fb>
    <v>12</v>
  </rv>
  <rv s="6">
    <fb>122.301</fb>
    <v>11</v>
  </rv>
  <rv s="6">
    <fb>130.8416</fb>
    <v>11</v>
  </rv>
  <rv s="6">
    <fb>101</fb>
    <v>11</v>
  </rv>
  <rv s="6">
    <fb>85327470</fb>
    <v>12</v>
  </rv>
  <rv s="6">
    <fb>118.048</fb>
    <v>11</v>
  </rv>
  <rv s="6">
    <fb>127.38500000000001</fb>
    <v>11</v>
  </rv>
  <rv s="6">
    <fb>133.9</fb>
    <v>11</v>
  </rv>
  <rv s="6">
    <fb>117.85299999999999</fb>
    <v>11</v>
  </rv>
  <rv s="6">
    <fb>57000300</fb>
    <v>12</v>
  </rv>
  <rv s="6">
    <fb>158.44999999999999</fb>
    <v>11</v>
  </rv>
  <rv s="6">
    <fb>121.794</fb>
    <v>11</v>
  </rv>
  <rv s="6">
    <fb>158.5</fb>
    <v>11</v>
  </rv>
  <rv s="6">
    <fb>120.3</fb>
    <v>11</v>
  </rv>
  <rv s="6">
    <fb>68796410</fb>
    <v>12</v>
  </rv>
  <rv s="6">
    <fb>168.48400000000001</fb>
    <v>11</v>
  </rv>
  <rv s="6">
    <fb>159.69999999999999</fb>
    <v>11</v>
  </rv>
  <rv s="6">
    <fb>174</fb>
    <v>11</v>
  </rv>
  <rv s="6">
    <fb>152.80000000000001</fb>
    <v>11</v>
  </rv>
  <rv s="6">
    <fb>63690450</fb>
    <v>12</v>
  </rv>
  <rv s="6">
    <fb>152.44900000000001</fb>
    <v>11</v>
  </rv>
  <rv s="6">
    <fb>171.499</fb>
    <v>11</v>
  </rv>
  <rv s="6">
    <fb>144.19999999999999</fb>
    <v>11</v>
  </rv>
  <rv s="6">
    <fb>55073620</fb>
    <v>12</v>
  </rv>
  <rv s="6">
    <fb>159.62</fb>
    <v>11</v>
  </rv>
  <rv s="6">
    <fb>160.1</fb>
    <v>11</v>
  </rv>
  <rv s="6">
    <fb>173.46979999999999</fb>
    <v>11</v>
  </rv>
  <rv s="6">
    <fb>156.04169999999999</fb>
    <v>11</v>
  </rv>
  <rv s="6">
    <fb>59657510</fb>
    <v>12</v>
  </rv>
  <rv s="6">
    <fb>149.554</fb>
    <v>11</v>
  </rv>
  <rv s="6">
    <fb>157.501</fb>
    <v>11</v>
  </rv>
  <rv s="6">
    <fb>169.27099999999999</fb>
    <v>11</v>
  </rv>
  <rv s="6">
    <fb>144.101</fb>
    <v>11</v>
  </rv>
  <rv s="6">
    <fb>67255420</fb>
    <v>12</v>
  </rv>
  <rv s="6">
    <fb>148.376</fb>
    <v>11</v>
  </rv>
  <rv s="6">
    <fb>149.97999999999999</fb>
    <v>11</v>
  </rv>
  <rv s="6">
    <fb>156.90100000000001</fb>
    <v>11</v>
  </rv>
  <rv s="6">
    <fb>140.90199999999999</fb>
    <v>11</v>
  </rv>
  <rv s="6">
    <fb>41602270</fb>
    <v>12</v>
  </rv>
  <rv s="6">
    <fb>137.74799999999999</fb>
    <v>11</v>
  </rv>
  <rv s="6">
    <fb>139.80000000000001</fb>
    <v>11</v>
  </rv>
  <rv s="6">
    <fb>153.9</fb>
    <v>11</v>
  </rv>
  <rv s="6">
    <fb>132.55410000000001</fb>
    <v>11</v>
  </rv>
  <rv s="6">
    <fb>80631620</fb>
    <v>12</v>
  </rv>
  <rv s="6">
    <fb>128.172</fb>
    <v>11</v>
  </rv>
  <rv s="6">
    <fb>141</fb>
    <v>11</v>
  </rv>
  <rv s="6">
    <fb>143.595</fb>
    <v>11</v>
  </rv>
  <rv s="6">
    <fb>120.232</fb>
    <v>11</v>
  </rv>
  <rv s="6">
    <fb>45046910</fb>
    <v>12</v>
  </rv>
  <rv s="6">
    <fb>139.67599999999999</fb>
    <v>11</v>
  </rv>
  <rv s="6">
    <fb>131.453</fb>
    <v>11</v>
  </rv>
  <rv s="6">
    <fb>143.54040000000001</fb>
    <v>11</v>
  </rv>
  <rv s="6">
    <fb>125.87820000000001</fb>
    <v>11</v>
  </rv>
  <rv s="6">
    <fb>48281950</fb>
    <v>12</v>
  </rv>
  <rv s="6">
    <fb>177.85</fb>
    <v>11</v>
  </rv>
  <rv s="6">
    <fb>152.4</fb>
    <v>11</v>
  </rv>
  <rv s="6">
    <fb>178.5</fb>
    <v>11</v>
  </rv>
  <rv s="6">
    <fb>149.24250000000001</fb>
    <v>11</v>
  </rv>
  <rv s="6">
    <fb>88386710</fb>
    <v>12</v>
  </rv>
  <rv s="6">
    <fb>175.27099999999999</fb>
    <v>11</v>
  </rv>
  <rv s="6">
    <fb>178.40199999999999</fb>
    <v>11</v>
  </rv>
  <rv s="6">
    <fb>181.06620000000001</fb>
    <v>11</v>
  </rv>
  <rv s="6">
    <fb>150.76599999999999</fb>
    <v>11</v>
  </rv>
  <rv s="6">
    <fb>68821500</fb>
    <v>12</v>
  </rv>
  <rv s="6">
    <fb>144.79900000000001</fb>
    <v>11</v>
  </rv>
  <rv s="6">
    <fb>181.999</fb>
    <v>11</v>
  </rv>
  <rv s="6">
    <fb>183.7</fb>
    <v>11</v>
  </rv>
  <rv s="6">
    <fb>141.71</fb>
    <v>11</v>
  </rv>
  <rv s="6">
    <fb>55546420</fb>
    <v>12</v>
  </rv>
  <rv s="6">
    <fb>105.16500000000001</fb>
    <v>11</v>
  </rv>
  <rv s="6">
    <fb>142.15799999999999</fb>
    <v>11</v>
  </rv>
  <rv s="6">
    <fb>102.402</fb>
    <v>11</v>
  </rv>
  <rv s="6">
    <fb>63580368</fb>
    <v>12</v>
  </rv>
  <rv s="6">
    <fb>133.49</fb>
    <v>11</v>
  </rv>
  <rv s="6">
    <fb>126.59</fb>
    <v>11</v>
  </rv>
  <rv s="6">
    <fb>45808638</fb>
    <v>12</v>
  </rv>
  <rv s="6">
    <fb>133.69999999999999</fb>
    <v>11</v>
  </rv>
  <rv s="6">
    <fb>151.81</fb>
    <v>11</v>
  </rv>
  <rv s="6">
    <fb>55399596</fb>
    <v>12</v>
  </rv>
  <rv s="6">
    <fb>132.41999999999999</fb>
    <v>11</v>
  </rv>
  <rv s="6">
    <fb>148.12</fb>
    <v>11</v>
  </rv>
  <rv s="6">
    <fb>152.35</fb>
    <v>11</v>
  </rv>
  <rv s="6">
    <fb>128.30000000000001</fb>
    <v>11</v>
  </rv>
  <rv s="6">
    <fb>46456362</fb>
    <v>12</v>
  </rv>
  <rv s="6">
    <fb>114.3</fb>
    <v>11</v>
  </rv>
  <rv s="6">
    <fb>132</fb>
    <v>11</v>
  </rv>
  <rv s="6">
    <fb>132.72999999999999</fb>
    <v>11</v>
  </rv>
  <rv s="6">
    <fb>31312076</fb>
    <v>12</v>
  </rv>
  <rv s="6">
    <fb>141.47</fb>
    <v>11</v>
  </rv>
  <rv s="6">
    <fb>118.93</fb>
    <v>11</v>
  </rv>
  <rv s="6">
    <fb>117.5003</fb>
    <v>11</v>
  </rv>
  <rv s="6">
    <fb>44531929</fb>
    <v>12</v>
  </rv>
  <rv s="6">
    <fb>144.78</fb>
    <v>11</v>
  </rv>
  <rv s="6">
    <fb>137.02000000000001</fb>
    <v>11</v>
  </rv>
  <rv s="6">
    <fb>148.96</fb>
    <v>11</v>
  </rv>
  <rv s="6">
    <fb>128.51</fb>
    <v>11</v>
  </rv>
  <rv s="6">
    <fb>78664549</fb>
    <v>12</v>
  </rv>
  <rv s="6">
    <fb>176.22</fb>
    <v>11</v>
  </rv>
  <rv s="6">
    <fb>179.6</fb>
    <v>11</v>
  </rv>
  <rv s="6">
    <fb>145.01490000000001</fb>
    <v>11</v>
  </rv>
  <rv s="6">
    <fb>61684523</fb>
    <v>12</v>
  </rv>
  <rv s="6">
    <fb>176.51</fb>
    <v>11</v>
  </rv>
  <rv s="6">
    <fb>168.63</fb>
    <v>11</v>
  </rv>
  <rv s="6">
    <fb>157.02000000000001</fb>
    <v>11</v>
  </rv>
  <rv s="6">
    <fb>62988155</fb>
    <v>12</v>
  </rv>
  <rv s="6">
    <fb>212.59</fb>
    <v>11</v>
  </rv>
  <rv s="6">
    <fb>179.71</fb>
    <v>11</v>
  </rv>
  <rv s="6">
    <fb>212.81</fb>
    <v>11</v>
  </rv>
  <rv s="6">
    <fb>178</fb>
    <v>11</v>
  </rv>
  <rv s="6">
    <fb>100127323</fb>
    <v>12</v>
  </rv>
  <rv s="6">
    <fb>215.86</fb>
    <v>11</v>
  </rv>
  <rv s="6">
    <fb>224.48</fb>
    <v>11</v>
  </rv>
  <rv s="6">
    <fb>227.15</fb>
    <v>11</v>
  </rv>
  <rv s="6">
    <fb>185.81</fb>
    <v>11</v>
  </rv>
  <rv s="6">
    <fb>101514892</fb>
    <v>12</v>
  </rv>
  <rv s="6">
    <fb>234.34</fb>
    <v>11</v>
  </rv>
  <rv s="6">
    <fb>214.49</fb>
    <v>11</v>
  </rv>
  <rv s="6">
    <fb>245.56569999999999</fb>
    <v>11</v>
  </rv>
  <rv s="6">
    <fb>204.91</fb>
    <v>11</v>
  </rv>
  <rv s="6">
    <fb>97126942</fb>
    <v>12</v>
  </rv>
  <rv s="6">
    <fb>229.71</fb>
    <v>11</v>
  </rv>
  <rv s="6">
    <fb>244.64</fb>
    <v>11</v>
  </rv>
  <rv s="6">
    <fb>267.89</fb>
    <v>11</v>
  </rv>
  <rv s="6">
    <fb>225.93</fb>
    <v>11</v>
  </rv>
  <rv s="6">
    <fb>117946822</fb>
    <v>12</v>
  </rv>
  <rv s="6">
    <fb>270.42</fb>
    <v>11</v>
  </rv>
  <rv s="6">
    <fb>226.97</fb>
    <v>11</v>
  </rv>
  <rv s="6">
    <fb>280.80070000000001</fb>
    <v>11</v>
  </rv>
  <rv s="6">
    <fb>100398980</fb>
    <v>12</v>
  </rv>
  <rv s="6">
    <fb>340.65</fb>
    <v>11</v>
  </rv>
  <rv s="6">
    <fb>297</fb>
    <v>11</v>
  </rv>
  <rv s="6">
    <fb>383.4</fb>
    <v>11</v>
  </rv>
  <rv s="6">
    <fb>293.3</fb>
    <v>11</v>
  </rv>
  <rv s="6">
    <fb>185707642</fb>
    <v>12</v>
  </rv>
  <rv s="6">
    <fb>421.88</fb>
    <v>11</v>
  </rv>
  <rv s="6">
    <fb>345.41500000000002</fb>
    <v>11</v>
  </rv>
  <rv s="6">
    <fb>543</fb>
    <v>11</v>
  </rv>
  <rv s="6">
    <fb>339.375</fb>
    <v>11</v>
  </rv>
  <rv s="6">
    <fb>310292050</fb>
    <v>12</v>
  </rv>
  <rv s="6">
    <fb>387.47</fb>
    <v>11</v>
  </rv>
  <rv s="6">
    <fb>440.75</fb>
    <v>11</v>
  </rv>
  <rv s="6">
    <fb>338.67009999999999</fb>
    <v>11</v>
  </rv>
  <rv s="6">
    <fb>144980249</fb>
    <v>12</v>
  </rv>
  <rv s="6">
    <fb>395.01</fb>
    <v>11</v>
  </rv>
  <rv s="6">
    <fb>393.64</fb>
    <v>11</v>
  </rv>
  <rv s="6">
    <fb>444.94470000000001</fb>
    <v>11</v>
  </rv>
  <rv s="6">
    <fb>362.67</fb>
    <v>11</v>
  </rv>
  <rv s="6">
    <fb>148479908</fb>
    <v>12</v>
  </rv>
  <rv s="6">
    <fb>408.67</fb>
    <v>11</v>
  </rv>
  <rv s="6">
    <fb>415.80430000000001</fb>
    <v>11</v>
  </rv>
  <rv s="6">
    <fb>356.05</fb>
    <v>11</v>
  </rv>
  <rv s="6">
    <fb>112951477</fb>
    <v>12</v>
  </rv>
  <rv s="6">
    <fb>364.2</fb>
    <v>11</v>
  </rv>
  <rv s="6">
    <fb>424.87</fb>
    <v>11</v>
  </rv>
  <rv s="6">
    <fb>437.60989999999998</fb>
    <v>11</v>
  </rv>
  <rv s="6">
    <fb>317</fb>
    <v>11</v>
  </rv>
  <rv s="6">
    <fb>149157100</fb>
    <v>12</v>
  </rv>
  <rv s="6">
    <fb>330</fb>
    <v>11</v>
  </rv>
  <rv s="6">
    <fb>358</fb>
    <v>11</v>
  </rv>
  <rv s="6">
    <fb>361</fb>
    <v>11</v>
  </rv>
  <rv s="6">
    <fb>323.2</fb>
    <v>11</v>
  </rv>
  <rv s="6">
    <fb>65193856</fb>
    <v>12</v>
  </rv>
  <rv s="6">
    <fb>339.66</fb>
    <v>11</v>
  </rv>
  <rv s="6">
    <fb>319.39999999999998</fb>
    <v>11</v>
  </rv>
  <rv s="6">
    <fb>343.4</fb>
    <v>11</v>
  </rv>
  <rv s="6">
    <fb>285.01</fb>
    <v>11</v>
  </rv>
  <rv s="6">
    <fb>91230256</fb>
    <v>12</v>
  </rv>
  <rv s="6">
    <fb>327.91</fb>
    <v>11</v>
  </rv>
  <rv s="6">
    <fb>349.85</fb>
    <v>11</v>
  </rv>
  <rv s="6">
    <fb>383.02</fb>
    <v>11</v>
  </rv>
  <rv s="6">
    <fb>317.22000000000003</fb>
    <v>11</v>
  </rv>
  <rv s="6">
    <fb>86197553</fb>
    <v>12</v>
  </rv>
  <rv s="6">
    <fb>396.5</fb>
    <v>11</v>
  </rv>
  <rv s="6">
    <fb>309.95</fb>
    <v>11</v>
  </rv>
  <rv s="6">
    <fb>398.68</fb>
    <v>11</v>
  </rv>
  <rv s="6">
    <fb>303.8</fb>
    <v>11</v>
  </rv>
  <rv s="6">
    <fb>92911144</fb>
    <v>12</v>
  </rv>
  <rv s="6">
    <fb>353.67</fb>
    <v>11</v>
  </rv>
  <rv s="6">
    <fb>395.45499999999998</fb>
    <v>11</v>
  </rv>
  <rv s="6">
    <fb>404.41730000000001</fb>
    <v>11</v>
  </rv>
  <rv s="6">
    <fb>351</fb>
    <v>11</v>
  </rv>
  <rv s="6">
    <fb>88466324</fb>
    <v>12</v>
  </rv>
  <rv s="6">
    <fb>334.79</fb>
    <v>11</v>
  </rv>
  <rv s="6">
    <fb>340.5</fb>
    <v>11</v>
  </rv>
  <rv s="6">
    <fb>356.88</fb>
    <v>11</v>
  </rv>
  <rv s="6">
    <fb>322.3</fb>
    <v>11</v>
  </rv>
  <rv s="6">
    <fb>72576340</fb>
    <v>12</v>
  </rv>
  <rv s="6">
    <fb>327.56</fb>
    <v>11</v>
  </rv>
  <rv s="6">
    <fb>310</fb>
    <v>11</v>
  </rv>
  <rv s="6">
    <fb>353.79</fb>
    <v>11</v>
  </rv>
  <rv s="6">
    <fb>308.89999999999998</fb>
    <v>11</v>
  </rv>
  <rv s="6">
    <fb>69512073</fb>
    <v>12</v>
  </rv>
  <rv s="6">
    <fb>337.73</fb>
    <v>11</v>
  </rv>
  <rv s="6">
    <fb>333.5</fb>
    <v>11</v>
  </rv>
  <rv s="6">
    <fb>344.89</fb>
    <v>11</v>
  </rv>
  <rv s="6">
    <fb>314.19</fb>
    <v>11</v>
  </rv>
  <rv s="6">
    <fb>55720020</fb>
    <v>12</v>
  </rv>
  <rv s="6">
    <fb>299.69</fb>
    <v>11</v>
  </rv>
  <rv s="6">
    <fb>337.35</fb>
    <v>11</v>
  </rv>
  <rv s="6">
    <fb>340.49</fb>
    <v>11</v>
  </rv>
  <rv s="6">
    <fb>299.04000000000002</fb>
    <v>11</v>
  </rv>
  <rv s="6">
    <fb>57445466</fb>
    <v>12</v>
  </rv>
  <rv s="6">
    <fb>255.43</fb>
    <v>11</v>
  </rv>
  <rv s="6">
    <fb>304</fb>
    <v>11</v>
  </rv>
  <rv s="6">
    <fb>304.04000000000002</fb>
    <v>11</v>
  </rv>
  <rv s="6">
    <fb>231.92</fb>
    <v>11</v>
  </rv>
  <rv s="6">
    <fb>110414320</fb>
    <v>12</v>
  </rv>
  <rv s="6">
    <fb>287.18</fb>
    <v>11</v>
  </rv>
  <rv s="6">
    <fb>293.14999999999998</fb>
    <v>11</v>
  </rv>
  <rv s="6">
    <fb>320.94</fb>
    <v>11</v>
  </rv>
  <rv s="6">
    <fb>237.0102</fb>
    <v>11</v>
  </rv>
  <rv s="6">
    <fb>134979658</fb>
    <v>12</v>
  </rv>
  <rv s="6">
    <fb>297.49</fb>
    <v>11</v>
  </rv>
  <rv s="6">
    <fb>268</fb>
    <v>11</v>
  </rv>
  <rv s="6">
    <fb>298.7</fb>
    <v>11</v>
  </rv>
  <rv s="6">
    <fb>231.51</fb>
    <v>11</v>
  </rv>
  <rv s="6">
    <fb>105401746</fb>
    <v>12</v>
  </rv>
  <rv s="6">
    <fb>292.14999999999998</fb>
    <v>11</v>
  </rv>
  <rv s="6">
    <fb>309.39999999999998</fb>
    <v>11</v>
  </rv>
  <rv s="6">
    <fb>272.5</fb>
    <v>11</v>
  </rv>
  <rv s="6">
    <fb>84607767</fb>
    <v>12</v>
  </rv>
  <rv s="6">
    <fb>289.41000000000003</fb>
    <v>11</v>
  </rv>
  <rv s="6">
    <fb>316.14</fb>
    <v>11</v>
  </rv>
  <rv s="6">
    <fb>343.5899</fb>
    <v>11</v>
  </rv>
  <rv s="6">
    <fb>289.25</fb>
    <v>11</v>
  </rv>
  <rv s="6">
    <fb>89847899</fb>
    <v>12</v>
  </rv>
  <rv s="6">
    <fb>293.61</fb>
    <v>11</v>
  </rv>
  <rv s="6">
    <fb>281.87</fb>
    <v>11</v>
  </rv>
  <rv s="6">
    <fb>319.47000000000003</fb>
    <v>11</v>
  </rv>
  <rv s="6">
    <fb>265.30220000000003</fb>
    <v>11</v>
  </rv>
  <rv s="6">
    <fb>91010362</fb>
    <v>12</v>
  </rv>
  <rv s="6">
    <fb>299.98</fb>
    <v>11</v>
  </rv>
  <rv s="6">
    <fb>260.14</fb>
    <v>11</v>
  </rv>
  <rv s="6">
    <fb>304.14999999999998</fb>
    <v>11</v>
  </rv>
  <rv s="6">
    <fb>235.93</fb>
    <v>11</v>
  </rv>
  <rv s="6">
    <fb>130320318</fb>
    <v>12</v>
  </rv>
  <rv s="6">
    <fb>317.2</fb>
    <v>11</v>
  </rv>
  <rv s="6">
    <fb>309.8</fb>
    <v>11</v>
  </rv>
  <rv s="6">
    <fb>320</fb>
    <v>11</v>
  </rv>
  <rv s="6">
    <fb>300.10000000000002</fb>
    <v>11</v>
  </rv>
  <rv s="6">
    <fb>53211508</fb>
    <v>12</v>
  </rv>
  <rv s="6">
    <fb>368.71</fb>
    <v>11</v>
  </rv>
  <rv s="6">
    <fb>324.99</fb>
    <v>11</v>
  </rv>
  <rv s="6">
    <fb>373.23</fb>
    <v>11</v>
  </rv>
  <rv s="6">
    <fb>309</fb>
    <v>11</v>
  </rv>
  <rv s="6">
    <fb>86900246</fb>
    <v>12</v>
  </rv>
  <rv s="6">
    <fb>394.37</fb>
    <v>11</v>
  </rv>
  <rv s="6">
    <fb>373.29</fb>
    <v>11</v>
  </rv>
  <rv s="6">
    <fb>403.9</fb>
    <v>11</v>
  </rv>
  <rv s="6">
    <fb>354.53</fb>
    <v>11</v>
  </rv>
  <rv s="6">
    <fb>71184733</fb>
    <v>12</v>
  </rv>
  <rv s="6">
    <fb>21.1435</fb>
    <v>11</v>
  </rv>
  <rv s="6">
    <fb>22.193000000000001</fb>
    <v>11</v>
  </rv>
  <rv s="6">
    <fb>22.349499999999999</fb>
    <v>11</v>
  </rv>
  <rv s="6">
    <fb>20.8</fb>
    <v>11</v>
  </rv>
  <rv s="6">
    <fb>20406821</fb>
    <v>12</v>
  </rv>
  <rv s="6">
    <fb>21.6845</fb>
    <v>11</v>
  </rv>
  <rv s="6">
    <fb>21.76</fb>
    <v>11</v>
  </rv>
  <rv s="6">
    <fb>20.727499999999999</fb>
    <v>11</v>
  </rv>
  <rv s="6">
    <fb>13354278</fb>
    <v>12</v>
  </rv>
  <rv s="6">
    <fb>21.3</fb>
    <v>11</v>
  </rv>
  <rv s="6">
    <fb>21.625499999999999</fb>
    <v>11</v>
  </rv>
  <rv s="6">
    <fb>21.95</fb>
    <v>11</v>
  </rv>
  <rv s="6">
    <fb>21.215</fb>
    <v>11</v>
  </rv>
  <rv s="6">
    <fb>12466670</fb>
    <v>12</v>
  </rv>
  <rv s="6">
    <fb>21.381499999999999</fb>
    <v>11</v>
  </rv>
  <rv s="6">
    <fb>20.917999999999999</fb>
    <v>11</v>
  </rv>
  <rv s="6">
    <fb>13193658</fb>
    <v>12</v>
  </rv>
  <rv s="6">
    <fb>21.461500000000001</fb>
    <v>11</v>
  </rv>
  <rv s="6">
    <fb>21.31</fb>
    <v>11</v>
  </rv>
  <rv s="6">
    <fb>21.625</fb>
    <v>11</v>
  </rv>
  <rv s="6">
    <fb>9403769</fb>
    <v>12</v>
  </rv>
  <rv s="6">
    <fb>21.3475</fb>
    <v>11</v>
  </rv>
  <rv s="6">
    <fb>21.919499999999999</fb>
    <v>11</v>
  </rv>
  <rv s="6">
    <fb>11069639</fb>
    <v>12</v>
  </rv>
  <rv s="6">
    <fb>21.495999999999999</fb>
    <v>11</v>
  </rv>
  <rv s="6">
    <fb>21.280999999999999</fb>
    <v>11</v>
  </rv>
  <rv s="6">
    <fb>21.944500000000001</fb>
    <v>11</v>
  </rv>
  <rv s="6">
    <fb>20.957000000000001</fb>
    <v>11</v>
  </rv>
  <rv s="6">
    <fb>11610365</fb>
    <v>12</v>
  </rv>
  <rv s="6">
    <fb>21.745999999999999</fb>
    <v>11</v>
  </rv>
  <rv s="6">
    <fb>21.382999999999999</fb>
    <v>11</v>
  </rv>
  <rv s="6">
    <fb>22.249500000000001</fb>
    <v>11</v>
  </rv>
  <rv s="6">
    <fb>21.132000000000001</fb>
    <v>11</v>
  </rv>
  <rv s="6">
    <fb>14407772</fb>
    <v>12</v>
  </rv>
  <rv s="6">
    <fb>21.905000000000001</fb>
    <v>11</v>
  </rv>
  <rv s="6">
    <fb>22.352</fb>
    <v>11</v>
  </rv>
  <rv s="6">
    <fb>12551385</fb>
    <v>12</v>
  </rv>
  <rv s="6">
    <fb>21.8855</fb>
    <v>11</v>
  </rv>
  <rv s="6">
    <fb>21.45</fb>
    <v>11</v>
  </rv>
  <rv s="6">
    <fb>8680539</fb>
    <v>12</v>
  </rv>
  <rv s="6">
    <fb>22.1755</fb>
    <v>11</v>
  </rv>
  <rv s="6">
    <fb>21.761500000000002</fb>
    <v>11</v>
  </rv>
  <rv s="6">
    <fb>22.236000000000001</fb>
    <v>11</v>
  </rv>
  <rv s="6">
    <fb>12412915</fb>
    <v>12</v>
  </rv>
  <rv s="6">
    <fb>24.150500000000001</fb>
    <v>11</v>
  </rv>
  <rv s="6">
    <fb>22.4145</fb>
    <v>11</v>
  </rv>
  <rv s="6">
    <fb>24.271000000000001</fb>
    <v>11</v>
  </rv>
  <rv s="6">
    <fb>22.376999999999999</fb>
    <v>11</v>
  </rv>
  <rv s="6">
    <fb>20708173</fb>
    <v>12</v>
  </rv>
  <rv s="6">
    <fb>26.471</fb>
    <v>11</v>
  </rv>
  <rv s="6">
    <fb>24.628499999999999</fb>
    <v>11</v>
  </rv>
  <rv s="6">
    <fb>29.028500000000001</fb>
    <v>11</v>
  </rv>
  <rv s="6">
    <fb>23.785</fb>
    <v>11</v>
  </rv>
  <rv s="6">
    <fb>42333032</fb>
    <v>12</v>
  </rv>
  <rv s="6">
    <fb>26.807500000000001</fb>
    <v>11</v>
  </rv>
  <rv s="6">
    <fb>26.387499999999999</fb>
    <v>11</v>
  </rv>
  <rv s="6">
    <fb>27.247499999999999</fb>
    <v>11</v>
  </rv>
  <rv s="6">
    <fb>26.155999999999999</fb>
    <v>11</v>
  </rv>
  <rv s="6">
    <fb>23285349</fb>
    <v>12</v>
  </rv>
  <rv s="6">
    <fb>26.131</fb>
    <v>11</v>
  </rv>
  <rv s="6">
    <fb>26.872499999999999</fb>
    <v>11</v>
  </rv>
  <rv s="6">
    <fb>27.137</fb>
    <v>11</v>
  </rv>
  <rv s="6">
    <fb>25.910499999999999</fb>
    <v>11</v>
  </rv>
  <rv s="6">
    <fb>16627844</fb>
    <v>12</v>
  </rv>
  <rv s="6">
    <fb>26.576000000000001</fb>
    <v>11</v>
  </rv>
  <rv s="6">
    <fb>26.425999999999998</fb>
    <v>11</v>
  </rv>
  <rv s="6">
    <fb>26.733000000000001</fb>
    <v>11</v>
  </rv>
  <rv s="6">
    <fb>25.652999999999999</fb>
    <v>11</v>
  </rv>
  <rv s="6">
    <fb>14197247</fb>
    <v>12</v>
  </rv>
  <rv s="6">
    <fb>24.723500000000001</fb>
    <v>11</v>
  </rv>
  <rv s="6">
    <fb>26.564499999999999</fb>
    <v>11</v>
  </rv>
  <rv s="6">
    <fb>26.974499999999999</fb>
    <v>11</v>
  </rv>
  <rv s="6">
    <fb>18091518</fb>
    <v>12</v>
  </rv>
  <rv s="6">
    <fb>25.900500000000001</fb>
    <v>11</v>
  </rv>
  <rv s="6">
    <fb>23.178999999999998</fb>
    <v>11</v>
  </rv>
  <rv s="6">
    <fb>26.134499999999999</fb>
    <v>11</v>
  </rv>
  <rv s="6">
    <fb>30996783</fb>
    <v>12</v>
  </rv>
  <rv s="6">
    <fb>24.95</fb>
    <v>11</v>
  </rv>
  <rv s="6">
    <fb>25.821999999999999</fb>
    <v>11</v>
  </rv>
  <rv s="6">
    <fb>25.970500000000001</fb>
    <v>11</v>
  </rv>
  <rv s="6">
    <fb>24.671500000000002</fb>
    <v>11</v>
  </rv>
  <rv s="6">
    <fb>16416127</fb>
    <v>12</v>
  </rv>
  <rv s="6">
    <fb>26.472000000000001</fb>
    <v>11</v>
  </rv>
  <rv s="6">
    <fb>25.4345</fb>
    <v>11</v>
  </rv>
  <rv s="6">
    <fb>26.497499999999999</fb>
    <v>11</v>
  </rv>
  <rv s="6">
    <fb>25.425699999999999</fb>
    <v>11</v>
  </rv>
  <rv s="6">
    <fb>13985154</fb>
    <v>12</v>
  </rv>
  <rv s="6">
    <fb>27.348500000000001</fb>
    <v>11</v>
  </rv>
  <rv s="6">
    <fb>18578523</fb>
    <v>12</v>
  </rv>
  <rv s="6">
    <fb>26.212499999999999</fb>
    <v>11</v>
  </rv>
  <rv s="6">
    <fb>27.2165</fb>
    <v>11</v>
  </rv>
  <rv s="6">
    <fb>27.489000000000001</fb>
    <v>11</v>
  </rv>
  <rv s="6">
    <fb>26.07</fb>
    <v>11</v>
  </rv>
  <rv s="6">
    <fb>16894594</fb>
    <v>12</v>
  </rv>
  <rv s="6">
    <fb>26.626999999999999</fb>
    <v>11</v>
  </rv>
  <rv s="6">
    <fb>26.001000000000001</fb>
    <v>11</v>
  </rv>
  <rv s="6">
    <fb>26.63</fb>
    <v>11</v>
  </rv>
  <rv s="6">
    <fb>24.524999999999999</fb>
    <v>11</v>
  </rv>
  <rv s="6">
    <fb>22263023</fb>
    <v>12</v>
  </rv>
  <rv s="6">
    <fb>26.849499999999999</fb>
    <v>11</v>
  </rv>
  <rv s="6">
    <fb>27.574999999999999</fb>
    <v>11</v>
  </rv>
  <rv s="6">
    <fb>25.994499999999999</fb>
    <v>11</v>
  </rv>
  <rv s="6">
    <fb>19964769</fb>
    <v>12</v>
  </rv>
  <rv s="6">
    <fb>28.538</fb>
    <v>11</v>
  </rv>
  <rv s="6">
    <fb>26.998000000000001</fb>
    <v>11</v>
  </rv>
  <rv s="6">
    <fb>28.547000000000001</fb>
    <v>11</v>
  </rv>
  <rv s="6">
    <fb>26.984000000000002</fb>
    <v>11</v>
  </rv>
  <rv s="6">
    <fb>18549033</fb>
    <v>12</v>
  </rv>
  <rv s="6">
    <fb>29.951499999999999</fb>
    <v>11</v>
  </rv>
  <rv s="6">
    <fb>30.9725</fb>
    <v>11</v>
  </rv>
  <rv s="6">
    <fb>27.626000000000001</fb>
    <v>11</v>
  </rv>
  <rv s="6">
    <fb>30555323</fb>
    <v>12</v>
  </rv>
  <rv s="6">
    <fb>31.295000000000002</fb>
    <v>11</v>
  </rv>
  <rv s="6">
    <fb>30.114999999999998</fb>
    <v>11</v>
  </rv>
  <rv s="6">
    <fb>31.536000000000001</fb>
    <v>11</v>
  </rv>
  <rv s="6">
    <fb>29.814499999999999</fb>
    <v>11</v>
  </rv>
  <rv s="6">
    <fb>19753440</fb>
    <v>12</v>
  </rv>
  <rv s="6">
    <fb>32.968499999999999</fb>
    <v>11</v>
  </rv>
  <rv s="6">
    <fb>31.3565</fb>
    <v>11</v>
  </rv>
  <rv s="6">
    <fb>33.113</fb>
    <v>11</v>
  </rv>
  <rv s="6">
    <fb>31.020499999999998</fb>
    <v>11</v>
  </rv>
  <rv s="6">
    <fb>19719880</fb>
    <v>12</v>
  </rv>
  <rv s="6">
    <fb>32.1175</fb>
    <v>11</v>
  </rv>
  <rv s="6">
    <fb>32.932499999999997</fb>
    <v>11</v>
  </rv>
  <rv s="6">
    <fb>33.798000000000002</fb>
    <v>11</v>
  </rv>
  <rv s="6">
    <fb>32.022500000000001</fb>
    <v>11</v>
  </rv>
  <rv s="6">
    <fb>23471369</fb>
    <v>12</v>
  </rv>
  <rv s="6">
    <fb>33.422499999999999</fb>
    <v>11</v>
  </rv>
  <rv s="6">
    <fb>32.045999999999999</fb>
    <v>11</v>
  </rv>
  <rv s="6">
    <fb>33.643000000000001</fb>
    <v>11</v>
  </rv>
  <rv s="6">
    <fb>31.1145</fb>
    <v>11</v>
  </rv>
  <rv s="6">
    <fb>24827252</fb>
    <v>12</v>
  </rv>
  <rv s="6">
    <fb>33.662999999999997</fb>
    <v>11</v>
  </rv>
  <rv s="6">
    <fb>33.575000000000003</fb>
    <v>11</v>
  </rv>
  <rv s="6">
    <fb>34.138500000000001</fb>
    <v>11</v>
  </rv>
  <rv s="6">
    <fb>33.060600000000001</fb>
    <v>11</v>
  </rv>
  <rv s="6">
    <fb>13593164</fb>
    <v>12</v>
  </rv>
  <rv s="6">
    <fb>33.631999999999998</fb>
    <v>11</v>
  </rv>
  <rv s="6">
    <fb>33.795000000000002</fb>
    <v>11</v>
  </rv>
  <rv s="6">
    <fb>34.241</fb>
    <v>11</v>
  </rv>
  <rv s="6">
    <fb>33.07</fb>
    <v>11</v>
  </rv>
  <rv s="6">
    <fb>24291149</fb>
    <v>12</v>
  </rv>
  <rv s="6">
    <fb>32.0075</fb>
    <v>11</v>
  </rv>
  <rv s="6">
    <fb>33.737000000000002</fb>
    <v>11</v>
  </rv>
  <rv s="6">
    <fb>33.999499999999998</fb>
    <v>11</v>
  </rv>
  <rv s="6">
    <fb>31.981000000000002</fb>
    <v>11</v>
  </rv>
  <rv s="6">
    <fb>21472786</fb>
    <v>12</v>
  </rv>
  <rv s="6">
    <fb>33.207000000000001</fb>
    <v>11</v>
  </rv>
  <rv s="6">
    <fb>32.087499999999999</fb>
    <v>11</v>
  </rv>
  <rv s="6">
    <fb>34.125</fb>
    <v>11</v>
  </rv>
  <rv s="6">
    <fb>31.763500000000001</fb>
    <v>11</v>
  </rv>
  <rv s="6">
    <fb>23602107</fb>
    <v>12</v>
  </rv>
  <rv s="6">
    <fb>33.139499999999998</fb>
    <v>11</v>
  </rv>
  <rv s="6">
    <fb>33.424999999999997</fb>
    <v>11</v>
  </rv>
  <rv s="6">
    <fb>33.494999999999997</fb>
    <v>11</v>
  </rv>
  <rv s="6">
    <fb>32.831499999999998</fb>
    <v>11</v>
  </rv>
  <rv s="6">
    <fb>9734587</fb>
    <v>12</v>
  </rv>
  <rv s="6">
    <fb>33.794499999999999</fb>
    <v>11</v>
  </rv>
  <rv s="6">
    <fb>33.277999999999999</fb>
    <v>11</v>
  </rv>
  <rv s="6">
    <fb>34.822000000000003</fb>
    <v>11</v>
  </rv>
  <rv s="6">
    <fb>33.274999999999999</fb>
    <v>11</v>
  </rv>
  <rv s="6">
    <fb>16787114</fb>
    <v>12</v>
  </rv>
  <rv s="6">
    <fb>30.352499999999999</fb>
    <v>11</v>
  </rv>
  <rv s="6">
    <fb>32.814500000000002</fb>
    <v>11</v>
  </rv>
  <rv s="6">
    <fb>32.885800000000003</fb>
    <v>11</v>
  </rv>
  <rv s="6">
    <fb>30.2605</fb>
    <v>11</v>
  </rv>
  <rv s="6">
    <fb>33054149</fb>
    <v>12</v>
  </rv>
  <rv s="6">
    <fb>28.509</fb>
    <v>11</v>
  </rv>
  <rv s="6">
    <fb>30.623999999999999</fb>
    <v>11</v>
  </rv>
  <rv s="6">
    <fb>31.299499999999998</fb>
    <v>11</v>
  </rv>
  <rv s="6">
    <fb>28.265000000000001</fb>
    <v>11</v>
  </rv>
  <rv s="6">
    <fb>32293391</fb>
    <v>12</v>
  </rv>
  <rv s="6">
    <fb>29.818999999999999</fb>
    <v>11</v>
  </rv>
  <rv s="6">
    <fb>28.854500000000002</fb>
    <v>11</v>
  </rv>
  <rv s="6">
    <fb>30.004999999999999</fb>
    <v>11</v>
  </rv>
  <rv s="6">
    <fb>27.359000000000002</fb>
    <v>11</v>
  </rv>
  <rv s="6">
    <fb>22845932</fb>
    <v>12</v>
  </rv>
  <rv s="6">
    <fb>29.8995</fb>
    <v>11</v>
  </rv>
  <rv s="6">
    <fb>31.902999999999999</fb>
    <v>11</v>
  </rv>
  <rv s="6">
    <fb>42007308</fb>
    <v>12</v>
  </rv>
  <rv s="6">
    <fb>25.1065</fb>
    <v>11</v>
  </rv>
  <rv s="6">
    <fb>28.907499999999999</fb>
    <v>11</v>
  </rv>
  <rv s="6">
    <fb>29.09</fb>
    <v>11</v>
  </rv>
  <rv s="6">
    <fb>24.959499999999998</fb>
    <v>11</v>
  </rv>
  <rv s="6">
    <fb>38623876</fb>
    <v>12</v>
  </rv>
  <rv s="6">
    <fb>25.353999999999999</fb>
    <v>11</v>
  </rv>
  <rv s="6">
    <fb>24.323499999999999</fb>
    <v>11</v>
  </rv>
  <rv s="6">
    <fb>25.837499999999999</fb>
    <v>11</v>
  </rv>
  <rv s="6">
    <fb>36471785</fb>
    <v>12</v>
  </rv>
  <rv s="6">
    <fb>25.974</fb>
    <v>11</v>
  </rv>
  <rv s="6">
    <fb>25.582999999999998</fb>
    <v>11</v>
  </rv>
  <rv s="6">
    <fb>19652227</fb>
    <v>12</v>
  </rv>
  <rv s="6">
    <fb>27.761500000000002</fb>
    <v>11</v>
  </rv>
  <rv s="6">
    <fb>28.125</fb>
    <v>11</v>
  </rv>
  <rv s="6">
    <fb>26.657499999999999</fb>
    <v>11</v>
  </rv>
  <rv s="6">
    <fb>25251513</fb>
    <v>12</v>
  </rv>
  <rv s="6">
    <fb>28.757000000000001</fb>
    <v>11</v>
  </rv>
  <rv s="6">
    <fb>27.625499999999999</fb>
    <v>11</v>
  </rv>
  <rv s="6">
    <fb>19923855</fb>
    <v>12</v>
  </rv>
  <rv s="6">
    <fb>28.480499999999999</fb>
    <v>11</v>
  </rv>
  <rv s="6">
    <fb>28.677</fb>
    <v>11</v>
  </rv>
  <rv s="6">
    <fb>28.6815</fb>
    <v>11</v>
  </rv>
  <rv s="6">
    <fb>27.395</fb>
    <v>11</v>
  </rv>
  <rv s="6">
    <fb>21730964</fb>
    <v>12</v>
  </rv>
  <rv s="6">
    <fb>27.603999999999999</fb>
    <v>11</v>
  </rv>
  <rv s="6">
    <fb>29.076000000000001</fb>
    <v>11</v>
  </rv>
  <rv s="6">
    <fb>27.304500000000001</fb>
    <v>11</v>
  </rv>
  <rv s="6">
    <fb>24093632</fb>
    <v>12</v>
  </rv>
  <rv s="6">
    <fb>29.147500000000001</fb>
    <v>11</v>
  </rv>
  <rv s="6">
    <fb>27.445499999999999</fb>
    <v>11</v>
  </rv>
  <rv s="6">
    <fb>29.177499999999998</fb>
    <v>11</v>
  </rv>
  <rv s="6">
    <fb>26.928999999999998</fb>
    <v>11</v>
  </rv>
  <rv s="6">
    <fb>18325555</fb>
    <v>12</v>
  </rv>
  <rv s="6">
    <fb>30.161999999999999</fb>
    <v>11</v>
  </rv>
  <rv s="6">
    <fb>17003747</fb>
    <v>12</v>
  </rv>
  <rv s="6">
    <fb>30.119499999999999</fb>
    <v>11</v>
  </rv>
  <rv s="6">
    <fb>29.262499999999999</fb>
    <v>11</v>
  </rv>
  <rv s="6">
    <fb>13410591</fb>
    <v>12</v>
  </rv>
  <rv s="6">
    <fb>31.294499999999999</fb>
    <v>11</v>
  </rv>
  <rv s="6">
    <fb>31.3385</fb>
    <v>11</v>
  </rv>
  <rv s="6">
    <fb>29.615500000000001</fb>
    <v>11</v>
  </rv>
  <rv s="6">
    <fb>15973495</fb>
    <v>12</v>
  </rv>
  <rv s="6">
    <fb>31.024999999999999</fb>
    <v>11</v>
  </rv>
  <rv s="6">
    <fb>31.267499999999998</fb>
    <v>11</v>
  </rv>
  <rv s="6">
    <fb>31.900500000000001</fb>
    <v>11</v>
  </rv>
  <rv s="6">
    <fb>30.577999999999999</fb>
    <v>11</v>
  </rv>
  <rv s="6">
    <fb>18706380</fb>
    <v>12</v>
  </rv>
  <rv s="6">
    <fb>32.979500000000002</fb>
    <v>11</v>
  </rv>
  <rv s="6">
    <fb>30.830500000000001</fb>
    <v>11</v>
  </rv>
  <rv s="6">
    <fb>33.499000000000002</fb>
    <v>11</v>
  </rv>
  <rv s="6">
    <fb>29.96</fb>
    <v>11</v>
  </rv>
  <rv s="6">
    <fb>27456468</fb>
    <v>12</v>
  </rv>
  <rv s="6">
    <fb>33.697499999999998</fb>
    <v>11</v>
  </rv>
  <rv s="6">
    <fb>34.274999999999999</fb>
    <v>11</v>
  </rv>
  <rv s="6">
    <fb>25386789</fb>
    <v>12</v>
  </rv>
  <rv s="6">
    <fb>35.496000000000002</fb>
    <v>11</v>
  </rv>
  <rv s="6">
    <fb>36.122500000000002</fb>
    <v>11</v>
  </rv>
  <rv s="6">
    <fb>33.570500000000003</fb>
    <v>11</v>
  </rv>
  <rv s="6">
    <fb>27237496</fb>
    <v>12</v>
  </rv>
  <rv s="6">
    <fb>35.14</fb>
    <v>11</v>
  </rv>
  <rv s="6">
    <fb>35.506500000000003</fb>
    <v>11</v>
  </rv>
  <rv s="6">
    <fb>35.723500000000001</fb>
    <v>11</v>
  </rv>
  <rv s="6">
    <fb>34.438000000000002</fb>
    <v>11</v>
  </rv>
  <rv s="6">
    <fb>20779197</fb>
    <v>12</v>
  </rv>
  <rv s="6">
    <fb>35.612000000000002</fb>
    <v>11</v>
  </rv>
  <rv s="6">
    <fb>35.212499999999999</fb>
    <v>11</v>
  </rv>
  <rv s="6">
    <fb>35.83</fb>
    <v>11</v>
  </rv>
  <rv s="6">
    <fb>34.820999999999998</fb>
    <v>11</v>
  </rv>
  <rv s="6">
    <fb>13601340</fb>
    <v>12</v>
  </rv>
  <rv s="6">
    <fb>36.277000000000001</fb>
    <v>11</v>
  </rv>
  <rv s="6">
    <fb>35.616500000000002</fb>
    <v>11</v>
  </rv>
  <rv s="6">
    <fb>36.414000000000001</fb>
    <v>11</v>
  </rv>
  <rv s="6">
    <fb>35.566000000000003</fb>
    <v>11</v>
  </rv>
  <rv s="6">
    <fb>13275319</fb>
    <v>12</v>
  </rv>
  <rv s="6">
    <fb>35.895499999999998</fb>
    <v>11</v>
  </rv>
  <rv s="6">
    <fb>36.575000000000003</fb>
    <v>11</v>
  </rv>
  <rv s="6">
    <fb>35.710500000000003</fb>
    <v>11</v>
  </rv>
  <rv s="6">
    <fb>13256671</fb>
    <v>12</v>
  </rv>
  <rv s="6">
    <fb>35.319499999999998</fb>
    <v>11</v>
  </rv>
  <rv s="6">
    <fb>35.700499999999998</fb>
    <v>11</v>
  </rv>
  <rv s="6">
    <fb>36.128</fb>
    <v>11</v>
  </rv>
  <rv s="6">
    <fb>34.959000000000003</fb>
    <v>11</v>
  </rv>
  <rv s="6">
    <fb>17564319</fb>
    <v>12</v>
  </rv>
  <rv s="6">
    <fb>34.948</fb>
    <v>11</v>
  </rv>
  <rv s="6">
    <fb>35.674999999999997</fb>
    <v>11</v>
  </rv>
  <rv s="6">
    <fb>36.106000000000002</fb>
    <v>11</v>
  </rv>
  <rv s="6">
    <fb>34.61</fb>
    <v>11</v>
  </rv>
  <rv s="6">
    <fb>18532635</fb>
    <v>12</v>
  </rv>
  <rv s="6">
    <fb>36.283999999999999</fb>
    <v>11</v>
  </rv>
  <rv s="6">
    <fb>34.600499999999997</fb>
    <v>11</v>
  </rv>
  <rv s="6">
    <fb>34.105800000000002</fb>
    <v>11</v>
  </rv>
  <rv s="6">
    <fb>18466611</fb>
    <v>12</v>
  </rv>
  <rv s="6">
    <fb>37.290500000000002</fb>
    <v>11</v>
  </rv>
  <rv s="6">
    <fb>36.14</fb>
    <v>11</v>
  </rv>
  <rv s="6">
    <fb>35.980499999999999</fb>
    <v>11</v>
  </rv>
  <rv s="6">
    <fb>12744680</fb>
    <v>12</v>
  </rv>
  <rv s="6">
    <fb>36.771999999999998</fb>
    <v>11</v>
  </rv>
  <rv s="6">
    <fb>37.5</fb>
    <v>11</v>
  </rv>
  <rv s="6">
    <fb>37.866999999999997</fb>
    <v>11</v>
  </rv>
  <rv s="6">
    <fb>36.702500000000001</fb>
    <v>11</v>
  </rv>
  <rv s="6">
    <fb>18473051</fb>
    <v>12</v>
  </rv>
  <rv s="6">
    <fb>37.243000000000002</fb>
    <v>11</v>
  </rv>
  <rv s="6">
    <fb>36.774500000000003</fb>
    <v>11</v>
  </rv>
  <rv s="6">
    <fb>37.564</fb>
    <v>11</v>
  </rv>
  <rv s="6">
    <fb>36.436</fb>
    <v>11</v>
  </rv>
  <rv s="6">
    <fb>11980540</fb>
    <v>12</v>
  </rv>
  <rv s="6">
    <fb>37.9405</fb>
    <v>11</v>
  </rv>
  <rv s="6">
    <fb>37.327500000000001</fb>
    <v>11</v>
  </rv>
  <rv s="6">
    <fb>38.299999999999997</fb>
    <v>11</v>
  </rv>
  <rv s="6">
    <fb>36.637599999999999</fb>
    <v>11</v>
  </rv>
  <rv s="6">
    <fb>22516746</fb>
    <v>12</v>
  </rv>
  <rv s="6">
    <fb>38.298999999999999</fb>
    <v>11</v>
  </rv>
  <rv s="6">
    <fb>37.993499999999997</fb>
    <v>11</v>
  </rv>
  <rv s="6">
    <fb>38.524999999999999</fb>
    <v>11</v>
  </rv>
  <rv s="6">
    <fb>37.517499999999998</fb>
    <v>11</v>
  </rv>
  <rv s="6">
    <fb>16645609</fb>
    <v>12</v>
  </rv>
  <rv s="6">
    <fb>38.628</fb>
    <v>11</v>
  </rv>
  <rv s="6">
    <fb>38.340499999999999</fb>
    <v>11</v>
  </rv>
  <rv s="6">
    <fb>38.6875</fb>
    <v>11</v>
  </rv>
  <rv s="6">
    <fb>38.050800000000002</fb>
    <v>11</v>
  </rv>
  <rv s="6">
    <fb>9049701</fb>
    <v>12</v>
  </rv>
  <rv s="6">
    <fb>37.865499999999997</fb>
    <v>11</v>
  </rv>
  <rv s="6">
    <fb>38.594999999999999</fb>
    <v>11</v>
  </rv>
  <rv s="6">
    <fb>38.601999999999997</fb>
    <v>11</v>
  </rv>
  <rv s="6">
    <fb>37.844499999999996</fb>
    <v>11</v>
  </rv>
  <rv s="6">
    <fb>9416269</fb>
    <v>12</v>
  </rv>
  <rv s="6">
    <fb>38.450000000000003</fb>
    <v>11</v>
  </rv>
  <rv s="6">
    <fb>37.875</fb>
    <v>11</v>
  </rv>
  <rv s="6">
    <fb>37.604999999999997</fb>
    <v>11</v>
  </rv>
  <rv s="6">
    <fb>9347311</fb>
    <v>12</v>
  </rv>
  <rv s="6">
    <fb>38.622</fb>
    <v>11</v>
  </rv>
  <rv s="6">
    <fb>38.436</fb>
    <v>11</v>
  </rv>
  <rv s="6">
    <fb>38.799999999999997</fb>
    <v>11</v>
  </rv>
  <rv s="6">
    <fb>38.200000000000003</fb>
    <v>11</v>
  </rv>
  <rv s="6">
    <fb>9515570</fb>
    <v>12</v>
  </rv>
  <rv s="6">
    <fb>38.006999999999998</fb>
    <v>11</v>
  </rv>
  <rv s="6">
    <fb>38.701999999999998</fb>
    <v>11</v>
  </rv>
  <rv s="6">
    <fb>39.539499999999997</fb>
    <v>11</v>
  </rv>
  <rv s="6">
    <fb>38.005499999999998</fb>
    <v>11</v>
  </rv>
  <rv s="6">
    <fb>12432265</fb>
    <v>12</v>
  </rv>
  <rv s="6">
    <fb>38.926000000000002</fb>
    <v>11</v>
  </rv>
  <rv s="6">
    <fb>37.8675</fb>
    <v>11</v>
  </rv>
  <rv s="6">
    <fb>39.023000000000003</fb>
    <v>11</v>
  </rv>
  <rv s="6">
    <fb>17316466</fb>
    <v>12</v>
  </rv>
  <rv s="6">
    <fb>40.287500000000001</fb>
    <v>11</v>
  </rv>
  <rv s="6">
    <fb>38.9985</fb>
    <v>11</v>
  </rv>
  <rv s="6">
    <fb>40.387500000000003</fb>
    <v>11</v>
  </rv>
  <rv s="6">
    <fb>38.549999999999997</fb>
    <v>11</v>
  </rv>
  <rv s="6">
    <fb>13385450</fb>
    <v>12</v>
  </rv>
  <rv s="6">
    <fb>41.865499999999997</fb>
    <v>11</v>
  </rv>
  <rv s="6">
    <fb>40.090000000000003</fb>
    <v>11</v>
  </rv>
  <rv s="6">
    <fb>41.997500000000002</fb>
    <v>11</v>
  </rv>
  <rv s="6">
    <fb>39.857300000000002</fb>
    <v>11</v>
  </rv>
  <rv s="6">
    <fb>20245889</fb>
    <v>12</v>
  </rv>
  <rv s="6">
    <fb>41.971499999999999</fb>
    <v>11</v>
  </rv>
  <rv s="6">
    <fb>41.8</fb>
    <v>11</v>
  </rv>
  <rv s="6">
    <fb>42.360500000000002</fb>
    <v>11</v>
  </rv>
  <rv s="6">
    <fb>41.512999999999998</fb>
    <v>11</v>
  </rv>
  <rv s="6">
    <fb>14299058</fb>
    <v>12</v>
  </rv>
  <rv s="6">
    <fb>41.148000000000003</fb>
    <v>11</v>
  </rv>
  <rv s="6">
    <fb>42.162500000000001</fb>
    <v>11</v>
  </rv>
  <rv s="6">
    <fb>42.26</fb>
    <v>11</v>
  </rv>
  <rv s="6">
    <fb>41.060499999999998</fb>
    <v>11</v>
  </rv>
  <rv s="6">
    <fb>13886940</fb>
    <v>12</v>
  </rv>
  <rv s="6">
    <fb>40.9495</fb>
    <v>11</v>
  </rv>
  <rv s="6">
    <fb>41.075000000000003</fb>
    <v>11</v>
  </rv>
  <rv s="6">
    <fb>41.162999999999997</fb>
    <v>11</v>
  </rv>
  <rv s="6">
    <fb>40.155000000000001</fb>
    <v>11</v>
  </rv>
  <rv s="6">
    <fb>13909671</fb>
    <v>12</v>
  </rv>
  <rv s="6">
    <fb>38.816000000000003</fb>
    <v>11</v>
  </rv>
  <rv s="6">
    <fb>41.247500000000002</fb>
    <v>11</v>
  </rv>
  <rv s="6">
    <fb>42.154499999999999</fb>
    <v>11</v>
  </rv>
  <rv s="6">
    <fb>38.730499999999999</fb>
    <v>11</v>
  </rv>
  <rv s="6">
    <fb>29554817</fb>
    <v>12</v>
  </rv>
  <rv s="6">
    <fb>37.752499999999998</fb>
    <v>11</v>
  </rv>
  <rv s="6">
    <fb>39.051499999999997</fb>
    <v>11</v>
  </rv>
  <rv s="6">
    <fb>40.042000000000002</fb>
    <v>11</v>
  </rv>
  <rv s="6">
    <fb>37.661499999999997</fb>
    <v>11</v>
  </rv>
  <rv s="6">
    <fb>24739857</fb>
    <v>12</v>
  </rv>
  <rv s="6">
    <fb>36.950499999999998</fb>
    <v>11</v>
  </rv>
  <rv s="6">
    <fb>38.582000000000001</fb>
    <v>11</v>
  </rv>
  <rv s="6">
    <fb>39.587000000000003</fb>
    <v>11</v>
  </rv>
  <rv s="6">
    <fb>35.884999999999998</fb>
    <v>11</v>
  </rv>
  <rv s="6">
    <fb>37329653</fb>
    <v>12</v>
  </rv>
  <rv s="6">
    <fb>38.008000000000003</fb>
    <v>11</v>
  </rv>
  <rv s="6">
    <fb>37.275500000000001</fb>
    <v>11</v>
  </rv>
  <rv s="6">
    <fb>38.387</fb>
    <v>11</v>
  </rv>
  <rv s="6">
    <fb>35.505000000000003</fb>
    <v>11</v>
  </rv>
  <rv s="6">
    <fb>25789440</fb>
    <v>12</v>
  </rv>
  <rv s="6">
    <fb>39.018500000000003</fb>
    <v>11</v>
  </rv>
  <rv s="6">
    <fb>39.619999999999997</fb>
    <v>11</v>
  </rv>
  <rv s="6">
    <fb>38.255499999999998</fb>
    <v>11</v>
  </rv>
  <rv s="6">
    <fb>15303225</fb>
    <v>12</v>
  </rv>
  <rv s="6">
    <fb>37.017000000000003</fb>
    <v>11</v>
  </rv>
  <rv s="6">
    <fb>38.849499999999999</fb>
    <v>11</v>
  </rv>
  <rv s="6">
    <fb>38.85</fb>
    <v>11</v>
  </rv>
  <rv s="6">
    <fb>36.835000000000001</fb>
    <v>11</v>
  </rv>
  <rv s="6">
    <fb>20564418</fb>
    <v>12</v>
  </rv>
  <rv s="6">
    <fb>38.433</fb>
    <v>11</v>
  </rv>
  <rv s="6">
    <fb>37.25</fb>
    <v>11</v>
  </rv>
  <rv s="6">
    <fb>38.689500000000002</fb>
    <v>11</v>
  </rv>
  <rv s="6">
    <fb>37.1</fb>
    <v>11</v>
  </rv>
  <rv s="6">
    <fb>17454906</fb>
    <v>12</v>
  </rv>
  <rv s="6">
    <fb>37.888500000000001</fb>
    <v>11</v>
  </rv>
  <rv s="6">
    <fb>38.32</fb>
    <v>11</v>
  </rv>
  <rv s="6">
    <fb>39.122999999999998</fb>
    <v>11</v>
  </rv>
  <rv s="6">
    <fb>37.700000000000003</fb>
    <v>11</v>
  </rv>
  <rv s="6">
    <fb>22354215</fb>
    <v>12</v>
  </rv>
  <rv s="6">
    <fb>38.029499999999999</fb>
    <v>11</v>
  </rv>
  <rv s="6">
    <fb>37.944499999999998</fb>
    <v>11</v>
  </rv>
  <rv s="6">
    <fb>38.719499999999996</fb>
    <v>11</v>
  </rv>
  <rv s="6">
    <fb>37.808</fb>
    <v>11</v>
  </rv>
  <rv s="6">
    <fb>12386665</fb>
    <v>12</v>
  </rv>
  <rv s="6">
    <fb>37.493499999999997</fb>
    <v>11</v>
  </rv>
  <rv s="6">
    <fb>38.17</fb>
    <v>11</v>
  </rv>
  <rv s="6">
    <fb>39</fb>
    <v>11</v>
  </rv>
  <rv s="6">
    <fb>37.414000000000001</fb>
    <v>11</v>
  </rv>
  <rv s="6">
    <fb>13237498</fb>
    <v>12</v>
  </rv>
  <rv s="6">
    <fb>39.799500000000002</fb>
    <v>11</v>
  </rv>
  <rv s="6">
    <fb>37.896000000000001</fb>
    <v>11</v>
  </rv>
  <rv s="6">
    <fb>39.972000000000001</fb>
    <v>11</v>
  </rv>
  <rv s="6">
    <fb>37.384999999999998</fb>
    <v>11</v>
  </rv>
  <rv s="6">
    <fb>17847894</fb>
    <v>12</v>
  </rv>
  <rv s="6">
    <fb>40.856999999999999</fb>
    <v>11</v>
  </rv>
  <rv s="6">
    <fb>39.9</fb>
    <v>11</v>
  </rv>
  <rv s="6">
    <fb>41.082500000000003</fb>
    <v>11</v>
  </rv>
  <rv s="6">
    <fb>39.475499999999997</fb>
    <v>11</v>
  </rv>
  <rv s="6">
    <fb>17663136</fb>
    <v>12</v>
  </rv>
  <rv s="6">
    <fb>40.416499999999999</fb>
    <v>11</v>
  </rv>
  <rv s="6">
    <fb>40.784999999999997</fb>
    <v>11</v>
  </rv>
  <rv s="6">
    <fb>40.801000000000002</fb>
    <v>11</v>
  </rv>
  <rv s="6">
    <fb>40.171999999999997</fb>
    <v>11</v>
  </rv>
  <rv s="6">
    <fb>11941710</fb>
    <v>12</v>
  </rv>
  <rv s="6">
    <fb>41.788499999999999</fb>
    <v>11</v>
  </rv>
  <rv s="6">
    <fb>40.340000000000003</fb>
    <v>11</v>
  </rv>
  <rv s="6">
    <fb>42.192</fb>
    <v>11</v>
  </rv>
  <rv s="6">
    <fb>40.253999999999998</fb>
    <v>11</v>
  </rv>
  <rv s="6">
    <fb>16377315</fb>
    <v>12</v>
  </rv>
  <rv s="6">
    <fb>40.51</fb>
    <v>11</v>
  </rv>
  <rv s="6">
    <fb>41.65</fb>
    <v>11</v>
  </rv>
  <rv s="6">
    <fb>42.124499999999998</fb>
    <v>11</v>
  </rv>
  <rv s="6">
    <fb>40.200000000000003</fb>
    <v>11</v>
  </rv>
  <rv s="6">
    <fb>28953978</fb>
    <v>12</v>
  </rv>
  <rv s="6">
    <fb>41.372999999999998</fb>
    <v>11</v>
  </rv>
  <rv s="6">
    <fb>40.49</fb>
    <v>11</v>
  </rv>
  <rv s="6">
    <fb>41.4</fb>
    <v>11</v>
  </rv>
  <rv s="6">
    <fb>40.15</fb>
    <v>11</v>
  </rv>
  <rv s="6">
    <fb>15135934</fb>
    <v>12</v>
  </rv>
  <rv s="6">
    <fb>42.253500000000003</fb>
    <v>11</v>
  </rv>
  <rv s="6">
    <fb>41.581000000000003</fb>
    <v>11</v>
  </rv>
  <rv s="6">
    <fb>42.363500000000002</fb>
    <v>11</v>
  </rv>
  <rv s="6">
    <fb>41.427500000000002</fb>
    <v>11</v>
  </rv>
  <rv s="6">
    <fb>15760855</fb>
    <v>12</v>
  </rv>
  <rv s="6">
    <fb>42.262</fb>
    <v>11</v>
  </rv>
  <rv s="6">
    <fb>42.442</fb>
    <v>11</v>
  </rv>
  <rv s="6">
    <fb>43.042999999999999</fb>
    <v>11</v>
  </rv>
  <rv s="6">
    <fb>41.887500000000003</fb>
    <v>11</v>
  </rv>
  <rv s="6">
    <fb>13274660</fb>
    <v>12</v>
  </rv>
  <rv s="6">
    <fb>42.494</fb>
    <v>11</v>
  </rv>
  <rv s="6">
    <fb>42.119</fb>
    <v>11</v>
  </rv>
  <rv s="6">
    <fb>42.741500000000002</fb>
    <v>11</v>
  </rv>
  <rv s="6">
    <fb>41.983499999999999</fb>
    <v>11</v>
  </rv>
  <rv s="6">
    <fb>12351092</fb>
    <v>12</v>
  </rv>
  <rv s="6">
    <fb>42.622999999999998</fb>
    <v>11</v>
  </rv>
  <rv s="6">
    <fb>42.261499999999998</fb>
    <v>11</v>
  </rv>
  <rv s="6">
    <fb>42.8675</fb>
    <v>11</v>
  </rv>
  <rv s="6">
    <fb>42.055999999999997</fb>
    <v>11</v>
  </rv>
  <rv s="6">
    <fb>11630862</fb>
    <v>12</v>
  </rv>
  <rv s="6">
    <fb>42.615499999999997</fb>
    <v>11</v>
  </rv>
  <rv s="6">
    <fb>42.588500000000003</fb>
    <v>11</v>
  </rv>
  <rv s="6">
    <fb>42.784500000000001</fb>
    <v>11</v>
  </rv>
  <rv s="6">
    <fb>42.355499999999999</fb>
    <v>11</v>
  </rv>
  <rv s="6">
    <fb>11829133</fb>
    <v>12</v>
  </rv>
  <rv s="6">
    <fb>42.280500000000004</fb>
    <v>11</v>
  </rv>
  <rv s="6">
    <fb>42.575499999999998</fb>
    <v>11</v>
  </rv>
  <rv s="6">
    <fb>43.139800000000001</fb>
    <v>11</v>
  </rv>
  <rv s="6">
    <fb>41.952500000000001</fb>
    <v>11</v>
  </rv>
  <rv s="6">
    <fb>13415481</fb>
    <v>12</v>
  </rv>
  <rv s="6">
    <fb>44.326999999999998</fb>
    <v>11</v>
  </rv>
  <rv s="6">
    <fb>41.903500000000001</fb>
    <v>11</v>
  </rv>
  <rv s="6">
    <fb>44.517499999999998</fb>
    <v>11</v>
  </rv>
  <rv s="6">
    <fb>41.674999999999997</fb>
    <v>11</v>
  </rv>
  <rv s="6">
    <fb>17003520</fb>
    <v>12</v>
  </rv>
  <rv s="6">
    <fb>44.744</fb>
    <v>11</v>
  </rv>
  <rv s="6">
    <fb>44.4</fb>
    <v>11</v>
  </rv>
  <rv s="6">
    <fb>46.186</fb>
    <v>11</v>
  </rv>
  <rv s="6">
    <fb>44.271000000000001</fb>
    <v>11</v>
  </rv>
  <rv s="6">
    <fb>25970341</fb>
    <v>12</v>
  </rv>
  <rv s="6">
    <fb>44.233499999999999</fb>
    <v>11</v>
  </rv>
  <rv s="6">
    <fb>44.981499999999997</fb>
    <v>11</v>
  </rv>
  <rv s="6">
    <fb>45.561999999999998</fb>
    <v>11</v>
  </rv>
  <rv s="6">
    <fb>44.224499999999999</fb>
    <v>11</v>
  </rv>
  <rv s="6">
    <fb>11827767</fb>
    <v>12</v>
  </rv>
  <rv s="6">
    <fb>44.926499999999997</fb>
    <v>11</v>
  </rv>
  <rv s="6">
    <fb>44.375</fb>
    <v>11</v>
  </rv>
  <rv s="6">
    <fb>45.524999999999999</fb>
    <v>11</v>
  </rv>
  <rv s="6">
    <fb>13959088</fb>
    <v>12</v>
  </rv>
  <rv s="6">
    <fb>46.249499999999998</fb>
    <v>11</v>
  </rv>
  <rv s="6">
    <fb>45.433999999999997</fb>
    <v>11</v>
  </rv>
  <rv s="6">
    <fb>47.479500000000002</fb>
    <v>11</v>
  </rv>
  <rv s="6">
    <fb>45.15</fb>
    <v>11</v>
  </rv>
  <rv s="6">
    <fb>21782704</fb>
    <v>12</v>
  </rv>
  <rv s="6">
    <fb>46.707500000000003</fb>
    <v>11</v>
  </rv>
  <rv s="6">
    <fb>46.39</fb>
    <v>11</v>
  </rv>
  <rv s="6">
    <fb>47.72</fb>
    <v>11</v>
  </rv>
  <rv s="6">
    <fb>18182843</fb>
    <v>12</v>
  </rv>
  <rv s="6">
    <fb>48.067500000000003</fb>
    <v>11</v>
  </rv>
  <rv s="6">
    <fb>47.047499999999999</fb>
    <v>11</v>
  </rv>
  <rv s="6">
    <fb>48.139499999999998</fb>
    <v>11</v>
  </rv>
  <rv s="6">
    <fb>46.960500000000003</fb>
    <v>11</v>
  </rv>
  <rv s="6">
    <fb>14594283</fb>
    <v>12</v>
  </rv>
  <rv s="6">
    <fb>47.991999999999997</fb>
    <v>11</v>
  </rv>
  <rv s="6">
    <fb>47.936500000000002</fb>
    <v>11</v>
  </rv>
  <rv s="6">
    <fb>48.503</fb>
    <v>11</v>
  </rv>
  <rv s="6">
    <fb>47.206000000000003</fb>
    <v>11</v>
  </rv>
  <rv s="6">
    <fb>20453690</fb>
    <v>12</v>
  </rv>
  <rv s="6">
    <fb>49.789000000000001</fb>
    <v>11</v>
  </rv>
  <rv s="6">
    <fb>48.2</fb>
    <v>11</v>
  </rv>
  <rv s="6">
    <fb>49.95</fb>
    <v>11</v>
  </rv>
  <rv s="6">
    <fb>15812049</fb>
    <v>12</v>
  </rv>
  <rv s="6">
    <fb>50.336500000000001</fb>
    <v>11</v>
  </rv>
  <rv s="6">
    <fb>49.825499999999998</fb>
    <v>11</v>
  </rv>
  <rv s="6">
    <fb>50.423999999999999</fb>
    <v>11</v>
  </rv>
  <rv s="6">
    <fb>49.107999999999997</fb>
    <v>11</v>
  </rv>
  <rv s="6">
    <fb>13383353</fb>
    <v>12</v>
  </rv>
  <rv s="6">
    <fb>48.915500000000002</fb>
    <v>11</v>
  </rv>
  <rv s="6">
    <fb>50.361499999999999</fb>
    <v>11</v>
  </rv>
  <rv s="6">
    <fb>46.35</fb>
    <v>11</v>
  </rv>
  <rv s="6">
    <fb>19304881</fb>
    <v>12</v>
  </rv>
  <rv s="6">
    <fb>49.3855</fb>
    <v>11</v>
  </rv>
  <rv s="6">
    <fb>48.35</fb>
    <v>11</v>
  </rv>
  <rv s="6">
    <fb>49.987499999999997</fb>
    <v>11</v>
  </rv>
  <rv s="6">
    <fb>34848671</fb>
    <v>12</v>
  </rv>
  <rv s="6">
    <fb>50.186999999999998</fb>
    <v>11</v>
  </rv>
  <rv s="6">
    <fb>50.85</fb>
    <v>11</v>
  </rv>
  <rv s="6">
    <fb>49.494999999999997</fb>
    <v>11</v>
  </rv>
  <rv s="6">
    <fb>17175287</fb>
    <v>12</v>
  </rv>
  <rv s="6">
    <fb>50.424999999999997</fb>
    <v>11</v>
  </rv>
  <rv s="6">
    <fb>50.49</fb>
    <v>11</v>
  </rv>
  <rv s="6">
    <fb>48.262500000000003</fb>
    <v>11</v>
  </rv>
  <rv s="6">
    <fb>18599426</fb>
    <v>12</v>
  </rv>
  <rv s="6">
    <fb>48.938000000000002</fb>
    <v>11</v>
  </rv>
  <rv s="6">
    <fb>48.639499999999998</fb>
    <v>11</v>
  </rv>
  <rv s="6">
    <fb>49.005499999999998</fb>
    <v>11</v>
  </rv>
  <rv s="6">
    <fb>47.55</fb>
    <v>11</v>
  </rv>
  <rv s="6">
    <fb>12465063</fb>
    <v>12</v>
  </rv>
  <rv s="6">
    <fb>50.090499999999999</fb>
    <v>11</v>
  </rv>
  <rv s="6">
    <fb>50.427500000000002</fb>
    <v>11</v>
  </rv>
  <rv s="6">
    <fb>49.174999999999997</fb>
    <v>11</v>
  </rv>
  <rv s="6">
    <fb>15120806</fb>
    <v>12</v>
  </rv>
  <rv s="6">
    <fb>51.283499999999997</fb>
    <v>11</v>
  </rv>
  <rv s="6">
    <fb>50.234499999999997</fb>
    <v>11</v>
  </rv>
  <rv s="6">
    <fb>51.7485</fb>
    <v>11</v>
  </rv>
  <rv s="6">
    <fb>50.1905</fb>
    <v>11</v>
  </rv>
  <rv s="6">
    <fb>16516239</fb>
    <v>12</v>
  </rv>
  <rv s="6">
    <fb>51.002000000000002</fb>
    <v>11</v>
  </rv>
  <rv s="6">
    <fb>51.417000000000002</fb>
    <v>11</v>
  </rv>
  <rv s="6">
    <fb>54.165500000000002</fb>
    <v>11</v>
  </rv>
  <rv s="6">
    <fb>50.05</fb>
    <v>11</v>
  </rv>
  <rv s="6">
    <fb>27358037</fb>
    <v>12</v>
  </rv>
  <rv s="6">
    <fb>49.378999999999998</fb>
    <v>11</v>
  </rv>
  <rv s="6">
    <fb>50.952500000000001</fb>
    <v>11</v>
  </rv>
  <rv s="6">
    <fb>49.086500000000001</fb>
    <v>11</v>
  </rv>
  <rv s="6">
    <fb>21980704</fb>
    <v>12</v>
  </rv>
  <rv s="6">
    <fb>48.399500000000003</fb>
    <v>11</v>
  </rv>
  <rv s="6">
    <fb>49.532499999999999</fb>
    <v>11</v>
  </rv>
  <rv s="6">
    <fb>49.814</fb>
    <v>11</v>
  </rv>
  <rv s="6">
    <fb>47.569000000000003</fb>
    <v>11</v>
  </rv>
  <rv s="6">
    <fb>18301238</fb>
    <v>12</v>
  </rv>
  <rv s="6">
    <fb>47.923499999999997</fb>
    <v>11</v>
  </rv>
  <rv s="6">
    <fb>48.920499999999997</fb>
    <v>11</v>
  </rv>
  <rv s="6">
    <fb>49.587000000000003</fb>
    <v>11</v>
  </rv>
  <rv s="6">
    <fb>47.732500000000002</fb>
    <v>11</v>
  </rv>
  <rv s="6">
    <fb>15651471</fb>
    <v>12</v>
  </rv>
  <rv s="6">
    <fb>47.262999999999998</fb>
    <v>11</v>
  </rv>
  <rv s="6">
    <fb>47.878500000000003</fb>
    <v>11</v>
  </rv>
  <rv s="6">
    <fb>48.396500000000003</fb>
    <v>11</v>
  </rv>
  <rv s="6">
    <fb>47.057000000000002</fb>
    <v>11</v>
  </rv>
  <rv s="6">
    <fb>17103234</fb>
    <v>12</v>
  </rv>
  <rv s="6">
    <fb>48.912500000000001</fb>
    <v>11</v>
  </rv>
  <rv s="6">
    <fb>47.326999999999998</fb>
    <v>11</v>
  </rv>
  <rv s="6">
    <fb>49.225000000000001</fb>
    <v>11</v>
  </rv>
  <rv s="6">
    <fb>46.816499999999998</fb>
    <v>11</v>
  </rv>
  <rv s="6">
    <fb>14243045</fb>
    <v>12</v>
  </rv>
  <rv s="6">
    <fb>48.77</fb>
    <v>11</v>
  </rv>
  <rv s="6">
    <fb>49.029499999999999</fb>
    <v>11</v>
  </rv>
  <rv s="6">
    <fb>48.018500000000003</fb>
    <v>11</v>
  </rv>
  <rv s="6">
    <fb>10300626</fb>
    <v>12</v>
  </rv>
  <rv s="6">
    <fb>49.339500000000001</fb>
    <v>11</v>
  </rv>
  <rv s="6">
    <fb>48.722999999999999</fb>
    <v>11</v>
  </rv>
  <rv s="6">
    <fb>48.710999999999999</fb>
    <v>11</v>
  </rv>
  <rv s="6">
    <fb>15715828</fb>
    <v>12</v>
  </rv>
  <rv s="6">
    <fb>47.755000000000003</fb>
    <v>11</v>
  </rv>
  <rv s="6">
    <fb>49.52</fb>
    <v>11</v>
  </rv>
  <rv s="6">
    <fb>49.639600000000002</fb>
    <v>11</v>
  </rv>
  <rv s="6">
    <fb>47.720999999999997</fb>
    <v>11</v>
  </rv>
  <rv s="6">
    <fb>13950536</fb>
    <v>12</v>
  </rv>
  <rv s="6">
    <fb>47.465499999999999</fb>
    <v>11</v>
  </rv>
  <rv s="6">
    <fb>48.241500000000002</fb>
    <v>11</v>
  </rv>
  <rv s="6">
    <fb>46.587499999999999</fb>
    <v>11</v>
  </rv>
  <rv s="6">
    <fb>16904104</fb>
    <v>12</v>
  </rv>
  <rv s="6">
    <fb>47.518500000000003</fb>
    <v>11</v>
  </rv>
  <rv s="6">
    <fb>14648154</fb>
    <v>12</v>
  </rv>
  <rv s="6">
    <fb>50.146999999999998</fb>
    <v>11</v>
  </rv>
  <rv s="6">
    <fb>49.661999999999999</fb>
    <v>11</v>
  </rv>
  <rv s="6">
    <fb>50.421999999999997</fb>
    <v>11</v>
  </rv>
  <rv s="6">
    <fb>49.005000000000003</fb>
    <v>11</v>
  </rv>
  <rv s="6">
    <fb>14859399</fb>
    <v>12</v>
  </rv>
  <rv s="6">
    <fb>49.145499999999998</fb>
    <v>11</v>
  </rv>
  <rv s="6">
    <fb>51.115499999999997</fb>
    <v>11</v>
  </rv>
  <rv s="6">
    <fb>49.012</fb>
    <v>11</v>
  </rv>
  <rv s="6">
    <fb>12301650</fb>
    <v>12</v>
  </rv>
  <rv s="6">
    <fb>55.047499999999999</fb>
    <v>11</v>
  </rv>
  <rv s="6">
    <fb>49.336500000000001</fb>
    <v>11</v>
  </rv>
  <rv s="6">
    <fb>55.279000000000003</fb>
    <v>11</v>
  </rv>
  <rv s="6">
    <fb>48.125</fb>
    <v>11</v>
  </rv>
  <rv s="6">
    <fb>31434844</fb>
    <v>12</v>
  </rv>
  <rv s="6">
    <fb>55.58</fb>
    <v>11</v>
  </rv>
  <rv s="6">
    <fb>54.750500000000002</fb>
    <v>11</v>
  </rv>
  <rv s="6">
    <fb>56.139499999999998</fb>
    <v>11</v>
  </rv>
  <rv s="6">
    <fb>54.343499999999999</fb>
    <v>11</v>
  </rv>
  <rv s="6">
    <fb>21281898</fb>
    <v>12</v>
  </rv>
  <rv s="6">
    <fb>56.267499999999998</fb>
    <v>11</v>
  </rv>
  <rv s="6">
    <fb>55.457500000000003</fb>
    <v>11</v>
  </rv>
  <rv s="6">
    <fb>56.777000000000001</fb>
    <v>11</v>
  </rv>
  <rv s="6">
    <fb>55.438499999999998</fb>
    <v>11</v>
  </rv>
  <rv s="6">
    <fb>14564235</fb>
    <v>12</v>
  </rv>
  <rv s="6">
    <fb>56.494</fb>
    <v>11</v>
  </rv>
  <rv s="6">
    <fb>56.15</fb>
    <v>11</v>
  </rv>
  <rv s="6">
    <fb>56.994999999999997</fb>
    <v>11</v>
  </rv>
  <rv s="6">
    <fb>56.081499999999998</fb>
    <v>11</v>
  </rv>
  <rv s="6">
    <fb>14612252</fb>
    <v>12</v>
  </rv>
  <rv s="6">
    <fb>59.3</fb>
    <v>11</v>
  </rv>
  <rv s="6">
    <fb>56.488500000000002</fb>
    <v>11</v>
  </rv>
  <rv s="6">
    <fb>59.341999999999999</fb>
    <v>11</v>
  </rv>
  <rv s="6">
    <fb>56.127499999999998</fb>
    <v>11</v>
  </rv>
  <rv s="6">
    <fb>11726536</fb>
    <v>12</v>
  </rv>
  <rv s="6">
    <fb>58.1175</fb>
    <v>11</v>
  </rv>
  <rv s="6">
    <fb>60.133000000000003</fb>
    <v>11</v>
  </rv>
  <rv s="6">
    <fb>60.670499999999997</fb>
    <v>11</v>
  </rv>
  <rv s="6">
    <fb>57.259500000000003</fb>
    <v>11</v>
  </rv>
  <rv s="6">
    <fb>29177308</fb>
    <v>12</v>
  </rv>
  <rv s="6">
    <fb>58.1</fb>
    <v>11</v>
  </rv>
  <rv s="6">
    <fb>58.692500000000003</fb>
    <v>11</v>
  </rv>
  <rv s="6">
    <fb>58.76</fb>
    <v>11</v>
  </rv>
  <rv s="6">
    <fb>56.237000000000002</fb>
    <v>11</v>
  </rv>
  <rv s="6">
    <fb>18426648</fb>
    <v>12</v>
  </rv>
  <rv s="6">
    <fb>58.957000000000001</fb>
    <v>11</v>
  </rv>
  <rv s="6">
    <fb>58.23</fb>
    <v>11</v>
  </rv>
  <rv s="6">
    <fb>59.137500000000003</fb>
    <v>11</v>
  </rv>
  <rv s="6">
    <fb>57.85</fb>
    <v>11</v>
  </rv>
  <rv s="6">
    <fb>15209083</fb>
    <v>12</v>
  </rv>
  <rv s="6">
    <fb>58.417999999999999</fb>
    <v>11</v>
  </rv>
  <rv s="6">
    <fb>59.368499999999997</fb>
    <v>11</v>
  </rv>
  <rv s="6">
    <fb>59.738999999999997</fb>
    <v>11</v>
  </rv>
  <rv s="6">
    <fb>58.381999999999998</fb>
    <v>11</v>
  </rv>
  <rv s="6">
    <fb>11614754</fb>
    <v>12</v>
  </rv>
  <rv s="6">
    <fb>58.473500000000001</fb>
    <v>11</v>
  </rv>
  <rv s="6">
    <fb>59.505000000000003</fb>
    <v>11</v>
  </rv>
  <rv s="6">
    <fb>58.027500000000003</fb>
    <v>11</v>
  </rv>
  <rv s="6">
    <fb>8402462</fb>
    <v>12</v>
  </rv>
  <rv s="6">
    <fb>61.457000000000001</fb>
    <v>11</v>
  </rv>
  <rv s="6">
    <fb>58.6</fb>
    <v>11</v>
  </rv>
  <rv s="6">
    <fb>58.525500000000001</fb>
    <v>11</v>
  </rv>
  <rv s="6">
    <fb>12370119</fb>
    <v>12</v>
  </rv>
  <rv s="6">
    <fb>65.260000000000005</fb>
    <v>11</v>
  </rv>
  <rv s="6">
    <fb>61.8</fb>
    <v>11</v>
  </rv>
  <rv s="6">
    <fb>65.287999999999997</fb>
    <v>11</v>
  </rv>
  <rv s="6">
    <fb>61.601500000000001</fb>
    <v>11</v>
  </rv>
  <rv s="6">
    <fb>19195586</fb>
    <v>12</v>
  </rv>
  <rv s="6">
    <fb>64.728999999999999</fb>
    <v>11</v>
  </rv>
  <rv s="6">
    <fb>66.150000000000006</fb>
    <v>11</v>
  </rv>
  <rv s="6">
    <fb>66.997</fb>
    <v>11</v>
  </rv>
  <rv s="6">
    <fb>64.043999999999997</fb>
    <v>11</v>
  </rv>
  <rv s="6">
    <fb>21079906</fb>
    <v>12</v>
  </rv>
  <rv s="6">
    <fb>70.102500000000006</fb>
    <v>11</v>
  </rv>
  <rv s="6">
    <fb>64.858500000000006</fb>
    <v>11</v>
  </rv>
  <rv s="6">
    <fb>70.126499999999993</fb>
    <v>11</v>
  </rv>
  <rv s="6">
    <fb>64.833200000000005</fb>
    <v>11</v>
  </rv>
  <rv s="6">
    <fb>25727146</fb>
    <v>12</v>
  </rv>
  <rv s="6">
    <fb>71.497500000000002</fb>
    <v>11</v>
  </rv>
  <rv s="6">
    <fb>70.459000000000003</fb>
    <v>11</v>
  </rv>
  <rv s="6">
    <fb>74.900000000000006</fb>
    <v>11</v>
  </rv>
  <rv s="6">
    <fb>69.257099999999994</fb>
    <v>11</v>
  </rv>
  <rv s="6">
    <fb>38238063</fb>
    <v>12</v>
  </rv>
  <rv s="6">
    <fb>66.98</fb>
    <v>11</v>
  </rv>
  <rv s="6">
    <fb>70.131</fb>
    <v>11</v>
  </rv>
  <rv s="6">
    <fb>73.049499999999995</fb>
    <v>11</v>
  </rv>
  <rv s="6">
    <fb>63.296500000000002</fb>
    <v>11</v>
  </rv>
  <rv s="6">
    <fb>52444626</fb>
    <v>12</v>
  </rv>
  <rv s="6">
    <fb>72.4345</fb>
    <v>11</v>
  </rv>
  <rv s="6">
    <fb>68.233500000000006</fb>
    <v>11</v>
  </rv>
  <rv s="6">
    <fb>73.447000000000003</fb>
    <v>11</v>
  </rv>
  <rv s="6">
    <fb>67.200500000000005</fb>
    <v>11</v>
  </rv>
  <rv s="6">
    <fb>28741332</fb>
    <v>12</v>
  </rv>
  <rv s="6">
    <fb>75</fb>
    <v>11</v>
  </rv>
  <rv s="6">
    <fb>72.3245</fb>
    <v>11</v>
  </rv>
  <rv s="6">
    <fb>75.174499999999995</fb>
    <v>11</v>
  </rv>
  <rv s="6">
    <fb>22079745</fb>
    <v>12</v>
  </rv>
  <rv s="6">
    <fb>75.012500000000003</fb>
    <v>11</v>
  </rv>
  <rv s="6">
    <fb>75.459999999999994</fb>
    <v>11</v>
  </rv>
  <rv s="6">
    <fb>76.435000000000002</fb>
    <v>11</v>
  </rv>
  <rv s="6">
    <fb>72.750500000000002</fb>
    <v>11</v>
  </rv>
  <rv s="6">
    <fb>27701581</fb>
    <v>12</v>
  </rv>
  <rv s="6">
    <fb>78.944500000000005</fb>
    <v>11</v>
  </rv>
  <rv s="6">
    <fb>74.712000000000003</fb>
    <v>11</v>
  </rv>
  <rv s="6">
    <fb>78.947000000000003</fb>
    <v>11</v>
  </rv>
  <rv s="6">
    <fb>74.05</fb>
    <v>11</v>
  </rv>
  <rv s="6">
    <fb>22366640</fb>
    <v>12</v>
  </rv>
  <rv s="6">
    <fb>78.584000000000003</fb>
    <v>11</v>
  </rv>
  <rv s="6">
    <fb>79.63</fb>
    <v>11</v>
  </rv>
  <rv s="6">
    <fb>80.876999999999995</fb>
    <v>11</v>
  </rv>
  <rv s="6">
    <fb>78.375</fb>
    <v>11</v>
  </rv>
  <rv s="6">
    <fb>25460259</fb>
    <v>12</v>
  </rv>
  <rv s="6">
    <fb>77.726500000000001</fb>
    <v>11</v>
  </rv>
  <rv s="6">
    <fb>79.5</fb>
    <v>11</v>
  </rv>
  <rv s="6">
    <fb>74.768000000000001</fb>
    <v>11</v>
  </rv>
  <rv s="6">
    <fb>30239689</fb>
    <v>12</v>
  </rv>
  <rv s="6">
    <fb>72.367000000000004</fb>
    <v>11</v>
  </rv>
  <rv s="6">
    <fb>76.5</fb>
    <v>11</v>
  </rv>
  <rv s="6">
    <fb>78.798299999999998</fb>
    <v>11</v>
  </rv>
  <rv s="6">
    <fb>68.260000000000005</fb>
    <v>11</v>
  </rv>
  <rv s="6">
    <fb>38910769</fb>
    <v>12</v>
  </rv>
  <rv s="6">
    <fb>70.261499999999998</fb>
    <v>11</v>
  </rv>
  <rv s="6">
    <fb>70.881</fb>
    <v>11</v>
  </rv>
  <rv s="6">
    <fb>72.977900000000005</fb>
    <v>11</v>
  </rv>
  <rv s="6">
    <fb>67.644000000000005</fb>
    <v>11</v>
  </rv>
  <rv s="6">
    <fb>39972840</fb>
    <v>12</v>
  </rv>
  <rv s="6">
    <fb>71.539500000000004</fb>
    <v>11</v>
  </rv>
  <rv s="6">
    <fb>71.251499999999993</fb>
    <v>11</v>
  </rv>
  <rv s="6">
    <fb>72.989000000000004</fb>
    <v>11</v>
  </rv>
  <rv s="6">
    <fb>70.128600000000006</fb>
    <v>11</v>
  </rv>
  <rv s="6">
    <fb>18891177</fb>
    <v>12</v>
  </rv>
  <rv s="6">
    <fb>76.374499999999998</fb>
    <v>11</v>
  </rv>
  <rv s="6">
    <fb>72.25</fb>
    <v>11</v>
  </rv>
  <rv s="6">
    <fb>78.426000000000002</fb>
    <v>11</v>
  </rv>
  <rv s="6">
    <fb>71.373999999999995</fb>
    <v>11</v>
  </rv>
  <rv s="6">
    <fb>25084948</fb>
    <v>12</v>
  </rv>
  <rv s="6">
    <fb>78.631</fb>
    <v>11</v>
  </rv>
  <rv s="6">
    <fb>77.334699999999998</fb>
    <v>11</v>
  </rv>
  <rv s="6">
    <fb>81.905000000000001</fb>
    <v>11</v>
  </rv>
  <rv s="6">
    <fb>70.751000000000005</fb>
    <v>11</v>
  </rv>
  <rv s="6">
    <fb>40401755</fb>
    <v>12</v>
  </rv>
  <rv s="6">
    <fb>79.047499999999999</fb>
    <v>11</v>
  </rv>
  <rv s="6">
    <fb>79.125</fb>
    <v>11</v>
  </rv>
  <rv s="6">
    <fb>77.301000000000002</fb>
    <v>11</v>
  </rv>
  <rv s="6">
    <fb>22091913</fb>
    <v>12</v>
  </rv>
  <rv s="6">
    <fb>80.145499999999998</fb>
    <v>11</v>
  </rv>
  <rv s="6">
    <fb>79.466899999999995</fb>
    <v>11</v>
  </rv>
  <rv s="6">
    <fb>80.78</fb>
    <v>11</v>
  </rv>
  <rv s="6">
    <fb>79.125500000000002</fb>
    <v>11</v>
  </rv>
  <rv s="6">
    <fb>15588456</fb>
    <v>12</v>
  </rv>
  <rv s="6">
    <fb>78.718500000000006</fb>
    <v>11</v>
  </rv>
  <rv s="6">
    <fb>80.2</fb>
    <v>11</v>
  </rv>
  <rv s="6">
    <fb>80.558999999999997</fb>
    <v>11</v>
  </rv>
  <rv s="6">
    <fb>78.260999999999996</fb>
    <v>11</v>
  </rv>
  <rv s="6">
    <fb>14947710</fb>
    <v>12</v>
  </rv>
  <rv s="6">
    <fb>80.507499999999993</fb>
    <v>11</v>
  </rv>
  <rv s="6">
    <fb>79.25</fb>
    <v>11</v>
  </rv>
  <rv s="6">
    <fb>80.706000000000003</fb>
    <v>11</v>
  </rv>
  <rv s="6">
    <fb>78.316999999999993</fb>
    <v>11</v>
  </rv>
  <rv s="6">
    <fb>14531141</fb>
    <v>12</v>
  </rv>
  <rv s="6">
    <fb>82.076999999999998</fb>
    <v>11</v>
  </rv>
  <rv s="6">
    <fb>80.035399999999996</fb>
    <v>11</v>
  </rv>
  <rv s="6">
    <fb>82.336500000000001</fb>
    <v>11</v>
  </rv>
  <rv s="6">
    <fb>13233549</fb>
    <v>12</v>
  </rv>
  <rv s="6">
    <fb>84.1995</fb>
    <v>11</v>
  </rv>
  <rv s="6">
    <fb>82.444999999999993</fb>
    <v>11</v>
  </rv>
  <rv s="6">
    <fb>85.724999999999994</fb>
    <v>11</v>
  </rv>
  <rv s="6">
    <fb>82.274500000000003</fb>
    <v>11</v>
  </rv>
  <rv s="6">
    <fb>20163924</fb>
    <v>12</v>
  </rv>
  <rv s="6">
    <fb>85.798500000000004</fb>
    <v>11</v>
  </rv>
  <rv s="6">
    <fb>84.075500000000005</fb>
    <v>11</v>
  </rv>
  <rv s="6">
    <fb>86.24</fb>
    <v>11</v>
  </rv>
  <rv s="6">
    <fb>84.029600000000002</fb>
    <v>11</v>
  </rv>
  <rv s="6">
    <fb>15874289</fb>
    <v>12</v>
  </rv>
  <rv s="6">
    <fb>85.783500000000004</fb>
    <v>11</v>
  </rv>
  <rv s="6">
    <fb>85.313000000000002</fb>
    <v>11</v>
  </rv>
  <rv s="6">
    <fb>88.155000000000001</fb>
    <v>11</v>
  </rv>
  <rv s="6">
    <fb>85.019499999999994</fb>
    <v>11</v>
  </rv>
  <rv s="6">
    <fb>20746722</fb>
    <v>12</v>
  </rv>
  <rv s="6">
    <fb>84.99</fb>
    <v>11</v>
  </rv>
  <rv s="6">
    <fb>85.125500000000002</fb>
    <v>11</v>
  </rv>
  <rv s="6">
    <fb>86.170500000000004</fb>
    <v>11</v>
  </rv>
  <rv s="6">
    <fb>82.315399999999997</fb>
    <v>11</v>
  </rv>
  <rv s="6">
    <fb>25843190</fb>
    <v>12</v>
  </rv>
  <rv s="6">
    <fb>85.531499999999994</fb>
    <v>11</v>
  </rv>
  <rv s="6">
    <fb>84.135000000000005</fb>
    <v>11</v>
  </rv>
  <rv s="6">
    <fb>86.25</fb>
    <v>11</v>
  </rv>
  <rv s="6">
    <fb>83.903000000000006</fb>
    <v>11</v>
  </rv>
  <rv s="6">
    <fb>10996344</fb>
    <v>12</v>
  </rv>
  <rv s="6">
    <fb>90.651499999999999</fb>
    <v>11</v>
  </rv>
  <rv s="6">
    <fb>86.202500000000001</fb>
    <v>11</v>
  </rv>
  <rv s="6">
    <fb>90.765000000000001</fb>
    <v>11</v>
  </rv>
  <rv s="6">
    <fb>85.811499999999995</fb>
    <v>11</v>
  </rv>
  <rv s="6">
    <fb>18144097</fb>
    <v>12</v>
  </rv>
  <rv s="6">
    <fb>90.685000000000002</fb>
    <v>11</v>
  </rv>
  <rv s="6">
    <fb>91.097499999999997</fb>
    <v>11</v>
  </rv>
  <rv s="6">
    <fb>92.944000000000003</fb>
    <v>11</v>
  </rv>
  <rv s="6">
    <fb>89.869200000000006</fb>
    <v>11</v>
  </rv>
  <rv s="6">
    <fb>24579497</fb>
    <v>12</v>
  </rv>
  <rv s="6">
    <fb>90.863500000000002</fb>
    <v>11</v>
  </rv>
  <rv s="6">
    <fb>90.610500000000002</fb>
    <v>11</v>
  </rv>
  <rv s="6">
    <fb>94.002499999999998</fb>
    <v>11</v>
  </rv>
  <rv s="6">
    <fb>88.499499999999998</fb>
    <v>11</v>
  </rv>
  <rv s="6">
    <fb>31608848</fb>
    <v>12</v>
  </rv>
  <rv s="6">
    <fb>91.164500000000004</fb>
    <v>11</v>
  </rv>
  <rv s="6">
    <fb>91.366500000000002</fb>
    <v>11</v>
  </rv>
  <rv s="6">
    <fb>92.05</fb>
    <v>11</v>
  </rv>
  <rv s="6">
    <fb>86.965999999999994</fb>
    <v>11</v>
  </rv>
  <rv s="6">
    <fb>24269298</fb>
    <v>12</v>
  </rv>
  <rv s="6">
    <fb>94.314999999999998</fb>
    <v>11</v>
  </rv>
  <rv s="6">
    <fb>91.290499999999994</fb>
    <v>11</v>
  </rv>
  <rv s="6">
    <fb>95.728499999999997</fb>
    <v>11</v>
  </rv>
  <rv s="6">
    <fb>90.945999999999998</fb>
    <v>11</v>
  </rv>
  <rv s="6">
    <fb>19232616</fb>
    <v>12</v>
  </rv>
  <rv s="6">
    <fb>94.111000000000004</fb>
    <v>11</v>
  </rv>
  <rv s="6">
    <fb>94.924999999999997</fb>
    <v>11</v>
  </rv>
  <rv s="6">
    <fb>96.25</fb>
    <v>11</v>
  </rv>
  <rv s="6">
    <fb>92.777500000000003</fb>
    <v>11</v>
  </rv>
  <rv s="6">
    <fb>25279670</fb>
    <v>12</v>
  </rv>
  <rv s="6">
    <fb>95.269499999999994</fb>
    <v>11</v>
  </rv>
  <rv s="6">
    <fb>94.528499999999994</fb>
    <v>11</v>
  </rv>
  <rv s="6">
    <fb>95.974999999999994</fb>
    <v>11</v>
  </rv>
  <rv s="6">
    <fb>93.303100000000001</fb>
    <v>11</v>
  </rv>
  <rv s="6">
    <fb>15342474</fb>
    <v>12</v>
  </rv>
  <rv s="6">
    <fb>100.63549999999999</fb>
    <v>11</v>
  </rv>
  <rv s="6">
    <fb>95.75</fb>
    <v>11</v>
  </rv>
  <rv s="6">
    <fb>101.27849999999999</fb>
    <v>11</v>
  </rv>
  <rv s="6">
    <fb>95.464100000000002</fb>
    <v>11</v>
  </rv>
  <rv s="6">
    <fb>24683160</fb>
    <v>12</v>
  </rv>
  <rv s="6">
    <fb>97.603499999999997</fb>
    <v>11</v>
  </rv>
  <rv s="6">
    <fb>101.325</fb>
    <v>11</v>
  </rv>
  <rv s="6">
    <fb>102.52500000000001</fb>
    <v>11</v>
  </rv>
  <rv s="6">
    <fb>96.760499999999993</fb>
    <v>11</v>
  </rv>
  <rv s="6">
    <fb>26322992</fb>
    <v>12</v>
  </rv>
  <rv s="6">
    <fb>98.509500000000003</fb>
    <v>11</v>
  </rv>
  <rv s="6">
    <fb>98.55</fb>
    <v>11</v>
  </rv>
  <rv s="6">
    <fb>100.438</fb>
    <v>11</v>
  </rv>
  <rv s="6">
    <fb>95.85</fb>
    <v>11</v>
  </rv>
  <rv s="6">
    <fb>21256029</fb>
    <v>12</v>
  </rv>
  <rv s="6">
    <fb>95.750500000000002</fb>
    <v>11</v>
  </rv>
  <rv s="6">
    <fb>97.736500000000007</fb>
    <v>11</v>
  </rv>
  <rv s="6">
    <fb>97.91</fb>
    <v>11</v>
  </rv>
  <rv s="6">
    <fb>94.370500000000007</fb>
    <v>11</v>
  </rv>
  <rv s="6">
    <fb>25386552</fb>
    <v>12</v>
  </rv>
  <rv s="6">
    <fb>100.15</fb>
    <v>11</v>
  </rv>
  <rv s="6">
    <fb>95.189499999999995</fb>
    <v>11</v>
  </rv>
  <rv s="6">
    <fb>101.32599999999999</fb>
    <v>11</v>
  </rv>
  <rv s="6">
    <fb>93.25</fb>
    <v>11</v>
  </rv>
  <rv s="6">
    <fb>21480120</fb>
    <v>12</v>
  </rv>
  <rv s="6">
    <fb>94.482500000000002</fb>
    <v>11</v>
  </rv>
  <rv s="6">
    <fb>101.09950000000001</fb>
    <v>11</v>
  </rv>
  <rv s="6">
    <fb>101.65949999999999</fb>
    <v>11</v>
  </rv>
  <rv s="6">
    <fb>93.141499999999994</fb>
    <v>11</v>
  </rv>
  <rv s="6">
    <fb>28201465</fb>
    <v>12</v>
  </rv>
  <rv s="6">
    <fb>89.430499999999995</fb>
    <v>11</v>
  </rv>
  <rv s="6">
    <fb>93.7</fb>
    <v>11</v>
  </rv>
  <rv s="6">
    <fb>95.099800000000002</fb>
    <v>11</v>
  </rv>
  <rv s="6">
    <fb>84.254999999999995</fb>
    <v>11</v>
  </rv>
  <rv s="6">
    <fb>46535379</fb>
    <v>12</v>
  </rv>
  <rv s="6">
    <fb>88.201499999999996</fb>
    <v>11</v>
  </rv>
  <rv s="6">
    <fb>89.75</fb>
    <v>11</v>
  </rv>
  <rv s="6">
    <fb>92.25</fb>
    <v>11</v>
  </rv>
  <rv s="6">
    <fb>86.711500000000001</fb>
    <v>11</v>
  </rv>
  <rv s="6">
    <fb>29373498</fb>
    <v>12</v>
  </rv>
  <rv s="6">
    <fb>82.140500000000003</fb>
    <v>11</v>
  </rv>
  <rv s="6">
    <fb>89.2</fb>
    <v>11</v>
  </rv>
  <rv s="6">
    <fb>90.474999999999994</fb>
    <v>11</v>
  </rv>
  <rv s="6">
    <fb>80.150000000000006</fb>
    <v>11</v>
  </rv>
  <rv s="6">
    <fb>43239862</fb>
    <v>12</v>
  </rv>
  <rv s="6">
    <fb>83.276499999999999</fb>
    <v>11</v>
  </rv>
  <rv s="6">
    <fb>83</fb>
    <v>11</v>
  </rv>
  <rv s="6">
    <fb>84.872</fb>
    <v>11</v>
  </rv>
  <rv s="6">
    <fb>73.817999999999998</fb>
    <v>11</v>
  </rv>
  <rv s="6">
    <fb>50807461</fb>
    <v>12</v>
  </rv>
  <rv s="6">
    <fb>85.621499999999997</fb>
    <v>11</v>
  </rv>
  <rv s="6">
    <fb>82.878500000000003</fb>
    <v>11</v>
  </rv>
  <rv s="6">
    <fb>79.817999999999998</fb>
    <v>11</v>
  </rv>
  <rv s="6">
    <fb>30511366</fb>
    <v>12</v>
  </rv>
  <rv s="6">
    <fb>79.670500000000004</fb>
    <v>11</v>
  </rv>
  <rv s="6">
    <fb>84.912000000000006</fb>
    <v>11</v>
  </rv>
  <rv s="6">
    <fb>85.427499999999995</fb>
    <v>11</v>
  </rv>
  <rv s="6">
    <fb>77.325500000000005</fb>
    <v>11</v>
  </rv>
  <rv s="6">
    <fb>33684389</fb>
    <v>12</v>
  </rv>
  <rv s="6">
    <fb>75.102999999999994</fb>
    <v>11</v>
  </rv>
  <rv s="6">
    <fb>78.850499999999997</fb>
    <v>11</v>
  </rv>
  <rv s="6">
    <fb>79.0595</fb>
    <v>11</v>
  </rv>
  <rv s="6">
    <fb>71</fb>
    <v>11</v>
  </rv>
  <rv s="6">
    <fb>27025124</fb>
    <v>12</v>
  </rv>
  <rv s="6">
    <fb>84.508499999999998</fb>
    <v>11</v>
  </rv>
  <rv s="6">
    <fb>76.95</fb>
    <v>11</v>
  </rv>
  <rv s="6">
    <fb>84.8</fb>
    <v>11</v>
  </rv>
  <rv s="6">
    <fb>76.210999999999999</fb>
    <v>11</v>
  </rv>
  <rv s="6">
    <fb>32805553</fb>
    <v>12</v>
  </rv>
  <rv s="6">
    <fb>81.456500000000005</fb>
    <v>11</v>
  </rv>
  <rv s="6">
    <fb>88.472999999999999</fb>
    <v>11</v>
  </rv>
  <rv s="6">
    <fb>88.917000000000002</fb>
    <v>11</v>
  </rv>
  <rv s="6">
    <fb>80.492500000000007</fb>
    <v>11</v>
  </rv>
  <rv s="6">
    <fb>31801934</fb>
    <v>12</v>
  </rv>
  <rv s="6">
    <fb>79.595500000000001</fb>
    <v>11</v>
  </rv>
  <rv s="6">
    <fb>81.191999999999993</fb>
    <v>11</v>
  </rv>
  <rv s="6">
    <fb>85.249499999999998</fb>
    <v>11</v>
  </rv>
  <rv s="6">
    <fb>31934390</fb>
    <v>12</v>
  </rv>
  <rv s="6">
    <fb>68.872500000000002</fb>
    <v>11</v>
  </rv>
  <rv s="6">
    <fb>78.3</fb>
    <v>11</v>
  </rv>
  <rv s="6">
    <fb>79.226500000000001</fb>
    <v>11</v>
  </rv>
  <rv s="6">
    <fb>68.197999999999993</fb>
    <v>11</v>
  </rv>
  <rv s="6">
    <fb>47591572</fb>
    <v>12</v>
  </rv>
  <rv s="6">
    <fb>73.900999999999996</fb>
    <v>11</v>
  </rv>
  <rv s="6">
    <fb>67.3</fb>
    <v>11</v>
  </rv>
  <rv s="6">
    <fb>75.673500000000004</fb>
    <v>11</v>
  </rv>
  <rv s="6">
    <fb>65.349999999999994</fb>
    <v>11</v>
  </rv>
  <rv s="6">
    <fb>36182781</fb>
    <v>12</v>
  </rv>
  <rv s="6">
    <fb>78.769499999999994</fb>
    <v>11</v>
  </rv>
  <rv s="6">
    <fb>75.540000000000006</fb>
    <v>11</v>
  </rv>
  <rv s="6">
    <fb>73.046499999999995</fb>
    <v>11</v>
  </rv>
  <rv s="6">
    <fb>30827985</fb>
    <v>12</v>
  </rv>
  <rv s="6">
    <fb>82.028000000000006</fb>
    <v>11</v>
  </rv>
  <rv s="6">
    <fb>80.115499999999997</fb>
    <v>11</v>
  </rv>
  <rv s="6">
    <fb>83.830500000000001</fb>
    <v>11</v>
  </rv>
  <rv s="6">
    <fb>79.459299999999999</fb>
    <v>11</v>
  </rv>
  <rv s="6">
    <fb>34310840</fb>
    <v>12</v>
  </rv>
  <rv s="6">
    <fb>84.81</fb>
    <v>11</v>
  </rv>
  <rv s="6">
    <fb>80.75</fb>
    <v>11</v>
  </rv>
  <rv s="6">
    <fb>85.81</fb>
    <v>11</v>
  </rv>
  <rv s="6">
    <fb>79.757499999999993</fb>
    <v>11</v>
  </rv>
  <rv s="6">
    <fb>28509684</fb>
    <v>12</v>
  </rv>
  <rv s="6">
    <fb>83.528499999999994</fb>
    <v>11</v>
  </rv>
  <rv s="6">
    <fb>84.05</fb>
    <v>11</v>
  </rv>
  <rv s="6">
    <fb>84.174000000000007</fb>
    <v>11</v>
  </rv>
  <rv s="6">
    <fb>80.510000000000005</fb>
    <v>11</v>
  </rv>
  <rv s="6">
    <fb>20564107</fb>
    <v>12</v>
  </rv>
  <rv s="6">
    <fb>81.311499999999995</fb>
    <v>11</v>
  </rv>
  <rv s="6">
    <fb>82.179500000000004</fb>
    <v>11</v>
  </rv>
  <rv s="6">
    <fb>86.820599999999999</fb>
    <v>11</v>
  </rv>
  <rv s="6">
    <fb>79.536000000000001</fb>
    <v>11</v>
  </rv>
  <rv s="6">
    <fb>36496027</fb>
    <v>12</v>
  </rv>
  <rv s="6">
    <fb>79.411000000000001</fb>
    <v>11</v>
  </rv>
  <rv s="6">
    <fb>81.150000000000006</fb>
    <v>11</v>
  </rv>
  <rv s="6">
    <fb>83.613</fb>
    <v>11</v>
  </rv>
  <rv s="6">
    <fb>78.337800000000001</fb>
    <v>11</v>
  </rv>
  <rv s="6">
    <fb>23490293</fb>
    <v>12</v>
  </rv>
  <rv s="6">
    <fb>80.397499999999994</fb>
    <v>11</v>
  </rv>
  <rv s="6">
    <fb>80.049000000000007</fb>
    <v>11</v>
  </rv>
  <rv s="6">
    <fb>82.819000000000003</fb>
    <v>11</v>
  </rv>
  <rv s="6">
    <fb>79.3</fb>
    <v>11</v>
  </rv>
  <rv s="6">
    <fb>20099308</fb>
    <v>12</v>
  </rv>
  <rv s="6">
    <fb>81.578000000000003</fb>
    <v>11</v>
  </rv>
  <rv s="6">
    <fb>80.05</fb>
    <v>11</v>
  </rv>
  <rv s="6">
    <fb>81.747</fb>
    <v>11</v>
  </rv>
  <rv s="6">
    <fb>80.028000000000006</fb>
    <v>11</v>
  </rv>
  <rv s="6">
    <fb>13598828</fb>
    <v>12</v>
  </rv>
  <rv s="6">
    <fb>83.586500000000001</fb>
    <v>11</v>
  </rv>
  <rv s="6">
    <fb>82.072500000000005</fb>
    <v>11</v>
  </rv>
  <rv s="6">
    <fb>83.712999999999994</fb>
    <v>11</v>
  </rv>
  <rv s="6">
    <fb>80.754999999999995</fb>
    <v>11</v>
  </rv>
  <rv s="6">
    <fb>16999869</fb>
    <v>12</v>
  </rv>
  <rv s="6">
    <fb>81.040000000000006</fb>
    <v>11</v>
  </rv>
  <rv s="6">
    <fb>84.25</fb>
    <v>11</v>
  </rv>
  <rv s="6">
    <fb>85.471500000000006</fb>
    <v>11</v>
  </rv>
  <rv s="6">
    <fb>79.328500000000005</fb>
    <v>11</v>
  </rv>
  <rv s="6">
    <fb>23468912</fb>
    <v>12</v>
  </rv>
  <rv s="6">
    <fb>85.617999999999995</fb>
    <v>11</v>
  </rv>
  <rv s="6">
    <fb>81.305999999999997</fb>
    <v>11</v>
  </rv>
  <rv s="6">
    <fb>85.94</fb>
    <v>11</v>
  </rv>
  <rv s="6">
    <fb>81.3005</fb>
    <v>11</v>
  </rv>
  <rv s="6">
    <fb>21540379</fb>
    <v>12</v>
  </rv>
  <rv s="6">
    <fb>88.238500000000002</fb>
    <v>11</v>
  </rv>
  <rv s="6">
    <fb>85.635000000000005</fb>
    <v>11</v>
  </rv>
  <rv s="6">
    <fb>91.1875</fb>
    <v>11</v>
  </rv>
  <rv s="6">
    <fb>85.631500000000003</fb>
    <v>11</v>
  </rv>
  <rv s="6">
    <fb>30189632</fb>
    <v>12</v>
  </rv>
  <rv s="6">
    <fb>89.037499999999994</fb>
    <v>11</v>
  </rv>
  <rv s="6">
    <fb>87.889499999999998</fb>
    <v>11</v>
  </rv>
  <rv s="6">
    <fb>90.288499999999999</fb>
    <v>11</v>
  </rv>
  <rv s="6">
    <fb>87.284000000000006</fb>
    <v>11</v>
  </rv>
  <rv s="6">
    <fb>20658235</fb>
    <v>12</v>
  </rv>
  <rv s="6">
    <fb>91.864000000000004</fb>
    <v>11</v>
  </rv>
  <rv s="6">
    <fb>90.005499999999998</fb>
    <v>11</v>
  </rv>
  <rv s="6">
    <fb>91.929000000000002</fb>
    <v>11</v>
  </rv>
  <rv s="6">
    <fb>89.936499999999995</fb>
    <v>11</v>
  </rv>
  <rv s="6">
    <fb>18931800</fb>
    <v>12</v>
  </rv>
  <rv s="6">
    <fb>92.153000000000006</fb>
    <v>11</v>
  </rv>
  <rv s="6">
    <fb>91.661500000000004</fb>
    <v>11</v>
  </rv>
  <rv s="6">
    <fb>92.654499999999999</fb>
    <v>11</v>
  </rv>
  <rv s="6">
    <fb>91.255499999999998</fb>
    <v>11</v>
  </rv>
  <rv s="6">
    <fb>16200437</fb>
    <v>12</v>
  </rv>
  <rv s="6">
    <fb>93.084500000000006</fb>
    <v>11</v>
  </rv>
  <rv s="6">
    <fb>92.1</fb>
    <v>11</v>
  </rv>
  <rv s="6">
    <fb>93.823700000000002</fb>
    <v>11</v>
  </rv>
  <rv s="6">
    <fb>90.944999999999993</fb>
    <v>11</v>
  </rv>
  <rv s="6">
    <fb>12412440</fb>
    <v>12</v>
  </rv>
  <rv s="6">
    <fb>97.531499999999994</fb>
    <v>11</v>
  </rv>
  <rv s="6">
    <fb>92.77</fb>
    <v>11</v>
  </rv>
  <rv s="6">
    <fb>97.55</fb>
    <v>11</v>
  </rv>
  <rv s="6">
    <fb>92.281999999999996</fb>
    <v>11</v>
  </rv>
  <rv s="6">
    <fb>26221693</fb>
    <v>12</v>
  </rv>
  <rv s="6">
    <fb>98.123000000000005</fb>
    <v>11</v>
  </rv>
  <rv s="6">
    <fb>97.45</fb>
    <v>11</v>
  </rv>
  <rv s="6">
    <fb>98.22</fb>
    <v>11</v>
  </rv>
  <rv s="6">
    <fb>94.093500000000006</fb>
    <v>11</v>
  </rv>
  <rv s="6">
    <fb>20988705</fb>
    <v>12</v>
  </rv>
  <rv s="6">
    <fb>94.498999999999995</fb>
    <v>11</v>
  </rv>
  <rv s="6">
    <fb>95.899000000000001</fb>
    <v>11</v>
  </rv>
  <rv s="6">
    <fb>97.95</fb>
    <v>11</v>
  </rv>
  <rv s="6">
    <fb>92.8</fb>
    <v>11</v>
  </rv>
  <rv s="6">
    <fb>26424800</fb>
    <v>12</v>
  </rv>
  <rv s="6">
    <fb>93.45</fb>
    <v>11</v>
  </rv>
  <rv s="6">
    <fb>91.828000000000003</fb>
    <v>11</v>
  </rv>
  <rv s="6">
    <fb>95.875500000000002</fb>
    <v>11</v>
  </rv>
  <rv s="6">
    <fb>90.787499999999994</fb>
    <v>11</v>
  </rv>
  <rv s="6">
    <fb>24549599</fb>
    <v>12</v>
  </rv>
  <rv s="6">
    <fb>91.164000000000001</fb>
    <v>11</v>
  </rv>
  <rv s="6">
    <fb>92.634500000000003</fb>
    <v>11</v>
  </rv>
  <rv s="6">
    <fb>93.95</fb>
    <v>11</v>
  </rv>
  <rv s="6">
    <fb>90.21</fb>
    <v>11</v>
  </rv>
  <rv s="6">
    <fb>18533859</fb>
    <v>12</v>
  </rv>
  <rv s="6">
    <fb>88.753500000000003</fb>
    <v>11</v>
  </rv>
  <rv s="6">
    <fb>91.637500000000003</fb>
    <v>11</v>
  </rv>
  <rv s="6">
    <fb>92.463300000000004</fb>
    <v>11</v>
  </rv>
  <rv s="6">
    <fb>88.635199999999998</fb>
    <v>11</v>
  </rv>
  <rv s="6">
    <fb>15244659</fb>
    <v>12</v>
  </rv>
  <rv s="6">
    <fb>90.201499999999996</fb>
    <v>11</v>
  </rv>
  <rv s="6">
    <fb>88.000500000000002</fb>
    <v>11</v>
  </rv>
  <rv s="6">
    <fb>90.312700000000007</fb>
    <v>11</v>
  </rv>
  <rv s="6">
    <fb>83.6</fb>
    <v>11</v>
  </rv>
  <rv s="6">
    <fb>27515129</fb>
    <v>12</v>
  </rv>
  <rv s="6">
    <fb>93.483500000000006</fb>
    <v>11</v>
  </rv>
  <rv s="6">
    <fb>91.1</fb>
    <v>11</v>
  </rv>
  <rv s="6">
    <fb>94.685000000000002</fb>
    <v>11</v>
  </rv>
  <rv s="6">
    <fb>90.9</fb>
    <v>11</v>
  </rv>
  <rv s="6">
    <fb>17739009</fb>
    <v>12</v>
  </rv>
  <rv s="6">
    <fb>95.564999999999998</fb>
    <v>11</v>
  </rv>
  <rv s="6">
    <fb>93.825000000000003</fb>
    <v>11</v>
  </rv>
  <rv s="6">
    <fb>96.76</fb>
    <v>11</v>
  </rv>
  <rv s="6">
    <fb>93.772499999999994</fb>
    <v>11</v>
  </rv>
  <rv s="6">
    <fb>16576146</fb>
    <v>12</v>
  </rv>
  <rv s="6">
    <fb>94.6815</fb>
    <v>11</v>
  </rv>
  <rv s="6">
    <fb>95.632999999999996</fb>
    <v>11</v>
  </rv>
  <rv s="6">
    <fb>95.843000000000004</fb>
    <v>11</v>
  </rv>
  <rv s="6">
    <fb>93.620999999999995</fb>
    <v>11</v>
  </rv>
  <rv s="6">
    <fb>12916305</fb>
    <v>12</v>
  </rv>
  <rv s="6">
    <fb>97.145499999999998</fb>
    <v>11</v>
  </rv>
  <rv s="6">
    <fb>96.149000000000001</fb>
    <v>11</v>
  </rv>
  <rv s="6">
    <fb>97.295000000000002</fb>
    <v>11</v>
  </rv>
  <rv s="6">
    <fb>95.331500000000005</fb>
    <v>11</v>
  </rv>
  <rv s="6">
    <fb>10173299</fb>
    <v>12</v>
  </rv>
  <rv s="6">
    <fb>100.55</fb>
    <v>11</v>
  </rv>
  <rv s="6">
    <fb>96.706000000000003</fb>
    <v>11</v>
  </rv>
  <rv s="6">
    <fb>101.79</fb>
    <v>11</v>
  </rv>
  <rv s="6">
    <fb>96.412700000000001</fb>
    <v>11</v>
  </rv>
  <rv s="6">
    <fb>18988034</fb>
    <v>12</v>
  </rv>
  <rv s="6">
    <fb>98.225999999999999</fb>
    <v>11</v>
  </rv>
  <rv s="6">
    <fb>101.07</fb>
    <v>11</v>
  </rv>
  <rv s="6">
    <fb>101.316</fb>
    <v>11</v>
  </rv>
  <rv s="6">
    <fb>97.577500000000001</fb>
    <v>11</v>
  </rv>
  <rv s="6">
    <fb>14848214</fb>
    <v>12</v>
  </rv>
  <rv s="6">
    <fb>97.152500000000003</fb>
    <v>11</v>
  </rv>
  <rv s="6">
    <fb>98.557000000000002</fb>
    <v>11</v>
  </rv>
  <rv s="6">
    <fb>100.065</fb>
    <v>11</v>
  </rv>
  <rv s="6">
    <fb>96.225499999999997</fb>
    <v>11</v>
  </rv>
  <rv s="6">
    <fb>17306495</fb>
    <v>12</v>
  </rv>
  <rv s="6">
    <fb>91.162000000000006</fb>
    <v>11</v>
  </rv>
  <rv s="6">
    <fb>96.5</fb>
    <v>11</v>
  </rv>
  <rv s="6">
    <fb>96.6113</fb>
    <v>11</v>
  </rv>
  <rv s="6">
    <fb>90.400999999999996</fb>
    <v>11</v>
  </rv>
  <rv s="6">
    <fb>21544341</fb>
    <v>12</v>
  </rv>
  <rv s="6">
    <fb>90.379000000000005</fb>
    <v>11</v>
  </rv>
  <rv s="6">
    <fb>88.510999999999996</fb>
    <v>11</v>
  </rv>
  <rv s="6">
    <fb>91.712999999999994</fb>
    <v>11</v>
  </rv>
  <rv s="6">
    <fb>87.438999999999993</fb>
    <v>11</v>
  </rv>
  <rv s="6">
    <fb>22236366</fb>
    <v>12</v>
  </rv>
  <rv s="6">
    <fb>89.628500000000003</fb>
    <v>11</v>
  </rv>
  <rv s="6">
    <fb>89.799499999999995</fb>
    <v>11</v>
  </rv>
  <rv s="6">
    <fb>91.587100000000007</fb>
    <v>11</v>
  </rv>
  <rv s="6">
    <fb>87.860799999999998</fb>
    <v>11</v>
  </rv>
  <rv s="6">
    <fb>18738356</fb>
    <v>12</v>
  </rv>
  <rv s="6">
    <fb>87.480999999999995</fb>
    <v>11</v>
  </rv>
  <rv s="6">
    <fb>90.903999999999996</fb>
    <v>11</v>
  </rv>
  <rv s="6">
    <fb>91.478899999999996</fb>
    <v>11</v>
  </rv>
  <rv s="6">
    <fb>87.261499999999998</fb>
    <v>11</v>
  </rv>
  <rv s="6">
    <fb>14728655</fb>
    <v>12</v>
  </rv>
  <rv s="6">
    <fb>88.814499999999995</fb>
    <v>11</v>
  </rv>
  <rv s="6">
    <fb>88.345500000000001</fb>
    <v>11</v>
  </rv>
  <rv s="6">
    <fb>89.986999999999995</fb>
    <v>11</v>
  </rv>
  <rv s="6">
    <fb>87.1755</fb>
    <v>11</v>
  </rv>
  <rv s="6">
    <fb>14616617</fb>
    <v>12</v>
  </rv>
  <rv s="6">
    <fb>91.6755</fb>
    <v>11</v>
  </rv>
  <rv s="6">
    <fb>88.5</fb>
    <v>11</v>
  </rv>
  <rv s="6">
    <fb>88.4</fb>
    <v>11</v>
  </rv>
  <rv s="6">
    <fb>11695209</fb>
    <v>12</v>
  </rv>
  <rv s="6">
    <fb>91.966999999999999</fb>
    <v>11</v>
  </rv>
  <rv s="6">
    <fb>92.683000000000007</fb>
    <v>11</v>
  </rv>
  <rv s="6">
    <fb>90.266800000000003</fb>
    <v>11</v>
  </rv>
  <rv s="6">
    <fb>12840983</fb>
    <v>12</v>
  </rv>
  <rv s="6">
    <fb>89.707999999999998</fb>
    <v>11</v>
  </rv>
  <rv s="6">
    <fb>91.200999999999993</fb>
    <v>11</v>
  </rv>
  <rv s="6">
    <fb>91.628500000000003</fb>
    <v>11</v>
  </rv>
  <rv s="6">
    <fb>89.046000000000006</fb>
    <v>11</v>
  </rv>
  <rv s="6">
    <fb>15878717</fb>
    <v>12</v>
  </rv>
  <rv s="6">
    <fb>86.272499999999994</fb>
    <v>11</v>
  </rv>
  <rv s="6">
    <fb>88.85</fb>
    <v>11</v>
  </rv>
  <rv s="6">
    <fb>89.785300000000007</fb>
    <v>11</v>
  </rv>
  <rv s="6">
    <fb>85.691000000000003</fb>
    <v>11</v>
  </rv>
  <rv s="6">
    <fb>18828122</fb>
    <v>12</v>
  </rv>
  <rv s="6">
    <fb>86.982500000000002</fb>
    <v>11</v>
  </rv>
  <rv s="6">
    <fb>86.349500000000006</fb>
    <v>11</v>
  </rv>
  <rv s="6">
    <fb>87.78</fb>
    <v>11</v>
  </rv>
  <rv s="6">
    <fb>84.253</fb>
    <v>11</v>
  </rv>
  <rv s="6">
    <fb>15383352</fb>
    <v>12</v>
  </rv>
  <rv s="6">
    <fb>86.596000000000004</fb>
    <v>11</v>
  </rv>
  <rv s="6">
    <fb>86.581500000000005</fb>
    <v>11</v>
  </rv>
  <rv s="6">
    <fb>87.391499999999994</fb>
    <v>11</v>
  </rv>
  <rv s="6">
    <fb>85.25</fb>
    <v>11</v>
  </rv>
  <rv s="6">
    <fb>12733705</fb>
    <v>12</v>
  </rv>
  <rv s="6">
    <fb>87.875500000000002</fb>
    <v>11</v>
  </rv>
  <rv s="6">
    <fb>86.445499999999996</fb>
    <v>11</v>
  </rv>
  <rv s="6">
    <fb>89.942499999999995</fb>
    <v>11</v>
  </rv>
  <rv s="6">
    <fb>86.1</fb>
    <v>11</v>
  </rv>
  <rv s="6">
    <fb>13765612</fb>
    <v>12</v>
  </rv>
  <rv s="6">
    <fb>88.066500000000005</fb>
    <v>11</v>
  </rv>
  <rv s="6">
    <fb>88.483000000000004</fb>
    <v>11</v>
  </rv>
  <rv s="6">
    <fb>89.489000000000004</fb>
    <v>11</v>
  </rv>
  <rv s="6">
    <fb>84.75</fb>
    <v>11</v>
  </rv>
  <rv s="6">
    <fb>20652848</fb>
    <v>12</v>
  </rv>
  <rv s="6">
    <fb>89.572000000000003</fb>
    <v>11</v>
  </rv>
  <rv s="6">
    <fb>87.403000000000006</fb>
    <v>11</v>
  </rv>
  <rv s="6">
    <fb>89.872299999999996</fb>
    <v>11</v>
  </rv>
  <rv s="6">
    <fb>87.125</fb>
    <v>11</v>
  </rv>
  <rv s="6">
    <fb>13915971</fb>
    <v>12</v>
  </rv>
  <rv s="6">
    <fb>89.293999999999997</fb>
    <v>11</v>
  </rv>
  <rv s="6">
    <fb>90.0505</fb>
    <v>11</v>
  </rv>
  <rv s="6">
    <fb>90.753</fb>
    <v>11</v>
  </rv>
  <rv s="6">
    <fb>88.701999999999998</fb>
    <v>11</v>
  </rv>
  <rv s="6">
    <fb>11348549</fb>
    <v>12</v>
  </rv>
  <rv s="6">
    <fb>86.974500000000006</fb>
    <v>11</v>
  </rv>
  <rv s="6">
    <fb>88.9</fb>
    <v>11</v>
  </rv>
  <rv s="6">
    <fb>89.311000000000007</fb>
    <v>11</v>
  </rv>
  <rv s="6">
    <fb>86.643000000000001</fb>
    <v>11</v>
  </rv>
  <rv s="6">
    <fb>13031957</fb>
    <v>12</v>
  </rv>
  <rv s="6">
    <fb>87.286000000000001</fb>
    <v>11</v>
  </rv>
  <rv s="6">
    <fb>86.915000000000006</fb>
    <v>11</v>
  </rv>
  <rv s="6">
    <fb>88.126199999999997</fb>
    <v>11</v>
  </rv>
  <rv s="6">
    <fb>86.135499999999993</fb>
    <v>11</v>
  </rv>
  <rv s="6">
    <fb>13009496</fb>
    <v>12</v>
  </rv>
  <rv s="6">
    <fb>90.04</fb>
    <v>11</v>
  </rv>
  <rv s="6">
    <fb>87.662499999999994</fb>
    <v>11</v>
  </rv>
  <rv s="6">
    <fb>91.234499999999997</fb>
    <v>11</v>
  </rv>
  <rv s="6">
    <fb>87.662000000000006</fb>
    <v>11</v>
  </rv>
  <rv s="6">
    <fb>11547129</fb>
    <v>12</v>
  </rv>
  <rv s="6">
    <fb>87.58</fb>
    <v>11</v>
  </rv>
  <rv s="6">
    <fb>90.22</fb>
    <v>11</v>
  </rv>
  <rv s="6">
    <fb>90.277500000000003</fb>
    <v>11</v>
  </rv>
  <rv s="6">
    <fb>87</fb>
    <v>11</v>
  </rv>
  <rv s="6">
    <fb>15493746</fb>
    <v>12</v>
  </rv>
  <rv s="6">
    <fb>88.046999999999997</fb>
    <v>11</v>
  </rv>
  <rv s="6">
    <fb>87.533000000000001</fb>
    <v>11</v>
  </rv>
  <rv s="6">
    <fb>88.4495</fb>
    <v>11</v>
  </rv>
  <rv s="6">
    <fb>86.75</fb>
    <v>11</v>
  </rv>
  <rv s="6">
    <fb>12677380</fb>
    <v>12</v>
  </rv>
  <rv s="6">
    <fb>89.325000000000003</fb>
    <v>11</v>
  </rv>
  <rv s="6">
    <fb>88.35</fb>
    <v>11</v>
  </rv>
  <rv s="6">
    <fb>90.148499999999999</fb>
    <v>11</v>
  </rv>
  <rv s="6">
    <fb>87.852500000000006</fb>
    <v>11</v>
  </rv>
  <rv s="6">
    <fb>17749261</fb>
    <v>12</v>
  </rv>
  <rv s="6">
    <fb>93.49</fb>
    <v>11</v>
  </rv>
  <rv s="6">
    <fb>89.412999999999997</fb>
    <v>11</v>
  </rv>
  <rv s="6">
    <fb>95.07</fb>
    <v>11</v>
  </rv>
  <rv s="6">
    <fb>89.225499999999997</fb>
    <v>11</v>
  </rv>
  <rv s="6">
    <fb>15232192</fb>
    <v>12</v>
  </rv>
  <rv s="6">
    <fb>93.748500000000007</fb>
    <v>11</v>
  </rv>
  <rv s="6">
    <fb>94.900499999999994</fb>
    <v>11</v>
  </rv>
  <rv s="6">
    <fb>91.611500000000007</fb>
    <v>11</v>
  </rv>
  <rv s="6">
    <fb>13899709</fb>
    <v>12</v>
  </rv>
  <rv s="6">
    <fb>94.158000000000001</fb>
    <v>11</v>
  </rv>
  <rv s="6">
    <fb>93</fb>
    <v>11</v>
  </rv>
  <rv s="6">
    <fb>95.891000000000005</fb>
    <v>11</v>
  </rv>
  <rv s="6">
    <fb>17724014</fb>
    <v>12</v>
  </rv>
  <rv s="6">
    <fb>93.236000000000004</fb>
    <v>11</v>
  </rv>
  <rv s="6">
    <fb>94.5655</fb>
    <v>11</v>
  </rv>
  <rv s="6">
    <fb>94.9</fb>
    <v>11</v>
  </rv>
  <rv s="6">
    <fb>92.754499999999993</fb>
    <v>11</v>
  </rv>
  <rv s="6">
    <fb>15657678</fb>
    <v>12</v>
  </rv>
  <rv s="6">
    <fb>93.081999999999994</fb>
    <v>11</v>
  </rv>
  <rv s="6">
    <fb>95.125</fb>
    <v>11</v>
  </rv>
  <rv s="6">
    <fb>92.372</fb>
    <v>11</v>
  </rv>
  <rv s="6">
    <fb>13053282</fb>
    <v>12</v>
  </rv>
  <rv s="6">
    <fb>100.43600000000001</fb>
    <v>11</v>
  </rv>
  <rv s="6">
    <fb>91</fb>
    <v>11</v>
  </rv>
  <rv s="6">
    <fb>102.786</fb>
    <v>11</v>
  </rv>
  <rv s="6">
    <fb>90.766999999999996</fb>
    <v>11</v>
  </rv>
  <rv s="6">
    <fb>29091665</fb>
    <v>12</v>
  </rv>
  <rv s="6">
    <fb>103.964</fb>
    <v>11</v>
  </rv>
  <rv s="6">
    <fb>100.53</fb>
    <v>11</v>
  </rv>
  <rv s="6">
    <fb>104.9265</fb>
    <v>11</v>
  </rv>
  <rv s="6">
    <fb>100.0125</fb>
    <v>11</v>
  </rv>
  <rv s="6">
    <fb>23822329</fb>
    <v>12</v>
  </rv>
  <rv s="6">
    <fb>106.7435</fb>
    <v>11</v>
  </rv>
  <rv s="6">
    <fb>104.2505</fb>
    <v>11</v>
  </rv>
  <rv s="6">
    <fb>109.2975</fb>
    <v>11</v>
  </rv>
  <rv s="6">
    <fb>104.248</fb>
    <v>11</v>
  </rv>
  <rv s="6">
    <fb>19760219</fb>
    <v>12</v>
  </rv>
  <rv s="6">
    <fb>104.7985</fb>
    <v>11</v>
  </rv>
  <rv s="6">
    <fb>106.251</fb>
    <v>11</v>
  </rv>
  <rv s="6">
    <fb>109.255</fb>
    <v>11</v>
  </rv>
  <rv s="6">
    <fb>104.4</fb>
    <v>11</v>
  </rv>
  <rv s="6">
    <fb>13253816</fb>
    <v>12</v>
  </rv>
  <rv s="6">
    <fb>94.1875</fb>
    <v>11</v>
  </rv>
  <rv s="6">
    <fb>100.15900000000001</fb>
    <v>11</v>
  </rv>
  <rv s="6">
    <fb>101.9648</fb>
    <v>11</v>
  </rv>
  <rv s="6">
    <fb>90.5565</fb>
    <v>11</v>
  </rv>
  <rv s="6">
    <fb>35516727</fb>
    <v>12</v>
  </rv>
  <rv s="6">
    <fb>95.054500000000004</fb>
    <v>11</v>
  </rv>
  <rv s="6">
    <fb>95.3245</fb>
    <v>11</v>
  </rv>
  <rv s="6">
    <fb>99.816500000000005</fb>
    <v>11</v>
  </rv>
  <rv s="6">
    <fb>93.474999999999994</fb>
    <v>11</v>
  </rv>
  <rv s="6">
    <fb>29070933</fb>
    <v>12</v>
  </rv>
  <rv s="6">
    <fb>89.25</fb>
    <v>11</v>
  </rv>
  <rv s="6">
    <fb>88.692999999999998</fb>
    <v>11</v>
  </rv>
  <rv s="6">
    <fb>94.713499999999996</fb>
    <v>11</v>
  </rv>
  <rv s="6">
    <fb>83.75</fb>
    <v>11</v>
  </rv>
  <rv s="6">
    <fb>40515525</fb>
    <v>12</v>
  </rv>
  <rv s="6">
    <fb>92.304500000000004</fb>
    <v>11</v>
  </rv>
  <rv s="6">
    <fb>82.075500000000005</fb>
    <v>11</v>
  </rv>
  <rv s="6">
    <fb>97.85</fb>
    <v>11</v>
  </rv>
  <rv s="6">
    <fb>81.301599999999993</fb>
    <v>11</v>
  </rv>
  <rv s="6">
    <fb>49621163</fb>
    <v>12</v>
  </rv>
  <rv s="6">
    <fb>95.004999999999995</fb>
    <v>11</v>
  </rv>
  <rv s="6">
    <fb>91.387500000000003</fb>
    <v>11</v>
  </rv>
  <rv s="6">
    <fb>97.8245</fb>
    <v>11</v>
  </rv>
  <rv s="6">
    <fb>90.6</fb>
    <v>11</v>
  </rv>
  <rv s="6">
    <fb>32979346</fb>
    <v>12</v>
  </rv>
  <rv s="6">
    <fb>95.329499999999996</fb>
    <v>11</v>
  </rv>
  <rv s="6">
    <fb>96.141499999999994</fb>
    <v>11</v>
  </rv>
  <rv s="6">
    <fb>99.650999999999996</fb>
    <v>11</v>
  </rv>
  <rv s="6">
    <fb>94.457499999999996</fb>
    <v>11</v>
  </rv>
  <rv s="6">
    <fb>23090265</fb>
    <v>12</v>
  </rv>
  <rv s="6">
    <fb>102.13800000000001</fb>
    <v>11</v>
  </rv>
  <rv s="6">
    <fb>96.8</fb>
    <v>11</v>
  </rv>
  <rv s="6">
    <fb>102.65</fb>
    <v>11</v>
  </rv>
  <rv s="6">
    <fb>96.501000000000005</fb>
    <v>11</v>
  </rv>
  <rv s="6">
    <fb>19436216</fb>
    <v>12</v>
  </rv>
  <rv s="6">
    <fb>118.75</fb>
    <v>11</v>
  </rv>
  <rv s="6">
    <fb>102</fb>
    <v>11</v>
  </rv>
  <rv s="6">
    <fb>123.04989999999999</fb>
    <v>11</v>
  </rv>
  <rv s="6">
    <fb>101.9</fb>
    <v>11</v>
  </rv>
  <rv s="6">
    <fb>41219376</fb>
    <v>12</v>
  </rv>
  <rv s="6">
    <fb>120.511</fb>
    <v>11</v>
  </rv>
  <rv s="6">
    <fb>119.4975</fb>
    <v>11</v>
  </rv>
  <rv s="6">
    <fb>122.249</fb>
    <v>11</v>
  </rv>
  <rv s="6">
    <fb>113.983</fb>
    <v>11</v>
  </rv>
  <rv s="6">
    <fb>26088955</fb>
    <v>12</v>
  </rv>
  <rv s="6">
    <fb>114.30200000000001</fb>
    <v>11</v>
  </rv>
  <rv s="6">
    <fb>122.16</fb>
    <v>11</v>
  </rv>
  <rv s="6">
    <fb>112.90949999999999</fb>
    <v>11</v>
  </rv>
  <rv s="6">
    <fb>34553976</fb>
    <v>12</v>
  </rv>
  <rv s="6">
    <fb>118.98050000000001</fb>
    <v>11</v>
  </rv>
  <rv s="6">
    <fb>112.819</fb>
    <v>11</v>
  </rv>
  <rv s="6">
    <fb>119.3622</fb>
    <v>11</v>
  </rv>
  <rv s="6">
    <fb>17677577</fb>
    <v>12</v>
  </rv>
  <rv s="6">
    <fb>120.489</fb>
    <v>11</v>
  </rv>
  <rv s="6">
    <fb>118.735</fb>
    <v>11</v>
  </rv>
  <rv s="6">
    <fb>120.9833</fb>
    <v>11</v>
  </rv>
  <rv s="6">
    <fb>116.8903</fb>
    <v>11</v>
  </rv>
  <rv s="6">
    <fb>18796131</fb>
    <v>12</v>
  </rv>
  <rv s="6">
    <fb>121.84399999999999</fb>
    <v>11</v>
  </rv>
  <rv s="6">
    <fb>120.21729999999999</fb>
    <v>11</v>
  </rv>
  <rv s="6">
    <fb>126.27249999999999</fb>
    <v>11</v>
  </rv>
  <rv s="6">
    <fb>119.20050000000001</fb>
    <v>11</v>
  </rv>
  <rv s="6">
    <fb>20608180</fb>
    <v>12</v>
  </rv>
  <rv s="6">
    <fb>122.1185</fb>
    <v>11</v>
  </rv>
  <rv s="6">
    <fb>122.9</fb>
    <v>11</v>
  </rv>
  <rv s="6">
    <fb>116.5</fb>
    <v>11</v>
  </rv>
  <rv s="6">
    <fb>15193472</fb>
    <v>12</v>
  </rv>
  <rv s="6">
    <fb>124.15</fb>
    <v>11</v>
  </rv>
  <rv s="6">
    <fb>125.377</fb>
    <v>11</v>
  </rv>
  <rv s="6">
    <fb>121.8565</fb>
    <v>11</v>
  </rv>
  <rv s="6">
    <fb>14329168</fb>
    <v>12</v>
  </rv>
  <rv s="6">
    <fb>127.251</fb>
    <v>11</v>
  </rv>
  <rv s="6">
    <fb>125.01</fb>
    <v>11</v>
  </rv>
  <rv s="6">
    <fb>136.11750000000001</fb>
    <v>11</v>
  </rv>
  <rv s="6">
    <fb>124.3668</fb>
    <v>11</v>
  </rv>
  <rv s="6">
    <fb>25106355</fb>
    <v>12</v>
  </rv>
  <rv s="6">
    <fb>133.75049999999999</fb>
    <v>11</v>
  </rv>
  <rv s="6">
    <fb>126.33</fb>
    <v>11</v>
  </rv>
  <rv s="6">
    <fb>134.8715</fb>
    <v>11</v>
  </rv>
  <rv s="6">
    <fb>125.4</fb>
    <v>11</v>
  </rv>
  <rv s="6">
    <fb>18534953</fb>
    <v>12</v>
  </rv>
  <rv s="6">
    <fb>134.64349999999999</fb>
    <v>11</v>
  </rv>
  <rv s="6">
    <fb>134.22499999999999</fb>
    <v>11</v>
  </rv>
  <rv s="6">
    <fb>133.44999999999999</fb>
    <v>11</v>
  </rv>
  <rv s="6">
    <fb>21227615</fb>
    <v>12</v>
  </rv>
  <rv s="6">
    <fb>144.51499999999999</fb>
    <v>11</v>
  </rv>
  <rv s="6">
    <fb>134.50049999999999</fb>
    <v>11</v>
  </rv>
  <rv s="6">
    <fb>147.77799999999999</fb>
    <v>11</v>
  </rv>
  <rv s="6">
    <fb>131.50399999999999</fb>
    <v>11</v>
  </rv>
  <rv s="6">
    <fb>20836096</fb>
    <v>12</v>
  </rv>
  <rv s="6">
    <fb>160</fb>
    <v>11</v>
  </rv>
  <rv s="6">
    <fb>146.74850000000001</fb>
    <v>11</v>
  </rv>
  <rv s="6">
    <fb>160.75</fb>
    <v>11</v>
  </rv>
  <rv s="6">
    <fb>146.5</fb>
    <v>11</v>
  </rv>
  <rv s="6">
    <fb>28828229</fb>
    <v>12</v>
  </rv>
  <rv s="6">
    <fb>148.0985</fb>
    <v>11</v>
  </rv>
  <rv s="6">
    <fb>162.553</fb>
    <v>11</v>
  </rv>
  <rv s="6">
    <fb>167.21449999999999</fb>
    <v>11</v>
  </rv>
  <rv s="6">
    <fb>145.91149999999999</fb>
    <v>11</v>
  </rv>
  <rv s="6">
    <fb>31677739</fb>
    <v>12</v>
  </rv>
  <rv s="6">
    <fb>150.44550000000001</fb>
    <v>11</v>
  </rv>
  <rv s="6">
    <fb>162.02879999999999</fb>
    <v>11</v>
  </rv>
  <rv s="6">
    <fb>144.4</fb>
    <v>11</v>
  </rv>
  <rv s="6">
    <fb>28853130</fb>
    <v>12</v>
  </rv>
  <rv s="6">
    <fb>158.23400000000001</fb>
    <v>11</v>
  </rv>
  <rv s="6">
    <fb>153.1</fb>
    <v>11</v>
  </rv>
  <rv s="6">
    <fb>162.34100000000001</fb>
    <v>11</v>
  </rv>
  <rv s="6">
    <fb>149.78800000000001</fb>
    <v>11</v>
  </rv>
  <rv s="6">
    <fb>23793484</fb>
    <v>12</v>
  </rv>
  <rv s="6">
    <fb>158.37299999999999</fb>
    <v>11</v>
  </rv>
  <rv s="6">
    <fb>159.02549999999999</fb>
    <v>11</v>
  </rv>
  <rv s="6">
    <fb>162.37350000000001</fb>
    <v>11</v>
  </rv>
  <rv s="6">
    <fb>155.06049999999999</fb>
    <v>11</v>
  </rv>
  <rv s="6">
    <fb>21335970</fb>
    <v>12</v>
  </rv>
  <rv s="6">
    <fb>157.40100000000001</fb>
    <v>11</v>
  </rv>
  <rv s="6">
    <fb>158.5155</fb>
    <v>11</v>
  </rv>
  <rv s="6">
    <fb>160.87610000000001</fb>
    <v>11</v>
  </rv>
  <rv s="6">
    <fb>153.65</fb>
    <v>11</v>
  </rv>
  <rv s="6">
    <fb>16189502</fb>
    <v>12</v>
  </rv>
  <rv s="6">
    <fb>164.23599999999999</fb>
    <v>11</v>
  </rv>
  <rv s="6">
    <fb>158.65600000000001</fb>
    <v>11</v>
  </rv>
  <rv s="6">
    <fb>166</fb>
    <v>11</v>
  </rv>
  <rv s="6">
    <fb>157.7089</fb>
    <v>11</v>
  </rv>
  <rv s="6">
    <fb>18994162</fb>
    <v>12</v>
  </rv>
  <rv s="6">
    <fb>165.50749999999999</fb>
    <v>11</v>
  </rv>
  <rv s="6">
    <fb>172.65</fb>
    <v>11</v>
  </rv>
  <rv s="6">
    <fb>162.87799999999999</fb>
    <v>11</v>
  </rv>
  <rv s="6">
    <fb>21994431</fb>
    <v>12</v>
  </rv>
  <rv s="6">
    <fb>164.73099999999999</fb>
    <v>11</v>
  </rv>
  <rv s="6">
    <fb>170.4495</fb>
    <v>11</v>
  </rv>
  <rv s="6">
    <fb>177.61250000000001</fb>
    <v>11</v>
  </rv>
  <rv s="6">
    <fb>155.5565</fb>
    <v>11</v>
  </rv>
  <rv s="6">
    <fb>28139586</fb>
    <v>12</v>
  </rv>
  <rv s="6">
    <fb>155.81100000000001</fb>
    <v>11</v>
  </rv>
  <rv s="6">
    <fb>157.19999999999999</fb>
    <v>11</v>
  </rv>
  <rv s="6">
    <fb>167.49449999999999</fb>
    <v>11</v>
  </rv>
  <rv s="6">
    <fb>154.19900000000001</fb>
    <v>11</v>
  </rv>
  <rv s="6">
    <fb>21463754</fb>
    <v>12</v>
  </rv>
  <rv s="6">
    <fb>147.74549999999999</fb>
    <v>11</v>
  </rv>
  <rv s="6">
    <fb>158.64689999999999</fb>
    <v>11</v>
  </rv>
  <rv s="6">
    <fb>159.36949999999999</fb>
    <v>11</v>
  </rv>
  <rv s="6">
    <fb>145.27699999999999</fb>
    <v>11</v>
  </rv>
  <rv s="6">
    <fb>28112693</fb>
    <v>12</v>
  </rv>
  <rv s="6">
    <fb>154.75649999999999</fb>
    <v>11</v>
  </rv>
  <rv s="6">
    <fb>145.32499999999999</fb>
    <v>11</v>
  </rv>
  <rv s="6">
    <fb>156.6995</fb>
    <v>11</v>
  </rv>
  <rv s="6">
    <fb>143.55000000000001</fb>
    <v>11</v>
  </rv>
  <rv s="6">
    <fb>28462588</fb>
    <v>12</v>
  </rv>
  <rv s="6">
    <fb>156.25</fb>
    <v>11</v>
  </rv>
  <rv s="6">
    <fb>157.4425</fb>
    <v>11</v>
  </rv>
  <rv s="6">
    <fb>161.19999999999999</fb>
    <v>11</v>
  </rv>
  <rv s="6">
    <fb>155.85839999999999</fb>
    <v>11</v>
  </rv>
  <rv s="6">
    <fb>22911267</fb>
    <v>12</v>
  </rv>
  <rv s="6">
    <fb>164.33250000000001</fb>
    <v>11</v>
  </rv>
  <rv s="6">
    <fb>157.292</fb>
    <v>11</v>
  </rv>
  <rv s="6">
    <fb>164.4495</fb>
    <v>11</v>
  </rv>
  <rv s="6">
    <fb>20985370</fb>
    <v>12</v>
  </rv>
  <rv s="6">
    <fb>163.63550000000001</fb>
    <v>11</v>
  </rv>
  <rv s="6">
    <fb>167.49700000000001</fb>
    <v>11</v>
  </rv>
  <rv s="6">
    <fb>174.81200000000001</fb>
    <v>11</v>
  </rv>
  <rv s="6">
    <fb>158</fb>
    <v>11</v>
  </rv>
  <rv s="6">
    <fb>31125191</fb>
    <v>12</v>
  </rv>
  <rv s="6">
    <fb>160.22</fb>
    <v>11</v>
  </rv>
  <rv s="6">
    <fb>164.98050000000001</fb>
    <v>11</v>
  </rv>
  <rv s="6">
    <fb>166.45</fb>
    <v>11</v>
  </rv>
  <rv s="6">
    <fb>156.09700000000001</fb>
    <v>11</v>
  </rv>
  <rv s="6">
    <fb>21524330</fb>
    <v>12</v>
  </rv>
  <rv s="6">
    <fb>151.8075</fb>
    <v>11</v>
  </rv>
  <rv s="6">
    <fb>159.93700000000001</fb>
    <v>11</v>
  </rv>
  <rv s="6">
    <fb>164.583</fb>
    <v>11</v>
  </rv>
  <rv s="6">
    <fb>150.94999999999999</fb>
    <v>11</v>
  </rv>
  <rv s="6">
    <fb>30719710</fb>
    <v>12</v>
  </rv>
  <rv s="6">
    <fb>165.5685</fb>
    <v>11</v>
  </rv>
  <rv s="6">
    <fb>153.08699999999999</fb>
    <v>11</v>
  </rv>
  <rv s="6">
    <fb>168.34</fb>
    <v>11</v>
  </rv>
  <rv s="6">
    <fb>147.506</fb>
    <v>11</v>
  </rv>
  <rv s="6">
    <fb>29124622</fb>
    <v>12</v>
  </rv>
  <rv s="6">
    <fb>156.44049999999999</fb>
    <v>11</v>
  </rv>
  <rv s="6">
    <fb>161.5515</fb>
    <v>11</v>
  </rv>
  <rv s="6">
    <fb>164.45</fb>
    <v>11</v>
  </rv>
  <rv s="6">
    <fb>150.97409999999999</fb>
    <v>11</v>
  </rv>
  <rv s="6">
    <fb>25940193</fb>
    <v>12</v>
  </rv>
  <rv s="6">
    <fb>154.66</fb>
    <v>11</v>
  </rv>
  <rv s="6">
    <fb>159.46250000000001</fb>
    <v>11</v>
  </rv>
  <rv s="6">
    <fb>153.6343</fb>
    <v>11</v>
  </rv>
  <rv s="6">
    <fb>16377024</fb>
    <v>12</v>
  </rv>
  <rv s="6">
    <fb>159.767</fb>
    <v>11</v>
  </rv>
  <rv s="6">
    <fb>155.8349</fb>
    <v>11</v>
  </rv>
  <rv s="6">
    <fb>160.80950000000001</fb>
    <v>11</v>
  </rv>
  <rv s="6">
    <fb>153.273</fb>
    <v>11</v>
  </rv>
  <rv s="6">
    <fb>14460838</fb>
    <v>12</v>
  </rv>
  <rv s="6">
    <fb>158.12899999999999</fb>
    <v>11</v>
  </rv>
  <rv s="6">
    <fb>160.42400000000001</fb>
    <v>11</v>
  </rv>
  <rv s="6">
    <fb>162.44749999999999</fb>
    <v>11</v>
  </rv>
  <rv s="6">
    <fb>156.2775</fb>
    <v>11</v>
  </rv>
  <rv s="6">
    <fb>17446086</fb>
    <v>12</v>
  </rv>
  <rv s="6">
    <fb>155.821</fb>
    <v>11</v>
  </rv>
  <rv s="6">
    <fb>157.82400000000001</fb>
    <v>11</v>
  </rv>
  <rv s="6">
    <fb>159.20650000000001</fb>
    <v>11</v>
  </rv>
  <rv s="6">
    <fb>153.64099999999999</fb>
    <v>11</v>
  </rv>
  <rv s="6">
    <fb>16109570</fb>
    <v>12</v>
  </rv>
  <rv s="6">
    <fb>160.08250000000001</fb>
    <v>11</v>
  </rv>
  <rv s="6">
    <fb>157.15</fb>
    <v>11</v>
  </rv>
  <rv s="6">
    <fb>163.1755</fb>
    <v>11</v>
  </rv>
  <rv s="6">
    <fb>21105578</fb>
    <v>12</v>
  </rv>
  <rv s="6">
    <fb>158.6345</fb>
    <v>11</v>
  </rv>
  <rv s="6">
    <fb>160.00049999999999</fb>
    <v>11</v>
  </rv>
  <rv s="6">
    <fb>161.34829999999999</fb>
    <v>11</v>
  </rv>
  <rv s="6">
    <fb>158.30000000000001</fb>
    <v>11</v>
  </rv>
  <rv s="6">
    <fb>9711714</fb>
    <v>12</v>
  </rv>
  <rv s="6">
    <fb>162.84649999999999</fb>
    <v>11</v>
  </rv>
  <rv s="6">
    <fb>167.5325</fb>
    <v>11</v>
  </rv>
  <rv s="6">
    <fb>16590481</fb>
    <v>12</v>
  </rv>
  <rv s="6">
    <fb>159.13499999999999</fb>
    <v>11</v>
  </rv>
  <rv s="6">
    <fb>163.5</fb>
    <v>11</v>
  </rv>
  <rv s="6">
    <fb>163.6</fb>
    <v>11</v>
  </rv>
  <rv s="6">
    <fb>156.55799999999999</fb>
    <v>11</v>
  </rv>
  <rv s="6">
    <fb>18328336</fb>
    <v>12</v>
  </rv>
  <rv s="6">
    <fb>155.21250000000001</fb>
    <v>11</v>
  </rv>
  <rv s="6">
    <fb>157.40049999999999</fb>
    <v>11</v>
  </rv>
  <rv s="6">
    <fb>159.4975</fb>
    <v>11</v>
  </rv>
  <rv s="6">
    <fb>17791865</fb>
    <v>12</v>
  </rv>
  <rv s="6">
    <fb>164.61150000000001</fb>
    <v>11</v>
  </rv>
  <rv s="6">
    <fb>155.35</fb>
    <v>11</v>
  </rv>
  <rv s="6">
    <fb>167.42750000000001</fb>
    <v>11</v>
  </rv>
  <rv s="6">
    <fb>154.80000000000001</fb>
    <v>11</v>
  </rv>
  <rv s="6">
    <fb>16381942</fb>
    <v>12</v>
  </rv>
  <rv s="6">
    <fb>160.31</fb>
    <v>11</v>
  </rv>
  <rv s="6">
    <fb>166.42500000000001</fb>
    <v>11</v>
  </rv>
  <rv s="6">
    <fb>168.19450000000001</fb>
    <v>11</v>
  </rv>
  <rv s="6">
    <fb>159.22749999999999</fb>
    <v>11</v>
  </rv>
  <rv s="6">
    <fb>18807935</fb>
    <v>12</v>
  </rv>
  <rv s="6">
    <fb>167.60749999999999</fb>
    <v>11</v>
  </rv>
  <rv s="6">
    <fb>162.11799999999999</fb>
    <v>11</v>
  </rv>
  <rv s="6">
    <fb>171.7</fb>
    <v>11</v>
  </rv>
  <rv s="6">
    <fb>161.75129999999999</fb>
    <v>11</v>
  </rv>
  <rv s="6">
    <fb>25639099</fb>
    <v>12</v>
  </rv>
  <rv s="6">
    <fb>163.88550000000001</fb>
    <v>11</v>
  </rv>
  <rv s="6">
    <fb>167.92500000000001</fb>
    <v>11</v>
  </rv>
  <rv s="6">
    <fb>168.25</fb>
    <v>11</v>
  </rv>
  <rv s="6">
    <fb>161.66550000000001</fb>
    <v>11</v>
  </rv>
  <rv s="6">
    <fb>13249223</fb>
    <v>12</v>
  </rv>
  <rv s="6">
    <fb>162.495</fb>
    <v>11</v>
  </rv>
  <rv s="6">
    <fb>162.70249999999999</fb>
    <v>11</v>
  </rv>
  <rv s="6">
    <fb>166.9</fb>
    <v>11</v>
  </rv>
  <rv s="6">
    <fb>162.28749999999999</fb>
    <v>11</v>
  </rv>
  <rv s="6">
    <fb>13215611</fb>
    <v>12</v>
  </rv>
  <rv s="6">
    <fb>154.6465</fb>
    <v>11</v>
  </rv>
  <rv s="6">
    <fb>160.40649999999999</fb>
    <v>11</v>
  </rv>
  <rv s="6">
    <fb>161.61600000000001</fb>
    <v>11</v>
  </rv>
  <rv s="6">
    <fb>151.83500000000001</fb>
    <v>11</v>
  </rv>
  <rv s="6">
    <fb>20013907</fb>
    <v>12</v>
  </rv>
  <rv s="6">
    <fb>150.023</fb>
    <v>11</v>
  </rv>
  <rv s="6">
    <fb>156.39449999999999</fb>
    <v>11</v>
  </rv>
  <rv s="6">
    <fb>158.17599999999999</fb>
    <v>11</v>
  </rv>
  <rv s="6">
    <fb>144.05000000000001</fb>
    <v>11</v>
  </rv>
  <rv s="6">
    <fb>20188579</fb>
    <v>12</v>
  </rv>
  <rv s="6">
    <fb>154.47450000000001</fb>
    <v>11</v>
  </rv>
  <rv s="6">
    <fb>150.75</fb>
    <v>11</v>
  </rv>
  <rv s="6">
    <fb>156.58920000000001</fb>
    <v>11</v>
  </rv>
  <rv s="6">
    <fb>147.56549999999999</fb>
    <v>11</v>
  </rv>
  <rv s="6">
    <fb>16425808</fb>
    <v>12</v>
  </rv>
  <rv s="6">
    <fb>153.74799999999999</fb>
    <v>11</v>
  </rv>
  <rv s="6">
    <fb>153.7285</fb>
    <v>11</v>
  </rv>
  <rv s="6">
    <fb>158.6525</fb>
    <v>11</v>
  </rv>
  <rv s="6">
    <fb>150.83150000000001</fb>
    <v>11</v>
  </rv>
  <rv s="6">
    <fb>16858321</fb>
    <v>12</v>
  </rv>
  <rv s="6">
    <fb>152.60149999999999</fb>
    <v>11</v>
  </rv>
  <rv s="6">
    <fb>153.39250000000001</fb>
    <v>11</v>
  </rv>
  <rv s="6">
    <fb>159.1</fb>
    <v>11</v>
  </rv>
  <rv s="6">
    <fb>16554816</fb>
    <v>12</v>
  </rv>
  <rv s="6">
    <fb>158.05000000000001</fb>
    <v>11</v>
  </rv>
  <rv s="6">
    <fb>152.77199999999999</fb>
    <v>11</v>
  </rv>
  <rv s="6">
    <fb>158.12200000000001</fb>
    <v>11</v>
  </rv>
  <rv s="6">
    <fb>151.42230000000001</fb>
    <v>11</v>
  </rv>
  <rv s="6">
    <fb>11117785</fb>
    <v>12</v>
  </rv>
  <rv s="6">
    <fb>168.61</fb>
    <v>11</v>
  </rv>
  <rv s="6">
    <fb>158.65</fb>
    <v>11</v>
  </rv>
  <rv s="6">
    <fb>158.06200000000001</fb>
    <v>11</v>
  </rv>
  <rv s="6">
    <fb>16372481</fb>
    <v>12</v>
  </rv>
  <rv s="6">
    <fb>169.97200000000001</fb>
    <v>11</v>
  </rv>
  <rv s="6">
    <fb>167.76050000000001</fb>
    <v>11</v>
  </rv>
  <rv s="6">
    <fb>171.6</fb>
    <v>11</v>
  </rv>
  <rv s="6">
    <fb>166.3</fb>
    <v>11</v>
  </rv>
  <rv s="6">
    <fb>16141961</fb>
    <v>12</v>
  </rv>
  <rv s="6">
    <fb>167.04400000000001</fb>
    <v>11</v>
  </rv>
  <rv s="6">
    <fb>169.51650000000001</fb>
    <v>11</v>
  </rv>
  <rv s="6">
    <fb>171.79669999999999</fb>
    <v>11</v>
  </rv>
  <rv s="6">
    <fb>165.07249999999999</fb>
    <v>11</v>
  </rv>
  <rv s="6">
    <fb>13336845</fb>
    <v>12</v>
  </rv>
  <rv s="6">
    <fb>173.37100000000001</fb>
    <v>11</v>
  </rv>
  <rv s="6">
    <fb>167.4</fb>
    <v>11</v>
  </rv>
  <rv s="6">
    <fb>177.7</fb>
    <v>11</v>
  </rv>
  <rv s="6">
    <fb>166.547</fb>
    <v>11</v>
  </rv>
  <rv s="6">
    <fb>28031459</fb>
    <v>12</v>
  </rv>
  <rv s="6">
    <fb>164.5805</fb>
    <v>11</v>
  </rv>
  <rv s="6">
    <fb>174.23650000000001</fb>
    <v>11</v>
  </rv>
  <rv s="6">
    <fb>174.3323</fb>
    <v>11</v>
  </rv>
  <rv s="6">
    <fb>162.36000000000001</fb>
    <v>11</v>
  </rv>
  <rv s="6">
    <fb>24184259</fb>
    <v>12</v>
  </rv>
  <rv s="6">
    <fb>164.11600000000001</fb>
    <v>11</v>
  </rv>
  <rv s="6">
    <fb>164.15</fb>
    <v>11</v>
  </rv>
  <rv s="6">
    <fb>156.36850000000001</fb>
    <v>11</v>
  </rv>
  <rv s="6">
    <fb>21880289</fb>
    <v>12</v>
  </rv>
  <rv s="6">
    <fb>160.154</fb>
    <v>11</v>
  </rv>
  <rv s="6">
    <fb>162.29650000000001</fb>
    <v>11</v>
  </rv>
  <rv s="6">
    <fb>165.6</fb>
    <v>11</v>
  </rv>
  <rv s="6">
    <fb>159.19999999999999</fb>
    <v>11</v>
  </rv>
  <rv s="6">
    <fb>15970098</fb>
    <v>12</v>
  </rv>
  <rv s="6">
    <fb>161.15350000000001</fb>
    <v>11</v>
  </rv>
  <rv s="6">
    <fb>160.77500000000001</fb>
    <v>11</v>
  </rv>
  <rv s="6">
    <fb>164.78649999999999</fb>
    <v>11</v>
  </rv>
  <rv s="6">
    <fb>160.52500000000001</fb>
    <v>11</v>
  </rv>
  <rv s="6">
    <fb>12960574</fb>
    <v>12</v>
  </rv>
  <rv s="6">
    <fb>160.31100000000001</fb>
    <v>11</v>
  </rv>
  <rv s="6">
    <fb>162.1748</fb>
    <v>11</v>
  </rv>
  <rv s="6">
    <fb>162.54900000000001</fb>
    <v>11</v>
  </rv>
  <rv s="6">
    <fb>159.20150000000001</fb>
    <v>11</v>
  </rv>
  <rv s="6">
    <fb>9092611</fb>
    <v>12</v>
  </rv>
  <rv s="6">
    <fb>167.3415</fb>
    <v>11</v>
  </rv>
  <rv s="6">
    <fb>159.8665</fb>
    <v>11</v>
  </rv>
  <rv s="6">
    <fb>168.32900000000001</fb>
    <v>11</v>
  </rv>
  <rv s="6">
    <fb>158.61000000000001</fb>
    <v>11</v>
  </rv>
  <rv s="6">
    <fb>14381848</fb>
    <v>12</v>
  </rv>
  <rv s="6">
    <fb>174.345</fb>
    <v>11</v>
  </rv>
  <rv s="6">
    <fb>175.35</fb>
    <v>11</v>
  </rv>
  <rv s="6">
    <fb>166.77500000000001</fb>
    <v>11</v>
  </rv>
  <rv s="6">
    <fb>19347233</fb>
    <v>12</v>
  </rv>
  <rv s="6">
    <fb>170.07300000000001</fb>
    <v>11</v>
  </rv>
  <rv s="6">
    <fb>173.821</fb>
    <v>11</v>
  </rv>
  <rv s="6">
    <fb>176.24299999999999</fb>
    <v>11</v>
  </rv>
  <rv s="6">
    <fb>169.709</fb>
    <v>11</v>
  </rv>
  <rv s="6">
    <fb>17208549</fb>
    <v>12</v>
  </rv>
  <rv s="6">
    <fb>175.54900000000001</fb>
    <v>11</v>
  </rv>
  <rv s="6">
    <fb>170.8</fb>
    <v>11</v>
  </rv>
  <rv s="6">
    <fb>175.58600000000001</fb>
    <v>11</v>
  </rv>
  <rv s="6">
    <fb>170.471</fb>
    <v>11</v>
  </rv>
  <rv s="6">
    <fb>11958974</fb>
    <v>12</v>
  </rv>
  <rv s="6">
    <fb>185.96700000000001</fb>
    <v>11</v>
  </rv>
  <rv s="6">
    <fb>176.50550000000001</fb>
    <v>11</v>
  </rv>
  <rv s="6">
    <fb>187.99930000000001</fb>
    <v>11</v>
  </rv>
  <rv s="6">
    <fb>176.45</fb>
    <v>11</v>
  </rv>
  <rv s="6">
    <fb>21001690</fb>
    <v>12</v>
  </rv>
  <rv s="6">
    <fb>178.6815</fb>
    <v>11</v>
  </rv>
  <rv s="6">
    <fb>187.2</fb>
    <v>11</v>
  </rv>
  <rv s="6">
    <fb>188.65389999999999</fb>
    <v>11</v>
  </rv>
  <rv s="6">
    <fb>178.52279999999999</fb>
    <v>11</v>
  </rv>
  <rv s="6">
    <fb>16943118</fb>
    <v>12</v>
  </rv>
  <rv s="6">
    <fb>182.83199999999999</fb>
    <v>11</v>
  </rv>
  <rv s="6">
    <fb>176.62899999999999</fb>
    <v>11</v>
  </rv>
  <rv s="6">
    <fb>183.30549999999999</fb>
    <v>11</v>
  </rv>
  <rv s="6">
    <fb>174.958</fb>
    <v>11</v>
  </rv>
  <rv s="6">
    <fb>15060908</fb>
    <v>12</v>
  </rv>
  <rv s="6">
    <fb>166.37950000000001</fb>
    <v>11</v>
  </rv>
  <rv s="6">
    <fb>183.6585</fb>
    <v>11</v>
  </rv>
  <rv s="6">
    <fb>185.60400000000001</fb>
    <v>11</v>
  </rv>
  <rv s="6">
    <fb>165.34899999999999</fb>
    <v>11</v>
  </rv>
  <rv s="6">
    <fb>25516881</fb>
    <v>12</v>
  </rv>
  <rv s="6">
    <fb>167.24700000000001</fb>
    <v>11</v>
  </rv>
  <rv s="6">
    <fb>169.55</fb>
    <v>11</v>
  </rv>
  <rv s="6">
    <fb>164.98849999999999</fb>
    <v>11</v>
  </rv>
  <rv s="6">
    <fb>14766350</fb>
    <v>12</v>
  </rv>
  <rv s="6">
    <fb>164.6985</fb>
    <v>11</v>
  </rv>
  <rv s="6">
    <fb>167.18049999999999</fb>
    <v>11</v>
  </rv>
  <rv s="6">
    <fb>163.48349999999999</fb>
    <v>11</v>
  </rv>
  <rv s="6">
    <fb>11888542</fb>
    <v>12</v>
  </rv>
  <rv s="6">
    <fb>159.9975</fb>
    <v>11</v>
  </rv>
  <rv s="6">
    <fb>158.78800000000001</fb>
    <v>11</v>
  </rv>
  <rv s="6">
    <fb>16662017</fb>
    <v>12</v>
  </rv>
  <rv s="6">
    <fb>167.48150000000001</fb>
    <v>11</v>
  </rv>
  <rv s="6">
    <fb>160.595</fb>
    <v>11</v>
  </rv>
  <rv s="6">
    <fb>167.61600000000001</fb>
    <v>11</v>
  </rv>
  <rv s="6">
    <fb>160.50030000000001</fb>
    <v>11</v>
  </rv>
  <rv s="6">
    <fb>12001408</fb>
    <v>12</v>
  </rv>
  <rv s="6">
    <fb>173.9025</fb>
    <v>11</v>
  </rv>
  <rv s="6">
    <fb>167.87129999999999</fb>
    <v>11</v>
  </rv>
  <rv s="6">
    <fb>167.761</fb>
    <v>11</v>
  </rv>
  <rv s="6">
    <fb>16682486</fb>
    <v>12</v>
  </rv>
  <rv s="6">
    <fb>173.45750000000001</fb>
    <v>11</v>
  </rv>
  <rv s="6">
    <fb>173.9</fb>
    <v>11</v>
  </rv>
  <rv s="6">
    <fb>177.49950000000001</fb>
    <v>11</v>
  </rv>
  <rv s="6">
    <fb>173.14529999999999</fb>
    <v>11</v>
  </rv>
  <rv s="6">
    <fb>10911058</fb>
    <v>12</v>
  </rv>
  <rv s="6">
    <fb>173.126</fb>
    <v>11</v>
  </rv>
  <rv s="6">
    <fb>174.14</fb>
    <v>11</v>
  </rv>
  <rv s="6">
    <fb>174.898</fb>
    <v>11</v>
  </rv>
  <rv s="6">
    <fb>170.10050000000001</fb>
    <v>11</v>
  </rv>
  <rv s="6">
    <fb>14663610</fb>
    <v>12</v>
  </rv>
  <rv s="6">
    <fb>171.27600000000001</fb>
    <v>11</v>
  </rv>
  <rv s="6">
    <fb>169.8</fb>
    <v>11</v>
  </rv>
  <rv s="6">
    <fb>171.46299999999999</fb>
    <v>11</v>
  </rv>
  <rv s="6">
    <fb>165.25049999999999</fb>
    <v>11</v>
  </rv>
  <rv s="6">
    <fb>14357066</fb>
    <v>12</v>
  </rv>
  <rv s="6">
    <fb>164.16300000000001</fb>
    <v>11</v>
  </rv>
  <rv s="6">
    <fb>168.57499999999999</fb>
    <v>11</v>
  </rv>
  <rv s="6">
    <fb>170.77850000000001</fb>
    <v>11</v>
  </rv>
  <rv s="6">
    <fb>162.797</fb>
    <v>11</v>
  </rv>
  <rv s="6">
    <fb>16310187</fb>
    <v>12</v>
  </rv>
  <rv s="6">
    <fb>164.43100000000001</fb>
    <v>11</v>
  </rv>
  <rv s="6">
    <fb>163.96950000000001</fb>
    <v>11</v>
  </rv>
  <rv s="6">
    <fb>166.28729999999999</fb>
    <v>11</v>
  </rv>
  <rv s="6">
    <fb>158.8125</fb>
    <v>11</v>
  </rv>
  <rv s="6">
    <fb>14732534</fb>
    <v>12</v>
  </rv>
  <rv s="6">
    <fb>170.45099999999999</fb>
    <v>11</v>
  </rv>
  <rv s="6">
    <fb>163.75</fb>
    <v>11</v>
  </rv>
  <rv s="6">
    <fb>170.52099999999999</fb>
    <v>11</v>
  </rv>
  <rv s="6">
    <fb>161.81399999999999</fb>
    <v>11</v>
  </rv>
  <rv s="6">
    <fb>13570821</fb>
    <v>12</v>
  </rv>
  <rv s="6">
    <fb>166.7775</fb>
    <v>11</v>
  </rv>
  <rv s="6">
    <fb>169.4179</fb>
    <v>11</v>
  </rv>
  <rv s="6">
    <fb>173.143</fb>
    <v>11</v>
  </rv>
  <rv s="6">
    <fb>166.565</fb>
    <v>11</v>
  </rv>
  <rv s="6">
    <fb>12720409</fb>
    <v>12</v>
  </rv>
  <rv s="6">
    <fb>168.6215</fb>
    <v>11</v>
  </rv>
  <rv s="6">
    <fb>166.75</fb>
    <v>11</v>
  </rv>
  <rv s="6">
    <fb>173.95</fb>
    <v>11</v>
  </rv>
  <rv s="6">
    <fb>163.666</fb>
    <v>11</v>
  </rv>
  <rv s="6">
    <fb>19821332</fb>
    <v>12</v>
  </rv>
  <rv s="6">
    <fb>175.9495</fb>
    <v>11</v>
  </rv>
  <rv s="6">
    <fb>168.09</fb>
    <v>11</v>
  </rv>
  <rv s="6">
    <fb>178.3125</fb>
    <v>11</v>
  </rv>
  <rv s="6">
    <fb>164.17750000000001</fb>
    <v>11</v>
  </rv>
  <rv s="6">
    <fb>19983629</fb>
    <v>12</v>
  </rv>
  <rv s="6">
    <fb>176.25749999999999</fb>
    <v>11</v>
  </rv>
  <rv s="6">
    <fb>176.16200000000001</fb>
    <v>11</v>
  </rv>
  <rv s="6">
    <fb>180.27250000000001</fb>
    <v>11</v>
  </rv>
  <rv s="6">
    <fb>172.35249999999999</fb>
    <v>11</v>
  </rv>
  <rv s="6">
    <fb>16350176</fb>
    <v>12</v>
  </rv>
  <rv s="6">
    <fb>183.82849999999999</fb>
    <v>11</v>
  </rv>
  <rv s="6">
    <fb>176.85</fb>
    <v>11</v>
  </rv>
  <rv s="6">
    <fb>188.10730000000001</fb>
    <v>11</v>
  </rv>
  <rv s="6">
    <fb>176.25729999999999</fb>
    <v>11</v>
  </rv>
  <rv s="6">
    <fb>18356801</fb>
    <v>12</v>
  </rv>
  <rv s="6">
    <fb>175.22800000000001</fb>
    <v>11</v>
  </rv>
  <rv s="6">
    <fb>183.81880000000001</fb>
    <v>11</v>
  </rv>
  <rv s="6">
    <fb>185.6728</fb>
    <v>11</v>
  </rv>
  <rv s="6">
    <fb>175.20750000000001</fb>
    <v>11</v>
  </rv>
  <rv s="6">
    <fb>13859411</fb>
    <v>12</v>
  </rv>
  <rv s="6">
    <fb>169.48949999999999</fb>
    <v>11</v>
  </rv>
  <rv s="6">
    <fb>177.38220000000001</fb>
    <v>11</v>
  </rv>
  <rv s="6">
    <fb>179.8</fb>
    <v>11</v>
  </rv>
  <rv s="6">
    <fb>166.93</fb>
    <v>11</v>
  </rv>
  <rv s="6">
    <fb>18295497</fb>
    <v>12</v>
  </rv>
  <rv s="6">
    <fb>172.21199999999999</fb>
    <v>11</v>
  </rv>
  <rv s="6">
    <fb>169.65</fb>
    <v>11</v>
  </rv>
  <rv s="6">
    <fb>166.93450000000001</fb>
    <v>11</v>
  </rv>
  <rv s="6">
    <fb>14363798</fb>
    <v>12</v>
  </rv>
  <rv s="6">
    <fb>170.01750000000001</fb>
    <v>11</v>
  </rv>
  <rv s="6">
    <fb>172</fb>
    <v>11</v>
  </rv>
  <rv s="6">
    <fb>174.166</fb>
    <v>11</v>
  </rv>
  <rv s="6">
    <fb>165.19499999999999</fb>
    <v>11</v>
  </rv>
  <rv s="6">
    <fb>17028527</fb>
    <v>12</v>
  </rv>
  <rv s="6">
    <fb>171.0685</fb>
    <v>11</v>
  </rv>
  <rv s="6">
    <fb>166.85</fb>
    <v>11</v>
  </rv>
  <rv s="6">
    <fb>172.05</fb>
    <v>11</v>
  </rv>
  <rv s="6">
    <fb>10257609</fb>
    <v>12</v>
  </rv>
  <rv s="6">
    <fb>166.71700000000001</fb>
    <v>11</v>
  </rv>
  <rv s="6">
    <fb>171.03700000000001</fb>
    <v>11</v>
  </rv>
  <rv s="6">
    <fb>172.94300000000001</fb>
    <v>11</v>
  </rv>
  <rv s="6">
    <fb>166.55850000000001</fb>
    <v>11</v>
  </rv>
  <rv s="6">
    <fb>11736310</fb>
    <v>12</v>
  </rv>
  <rv s="6">
    <fb>162.554</fb>
    <v>11</v>
  </rv>
  <rv s="6">
    <fb>167.55</fb>
    <v>11</v>
  </rv>
  <rv s="6">
    <fb>171.4</fb>
    <v>11</v>
  </rv>
  <rv s="6">
    <fb>161.93719999999999</fb>
    <v>11</v>
  </rv>
  <rv s="6">
    <fb>14873035</fb>
    <v>12</v>
  </rv>
  <rv s="6">
    <fb>162.13800000000001</fb>
    <v>11</v>
  </rv>
  <rv s="6">
    <fb>160.5855</fb>
    <v>11</v>
  </rv>
  <rv s="6">
    <fb>166.87799999999999</fb>
    <v>11</v>
  </rv>
  <rv s="6">
    <fb>156.30449999999999</fb>
    <v>11</v>
  </rv>
  <rv s="6">
    <fb>14939808</fb>
    <v>12</v>
  </rv>
  <rv s="6">
    <fb>142.643</fb>
    <v>11</v>
  </rv>
  <rv s="6">
    <fb>159.10499999999999</fb>
    <v>11</v>
  </rv>
  <rv s="6">
    <fb>159.7345</fb>
    <v>11</v>
  </rv>
  <rv s="6">
    <fb>142.07040000000001</fb>
    <v>11</v>
  </rv>
  <rv s="6">
    <fb>17831406</fb>
    <v>12</v>
  </rv>
  <rv s="6">
    <fb>143.97800000000001</fb>
    <v>11</v>
  </rv>
  <rv s="6">
    <fb>139</fb>
    <v>11</v>
  </rv>
  <rv s="6">
    <fb>145.1848</fb>
    <v>11</v>
  </rv>
  <rv s="6">
    <fb>135.352</fb>
    <v>11</v>
  </rv>
  <rv s="6">
    <fb>24718944</fb>
    <v>12</v>
  </rv>
  <rv s="6">
    <fb>157.6395</fb>
    <v>11</v>
  </rv>
  <rv s="6">
    <fb>144.75</fb>
    <v>11</v>
  </rv>
  <rv s="6">
    <fb>138.333</fb>
    <v>11</v>
  </rv>
  <rv s="6">
    <fb>35192213</fb>
    <v>12</v>
  </rv>
  <rv s="6">
    <fb>153.29349999999999</fb>
    <v>11</v>
  </rv>
  <rv s="6">
    <fb>158.52000000000001</fb>
    <v>11</v>
  </rv>
  <rv s="6">
    <fb>163.83449999999999</fb>
    <v>11</v>
  </rv>
  <rv s="6">
    <fb>152.7338</fb>
    <v>11</v>
  </rv>
  <rv s="6">
    <fb>19640945</fb>
    <v>12</v>
  </rv>
  <rv s="6">
    <fb>151.751</fb>
    <v>11</v>
  </rv>
  <rv s="6">
    <fb>160.34880000000001</fb>
    <v>11</v>
  </rv>
  <rv s="6">
    <fb>150.893</fb>
    <v>11</v>
  </rv>
  <rv s="6">
    <fb>16027112</fb>
    <v>12</v>
  </rv>
  <rv s="6">
    <fb>153.7885</fb>
    <v>11</v>
  </rv>
  <rv s="6">
    <fb>150.4785</fb>
    <v>11</v>
  </rv>
  <rv s="6">
    <fb>153.99</fb>
    <v>11</v>
  </rv>
  <rv s="6">
    <fb>14677646</fb>
    <v>12</v>
  </rv>
  <rv s="6">
    <fb>145.64099999999999</fb>
    <v>11</v>
  </rv>
  <rv s="6">
    <fb>152.42500000000001</fb>
    <v>11</v>
  </rv>
  <rv s="6">
    <fb>154.44999999999999</fb>
    <v>11</v>
  </rv>
  <rv s="6">
    <fb>143.80699999999999</fb>
    <v>11</v>
  </rv>
  <rv s="6">
    <fb>13803602</fb>
    <v>12</v>
  </rv>
  <rv s="6">
    <fb>145.52449999999999</fb>
    <v>11</v>
  </rv>
  <rv s="6">
    <fb>145.4435</fb>
    <v>11</v>
  </rv>
  <rv s="6">
    <fb>149.67500000000001</fb>
    <v>11</v>
  </rv>
  <rv s="6">
    <fb>133.57249999999999</fb>
    <v>11</v>
  </rv>
  <rv s="6">
    <fb>23260828</fb>
    <v>12</v>
  </rv>
  <rv s="6">
    <fb>161.25049999999999</fb>
    <v>11</v>
  </rv>
  <rv s="6">
    <fb>145.98099999999999</fb>
    <v>11</v>
  </rv>
  <rv s="6">
    <fb>161.59399999999999</fb>
    <v>11</v>
  </rv>
  <rv s="6">
    <fb>140.88399999999999</fb>
    <v>11</v>
  </rv>
  <rv s="6">
    <fb>20526299</fb>
    <v>12</v>
  </rv>
  <rv s="6">
    <fb>164.77350000000001</fb>
    <v>11</v>
  </rv>
  <rv s="6">
    <fb>161.1208</fb>
    <v>11</v>
  </rv>
  <rv s="6">
    <fb>159.553</fb>
    <v>11</v>
  </rv>
  <rv s="6">
    <fb>14615953</fb>
    <v>12</v>
  </rv>
  <rv s="6">
    <fb>164.97499999999999</fb>
    <v>11</v>
  </rv>
  <rv s="6">
    <fb>170.83150000000001</fb>
    <v>11</v>
  </rv>
  <rv s="6">
    <fb>162.31950000000001</fb>
    <v>11</v>
  </rv>
  <rv s="6">
    <fb>14961498</fb>
    <v>12</v>
  </rv>
  <rv s="6">
    <fb>154.4605</fb>
    <v>11</v>
  </rv>
  <rv s="6">
    <fb>164.125</fb>
    <v>11</v>
  </rv>
  <rv s="6">
    <fb>168.39449999999999</fb>
    <v>11</v>
  </rv>
  <rv s="6">
    <fb>154.23079999999999</fb>
    <v>11</v>
  </rv>
  <rv s="6">
    <fb>14846536</fb>
    <v>12</v>
  </rv>
  <rv s="6">
    <fb>151.70650000000001</fb>
    <v>11</v>
  </rv>
  <rv s="6">
    <fb>152.71299999999999</fb>
    <v>11</v>
  </rv>
  <rv s="6">
    <fb>156.02500000000001</fb>
    <v>11</v>
  </rv>
  <rv s="6">
    <fb>149.6</fb>
    <v>11</v>
  </rv>
  <rv s="6">
    <fb>10613940</fb>
    <v>12</v>
  </rv>
  <rv s="6">
    <fb>144.35</fb>
    <v>11</v>
  </rv>
  <rv s="6">
    <fb>151.52350000000001</fb>
    <v>11</v>
  </rv>
  <rv s="6">
    <fb>158.649</fb>
    <v>11</v>
  </rv>
  <rv s="6">
    <fb>143.69749999999999</fb>
    <v>11</v>
  </rv>
  <rv s="6">
    <fb>14905893</fb>
    <v>12</v>
  </rv>
  <rv s="6">
    <fb>124.28149999999999</fb>
    <v>11</v>
  </rv>
  <rv s="6">
    <fb>144.023</fb>
    <v>11</v>
  </rv>
  <rv s="6">
    <fb>146.22149999999999</fb>
    <v>11</v>
  </rv>
  <rv s="6">
    <fb>121.625</fb>
    <v>11</v>
  </rv>
  <rv s="6">
    <fb>30035955</fb>
    <v>12</v>
  </rv>
  <rv s="6">
    <fb>114.77249999999999</fb>
    <v>11</v>
  </rv>
  <rv s="6">
    <fb>122.401</fb>
    <v>11</v>
  </rv>
  <rv s="6">
    <fb>126.2205</fb>
    <v>11</v>
  </rv>
  <rv s="6">
    <fb>113.0813</fb>
    <v>11</v>
  </rv>
  <rv s="6">
    <fb>30365941</fb>
    <v>12</v>
  </rv>
  <rv s="6">
    <fb>113.05500000000001</fb>
    <v>11</v>
  </rv>
  <rv s="6">
    <fb>111.3125</fb>
    <v>11</v>
  </rv>
  <rv s="6">
    <fb>114</fb>
    <v>11</v>
  </rv>
  <rv s="6">
    <fb>102.4055</fb>
    <v>11</v>
  </rv>
  <rv s="6">
    <fb>28448577</fb>
    <v>12</v>
  </rv>
  <rv s="6">
    <fb>107.59099999999999</fb>
    <v>11</v>
  </rv>
  <rv s="6">
    <fb>113.1</fb>
    <v>11</v>
  </rv>
  <rv s="6">
    <fb>115.8</fb>
    <v>11</v>
  </rv>
  <rv s="6">
    <fb>105.0093</fb>
    <v>11</v>
  </rv>
  <rv s="6">
    <fb>22351792</fb>
    <v>12</v>
  </rv>
  <rv s="6">
    <fb>115.1465</fb>
    <v>11</v>
  </rv>
  <rv s="6">
    <fb>108.461</fb>
    <v>11</v>
  </rv>
  <rv s="6">
    <fb>115.187</fb>
    <v>11</v>
  </rv>
  <rv s="6">
    <fb>101.26</fb>
    <v>11</v>
  </rv>
  <rv s="6">
    <fb>24525745</fb>
    <v>12</v>
  </rv>
  <rv s="6">
    <fb>122.35</fb>
    <v>11</v>
  </rv>
  <rv s="6">
    <fb>116.28</fb>
    <v>11</v>
  </rv>
  <rv s="6">
    <fb>125.61</fb>
    <v>11</v>
  </rv>
  <rv s="6">
    <fb>115.675</fb>
    <v>11</v>
  </rv>
  <rv s="6">
    <fb>23516357</fb>
    <v>12</v>
  </rv>
  <rv s="6">
    <fb>109.65</fb>
    <v>11</v>
  </rv>
  <rv s="6">
    <fb>125.245</fb>
    <v>11</v>
  </rv>
  <rv s="6">
    <fb>128.99</fb>
    <v>11</v>
  </rv>
  <rv s="6">
    <fb>109.05</fb>
    <v>11</v>
  </rv>
  <rv s="6">
    <fb>439794417</fb>
    <v>12</v>
  </rv>
  <rv s="6">
    <fb>106.22</fb>
    <v>11</v>
  </rv>
  <rv s="6">
    <fb>104.19</fb>
    <v>11</v>
  </rv>
  <rv s="6">
    <fb>109.06</fb>
    <v>11</v>
  </rv>
  <rv s="6">
    <fb>101.43</fb>
    <v>11</v>
  </rv>
  <rv s="6">
    <fb>435976011</fb>
    <v>12</v>
  </rv>
  <rv s="6">
    <fb>116.46</fb>
    <v>11</v>
  </rv>
  <rv s="6">
    <fb>103.56</fb>
    <v>11</v>
  </rv>
  <rv s="6">
    <fb>265154294</fb>
    <v>12</v>
  </rv>
  <rv s="6">
    <fb>109.56</fb>
    <v>11</v>
  </rv>
  <rv s="6">
    <fb>117.09</fb>
    <v>11</v>
  </rv>
  <rv s="6">
    <fb>117.98</fb>
    <v>11</v>
  </rv>
  <rv s="6">
    <fb>102.52</fb>
    <v>11</v>
  </rv>
  <rv s="6">
    <fb>374381181</fb>
    <v>12</v>
  </rv>
  <rv s="6">
    <fb>115.54</fb>
    <v>11</v>
  </rv>
  <rv s="6">
    <fb>107.6</fb>
    <v>11</v>
  </rv>
  <rv s="6">
    <fb>116.99</fb>
    <v>11</v>
  </rv>
  <rv s="6">
    <fb>106.3242</fb>
    <v>11</v>
  </rv>
  <rv s="6">
    <fb>247235315</fb>
    <v>12</v>
  </rv>
  <rv s="6">
    <fb>113.55</fb>
    <v>11</v>
  </rv>
  <rv s="6">
    <fb>114.08</fb>
    <v>11</v>
  </rv>
  <rv s="6">
    <fb>115.59</fb>
    <v>11</v>
  </rv>
  <rv s="6">
    <fb>106.01</fb>
    <v>11</v>
  </rv>
  <rv s="6">
    <fb>304655044</fb>
    <v>12</v>
  </rv>
  <rv s="6">
    <fb>122.42</fb>
    <v>11</v>
  </rv>
  <rv s="6">
    <fb>115</fb>
    <v>11</v>
  </rv>
  <rv s="6">
    <fb>125.5</fb>
    <v>11</v>
  </rv>
  <rv s="6">
    <fb>113.15</fb>
    <v>11</v>
  </rv>
  <rv s="6">
    <fb>303077473</fb>
    <v>12</v>
  </rv>
  <rv s="6">
    <fb>134.94999999999999</fb>
    <v>11</v>
  </rv>
  <rv s="6">
    <fb>122.69499999999999</fb>
    <v>11</v>
  </rv>
  <rv s="6">
    <fb>137.65</fb>
    <v>11</v>
  </rv>
  <rv s="6">
    <fb>114.53</fb>
    <v>11</v>
  </rv>
  <rv s="6">
    <fb>410016770</fb>
    <v>12</v>
  </rv>
  <rv s="6">
    <fb>140.80000000000001</fb>
    <v>11</v>
  </rv>
  <rv s="6">
    <fb>134.96</fb>
    <v>11</v>
  </rv>
  <rv s="6">
    <fb>143.56</fb>
    <v>11</v>
  </rv>
  <rv s="6">
    <fb>331869002</fb>
    <v>12</v>
  </rv>
  <rv s="6">
    <fb>144.6</fb>
    <v>11</v>
  </rv>
  <rv s="6">
    <fb>136.21</fb>
    <v>11</v>
  </rv>
  <rv s="6">
    <fb>240022829</fb>
    <v>12</v>
  </rv>
  <rv s="6">
    <fb>138.22999999999999</fb>
    <v>11</v>
  </rv>
  <rv s="6">
    <fb>142.80000000000001</fb>
    <v>11</v>
  </rv>
  <rv s="6">
    <fb>146.57</fb>
    <v>11</v>
  </rv>
  <rv s="6">
    <fb>137.91419999999999</fb>
    <v>11</v>
  </rv>
  <rv s="6">
    <fb>231518800</fb>
    <v>12</v>
  </rv>
  <rv s="6">
    <fb>135.72</fb>
    <v>11</v>
  </rv>
  <rv s="6">
    <fb>137.83000000000001</fb>
    <v>11</v>
  </rv>
  <rv s="6">
    <fb>130.5</fb>
    <v>11</v>
  </rv>
  <rv s="6">
    <fb>216159531</fb>
    <v>12</v>
  </rv>
  <rv s="6">
    <fb>127.51</fb>
    <v>11</v>
  </rv>
  <rv s="6">
    <fb>129.9</fb>
    <v>11</v>
  </rv>
  <rv s="6">
    <fb>132.0745</fb>
    <v>11</v>
  </rv>
  <rv s="6">
    <fb>123.66</fb>
    <v>11</v>
  </rv>
  <rv s="6">
    <fb>265019304</fb>
    <v>12</v>
  </rv>
  <rv s="6">
    <fb>133.27000000000001</fb>
    <v>11</v>
  </rv>
  <rv s="6">
    <fb>127.92</fb>
    <v>11</v>
  </rv>
  <rv s="6">
    <fb>133.69</fb>
    <v>11</v>
  </rv>
  <rv s="6">
    <fb>124.74</fb>
    <v>11</v>
  </rv>
  <rv s="6">
    <fb>185133842</fb>
    <v>12</v>
  </rv>
  <rv s="6">
    <fb>123.53</fb>
    <v>11</v>
  </rv>
  <rv s="6">
    <fb>134.095</fb>
    <v>11</v>
  </rv>
  <rv s="6">
    <fb>136.49</fb>
    <v>11</v>
  </rv>
  <rv s="6">
    <fb>120.7</fb>
    <v>11</v>
  </rv>
  <rv s="6">
    <fb>340392641</fb>
    <v>12</v>
  </rv>
  <rv s="6">
    <fb>113.78</fb>
    <v>11</v>
  </rv>
  <rv s="6">
    <fb>124.71</fb>
    <v>11</v>
  </rv>
  <rv s="6">
    <fb>112.06</fb>
    <v>11</v>
  </rv>
  <rv s="6">
    <fb>273832901</fb>
    <v>12</v>
  </rv>
  <rv s="6">
    <fb>113</fb>
    <v>11</v>
  </rv>
  <rv s="6">
    <fb>113.295</fb>
    <v>11</v>
  </rv>
  <rv s="6">
    <fb>118.7</fb>
    <v>11</v>
  </rv>
  <rv s="6">
    <fb>112.84</fb>
    <v>11</v>
  </rv>
  <rv s="6">
    <fb>297031011</fb>
    <v>12</v>
  </rv>
  <rv s="6">
    <fb>114.56</fb>
    <v>11</v>
  </rv>
  <rv s="6">
    <fb>113.58</fb>
    <v>11</v>
  </rv>
  <rv s="6">
    <fb>112.45</fb>
    <v>11</v>
  </rv>
  <rv s="6">
    <fb>258903688</fb>
    <v>12</v>
  </rv>
  <rv s="6">
    <fb>106.9</fb>
    <v>11</v>
  </rv>
  <rv s="6">
    <fb>105.345</fb>
    <v>11</v>
  </rv>
  <rv s="6">
    <fb>299106015</fb>
    <v>12</v>
  </rv>
  <rv s="6">
    <fb>119.32</fb>
    <v>11</v>
  </rv>
  <rv s="6">
    <fb>110.11</fb>
    <v>11</v>
  </rv>
  <rv s="6">
    <fb>119.59</fb>
    <v>11</v>
  </rv>
  <rv s="6">
    <fb>110.09</fb>
    <v>11</v>
  </rv>
  <rv s="6">
    <fb>280043144</fb>
    <v>12</v>
  </rv>
  <rv s="6">
    <fb>103.41</fb>
    <v>11</v>
  </rv>
  <rv s="6">
    <fb>119.98</fb>
    <v>11</v>
  </rv>
  <rv s="6">
    <fb>121.3152</fb>
    <v>11</v>
  </rv>
  <rv s="6">
    <fb>97.66</fb>
    <v>11</v>
  </rv>
  <rv s="6">
    <fb>522207349</fb>
    <v>12</v>
  </rv>
  <rv s="6">
    <fb>90.98</fb>
    <v>11</v>
  </rv>
  <rv s="6">
    <fb>104.87</fb>
    <v>11</v>
  </rv>
  <rv s="6">
    <fb>88.04</fb>
    <v>11</v>
  </rv>
  <rv s="6">
    <fb>654167864</fb>
    <v>12</v>
  </rv>
  <rv s="6">
    <fb>100.79</fb>
    <v>11</v>
  </rv>
  <rv s="6">
    <fb>91.95</fb>
    <v>11</v>
  </rv>
  <rv s="6">
    <fb>101.19</fb>
    <v>11</v>
  </rv>
  <rv s="6">
    <fb>85.87</fb>
    <v>11</v>
  </rv>
  <rv s="6">
    <fb>542000753</fb>
    <v>12</v>
  </rv>
  <rv s="6">
    <fb>94.14</fb>
    <v>11</v>
  </rv>
  <rv s="6">
    <fb>103.79</fb>
    <v>11</v>
  </rv>
  <rv s="6">
    <fb>92.48</fb>
    <v>11</v>
  </rv>
  <rv s="6">
    <fb>453874267</fb>
    <v>12</v>
  </rv>
  <rv s="6">
    <fb>93.41</fb>
    <v>11</v>
  </rv>
  <rv s="6">
    <fb>93.97</fb>
    <v>11</v>
  </rv>
  <rv s="6">
    <fb>95.02</fb>
    <v>11</v>
  </rv>
  <rv s="6">
    <fb>90.59</fb>
    <v>11</v>
  </rv>
  <rv s="6">
    <fb>241025525</fb>
    <v>12</v>
  </rv>
  <rv s="6">
    <fb>94.13</fb>
    <v>11</v>
  </rv>
  <rv s="6">
    <fb>93.93</fb>
    <v>11</v>
  </rv>
  <rv s="6">
    <fb>97.23</fb>
    <v>11</v>
  </rv>
  <rv s="6">
    <fb>91.44</fb>
    <v>11</v>
  </rv>
  <rv s="6">
    <fb>384419765</fb>
    <v>12</v>
  </rv>
  <rv s="6">
    <fb>89.09</fb>
    <v>11</v>
  </rv>
  <rv s="6">
    <fb>93.05</fb>
    <v>11</v>
  </rv>
  <rv s="6">
    <fb>94.06</fb>
    <v>11</v>
  </rv>
  <rv s="6">
    <fb>87.48</fb>
    <v>11</v>
  </rv>
  <rv s="6">
    <fb>355830427</fb>
    <v>12</v>
  </rv>
  <rv s="6">
    <fb>87.86</fb>
    <v>11</v>
  </rv>
  <rv s="6">
    <fb>89.21</fb>
    <v>11</v>
  </rv>
  <rv s="6">
    <fb>86.73</fb>
    <v>11</v>
  </rv>
  <rv s="6">
    <fb>463456747</fb>
    <v>12</v>
  </rv>
  <rv s="6">
    <fb>87.51</fb>
    <v>11</v>
  </rv>
  <rv s="6">
    <fb>87.63</fb>
    <v>11</v>
  </rv>
  <rv s="6">
    <fb>82.25</fb>
    <v>11</v>
  </rv>
  <rv s="6">
    <fb>356011886</fb>
    <v>12</v>
  </rv>
  <rv s="6">
    <fb>84</fb>
    <v>11</v>
  </rv>
  <rv s="6">
    <fb>84.97</fb>
    <v>11</v>
  </rv>
  <rv s="6">
    <fb>85.35</fb>
    <v>11</v>
  </rv>
  <rv s="6">
    <fb>81.69</fb>
    <v>11</v>
  </rv>
  <rv s="6">
    <fb>232909699</fb>
    <v>12</v>
  </rv>
  <rv s="6">
    <fb>86.08</fb>
    <v>11</v>
  </rv>
  <rv s="6">
    <fb>85.46</fb>
    <v>11</v>
  </rv>
  <rv s="6">
    <fb>86.98</fb>
    <v>11</v>
  </rv>
  <rv s="6">
    <fb>81.430000000000007</fb>
    <v>11</v>
  </rv>
  <rv s="6">
    <fb>296825349</fb>
    <v>12</v>
  </rv>
  <rv s="6">
    <fb>98.12</fb>
    <v>11</v>
  </rv>
  <rv s="6">
    <fb>98.37</fb>
    <v>11</v>
  </rv>
  <rv s="6">
    <fb>87.08</fb>
    <v>11</v>
  </rv>
  <rv s="6">
    <fb>406953053</fb>
    <v>12</v>
  </rv>
  <rv s="6">
    <fb>97.25</fb>
    <v>11</v>
  </rv>
  <rv s="6">
    <fb>98.68</fb>
    <v>11</v>
  </rv>
  <rv s="6">
    <fb>99.32</fb>
    <v>11</v>
  </rv>
  <rv s="6">
    <fb>92.86</fb>
    <v>11</v>
  </rv>
  <rv s="6">
    <fb>288809573</fb>
    <v>12</v>
  </rv>
  <rv s="6">
    <fb>102.24</fb>
    <v>11</v>
  </rv>
  <rv s="6">
    <fb>97.56</fb>
    <v>11</v>
  </rv>
  <rv s="6">
    <fb>103.485</fb>
    <v>11</v>
  </rv>
  <rv s="6">
    <fb>91.52</fb>
    <v>11</v>
  </rv>
  <rv s="6">
    <fb>393991296</fb>
    <v>12</v>
  </rv>
  <rv s="6">
    <fb>103.39</fb>
    <v>11</v>
  </rv>
  <rv s="6">
    <fb>101.09</fb>
    <v>11</v>
  </rv>
  <rv s="6">
    <fb>99.01</fb>
    <v>11</v>
  </rv>
  <rv s="6">
    <fb>520198305</fb>
    <v>12</v>
  </rv>
  <rv s="6">
    <fb>97.61</fb>
    <v>11</v>
  </rv>
  <rv s="6">
    <fb>102.925</fb>
    <v>11</v>
  </rv>
  <rv s="6">
    <fb>103.94840000000001</fb>
    <v>11</v>
  </rv>
  <rv s="6">
    <fb>96.23</fb>
    <v>11</v>
  </rv>
  <rv s="6">
    <fb>394687426</fb>
    <v>12</v>
  </rv>
  <rv s="6">
    <fb>97.2</fb>
    <v>11</v>
  </rv>
  <rv s="6">
    <fb>101.17</fb>
    <v>11</v>
  </rv>
  <rv s="6">
    <fb>95.65</fb>
    <v>11</v>
  </rv>
  <rv s="6">
    <fb>273466819</fb>
    <v>12</v>
  </rv>
  <rv s="6">
    <fb>93.5</fb>
    <v>11</v>
  </rv>
  <rv s="6">
    <fb>95.334999999999994</fb>
    <v>11</v>
  </rv>
  <rv s="6">
    <fb>97.01</fb>
    <v>11</v>
  </rv>
  <rv s="6">
    <fb>92.318600000000004</fb>
    <v>11</v>
  </rv>
  <rv s="6">
    <fb>221635260</fb>
    <v>12</v>
  </rv>
  <rv s="6">
    <fb>94.28</fb>
    <v>11</v>
  </rv>
  <rv s="6">
    <fb>94.94</fb>
    <v>11</v>
  </rv>
  <rv s="6">
    <fb>90.39</fb>
    <v>11</v>
  </rv>
  <rv s="6">
    <fb>255063564</fb>
    <v>12</v>
  </rv>
  <rv s="6">
    <fb>90.73</fb>
    <v>11</v>
  </rv>
  <rv s="6">
    <fb>95.19</fb>
    <v>11</v>
  </rv>
  <rv s="6">
    <fb>96.545000000000002</fb>
    <v>11</v>
  </rv>
  <rv s="6">
    <fb>90.245000000000005</fb>
    <v>11</v>
  </rv>
  <rv s="6">
    <fb>272158346</fb>
    <v>12</v>
  </rv>
  <rv s="6">
    <fb>98.95</fb>
    <v>11</v>
  </rv>
  <rv s="6">
    <fb>89.97</fb>
    <v>11</v>
  </rv>
  <rv s="6">
    <fb>100.99</fb>
    <v>11</v>
  </rv>
  <rv s="6">
    <fb>88.12</fb>
    <v>11</v>
  </rv>
  <rv s="6">
    <fb>375900695</fb>
    <v>12</v>
  </rv>
  <rv s="6">
    <fb>98.13</fb>
    <v>11</v>
  </rv>
  <rv s="6">
    <fb>98.41</fb>
    <v>11</v>
  </rv>
  <rv s="6">
    <fb>102.1</fb>
    <v>11</v>
  </rv>
  <rv s="6">
    <fb>95.7</fb>
    <v>11</v>
  </rv>
  <rv s="6">
    <fb>292165662</fb>
    <v>12</v>
  </rv>
  <rv s="6">
    <fb>103.29</fb>
    <v>11</v>
  </rv>
  <rv s="6">
    <fb>99.07</fb>
    <v>11</v>
  </rv>
  <rv s="6">
    <fb>103.49</fb>
    <v>11</v>
  </rv>
  <rv s="6">
    <fb>96.29</fb>
    <v>11</v>
  </rv>
  <rv s="6">
    <fb>245608340</fb>
    <v>12</v>
  </rv>
  <rv s="6">
    <fb>102.06</fb>
    <v>11</v>
  </rv>
  <rv s="6">
    <fb>102.3</fb>
    <v>11</v>
  </rv>
  <rv s="6">
    <fb>104.2</fb>
    <v>11</v>
  </rv>
  <rv s="6">
    <fb>99.800799999999995</fb>
    <v>11</v>
  </rv>
  <rv s="6">
    <fb>178781642</fb>
    <v>12</v>
  </rv>
  <rv s="6">
    <fb>102.51</fb>
    <v>11</v>
  </rv>
  <rv s="6">
    <fb>100.96</fb>
    <v>11</v>
  </rv>
  <rv s="6">
    <fb>103.2013</fb>
    <v>11</v>
  </rv>
  <rv s="6">
    <fb>97.704999999999998</fb>
    <v>11</v>
  </rv>
  <rv s="6">
    <fb>273789699</fb>
    <v>12</v>
  </rv>
  <rv s="6">
    <fb>106.96</fb>
    <v>11</v>
  </rv>
  <rv s="6">
    <fb>103.16</fb>
    <v>11</v>
  </rv>
  <rv s="6">
    <fb>108.15</fb>
    <v>11</v>
  </rv>
  <rv s="6">
    <fb>101.39</fb>
    <v>11</v>
  </rv>
  <rv s="6">
    <fb>282579916</fb>
    <v>12</v>
  </rv>
  <rv s="6">
    <fb>105.45</fb>
    <v>11</v>
  </rv>
  <rv s="6">
    <fb>107.655</fb>
    <v>11</v>
  </rv>
  <rv s="6">
    <fb>110.86</fb>
    <v>11</v>
  </rv>
  <rv s="6">
    <fb>102.45</fb>
    <v>11</v>
  </rv>
  <rv s="6">
    <fb>489083331</fb>
    <v>12</v>
  </rv>
  <rv s="6">
    <fb>105.655</fb>
    <v>11</v>
  </rv>
  <rv s="6">
    <fb>104.95</fb>
    <v>11</v>
  </rv>
  <rv s="6">
    <fb>105.96</fb>
    <v>11</v>
  </rv>
  <rv s="6">
    <fb>101.15</fb>
    <v>11</v>
  </rv>
  <rv s="6">
    <fb>315546638</fb>
    <v>12</v>
  </rv>
  <rv s="6">
    <fb>110.26</fb>
    <v>11</v>
  </rv>
  <rv s="6">
    <fb>105.04</fb>
    <v>11</v>
  </rv>
  <rv s="6">
    <fb>113.28</fb>
    <v>11</v>
  </rv>
  <rv s="6">
    <fb>104.70010000000001</fb>
    <v>11</v>
  </rv>
  <rv s="6">
    <fb>296925396</fb>
    <v>12</v>
  </rv>
  <rv s="6">
    <fb>111.15</fb>
    <v>11</v>
  </rv>
  <rv s="6">
    <fb>118.6</fb>
    <v>11</v>
  </rv>
  <rv s="6">
    <fb>109.25</fb>
    <v>11</v>
  </rv>
  <rv s="6">
    <fb>318369624</fb>
    <v>12</v>
  </rv>
  <rv s="6">
    <fb>120.11</fb>
    <v>11</v>
  </rv>
  <rv s="6">
    <fb>116.77</fb>
    <v>11</v>
  </rv>
  <rv s="6">
    <fb>121.5</fb>
    <v>11</v>
  </rv>
  <rv s="6">
    <fb>365081893</fb>
    <v>12</v>
  </rv>
  <rv s="6">
    <fb>124.25</fb>
    <v>11</v>
  </rv>
  <rv s="6">
    <fb>122.37</fb>
    <v>11</v>
  </rv>
  <rv s="6">
    <fb>126.39</fb>
    <v>11</v>
  </rv>
  <rv s="6">
    <fb>119.17</fb>
    <v>11</v>
  </rv>
  <rv s="6">
    <fb>252755140</fb>
    <v>12</v>
  </rv>
  <rv s="6">
    <fb>123.43</fb>
    <v>11</v>
  </rv>
  <rv s="6">
    <fb>123.36</fb>
    <v>11</v>
  </rv>
  <rv s="6">
    <fb>127.4</fb>
    <v>11</v>
  </rv>
  <rv s="6">
    <fb>120.63</fb>
    <v>11</v>
  </rv>
  <rv s="6">
    <fb>302863903</fb>
    <v>12</v>
  </rv>
  <rv s="6">
    <fb>125.49</fb>
    <v>11</v>
  </rv>
  <rv s="6">
    <fb>124.02</fb>
    <v>11</v>
  </rv>
  <rv s="6">
    <fb>128.41</fb>
    <v>11</v>
  </rv>
  <rv s="6">
    <fb>299166199</fb>
    <v>12</v>
  </rv>
  <rv s="6">
    <fb>129.33000000000001</fb>
    <v>11</v>
  </rv>
  <rv s="6">
    <fb>124.97</fb>
    <v>11</v>
  </rv>
  <rv s="6">
    <fb>130.84</fb>
    <v>11</v>
  </rv>
  <rv s="6">
    <fb>123.85</fb>
    <v>11</v>
  </rv>
  <rv s="6">
    <fb>270994912</fb>
    <v>12</v>
  </rv>
  <rv s="6">
    <fb>130.36000000000001</fb>
    <v>11</v>
  </rv>
  <rv s="6">
    <fb>131.49</fb>
    <v>11</v>
  </rv>
  <rv s="6">
    <fb>127.1</fb>
    <v>11</v>
  </rv>
  <rv s="6">
    <fb>254051480</fb>
    <v>12</v>
  </rv>
  <rv s="6">
    <fb>129.78</fb>
    <v>11</v>
  </rv>
  <rv s="6">
    <fb>130.82</fb>
    <v>11</v>
  </rv>
  <rv s="6">
    <fb>131.85</fb>
    <v>11</v>
  </rv>
  <rv s="6">
    <fb>127.37</fb>
    <v>11</v>
  </rv>
  <rv s="6">
    <fb>146850293</fb>
    <v>12</v>
  </rv>
  <rv s="6">
    <fb>134.68</fb>
    <v>11</v>
  </rv>
  <rv s="6">
    <fb>129.07</fb>
    <v>11</v>
  </rv>
  <rv s="6">
    <fb>136.65</fb>
    <v>11</v>
  </rv>
  <rv s="6">
    <fb>125.91500000000001</fb>
    <v>11</v>
  </rv>
  <rv s="6">
    <fb>281521569</fb>
    <v>12</v>
  </rv>
  <rv s="6">
    <fb>130</fb>
    <v>11</v>
  </rv>
  <rv s="6">
    <fb>134.56</fb>
    <v>11</v>
  </rv>
  <rv s="6">
    <fb>135.99</fb>
    <v>11</v>
  </rv>
  <rv s="6">
    <fb>128.41499999999999</fb>
    <v>11</v>
  </rv>
  <rv s="6">
    <fb>351078241</fb>
    <v>12</v>
  </rv>
  <rv s="6">
    <fb>132.21</fb>
    <v>11</v>
  </rv>
  <rv s="6">
    <fb>130.30500000000001</fb>
    <v>11</v>
  </rv>
  <rv s="6">
    <fb>133.01</fb>
    <v>11</v>
  </rv>
  <rv s="6">
    <fb>126.11</fb>
    <v>11</v>
  </rv>
  <rv s="6">
    <fb>237746327</fb>
    <v>12</v>
  </rv>
  <rv s="6">
    <fb>139.57</fb>
    <v>11</v>
  </rv>
  <rv s="6">
    <fb>133.19999999999999</fb>
    <v>11</v>
  </rv>
  <rv s="6">
    <fb>126.41</fb>
    <v>11</v>
  </rv>
  <rv s="6">
    <fb>379520261</fb>
    <v>12</v>
  </rv>
  <rv s="6">
    <fb>138.41</fb>
    <v>11</v>
  </rv>
  <rv s="6">
    <fb>140.99</fb>
    <v>11</v>
  </rv>
  <rv s="6">
    <fb>137</fb>
    <v>11</v>
  </rv>
  <rv s="6">
    <fb>274775193</fb>
    <v>12</v>
  </rv>
  <rv s="6">
    <fb>133.22</fb>
    <v>11</v>
  </rv>
  <rv s="6">
    <fb>138.30000000000001</fb>
    <v>11</v>
  </rv>
  <rv s="6">
    <fb>141.27780000000001</fb>
    <v>11</v>
  </rv>
  <rv s="6">
    <fb>131.15</fb>
    <v>11</v>
  </rv>
  <rv s="6">
    <fb>228457906</fb>
    <v>12</v>
  </rv>
  <rv s="6">
    <fb>133.26</fb>
    <v>11</v>
  </rv>
  <rv s="6">
    <fb>133.74</fb>
    <v>11</v>
  </rv>
  <rv s="6">
    <fb>136.77500000000001</fb>
    <v>11</v>
  </rv>
  <rv s="6">
    <fb>130.58000000000001</fb>
    <v>11</v>
  </rv>
  <rv s="6">
    <fb>204972331</fb>
    <v>12</v>
  </rv>
  <rv s="6">
    <fb>133.78</fb>
    <v>11</v>
  </rv>
  <rv s="6">
    <fb>208664368</fb>
    <v>12</v>
  </rv>
  <rv s="6">
    <fb>137.72999999999999</fb>
    <v>11</v>
  </rv>
  <rv s="6">
    <fb>138.8519</fb>
    <v>11</v>
  </rv>
  <rv s="6">
    <fb>133.16</fb>
    <v>11</v>
  </rv>
  <rv s="6">
    <fb>169287086</fb>
    <v>12</v>
  </rv>
  <rv s="6">
    <fb>140.38999999999999</fb>
    <v>11</v>
  </rv>
  <rv s="6">
    <fb>138.63999999999999</fb>
    <v>11</v>
  </rv>
  <rv s="6">
    <fb>326841086</fb>
    <v>12</v>
  </rv>
  <rv s="6">
    <fb>129.12</fb>
    <v>11</v>
  </rv>
  <rv s="6">
    <fb>140.47999999999999</fb>
    <v>11</v>
  </rv>
  <rv s="6">
    <fb>141.75</fb>
    <v>11</v>
  </rv>
  <rv s="6">
    <fb>128.52000000000001</fb>
    <v>11</v>
  </rv>
  <rv s="6">
    <fb>280817356</fb>
    <v>12</v>
  </rv>
  <rv s="6">
    <fb>127.12</fb>
    <v>11</v>
  </rv>
  <rv s="6">
    <fb>129.36000000000001</fb>
    <v>11</v>
  </rv>
  <rv s="6">
    <fb>131.78</fb>
    <v>11</v>
  </rv>
  <rv s="6">
    <fb>123.04</fb>
    <v>11</v>
  </rv>
  <rv s="6">
    <fb>302586179</fb>
    <v>12</v>
  </rv>
  <rv s="6">
    <fb>127.96</fb>
    <v>11</v>
  </rv>
  <rv s="6">
    <fb>127.28</fb>
    <v>11</v>
  </rv>
  <rv s="6">
    <fb>130.47</fb>
    <v>11</v>
  </rv>
  <rv s="6">
    <fb>124.13</fb>
    <v>11</v>
  </rv>
  <rv s="6">
    <fb>230295946</fb>
    <v>12</v>
  </rv>
  <rv s="6">
    <fb>129.79</fb>
    <v>11</v>
  </rv>
  <rv s="6">
    <fb>126.22</fb>
    <v>11</v>
  </rv>
  <rv s="6">
    <fb>134.47999999999999</fb>
    <v>11</v>
  </rv>
  <rv s="6">
    <fb>124.76</fb>
    <v>11</v>
  </rv>
  <rv s="6">
    <fb>223047465</fb>
    <v>12</v>
  </rv>
  <rv s="6">
    <fb>125.17</fb>
    <v>11</v>
  </rv>
  <rv s="6">
    <fb>130.69</fb>
    <v>11</v>
  </rv>
  <rv s="6">
    <fb>133.07</fb>
    <v>11</v>
  </rv>
  <rv s="6">
    <fb>252244712</fb>
    <v>12</v>
  </rv>
  <rv s="6">
    <fb>127.74</fb>
    <v>11</v>
  </rv>
  <rv s="6">
    <fb>124.63</fb>
    <v>11</v>
  </rv>
  <rv s="6">
    <fb>130.02000000000001</fb>
    <v>11</v>
  </rv>
  <rv s="6">
    <fb>118.35</fb>
    <v>11</v>
  </rv>
  <rv s="6">
    <fb>395043681</fb>
    <v>12</v>
  </rv>
  <rv s="6">
    <fb>138.6</fb>
    <v>11</v>
  </rv>
  <rv s="6">
    <fb>139.49</fb>
    <v>11</v>
  </rv>
  <rv s="6">
    <fb>128.56</fb>
    <v>11</v>
  </rv>
  <rv s="6">
    <fb>281900829</fb>
    <v>12</v>
  </rv>
  <rv s="6">
    <fb>138.76</fb>
    <v>11</v>
  </rv>
  <rv s="6">
    <fb>143.65</fb>
    <v>11</v>
  </rv>
  <rv s="6">
    <fb>138.36000000000001</fb>
    <v>11</v>
  </rv>
  <rv s="6">
    <fb>228630916</fb>
    <v>12</v>
  </rv>
  <rv s="6">
    <fb>142.08000000000001</fb>
    <v>11</v>
  </rv>
  <rv s="6">
    <fb>147.29</fb>
    <v>11</v>
  </rv>
  <rv s="6">
    <fb>139.52000000000001</fb>
    <v>11</v>
  </rv>
  <rv s="6">
    <fb>255562790</fb>
    <v>12</v>
  </rv>
  <rv s="6">
    <fb>146.74</fb>
    <v>11</v>
  </rv>
  <rv s="6">
    <fb>145.13</fb>
    <v>11</v>
  </rv>
  <rv s="6">
    <fb>147.74</fb>
    <v>11</v>
  </rv>
  <rv s="6">
    <fb>141.5</fb>
    <v>11</v>
  </rv>
  <rv s="6">
    <fb>181283139</fb>
    <v>12</v>
  </rv>
  <rv s="6">
    <fb>147.53</fb>
    <v>11</v>
  </rv>
  <rv s="6">
    <fb>149.26</fb>
    <v>11</v>
  </rv>
  <rv s="6">
    <fb>144.33199999999999</fb>
    <v>11</v>
  </rv>
  <rv s="6">
    <fb>242850872</fb>
    <v>12</v>
  </rv>
  <rv s="6">
    <fb>147.41999999999999</fb>
    <v>11</v>
  </rv>
  <rv s="6">
    <fb>145.25</fb>
    <v>11</v>
  </rv>
  <rv s="6">
    <fb>148.57</fb>
    <v>11</v>
  </rv>
  <rv s="6">
    <fb>142.81</fb>
    <v>11</v>
  </rv>
  <rv s="6">
    <fb>229054410</fb>
    <v>12</v>
  </rv>
  <rv s="6">
    <fb>149.97</fb>
    <v>11</v>
  </rv>
  <rv s="6">
    <fb>145.66</fb>
    <v>11</v>
  </rv>
  <rv s="6">
    <fb>150.57</fb>
    <v>11</v>
  </rv>
  <rv s="6">
    <fb>143.63999999999999</fb>
    <v>11</v>
  </rv>
  <rv s="6">
    <fb>317107938</fb>
    <v>12</v>
  </rv>
  <rv s="6">
    <fb>153.41999999999999</fb>
    <v>11</v>
  </rv>
  <rv s="6">
    <fb>150.56</fb>
    <v>11</v>
  </rv>
  <rv s="6">
    <fb>155.63</fb>
    <v>11</v>
  </rv>
  <rv s="6">
    <fb>150.05000000000001</fb>
    <v>11</v>
  </rv>
  <rv s="6">
    <fb>221826052</fb>
    <v>12</v>
  </rv>
  <rv s="6">
    <fb>151.94</fb>
    <v>11</v>
  </rv>
  <rv s="6">
    <fb>153.56</fb>
    <v>11</v>
  </rv>
  <rv s="6">
    <fb>154.78</fb>
    <v>11</v>
  </rv>
  <rv s="6">
    <fb>123382161</fb>
    <v>12</v>
  </rv>
  <rv s="6">
    <fb>145.24</fb>
    <v>11</v>
  </rv>
  <rv s="6">
    <fb>151.54</fb>
    <v>11</v>
  </rv>
  <rv s="6">
    <fb>152.38</fb>
    <v>11</v>
  </rv>
  <rv s="6">
    <fb>197957873</fb>
    <v>12</v>
  </rv>
  <rv s="6">
    <fb>154.62</fb>
    <v>11</v>
  </rv>
  <rv s="6">
    <fb>157.16999999999999</fb>
    <v>11</v>
  </rv>
  <rv s="6">
    <fb>224548296</fb>
    <v>12</v>
  </rv>
  <rv s="6">
    <fb>155.34</fb>
    <v>11</v>
  </rv>
  <rv s="6">
    <fb>153.53</fb>
    <v>11</v>
  </rv>
  <rv s="6">
    <fb>155.76</fb>
    <v>11</v>
  </rv>
  <rv s="6">
    <fb>149.91</fb>
    <v>11</v>
  </rv>
  <rv s="6">
    <fb>165839872</fb>
    <v>12</v>
  </rv>
  <rv s="6">
    <fb>159.12</fb>
    <v>11</v>
  </rv>
  <rv s="6">
    <fb>156.88999999999999</fb>
    <v>11</v>
  </rv>
  <rv s="6">
    <fb>160.72</fb>
    <v>11</v>
  </rv>
  <rv s="6">
    <fb>224906767</fb>
    <v>12</v>
  </rv>
  <rv s="6">
    <fb>171.81</fb>
    <v>11</v>
  </rv>
  <rv s="6">
    <fb>159.34</fb>
    <v>11</v>
  </rv>
  <rv s="6">
    <fb>172.5</fb>
    <v>11</v>
  </rv>
  <rv s="6">
    <fb>154.81</fb>
    <v>11</v>
  </rv>
  <rv s="6">
    <fb>334522918</fb>
    <v>12</v>
  </rv>
  <rv s="6">
    <fb>174.45</fb>
    <v>11</v>
  </rv>
  <rv s="6">
    <fb>170.2</fb>
    <v>11</v>
  </rv>
  <rv s="6">
    <fb>175</fb>
    <v>11</v>
  </rv>
  <rv s="6">
    <fb>167.65</fb>
    <v>11</v>
  </rv>
  <rv s="6">
    <fb>244063315</fb>
    <v>12</v>
  </rv>
  <rv s="6">
    <fb>174.8</fb>
    <v>11</v>
  </rv>
  <rv s="6">
    <fb>175.39</fb>
    <v>11</v>
  </rv>
  <rv s="6">
    <fb>165.75</fb>
    <v>11</v>
  </rv>
  <rv s="6">
    <fb>248174046</fb>
    <v>12</v>
  </rv>
  <rv s="6">
    <fb>174.99</fb>
    <v>11</v>
  </rv>
  <rv s="6">
    <fb>167.83</fb>
    <v>11</v>
  </rv>
  <rv s="6">
    <fb>175.75</fb>
    <v>11</v>
  </rv>
  <rv s="6">
    <fb>165.74</fb>
    <v>11</v>
  </rv>
  <rv s="6">
    <fb>201663546</fb>
    <v>12</v>
  </rv>
  <rv s="6">
    <fb>175.7</fb>
    <v>11</v>
  </rv>
  <rv s="6">
    <fb>178.72499999999999</fb>
    <v>11</v>
  </rv>
  <rv s="6">
    <fb>172.27</fb>
    <v>11</v>
  </rv>
  <rv s="6">
    <fb>189477339</fb>
    <v>12</v>
  </rv>
  <rv s="6">
    <fb>177.53</fb>
    <v>11</v>
  </rv>
  <rv s="6">
    <fb>178657314</fb>
    <v>12</v>
  </rv>
  <rv s="6">
    <fb>174.42</fb>
    <v>11</v>
  </rv>
  <rv s="6">
    <fb>179.53</fb>
    <v>11</v>
  </rv>
  <rv s="6">
    <fb>171.47</fb>
    <v>11</v>
  </rv>
  <rv s="6">
    <fb>211721211</fb>
    <v>12</v>
  </rv>
  <rv s="6">
    <fb>178.87</fb>
    <v>11</v>
  </rv>
  <rv s="6">
    <fb>181.41499999999999</fb>
    <v>11</v>
  </rv>
  <rv s="6">
    <fb>173.52</fb>
    <v>11</v>
  </rv>
  <rv s="6">
    <fb>148898429</fb>
    <v>12</v>
  </rv>
  <rv s="6">
    <fb>180.38</fb>
    <v>11</v>
  </rv>
  <rv s="6">
    <fb>181.7</fb>
    <v>11</v>
  </rv>
  <rv s="6">
    <fb>177.24</fb>
    <v>11</v>
  </rv>
  <rv s="6">
    <fb>130798585</fb>
    <v>12</v>
  </rv>
  <rv s="6">
    <fb>185.07</fb>
    <v>11</v>
  </rv>
  <rv s="6">
    <fb>180.79</fb>
    <v>11</v>
  </rv>
  <rv s="6">
    <fb>186.27</fb>
    <v>11</v>
  </rv>
  <rv s="6">
    <fb>178.37620000000001</fb>
    <v>11</v>
  </rv>
  <rv s="6">
    <fb>176830958</fb>
    <v>12</v>
  </rv>
  <rv s="6">
    <fb>186.13</fb>
    <v>11</v>
  </rv>
  <rv s="6">
    <fb>186.9</fb>
    <v>11</v>
  </rv>
  <rv s="6">
    <fb>189.77</fb>
    <v>11</v>
  </rv>
  <rv s="6">
    <fb>190276970</fb>
    <v>12</v>
  </rv>
  <rv s="6">
    <fb>174.63</fb>
    <v>11</v>
  </rv>
  <rv s="6">
    <fb>187.42500000000001</fb>
    <v>11</v>
  </rv>
  <rv s="6">
    <fb>188.69</fb>
    <v>11</v>
  </rv>
  <rv s="6">
    <fb>199027855</fb>
    <v>12</v>
  </rv>
  <rv s="6">
    <fb>179.62</fb>
    <v>11</v>
  </rv>
  <rv s="6">
    <fb>176.94</fb>
    <v>11</v>
  </rv>
  <rv s="6">
    <fb>180.82</fb>
    <v>11</v>
  </rv>
  <rv s="6">
    <fb>202325673</fb>
    <v>12</v>
  </rv>
  <rv s="6">
    <fb>186.21</fb>
    <v>11</v>
  </rv>
  <rv s="6">
    <fb>182.75</fb>
    <v>11</v>
  </rv>
  <rv s="6">
    <fb>187.87</fb>
    <v>11</v>
  </rv>
  <rv s="6">
    <fb>336824385</fb>
    <v>12</v>
  </rv>
  <rv s="6">
    <fb>187.48</fb>
    <v>11</v>
  </rv>
  <rv s="6">
    <fb>186.28</fb>
    <v>11</v>
  </rv>
  <rv s="6">
    <fb>184.8</fb>
    <v>11</v>
  </rv>
  <rv s="6">
    <fb>172420695</fb>
    <v>12</v>
  </rv>
  <rv s="6">
    <fb>184.7</fb>
    <v>11</v>
  </rv>
  <rv s="6">
    <fb>188</fb>
    <v>11</v>
  </rv>
  <rv s="6">
    <fb>188.31</fb>
    <v>11</v>
  </rv>
  <rv s="6">
    <fb>182.73</fb>
    <v>11</v>
  </rv>
  <rv s="6">
    <fb>211066800</fb>
    <v>12</v>
  </rv>
  <rv s="6">
    <fb>180.75</fb>
    <v>11</v>
  </rv>
  <rv s="6">
    <fb>184.34</fb>
    <v>11</v>
  </rv>
  <rv s="6">
    <fb>186.66499999999999</fb>
    <v>11</v>
  </rv>
  <rv s="6">
    <fb>180.08</fb>
    <v>11</v>
  </rv>
  <rv s="6">
    <fb>170641494</fb>
    <v>12</v>
  </rv>
  <rv s="6">
    <fb>176.44</fb>
    <v>11</v>
  </rv>
  <rv s="6">
    <fb>179.93</fb>
    <v>11</v>
  </rv>
  <rv s="6">
    <fb>184.08</fb>
    <v>11</v>
  </rv>
  <rv s="6">
    <fb>173.87</fb>
    <v>11</v>
  </rv>
  <rv s="6">
    <fb>150089425</fb>
    <v>12</v>
  </rv>
  <rv s="6">
    <fb>184.3</fb>
    <v>11</v>
  </rv>
  <rv s="6">
    <fb>186.28880000000001</fb>
    <v>11</v>
  </rv>
  <rv s="6">
    <fb>175.92</fb>
    <v>11</v>
  </rv>
  <rv s="6">
    <fb>149494046</fb>
    <v>12</v>
  </rv>
  <rv s="6">
    <fb>183.66</fb>
    <v>11</v>
  </rv>
  <rv s="6">
    <fb>184.07</fb>
    <v>11</v>
  </rv>
  <rv s="6">
    <fb>188.35</fb>
    <v>11</v>
  </rv>
  <rv s="6">
    <fb>182.23</fb>
    <v>11</v>
  </rv>
  <rv s="6">
    <fb>160921777</fb>
    <v>12</v>
  </rv>
  <rv s="6">
    <fb>189.08</fb>
    <v>11</v>
  </rv>
  <rv s="6">
    <fb>189.27500000000001</fb>
    <v>11</v>
  </rv>
  <rv s="6">
    <fb>181.22</fb>
    <v>11</v>
  </rv>
  <rv s="6">
    <fb>189919597</fb>
    <v>12</v>
  </rv>
  <rv s="6">
    <fb>193.25</fb>
    <v>11</v>
  </rv>
  <rv s="6">
    <fb>189.33</fb>
    <v>11</v>
  </rv>
  <rv s="6">
    <fb>199.84</fb>
    <v>11</v>
  </rv>
  <rv s="6">
    <fb>185.33</fb>
    <v>11</v>
  </rv>
  <rv s="6">
    <fb>312940430</fb>
    <v>12</v>
  </rv>
  <rv s="6">
    <fb>193.49</fb>
    <v>11</v>
  </rv>
  <rv s="6">
    <fb>200.55</fb>
    <v>11</v>
  </rv>
  <rv s="6">
    <fb>192.82</fb>
    <v>11</v>
  </rv>
  <rv s="6">
    <fb>158248835</fb>
    <v>12</v>
  </rv>
  <rv s="6">
    <fb>194.49</fb>
    <v>11</v>
  </rv>
  <rv s="6">
    <fb>200.04</fb>
    <v>11</v>
  </rv>
  <rv s="6">
    <fb>201.2</fb>
    <v>11</v>
  </rv>
  <rv s="6">
    <fb>192.86</fb>
    <v>11</v>
  </rv>
  <rv s="6">
    <fb>175571316</fb>
    <v>12</v>
  </rv>
  <rv s="6">
    <fb>194.56</fb>
    <v>11</v>
  </rv>
  <rv s="6">
    <fb>196.62</fb>
    <v>11</v>
  </rv>
  <rv s="6">
    <fb>180.11</fb>
    <v>11</v>
  </rv>
  <rv s="6">
    <fb>216879535</fb>
    <v>12</v>
  </rv>
  <rv s="6">
    <fb>182.5</fb>
    <v>11</v>
  </rv>
  <rv s="6">
    <fb>189.39</fb>
    <v>11</v>
  </rv>
  <rv s="6">
    <fb>176.8</fb>
    <v>11</v>
  </rv>
  <rv s="6">
    <fb>202972080</fb>
    <v>12</v>
  </rv>
  <rv s="6">
    <fb>183.84</fb>
    <v>11</v>
  </rv>
  <rv s="6">
    <fb>190.6</fb>
    <v>11</v>
  </rv>
  <rv s="6">
    <fb>326330023</fb>
    <v>12</v>
  </rv>
  <rv s="6">
    <fb>166.94</fb>
    <v>11</v>
  </rv>
  <rv s="6">
    <fb>154.21</fb>
    <v>11</v>
  </rv>
  <rv s="6">
    <fb>168.55</fb>
    <v>11</v>
  </rv>
  <rv s="6">
    <fb>151.61000000000001</fb>
    <v>11</v>
  </rv>
  <rv s="6">
    <fb>272525762</fb>
    <v>12</v>
  </rv>
  <rv s="6">
    <fb>177.06</fb>
    <v>11</v>
  </rv>
  <rv s="6">
    <fb>168.14</fb>
    <v>11</v>
  </rv>
  <rv s="6">
    <fb>178.34</fb>
    <v>11</v>
  </rv>
  <rv s="6">
    <fb>166.11009999999999</fb>
    <v>11</v>
  </rv>
  <rv s="6">
    <fb>181342195</fb>
    <v>12</v>
  </rv>
  <rv s="6">
    <fb>177.04</fb>
    <v>11</v>
  </rv>
  <rv s="6">
    <fb>177.64</fb>
    <v>11</v>
  </rv>
  <rv s="6">
    <fb>182.38499999999999</fb>
    <v>11</v>
  </rv>
  <rv s="6">
    <fb>175.24</fb>
    <v>11</v>
  </rv>
  <rv s="6">
    <fb>154181704</fb>
    <v>12</v>
  </rv>
  <rv s="6">
    <fb>176.7</fb>
    <v>11</v>
  </rv>
  <rv s="6">
    <fb>178.9</fb>
    <v>11</v>
  </rv>
  <rv s="6">
    <fb>168.92</fb>
    <v>11</v>
  </rv>
  <rv s="6">
    <fb>151090410</fb>
    <v>12</v>
  </rv>
  <rv s="6">
    <fb>171.39</fb>
    <v>11</v>
  </rv>
  <rv s="6">
    <fb>177.55</fb>
    <v>11</v>
  </rv>
  <rv s="6">
    <fb>179.875</fb>
    <v>11</v>
  </rv>
  <rv s="6">
    <fb>171.16</fb>
    <v>11</v>
  </rv>
  <rv s="6">
    <fb>149763799</fb>
    <v>12</v>
  </rv>
  <rv s="6">
    <fb>186.49</fb>
    <v>11</v>
  </rv>
  <rv s="6">
    <fb>174.53</fb>
    <v>11</v>
  </rv>
  <rv s="6">
    <fb>188.5</fb>
    <v>11</v>
  </rv>
  <rv s="6">
    <fb>173.51</fb>
    <v>11</v>
  </rv>
  <rv s="6">
    <fb>167953690</fb>
    <v>12</v>
  </rv>
  <rv s="6">
    <fb>191.6</fb>
    <v>11</v>
  </rv>
  <rv s="6">
    <fb>185.29</fb>
    <v>11</v>
  </rv>
  <rv s="6">
    <fb>191.84</fb>
    <v>11</v>
  </rv>
  <rv s="6">
    <fb>183.36</fb>
    <v>11</v>
  </rv>
  <rv s="6">
    <fb>226527018</fb>
    <v>12</v>
  </rv>
  <rv s="6">
    <fb>187.97</fb>
    <v>11</v>
  </rv>
  <rv s="6">
    <fb>191.64</fb>
    <v>11</v>
  </rv>
  <rv s="6">
    <fb>195.37</fb>
    <v>11</v>
  </rv>
  <rv s="6">
    <fb>179200351</fb>
    <v>12</v>
  </rv>
  <rv s="6">
    <fb>186.51</fb>
    <v>11</v>
  </rv>
  <rv s="6">
    <fb>187.14</fb>
    <v>11</v>
  </rv>
  <rv s="6">
    <fb>188.49</fb>
    <v>11</v>
  </rv>
  <rv s="6">
    <fb>180.875</fb>
    <v>11</v>
  </rv>
  <rv s="6">
    <fb>172712675</fb>
    <v>12</v>
  </rv>
  <rv s="6">
    <fb>188.82</fb>
    <v>11</v>
  </rv>
  <rv s="6">
    <fb>182.95</fb>
    <v>11</v>
  </rv>
  <rv s="6">
    <fb>189.92840000000001</fb>
    <v>11</v>
  </rv>
  <rv s="6">
    <fb>180.25</fb>
    <v>11</v>
  </rv>
  <rv s="6">
    <fb>148616004</fb>
    <v>12</v>
  </rv>
  <rv s="6">
    <fb>188.99</fb>
    <v>11</v>
  </rv>
  <rv s="6">
    <fb>189.78</fb>
    <v>11</v>
  </rv>
  <rv s="6">
    <fb>190.74</fb>
    <v>11</v>
  </rv>
  <rv s="6">
    <fb>184.58</fb>
    <v>11</v>
  </rv>
  <rv s="6">
    <fb>140707228</fb>
    <v>12</v>
  </rv>
  <rv s="6">
    <fb>187.83</fb>
    <v>11</v>
  </rv>
  <rv s="6">
    <fb>188.05</fb>
    <v>11</v>
  </rv>
  <rv s="6">
    <fb>191.52010000000001</fb>
    <v>11</v>
  </rv>
  <rv s="6">
    <fb>183.69</fb>
    <v>11</v>
  </rv>
  <rv s="6">
    <fb>137236530</fb>
    <v>12</v>
  </rv>
  <rv s="6">
    <fb>197.93</fb>
    <v>11</v>
  </rv>
  <rv s="6">
    <fb>189.565</fb>
    <v>11</v>
  </rv>
  <rv s="6">
    <fb>200.5</fb>
    <v>11</v>
  </rv>
  <rv s="6">
    <fb>276163150</fb>
    <v>12</v>
  </rv>
  <rv s="6">
    <fb>208.18</fb>
    <v>11</v>
  </rv>
  <rv s="6">
    <fb>196.45</fb>
    <v>11</v>
  </rv>
  <rv s="6">
    <fb>212.25</fb>
    <v>11</v>
  </rv>
  <rv s="6">
    <fb>194.31010000000001</fb>
    <v>11</v>
  </rv>
  <rv s="6">
    <fb>230303242</fb>
    <v>12</v>
  </rv>
  <rv s="6">
    <fb>202.61</fb>
    <v>11</v>
  </rv>
  <rv s="6">
    <fb>208.5</fb>
    <v>11</v>
  </rv>
  <rv s="6">
    <fb>215.9</fb>
    <v>11</v>
  </rv>
  <rv s="6">
    <fb>199.61</fb>
    <v>11</v>
  </rv>
  <rv s="6">
    <fb>249823326</fb>
    <v>12</v>
  </rv>
  <rv s="6">
    <fb>197.12</fb>
    <v>11</v>
  </rv>
  <rv s="6">
    <fb>204.15</fb>
    <v>11</v>
  </rv>
  <rv s="6">
    <fb>205.3</fb>
    <v>11</v>
  </rv>
  <rv s="6">
    <fb>195.75</fb>
    <v>11</v>
  </rv>
  <rv s="6">
    <fb>190810207</fb>
    <v>12</v>
  </rv>
  <rv s="6">
    <fb>207.89</fb>
    <v>11</v>
  </rv>
  <rv s="6">
    <fb>199.28</fb>
    <v>11</v>
  </rv>
  <rv s="6">
    <fb>208.2</fb>
    <v>11</v>
  </rv>
  <rv s="6">
    <fb>135313494</fb>
    <v>12</v>
  </rv>
  <rv s="6">
    <fb>209.96</fb>
    <v>11</v>
  </rv>
  <rv s="6">
    <fb>209.51009999999999</fb>
    <v>11</v>
  </rv>
  <rv s="6">
    <fb>205802018</fb>
    <v>12</v>
  </rv>
  <rv s="6">
    <fb>227.46</fb>
    <v>11</v>
  </rv>
  <rv s="6">
    <fb>227.21</fb>
    <v>11</v>
  </rv>
  <rv s="6">
    <fb>231.2</fb>
    <v>11</v>
  </rv>
  <rv s="6">
    <fb>224.2002</fb>
    <v>11</v>
  </rv>
  <rv s="6">
    <fb>170377176</fb>
    <v>12</v>
  </rv>
  <rv s="6">
    <fb>224.92</fb>
    <v>11</v>
  </rv>
  <rv s="6">
    <fb>230.23</fb>
    <v>11</v>
  </rv>
  <rv s="6">
    <fb>218.73</fb>
    <v>11</v>
  </rv>
  <rv s="6">
    <fb>244979593</fb>
    <v>12</v>
  </rv>
  <rv s="6">
    <fb>223.75</fb>
    <v>11</v>
  </rv>
  <rv s="6">
    <fb>225.01</fb>
    <v>11</v>
  </rv>
  <rv s="6">
    <fb>229.14</fb>
    <v>11</v>
  </rv>
  <rv s="6">
    <fb>220.9</fb>
    <v>11</v>
  </rv>
  <rv s="6">
    <fb>86619151</fb>
    <v>12</v>
  </rv>
  <rv s="6">
    <fb>224.19</fb>
    <v>11</v>
  </rv>
  <rv s="6">
    <fb>220.06</fb>
    <v>11</v>
  </rv>
  <rv s="6">
    <fb>225.36</fb>
    <v>11</v>
  </rv>
  <rv s="6">
    <fb>218.19</fb>
    <v>11</v>
  </rv>
  <rv s="6">
    <fb>114613080</fb>
    <v>12</v>
  </rv>
  <rv s="6">
    <fb>218.94</fb>
    <v>11</v>
  </rv>
  <rv s="6">
    <fb>226.78</fb>
    <v>11</v>
  </rv>
  <rv s="6">
    <fb>228.83500000000001</fb>
    <v>11</v>
  </rv>
  <rv s="6">
    <fb>216.5</fb>
    <v>11</v>
  </rv>
  <rv s="6">
    <fb>121778812</fb>
    <v>12</v>
  </rv>
  <rv s="6">
    <fb>225.94</fb>
    <v>11</v>
  </rv>
  <rv s="6">
    <fb>218.06</fb>
    <v>11</v>
  </rv>
  <rv s="6">
    <fb>226.51</fb>
    <v>11</v>
  </rv>
  <rv s="6">
    <fb>150392961</fb>
    <v>12</v>
  </rv>
  <rv s="6">
    <fb>234.85</fb>
    <v>11</v>
  </rv>
  <rv s="6">
    <fb>228.9</fb>
    <v>11</v>
  </rv>
  <rv s="6">
    <fb>236.4</fb>
    <v>11</v>
  </rv>
  <rv s="6">
    <fb>226.94</fb>
    <v>11</v>
  </rv>
  <rv s="6">
    <fb>133694775</fb>
    <v>12</v>
  </rv>
  <rv s="6">
    <fb>237.68</fb>
    <v>11</v>
  </rv>
  <rv s="6">
    <fb>226.21</fb>
    <v>11</v>
  </rv>
  <rv s="6">
    <fb>241.77</fb>
    <v>11</v>
  </rv>
  <rv s="6">
    <fb>225.86</fb>
    <v>11</v>
  </rv>
  <rv s="6">
    <fb>185290341</fb>
    <v>12</v>
  </rv>
  <rv s="6">
    <fb>229.15</fb>
    <v>11</v>
  </rv>
  <rv s="6">
    <fb>234.06</fb>
    <v>11</v>
  </rv>
  <rv s="6">
    <fb>242.52</fb>
    <v>11</v>
  </rv>
  <rv s="6">
    <fb>228.06</fb>
    <v>11</v>
  </rv>
  <rv s="6">
    <fb>244268093</fb>
    <v>12</v>
  </rv>
  <rv s="6">
    <fb>228.68</fb>
    <v>11</v>
  </rv>
  <rv s="6">
    <fb>230.54499999999999</fb>
    <v>11</v>
  </rv>
  <rv s="6">
    <fb>233.92</fb>
    <v>11</v>
  </rv>
  <rv s="6">
    <fb>227.23</fb>
    <v>11</v>
  </rv>
  <rv s="6">
    <fb>149796497</fb>
    <v>12</v>
  </rv>
  <rv s="6">
    <fb>216.58</fb>
    <v>11</v>
  </rv>
  <rv s="6">
    <fb>228.82</fb>
    <v>11</v>
  </rv>
  <rv s="6">
    <fb>214.74</fb>
    <v>11</v>
  </rv>
  <rv s="6">
    <fb>156867357</fb>
    <v>12</v>
  </rv>
  <rv s="6">
    <fb>212.28</fb>
    <v>11</v>
  </rv>
  <rv s="6">
    <fb>217.45</fb>
    <v>11</v>
  </rv>
  <rv s="6">
    <fb>219.97</fb>
    <v>11</v>
  </rv>
  <rv s="6">
    <fb>232786473</fb>
    <v>12</v>
  </rv>
  <rv s="6">
    <fb>199.25</fb>
    <v>11</v>
  </rv>
  <rv s="6">
    <fb>213.352</fb>
    <v>11</v>
  </rv>
  <rv s="6">
    <fb>214.01</fb>
    <v>11</v>
  </rv>
  <rv s="6">
    <fb>252078192</fb>
    <v>12</v>
  </rv>
  <rv s="6">
    <fb>197.95</fb>
    <v>11</v>
  </rv>
  <rv s="6">
    <fb>195.6</fb>
    <v>11</v>
  </rv>
  <rv s="6">
    <fb>201.52</fb>
    <v>11</v>
  </rv>
  <rv s="6">
    <fb>190.85</fb>
    <v>11</v>
  </rv>
  <rv s="6">
    <fb>239400514</fb>
    <v>12</v>
  </rv>
  <rv s="6">
    <fb>196.21</fb>
    <v>11</v>
  </rv>
  <rv s="6">
    <fb>198.77</fb>
    <v>11</v>
  </rv>
  <rv s="6">
    <fb>199.32</fb>
    <v>11</v>
  </rv>
  <rv s="6">
    <fb>189.38</fb>
    <v>11</v>
  </rv>
  <rv s="6">
    <fb>226177527</fb>
    <v>12</v>
  </rv>
  <rv s="6">
    <fb>192.72</fb>
    <v>11</v>
  </rv>
  <rv s="6">
    <fb>206.21</fb>
    <v>11</v>
  </rv>
  <rv s="6">
    <fb>191.881</fb>
    <v>11</v>
  </rv>
  <rv s="6">
    <fb>185653386</fb>
    <v>12</v>
  </rv>
  <rv s="6">
    <fb>198.34</fb>
    <v>11</v>
  </rv>
  <rv s="6">
    <fb>377207047</fb>
    <v>12</v>
  </rv>
  <rv s="6">
    <fb>184.87</fb>
    <v>11</v>
  </rv>
  <rv s="6">
    <fb>162</fb>
    <v>11</v>
  </rv>
  <rv s="6">
    <fb>192.65</fb>
    <v>11</v>
  </rv>
  <rv s="6">
    <fb>161.38</fb>
    <v>11</v>
  </rv>
  <rv s="6">
    <fb>432738187</fb>
    <v>12</v>
  </rv>
  <rv s="6">
    <fb>172.61</fb>
    <v>11</v>
  </rv>
  <rv s="6">
    <fb>186.84</fb>
    <v>11</v>
  </rv>
  <rv s="6">
    <fb>187.44</fb>
    <v>11</v>
  </rv>
  <rv s="6">
    <fb>171.41</fb>
    <v>11</v>
  </rv>
  <rv s="6">
    <fb>188246261</fb>
    <v>12</v>
  </rv>
  <rv s="6">
    <fb>169.6</fb>
    <v>11</v>
  </rv>
  <rv s="6">
    <fb>189.94</fb>
    <v>11</v>
  </rv>
  <rv s="6">
    <fb>165.285</fb>
    <v>11</v>
  </rv>
  <rv s="6">
    <fb>248380988</fb>
    <v>12</v>
  </rv>
  <rv s="6">
    <fb>190.10499999999999</fb>
    <v>11</v>
  </rv>
  <rv s="6">
    <fb>192.88</fb>
    <v>11</v>
  </rv>
  <rv s="6">
    <fb>282237980</fb>
    <v>12</v>
  </rv>
  <rv s="6">
    <fb>79.575599999999994</fb>
    <v>11</v>
  </rv>
  <rv s="6">
    <fb>80.2928</fb>
    <v>11</v>
  </rv>
  <rv s="6">
    <fb>81.785600000000002</fb>
    <v>11</v>
  </rv>
  <rv s="6">
    <fb>78.894199999999998</fb>
    <v>11</v>
  </rv>
  <rv s="6">
    <fb>7583612</fb>
    <v>12</v>
  </rv>
  <rv s="6">
    <fb>82.085599999999999</fb>
    <v>11</v>
  </rv>
  <rv s="6">
    <fb>79.571299999999994</fb>
    <v>11</v>
  </rv>
  <rv s="6">
    <fb>82.442800000000005</fb>
    <v>11</v>
  </rv>
  <rv s="6">
    <fb>78.899900000000002</fb>
    <v>11</v>
  </rv>
  <rv s="6">
    <fb>10090960</fb>
    <v>12</v>
  </rv>
  <rv s="6">
    <fb>87.607100000000003</fb>
    <v>11</v>
  </rv>
  <rv s="6">
    <fb>82.324200000000005</fb>
    <v>11</v>
  </rv>
  <rv s="6">
    <fb>88.348299999999995</fb>
    <v>11</v>
  </rv>
  <rv s="6">
    <fb>82.185599999999994</fb>
    <v>11</v>
  </rv>
  <rv s="6">
    <fb>13270964</fb>
    <v>12</v>
  </rv>
  <rv s="6">
    <fb>88.838499999999996</fb>
    <v>11</v>
  </rv>
  <rv s="6">
    <fb>87.544200000000004</fb>
    <v>11</v>
  </rv>
  <rv s="6">
    <fb>89.785600000000002</fb>
    <v>11</v>
  </rv>
  <rv s="6">
    <fb>87.024199999999993</fb>
    <v>11</v>
  </rv>
  <rv s="6">
    <fb>9557634</fb>
    <v>12</v>
  </rv>
  <rv s="6">
    <fb>89.151300000000006</fb>
    <v>11</v>
  </rv>
  <rv s="6">
    <fb>88.874200000000002</fb>
    <v>11</v>
  </rv>
  <rv s="6">
    <fb>90.205600000000004</fb>
    <v>11</v>
  </rv>
  <rv s="6">
    <fb>87.786199999999994</fb>
    <v>11</v>
  </rv>
  <rv s="6">
    <fb>5812241</fb>
    <v>12</v>
  </rv>
  <rv s="6">
    <fb>90.459900000000005</fb>
    <v>11</v>
  </rv>
  <rv s="6">
    <fb>88.837100000000007</fb>
    <v>11</v>
  </rv>
  <rv s="6">
    <fb>90.539900000000003</fb>
    <v>11</v>
  </rv>
  <rv s="6">
    <fb>87.944199999999995</fb>
    <v>11</v>
  </rv>
  <rv s="6">
    <fb>6484497</fb>
    <v>12</v>
  </rv>
  <rv s="6">
    <fb>94.418499999999995</fb>
    <v>11</v>
  </rv>
  <rv s="6">
    <fb>90.714200000000005</fb>
    <v>11</v>
  </rv>
  <rv s="6">
    <fb>98.969899999999996</fb>
    <v>11</v>
  </rv>
  <rv s="6">
    <fb>88.995599999999996</fb>
    <v>11</v>
  </rv>
  <rv s="6">
    <fb>18171083</fb>
    <v>12</v>
  </rv>
  <rv s="6">
    <fb>93.871300000000005</fb>
    <v>11</v>
  </rv>
  <rv s="6">
    <fb>92.857100000000003</fb>
    <v>11</v>
  </rv>
  <rv s="6">
    <fb>96.4178</fb>
    <v>11</v>
  </rv>
  <rv s="6">
    <fb>91.658500000000004</fb>
    <v>11</v>
  </rv>
  <rv s="6">
    <fb>10540002</fb>
    <v>12</v>
  </rv>
  <rv s="6">
    <fb>93.088499999999996</fb>
    <v>11</v>
  </rv>
  <rv s="6">
    <fb>95.0428</fb>
    <v>11</v>
  </rv>
  <rv s="6">
    <fb>100.8913</fb>
    <v>11</v>
  </rv>
  <rv s="6">
    <fb>25919434</fb>
    <v>12</v>
  </rv>
  <rv s="6">
    <fb>94.044200000000004</fb>
    <v>11</v>
  </rv>
  <rv s="6">
    <fb>91.505600000000001</fb>
    <v>11</v>
  </rv>
  <rv s="6">
    <fb>95.238500000000002</fb>
    <v>11</v>
  </rv>
  <rv s="6">
    <fb>91.117099999999994</fb>
    <v>11</v>
  </rv>
  <rv s="6">
    <fb>9601285</fb>
    <v>12</v>
  </rv>
  <rv s="6">
    <fb>97.228499999999997</fb>
    <v>11</v>
  </rv>
  <rv s="6">
    <fb>93.472800000000007</fb>
    <v>11</v>
  </rv>
  <rv s="6">
    <fb>98.502700000000004</fb>
    <v>11</v>
  </rv>
  <rv s="6">
    <fb>92.284199999999998</fb>
    <v>11</v>
  </rv>
  <rv s="6">
    <fb>12105751</fb>
    <v>12</v>
  </rv>
  <rv s="6">
    <fb>114.77</fb>
    <v>11</v>
  </rv>
  <rv s="6">
    <fb>98.098500000000001</fb>
    <v>11</v>
  </rv>
  <rv s="6">
    <fb>117.88</fb>
    <v>11</v>
  </rv>
  <rv s="6">
    <fb>97.05</fb>
    <v>11</v>
  </rv>
  <rv s="6">
    <fb>127059598</fb>
    <v>12</v>
  </rv>
  <rv s="6">
    <fb>109.34</fb>
    <v>11</v>
  </rv>
  <rv s="6">
    <fb>114.7</fb>
    <v>11</v>
  </rv>
  <rv s="6">
    <fb>108.9</fb>
    <v>11</v>
  </rv>
  <rv s="6">
    <fb>63694722</fb>
    <v>12</v>
  </rv>
  <rv s="6">
    <fb>114.31</fb>
    <v>11</v>
  </rv>
  <rv s="6">
    <fb>107.79</fb>
    <v>11</v>
  </rv>
  <rv s="6">
    <fb>103.88</fb>
    <v>11</v>
  </rv>
  <rv s="6">
    <fb>59732476</fb>
    <v>12</v>
  </rv>
  <rv s="6">
    <fb>123.52</fb>
    <v>11</v>
  </rv>
  <rv s="6">
    <fb>114.6</fb>
    <v>11</v>
  </rv>
  <rv s="6">
    <fb>129.29</fb>
    <v>11</v>
  </rv>
  <rv s="6">
    <fb>111.78</fb>
    <v>11</v>
  </rv>
  <rv s="6">
    <fb>108822041</fb>
    <v>12</v>
  </rv>
  <rv s="6">
    <fb>123.39</fb>
    <v>11</v>
  </rv>
  <rv s="6">
    <fb>126.09</fb>
    <v>11</v>
  </rv>
  <rv s="6">
    <fb>126.5</fb>
    <v>11</v>
  </rv>
  <rv s="6">
    <fb>118.66</fb>
    <v>11</v>
  </rv>
  <rv s="6">
    <fb>62855077</fb>
    <v>12</v>
  </rv>
  <rv s="6">
    <fb>103.96</fb>
    <v>11</v>
  </rv>
  <rv s="6">
    <fb>123.14</fb>
    <v>11</v>
  </rv>
  <rv s="6">
    <fb>126.749</fb>
    <v>11</v>
  </rv>
  <rv s="6">
    <fb>102.751</fb>
    <v>11</v>
  </rv>
  <rv s="6">
    <fb>90004727</fb>
    <v>12</v>
  </rv>
  <rv s="6">
    <fb>117.63</fb>
    <v>11</v>
  </rv>
  <rv s="6">
    <fb>88.75</fb>
    <v>11</v>
  </rv>
  <rv s="6">
    <fb>119.35</fb>
    <v>11</v>
  </rv>
  <rv s="6">
    <fb>85.5</fb>
    <v>11</v>
  </rv>
  <rv s="6">
    <fb>191033613</fb>
    <v>12</v>
  </rv>
  <rv s="6">
    <fb>98.79</fb>
    <v>11</v>
  </rv>
  <rv s="6">
    <fb>115.24</fb>
    <v>11</v>
  </rv>
  <rv s="6">
    <fb>97.34</fb>
    <v>11</v>
  </rv>
  <rv s="6">
    <fb>146584546</fb>
    <v>12</v>
  </rv>
  <rv s="6">
    <fb>97.51</fb>
    <v>11</v>
  </rv>
  <rv s="6">
    <fb>102.08</fb>
    <v>11</v>
  </rv>
  <rv s="6">
    <fb>102.79</fb>
    <v>11</v>
  </rv>
  <rv s="6">
    <fb>93.55</fb>
    <v>11</v>
  </rv>
  <rv s="6">
    <fb>117409877</fb>
    <v>12</v>
  </rv>
  <rv s="6">
    <fb>102.62</fb>
    <v>11</v>
  </rv>
  <rv s="6">
    <fb>96.84</fb>
    <v>11</v>
  </rv>
  <rv s="6">
    <fb>107.5</fb>
    <v>11</v>
  </rv>
  <rv s="6">
    <fb>93.61</fb>
    <v>11</v>
  </rv>
  <rv s="6">
    <fb>113727976</fb>
    <v>12</v>
  </rv>
  <rv s="6">
    <fb>103.3</fb>
    <v>11</v>
  </rv>
  <rv s="6">
    <fb>105.4487</fb>
    <v>11</v>
  </rv>
  <rv s="6">
    <fb>96.78</fb>
    <v>11</v>
  </rv>
  <rv s="6">
    <fb>85224186</fb>
    <v>12</v>
  </rv>
  <rv s="6">
    <fb>106.11</fb>
    <v>11</v>
  </rv>
  <rv s="6">
    <fb>101.57</fb>
    <v>11</v>
  </rv>
  <rv s="6">
    <fb>106.87</fb>
    <v>11</v>
  </rv>
  <rv s="6">
    <fb>96.85</fb>
    <v>11</v>
  </rv>
  <rv s="6">
    <fb>90413824</fb>
    <v>12</v>
  </rv>
  <rv s="6">
    <fb>113.33</fb>
    <v>11</v>
  </rv>
  <rv s="6">
    <fb>107.48</fb>
    <v>11</v>
  </rv>
  <rv s="6">
    <fb>115.83</fb>
    <v>11</v>
  </rv>
  <rv s="6">
    <fb>102.6</fb>
    <v>11</v>
  </rv>
  <rv s="6">
    <fb>119610924</fb>
    <v>12</v>
  </rv>
  <rv s="6">
    <fb>98.99</fb>
    <v>11</v>
  </rv>
  <rv s="6">
    <fb>114.45</fb>
    <v>11</v>
  </rv>
  <rv s="6">
    <fb>115.42</fb>
    <v>11</v>
  </rv>
  <rv s="6">
    <fb>133192935</fb>
    <v>12</v>
  </rv>
  <rv s="6">
    <fb>100.04</fb>
    <v>11</v>
  </rv>
  <rv s="6">
    <fb>98.07</fb>
    <v>11</v>
  </rv>
  <rv s="6">
    <fb>103.62</fb>
    <v>11</v>
  </rv>
  <rv s="6">
    <fb>96.26</fb>
    <v>11</v>
  </rv>
  <rv s="6">
    <fb>91876565</fb>
    <v>12</v>
  </rv>
  <rv s="6">
    <fb>108.38</fb>
    <v>11</v>
  </rv>
  <rv s="6">
    <fb>110.1</fb>
    <v>11</v>
  </rv>
  <rv s="6">
    <fb>99.38</fb>
    <v>11</v>
  </rv>
  <rv s="6">
    <fb>62808062</fb>
    <v>12</v>
  </rv>
  <rv s="6">
    <fb>114.06</fb>
    <v>11</v>
  </rv>
  <rv s="6">
    <fb>109.2</fb>
    <v>11</v>
  </rv>
  <rv s="6">
    <fb>115.68</fb>
    <v>11</v>
  </rv>
  <rv s="6">
    <fb>66525279</fb>
    <v>12</v>
  </rv>
  <rv s="6">
    <fb>103.65</fb>
    <v>11</v>
  </rv>
  <rv s="6">
    <fb>113.36</fb>
    <v>11</v>
  </rv>
  <rv s="6">
    <fb>115.25</fb>
    <v>11</v>
  </rv>
  <rv s="6">
    <fb>103.27</fb>
    <v>11</v>
  </rv>
  <rv s="6">
    <fb>74747739</fb>
    <v>12</v>
  </rv>
  <rv s="6">
    <fb>123.84</fb>
    <v>11</v>
  </rv>
  <rv s="6">
    <fb>102.97</fb>
    <v>11</v>
  </rv>
  <rv s="6">
    <fb>124.07</fb>
    <v>11</v>
  </rv>
  <rv s="6">
    <fb>101.86</fb>
    <v>11</v>
  </rv>
  <rv s="6">
    <fb>113466265</fb>
    <v>12</v>
  </rv>
  <rv s="6">
    <fb>125.44</fb>
    <v>11</v>
  </rv>
  <rv s="6">
    <fb>120.03</fb>
    <v>11</v>
  </rv>
  <rv s="6">
    <fb>51688400</fb>
    <v>12</v>
  </rv>
  <rv s="6">
    <fb>126.03</fb>
    <v>11</v>
  </rv>
  <rv s="6">
    <fb>132.19999999999999</fb>
    <v>11</v>
  </rv>
  <rv s="6">
    <fb>97373181</fb>
    <v>12</v>
  </rv>
  <rv s="6">
    <fb>118.91</fb>
    <v>11</v>
  </rv>
  <rv s="6">
    <fb>131.19</fb>
    <v>11</v>
  </rv>
  <rv s="6">
    <fb>89310988</fb>
    <v>12</v>
  </rv>
  <rv s="6">
    <fb>118.02</fb>
    <v>11</v>
  </rv>
  <rv s="6">
    <fb>119.77</fb>
    <v>11</v>
  </rv>
  <rv s="6">
    <fb>126.35</fb>
    <v>11</v>
  </rv>
  <rv s="6">
    <fb>114.66</fb>
    <v>11</v>
  </rv>
  <rv s="6">
    <fb>78909515</fb>
    <v>12</v>
  </rv>
  <rv s="6">
    <fb>117.33</fb>
    <v>11</v>
  </rv>
  <rv s="6">
    <fb>119.51</fb>
    <v>11</v>
  </rv>
  <rv s="6">
    <fb>34224773</fb>
    <v>12</v>
  </rv>
  <rv s="6">
    <fb>114.38</fb>
    <v>11</v>
  </rv>
  <rv s="6">
    <fb>117.26</fb>
    <v>11</v>
  </rv>
  <rv s="6">
    <fb>119.6</fb>
    <v>11</v>
  </rv>
  <rv s="6">
    <fb>113.85</fb>
    <v>11</v>
  </rv>
  <rv s="6">
    <fb>34006181</fb>
    <v>12</v>
  </rv>
  <rv s="6">
    <fb>111.39</fb>
    <v>11</v>
  </rv>
  <rv s="6">
    <fb>109</fb>
    <v>11</v>
  </rv>
  <rv s="6">
    <fb>122.18</fb>
    <v>11</v>
  </rv>
  <rv s="6">
    <fb>104.96</fb>
    <v>11</v>
  </rv>
  <rv s="6">
    <fb>123208867</fb>
    <v>12</v>
  </rv>
  <rv s="6">
    <fb>104.04</fb>
    <v>11</v>
  </rv>
  <rv s="6">
    <fb>112.13</fb>
    <v>11</v>
  </rv>
  <rv s="6">
    <fb>117.78</fb>
    <v>11</v>
  </rv>
  <rv s="6">
    <fb>101.21</fb>
    <v>11</v>
  </rv>
  <rv s="6">
    <fb>105415424</fb>
    <v>12</v>
  </rv>
  <rv s="6">
    <fb>100.72</fb>
    <v>11</v>
  </rv>
  <rv s="6">
    <fb>106.57</fb>
    <v>11</v>
  </rv>
  <rv s="6">
    <fb>110.14</fb>
    <v>11</v>
  </rv>
  <rv s="6">
    <fb>97.0501</fb>
    <v>11</v>
  </rv>
  <rv s="6">
    <fb>146581445</fb>
    <v>12</v>
  </rv>
  <rv s="6">
    <fb>91.84</fb>
    <v>11</v>
  </rv>
  <rv s="6">
    <fb>99.78</fb>
    <v>11</v>
  </rv>
  <rv s="6">
    <fb>102.68</fb>
    <v>11</v>
  </rv>
  <rv s="6">
    <fb>90.11</fb>
    <v>11</v>
  </rv>
  <rv s="6">
    <fb>112987392</fb>
    <v>12</v>
  </rv>
  <rv s="6">
    <fb>82.79</fb>
    <v>11</v>
  </rv>
  <rv s="6">
    <fb>91.79</fb>
    <v>11</v>
  </rv>
  <rv s="6">
    <fb>97.18</fb>
    <v>11</v>
  </rv>
  <rv s="6">
    <fb>81.86</fb>
    <v>11</v>
  </rv>
  <rv s="6">
    <fb>114094863</fb>
    <v>12</v>
  </rv>
  <rv s="6">
    <fb>87.4</fb>
    <v>11</v>
  </rv>
  <rv s="6">
    <fb>80.569999999999993</fb>
    <v>11</v>
  </rv>
  <rv s="6">
    <fb>92.21</fb>
    <v>11</v>
  </rv>
  <rv s="6">
    <fb>79.95</fb>
    <v>11</v>
  </rv>
  <rv s="6">
    <fb>114963029</fb>
    <v>12</v>
  </rv>
  <rv s="6">
    <fb>89.23</fb>
    <v>11</v>
  </rv>
  <rv s="6">
    <fb>89</fb>
    <v>11</v>
  </rv>
  <rv s="6">
    <fb>87.54</fb>
    <v>11</v>
  </rv>
  <rv s="6">
    <fb>66634967</fb>
    <v>12</v>
  </rv>
  <rv s="6">
    <fb>94.79</fb>
    <v>11</v>
  </rv>
  <rv s="6">
    <fb>90.75</fb>
    <v>11</v>
  </rv>
  <rv s="6">
    <fb>97.48</fb>
    <v>11</v>
  </rv>
  <rv s="6">
    <fb>86.7</fb>
    <v>11</v>
  </rv>
  <rv s="6">
    <fb>79912997</fb>
    <v>12</v>
  </rv>
  <rv s="6">
    <fb>101.58</fb>
    <v>11</v>
  </rv>
  <rv s="6">
    <fb>94.81</fb>
    <v>11</v>
  </rv>
  <rv s="6">
    <fb>102.22</fb>
    <v>11</v>
  </rv>
  <rv s="6">
    <fb>93.34</fb>
    <v>11</v>
  </rv>
  <rv s="6">
    <fb>88550262</fb>
    <v>12</v>
  </rv>
  <rv s="6">
    <fb>94.5</fb>
    <v>11</v>
  </rv>
  <rv s="6">
    <fb>83118662</fb>
    <v>12</v>
  </rv>
  <rv s="6">
    <fb>101.12</fb>
    <v>11</v>
  </rv>
  <rv s="6">
    <fb>102.41</fb>
    <v>11</v>
  </rv>
  <rv s="6">
    <fb>96.43</fb>
    <v>11</v>
  </rv>
  <rv s="6">
    <fb>62852590</fb>
    <v>12</v>
  </rv>
  <rv s="6">
    <fb>98.36</fb>
    <v>11</v>
  </rv>
  <rv s="6">
    <fb>97.07</fb>
    <v>11</v>
  </rv>
  <rv s="6">
    <fb>37632990</fb>
    <v>12</v>
  </rv>
  <rv s="6">
    <fb>105.7</fb>
    <v>11</v>
  </rv>
  <rv s="6">
    <fb>98.34</fb>
    <v>11</v>
  </rv>
  <rv s="6">
    <fb>105.79</fb>
    <v>11</v>
  </rv>
  <rv s="6">
    <fb>97.82</fb>
    <v>11</v>
  </rv>
  <rv s="6">
    <fb>67075977</fb>
    <v>12</v>
  </rv>
  <rv s="6">
    <fb>103.81</fb>
    <v>11</v>
  </rv>
  <rv s="6">
    <fb>105.9</fb>
    <v>11</v>
  </rv>
  <rv s="6">
    <fb>106.44</fb>
    <v>11</v>
  </rv>
  <rv s="6">
    <fb>102.82</fb>
    <v>11</v>
  </rv>
  <rv s="6">
    <fb>49239645</fb>
    <v>12</v>
  </rv>
  <rv s="6">
    <fb>111.51</fb>
    <v>11</v>
  </rv>
  <rv s="6">
    <fb>111.85</fb>
    <v>11</v>
  </rv>
  <rv s="6">
    <fb>102.21</fb>
    <v>11</v>
  </rv>
  <rv s="6">
    <fb>57889759</fb>
    <v>12</v>
  </rv>
  <rv s="6">
    <fb>95.9</fb>
    <v>11</v>
  </rv>
  <rv s="6">
    <fb>110.7</fb>
    <v>11</v>
  </rv>
  <rv s="6">
    <fb>93.14</fb>
    <v>11</v>
  </rv>
  <rv s="6">
    <fb>150884422</fb>
    <v>12</v>
  </rv>
  <rv s="6">
    <fb>90.03</fb>
    <v>11</v>
  </rv>
  <rv s="6">
    <fb>95.746099999999998</fb>
    <v>11</v>
  </rv>
  <rv s="6">
    <fb>67978092</fb>
    <v>12</v>
  </rv>
  <rv s="6">
    <fb>90.84</fb>
    <v>11</v>
  </rv>
  <rv s="6">
    <fb>90.41</fb>
    <v>11</v>
  </rv>
  <rv s="6">
    <fb>88.11</fb>
    <v>11</v>
  </rv>
  <rv s="6">
    <fb>51338054</fb>
    <v>12</v>
  </rv>
  <rv s="6">
    <fb>87.88</fb>
    <v>11</v>
  </rv>
  <rv s="6">
    <fb>85.74</fb>
    <v>11</v>
  </rv>
  <rv s="6">
    <fb>64391989</fb>
    <v>12</v>
  </rv>
  <rv s="6">
    <fb>92.49</fb>
    <v>11</v>
  </rv>
  <rv s="6">
    <fb>87.56</fb>
    <v>11</v>
  </rv>
  <rv s="6">
    <fb>93.28</fb>
    <v>11</v>
  </rv>
  <rv s="6">
    <fb>86.15</fb>
    <v>11</v>
  </rv>
  <rv s="6">
    <fb>63244280</fb>
    <v>12</v>
  </rv>
  <rv s="6">
    <fb>92.98</fb>
    <v>11</v>
  </rv>
  <rv s="6">
    <fb>104</fb>
    <v>11</v>
  </rv>
  <rv s="6">
    <fb>92.85</fb>
    <v>11</v>
  </rv>
  <rv s="6">
    <fb>77366448</fb>
    <v>12</v>
  </rv>
  <rv s="6">
    <fb>99.59</fb>
    <v>11</v>
  </rv>
  <rv s="6">
    <fb>102.95</fb>
    <v>11</v>
  </rv>
  <rv s="6">
    <fb>103.45</fb>
    <v>11</v>
  </rv>
  <rv s="6">
    <fb>98.53</fb>
    <v>11</v>
  </rv>
  <rv s="6">
    <fb>34335478</fb>
    <v>12</v>
  </rv>
  <rv s="6">
    <fb>100.29</fb>
    <v>11</v>
  </rv>
  <rv s="6">
    <fb>101.63</fb>
    <v>11</v>
  </rv>
  <rv s="6">
    <fb>44558511</fb>
    <v>12</v>
  </rv>
  <rv s="6">
    <fb>94.45</fb>
    <v>11</v>
  </rv>
  <rv s="6">
    <fb>93.247399999999999</fb>
    <v>11</v>
  </rv>
  <rv s="6">
    <fb>46237797</fb>
    <v>12</v>
  </rv>
  <rv s="6">
    <fb>88.44</fb>
    <v>11</v>
  </rv>
  <rv s="6">
    <fb>95.22</fb>
    <v>11</v>
  </rv>
  <rv s="6">
    <fb>95.88</fb>
    <v>11</v>
  </rv>
  <rv s="6">
    <fb>87.21</fb>
    <v>11</v>
  </rv>
  <rv s="6">
    <fb>55748403</fb>
    <v>12</v>
  </rv>
  <rv s="6">
    <fb>96.67</fb>
    <v>11</v>
  </rv>
  <rv s="6">
    <fb>97</fb>
    <v>11</v>
  </rv>
  <rv s="6">
    <fb>62274597</fb>
    <v>12</v>
  </rv>
  <rv s="6">
    <fb>97.06</fb>
    <v>11</v>
  </rv>
  <rv s="6">
    <fb>95.2</fb>
    <v>11</v>
  </rv>
  <rv s="6">
    <fb>101.27</fb>
    <v>11</v>
  </rv>
  <rv s="6">
    <fb>60429462</fb>
    <v>12</v>
  </rv>
  <rv s="6">
    <fb>98.39</fb>
    <v>11</v>
  </rv>
  <rv s="6">
    <fb>96.19</fb>
    <v>11</v>
  </rv>
  <rv s="6">
    <fb>98.7</fb>
    <v>11</v>
  </rv>
  <rv s="6">
    <fb>94.09</fb>
    <v>11</v>
  </rv>
  <rv s="6">
    <fb>52589308</fb>
    <v>12</v>
  </rv>
  <rv s="6">
    <fb>85.89</fb>
    <v>11</v>
  </rv>
  <rv s="6">
    <fb>98.43</fb>
    <v>11</v>
  </rv>
  <rv s="6">
    <fb>99.84</fb>
    <v>11</v>
  </rv>
  <rv s="6">
    <fb>84.5</fb>
    <v>11</v>
  </rv>
  <rv s="6">
    <fb>135323922</fb>
    <v>12</v>
  </rv>
  <rv s="6">
    <fb>91.25</fb>
    <v>11</v>
  </rv>
  <rv s="6">
    <fb>85.73</fb>
    <v>11</v>
  </rv>
  <rv s="6">
    <fb>93.1</fb>
    <v>11</v>
  </rv>
  <rv s="6">
    <fb>55628087</fb>
    <v>12</v>
  </rv>
  <rv s="6">
    <fb>97.03</fb>
    <v>11</v>
  </rv>
  <rv s="6">
    <fb>91.23</fb>
    <v>11</v>
  </rv>
  <rv s="6">
    <fb>97.74</fb>
    <v>11</v>
  </rv>
  <rv s="6">
    <fb>90.5</fb>
    <v>11</v>
  </rv>
  <rv s="6">
    <fb>51942289</fb>
    <v>12</v>
  </rv>
  <rv s="6">
    <fb>96.59</fb>
    <v>11</v>
  </rv>
  <rv s="6">
    <fb>95.91</fb>
    <v>11</v>
  </rv>
  <rv s="6">
    <fb>96.83</fb>
    <v>11</v>
  </rv>
  <rv s="6">
    <fb>92.95</fb>
    <v>11</v>
  </rv>
  <rv s="6">
    <fb>40962538</fb>
    <v>12</v>
  </rv>
  <rv s="6">
    <fb>95.87</fb>
    <v>11</v>
  </rv>
  <rv s="6">
    <fb>97.216800000000006</fb>
    <v>11</v>
  </rv>
  <rv s="6">
    <fb>94.4</fb>
    <v>11</v>
  </rv>
  <rv s="6">
    <fb>36127095</fb>
    <v>12</v>
  </rv>
  <rv s="6">
    <fb>97.58</fb>
    <v>11</v>
  </rv>
  <rv s="6">
    <fb>95.67</fb>
    <v>11</v>
  </rv>
  <rv s="6">
    <fb>98.245000000000005</fb>
    <v>11</v>
  </rv>
  <rv s="6">
    <fb>94.91</fb>
    <v>11</v>
  </rv>
  <rv s="6">
    <fb>34786813</fb>
    <v>12</v>
  </rv>
  <rv s="6">
    <fb>97.38</fb>
    <v>11</v>
  </rv>
  <rv s="6">
    <fb>96.97</fb>
    <v>11</v>
  </rv>
  <rv s="6">
    <fb>98.85</fb>
    <v>11</v>
  </rv>
  <rv s="6">
    <fb>96.57</fb>
    <v>11</v>
  </rv>
  <rv s="6">
    <fb>27188383</fb>
    <v>12</v>
  </rv>
  <rv s="6">
    <fb>97.76</fb>
    <v>11</v>
  </rv>
  <rv s="6">
    <fb>100.32</fb>
    <v>11</v>
  </rv>
  <rv s="6">
    <fb>28079131</fb>
    <v>12</v>
  </rv>
  <rv s="6">
    <fb>99.48</fb>
    <v>11</v>
  </rv>
  <rv s="6">
    <fb>99.49</fb>
    <v>11</v>
  </rv>
  <rv s="6">
    <fb>95.33</fb>
    <v>11</v>
  </rv>
  <rv s="6">
    <fb>42779918</fb>
    <v>12</v>
  </rv>
  <rv s="6">
    <fb>95.94</fb>
    <v>11</v>
  </rv>
  <rv s="6">
    <fb>99.9</fb>
    <v>11</v>
  </rv>
  <rv s="6">
    <fb>100.35</fb>
    <v>11</v>
  </rv>
  <rv s="6">
    <fb>93.26</fb>
    <v>11</v>
  </rv>
  <rv s="6">
    <fb>50789625</fb>
    <v>12</v>
  </rv>
  <rv s="6">
    <fb>95.38</fb>
    <v>11</v>
  </rv>
  <rv s="6">
    <fb>99.53</fb>
    <v>11</v>
  </rv>
  <rv s="6">
    <fb>94.04</fb>
    <v>11</v>
  </rv>
  <rv s="6">
    <fb>39679958</fb>
    <v>12</v>
  </rv>
  <rv s="6">
    <fb>104.82</fb>
    <v>11</v>
  </rv>
  <rv s="6">
    <fb>98</fb>
    <v>11</v>
  </rv>
  <rv s="6">
    <fb>106.97</fb>
    <v>11</v>
  </rv>
  <rv s="6">
    <fb>55677730</fb>
    <v>12</v>
  </rv>
  <rv s="6">
    <fb>101.47</fb>
    <v>11</v>
  </rv>
  <rv s="6">
    <fb>103.18</fb>
    <v>11</v>
  </rv>
  <rv s="6">
    <fb>104.53</fb>
    <v>11</v>
  </rv>
  <rv s="6">
    <fb>97.63</fb>
    <v>11</v>
  </rv>
  <rv s="6">
    <fb>41009400</fb>
    <v>12</v>
  </rv>
  <rv s="6">
    <fb>127.5</fb>
    <v>11</v>
  </rv>
  <rv s="6">
    <fb>100.5</fb>
    <v>11</v>
  </rv>
  <rv s="6">
    <fb>127.85</fb>
    <v>11</v>
  </rv>
  <rv s="6">
    <fb>98.38</fb>
    <v>11</v>
  </rv>
  <rv s="6">
    <fb>124064693</fb>
    <v>12</v>
  </rv>
  <rv s="6">
    <fb>127.42</fb>
    <v>11</v>
  </rv>
  <rv s="6">
    <fb>125.75</fb>
    <v>11</v>
  </rv>
  <rv s="6">
    <fb>46828456</fb>
    <v>12</v>
  </rv>
  <rv s="6">
    <fb>122.03</fb>
    <v>11</v>
  </rv>
  <rv s="6">
    <fb>126.85</fb>
    <v>11</v>
  </rv>
  <rv s="6">
    <fb>126.9</fb>
    <v>11</v>
  </rv>
  <rv s="6">
    <fb>121.62</fb>
    <v>11</v>
  </rv>
  <rv s="6">
    <fb>28431699</fb>
    <v>12</v>
  </rv>
  <rv s="6">
    <fb>114.78</fb>
    <v>11</v>
  </rv>
  <rv s="6">
    <fb>124.26</fb>
    <v>11</v>
  </rv>
  <rv s="6">
    <fb>125.81</fb>
    <v>11</v>
  </rv>
  <rv s="6">
    <fb>113.11</fb>
    <v>11</v>
  </rv>
  <rv s="6">
    <fb>49022509</fb>
    <v>12</v>
  </rv>
  <rv s="6">
    <fb>115.21</fb>
    <v>11</v>
  </rv>
  <rv s="6">
    <fb>110.68</fb>
    <v>11</v>
  </rv>
  <rv s="6">
    <fb>36290728</fb>
    <v>12</v>
  </rv>
  <rv s="6">
    <fb>117.41</fb>
    <v>11</v>
  </rv>
  <rv s="6">
    <fb>116.2</fb>
    <v>11</v>
  </rv>
  <rv s="6">
    <fb>119.46</fb>
    <v>11</v>
  </rv>
  <rv s="6">
    <fb>116.19</fb>
    <v>11</v>
  </rv>
  <rv s="6">
    <fb>20209290</fb>
    <v>12</v>
  </rv>
  <rv s="6">
    <fb>120.81</fb>
    <v>11</v>
  </rv>
  <rv s="6">
    <fb>117.05</fb>
    <v>11</v>
  </rv>
  <rv s="6">
    <fb>120.98</fb>
    <v>11</v>
  </rv>
  <rv s="6">
    <fb>37666761</fb>
    <v>12</v>
  </rv>
  <rv s="6">
    <fb>122.88</fb>
    <v>11</v>
  </rv>
  <rv s="6">
    <fb>120.73</fb>
    <v>11</v>
  </rv>
  <rv s="6">
    <fb>118.4</fb>
    <v>11</v>
  </rv>
  <rv s="6">
    <fb>41032674</fb>
    <v>12</v>
  </rv>
  <rv s="6">
    <fb>124.22</fb>
    <v>11</v>
  </rv>
  <rv s="6">
    <fb>122.84</fb>
    <v>11</v>
  </rv>
  <rv s="6">
    <fb>127.43</fb>
    <v>11</v>
  </rv>
  <rv s="6">
    <fb>122.3</fb>
    <v>11</v>
  </rv>
  <rv s="6">
    <fb>30836546</fb>
    <v>12</v>
  </rv>
  <rv s="6">
    <fb>125.59</fb>
    <v>11</v>
  </rv>
  <rv s="6">
    <fb>127.7372</fb>
    <v>11</v>
  </rv>
  <rv s="6">
    <fb>122.87</fb>
    <v>11</v>
  </rv>
  <rv s="6">
    <fb>21491673</fb>
    <v>12</v>
  </rv>
  <rv s="6">
    <fb>123.8</fb>
    <v>11</v>
  </rv>
  <rv s="6">
    <fb>126.24</fb>
    <v>11</v>
  </rv>
  <rv s="6">
    <fb>123.6</fb>
    <v>11</v>
  </rv>
  <rv s="6">
    <fb>17577733</fb>
    <v>12</v>
  </rv>
  <rv s="6">
    <fb>131.07</fb>
    <v>11</v>
  </rv>
  <rv s="6">
    <fb>124.96</fb>
    <v>11</v>
  </rv>
  <rv s="6">
    <fb>133.88</fb>
    <v>11</v>
  </rv>
  <rv s="6">
    <fb>124.31</fb>
    <v>11</v>
  </rv>
  <rv s="6">
    <fb>38124809</fb>
    <v>12</v>
  </rv>
  <rv s="6">
    <fb>131.47999999999999</fb>
    <v>11</v>
  </rv>
  <rv s="6">
    <fb>133.93</fb>
    <v>11</v>
  </rv>
  <rv s="6">
    <fb>33276600</fb>
    <v>12</v>
  </rv>
  <rv s="6">
    <fb>135.04</fb>
    <v>11</v>
  </rv>
  <rv s="6">
    <fb>143.46</fb>
    <v>11</v>
  </rv>
  <rv s="6">
    <fb>131.06</fb>
    <v>11</v>
  </rv>
  <rv s="6">
    <fb>61089654</fb>
    <v>12</v>
  </rv>
  <rv s="6">
    <fb>142.44999999999999</fb>
    <v>11</v>
  </rv>
  <rv s="6">
    <fb>138.65</fb>
    <v>11</v>
  </rv>
  <rv s="6">
    <fb>142.49</fb>
    <v>11</v>
  </rv>
  <rv s="6">
    <fb>137.03</fb>
    <v>11</v>
  </rv>
  <rv s="6">
    <fb>37163636</fb>
    <v>12</v>
  </rv>
  <rv s="6">
    <fb>140.25</fb>
    <v>11</v>
  </rv>
  <rv s="6">
    <fb>141.77000000000001</fb>
    <v>11</v>
  </rv>
  <rv s="6">
    <fb>142.41</fb>
    <v>11</v>
  </rv>
  <rv s="6">
    <fb>25542472</fb>
    <v>12</v>
  </rv>
  <rv s="6">
    <fb>144.82</fb>
    <v>11</v>
  </rv>
  <rv s="6">
    <fb>145.29920000000001</fb>
    <v>11</v>
  </rv>
  <rv s="6">
    <fb>29739686</fb>
    <v>12</v>
  </rv>
  <rv s="6">
    <fb>142.22</fb>
    <v>11</v>
  </rv>
  <rv s="6">
    <fb>145.19</fb>
    <v>11</v>
  </rv>
  <rv s="6">
    <fb>145.94999999999999</fb>
    <v>11</v>
  </rv>
  <rv s="6">
    <fb>140.05000000000001</fb>
    <v>11</v>
  </rv>
  <rv s="6">
    <fb>25902840</fb>
    <v>12</v>
  </rv>
  <rv s="6">
    <fb>143.25</fb>
    <v>11</v>
  </rv>
  <rv s="6">
    <fb>142.99</fb>
    <v>11</v>
  </rv>
  <rv s="6">
    <fb>144.49</fb>
    <v>11</v>
  </rv>
  <rv s="6">
    <fb>141.5196</fb>
    <v>11</v>
  </rv>
  <rv s="6">
    <fb>15024141</fb>
    <v>12</v>
  </rv>
  <rv s="6">
    <fb>139.13999999999999</fb>
    <v>11</v>
  </rv>
  <rv s="6">
    <fb>143.12</fb>
    <v>11</v>
  </rv>
  <rv s="6">
    <fb>143.91999999999999</fb>
    <v>11</v>
  </rv>
  <rv s="6">
    <fb>138.26</fb>
    <v>11</v>
  </rv>
  <rv s="6">
    <fb>23461296</fb>
    <v>12</v>
  </rv>
  <rv s="6">
    <fb>142.84</fb>
    <v>11</v>
  </rv>
  <rv s="6">
    <fb>139.74</fb>
    <v>11</v>
  </rv>
  <rv s="6">
    <fb>21420909</fb>
    <v>12</v>
  </rv>
  <rv s="6">
    <fb>140.9</fb>
    <v>11</v>
  </rv>
  <rv s="6">
    <fb>140.321</fb>
    <v>11</v>
  </rv>
  <rv s="6">
    <fb>27137696</fb>
    <v>12</v>
  </rv>
  <rv s="6">
    <fb>142.02000000000001</fb>
    <v>11</v>
  </rv>
  <rv s="6">
    <fb>145.44999999999999</fb>
    <v>11</v>
  </rv>
  <rv s="6">
    <fb>24836916</fb>
    <v>12</v>
  </rv>
  <rv s="6">
    <fb>140.83000000000001</fb>
    <v>11</v>
  </rv>
  <rv s="6">
    <fb>148.29</fb>
    <v>11</v>
  </rv>
  <rv s="6">
    <fb>21613989</fb>
    <v>12</v>
  </rv>
  <rv s="6">
    <fb>143.11000000000001</fb>
    <v>11</v>
  </rv>
  <rv s="6">
    <fb>148.005</fb>
    <v>11</v>
  </rv>
  <rv s="6">
    <fb>142.71</fb>
    <v>11</v>
  </rv>
  <rv s="6">
    <fb>19938807</fb>
    <v>12</v>
  </rv>
  <rv s="6">
    <fb>142.91999999999999</fb>
    <v>11</v>
  </rv>
  <rv s="6">
    <fb>143.04</fb>
    <v>11</v>
  </rv>
  <rv s="6">
    <fb>145.74</fb>
    <v>11</v>
  </rv>
  <rv s="6">
    <fb>141.21</fb>
    <v>11</v>
  </rv>
  <rv s="6">
    <fb>18501634</fb>
    <v>12</v>
  </rv>
  <rv s="6">
    <fb>142.87</fb>
    <v>11</v>
  </rv>
  <rv s="6">
    <fb>144.43</fb>
    <v>11</v>
  </rv>
  <rv s="6">
    <fb>147.4</fb>
    <v>11</v>
  </rv>
  <rv s="6">
    <fb>138.66</fb>
    <v>11</v>
  </rv>
  <rv s="6">
    <fb>62503748</fb>
    <v>12</v>
  </rv>
  <rv s="6">
    <fb>152.19999999999999</fb>
    <v>11</v>
  </rv>
  <rv s="6">
    <fb>143.61000000000001</fb>
    <v>11</v>
  </rv>
  <rv s="6">
    <fb>153.52000000000001</fb>
    <v>11</v>
  </rv>
  <rv s="6">
    <fb>143.4</fb>
    <v>11</v>
  </rv>
  <rv s="6">
    <fb>48834780</fb>
    <v>12</v>
  </rv>
  <rv s="6">
    <fb>156.6</fb>
    <v>11</v>
  </rv>
  <rv s="6">
    <fb>151.91</fb>
    <v>11</v>
  </rv>
  <rv s="6">
    <fb>158.59</fb>
    <v>11</v>
  </rv>
  <rv s="6">
    <fb>29271779</fb>
    <v>12</v>
  </rv>
  <rv s="6">
    <fb>160.81</fb>
    <v>11</v>
  </rv>
  <rv s="6">
    <fb>156.55000000000001</fb>
    <v>11</v>
  </rv>
  <rv s="6">
    <fb>161.1</fb>
    <v>11</v>
  </rv>
  <rv s="6">
    <fb>155.30000000000001</fb>
    <v>11</v>
  </rv>
  <rv s="6">
    <fb>26369945</fb>
    <v>12</v>
  </rv>
  <rv s="6">
    <fb>161.78</fb>
    <v>11</v>
  </rv>
  <rv s="6">
    <fb>153</fb>
    <v>11</v>
  </rv>
  <rv s="6">
    <fb>27515505</fb>
    <v>12</v>
  </rv>
  <rv s="6">
    <fb>162.43</fb>
    <v>11</v>
  </rv>
  <rv s="6">
    <fb>157.86000000000001</fb>
    <v>11</v>
  </rv>
  <rv s="6">
    <fb>164.1</fb>
    <v>11</v>
  </rv>
  <rv s="6">
    <fb>156.43</fb>
    <v>11</v>
  </rv>
  <rv s="6">
    <fb>23500034</fb>
    <v>12</v>
  </rv>
  <rv s="6">
    <fb>165.18</fb>
    <v>11</v>
  </rv>
  <rv s="6">
    <fb>165.36</fb>
    <v>11</v>
  </rv>
  <rv s="6">
    <fb>160.74</fb>
    <v>11</v>
  </rv>
  <rv s="6">
    <fb>18312954</fb>
    <v>12</v>
  </rv>
  <rv s="6">
    <fb>158.03</fb>
    <v>11</v>
  </rv>
  <rv s="6">
    <fb>165.49</fb>
    <v>11</v>
  </rv>
  <rv s="6">
    <fb>166.87</fb>
    <v>11</v>
  </rv>
  <rv s="6">
    <fb>25621421</fb>
    <v>12</v>
  </rv>
  <rv s="6">
    <fb>155.68</fb>
    <v>11</v>
  </rv>
  <rv s="6">
    <fb>147.30000000000001</fb>
    <v>11</v>
  </rv>
  <rv s="6">
    <fb>43290432</fb>
    <v>12</v>
  </rv>
  <rv s="6">
    <fb>158.02000000000001</fb>
    <v>11</v>
  </rv>
  <rv s="6">
    <fb>154.29</fb>
    <v>11</v>
  </rv>
  <rv s="6">
    <fb>158.19</fb>
    <v>11</v>
  </rv>
  <rv s="6">
    <fb>151.4</fb>
    <v>11</v>
  </rv>
  <rv s="6">
    <fb>27246345</fb>
    <v>12</v>
  </rv>
  <rv s="6">
    <fb>149.41</fb>
    <v>11</v>
  </rv>
  <rv s="6">
    <fb>158.78</fb>
    <v>11</v>
  </rv>
  <rv s="6">
    <fb>159.97</fb>
    <v>11</v>
  </rv>
  <rv s="6">
    <fb>148</fb>
    <v>11</v>
  </rv>
  <rv s="6">
    <fb>31385886</fb>
    <v>12</v>
  </rv>
  <rv s="6">
    <fb>144.25</fb>
    <v>11</v>
  </rv>
  <rv s="6">
    <fb>19583763</fb>
    <v>12</v>
  </rv>
  <rv s="6">
    <fb>150.34</fb>
    <v>11</v>
  </rv>
  <rv s="6">
    <fb>161.35</fb>
    <v>11</v>
  </rv>
  <rv s="6">
    <fb>30990303</fb>
    <v>12</v>
  </rv>
  <rv s="6">
    <fb>188.54</fb>
    <v>11</v>
  </rv>
  <rv s="6">
    <fb>162.91</fb>
    <v>11</v>
  </rv>
  <rv s="6">
    <fb>191.5</fb>
    <v>11</v>
  </rv>
  <rv s="6">
    <fb>160.02010000000001</fb>
    <v>11</v>
  </rv>
  <rv s="6">
    <fb>93613031</fb>
    <v>12</v>
  </rv>
  <rv s="6">
    <fb>184.04</fb>
    <v>11</v>
  </rv>
  <rv s="6">
    <fb>188.685</fb>
    <v>11</v>
  </rv>
  <rv s="6">
    <fb>190.25</fb>
    <v>11</v>
  </rv>
  <rv s="6">
    <fb>179.38</fb>
    <v>11</v>
  </rv>
  <rv s="6">
    <fb>36073951</fb>
    <v>12</v>
  </rv>
  <rv s="6">
    <fb>180.27</fb>
    <v>11</v>
  </rv>
  <rv s="6">
    <fb>184.97380000000001</fb>
    <v>11</v>
  </rv>
  <rv s="6">
    <fb>177.81489999999999</fb>
    <v>11</v>
  </rv>
  <rv s="6">
    <fb>24886436</fb>
    <v>12</v>
  </rv>
  <rv s="6">
    <fb>181</fb>
    <v>11</v>
  </rv>
  <rv s="6">
    <fb>182.27</fb>
    <v>11</v>
  </rv>
  <rv s="6">
    <fb>167.6</fb>
    <v>11</v>
  </rv>
  <rv s="6">
    <fb>35099724</fb>
    <v>12</v>
  </rv>
  <rv s="6">
    <fb>166.54</fb>
    <v>11</v>
  </rv>
  <rv s="6">
    <fb>172.45</fb>
    <v>11</v>
  </rv>
  <rv s="6">
    <fb>165.72</fb>
    <v>11</v>
  </rv>
  <rv s="6">
    <fb>32752953</fb>
    <v>12</v>
  </rv>
  <rv s="6">
    <fb>165.95</fb>
    <v>11</v>
  </rv>
  <rv s="6">
    <fb>166.91</fb>
    <v>11</v>
  </rv>
  <rv s="6">
    <fb>171.2363</fb>
    <v>11</v>
  </rv>
  <rv s="6">
    <fb>164.23</fb>
    <v>11</v>
  </rv>
  <rv s="6">
    <fb>25425079</fb>
    <v>12</v>
  </rv>
  <rv s="6">
    <fb>174.74</fb>
    <v>11</v>
  </rv>
  <rv s="6">
    <fb>166.43</fb>
    <v>11</v>
  </rv>
  <rv s="6">
    <fb>164.73</fb>
    <v>11</v>
  </rv>
  <rv s="6">
    <fb>27066885</fb>
    <v>12</v>
  </rv>
  <rv s="6">
    <fb>176.42</fb>
    <v>11</v>
  </rv>
  <rv s="6">
    <fb>173.4</fb>
    <v>11</v>
  </rv>
  <rv s="6">
    <fb>180.39</fb>
    <v>11</v>
  </rv>
  <rv s="6">
    <fb>172.44</fb>
    <v>11</v>
  </rv>
  <rv s="6">
    <fb>23967076</fb>
    <v>12</v>
  </rv>
  <rv s="6">
    <fb>182.35</fb>
    <v>11</v>
  </rv>
  <rv s="6">
    <fb>178.1</fb>
    <v>11</v>
  </rv>
  <rv s="6">
    <fb>178.03</fb>
    <v>11</v>
  </rv>
  <rv s="6">
    <fb>27091829</fb>
    <v>12</v>
  </rv>
  <rv s="6">
    <fb>187.35</fb>
    <v>11</v>
  </rv>
  <rv s="6">
    <fb>183.61</fb>
    <v>11</v>
  </rv>
  <rv s="6">
    <fb>189.95</fb>
    <v>11</v>
  </rv>
  <rv s="6">
    <fb>27579064</fb>
    <v>12</v>
  </rv>
  <rv s="6">
    <fb>186.46</fb>
    <v>11</v>
  </rv>
  <rv s="6">
    <fb>186.55</fb>
    <v>11</v>
  </rv>
  <rv s="6">
    <fb>28985096</fb>
    <v>12</v>
  </rv>
  <rv s="6">
    <fb>198.02</fb>
    <v>11</v>
  </rv>
  <rv s="6">
    <fb>182.11</fb>
    <v>11</v>
  </rv>
  <rv s="6">
    <fb>176.58</fb>
    <v>11</v>
  </rv>
  <rv s="6">
    <fb>55295860</fb>
    <v>12</v>
  </rv>
  <rv s="6">
    <fb>199.49</fb>
    <v>11</v>
  </rv>
  <rv s="6">
    <fb>199.1</fb>
    <v>11</v>
  </rv>
  <rv s="6">
    <fb>200.81989999999999</fb>
    <v>11</v>
  </rv>
  <rv s="6">
    <fb>192.1</fb>
    <v>11</v>
  </rv>
  <rv s="6">
    <fb>39490291</fb>
    <v>12</v>
  </rv>
  <rv s="6">
    <fb>194.16</fb>
    <v>11</v>
  </rv>
  <rv s="6">
    <fb>201.95</fb>
    <v>11</v>
  </rv>
  <rv s="6">
    <fb>204.38</fb>
    <v>11</v>
  </rv>
  <rv s="6">
    <fb>191.16</fb>
    <v>11</v>
  </rv>
  <rv s="6">
    <fb>70234668</fb>
    <v>12</v>
  </rv>
  <rv s="6">
    <fb>199.54</fb>
    <v>11</v>
  </rv>
  <rv s="6">
    <fb>194.17</fb>
    <v>11</v>
  </rv>
  <rv s="6">
    <fb>200.65</fb>
    <v>11</v>
  </rv>
  <rv s="6">
    <fb>191.03460000000001</fb>
    <v>11</v>
  </rv>
  <rv s="6">
    <fb>32678768</fb>
    <v>12</v>
  </rv>
  <rv s="6">
    <fb>200.01</fb>
    <v>11</v>
  </rv>
  <rv s="6">
    <fb>201.09899999999999</fb>
    <v>11</v>
  </rv>
  <rv s="6">
    <fb>195.21799999999999</fb>
    <v>11</v>
  </rv>
  <rv s="6">
    <fb>23260739</fb>
    <v>12</v>
  </rv>
  <rv s="6">
    <fb>192.02</fb>
    <v>11</v>
  </rv>
  <rv s="6">
    <fb>202.48</fb>
    <v>11</v>
  </rv>
  <rv s="6">
    <fb>189.5</fb>
    <v>11</v>
  </rv>
  <rv s="6">
    <fb>29154041</fb>
    <v>12</v>
  </rv>
  <rv s="6">
    <fb>193.2</fb>
    <v>11</v>
  </rv>
  <rv s="6">
    <fb>191.12</fb>
    <v>11</v>
  </rv>
  <rv s="6">
    <fb>197.7</fb>
    <v>11</v>
  </rv>
  <rv s="6">
    <fb>191</fb>
    <v>11</v>
  </rv>
  <rv s="6">
    <fb>21845224</fb>
    <v>12</v>
  </rv>
  <rv s="6">
    <fb>193.3</fb>
    <v>11</v>
  </rv>
  <rv s="6">
    <fb>197.52</fb>
    <v>11</v>
  </rv>
  <rv s="6">
    <fb>16670722</fb>
    <v>12</v>
  </rv>
  <rv s="6">
    <fb>186.82</fb>
    <v>11</v>
  </rv>
  <rv s="6">
    <fb>195.56</fb>
    <v>11</v>
  </rv>
  <rv s="6">
    <fb>199.68</fb>
    <v>11</v>
  </rv>
  <rv s="6">
    <fb>184.32</fb>
    <v>11</v>
  </rv>
  <rv s="6">
    <fb>37243534</fb>
    <v>12</v>
  </rv>
  <rv s="6">
    <fb>189.36</fb>
    <v>11</v>
  </rv>
  <rv s="6">
    <fb>189.72</fb>
    <v>11</v>
  </rv>
  <rv s="6">
    <fb>178.38</fb>
    <v>11</v>
  </rv>
  <rv s="6">
    <fb>29990362</fb>
    <v>12</v>
  </rv>
  <rv s="6">
    <fb>190.12</fb>
    <v>11</v>
  </rv>
  <rv s="6">
    <fb>187.85</fb>
    <v>11</v>
  </rv>
  <rv s="6">
    <fb>192.64</fb>
    <v>11</v>
  </rv>
  <rv s="6">
    <fb>184.81829999999999</fb>
    <v>11</v>
  </rv>
  <rv s="6">
    <fb>29353021</fb>
    <v>12</v>
  </rv>
  <rv s="6">
    <fb>191.2</fb>
    <v>11</v>
  </rv>
  <rv s="6">
    <fb>191.65</fb>
    <v>11</v>
  </rv>
  <rv s="6">
    <fb>185.26</fb>
    <v>11</v>
  </rv>
  <rv s="6">
    <fb>27198073</fb>
    <v>12</v>
  </rv>
  <rv s="6">
    <fb>191.96</fb>
    <v>11</v>
  </rv>
  <rv s="6">
    <fb>22342748</fb>
    <v>12</v>
  </rv>
  <rv s="6">
    <fb>209.99</fb>
    <v>11</v>
  </rv>
  <rv s="6">
    <fb>196.1</fb>
    <v>11</v>
  </rv>
  <rv s="6">
    <fb>210.02</fb>
    <v>11</v>
  </rv>
  <rv s="6">
    <fb>195.42</fb>
    <v>11</v>
  </rv>
  <rv s="6">
    <fb>32621114</fb>
    <v>12</v>
  </rv>
  <rv s="6">
    <fb>221.23</fb>
    <v>11</v>
  </rv>
  <rv s="6">
    <fb>222.55</fb>
    <v>11</v>
  </rv>
  <rv s="6">
    <fb>206.91</fb>
    <v>11</v>
  </rv>
  <rv s="6">
    <fb>33516427</fb>
    <v>12</v>
  </rv>
  <rv s="6">
    <fb>220.46</fb>
    <v>11</v>
  </rv>
  <rv s="6">
    <fb>224.24</fb>
    <v>11</v>
  </rv>
  <rv s="6">
    <fb>226.07</fb>
    <v>11</v>
  </rv>
  <rv s="6">
    <fb>216.32</fb>
    <v>11</v>
  </rv>
  <rv s="6">
    <fb>41413029</fb>
    <v>12</v>
  </rv>
  <rv s="6">
    <fb>274.60000000000002</fb>
    <v>11</v>
  </rv>
  <rv s="6">
    <fb>222</fb>
    <v>11</v>
  </rv>
  <rv s="6">
    <fb>221.2</fb>
    <v>11</v>
  </rv>
  <rv s="6">
    <fb>89119290</fb>
    <v>12</v>
  </rv>
  <rv s="6">
    <fb>267.43</fb>
    <v>11</v>
  </rv>
  <rv s="6">
    <fb>274.2</fb>
    <v>11</v>
  </rv>
  <rv s="6">
    <fb>286.81</fb>
    <v>11</v>
  </rv>
  <rv s="6">
    <fb>262.70999999999998</fb>
    <v>11</v>
  </rv>
  <rv s="6">
    <fb>60500294</fb>
    <v>12</v>
  </rv>
  <rv s="6">
    <fb>249.47</fb>
    <v>11</v>
  </rv>
  <rv s="6">
    <fb>262</fb>
    <v>11</v>
  </rv>
  <rv s="6">
    <fb>272.45</fb>
    <v>11</v>
  </rv>
  <rv s="6">
    <fb>236.11</fb>
    <v>11</v>
  </rv>
  <rv s="6">
    <fb>59687045</fb>
    <v>12</v>
  </rv>
  <rv s="6">
    <fb>278.52</fb>
    <v>11</v>
  </rv>
  <rv s="6">
    <fb>252.14</fb>
    <v>11</v>
  </rv>
  <rv s="6">
    <fb>281.95999999999998</fb>
    <v>11</v>
  </rv>
  <rv s="6">
    <fb>45434089</fb>
    <v>12</v>
  </rv>
  <rv s="6">
    <fb>285.93</fb>
    <v>11</v>
  </rv>
  <rv s="6">
    <fb>277.74</fb>
    <v>11</v>
  </rv>
  <rv s="6">
    <fb>286.64</fb>
    <v>11</v>
  </rv>
  <rv s="6">
    <fb>274.45</fb>
    <v>11</v>
  </rv>
  <rv s="6">
    <fb>33333488</fb>
    <v>12</v>
  </rv>
  <rv s="6">
    <fb>301.05</fb>
    <v>11</v>
  </rv>
  <rv s="6">
    <fb>288.75</fb>
    <v>11</v>
  </rv>
  <rv s="6">
    <fb>301.18</fb>
    <v>11</v>
  </rv>
  <rv s="6">
    <fb>283.23</fb>
    <v>11</v>
  </rv>
  <rv s="6">
    <fb>52615940</fb>
    <v>12</v>
  </rv>
  <rv s="6">
    <fb>331.44</fb>
    <v>11</v>
  </rv>
  <rv s="6">
    <fb>302.85000000000002</fb>
    <v>11</v>
  </rv>
  <rv s="6">
    <fb>297.60000000000002</fb>
    <v>11</v>
  </rv>
  <rv s="6">
    <fb>80484450</fb>
    <v>12</v>
  </rv>
  <rv s="6">
    <fb>318.45</fb>
    <v>11</v>
  </rv>
  <rv s="6">
    <fb>333.56</fb>
    <v>11</v>
  </rv>
  <rv s="6">
    <fb>333.98</fb>
    <v>11</v>
  </rv>
  <rv s="6">
    <fb>313.27800000000002</fb>
    <v>11</v>
  </rv>
  <rv s="6">
    <fb>56738066</fb>
    <v>12</v>
  </rv>
  <rv s="6">
    <fb>300.94</fb>
    <v>11</v>
  </rv>
  <rv s="6">
    <fb>315.8</fb>
    <v>11</v>
  </rv>
  <rv s="6">
    <fb>319.5</fb>
    <v>11</v>
  </rv>
  <rv s="6">
    <fb>300.36</fb>
    <v>11</v>
  </rv>
  <rv s="6">
    <fb>38774271</fb>
    <v>12</v>
  </rv>
  <rv s="6">
    <fb>295.35000000000002</fb>
    <v>11</v>
  </rv>
  <rv s="6">
    <fb>309.36</fb>
    <v>11</v>
  </rv>
  <rv s="6">
    <fb>322.89999999999998</fb>
    <v>11</v>
  </rv>
  <rv s="6">
    <fb>275.89999999999998</fb>
    <v>11</v>
  </rv>
  <rv s="6">
    <fb>62175340</fb>
    <v>12</v>
  </rv>
  <rv s="6">
    <fb>288.85000000000002</fb>
    <v>11</v>
  </rv>
  <rv s="6">
    <fb>291.94</fb>
    <v>11</v>
  </rv>
  <rv s="6">
    <fb>299.16000000000003</fb>
    <v>11</v>
  </rv>
  <rv s="6">
    <fb>271.22390000000001</fb>
    <v>11</v>
  </rv>
  <rv s="6">
    <fb>61114555</fb>
    <v>12</v>
  </rv>
  <rv s="6">
    <fb>311.64999999999998</fb>
    <v>11</v>
  </rv>
  <rv s="6">
    <fb>291.77</fb>
    <v>11</v>
  </rv>
  <rv s="6">
    <fb>317.49</fb>
    <v>11</v>
  </rv>
  <rv s="6">
    <fb>289.12</fb>
    <v>11</v>
  </rv>
  <rv s="6">
    <fb>57746066</fb>
    <v>12</v>
  </rv>
  <rv s="6">
    <fb>327.77</fb>
    <v>11</v>
  </rv>
  <rv s="6">
    <fb>315.99</fb>
    <v>11</v>
  </rv>
  <rv s="6">
    <fb>338.82</fb>
    <v>11</v>
  </rv>
  <rv s="6">
    <fb>82725727</fb>
    <v>12</v>
  </rv>
  <rv s="6">
    <fb>311.76</fb>
    <v>11</v>
  </rv>
  <rv s="6">
    <fb>329.1499</fb>
    <v>11</v>
  </rv>
  <rv s="6">
    <fb>331.22</fb>
    <v>11</v>
  </rv>
  <rv s="6">
    <fb>292.61500000000001</fb>
    <v>11</v>
  </rv>
  <rv s="6">
    <fb>54122013</fb>
    <v>12</v>
  </rv>
  <rv s="6">
    <fb>320.08999999999997</fb>
    <v>11</v>
  </rv>
  <rv s="6">
    <fb>311.07</fb>
    <v>11</v>
  </rv>
  <rv s="6">
    <fb>320.98</fb>
    <v>11</v>
  </rv>
  <rv s="6">
    <fb>305.73</fb>
    <v>11</v>
  </rv>
  <rv s="6">
    <fb>32167887</fb>
    <v>12</v>
  </rv>
  <rv s="6">
    <fb>326.45999999999998</fb>
    <v>11</v>
  </rv>
  <rv s="6">
    <fb>321.99470000000002</fb>
    <v>11</v>
  </rv>
  <rv s="6">
    <fb>332.05500000000001</fb>
    <v>11</v>
  </rv>
  <rv s="6">
    <fb>319.33999999999997</fb>
    <v>11</v>
  </rv>
  <rv s="6">
    <fb>27378990</fb>
    <v>12</v>
  </rv>
  <rv s="6">
    <fb>324.18</fb>
    <v>11</v>
  </rv>
  <rv s="6">
    <fb>327.25</fb>
    <v>11</v>
  </rv>
  <rv s="6">
    <fb>330.50380000000001</fb>
    <v>11</v>
  </rv>
  <rv s="6">
    <fb>322.43400000000003</fb>
    <v>11</v>
  </rv>
  <rv s="6">
    <fb>21021011</fb>
    <v>12</v>
  </rv>
  <rv s="6">
    <fb>351.29</fb>
    <v>11</v>
  </rv>
  <rv s="6">
    <fb>327.11</fb>
    <v>11</v>
  </rv>
  <rv s="6">
    <fb>354.36</fb>
    <v>11</v>
  </rv>
  <rv s="6">
    <fb>325.45</fb>
    <v>11</v>
  </rv>
  <rv s="6">
    <fb>45246874</fb>
    <v>12</v>
  </rv>
  <rv s="6">
    <fb>359.93</fb>
    <v>11</v>
  </rv>
  <rv s="6">
    <fb>351.5</fb>
    <v>11</v>
  </rv>
  <rv s="6">
    <fb>359.99</fb>
    <v>11</v>
  </rv>
  <rv s="6">
    <fb>346.71</fb>
    <v>11</v>
  </rv>
  <rv s="6">
    <fb>29437431</fb>
    <v>12</v>
  </rv>
  <rv s="6">
    <fb>360.57</fb>
    <v>11</v>
  </rv>
  <rv s="6">
    <fb>362.68470000000002</fb>
    <v>11</v>
  </rv>
  <rv s="6">
    <fb>369.83</fb>
    <v>11</v>
  </rv>
  <rv s="6">
    <fb>355.51</fb>
    <v>11</v>
  </rv>
  <rv s="6">
    <fb>37256118</fb>
    <v>12</v>
  </rv>
  <rv s="6">
    <fb>391.98</fb>
    <v>11</v>
  </rv>
  <rv s="6">
    <fb>361.88</fb>
    <v>11</v>
  </rv>
  <rv s="6">
    <fb>398.86</fb>
    <v>11</v>
  </rv>
  <rv s="6">
    <fb>360.91</fb>
    <v>11</v>
  </rv>
  <rv s="6">
    <fb>55132660</fb>
    <v>12</v>
  </rv>
  <rv s="6">
    <fb>411.09</fb>
    <v>11</v>
  </rv>
  <rv s="6">
    <fb>387.72</fb>
    <v>11</v>
  </rv>
  <rv s="6">
    <fb>423.2056</fb>
    <v>11</v>
  </rv>
  <rv s="6">
    <fb>386.5</fb>
    <v>11</v>
  </rv>
  <rv s="6">
    <fb>68835027</fb>
    <v>12</v>
  </rv>
  <rv s="6">
    <fb>391.43</fb>
    <v>11</v>
  </rv>
  <rv s="6">
    <fb>404.69</fb>
    <v>11</v>
  </rv>
  <rv s="6">
    <fb>411.5865</fb>
    <v>11</v>
  </rv>
  <rv s="6">
    <fb>378.75</fb>
    <v>11</v>
  </rv>
  <rv s="6">
    <fb>75695904</fb>
    <v>12</v>
  </rv>
  <rv s="6">
    <fb>408.25</fb>
    <v>11</v>
  </rv>
  <rv s="6">
    <fb>385.45</fb>
    <v>11</v>
  </rv>
  <rv s="6">
    <fb>408.64949999999999</fb>
    <v>11</v>
  </rv>
  <rv s="6">
    <fb>380</fb>
    <v>11</v>
  </rv>
  <rv s="6">
    <fb>30501344</fb>
    <v>12</v>
  </rv>
  <rv s="6">
    <fb>395.8</fb>
    <v>11</v>
  </rv>
  <rv s="6">
    <fb>415.95</fb>
    <v>11</v>
  </rv>
  <rv s="6">
    <fb>419.77</fb>
    <v>11</v>
  </rv>
  <rv s="6">
    <fb>395.08100000000002</fb>
    <v>11</v>
  </rv>
  <rv s="6">
    <fb>58714864</fb>
    <v>12</v>
  </rv>
  <rv s="6">
    <fb>361.05</fb>
    <v>11</v>
  </rv>
  <rv s="6">
    <fb>398.98</fb>
    <v>11</v>
  </rv>
  <rv s="6">
    <fb>403.35500000000002</fb>
    <v>11</v>
  </rv>
  <rv s="6">
    <fb>344</fb>
    <v>11</v>
  </rv>
  <rv s="6">
    <fb>135109033</fb>
    <v>12</v>
  </rv>
  <rv s="6">
    <fb>355.21</fb>
    <v>11</v>
  </rv>
  <rv s="6">
    <fb>359.14530000000002</fb>
    <v>11</v>
  </rv>
  <rv s="6">
    <fb>367.4</fb>
    <v>11</v>
  </rv>
  <rv s="6">
    <fb>351.65</fb>
    <v>11</v>
  </rv>
  <rv s="6">
    <fb>48816112</fb>
    <v>12</v>
  </rv>
  <rv s="6">
    <fb>343.09</fb>
    <v>11</v>
  </rv>
  <rv s="6">
    <fb>351.93</fb>
    <v>11</v>
  </rv>
  <rv s="6">
    <fb>352.03</fb>
    <v>11</v>
  </rv>
  <rv s="6">
    <fb>328</fb>
    <v>11</v>
  </rv>
  <rv s="6">
    <fb>56116251</fb>
    <v>12</v>
  </rv>
  <rv s="6">
    <fb>345.87</fb>
    <v>11</v>
  </rv>
  <rv s="6">
    <fb>342.86529999999999</fb>
    <v>11</v>
  </rv>
  <rv s="6">
    <fb>357.31</fb>
    <v>11</v>
  </rv>
  <rv s="6">
    <fb>341.74</fb>
    <v>11</v>
  </rv>
  <rv s="6">
    <fb>30729265</fb>
    <v>12</v>
  </rv>
  <rv s="6">
    <fb>316.77999999999997</fb>
    <v>11</v>
  </rv>
  <rv s="6">
    <fb>339.89</fb>
    <v>11</v>
  </rv>
  <rv s="6">
    <fb>347.19</fb>
    <v>11</v>
  </rv>
  <rv s="6">
    <fb>312.95999999999998</fb>
    <v>11</v>
  </rv>
  <rv s="6">
    <fb>41580957</fb>
    <v>12</v>
  </rv>
  <rv s="6">
    <fb>358.82</fb>
    <v>11</v>
  </rv>
  <rv s="6">
    <fb>314.64</fb>
    <v>11</v>
  </rv>
  <rv s="6">
    <fb>359.15</fb>
    <v>11</v>
  </rv>
  <rv s="6">
    <fb>310.928</fb>
    <v>11</v>
  </rv>
  <rv s="6">
    <fb>63303904</fb>
    <v>12</v>
  </rv>
  <rv s="6">
    <fb>367.68</fb>
    <v>11</v>
  </rv>
  <rv s="6">
    <fb>367.14530000000002</fb>
    <v>11</v>
  </rv>
  <rv s="6">
    <fb>376.80849999999998</fb>
    <v>11</v>
  </rv>
  <rv s="6">
    <fb>360</fb>
    <v>11</v>
  </rv>
  <rv s="6">
    <fb>53693111</fb>
    <v>12</v>
  </rv>
  <rv s="6">
    <fb>348.68</fb>
    <v>11</v>
  </rv>
  <rv s="6">
    <fb>366.47</fb>
    <v>11</v>
  </rv>
  <rv s="6">
    <fb>368.88</fb>
    <v>11</v>
  </rv>
  <rv s="6">
    <fb>335.83</fb>
    <v>11</v>
  </rv>
  <rv s="6">
    <fb>42853981</fb>
    <v>12</v>
  </rv>
  <rv s="6">
    <fb>364.56</fb>
    <v>11</v>
  </rv>
  <rv s="6">
    <fb>352.27</fb>
    <v>11</v>
  </rv>
  <rv s="6">
    <fb>374.09</fb>
    <v>11</v>
  </rv>
  <rv s="6">
    <fb>343.08</fb>
    <v>11</v>
  </rv>
  <rv s="6">
    <fb>35553564</fb>
    <v>12</v>
  </rv>
  <rv s="6">
    <fb>361.19</fb>
    <v>11</v>
  </rv>
  <rv s="6">
    <fb>364.22</fb>
    <v>11</v>
  </rv>
  <rv s="6">
    <fb>377.61</fb>
    <v>11</v>
  </rv>
  <rv s="6">
    <fb>349.57</fb>
    <v>11</v>
  </rv>
  <rv s="6">
    <fb>48061421</fb>
    <v>12</v>
  </rv>
  <rv s="6">
    <fb>374.13</fb>
    <v>11</v>
  </rv>
  <rv s="6">
    <fb>359</fb>
    <v>11</v>
  </rv>
  <rv s="6">
    <fb>383.2</fb>
    <v>11</v>
  </rv>
  <rv s="6">
    <fb>354.33</fb>
    <v>11</v>
  </rv>
  <rv s="6">
    <fb>44363190</fb>
    <v>12</v>
  </rv>
  <rv s="6">
    <fb>351.35</fb>
    <v>11</v>
  </rv>
  <rv s="6">
    <fb>375.85</fb>
    <v>11</v>
  </rv>
  <rv s="6">
    <fb>386.79989999999998</fb>
    <v>11</v>
  </rv>
  <rv s="6">
    <fb>343</fb>
    <v>11</v>
  </rv>
  <rv s="6">
    <fb>45411189</fb>
    <v>12</v>
  </rv>
  <rv s="6">
    <fb>339.56</fb>
    <v>11</v>
  </rv>
  <rv s="6">
    <fb>345.18</fb>
    <v>11</v>
  </rv>
  <rv s="6">
    <fb>358.72</fb>
    <v>11</v>
  </rv>
  <rv s="6">
    <fb>315.81</fb>
    <v>11</v>
  </rv>
  <rv s="6">
    <fb>69266492</fb>
    <v>12</v>
  </rv>
  <rv s="6">
    <fb>332.67</fb>
    <v>11</v>
  </rv>
  <rv s="6">
    <fb>337.63</fb>
    <v>11</v>
  </rv>
  <rv s="6">
    <fb>326.93</fb>
    <v>11</v>
  </rv>
  <rv s="6">
    <fb>99160594</fb>
    <v>12</v>
  </rv>
  <rv s="6">
    <fb>299.83</fb>
    <v>11</v>
  </rv>
  <rv s="6">
    <fb>333.1</fb>
    <v>11</v>
  </rv>
  <rv s="6">
    <fb>336.58</fb>
    <v>11</v>
  </rv>
  <rv s="6">
    <fb>292.3</fb>
    <v>11</v>
  </rv>
  <rv s="6">
    <fb>83959111</fb>
    <v>12</v>
  </rv>
  <rv s="6">
    <fb>309.10000000000002</fb>
    <v>11</v>
  </rv>
  <rv s="6">
    <fb>305.26</fb>
    <v>11</v>
  </rv>
  <rv s="6">
    <fb>321.88</fb>
    <v>11</v>
  </rv>
  <rv s="6">
    <fb>271.20929999999998</fb>
    <v>11</v>
  </rv>
  <rv s="6">
    <fb>94184268</fb>
    <v>12</v>
  </rv>
  <rv s="6">
    <fb>303.47000000000003</fb>
    <v>11</v>
  </rv>
  <rv s="6">
    <fb>311.10000000000002</fb>
    <v>11</v>
  </rv>
  <rv s="6">
    <fb>332.04989999999998</fb>
    <v>11</v>
  </rv>
  <rv s="6">
    <fb>298.01</fb>
    <v>11</v>
  </rv>
  <rv s="6">
    <fb>57781092</fb>
    <v>12</v>
  </rv>
  <rv s="6">
    <fb>286.20999999999998</fb>
    <v>11</v>
  </rv>
  <rv s="6">
    <fb>300</fb>
    <v>11</v>
  </rv>
  <rv s="6">
    <fb>303.55</fb>
    <v>11</v>
  </rv>
  <rv s="6">
    <fb>278.29689999999999</fb>
    <v>11</v>
  </rv>
  <rv s="6">
    <fb>58918883</fb>
    <v>12</v>
  </rv>
  <rv s="6">
    <fb>258.82</fb>
    <v>11</v>
  </rv>
  <rv s="6">
    <fb>283.79000000000002</fb>
    <v>11</v>
  </rv>
  <rv s="6">
    <fb>285.08999999999997</fb>
    <v>11</v>
  </rv>
  <rv s="6">
    <fb>45585407</fb>
    <v>12</v>
  </rv>
  <rv s="6">
    <fb>286.13</fb>
    <v>11</v>
  </rv>
  <rv s="6">
    <fb>260.55</fb>
    <v>11</v>
  </rv>
  <rv s="6">
    <fb>290.81</fb>
    <v>11</v>
  </rv>
  <rv s="6">
    <fb>253.8</fb>
    <v>11</v>
  </rv>
  <rv s="6">
    <fb>65633896</fb>
    <v>12</v>
  </rv>
  <rv s="6">
    <fb>265.14</fb>
    <v>11</v>
  </rv>
  <rv s="6">
    <fb>293.19</fb>
    <v>11</v>
  </rv>
  <rv s="6">
    <fb>298.72000000000003</fb>
    <v>11</v>
  </rv>
  <rv s="6">
    <fb>263.38</fb>
    <v>11</v>
  </rv>
  <rv s="6">
    <fb>52413910</fb>
    <v>12</v>
  </rv>
  <rv s="6">
    <fb>266.83999999999997</fb>
    <v>11</v>
  </rv>
  <rv s="6">
    <fb>264.19</fb>
    <v>11</v>
  </rv>
  <rv s="6">
    <fb>281.76949999999999</fb>
    <v>11</v>
  </rv>
  <rv s="6">
    <fb>260.60939999999999</fb>
    <v>11</v>
  </rv>
  <rv s="6">
    <fb>49191508</fb>
    <v>12</v>
  </rv>
  <rv s="6">
    <fb>246.39</fb>
    <v>11</v>
  </rv>
  <rv s="6">
    <fb>266.51</fb>
    <v>11</v>
  </rv>
  <rv s="6">
    <fb>280.87</fb>
    <v>11</v>
  </rv>
  <rv s="6">
    <fb>241.29</fb>
    <v>11</v>
  </rv>
  <rv s="6">
    <fb>71918542</fb>
    <v>12</v>
  </rv>
  <rv s="6">
    <fb>256.08</fb>
    <v>11</v>
  </rv>
  <rv s="6">
    <fb>242</fb>
    <v>11</v>
  </rv>
  <rv s="6">
    <fb>261.9144</fb>
    <v>11</v>
  </rv>
  <rv s="6">
    <fb>231.23</fb>
    <v>11</v>
  </rv>
  <rv s="6">
    <fb>47172854</fb>
    <v>12</v>
  </rv>
  <rv s="6">
    <fb>297.57</fb>
    <v>11</v>
  </rv>
  <rv s="6">
    <fb>260.16000000000003</fb>
    <v>11</v>
  </rv>
  <rv s="6">
    <fb>297.8</fb>
    <v>11</v>
  </rv>
  <rv s="6">
    <fb>256.58</fb>
    <v>11</v>
  </rv>
  <rv s="6">
    <fb>59321400</fb>
    <v>12</v>
  </rv>
  <rv s="6">
    <fb>337.59</fb>
    <v>11</v>
  </rv>
  <rv s="6">
    <fb>302.10000000000002</fb>
    <v>11</v>
  </rv>
  <rv s="6">
    <fb>341.09</fb>
    <v>11</v>
  </rv>
  <rv s="6">
    <fb>301.64999999999998</fb>
    <v>11</v>
  </rv>
  <rv s="6">
    <fb>80135500</fb>
    <v>12</v>
  </rv>
  <rv s="6">
    <fb>339.1</fb>
    <v>11</v>
  </rv>
  <rv s="6">
    <fb>334.24</fb>
    <v>11</v>
  </rv>
  <rv s="6">
    <fb>358.85</fb>
    <v>11</v>
  </rv>
  <rv s="6">
    <fb>329.13</fb>
    <v>11</v>
  </rv>
  <rv s="6">
    <fb>90657897</fb>
    <v>12</v>
  </rv>
  <rv s="6">
    <fb>338.05</fb>
    <v>11</v>
  </rv>
  <rv s="6">
    <fb>334.89</fb>
    <v>11</v>
  </rv>
  <rv s="6">
    <fb>340</fb>
    <v>11</v>
  </rv>
  <rv s="6">
    <fb>318.60000000000002</fb>
    <v>11</v>
  </rv>
  <rv s="6">
    <fb>53235905</fb>
    <v>12</v>
  </rv>
  <rv s="6">
    <fb>339.85</fb>
    <v>11</v>
  </rv>
  <rv s="6">
    <fb>334.7</fb>
    <v>11</v>
  </rv>
  <rv s="6">
    <fb>346.84</fb>
    <v>11</v>
  </rv>
  <rv s="6">
    <fb>328.15100000000001</fb>
    <v>11</v>
  </rv>
  <rv s="6">
    <fb>43808324</fb>
    <v>12</v>
  </rv>
  <rv s="6">
    <fb>347.57</fb>
    <v>11</v>
  </rv>
  <rv s="6">
    <fb>342.6</fb>
    <v>11</v>
  </rv>
  <rv s="6">
    <fb>338</fb>
    <v>11</v>
  </rv>
  <rv s="6">
    <fb>40014167</fb>
    <v>12</v>
  </rv>
  <rv s="6">
    <fb>356.87</fb>
    <v>11</v>
  </rv>
  <rv s="6">
    <fb>350</fb>
    <v>11</v>
  </rv>
  <rv s="6">
    <fb>364.4</fb>
    <v>11</v>
  </rv>
  <rv s="6">
    <fb>344.81</fb>
    <v>11</v>
  </rv>
  <rv s="6">
    <fb>44845628</fb>
    <v>12</v>
  </rv>
  <rv s="6">
    <fb>363.02</fb>
    <v>11</v>
  </rv>
  <rv s="6">
    <fb>355.8</fb>
    <v>11</v>
  </rv>
  <rv s="6">
    <fb>366.71</fb>
    <v>11</v>
  </rv>
  <rv s="6">
    <fb>353.88</fb>
    <v>11</v>
  </rv>
  <rv s="6">
    <fb>28823411</fb>
    <v>12</v>
  </rv>
  <rv s="6">
    <fb>357.32</fb>
    <v>11</v>
  </rv>
  <rv s="6">
    <fb>367.01</fb>
    <v>11</v>
  </rv>
  <rv s="6">
    <fb>371.49</fb>
    <v>11</v>
  </rv>
  <rv s="6">
    <fb>354.69150000000002</fb>
    <v>11</v>
  </rv>
  <rv s="6">
    <fb>29857160</fb>
    <v>12</v>
  </rv>
  <rv s="6">
    <fb>349.6</fb>
    <v>11</v>
  </rv>
  <rv s="6">
    <fb>359.72</fb>
    <v>11</v>
  </rv>
  <rv s="6">
    <fb>362.86</fb>
    <v>11</v>
  </rv>
  <rv s="6">
    <fb>342.47</fb>
    <v>11</v>
  </rv>
  <rv s="6">
    <fb>32686814</fb>
    <v>12</v>
  </rv>
  <rv s="6">
    <fb>361.46</fb>
    <v>11</v>
  </rv>
  <rv s="6">
    <fb>352</fb>
    <v>11</v>
  </rv>
  <rv s="6">
    <fb>364</fb>
    <v>11</v>
  </rv>
  <rv s="6">
    <fb>350.03</fb>
    <v>11</v>
  </rv>
  <rv s="6">
    <fb>30710587</fb>
    <v>12</v>
  </rv>
  <rv s="6">
    <fb>361.01</fb>
    <v>11</v>
  </rv>
  <rv s="6">
    <fb>362.47</fb>
    <v>11</v>
  </rv>
  <rv s="6">
    <fb>379</fb>
    <v>11</v>
  </rv>
  <rv s="6">
    <fb>356.8</fb>
    <v>11</v>
  </rv>
  <rv s="6">
    <fb>42858679</fb>
    <v>12</v>
  </rv>
  <rv s="6">
    <fb>356.56</fb>
    <v>11</v>
  </rv>
  <rv s="6">
    <fb>368.38</fb>
    <v>11</v>
  </rv>
  <rv s="6">
    <fb>349.2</fb>
    <v>11</v>
  </rv>
  <rv s="6">
    <fb>33059286</fb>
    <v>12</v>
  </rv>
  <rv s="6">
    <fb>365.49</fb>
    <v>11</v>
  </rv>
  <rv s="6">
    <fb>373.41050000000001</fb>
    <v>11</v>
  </rv>
  <rv s="6">
    <fb>358.51</fb>
    <v>11</v>
  </rv>
  <rv s="6">
    <fb>26104260</fb>
    <v>12</v>
  </rv>
  <rv s="6">
    <fb>351.14</fb>
    <v>11</v>
  </rv>
  <rv s="6">
    <fb>365.11</fb>
    <v>11</v>
  </rv>
  <rv s="6">
    <fb>370.12</fb>
    <v>11</v>
  </rv>
  <rv s="6">
    <fb>349.36</fb>
    <v>11</v>
  </rv>
  <rv s="6">
    <fb>36811697</fb>
    <v>12</v>
  </rv>
  <rv s="6">
    <fb>360.35</fb>
    <v>11</v>
  </rv>
  <rv s="6">
    <fb>350.71</fb>
    <v>11</v>
  </rv>
  <rv s="6">
    <fb>368.76400000000001</fb>
    <v>11</v>
  </rv>
  <rv s="6">
    <fb>342.27</fb>
    <v>11</v>
  </rv>
  <rv s="6">
    <fb>53989842</fb>
    <v>12</v>
  </rv>
  <rv s="6">
    <fb>374.85</fb>
    <v>11</v>
  </rv>
  <rv s="6">
    <fb>359.7</fb>
    <v>11</v>
  </rv>
  <rv s="6">
    <fb>384.8</fb>
    <v>11</v>
  </rv>
  <rv s="6">
    <fb>40489623</fb>
    <v>12</v>
  </rv>
  <rv s="6">
    <fb>385.03</fb>
    <v>11</v>
  </rv>
  <rv s="6">
    <fb>373.68</fb>
    <v>11</v>
  </rv>
  <rv s="6">
    <fb>385.99</fb>
    <v>11</v>
  </rv>
  <rv s="6">
    <fb>368.34800000000001</fb>
    <v>11</v>
  </rv>
  <rv s="6">
    <fb>27477550</fb>
    <v>12</v>
  </rv>
  <rv s="6">
    <fb>361.04</fb>
    <v>11</v>
  </rv>
  <rv s="6">
    <fb>377.69</fb>
    <v>11</v>
  </rv>
  <rv s="6">
    <fb>381.35</fb>
    <v>11</v>
  </rv>
  <rv s="6">
    <fb>352.75</fb>
    <v>11</v>
  </rv>
  <rv s="6">
    <fb>30879720</fb>
    <v>12</v>
  </rv>
  <rv s="6">
    <fb>354.45</fb>
    <v>11</v>
  </rv>
  <rv s="6">
    <fb>352.29</fb>
    <v>11</v>
  </rv>
  <rv s="6">
    <fb>341.39</fb>
    <v>11</v>
  </rv>
  <rv s="6">
    <fb>30886755</fb>
    <v>12</v>
  </rv>
  <rv s="6">
    <fb>354.39</fb>
    <v>11</v>
  </rv>
  <rv s="6">
    <fb>351.23</fb>
    <v>11</v>
  </rv>
  <rv s="6">
    <fb>370.46</fb>
    <v>11</v>
  </rv>
  <rv s="6">
    <fb>345.4</fb>
    <v>11</v>
  </rv>
  <rv s="6">
    <fb>24338679</fb>
    <v>12</v>
  </rv>
  <rv s="6">
    <fb>343.28</fb>
    <v>11</v>
  </rv>
  <rv s="6">
    <fb>361.2</fb>
    <v>11</v>
  </rv>
  <rv s="6">
    <fb>342.92</fb>
    <v>11</v>
  </rv>
  <rv s="6">
    <fb>19407548</fb>
    <v>12</v>
  </rv>
  <rv s="6">
    <fb>360.87</fb>
    <v>11</v>
  </rv>
  <rv s="6">
    <fb>343.56</fb>
    <v>11</v>
  </rv>
  <rv s="6">
    <fb>365.15</fb>
    <v>11</v>
  </rv>
  <rv s="6">
    <fb>332.65</fb>
    <v>11</v>
  </rv>
  <rv s="6">
    <fb>29248578</fb>
    <v>12</v>
  </rv>
  <rv s="6">
    <fb>339.73</fb>
    <v>11</v>
  </rv>
  <rv s="6">
    <fb>363.65</fb>
    <v>11</v>
  </rv>
  <rv s="6">
    <fb>367.1</fb>
    <v>11</v>
  </rv>
  <rv s="6">
    <fb>336.15499999999997</fb>
    <v>11</v>
  </rv>
  <rv s="6">
    <fb>29020035</fb>
    <v>12</v>
  </rv>
  <rv s="6">
    <fb>369.21</fb>
    <v>11</v>
  </rv>
  <rv s="6">
    <fb>342.69</fb>
    <v>11</v>
  </rv>
  <rv s="6">
    <fb>371.45</fb>
    <v>11</v>
  </rv>
  <rv s="6">
    <fb>342.06</fb>
    <v>11</v>
  </rv>
  <rv s="6">
    <fb>29801740</fb>
    <v>12</v>
  </rv>
  <rv s="6">
    <fb>367.32</fb>
    <v>11</v>
  </rv>
  <rv s="6">
    <fb>370.27</fb>
    <v>11</v>
  </rv>
  <rv s="6">
    <fb>375</fb>
    <v>11</v>
  </rv>
  <rv s="6">
    <fb>358.29</fb>
    <v>11</v>
  </rv>
  <rv s="6">
    <fb>22981581</fb>
    <v>12</v>
  </rv>
  <rv s="6">
    <fb>380.55</fb>
    <v>11</v>
  </rv>
  <rv s="6">
    <fb>373.5</fb>
    <v>11</v>
  </rv>
  <rv s="6">
    <fb>381.99</fb>
    <v>11</v>
  </rv>
  <rv s="6">
    <fb>370.31</fb>
    <v>11</v>
  </rv>
  <rv s="6">
    <fb>16161651</fb>
    <v>12</v>
  </rv>
  <rv s="6">
    <fb>373.25</fb>
    <v>11</v>
  </rv>
  <rv s="6">
    <fb>378.19</fb>
    <v>11</v>
  </rv>
  <rv s="6">
    <fb>384.76</fb>
    <v>11</v>
  </rv>
  <rv s="6">
    <fb>372.79169999999999</fb>
    <v>11</v>
  </rv>
  <rv s="6">
    <fb>26898238</fb>
    <v>12</v>
  </rv>
  <rv s="6">
    <fb>315.10000000000002</fb>
    <v>11</v>
  </rv>
  <rv s="6">
    <fb>372.94</fb>
    <v>11</v>
  </rv>
  <rv s="6">
    <fb>314.23</fb>
    <v>11</v>
  </rv>
  <rv s="6">
    <fb>75055819</fb>
    <v>12</v>
  </rv>
  <rv s="6">
    <fb>335.78</fb>
    <v>11</v>
  </rv>
  <rv s="6">
    <fb>312</fb>
    <v>11</v>
  </rv>
  <rv s="6">
    <fb>336</fb>
    <v>11</v>
  </rv>
  <rv s="6">
    <fb>305.81</fb>
    <v>11</v>
  </rv>
  <rv s="6">
    <fb>60504211</fb>
    <v>12</v>
  </rv>
  <rv s="6">
    <fb>318.83</fb>
    <v>11</v>
  </rv>
  <rv s="6">
    <fb>335.98</fb>
    <v>11</v>
  </rv>
  <rv s="6">
    <fb>336.4</fb>
    <v>11</v>
  </rv>
  <rv s="6">
    <fb>311.8</fb>
    <v>11</v>
  </rv>
  <rv s="6">
    <fb>30915130</fb>
    <v>12</v>
  </rv>
  <rv s="6">
    <fb>308.93</fb>
    <v>11</v>
  </rv>
  <rv s="6">
    <fb>310.95999999999998</fb>
    <v>11</v>
  </rv>
  <rv s="6">
    <fb>316.64</fb>
    <v>11</v>
  </rv>
  <rv s="6">
    <fb>296.81259999999997</fb>
    <v>11</v>
  </rv>
  <rv s="6">
    <fb>35448932</fb>
    <v>12</v>
  </rv>
  <rv s="6">
    <fb>302.8</fb>
    <v>11</v>
  </rv>
  <rv s="6">
    <fb>305.45999999999998</fb>
    <v>11</v>
  </rv>
  <rv s="6">
    <fb>316.43</fb>
    <v>11</v>
  </rv>
  <rv s="6">
    <fb>288</fb>
    <v>11</v>
  </rv>
  <rv s="6">
    <fb>36000377</fb>
    <v>12</v>
  </rv>
  <rv s="6">
    <fb>291.44</fb>
    <v>11</v>
  </rv>
  <rv s="6">
    <fb>306.25</fb>
    <v>11</v>
  </rv>
  <rv s="6">
    <fb>311.75</fb>
    <v>11</v>
  </rv>
  <rv s="6">
    <fb>290.32</fb>
    <v>11</v>
  </rv>
  <rv s="6">
    <fb>29301872</fb>
    <v>12</v>
  </rv>
  <rv s="6">
    <fb>293.75</fb>
    <v>11</v>
  </rv>
  <rv s="6">
    <fb>295.24</fb>
    <v>11</v>
  </rv>
  <rv s="6">
    <fb>299.93</fb>
    <v>11</v>
  </rv>
  <rv s="6">
    <fb>287.1968</fb>
    <v>11</v>
  </rv>
  <rv s="6">
    <fb>23810106</fb>
    <v>12</v>
  </rv>
  <rv s="6">
    <fb>290.17</fb>
    <v>11</v>
  </rv>
  <rv s="6">
    <fb>290.82</fb>
    <v>11</v>
  </rv>
  <rv s="6">
    <fb>293.97000000000003</fb>
    <v>11</v>
  </rv>
  <rv s="6">
    <fb>282.78500000000003</fb>
    <v>11</v>
  </rv>
  <rv s="6">
    <fb>22476754</fb>
    <v>12</v>
  </rv>
  <rv s="6">
    <fb>294.14999999999998</fb>
    <v>11</v>
  </rv>
  <rv s="6">
    <fb>294.81</fb>
    <v>11</v>
  </rv>
  <rv s="6">
    <fb>301.55</fb>
    <v>11</v>
  </rv>
  <rv s="6">
    <fb>282.66289999999998</fb>
    <v>11</v>
  </rv>
  <rv s="6">
    <fb>39552992</fb>
    <v>12</v>
  </rv>
  <rv s="6">
    <fb>270.75</fb>
    <v>11</v>
  </rv>
  <rv s="6">
    <fb>294.23</fb>
    <v>11</v>
  </rv>
  <rv s="6">
    <fb>299.14999999999998</fb>
    <v>11</v>
  </rv>
  <rv s="6">
    <fb>266</fb>
    <v>11</v>
  </rv>
  <rv s="6">
    <fb>50465997</fb>
    <v>12</v>
  </rv>
  <rv s="6">
    <fb>263.08</fb>
    <v>11</v>
  </rv>
  <rv s="6">
    <fb>268.34500000000003</fb>
    <v>11</v>
  </rv>
  <rv s="6">
    <fb>273.39</fb>
    <v>11</v>
  </rv>
  <rv s="6">
    <fb>252.28</fb>
    <v>11</v>
  </rv>
  <rv s="6">
    <fb>56914199</fb>
    <v>12</v>
  </rv>
  <rv s="6">
    <fb>272.79000000000002</fb>
    <v>11</v>
  </rv>
  <rv s="6">
    <fb>264</fb>
    <v>11</v>
  </rv>
  <rv s="6">
    <fb>275.4846</fb>
    <v>11</v>
  </rv>
  <rv s="6">
    <fb>257.01</fb>
    <v>11</v>
  </rv>
  <rv s="6">
    <fb>42444267</fb>
    <v>12</v>
  </rv>
  <rv s="6">
    <fb>282.93</fb>
    <v>11</v>
  </rv>
  <rv s="6">
    <fb>271.99</fb>
    <v>11</v>
  </rv>
  <rv s="6">
    <fb>287.87</fb>
    <v>11</v>
  </rv>
  <rv s="6">
    <fb>264.57</fb>
    <v>11</v>
  </rv>
  <rv s="6">
    <fb>39689885</fb>
    <v>12</v>
  </rv>
  <rv s="6">
    <fb>275.3</fb>
    <v>11</v>
  </rv>
  <rv s="6">
    <fb>283.93</fb>
    <v>11</v>
  </rv>
  <rv s="6">
    <fb>308.75</fb>
    <v>11</v>
  </rv>
  <rv s="6">
    <fb>273.36</fb>
    <v>11</v>
  </rv>
  <rv s="6">
    <fb>93596597</fb>
    <v>12</v>
  </rv>
  <rv s="6">
    <fb>276.82</fb>
    <v>11</v>
  </rv>
  <rv s="6">
    <fb>272.89</fb>
    <v>11</v>
  </rv>
  <rv s="6">
    <fb>279.93990000000002</fb>
    <v>11</v>
  </rv>
  <rv s="6">
    <fb>265.8</fb>
    <v>11</v>
  </rv>
  <rv s="6">
    <fb>41312844</fb>
    <v>12</v>
  </rv>
  <rv s="6">
    <fb>278.05</fb>
    <v>11</v>
  </rv>
  <rv s="6">
    <fb>293.49</fb>
    <v>11</v>
  </rv>
  <rv s="6">
    <fb>277.35000000000002</fb>
    <v>11</v>
  </rv>
  <rv s="6">
    <fb>30634490</fb>
    <v>12</v>
  </rv>
  <rv s="6">
    <fb>291.57</fb>
    <v>11</v>
  </rv>
  <rv s="6">
    <fb>298.19</fb>
    <v>11</v>
  </rv>
  <rv s="6">
    <fb>285.83999999999997</fb>
    <v>11</v>
  </rv>
  <rv s="6">
    <fb>23482750</fb>
    <v>12</v>
  </rv>
  <rv s="6">
    <fb>295.02999999999997</fb>
    <v>11</v>
  </rv>
  <rv s="6">
    <fb>289.16000000000003</fb>
    <v>11</v>
  </rv>
  <rv s="6">
    <fb>296.36</fb>
    <v>11</v>
  </rv>
  <rv s="6">
    <fb>281.14</fb>
    <v>11</v>
  </rv>
  <rv s="6">
    <fb>31831334</fb>
    <v>12</v>
  </rv>
  <rv s="6">
    <fb>310.48</fb>
    <v>11</v>
  </rv>
  <rv s="6">
    <fb>296</fb>
    <v>11</v>
  </rv>
  <rv s="6">
    <fb>312.69</fb>
    <v>11</v>
  </rv>
  <rv s="6">
    <fb>293.27999999999997</fb>
    <v>11</v>
  </rv>
  <rv s="6">
    <fb>33115251</fb>
    <v>12</v>
  </rv>
  <rv s="6">
    <fb>314.66000000000003</fb>
    <v>11</v>
  </rv>
  <rv s="6">
    <fb>308.83</fb>
    <v>11</v>
  </rv>
  <rv s="6">
    <fb>316.82</fb>
    <v>11</v>
  </rv>
  <rv s="6">
    <fb>305.25</fb>
    <v>11</v>
  </rv>
  <rv s="6">
    <fb>19719717</fb>
    <v>12</v>
  </rv>
  <rv s="6">
    <fb>307.35000000000002</fb>
    <v>11</v>
  </rv>
  <rv s="6">
    <fb>314.39</fb>
    <v>11</v>
  </rv>
  <rv s="6">
    <fb>298.81</fb>
    <v>11</v>
  </rv>
  <rv s="6">
    <fb>23995454</fb>
    <v>12</v>
  </rv>
  <rv s="6">
    <fb>298.5</fb>
    <v>11</v>
  </rv>
  <rv s="6">
    <fb>311.49</fb>
    <v>11</v>
  </rv>
  <rv s="6">
    <fb>292.02</fb>
    <v>11</v>
  </rv>
  <rv s="6">
    <fb>30419397</fb>
    <v>12</v>
  </rv>
  <rv s="6">
    <fb>336.9</fb>
    <v>11</v>
  </rv>
  <rv s="6">
    <fb>300.85000000000002</fb>
    <v>11</v>
  </rv>
  <rv s="6">
    <fb>298.63</fb>
    <v>11</v>
  </rv>
  <rv s="6">
    <fb>46064645</fb>
    <v>12</v>
  </rv>
  <rv s="6">
    <fb>329.09</fb>
    <v>11</v>
  </rv>
  <rv s="6">
    <fb>337.76</fb>
    <v>11</v>
  </rv>
  <rv s="6">
    <fb>337.95</fb>
    <v>11</v>
  </rv>
  <rv s="6">
    <fb>326.01</fb>
    <v>11</v>
  </rv>
  <rv s="6">
    <fb>16420269</fb>
    <v>12</v>
  </rv>
  <rv s="6">
    <fb>325.89999999999998</fb>
    <v>11</v>
  </rv>
  <rv s="6">
    <fb>329.08</fb>
    <v>11</v>
  </rv>
  <rv s="6">
    <fb>329.98</fb>
    <v>11</v>
  </rv>
  <rv s="6">
    <fb>321.08999999999997</fb>
    <v>11</v>
  </rv>
  <rv s="6">
    <fb>16072234</fb>
    <v>12</v>
  </rv>
  <rv s="6">
    <fb>329.05</fb>
    <v>11</v>
  </rv>
  <rv s="6">
    <fb>323.12</fb>
    <v>11</v>
  </rv>
  <rv s="6">
    <fb>343.4196</fb>
    <v>11</v>
  </rv>
  <rv s="6">
    <fb>321.2</fb>
    <v>11</v>
  </rv>
  <rv s="6">
    <fb>26904424</fb>
    <v>12</v>
  </rv>
  <rv s="6">
    <fb>339.67</fb>
    <v>11</v>
  </rv>
  <rv s="6">
    <fb>331.8</fb>
    <v>11</v>
  </rv>
  <rv s="6">
    <fb>345.38</fb>
    <v>11</v>
  </rv>
  <rv s="6">
    <fb>331.51</fb>
    <v>11</v>
  </rv>
  <rv s="6">
    <fb>29641577</fb>
    <v>12</v>
  </rv>
  <rv s="6">
    <fb>353.16</fb>
    <v>11</v>
  </rv>
  <rv s="6">
    <fb>359.85</fb>
    <v>11</v>
  </rv>
  <rv s="6">
    <fb>323.60000000000002</fb>
    <v>11</v>
  </rv>
  <rv s="6">
    <fb>70288595</fb>
    <v>12</v>
  </rv>
  <rv s="6">
    <fb>345.09</fb>
    <v>11</v>
  </rv>
  <rv s="6">
    <fb>345.95</fb>
    <v>11</v>
  </rv>
  <rv s="6">
    <fb>352.4</fb>
    <v>11</v>
  </rv>
  <rv s="6">
    <fb>338.55</fb>
    <v>11</v>
  </rv>
  <rv s="6">
    <fb>31971312</fb>
    <v>12</v>
  </rv>
  <rv s="6">
    <fb>366.77</fb>
    <v>11</v>
  </rv>
  <rv s="6">
    <fb>347.24</fb>
    <v>11</v>
  </rv>
  <rv s="6">
    <fb>375.25</fb>
    <v>11</v>
  </rv>
  <rv s="6">
    <fb>346.28</fb>
    <v>11</v>
  </rv>
  <rv s="6">
    <fb>28572831</fb>
    <v>12</v>
  </rv>
  <rv s="6">
    <fb>380.4</fb>
    <v>11</v>
  </rv>
  <rv s="6">
    <fb>365</fb>
    <v>11</v>
  </rv>
  <rv s="6">
    <fb>385.37</fb>
    <v>11</v>
  </rv>
  <rv s="6">
    <fb>362.52</fb>
    <v>11</v>
  </rv>
  <rv s="6">
    <fb>22891927</fb>
    <v>12</v>
  </rv>
  <rv s="6">
    <fb>379.3</fb>
    <v>11</v>
  </rv>
  <rv s="6">
    <fb>392.95</fb>
    <v>11</v>
  </rv>
  <rv s="6">
    <fb>376.68</fb>
    <v>11</v>
  </rv>
  <rv s="6">
    <fb>18061664</fb>
    <v>12</v>
  </rv>
  <rv s="6">
    <fb>369.03</fb>
    <v>11</v>
  </rv>
  <rv s="6">
    <fb>364.76</fb>
    <v>11</v>
  </rv>
  <rv s="6">
    <fb>391.56240000000003</fb>
    <v>11</v>
  </rv>
  <rv s="6">
    <fb>44463184</fb>
    <v>12</v>
  </rv>
  <rv s="6">
    <fb>368.97</fb>
    <v>11</v>
  </rv>
  <rv s="6">
    <fb>373.11</fb>
    <v>11</v>
  </rv>
  <rv s="6">
    <fb>393.52</fb>
    <v>11</v>
  </rv>
  <rv s="6">
    <fb>356.85</fb>
    <v>11</v>
  </rv>
  <rv s="6">
    <fb>37706424</fb>
    <v>12</v>
  </rv>
  <rv s="6">
    <fb>336.29500000000002</fb>
    <v>11</v>
  </rv>
  <rv s="6">
    <fb>343.86</fb>
    <v>11</v>
  </rv>
  <rv s="6">
    <fb>364.54</fb>
    <v>11</v>
  </rv>
  <rv s="6">
    <fb>307.32</fb>
    <v>11</v>
  </rv>
  <rv s="6">
    <fb>42497802</fb>
    <v>12</v>
  </rv>
  <rv s="6">
    <fb>332.83</fb>
    <v>11</v>
  </rv>
  <rv s="6">
    <fb>306.63</fb>
    <v>11</v>
  </rv>
  <rv s="6">
    <fb>350.49</fb>
    <v>11</v>
  </rv>
  <rv s="6">
    <fb>290.25</fb>
    <v>11</v>
  </rv>
  <rv s="6">
    <fb>54601703</fb>
    <v>12</v>
  </rv>
  <rv s="6">
    <fb>357.12</fb>
    <v>11</v>
  </rv>
  <rv s="6">
    <fb>347.89</fb>
    <v>11</v>
  </rv>
  <rv s="6">
    <fb>372.93</fb>
    <v>11</v>
  </rv>
  <rv s="6">
    <fb>339.17</fb>
    <v>11</v>
  </rv>
  <rv s="6">
    <fb>49039023</fb>
    <v>12</v>
  </rv>
  <rv s="6">
    <fb>361.76</fb>
    <v>11</v>
  </rv>
  <rv s="6">
    <fb>363</fb>
    <v>11</v>
  </rv>
  <rv s="6">
    <fb>383.01</fb>
    <v>11</v>
  </rv>
  <rv s="6">
    <fb>357.51</fb>
    <v>11</v>
  </rv>
  <rv s="6">
    <fb>33906523</fb>
    <v>12</v>
  </rv>
  <rv s="6">
    <fb>370.72</fb>
    <v>11</v>
  </rv>
  <rv s="6">
    <fb>365.22</fb>
    <v>11</v>
  </rv>
  <rv s="6">
    <fb>381.33</fb>
    <v>11</v>
  </rv>
  <rv s="6">
    <fb>361.71</fb>
    <v>11</v>
  </rv>
  <rv s="6">
    <fb>29644177</fb>
    <v>12</v>
  </rv>
  <rv s="6">
    <fb>422.96</fb>
    <v>11</v>
  </rv>
  <rv s="6">
    <fb>371.31</fb>
    <v>11</v>
  </rv>
  <rv s="6">
    <fb>449.52</fb>
    <v>11</v>
  </rv>
  <rv s="6">
    <fb>367.70030000000003</fb>
    <v>11</v>
  </rv>
  <rv s="6">
    <fb>65233416</fb>
    <v>12</v>
  </rv>
  <rv s="6">
    <fb>424.99</fb>
    <v>11</v>
  </rv>
  <rv s="6">
    <fb>435.17</fb>
    <v>11</v>
  </rv>
  <rv s="6">
    <fb>447</fb>
    <v>11</v>
  </rv>
  <rv s="6">
    <fb>413</fb>
    <v>11</v>
  </rv>
  <rv s="6">
    <fb>77808398</fb>
    <v>12</v>
  </rv>
  <rv s="6">
    <fb>415.27</fb>
    <v>11</v>
  </rv>
  <rv s="6">
    <fb>425</fb>
    <v>11</v>
  </rv>
  <rv s="6">
    <fb>429</fb>
    <v>11</v>
  </rv>
  <rv s="6">
    <fb>393.6</fb>
    <v>11</v>
  </rv>
  <rv s="6">
    <fb>42271115</fb>
    <v>12</v>
  </rv>
  <rv s="6">
    <fb>435.55</fb>
    <v>11</v>
  </rv>
  <rv s="6">
    <fb>417.78</fb>
    <v>11</v>
  </rv>
  <rv s="6">
    <fb>442</fb>
    <v>11</v>
  </rv>
  <rv s="6">
    <fb>414.87</fb>
    <v>11</v>
  </rv>
  <rv s="6">
    <fb>31375058</fb>
    <v>12</v>
  </rv>
  <rv s="6">
    <fb>454.19</fb>
    <v>11</v>
  </rv>
  <rv s="6">
    <fb>436.33</fb>
    <v>11</v>
  </rv>
  <rv s="6">
    <fb>455</fb>
    <v>11</v>
  </rv>
  <rv s="6">
    <fb>427.27</fb>
    <v>11</v>
  </rv>
  <rv s="6">
    <fb>33246384</fb>
    <v>12</v>
  </rv>
  <rv s="6">
    <fb>429.32</fb>
    <v>11</v>
  </rv>
  <rv s="6">
    <fb>451.16</fb>
    <v>11</v>
  </rv>
  <rv s="6">
    <fb>458.97</fb>
    <v>11</v>
  </rv>
  <rv s="6">
    <fb>427.18</fb>
    <v>11</v>
  </rv>
  <rv s="6">
    <fb>32701565</fb>
    <v>12</v>
  </rv>
  <rv s="6">
    <fb>419.73</fb>
    <v>11</v>
  </rv>
  <rv s="6">
    <fb>427.77</fb>
    <v>11</v>
  </rv>
  <rv s="6">
    <fb>428.5</fb>
    <v>11</v>
  </rv>
  <rv s="6">
    <fb>397.86</fb>
    <v>11</v>
  </rv>
  <rv s="6">
    <fb>29104622</fb>
    <v>12</v>
  </rv>
  <rv s="6">
    <fb>419.6</fb>
    <v>11</v>
  </rv>
  <rv s="6">
    <fb>418.83</fb>
    <v>11</v>
  </rv>
  <rv s="6">
    <fb>428.71</fb>
    <v>11</v>
  </rv>
  <rv s="6">
    <fb>404.25</fb>
    <v>11</v>
  </rv>
  <rv s="6">
    <fb>21968956</fb>
    <v>12</v>
  </rv>
  <rv s="6">
    <fb>418.07</fb>
    <v>11</v>
  </rv>
  <rv s="6">
    <fb>416</fb>
    <v>11</v>
  </rv>
  <rv s="6">
    <fb>445.57</fb>
    <v>11</v>
  </rv>
  <rv s="6">
    <fb>406.5</fb>
    <v>11</v>
  </rv>
  <rv s="6">
    <fb>30988951</fb>
    <v>12</v>
  </rv>
  <rv s="6">
    <fb>453.72</fb>
    <v>11</v>
  </rv>
  <rv s="6">
    <fb>421.4</fb>
    <v>11</v>
  </rv>
  <rv s="6">
    <fb>453.97</fb>
    <v>11</v>
  </rv>
  <rv s="6">
    <fb>415.42380000000003</fb>
    <v>11</v>
  </rv>
  <rv s="6">
    <fb>26605892</fb>
    <v>12</v>
  </rv>
  <rv s="6">
    <fb>443.4</fb>
    <v>11</v>
  </rv>
  <rv s="6">
    <fb>455.01</fb>
    <v>11</v>
  </rv>
  <rv s="6">
    <fb>474.01</fb>
    <v>11</v>
  </rv>
  <rv s="6">
    <fb>442.24</fb>
    <v>11</v>
  </rv>
  <rv s="6">
    <fb>27693791</fb>
    <v>12</v>
  </rv>
  <rv s="6">
    <fb>476.89</fb>
    <v>11</v>
  </rv>
  <rv s="6">
    <fb>445.23</fb>
    <v>11</v>
  </rv>
  <rv s="6">
    <fb>492.28</fb>
    <v>11</v>
  </rv>
  <rv s="6">
    <fb>432.14</fb>
    <v>11</v>
  </rv>
  <rv s="6">
    <fb>25068522</fb>
    <v>12</v>
  </rv>
  <rv s="6">
    <fb>548.73</fb>
    <v>11</v>
  </rv>
  <rv s="6">
    <fb>480.77</fb>
    <v>11</v>
  </rv>
  <rv s="6">
    <fb>555.87990000000002</fb>
    <v>11</v>
  </rv>
  <rv s="6">
    <fb>479.8</fb>
    <v>11</v>
  </rv>
  <rv s="6">
    <fb>46440832</fb>
    <v>12</v>
  </rv>
  <rv s="6">
    <fb>492.99</fb>
    <v>11</v>
  </rv>
  <rv s="6">
    <fb>567.98</fb>
    <v>11</v>
  </rv>
  <rv s="6">
    <fb>575.37</fb>
    <v>11</v>
  </rv>
  <rv s="6">
    <fb>484.14</fb>
    <v>11</v>
  </rv>
  <rv s="6">
    <fb>90547441</fb>
    <v>12</v>
  </rv>
  <rv s="6">
    <fb>480.45</fb>
    <v>11</v>
  </rv>
  <rv s="6">
    <fb>489.14</fb>
    <v>11</v>
  </rv>
  <rv s="6">
    <fb>506.22</fb>
    <v>11</v>
  </rv>
  <rv s="6">
    <fb>467.54</fb>
    <v>11</v>
  </rv>
  <rv s="6">
    <fb>43429880</fb>
    <v>12</v>
  </rv>
  <rv s="6">
    <fb>488.88</fb>
    <v>11</v>
  </rv>
  <rv s="6">
    <fb>484.51</fb>
    <v>11</v>
  </rv>
  <rv s="6">
    <fb>497.79270000000002</fb>
    <v>11</v>
  </rv>
  <rv s="6">
    <fb>477.51010000000002</fb>
    <v>11</v>
  </rv>
  <rv s="6">
    <fb>32867979</fb>
    <v>12</v>
  </rv>
  <rv s="6">
    <fb>494.73</fb>
    <v>11</v>
  </rv>
  <rv s="6">
    <fb>490.86</fb>
    <v>11</v>
  </rv>
  <rv s="6">
    <fb>510.82</fb>
    <v>11</v>
  </rv>
  <rv s="6">
    <fb>486.68</fb>
    <v>11</v>
  </rv>
  <rv s="6">
    <fb>25336754</fb>
    <v>12</v>
  </rv>
  <rv s="6">
    <fb>482.68</fb>
    <v>11</v>
  </rv>
  <rv s="6">
    <fb>493.35</fb>
    <v>11</v>
  </rv>
  <rv s="6">
    <fb>497.45839999999998</fb>
    <v>11</v>
  </rv>
  <rv s="6">
    <fb>466.55</fb>
    <v>11</v>
  </rv>
  <rv s="6">
    <fb>23369347</fb>
    <v>12</v>
  </rv>
  <rv s="6">
    <fb>492.31</fb>
    <v>11</v>
  </rv>
  <rv s="6">
    <fb>484.19</fb>
    <v>11</v>
  </rv>
  <rv s="6">
    <fb>498.94</fb>
    <v>11</v>
  </rv>
  <rv s="6">
    <fb>479.1</fb>
    <v>11</v>
  </rv>
  <rv s="6">
    <fb>18043311</fb>
    <v>12</v>
  </rv>
  <rv s="6">
    <fb>523.89</fb>
    <v>11</v>
  </rv>
  <rv s="6">
    <fb>495.43830000000003</fb>
    <v>11</v>
  </rv>
  <rv s="6">
    <fb>549.04</fb>
    <v>11</v>
  </rv>
  <rv s="6">
    <fb>483.16</fb>
    <v>11</v>
  </rv>
  <rv s="6">
    <fb>43727944</fb>
    <v>12</v>
  </rv>
  <rv s="6">
    <fb>516.04999999999995</fb>
    <v>11</v>
  </rv>
  <rv s="6">
    <fb>521.16</fb>
    <v>11</v>
  </rv>
  <rv s="6">
    <fb>557.3895</fb>
    <v>11</v>
  </rv>
  <rv s="6">
    <fb>485.98</fb>
    <v>11</v>
  </rv>
  <rv s="6">
    <fb>37465840</fb>
    <v>12</v>
  </rv>
  <rv s="6">
    <fb>482.03</fb>
    <v>11</v>
  </rv>
  <rv s="6">
    <fb>498.4</fb>
    <v>11</v>
  </rv>
  <rv s="6">
    <fb>522</fb>
    <v>11</v>
  </rv>
  <rv s="6">
    <fb>476.81</fb>
    <v>11</v>
  </rv>
  <rv s="6">
    <fb>23455864</fb>
    <v>12</v>
  </rv>
  <rv s="6">
    <fb>469.96</fb>
    <v>11</v>
  </rv>
  <rv s="6">
    <fb>480.62</fb>
    <v>11</v>
  </rv>
  <rv s="6">
    <fb>504.66</fb>
    <v>11</v>
  </rv>
  <rv s="6">
    <fb>458.6</fb>
    <v>11</v>
  </rv>
  <rv s="6">
    <fb>28932568</fb>
    <v>12</v>
  </rv>
  <rv s="6">
    <fb>482.88</fb>
    <v>11</v>
  </rv>
  <rv s="6">
    <fb>467.69229999999999</fb>
    <v>11</v>
  </rv>
  <rv s="6">
    <fb>491.82</fb>
    <v>11</v>
  </rv>
  <rv s="6">
    <fb>466.32</fb>
    <v>11</v>
  </rv>
  <rv s="6">
    <fb>19985570</fb>
    <v>12</v>
  </rv>
  <rv s="6">
    <fb>503.06</fb>
    <v>11</v>
  </rv>
  <rv s="6">
    <fb>489.10939999999999</fb>
    <v>11</v>
  </rv>
  <rv s="6">
    <fb>529.54999999999995</fb>
    <v>11</v>
  </rv>
  <rv s="6">
    <fb>477.88</fb>
    <v>11</v>
  </rv>
  <rv s="6">
    <fb>27041927</fb>
    <v>12</v>
  </rv>
  <rv s="6">
    <fb>539.44000000000005</fb>
    <v>11</v>
  </rv>
  <rv s="6">
    <fb>506.8</fb>
    <v>11</v>
  </rv>
  <rv s="6">
    <fb>544.28</fb>
    <v>11</v>
  </rv>
  <rv s="6">
    <fb>501.69970000000001</fb>
    <v>11</v>
  </rv>
  <rv s="6">
    <fb>26047330</fb>
    <v>12</v>
  </rv>
  <rv s="6">
    <fb>530.79</fb>
    <v>11</v>
  </rv>
  <rv s="6">
    <fb>548.80999999999995</fb>
    <v>11</v>
  </rv>
  <rv s="6">
    <fb>572.49</fb>
    <v>11</v>
  </rv>
  <rv s="6">
    <fb>530.03</fb>
    <v>11</v>
  </rv>
  <rv s="6">
    <fb>31453040</fb>
    <v>12</v>
  </rv>
  <rv s="6">
    <fb>488.28</fb>
    <v>11</v>
  </rv>
  <rv s="6">
    <fb>537.07000000000005</fb>
    <v>11</v>
  </rv>
  <rv s="6">
    <fb>541.79999999999995</fb>
    <v>11</v>
  </rv>
  <rv s="6">
    <fb>481.35</fb>
    <v>11</v>
  </rv>
  <rv s="6">
    <fb>45691143</fb>
    <v>12</v>
  </rv>
  <rv s="6">
    <fb>475.74</fb>
    <v>11</v>
  </rv>
  <rv s="6">
    <fb>487.02499999999998</fb>
    <v>11</v>
  </rv>
  <rv s="6">
    <fb>513.8999</fb>
    <v>11</v>
  </rv>
  <rv s="6">
    <fb>472.21</fb>
    <v>11</v>
  </rv>
  <rv s="6">
    <fb>34718987</fb>
    <v>12</v>
  </rv>
  <rv s="6">
    <fb>514.73</fb>
    <v>11</v>
  </rv>
  <rv s="6">
    <fb>478.87</fb>
    <v>11</v>
  </rv>
  <rv s="6">
    <fb>518.7337</fb>
    <v>11</v>
  </rv>
  <rv s="6">
    <fb>475</fb>
    <v>11</v>
  </rv>
  <rv s="6">
    <fb>22507895</fb>
    <v>12</v>
  </rv>
  <rv s="6">
    <fb>482.84</fb>
    <v>11</v>
  </rv>
  <rv s="6">
    <fb>485.54</fb>
    <v>11</v>
  </rv>
  <rv s="6">
    <fb>496.52</fb>
    <v>11</v>
  </rv>
  <rv s="6">
    <fb>463.41</fb>
    <v>11</v>
  </rv>
  <rv s="6">
    <fb>32191259</fb>
    <v>12</v>
  </rv>
  <rv s="6">
    <fb>488.24</fb>
    <v>11</v>
  </rv>
  <rv s="6">
    <fb>480</fb>
    <v>11</v>
  </rv>
  <rv s="6">
    <fb>494.76</fb>
    <v>11</v>
  </rv>
  <rv s="6">
    <fb>477.3</fb>
    <v>11</v>
  </rv>
  <rv s="6">
    <fb>17691594</fb>
    <v>12</v>
  </rv>
  <rv s="6">
    <fb>491.36</fb>
    <v>11</v>
  </rv>
  <rv s="6">
    <fb>490.46</fb>
    <v>11</v>
  </rv>
  <rv s="6">
    <fb>493.25</fb>
    <v>11</v>
  </rv>
  <rv s="6">
    <fb>475.84</fb>
    <v>11</v>
  </rv>
  <rv s="6">
    <fb>15280805</fb>
    <v>12</v>
  </rv>
  <rv s="6">
    <fb>498.31</fb>
    <v>11</v>
  </rv>
  <rv s="6">
    <fb>490.08</fb>
    <v>11</v>
  </rv>
  <rv s="6">
    <fb>509.47</fb>
    <v>11</v>
  </rv>
  <rv s="6">
    <fb>481.26780000000002</fb>
    <v>11</v>
  </rv>
  <rv s="6">
    <fb>17815913</fb>
    <v>12</v>
  </rv>
  <rv s="6">
    <fb>503.22</fb>
    <v>11</v>
  </rv>
  <rv s="6">
    <fb>500.01</fb>
    <v>11</v>
  </rv>
  <rv s="6">
    <fb>521.49090000000001</fb>
    <v>11</v>
  </rv>
  <rv s="6">
    <fb>491.29</fb>
    <v>11</v>
  </rv>
  <rv s="6">
    <fb>18791926</fb>
    <v>12</v>
  </rv>
  <rv s="6">
    <fb>534.45000000000005</fb>
    <v>11</v>
  </rv>
  <rv s="6">
    <fb>505.44</fb>
    <v>11</v>
  </rv>
  <rv s="6">
    <fb>536.37</fb>
    <v>11</v>
  </rv>
  <rv s="6">
    <fb>501.18</fb>
    <v>11</v>
  </rv>
  <rv s="6">
    <fb>20297971</fb>
    <v>12</v>
  </rv>
  <rv s="6">
    <fb>513.97</fb>
    <v>11</v>
  </rv>
  <rv s="6">
    <fb>530.04999999999995</fb>
    <v>11</v>
  </rv>
  <rv s="6">
    <fb>532.62</fb>
    <v>11</v>
  </rv>
  <rv s="6">
    <fb>512.21040000000005</fb>
    <v>11</v>
  </rv>
  <rv s="6">
    <fb>9303882</fb>
    <v>12</v>
  </rv>
  <rv s="6">
    <fb>540.73</fb>
    <v>11</v>
  </rv>
  <rv s="6">
    <fb>516.42999999999995</fb>
    <v>11</v>
  </rv>
  <rv s="6">
    <fb>545.5</fb>
    <v>11</v>
  </rv>
  <rv s="6">
    <fb>507.13</fb>
    <v>11</v>
  </rv>
  <rv s="6">
    <fb>14089961</fb>
    <v>12</v>
  </rv>
  <rv s="6">
    <fb>510.4</fb>
    <v>11</v>
  </rv>
  <rv s="6">
    <fb>539</fb>
    <v>11</v>
  </rv>
  <rv s="6">
    <fb>540.79999999999995</fb>
    <v>11</v>
  </rv>
  <rv s="6">
    <fb>499.5</fb>
    <v>11</v>
  </rv>
  <rv s="6">
    <fb>19455903</fb>
    <v>12</v>
  </rv>
  <rv s="6">
    <fb>497.98</fb>
    <v>11</v>
  </rv>
  <rv s="6">
    <fb>507.84</fb>
    <v>11</v>
  </rv>
  <rv s="6">
    <fb>514.5</fb>
    <v>11</v>
  </rv>
  <rv s="6">
    <fb>485.67009999999999</fb>
    <v>11</v>
  </rv>
  <rv s="6">
    <fb>24908389</fb>
    <v>12</v>
  </rv>
  <rv s="6">
    <fb>565.16999999999996</fb>
    <v>11</v>
  </rv>
  <rv s="6">
    <fb>501</fb>
    <v>11</v>
  </rv>
  <rv s="6">
    <fb>593.28769999999997</fb>
    <v>11</v>
  </rv>
  <rv s="6">
    <fb>493.54270000000002</fb>
    <v>11</v>
  </rv>
  <rv s="6">
    <fb>64344719</fb>
    <v>12</v>
  </rv>
  <rv s="6">
    <fb>532.39</fb>
    <v>11</v>
  </rv>
  <rv s="6">
    <fb>567</fb>
    <v>11</v>
  </rv>
  <rv s="6">
    <fb>569.75</fb>
    <v>11</v>
  </rv>
  <rv s="6">
    <fb>515.73</fb>
    <v>11</v>
  </rv>
  <rv s="6">
    <fb>31195695</fb>
    <v>12</v>
  </rv>
  <rv s="6">
    <fb>550.79</fb>
    <v>11</v>
  </rv>
  <rv s="6">
    <fb>536.79</fb>
    <v>11</v>
  </rv>
  <rv s="6">
    <fb>559.48</fb>
    <v>11</v>
  </rv>
  <rv s="6">
    <fb>531.73</fb>
    <v>11</v>
  </rv>
  <rv s="6">
    <fb>18028076</fb>
    <v>12</v>
  </rv>
  <rv s="6">
    <fb>556.52</fb>
    <v>11</v>
  </rv>
  <rv s="6">
    <fb>555</fb>
    <v>11</v>
  </rv>
  <rv s="6">
    <fb>566.65</fb>
    <v>11</v>
  </rv>
  <rv s="6">
    <fb>15414199</fb>
    <v>12</v>
  </rv>
  <rv s="6">
    <fb>540.22</fb>
    <v>11</v>
  </rv>
  <rv s="6">
    <fb>557.28599999999994</fb>
    <v>11</v>
  </rv>
  <rv s="6">
    <fb>563.63</fb>
    <v>11</v>
  </rv>
  <rv s="6">
    <fb>538.22649999999999</fb>
    <v>11</v>
  </rv>
  <rv s="6">
    <fb>9994748</fb>
    <v>12</v>
  </rv>
  <rv s="6">
    <fb>538.85</fb>
    <v>11</v>
  </rv>
  <rv s="6">
    <fb>534.99</fb>
    <v>11</v>
  </rv>
  <rv s="6">
    <fb>556.84990000000005</fb>
    <v>11</v>
  </rv>
  <rv s="6">
    <fb>518.28</fb>
    <v>11</v>
  </rv>
  <rv s="6">
    <fb>18468617</fb>
    <v>12</v>
  </rv>
  <rv s="6">
    <fb>516.39</fb>
    <v>11</v>
  </rv>
  <rv s="6">
    <fb>545.57339999999999</fb>
    <v>11</v>
  </rv>
  <rv s="6">
    <fb>556.99</fb>
    <v>11</v>
  </rv>
  <rv s="6">
    <fb>498.7901</fb>
    <v>11</v>
  </rv>
  <rv s="6">
    <fb>21551614</fb>
    <v>12</v>
  </rv>
  <rv s="6">
    <fb>518.02</fb>
    <v>11</v>
  </rv>
  <rv s="6">
    <fb>514.46</fb>
    <v>11</v>
  </rv>
  <rv s="6">
    <fb>530.23500000000001</fb>
    <v>11</v>
  </rv>
  <rv s="6">
    <fb>492.85</fb>
    <v>11</v>
  </rv>
  <rv s="6">
    <fb>19919496</fb>
    <v>12</v>
  </rv>
  <rv s="6">
    <fb>512.17999999999995</fb>
    <v>11</v>
  </rv>
  <rv s="6">
    <fb>516.32000000000005</fb>
    <v>11</v>
  </rv>
  <rv s="6">
    <fb>533.41999999999996</fb>
    <v>11</v>
  </rv>
  <rv s="6">
    <fb>501.63</fb>
    <v>11</v>
  </rv>
  <rv s="6">
    <fb>18024749</fb>
    <v>12</v>
  </rv>
  <rv s="6">
    <fb>508.05</fb>
    <v>11</v>
  </rv>
  <rv s="6">
    <fb>509.13</fb>
    <v>11</v>
  </rv>
  <rv s="6">
    <fb>543.12</fb>
    <v>11</v>
  </rv>
  <rv s="6">
    <fb>496.68</fb>
    <v>11</v>
  </rv>
  <rv s="6">
    <fb>21440820</fb>
    <v>12</v>
  </rv>
  <rv s="6">
    <fb>539.41999999999996</fb>
    <v>11</v>
  </rv>
  <rv s="6">
    <fb>505.66</fb>
    <v>11</v>
  </rv>
  <rv s="6">
    <fb>540.5</fb>
    <v>11</v>
  </rv>
  <rv s="6">
    <fb>504.4</fb>
    <v>11</v>
  </rv>
  <rv s="6">
    <fb>13189926</fb>
    <v>12</v>
  </rv>
  <rv s="6">
    <fb>555.30999999999995</fb>
    <v>11</v>
  </rv>
  <rv s="6">
    <fb>540.01</fb>
    <v>11</v>
  </rv>
  <rv s="6">
    <fb>556.9</fb>
    <v>11</v>
  </rv>
  <rv s="6">
    <fb>529.23</fb>
    <v>11</v>
  </rv>
  <rv s="6">
    <fb>16185291</fb>
    <v>12</v>
  </rv>
  <rv s="6">
    <fb>546.54</fb>
    <v>11</v>
  </rv>
  <rv s="6">
    <fb>551.04999999999995</fb>
    <v>11</v>
  </rv>
  <rv s="6">
    <fb>559.75</fb>
    <v>11</v>
  </rv>
  <rv s="6">
    <fb>538.53</fb>
    <v>11</v>
  </rv>
  <rv s="6">
    <fb>15739196</fb>
    <v>12</v>
  </rv>
  <rv s="6">
    <fb>505.55</fb>
    <v>11</v>
  </rv>
  <rv s="6">
    <fb>546.9</fb>
    <v>11</v>
  </rv>
  <rv s="6">
    <fb>563.55999999999995</fb>
    <v>11</v>
  </rv>
  <rv s="6">
    <fb>500.55</fb>
    <v>11</v>
  </rv>
  <rv s="6">
    <fb>54819530</fb>
    <v>12</v>
  </rv>
  <rv s="6">
    <fb>513.47</fb>
    <v>11</v>
  </rv>
  <rv s="6">
    <fb>506.76</fb>
    <v>11</v>
  </rv>
  <rv s="6">
    <fb>514.54999999999995</fb>
    <v>11</v>
  </rv>
  <rv s="6">
    <fb>499</fb>
    <v>11</v>
  </rv>
  <rv s="6">
    <fb>20884183</fb>
    <v>12</v>
  </rv>
  <rv s="6">
    <fb>503.84</fb>
    <v>11</v>
  </rv>
  <rv s="6">
    <fb>512.65</fb>
    <v>11</v>
  </rv>
  <rv s="6">
    <fb>518.95000000000005</fb>
    <v>11</v>
  </rv>
  <rv s="6">
    <fb>491.37</fb>
    <v>11</v>
  </rv>
  <rv s="6">
    <fb>18487247</fb>
    <v>12</v>
  </rv>
  <rv s="6">
    <fb>493.37</fb>
    <v>11</v>
  </rv>
  <rv s="6">
    <fb>502</fb>
    <v>11</v>
  </rv>
  <rv s="6">
    <fb>503.15</fb>
    <v>11</v>
  </rv>
  <rv s="6">
    <fb>478.63</fb>
    <v>11</v>
  </rv>
  <rv s="6">
    <fb>19240454</fb>
    <v>12</v>
  </rv>
  <rv s="6">
    <fb>497.89</fb>
    <v>11</v>
  </rv>
  <rv s="6">
    <fb>485.59</fb>
    <v>11</v>
  </rv>
  <rv s="6">
    <fb>505.4</fb>
    <v>11</v>
  </rv>
  <rv s="6">
    <fb>478.54</fb>
    <v>11</v>
  </rv>
  <rv s="6">
    <fb>15449818</fb>
    <v>12</v>
  </rv>
  <rv s="6">
    <fb>502.81</fb>
    <v>11</v>
  </rv>
  <rv s="6">
    <fb>501.05</fb>
    <v>11</v>
  </rv>
  <rv s="6">
    <fb>511.76</fb>
    <v>11</v>
  </rv>
  <rv s="6">
    <fb>498.54</fb>
    <v>11</v>
  </rv>
  <rv s="6">
    <fb>13742427</fb>
    <v>12</v>
  </rv>
  <rv s="6">
    <fb>494.74</fb>
    <v>11</v>
  </rv>
  <rv s="6">
    <fb>504.01</fb>
    <v>11</v>
  </rv>
  <rv s="6">
    <fb>505.41</fb>
    <v>11</v>
  </rv>
  <rv s="6">
    <fb>487.25</fb>
    <v>11</v>
  </rv>
  <rv s="6">
    <fb>11799466</fb>
    <v>12</v>
  </rv>
  <rv s="6">
    <fb>488.77</fb>
    <v>11</v>
  </rv>
  <rv s="6">
    <fb>492.9169</fb>
    <v>11</v>
  </rv>
  <rv s="6">
    <fb>498.82</fb>
    <v>11</v>
  </rv>
  <rv s="6">
    <fb>482.14</fb>
    <v>11</v>
  </rv>
  <rv s="6">
    <fb>15727895</fb>
    <v>12</v>
  </rv>
  <rv s="6">
    <fb>500.77</fb>
    <v>11</v>
  </rv>
  <rv s="6">
    <fb>489.68</fb>
    <v>11</v>
  </rv>
  <rv s="6">
    <fb>504.49</fb>
    <v>11</v>
  </rv>
  <rv s="6">
    <fb>486.28</fb>
    <v>11</v>
  </rv>
  <rv s="6">
    <fb>19330486</fb>
    <v>12</v>
  </rv>
  <rv s="6">
    <fb>527.07000000000005</fb>
    <v>11</v>
  </rv>
  <rv s="6">
    <fb>501.64</fb>
    <v>11</v>
  </rv>
  <rv s="6">
    <fb>533.05999999999995</fb>
    <v>11</v>
  </rv>
  <rv s="6">
    <fb>23691624</fb>
    <v>12</v>
  </rv>
  <rv s="6">
    <fb>533.98</fb>
    <v>11</v>
  </rv>
  <rv s="6">
    <fb>528.12</fb>
    <v>11</v>
  </rv>
  <rv s="6">
    <fb>538.53510000000006</fb>
    <v>11</v>
  </rv>
  <rv s="6">
    <fb>524.55999999999995</fb>
    <v>11</v>
  </rv>
  <rv s="6">
    <fb>12694037</fb>
    <v>12</v>
  </rv>
  <rv s="6">
    <fb>535.98</fb>
    <v>11</v>
  </rv>
  <rv s="6">
    <fb>533</fb>
    <v>11</v>
  </rv>
  <rv s="6">
    <fb>544.64</fb>
    <v>11</v>
  </rv>
  <rv s="6">
    <fb>528.58000000000004</fb>
    <v>11</v>
  </rv>
  <rv s="6">
    <fb>11543768</fb>
    <v>12</v>
  </rv>
  <rv s="6">
    <fb>530.30999999999995</fb>
    <v>11</v>
  </rv>
  <rv s="6">
    <fb>540.29999999999995</fb>
    <v>11</v>
  </rv>
  <rv s="6">
    <fb>557.53989999999999</fb>
    <v>11</v>
  </rv>
  <rv s="6">
    <fb>527.04999999999995</fb>
    <v>11</v>
  </rv>
  <rv s="6">
    <fb>18347840</fb>
    <v>12</v>
  </rv>
  <rv s="6">
    <fb>515.41</fb>
    <v>11</v>
  </rv>
  <rv s="6">
    <fb>526.04999999999995</fb>
    <v>11</v>
  </rv>
  <rv s="6">
    <fb>536.64</fb>
    <v>11</v>
  </rv>
  <rv s="6">
    <fb>30871536</fb>
    <v>12</v>
  </rv>
  <rv s="6">
    <fb>517.57000000000005</fb>
    <v>11</v>
  </rv>
  <rv s="6">
    <fb>514.38</fb>
    <v>11</v>
  </rv>
  <rv s="6">
    <fb>524.47</fb>
    <v>11</v>
  </rv>
  <rv s="6">
    <fb>509.01010000000002</fb>
    <v>11</v>
  </rv>
  <rv s="6">
    <fb>11677162</fb>
    <v>12</v>
  </rv>
  <rv s="6">
    <fb>520.54999999999995</fb>
    <v>11</v>
  </rv>
  <rv s="6">
    <fb>519</fb>
    <v>11</v>
  </rv>
  <rv s="6">
    <fb>526.84</fb>
    <v>11</v>
  </rv>
  <rv s="6">
    <fb>505.37</fb>
    <v>11</v>
  </rv>
  <rv s="6">
    <fb>11191918</fb>
    <v>12</v>
  </rv>
  <rv s="6">
    <fb>515.91999999999996</fb>
    <v>11</v>
  </rv>
  <rv s="6">
    <fb>521.14689999999996</fb>
    <v>11</v>
  </rv>
  <rv s="6">
    <fb>522.66989999999998</fb>
    <v>11</v>
  </rv>
  <rv s="6">
    <fb>507.20139999999998</fb>
    <v>11</v>
  </rv>
  <rv s="6">
    <fb>8866136</fb>
    <v>12</v>
  </rv>
  <rv s="6">
    <fb>546.88</fb>
    <v>11</v>
  </rv>
  <rv s="6">
    <fb>515.24</fb>
    <v>11</v>
  </rv>
  <rv s="6">
    <fb>551.38829999999996</fb>
    <v>11</v>
  </rv>
  <rv s="6">
    <fb>512.29999999999995</fb>
    <v>11</v>
  </rv>
  <rv s="6">
    <fb>18198746</fb>
    <v>12</v>
  </rv>
  <rv s="6">
    <fb>558.91999999999996</fb>
    <v>11</v>
  </rv>
  <rv s="6">
    <fb>545.98</fb>
    <v>11</v>
  </rv>
  <rv s="6">
    <fb>564.16999999999996</fb>
    <v>11</v>
  </rv>
  <rv s="6">
    <fb>543.74</fb>
    <v>11</v>
  </rv>
  <rv s="6">
    <fb>11625250</fb>
    <v>12</v>
  </rv>
  <rv s="6">
    <fb>590.53</fb>
    <v>11</v>
  </rv>
  <rv s="6">
    <fb>557.25</fb>
    <v>11</v>
  </rv>
  <rv s="6">
    <fb>598.75670000000002</fb>
    <v>11</v>
  </rv>
  <rv s="6">
    <fb>556.45000000000005</fb>
    <v>11</v>
  </rv>
  <rv s="6">
    <fb>19361726</fb>
    <v>12</v>
  </rv>
  <rv s="6">
    <fb>598.72</fb>
    <v>11</v>
  </rv>
  <rv s="6">
    <fb>594.69000000000005</fb>
    <v>11</v>
  </rv>
  <rv s="6">
    <fb>615.6</fb>
    <v>11</v>
  </rv>
  <rv s="6">
    <fb>593.66999999999996</fb>
    <v>11</v>
  </rv>
  <rv s="6">
    <fb>18160460</fb>
    <v>12</v>
  </rv>
  <rv s="6">
    <fb>589.35</fb>
    <v>11</v>
  </rv>
  <rv s="6">
    <fb>598.57000000000005</fb>
    <v>11</v>
  </rv>
  <rv s="6">
    <fb>15252617</fb>
    <v>12</v>
  </rv>
  <rv s="6">
    <fb>592.39</fb>
    <v>11</v>
  </rv>
  <rv s="6">
    <fb>586.79</fb>
    <v>11</v>
  </rv>
  <rv s="6">
    <fb>599.32000000000005</fb>
    <v>11</v>
  </rv>
  <rv s="6">
    <fb>568.08000000000004</fb>
    <v>11</v>
  </rv>
  <rv s="6">
    <fb>14657363</fb>
    <v>12</v>
  </rv>
  <rv s="6">
    <fb>613.15</fb>
    <v>11</v>
  </rv>
  <rv s="6">
    <fb>587.95000000000005</fb>
    <v>11</v>
  </rv>
  <rv s="6">
    <fb>619</fb>
    <v>11</v>
  </rv>
  <rv s="6">
    <fb>576.92999999999995</fb>
    <v>11</v>
  </rv>
  <rv s="6">
    <fb>23863702</fb>
    <v>12</v>
  </rv>
  <rv s="6">
    <fb>632.66</fb>
    <v>11</v>
  </rv>
  <rv s="6">
    <fb>613.39</fb>
    <v>11</v>
  </rv>
  <rv s="6">
    <fb>646.84</fb>
    <v>11</v>
  </rv>
  <rv s="6">
    <fb>594.67999999999995</fb>
    <v>11</v>
  </rv>
  <rv s="6">
    <fb>25939638</fb>
    <v>12</v>
  </rv>
  <rv s="6">
    <fb>628.29</fb>
    <v>11</v>
  </rv>
  <rv s="6">
    <fb>633.19500000000005</fb>
    <v>11</v>
  </rv>
  <rv s="6">
    <fb>639.41999999999996</fb>
    <v>11</v>
  </rv>
  <rv s="6">
    <fb>621.99</fb>
    <v>11</v>
  </rv>
  <rv s="6">
    <fb>15303866</fb>
    <v>12</v>
  </rv>
  <rv s="6">
    <fb>664.78</fb>
    <v>11</v>
  </rv>
  <rv s="6">
    <fb>632.1</fb>
    <v>11</v>
  </rv>
  <rv s="6">
    <fb>665.46</fb>
    <v>11</v>
  </rv>
  <rv s="6">
    <fb>617.15</fb>
    <v>11</v>
  </rv>
  <rv s="6">
    <fb>37547301</fb>
    <v>12</v>
  </rv>
  <rv s="6">
    <fb>690.31</fb>
    <v>11</v>
  </rv>
  <rv s="6">
    <fb>663.74</fb>
    <v>11</v>
  </rv>
  <rv s="6">
    <fb>690.96990000000005</fb>
    <v>11</v>
  </rv>
  <rv s="6">
    <fb>657.07</fb>
    <v>11</v>
  </rv>
  <rv s="6">
    <fb>15699968</fb>
    <v>12</v>
  </rv>
  <rv s="6">
    <fb>645.72</fb>
    <v>11</v>
  </rv>
  <rv s="6">
    <fb>689.06</fb>
    <v>11</v>
  </rv>
  <rv s="6">
    <fb>689.97</fb>
    <v>11</v>
  </rv>
  <rv s="6">
    <fb>645.01</fb>
    <v>11</v>
  </rv>
  <rv s="6">
    <fb>19482871</fb>
    <v>12</v>
  </rv>
  <rv s="6">
    <fb>682.61</fb>
    <v>11</v>
  </rv>
  <rv s="6">
    <fb>650.29</fb>
    <v>11</v>
  </rv>
  <rv s="6">
    <fb>683.34</fb>
    <v>11</v>
  </rv>
  <rv s="6">
    <fb>642.11</fb>
    <v>11</v>
  </rv>
  <rv s="6">
    <fb>14775659</fb>
    <v>12</v>
  </rv>
  <rv s="6">
    <fb>678.8</fb>
    <v>11</v>
  </rv>
  <rv s="6">
    <fb>681.23500000000001</fb>
    <v>11</v>
  </rv>
  <rv s="6">
    <fb>700.98940000000005</fb>
    <v>11</v>
  </rv>
  <rv s="6">
    <fb>671.49</fb>
    <v>11</v>
  </rv>
  <rv s="6">
    <fb>12312248</fb>
    <v>12</v>
  </rv>
  <rv s="6">
    <fb>665.64</fb>
    <v>11</v>
  </rv>
  <rv s="6">
    <fb>676.02</fb>
    <v>11</v>
  </rv>
  <rv s="6">
    <fb>679.48</fb>
    <v>11</v>
  </rv>
  <rv s="6">
    <fb>646.04999999999995</fb>
    <v>11</v>
  </rv>
  <rv s="6">
    <fb>9826030</fb>
    <v>12</v>
  </rv>
  <rv s="6">
    <fb>602.13</fb>
    <v>11</v>
  </rv>
  <rv s="6">
    <fb>663.2</fb>
    <v>11</v>
  </rv>
  <rv s="6">
    <fb>675.38</fb>
    <v>11</v>
  </rv>
  <rv s="6">
    <fb>594</fb>
    <v>11</v>
  </rv>
  <rv s="6">
    <fb>20195715</fb>
    <v>12</v>
  </rv>
  <rv s="6">
    <fb>611.66</fb>
    <v>11</v>
  </rv>
  <rv s="6">
    <fb>606.01</fb>
    <v>11</v>
  </rv>
  <rv s="6">
    <fb>632.45500000000004</fb>
    <v>11</v>
  </rv>
  <rv s="6">
    <fb>601</fb>
    <v>11</v>
  </rv>
  <rv s="6">
    <fb>13546265</fb>
    <v>12</v>
  </rv>
  <rv s="6">
    <fb>586.73</fb>
    <v>11</v>
  </rv>
  <rv s="6">
    <fb>612</fb>
    <v>11</v>
  </rv>
  <rv s="6">
    <fb>612.64</fb>
    <v>11</v>
  </rv>
  <rv s="6">
    <fb>581.74</fb>
    <v>11</v>
  </rv>
  <rv s="6">
    <fb>15945570</fb>
    <v>12</v>
  </rv>
  <rv s="6">
    <fb>614.09</fb>
    <v>11</v>
  </rv>
  <rv s="6">
    <fb>586.42999999999995</fb>
    <v>11</v>
  </rv>
  <rv s="6">
    <fb>616.88</fb>
    <v>11</v>
  </rv>
  <rv s="6">
    <fb>584.26</fb>
    <v>11</v>
  </rv>
  <rv s="6">
    <fb>9634685</fb>
    <v>12</v>
  </rv>
  <rv s="6">
    <fb>602.44000000000005</fb>
    <v>11</v>
  </rv>
  <rv s="6">
    <fb>615</fb>
    <v>11</v>
  </rv>
  <rv s="6">
    <fb>620.61</fb>
    <v>11</v>
  </rv>
  <rv s="6">
    <fb>602.04999999999995</fb>
    <v>11</v>
  </rv>
  <rv s="6">
    <fb>8854873</fb>
    <v>12</v>
  </rv>
  <rv s="6">
    <fb>541.05999999999995</fb>
    <v>11</v>
  </rv>
  <rv s="6">
    <fb>605.61</fb>
    <v>11</v>
  </rv>
  <rv s="6">
    <fb>609.99</fb>
    <v>11</v>
  </rv>
  <rv s="6">
    <fb>538.21749999999997</fb>
    <v>11</v>
  </rv>
  <rv s="6">
    <fb>20705360</fb>
    <v>12</v>
  </rv>
  <rv s="6">
    <fb>525.69000000000005</fb>
    <v>11</v>
  </rv>
  <rv s="6">
    <fb>538.49</fb>
    <v>11</v>
  </rv>
  <rv s="6">
    <fb>544.27</fb>
    <v>11</v>
  </rv>
  <rv s="6">
    <fb>511.88</fb>
    <v>11</v>
  </rv>
  <rv s="6">
    <fb>23687525</fb>
    <v>12</v>
  </rv>
  <rv s="6">
    <fb>397.5</fb>
    <v>11</v>
  </rv>
  <rv s="6">
    <fb>520.08000000000004</fb>
    <v>11</v>
  </rv>
  <rv s="6">
    <fb>526.64</fb>
    <v>11</v>
  </rv>
  <rv s="6">
    <fb>379.99</fb>
    <v>11</v>
  </rv>
  <rv s="6">
    <fb>80761185</fb>
    <v>12</v>
  </rv>
  <rv s="6">
    <fb>384.36</fb>
    <v>11</v>
  </rv>
  <rv s="6">
    <fb>383.91</fb>
    <v>11</v>
  </rv>
  <rv s="6">
    <fb>351.46</fb>
    <v>11</v>
  </rv>
  <rv s="6">
    <fb>96507931</fb>
    <v>12</v>
  </rv>
  <rv s="6">
    <fb>410.17</fb>
    <v>11</v>
  </rv>
  <rv s="6">
    <fb>401.97</fb>
    <v>11</v>
  </rv>
  <rv s="6">
    <fb>458.48</fb>
    <v>11</v>
  </rv>
  <rv s="6">
    <fb>396.63909999999998</fb>
    <v>11</v>
  </rv>
  <rv s="6">
    <fb>74656569</fb>
    <v>12</v>
  </rv>
  <rv s="6">
    <fb>391.31</fb>
    <v>11</v>
  </rv>
  <rv s="6">
    <fb>412.98</fb>
    <v>11</v>
  </rv>
  <rv s="6">
    <fb>387.65</fb>
    <v>11</v>
  </rv>
  <rv s="6">
    <fb>38801483</fb>
    <v>12</v>
  </rv>
  <rv s="6">
    <fb>391.29</fb>
    <v>11</v>
  </rv>
  <rv s="6">
    <fb>387.59</fb>
    <v>11</v>
  </rv>
  <rv s="6">
    <fb>409.36</fb>
    <v>11</v>
  </rv>
  <rv s="6">
    <fb>385.7</fb>
    <v>11</v>
  </rv>
  <rv s="6">
    <fb>29346336</fb>
    <v>12</v>
  </rv>
  <rv s="6">
    <fb>390.8</fb>
    <v>11</v>
  </rv>
  <rv s="6">
    <fb>388.95</fb>
    <v>11</v>
  </rv>
  <rv s="6">
    <fb>392.42</fb>
    <v>11</v>
  </rv>
  <rv s="6">
    <fb>354.72</fb>
    <v>11</v>
  </rv>
  <rv s="6">
    <fb>23222165</fb>
    <v>12</v>
  </rv>
  <rv s="6">
    <fb>361.73</fb>
    <v>11</v>
  </rv>
  <rv s="6">
    <fb>387.33</fb>
    <v>11</v>
  </rv>
  <rv s="6">
    <fb>397.75</fb>
    <v>11</v>
  </rv>
  <rv s="6">
    <fb>357.17</fb>
    <v>11</v>
  </rv>
  <rv s="6">
    <fb>25088310</fb>
    <v>12</v>
  </rv>
  <rv s="6">
    <fb>340.32</fb>
    <v>11</v>
  </rv>
  <rv s="6">
    <fb>360.41</fb>
    <v>11</v>
  </rv>
  <rv s="6">
    <fb>367.02</fb>
    <v>11</v>
  </rv>
  <rv s="6">
    <fb>28284916</fb>
    <v>12</v>
  </rv>
  <rv s="6">
    <fb>380.6</fb>
    <v>11</v>
  </rv>
  <rv s="6">
    <fb>338.72</fb>
    <v>11</v>
  </rv>
  <rv s="6">
    <fb>381.8</fb>
    <v>11</v>
  </rv>
  <rv s="6">
    <fb>329.82</fb>
    <v>11</v>
  </rv>
  <rv s="6">
    <fb>32494099</fb>
    <v>12</v>
  </rv>
  <rv s="6">
    <fb>373.85</fb>
    <v>11</v>
  </rv>
  <rv s="6">
    <fb>378.02</fb>
    <v>11</v>
  </rv>
  <rv s="6">
    <fb>386.66</fb>
    <v>11</v>
  </rv>
  <rv s="6">
    <fb>366.43</fb>
    <v>11</v>
  </rv>
  <rv s="6">
    <fb>20302593</fb>
    <v>12</v>
  </rv>
  <rv s="6">
    <fb>373.47</fb>
    <v>11</v>
  </rv>
  <rv s="6">
    <fb>375.23</fb>
    <v>11</v>
  </rv>
  <rv s="6">
    <fb>366.73</fb>
    <v>11</v>
  </rv>
  <rv s="6">
    <fb>23006416</fb>
    <v>12</v>
  </rv>
  <rv s="6">
    <fb>355.88</fb>
    <v>11</v>
  </rv>
  <rv s="6">
    <fb>373.55</fb>
    <v>11</v>
  </rv>
  <rv s="6">
    <fb>396.02</fb>
    <v>11</v>
  </rv>
  <rv s="6">
    <fb>353.68970000000002</fb>
    <v>11</v>
  </rv>
  <rv s="6">
    <fb>24572720</fb>
    <v>12</v>
  </rv>
  <rv s="6">
    <fb>341.13</fb>
    <v>11</v>
  </rv>
  <rv s="6">
    <fb>359.41</fb>
    <v>11</v>
  </rv>
  <rv s="6">
    <fb>339.86</fb>
    <v>11</v>
  </rv>
  <rv s="6">
    <fb>15176144</fb>
    <v>12</v>
  </rv>
  <rv s="6">
    <fb>215.52</fb>
    <v>11</v>
  </rv>
  <rv s="6">
    <fb>351.68</fb>
    <v>11</v>
  </rv>
  <rv s="6">
    <fb>210.05</fb>
    <v>11</v>
  </rv>
  <rv s="6">
    <fb>250416136</fb>
    <v>12</v>
  </rv>
  <rv s="6">
    <fb>190.36</fb>
    <v>11</v>
  </rv>
  <rv s="6">
    <fb>213.81</fb>
    <v>11</v>
  </rv>
  <rv s="6">
    <fb>216.66</fb>
    <v>11</v>
  </rv>
  <rv s="6">
    <fb>185.6</fb>
    <v>11</v>
  </rv>
  <rv s="6">
    <fb>108523579</fb>
    <v>12</v>
  </rv>
  <rv s="6">
    <fb>191.71</fb>
    <v>11</v>
  </rv>
  <rv s="6">
    <fb>175.81</fb>
    <v>11</v>
  </rv>
  <rv s="6">
    <fb>69806615</fb>
    <v>12</v>
  </rv>
  <rv s="6">
    <fb>187.64</fb>
    <v>11</v>
  </rv>
  <rv s="6">
    <fb>177.655</fb>
    <v>11</v>
  </rv>
  <rv s="6">
    <fb>187.77</fb>
    <v>11</v>
  </rv>
  <rv s="6">
    <fb>162.71</fb>
    <v>11</v>
  </rv>
  <rv s="6">
    <fb>71379202</fb>
    <v>12</v>
  </rv>
  <rv s="6">
    <fb>186.35</fb>
    <v>11</v>
  </rv>
  <rv s="6">
    <fb>195.89</fb>
    <v>11</v>
  </rv>
  <rv s="6">
    <fb>175.71</fb>
    <v>11</v>
  </rv>
  <rv s="6">
    <fb>56565237</fb>
    <v>12</v>
  </rv>
  <rv s="6">
    <fb>195.19</fb>
    <v>11</v>
  </rv>
  <rv s="6">
    <fb>186.15</fb>
    <v>11</v>
  </rv>
  <rv s="6">
    <fb>195.25</fb>
    <v>11</v>
  </rv>
  <rv s="6">
    <fb>177.17</fb>
    <v>11</v>
  </rv>
  <rv s="6">
    <fb>42466411</fb>
    <v>12</v>
  </rv>
  <rv s="6">
    <fb>198.98</fb>
    <v>11</v>
  </rv>
  <rv s="6">
    <fb>196.18</fb>
    <v>11</v>
  </rv>
  <rv s="6">
    <fb>205.47</fb>
    <v>11</v>
  </rv>
  <rv s="6">
    <fb>190.8</fb>
    <v>11</v>
  </rv>
  <rv s="6">
    <fb>36629507</fb>
    <v>12</v>
  </rv>
  <rv s="6">
    <fb>202.09</fb>
    <v>11</v>
  </rv>
  <rv s="6">
    <fb>207.38</fb>
    <v>11</v>
  </rv>
  <rv s="6">
    <fb>180.85</fb>
    <v>11</v>
  </rv>
  <rv s="6">
    <fb>37478902</fb>
    <v>12</v>
  </rv>
  <rv s="6">
    <fb>175.51</fb>
    <v>11</v>
  </rv>
  <rv s="6">
    <fb>183.845</fb>
    <v>11</v>
  </rv>
  <rv s="6">
    <fb>54508449</fb>
    <v>12</v>
  </rv>
  <rv s="6">
    <fb>177.6</fb>
    <v>11</v>
  </rv>
  <rv s="6">
    <fb>191.19</fb>
    <v>11</v>
  </rv>
  <rv s="6">
    <fb>46150407</fb>
    <v>12</v>
  </rv>
  <rv s="6">
    <fb>179.95</fb>
    <v>11</v>
  </rv>
  <rv s="6">
    <fb>191.77</fb>
    <v>11</v>
  </rv>
  <rv s="6">
    <fb>34428916</fb>
    <v>12</v>
  </rv>
  <rv s="6">
    <fb>186.97499999999999</fb>
    <v>11</v>
  </rv>
  <rv s="6">
    <fb>190.21</fb>
    <v>11</v>
  </rv>
  <rv s="6">
    <fb>172.68010000000001</fb>
    <v>11</v>
  </rv>
  <rv s="6">
    <fb>25262633</fb>
    <v>12</v>
  </rv>
  <rv s="6">
    <fb>189.11</fb>
    <v>11</v>
  </rv>
  <rv s="6">
    <fb>184.73</fb>
    <v>11</v>
  </rv>
  <rv s="6">
    <fb>189.22</fb>
    <v>11</v>
  </rv>
  <rv s="6">
    <fb>169.702</fb>
    <v>11</v>
  </rv>
  <rv s="6">
    <fb>50986705</fb>
    <v>12</v>
  </rv>
  <rv s="6">
    <fb>220.44</fb>
    <v>11</v>
  </rv>
  <rv s="6">
    <fb>192.5</fb>
    <v>11</v>
  </rv>
  <rv s="6">
    <fb>229.35</fb>
    <v>11</v>
  </rv>
  <rv s="6">
    <fb>188.4</fb>
    <v>11</v>
  </rv>
  <rv s="6">
    <fb>139657396</fb>
    <v>12</v>
  </rv>
  <rv s="6">
    <fb>221.31</fb>
    <v>11</v>
  </rv>
  <rv s="6">
    <fb>230.75</fb>
    <v>11</v>
  </rv>
  <rv s="6">
    <fb>211.64</fb>
    <v>11</v>
  </rv>
  <rv s="6">
    <fb>48989839</fb>
    <v>12</v>
  </rv>
  <rv s="6">
    <fb>223.095</fb>
    <v>11</v>
  </rv>
  <rv s="6">
    <fb>232.07</fb>
    <v>11</v>
  </rv>
  <rv s="6">
    <fb>220.88</fb>
    <v>11</v>
  </rv>
  <rv s="6">
    <fb>30969546</fb>
    <v>12</v>
  </rv>
  <rv s="6">
    <fb>249.3</fb>
    <v>11</v>
  </rv>
  <rv s="6">
    <fb>227.49</fb>
    <v>11</v>
  </rv>
  <rv s="6">
    <fb>251.62</fb>
    <v>11</v>
  </rv>
  <rv s="6">
    <fb>224.65</fb>
    <v>11</v>
  </rv>
  <rv s="6">
    <fb>41311956</fb>
    <v>12</v>
  </rv>
  <rv s="6">
    <fb>241.16</fb>
    <v>11</v>
  </rv>
  <rv s="6">
    <fb>248.11</fb>
    <v>11</v>
  </rv>
  <rv s="6">
    <fb>251.99</fb>
    <v>11</v>
  </rv>
  <rv s="6">
    <fb>235.68</fb>
    <v>11</v>
  </rv>
  <rv s="6">
    <fb>30076515</fb>
    <v>12</v>
  </rv>
  <rv s="6">
    <fb>223.28</fb>
    <v>11</v>
  </rv>
  <rv s="6">
    <fb>232.55</fb>
    <v>11</v>
  </rv>
  <rv s="6">
    <fb>236.95</fb>
    <v>11</v>
  </rv>
  <rv s="6">
    <fb>223.15</fb>
    <v>11</v>
  </rv>
  <rv s="6">
    <fb>28450070</fb>
    <v>12</v>
  </rv>
  <rv s="6">
    <fb>226.11</fb>
    <v>11</v>
  </rv>
  <rv s="6">
    <fb>221.93</fb>
    <v>11</v>
  </rv>
  <rv s="6">
    <fb>233.88140000000001</fb>
    <v>11</v>
  </rv>
  <rv s="6">
    <fb>218.74</fb>
    <v>11</v>
  </rv>
  <rv s="6">
    <fb>36923537</fb>
    <v>12</v>
  </rv>
  <rv s="6">
    <fb>233.57</fb>
    <v>11</v>
  </rv>
  <rv s="6">
    <fb>225.59</fb>
    <v>11</v>
  </rv>
  <rv s="6">
    <fb>234.7799</fb>
    <v>11</v>
  </rv>
  <rv s="6">
    <fb>214.69</fb>
    <v>11</v>
  </rv>
  <rv s="6">
    <fb>29057841</fb>
    <v>12</v>
  </rv>
  <rv s="6">
    <fb>240.13</fb>
    <v>11</v>
  </rv>
  <rv s="6">
    <fb>233.61</fb>
    <v>11</v>
  </rv>
  <rv s="6">
    <fb>242.28710000000001</fb>
    <v>11</v>
  </rv>
  <rv s="6">
    <fb>215.8</fb>
    <v>11</v>
  </rv>
  <rv s="6">
    <fb>60646192</fb>
    <v>12</v>
  </rv>
  <rv s="6">
    <fb>226.41</fb>
    <v>11</v>
  </rv>
  <rv s="6">
    <fb>245.05</fb>
    <v>11</v>
  </rv>
  <rv s="6">
    <fb>221.43</fb>
    <v>11</v>
  </rv>
  <rv s="6">
    <fb>64341766</fb>
    <v>12</v>
  </rv>
  <rv s="6">
    <fb>235.44</fb>
    <v>11</v>
  </rv>
  <rv s="6">
    <fb>246.98</fb>
    <v>11</v>
  </rv>
  <rv s="6">
    <fb>220.72</fb>
    <v>11</v>
  </rv>
  <rv s="6">
    <fb>64419728</fb>
    <v>12</v>
  </rv>
  <rv s="6">
    <fb>224.75</fb>
    <v>11</v>
  </rv>
  <rv s="6">
    <fb>237.85</fb>
    <v>11</v>
  </rv>
  <rv s="6">
    <fb>245.79990000000001</fb>
    <v>11</v>
  </rv>
  <rv s="6">
    <fb>224.28</fb>
    <v>11</v>
  </rv>
  <rv s="6">
    <fb>52403998</fb>
    <v>12</v>
  </rv>
  <rv s="6">
    <fb>230</fb>
    <v>11</v>
  </rv>
  <rv s="6">
    <fb>225.64</fb>
    <v>11</v>
  </rv>
  <rv s="6">
    <fb>238.8</fb>
    <v>11</v>
  </rv>
  <rv s="6">
    <fb>211.73</fb>
    <v>11</v>
  </rv>
  <rv s="6">
    <fb>71024611</fb>
    <v>12</v>
  </rv>
  <rv s="6">
    <fb>289.57</fb>
    <v>11</v>
  </rv>
  <rv s="6">
    <fb>234.41</fb>
    <v>11</v>
  </rv>
  <rv s="6">
    <fb>290.75</fb>
    <v>11</v>
  </rv>
  <rv s="6">
    <fb>234.4</fb>
    <v>11</v>
  </rv>
  <rv s="6">
    <fb>135615969</fb>
    <v>12</v>
  </rv>
  <rv s="6">
    <fb>295.72000000000003</fb>
    <v>11</v>
  </rv>
  <rv s="6">
    <fb>290.23</fb>
    <v>11</v>
  </rv>
  <rv s="6">
    <fb>305.63</fb>
    <v>11</v>
  </rv>
  <rv s="6">
    <fb>280.36</fb>
    <v>11</v>
  </rv>
  <rv s="6">
    <fb>68749521</fb>
    <v>12</v>
  </rv>
  <rv s="6">
    <fb>260.79000000000002</fb>
    <v>11</v>
  </rv>
  <rv s="6">
    <fb>295.13</fb>
    <v>11</v>
  </rv>
  <rv s="6">
    <fb>299.7</fb>
    <v>11</v>
  </rv>
  <rv s="6">
    <fb>255.32</fb>
    <v>11</v>
  </rv>
  <rv s="6">
    <fb>42971221</fb>
    <v>12</v>
  </rv>
  <rv s="6">
    <fb>290.13</fb>
    <v>11</v>
  </rv>
  <rv s="6">
    <fb>261.06</fb>
    <v>11</v>
  </rv>
  <rv s="6">
    <fb>290.66000000000003</fb>
    <v>11</v>
  </rv>
  <rv s="6">
    <fb>252.09</fb>
    <v>11</v>
  </rv>
  <rv s="6">
    <fb>42118010</fb>
    <v>12</v>
  </rv>
  <rv s="6">
    <fb>287.98</fb>
    <v>11</v>
  </rv>
  <rv s="6">
    <fb>290</fb>
    <v>11</v>
  </rv>
  <rv s="6">
    <fb>312.70999999999998</fb>
    <v>11</v>
  </rv>
  <rv s="6">
    <fb>287</fb>
    <v>11</v>
  </rv>
  <rv s="6">
    <fb>58877214</fb>
    <v>12</v>
  </rv>
  <rv s="6">
    <fb>285.54000000000002</fb>
    <v>11</v>
  </rv>
  <rv s="6">
    <fb>291</fb>
    <v>11</v>
  </rv>
  <rv s="6">
    <fb>292.47000000000003</fb>
    <v>11</v>
  </rv>
  <rv s="6">
    <fb>277.33999999999997</fb>
    <v>11</v>
  </rv>
  <rv s="6">
    <fb>22656567</fb>
    <v>12</v>
  </rv>
  <rv s="6">
    <fb>320.41000000000003</fb>
    <v>11</v>
  </rv>
  <rv s="6">
    <fb>284</fb>
    <v>11</v>
  </rv>
  <rv s="6">
    <fb>321.99</fb>
    <v>11</v>
  </rv>
  <rv s="6">
    <fb>275.94</fb>
    <v>11</v>
  </rv>
  <rv s="6">
    <fb>53919511</fb>
    <v>12</v>
  </rv>
  <rv s="6">
    <fb>320.01</fb>
    <v>11</v>
  </rv>
  <rv s="6">
    <fb>316.45999999999998</fb>
    <v>11</v>
  </rv>
  <rv s="6">
    <fb>329</fb>
    <v>11</v>
  </rv>
  <rv s="6">
    <fb>45009416</fb>
    <v>12</v>
  </rv>
  <rv s="6">
    <fb>290.70999999999998</fb>
    <v>11</v>
  </rv>
  <rv s="6">
    <fb>332.72359999999998</fb>
    <v>11</v>
  </rv>
  <rv s="6">
    <fb>286.55</fb>
    <v>11</v>
  </rv>
  <rv s="6">
    <fb>60252934</fb>
    <v>12</v>
  </rv>
  <rv s="6">
    <fb>294.96499999999997</fb>
    <v>11</v>
  </rv>
  <rv s="6">
    <fb>289.73</fb>
    <v>11</v>
  </rv>
  <rv s="6">
    <fb>300.66000000000003</fb>
    <v>11</v>
  </rv>
  <rv s="6">
    <fb>280.81</fb>
    <v>11</v>
  </rv>
  <rv s="6">
    <fb>31565254</fb>
    <v>12</v>
  </rv>
  <rv s="6">
    <fb>294.88</fb>
    <v>11</v>
  </rv>
  <rv s="6">
    <fb>295.49990000000003</fb>
    <v>11</v>
  </rv>
  <rv s="6">
    <fb>273.41000000000003</fb>
    <v>11</v>
  </rv>
  <rv s="6">
    <fb>28897886</fb>
    <v>12</v>
  </rv>
  <rv s="6">
    <fb>315.55</fb>
    <v>11</v>
  </rv>
  <rv s="6">
    <fb>298.06</fb>
    <v>11</v>
  </rv>
  <rv s="6">
    <fb>316.77</fb>
    <v>11</v>
  </rv>
  <rv s="6">
    <fb>288.7</fb>
    <v>11</v>
  </rv>
  <rv s="6">
    <fb>33397247</fb>
    <v>12</v>
  </rv>
  <rv s="6">
    <fb>332.82</fb>
    <v>11</v>
  </rv>
  <rv s="6">
    <fb>316.83</fb>
    <v>11</v>
  </rv>
  <rv s="6">
    <fb>336.65</fb>
    <v>11</v>
  </rv>
  <rv s="6">
    <fb>48561657</fb>
    <v>12</v>
  </rv>
  <rv s="6">
    <fb>342.5</fb>
    <v>11</v>
  </rv>
  <rv s="6">
    <fb>331.08</fb>
    <v>11</v>
  </rv>
  <rv s="6">
    <fb>313.39</fb>
    <v>11</v>
  </rv>
  <rv s="6">
    <fb>62291311</fb>
    <v>12</v>
  </rv>
  <rv s="6">
    <fb>360.77</fb>
    <v>11</v>
  </rv>
  <rv s="6">
    <fb>341.71499999999997</fb>
    <v>11</v>
  </rv>
  <rv s="6">
    <fb>369.02</fb>
    <v>11</v>
  </rv>
  <rv s="6">
    <fb>340.63290000000001</fb>
    <v>11</v>
  </rv>
  <rv s="6">
    <fb>50170680</fb>
    <v>12</v>
  </rv>
  <rv s="6">
    <fb>365.9</fb>
    <v>11</v>
  </rv>
  <rv s="6">
    <fb>358.44</fb>
    <v>11</v>
  </rv>
  <rv s="6">
    <fb>379.43009999999998</fb>
    <v>11</v>
  </rv>
  <rv s="6">
    <fb>348.71</fb>
    <v>11</v>
  </rv>
  <rv s="6">
    <fb>36052487</fb>
    <v>12</v>
  </rv>
  <rv s="6">
    <fb>347.36</fb>
    <v>11</v>
  </rv>
  <rv s="6">
    <fb>363.642</fb>
    <v>11</v>
  </rv>
  <rv s="6">
    <fb>373.83</fb>
    <v>11</v>
  </rv>
  <rv s="6">
    <fb>347.14</fb>
    <v>11</v>
  </rv>
  <rv s="6">
    <fb>31729685</fb>
    <v>12</v>
  </rv>
  <rv s="6">
    <fb>347.96</fb>
    <v>11</v>
  </rv>
  <rv s="6">
    <fb>349.5</fb>
    <v>11</v>
  </rv>
  <rv s="6">
    <fb>363.75</fb>
    <v>11</v>
  </rv>
  <rv s="6">
    <fb>342.44</fb>
    <v>11</v>
  </rv>
  <rv s="6">
    <fb>26239601</fb>
    <v>12</v>
  </rv>
  <rv s="6">
    <fb>317.14999999999998</fb>
    <v>11</v>
  </rv>
  <rv s="6">
    <fb>342.85</fb>
    <v>11</v>
  </rv>
  <rv s="6">
    <fb>344.12529999999998</fb>
    <v>11</v>
  </rv>
  <rv s="6">
    <fb>314.3</fb>
    <v>11</v>
  </rv>
  <rv s="6">
    <fb>30325906</fb>
    <v>12</v>
  </rv>
  <rv s="6">
    <fb>315.18</fb>
    <v>11</v>
  </rv>
  <rv s="6">
    <fb>323.87</fb>
    <v>11</v>
  </rv>
  <rv s="6">
    <fb>310.38</fb>
    <v>11</v>
  </rv>
  <rv s="6">
    <fb>25604338</fb>
    <v>12</v>
  </rv>
  <rv s="6">
    <fb>292.76</fb>
    <v>11</v>
  </rv>
  <rv s="6">
    <fb>323.3</fb>
    <v>11</v>
  </rv>
  <rv s="6">
    <fb>26895964</fb>
    <v>12</v>
  </rv>
  <rv s="6">
    <fb>303.5</fb>
    <v>11</v>
  </rv>
  <rv s="6">
    <fb>287.33999999999997</fb>
    <v>11</v>
  </rv>
  <rv s="6">
    <fb>316.60000000000002</fb>
    <v>11</v>
  </rv>
  <rv s="6">
    <fb>285.33010000000002</fb>
    <v>11</v>
  </rv>
  <rv s="6">
    <fb>36295565</fb>
    <v>12</v>
  </rv>
  <rv s="6">
    <fb>328.39</fb>
    <v>11</v>
  </rv>
  <rv s="6">
    <fb>299.79000000000002</fb>
    <v>11</v>
  </rv>
  <rv s="6">
    <fb>331.83</fb>
    <v>11</v>
  </rv>
  <rv s="6">
    <fb>293.54000000000002</fb>
    <v>11</v>
  </rv>
  <rv s="6">
    <fb>44465176</fb>
    <v>12</v>
  </rv>
  <rv s="6">
    <fb>345.48</fb>
    <v>11</v>
  </rv>
  <rv s="6">
    <fb>327.55</fb>
    <v>11</v>
  </rv>
  <rv s="6">
    <fb>345.84</fb>
    <v>11</v>
  </rv>
  <rv s="6">
    <fb>321.27999999999997</fb>
    <v>11</v>
  </rv>
  <rv s="6">
    <fb>34144116</fb>
    <v>12</v>
  </rv>
  <rv s="6">
    <fb>339.33</fb>
    <v>11</v>
  </rv>
  <rv s="6">
    <fb>341.83</fb>
    <v>11</v>
  </rv>
  <rv s="6">
    <fb>349.8</fb>
    <v>11</v>
  </rv>
  <rv s="6">
    <fb>332.63</fb>
    <v>11</v>
  </rv>
  <rv s="6">
    <fb>16577809</fb>
    <v>12</v>
  </rv>
  <rv s="6">
    <fb>338.63</fb>
    <v>11</v>
  </rv>
  <rv s="6">
    <fb>335.27</fb>
    <v>11</v>
  </rv>
  <rv s="6">
    <fb>330.04</fb>
    <v>11</v>
  </rv>
  <rv s="6">
    <fb>23425061</fb>
    <v>12</v>
  </rv>
  <rv s="6">
    <fb>327.98</fb>
    <v>11</v>
  </rv>
  <rv s="6">
    <fb>338.39</fb>
    <v>11</v>
  </rv>
  <rv s="6">
    <fb>316.10000000000002</fb>
    <v>11</v>
  </rv>
  <rv s="6">
    <fb>62504610</fb>
    <v>12</v>
  </rv>
  <rv s="6">
    <fb>329.93</fb>
    <v>11</v>
  </rv>
  <rv s="6">
    <fb>330.2</fb>
    <v>11</v>
  </rv>
  <rv s="6">
    <fb>334.66</fb>
    <v>11</v>
  </rv>
  <rv s="6">
    <fb>317.44</fb>
    <v>11</v>
  </rv>
  <rv s="6">
    <fb>25483649</fb>
    <v>12</v>
  </rv>
  <rv s="6">
    <fb>322.76</fb>
    <v>11</v>
  </rv>
  <rv s="6">
    <fb>329.435</fb>
    <v>11</v>
  </rv>
  <rv s="6">
    <fb>331.23</fb>
    <v>11</v>
  </rv>
  <rv s="6">
    <fb>315.62</fb>
    <v>11</v>
  </rv>
  <rv s="6">
    <fb>22594447</fb>
    <v>12</v>
  </rv>
  <rv s="6">
    <fb>322.99</fb>
    <v>11</v>
  </rv>
  <rv s="6">
    <fb>348.16640000000001</fb>
    <v>11</v>
  </rv>
  <rv s="6">
    <fb>322.02999999999997</fb>
    <v>11</v>
  </rv>
  <rv s="6">
    <fb>29439233</fb>
    <v>12</v>
  </rv>
  <rv s="6">
    <fb>365.36</fb>
    <v>11</v>
  </rv>
  <rv s="6">
    <fb>340.62</fb>
    <v>11</v>
  </rv>
  <rv s="6">
    <fb>375.87</fb>
    <v>11</v>
  </rv>
  <rv s="6">
    <fb>329.61500000000001</fb>
    <v>11</v>
  </rv>
  <rv s="6">
    <fb>39731578</fb>
    <v>12</v>
  </rv>
  <rv s="6">
    <fb>378.88</fb>
    <v>11</v>
  </rv>
  <rv s="6">
    <fb>383.76</fb>
    <v>11</v>
  </rv>
  <rv s="6">
    <fb>354.31</fb>
    <v>11</v>
  </rv>
  <rv s="6">
    <fb>35869355</fb>
    <v>12</v>
  </rv>
  <rv s="6">
    <fb>400.47</fb>
    <v>11</v>
  </rv>
  <rv s="6">
    <fb>397.48</fb>
    <v>11</v>
  </rv>
  <rv s="6">
    <fb>407.52</fb>
    <v>11</v>
  </rv>
  <rv s="6">
    <fb>385.79</fb>
    <v>11</v>
  </rv>
  <rv s="6">
    <fb>30915563</fb>
    <v>12</v>
  </rv>
  <rv s="6">
    <fb>420.02</fb>
    <v>11</v>
  </rv>
  <rv s="6">
    <fb>425.9</fb>
    <v>11</v>
  </rv>
  <rv s="6">
    <fb>396.34</fb>
    <v>11</v>
  </rv>
  <rv s="6">
    <fb>42535251</fb>
    <v>12</v>
  </rv>
  <rv s="6">
    <fb>431.96</fb>
    <v>11</v>
  </rv>
  <rv s="6">
    <fb>448.65</fb>
    <v>11</v>
  </rv>
  <rv s="6">
    <fb>416.56689999999998</fb>
    <v>11</v>
  </rv>
  <rv s="6">
    <fb>38054991</fb>
    <v>12</v>
  </rv>
  <rv s="6">
    <fb>424.02</fb>
    <v>11</v>
  </rv>
  <rv s="6">
    <fb>430.18</fb>
    <v>11</v>
  </rv>
  <rv s="6">
    <fb>440</fb>
    <v>11</v>
  </rv>
  <rv s="6">
    <fb>417.73</fb>
    <v>11</v>
  </rv>
  <rv s="6">
    <fb>23079600</fb>
    <v>12</v>
  </rv>
  <rv s="6">
    <fb>440.49</fb>
    <v>11</v>
  </rv>
  <rv s="6">
    <fb>422.435</fb>
    <v>11</v>
  </rv>
  <rv s="6">
    <fb>444.12</fb>
    <v>11</v>
  </rv>
  <rv s="6">
    <fb>411.5</fb>
    <v>11</v>
  </rv>
  <rv s="6">
    <fb>30548134</fb>
    <v>12</v>
  </rv>
  <rv s="6">
    <fb>438.1</fb>
    <v>11</v>
  </rv>
  <rv s="6">
    <fb>439.76</fb>
    <v>11</v>
  </rv>
  <rv s="6">
    <fb>450.97</fb>
    <v>11</v>
  </rv>
  <rv s="6">
    <fb>430.72</fb>
    <v>11</v>
  </rv>
  <rv s="6">
    <fb>19718657</fb>
    <v>12</v>
  </rv>
  <rv s="6">
    <fb>441.91</fb>
    <v>11</v>
  </rv>
  <rv s="6">
    <fb>438.52</fb>
    <v>11</v>
  </rv>
  <rv s="6">
    <fb>456.48</fb>
    <v>11</v>
  </rv>
  <rv s="6">
    <fb>431.04149999999998</fb>
    <v>11</v>
  </rv>
  <rv s="6">
    <fb>27911288</fb>
    <v>12</v>
  </rv>
  <rv s="6">
    <fb>427.5</fb>
    <v>11</v>
  </rv>
  <rv s="6">
    <fb>485</fb>
    <v>11</v>
  </rv>
  <rv s="6">
    <fb>423.19</fb>
    <v>11</v>
  </rv>
  <rv s="6">
    <fb>82424238</fb>
    <v>12</v>
  </rv>
  <rv s="6">
    <fb>425.78</fb>
    <v>11</v>
  </rv>
  <rv s="6">
    <fb>430.87990000000002</fb>
    <v>11</v>
  </rv>
  <rv s="6">
    <fb>411.88</fb>
    <v>11</v>
  </rv>
  <rv s="6">
    <fb>32174058</fb>
    <v>12</v>
  </rv>
  <rv s="6">
    <fb>431.6</fb>
    <v>11</v>
  </rv>
  <rv s="6">
    <fb>426.51</fb>
    <v>11</v>
  </rv>
  <rv s="6">
    <fb>445.24990000000003</fb>
    <v>11</v>
  </rv>
  <rv s="6">
    <fb>426.27</fb>
    <v>11</v>
  </rv>
  <rv s="6">
    <fb>28936064</fb>
    <v>12</v>
  </rv>
  <rv s="6">
    <fb>421.66</fb>
    <v>11</v>
  </rv>
  <rv s="6">
    <fb>436.45499999999998</fb>
    <v>11</v>
  </rv>
  <rv s="6">
    <fb>443.57</fb>
    <v>11</v>
  </rv>
  <rv s="6">
    <fb>421.32769999999999</fb>
    <v>11</v>
  </rv>
  <rv s="6">
    <fb>21790658</fb>
    <v>12</v>
  </rv>
  <rv s="6">
    <fb>404.53</fb>
    <v>11</v>
  </rv>
  <rv s="6">
    <fb>421.99</fb>
    <v>11</v>
  </rv>
  <rv s="6">
    <fb>429.12</fb>
    <v>11</v>
  </rv>
  <rv s="6">
    <fb>398.15</fb>
    <v>11</v>
  </rv>
  <rv s="6">
    <fb>21644647</fb>
    <v>12</v>
  </rv>
  <rv s="6">
    <fb>416.03</fb>
    <v>11</v>
  </rv>
  <rv s="6">
    <fb>402.23</fb>
    <v>11</v>
  </rv>
  <rv s="6">
    <fb>437.02</fb>
    <v>11</v>
  </rv>
  <rv s="6">
    <fb>399.5</fb>
    <v>11</v>
  </rv>
  <rv s="6">
    <fb>26718316</fb>
    <v>12</v>
  </rv>
  <rv s="6">
    <fb>439.88</fb>
    <v>11</v>
  </rv>
  <rv s="6">
    <fb>418.04</fb>
    <v>11</v>
  </rv>
  <rv s="6">
    <fb>445.5</fb>
    <v>11</v>
  </rv>
  <rv s="6">
    <fb>413.27</fb>
    <v>11</v>
  </rv>
  <rv s="6">
    <fb>19637029</fb>
    <v>12</v>
  </rv>
  <rv s="6">
    <fb>442.8</fb>
    <v>11</v>
  </rv>
  <rv s="6">
    <fb>438.39</fb>
    <v>11</v>
  </rv>
  <rv s="6">
    <fb>453.45</fb>
    <v>11</v>
  </rv>
  <rv s="6">
    <fb>436.7</fb>
    <v>11</v>
  </rv>
  <rv s="6">
    <fb>15645168</fb>
    <v>12</v>
  </rv>
  <rv s="6">
    <fb>396.94</fb>
    <v>11</v>
  </rv>
  <rv s="6">
    <fb>443.07</fb>
    <v>11</v>
  </rv>
  <rv s="6">
    <fb>449.89</fb>
    <v>11</v>
  </rv>
  <rv s="6">
    <fb>395.03</fb>
    <v>11</v>
  </rv>
  <rv s="6">
    <fb>37706606</fb>
    <v>12</v>
  </rv>
  <rv s="6">
    <fb>379.81</fb>
    <v>11</v>
  </rv>
  <rv s="6">
    <fb>395.5</fb>
    <v>11</v>
  </rv>
  <rv s="6">
    <fb>399.46499999999997</fb>
    <v>11</v>
  </rv>
  <rv s="6">
    <fb>378.36</fb>
    <v>11</v>
  </rv>
  <rv s="6">
    <fb>21907563</fb>
    <v>12</v>
  </rv>
  <rv s="6">
    <fb>377.6</fb>
    <v>11</v>
  </rv>
  <rv s="6">
    <fb>382.9</fb>
    <v>11</v>
  </rv>
  <rv s="6">
    <fb>386.62</fb>
    <v>11</v>
  </rv>
  <rv s="6">
    <fb>371.1</fb>
    <v>11</v>
  </rv>
  <rv s="6">
    <fb>20265395</fb>
    <v>12</v>
  </rv>
  <rv s="6">
    <fb>381.51</fb>
    <v>11</v>
  </rv>
  <rv s="6">
    <fb>377.48</fb>
    <v>11</v>
  </rv>
  <rv s="6">
    <fb>394.9</fb>
    <v>11</v>
  </rv>
  <rv s="6">
    <fb>367.24</fb>
    <v>11</v>
  </rv>
  <rv s="6">
    <fb>26096784</fb>
    <v>12</v>
  </rv>
  <rv s="6">
    <fb>355.68</fb>
    <v>11</v>
  </rv>
  <rv s="6">
    <fb>378.05</fb>
    <v>11</v>
  </rv>
  <rv s="6">
    <fb>388.7</fb>
    <v>11</v>
  </rv>
  <rv s="6">
    <fb>352.05</fb>
    <v>11</v>
  </rv>
  <rv s="6">
    <fb>33432542</fb>
    <v>12</v>
  </rv>
  <rv s="6">
    <fb>400.96</fb>
    <v>11</v>
  </rv>
  <rv s="6">
    <fb>410.64</fb>
    <v>11</v>
  </rv>
  <rv s="6">
    <fb>344.73</fb>
    <v>11</v>
  </rv>
  <rv s="6">
    <fb>63324340</fb>
    <v>12</v>
  </rv>
  <rv s="6">
    <fb>397.87</fb>
    <v>11</v>
  </rv>
  <rv s="6">
    <fb>403.32</fb>
    <v>11</v>
  </rv>
  <rv s="6">
    <fb>418.84</fb>
    <v>11</v>
  </rv>
  <rv s="6">
    <fb>395.62</fb>
    <v>11</v>
  </rv>
  <rv s="6">
    <fb>31996180</fb>
    <v>12</v>
  </rv>
  <rv s="6">
    <fb>432.36</fb>
    <v>11</v>
  </rv>
  <rv s="6">
    <fb>402.35</fb>
    <v>11</v>
  </rv>
  <rv s="6">
    <fb>434.815</fb>
    <v>11</v>
  </rv>
  <rv s="6">
    <fb>399.41</fb>
    <v>11</v>
  </rv>
  <rv s="6">
    <fb>22143913</fb>
    <v>12</v>
  </rv>
  <rv s="6">
    <fb>447.24</fb>
    <v>11</v>
  </rv>
  <rv s="6">
    <fb>434.38</fb>
    <v>11</v>
  </rv>
  <rv s="6">
    <fb>447.48</fb>
    <v>11</v>
  </rv>
  <rv s="6">
    <fb>429.61</fb>
    <v>11</v>
  </rv>
  <rv s="6">
    <fb>15829935</fb>
    <v>12</v>
  </rv>
  <rv s="6">
    <fb>465.91</fb>
    <v>11</v>
  </rv>
  <rv s="6">
    <fb>447.25</fb>
    <v>11</v>
  </rv>
  <rv s="6">
    <fb>467.65</fb>
    <v>11</v>
  </rv>
  <rv s="6">
    <fb>442.6</fb>
    <v>11</v>
  </rv>
  <rv s="6">
    <fb>18448498</fb>
    <v>12</v>
  </rv>
  <rv s="6">
    <fb>479.56</fb>
    <v>11</v>
  </rv>
  <rv s="6">
    <fb>465.4</fb>
    <v>11</v>
  </rv>
  <rv s="6">
    <fb>482.7</fb>
    <v>11</v>
  </rv>
  <rv s="6">
    <fb>10867441</fb>
    <v>12</v>
  </rv>
  <rv s="6">
    <fb>465.74</fb>
    <v>11</v>
  </rv>
  <rv s="6">
    <fb>479.03</fb>
    <v>11</v>
  </rv>
  <rv s="6">
    <fb>482</fb>
    <v>11</v>
  </rv>
  <rv s="6">
    <fb>464.6</fb>
    <v>11</v>
  </rv>
  <rv s="6">
    <fb>18000448</fb>
    <v>12</v>
  </rv>
  <rv s="6">
    <fb>453.76</fb>
    <v>11</v>
  </rv>
  <rv s="6">
    <fb>460.99</fb>
    <v>11</v>
  </rv>
  <rv s="6">
    <fb>461.2</fb>
    <v>11</v>
  </rv>
  <rv s="6">
    <fb>445.73</fb>
    <v>11</v>
  </rv>
  <rv s="6">
    <fb>19682248</fb>
    <v>12</v>
  </rv>
  <rv s="6">
    <fb>472.06</fb>
    <v>11</v>
  </rv>
  <rv s="6">
    <fb>459.36</fb>
    <v>11</v>
  </rv>
  <rv s="6">
    <fb>481.25</fb>
    <v>11</v>
  </rv>
  <rv s="6">
    <fb>457.21</fb>
    <v>11</v>
  </rv>
  <rv s="6">
    <fb>27069943</fb>
    <v>12</v>
  </rv>
  <rv s="6">
    <fb>486.76</fb>
    <v>11</v>
  </rv>
  <rv s="6">
    <fb>476.3</fb>
    <v>11</v>
  </rv>
  <rv s="6">
    <fb>500.89</fb>
    <v>11</v>
  </rv>
  <rv s="6">
    <fb>475.09500000000003</fb>
    <v>11</v>
  </rv>
  <rv s="6">
    <fb>20282261</fb>
    <v>12</v>
  </rv>
  <rv s="6">
    <fb>486.88</fb>
    <v>11</v>
  </rv>
  <rv s="6">
    <fb>489.39</fb>
    <v>11</v>
  </rv>
  <rv s="6">
    <fb>494.01499999999999</fb>
    <v>11</v>
  </rv>
  <rv s="6">
    <fb>481.935</fb>
    <v>11</v>
  </rv>
  <rv s="6">
    <fb>9046894</fb>
    <v>12</v>
  </rv>
  <rv s="6">
    <fb>474.06</fb>
    <v>11</v>
  </rv>
  <rv s="6">
    <fb>483.185</fb>
    <v>11</v>
  </rv>
  <rv s="6">
    <fb>484.65</fb>
    <v>11</v>
  </rv>
  <rv s="6">
    <fb>461.86</fb>
    <v>11</v>
  </rv>
  <rv s="6">
    <fb>14760880</fb>
    <v>12</v>
  </rv>
  <rv s="6">
    <fb>492.16</fb>
    <v>11</v>
  </rv>
  <rv s="6">
    <fb>473.89</fb>
    <v>11</v>
  </rv>
  <rv s="6">
    <fb>503.41</fb>
    <v>11</v>
  </rv>
  <rv s="6">
    <fb>472.95</fb>
    <v>11</v>
  </rv>
  <rv s="6">
    <fb>24541963</fb>
    <v>12</v>
  </rv>
  <rv s="6">
    <fb>482.95</fb>
    <v>11</v>
  </rv>
  <rv s="6">
    <fb>490</fb>
    <v>11</v>
  </rv>
  <rv s="6">
    <fb>494.15</fb>
    <v>11</v>
  </rv>
  <rv s="6">
    <fb>475.26420000000002</fb>
    <v>11</v>
  </rv>
  <rv s="6">
    <fb>19300317</fb>
    <v>12</v>
  </rv>
  <rv s="6">
    <fb>570.41999999999996</fb>
    <v>11</v>
  </rv>
  <rv s="6">
    <fb>487.55</fb>
    <v>11</v>
  </rv>
  <rv s="6">
    <fb>579.64</fb>
    <v>11</v>
  </rv>
  <rv s="6">
    <fb>479.9</fb>
    <v>11</v>
  </rv>
  <rv s="6">
    <fb>69373616</fb>
    <v>12</v>
  </rv>
  <rv s="6">
    <fb>564.64</fb>
    <v>11</v>
  </rv>
  <rv s="6">
    <fb>571.35</fb>
    <v>11</v>
  </rv>
  <rv s="6">
    <fb>578.54989999999998</fb>
    <v>11</v>
  </rv>
  <rv s="6">
    <fb>560.82000000000005</fb>
    <v>11</v>
  </rv>
  <rv s="6">
    <fb>25151632</fb>
    <v>12</v>
  </rv>
  <rv s="6">
    <fb>561.32000000000005</fb>
    <v>11</v>
  </rv>
  <rv s="6">
    <fb>562.47</fb>
    <v>11</v>
  </rv>
  <rv s="6">
    <fb>575.75</fb>
    <v>11</v>
  </rv>
  <rv s="6">
    <fb>554.37</fb>
    <v>11</v>
  </rv>
  <rv s="6">
    <fb>17588156</fb>
    <v>12</v>
  </rv>
  <rv s="6">
    <fb>583.95000000000005</fb>
    <v>11</v>
  </rv>
  <rv s="6">
    <fb>560.36</fb>
    <v>11</v>
  </rv>
  <rv s="6">
    <fb>597</fb>
    <v>11</v>
  </rv>
  <rv s="6">
    <fb>549</fb>
    <v>11</v>
  </rv>
  <rv s="6">
    <fb>22300793</fb>
    <v>12</v>
  </rv>
  <rv s="6">
    <fb>583.55999999999995</fb>
    <v>11</v>
  </rv>
  <rv s="6">
    <fb>580.17999999999995</fb>
    <v>11</v>
  </rv>
  <rv s="6">
    <fb>592.42999999999995</fb>
    <v>11</v>
  </rv>
  <rv s="6">
    <fb>567.32000000000005</fb>
    <v>11</v>
  </rv>
  <rv s="6">
    <fb>11500828</fb>
    <v>12</v>
  </rv>
  <rv s="6">
    <fb>619.34</fb>
    <v>11</v>
  </rv>
  <rv s="6">
    <fb>620.28</fb>
    <v>11</v>
  </rv>
  <rv s="6">
    <fb>583.27</fb>
    <v>11</v>
  </rv>
  <rv s="6">
    <fb>17330696</fb>
    <v>12</v>
  </rv>
  <rv s="6">
    <fb>604.82000000000005</fb>
    <v>11</v>
  </rv>
  <rv s="6">
    <fb>621.55999999999995</fb>
    <v>11</v>
  </rv>
  <rv s="6">
    <fb>624.41999999999996</fb>
    <v>11</v>
  </rv>
  <rv s="6">
    <fb>592</fb>
    <v>11</v>
  </rv>
  <rv s="6">
    <fb>14859509</fb>
    <v>12</v>
  </rv>
  <rv s="6">
    <fb>605.88</fb>
    <v>11</v>
  </rv>
  <rv s="6">
    <fb>608.08000000000004</fb>
    <v>11</v>
  </rv>
  <rv s="6">
    <fb>622.91999999999996</fb>
    <v>11</v>
  </rv>
  <rv s="6">
    <fb>596.27</fb>
    <v>11</v>
  </rv>
  <rv s="6">
    <fb>17306746</fb>
    <v>12</v>
  </rv>
  <rv s="6">
    <fb>628.01</fb>
    <v>11</v>
  </rv>
  <rv s="6">
    <fb>613.55999999999995</fb>
    <v>11</v>
  </rv>
  <rv s="6">
    <fb>634.36170000000004</fb>
    <v>11</v>
  </rv>
  <rv s="6">
    <fb>608</fb>
    <v>11</v>
  </rv>
  <rv s="6">
    <fb>12769725</fb>
    <v>12</v>
  </rv>
  <rv s="6">
    <fb>607.33000000000004</fb>
    <v>11</v>
  </rv>
  <rv s="6">
    <fb>627.9</fb>
    <v>11</v>
  </rv>
  <rv s="6">
    <fb>634.38990000000001</fb>
    <v>11</v>
  </rv>
  <rv s="6">
    <fb>601.59</fb>
    <v>11</v>
  </rv>
  <rv s="6">
    <fb>10944787</fb>
    <v>12</v>
  </rv>
  <rv s="6">
    <fb>636.17999999999995</fb>
    <v>11</v>
  </rv>
  <rv s="6">
    <fb>638</fb>
    <v>11</v>
  </rv>
  <rv s="6">
    <fb>605.51009999999997</fb>
    <v>11</v>
  </rv>
  <rv s="6">
    <fb>13519564</fb>
    <v>12</v>
  </rv>
  <rv s="6">
    <fb>622.83000000000004</fb>
    <v>11</v>
  </rv>
  <rv s="6">
    <fb>636.39</fb>
    <v>11</v>
  </rv>
  <rv s="6">
    <fb>639</fb>
    <v>11</v>
  </rv>
  <rv s="6">
    <fb>609.34</fb>
    <v>11</v>
  </rv>
  <rv s="6">
    <fb>12720545</fb>
    <v>12</v>
  </rv>
  <rv s="6">
    <fb>555.04</fb>
    <v>11</v>
  </rv>
  <rv s="6">
    <fb>630.16999999999996</fb>
    <v>11</v>
  </rv>
  <rv s="6">
    <fb>552.16</fb>
    <v>11</v>
  </rv>
  <rv s="6">
    <fb>34834844</fb>
    <v>12</v>
  </rv>
  <rv s="6">
    <fb>561.23</fb>
    <v>11</v>
  </rv>
  <rv s="6">
    <fb>550.66</fb>
    <v>11</v>
  </rv>
  <rv s="6">
    <fb>579.21</fb>
    <v>11</v>
  </rv>
  <rv s="6">
    <fb>542.01</fb>
    <v>11</v>
  </rv>
  <rv s="6">
    <fb>27068177</fb>
    <v>12</v>
  </rv>
  <rv s="6">
    <fb>579.34</fb>
    <v>11</v>
  </rv>
  <rv s="6">
    <fb>559.17999999999995</fb>
    <v>11</v>
  </rv>
  <rv s="6">
    <fb>580.26</fb>
    <v>11</v>
  </rv>
  <rv s="6">
    <fb>544.25</fb>
    <v>11</v>
  </rv>
  <rv s="6">
    <fb>15719359</fb>
    <v>12</v>
  </rv>
  <rv s="6">
    <fb>610.87</fb>
    <v>11</v>
  </rv>
  <rv s="6">
    <fb>581.82000000000005</fb>
    <v>11</v>
  </rv>
  <rv s="6">
    <fb>623.98</fb>
    <v>11</v>
  </rv>
  <rv s="6">
    <fb>580.25</fb>
    <v>11</v>
  </rv>
  <rv s="6">
    <fb>15113294</fb>
    <v>12</v>
  </rv>
  <rv s="6">
    <fb>621.1</fb>
    <v>11</v>
  </rv>
  <rv s="6">
    <fb>614.29999999999995</fb>
    <v>11</v>
  </rv>
  <rv s="6">
    <fb>625.79</fb>
    <v>11</v>
  </rv>
  <rv s="6">
    <fb>606.83000000000004</fb>
    <v>11</v>
  </rv>
  <rv s="6">
    <fb>17388220</fb>
    <v>12</v>
  </rv>
  <rv s="6">
    <fb>646.75</fb>
    <v>11</v>
  </rv>
  <rv s="6">
    <fb>620.4</fb>
    <v>11</v>
  </rv>
  <rv s="6">
    <fb>652</fb>
    <v>11</v>
  </rv>
  <rv s="6">
    <fb>619.52</fb>
    <v>11</v>
  </rv>
  <rv s="6">
    <fb>13883381</fb>
    <v>12</v>
  </rv>
  <rv s="6">
    <fb>641.62</fb>
    <v>11</v>
  </rv>
  <rv s="6">
    <fb>647.04999999999995</fb>
    <v>11</v>
  </rv>
  <rv s="6">
    <fb>664.25</fb>
    <v>11</v>
  </rv>
  <rv s="6">
    <fb>628.29999999999995</fb>
    <v>11</v>
  </rv>
  <rv s="6">
    <fb>12769763</fb>
    <v>12</v>
  </rv>
  <rv s="6">
    <fb>641.47</fb>
    <v>11</v>
  </rv>
  <rv s="6">
    <fb>645.21500000000003</fb>
    <v>11</v>
  </rv>
  <rv s="6">
    <fb>657.99</fb>
    <v>11</v>
  </rv>
  <rv s="6">
    <fb>626.44000000000005</fb>
    <v>11</v>
  </rv>
  <rv s="6">
    <fb>12357566</fb>
    <v>12</v>
  </rv>
  <rv s="6">
    <fb>669.38</fb>
    <v>11</v>
  </rv>
  <rv s="6">
    <fb>641.01</fb>
    <v>11</v>
  </rv>
  <rv s="6">
    <fb>675.58</fb>
    <v>11</v>
  </rv>
  <rv s="6">
    <fb>635.59</fb>
    <v>11</v>
  </rv>
  <rv s="6">
    <fb>12639260</fb>
    <v>12</v>
  </rv>
  <rv s="6">
    <fb>686.12</fb>
    <v>11</v>
  </rv>
  <rv s="6">
    <fb>669.11</fb>
    <v>11</v>
  </rv>
  <rv s="6">
    <fb>689.88</fb>
    <v>11</v>
  </rv>
  <rv s="6">
    <fb>665.11009999999999</fb>
    <v>11</v>
  </rv>
  <rv s="6">
    <fb>13717134</fb>
    <v>12</v>
  </rv>
  <rv s="6">
    <fb>674.88</fb>
    <v>11</v>
  </rv>
  <rv s="6">
    <fb>685</fb>
    <v>11</v>
  </rv>
  <rv s="6">
    <fb>688.57</fb>
    <v>11</v>
  </rv>
  <rv s="6">
    <fb>662.3</fb>
    <v>11</v>
  </rv>
  <rv s="6">
    <fb>15558158</fb>
    <v>12</v>
  </rv>
  <rv s="6">
    <fb>690.65</fb>
    <v>11</v>
  </rv>
  <rv s="6">
    <fb>674.89</fb>
    <v>11</v>
  </rv>
  <rv s="6">
    <fb>697.49</fb>
    <v>11</v>
  </rv>
  <rv s="6">
    <fb>663.78</fb>
    <v>11</v>
  </rv>
  <rv s="6">
    <fb>8686862</fb>
    <v>12</v>
  </rv>
  <rv s="6">
    <fb>647.6</fb>
    <v>11</v>
  </rv>
  <rv s="6">
    <fb>687</fb>
    <v>11</v>
  </rv>
  <rv s="6">
    <fb>695.27</fb>
    <v>11</v>
  </rv>
  <rv s="6">
    <fb>643.70749999999998</fb>
    <v>11</v>
  </rv>
  <rv s="6">
    <fb>15649313</fb>
    <v>12</v>
  </rv>
  <rv s="6">
    <fb>633.34</fb>
    <v>11</v>
  </rv>
  <rv s="6">
    <fb>647.5</fb>
    <v>11</v>
  </rv>
  <rv s="6">
    <fb>678.97</fb>
    <v>11</v>
  </rv>
  <rv s="6">
    <fb>629.12009999999998</fb>
    <v>11</v>
  </rv>
  <rv s="6">
    <fb>27303140</fb>
    <v>12</v>
  </rv>
  <rv s="6">
    <fb>631.37</fb>
    <v>11</v>
  </rv>
  <rv s="6">
    <fb>639.5</fb>
    <v>11</v>
  </rv>
  <rv s="6">
    <fb>656.29</fb>
    <v>11</v>
  </rv>
  <rv s="6">
    <fb>621.70010000000002</fb>
    <v>11</v>
  </rv>
  <rv s="6">
    <fb>20246017</fb>
    <v>12</v>
  </rv>
  <rv s="6">
    <fb>613.64</fb>
    <v>11</v>
  </rv>
  <rv s="6">
    <fb>634.61</fb>
    <v>11</v>
  </rv>
  <rv s="6">
    <fb>646.70989999999995</fb>
    <v>11</v>
  </rv>
  <rv s="6">
    <fb>608.35</fb>
    <v>11</v>
  </rv>
  <rv s="6">
    <fb>16275599</fb>
    <v>12</v>
  </rv>
  <rv s="6">
    <fb>633.94000000000005</fb>
    <v>11</v>
  </rv>
  <rv s="6">
    <fb>587.04</fb>
    <v>11</v>
  </rv>
  <rv s="6">
    <fb>636.62</fb>
    <v>11</v>
  </rv>
  <rv s="6">
    <fb>16815461</fb>
    <v>12</v>
  </rv>
  <rv s="6">
    <fb>674.07</fb>
    <v>11</v>
  </rv>
  <rv s="6">
    <fb>631</fb>
    <v>11</v>
  </rv>
  <rv s="6">
    <fb>680.23</fb>
    <v>11</v>
  </rv>
  <rv s="6">
    <fb>627.07000000000005</fb>
    <v>11</v>
  </rv>
  <rv s="6">
    <fb>15706814</fb>
    <v>12</v>
  </rv>
  <rv s="6">
    <fb>686.73</fb>
    <v>11</v>
  </rv>
  <rv s="6">
    <fb>711.33</fb>
    <v>11</v>
  </rv>
  <rv s="6">
    <fb>672.91</fb>
    <v>11</v>
  </rv>
  <rv s="6">
    <fb>15148527</fb>
    <v>12</v>
  </rv>
  <rv s="6">
    <fb>701.35</fb>
    <v>11</v>
  </rv>
  <rv s="6">
    <fb>687.26</fb>
    <v>11</v>
  </rv>
  <rv s="6">
    <fb>707.89</fb>
    <v>11</v>
  </rv>
  <rv s="6">
    <fb>677.1</fb>
    <v>11</v>
  </rv>
  <rv s="6">
    <fb>12403312</fb>
    <v>12</v>
  </rv>
  <rv s="6">
    <fb>665.77</fb>
    <v>11</v>
  </rv>
  <rv s="6">
    <fb>700.1</fb>
    <v>11</v>
  </rv>
  <rv s="6">
    <fb>703.86</fb>
    <v>11</v>
  </rv>
  <rv s="6">
    <fb>662.34</fb>
    <v>11</v>
  </rv>
  <rv s="6">
    <fb>9747638</fb>
    <v>12</v>
  </rv>
  <rv s="6">
    <fb>697.06</fb>
    <v>11</v>
  </rv>
  <rv s="6">
    <fb>674</fb>
    <v>11</v>
  </rv>
  <rv s="6">
    <fb>699.64</fb>
    <v>11</v>
  </rv>
  <rv s="6">
    <fb>660.8</fb>
    <v>11</v>
  </rv>
  <rv s="6">
    <fb>12019136</fb>
    <v>12</v>
  </rv>
  <rv s="6">
    <fb>701.03</fb>
    <v>11</v>
  </rv>
  <rv s="6">
    <fb>700</fb>
    <v>11</v>
  </rv>
  <rv s="6">
    <fb>715.66</fb>
    <v>11</v>
  </rv>
  <rv s="6">
    <fb>688</fb>
    <v>11</v>
  </rv>
  <rv s="6">
    <fb>15353328</fb>
    <v>12</v>
  </rv>
  <rv s="6">
    <fb>707.35</fb>
    <v>11</v>
  </rv>
  <rv s="6">
    <fb>702.39</fb>
    <v>11</v>
  </rv>
  <rv s="6">
    <fb>725.26</fb>
    <v>11</v>
  </rv>
  <rv s="6">
    <fb>699.16</fb>
    <v>11</v>
  </rv>
  <rv s="6">
    <fb>14278425</fb>
    <v>12</v>
  </rv>
  <rv s="6">
    <fb>719.7</fb>
    <v>11</v>
  </rv>
  <rv s="6">
    <fb>707</fb>
    <v>11</v>
  </rv>
  <rv s="6">
    <fb>721.01</fb>
    <v>11</v>
  </rv>
  <rv s="6">
    <fb>698.59</fb>
    <v>11</v>
  </rv>
  <rv s="6">
    <fb>10769745</fb>
    <v>12</v>
  </rv>
  <rv s="6">
    <fb>722.79</fb>
    <v>11</v>
  </rv>
  <rv s="6">
    <fb>714.755</fb>
    <v>11</v>
  </rv>
  <rv s="6">
    <fb>736</fb>
    <v>11</v>
  </rv>
  <rv s="6">
    <fb>696.43</fb>
    <v>11</v>
  </rv>
  <rv s="6">
    <fb>13596379</fb>
    <v>12</v>
  </rv>
  <rv s="6">
    <fb>763.89</fb>
    <v>11</v>
  </rv>
  <rv s="6">
    <fb>725</fb>
    <v>11</v>
  </rv>
  <rv s="6">
    <fb>766.28099999999995</fb>
    <v>11</v>
  </rv>
  <rv s="6">
    <fb>677.88</fb>
    <v>11</v>
  </rv>
  <rv s="6">
    <fb>33124890</fb>
    <v>12</v>
  </rv>
  <rv s="6">
    <fb>754.68</fb>
    <v>11</v>
  </rv>
  <rv s="6">
    <fb>765.76</fb>
    <v>11</v>
  </rv>
  <rv s="6">
    <fb>773</fb>
    <v>11</v>
  </rv>
  <rv s="6">
    <fb>744.26</fb>
    <v>11</v>
  </rv>
  <rv s="6">
    <fb>18255787</fb>
    <v>12</v>
  </rv>
  <rv s="6">
    <fb>756.1</fb>
    <v>11</v>
  </rv>
  <rv s="6">
    <fb>758.68</fb>
    <v>11</v>
  </rv>
  <rv s="6">
    <fb>763.88</fb>
    <v>11</v>
  </rv>
  <rv s="6">
    <fb>747.77</fb>
    <v>11</v>
  </rv>
  <rv s="6">
    <fb>14299378</fb>
    <v>12</v>
  </rv>
  <rv s="6">
    <fb>795.04</fb>
    <v>11</v>
  </rv>
  <rv s="6">
    <fb>753.14</fb>
    <v>11</v>
  </rv>
  <rv s="6">
    <fb>799.06</fb>
    <v>11</v>
  </rv>
  <rv s="6">
    <fb>749.69</fb>
    <v>11</v>
  </rv>
  <rv s="6">
    <fb>12999356</fb>
    <v>12</v>
  </rv>
  <rv s="6">
    <fb>823.96</fb>
    <v>11</v>
  </rv>
  <rv s="6">
    <fb>795.9</fb>
    <v>11</v>
  </rv>
  <rv s="6">
    <fb>840.99969999999996</fb>
    <v>11</v>
  </rv>
  <rv s="6">
    <fb>795.56500000000005</fb>
    <v>11</v>
  </rv>
  <rv s="6">
    <fb>14692937</fb>
    <v>12</v>
  </rv>
  <rv s="6">
    <fb>897.79</fb>
    <v>11</v>
  </rv>
  <rv s="6">
    <fb>815.5</fb>
    <v>11</v>
  </rv>
  <rv s="6">
    <fb>908</fb>
    <v>11</v>
  </rv>
  <rv s="6">
    <fb>809.33010000000002</fb>
    <v>11</v>
  </rv>
  <rv s="6">
    <fb>19717434</fb>
    <v>12</v>
  </rv>
  <rv s="6">
    <fb>886.81</fb>
    <v>11</v>
  </rv>
  <rv s="6">
    <fb>902.05</fb>
    <v>11</v>
  </rv>
  <rv s="6">
    <fb>858.91</fb>
    <v>11</v>
  </rv>
  <rv s="6">
    <fb>13757921</fb>
    <v>12</v>
  </rv>
  <rv s="6">
    <fb>934.74</fb>
    <v>11</v>
  </rv>
  <rv s="6">
    <fb>887.51</fb>
    <v>11</v>
  </rv>
  <rv s="6">
    <fb>935.27</fb>
    <v>11</v>
  </rv>
  <rv s="6">
    <fb>884.12</fb>
    <v>11</v>
  </rv>
  <rv s="6">
    <fb>13270919</fb>
    <v>12</v>
  </rv>
  <rv s="6">
    <fb>918.87</fb>
    <v>11</v>
  </rv>
  <rv s="6">
    <fb>928</fb>
    <v>11</v>
  </rv>
  <rv s="6">
    <fb>941.75</fb>
    <v>11</v>
  </rv>
  <rv s="6">
    <fb>902.59</fb>
    <v>11</v>
  </rv>
  <rv s="6">
    <fb>14212374</fb>
    <v>12</v>
  </rv>
  <rv s="6">
    <fb>909.05</fb>
    <v>11</v>
  </rv>
  <rv s="6">
    <fb>923.94</fb>
    <v>11</v>
  </rv>
  <rv s="6">
    <fb>928.94</fb>
    <v>11</v>
  </rv>
  <rv s="6">
    <fb>886.56</fb>
    <v>11</v>
  </rv>
  <rv s="6">
    <fb>15418573</fb>
    <v>12</v>
  </rv>
  <rv s="6">
    <fb>907.55</fb>
    <v>11</v>
  </rv>
  <rv s="6">
    <fb>913.42</fb>
    <v>11</v>
  </rv>
  <rv s="6">
    <fb>935.85</fb>
    <v>11</v>
  </rv>
  <rv s="6">
    <fb>894.5</fb>
    <v>11</v>
  </rv>
  <rv s="6">
    <fb>10228244</fb>
    <v>12</v>
  </rv>
  <rv s="6">
    <fb>881.05</fb>
    <v>11</v>
  </rv>
  <rv s="6">
    <fb>894.51</fb>
    <v>11</v>
  </rv>
  <rv s="6">
    <fb>908.22990000000004</fb>
    <v>11</v>
  </rv>
  <rv s="6">
    <fb>877</fb>
    <v>11</v>
  </rv>
  <rv s="6">
    <fb>9364571</fb>
    <v>12</v>
  </rv>
  <rv s="6">
    <fb>837.69</fb>
    <v>11</v>
  </rv>
  <rv s="6">
    <fb>888.76</fb>
    <v>11</v>
  </rv>
  <rv s="6">
    <fb>892.83</fb>
    <v>11</v>
  </rv>
  <rv s="6">
    <fb>834.4</fb>
    <v>11</v>
  </rv>
  <rv s="6">
    <fb>13258740</fb>
    <v>12</v>
  </rv>
  <rv s="6">
    <fb>858.1</fb>
    <v>11</v>
  </rv>
  <rv s="6">
    <fb>831.52499999999998</fb>
    <v>11</v>
  </rv>
  <rv s="6">
    <fb>868.98</fb>
    <v>11</v>
  </rv>
  <rv s="6">
    <fb>823.51900000000001</fb>
    <v>11</v>
  </rv>
  <rv s="6">
    <fb>16889652</fb>
    <v>12</v>
  </rv>
  <rv s="6">
    <fb>977.59</fb>
    <v>11</v>
  </rv>
  <rv s="6">
    <fb>863.53</fb>
    <v>11</v>
  </rv>
  <rv s="6">
    <fb>999</fb>
    <v>11</v>
  </rv>
  <rv s="6">
    <fb>854.745</fb>
    <v>11</v>
  </rv>
  <rv s="6">
    <fb>36427090</fb>
    <v>12</v>
  </rv>
  <rv s="6">
    <fb>976.76</fb>
    <v>11</v>
  </rv>
  <rv s="6">
    <fb>971.1</fb>
    <v>11</v>
  </rv>
  <rv s="6">
    <fb>994.59</fb>
    <v>11</v>
  </rv>
  <rv s="6">
    <fb>957.3</fb>
    <v>11</v>
  </rv>
  <rv s="6">
    <fb>18485447</fb>
    <v>12</v>
  </rv>
  <rv s="6">
    <fb>1013.93</fb>
    <v>11</v>
  </rv>
  <rv s="6">
    <fb>973</fb>
    <v>11</v>
  </rv>
  <rv s="6">
    <fb>1027.76</fb>
    <v>11</v>
  </rv>
  <rv s="6">
    <fb>964.375</fb>
    <v>11</v>
  </rv>
  <rv s="6">
    <fb>20069213</fb>
    <v>12</v>
  </rv>
  <rv s="6">
    <fb>1058.5999999999999</fb>
    <v>11</v>
  </rv>
  <rv s="6">
    <fb>1023.05</fb>
    <v>11</v>
  </rv>
  <rv s="6">
    <fb>1064.5</fb>
    <v>11</v>
  </rv>
  <rv s="6">
    <fb>998.34730000000002</fb>
    <v>11</v>
  </rv>
  <rv s="6">
    <fb>16638827</fb>
    <v>12</v>
  </rv>
  <rv s="6">
    <fb>1003.15</fb>
    <v>11</v>
  </rv>
  <rv s="6">
    <fb>1060</fb>
    <v>11</v>
  </rv>
  <rv s="6">
    <fb>1062</fb>
    <v>11</v>
  </rv>
  <rv s="6">
    <fb>999.39</fb>
    <v>11</v>
  </rv>
  <rv s="6">
    <fb>13679928</fb>
    <v>12</v>
  </rv>
  <rv s="6">
    <fb>980.56</fb>
    <v>11</v>
  </rv>
  <rv s="6">
    <fb>1008</fb>
    <v>11</v>
  </rv>
  <rv s="6">
    <fb>1015.17</fb>
    <v>11</v>
  </rv>
  <rv s="6">
    <fb>955</fb>
    <v>11</v>
  </rv>
  <rv s="6">
    <fb>21045711</fb>
    <v>12</v>
  </rv>
  <rv s="6">
    <fb>891.11</fb>
    <v>11</v>
  </rv>
  <rv s="6">
    <fb>983</fb>
    <v>11</v>
  </rv>
  <rv s="6">
    <fb>995.59990000000005</fb>
    <v>11</v>
  </rv>
  <rv s="6">
    <fb>858.07</fb>
    <v>11</v>
  </rv>
  <rv s="6">
    <fb>27698243</fb>
    <v>12</v>
  </rv>
  <rv s="6">
    <fb>918</fb>
    <v>11</v>
  </rv>
  <rv s="6">
    <fb>875.07</fb>
    <v>11</v>
  </rv>
  <rv s="6">
    <fb>927.18</fb>
    <v>11</v>
  </rv>
  <rv s="6">
    <fb>854.5</fb>
    <v>11</v>
  </rv>
  <rv s="6">
    <fb>31462462</fb>
    <v>12</v>
  </rv>
  <rv s="6">
    <fb>960.29</fb>
    <v>11</v>
  </rv>
  <rv s="6">
    <fb>939.95</fb>
    <v>11</v>
  </rv>
  <rv s="6">
    <fb>968</fb>
    <v>11</v>
  </rv>
  <rv s="6">
    <fb>916.3</fb>
    <v>11</v>
  </rv>
  <rv s="6">
    <fb>30586641</fb>
    <v>12</v>
  </rv>
  <rv s="6">
    <fb>933.85</fb>
    <v>11</v>
  </rv>
  <rv s="6">
    <fb>969.67</fb>
    <v>11</v>
  </rv>
  <rv s="6">
    <fb>998.7</fb>
    <v>11</v>
  </rv>
  <rv s="6">
    <fb>929.23</fb>
    <v>11</v>
  </rv>
  <rv s="6">
    <fb>19464777</fb>
    <v>12</v>
  </rv>
  <rv s="6">
    <fb>855.86</fb>
    <v>11</v>
  </rv>
  <rv s="6">
    <fb>920.53</fb>
    <v>11</v>
  </rv>
  <rv s="6">
    <fb>949.54790000000003</fb>
    <v>11</v>
  </rv>
  <rv s="6">
    <fb>853.87</fb>
    <v>11</v>
  </rv>
  <rv s="6">
    <fb>24074345</fb>
    <v>12</v>
  </rv>
  <rv s="6">
    <fb>918.29</fb>
    <v>11</v>
  </rv>
  <rv s="6">
    <fb>827.84500000000003</fb>
    <v>11</v>
  </rv>
  <rv s="6">
    <fb>951.43</fb>
    <v>11</v>
  </rv>
  <rv s="6">
    <fb>821.1</fb>
    <v>11</v>
  </rv>
  <rv s="6">
    <fb>28983572</fb>
    <v>12</v>
  </rv>
  <rv s="6">
    <fb>973.03</fb>
    <v>11</v>
  </rv>
  <rv s="6">
    <fb>932.7</fb>
    <v>11</v>
  </rv>
  <rv s="6">
    <fb>993.44989999999996</fb>
    <v>11</v>
  </rv>
  <rv s="6">
    <fb>919.49789999999996</fb>
    <v>11</v>
  </rv>
  <rv s="6">
    <fb>26707725</fb>
    <v>12</v>
  </rv>
  <rv s="6">
    <fb>1101.53</fb>
    <v>11</v>
  </rv>
  <rv s="6">
    <fb>984.4</fb>
    <v>11</v>
  </rv>
  <rv s="6">
    <fb>1106.7983999999999</fb>
    <v>11</v>
  </rv>
  <rv s="6">
    <fb>973.05</fb>
    <v>11</v>
  </rv>
  <rv s="6">
    <fb>35948400</fb>
    <v>12</v>
  </rv>
  <rv s="6">
    <fb>115.649</fb>
    <v>11</v>
  </rv>
  <rv s="6">
    <fb>115.944</fb>
    <v>11</v>
  </rv>
  <rv s="6">
    <fb>108.262</fb>
    <v>11</v>
  </rv>
  <rv s="6">
    <fb>191488720</fb>
    <v>12</v>
  </rv>
  <rv s="7">
    <v>13</v>
    <v>a1mou2</v>
    <v>Weekly</v>
    <v>42120</v>
    <v>45780</v>
    <v>0</v>
    <v>1</v>
    <v>638817408000000000,639087662817534577,0</v>
    <v>0</v>
    <v>a1mou2</v>
    <v>XNAS:AAPL</v>
    <v>1</v>
    <v>2</v>
    <v>3</v>
    <v>4</v>
    <v>5</v>
  </rv>
  <rv s="7">
    <v>13</v>
    <v>a1yv52</v>
    <v>Weekly</v>
    <v>42120</v>
    <v>45780</v>
    <v>0</v>
    <v>1</v>
    <v>638817408000000000,639087662818490798,0</v>
    <v>0</v>
    <v>a1yv52</v>
    <v>XNAS:NVDA</v>
    <v>6</v>
    <v>7</v>
    <v>8</v>
    <v>9</v>
    <v>10</v>
  </rv>
  <rv s="7">
    <v>13</v>
    <v>a1nhlh</v>
    <v>Weekly</v>
    <v>42120</v>
    <v>45780</v>
    <v>0</v>
    <v>1</v>
    <v>638817408000000000,639087662819448603,0</v>
    <v>0</v>
    <v>a1nhlh</v>
    <v>XNAS:AMZN</v>
    <v>11</v>
    <v>12</v>
    <v>13</v>
    <v>14</v>
    <v>15</v>
  </rv>
  <rv s="7">
    <v>13</v>
    <v>a1uu5r</v>
    <v>Weekly</v>
    <v>42120</v>
    <v>45780</v>
    <v>0</v>
    <v>1</v>
    <v>638817408000000000,639087662816572149,0</v>
    <v>0</v>
    <v>a1uu5r</v>
    <v>XNYS:HPQ</v>
    <v>16</v>
    <v>17</v>
    <v>18</v>
    <v>19</v>
    <v>20</v>
  </rv>
  <rv s="7">
    <v>13</v>
    <v>a1y1qh</v>
    <v>Weekly</v>
    <v>42120</v>
    <v>45780</v>
    <v>0</v>
    <v>1</v>
    <v>638817408000000000,639087662817060965,0</v>
    <v>0</v>
    <v>a1y1qh</v>
    <v>XNAS:MSTR</v>
    <v>21</v>
    <v>22</v>
    <v>23</v>
    <v>24</v>
    <v>25</v>
  </rv>
  <rv s="7">
    <v>13</v>
    <v>a24kar</v>
    <v>Weekly</v>
    <v>42120</v>
    <v>45780</v>
    <v>0</v>
    <v>1</v>
    <v>638817408000000000,639087662818959557,0</v>
    <v>0</v>
    <v>a24kar</v>
    <v>XNAS:TSLA</v>
    <v>26</v>
    <v>27</v>
    <v>28</v>
    <v>29</v>
    <v>30</v>
  </rv>
  <rv s="7">
    <v>13</v>
    <v>a1ygoc</v>
    <v>Weekly</v>
    <v>42120</v>
    <v>45780</v>
    <v>0</v>
    <v>1</v>
    <v>638817408000000000,639087662818018312,0</v>
    <v>0</v>
    <v>a1ygoc</v>
    <v>XNAS:NFLX</v>
    <v>31</v>
    <v>32</v>
    <v>33</v>
    <v>34</v>
    <v>35</v>
  </rv>
</rvData>
</file>

<file path=xl/richData/rdrichvaluestructure.xml><?xml version="1.0" encoding="utf-8"?>
<rvStructures xmlns="http://schemas.microsoft.com/office/spreadsheetml/2017/richdata" count="8">
  <s t="_hyperlink">
    <k n="Address" t="s"/>
    <k n="Text" t="s"/>
  </s>
  <s t="_linkedentitycore">
    <k n="%EntityCulture" t="s"/>
    <k n="%EntityId" t="s"/>
    <k n="%EntityServiceId"/>
    <k n="%IsRefreshable" t="b"/>
    <k n="%ProviderInfo" t="s"/>
    <k n="_Display" t="spb"/>
    <k n="_DisplayString" t="s"/>
    <k n="_Flags" t="spb"/>
    <k n="_Format" t="spb"/>
    <k n="_Icon" t="s"/>
    <k n="_SubLabel" t="spb"/>
    <k n="52 week high"/>
    <k n="52 week low"/>
    <k n="Beta"/>
    <k n="Change"/>
    <k n="Change % (Extended hours)"/>
    <k n="Change (%)"/>
    <k n="Change (Extended hours)"/>
    <k n="Currency" t="s"/>
    <k n="Description" t="s"/>
    <k n="Employees"/>
    <k n="Exchange" t="s"/>
    <k n="Exchange abbreviation" t="s"/>
    <k n="ExchangeID" t="s"/>
    <k n="Headquarters" t="s"/>
    <k n="High"/>
    <k n="Industry" t="s"/>
    <k n="Instrument type" t="s"/>
    <k n="Last trade time"/>
    <k n="LearnMoreOnLink" t="r"/>
    <k n="Low"/>
    <k n="Market cap"/>
    <k n="Name" t="s"/>
    <k n="Official name" t="s"/>
    <k n="Open"/>
    <k n="P/E"/>
    <k n="Previous close"/>
    <k n="Price"/>
    <k n="Price (Extended hours)"/>
    <k n="Shares outstanding"/>
    <k n="Ticker symbol" t="s"/>
    <k n="UniqueName" t="s"/>
    <k n="Volume"/>
    <k n="Volume average"/>
    <k n="Year incorporated"/>
  </s>
  <s t="_linkedentity">
    <k n="%cvi" t="r"/>
  </s>
  <s t="_sourceattribution">
    <k n="License" t="r"/>
    <k n="Source" t="r"/>
  </s>
  <s t="_imageurl">
    <k n="_Provider" t="spb"/>
    <k n="Address" t="s"/>
    <k n="Attribution" t="r"/>
    <k n="ComputedImage" t="b"/>
    <k n="More Images Address" t="s"/>
    <k n="Text" t="s"/>
  </s>
  <s t="_linkedentitycore">
    <k n="%EntityCulture" t="s"/>
    <k n="%EntityId" t="s"/>
    <k n="%EntityServiceId"/>
    <k n="%IsRefreshable" t="b"/>
    <k n="%ProviderInfo" t="s"/>
    <k n="_Display" t="spb"/>
    <k n="_DisplayString" t="s"/>
    <k n="_Flags" t="spb"/>
    <k n="_Format" t="spb"/>
    <k n="_Icon" t="s"/>
    <k n="_SubLabel" t="spb"/>
    <k n="52 week high"/>
    <k n="52 week low"/>
    <k n="Beta"/>
    <k n="Change"/>
    <k n="Change % (Extended hours)"/>
    <k n="Change (%)"/>
    <k n="Change (Extended hours)"/>
    <k n="Currency" t="s"/>
    <k n="Description" t="s"/>
    <k n="Employees"/>
    <k n="Exchange" t="s"/>
    <k n="Exchange abbreviation" t="s"/>
    <k n="ExchangeID" t="s"/>
    <k n="Headquarters" t="s"/>
    <k n="High"/>
    <k n="Image" t="r"/>
    <k n="Industry" t="s"/>
    <k n="Instrument type" t="s"/>
    <k n="Last trade time"/>
    <k n="LearnMoreOnLink" t="r"/>
    <k n="Low"/>
    <k n="Market cap"/>
    <k n="Name" t="s"/>
    <k n="Official name" t="s"/>
    <k n="Open"/>
    <k n="P/E"/>
    <k n="Previous close"/>
    <k n="Price"/>
    <k n="Price (Extended hours)"/>
    <k n="Shares outstanding"/>
    <k n="Ticker symbol" t="s"/>
    <k n="UniqueName" t="s"/>
    <k n="Volume"/>
    <k n="Volume average"/>
    <k n="Year incorporated"/>
  </s>
  <s t="_formattednumber">
    <k n="_Format" t="spb"/>
  </s>
  <s t="_stockhistorycache">
    <k n="_Format" t="spb"/>
    <k n="Symbol" t="s"/>
    <k n="Interval" t="s"/>
    <k n="StartDate" t="i"/>
    <k n="EndDate" t="i"/>
    <k n="f1904" t="b"/>
    <k n="fdcompat" t="b"/>
    <k n="etag" t="s"/>
    <k n="Date" t="a"/>
    <k n="EntityId" t="s"/>
    <k n="Instrument" t="s"/>
    <k n="Close" t="a"/>
    <k n="Open" t="a"/>
    <k n="High" t="a"/>
    <k n="Low" t="a"/>
    <k n="Volume" t="a"/>
  </s>
</rvStructures>
</file>

<file path=xl/richData/rdsupportingpropertybag.xml><?xml version="1.0" encoding="utf-8"?>
<supportingPropertyBags xmlns="http://schemas.microsoft.com/office/spreadsheetml/2017/richdata2">
  <spbArrays count="2">
    <a count="45">
      <v t="s">%EntityServiceId</v>
      <v t="s">_Format</v>
      <v t="s">%IsRefreshable</v>
      <v t="s">%EntityCulture</v>
      <v t="s">%EntityId</v>
      <v t="s">_Icon</v>
      <v t="s">_Display</v>
      <v t="s">Name</v>
      <v t="s">_SubLabel</v>
      <v t="s">Price</v>
      <v t="s">Price (Extended hours)</v>
      <v t="s">Exchange</v>
      <v t="s">Official name</v>
      <v t="s">Last trade time</v>
      <v t="s">Ticker symbol</v>
      <v t="s">Exchange abbreviation</v>
      <v t="s">Change</v>
      <v t="s">Change (Extended hours)</v>
      <v t="s">Change (%)</v>
      <v t="s">Change % (Extended hours)</v>
      <v t="s">Currency</v>
      <v t="s">Previous close</v>
      <v t="s">Open</v>
      <v t="s">High</v>
      <v t="s">Low</v>
      <v t="s">52 week high</v>
      <v t="s">52 week low</v>
      <v t="s">Volume</v>
      <v t="s">Volume average</v>
      <v t="s">Market cap</v>
      <v t="s">Beta</v>
      <v t="s">P/E</v>
      <v t="s">Shares outstanding</v>
      <v t="s">Description</v>
      <v t="s">Employees</v>
      <v t="s">Headquarters</v>
      <v t="s">Industry</v>
      <v t="s">Instrument type</v>
      <v t="s">Year incorporated</v>
      <v t="s">_Flags</v>
      <v t="s">UniqueName</v>
      <v t="s">_DisplayString</v>
      <v t="s">LearnMoreOnLink</v>
      <v t="s">ExchangeID</v>
      <v t="s">%ProviderInfo</v>
    </a>
    <a count="46">
      <v t="s">%EntityServiceId</v>
      <v t="s">_Format</v>
      <v t="s">%IsRefreshable</v>
      <v t="s">%EntityCulture</v>
      <v t="s">%EntityId</v>
      <v t="s">_Icon</v>
      <v t="s">_Display</v>
      <v t="s">Name</v>
      <v t="s">_SubLabel</v>
      <v t="s">Price</v>
      <v t="s">Price (Extended hours)</v>
      <v t="s">Exchange</v>
      <v t="s">Official name</v>
      <v t="s">Last trade time</v>
      <v t="s">Ticker symbol</v>
      <v t="s">Exchange abbreviation</v>
      <v t="s">Change</v>
      <v t="s">Change (Extended hours)</v>
      <v t="s">Change (%)</v>
      <v t="s">Change % (Extended hours)</v>
      <v t="s">Currency</v>
      <v t="s">Previous close</v>
      <v t="s">Open</v>
      <v t="s">High</v>
      <v t="s">Low</v>
      <v t="s">52 week high</v>
      <v t="s">52 week low</v>
      <v t="s">Volume</v>
      <v t="s">Volume average</v>
      <v t="s">Market cap</v>
      <v t="s">Beta</v>
      <v t="s">P/E</v>
      <v t="s">Shares outstanding</v>
      <v t="s">Description</v>
      <v t="s">Employees</v>
      <v t="s">Headquarters</v>
      <v t="s">Industry</v>
      <v t="s">Instrument type</v>
      <v t="s">Year incorporated</v>
      <v t="s">_Flags</v>
      <v t="s">UniqueName</v>
      <v t="s">_DisplayString</v>
      <v t="s">LearnMoreOnLink</v>
      <v t="s">Image</v>
      <v t="s">ExchangeID</v>
      <v t="s">%ProviderInfo</v>
    </a>
  </spbArrays>
  <spbData count="14">
    <spb s="0">
      <v>0</v>
      <v>Name</v>
      <v>LearnMoreOnLink</v>
    </spb>
    <spb s="1">
      <v>0</v>
      <v>0</v>
      <v>0</v>
    </spb>
    <spb s="2">
      <v>1</v>
      <v>1</v>
      <v>1</v>
      <v>1</v>
    </spb>
    <spb s="3">
      <v>1</v>
      <v>2</v>
      <v>2</v>
      <v>1</v>
      <v>3</v>
      <v>1</v>
      <v>1</v>
      <v>1</v>
      <v>4</v>
      <v>4</v>
      <v>5</v>
      <v>6</v>
      <v>1</v>
      <v>1</v>
      <v>1</v>
      <v>4</v>
      <v>7</v>
      <v>8</v>
      <v>9</v>
      <v>4</v>
      <v>1</v>
      <v>1</v>
      <v>5</v>
    </spb>
    <spb s="4">
      <v>at close</v>
      <v>from previous close</v>
      <v>from previous close</v>
      <v>Source: Nasdaq Last Sale</v>
      <v>GMT</v>
      <v>Real-Time Nasdaq Last Sale</v>
      <v>from close</v>
      <v>from close</v>
    </spb>
    <spb s="0">
      <v>1</v>
      <v>Name</v>
      <v>LearnMoreOnLink</v>
    </spb>
    <spb s="5">
      <v>0</v>
      <v>0</v>
    </spb>
    <spb s="6">
      <v>6</v>
      <v>1</v>
      <v>1</v>
      <v>1</v>
      <v>1</v>
    </spb>
    <spb s="7">
      <v>1</v>
      <v>2</v>
      <v>2</v>
      <v>1</v>
      <v>3</v>
      <v>1</v>
      <v>10</v>
      <v>1</v>
      <v>1</v>
      <v>4</v>
      <v>4</v>
      <v>5</v>
      <v>6</v>
      <v>1</v>
      <v>1</v>
      <v>1</v>
      <v>4</v>
      <v>7</v>
      <v>8</v>
      <v>9</v>
      <v>4</v>
      <v>1</v>
      <v>1</v>
      <v>5</v>
    </spb>
    <spb s="8">
      <v>Powered by Refinitiv</v>
    </spb>
    <spb s="9">
      <v>11</v>
    </spb>
    <spb s="9">
      <v>1</v>
    </spb>
    <spb s="9">
      <v>4</v>
    </spb>
    <spb s="10">
      <v>1</v>
      <v>11</v>
      <v>1</v>
      <v>1</v>
      <v>1</v>
      <v>4</v>
    </spb>
  </spbData>
</supportingPropertyBags>
</file>

<file path=xl/richData/rdsupportingpropertybagstructure.xml><?xml version="1.0" encoding="utf-8"?>
<spbStructures xmlns="http://schemas.microsoft.com/office/spreadsheetml/2017/richdata2" count="11">
  <s>
    <k n="^Order" t="spba"/>
    <k n="TitleProperty" t="s"/>
    <k n="SubTitleProperty" t="s"/>
  </s>
  <s>
    <k n="ShowInCardView" t="b"/>
    <k n="ShowInDotNotation" t="b"/>
    <k n="ShowInAutoComplete" t="b"/>
  </s>
  <s>
    <k n="ExchangeID" t="spb"/>
    <k n="UniqueName" t="spb"/>
    <k n="`%ProviderInfo" t="spb"/>
    <k n="LearnMoreOnLink" t="spb"/>
  </s>
  <s>
    <k n="Low" t="i"/>
    <k n="P/E" t="i"/>
    <k n="Beta" t="i"/>
    <k n="High" t="i"/>
    <k n="Name" t="i"/>
    <k n="Open" t="i"/>
    <k n="Price" t="i"/>
    <k n="Change" t="i"/>
    <k n="Volume" t="i"/>
    <k n="Employees" t="i"/>
    <k n="Change (%)" t="i"/>
    <k n="Market cap" t="i"/>
    <k n="52 week low" t="i"/>
    <k n="52 week high" t="i"/>
    <k n="Previous close" t="i"/>
    <k n="Volume average" t="i"/>
    <k n="Last trade time" t="i"/>
    <k n="Year incorporated" t="i"/>
    <k n="`%EntityServiceId" t="i"/>
    <k n="Shares outstanding" t="i"/>
    <k n="Price (Extended hours)" t="i"/>
    <k n="Change (Extended hours)" t="i"/>
    <k n="Change % (Extended hours)" t="i"/>
  </s>
  <s>
    <k n="Price" t="s"/>
    <k n="Change" t="s"/>
    <k n="Change (%)" t="s"/>
    <k n="ExchangeID" t="s"/>
    <k n="Last trade time" t="s"/>
    <k n="Price (Extended hours)" t="s"/>
    <k n="Change (Extended hours)" t="s"/>
    <k n="Change % (Extended hours)" t="s"/>
  </s>
  <s>
    <k n="ShowInDotNotation" t="b"/>
    <k n="ShowInAutoComplete" t="b"/>
  </s>
  <s>
    <k n="Image" t="spb"/>
    <k n="ExchangeID" t="spb"/>
    <k n="UniqueName" t="spb"/>
    <k n="`%ProviderInfo" t="spb"/>
    <k n="LearnMoreOnLink" t="spb"/>
  </s>
  <s>
    <k n="Low" t="i"/>
    <k n="P/E" t="i"/>
    <k n="Beta" t="i"/>
    <k n="High" t="i"/>
    <k n="Name" t="i"/>
    <k n="Open" t="i"/>
    <k n="Image" t="i"/>
    <k n="Price" t="i"/>
    <k n="Change" t="i"/>
    <k n="Volume" t="i"/>
    <k n="Employees" t="i"/>
    <k n="Change (%)" t="i"/>
    <k n="Market cap" t="i"/>
    <k n="52 week low" t="i"/>
    <k n="52 week high" t="i"/>
    <k n="Previous close" t="i"/>
    <k n="Volume average" t="i"/>
    <k n="Last trade time" t="i"/>
    <k n="Year incorporated" t="i"/>
    <k n="`%EntityServiceId" t="i"/>
    <k n="Shares outstanding" t="i"/>
    <k n="Price (Extended hours)" t="i"/>
    <k n="Change (Extended hours)" t="i"/>
    <k n="Change % (Extended hours)" t="i"/>
  </s>
  <s>
    <k n="name" t="s"/>
  </s>
  <s>
    <k n="_Self" t="i"/>
  </s>
  <s>
    <k n="Low" t="i"/>
    <k n="Date" t="i"/>
    <k n="High" t="i"/>
    <k n="Open" t="i"/>
    <k n="Close" t="i"/>
    <k n="Volume" t="i"/>
  </s>
</spbStructures>
</file>

<file path=xl/richData/richStyles.xml><?xml version="1.0" encoding="utf-8"?>
<richStyleSheet xmlns="http://schemas.microsoft.com/office/spreadsheetml/2017/richdata2" xmlns:mc="http://schemas.openxmlformats.org/markup-compatibility/2006" xmlns:x="http://schemas.openxmlformats.org/spreadsheetml/2006/main" mc:Ignorable="x">
  <dxfs count="8">
    <x:dxf>
      <x:numFmt numFmtId="2" formatCode="0.00"/>
    </x:dxf>
    <x:dxf>
      <x:numFmt numFmtId="0" formatCode="General"/>
    </x:dxf>
    <x:dxf>
      <x:numFmt numFmtId="27" formatCode="m/d/yyyy\ h:mm"/>
    </x:dxf>
    <x:dxf>
      <x:numFmt numFmtId="14" formatCode="0.00%"/>
    </x:dxf>
    <x:dxf>
      <x:numFmt numFmtId="3" formatCode="#,##0"/>
    </x:dxf>
    <x:dxf>
      <x:numFmt numFmtId="4" formatCode="#,##0.00"/>
    </x:dxf>
    <x:dxf>
      <x:numFmt numFmtId="1" formatCode="0"/>
    </x:dxf>
    <x:dxf>
      <x:numFmt numFmtId="19" formatCode="m/d/yyyy"/>
    </x:dxf>
  </dxfs>
  <richProperties>
    <rPr n="NumberFormat" t="s"/>
    <rPr n="IsTitleField" t="b"/>
    <rPr n="IsHeroField" t="b"/>
  </richProperties>
  <richStyles>
    <rSty dxfid="1">
      <rpv i="0">_([$$-en-US]* #,##0.00_);_([$$-en-US]* (#,##0.00);_([$$-en-US]* "-"??_);_(@_)</rpv>
    </rSty>
    <rSty dxfid="5">
      <rpv i="0">#,##0.00</rpv>
    </rSty>
    <rSty>
      <rpv i="1">1</rpv>
    </rSty>
    <rSty dxfid="4">
      <rpv i="0">#,##0</rpv>
    </rSty>
    <rSty dxfid="3"/>
    <rSty dxfid="1">
      <rpv i="0">_([$$-en-US]* #,##0_);_([$$-en-US]* (#,##0);_([$$-en-US]* "-"_);_(@_)</rpv>
    </rSty>
    <rSty dxfid="2"/>
    <rSty dxfid="6">
      <rpv i="0">0</rpv>
    </rSty>
    <rSty dxfid="0">
      <rpv i="0">0.00</rpv>
    </rSty>
    <rSty>
      <rpv i="2">1</rpv>
    </rSty>
    <rSty dxfid="7"/>
  </richStyles>
</richStyleSheet>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I16"/>
  <sheetViews>
    <sheetView showGridLines="0" workbookViewId="0">
      <selection activeCell="O22" sqref="O22"/>
    </sheetView>
  </sheetViews>
  <sheetFormatPr defaultColWidth="8.5546875" defaultRowHeight="14.4" x14ac:dyDescent="0.3"/>
  <cols>
    <col min="1" max="1" width="8.5546875" style="124"/>
    <col min="2" max="2" width="14.5546875" style="124" customWidth="1"/>
    <col min="3" max="8" width="8.5546875" style="124"/>
    <col min="9" max="9" width="0" style="124" hidden="1" customWidth="1"/>
    <col min="10" max="16384" width="8.5546875" style="124"/>
  </cols>
  <sheetData>
    <row r="1" spans="1:9" x14ac:dyDescent="0.3">
      <c r="A1" s="92" t="s">
        <v>1</v>
      </c>
      <c r="B1" s="92"/>
      <c r="C1" s="92"/>
      <c r="D1" s="92"/>
      <c r="E1" s="92"/>
      <c r="F1" s="92"/>
      <c r="G1" s="92"/>
      <c r="H1"/>
      <c r="I1"/>
    </row>
    <row r="2" spans="1:9" x14ac:dyDescent="0.3">
      <c r="A2" s="93" t="s">
        <v>0</v>
      </c>
      <c r="B2" s="93"/>
      <c r="C2" s="93"/>
      <c r="D2" s="93"/>
      <c r="E2" s="93"/>
      <c r="F2" s="93"/>
      <c r="G2" s="93"/>
      <c r="H2"/>
      <c r="I2"/>
    </row>
    <row r="3" spans="1:9" ht="15" thickBot="1" x14ac:dyDescent="0.35">
      <c r="A3"/>
      <c r="B3"/>
      <c r="C3"/>
      <c r="D3"/>
      <c r="E3"/>
      <c r="F3"/>
      <c r="G3"/>
      <c r="H3"/>
      <c r="I3"/>
    </row>
    <row r="4" spans="1:9" ht="41.4" customHeight="1" thickBot="1" x14ac:dyDescent="0.7">
      <c r="A4"/>
      <c r="B4" s="143" t="s">
        <v>29</v>
      </c>
      <c r="C4" s="144"/>
      <c r="D4" s="145"/>
      <c r="E4"/>
      <c r="F4"/>
      <c r="G4"/>
      <c r="H4"/>
      <c r="I4"/>
    </row>
    <row r="5" spans="1:9" ht="15" thickBot="1" x14ac:dyDescent="0.35">
      <c r="A5"/>
      <c r="B5"/>
      <c r="C5"/>
      <c r="D5"/>
      <c r="E5"/>
      <c r="F5"/>
      <c r="G5"/>
      <c r="H5"/>
      <c r="I5"/>
    </row>
    <row r="6" spans="1:9" x14ac:dyDescent="0.3">
      <c r="A6"/>
      <c r="B6" s="58" t="s">
        <v>15</v>
      </c>
      <c r="C6" s="59"/>
      <c r="D6" s="59"/>
      <c r="E6" s="79"/>
      <c r="F6"/>
      <c r="G6"/>
      <c r="H6"/>
      <c r="I6"/>
    </row>
    <row r="7" spans="1:9" x14ac:dyDescent="0.3">
      <c r="A7"/>
      <c r="B7" s="61" t="e" vm="1">
        <v>#VALUE!</v>
      </c>
      <c r="C7" s="62"/>
      <c r="D7" s="62"/>
      <c r="E7" s="63"/>
      <c r="F7"/>
      <c r="G7"/>
      <c r="H7"/>
      <c r="I7"/>
    </row>
    <row r="8" spans="1:9" x14ac:dyDescent="0.3">
      <c r="A8"/>
      <c r="B8" s="61" t="e" vm="2">
        <v>#VALUE!</v>
      </c>
      <c r="C8" s="80"/>
      <c r="D8" s="62"/>
      <c r="E8" s="63"/>
      <c r="F8"/>
      <c r="G8"/>
      <c r="H8"/>
      <c r="I8"/>
    </row>
    <row r="9" spans="1:9" ht="15" thickBot="1" x14ac:dyDescent="0.35">
      <c r="A9"/>
      <c r="B9" s="65" t="e" vm="3">
        <v>#VALUE!</v>
      </c>
      <c r="C9" s="66"/>
      <c r="D9" s="66"/>
      <c r="E9" s="81"/>
      <c r="F9"/>
      <c r="G9"/>
      <c r="H9"/>
      <c r="I9"/>
    </row>
    <row r="10" spans="1:9" ht="15" thickBot="1" x14ac:dyDescent="0.35">
      <c r="A10"/>
      <c r="B10"/>
      <c r="C10"/>
      <c r="D10"/>
      <c r="E10"/>
      <c r="F10"/>
      <c r="G10"/>
      <c r="H10"/>
      <c r="I10"/>
    </row>
    <row r="11" spans="1:9" x14ac:dyDescent="0.3">
      <c r="A11"/>
      <c r="B11" s="82" t="s">
        <v>16</v>
      </c>
      <c r="C11" s="83"/>
      <c r="D11" s="83"/>
      <c r="E11" s="83"/>
      <c r="F11" s="84"/>
      <c r="G11"/>
      <c r="H11"/>
      <c r="I11"/>
    </row>
    <row r="12" spans="1:9" x14ac:dyDescent="0.3">
      <c r="A12"/>
      <c r="B12" s="85" t="e" vm="4">
        <v>#VALUE!</v>
      </c>
      <c r="C12" s="86"/>
      <c r="D12" s="86"/>
      <c r="E12" s="86"/>
      <c r="F12" s="87"/>
      <c r="G12"/>
      <c r="H12"/>
      <c r="I12"/>
    </row>
    <row r="13" spans="1:9" x14ac:dyDescent="0.3">
      <c r="A13"/>
      <c r="B13" s="85" t="e" vm="5">
        <v>#VALUE!</v>
      </c>
      <c r="C13" s="86"/>
      <c r="D13" s="86"/>
      <c r="E13" s="86"/>
      <c r="F13" s="87"/>
      <c r="G13"/>
      <c r="H13"/>
      <c r="I13"/>
    </row>
    <row r="14" spans="1:9" x14ac:dyDescent="0.3">
      <c r="A14"/>
      <c r="B14" s="85" t="e" vm="6">
        <v>#VALUE!</v>
      </c>
      <c r="C14" s="86"/>
      <c r="D14" s="86"/>
      <c r="E14" s="86"/>
      <c r="F14" s="87"/>
      <c r="G14"/>
      <c r="H14"/>
      <c r="I14"/>
    </row>
    <row r="15" spans="1:9" ht="15" thickBot="1" x14ac:dyDescent="0.35">
      <c r="A15"/>
      <c r="B15" s="88" t="e" vm="7">
        <v>#VALUE!</v>
      </c>
      <c r="C15" s="89" t="str" cm="1">
        <f t="array" aca="1" ref="C15" ca="1">_FV(B15,"Name")</f>
        <v>NETFLIX, INC.</v>
      </c>
      <c r="D15" s="89"/>
      <c r="E15" s="89"/>
      <c r="F15" s="90"/>
      <c r="G15"/>
      <c r="H15"/>
      <c r="I15"/>
    </row>
    <row r="16" spans="1:9" x14ac:dyDescent="0.3">
      <c r="A16"/>
      <c r="B16"/>
      <c r="C16"/>
      <c r="D16"/>
      <c r="E16"/>
      <c r="F16"/>
      <c r="G16"/>
      <c r="H16"/>
      <c r="I16"/>
    </row>
  </sheetData>
  <mergeCells count="2">
    <mergeCell ref="A1:G1"/>
    <mergeCell ref="A2:G2"/>
  </mergeCells>
  <pageMargins left="0.7" right="0.7" top="0.75" bottom="0.75" header="0.3" footer="0.3"/>
  <pageSetup orientation="portrait"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F9F7D8-F666-4F83-B5E9-52691E171EC3}">
  <sheetPr>
    <pageSetUpPr autoPageBreaks="0"/>
  </sheetPr>
  <dimension ref="A1:M529"/>
  <sheetViews>
    <sheetView showGridLines="0" tabSelected="1" zoomScaleNormal="100" workbookViewId="0">
      <selection activeCell="R4" sqref="R4"/>
    </sheetView>
  </sheetViews>
  <sheetFormatPr defaultRowHeight="14.4" x14ac:dyDescent="0.3"/>
  <cols>
    <col min="3" max="3" width="10.5546875" bestFit="1" customWidth="1"/>
    <col min="8" max="8" width="14.5546875" bestFit="1" customWidth="1"/>
    <col min="13" max="13" width="18.21875" bestFit="1" customWidth="1"/>
  </cols>
  <sheetData>
    <row r="1" spans="1:13" ht="49.2" customHeight="1" x14ac:dyDescent="0.6">
      <c r="A1" s="140" t="s">
        <v>28</v>
      </c>
      <c r="B1" s="42"/>
    </row>
    <row r="3" spans="1:13" ht="15" thickBot="1" x14ac:dyDescent="0.35"/>
    <row r="4" spans="1:13" x14ac:dyDescent="0.3">
      <c r="C4" s="97" t="e" vm="1">
        <v>#VALUE!</v>
      </c>
      <c r="D4" s="98"/>
      <c r="E4" s="98"/>
      <c r="F4" s="98"/>
      <c r="G4" s="98"/>
      <c r="H4" s="99"/>
    </row>
    <row r="5" spans="1:13" ht="15" thickBot="1" x14ac:dyDescent="0.35">
      <c r="C5" s="100"/>
      <c r="D5" s="101"/>
      <c r="E5" s="101"/>
      <c r="F5" s="101"/>
      <c r="G5" s="101"/>
      <c r="H5" s="102"/>
    </row>
    <row r="6" spans="1:13" x14ac:dyDescent="0.3">
      <c r="C6" s="103" t="str" cm="1">
        <f t="array" aca="1" ref="C6:H529" ca="1">_xlfn.STOCKHISTORY(C4,"5/1/2015","5/1/2025",1,1,0,1,2,3,4,5)</f>
        <v>Date</v>
      </c>
      <c r="D6" s="101" t="str">
        <f ca="1"/>
        <v>Close</v>
      </c>
      <c r="E6" s="101" t="str">
        <f ca="1"/>
        <v>Open</v>
      </c>
      <c r="F6" s="101" t="str">
        <f ca="1"/>
        <v>High</v>
      </c>
      <c r="G6" s="101" t="str">
        <f ca="1"/>
        <v>Low</v>
      </c>
      <c r="H6" s="102" t="str">
        <f ca="1"/>
        <v>Volume</v>
      </c>
      <c r="K6" s="109" t="s">
        <v>10</v>
      </c>
      <c r="L6" s="110"/>
      <c r="M6" s="111">
        <f ca="1">AVERAGE(D7:D529)</f>
        <v>102.77916826003823</v>
      </c>
    </row>
    <row r="7" spans="1:13" x14ac:dyDescent="0.3">
      <c r="C7" s="103" vm="8">
        <f ca="1"/>
        <v>42121</v>
      </c>
      <c r="D7" s="101" vm="9">
        <f ca="1"/>
        <v>32.237499999999997</v>
      </c>
      <c r="E7" s="101" vm="10">
        <f ca="1"/>
        <v>33.077500000000001</v>
      </c>
      <c r="F7" s="101" vm="11">
        <f ca="1"/>
        <v>33.634999999999998</v>
      </c>
      <c r="G7" s="101" vm="12">
        <f ca="1"/>
        <v>31.145</v>
      </c>
      <c r="H7" s="104" vm="13">
        <f ca="1"/>
        <v>420972321</v>
      </c>
      <c r="K7" s="112" t="s">
        <v>13</v>
      </c>
      <c r="L7" s="120"/>
      <c r="M7" s="121">
        <f ca="1">_xlfn.VAR.S(D7:D529,E7:E529)</f>
        <v>4621.4787832838192</v>
      </c>
    </row>
    <row r="8" spans="1:13" x14ac:dyDescent="0.3">
      <c r="C8" s="100" vm="14">
        <f ca="1"/>
        <v>42128</v>
      </c>
      <c r="D8" s="101" vm="15">
        <f ca="1"/>
        <v>31.905000000000001</v>
      </c>
      <c r="E8" s="101" vm="16">
        <f ca="1"/>
        <v>32.375</v>
      </c>
      <c r="F8" s="101" vm="17">
        <f ca="1"/>
        <v>32.642499999999998</v>
      </c>
      <c r="G8" s="101" vm="18">
        <f ca="1"/>
        <v>30.84</v>
      </c>
      <c r="H8" s="102" vm="19">
        <f ca="1"/>
        <v>271891981</v>
      </c>
      <c r="K8" s="112" t="s">
        <v>14</v>
      </c>
      <c r="L8" s="120"/>
      <c r="M8" s="115">
        <f ca="1">_xlfn.STDEV.S(D7:D529)</f>
        <v>68.131698649900542</v>
      </c>
    </row>
    <row r="9" spans="1:13" x14ac:dyDescent="0.3">
      <c r="C9" s="100" vm="20">
        <f ca="1"/>
        <v>42135</v>
      </c>
      <c r="D9" s="101" vm="21">
        <f ca="1"/>
        <v>32.192500000000003</v>
      </c>
      <c r="E9" s="101" vm="22">
        <f ca="1"/>
        <v>31.8475</v>
      </c>
      <c r="F9" s="101" vm="23">
        <f ca="1"/>
        <v>32.372500000000002</v>
      </c>
      <c r="G9" s="101" vm="24">
        <f ca="1"/>
        <v>31.204999999999998</v>
      </c>
      <c r="H9" s="102" vm="25">
        <f ca="1"/>
        <v>208301514</v>
      </c>
      <c r="K9" s="112"/>
      <c r="L9" s="120"/>
      <c r="M9" s="114"/>
    </row>
    <row r="10" spans="1:13" x14ac:dyDescent="0.3">
      <c r="C10" s="100" vm="26">
        <f ca="1"/>
        <v>42142</v>
      </c>
      <c r="D10" s="101" vm="27">
        <f ca="1"/>
        <v>33.134999999999998</v>
      </c>
      <c r="E10" s="101" vm="28">
        <f ca="1"/>
        <v>32.094999999999999</v>
      </c>
      <c r="F10" s="101" vm="29">
        <f ca="1"/>
        <v>33.2425</v>
      </c>
      <c r="G10" s="101" vm="30">
        <f ca="1"/>
        <v>32.090000000000003</v>
      </c>
      <c r="H10" s="102" vm="31">
        <f ca="1"/>
        <v>217297426</v>
      </c>
      <c r="K10" s="112" t="s">
        <v>17</v>
      </c>
      <c r="L10" s="120"/>
      <c r="M10" s="122">
        <f ca="1">MAX(F477:G529)</f>
        <v>260.10000000000002</v>
      </c>
    </row>
    <row r="11" spans="1:13" ht="15" thickBot="1" x14ac:dyDescent="0.35">
      <c r="C11" s="100" vm="32">
        <f ca="1"/>
        <v>42150</v>
      </c>
      <c r="D11" s="101" vm="33">
        <f ca="1"/>
        <v>32.57</v>
      </c>
      <c r="E11" s="101" vm="34">
        <f ca="1"/>
        <v>33.15</v>
      </c>
      <c r="F11" s="101" vm="35">
        <f ca="1"/>
        <v>33.227499999999999</v>
      </c>
      <c r="G11" s="101" vm="36">
        <f ca="1"/>
        <v>32.28</v>
      </c>
      <c r="H11" s="102" vm="37">
        <f ca="1"/>
        <v>198148567</v>
      </c>
      <c r="K11" s="117" t="s">
        <v>18</v>
      </c>
      <c r="L11" s="118"/>
      <c r="M11" s="123">
        <f ca="1">MIN(F478:G530)</f>
        <v>169.21010000000001</v>
      </c>
    </row>
    <row r="12" spans="1:13" x14ac:dyDescent="0.3">
      <c r="C12" s="100" vm="38">
        <f ca="1"/>
        <v>42156</v>
      </c>
      <c r="D12" s="101" vm="39">
        <f ca="1"/>
        <v>32.162500000000001</v>
      </c>
      <c r="E12" s="101" vm="40">
        <f ca="1"/>
        <v>32.799999999999997</v>
      </c>
      <c r="F12" s="101" vm="41">
        <f ca="1"/>
        <v>32.847499999999997</v>
      </c>
      <c r="G12" s="101" vm="30">
        <f ca="1"/>
        <v>32.090000000000003</v>
      </c>
      <c r="H12" s="102" vm="42">
        <f ca="1"/>
        <v>170840884</v>
      </c>
    </row>
    <row r="13" spans="1:13" x14ac:dyDescent="0.3">
      <c r="C13" s="100" vm="43">
        <f ca="1"/>
        <v>42163</v>
      </c>
      <c r="D13" s="101" vm="44">
        <f ca="1"/>
        <v>31.7925</v>
      </c>
      <c r="E13" s="101" vm="45">
        <f ca="1"/>
        <v>32.225000000000001</v>
      </c>
      <c r="F13" s="101" vm="46">
        <f ca="1"/>
        <v>32.545000000000002</v>
      </c>
      <c r="G13" s="101" vm="47">
        <f ca="1"/>
        <v>31.405000000000001</v>
      </c>
      <c r="H13" s="102" vm="48">
        <f ca="1"/>
        <v>220114589</v>
      </c>
    </row>
    <row r="14" spans="1:13" x14ac:dyDescent="0.3">
      <c r="C14" s="100" vm="49">
        <f ca="1"/>
        <v>42170</v>
      </c>
      <c r="D14" s="101" vm="50">
        <f ca="1"/>
        <v>31.65</v>
      </c>
      <c r="E14" s="101" vm="51">
        <f ca="1"/>
        <v>31.524999999999999</v>
      </c>
      <c r="F14" s="101" vm="52">
        <f ca="1"/>
        <v>32.077500000000001</v>
      </c>
      <c r="G14" s="101" vm="53">
        <f ca="1"/>
        <v>31.427499999999998</v>
      </c>
      <c r="H14" s="102" vm="54">
        <f ca="1"/>
        <v>198525255</v>
      </c>
    </row>
    <row r="15" spans="1:13" x14ac:dyDescent="0.3">
      <c r="C15" s="100" vm="55">
        <f ca="1"/>
        <v>42177</v>
      </c>
      <c r="D15" s="101" vm="56">
        <f ca="1"/>
        <v>31.6875</v>
      </c>
      <c r="E15" s="101" vm="57">
        <f ca="1"/>
        <v>31.872499999999999</v>
      </c>
      <c r="F15" s="101" vm="58">
        <f ca="1"/>
        <v>32.450000000000003</v>
      </c>
      <c r="G15" s="101" vm="59">
        <f ca="1"/>
        <v>31.627500000000001</v>
      </c>
      <c r="H15" s="102" vm="60">
        <f ca="1"/>
        <v>195594004</v>
      </c>
    </row>
    <row r="16" spans="1:13" x14ac:dyDescent="0.3">
      <c r="C16" s="100" vm="61">
        <f ca="1"/>
        <v>42184</v>
      </c>
      <c r="D16" s="101" vm="62">
        <f ca="1"/>
        <v>31.61</v>
      </c>
      <c r="E16" s="101" vm="63">
        <f ca="1"/>
        <v>31.364999999999998</v>
      </c>
      <c r="F16" s="101" vm="64">
        <f ca="1"/>
        <v>31.734999999999999</v>
      </c>
      <c r="G16" s="101" vm="65">
        <f ca="1"/>
        <v>31.12</v>
      </c>
      <c r="H16" s="102" vm="66">
        <f ca="1"/>
        <v>150981872</v>
      </c>
    </row>
    <row r="17" spans="3:8" x14ac:dyDescent="0.3">
      <c r="C17" s="100" vm="67">
        <f ca="1"/>
        <v>42191</v>
      </c>
      <c r="D17" s="101" vm="68">
        <f ca="1"/>
        <v>30.82</v>
      </c>
      <c r="E17" s="101" vm="69">
        <f ca="1"/>
        <v>31.234999999999999</v>
      </c>
      <c r="F17" s="101" vm="70">
        <f ca="1"/>
        <v>31.557500000000001</v>
      </c>
      <c r="G17" s="101" vm="71">
        <f ca="1"/>
        <v>29.805</v>
      </c>
      <c r="H17" s="102" vm="72">
        <f ca="1"/>
        <v>275718368</v>
      </c>
    </row>
    <row r="18" spans="3:8" x14ac:dyDescent="0.3">
      <c r="C18" s="100" vm="73">
        <f ca="1"/>
        <v>42198</v>
      </c>
      <c r="D18" s="101" vm="74">
        <f ca="1"/>
        <v>32.405000000000001</v>
      </c>
      <c r="E18" s="101" vm="75">
        <f ca="1"/>
        <v>31.2575</v>
      </c>
      <c r="F18" s="101" vm="74">
        <f ca="1"/>
        <v>32.405000000000001</v>
      </c>
      <c r="G18" s="101" vm="76">
        <f ca="1"/>
        <v>31.08</v>
      </c>
      <c r="H18" s="102" vm="77">
        <f ca="1"/>
        <v>189245034</v>
      </c>
    </row>
    <row r="19" spans="3:8" x14ac:dyDescent="0.3">
      <c r="C19" s="100" vm="78">
        <f ca="1"/>
        <v>42205</v>
      </c>
      <c r="D19" s="101" vm="79">
        <f ca="1"/>
        <v>31.125</v>
      </c>
      <c r="E19" s="101" vm="80">
        <f ca="1"/>
        <v>32.7425</v>
      </c>
      <c r="F19" s="101" vm="29">
        <f ca="1"/>
        <v>33.2425</v>
      </c>
      <c r="G19" s="101" vm="81">
        <f ca="1"/>
        <v>30.497499999999999</v>
      </c>
      <c r="H19" s="102" vm="82">
        <f ca="1"/>
        <v>344269021</v>
      </c>
    </row>
    <row r="20" spans="3:8" x14ac:dyDescent="0.3">
      <c r="C20" s="100" vm="83">
        <f ca="1"/>
        <v>42212</v>
      </c>
      <c r="D20" s="101" vm="84">
        <f ca="1"/>
        <v>30.324999999999999</v>
      </c>
      <c r="E20" s="101" vm="85">
        <f ca="1"/>
        <v>30.772500000000001</v>
      </c>
      <c r="F20" s="101" vm="86">
        <f ca="1"/>
        <v>30.977499999999999</v>
      </c>
      <c r="G20" s="101" vm="87">
        <f ca="1"/>
        <v>30.227499999999999</v>
      </c>
      <c r="H20" s="102" vm="88">
        <f ca="1"/>
        <v>191598511</v>
      </c>
    </row>
    <row r="21" spans="3:8" x14ac:dyDescent="0.3">
      <c r="C21" s="100" vm="89">
        <f ca="1"/>
        <v>42219</v>
      </c>
      <c r="D21" s="101" vm="90">
        <f ca="1"/>
        <v>28.88</v>
      </c>
      <c r="E21" s="101" vm="91">
        <f ca="1"/>
        <v>30.375</v>
      </c>
      <c r="F21" s="101" vm="92">
        <f ca="1"/>
        <v>30.642499999999998</v>
      </c>
      <c r="G21" s="101" vm="93">
        <f ca="1"/>
        <v>28.024999999999999</v>
      </c>
      <c r="H21" s="102" vm="94">
        <f ca="1"/>
        <v>385000649</v>
      </c>
    </row>
    <row r="22" spans="3:8" x14ac:dyDescent="0.3">
      <c r="C22" s="100" vm="95">
        <f ca="1"/>
        <v>42226</v>
      </c>
      <c r="D22" s="101" vm="96">
        <f ca="1"/>
        <v>28.99</v>
      </c>
      <c r="E22" s="101" vm="97">
        <f ca="1"/>
        <v>29.1325</v>
      </c>
      <c r="F22" s="101" vm="98">
        <f ca="1"/>
        <v>29.997499999999999</v>
      </c>
      <c r="G22" s="101" vm="99">
        <f ca="1"/>
        <v>27.407499999999999</v>
      </c>
      <c r="H22" s="102" vm="100">
        <f ca="1"/>
        <v>345185326</v>
      </c>
    </row>
    <row r="23" spans="3:8" x14ac:dyDescent="0.3">
      <c r="C23" s="100" vm="101">
        <f ca="1"/>
        <v>42233</v>
      </c>
      <c r="D23" s="101" vm="102">
        <f ca="1"/>
        <v>26.44</v>
      </c>
      <c r="E23" s="101" vm="103">
        <f ca="1"/>
        <v>29.01</v>
      </c>
      <c r="F23" s="101" vm="104">
        <f ca="1"/>
        <v>29.412500000000001</v>
      </c>
      <c r="G23" s="101" vm="105">
        <f ca="1"/>
        <v>26.411300000000001</v>
      </c>
      <c r="H23" s="102" vm="106">
        <f ca="1"/>
        <v>320509056</v>
      </c>
    </row>
    <row r="24" spans="3:8" x14ac:dyDescent="0.3">
      <c r="C24" s="100" vm="107">
        <f ca="1"/>
        <v>42240</v>
      </c>
      <c r="D24" s="101" vm="108">
        <f ca="1"/>
        <v>28.322500000000002</v>
      </c>
      <c r="E24" s="101" vm="109">
        <f ca="1"/>
        <v>23.717500000000001</v>
      </c>
      <c r="F24" s="101" vm="110">
        <f ca="1"/>
        <v>28.327500000000001</v>
      </c>
      <c r="G24" s="101" vm="111">
        <f ca="1"/>
        <v>23</v>
      </c>
      <c r="H24" s="102" vm="112">
        <f ca="1"/>
        <v>500362965</v>
      </c>
    </row>
    <row r="25" spans="3:8" x14ac:dyDescent="0.3">
      <c r="C25" s="100" vm="113">
        <f ca="1"/>
        <v>42247</v>
      </c>
      <c r="D25" s="101" vm="114">
        <f ca="1"/>
        <v>27.317499999999999</v>
      </c>
      <c r="E25" s="101" vm="115">
        <f ca="1"/>
        <v>28.0075</v>
      </c>
      <c r="F25" s="101" vm="116">
        <f ca="1"/>
        <v>28.6325</v>
      </c>
      <c r="G25" s="101" vm="117">
        <f ca="1"/>
        <v>26.84</v>
      </c>
      <c r="H25" s="102" vm="118">
        <f ca="1"/>
        <v>298194194</v>
      </c>
    </row>
    <row r="26" spans="3:8" x14ac:dyDescent="0.3">
      <c r="C26" s="100" vm="119">
        <f ca="1"/>
        <v>42255</v>
      </c>
      <c r="D26" s="101" vm="120">
        <f ca="1"/>
        <v>28.552499999999998</v>
      </c>
      <c r="E26" s="101" vm="121">
        <f ca="1"/>
        <v>27.912500000000001</v>
      </c>
      <c r="F26" s="101" vm="120">
        <f ca="1"/>
        <v>28.552499999999998</v>
      </c>
      <c r="G26" s="101" vm="122">
        <f ca="1"/>
        <v>27.442499999999999</v>
      </c>
      <c r="H26" s="102" vm="123">
        <f ca="1"/>
        <v>252662734</v>
      </c>
    </row>
    <row r="27" spans="3:8" x14ac:dyDescent="0.3">
      <c r="C27" s="100" vm="124">
        <f ca="1"/>
        <v>42261</v>
      </c>
      <c r="D27" s="101" vm="125">
        <f ca="1"/>
        <v>28.362500000000001</v>
      </c>
      <c r="E27" s="101" vm="126">
        <f ca="1"/>
        <v>29.145</v>
      </c>
      <c r="F27" s="101" vm="127">
        <f ca="1"/>
        <v>29.2225</v>
      </c>
      <c r="G27" s="101" vm="128">
        <f ca="1"/>
        <v>27.967500000000001</v>
      </c>
      <c r="H27" s="102" vm="129">
        <f ca="1"/>
        <v>277276007</v>
      </c>
    </row>
    <row r="28" spans="3:8" x14ac:dyDescent="0.3">
      <c r="C28" s="100" vm="130">
        <f ca="1"/>
        <v>42268</v>
      </c>
      <c r="D28" s="101" vm="131">
        <f ca="1"/>
        <v>28.677499999999998</v>
      </c>
      <c r="E28" s="101" vm="132">
        <f ca="1"/>
        <v>28.4175</v>
      </c>
      <c r="F28" s="101" vm="133">
        <f ca="1"/>
        <v>29.172499999999999</v>
      </c>
      <c r="G28" s="101" vm="134">
        <f ca="1"/>
        <v>28.092500000000001</v>
      </c>
      <c r="H28" s="102" vm="135">
        <f ca="1"/>
        <v>242696241</v>
      </c>
    </row>
    <row r="29" spans="3:8" x14ac:dyDescent="0.3">
      <c r="C29" s="100" vm="136">
        <f ca="1"/>
        <v>42275</v>
      </c>
      <c r="D29" s="101" vm="137">
        <f ca="1"/>
        <v>27.594999999999999</v>
      </c>
      <c r="E29" s="101" vm="138">
        <f ca="1"/>
        <v>28.462499999999999</v>
      </c>
      <c r="F29" s="101" vm="139">
        <f ca="1"/>
        <v>28.642499999999998</v>
      </c>
      <c r="G29" s="101" vm="140">
        <f ca="1"/>
        <v>26.827500000000001</v>
      </c>
      <c r="H29" s="102" vm="141">
        <f ca="1"/>
        <v>313896286</v>
      </c>
    </row>
    <row r="30" spans="3:8" x14ac:dyDescent="0.3">
      <c r="C30" s="100" vm="142">
        <f ca="1"/>
        <v>42282</v>
      </c>
      <c r="D30" s="101" vm="143">
        <f ca="1"/>
        <v>28.03</v>
      </c>
      <c r="E30" s="101" vm="144">
        <f ca="1"/>
        <v>27.47</v>
      </c>
      <c r="F30" s="101" vm="145">
        <f ca="1"/>
        <v>28.07</v>
      </c>
      <c r="G30" s="101" vm="146">
        <f ca="1"/>
        <v>27.052499999999998</v>
      </c>
      <c r="H30" s="102" vm="147">
        <f ca="1"/>
        <v>262432987</v>
      </c>
    </row>
    <row r="31" spans="3:8" x14ac:dyDescent="0.3">
      <c r="C31" s="100" vm="148">
        <f ca="1"/>
        <v>42289</v>
      </c>
      <c r="D31" s="101" vm="149">
        <f ca="1"/>
        <v>27.76</v>
      </c>
      <c r="E31" s="101" vm="150">
        <f ca="1"/>
        <v>28.182500000000001</v>
      </c>
      <c r="F31" s="101" vm="151">
        <f ca="1"/>
        <v>28.1875</v>
      </c>
      <c r="G31" s="101" vm="152">
        <f ca="1"/>
        <v>27.39</v>
      </c>
      <c r="H31" s="102" vm="153">
        <f ca="1"/>
        <v>184884970</v>
      </c>
    </row>
    <row r="32" spans="3:8" x14ac:dyDescent="0.3">
      <c r="C32" s="100" vm="154">
        <f ca="1"/>
        <v>42296</v>
      </c>
      <c r="D32" s="101" vm="155">
        <f ca="1"/>
        <v>29.77</v>
      </c>
      <c r="E32" s="101" vm="156">
        <f ca="1"/>
        <v>27.7</v>
      </c>
      <c r="F32" s="101" vm="157">
        <f ca="1"/>
        <v>29.806999999999999</v>
      </c>
      <c r="G32" s="101" vm="158">
        <f ca="1"/>
        <v>27.5275</v>
      </c>
      <c r="H32" s="102" vm="159">
        <f ca="1"/>
        <v>222074893</v>
      </c>
    </row>
    <row r="33" spans="3:8" x14ac:dyDescent="0.3">
      <c r="C33" s="100" vm="160">
        <f ca="1"/>
        <v>42303</v>
      </c>
      <c r="D33" s="101" vm="161">
        <f ca="1"/>
        <v>29.875</v>
      </c>
      <c r="E33" s="101" vm="162">
        <f ca="1"/>
        <v>29.52</v>
      </c>
      <c r="F33" s="101" vm="163">
        <f ca="1"/>
        <v>30.305</v>
      </c>
      <c r="G33" s="101" vm="164">
        <f ca="1"/>
        <v>28.497499999999999</v>
      </c>
      <c r="H33" s="102" vm="165">
        <f ca="1"/>
        <v>322362121</v>
      </c>
    </row>
    <row r="34" spans="3:8" x14ac:dyDescent="0.3">
      <c r="C34" s="100" vm="166">
        <f ca="1"/>
        <v>42310</v>
      </c>
      <c r="D34" s="101" vm="167">
        <f ca="1"/>
        <v>30.265000000000001</v>
      </c>
      <c r="E34" s="101" vm="168">
        <f ca="1"/>
        <v>29.967500000000001</v>
      </c>
      <c r="F34" s="101" vm="169">
        <f ca="1"/>
        <v>30.954999999999998</v>
      </c>
      <c r="G34" s="101" vm="170">
        <f ca="1"/>
        <v>29.9025</v>
      </c>
      <c r="H34" s="102" vm="171">
        <f ca="1"/>
        <v>195203256</v>
      </c>
    </row>
    <row r="35" spans="3:8" x14ac:dyDescent="0.3">
      <c r="C35" s="100" vm="172">
        <f ca="1"/>
        <v>42317</v>
      </c>
      <c r="D35" s="101" vm="173">
        <f ca="1"/>
        <v>28.085000000000001</v>
      </c>
      <c r="E35" s="101" vm="174">
        <f ca="1"/>
        <v>30.24</v>
      </c>
      <c r="F35" s="101" vm="175">
        <f ca="1"/>
        <v>30.452500000000001</v>
      </c>
      <c r="G35" s="101" vm="176">
        <f ca="1"/>
        <v>28.067499999999999</v>
      </c>
      <c r="H35" s="102" vm="177">
        <f ca="1"/>
        <v>216555289</v>
      </c>
    </row>
    <row r="36" spans="3:8" x14ac:dyDescent="0.3">
      <c r="C36" s="100" vm="178">
        <f ca="1"/>
        <v>42324</v>
      </c>
      <c r="D36" s="101" vm="179">
        <f ca="1"/>
        <v>29.824999999999999</v>
      </c>
      <c r="E36" s="101" vm="180">
        <f ca="1"/>
        <v>27.844999999999999</v>
      </c>
      <c r="F36" s="101" vm="181">
        <f ca="1"/>
        <v>29.98</v>
      </c>
      <c r="G36" s="101" vm="182">
        <f ca="1"/>
        <v>27.75</v>
      </c>
      <c r="H36" s="102" vm="183">
        <f ca="1"/>
        <v>189981253</v>
      </c>
    </row>
    <row r="37" spans="3:8" x14ac:dyDescent="0.3">
      <c r="C37" s="100" vm="184">
        <f ca="1"/>
        <v>42331</v>
      </c>
      <c r="D37" s="101" vm="185">
        <f ca="1"/>
        <v>29.452500000000001</v>
      </c>
      <c r="E37" s="101" vm="186">
        <f ca="1"/>
        <v>29.817499999999999</v>
      </c>
      <c r="F37" s="101" vm="187">
        <f ca="1"/>
        <v>29.932500000000001</v>
      </c>
      <c r="G37" s="101" vm="188">
        <f ca="1"/>
        <v>29.28</v>
      </c>
      <c r="H37" s="102" vm="189">
        <f ca="1"/>
        <v>109720453</v>
      </c>
    </row>
    <row r="38" spans="3:8" x14ac:dyDescent="0.3">
      <c r="C38" s="100" vm="190">
        <f ca="1"/>
        <v>42338</v>
      </c>
      <c r="D38" s="101" vm="191">
        <f ca="1"/>
        <v>29.7575</v>
      </c>
      <c r="E38" s="101" vm="192">
        <f ca="1"/>
        <v>29.497499999999999</v>
      </c>
      <c r="F38" s="101" vm="193">
        <f ca="1"/>
        <v>29.852499999999999</v>
      </c>
      <c r="G38" s="101" vm="194">
        <f ca="1"/>
        <v>28.555</v>
      </c>
      <c r="H38" s="102" vm="195">
        <f ca="1"/>
        <v>206765745</v>
      </c>
    </row>
    <row r="39" spans="3:8" x14ac:dyDescent="0.3">
      <c r="C39" s="100" vm="196">
        <f ca="1"/>
        <v>42345</v>
      </c>
      <c r="D39" s="101" vm="197">
        <f ca="1"/>
        <v>28.295000000000002</v>
      </c>
      <c r="E39" s="101" vm="198">
        <f ca="1"/>
        <v>29.745000000000001</v>
      </c>
      <c r="F39" s="101" vm="199">
        <f ca="1"/>
        <v>29.965</v>
      </c>
      <c r="G39" s="101" vm="200">
        <f ca="1"/>
        <v>28.212800000000001</v>
      </c>
      <c r="H39" s="102" vm="201">
        <f ca="1"/>
        <v>188853944</v>
      </c>
    </row>
    <row r="40" spans="3:8" x14ac:dyDescent="0.3">
      <c r="C40" s="100" vm="202">
        <f ca="1"/>
        <v>42352</v>
      </c>
      <c r="D40" s="101" vm="203">
        <f ca="1"/>
        <v>26.5075</v>
      </c>
      <c r="E40" s="101" vm="204">
        <f ca="1"/>
        <v>28.045000000000002</v>
      </c>
      <c r="F40" s="101" vm="205">
        <f ca="1"/>
        <v>28.2</v>
      </c>
      <c r="G40" s="101" vm="206">
        <f ca="1"/>
        <v>26.452500000000001</v>
      </c>
      <c r="H40" s="102" vm="207">
        <f ca="1"/>
        <v>315791335</v>
      </c>
    </row>
    <row r="41" spans="3:8" x14ac:dyDescent="0.3">
      <c r="C41" s="100" vm="208">
        <f ca="1"/>
        <v>42359</v>
      </c>
      <c r="D41" s="101" vm="209">
        <f ca="1"/>
        <v>27.0075</v>
      </c>
      <c r="E41" s="101" vm="210">
        <f ca="1"/>
        <v>26.82</v>
      </c>
      <c r="F41" s="101" vm="211">
        <f ca="1"/>
        <v>27.25</v>
      </c>
      <c r="G41" s="101" vm="212">
        <f ca="1"/>
        <v>26.392499999999998</v>
      </c>
      <c r="H41" s="102" vm="213">
        <f ca="1"/>
        <v>126634011</v>
      </c>
    </row>
    <row r="42" spans="3:8" x14ac:dyDescent="0.3">
      <c r="C42" s="100" vm="214">
        <f ca="1"/>
        <v>42366</v>
      </c>
      <c r="D42" s="101" vm="215">
        <f ca="1"/>
        <v>26.315000000000001</v>
      </c>
      <c r="E42" s="101" vm="216">
        <f ca="1"/>
        <v>26.897500000000001</v>
      </c>
      <c r="F42" s="101" vm="217">
        <f ca="1"/>
        <v>27.357500000000002</v>
      </c>
      <c r="G42" s="101" vm="218">
        <f ca="1"/>
        <v>26.204999999999998</v>
      </c>
      <c r="H42" s="102" vm="219">
        <f ca="1"/>
        <v>123761546</v>
      </c>
    </row>
    <row r="43" spans="3:8" x14ac:dyDescent="0.3">
      <c r="C43" s="100" vm="220">
        <f ca="1"/>
        <v>42373</v>
      </c>
      <c r="D43" s="101" vm="221">
        <f ca="1"/>
        <v>24.24</v>
      </c>
      <c r="E43" s="101" vm="222">
        <f ca="1"/>
        <v>25.6525</v>
      </c>
      <c r="F43" s="101" vm="223">
        <f ca="1"/>
        <v>26.462499999999999</v>
      </c>
      <c r="G43" s="101" vm="224">
        <f ca="1"/>
        <v>24.107500000000002</v>
      </c>
      <c r="H43" s="102" vm="225">
        <f ca="1"/>
        <v>343790211</v>
      </c>
    </row>
    <row r="44" spans="3:8" x14ac:dyDescent="0.3">
      <c r="C44" s="100" vm="226">
        <f ca="1"/>
        <v>42380</v>
      </c>
      <c r="D44" s="101" vm="227">
        <f ca="1"/>
        <v>24.282499999999999</v>
      </c>
      <c r="E44" s="101" vm="228">
        <f ca="1"/>
        <v>24.7425</v>
      </c>
      <c r="F44" s="101" vm="229">
        <f ca="1"/>
        <v>25.297499999999999</v>
      </c>
      <c r="G44" s="101" vm="230">
        <f ca="1"/>
        <v>23.84</v>
      </c>
      <c r="H44" s="102" vm="231">
        <f ca="1"/>
        <v>304337253</v>
      </c>
    </row>
    <row r="45" spans="3:8" x14ac:dyDescent="0.3">
      <c r="C45" s="100" vm="232">
        <f ca="1"/>
        <v>42388</v>
      </c>
      <c r="D45" s="101" vm="233">
        <f ca="1"/>
        <v>25.355</v>
      </c>
      <c r="E45" s="101" vm="234">
        <f ca="1"/>
        <v>24.602499999999999</v>
      </c>
      <c r="F45" s="101" vm="235">
        <f ca="1"/>
        <v>25.364999999999998</v>
      </c>
      <c r="G45" s="101" vm="236">
        <f ca="1"/>
        <v>23.355</v>
      </c>
      <c r="H45" s="102" vm="237">
        <f ca="1"/>
        <v>243384093</v>
      </c>
    </row>
    <row r="46" spans="3:8" x14ac:dyDescent="0.3">
      <c r="C46" s="100" vm="238">
        <f ca="1"/>
        <v>42394</v>
      </c>
      <c r="D46" s="101" vm="239">
        <f ca="1"/>
        <v>24.335000000000001</v>
      </c>
      <c r="E46" s="101" vm="240">
        <f ca="1"/>
        <v>25.38</v>
      </c>
      <c r="F46" s="101" vm="241">
        <f ca="1"/>
        <v>25.3825</v>
      </c>
      <c r="G46" s="101" vm="242">
        <f ca="1"/>
        <v>23.0975</v>
      </c>
      <c r="H46" s="102" vm="243">
        <f ca="1"/>
        <v>380336530</v>
      </c>
    </row>
    <row r="47" spans="3:8" x14ac:dyDescent="0.3">
      <c r="C47" s="100" vm="244">
        <f ca="1"/>
        <v>42401</v>
      </c>
      <c r="D47" s="101" vm="245">
        <f ca="1"/>
        <v>23.504999999999999</v>
      </c>
      <c r="E47" s="101" vm="246">
        <f ca="1"/>
        <v>24.1175</v>
      </c>
      <c r="F47" s="101" vm="247">
        <f ca="1"/>
        <v>24.3325</v>
      </c>
      <c r="G47" s="101" vm="248">
        <f ca="1"/>
        <v>23.422499999999999</v>
      </c>
      <c r="H47" s="102" vm="249">
        <f ca="1"/>
        <v>217154766</v>
      </c>
    </row>
    <row r="48" spans="3:8" x14ac:dyDescent="0.3">
      <c r="C48" s="100" vm="250">
        <f ca="1"/>
        <v>42408</v>
      </c>
      <c r="D48" s="101" vm="251">
        <f ca="1"/>
        <v>23.497499999999999</v>
      </c>
      <c r="E48" s="101" vm="252">
        <f ca="1"/>
        <v>23.282499999999999</v>
      </c>
      <c r="F48" s="101" vm="253">
        <f ca="1"/>
        <v>24.087499999999999</v>
      </c>
      <c r="G48" s="101" vm="254">
        <f ca="1"/>
        <v>23.147500000000001</v>
      </c>
      <c r="H48" s="102" vm="255">
        <f ca="1"/>
        <v>231122263</v>
      </c>
    </row>
    <row r="49" spans="3:8" x14ac:dyDescent="0.3">
      <c r="C49" s="100" vm="256">
        <f ca="1"/>
        <v>42416</v>
      </c>
      <c r="D49" s="101" vm="257">
        <f ca="1"/>
        <v>24.01</v>
      </c>
      <c r="E49" s="101" vm="258">
        <f ca="1"/>
        <v>23.754999999999999</v>
      </c>
      <c r="F49" s="101" vm="259">
        <f ca="1"/>
        <v>24.7225</v>
      </c>
      <c r="G49" s="101" vm="260">
        <f ca="1"/>
        <v>23.6525</v>
      </c>
      <c r="H49" s="102" vm="261">
        <f ca="1"/>
        <v>168316315</v>
      </c>
    </row>
    <row r="50" spans="3:8" x14ac:dyDescent="0.3">
      <c r="C50" s="100" vm="262">
        <f ca="1"/>
        <v>42422</v>
      </c>
      <c r="D50" s="101" vm="263">
        <f ca="1"/>
        <v>24.227499999999999</v>
      </c>
      <c r="E50" s="101" vm="264">
        <f ca="1"/>
        <v>24.077500000000001</v>
      </c>
      <c r="F50" s="101" vm="265">
        <f ca="1"/>
        <v>24.5059</v>
      </c>
      <c r="G50" s="101" vm="266">
        <f ca="1"/>
        <v>23.33</v>
      </c>
      <c r="H50" s="102" vm="267">
        <f ca="1"/>
        <v>159052926</v>
      </c>
    </row>
    <row r="51" spans="3:8" x14ac:dyDescent="0.3">
      <c r="C51" s="100" vm="268">
        <f ca="1"/>
        <v>42429</v>
      </c>
      <c r="D51" s="101" vm="269">
        <f ca="1"/>
        <v>25.752500000000001</v>
      </c>
      <c r="E51" s="101" vm="270">
        <f ca="1"/>
        <v>24.215</v>
      </c>
      <c r="F51" s="101" vm="271">
        <f ca="1"/>
        <v>25.9375</v>
      </c>
      <c r="G51" s="101" vm="272">
        <f ca="1"/>
        <v>24.162500000000001</v>
      </c>
      <c r="H51" s="102" vm="273">
        <f ca="1"/>
        <v>201803826</v>
      </c>
    </row>
    <row r="52" spans="3:8" x14ac:dyDescent="0.3">
      <c r="C52" s="100" vm="274">
        <f ca="1"/>
        <v>42436</v>
      </c>
      <c r="D52" s="101" vm="275">
        <f ca="1"/>
        <v>25.565000000000001</v>
      </c>
      <c r="E52" s="101" vm="276">
        <f ca="1"/>
        <v>25.5975</v>
      </c>
      <c r="F52" s="101" vm="277">
        <f ca="1"/>
        <v>25.7075</v>
      </c>
      <c r="G52" s="101" vm="278">
        <f ca="1"/>
        <v>25.037500000000001</v>
      </c>
      <c r="H52" s="102" vm="279">
        <f ca="1"/>
        <v>155601196</v>
      </c>
    </row>
    <row r="53" spans="3:8" x14ac:dyDescent="0.3">
      <c r="C53" s="100" vm="280">
        <f ca="1"/>
        <v>42443</v>
      </c>
      <c r="D53" s="101" vm="281">
        <f ca="1"/>
        <v>26.48</v>
      </c>
      <c r="E53" s="101" vm="282">
        <f ca="1"/>
        <v>25.477499999999999</v>
      </c>
      <c r="F53" s="101" vm="283">
        <f ca="1"/>
        <v>26.625</v>
      </c>
      <c r="G53" s="101" vm="284">
        <f ca="1"/>
        <v>25.445</v>
      </c>
      <c r="H53" s="102" vm="285">
        <f ca="1"/>
        <v>182073165</v>
      </c>
    </row>
    <row r="54" spans="3:8" x14ac:dyDescent="0.3">
      <c r="C54" s="100" vm="286">
        <f ca="1"/>
        <v>42450</v>
      </c>
      <c r="D54" s="101" vm="287">
        <f ca="1"/>
        <v>26.4175</v>
      </c>
      <c r="E54" s="101" vm="288">
        <f ca="1"/>
        <v>26.482500000000002</v>
      </c>
      <c r="F54" s="101" vm="289">
        <f ca="1"/>
        <v>26.912500000000001</v>
      </c>
      <c r="G54" s="101" vm="290">
        <f ca="1"/>
        <v>26.2225</v>
      </c>
      <c r="H54" s="102" vm="291">
        <f ca="1"/>
        <v>119783503</v>
      </c>
    </row>
    <row r="55" spans="3:8" x14ac:dyDescent="0.3">
      <c r="C55" s="100" vm="292">
        <f ca="1"/>
        <v>42457</v>
      </c>
      <c r="D55" s="101" vm="293">
        <f ca="1"/>
        <v>27.497499999999999</v>
      </c>
      <c r="E55" s="101" vm="294">
        <f ca="1"/>
        <v>26.5</v>
      </c>
      <c r="F55" s="101" vm="295">
        <f ca="1"/>
        <v>27.605</v>
      </c>
      <c r="G55" s="101" vm="296">
        <f ca="1"/>
        <v>26.22</v>
      </c>
      <c r="H55" s="102" vm="297">
        <f ca="1"/>
        <v>147965003</v>
      </c>
    </row>
    <row r="56" spans="3:8" x14ac:dyDescent="0.3">
      <c r="C56" s="100" vm="298">
        <f ca="1"/>
        <v>42464</v>
      </c>
      <c r="D56" s="101" vm="299">
        <f ca="1"/>
        <v>27.164999999999999</v>
      </c>
      <c r="E56" s="101" vm="295">
        <f ca="1"/>
        <v>27.605</v>
      </c>
      <c r="F56" s="101" vm="300">
        <f ca="1"/>
        <v>28.047499999999999</v>
      </c>
      <c r="G56" s="101" vm="301">
        <f ca="1"/>
        <v>27.0303</v>
      </c>
      <c r="H56" s="102" vm="302">
        <f ca="1"/>
        <v>145722543</v>
      </c>
    </row>
    <row r="57" spans="3:8" x14ac:dyDescent="0.3">
      <c r="C57" s="100" vm="303">
        <f ca="1"/>
        <v>42471</v>
      </c>
      <c r="D57" s="101" vm="304">
        <f ca="1"/>
        <v>27.462499999999999</v>
      </c>
      <c r="E57" s="101" vm="305">
        <f ca="1"/>
        <v>27.2425</v>
      </c>
      <c r="F57" s="101" vm="306">
        <f ca="1"/>
        <v>28.0975</v>
      </c>
      <c r="G57" s="101" vm="299">
        <f ca="1"/>
        <v>27.164999999999999</v>
      </c>
      <c r="H57" s="102" vm="307">
        <f ca="1"/>
        <v>162310051</v>
      </c>
    </row>
    <row r="58" spans="3:8" x14ac:dyDescent="0.3">
      <c r="C58" s="100" vm="308">
        <f ca="1"/>
        <v>42478</v>
      </c>
      <c r="D58" s="101" vm="309">
        <f ca="1"/>
        <v>26.42</v>
      </c>
      <c r="E58" s="101" vm="310">
        <f ca="1"/>
        <v>27.2225</v>
      </c>
      <c r="F58" s="101" vm="311">
        <f ca="1"/>
        <v>27.237500000000001</v>
      </c>
      <c r="G58" s="101" vm="312">
        <f ca="1"/>
        <v>26.155000000000001</v>
      </c>
      <c r="H58" s="102" vm="313">
        <f ca="1"/>
        <v>189053016</v>
      </c>
    </row>
    <row r="59" spans="3:8" x14ac:dyDescent="0.3">
      <c r="C59" s="100" vm="314">
        <f ca="1"/>
        <v>42485</v>
      </c>
      <c r="D59" s="101" vm="315">
        <f ca="1"/>
        <v>23.434999999999999</v>
      </c>
      <c r="E59" s="101" vm="316">
        <f ca="1"/>
        <v>26.25</v>
      </c>
      <c r="F59" s="101" vm="317">
        <f ca="1"/>
        <v>26.412500000000001</v>
      </c>
      <c r="G59" s="101" vm="318">
        <f ca="1"/>
        <v>23.127500000000001</v>
      </c>
      <c r="H59" s="102" vm="319">
        <f ca="1"/>
        <v>349424063</v>
      </c>
    </row>
    <row r="60" spans="3:8" x14ac:dyDescent="0.3">
      <c r="C60" s="100" vm="320">
        <f ca="1"/>
        <v>42492</v>
      </c>
      <c r="D60" s="101" vm="321">
        <f ca="1"/>
        <v>23.18</v>
      </c>
      <c r="E60" s="101" vm="322">
        <f ca="1"/>
        <v>23.491299999999999</v>
      </c>
      <c r="F60" s="101" vm="323">
        <f ca="1"/>
        <v>23.975000000000001</v>
      </c>
      <c r="G60" s="101" vm="324">
        <f ca="1"/>
        <v>22.962499999999999</v>
      </c>
      <c r="H60" s="102" vm="325">
        <f ca="1"/>
        <v>225607242</v>
      </c>
    </row>
    <row r="61" spans="3:8" x14ac:dyDescent="0.3">
      <c r="C61" s="100" vm="326">
        <f ca="1"/>
        <v>42499</v>
      </c>
      <c r="D61" s="101" vm="327">
        <f ca="1"/>
        <v>22.63</v>
      </c>
      <c r="E61" s="101" vm="328">
        <f ca="1"/>
        <v>23.25</v>
      </c>
      <c r="F61" s="101" vm="329">
        <f ca="1"/>
        <v>23.442499999999999</v>
      </c>
      <c r="G61" s="101" vm="330">
        <f ca="1"/>
        <v>22.3675</v>
      </c>
      <c r="H61" s="102" vm="331">
        <f ca="1"/>
        <v>216049836</v>
      </c>
    </row>
    <row r="62" spans="3:8" x14ac:dyDescent="0.3">
      <c r="C62" s="100" vm="332">
        <f ca="1"/>
        <v>42506</v>
      </c>
      <c r="D62" s="101" vm="333">
        <f ca="1"/>
        <v>23.805</v>
      </c>
      <c r="E62" s="101" vm="242">
        <f ca="1"/>
        <v>23.0975</v>
      </c>
      <c r="F62" s="101" vm="334">
        <f ca="1"/>
        <v>23.857500000000002</v>
      </c>
      <c r="G62" s="101" vm="335">
        <f ca="1"/>
        <v>22.912500000000001</v>
      </c>
      <c r="H62" s="102" vm="336">
        <f ca="1"/>
        <v>212707154</v>
      </c>
    </row>
    <row r="63" spans="3:8" x14ac:dyDescent="0.3">
      <c r="C63" s="100" vm="337">
        <f ca="1"/>
        <v>42513</v>
      </c>
      <c r="D63" s="101" vm="338">
        <f ca="1"/>
        <v>25.087499999999999</v>
      </c>
      <c r="E63" s="101" vm="339">
        <f ca="1"/>
        <v>23.967500000000001</v>
      </c>
      <c r="F63" s="101" vm="340">
        <f ca="1"/>
        <v>25.182500000000001</v>
      </c>
      <c r="G63" s="101" vm="341">
        <f ca="1"/>
        <v>23.9175</v>
      </c>
      <c r="H63" s="102" vm="342">
        <f ca="1"/>
        <v>204473324</v>
      </c>
    </row>
    <row r="64" spans="3:8" x14ac:dyDescent="0.3">
      <c r="C64" s="100" vm="343">
        <f ca="1"/>
        <v>42521</v>
      </c>
      <c r="D64" s="101" vm="344">
        <f ca="1"/>
        <v>24.48</v>
      </c>
      <c r="E64" s="101" vm="345">
        <f ca="1"/>
        <v>24.9</v>
      </c>
      <c r="F64" s="101" vm="346">
        <f ca="1"/>
        <v>25.1</v>
      </c>
      <c r="G64" s="101" vm="347">
        <f ca="1"/>
        <v>24.157499999999999</v>
      </c>
      <c r="H64" s="102" vm="348">
        <f ca="1"/>
        <v>140176985</v>
      </c>
    </row>
    <row r="65" spans="3:8" x14ac:dyDescent="0.3">
      <c r="C65" s="100" vm="349">
        <f ca="1"/>
        <v>42527</v>
      </c>
      <c r="D65" s="101" vm="350">
        <f ca="1"/>
        <v>24.7075</v>
      </c>
      <c r="E65" s="101" vm="351">
        <f ca="1"/>
        <v>24.497499999999999</v>
      </c>
      <c r="F65" s="101" vm="352">
        <f ca="1"/>
        <v>25.4725</v>
      </c>
      <c r="G65" s="101" vm="353">
        <f ca="1"/>
        <v>24.387499999999999</v>
      </c>
      <c r="H65" s="102" vm="354">
        <f ca="1"/>
        <v>124864375</v>
      </c>
    </row>
    <row r="66" spans="3:8" x14ac:dyDescent="0.3">
      <c r="C66" s="100" vm="355">
        <f ca="1"/>
        <v>42534</v>
      </c>
      <c r="D66" s="101" vm="356">
        <f ca="1"/>
        <v>23.8325</v>
      </c>
      <c r="E66" s="101" vm="357">
        <f ca="1"/>
        <v>24.672499999999999</v>
      </c>
      <c r="F66" s="101" vm="358">
        <f ca="1"/>
        <v>24.78</v>
      </c>
      <c r="G66" s="101" vm="359">
        <f ca="1"/>
        <v>23.824999999999999</v>
      </c>
      <c r="H66" s="102" vm="360">
        <f ca="1"/>
        <v>191732699</v>
      </c>
    </row>
    <row r="67" spans="3:8" x14ac:dyDescent="0.3">
      <c r="C67" s="100" vm="361">
        <f ca="1"/>
        <v>42541</v>
      </c>
      <c r="D67" s="101" vm="362">
        <f ca="1"/>
        <v>23.35</v>
      </c>
      <c r="E67" s="101" vm="363">
        <f ca="1"/>
        <v>24</v>
      </c>
      <c r="F67" s="101" vm="364">
        <f ca="1"/>
        <v>24.2225</v>
      </c>
      <c r="G67" s="101" vm="365">
        <f ca="1"/>
        <v>23.162500000000001</v>
      </c>
      <c r="H67" s="102" vm="366">
        <f ca="1"/>
        <v>206728924</v>
      </c>
    </row>
    <row r="68" spans="3:8" x14ac:dyDescent="0.3">
      <c r="C68" s="100" vm="367">
        <f ca="1"/>
        <v>42548</v>
      </c>
      <c r="D68" s="101" vm="368">
        <f ca="1"/>
        <v>23.9725</v>
      </c>
      <c r="E68" s="101" vm="328">
        <f ca="1"/>
        <v>23.25</v>
      </c>
      <c r="F68" s="101" vm="369">
        <f ca="1"/>
        <v>24.116299999999999</v>
      </c>
      <c r="G68" s="101" vm="370">
        <f ca="1"/>
        <v>22.875</v>
      </c>
      <c r="H68" s="102" vm="371">
        <f ca="1"/>
        <v>185461004</v>
      </c>
    </row>
    <row r="69" spans="3:8" x14ac:dyDescent="0.3">
      <c r="C69" s="100" vm="372">
        <f ca="1"/>
        <v>42556</v>
      </c>
      <c r="D69" s="101" vm="373">
        <f ca="1"/>
        <v>24.17</v>
      </c>
      <c r="E69" s="101" vm="374">
        <f ca="1"/>
        <v>23.8475</v>
      </c>
      <c r="F69" s="101" vm="364">
        <f ca="1"/>
        <v>24.2225</v>
      </c>
      <c r="G69" s="101" vm="375">
        <f ca="1"/>
        <v>23.592500000000001</v>
      </c>
      <c r="H69" s="102" vm="376">
        <f ca="1"/>
        <v>112705961</v>
      </c>
    </row>
    <row r="70" spans="3:8" x14ac:dyDescent="0.3">
      <c r="C70" s="100" vm="377">
        <f ca="1"/>
        <v>42562</v>
      </c>
      <c r="D70" s="101" vm="378">
        <f ca="1"/>
        <v>24.695</v>
      </c>
      <c r="E70" s="101" vm="379">
        <f ca="1"/>
        <v>24.1875</v>
      </c>
      <c r="F70" s="101" vm="380">
        <f ca="1"/>
        <v>24.824999999999999</v>
      </c>
      <c r="G70" s="101" vm="381">
        <f ca="1"/>
        <v>24.182500000000001</v>
      </c>
      <c r="H70" s="102" vm="382">
        <f ca="1"/>
        <v>142910566</v>
      </c>
    </row>
    <row r="71" spans="3:8" x14ac:dyDescent="0.3">
      <c r="C71" s="100" vm="383">
        <f ca="1"/>
        <v>42569</v>
      </c>
      <c r="D71" s="101" vm="384">
        <f ca="1"/>
        <v>24.664999999999999</v>
      </c>
      <c r="E71" s="101" vm="385">
        <f ca="1"/>
        <v>24.675000000000001</v>
      </c>
      <c r="F71" s="101" vm="386">
        <f ca="1"/>
        <v>25.25</v>
      </c>
      <c r="G71" s="101" vm="387">
        <f ca="1"/>
        <v>24.577500000000001</v>
      </c>
      <c r="H71" s="102" vm="388">
        <f ca="1"/>
        <v>147565456</v>
      </c>
    </row>
    <row r="72" spans="3:8" x14ac:dyDescent="0.3">
      <c r="C72" s="100" vm="389">
        <f ca="1"/>
        <v>42576</v>
      </c>
      <c r="D72" s="101" vm="390">
        <f ca="1"/>
        <v>26.052499999999998</v>
      </c>
      <c r="E72" s="101" vm="391">
        <f ca="1"/>
        <v>24.5625</v>
      </c>
      <c r="F72" s="101" vm="392">
        <f ca="1"/>
        <v>26.137499999999999</v>
      </c>
      <c r="G72" s="101" vm="393">
        <f ca="1"/>
        <v>24.105</v>
      </c>
      <c r="H72" s="102" vm="394">
        <f ca="1"/>
        <v>256571090</v>
      </c>
    </row>
    <row r="73" spans="3:8" x14ac:dyDescent="0.3">
      <c r="C73" s="100" vm="395">
        <f ca="1"/>
        <v>42583</v>
      </c>
      <c r="D73" s="101" vm="396">
        <f ca="1"/>
        <v>26.87</v>
      </c>
      <c r="E73" s="101" vm="397">
        <f ca="1"/>
        <v>26.102499999999999</v>
      </c>
      <c r="F73" s="101" vm="289">
        <f ca="1"/>
        <v>26.912500000000001</v>
      </c>
      <c r="G73" s="101" vm="398">
        <f ca="1"/>
        <v>26</v>
      </c>
      <c r="H73" s="102" vm="399">
        <f ca="1"/>
        <v>170149120</v>
      </c>
    </row>
    <row r="74" spans="3:8" x14ac:dyDescent="0.3">
      <c r="C74" s="100" vm="400">
        <f ca="1"/>
        <v>42590</v>
      </c>
      <c r="D74" s="101" vm="401">
        <f ca="1"/>
        <v>27.045000000000002</v>
      </c>
      <c r="E74" s="101" vm="402">
        <f ca="1"/>
        <v>26.88</v>
      </c>
      <c r="F74" s="101" vm="403">
        <f ca="1"/>
        <v>27.234999999999999</v>
      </c>
      <c r="G74" s="101" vm="404">
        <f ca="1"/>
        <v>26.79</v>
      </c>
      <c r="H74" s="102" vm="405">
        <f ca="1"/>
        <v>124505869</v>
      </c>
    </row>
    <row r="75" spans="3:8" x14ac:dyDescent="0.3">
      <c r="C75" s="100" vm="406">
        <f ca="1"/>
        <v>42597</v>
      </c>
      <c r="D75" s="101" vm="407">
        <f ca="1"/>
        <v>27.34</v>
      </c>
      <c r="E75" s="101" vm="408">
        <f ca="1"/>
        <v>27.035</v>
      </c>
      <c r="F75" s="101" vm="409">
        <f ca="1"/>
        <v>27.557500000000001</v>
      </c>
      <c r="G75" s="101" vm="410">
        <f ca="1"/>
        <v>27.02</v>
      </c>
      <c r="H75" s="102" vm="411">
        <f ca="1"/>
        <v>132371408</v>
      </c>
    </row>
    <row r="76" spans="3:8" x14ac:dyDescent="0.3">
      <c r="C76" s="100" vm="412">
        <f ca="1"/>
        <v>42604</v>
      </c>
      <c r="D76" s="101" vm="413">
        <f ca="1"/>
        <v>26.734999999999999</v>
      </c>
      <c r="E76" s="101" vm="414">
        <f ca="1"/>
        <v>27.215</v>
      </c>
      <c r="F76" s="101" vm="415">
        <f ca="1"/>
        <v>27.33</v>
      </c>
      <c r="G76" s="101" vm="416">
        <f ca="1"/>
        <v>26.577500000000001</v>
      </c>
      <c r="H76" s="102" vm="417">
        <f ca="1"/>
        <v>123605519</v>
      </c>
    </row>
    <row r="77" spans="3:8" x14ac:dyDescent="0.3">
      <c r="C77" s="100" vm="418">
        <f ca="1"/>
        <v>42611</v>
      </c>
      <c r="D77" s="101" vm="419">
        <f ca="1"/>
        <v>26.932500000000001</v>
      </c>
      <c r="E77" s="101" vm="420">
        <f ca="1"/>
        <v>26.655000000000001</v>
      </c>
      <c r="F77" s="101" vm="421">
        <f ca="1"/>
        <v>27</v>
      </c>
      <c r="G77" s="101" vm="422">
        <f ca="1"/>
        <v>26.375</v>
      </c>
      <c r="H77" s="102" vm="423">
        <f ca="1"/>
        <v>133000624</v>
      </c>
    </row>
    <row r="78" spans="3:8" x14ac:dyDescent="0.3">
      <c r="C78" s="100" vm="424">
        <f ca="1"/>
        <v>42619</v>
      </c>
      <c r="D78" s="101" vm="425">
        <f ca="1"/>
        <v>25.782499999999999</v>
      </c>
      <c r="E78" s="101" vm="426">
        <f ca="1"/>
        <v>26.975000000000001</v>
      </c>
      <c r="F78" s="101" vm="427">
        <f ca="1"/>
        <v>27.19</v>
      </c>
      <c r="G78" s="101" vm="425">
        <f ca="1"/>
        <v>25.782499999999999</v>
      </c>
      <c r="H78" s="102" vm="428">
        <f ca="1"/>
        <v>168803729</v>
      </c>
    </row>
    <row r="79" spans="3:8" x14ac:dyDescent="0.3">
      <c r="C79" s="100" vm="429">
        <f ca="1"/>
        <v>42625</v>
      </c>
      <c r="D79" s="101" vm="430">
        <f ca="1"/>
        <v>28.73</v>
      </c>
      <c r="E79" s="101" vm="431">
        <f ca="1"/>
        <v>25.662500000000001</v>
      </c>
      <c r="F79" s="101" vm="432">
        <f ca="1"/>
        <v>29.032499999999999</v>
      </c>
      <c r="G79" s="101" vm="433">
        <f ca="1"/>
        <v>25.6325</v>
      </c>
      <c r="H79" s="102" vm="434">
        <f ca="1"/>
        <v>390309366</v>
      </c>
    </row>
    <row r="80" spans="3:8" x14ac:dyDescent="0.3">
      <c r="C80" s="100" vm="435">
        <f ca="1"/>
        <v>42632</v>
      </c>
      <c r="D80" s="101" vm="436">
        <f ca="1"/>
        <v>28.177499999999998</v>
      </c>
      <c r="E80" s="101" vm="437">
        <f ca="1"/>
        <v>28.797499999999999</v>
      </c>
      <c r="F80" s="101" vm="438">
        <f ca="1"/>
        <v>29.045000000000002</v>
      </c>
      <c r="G80" s="101" vm="439">
        <f ca="1"/>
        <v>27.887499999999999</v>
      </c>
      <c r="H80" s="102" vm="440">
        <f ca="1"/>
        <v>201095635</v>
      </c>
    </row>
    <row r="81" spans="3:8" x14ac:dyDescent="0.3">
      <c r="C81" s="100" vm="441">
        <f ca="1"/>
        <v>42639</v>
      </c>
      <c r="D81" s="101" vm="442">
        <f ca="1"/>
        <v>28.262499999999999</v>
      </c>
      <c r="E81" s="101" vm="443">
        <f ca="1"/>
        <v>27.91</v>
      </c>
      <c r="F81" s="101" vm="444">
        <f ca="1"/>
        <v>28.66</v>
      </c>
      <c r="G81" s="101" vm="439">
        <f ca="1"/>
        <v>27.887499999999999</v>
      </c>
      <c r="H81" s="102" vm="445">
        <f ca="1"/>
        <v>156384035</v>
      </c>
    </row>
    <row r="82" spans="3:8" x14ac:dyDescent="0.3">
      <c r="C82" s="100" vm="446">
        <f ca="1"/>
        <v>42646</v>
      </c>
      <c r="D82" s="101" vm="447">
        <f ca="1"/>
        <v>28.515000000000001</v>
      </c>
      <c r="E82" s="101" vm="436">
        <f ca="1"/>
        <v>28.177499999999998</v>
      </c>
      <c r="F82" s="101" vm="448">
        <f ca="1"/>
        <v>28.64</v>
      </c>
      <c r="G82" s="101" vm="145">
        <f ca="1"/>
        <v>28.07</v>
      </c>
      <c r="H82" s="102" vm="449">
        <f ca="1"/>
        <v>126029440</v>
      </c>
    </row>
    <row r="83" spans="3:8" x14ac:dyDescent="0.3">
      <c r="C83" s="100" vm="450">
        <f ca="1"/>
        <v>42653</v>
      </c>
      <c r="D83" s="101" vm="451">
        <f ca="1"/>
        <v>29.407499999999999</v>
      </c>
      <c r="E83" s="101" vm="452">
        <f ca="1"/>
        <v>28.754999999999999</v>
      </c>
      <c r="F83" s="101" vm="453">
        <f ca="1"/>
        <v>29.672499999999999</v>
      </c>
      <c r="G83" s="101" vm="454">
        <f ca="1"/>
        <v>28.68</v>
      </c>
      <c r="H83" s="102" vm="455">
        <f ca="1"/>
        <v>208708383</v>
      </c>
    </row>
    <row r="84" spans="3:8" x14ac:dyDescent="0.3">
      <c r="C84" s="100" vm="456">
        <f ca="1"/>
        <v>42660</v>
      </c>
      <c r="D84" s="101" vm="457">
        <f ca="1"/>
        <v>29.15</v>
      </c>
      <c r="E84" s="101" vm="458">
        <f ca="1"/>
        <v>29.3325</v>
      </c>
      <c r="F84" s="101" vm="459">
        <f ca="1"/>
        <v>29.552499999999998</v>
      </c>
      <c r="G84" s="101" vm="460">
        <f ca="1"/>
        <v>28.45</v>
      </c>
      <c r="H84" s="102" vm="461">
        <f ca="1"/>
        <v>115531434</v>
      </c>
    </row>
    <row r="85" spans="3:8" x14ac:dyDescent="0.3">
      <c r="C85" s="100" vm="462">
        <f ca="1"/>
        <v>42667</v>
      </c>
      <c r="D85" s="101" vm="463">
        <f ca="1"/>
        <v>28.43</v>
      </c>
      <c r="E85" s="101" vm="464">
        <f ca="1"/>
        <v>29.274999999999999</v>
      </c>
      <c r="F85" s="101" vm="465">
        <f ca="1"/>
        <v>29.59</v>
      </c>
      <c r="G85" s="101" vm="110">
        <f ca="1"/>
        <v>28.327500000000001</v>
      </c>
      <c r="H85" s="102" vm="466">
        <f ca="1"/>
        <v>210225569</v>
      </c>
    </row>
    <row r="86" spans="3:8" x14ac:dyDescent="0.3">
      <c r="C86" s="100" vm="467">
        <f ca="1"/>
        <v>42674</v>
      </c>
      <c r="D86" s="101" vm="468">
        <f ca="1"/>
        <v>27.21</v>
      </c>
      <c r="E86" s="101" vm="469">
        <f ca="1"/>
        <v>28.412500000000001</v>
      </c>
      <c r="F86" s="101" vm="470">
        <f ca="1"/>
        <v>28.557500000000001</v>
      </c>
      <c r="G86" s="101" vm="471">
        <f ca="1"/>
        <v>27.0275</v>
      </c>
      <c r="H86" s="102" vm="472">
        <f ca="1"/>
        <v>156346518</v>
      </c>
    </row>
    <row r="87" spans="3:8" x14ac:dyDescent="0.3">
      <c r="C87" s="100" vm="473">
        <f ca="1"/>
        <v>42681</v>
      </c>
      <c r="D87" s="101" vm="474">
        <f ca="1"/>
        <v>27.107500000000002</v>
      </c>
      <c r="E87" s="101" vm="475">
        <f ca="1"/>
        <v>27.52</v>
      </c>
      <c r="F87" s="101" vm="476">
        <f ca="1"/>
        <v>27.93</v>
      </c>
      <c r="G87" s="101" vm="477">
        <f ca="1"/>
        <v>26.4575</v>
      </c>
      <c r="H87" s="102" vm="478">
        <f ca="1"/>
        <v>207268979</v>
      </c>
    </row>
    <row r="88" spans="3:8" x14ac:dyDescent="0.3">
      <c r="C88" s="100" vm="479">
        <f ca="1"/>
        <v>42688</v>
      </c>
      <c r="D88" s="101" vm="480">
        <f ca="1"/>
        <v>27.515000000000001</v>
      </c>
      <c r="E88" s="101" vm="481">
        <f ca="1"/>
        <v>26.927499999999998</v>
      </c>
      <c r="F88" s="101" vm="482">
        <f ca="1"/>
        <v>27.635000000000002</v>
      </c>
      <c r="G88" s="101" vm="483">
        <f ca="1"/>
        <v>26.02</v>
      </c>
      <c r="H88" s="102" vm="484">
        <f ca="1"/>
        <v>198341456</v>
      </c>
    </row>
    <row r="89" spans="3:8" x14ac:dyDescent="0.3">
      <c r="C89" s="100" vm="485">
        <f ca="1"/>
        <v>42695</v>
      </c>
      <c r="D89" s="101" vm="486">
        <f ca="1"/>
        <v>27.947500000000002</v>
      </c>
      <c r="E89" s="101" vm="487">
        <f ca="1"/>
        <v>27.53</v>
      </c>
      <c r="F89" s="101" vm="488">
        <f ca="1"/>
        <v>28.105</v>
      </c>
      <c r="G89" s="101" vm="489">
        <f ca="1"/>
        <v>27.502500000000001</v>
      </c>
      <c r="H89" s="102" vm="490">
        <f ca="1"/>
        <v>94132421</v>
      </c>
    </row>
    <row r="90" spans="3:8" x14ac:dyDescent="0.3">
      <c r="C90" s="100" vm="491">
        <f ca="1"/>
        <v>42702</v>
      </c>
      <c r="D90" s="101" vm="492">
        <f ca="1"/>
        <v>27.475000000000001</v>
      </c>
      <c r="E90" s="101" vm="493">
        <f ca="1"/>
        <v>27.857500000000002</v>
      </c>
      <c r="F90" s="101" vm="494">
        <f ca="1"/>
        <v>28.116299999999999</v>
      </c>
      <c r="G90" s="101" vm="495">
        <f ca="1"/>
        <v>27.212499999999999</v>
      </c>
      <c r="H90" s="102" vm="496">
        <f ca="1"/>
        <v>155499850</v>
      </c>
    </row>
    <row r="91" spans="3:8" x14ac:dyDescent="0.3">
      <c r="C91" s="100" vm="497">
        <f ca="1"/>
        <v>42709</v>
      </c>
      <c r="D91" s="101" vm="498">
        <f ca="1"/>
        <v>28.487500000000001</v>
      </c>
      <c r="E91" s="101" vm="499">
        <f ca="1"/>
        <v>27.5</v>
      </c>
      <c r="F91" s="101" vm="500">
        <f ca="1"/>
        <v>28.675000000000001</v>
      </c>
      <c r="G91" s="101" vm="501">
        <f ca="1"/>
        <v>27.0625</v>
      </c>
      <c r="H91" s="102" vm="502">
        <f ca="1"/>
        <v>151989664</v>
      </c>
    </row>
    <row r="92" spans="3:8" x14ac:dyDescent="0.3">
      <c r="C92" s="100" vm="503">
        <f ca="1"/>
        <v>42716</v>
      </c>
      <c r="D92" s="101" vm="504">
        <f ca="1"/>
        <v>28.9925</v>
      </c>
      <c r="E92" s="101" vm="108">
        <f ca="1"/>
        <v>28.322500000000002</v>
      </c>
      <c r="F92" s="101" vm="505">
        <f ca="1"/>
        <v>29.182500000000001</v>
      </c>
      <c r="G92" s="101" vm="506">
        <f ca="1"/>
        <v>28.122499999999999</v>
      </c>
      <c r="H92" s="102" vm="507">
        <f ca="1"/>
        <v>195015700</v>
      </c>
    </row>
    <row r="93" spans="3:8" x14ac:dyDescent="0.3">
      <c r="C93" s="100" vm="508">
        <f ca="1"/>
        <v>42723</v>
      </c>
      <c r="D93" s="101" vm="509">
        <f ca="1"/>
        <v>29.13</v>
      </c>
      <c r="E93" s="101" vm="510">
        <f ca="1"/>
        <v>28.95</v>
      </c>
      <c r="F93" s="101" vm="511">
        <f ca="1"/>
        <v>29.375</v>
      </c>
      <c r="G93" s="101" vm="512">
        <f ca="1"/>
        <v>28.897500000000001</v>
      </c>
      <c r="H93" s="102" vm="513">
        <f ca="1"/>
        <v>113322891</v>
      </c>
    </row>
    <row r="94" spans="3:8" x14ac:dyDescent="0.3">
      <c r="C94" s="100" vm="514">
        <f ca="1"/>
        <v>42731</v>
      </c>
      <c r="D94" s="101" vm="515">
        <f ca="1"/>
        <v>28.954999999999998</v>
      </c>
      <c r="E94" s="101" vm="509">
        <f ca="1"/>
        <v>29.13</v>
      </c>
      <c r="F94" s="101" vm="516">
        <f ca="1"/>
        <v>29.504200000000001</v>
      </c>
      <c r="G94" s="101" vm="517">
        <f ca="1"/>
        <v>28.857500000000002</v>
      </c>
      <c r="H94" s="102" vm="518">
        <f ca="1"/>
        <v>84828531</v>
      </c>
    </row>
    <row r="95" spans="3:8" x14ac:dyDescent="0.3">
      <c r="C95" s="100" vm="519">
        <f ca="1"/>
        <v>42738</v>
      </c>
      <c r="D95" s="101" vm="520">
        <f ca="1"/>
        <v>29.477499999999999</v>
      </c>
      <c r="E95" s="101" vm="510">
        <f ca="1"/>
        <v>28.95</v>
      </c>
      <c r="F95" s="101" vm="521">
        <f ca="1"/>
        <v>29.54</v>
      </c>
      <c r="G95" s="101" vm="522">
        <f ca="1"/>
        <v>28.69</v>
      </c>
      <c r="H95" s="102" vm="523">
        <f ca="1"/>
        <v>103845468</v>
      </c>
    </row>
    <row r="96" spans="3:8" x14ac:dyDescent="0.3">
      <c r="C96" s="100" vm="524">
        <f ca="1"/>
        <v>42744</v>
      </c>
      <c r="D96" s="101" vm="525">
        <f ca="1"/>
        <v>29.76</v>
      </c>
      <c r="E96" s="101" vm="526">
        <f ca="1"/>
        <v>29.487500000000001</v>
      </c>
      <c r="F96" s="101" vm="527">
        <f ca="1"/>
        <v>29.982500000000002</v>
      </c>
      <c r="G96" s="101" vm="528">
        <f ca="1"/>
        <v>29.484999999999999</v>
      </c>
      <c r="H96" s="102" vm="529">
        <f ca="1"/>
        <v>138810760</v>
      </c>
    </row>
    <row r="97" spans="3:8" x14ac:dyDescent="0.3">
      <c r="C97" s="100" vm="530">
        <f ca="1"/>
        <v>42752</v>
      </c>
      <c r="D97" s="101" vm="531">
        <f ca="1"/>
        <v>30</v>
      </c>
      <c r="E97" s="101" vm="532">
        <f ca="1"/>
        <v>29.585000000000001</v>
      </c>
      <c r="F97" s="101" vm="533">
        <f ca="1"/>
        <v>30.125</v>
      </c>
      <c r="G97" s="101" vm="534">
        <f ca="1"/>
        <v>29.555</v>
      </c>
      <c r="H97" s="102" vm="535">
        <f ca="1"/>
        <v>116347987</v>
      </c>
    </row>
    <row r="98" spans="3:8" x14ac:dyDescent="0.3">
      <c r="C98" s="100" vm="536">
        <f ca="1"/>
        <v>42758</v>
      </c>
      <c r="D98" s="101" vm="537">
        <f ca="1"/>
        <v>30.487500000000001</v>
      </c>
      <c r="E98" s="101" vm="531">
        <f ca="1"/>
        <v>30</v>
      </c>
      <c r="F98" s="101" vm="538">
        <f ca="1"/>
        <v>30.61</v>
      </c>
      <c r="G98" s="101" vm="161">
        <f ca="1"/>
        <v>29.875</v>
      </c>
      <c r="H98" s="102" vm="539">
        <f ca="1"/>
        <v>124748449</v>
      </c>
    </row>
    <row r="99" spans="3:8" x14ac:dyDescent="0.3">
      <c r="C99" s="100" vm="540">
        <f ca="1"/>
        <v>42765</v>
      </c>
      <c r="D99" s="101" vm="541">
        <f ca="1"/>
        <v>32.270000000000003</v>
      </c>
      <c r="E99" s="101" vm="542">
        <f ca="1"/>
        <v>30.232500000000002</v>
      </c>
      <c r="F99" s="101" vm="543">
        <f ca="1"/>
        <v>32.622500000000002</v>
      </c>
      <c r="G99" s="101" vm="544">
        <f ca="1"/>
        <v>30.155000000000001</v>
      </c>
      <c r="H99" s="102" vm="545">
        <f ca="1"/>
        <v>249781248</v>
      </c>
    </row>
    <row r="100" spans="3:8" x14ac:dyDescent="0.3">
      <c r="C100" s="100" vm="546">
        <f ca="1"/>
        <v>42772</v>
      </c>
      <c r="D100" s="101" vm="547">
        <f ca="1"/>
        <v>33.03</v>
      </c>
      <c r="E100" s="101" vm="548">
        <f ca="1"/>
        <v>32.282499999999999</v>
      </c>
      <c r="F100" s="101" vm="549">
        <f ca="1"/>
        <v>33.234999999999999</v>
      </c>
      <c r="G100" s="101" vm="45">
        <f ca="1"/>
        <v>32.225000000000001</v>
      </c>
      <c r="H100" s="102" vm="550">
        <f ca="1"/>
        <v>136449154</v>
      </c>
    </row>
    <row r="101" spans="3:8" x14ac:dyDescent="0.3">
      <c r="C101" s="100" vm="551">
        <f ca="1"/>
        <v>42779</v>
      </c>
      <c r="D101" s="101" vm="552">
        <f ca="1"/>
        <v>33.93</v>
      </c>
      <c r="E101" s="101" vm="553">
        <f ca="1"/>
        <v>33.270000000000003</v>
      </c>
      <c r="F101" s="101" vm="554">
        <f ca="1"/>
        <v>34.067500000000003</v>
      </c>
      <c r="G101" s="101" vm="555">
        <f ca="1"/>
        <v>33.1875</v>
      </c>
      <c r="H101" s="102" vm="556">
        <f ca="1"/>
        <v>136667496</v>
      </c>
    </row>
    <row r="102" spans="3:8" x14ac:dyDescent="0.3">
      <c r="C102" s="100" vm="557">
        <f ca="1"/>
        <v>42787</v>
      </c>
      <c r="D102" s="101" vm="558">
        <f ca="1"/>
        <v>34.164999999999999</v>
      </c>
      <c r="E102" s="101" vm="559">
        <f ca="1"/>
        <v>34.057499999999997</v>
      </c>
      <c r="F102" s="101" vm="560">
        <f ca="1"/>
        <v>34.369999999999997</v>
      </c>
      <c r="G102" s="101" vm="561">
        <f ca="1"/>
        <v>33.82</v>
      </c>
      <c r="H102" s="102" vm="562">
        <f ca="1"/>
        <v>87908859</v>
      </c>
    </row>
    <row r="103" spans="3:8" x14ac:dyDescent="0.3">
      <c r="C103" s="100" vm="563">
        <f ca="1"/>
        <v>42793</v>
      </c>
      <c r="D103" s="101" vm="564">
        <f ca="1"/>
        <v>34.945</v>
      </c>
      <c r="E103" s="101" vm="565">
        <f ca="1"/>
        <v>34.284999999999997</v>
      </c>
      <c r="F103" s="101" vm="566">
        <f ca="1"/>
        <v>35.069699999999997</v>
      </c>
      <c r="G103" s="101" vm="567">
        <f ca="1"/>
        <v>34.07</v>
      </c>
      <c r="H103" s="102" vm="568">
        <f ca="1"/>
        <v>127936976</v>
      </c>
    </row>
    <row r="104" spans="3:8" x14ac:dyDescent="0.3">
      <c r="C104" s="100" vm="569">
        <f ca="1"/>
        <v>42800</v>
      </c>
      <c r="D104" s="101" vm="570">
        <f ca="1"/>
        <v>34.784999999999997</v>
      </c>
      <c r="E104" s="101" vm="571">
        <f ca="1"/>
        <v>34.841299999999997</v>
      </c>
      <c r="F104" s="101" vm="572">
        <f ca="1"/>
        <v>34.994999999999997</v>
      </c>
      <c r="G104" s="101" vm="573">
        <f ca="1"/>
        <v>34.262500000000003</v>
      </c>
      <c r="H104" s="102" vm="574">
        <f ca="1"/>
        <v>99672282</v>
      </c>
    </row>
    <row r="105" spans="3:8" x14ac:dyDescent="0.3">
      <c r="C105" s="100" vm="575">
        <f ca="1"/>
        <v>42807</v>
      </c>
      <c r="D105" s="101" vm="576">
        <f ca="1"/>
        <v>34.997500000000002</v>
      </c>
      <c r="E105" s="101" vm="577">
        <f ca="1"/>
        <v>34.712499999999999</v>
      </c>
      <c r="F105" s="101" vm="578">
        <f ca="1"/>
        <v>35.255000000000003</v>
      </c>
      <c r="G105" s="101" vm="579">
        <f ca="1"/>
        <v>34.704999999999998</v>
      </c>
      <c r="H105" s="102" vm="580">
        <f ca="1"/>
        <v>121539506</v>
      </c>
    </row>
    <row r="106" spans="3:8" x14ac:dyDescent="0.3">
      <c r="C106" s="100" vm="581">
        <f ca="1"/>
        <v>42814</v>
      </c>
      <c r="D106" s="101" vm="582">
        <f ca="1"/>
        <v>35.159999999999997</v>
      </c>
      <c r="E106" s="101" vm="583">
        <f ca="1"/>
        <v>35.1</v>
      </c>
      <c r="F106" s="101" vm="584">
        <f ca="1"/>
        <v>35.700000000000003</v>
      </c>
      <c r="G106" s="101" vm="585">
        <f ca="1"/>
        <v>34.932499999999997</v>
      </c>
      <c r="H106" s="102" vm="586">
        <f ca="1"/>
        <v>129673979</v>
      </c>
    </row>
    <row r="107" spans="3:8" x14ac:dyDescent="0.3">
      <c r="C107" s="100" vm="587">
        <f ca="1"/>
        <v>42821</v>
      </c>
      <c r="D107" s="101" vm="588">
        <f ca="1"/>
        <v>35.914999999999999</v>
      </c>
      <c r="E107" s="101" vm="589">
        <f ca="1"/>
        <v>34.847499999999997</v>
      </c>
      <c r="F107" s="101" vm="590">
        <f ca="1"/>
        <v>36.125</v>
      </c>
      <c r="G107" s="101" vm="591">
        <f ca="1"/>
        <v>34.655000000000001</v>
      </c>
      <c r="H107" s="102" vm="592">
        <f ca="1"/>
        <v>127008757</v>
      </c>
    </row>
    <row r="108" spans="3:8" x14ac:dyDescent="0.3">
      <c r="C108" s="100" vm="593">
        <f ca="1"/>
        <v>42828</v>
      </c>
      <c r="D108" s="101" vm="594">
        <f ca="1"/>
        <v>35.835000000000001</v>
      </c>
      <c r="E108" s="101" vm="595">
        <f ca="1"/>
        <v>35.927500000000002</v>
      </c>
      <c r="F108" s="101" vm="596">
        <f ca="1"/>
        <v>36.365000000000002</v>
      </c>
      <c r="G108" s="101" vm="597">
        <f ca="1"/>
        <v>35.762500000000003</v>
      </c>
      <c r="H108" s="102" vm="598">
        <f ca="1"/>
        <v>105416154</v>
      </c>
    </row>
    <row r="109" spans="3:8" x14ac:dyDescent="0.3">
      <c r="C109" s="100" vm="599">
        <f ca="1"/>
        <v>42835</v>
      </c>
      <c r="D109" s="101" vm="600">
        <f ca="1"/>
        <v>35.262500000000003</v>
      </c>
      <c r="E109" s="101" vm="601">
        <f ca="1"/>
        <v>35.9</v>
      </c>
      <c r="F109" s="101" vm="602">
        <f ca="1"/>
        <v>35.969799999999999</v>
      </c>
      <c r="G109" s="101" vm="603">
        <f ca="1"/>
        <v>35.015000000000001</v>
      </c>
      <c r="H109" s="102" vm="604">
        <f ca="1"/>
        <v>87485653</v>
      </c>
    </row>
    <row r="110" spans="3:8" x14ac:dyDescent="0.3">
      <c r="C110" s="100" vm="605">
        <f ca="1"/>
        <v>42842</v>
      </c>
      <c r="D110" s="101" vm="606">
        <f ca="1"/>
        <v>35.567500000000003</v>
      </c>
      <c r="E110" s="101" vm="607">
        <f ca="1"/>
        <v>35.369999999999997</v>
      </c>
      <c r="F110" s="101" vm="608">
        <f ca="1"/>
        <v>35.729999999999997</v>
      </c>
      <c r="G110" s="101" vm="609">
        <f ca="1"/>
        <v>35.112499999999997</v>
      </c>
      <c r="H110" s="102" vm="610">
        <f ca="1"/>
        <v>89248503</v>
      </c>
    </row>
    <row r="111" spans="3:8" x14ac:dyDescent="0.3">
      <c r="C111" s="100" vm="611">
        <f ca="1"/>
        <v>42849</v>
      </c>
      <c r="D111" s="101" vm="612">
        <f ca="1"/>
        <v>35.912500000000001</v>
      </c>
      <c r="E111" s="101" vm="613">
        <f ca="1"/>
        <v>35.875</v>
      </c>
      <c r="F111" s="101" vm="614">
        <f ca="1"/>
        <v>36.225000000000001</v>
      </c>
      <c r="G111" s="101" vm="615">
        <f ca="1"/>
        <v>35.795000000000002</v>
      </c>
      <c r="H111" s="102" vm="616">
        <f ca="1"/>
        <v>91153780</v>
      </c>
    </row>
    <row r="112" spans="3:8" x14ac:dyDescent="0.3">
      <c r="C112" s="100" vm="617">
        <f ca="1"/>
        <v>42856</v>
      </c>
      <c r="D112" s="101" vm="618">
        <f ca="1"/>
        <v>37.24</v>
      </c>
      <c r="E112" s="101" vm="619">
        <f ca="1"/>
        <v>36.274999999999999</v>
      </c>
      <c r="F112" s="101" vm="620">
        <f ca="1"/>
        <v>37.244999999999997</v>
      </c>
      <c r="G112" s="101" vm="621">
        <f ca="1"/>
        <v>36.067500000000003</v>
      </c>
      <c r="H112" s="102" vm="622">
        <f ca="1"/>
        <v>175351768</v>
      </c>
    </row>
    <row r="113" spans="3:8" x14ac:dyDescent="0.3">
      <c r="C113" s="100" vm="623">
        <f ca="1"/>
        <v>42863</v>
      </c>
      <c r="D113" s="101" vm="624">
        <f ca="1"/>
        <v>39.024999999999999</v>
      </c>
      <c r="E113" s="101" vm="625">
        <f ca="1"/>
        <v>37.2575</v>
      </c>
      <c r="F113" s="101" vm="626">
        <f ca="1"/>
        <v>39.104999999999997</v>
      </c>
      <c r="G113" s="101" vm="625">
        <f ca="1"/>
        <v>37.2575</v>
      </c>
      <c r="H113" s="102" vm="627">
        <f ca="1"/>
        <v>173470543</v>
      </c>
    </row>
    <row r="114" spans="3:8" x14ac:dyDescent="0.3">
      <c r="C114" s="100" vm="628">
        <f ca="1"/>
        <v>42870</v>
      </c>
      <c r="D114" s="101" vm="629">
        <f ca="1"/>
        <v>38.265000000000001</v>
      </c>
      <c r="E114" s="101" vm="630">
        <f ca="1"/>
        <v>39.002499999999998</v>
      </c>
      <c r="F114" s="101" vm="631">
        <f ca="1"/>
        <v>39.162500000000001</v>
      </c>
      <c r="G114" s="101" vm="632">
        <f ca="1"/>
        <v>37.427500000000002</v>
      </c>
      <c r="H114" s="102" vm="633">
        <f ca="1"/>
        <v>157354878</v>
      </c>
    </row>
    <row r="115" spans="3:8" x14ac:dyDescent="0.3">
      <c r="C115" s="100" vm="634">
        <f ca="1"/>
        <v>42877</v>
      </c>
      <c r="D115" s="101" vm="635">
        <f ca="1"/>
        <v>38.402500000000003</v>
      </c>
      <c r="E115" s="101" vm="636">
        <f ca="1"/>
        <v>38.5</v>
      </c>
      <c r="F115" s="101" vm="637">
        <f ca="1"/>
        <v>38.725000000000001</v>
      </c>
      <c r="G115" s="101" vm="638">
        <f ca="1"/>
        <v>38.167499999999997</v>
      </c>
      <c r="H115" s="102" vm="639">
        <f ca="1"/>
        <v>103267697</v>
      </c>
    </row>
    <row r="116" spans="3:8" x14ac:dyDescent="0.3">
      <c r="C116" s="100" vm="640">
        <f ca="1"/>
        <v>42885</v>
      </c>
      <c r="D116" s="101" vm="641">
        <f ca="1"/>
        <v>38.862499999999997</v>
      </c>
      <c r="E116" s="101" vm="642">
        <f ca="1"/>
        <v>38.354999999999997</v>
      </c>
      <c r="F116" s="101" vm="641">
        <f ca="1"/>
        <v>38.862499999999997</v>
      </c>
      <c r="G116" s="101" vm="643">
        <f ca="1"/>
        <v>38.055</v>
      </c>
      <c r="H116" s="102" vm="644">
        <f ca="1"/>
        <v>88752818</v>
      </c>
    </row>
    <row r="117" spans="3:8" x14ac:dyDescent="0.3">
      <c r="C117" s="100" vm="645">
        <f ca="1"/>
        <v>42891</v>
      </c>
      <c r="D117" s="101" vm="620">
        <f ca="1"/>
        <v>37.244999999999997</v>
      </c>
      <c r="E117" s="101" vm="646">
        <f ca="1"/>
        <v>38.585000000000001</v>
      </c>
      <c r="F117" s="101" vm="647">
        <f ca="1"/>
        <v>38.994999999999997</v>
      </c>
      <c r="G117" s="101" vm="648">
        <f ca="1"/>
        <v>36.505000000000003</v>
      </c>
      <c r="H117" s="102" vm="649">
        <f ca="1"/>
        <v>159159690</v>
      </c>
    </row>
    <row r="118" spans="3:8" x14ac:dyDescent="0.3">
      <c r="C118" s="100" vm="650">
        <f ca="1"/>
        <v>42898</v>
      </c>
      <c r="D118" s="101" vm="606">
        <f ca="1"/>
        <v>35.567500000000003</v>
      </c>
      <c r="E118" s="101" vm="651">
        <f ca="1"/>
        <v>36.435000000000002</v>
      </c>
      <c r="F118" s="101" vm="652">
        <f ca="1"/>
        <v>36.875</v>
      </c>
      <c r="G118" s="101" vm="653">
        <f ca="1"/>
        <v>35.549999999999997</v>
      </c>
      <c r="H118" s="102" vm="654">
        <f ca="1"/>
        <v>220530473</v>
      </c>
    </row>
    <row r="119" spans="3:8" x14ac:dyDescent="0.3">
      <c r="C119" s="100" vm="655">
        <f ca="1"/>
        <v>42905</v>
      </c>
      <c r="D119" s="101" vm="656">
        <f ca="1"/>
        <v>36.57</v>
      </c>
      <c r="E119" s="101" vm="588">
        <f ca="1"/>
        <v>35.914999999999999</v>
      </c>
      <c r="F119" s="101" vm="657">
        <f ca="1"/>
        <v>36.79</v>
      </c>
      <c r="G119" s="101" vm="588">
        <f ca="1"/>
        <v>35.914999999999999</v>
      </c>
      <c r="H119" s="102" vm="658">
        <f ca="1"/>
        <v>133252911</v>
      </c>
    </row>
    <row r="120" spans="3:8" x14ac:dyDescent="0.3">
      <c r="C120" s="100" vm="659">
        <f ca="1"/>
        <v>42912</v>
      </c>
      <c r="D120" s="101" vm="660">
        <f ca="1"/>
        <v>36.005000000000003</v>
      </c>
      <c r="E120" s="101" vm="661">
        <f ca="1"/>
        <v>36.792499999999997</v>
      </c>
      <c r="F120" s="101" vm="662">
        <f ca="1"/>
        <v>37.07</v>
      </c>
      <c r="G120" s="101" vm="663">
        <f ca="1"/>
        <v>35.57</v>
      </c>
      <c r="H120" s="102" vm="664">
        <f ca="1"/>
        <v>127060159</v>
      </c>
    </row>
    <row r="121" spans="3:8" x14ac:dyDescent="0.3">
      <c r="C121" s="100" vm="665">
        <f ca="1"/>
        <v>42919</v>
      </c>
      <c r="D121" s="101" vm="666">
        <f ca="1"/>
        <v>36.045000000000002</v>
      </c>
      <c r="E121" s="101" vm="667">
        <f ca="1"/>
        <v>36.22</v>
      </c>
      <c r="F121" s="101" vm="668">
        <f ca="1"/>
        <v>36.325000000000003</v>
      </c>
      <c r="G121" s="101" vm="669">
        <f ca="1"/>
        <v>35.602499999999999</v>
      </c>
      <c r="H121" s="102" vm="670">
        <f ca="1"/>
        <v>79177899</v>
      </c>
    </row>
    <row r="122" spans="3:8" x14ac:dyDescent="0.3">
      <c r="C122" s="100" vm="671">
        <f ca="1"/>
        <v>42926</v>
      </c>
      <c r="D122" s="101" vm="672">
        <f ca="1"/>
        <v>37.26</v>
      </c>
      <c r="E122" s="101" vm="673">
        <f ca="1"/>
        <v>36.027500000000003</v>
      </c>
      <c r="F122" s="101" vm="674">
        <f ca="1"/>
        <v>37.332500000000003</v>
      </c>
      <c r="G122" s="101" vm="675">
        <f ca="1"/>
        <v>35.842500000000001</v>
      </c>
      <c r="H122" s="102" vm="676">
        <f ca="1"/>
        <v>111088384</v>
      </c>
    </row>
    <row r="123" spans="3:8" x14ac:dyDescent="0.3">
      <c r="C123" s="100" vm="677">
        <f ca="1"/>
        <v>42933</v>
      </c>
      <c r="D123" s="101" vm="678">
        <f ca="1"/>
        <v>37.567500000000003</v>
      </c>
      <c r="E123" s="101" vm="679">
        <f ca="1"/>
        <v>37.204999999999998</v>
      </c>
      <c r="F123" s="101" vm="680">
        <f ca="1"/>
        <v>37.935000000000002</v>
      </c>
      <c r="G123" s="101" vm="681">
        <f ca="1"/>
        <v>37.142499999999998</v>
      </c>
      <c r="H123" s="102" vm="682">
        <f ca="1"/>
        <v>106081595</v>
      </c>
    </row>
    <row r="124" spans="3:8" x14ac:dyDescent="0.3">
      <c r="C124" s="100" vm="683">
        <f ca="1"/>
        <v>42940</v>
      </c>
      <c r="D124" s="101" vm="684">
        <f ca="1"/>
        <v>37.375</v>
      </c>
      <c r="E124" s="101" vm="685">
        <f ca="1"/>
        <v>37.645000000000003</v>
      </c>
      <c r="F124" s="101" vm="686">
        <f ca="1"/>
        <v>38.497500000000002</v>
      </c>
      <c r="G124" s="101" vm="687">
        <f ca="1"/>
        <v>36.825000000000003</v>
      </c>
      <c r="H124" s="102" vm="688">
        <f ca="1"/>
        <v>105818033</v>
      </c>
    </row>
    <row r="125" spans="3:8" x14ac:dyDescent="0.3">
      <c r="C125" s="100" vm="689">
        <f ca="1"/>
        <v>42947</v>
      </c>
      <c r="D125" s="101" vm="690">
        <f ca="1"/>
        <v>39.097499999999997</v>
      </c>
      <c r="E125" s="101" vm="691">
        <f ca="1"/>
        <v>37.475000000000001</v>
      </c>
      <c r="F125" s="101" vm="692">
        <f ca="1"/>
        <v>39.9375</v>
      </c>
      <c r="G125" s="101" vm="693">
        <f ca="1"/>
        <v>37.032499999999999</v>
      </c>
      <c r="H125" s="102" vm="694">
        <f ca="1"/>
        <v>172808513</v>
      </c>
    </row>
    <row r="126" spans="3:8" x14ac:dyDescent="0.3">
      <c r="C126" s="100" vm="695">
        <f ca="1"/>
        <v>42954</v>
      </c>
      <c r="D126" s="101" vm="696">
        <f ca="1"/>
        <v>39.369999999999997</v>
      </c>
      <c r="E126" s="101" vm="697">
        <f ca="1"/>
        <v>39.265000000000001</v>
      </c>
      <c r="F126" s="101" vm="698">
        <f ca="1"/>
        <v>40.457500000000003</v>
      </c>
      <c r="G126" s="101" vm="699">
        <f ca="1"/>
        <v>38.657499999999999</v>
      </c>
      <c r="H126" s="102" vm="700">
        <f ca="1"/>
        <v>151269116</v>
      </c>
    </row>
    <row r="127" spans="3:8" x14ac:dyDescent="0.3">
      <c r="C127" s="100" vm="701">
        <f ca="1"/>
        <v>42961</v>
      </c>
      <c r="D127" s="101" vm="702">
        <f ca="1"/>
        <v>39.375</v>
      </c>
      <c r="E127" s="101" vm="703">
        <f ca="1"/>
        <v>39.83</v>
      </c>
      <c r="F127" s="101" vm="704">
        <f ca="1"/>
        <v>40.627499999999998</v>
      </c>
      <c r="G127" s="101" vm="705">
        <f ca="1"/>
        <v>39.18</v>
      </c>
      <c r="H127" s="102" vm="706">
        <f ca="1"/>
        <v>134628467</v>
      </c>
    </row>
    <row r="128" spans="3:8" x14ac:dyDescent="0.3">
      <c r="C128" s="100" vm="707">
        <f ca="1"/>
        <v>42968</v>
      </c>
      <c r="D128" s="101" vm="708">
        <f ca="1"/>
        <v>39.965000000000003</v>
      </c>
      <c r="E128" s="101" vm="702">
        <f ca="1"/>
        <v>39.375</v>
      </c>
      <c r="F128" s="101" vm="709">
        <f ca="1"/>
        <v>40.185000000000002</v>
      </c>
      <c r="G128" s="101" vm="710">
        <f ca="1"/>
        <v>38.777500000000003</v>
      </c>
      <c r="H128" s="102" vm="711">
        <f ca="1"/>
        <v>112671175</v>
      </c>
    </row>
    <row r="129" spans="3:8" x14ac:dyDescent="0.3">
      <c r="C129" s="100" vm="712">
        <f ca="1"/>
        <v>42975</v>
      </c>
      <c r="D129" s="101" vm="713">
        <f ca="1"/>
        <v>41.012500000000003</v>
      </c>
      <c r="E129" s="101" vm="714">
        <f ca="1"/>
        <v>40.034999999999997</v>
      </c>
      <c r="F129" s="101" vm="715">
        <f ca="1"/>
        <v>41.234999999999999</v>
      </c>
      <c r="G129" s="101" vm="716">
        <f ca="1"/>
        <v>39.982500000000002</v>
      </c>
      <c r="H129" s="102" vm="717">
        <f ca="1"/>
        <v>126128613</v>
      </c>
    </row>
    <row r="130" spans="3:8" x14ac:dyDescent="0.3">
      <c r="C130" s="100" vm="718">
        <f ca="1"/>
        <v>42983</v>
      </c>
      <c r="D130" s="101" vm="719">
        <f ca="1"/>
        <v>39.657499999999999</v>
      </c>
      <c r="E130" s="101" vm="720">
        <f ca="1"/>
        <v>40.9375</v>
      </c>
      <c r="F130" s="101" vm="721">
        <f ca="1"/>
        <v>41.0625</v>
      </c>
      <c r="G130" s="101" vm="722">
        <f ca="1"/>
        <v>39.6325</v>
      </c>
      <c r="H130" s="102" vm="723">
        <f ca="1"/>
        <v>101728077</v>
      </c>
    </row>
    <row r="131" spans="3:8" x14ac:dyDescent="0.3">
      <c r="C131" s="100" vm="724">
        <f ca="1"/>
        <v>42989</v>
      </c>
      <c r="D131" s="101" vm="725">
        <f ca="1"/>
        <v>39.97</v>
      </c>
      <c r="E131" s="101" vm="726">
        <f ca="1"/>
        <v>40.125</v>
      </c>
      <c r="F131" s="101" vm="727">
        <f ca="1"/>
        <v>40.99</v>
      </c>
      <c r="G131" s="101" vm="728">
        <f ca="1"/>
        <v>39.477499999999999</v>
      </c>
      <c r="H131" s="102" vm="729">
        <f ca="1"/>
        <v>221077556</v>
      </c>
    </row>
    <row r="132" spans="3:8" x14ac:dyDescent="0.3">
      <c r="C132" s="100" vm="730">
        <f ca="1"/>
        <v>42996</v>
      </c>
      <c r="D132" s="101" vm="731">
        <f ca="1"/>
        <v>37.972499999999997</v>
      </c>
      <c r="E132" s="101" vm="732">
        <f ca="1"/>
        <v>40.027500000000003</v>
      </c>
      <c r="F132" s="101" vm="726">
        <f ca="1"/>
        <v>40.125</v>
      </c>
      <c r="G132" s="101" vm="733">
        <f ca="1"/>
        <v>37.64</v>
      </c>
      <c r="H132" s="102" vm="734">
        <f ca="1"/>
        <v>186188535</v>
      </c>
    </row>
    <row r="133" spans="3:8" x14ac:dyDescent="0.3">
      <c r="C133" s="100" vm="735">
        <f ca="1"/>
        <v>43003</v>
      </c>
      <c r="D133" s="101" vm="736">
        <f ca="1"/>
        <v>38.53</v>
      </c>
      <c r="E133" s="101" vm="737">
        <f ca="1"/>
        <v>37.497500000000002</v>
      </c>
      <c r="F133" s="101" vm="738">
        <f ca="1"/>
        <v>38.679699999999997</v>
      </c>
      <c r="G133" s="101" vm="739">
        <f ca="1"/>
        <v>37.29</v>
      </c>
      <c r="H133" s="102" vm="740">
        <f ca="1"/>
        <v>154856873</v>
      </c>
    </row>
    <row r="134" spans="3:8" x14ac:dyDescent="0.3">
      <c r="C134" s="100" vm="741">
        <f ca="1"/>
        <v>43010</v>
      </c>
      <c r="D134" s="101" vm="742">
        <f ca="1"/>
        <v>38.825000000000003</v>
      </c>
      <c r="E134" s="101" vm="743">
        <f ca="1"/>
        <v>38.564999999999998</v>
      </c>
      <c r="F134" s="101" vm="744">
        <f ca="1"/>
        <v>38.872500000000002</v>
      </c>
      <c r="G134" s="101" vm="745">
        <f ca="1"/>
        <v>38.115000000000002</v>
      </c>
      <c r="H134" s="102" vm="746">
        <f ca="1"/>
        <v>93784212</v>
      </c>
    </row>
    <row r="135" spans="3:8" x14ac:dyDescent="0.3">
      <c r="C135" s="100" vm="747">
        <f ca="1"/>
        <v>43017</v>
      </c>
      <c r="D135" s="101" vm="748">
        <f ca="1"/>
        <v>39.247500000000002</v>
      </c>
      <c r="E135" s="101" vm="749">
        <f ca="1"/>
        <v>38.952500000000001</v>
      </c>
      <c r="F135" s="101" vm="750">
        <f ca="1"/>
        <v>39.5</v>
      </c>
      <c r="G135" s="101" vm="751">
        <f ca="1"/>
        <v>38.774999999999999</v>
      </c>
      <c r="H135" s="102" vm="752">
        <f ca="1"/>
        <v>81304819</v>
      </c>
    </row>
    <row r="136" spans="3:8" x14ac:dyDescent="0.3">
      <c r="C136" s="100" vm="753">
        <f ca="1"/>
        <v>43024</v>
      </c>
      <c r="D136" s="101" vm="754">
        <f ca="1"/>
        <v>39.0625</v>
      </c>
      <c r="E136" s="101" vm="755">
        <f ca="1"/>
        <v>39.475000000000001</v>
      </c>
      <c r="F136" s="101" vm="756">
        <f ca="1"/>
        <v>40.217500000000001</v>
      </c>
      <c r="G136" s="101" vm="757">
        <f ca="1"/>
        <v>38.755000000000003</v>
      </c>
      <c r="H136" s="102" vm="758">
        <f ca="1"/>
        <v>126051203</v>
      </c>
    </row>
    <row r="137" spans="3:8" x14ac:dyDescent="0.3">
      <c r="C137" s="100" vm="759">
        <f ca="1"/>
        <v>43031</v>
      </c>
      <c r="D137" s="101" vm="760">
        <f ca="1"/>
        <v>40.762500000000003</v>
      </c>
      <c r="E137" s="101" vm="761">
        <f ca="1"/>
        <v>39.222499999999997</v>
      </c>
      <c r="F137" s="101" vm="762">
        <f ca="1"/>
        <v>40.9</v>
      </c>
      <c r="G137" s="101" vm="763">
        <f ca="1"/>
        <v>38.817500000000003</v>
      </c>
      <c r="H137" s="102" vm="764">
        <f ca="1"/>
        <v>122403284</v>
      </c>
    </row>
    <row r="138" spans="3:8" x14ac:dyDescent="0.3">
      <c r="C138" s="100" vm="765">
        <f ca="1"/>
        <v>43038</v>
      </c>
      <c r="D138" s="101" vm="766">
        <f ca="1"/>
        <v>43.125</v>
      </c>
      <c r="E138" s="101" vm="767">
        <f ca="1"/>
        <v>40.972499999999997</v>
      </c>
      <c r="F138" s="101" vm="768">
        <f ca="1"/>
        <v>43.564999999999998</v>
      </c>
      <c r="G138" s="101" vm="769">
        <f ca="1"/>
        <v>40.93</v>
      </c>
      <c r="H138" s="102" vm="770">
        <f ca="1"/>
        <v>215177366</v>
      </c>
    </row>
    <row r="139" spans="3:8" x14ac:dyDescent="0.3">
      <c r="C139" s="100" vm="771">
        <f ca="1"/>
        <v>43045</v>
      </c>
      <c r="D139" s="101" vm="772">
        <f ca="1"/>
        <v>43.667499999999997</v>
      </c>
      <c r="E139" s="101" vm="773">
        <f ca="1"/>
        <v>43.091299999999997</v>
      </c>
      <c r="F139" s="101" vm="774">
        <f ca="1"/>
        <v>44.06</v>
      </c>
      <c r="G139" s="101" vm="775">
        <f ca="1"/>
        <v>42.93</v>
      </c>
      <c r="H139" s="102" vm="776">
        <f ca="1"/>
        <v>138425414</v>
      </c>
    </row>
    <row r="140" spans="3:8" x14ac:dyDescent="0.3">
      <c r="C140" s="100" vm="777">
        <f ca="1"/>
        <v>43052</v>
      </c>
      <c r="D140" s="101" vm="778">
        <f ca="1"/>
        <v>42.537500000000001</v>
      </c>
      <c r="E140" s="101" vm="779">
        <f ca="1"/>
        <v>43.375</v>
      </c>
      <c r="F140" s="101" vm="780">
        <f ca="1"/>
        <v>43.625</v>
      </c>
      <c r="G140" s="101" vm="781">
        <f ca="1"/>
        <v>42.094999999999999</v>
      </c>
      <c r="H140" s="102" vm="782">
        <f ca="1"/>
        <v>116459665</v>
      </c>
    </row>
    <row r="141" spans="3:8" x14ac:dyDescent="0.3">
      <c r="C141" s="100" vm="783">
        <f ca="1"/>
        <v>43059</v>
      </c>
      <c r="D141" s="101" vm="784">
        <f ca="1"/>
        <v>43.7425</v>
      </c>
      <c r="E141" s="101" vm="785">
        <f ca="1"/>
        <v>42.572499999999998</v>
      </c>
      <c r="F141" s="101" vm="786">
        <f ca="1"/>
        <v>43.875</v>
      </c>
      <c r="G141" s="101" vm="787">
        <f ca="1"/>
        <v>42.39</v>
      </c>
      <c r="H141" s="102" vm="788">
        <f ca="1"/>
        <v>81009340</v>
      </c>
    </row>
    <row r="142" spans="3:8" x14ac:dyDescent="0.3">
      <c r="C142" s="100" vm="789">
        <f ca="1"/>
        <v>43066</v>
      </c>
      <c r="D142" s="101" vm="790">
        <f ca="1"/>
        <v>42.762500000000003</v>
      </c>
      <c r="E142" s="101" vm="791">
        <f ca="1"/>
        <v>43.762500000000003</v>
      </c>
      <c r="F142" s="101" vm="792">
        <f ca="1"/>
        <v>43.77</v>
      </c>
      <c r="G142" s="101" vm="793">
        <f ca="1"/>
        <v>41.79</v>
      </c>
      <c r="H142" s="102" vm="794">
        <f ca="1"/>
        <v>170098474</v>
      </c>
    </row>
    <row r="143" spans="3:8" x14ac:dyDescent="0.3">
      <c r="C143" s="100" vm="795">
        <f ca="1"/>
        <v>43073</v>
      </c>
      <c r="D143" s="101" vm="796">
        <f ca="1"/>
        <v>42.342500000000001</v>
      </c>
      <c r="E143" s="101" vm="797">
        <f ca="1"/>
        <v>43.12</v>
      </c>
      <c r="F143" s="101" vm="798">
        <f ca="1"/>
        <v>43.155000000000001</v>
      </c>
      <c r="G143" s="101" vm="799">
        <f ca="1"/>
        <v>41.615000000000002</v>
      </c>
      <c r="H143" s="102" vm="800">
        <f ca="1"/>
        <v>137481078</v>
      </c>
    </row>
    <row r="144" spans="3:8" x14ac:dyDescent="0.3">
      <c r="C144" s="100" vm="801">
        <f ca="1"/>
        <v>43080</v>
      </c>
      <c r="D144" s="101" vm="802">
        <f ca="1"/>
        <v>43.4925</v>
      </c>
      <c r="E144" s="101" vm="803">
        <f ca="1"/>
        <v>42.3</v>
      </c>
      <c r="F144" s="101" vm="804">
        <f ca="1"/>
        <v>43.542499999999997</v>
      </c>
      <c r="G144" s="101" vm="805">
        <f ca="1"/>
        <v>42.197499999999998</v>
      </c>
      <c r="H144" s="102" vm="806">
        <f ca="1"/>
        <v>139147284</v>
      </c>
    </row>
    <row r="145" spans="3:8" x14ac:dyDescent="0.3">
      <c r="C145" s="100" vm="807">
        <f ca="1"/>
        <v>43087</v>
      </c>
      <c r="D145" s="101" vm="808">
        <f ca="1"/>
        <v>43.752499999999998</v>
      </c>
      <c r="E145" s="101" vm="809">
        <f ca="1"/>
        <v>43.72</v>
      </c>
      <c r="F145" s="101" vm="810">
        <f ca="1"/>
        <v>44.3</v>
      </c>
      <c r="G145" s="101" vm="811">
        <f ca="1"/>
        <v>43.3125</v>
      </c>
      <c r="H145" s="102" vm="812">
        <f ca="1"/>
        <v>117632550</v>
      </c>
    </row>
    <row r="146" spans="3:8" x14ac:dyDescent="0.3">
      <c r="C146" s="100" vm="813">
        <f ca="1"/>
        <v>43095</v>
      </c>
      <c r="D146" s="101" vm="814">
        <f ca="1"/>
        <v>42.307499999999997</v>
      </c>
      <c r="E146" s="101" vm="815">
        <f ca="1"/>
        <v>42.7</v>
      </c>
      <c r="F146" s="101" vm="816">
        <f ca="1"/>
        <v>42.962499999999999</v>
      </c>
      <c r="G146" s="101" vm="817">
        <f ca="1"/>
        <v>42.305</v>
      </c>
      <c r="H146" s="102" vm="818">
        <f ca="1"/>
        <v>97163858</v>
      </c>
    </row>
    <row r="147" spans="3:8" x14ac:dyDescent="0.3">
      <c r="C147" s="100" vm="819">
        <f ca="1"/>
        <v>43102</v>
      </c>
      <c r="D147" s="101" vm="820">
        <f ca="1"/>
        <v>43.75</v>
      </c>
      <c r="E147" s="101" vm="821">
        <f ca="1"/>
        <v>42.54</v>
      </c>
      <c r="F147" s="101" vm="822">
        <f ca="1"/>
        <v>43.842500000000001</v>
      </c>
      <c r="G147" s="101" vm="823">
        <f ca="1"/>
        <v>42.314999999999998</v>
      </c>
      <c r="H147" s="102" vm="824">
        <f ca="1"/>
        <v>101168448</v>
      </c>
    </row>
    <row r="148" spans="3:8" x14ac:dyDescent="0.3">
      <c r="C148" s="100" vm="825">
        <f ca="1"/>
        <v>43108</v>
      </c>
      <c r="D148" s="101" vm="826">
        <f ca="1"/>
        <v>44.272500000000001</v>
      </c>
      <c r="E148" s="101" vm="827">
        <f ca="1"/>
        <v>43.587499999999999</v>
      </c>
      <c r="F148" s="101" vm="828">
        <f ca="1"/>
        <v>44.34</v>
      </c>
      <c r="G148" s="101" vm="829">
        <f ca="1"/>
        <v>43.25</v>
      </c>
      <c r="H148" s="102" vm="830">
        <f ca="1"/>
        <v>110197467</v>
      </c>
    </row>
    <row r="149" spans="3:8" x14ac:dyDescent="0.3">
      <c r="C149" s="100" vm="831">
        <f ca="1"/>
        <v>43116</v>
      </c>
      <c r="D149" s="101" vm="832">
        <f ca="1"/>
        <v>44.615000000000002</v>
      </c>
      <c r="E149" s="101" vm="833">
        <f ca="1"/>
        <v>44.475000000000001</v>
      </c>
      <c r="F149" s="101" vm="834">
        <f ca="1"/>
        <v>45.024999999999999</v>
      </c>
      <c r="G149" s="101" vm="835">
        <f ca="1"/>
        <v>43.767499999999998</v>
      </c>
      <c r="H149" s="102" vm="836">
        <f ca="1"/>
        <v>127571202</v>
      </c>
    </row>
    <row r="150" spans="3:8" x14ac:dyDescent="0.3">
      <c r="C150" s="100" vm="837">
        <f ca="1"/>
        <v>43122</v>
      </c>
      <c r="D150" s="101" vm="838">
        <f ca="1"/>
        <v>42.877499999999998</v>
      </c>
      <c r="E150" s="101" vm="839">
        <f ca="1"/>
        <v>44.325000000000003</v>
      </c>
      <c r="F150" s="101" vm="840">
        <f ca="1"/>
        <v>44.86</v>
      </c>
      <c r="G150" s="101" vm="841">
        <f ca="1"/>
        <v>42.515000000000001</v>
      </c>
      <c r="H150" s="102" vm="842">
        <f ca="1"/>
        <v>191574802</v>
      </c>
    </row>
    <row r="151" spans="3:8" x14ac:dyDescent="0.3">
      <c r="C151" s="100" vm="843">
        <f ca="1"/>
        <v>43129</v>
      </c>
      <c r="D151" s="101" vm="726">
        <f ca="1"/>
        <v>40.125</v>
      </c>
      <c r="E151" s="101" vm="821">
        <f ca="1"/>
        <v>42.54</v>
      </c>
      <c r="F151" s="101" vm="821">
        <f ca="1"/>
        <v>42.54</v>
      </c>
      <c r="G151" s="101" vm="844">
        <f ca="1"/>
        <v>40.024999999999999</v>
      </c>
      <c r="H151" s="102" vm="845">
        <f ca="1"/>
        <v>262992133</v>
      </c>
    </row>
    <row r="152" spans="3:8" x14ac:dyDescent="0.3">
      <c r="C152" s="100" vm="846">
        <f ca="1"/>
        <v>43136</v>
      </c>
      <c r="D152" s="101" vm="847">
        <f ca="1"/>
        <v>39.102499999999999</v>
      </c>
      <c r="E152" s="101" vm="848">
        <f ca="1"/>
        <v>39.774999999999999</v>
      </c>
      <c r="F152" s="101" vm="849">
        <f ca="1"/>
        <v>40.97</v>
      </c>
      <c r="G152" s="101" vm="850">
        <f ca="1"/>
        <v>37.56</v>
      </c>
      <c r="H152" s="102" vm="851">
        <f ca="1"/>
        <v>317654064</v>
      </c>
    </row>
    <row r="153" spans="3:8" x14ac:dyDescent="0.3">
      <c r="C153" s="100" vm="852">
        <f ca="1"/>
        <v>43143</v>
      </c>
      <c r="D153" s="101" vm="853">
        <f ca="1"/>
        <v>43.107500000000002</v>
      </c>
      <c r="E153" s="101" vm="854">
        <f ca="1"/>
        <v>39.625</v>
      </c>
      <c r="F153" s="101" vm="855">
        <f ca="1"/>
        <v>43.704999999999998</v>
      </c>
      <c r="G153" s="101" vm="856">
        <f ca="1"/>
        <v>39.377499999999998</v>
      </c>
      <c r="H153" s="102" vm="857">
        <f ca="1"/>
        <v>225336897</v>
      </c>
    </row>
    <row r="154" spans="3:8" x14ac:dyDescent="0.3">
      <c r="C154" s="100" vm="858">
        <f ca="1"/>
        <v>43151</v>
      </c>
      <c r="D154" s="101" vm="786">
        <f ca="1"/>
        <v>43.875</v>
      </c>
      <c r="E154" s="101" vm="859">
        <f ca="1"/>
        <v>43.012500000000003</v>
      </c>
      <c r="F154" s="101" vm="860">
        <f ca="1"/>
        <v>43.912500000000001</v>
      </c>
      <c r="G154" s="101" vm="861">
        <f ca="1"/>
        <v>42.752499999999998</v>
      </c>
      <c r="H154" s="102" vm="862">
        <f ca="1"/>
        <v>136206463</v>
      </c>
    </row>
    <row r="155" spans="3:8" x14ac:dyDescent="0.3">
      <c r="C155" s="100" vm="863">
        <f ca="1"/>
        <v>43157</v>
      </c>
      <c r="D155" s="101" vm="864">
        <f ca="1"/>
        <v>44.052500000000002</v>
      </c>
      <c r="E155" s="101" vm="865">
        <f ca="1"/>
        <v>44.087499999999999</v>
      </c>
      <c r="F155" s="101" vm="866">
        <f ca="1"/>
        <v>45.153799999999997</v>
      </c>
      <c r="G155" s="101" vm="867">
        <f ca="1"/>
        <v>43.112499999999997</v>
      </c>
      <c r="H155" s="102" vm="868">
        <f ca="1"/>
        <v>202128357</v>
      </c>
    </row>
    <row r="156" spans="3:8" x14ac:dyDescent="0.3">
      <c r="C156" s="100" vm="869">
        <f ca="1"/>
        <v>43164</v>
      </c>
      <c r="D156" s="101" vm="870">
        <f ca="1"/>
        <v>44.994999999999997</v>
      </c>
      <c r="E156" s="101" vm="871">
        <f ca="1"/>
        <v>43.802500000000002</v>
      </c>
      <c r="F156" s="101" vm="872">
        <f ca="1"/>
        <v>45</v>
      </c>
      <c r="G156" s="101" vm="873">
        <f ca="1"/>
        <v>43.567500000000003</v>
      </c>
      <c r="H156" s="102" vm="874">
        <f ca="1"/>
        <v>139852603</v>
      </c>
    </row>
    <row r="157" spans="3:8" x14ac:dyDescent="0.3">
      <c r="C157" s="100" vm="875">
        <f ca="1"/>
        <v>43171</v>
      </c>
      <c r="D157" s="101" vm="876">
        <f ca="1"/>
        <v>44.505000000000003</v>
      </c>
      <c r="E157" s="101" vm="877">
        <f ca="1"/>
        <v>45.072499999999998</v>
      </c>
      <c r="F157" s="101" vm="878">
        <f ca="1"/>
        <v>45.875</v>
      </c>
      <c r="G157" s="101" vm="879">
        <f ca="1"/>
        <v>44.405000000000001</v>
      </c>
      <c r="H157" s="102" vm="880">
        <f ca="1"/>
        <v>155417452</v>
      </c>
    </row>
    <row r="158" spans="3:8" x14ac:dyDescent="0.3">
      <c r="C158" s="100" vm="881">
        <f ca="1"/>
        <v>43178</v>
      </c>
      <c r="D158" s="101" vm="715">
        <f ca="1"/>
        <v>41.234999999999999</v>
      </c>
      <c r="E158" s="101" vm="882">
        <f ca="1"/>
        <v>44.33</v>
      </c>
      <c r="F158" s="101" vm="883">
        <f ca="1"/>
        <v>44.3675</v>
      </c>
      <c r="G158" s="101" vm="715">
        <f ca="1"/>
        <v>41.234999999999999</v>
      </c>
      <c r="H158" s="102" vm="884">
        <f ca="1"/>
        <v>172670607</v>
      </c>
    </row>
    <row r="159" spans="3:8" x14ac:dyDescent="0.3">
      <c r="C159" s="100" vm="885">
        <f ca="1"/>
        <v>43185</v>
      </c>
      <c r="D159" s="101" vm="886">
        <f ca="1"/>
        <v>41.945</v>
      </c>
      <c r="E159" s="101" vm="887">
        <f ca="1"/>
        <v>42.017499999999998</v>
      </c>
      <c r="F159" s="101" vm="888">
        <f ca="1"/>
        <v>43.787500000000001</v>
      </c>
      <c r="G159" s="101" vm="889">
        <f ca="1"/>
        <v>41.297499999999999</v>
      </c>
      <c r="H159" s="102" vm="890">
        <f ca="1"/>
        <v>158530865</v>
      </c>
    </row>
    <row r="160" spans="3:8" x14ac:dyDescent="0.3">
      <c r="C160" s="100" vm="891">
        <f ca="1"/>
        <v>43192</v>
      </c>
      <c r="D160" s="101" vm="781">
        <f ca="1"/>
        <v>42.094999999999999</v>
      </c>
      <c r="E160" s="101" vm="892">
        <f ca="1"/>
        <v>41.97</v>
      </c>
      <c r="F160" s="101" vm="893">
        <f ca="1"/>
        <v>43.557600000000001</v>
      </c>
      <c r="G160" s="101" vm="894">
        <f ca="1"/>
        <v>41.1175</v>
      </c>
      <c r="H160" s="102" vm="895">
        <f ca="1"/>
        <v>164408813</v>
      </c>
    </row>
    <row r="161" spans="3:8" x14ac:dyDescent="0.3">
      <c r="C161" s="100" vm="896">
        <f ca="1"/>
        <v>43199</v>
      </c>
      <c r="D161" s="101" vm="897">
        <f ca="1"/>
        <v>43.682499999999997</v>
      </c>
      <c r="E161" s="101" vm="898">
        <f ca="1"/>
        <v>42.47</v>
      </c>
      <c r="F161" s="101" vm="899">
        <f ca="1"/>
        <v>43.96</v>
      </c>
      <c r="G161" s="101" vm="900">
        <f ca="1"/>
        <v>42.461300000000001</v>
      </c>
      <c r="H161" s="102" vm="901">
        <f ca="1"/>
        <v>128077139</v>
      </c>
    </row>
    <row r="162" spans="3:8" x14ac:dyDescent="0.3">
      <c r="C162" s="100" vm="902">
        <f ca="1"/>
        <v>43206</v>
      </c>
      <c r="D162" s="101" vm="903">
        <f ca="1"/>
        <v>41.43</v>
      </c>
      <c r="E162" s="101" vm="904">
        <f ca="1"/>
        <v>43.7575</v>
      </c>
      <c r="F162" s="101" vm="905">
        <f ca="1"/>
        <v>44.734099999999998</v>
      </c>
      <c r="G162" s="101" vm="906">
        <f ca="1"/>
        <v>41.357500000000002</v>
      </c>
      <c r="H162" s="102" vm="907">
        <f ca="1"/>
        <v>169238340</v>
      </c>
    </row>
    <row r="163" spans="3:8" x14ac:dyDescent="0.3">
      <c r="C163" s="100" vm="908">
        <f ca="1"/>
        <v>43213</v>
      </c>
      <c r="D163" s="101" vm="909">
        <f ca="1"/>
        <v>40.58</v>
      </c>
      <c r="E163" s="101" vm="910">
        <f ca="1"/>
        <v>41.7087</v>
      </c>
      <c r="F163" s="101" vm="911">
        <f ca="1"/>
        <v>41.73</v>
      </c>
      <c r="G163" s="101" vm="912">
        <f ca="1"/>
        <v>40.157499999999999</v>
      </c>
      <c r="H163" s="102" vm="913">
        <f ca="1"/>
        <v>162208431</v>
      </c>
    </row>
    <row r="164" spans="3:8" x14ac:dyDescent="0.3">
      <c r="C164" s="100" vm="914">
        <f ca="1"/>
        <v>43220</v>
      </c>
      <c r="D164" s="101" vm="915">
        <f ca="1"/>
        <v>45.957500000000003</v>
      </c>
      <c r="E164" s="101" vm="916">
        <f ca="1"/>
        <v>40.532600000000002</v>
      </c>
      <c r="F164" s="101" vm="917">
        <f ca="1"/>
        <v>46.0625</v>
      </c>
      <c r="G164" s="101" vm="918">
        <f ca="1"/>
        <v>40.46</v>
      </c>
      <c r="H164" s="102" vm="919">
        <f ca="1"/>
        <v>252805668</v>
      </c>
    </row>
    <row r="165" spans="3:8" x14ac:dyDescent="0.3">
      <c r="C165" s="100" vm="920">
        <f ca="1"/>
        <v>43227</v>
      </c>
      <c r="D165" s="101" vm="921">
        <f ca="1"/>
        <v>47.147500000000001</v>
      </c>
      <c r="E165" s="101" vm="922">
        <f ca="1"/>
        <v>46.295000000000002</v>
      </c>
      <c r="F165" s="101" vm="923">
        <f ca="1"/>
        <v>47.592500000000001</v>
      </c>
      <c r="G165" s="101" vm="924">
        <f ca="1"/>
        <v>45.9163</v>
      </c>
      <c r="H165" s="102" vm="925">
        <f ca="1"/>
        <v>148266951</v>
      </c>
    </row>
    <row r="166" spans="3:8" x14ac:dyDescent="0.3">
      <c r="C166" s="100" vm="926">
        <f ca="1"/>
        <v>43234</v>
      </c>
      <c r="D166" s="101" vm="927">
        <f ca="1"/>
        <v>46.577500000000001</v>
      </c>
      <c r="E166" s="101" vm="928">
        <f ca="1"/>
        <v>47.252499999999998</v>
      </c>
      <c r="F166" s="101" vm="929">
        <f ca="1"/>
        <v>47.3825</v>
      </c>
      <c r="G166" s="101" vm="930">
        <f ca="1"/>
        <v>46.274999999999999</v>
      </c>
      <c r="H166" s="102" vm="931">
        <f ca="1"/>
        <v>99248752</v>
      </c>
    </row>
    <row r="167" spans="3:8" x14ac:dyDescent="0.3">
      <c r="C167" s="100" vm="932">
        <f ca="1"/>
        <v>43241</v>
      </c>
      <c r="D167" s="101" vm="933">
        <f ca="1"/>
        <v>47.145000000000003</v>
      </c>
      <c r="E167" s="101" vm="934">
        <f ca="1"/>
        <v>47</v>
      </c>
      <c r="F167" s="101" vm="935">
        <f ca="1"/>
        <v>47.412500000000001</v>
      </c>
      <c r="G167" s="101" vm="936">
        <f ca="1"/>
        <v>46.44</v>
      </c>
      <c r="H167" s="102" vm="937">
        <f ca="1"/>
        <v>94394844</v>
      </c>
    </row>
    <row r="168" spans="3:8" x14ac:dyDescent="0.3">
      <c r="C168" s="100" vm="938">
        <f ca="1"/>
        <v>43249</v>
      </c>
      <c r="D168" s="101" vm="939">
        <f ca="1"/>
        <v>47.56</v>
      </c>
      <c r="E168" s="101" vm="940">
        <f ca="1"/>
        <v>46.9</v>
      </c>
      <c r="F168" s="101" vm="941">
        <f ca="1"/>
        <v>47.564999999999998</v>
      </c>
      <c r="G168" s="101" vm="942">
        <f ca="1"/>
        <v>46.534999999999997</v>
      </c>
      <c r="H168" s="102" vm="943">
        <f ca="1"/>
        <v>92129925</v>
      </c>
    </row>
    <row r="169" spans="3:8" x14ac:dyDescent="0.3">
      <c r="C169" s="100" vm="944">
        <f ca="1"/>
        <v>43255</v>
      </c>
      <c r="D169" s="101" vm="945">
        <f ca="1"/>
        <v>47.924999999999997</v>
      </c>
      <c r="E169" s="101" vm="946">
        <f ca="1"/>
        <v>47.908799999999999</v>
      </c>
      <c r="F169" s="101" vm="947">
        <f ca="1"/>
        <v>48.55</v>
      </c>
      <c r="G169" s="101" vm="948">
        <f ca="1"/>
        <v>47.442500000000003</v>
      </c>
      <c r="H169" s="102" vm="949">
        <f ca="1"/>
        <v>116769735</v>
      </c>
    </row>
    <row r="170" spans="3:8" x14ac:dyDescent="0.3">
      <c r="C170" s="100" vm="950">
        <f ca="1"/>
        <v>43262</v>
      </c>
      <c r="D170" s="101" vm="951">
        <f ca="1"/>
        <v>47.21</v>
      </c>
      <c r="E170" s="101" vm="952">
        <f ca="1"/>
        <v>47.837499999999999</v>
      </c>
      <c r="F170" s="101" vm="953">
        <f ca="1"/>
        <v>48.22</v>
      </c>
      <c r="G170" s="101" vm="954">
        <f ca="1"/>
        <v>47.064999999999998</v>
      </c>
      <c r="H170" s="102" vm="955">
        <f ca="1"/>
        <v>140187228</v>
      </c>
    </row>
    <row r="171" spans="3:8" x14ac:dyDescent="0.3">
      <c r="C171" s="100" vm="956">
        <f ca="1"/>
        <v>43269</v>
      </c>
      <c r="D171" s="101" vm="957">
        <f ca="1"/>
        <v>46.23</v>
      </c>
      <c r="E171" s="101" vm="958">
        <f ca="1"/>
        <v>46.97</v>
      </c>
      <c r="F171" s="101" vm="959">
        <f ca="1"/>
        <v>47.305</v>
      </c>
      <c r="G171" s="101" vm="960">
        <f ca="1"/>
        <v>45.862499999999997</v>
      </c>
      <c r="H171" s="102" vm="961">
        <f ca="1"/>
        <v>125604366</v>
      </c>
    </row>
    <row r="172" spans="3:8" x14ac:dyDescent="0.3">
      <c r="C172" s="100" vm="962">
        <f ca="1"/>
        <v>43276</v>
      </c>
      <c r="D172" s="101" vm="963">
        <f ca="1"/>
        <v>46.277500000000003</v>
      </c>
      <c r="E172" s="101" vm="964">
        <f ca="1"/>
        <v>45.85</v>
      </c>
      <c r="F172" s="101" vm="965">
        <f ca="1"/>
        <v>46.82</v>
      </c>
      <c r="G172" s="101" vm="966">
        <f ca="1"/>
        <v>45.182499999999997</v>
      </c>
      <c r="H172" s="102" vm="967">
        <f ca="1"/>
        <v>121620526</v>
      </c>
    </row>
    <row r="173" spans="3:8" x14ac:dyDescent="0.3">
      <c r="C173" s="100" vm="968">
        <f ca="1"/>
        <v>43283</v>
      </c>
      <c r="D173" s="101" vm="969">
        <f ca="1"/>
        <v>46.9925</v>
      </c>
      <c r="E173" s="101" vm="970">
        <f ca="1"/>
        <v>45.954999999999998</v>
      </c>
      <c r="F173" s="101" vm="971">
        <f ca="1"/>
        <v>47.108499999999999</v>
      </c>
      <c r="G173" s="101" vm="972">
        <f ca="1"/>
        <v>45.854999999999997</v>
      </c>
      <c r="H173" s="102" vm="973">
        <f ca="1"/>
        <v>65775642</v>
      </c>
    </row>
    <row r="174" spans="3:8" x14ac:dyDescent="0.3">
      <c r="C174" s="100" vm="974">
        <f ca="1"/>
        <v>43290</v>
      </c>
      <c r="D174" s="101" vm="975">
        <f ca="1"/>
        <v>47.832500000000003</v>
      </c>
      <c r="E174" s="101" vm="976">
        <f ca="1"/>
        <v>47.375</v>
      </c>
      <c r="F174" s="101" vm="977">
        <f ca="1"/>
        <v>47.96</v>
      </c>
      <c r="G174" s="101" vm="978">
        <f ca="1"/>
        <v>46.902500000000003</v>
      </c>
      <c r="H174" s="102" vm="979">
        <f ca="1"/>
        <v>85088176</v>
      </c>
    </row>
    <row r="175" spans="3:8" x14ac:dyDescent="0.3">
      <c r="C175" s="100" vm="980">
        <f ca="1"/>
        <v>43297</v>
      </c>
      <c r="D175" s="101" vm="981">
        <f ca="1"/>
        <v>47.86</v>
      </c>
      <c r="E175" s="101" vm="982">
        <f ca="1"/>
        <v>47.88</v>
      </c>
      <c r="F175" s="101" vm="983">
        <f ca="1"/>
        <v>48.162500000000001</v>
      </c>
      <c r="G175" s="101" vm="984">
        <f ca="1"/>
        <v>47.3</v>
      </c>
      <c r="H175" s="102" vm="985">
        <f ca="1"/>
        <v>87963808</v>
      </c>
    </row>
    <row r="176" spans="3:8" x14ac:dyDescent="0.3">
      <c r="C176" s="100" vm="986">
        <f ca="1"/>
        <v>43304</v>
      </c>
      <c r="D176" s="101" vm="987">
        <f ca="1"/>
        <v>47.744999999999997</v>
      </c>
      <c r="E176" s="101" vm="988">
        <f ca="1"/>
        <v>47.67</v>
      </c>
      <c r="F176" s="101" vm="989">
        <f ca="1"/>
        <v>48.99</v>
      </c>
      <c r="G176" s="101" vm="990">
        <f ca="1"/>
        <v>47.39</v>
      </c>
      <c r="H176" s="102" vm="991">
        <f ca="1"/>
        <v>94613682</v>
      </c>
    </row>
    <row r="177" spans="3:8" x14ac:dyDescent="0.3">
      <c r="C177" s="100" vm="992">
        <f ca="1"/>
        <v>43311</v>
      </c>
      <c r="D177" s="101" vm="993">
        <f ca="1"/>
        <v>51.997500000000002</v>
      </c>
      <c r="E177" s="101" vm="994">
        <f ca="1"/>
        <v>47.975000000000001</v>
      </c>
      <c r="F177" s="101" vm="995">
        <f ca="1"/>
        <v>52.185000000000002</v>
      </c>
      <c r="G177" s="101" vm="996">
        <f ca="1"/>
        <v>47.267499999999998</v>
      </c>
      <c r="H177" s="102" vm="997">
        <f ca="1"/>
        <v>224189697</v>
      </c>
    </row>
    <row r="178" spans="3:8" x14ac:dyDescent="0.3">
      <c r="C178" s="100" vm="998">
        <f ca="1"/>
        <v>43318</v>
      </c>
      <c r="D178" s="101" vm="999">
        <f ca="1"/>
        <v>51.8825</v>
      </c>
      <c r="E178" s="101" vm="1000">
        <f ca="1"/>
        <v>52</v>
      </c>
      <c r="F178" s="101" vm="1001">
        <f ca="1"/>
        <v>52.445</v>
      </c>
      <c r="G178" s="101" vm="1002">
        <f ca="1"/>
        <v>51.13</v>
      </c>
      <c r="H178" s="102" vm="1003">
        <f ca="1"/>
        <v>121642089</v>
      </c>
    </row>
    <row r="179" spans="3:8" x14ac:dyDescent="0.3">
      <c r="C179" s="100" vm="1004">
        <f ca="1"/>
        <v>43325</v>
      </c>
      <c r="D179" s="101" vm="1005">
        <f ca="1"/>
        <v>54.395000000000003</v>
      </c>
      <c r="E179" s="101" vm="1006">
        <f ca="1"/>
        <v>51.924999999999997</v>
      </c>
      <c r="F179" s="101" vm="1007">
        <f ca="1"/>
        <v>54.487499999999997</v>
      </c>
      <c r="G179" s="101" vm="1006">
        <f ca="1"/>
        <v>51.924999999999997</v>
      </c>
      <c r="H179" s="102" vm="1008">
        <f ca="1"/>
        <v>139373818</v>
      </c>
    </row>
    <row r="180" spans="3:8" x14ac:dyDescent="0.3">
      <c r="C180" s="100" vm="1009">
        <f ca="1"/>
        <v>43332</v>
      </c>
      <c r="D180" s="101" vm="1010">
        <f ca="1"/>
        <v>54.04</v>
      </c>
      <c r="E180" s="101" vm="1011">
        <f ca="1"/>
        <v>54.524999999999999</v>
      </c>
      <c r="F180" s="101" vm="1012">
        <f ca="1"/>
        <v>54.795000000000002</v>
      </c>
      <c r="G180" s="101" vm="1013">
        <f ca="1"/>
        <v>53.46</v>
      </c>
      <c r="H180" s="102" vm="1014">
        <f ca="1"/>
        <v>112825161</v>
      </c>
    </row>
    <row r="181" spans="3:8" x14ac:dyDescent="0.3">
      <c r="C181" s="100" vm="1015">
        <f ca="1"/>
        <v>43339</v>
      </c>
      <c r="D181" s="101" vm="1016">
        <f ca="1"/>
        <v>56.907499999999999</v>
      </c>
      <c r="E181" s="101" vm="1017">
        <f ca="1"/>
        <v>54.287500000000001</v>
      </c>
      <c r="F181" s="101" vm="1018">
        <f ca="1"/>
        <v>57.217500000000001</v>
      </c>
      <c r="G181" s="101" vm="1019">
        <f ca="1"/>
        <v>54.082500000000003</v>
      </c>
      <c r="H181" s="102" vm="1020">
        <f ca="1"/>
        <v>162690645</v>
      </c>
    </row>
    <row r="182" spans="3:8" x14ac:dyDescent="0.3">
      <c r="C182" s="100" vm="1021">
        <f ca="1"/>
        <v>43347</v>
      </c>
      <c r="D182" s="101" vm="1022">
        <f ca="1"/>
        <v>55.325000000000003</v>
      </c>
      <c r="E182" s="101" vm="1023">
        <f ca="1"/>
        <v>57.102499999999999</v>
      </c>
      <c r="F182" s="101" vm="1024">
        <f ca="1"/>
        <v>57.417499999999997</v>
      </c>
      <c r="G182" s="101" vm="1025">
        <f ca="1"/>
        <v>55.177500000000002</v>
      </c>
      <c r="H182" s="102" vm="1026">
        <f ca="1"/>
        <v>132632878</v>
      </c>
    </row>
    <row r="183" spans="3:8" x14ac:dyDescent="0.3">
      <c r="C183" s="100" vm="1027">
        <f ca="1"/>
        <v>43353</v>
      </c>
      <c r="D183" s="101" vm="1028">
        <f ca="1"/>
        <v>55.96</v>
      </c>
      <c r="E183" s="101" vm="1029">
        <f ca="1"/>
        <v>55.237499999999997</v>
      </c>
      <c r="F183" s="101" vm="1030">
        <f ca="1"/>
        <v>57.087499999999999</v>
      </c>
      <c r="G183" s="101" vm="1031">
        <f ca="1"/>
        <v>54.1175</v>
      </c>
      <c r="H183" s="102" vm="1032">
        <f ca="1"/>
        <v>198249908</v>
      </c>
    </row>
    <row r="184" spans="3:8" x14ac:dyDescent="0.3">
      <c r="C184" s="100" vm="1033">
        <f ca="1"/>
        <v>43360</v>
      </c>
      <c r="D184" s="101" vm="1034">
        <f ca="1"/>
        <v>54.414999999999999</v>
      </c>
      <c r="E184" s="101" vm="1035">
        <f ca="1"/>
        <v>55.537500000000001</v>
      </c>
      <c r="F184" s="101" vm="1036">
        <f ca="1"/>
        <v>55.737499999999997</v>
      </c>
      <c r="G184" s="101" vm="1037">
        <f ca="1"/>
        <v>53.825000000000003</v>
      </c>
      <c r="H184" s="102" vm="1038">
        <f ca="1"/>
        <v>218746220</v>
      </c>
    </row>
    <row r="185" spans="3:8" x14ac:dyDescent="0.3">
      <c r="C185" s="100" vm="1039">
        <f ca="1"/>
        <v>43367</v>
      </c>
      <c r="D185" s="101" vm="1040">
        <f ca="1"/>
        <v>56.435000000000002</v>
      </c>
      <c r="E185" s="101" vm="1041">
        <f ca="1"/>
        <v>54.204999999999998</v>
      </c>
      <c r="F185" s="101" vm="1042">
        <f ca="1"/>
        <v>56.61</v>
      </c>
      <c r="G185" s="101" vm="1043">
        <f ca="1"/>
        <v>54.157499999999999</v>
      </c>
      <c r="H185" s="102" vm="1044">
        <f ca="1"/>
        <v>129343034</v>
      </c>
    </row>
    <row r="186" spans="3:8" x14ac:dyDescent="0.3">
      <c r="C186" s="100" vm="1045">
        <f ca="1"/>
        <v>43374</v>
      </c>
      <c r="D186" s="101" vm="1046">
        <f ca="1"/>
        <v>56.072499999999998</v>
      </c>
      <c r="E186" s="101" vm="1047">
        <f ca="1"/>
        <v>56.987499999999997</v>
      </c>
      <c r="F186" s="101" vm="1048">
        <f ca="1"/>
        <v>58.3675</v>
      </c>
      <c r="G186" s="101" vm="1049">
        <f ca="1"/>
        <v>55.145000000000003</v>
      </c>
      <c r="H186" s="102" vm="1050">
        <f ca="1"/>
        <v>142666234</v>
      </c>
    </row>
    <row r="187" spans="3:8" x14ac:dyDescent="0.3">
      <c r="C187" s="100" vm="1051">
        <f ca="1"/>
        <v>43381</v>
      </c>
      <c r="D187" s="101" vm="1052">
        <f ca="1"/>
        <v>55.527500000000003</v>
      </c>
      <c r="E187" s="101" vm="1053">
        <f ca="1"/>
        <v>55.552500000000002</v>
      </c>
      <c r="F187" s="101" vm="1054">
        <f ca="1"/>
        <v>56.817500000000003</v>
      </c>
      <c r="G187" s="101" vm="1055">
        <f ca="1"/>
        <v>53.08</v>
      </c>
      <c r="H187" s="102" vm="1056">
        <f ca="1"/>
        <v>192007749</v>
      </c>
    </row>
    <row r="188" spans="3:8" x14ac:dyDescent="0.3">
      <c r="C188" s="100" vm="1057">
        <f ca="1"/>
        <v>43388</v>
      </c>
      <c r="D188" s="101" vm="1058">
        <f ca="1"/>
        <v>54.827500000000001</v>
      </c>
      <c r="E188" s="101" vm="1059">
        <f ca="1"/>
        <v>55.29</v>
      </c>
      <c r="F188" s="101" vm="1060">
        <f ca="1"/>
        <v>55.747500000000002</v>
      </c>
      <c r="G188" s="101" vm="1061">
        <f ca="1"/>
        <v>53.25</v>
      </c>
      <c r="H188" s="102" vm="1062">
        <f ca="1"/>
        <v>148520408</v>
      </c>
    </row>
    <row r="189" spans="3:8" x14ac:dyDescent="0.3">
      <c r="C189" s="100" vm="1063">
        <f ca="1"/>
        <v>43395</v>
      </c>
      <c r="D189" s="101" vm="1064">
        <f ca="1"/>
        <v>54.075000000000003</v>
      </c>
      <c r="E189" s="101" vm="1065">
        <f ca="1"/>
        <v>54.947499999999998</v>
      </c>
      <c r="F189" s="101" vm="1066">
        <f ca="1"/>
        <v>56.057499999999997</v>
      </c>
      <c r="G189" s="101" vm="1067">
        <f ca="1"/>
        <v>53.167499999999997</v>
      </c>
      <c r="H189" s="102" vm="1068">
        <f ca="1"/>
        <v>185599234</v>
      </c>
    </row>
    <row r="190" spans="3:8" x14ac:dyDescent="0.3">
      <c r="C190" s="100" vm="1069">
        <f ca="1"/>
        <v>43402</v>
      </c>
      <c r="D190" s="101" vm="1070">
        <f ca="1"/>
        <v>51.87</v>
      </c>
      <c r="E190" s="101" vm="1071">
        <f ca="1"/>
        <v>54.797499999999999</v>
      </c>
      <c r="F190" s="101" vm="1072">
        <f ca="1"/>
        <v>55.59</v>
      </c>
      <c r="G190" s="101" vm="1073">
        <f ca="1"/>
        <v>51.357500000000002</v>
      </c>
      <c r="H190" s="102" vm="1074">
        <f ca="1"/>
        <v>270606277</v>
      </c>
    </row>
    <row r="191" spans="3:8" x14ac:dyDescent="0.3">
      <c r="C191" s="100" vm="1075">
        <f ca="1"/>
        <v>43409</v>
      </c>
      <c r="D191" s="101" vm="1076">
        <f ca="1"/>
        <v>51.1175</v>
      </c>
      <c r="E191" s="101" vm="1077">
        <f ca="1"/>
        <v>51.075000000000003</v>
      </c>
      <c r="F191" s="101" vm="1078">
        <f ca="1"/>
        <v>52.53</v>
      </c>
      <c r="G191" s="101" vm="1079">
        <f ca="1"/>
        <v>49.542499999999997</v>
      </c>
      <c r="H191" s="102" vm="1080">
        <f ca="1"/>
        <v>191199370</v>
      </c>
    </row>
    <row r="192" spans="3:8" x14ac:dyDescent="0.3">
      <c r="C192" s="100" vm="1081">
        <f ca="1"/>
        <v>43416</v>
      </c>
      <c r="D192" s="101" vm="1082">
        <f ca="1"/>
        <v>48.3825</v>
      </c>
      <c r="E192" s="101" vm="1083">
        <f ca="1"/>
        <v>49.75</v>
      </c>
      <c r="F192" s="101" vm="1084">
        <f ca="1"/>
        <v>49.962499999999999</v>
      </c>
      <c r="G192" s="101" vm="1085">
        <f ca="1"/>
        <v>46.482500000000002</v>
      </c>
      <c r="H192" s="102" vm="1086">
        <f ca="1"/>
        <v>242226465</v>
      </c>
    </row>
    <row r="193" spans="3:8" x14ac:dyDescent="0.3">
      <c r="C193" s="100" vm="1087">
        <f ca="1"/>
        <v>43423</v>
      </c>
      <c r="D193" s="101" vm="1088">
        <f ca="1"/>
        <v>43.072499999999998</v>
      </c>
      <c r="E193" s="101" vm="1089">
        <f ca="1"/>
        <v>47.5</v>
      </c>
      <c r="F193" s="101" vm="1090">
        <f ca="1"/>
        <v>47.674999999999997</v>
      </c>
      <c r="G193" s="101" vm="1091">
        <f ca="1"/>
        <v>43.024999999999999</v>
      </c>
      <c r="H193" s="102" vm="1092">
        <f ca="1"/>
        <v>164494301</v>
      </c>
    </row>
    <row r="194" spans="3:8" x14ac:dyDescent="0.3">
      <c r="C194" s="100" vm="1093">
        <f ca="1"/>
        <v>43430</v>
      </c>
      <c r="D194" s="101" vm="1094">
        <f ca="1"/>
        <v>44.645000000000003</v>
      </c>
      <c r="E194" s="101" vm="1095">
        <f ca="1"/>
        <v>43.56</v>
      </c>
      <c r="F194" s="101" vm="1096">
        <f ca="1"/>
        <v>45.7</v>
      </c>
      <c r="G194" s="101" vm="1097">
        <f ca="1"/>
        <v>42.564999999999998</v>
      </c>
      <c r="H194" s="102" vm="1098">
        <f ca="1"/>
        <v>213749977</v>
      </c>
    </row>
    <row r="195" spans="3:8" x14ac:dyDescent="0.3">
      <c r="C195" s="100" vm="1099">
        <f ca="1"/>
        <v>43437</v>
      </c>
      <c r="D195" s="101" vm="1100">
        <f ca="1"/>
        <v>42.122500000000002</v>
      </c>
      <c r="E195" s="101" vm="1101">
        <f ca="1"/>
        <v>46.115000000000002</v>
      </c>
      <c r="F195" s="101" vm="1102">
        <f ca="1"/>
        <v>46.234999999999999</v>
      </c>
      <c r="G195" s="101" vm="1103">
        <f ca="1"/>
        <v>42.075000000000003</v>
      </c>
      <c r="H195" s="102" vm="1104">
        <f ca="1"/>
        <v>167522325</v>
      </c>
    </row>
    <row r="196" spans="3:8" x14ac:dyDescent="0.3">
      <c r="C196" s="100" vm="1105">
        <f ca="1"/>
        <v>43444</v>
      </c>
      <c r="D196" s="101" vm="1106">
        <f ca="1"/>
        <v>41.37</v>
      </c>
      <c r="E196" s="101" vm="1107">
        <f ca="1"/>
        <v>41.25</v>
      </c>
      <c r="F196" s="101" vm="1108">
        <f ca="1"/>
        <v>43.142499999999998</v>
      </c>
      <c r="G196" s="101" vm="1109">
        <f ca="1"/>
        <v>40.832500000000003</v>
      </c>
      <c r="H196" s="102" vm="1110">
        <f ca="1"/>
        <v>217536870</v>
      </c>
    </row>
    <row r="197" spans="3:8" x14ac:dyDescent="0.3">
      <c r="C197" s="100" vm="1111">
        <f ca="1"/>
        <v>43451</v>
      </c>
      <c r="D197" s="101" vm="1112">
        <f ca="1"/>
        <v>37.682499999999997</v>
      </c>
      <c r="E197" s="101" vm="1113">
        <f ca="1"/>
        <v>41.362499999999997</v>
      </c>
      <c r="F197" s="101" vm="1114">
        <f ca="1"/>
        <v>42.087499999999999</v>
      </c>
      <c r="G197" s="101" vm="1115">
        <f ca="1"/>
        <v>37.407499999999999</v>
      </c>
      <c r="H197" s="102" vm="1116">
        <f ca="1"/>
        <v>287694081</v>
      </c>
    </row>
    <row r="198" spans="3:8" x14ac:dyDescent="0.3">
      <c r="C198" s="100" vm="1117">
        <f ca="1"/>
        <v>43458</v>
      </c>
      <c r="D198" s="101" vm="1118">
        <f ca="1"/>
        <v>39.057499999999997</v>
      </c>
      <c r="E198" s="101" vm="1119">
        <f ca="1"/>
        <v>37.037500000000001</v>
      </c>
      <c r="F198" s="101" vm="1120">
        <f ca="1"/>
        <v>39.630000000000003</v>
      </c>
      <c r="G198" s="101" vm="1121">
        <f ca="1"/>
        <v>36.647500000000001</v>
      </c>
      <c r="H198" s="102" vm="1122">
        <f ca="1"/>
        <v>191160265</v>
      </c>
    </row>
    <row r="199" spans="3:8" x14ac:dyDescent="0.3">
      <c r="C199" s="100" vm="1123">
        <f ca="1"/>
        <v>43465</v>
      </c>
      <c r="D199" s="101" vm="1124">
        <f ca="1"/>
        <v>37.064999999999998</v>
      </c>
      <c r="E199" s="101" vm="722">
        <f ca="1"/>
        <v>39.6325</v>
      </c>
      <c r="F199" s="101" vm="1125">
        <f ca="1"/>
        <v>39.840000000000003</v>
      </c>
      <c r="G199" s="101" vm="1126">
        <f ca="1"/>
        <v>35.5</v>
      </c>
      <c r="H199" s="102" vm="1127">
        <f ca="1"/>
        <v>216208369</v>
      </c>
    </row>
    <row r="200" spans="3:8" x14ac:dyDescent="0.3">
      <c r="C200" s="100" vm="1128">
        <f ca="1"/>
        <v>43472</v>
      </c>
      <c r="D200" s="101" vm="1129">
        <f ca="1"/>
        <v>38.072499999999998</v>
      </c>
      <c r="E200" s="101" vm="1130">
        <f ca="1"/>
        <v>37.174999999999997</v>
      </c>
      <c r="F200" s="101" vm="1131">
        <f ca="1"/>
        <v>38.6325</v>
      </c>
      <c r="G200" s="101" vm="1132">
        <f ca="1"/>
        <v>36.475000000000001</v>
      </c>
      <c r="H200" s="102" vm="1133">
        <f ca="1"/>
        <v>202623336</v>
      </c>
    </row>
    <row r="201" spans="3:8" x14ac:dyDescent="0.3">
      <c r="C201" s="100" vm="1134">
        <f ca="1"/>
        <v>43479</v>
      </c>
      <c r="D201" s="101" vm="1135">
        <f ca="1"/>
        <v>39.204999999999998</v>
      </c>
      <c r="E201" s="101" vm="1136">
        <f ca="1"/>
        <v>37.712499999999999</v>
      </c>
      <c r="F201" s="101" vm="1137">
        <f ca="1"/>
        <v>39.47</v>
      </c>
      <c r="G201" s="101" vm="1138">
        <f ca="1"/>
        <v>37.305</v>
      </c>
      <c r="H201" s="102" vm="1139">
        <f ca="1"/>
        <v>154530021</v>
      </c>
    </row>
    <row r="202" spans="3:8" x14ac:dyDescent="0.3">
      <c r="C202" s="100" vm="1140">
        <f ca="1"/>
        <v>43487</v>
      </c>
      <c r="D202" s="101" vm="1141">
        <f ca="1"/>
        <v>39.44</v>
      </c>
      <c r="E202" s="101" vm="847">
        <f ca="1"/>
        <v>39.102499999999999</v>
      </c>
      <c r="F202" s="101" vm="1142">
        <f ca="1"/>
        <v>39.532499999999999</v>
      </c>
      <c r="G202" s="101" vm="1143">
        <f ca="1"/>
        <v>37.924999999999997</v>
      </c>
      <c r="H202" s="102" vm="1144">
        <f ca="1"/>
        <v>111834395</v>
      </c>
    </row>
    <row r="203" spans="3:8" x14ac:dyDescent="0.3">
      <c r="C203" s="100" vm="1145">
        <f ca="1"/>
        <v>43493</v>
      </c>
      <c r="D203" s="101" vm="1146">
        <f ca="1"/>
        <v>41.63</v>
      </c>
      <c r="E203" s="101" vm="1147">
        <f ca="1"/>
        <v>38.947499999999998</v>
      </c>
      <c r="F203" s="101" vm="1148">
        <f ca="1"/>
        <v>42.25</v>
      </c>
      <c r="G203" s="101" vm="1149">
        <f ca="1"/>
        <v>38.414999999999999</v>
      </c>
      <c r="H203" s="102" vm="1150">
        <f ca="1"/>
        <v>201920026</v>
      </c>
    </row>
    <row r="204" spans="3:8" x14ac:dyDescent="0.3">
      <c r="C204" s="100" vm="1151">
        <f ca="1"/>
        <v>43500</v>
      </c>
      <c r="D204" s="101" vm="1152">
        <f ca="1"/>
        <v>42.602499999999999</v>
      </c>
      <c r="E204" s="101" vm="1153">
        <f ca="1"/>
        <v>41.852499999999999</v>
      </c>
      <c r="F204" s="101" vm="1154">
        <f ca="1"/>
        <v>43.892499999999998</v>
      </c>
      <c r="G204" s="101" vm="1155">
        <f ca="1"/>
        <v>41.82</v>
      </c>
      <c r="H204" s="102" vm="1156">
        <f ca="1"/>
        <v>150593397</v>
      </c>
    </row>
    <row r="205" spans="3:8" x14ac:dyDescent="0.3">
      <c r="C205" s="100" vm="1157">
        <f ca="1"/>
        <v>43507</v>
      </c>
      <c r="D205" s="101" vm="1158">
        <f ca="1"/>
        <v>42.604999999999997</v>
      </c>
      <c r="E205" s="101" vm="790">
        <f ca="1"/>
        <v>42.762500000000003</v>
      </c>
      <c r="F205" s="101" vm="797">
        <f ca="1"/>
        <v>43.12</v>
      </c>
      <c r="G205" s="101" vm="1159">
        <f ca="1"/>
        <v>42.3125</v>
      </c>
      <c r="H205" s="102" vm="1160">
        <f ca="1"/>
        <v>111602508</v>
      </c>
    </row>
    <row r="206" spans="3:8" x14ac:dyDescent="0.3">
      <c r="C206" s="100" vm="1161">
        <f ca="1"/>
        <v>43515</v>
      </c>
      <c r="D206" s="101" vm="1162">
        <f ca="1"/>
        <v>43.2425</v>
      </c>
      <c r="E206" s="101" vm="1163">
        <f ca="1"/>
        <v>42.427500000000002</v>
      </c>
      <c r="F206" s="101" vm="1164">
        <f ca="1"/>
        <v>43.33</v>
      </c>
      <c r="G206" s="101" vm="1165">
        <f ca="1"/>
        <v>42.372500000000002</v>
      </c>
      <c r="H206" s="102" vm="1166">
        <f ca="1"/>
        <v>81250012</v>
      </c>
    </row>
    <row r="207" spans="3:8" x14ac:dyDescent="0.3">
      <c r="C207" s="100" vm="1167">
        <f ca="1"/>
        <v>43521</v>
      </c>
      <c r="D207" s="101" vm="784">
        <f ca="1"/>
        <v>43.7425</v>
      </c>
      <c r="E207" s="101" vm="1168">
        <f ca="1"/>
        <v>43.54</v>
      </c>
      <c r="F207" s="101" vm="1169">
        <f ca="1"/>
        <v>43.967500000000001</v>
      </c>
      <c r="G207" s="101" vm="1170">
        <f ca="1"/>
        <v>43.182499999999997</v>
      </c>
      <c r="H207" s="102" vm="1171">
        <f ca="1"/>
        <v>120880541</v>
      </c>
    </row>
    <row r="208" spans="3:8" x14ac:dyDescent="0.3">
      <c r="C208" s="100" vm="1172">
        <f ca="1"/>
        <v>43528</v>
      </c>
      <c r="D208" s="101" vm="1173">
        <f ca="1"/>
        <v>43.227499999999999</v>
      </c>
      <c r="E208" s="101" vm="1174">
        <f ca="1"/>
        <v>43.922499999999999</v>
      </c>
      <c r="F208" s="101" vm="1175">
        <f ca="1"/>
        <v>44.4375</v>
      </c>
      <c r="G208" s="101" vm="1176">
        <f ca="1"/>
        <v>42.375</v>
      </c>
      <c r="H208" s="102" vm="1177">
        <f ca="1"/>
        <v>116779738</v>
      </c>
    </row>
    <row r="209" spans="3:8" x14ac:dyDescent="0.3">
      <c r="C209" s="100" vm="1178">
        <f ca="1"/>
        <v>43535</v>
      </c>
      <c r="D209" s="101" vm="1179">
        <f ca="1"/>
        <v>46.53</v>
      </c>
      <c r="E209" s="101" vm="1180">
        <f ca="1"/>
        <v>43.872500000000002</v>
      </c>
      <c r="F209" s="101" vm="1181">
        <f ca="1"/>
        <v>46.832500000000003</v>
      </c>
      <c r="G209" s="101" vm="1182">
        <f ca="1"/>
        <v>43.837499999999999</v>
      </c>
      <c r="H209" s="102" vm="1183">
        <f ca="1"/>
        <v>158133562</v>
      </c>
    </row>
    <row r="210" spans="3:8" x14ac:dyDescent="0.3">
      <c r="C210" s="100" vm="1184">
        <f ca="1"/>
        <v>43542</v>
      </c>
      <c r="D210" s="101" vm="1185">
        <f ca="1"/>
        <v>47.762500000000003</v>
      </c>
      <c r="E210" s="101" vm="1186">
        <f ca="1"/>
        <v>46.45</v>
      </c>
      <c r="F210" s="101" vm="1187">
        <f ca="1"/>
        <v>49.422499999999999</v>
      </c>
      <c r="G210" s="101" vm="1188">
        <f ca="1"/>
        <v>46.182499999999997</v>
      </c>
      <c r="H210" s="102" vm="1189">
        <f ca="1"/>
        <v>182343335</v>
      </c>
    </row>
    <row r="211" spans="3:8" x14ac:dyDescent="0.3">
      <c r="C211" s="100" vm="1190">
        <f ca="1"/>
        <v>43549</v>
      </c>
      <c r="D211" s="101" vm="1191">
        <f ca="1"/>
        <v>47.487499999999997</v>
      </c>
      <c r="E211" s="101" vm="1192">
        <f ca="1"/>
        <v>47.877499999999998</v>
      </c>
      <c r="F211" s="101" vm="953">
        <f ca="1"/>
        <v>48.22</v>
      </c>
      <c r="G211" s="101" vm="1193">
        <f ca="1"/>
        <v>46.145000000000003</v>
      </c>
      <c r="H211" s="102" vm="1194">
        <f ca="1"/>
        <v>167838582</v>
      </c>
    </row>
    <row r="212" spans="3:8" x14ac:dyDescent="0.3">
      <c r="C212" s="100" vm="1195">
        <f ca="1"/>
        <v>43556</v>
      </c>
      <c r="D212" s="101" vm="1196">
        <f ca="1"/>
        <v>49.25</v>
      </c>
      <c r="E212" s="101" vm="1197">
        <f ca="1"/>
        <v>47.91</v>
      </c>
      <c r="F212" s="101" vm="1198">
        <f ca="1"/>
        <v>49.274999999999999</v>
      </c>
      <c r="G212" s="101" vm="1199">
        <f ca="1"/>
        <v>47.094999999999999</v>
      </c>
      <c r="H212" s="102" vm="1200">
        <f ca="1"/>
        <v>111540445</v>
      </c>
    </row>
    <row r="213" spans="3:8" x14ac:dyDescent="0.3">
      <c r="C213" s="100" vm="1201">
        <f ca="1"/>
        <v>43563</v>
      </c>
      <c r="D213" s="101" vm="1202">
        <f ca="1"/>
        <v>49.717500000000001</v>
      </c>
      <c r="E213" s="101" vm="1203">
        <f ca="1"/>
        <v>49.104999999999997</v>
      </c>
      <c r="F213" s="101" vm="1204">
        <f ca="1"/>
        <v>50.712499999999999</v>
      </c>
      <c r="G213" s="101" vm="1205">
        <f ca="1"/>
        <v>49.052500000000002</v>
      </c>
      <c r="H213" s="102" vm="1206">
        <f ca="1"/>
        <v>132006698</v>
      </c>
    </row>
    <row r="214" spans="3:8" x14ac:dyDescent="0.3">
      <c r="C214" s="100" vm="1207">
        <f ca="1"/>
        <v>43570</v>
      </c>
      <c r="D214" s="101" vm="1208">
        <f ca="1"/>
        <v>50.965000000000003</v>
      </c>
      <c r="E214" s="101" vm="1209">
        <f ca="1"/>
        <v>49.645000000000003</v>
      </c>
      <c r="F214" s="101" vm="1210">
        <f ca="1"/>
        <v>51.037500000000001</v>
      </c>
      <c r="G214" s="101" vm="1211">
        <f ca="1"/>
        <v>49.502499999999998</v>
      </c>
      <c r="H214" s="102" vm="1212">
        <f ca="1"/>
        <v>96335577</v>
      </c>
    </row>
    <row r="215" spans="3:8" x14ac:dyDescent="0.3">
      <c r="C215" s="100" vm="1213">
        <f ca="1"/>
        <v>43577</v>
      </c>
      <c r="D215" s="101" vm="1077">
        <f ca="1"/>
        <v>51.075000000000003</v>
      </c>
      <c r="E215" s="101" vm="1214">
        <f ca="1"/>
        <v>50.707500000000003</v>
      </c>
      <c r="F215" s="101" vm="1215">
        <f ca="1"/>
        <v>52.12</v>
      </c>
      <c r="G215" s="101" vm="1216">
        <f ca="1"/>
        <v>50.53</v>
      </c>
      <c r="H215" s="102" vm="1217">
        <f ca="1"/>
        <v>97495453</v>
      </c>
    </row>
    <row r="216" spans="3:8" x14ac:dyDescent="0.3">
      <c r="C216" s="100" vm="1218">
        <f ca="1"/>
        <v>43584</v>
      </c>
      <c r="D216" s="101" vm="1219">
        <f ca="1"/>
        <v>52.9375</v>
      </c>
      <c r="E216" s="101" vm="1220">
        <f ca="1"/>
        <v>51.1</v>
      </c>
      <c r="F216" s="101" vm="1221">
        <f ca="1"/>
        <v>53.827500000000001</v>
      </c>
      <c r="G216" s="101" vm="1222">
        <f ca="1"/>
        <v>49.777500000000003</v>
      </c>
      <c r="H216" s="102" vm="1223">
        <f ca="1"/>
        <v>186455669</v>
      </c>
    </row>
    <row r="217" spans="3:8" x14ac:dyDescent="0.3">
      <c r="C217" s="100" vm="1224">
        <f ca="1"/>
        <v>43591</v>
      </c>
      <c r="D217" s="101" vm="1225">
        <f ca="1"/>
        <v>49.295000000000002</v>
      </c>
      <c r="E217" s="101" vm="1226">
        <f ca="1"/>
        <v>51.072499999999998</v>
      </c>
      <c r="F217" s="101" vm="1227">
        <f ca="1"/>
        <v>52.21</v>
      </c>
      <c r="G217" s="101" vm="1228">
        <f ca="1"/>
        <v>48.192500000000003</v>
      </c>
      <c r="H217" s="102" vm="1229">
        <f ca="1"/>
        <v>173663634</v>
      </c>
    </row>
    <row r="218" spans="3:8" x14ac:dyDescent="0.3">
      <c r="C218" s="100" vm="1230">
        <f ca="1"/>
        <v>43598</v>
      </c>
      <c r="D218" s="101" vm="1231">
        <f ca="1"/>
        <v>47.25</v>
      </c>
      <c r="E218" s="101" vm="1232">
        <f ca="1"/>
        <v>46.927500000000002</v>
      </c>
      <c r="F218" s="101" vm="1233">
        <f ca="1"/>
        <v>48.117199999999997</v>
      </c>
      <c r="G218" s="101" vm="1234">
        <f ca="1"/>
        <v>45.712499999999999</v>
      </c>
      <c r="H218" s="102" vm="1235">
        <f ca="1"/>
        <v>186415472</v>
      </c>
    </row>
    <row r="219" spans="3:8" x14ac:dyDescent="0.3">
      <c r="C219" s="100" vm="1236">
        <f ca="1"/>
        <v>43605</v>
      </c>
      <c r="D219" s="101" vm="1237">
        <f ca="1"/>
        <v>44.7425</v>
      </c>
      <c r="E219" s="101" vm="1238">
        <f ca="1"/>
        <v>45.88</v>
      </c>
      <c r="F219" s="101" vm="934">
        <f ca="1"/>
        <v>47</v>
      </c>
      <c r="G219" s="101" vm="1239">
        <f ca="1"/>
        <v>44.452500000000001</v>
      </c>
      <c r="H219" s="102" vm="1240">
        <f ca="1"/>
        <v>156970116</v>
      </c>
    </row>
    <row r="220" spans="3:8" x14ac:dyDescent="0.3">
      <c r="C220" s="100" vm="1241">
        <f ca="1"/>
        <v>43613</v>
      </c>
      <c r="D220" s="101" vm="835">
        <f ca="1"/>
        <v>43.767499999999998</v>
      </c>
      <c r="E220" s="101" vm="1242">
        <f ca="1"/>
        <v>44.73</v>
      </c>
      <c r="F220" s="101" vm="1243">
        <f ca="1"/>
        <v>45.147500000000001</v>
      </c>
      <c r="G220" s="101" vm="1244">
        <f ca="1"/>
        <v>43.747500000000002</v>
      </c>
      <c r="H220" s="102" vm="1245">
        <f ca="1"/>
        <v>104691321</v>
      </c>
    </row>
    <row r="221" spans="3:8" x14ac:dyDescent="0.3">
      <c r="C221" s="100" vm="1246">
        <f ca="1"/>
        <v>43619</v>
      </c>
      <c r="D221" s="101" vm="1247">
        <f ca="1"/>
        <v>47.537500000000001</v>
      </c>
      <c r="E221" s="101" vm="1248">
        <f ca="1"/>
        <v>43.9</v>
      </c>
      <c r="F221" s="101" vm="1249">
        <f ca="1"/>
        <v>47.98</v>
      </c>
      <c r="G221" s="101" vm="1250">
        <f ca="1"/>
        <v>42.567500000000003</v>
      </c>
      <c r="H221" s="102" vm="1251">
        <f ca="1"/>
        <v>154348161</v>
      </c>
    </row>
    <row r="222" spans="3:8" x14ac:dyDescent="0.3">
      <c r="C222" s="100" vm="1252">
        <f ca="1"/>
        <v>43626</v>
      </c>
      <c r="D222" s="101" vm="1253">
        <f ca="1"/>
        <v>48.185000000000002</v>
      </c>
      <c r="E222" s="101" vm="1254">
        <f ca="1"/>
        <v>47.952500000000001</v>
      </c>
      <c r="F222" s="101" vm="1255">
        <f ca="1"/>
        <v>49.197499999999998</v>
      </c>
      <c r="G222" s="101" vm="1256">
        <f ca="1"/>
        <v>47.575000000000003</v>
      </c>
      <c r="H222" s="102" vm="1257">
        <f ca="1"/>
        <v>111843021</v>
      </c>
    </row>
    <row r="223" spans="3:8" x14ac:dyDescent="0.3">
      <c r="C223" s="100" vm="1258">
        <f ca="1"/>
        <v>43633</v>
      </c>
      <c r="D223" s="101" vm="1259">
        <f ca="1"/>
        <v>49.695</v>
      </c>
      <c r="E223" s="101" vm="1260">
        <f ca="1"/>
        <v>48.225000000000001</v>
      </c>
      <c r="F223" s="101" vm="1261">
        <f ca="1"/>
        <v>50.212499999999999</v>
      </c>
      <c r="G223" s="101" vm="1262">
        <f ca="1"/>
        <v>48.042499999999997</v>
      </c>
      <c r="H223" s="102" vm="1263">
        <f ca="1"/>
        <v>131658960</v>
      </c>
    </row>
    <row r="224" spans="3:8" x14ac:dyDescent="0.3">
      <c r="C224" s="100" vm="1264">
        <f ca="1"/>
        <v>43640</v>
      </c>
      <c r="D224" s="101" vm="1265">
        <f ca="1"/>
        <v>49.48</v>
      </c>
      <c r="E224" s="101" vm="1266">
        <f ca="1"/>
        <v>49.634999999999998</v>
      </c>
      <c r="F224" s="101" vm="1267">
        <f ca="1"/>
        <v>50.392499999999998</v>
      </c>
      <c r="G224" s="101" vm="1268">
        <f ca="1"/>
        <v>48.822499999999998</v>
      </c>
      <c r="H224" s="102" vm="1269">
        <f ca="1"/>
        <v>117368626</v>
      </c>
    </row>
    <row r="225" spans="3:8" x14ac:dyDescent="0.3">
      <c r="C225" s="100" vm="1270">
        <f ca="1"/>
        <v>43647</v>
      </c>
      <c r="D225" s="101" vm="1271">
        <f ca="1"/>
        <v>51.057499999999997</v>
      </c>
      <c r="E225" s="101" vm="1272">
        <f ca="1"/>
        <v>50.792499999999997</v>
      </c>
      <c r="F225" s="101" vm="1273">
        <f ca="1"/>
        <v>51.27</v>
      </c>
      <c r="G225" s="101" vm="1274">
        <f ca="1"/>
        <v>50.162500000000001</v>
      </c>
      <c r="H225" s="102" vm="1275">
        <f ca="1"/>
        <v>72879519</v>
      </c>
    </row>
    <row r="226" spans="3:8" x14ac:dyDescent="0.3">
      <c r="C226" s="100" vm="1276">
        <f ca="1"/>
        <v>43654</v>
      </c>
      <c r="D226" s="101" vm="1277">
        <f ca="1"/>
        <v>50.825000000000003</v>
      </c>
      <c r="E226" s="101" vm="1278">
        <f ca="1"/>
        <v>50.202500000000001</v>
      </c>
      <c r="F226" s="101" vm="1279">
        <f ca="1"/>
        <v>51.097499999999997</v>
      </c>
      <c r="G226" s="101" vm="1280">
        <f ca="1"/>
        <v>49.602499999999999</v>
      </c>
      <c r="H226" s="102" vm="1281">
        <f ca="1"/>
        <v>101600835</v>
      </c>
    </row>
    <row r="227" spans="3:8" x14ac:dyDescent="0.3">
      <c r="C227" s="100" vm="1282">
        <f ca="1"/>
        <v>43661</v>
      </c>
      <c r="D227" s="101" vm="1283">
        <f ca="1"/>
        <v>50.647500000000001</v>
      </c>
      <c r="E227" s="101" vm="1284">
        <f ca="1"/>
        <v>51.022500000000001</v>
      </c>
      <c r="F227" s="101" vm="1285">
        <f ca="1"/>
        <v>51.625</v>
      </c>
      <c r="G227" s="101" vm="1286">
        <f ca="1"/>
        <v>50.59</v>
      </c>
      <c r="H227" s="102" vm="1287">
        <f ca="1"/>
        <v>87433154</v>
      </c>
    </row>
    <row r="228" spans="3:8" x14ac:dyDescent="0.3">
      <c r="C228" s="100" vm="1288">
        <f ca="1"/>
        <v>43668</v>
      </c>
      <c r="D228" s="101" vm="1289">
        <f ca="1"/>
        <v>51.935000000000002</v>
      </c>
      <c r="E228" s="101" vm="1290">
        <f ca="1"/>
        <v>50.912500000000001</v>
      </c>
      <c r="F228" s="101" vm="1291">
        <f ca="1"/>
        <v>52.432499999999997</v>
      </c>
      <c r="G228" s="101" vm="1292">
        <f ca="1"/>
        <v>50.902500000000003</v>
      </c>
      <c r="H228" s="102" vm="1293">
        <f ca="1"/>
        <v>87153145</v>
      </c>
    </row>
    <row r="229" spans="3:8" x14ac:dyDescent="0.3">
      <c r="C229" s="100" vm="1294">
        <f ca="1"/>
        <v>43675</v>
      </c>
      <c r="D229" s="101" vm="1295">
        <f ca="1"/>
        <v>51.005000000000003</v>
      </c>
      <c r="E229" s="101" vm="1296">
        <f ca="1"/>
        <v>52.115000000000002</v>
      </c>
      <c r="F229" s="101" vm="1297">
        <f ca="1"/>
        <v>55.342500000000001</v>
      </c>
      <c r="G229" s="101" vm="1298">
        <f ca="1"/>
        <v>50.407499999999999</v>
      </c>
      <c r="H229" s="102" vm="1299">
        <f ca="1"/>
        <v>219770512</v>
      </c>
    </row>
    <row r="230" spans="3:8" x14ac:dyDescent="0.3">
      <c r="C230" s="100" vm="1300">
        <f ca="1"/>
        <v>43682</v>
      </c>
      <c r="D230" s="101" vm="1301">
        <f ca="1"/>
        <v>50.247500000000002</v>
      </c>
      <c r="E230" s="101" vm="1302">
        <f ca="1"/>
        <v>49.497500000000002</v>
      </c>
      <c r="F230" s="101" vm="1303">
        <f ca="1"/>
        <v>50.8825</v>
      </c>
      <c r="G230" s="101" vm="1304">
        <f ca="1"/>
        <v>48.145000000000003</v>
      </c>
      <c r="H230" s="102" vm="1305">
        <f ca="1"/>
        <v>173211425</v>
      </c>
    </row>
    <row r="231" spans="3:8" x14ac:dyDescent="0.3">
      <c r="C231" s="100" vm="1306">
        <f ca="1"/>
        <v>43689</v>
      </c>
      <c r="D231" s="101" vm="1285">
        <f ca="1"/>
        <v>51.625</v>
      </c>
      <c r="E231" s="101" vm="1307">
        <f ca="1"/>
        <v>49.905000000000001</v>
      </c>
      <c r="F231" s="101" vm="1308">
        <f ca="1"/>
        <v>53.034999999999997</v>
      </c>
      <c r="G231" s="101" vm="1309">
        <f ca="1"/>
        <v>49.787500000000001</v>
      </c>
      <c r="H231" s="102" vm="1310">
        <f ca="1"/>
        <v>163266105</v>
      </c>
    </row>
    <row r="232" spans="3:8" x14ac:dyDescent="0.3">
      <c r="C232" s="100" vm="1311">
        <f ca="1"/>
        <v>43696</v>
      </c>
      <c r="D232" s="101" vm="1312">
        <f ca="1"/>
        <v>50.66</v>
      </c>
      <c r="E232" s="101" vm="1313">
        <f ca="1"/>
        <v>52.655000000000001</v>
      </c>
      <c r="F232" s="101" vm="1314">
        <f ca="1"/>
        <v>53.608800000000002</v>
      </c>
      <c r="G232" s="101" vm="1315">
        <f ca="1"/>
        <v>50.25</v>
      </c>
      <c r="H232" s="102" vm="1316">
        <f ca="1"/>
        <v>142066853</v>
      </c>
    </row>
    <row r="233" spans="3:8" x14ac:dyDescent="0.3">
      <c r="C233" s="100" vm="1317">
        <f ca="1"/>
        <v>43703</v>
      </c>
      <c r="D233" s="101" vm="995">
        <f ca="1"/>
        <v>52.185000000000002</v>
      </c>
      <c r="E233" s="101" vm="1318">
        <f ca="1"/>
        <v>51.465000000000003</v>
      </c>
      <c r="F233" s="101" vm="1319">
        <f ca="1"/>
        <v>52.612499999999997</v>
      </c>
      <c r="G233" s="101" vm="1320">
        <f ca="1"/>
        <v>50.83</v>
      </c>
      <c r="H233" s="102" vm="1321">
        <f ca="1"/>
        <v>110091319</v>
      </c>
    </row>
    <row r="234" spans="3:8" x14ac:dyDescent="0.3">
      <c r="C234" s="100" vm="1322">
        <f ca="1"/>
        <v>43711</v>
      </c>
      <c r="D234" s="101" vm="1323">
        <f ca="1"/>
        <v>53.314999999999998</v>
      </c>
      <c r="E234" s="101" vm="1324">
        <f ca="1"/>
        <v>51.607500000000002</v>
      </c>
      <c r="F234" s="101" vm="1325">
        <f ca="1"/>
        <v>53.604999999999997</v>
      </c>
      <c r="G234" s="101" vm="1326">
        <f ca="1"/>
        <v>51.055</v>
      </c>
      <c r="H234" s="102" vm="1327">
        <f ca="1"/>
        <v>82585672</v>
      </c>
    </row>
    <row r="235" spans="3:8" x14ac:dyDescent="0.3">
      <c r="C235" s="100" vm="1328">
        <f ca="1"/>
        <v>43717</v>
      </c>
      <c r="D235" s="101" vm="1329">
        <f ca="1"/>
        <v>54.6875</v>
      </c>
      <c r="E235" s="101" vm="1330">
        <f ca="1"/>
        <v>53.71</v>
      </c>
      <c r="F235" s="101" vm="1331">
        <f ca="1"/>
        <v>56.604999999999997</v>
      </c>
      <c r="G235" s="101" vm="1332">
        <f ca="1"/>
        <v>52.767499999999998</v>
      </c>
      <c r="H235" s="102" vm="1333">
        <f ca="1"/>
        <v>175366943</v>
      </c>
    </row>
    <row r="236" spans="3:8" x14ac:dyDescent="0.3">
      <c r="C236" s="100" vm="1334">
        <f ca="1"/>
        <v>43724</v>
      </c>
      <c r="D236" s="101" vm="1335">
        <f ca="1"/>
        <v>54.432499999999997</v>
      </c>
      <c r="E236" s="101" vm="1335">
        <f ca="1"/>
        <v>54.432499999999997</v>
      </c>
      <c r="F236" s="101" vm="1336">
        <f ca="1"/>
        <v>55.94</v>
      </c>
      <c r="G236" s="101" vm="1337">
        <f ca="1"/>
        <v>54.368299999999998</v>
      </c>
      <c r="H236" s="102" vm="1338">
        <f ca="1"/>
        <v>145352672</v>
      </c>
    </row>
    <row r="237" spans="3:8" x14ac:dyDescent="0.3">
      <c r="C237" s="100" vm="1339">
        <f ca="1"/>
        <v>43731</v>
      </c>
      <c r="D237" s="101" vm="1340">
        <f ca="1"/>
        <v>54.704999999999998</v>
      </c>
      <c r="E237" s="101" vm="1341">
        <f ca="1"/>
        <v>54.737499999999997</v>
      </c>
      <c r="F237" s="101" vm="1342">
        <f ca="1"/>
        <v>55.622500000000002</v>
      </c>
      <c r="G237" s="101" vm="1343">
        <f ca="1"/>
        <v>54.2851</v>
      </c>
      <c r="H237" s="102" vm="1344">
        <f ca="1"/>
        <v>117784618</v>
      </c>
    </row>
    <row r="238" spans="3:8" x14ac:dyDescent="0.3">
      <c r="C238" s="100" vm="1345">
        <f ca="1"/>
        <v>43738</v>
      </c>
      <c r="D238" s="101" vm="1346">
        <f ca="1"/>
        <v>56.752499999999998</v>
      </c>
      <c r="E238" s="101" vm="1347">
        <f ca="1"/>
        <v>55.225000000000001</v>
      </c>
      <c r="F238" s="101" vm="1348">
        <f ca="1"/>
        <v>57.055</v>
      </c>
      <c r="G238" s="101" vm="1349">
        <f ca="1"/>
        <v>53.783000000000001</v>
      </c>
      <c r="H238" s="102" vm="1350">
        <f ca="1"/>
        <v>163381242</v>
      </c>
    </row>
    <row r="239" spans="3:8" x14ac:dyDescent="0.3">
      <c r="C239" s="100" vm="1351">
        <f ca="1"/>
        <v>43745</v>
      </c>
      <c r="D239" s="101" vm="1352">
        <f ca="1"/>
        <v>59.052500000000002</v>
      </c>
      <c r="E239" s="101" vm="1353">
        <f ca="1"/>
        <v>56.567500000000003</v>
      </c>
      <c r="F239" s="101" vm="1354">
        <f ca="1"/>
        <v>59.41</v>
      </c>
      <c r="G239" s="101" vm="1355">
        <f ca="1"/>
        <v>56.082500000000003</v>
      </c>
      <c r="H239" s="102" vm="1356">
        <f ca="1"/>
        <v>149863370</v>
      </c>
    </row>
    <row r="240" spans="3:8" x14ac:dyDescent="0.3">
      <c r="C240" s="100" vm="1357">
        <f ca="1"/>
        <v>43752</v>
      </c>
      <c r="D240" s="101" vm="1358">
        <f ca="1"/>
        <v>59.102499999999999</v>
      </c>
      <c r="E240" s="101" vm="1359">
        <f ca="1"/>
        <v>58.725000000000001</v>
      </c>
      <c r="F240" s="101" vm="1360">
        <f ca="1"/>
        <v>59.5336</v>
      </c>
      <c r="G240" s="101" vm="1361">
        <f ca="1"/>
        <v>58.3</v>
      </c>
      <c r="H240" s="102" vm="1362">
        <f ca="1"/>
        <v>108390724</v>
      </c>
    </row>
    <row r="241" spans="3:8" x14ac:dyDescent="0.3">
      <c r="C241" s="100" vm="1363">
        <f ca="1"/>
        <v>43759</v>
      </c>
      <c r="D241" s="101" vm="1364">
        <f ca="1"/>
        <v>61.645000000000003</v>
      </c>
      <c r="E241" s="101" vm="1365">
        <f ca="1"/>
        <v>59.38</v>
      </c>
      <c r="F241" s="101" vm="1366">
        <f ca="1"/>
        <v>61.682499999999997</v>
      </c>
      <c r="G241" s="101" vm="1367">
        <f ca="1"/>
        <v>59.33</v>
      </c>
      <c r="H241" s="102" vm="1368">
        <f ca="1"/>
        <v>101269580</v>
      </c>
    </row>
    <row r="242" spans="3:8" x14ac:dyDescent="0.3">
      <c r="C242" s="100" vm="1369">
        <f ca="1"/>
        <v>43766</v>
      </c>
      <c r="D242" s="101" vm="1370">
        <f ca="1"/>
        <v>63.954999999999998</v>
      </c>
      <c r="E242" s="101" vm="1371">
        <f ca="1"/>
        <v>61.854999999999997</v>
      </c>
      <c r="F242" s="101" vm="1372">
        <f ca="1"/>
        <v>63.982500000000002</v>
      </c>
      <c r="G242" s="101" vm="1373">
        <f ca="1"/>
        <v>59.314999999999998</v>
      </c>
      <c r="H242" s="102" vm="1374">
        <f ca="1"/>
        <v>163555484</v>
      </c>
    </row>
    <row r="243" spans="3:8" x14ac:dyDescent="0.3">
      <c r="C243" s="100" vm="1375">
        <f ca="1"/>
        <v>43773</v>
      </c>
      <c r="D243" s="101" vm="1376">
        <f ca="1"/>
        <v>65.034999999999997</v>
      </c>
      <c r="E243" s="101" vm="1377">
        <f ca="1"/>
        <v>64.332499999999996</v>
      </c>
      <c r="F243" s="101" vm="1378">
        <f ca="1"/>
        <v>65.11</v>
      </c>
      <c r="G243" s="101" vm="1379">
        <f ca="1"/>
        <v>63.841299999999997</v>
      </c>
      <c r="H243" s="102" vm="1380">
        <f ca="1"/>
        <v>105793905</v>
      </c>
    </row>
    <row r="244" spans="3:8" x14ac:dyDescent="0.3">
      <c r="C244" s="100" vm="1381">
        <f ca="1"/>
        <v>43780</v>
      </c>
      <c r="D244" s="101" vm="1382">
        <f ca="1"/>
        <v>66.44</v>
      </c>
      <c r="E244" s="101" vm="1383">
        <f ca="1"/>
        <v>64.575000000000003</v>
      </c>
      <c r="F244" s="101" vm="1384">
        <f ca="1"/>
        <v>66.444999999999993</v>
      </c>
      <c r="G244" s="101" vm="1385">
        <f ca="1"/>
        <v>64.569999999999993</v>
      </c>
      <c r="H244" s="102" vm="1386">
        <f ca="1"/>
        <v>115661500</v>
      </c>
    </row>
    <row r="245" spans="3:8" x14ac:dyDescent="0.3">
      <c r="C245" s="100" vm="1387">
        <f ca="1"/>
        <v>43787</v>
      </c>
      <c r="D245" s="101" vm="1388">
        <f ca="1"/>
        <v>65.444999999999993</v>
      </c>
      <c r="E245" s="101" vm="1389">
        <f ca="1"/>
        <v>66.45</v>
      </c>
      <c r="F245" s="101" vm="1390">
        <f ca="1"/>
        <v>67</v>
      </c>
      <c r="G245" s="101" vm="1391">
        <f ca="1"/>
        <v>65.099999999999994</v>
      </c>
      <c r="H245" s="102" vm="1392">
        <f ca="1"/>
        <v>114060454</v>
      </c>
    </row>
    <row r="246" spans="3:8" x14ac:dyDescent="0.3">
      <c r="C246" s="100" vm="1393">
        <f ca="1"/>
        <v>43794</v>
      </c>
      <c r="D246" s="101" vm="1394">
        <f ca="1"/>
        <v>66.8125</v>
      </c>
      <c r="E246" s="101" vm="1395">
        <f ca="1"/>
        <v>65.677499999999995</v>
      </c>
      <c r="F246" s="101" vm="1390">
        <f ca="1"/>
        <v>67</v>
      </c>
      <c r="G246" s="101" vm="1396">
        <f ca="1"/>
        <v>65.625</v>
      </c>
      <c r="H246" s="102" vm="1397">
        <f ca="1"/>
        <v>75403134</v>
      </c>
    </row>
    <row r="247" spans="3:8" x14ac:dyDescent="0.3">
      <c r="C247" s="100" vm="1398">
        <f ca="1"/>
        <v>43801</v>
      </c>
      <c r="D247" s="101" vm="1399">
        <f ca="1"/>
        <v>67.677499999999995</v>
      </c>
      <c r="E247" s="101" vm="1400">
        <f ca="1"/>
        <v>66.817499999999995</v>
      </c>
      <c r="F247" s="101" vm="1401">
        <f ca="1"/>
        <v>67.75</v>
      </c>
      <c r="G247" s="101" vm="1402">
        <f ca="1"/>
        <v>64.072500000000005</v>
      </c>
      <c r="H247" s="102" vm="1403">
        <f ca="1"/>
        <v>113373764</v>
      </c>
    </row>
    <row r="248" spans="3:8" x14ac:dyDescent="0.3">
      <c r="C248" s="100" vm="1404">
        <f ca="1"/>
        <v>43808</v>
      </c>
      <c r="D248" s="101" vm="1405">
        <f ca="1"/>
        <v>68.787499999999994</v>
      </c>
      <c r="E248" s="101" vm="1406">
        <f ca="1"/>
        <v>67.5</v>
      </c>
      <c r="F248" s="101" vm="1407">
        <f ca="1"/>
        <v>68.825000000000003</v>
      </c>
      <c r="G248" s="101" vm="1408">
        <f ca="1"/>
        <v>66.227500000000006</v>
      </c>
      <c r="H248" s="102" vm="1409">
        <f ca="1"/>
        <v>140985773</v>
      </c>
    </row>
    <row r="249" spans="3:8" x14ac:dyDescent="0.3">
      <c r="C249" s="100" vm="1410">
        <f ca="1"/>
        <v>43815</v>
      </c>
      <c r="D249" s="101" vm="1411">
        <f ca="1"/>
        <v>69.86</v>
      </c>
      <c r="E249" s="101" vm="1412">
        <f ca="1"/>
        <v>69.25</v>
      </c>
      <c r="F249" s="101" vm="1413">
        <f ca="1"/>
        <v>70.662499999999994</v>
      </c>
      <c r="G249" s="101" vm="1414">
        <f ca="1"/>
        <v>69.245000000000005</v>
      </c>
      <c r="H249" s="102" vm="1415">
        <f ca="1"/>
        <v>183341280</v>
      </c>
    </row>
    <row r="250" spans="3:8" x14ac:dyDescent="0.3">
      <c r="C250" s="100" vm="1416">
        <f ca="1"/>
        <v>43822</v>
      </c>
      <c r="D250" s="101" vm="1417">
        <f ca="1"/>
        <v>72.45</v>
      </c>
      <c r="E250" s="101" vm="1418">
        <f ca="1"/>
        <v>70.132499999999993</v>
      </c>
      <c r="F250" s="101" vm="1419">
        <f ca="1"/>
        <v>73.492500000000007</v>
      </c>
      <c r="G250" s="101" vm="1420">
        <f ca="1"/>
        <v>70.093400000000003</v>
      </c>
      <c r="H250" s="102" vm="1421">
        <f ca="1"/>
        <v>96724537</v>
      </c>
    </row>
    <row r="251" spans="3:8" x14ac:dyDescent="0.3">
      <c r="C251" s="100" vm="1422">
        <f ca="1"/>
        <v>43829</v>
      </c>
      <c r="D251" s="101" vm="1423">
        <f ca="1"/>
        <v>74.357500000000002</v>
      </c>
      <c r="E251" s="101" vm="1424">
        <f ca="1"/>
        <v>72.364999999999995</v>
      </c>
      <c r="F251" s="101" vm="1425">
        <f ca="1"/>
        <v>75.150000000000006</v>
      </c>
      <c r="G251" s="101" vm="1426">
        <f ca="1"/>
        <v>71.305000000000007</v>
      </c>
      <c r="H251" s="102" vm="1427">
        <f ca="1"/>
        <v>131138568</v>
      </c>
    </row>
    <row r="252" spans="3:8" x14ac:dyDescent="0.3">
      <c r="C252" s="100" vm="1428">
        <f ca="1"/>
        <v>43836</v>
      </c>
      <c r="D252" s="101" vm="1429">
        <f ca="1"/>
        <v>77.582499999999996</v>
      </c>
      <c r="E252" s="101" vm="1430">
        <f ca="1"/>
        <v>73.447500000000005</v>
      </c>
      <c r="F252" s="101" vm="1431">
        <f ca="1"/>
        <v>78.167500000000004</v>
      </c>
      <c r="G252" s="101" vm="1432">
        <f ca="1"/>
        <v>73.1875</v>
      </c>
      <c r="H252" s="102" vm="1433">
        <f ca="1"/>
        <v>168111555</v>
      </c>
    </row>
    <row r="253" spans="3:8" x14ac:dyDescent="0.3">
      <c r="C253" s="100" vm="1434">
        <f ca="1"/>
        <v>43843</v>
      </c>
      <c r="D253" s="101" vm="1435">
        <f ca="1"/>
        <v>79.682500000000005</v>
      </c>
      <c r="E253" s="101" vm="1436">
        <f ca="1"/>
        <v>77.91</v>
      </c>
      <c r="F253" s="101" vm="1437">
        <f ca="1"/>
        <v>79.685000000000002</v>
      </c>
      <c r="G253" s="101" vm="1438">
        <f ca="1"/>
        <v>77.387500000000003</v>
      </c>
      <c r="H253" s="102" vm="1439">
        <f ca="1"/>
        <v>162322438</v>
      </c>
    </row>
    <row r="254" spans="3:8" x14ac:dyDescent="0.3">
      <c r="C254" s="100" vm="1440">
        <f ca="1"/>
        <v>43851</v>
      </c>
      <c r="D254" s="101" vm="1441">
        <f ca="1"/>
        <v>79.577500000000001</v>
      </c>
      <c r="E254" s="101" vm="1442">
        <f ca="1"/>
        <v>79.297499999999999</v>
      </c>
      <c r="F254" s="101" vm="1443">
        <f ca="1"/>
        <v>80.832499999999996</v>
      </c>
      <c r="G254" s="101" vm="1444">
        <f ca="1"/>
        <v>78.912499999999994</v>
      </c>
      <c r="H254" s="102" vm="1445">
        <f ca="1"/>
        <v>115734332</v>
      </c>
    </row>
    <row r="255" spans="3:8" x14ac:dyDescent="0.3">
      <c r="C255" s="100" vm="1446">
        <f ca="1"/>
        <v>43857</v>
      </c>
      <c r="D255" s="101" vm="1447">
        <f ca="1"/>
        <v>77.377499999999998</v>
      </c>
      <c r="E255" s="101" vm="1448">
        <f ca="1"/>
        <v>77.515000000000001</v>
      </c>
      <c r="F255" s="101" vm="1449">
        <f ca="1"/>
        <v>81.962500000000006</v>
      </c>
      <c r="G255" s="101" vm="1450">
        <f ca="1"/>
        <v>76.22</v>
      </c>
      <c r="H255" s="102" vm="1451">
        <f ca="1"/>
        <v>208852369</v>
      </c>
    </row>
    <row r="256" spans="3:8" x14ac:dyDescent="0.3">
      <c r="C256" s="100" vm="1452">
        <f ca="1"/>
        <v>43864</v>
      </c>
      <c r="D256" s="101" vm="1453">
        <f ca="1"/>
        <v>80.007499999999993</v>
      </c>
      <c r="E256" s="101" vm="1454">
        <f ca="1"/>
        <v>76.075000000000003</v>
      </c>
      <c r="F256" s="101" vm="1455">
        <f ca="1"/>
        <v>81.305000000000007</v>
      </c>
      <c r="G256" s="101" vm="1456">
        <f ca="1"/>
        <v>75.555000000000007</v>
      </c>
      <c r="H256" s="102" vm="1457">
        <f ca="1"/>
        <v>162483195</v>
      </c>
    </row>
    <row r="257" spans="3:8" x14ac:dyDescent="0.3">
      <c r="C257" s="100" vm="1458">
        <f ca="1"/>
        <v>43871</v>
      </c>
      <c r="D257" s="101" vm="1459">
        <f ca="1"/>
        <v>81.237499999999997</v>
      </c>
      <c r="E257" s="101" vm="1460">
        <f ca="1"/>
        <v>78.545000000000002</v>
      </c>
      <c r="F257" s="101" vm="1461">
        <f ca="1"/>
        <v>81.805000000000007</v>
      </c>
      <c r="G257" s="101" vm="1462">
        <f ca="1"/>
        <v>78.462500000000006</v>
      </c>
      <c r="H257" s="102" vm="1463">
        <f ca="1"/>
        <v>122923560</v>
      </c>
    </row>
    <row r="258" spans="3:8" x14ac:dyDescent="0.3">
      <c r="C258" s="100" vm="1464">
        <f ca="1"/>
        <v>43879</v>
      </c>
      <c r="D258" s="101" vm="1465">
        <f ca="1"/>
        <v>78.262500000000003</v>
      </c>
      <c r="E258" s="101" vm="1466">
        <f ca="1"/>
        <v>78.84</v>
      </c>
      <c r="F258" s="101" vm="1467">
        <f ca="1"/>
        <v>81.162499999999994</v>
      </c>
      <c r="G258" s="101" vm="1468">
        <f ca="1"/>
        <v>77.625</v>
      </c>
      <c r="H258" s="102" vm="1469">
        <f ca="1"/>
        <v>118970437</v>
      </c>
    </row>
    <row r="259" spans="3:8" x14ac:dyDescent="0.3">
      <c r="C259" s="100" vm="1470">
        <f ca="1"/>
        <v>43885</v>
      </c>
      <c r="D259" s="101" vm="1471">
        <f ca="1"/>
        <v>68.34</v>
      </c>
      <c r="E259" s="101" vm="1472">
        <f ca="1"/>
        <v>74.314999999999998</v>
      </c>
      <c r="F259" s="101" vm="1473">
        <f ca="1"/>
        <v>76.045000000000002</v>
      </c>
      <c r="G259" s="101" vm="1474">
        <f ca="1"/>
        <v>64.092500000000001</v>
      </c>
      <c r="H259" s="102" vm="1475">
        <f ca="1"/>
        <v>348295432</v>
      </c>
    </row>
    <row r="260" spans="3:8" x14ac:dyDescent="0.3">
      <c r="C260" s="100" vm="1476">
        <f ca="1"/>
        <v>43892</v>
      </c>
      <c r="D260" s="101" vm="1477">
        <f ca="1"/>
        <v>72.257499999999993</v>
      </c>
      <c r="E260" s="101" vm="1478">
        <f ca="1"/>
        <v>70.569999999999993</v>
      </c>
      <c r="F260" s="101" vm="1479">
        <f ca="1"/>
        <v>76</v>
      </c>
      <c r="G260" s="101" vm="1480">
        <f ca="1"/>
        <v>69.430000000000007</v>
      </c>
      <c r="H260" s="102" vm="1481">
        <f ca="1"/>
        <v>322985590</v>
      </c>
    </row>
    <row r="261" spans="3:8" x14ac:dyDescent="0.3">
      <c r="C261" s="100" vm="1482">
        <f ca="1"/>
        <v>43899</v>
      </c>
      <c r="D261" s="101" vm="1483">
        <f ca="1"/>
        <v>69.492500000000007</v>
      </c>
      <c r="E261" s="101" vm="1484">
        <f ca="1"/>
        <v>65.9375</v>
      </c>
      <c r="F261" s="101" vm="1485">
        <f ca="1"/>
        <v>71.61</v>
      </c>
      <c r="G261" s="101" vm="1486">
        <f ca="1"/>
        <v>62</v>
      </c>
      <c r="H261" s="102" vm="1487">
        <f ca="1"/>
        <v>402628434</v>
      </c>
    </row>
    <row r="262" spans="3:8" x14ac:dyDescent="0.3">
      <c r="C262" s="100" vm="1488">
        <f ca="1"/>
        <v>43906</v>
      </c>
      <c r="D262" s="101" vm="1489">
        <f ca="1"/>
        <v>57.31</v>
      </c>
      <c r="E262" s="101" vm="1490">
        <f ca="1"/>
        <v>60.487499999999997</v>
      </c>
      <c r="F262" s="101" vm="1491">
        <f ca="1"/>
        <v>64.77</v>
      </c>
      <c r="G262" s="101" vm="1492">
        <f ca="1"/>
        <v>57</v>
      </c>
      <c r="H262" s="102" vm="1493">
        <f ca="1"/>
        <v>404354970</v>
      </c>
    </row>
    <row r="263" spans="3:8" x14ac:dyDescent="0.3">
      <c r="C263" s="100" vm="1494">
        <f ca="1"/>
        <v>43913</v>
      </c>
      <c r="D263" s="101" vm="1495">
        <f ca="1"/>
        <v>61.935000000000002</v>
      </c>
      <c r="E263" s="101" vm="1496">
        <f ca="1"/>
        <v>57.02</v>
      </c>
      <c r="F263" s="101" vm="1497">
        <f ca="1"/>
        <v>64.67</v>
      </c>
      <c r="G263" s="101" vm="1498">
        <f ca="1"/>
        <v>53.152500000000003</v>
      </c>
      <c r="H263" s="102" vm="1499">
        <f ca="1"/>
        <v>346165813</v>
      </c>
    </row>
    <row r="264" spans="3:8" x14ac:dyDescent="0.3">
      <c r="C264" s="100" vm="1500">
        <f ca="1"/>
        <v>43920</v>
      </c>
      <c r="D264" s="101" vm="1501">
        <f ca="1"/>
        <v>60.352499999999999</v>
      </c>
      <c r="E264" s="101" vm="1502">
        <f ca="1"/>
        <v>62.685000000000002</v>
      </c>
      <c r="F264" s="101" vm="1503">
        <f ca="1"/>
        <v>65.622500000000002</v>
      </c>
      <c r="G264" s="101" vm="1504">
        <f ca="1"/>
        <v>59.225000000000001</v>
      </c>
      <c r="H264" s="102" vm="1505">
        <f ca="1"/>
        <v>208858835</v>
      </c>
    </row>
    <row r="265" spans="3:8" x14ac:dyDescent="0.3">
      <c r="C265" s="100" vm="1506">
        <f ca="1"/>
        <v>43927</v>
      </c>
      <c r="D265" s="101" vm="1507">
        <f ca="1"/>
        <v>66.997500000000002</v>
      </c>
      <c r="E265" s="101" vm="1508">
        <f ca="1"/>
        <v>62.725000000000001</v>
      </c>
      <c r="F265" s="101" vm="1509">
        <f ca="1"/>
        <v>67.924999999999997</v>
      </c>
      <c r="G265" s="101" vm="1510">
        <f ca="1"/>
        <v>62.344999999999999</v>
      </c>
      <c r="H265" s="102" vm="1511">
        <f ca="1"/>
        <v>182915363</v>
      </c>
    </row>
    <row r="266" spans="3:8" x14ac:dyDescent="0.3">
      <c r="C266" s="100" vm="1512">
        <f ca="1"/>
        <v>43934</v>
      </c>
      <c r="D266" s="101" vm="1513">
        <f ca="1"/>
        <v>70.7</v>
      </c>
      <c r="E266" s="101" vm="1514">
        <f ca="1"/>
        <v>67.077500000000001</v>
      </c>
      <c r="F266" s="101" vm="1515">
        <f ca="1"/>
        <v>72.0625</v>
      </c>
      <c r="G266" s="101" vm="1516">
        <f ca="1"/>
        <v>66.457499999999996</v>
      </c>
      <c r="H266" s="102" vm="1517">
        <f ca="1"/>
        <v>206105489</v>
      </c>
    </row>
    <row r="267" spans="3:8" x14ac:dyDescent="0.3">
      <c r="C267" s="100" vm="1518">
        <f ca="1"/>
        <v>43941</v>
      </c>
      <c r="D267" s="101" vm="1519">
        <f ca="1"/>
        <v>70.742500000000007</v>
      </c>
      <c r="E267" s="101" vm="1520">
        <f ca="1"/>
        <v>69.487499999999997</v>
      </c>
      <c r="F267" s="101" vm="1521">
        <f ca="1"/>
        <v>70.752499999999998</v>
      </c>
      <c r="G267" s="101" vm="1522">
        <f ca="1"/>
        <v>66.357500000000002</v>
      </c>
      <c r="H267" s="102" vm="1523">
        <f ca="1"/>
        <v>168460455</v>
      </c>
    </row>
    <row r="268" spans="3:8" x14ac:dyDescent="0.3">
      <c r="C268" s="100" vm="1524">
        <f ca="1"/>
        <v>43948</v>
      </c>
      <c r="D268" s="101" vm="1525">
        <f ca="1"/>
        <v>72.267499999999998</v>
      </c>
      <c r="E268" s="101" vm="1526">
        <f ca="1"/>
        <v>70.45</v>
      </c>
      <c r="F268" s="101" vm="1527">
        <f ca="1"/>
        <v>74.75</v>
      </c>
      <c r="G268" s="101" vm="1528">
        <f ca="1"/>
        <v>69.55</v>
      </c>
      <c r="H268" s="102" vm="1529">
        <f ca="1"/>
        <v>197513427</v>
      </c>
    </row>
    <row r="269" spans="3:8" x14ac:dyDescent="0.3">
      <c r="C269" s="100" vm="1530">
        <f ca="1"/>
        <v>43955</v>
      </c>
      <c r="D269" s="101" vm="1531">
        <f ca="1"/>
        <v>77.532499999999999</v>
      </c>
      <c r="E269" s="101" vm="1532">
        <f ca="1"/>
        <v>72.292500000000004</v>
      </c>
      <c r="F269" s="101" vm="1533">
        <f ca="1"/>
        <v>77.587500000000006</v>
      </c>
      <c r="G269" s="101" vm="1534">
        <f ca="1"/>
        <v>71.579300000000003</v>
      </c>
      <c r="H269" s="102" vm="1535">
        <f ca="1"/>
        <v>167845547</v>
      </c>
    </row>
    <row r="270" spans="3:8" x14ac:dyDescent="0.3">
      <c r="C270" s="100" vm="1536">
        <f ca="1"/>
        <v>43962</v>
      </c>
      <c r="D270" s="101" vm="1537">
        <f ca="1"/>
        <v>76.927499999999995</v>
      </c>
      <c r="E270" s="101" vm="1538">
        <f ca="1"/>
        <v>77.025000000000006</v>
      </c>
      <c r="F270" s="101" vm="1539">
        <f ca="1"/>
        <v>79.921999999999997</v>
      </c>
      <c r="G270" s="101" vm="1540">
        <f ca="1"/>
        <v>75.052499999999995</v>
      </c>
      <c r="H270" s="102" vm="1541">
        <f ca="1"/>
        <v>207823935</v>
      </c>
    </row>
    <row r="271" spans="3:8" x14ac:dyDescent="0.3">
      <c r="C271" s="100" vm="1542">
        <f ca="1"/>
        <v>43969</v>
      </c>
      <c r="D271" s="101" vm="1543">
        <f ca="1"/>
        <v>79.722499999999997</v>
      </c>
      <c r="E271" s="101" vm="1544">
        <f ca="1"/>
        <v>78.292500000000004</v>
      </c>
      <c r="F271" s="101" vm="1545">
        <f ca="1"/>
        <v>80.222499999999997</v>
      </c>
      <c r="G271" s="101" vm="1546">
        <f ca="1"/>
        <v>77.581000000000003</v>
      </c>
      <c r="H271" s="102" vm="1547">
        <f ca="1"/>
        <v>132970476</v>
      </c>
    </row>
    <row r="272" spans="3:8" x14ac:dyDescent="0.3">
      <c r="C272" s="100" vm="1548">
        <f ca="1"/>
        <v>43977</v>
      </c>
      <c r="D272" s="101" vm="1549">
        <f ca="1"/>
        <v>79.484999999999999</v>
      </c>
      <c r="E272" s="101" vm="1550">
        <f ca="1"/>
        <v>80.875</v>
      </c>
      <c r="F272" s="101" vm="1551">
        <f ca="1"/>
        <v>81.06</v>
      </c>
      <c r="G272" s="101" vm="1552">
        <f ca="1"/>
        <v>78.272499999999994</v>
      </c>
      <c r="H272" s="102" vm="1553">
        <f ca="1"/>
        <v>130318981</v>
      </c>
    </row>
    <row r="273" spans="3:8" x14ac:dyDescent="0.3">
      <c r="C273" s="100" vm="1554">
        <f ca="1"/>
        <v>43983</v>
      </c>
      <c r="D273" s="101" vm="1555">
        <f ca="1"/>
        <v>82.875</v>
      </c>
      <c r="E273" s="101" vm="1556">
        <f ca="1"/>
        <v>79.4375</v>
      </c>
      <c r="F273" s="101" vm="1557">
        <f ca="1"/>
        <v>82.9375</v>
      </c>
      <c r="G273" s="101" vm="1558">
        <f ca="1"/>
        <v>79.302499999999995</v>
      </c>
      <c r="H273" s="102" vm="1559">
        <f ca="1"/>
        <v>123777291</v>
      </c>
    </row>
    <row r="274" spans="3:8" x14ac:dyDescent="0.3">
      <c r="C274" s="100" vm="1560">
        <f ca="1"/>
        <v>43990</v>
      </c>
      <c r="D274" s="101" vm="1561">
        <f ca="1"/>
        <v>84.7</v>
      </c>
      <c r="E274" s="101" vm="1562">
        <f ca="1"/>
        <v>82.5625</v>
      </c>
      <c r="F274" s="101" vm="1563">
        <f ca="1"/>
        <v>88.692499999999995</v>
      </c>
      <c r="G274" s="101" vm="1564">
        <f ca="1"/>
        <v>81.83</v>
      </c>
      <c r="H274" s="102" vm="1565">
        <f ca="1"/>
        <v>200256184</v>
      </c>
    </row>
    <row r="275" spans="3:8" x14ac:dyDescent="0.3">
      <c r="C275" s="100" vm="1566">
        <f ca="1"/>
        <v>43997</v>
      </c>
      <c r="D275" s="101" vm="1567">
        <f ca="1"/>
        <v>87.43</v>
      </c>
      <c r="E275" s="101" vm="1568">
        <f ca="1"/>
        <v>83.3125</v>
      </c>
      <c r="F275" s="101" vm="1569">
        <f ca="1"/>
        <v>89.14</v>
      </c>
      <c r="G275" s="101" vm="1570">
        <f ca="1"/>
        <v>83.144999999999996</v>
      </c>
      <c r="H275" s="102" vm="1571">
        <f ca="1"/>
        <v>192898592</v>
      </c>
    </row>
    <row r="276" spans="3:8" x14ac:dyDescent="0.3">
      <c r="C276" s="100" vm="1572">
        <f ca="1"/>
        <v>44004</v>
      </c>
      <c r="D276" s="101" vm="1573">
        <f ca="1"/>
        <v>88.407499999999999</v>
      </c>
      <c r="E276" s="101" vm="1574">
        <f ca="1"/>
        <v>87.834999999999994</v>
      </c>
      <c r="F276" s="101" vm="1575">
        <f ca="1"/>
        <v>93.094999999999999</v>
      </c>
      <c r="G276" s="101" vm="1576">
        <f ca="1"/>
        <v>87.787499999999994</v>
      </c>
      <c r="H276" s="102" vm="1577">
        <f ca="1"/>
        <v>219534883</v>
      </c>
    </row>
    <row r="277" spans="3:8" x14ac:dyDescent="0.3">
      <c r="C277" s="100" vm="1578">
        <f ca="1"/>
        <v>44011</v>
      </c>
      <c r="D277" s="101" vm="1579">
        <f ca="1"/>
        <v>91.027500000000003</v>
      </c>
      <c r="E277" s="101" vm="1580">
        <f ca="1"/>
        <v>88.3125</v>
      </c>
      <c r="F277" s="101" vm="1581">
        <f ca="1"/>
        <v>92.617500000000007</v>
      </c>
      <c r="G277" s="101" vm="1582">
        <f ca="1"/>
        <v>87.82</v>
      </c>
      <c r="H277" s="102" vm="1583">
        <f ca="1"/>
        <v>123653969</v>
      </c>
    </row>
    <row r="278" spans="3:8" x14ac:dyDescent="0.3">
      <c r="C278" s="100" vm="1584">
        <f ca="1"/>
        <v>44018</v>
      </c>
      <c r="D278" s="101" vm="1585">
        <f ca="1"/>
        <v>95.92</v>
      </c>
      <c r="E278" s="101" vm="1586">
        <f ca="1"/>
        <v>92.5</v>
      </c>
      <c r="F278" s="101" vm="1587">
        <f ca="1"/>
        <v>96.317499999999995</v>
      </c>
      <c r="G278" s="101" vm="1588">
        <f ca="1"/>
        <v>92.467500000000001</v>
      </c>
      <c r="H278" s="102" vm="1589">
        <f ca="1"/>
        <v>140034250</v>
      </c>
    </row>
    <row r="279" spans="3:8" x14ac:dyDescent="0.3">
      <c r="C279" s="100" vm="1590">
        <f ca="1"/>
        <v>44025</v>
      </c>
      <c r="D279" s="101" vm="1591">
        <f ca="1"/>
        <v>96.327500000000001</v>
      </c>
      <c r="E279" s="101" vm="1592">
        <f ca="1"/>
        <v>97.265000000000001</v>
      </c>
      <c r="F279" s="101" vm="1593">
        <f ca="1"/>
        <v>99.954999999999998</v>
      </c>
      <c r="G279" s="101" vm="1594">
        <f ca="1"/>
        <v>93.877499999999998</v>
      </c>
      <c r="H279" s="102" vm="1595">
        <f ca="1"/>
        <v>178622180</v>
      </c>
    </row>
    <row r="280" spans="3:8" x14ac:dyDescent="0.3">
      <c r="C280" s="100" vm="1596">
        <f ca="1"/>
        <v>44032</v>
      </c>
      <c r="D280" s="101" vm="1597">
        <f ca="1"/>
        <v>92.614999999999995</v>
      </c>
      <c r="E280" s="101" vm="1598">
        <f ca="1"/>
        <v>96.416300000000007</v>
      </c>
      <c r="F280" s="101" vm="1599">
        <f ca="1"/>
        <v>99.25</v>
      </c>
      <c r="G280" s="101" vm="1600">
        <f ca="1"/>
        <v>89.144999999999996</v>
      </c>
      <c r="H280" s="102" vm="1601">
        <f ca="1"/>
        <v>163820147</v>
      </c>
    </row>
    <row r="281" spans="3:8" x14ac:dyDescent="0.3">
      <c r="C281" s="100" vm="1602">
        <f ca="1"/>
        <v>44039</v>
      </c>
      <c r="D281" s="101" vm="1603">
        <f ca="1"/>
        <v>106.26</v>
      </c>
      <c r="E281" s="101" vm="1604">
        <f ca="1"/>
        <v>93.71</v>
      </c>
      <c r="F281" s="101" vm="1605">
        <f ca="1"/>
        <v>106.41500000000001</v>
      </c>
      <c r="G281" s="101" vm="1606">
        <f ca="1"/>
        <v>93.247500000000002</v>
      </c>
      <c r="H281" s="102" vm="1607">
        <f ca="1"/>
        <v>203554426</v>
      </c>
    </row>
    <row r="282" spans="3:8" x14ac:dyDescent="0.3">
      <c r="C282" s="100" vm="1608">
        <f ca="1"/>
        <v>44046</v>
      </c>
      <c r="D282" s="101" vm="1609">
        <f ca="1"/>
        <v>111.1125</v>
      </c>
      <c r="E282" s="101" vm="1610">
        <f ca="1"/>
        <v>108.2</v>
      </c>
      <c r="F282" s="101" vm="1611">
        <f ca="1"/>
        <v>114.41249999999999</v>
      </c>
      <c r="G282" s="101" vm="1612">
        <f ca="1"/>
        <v>107.8925</v>
      </c>
      <c r="H282" s="102" vm="1613">
        <f ca="1"/>
        <v>248864024</v>
      </c>
    </row>
    <row r="283" spans="3:8" x14ac:dyDescent="0.3">
      <c r="C283" s="100" vm="1614">
        <f ca="1"/>
        <v>44053</v>
      </c>
      <c r="D283" s="101" vm="1615">
        <f ca="1"/>
        <v>114.9075</v>
      </c>
      <c r="E283" s="101" vm="1616">
        <f ca="1"/>
        <v>112.6</v>
      </c>
      <c r="F283" s="101" vm="1617">
        <f ca="1"/>
        <v>116.0425</v>
      </c>
      <c r="G283" s="101" vm="1618">
        <f ca="1"/>
        <v>109.1067</v>
      </c>
      <c r="H283" s="102" vm="1619">
        <f ca="1"/>
        <v>234587391</v>
      </c>
    </row>
    <row r="284" spans="3:8" x14ac:dyDescent="0.3">
      <c r="C284" s="100" vm="1620">
        <f ca="1"/>
        <v>44060</v>
      </c>
      <c r="D284" s="101" vm="1621">
        <f ca="1"/>
        <v>124.37</v>
      </c>
      <c r="E284" s="101" vm="1622">
        <f ca="1"/>
        <v>116.0625</v>
      </c>
      <c r="F284" s="101" vm="1623">
        <f ca="1"/>
        <v>124.86799999999999</v>
      </c>
      <c r="G284" s="101" vm="1624">
        <f ca="1"/>
        <v>113.96250000000001</v>
      </c>
      <c r="H284" s="102" vm="1625">
        <f ca="1"/>
        <v>208281800</v>
      </c>
    </row>
    <row r="285" spans="3:8" x14ac:dyDescent="0.3">
      <c r="C285" s="100" vm="1626">
        <f ca="1"/>
        <v>44067</v>
      </c>
      <c r="D285" s="101" vm="1627">
        <f ca="1"/>
        <v>124.8075</v>
      </c>
      <c r="E285" s="101" vm="1628">
        <f ca="1"/>
        <v>128.69749999999999</v>
      </c>
      <c r="F285" s="101" vm="1629">
        <f ca="1"/>
        <v>128.785</v>
      </c>
      <c r="G285" s="101" vm="1630">
        <f ca="1"/>
        <v>123.05249999999999</v>
      </c>
      <c r="H285" s="102" vm="1631">
        <f ca="1"/>
        <v>264421233</v>
      </c>
    </row>
    <row r="286" spans="3:8" x14ac:dyDescent="0.3">
      <c r="C286" s="100" vm="1632">
        <f ca="1"/>
        <v>44074</v>
      </c>
      <c r="D286" s="101" vm="1633">
        <f ca="1"/>
        <v>120.96</v>
      </c>
      <c r="E286" s="101" vm="1634">
        <f ca="1"/>
        <v>127.58</v>
      </c>
      <c r="F286" s="101" vm="1635">
        <f ca="1"/>
        <v>137.97999999999999</v>
      </c>
      <c r="G286" s="101" vm="1636">
        <f ca="1"/>
        <v>110.89</v>
      </c>
      <c r="H286" s="102" vm="1637">
        <f ca="1"/>
        <v>1155704851</v>
      </c>
    </row>
    <row r="287" spans="3:8" x14ac:dyDescent="0.3">
      <c r="C287" s="100" vm="1638">
        <f ca="1"/>
        <v>44082</v>
      </c>
      <c r="D287" s="101" vm="1639">
        <f ca="1"/>
        <v>112</v>
      </c>
      <c r="E287" s="101" vm="1640">
        <f ca="1"/>
        <v>113.95</v>
      </c>
      <c r="F287" s="101" vm="1641">
        <f ca="1"/>
        <v>120.5</v>
      </c>
      <c r="G287" s="101" vm="1642">
        <f ca="1"/>
        <v>110</v>
      </c>
      <c r="H287" s="102" vm="1643">
        <f ca="1"/>
        <v>758002424</v>
      </c>
    </row>
    <row r="288" spans="3:8" x14ac:dyDescent="0.3">
      <c r="C288" s="100" vm="1644">
        <f ca="1"/>
        <v>44088</v>
      </c>
      <c r="D288" s="101" vm="1645">
        <f ca="1"/>
        <v>106.84</v>
      </c>
      <c r="E288" s="101" vm="1646">
        <f ca="1"/>
        <v>114.72</v>
      </c>
      <c r="F288" s="101" vm="1647">
        <f ca="1"/>
        <v>118.82899999999999</v>
      </c>
      <c r="G288" s="101" vm="1648">
        <f ca="1"/>
        <v>106.09</v>
      </c>
      <c r="H288" s="102" vm="1649">
        <f ca="1"/>
        <v>936721313</v>
      </c>
    </row>
    <row r="289" spans="3:8" x14ac:dyDescent="0.3">
      <c r="C289" s="100" vm="1650">
        <f ca="1"/>
        <v>44095</v>
      </c>
      <c r="D289" s="101" vm="1651">
        <f ca="1"/>
        <v>112.28</v>
      </c>
      <c r="E289" s="101" vm="1652">
        <f ca="1"/>
        <v>104.54</v>
      </c>
      <c r="F289" s="101" vm="1653">
        <f ca="1"/>
        <v>112.86</v>
      </c>
      <c r="G289" s="101" vm="1654">
        <f ca="1"/>
        <v>103.1</v>
      </c>
      <c r="H289" s="102" vm="1655">
        <f ca="1"/>
        <v>838071542</v>
      </c>
    </row>
    <row r="290" spans="3:8" x14ac:dyDescent="0.3">
      <c r="C290" s="100" vm="1656">
        <f ca="1"/>
        <v>44102</v>
      </c>
      <c r="D290" s="101" vm="1657">
        <f ca="1"/>
        <v>113.02</v>
      </c>
      <c r="E290" s="101" vm="1658">
        <f ca="1"/>
        <v>115.01</v>
      </c>
      <c r="F290" s="101" vm="1659">
        <f ca="1"/>
        <v>117.72</v>
      </c>
      <c r="G290" s="101" vm="1660">
        <f ca="1"/>
        <v>112.22</v>
      </c>
      <c r="H290" s="102" vm="1661">
        <f ca="1"/>
        <v>636665070</v>
      </c>
    </row>
    <row r="291" spans="3:8" x14ac:dyDescent="0.3">
      <c r="C291" s="100" vm="1662">
        <f ca="1"/>
        <v>44109</v>
      </c>
      <c r="D291" s="101" vm="1663">
        <f ca="1"/>
        <v>116.97</v>
      </c>
      <c r="E291" s="101" vm="1664">
        <f ca="1"/>
        <v>113.91</v>
      </c>
      <c r="F291" s="101" vm="1665">
        <f ca="1"/>
        <v>117</v>
      </c>
      <c r="G291" s="101" vm="1666">
        <f ca="1"/>
        <v>112.25</v>
      </c>
      <c r="H291" s="102" vm="1667">
        <f ca="1"/>
        <v>545141382</v>
      </c>
    </row>
    <row r="292" spans="3:8" x14ac:dyDescent="0.3">
      <c r="C292" s="100" vm="1668">
        <f ca="1"/>
        <v>44116</v>
      </c>
      <c r="D292" s="101" vm="1669">
        <f ca="1"/>
        <v>119.02</v>
      </c>
      <c r="E292" s="101" vm="1670">
        <f ca="1"/>
        <v>120.06</v>
      </c>
      <c r="F292" s="101" vm="1671">
        <f ca="1"/>
        <v>125.39</v>
      </c>
      <c r="G292" s="101" vm="1672">
        <f ca="1"/>
        <v>118.15</v>
      </c>
      <c r="H292" s="102" vm="1673">
        <f ca="1"/>
        <v>875555946</v>
      </c>
    </row>
    <row r="293" spans="3:8" x14ac:dyDescent="0.3">
      <c r="C293" s="100" vm="1674">
        <f ca="1"/>
        <v>44123</v>
      </c>
      <c r="D293" s="101" vm="1675">
        <f ca="1"/>
        <v>115.04</v>
      </c>
      <c r="E293" s="101" vm="1676">
        <f ca="1"/>
        <v>119.96</v>
      </c>
      <c r="F293" s="101" vm="1677">
        <f ca="1"/>
        <v>120.419</v>
      </c>
      <c r="G293" s="101" vm="1678">
        <f ca="1"/>
        <v>114.28</v>
      </c>
      <c r="H293" s="102" vm="1679">
        <f ca="1"/>
        <v>516833892</v>
      </c>
    </row>
    <row r="294" spans="3:8" x14ac:dyDescent="0.3">
      <c r="C294" s="100" vm="1680">
        <f ca="1"/>
        <v>44130</v>
      </c>
      <c r="D294" s="101" vm="1681">
        <f ca="1"/>
        <v>108.86</v>
      </c>
      <c r="E294" s="101" vm="1682">
        <f ca="1"/>
        <v>114.01</v>
      </c>
      <c r="F294" s="101" vm="1683">
        <f ca="1"/>
        <v>117.28</v>
      </c>
      <c r="G294" s="101" vm="1684">
        <f ca="1"/>
        <v>107.72</v>
      </c>
      <c r="H294" s="102" vm="1685">
        <f ca="1"/>
        <v>683918815</v>
      </c>
    </row>
    <row r="295" spans="3:8" x14ac:dyDescent="0.3">
      <c r="C295" s="100" vm="1686">
        <f ca="1"/>
        <v>44137</v>
      </c>
      <c r="D295" s="101" vm="1687">
        <f ca="1"/>
        <v>118.69</v>
      </c>
      <c r="E295" s="101" vm="1688">
        <f ca="1"/>
        <v>109.11</v>
      </c>
      <c r="F295" s="101" vm="1689">
        <f ca="1"/>
        <v>119.62</v>
      </c>
      <c r="G295" s="101" vm="1690">
        <f ca="1"/>
        <v>107.32</v>
      </c>
      <c r="H295" s="102" vm="1691">
        <f ca="1"/>
        <v>606687018</v>
      </c>
    </row>
    <row r="296" spans="3:8" x14ac:dyDescent="0.3">
      <c r="C296" s="100" vm="1692">
        <f ca="1"/>
        <v>44144</v>
      </c>
      <c r="D296" s="101" vm="1693">
        <f ca="1"/>
        <v>119.26</v>
      </c>
      <c r="E296" s="101" vm="1641">
        <f ca="1"/>
        <v>120.5</v>
      </c>
      <c r="F296" s="101" vm="1694">
        <f ca="1"/>
        <v>121.99</v>
      </c>
      <c r="G296" s="101" vm="1695">
        <f ca="1"/>
        <v>114.13</v>
      </c>
      <c r="H296" s="102" vm="1696">
        <f ca="1"/>
        <v>587521408</v>
      </c>
    </row>
    <row r="297" spans="3:8" x14ac:dyDescent="0.3">
      <c r="C297" s="100" vm="1697">
        <f ca="1"/>
        <v>44151</v>
      </c>
      <c r="D297" s="101" vm="1698">
        <f ca="1"/>
        <v>117.34</v>
      </c>
      <c r="E297" s="101" vm="1699">
        <f ca="1"/>
        <v>118.92</v>
      </c>
      <c r="F297" s="101" vm="1700">
        <f ca="1"/>
        <v>120.99</v>
      </c>
      <c r="G297" s="101" vm="1701">
        <f ca="1"/>
        <v>116.81</v>
      </c>
      <c r="H297" s="102" vm="1702">
        <f ca="1"/>
        <v>383925283</v>
      </c>
    </row>
    <row r="298" spans="3:8" x14ac:dyDescent="0.3">
      <c r="C298" s="100" vm="1703">
        <f ca="1"/>
        <v>44158</v>
      </c>
      <c r="D298" s="101" vm="1704">
        <f ca="1"/>
        <v>116.59</v>
      </c>
      <c r="E298" s="101" vm="1705">
        <f ca="1"/>
        <v>117.18</v>
      </c>
      <c r="F298" s="101" vm="1706">
        <f ca="1"/>
        <v>117.6202</v>
      </c>
      <c r="G298" s="101" vm="1707">
        <f ca="1"/>
        <v>112.59</v>
      </c>
      <c r="H298" s="102" vm="1708">
        <f ca="1"/>
        <v>363919155</v>
      </c>
    </row>
    <row r="299" spans="3:8" x14ac:dyDescent="0.3">
      <c r="C299" s="100" vm="1709">
        <f ca="1"/>
        <v>44165</v>
      </c>
      <c r="D299" s="101" vm="1710">
        <f ca="1"/>
        <v>122.25</v>
      </c>
      <c r="E299" s="101" vm="1663">
        <f ca="1"/>
        <v>116.97</v>
      </c>
      <c r="F299" s="101" vm="1711">
        <f ca="1"/>
        <v>123.78</v>
      </c>
      <c r="G299" s="101" vm="1701">
        <f ca="1"/>
        <v>116.81</v>
      </c>
      <c r="H299" s="102" vm="1712">
        <f ca="1"/>
        <v>538543016</v>
      </c>
    </row>
    <row r="300" spans="3:8" x14ac:dyDescent="0.3">
      <c r="C300" s="100" vm="1713">
        <f ca="1"/>
        <v>44172</v>
      </c>
      <c r="D300" s="101" vm="1714">
        <f ca="1"/>
        <v>122.41</v>
      </c>
      <c r="E300" s="101" vm="1715">
        <f ca="1"/>
        <v>122.31</v>
      </c>
      <c r="F300" s="101" vm="1716">
        <f ca="1"/>
        <v>125.95</v>
      </c>
      <c r="G300" s="101" vm="1717">
        <f ca="1"/>
        <v>120.15</v>
      </c>
      <c r="H300" s="102" vm="1718">
        <f ca="1"/>
        <v>448680004</v>
      </c>
    </row>
    <row r="301" spans="3:8" x14ac:dyDescent="0.3">
      <c r="C301" s="100" vm="1719">
        <f ca="1"/>
        <v>44179</v>
      </c>
      <c r="D301" s="101" vm="1720">
        <f ca="1"/>
        <v>126.655</v>
      </c>
      <c r="E301" s="101" vm="1721">
        <f ca="1"/>
        <v>122.6</v>
      </c>
      <c r="F301" s="101" vm="1722">
        <f ca="1"/>
        <v>129.58000000000001</v>
      </c>
      <c r="G301" s="101" vm="1723">
        <f ca="1"/>
        <v>121.54</v>
      </c>
      <c r="H301" s="102" vm="1724">
        <f ca="1"/>
        <v>619124673</v>
      </c>
    </row>
    <row r="302" spans="3:8" x14ac:dyDescent="0.3">
      <c r="C302" s="100" vm="1725">
        <f ca="1"/>
        <v>44186</v>
      </c>
      <c r="D302" s="101" vm="1726">
        <f ca="1"/>
        <v>131.97</v>
      </c>
      <c r="E302" s="101" vm="1727">
        <f ca="1"/>
        <v>125.02</v>
      </c>
      <c r="F302" s="101" vm="1728">
        <f ca="1"/>
        <v>134.405</v>
      </c>
      <c r="G302" s="101" vm="1729">
        <f ca="1"/>
        <v>123.449</v>
      </c>
      <c r="H302" s="102" vm="1730">
        <f ca="1"/>
        <v>431446326</v>
      </c>
    </row>
    <row r="303" spans="3:8" x14ac:dyDescent="0.3">
      <c r="C303" s="100" vm="1731">
        <f ca="1"/>
        <v>44193</v>
      </c>
      <c r="D303" s="101" vm="1732">
        <f ca="1"/>
        <v>132.69</v>
      </c>
      <c r="E303" s="101" vm="1733">
        <f ca="1"/>
        <v>133.99</v>
      </c>
      <c r="F303" s="101" vm="1734">
        <f ca="1"/>
        <v>138.78899999999999</v>
      </c>
      <c r="G303" s="101" vm="1735">
        <f ca="1"/>
        <v>131.72</v>
      </c>
      <c r="H303" s="102" vm="1736">
        <f ca="1"/>
        <v>439050070</v>
      </c>
    </row>
    <row r="304" spans="3:8" x14ac:dyDescent="0.3">
      <c r="C304" s="100" vm="1737">
        <f ca="1"/>
        <v>44200</v>
      </c>
      <c r="D304" s="101" vm="1738">
        <f ca="1"/>
        <v>132.05000000000001</v>
      </c>
      <c r="E304" s="101" vm="1739">
        <f ca="1"/>
        <v>133.52000000000001</v>
      </c>
      <c r="F304" s="101" vm="1740">
        <f ca="1"/>
        <v>133.61160000000001</v>
      </c>
      <c r="G304" s="101" vm="1741">
        <f ca="1"/>
        <v>126.38200000000001</v>
      </c>
      <c r="H304" s="102" vm="1742">
        <f ca="1"/>
        <v>606568502</v>
      </c>
    </row>
    <row r="305" spans="3:8" x14ac:dyDescent="0.3">
      <c r="C305" s="100" vm="1743">
        <f ca="1"/>
        <v>44207</v>
      </c>
      <c r="D305" s="101" vm="1744">
        <f ca="1"/>
        <v>127.14</v>
      </c>
      <c r="E305" s="101" vm="1745">
        <f ca="1"/>
        <v>129.19</v>
      </c>
      <c r="F305" s="101" vm="1746">
        <f ca="1"/>
        <v>131.44999999999999</v>
      </c>
      <c r="G305" s="101" vm="1747">
        <f ca="1"/>
        <v>126.86</v>
      </c>
      <c r="H305" s="102" vm="1748">
        <f ca="1"/>
        <v>483029142</v>
      </c>
    </row>
    <row r="306" spans="3:8" x14ac:dyDescent="0.3">
      <c r="C306" s="100" vm="1749">
        <f ca="1"/>
        <v>44215</v>
      </c>
      <c r="D306" s="101" vm="1750">
        <f ca="1"/>
        <v>139.07</v>
      </c>
      <c r="E306" s="101" vm="1751">
        <f ca="1"/>
        <v>127.78</v>
      </c>
      <c r="F306" s="101" vm="1752">
        <f ca="1"/>
        <v>139.85</v>
      </c>
      <c r="G306" s="101" vm="1753">
        <f ca="1"/>
        <v>126.938</v>
      </c>
      <c r="H306" s="102" vm="1754">
        <f ca="1"/>
        <v>430065722</v>
      </c>
    </row>
    <row r="307" spans="3:8" x14ac:dyDescent="0.3">
      <c r="C307" s="100" vm="1755">
        <f ca="1"/>
        <v>44221</v>
      </c>
      <c r="D307" s="101" vm="1756">
        <f ca="1"/>
        <v>131.96</v>
      </c>
      <c r="E307" s="101" vm="1757">
        <f ca="1"/>
        <v>143.07</v>
      </c>
      <c r="F307" s="101" vm="1758">
        <f ca="1"/>
        <v>145.09</v>
      </c>
      <c r="G307" s="101" vm="1759">
        <f ca="1"/>
        <v>130.21</v>
      </c>
      <c r="H307" s="102" vm="1760">
        <f ca="1"/>
        <v>716990967</v>
      </c>
    </row>
    <row r="308" spans="3:8" x14ac:dyDescent="0.3">
      <c r="C308" s="100" vm="1761">
        <f ca="1"/>
        <v>44228</v>
      </c>
      <c r="D308" s="101" vm="1762">
        <f ca="1"/>
        <v>136.76</v>
      </c>
      <c r="E308" s="101" vm="1763">
        <f ca="1"/>
        <v>133.75</v>
      </c>
      <c r="F308" s="101" vm="1764">
        <f ca="1"/>
        <v>137.41999999999999</v>
      </c>
      <c r="G308" s="101" vm="1765">
        <f ca="1"/>
        <v>130.93</v>
      </c>
      <c r="H308" s="102" vm="1766">
        <f ca="1"/>
        <v>439303018</v>
      </c>
    </row>
    <row r="309" spans="3:8" x14ac:dyDescent="0.3">
      <c r="C309" s="100" vm="1767">
        <f ca="1"/>
        <v>44235</v>
      </c>
      <c r="D309" s="101" vm="1768">
        <f ca="1"/>
        <v>135.37</v>
      </c>
      <c r="E309" s="101" vm="1769">
        <f ca="1"/>
        <v>136.03</v>
      </c>
      <c r="F309" s="101" vm="1770">
        <f ca="1"/>
        <v>137.87700000000001</v>
      </c>
      <c r="G309" s="101" vm="1771">
        <f ca="1"/>
        <v>133.69210000000001</v>
      </c>
      <c r="H309" s="102" vm="1772">
        <f ca="1"/>
        <v>345543149</v>
      </c>
    </row>
    <row r="310" spans="3:8" x14ac:dyDescent="0.3">
      <c r="C310" s="100" vm="1773">
        <f ca="1"/>
        <v>44243</v>
      </c>
      <c r="D310" s="101" vm="1774">
        <f ca="1"/>
        <v>129.87</v>
      </c>
      <c r="E310" s="101" vm="1775">
        <f ca="1"/>
        <v>135.49</v>
      </c>
      <c r="F310" s="101" vm="1776">
        <f ca="1"/>
        <v>136.01</v>
      </c>
      <c r="G310" s="101" vm="1777">
        <f ca="1"/>
        <v>127.41</v>
      </c>
      <c r="H310" s="102" vm="1778">
        <f ca="1"/>
        <v>363187147</v>
      </c>
    </row>
    <row r="311" spans="3:8" x14ac:dyDescent="0.3">
      <c r="C311" s="100" vm="1779">
        <f ca="1"/>
        <v>44249</v>
      </c>
      <c r="D311" s="101" vm="1780">
        <f ca="1"/>
        <v>121.26</v>
      </c>
      <c r="E311" s="101" vm="1781">
        <f ca="1"/>
        <v>128.01</v>
      </c>
      <c r="F311" s="101" vm="1782">
        <f ca="1"/>
        <v>129.72</v>
      </c>
      <c r="G311" s="101" vm="1783">
        <f ca="1"/>
        <v>118.39</v>
      </c>
      <c r="H311" s="102" vm="1784">
        <f ca="1"/>
        <v>685989279</v>
      </c>
    </row>
    <row r="312" spans="3:8" x14ac:dyDescent="0.3">
      <c r="C312" s="100" vm="1785">
        <f ca="1"/>
        <v>44256</v>
      </c>
      <c r="D312" s="101" vm="1786">
        <f ca="1"/>
        <v>121.42</v>
      </c>
      <c r="E312" s="101" vm="1787">
        <f ca="1"/>
        <v>123.75</v>
      </c>
      <c r="F312" s="101" vm="1788">
        <f ca="1"/>
        <v>128.72</v>
      </c>
      <c r="G312" s="101" vm="1789">
        <f ca="1"/>
        <v>117.57</v>
      </c>
      <c r="H312" s="102" vm="1790">
        <f ca="1"/>
        <v>663456753</v>
      </c>
    </row>
    <row r="313" spans="3:8" x14ac:dyDescent="0.3">
      <c r="C313" s="100" vm="1791">
        <f ca="1"/>
        <v>44263</v>
      </c>
      <c r="D313" s="101" vm="1792">
        <f ca="1"/>
        <v>121.03</v>
      </c>
      <c r="E313" s="101" vm="1793">
        <f ca="1"/>
        <v>120.93</v>
      </c>
      <c r="F313" s="101" vm="1794">
        <f ca="1"/>
        <v>123.21</v>
      </c>
      <c r="G313" s="101" vm="1795">
        <f ca="1"/>
        <v>116.21</v>
      </c>
      <c r="H313" s="102" vm="1796">
        <f ca="1"/>
        <v>586977280</v>
      </c>
    </row>
    <row r="314" spans="3:8" x14ac:dyDescent="0.3">
      <c r="C314" s="100" vm="1797">
        <f ca="1"/>
        <v>44270</v>
      </c>
      <c r="D314" s="101" vm="1798">
        <f ca="1"/>
        <v>119.99</v>
      </c>
      <c r="E314" s="101" vm="1799">
        <f ca="1"/>
        <v>121.41</v>
      </c>
      <c r="F314" s="101" vm="1800">
        <f ca="1"/>
        <v>127.22</v>
      </c>
      <c r="G314" s="101" vm="1801">
        <f ca="1"/>
        <v>119.675</v>
      </c>
      <c r="H314" s="102" vm="1802">
        <f ca="1"/>
        <v>626770404</v>
      </c>
    </row>
    <row r="315" spans="3:8" x14ac:dyDescent="0.3">
      <c r="C315" s="100" vm="1803">
        <f ca="1"/>
        <v>44277</v>
      </c>
      <c r="D315" s="101" vm="1804">
        <f ca="1"/>
        <v>121.21</v>
      </c>
      <c r="E315" s="101" vm="1805">
        <f ca="1"/>
        <v>120.33</v>
      </c>
      <c r="F315" s="101" vm="1806">
        <f ca="1"/>
        <v>124.24</v>
      </c>
      <c r="G315" s="101" vm="1699">
        <f ca="1"/>
        <v>118.92</v>
      </c>
      <c r="H315" s="102" vm="1807">
        <f ca="1"/>
        <v>488825826</v>
      </c>
    </row>
    <row r="316" spans="3:8" x14ac:dyDescent="0.3">
      <c r="C316" s="100" vm="1808">
        <f ca="1"/>
        <v>44284</v>
      </c>
      <c r="D316" s="101" vm="1809">
        <f ca="1"/>
        <v>123</v>
      </c>
      <c r="E316" s="101" vm="1810">
        <f ca="1"/>
        <v>121.65</v>
      </c>
      <c r="F316" s="101" vm="1811">
        <f ca="1"/>
        <v>124.18</v>
      </c>
      <c r="G316" s="101" vm="1812">
        <f ca="1"/>
        <v>118.86</v>
      </c>
      <c r="H316" s="102" vm="1813">
        <f ca="1"/>
        <v>359904082</v>
      </c>
    </row>
    <row r="317" spans="3:8" x14ac:dyDescent="0.3">
      <c r="C317" s="100" vm="1814">
        <f ca="1"/>
        <v>44291</v>
      </c>
      <c r="D317" s="101" vm="1815">
        <f ca="1"/>
        <v>132.995</v>
      </c>
      <c r="E317" s="101" vm="1816">
        <f ca="1"/>
        <v>123.87</v>
      </c>
      <c r="F317" s="101" vm="1817">
        <f ca="1"/>
        <v>133.04</v>
      </c>
      <c r="G317" s="101" vm="1818">
        <f ca="1"/>
        <v>123.07</v>
      </c>
      <c r="H317" s="102" vm="1819">
        <f ca="1"/>
        <v>447820438</v>
      </c>
    </row>
    <row r="318" spans="3:8" x14ac:dyDescent="0.3">
      <c r="C318" s="100" vm="1820">
        <f ca="1"/>
        <v>44298</v>
      </c>
      <c r="D318" s="101" vm="1821">
        <f ca="1"/>
        <v>134.16</v>
      </c>
      <c r="E318" s="101" vm="1822">
        <f ca="1"/>
        <v>132.52000000000001</v>
      </c>
      <c r="F318" s="101" vm="1823">
        <f ca="1"/>
        <v>135</v>
      </c>
      <c r="G318" s="101" vm="1824">
        <f ca="1"/>
        <v>130.63</v>
      </c>
      <c r="H318" s="102" vm="1825">
        <f ca="1"/>
        <v>443891825</v>
      </c>
    </row>
    <row r="319" spans="3:8" x14ac:dyDescent="0.3">
      <c r="C319" s="100" vm="1826">
        <f ca="1"/>
        <v>44305</v>
      </c>
      <c r="D319" s="101" vm="1827">
        <f ca="1"/>
        <v>134.32</v>
      </c>
      <c r="E319" s="101" vm="1828">
        <f ca="1"/>
        <v>133.51</v>
      </c>
      <c r="F319" s="101" vm="1829">
        <f ca="1"/>
        <v>135.53</v>
      </c>
      <c r="G319" s="101" vm="1830">
        <f ca="1"/>
        <v>131.30009999999999</v>
      </c>
      <c r="H319" s="102" vm="1831">
        <f ca="1"/>
        <v>421246935</v>
      </c>
    </row>
    <row r="320" spans="3:8" x14ac:dyDescent="0.3">
      <c r="C320" s="100" vm="1832">
        <f ca="1"/>
        <v>44312</v>
      </c>
      <c r="D320" s="101" vm="1833">
        <f ca="1"/>
        <v>131.46</v>
      </c>
      <c r="E320" s="101" vm="1834">
        <f ca="1"/>
        <v>134.83000000000001</v>
      </c>
      <c r="F320" s="101" vm="1835">
        <f ca="1"/>
        <v>137.07</v>
      </c>
      <c r="G320" s="101" vm="1836">
        <f ca="1"/>
        <v>131.065</v>
      </c>
      <c r="H320" s="102" vm="1837">
        <f ca="1"/>
        <v>501621389</v>
      </c>
    </row>
    <row r="321" spans="3:8" x14ac:dyDescent="0.3">
      <c r="C321" s="100" vm="1838">
        <f ca="1"/>
        <v>44319</v>
      </c>
      <c r="D321" s="101" vm="1759">
        <f ca="1"/>
        <v>130.21</v>
      </c>
      <c r="E321" s="101" vm="1839">
        <f ca="1"/>
        <v>132.04</v>
      </c>
      <c r="F321" s="101" vm="1840">
        <f ca="1"/>
        <v>134.07</v>
      </c>
      <c r="G321" s="101" vm="1841">
        <f ca="1"/>
        <v>126.7</v>
      </c>
      <c r="H321" s="102" vm="1842">
        <f ca="1"/>
        <v>453802325</v>
      </c>
    </row>
    <row r="322" spans="3:8" x14ac:dyDescent="0.3">
      <c r="C322" s="100" vm="1843">
        <f ca="1"/>
        <v>44326</v>
      </c>
      <c r="D322" s="101" vm="1844">
        <f ca="1"/>
        <v>127.45</v>
      </c>
      <c r="E322" s="101" vm="1845">
        <f ca="1"/>
        <v>129.41</v>
      </c>
      <c r="F322" s="101" vm="1846">
        <f ca="1"/>
        <v>129.54</v>
      </c>
      <c r="G322" s="101" vm="1710">
        <f ca="1"/>
        <v>122.25</v>
      </c>
      <c r="H322" s="102" vm="1847">
        <f ca="1"/>
        <v>513411623</v>
      </c>
    </row>
    <row r="323" spans="3:8" x14ac:dyDescent="0.3">
      <c r="C323" s="100" vm="1848">
        <f ca="1"/>
        <v>44333</v>
      </c>
      <c r="D323" s="101" vm="1849">
        <f ca="1"/>
        <v>125.43</v>
      </c>
      <c r="E323" s="101" vm="1850">
        <f ca="1"/>
        <v>126.82</v>
      </c>
      <c r="F323" s="101" vm="1851">
        <f ca="1"/>
        <v>128</v>
      </c>
      <c r="G323" s="101" vm="1852">
        <f ca="1"/>
        <v>122.86</v>
      </c>
      <c r="H323" s="102" vm="1853">
        <f ca="1"/>
        <v>386352101</v>
      </c>
    </row>
    <row r="324" spans="3:8" x14ac:dyDescent="0.3">
      <c r="C324" s="100" vm="1854">
        <f ca="1"/>
        <v>44340</v>
      </c>
      <c r="D324" s="101" vm="1855">
        <f ca="1"/>
        <v>124.61</v>
      </c>
      <c r="E324" s="101" vm="1856">
        <f ca="1"/>
        <v>126.01</v>
      </c>
      <c r="F324" s="101" vm="1857">
        <f ca="1"/>
        <v>128.32</v>
      </c>
      <c r="G324" s="101" vm="1858">
        <f ca="1"/>
        <v>124.55</v>
      </c>
      <c r="H324" s="102" vm="1859">
        <f ca="1"/>
        <v>357615057</v>
      </c>
    </row>
    <row r="325" spans="3:8" x14ac:dyDescent="0.3">
      <c r="C325" s="100" vm="1860">
        <f ca="1"/>
        <v>44348</v>
      </c>
      <c r="D325" s="101" vm="1861">
        <f ca="1"/>
        <v>125.89</v>
      </c>
      <c r="E325" s="101" vm="1862">
        <f ca="1"/>
        <v>125.08</v>
      </c>
      <c r="F325" s="101" vm="1863">
        <f ca="1"/>
        <v>126.16</v>
      </c>
      <c r="G325" s="101" vm="1864">
        <f ca="1"/>
        <v>123.13</v>
      </c>
      <c r="H325" s="102" vm="1865">
        <f ca="1"/>
        <v>278314493</v>
      </c>
    </row>
    <row r="326" spans="3:8" x14ac:dyDescent="0.3">
      <c r="C326" s="100" vm="1866">
        <f ca="1"/>
        <v>44354</v>
      </c>
      <c r="D326" s="101" vm="1867">
        <f ca="1"/>
        <v>127.35</v>
      </c>
      <c r="E326" s="101" vm="1868">
        <f ca="1"/>
        <v>126.17</v>
      </c>
      <c r="F326" s="101" vm="1869">
        <f ca="1"/>
        <v>128.46</v>
      </c>
      <c r="G326" s="101" vm="1870">
        <f ca="1"/>
        <v>124.8321</v>
      </c>
      <c r="H326" s="102" vm="1871">
        <f ca="1"/>
        <v>327048055</v>
      </c>
    </row>
    <row r="327" spans="3:8" x14ac:dyDescent="0.3">
      <c r="C327" s="100" vm="1872">
        <f ca="1"/>
        <v>44361</v>
      </c>
      <c r="D327" s="101" vm="1873">
        <f ca="1"/>
        <v>130.46</v>
      </c>
      <c r="E327" s="101" vm="1874">
        <f ca="1"/>
        <v>127.82</v>
      </c>
      <c r="F327" s="101" vm="1875">
        <f ca="1"/>
        <v>132.55000000000001</v>
      </c>
      <c r="G327" s="101" vm="1876">
        <f ca="1"/>
        <v>127.07</v>
      </c>
      <c r="H327" s="102" vm="1877">
        <f ca="1"/>
        <v>454843491</v>
      </c>
    </row>
    <row r="328" spans="3:8" x14ac:dyDescent="0.3">
      <c r="C328" s="100" vm="1878">
        <f ca="1"/>
        <v>44368</v>
      </c>
      <c r="D328" s="101" vm="1879">
        <f ca="1"/>
        <v>133.11000000000001</v>
      </c>
      <c r="E328" s="101" vm="1880">
        <f ca="1"/>
        <v>130.30000000000001</v>
      </c>
      <c r="F328" s="101" vm="1881">
        <f ca="1"/>
        <v>134.63999999999999</v>
      </c>
      <c r="G328" s="101" vm="1882">
        <f ca="1"/>
        <v>129.21</v>
      </c>
      <c r="H328" s="102" vm="1883">
        <f ca="1"/>
        <v>354155878</v>
      </c>
    </row>
    <row r="329" spans="3:8" x14ac:dyDescent="0.3">
      <c r="C329" s="100" vm="1884">
        <f ca="1"/>
        <v>44375</v>
      </c>
      <c r="D329" s="101" vm="1885">
        <f ca="1"/>
        <v>139.96</v>
      </c>
      <c r="E329" s="101" vm="1886">
        <f ca="1"/>
        <v>133.41</v>
      </c>
      <c r="F329" s="101" vm="1887">
        <f ca="1"/>
        <v>140</v>
      </c>
      <c r="G329" s="101" vm="1888">
        <f ca="1"/>
        <v>133.35</v>
      </c>
      <c r="H329" s="102" vm="1889">
        <f ca="1"/>
        <v>321360130</v>
      </c>
    </row>
    <row r="330" spans="3:8" x14ac:dyDescent="0.3">
      <c r="C330" s="100" vm="1890">
        <f ca="1"/>
        <v>44383</v>
      </c>
      <c r="D330" s="101" vm="1891">
        <f ca="1"/>
        <v>145.11000000000001</v>
      </c>
      <c r="E330" s="101" vm="1892">
        <f ca="1"/>
        <v>140.07</v>
      </c>
      <c r="F330" s="101" vm="1893">
        <f ca="1"/>
        <v>145.65</v>
      </c>
      <c r="G330" s="101" vm="1892">
        <f ca="1"/>
        <v>140.07</v>
      </c>
      <c r="H330" s="102" vm="1894">
        <f ca="1"/>
        <v>418559640</v>
      </c>
    </row>
    <row r="331" spans="3:8" x14ac:dyDescent="0.3">
      <c r="C331" s="100" vm="1895">
        <f ca="1"/>
        <v>44389</v>
      </c>
      <c r="D331" s="101" vm="1896">
        <f ca="1"/>
        <v>146.38999999999999</v>
      </c>
      <c r="E331" s="101" vm="1897">
        <f ca="1"/>
        <v>146.21</v>
      </c>
      <c r="F331" s="101" vm="1898">
        <f ca="1"/>
        <v>150</v>
      </c>
      <c r="G331" s="101" vm="1899">
        <f ca="1"/>
        <v>143.63</v>
      </c>
      <c r="H331" s="102" vm="1900">
        <f ca="1"/>
        <v>504249326</v>
      </c>
    </row>
    <row r="332" spans="3:8" x14ac:dyDescent="0.3">
      <c r="C332" s="100" vm="1901">
        <f ca="1"/>
        <v>44396</v>
      </c>
      <c r="D332" s="101" vm="1902">
        <f ca="1"/>
        <v>148.56</v>
      </c>
      <c r="E332" s="101" vm="1903">
        <f ca="1"/>
        <v>143.75</v>
      </c>
      <c r="F332" s="101" vm="1904">
        <f ca="1"/>
        <v>148.71770000000001</v>
      </c>
      <c r="G332" s="101" vm="1905">
        <f ca="1"/>
        <v>141.66999999999999</v>
      </c>
      <c r="H332" s="102" vm="1906">
        <f ca="1"/>
        <v>441563639</v>
      </c>
    </row>
    <row r="333" spans="3:8" x14ac:dyDescent="0.3">
      <c r="C333" s="100" vm="1907">
        <f ca="1"/>
        <v>44403</v>
      </c>
      <c r="D333" s="101" vm="1908">
        <f ca="1"/>
        <v>145.86000000000001</v>
      </c>
      <c r="E333" s="101" vm="1909">
        <f ca="1"/>
        <v>148.27000000000001</v>
      </c>
      <c r="F333" s="101" vm="1910">
        <f ca="1"/>
        <v>149.83000000000001</v>
      </c>
      <c r="G333" s="101" vm="1911">
        <f ca="1"/>
        <v>142.54</v>
      </c>
      <c r="H333" s="102" vm="1912">
        <f ca="1"/>
        <v>423323959</v>
      </c>
    </row>
    <row r="334" spans="3:8" x14ac:dyDescent="0.3">
      <c r="C334" s="100" vm="1913">
        <f ca="1"/>
        <v>44410</v>
      </c>
      <c r="D334" s="101" vm="1914">
        <f ca="1"/>
        <v>146.13999999999999</v>
      </c>
      <c r="E334" s="101" vm="1915">
        <f ca="1"/>
        <v>146.36000000000001</v>
      </c>
      <c r="F334" s="101" vm="1916">
        <f ca="1"/>
        <v>148.04499999999999</v>
      </c>
      <c r="G334" s="101" vm="1917">
        <f ca="1"/>
        <v>145.18</v>
      </c>
      <c r="H334" s="102" vm="1918">
        <f ca="1"/>
        <v>284559337</v>
      </c>
    </row>
    <row r="335" spans="3:8" x14ac:dyDescent="0.3">
      <c r="C335" s="100" vm="1919">
        <f ca="1"/>
        <v>44417</v>
      </c>
      <c r="D335" s="101" vm="1920">
        <f ca="1"/>
        <v>149.1</v>
      </c>
      <c r="E335" s="101" vm="1921">
        <f ca="1"/>
        <v>146.19999999999999</v>
      </c>
      <c r="F335" s="101" vm="1922">
        <f ca="1"/>
        <v>149.4444</v>
      </c>
      <c r="G335" s="101" vm="1923">
        <f ca="1"/>
        <v>145.30000000000001</v>
      </c>
      <c r="H335" s="102" vm="1924">
        <f ca="1"/>
        <v>299579355</v>
      </c>
    </row>
    <row r="336" spans="3:8" x14ac:dyDescent="0.3">
      <c r="C336" s="100" vm="1925">
        <f ca="1"/>
        <v>44424</v>
      </c>
      <c r="D336" s="101" vm="1926">
        <f ca="1"/>
        <v>148.19</v>
      </c>
      <c r="E336" s="101" vm="1927">
        <f ca="1"/>
        <v>148.535</v>
      </c>
      <c r="F336" s="101" vm="1928">
        <f ca="1"/>
        <v>151.68</v>
      </c>
      <c r="G336" s="101" vm="1929">
        <f ca="1"/>
        <v>144.5</v>
      </c>
      <c r="H336" s="102" vm="1930">
        <f ca="1"/>
        <v>429624447</v>
      </c>
    </row>
    <row r="337" spans="3:8" x14ac:dyDescent="0.3">
      <c r="C337" s="100" vm="1931">
        <f ca="1"/>
        <v>44431</v>
      </c>
      <c r="D337" s="101" vm="1932">
        <f ca="1"/>
        <v>148.6</v>
      </c>
      <c r="E337" s="101" vm="1933">
        <f ca="1"/>
        <v>148.31</v>
      </c>
      <c r="F337" s="101" vm="1934">
        <f ca="1"/>
        <v>150.86000000000001</v>
      </c>
      <c r="G337" s="101" vm="1935">
        <f ca="1"/>
        <v>146.83000000000001</v>
      </c>
      <c r="H337" s="102" vm="1936">
        <f ca="1"/>
        <v>272129118</v>
      </c>
    </row>
    <row r="338" spans="3:8" x14ac:dyDescent="0.3">
      <c r="C338" s="100" vm="1937">
        <f ca="1"/>
        <v>44438</v>
      </c>
      <c r="D338" s="101" vm="1938">
        <f ca="1"/>
        <v>154.30000000000001</v>
      </c>
      <c r="E338" s="101" vm="1939">
        <f ca="1"/>
        <v>149</v>
      </c>
      <c r="F338" s="101" vm="1940">
        <f ca="1"/>
        <v>154.97999999999999</v>
      </c>
      <c r="G338" s="101" vm="1941">
        <f ca="1"/>
        <v>148.61000000000001</v>
      </c>
      <c r="H338" s="102" vm="1942">
        <f ca="1"/>
        <v>386760934</v>
      </c>
    </row>
    <row r="339" spans="3:8" x14ac:dyDescent="0.3">
      <c r="C339" s="100" vm="1943">
        <f ca="1"/>
        <v>44446</v>
      </c>
      <c r="D339" s="101" vm="1944">
        <f ca="1"/>
        <v>148.97</v>
      </c>
      <c r="E339" s="101" vm="1945">
        <f ca="1"/>
        <v>154.97</v>
      </c>
      <c r="F339" s="101" vm="1946">
        <f ca="1"/>
        <v>157.26</v>
      </c>
      <c r="G339" s="101" vm="1947">
        <f ca="1"/>
        <v>148.69999999999999</v>
      </c>
      <c r="H339" s="102" vm="1948">
        <f ca="1"/>
        <v>354897433</v>
      </c>
    </row>
    <row r="340" spans="3:8" x14ac:dyDescent="0.3">
      <c r="C340" s="100" vm="1949">
        <f ca="1"/>
        <v>44452</v>
      </c>
      <c r="D340" s="101" vm="1950">
        <f ca="1"/>
        <v>146.06</v>
      </c>
      <c r="E340" s="101" vm="1951">
        <f ca="1"/>
        <v>150.63</v>
      </c>
      <c r="F340" s="101" vm="1952">
        <f ca="1"/>
        <v>151.41999999999999</v>
      </c>
      <c r="G340" s="101" vm="1953">
        <f ca="1"/>
        <v>145.76</v>
      </c>
      <c r="H340" s="102" vm="1954">
        <f ca="1"/>
        <v>492884912</v>
      </c>
    </row>
    <row r="341" spans="3:8" x14ac:dyDescent="0.3">
      <c r="C341" s="100" vm="1955">
        <f ca="1"/>
        <v>44459</v>
      </c>
      <c r="D341" s="101" vm="1956">
        <f ca="1"/>
        <v>146.91999999999999</v>
      </c>
      <c r="E341" s="101" vm="1957">
        <f ca="1"/>
        <v>143.80000000000001</v>
      </c>
      <c r="F341" s="101" vm="1958">
        <f ca="1"/>
        <v>147.4701</v>
      </c>
      <c r="G341" s="101" vm="1959">
        <f ca="1"/>
        <v>141.27000000000001</v>
      </c>
      <c r="H341" s="102" vm="1960">
        <f ca="1"/>
        <v>394033205</v>
      </c>
    </row>
    <row r="342" spans="3:8" x14ac:dyDescent="0.3">
      <c r="C342" s="100" vm="1961">
        <f ca="1"/>
        <v>44466</v>
      </c>
      <c r="D342" s="101" vm="1962">
        <f ca="1"/>
        <v>142.65</v>
      </c>
      <c r="E342" s="101" vm="1963">
        <f ca="1"/>
        <v>145.47</v>
      </c>
      <c r="F342" s="101" vm="1964">
        <f ca="1"/>
        <v>145.96</v>
      </c>
      <c r="G342" s="101" vm="1965">
        <f ca="1"/>
        <v>139.11009999999999</v>
      </c>
      <c r="H342" s="102" vm="1966">
        <f ca="1"/>
        <v>441421358</v>
      </c>
    </row>
    <row r="343" spans="3:8" x14ac:dyDescent="0.3">
      <c r="C343" s="100" vm="1967">
        <f ca="1"/>
        <v>44473</v>
      </c>
      <c r="D343" s="101" vm="1968">
        <f ca="1"/>
        <v>142.9</v>
      </c>
      <c r="E343" s="101" vm="1969">
        <f ca="1"/>
        <v>141.76</v>
      </c>
      <c r="F343" s="101" vm="1970">
        <f ca="1"/>
        <v>144.215</v>
      </c>
      <c r="G343" s="101" vm="1971">
        <f ca="1"/>
        <v>138.27000000000001</v>
      </c>
      <c r="H343" s="102" vm="1972">
        <f ca="1"/>
        <v>382910000</v>
      </c>
    </row>
    <row r="344" spans="3:8" x14ac:dyDescent="0.3">
      <c r="C344" s="100" vm="1973">
        <f ca="1"/>
        <v>44480</v>
      </c>
      <c r="D344" s="101" vm="1974">
        <f ca="1"/>
        <v>144.84</v>
      </c>
      <c r="E344" s="101" vm="1975">
        <f ca="1"/>
        <v>142.27000000000001</v>
      </c>
      <c r="F344" s="101" vm="1976">
        <f ca="1"/>
        <v>144.89500000000001</v>
      </c>
      <c r="G344" s="101" vm="1977">
        <f ca="1"/>
        <v>139.19999999999999</v>
      </c>
      <c r="H344" s="102" vm="1978">
        <f ca="1"/>
        <v>354098233</v>
      </c>
    </row>
    <row r="345" spans="3:8" x14ac:dyDescent="0.3">
      <c r="C345" s="100" vm="1979">
        <f ca="1"/>
        <v>44487</v>
      </c>
      <c r="D345" s="101" vm="1980">
        <f ca="1"/>
        <v>148.69</v>
      </c>
      <c r="E345" s="101" vm="1981">
        <f ca="1"/>
        <v>143.44499999999999</v>
      </c>
      <c r="F345" s="101" vm="1982">
        <f ca="1"/>
        <v>150.18</v>
      </c>
      <c r="G345" s="101" vm="1983">
        <f ca="1"/>
        <v>143.16</v>
      </c>
      <c r="H345" s="102" vm="1984">
        <f ca="1"/>
        <v>340691290</v>
      </c>
    </row>
    <row r="346" spans="3:8" x14ac:dyDescent="0.3">
      <c r="C346" s="100" vm="1985">
        <f ca="1"/>
        <v>44494</v>
      </c>
      <c r="D346" s="101" vm="1986">
        <f ca="1"/>
        <v>149.80000000000001</v>
      </c>
      <c r="E346" s="101" vm="1987">
        <f ca="1"/>
        <v>148.68</v>
      </c>
      <c r="F346" s="101" vm="1988">
        <f ca="1"/>
        <v>153.16499999999999</v>
      </c>
      <c r="G346" s="101" vm="1989">
        <f ca="1"/>
        <v>146.4128</v>
      </c>
      <c r="H346" s="102" vm="1990">
        <f ca="1"/>
        <v>392739936</v>
      </c>
    </row>
    <row r="347" spans="3:8" x14ac:dyDescent="0.3">
      <c r="C347" s="100" vm="1991">
        <f ca="1"/>
        <v>44501</v>
      </c>
      <c r="D347" s="101" vm="1992">
        <f ca="1"/>
        <v>151.28</v>
      </c>
      <c r="E347" s="101" vm="1993">
        <f ca="1"/>
        <v>148.98500000000001</v>
      </c>
      <c r="F347" s="101" vm="1994">
        <f ca="1"/>
        <v>152.43</v>
      </c>
      <c r="G347" s="101" vm="1995">
        <f ca="1"/>
        <v>147.80000000000001</v>
      </c>
      <c r="H347" s="102" vm="1996">
        <f ca="1"/>
        <v>324080278</v>
      </c>
    </row>
    <row r="348" spans="3:8" x14ac:dyDescent="0.3">
      <c r="C348" s="100" vm="1997">
        <f ca="1"/>
        <v>44508</v>
      </c>
      <c r="D348" s="101" vm="1998">
        <f ca="1"/>
        <v>149.99</v>
      </c>
      <c r="E348" s="101" vm="1999">
        <f ca="1"/>
        <v>151.41</v>
      </c>
      <c r="F348" s="101" vm="2000">
        <f ca="1"/>
        <v>151.57</v>
      </c>
      <c r="G348" s="101" vm="2001">
        <f ca="1"/>
        <v>147.47999999999999</v>
      </c>
      <c r="H348" s="102" vm="2002">
        <f ca="1"/>
        <v>281799848</v>
      </c>
    </row>
    <row r="349" spans="3:8" x14ac:dyDescent="0.3">
      <c r="C349" s="100" vm="2003">
        <f ca="1"/>
        <v>44515</v>
      </c>
      <c r="D349" s="101" vm="2004">
        <f ca="1"/>
        <v>160.55000000000001</v>
      </c>
      <c r="E349" s="101" vm="2005">
        <f ca="1"/>
        <v>150.37</v>
      </c>
      <c r="F349" s="101" vm="2006">
        <f ca="1"/>
        <v>161.02000000000001</v>
      </c>
      <c r="G349" s="101" vm="2007">
        <f ca="1"/>
        <v>149.34</v>
      </c>
      <c r="H349" s="102" vm="2008">
        <f ca="1"/>
        <v>462419283</v>
      </c>
    </row>
    <row r="350" spans="3:8" x14ac:dyDescent="0.3">
      <c r="C350" s="100" vm="2009">
        <f ca="1"/>
        <v>44522</v>
      </c>
      <c r="D350" s="101" vm="2010">
        <f ca="1"/>
        <v>156.81</v>
      </c>
      <c r="E350" s="101" vm="2011">
        <f ca="1"/>
        <v>161.68</v>
      </c>
      <c r="F350" s="101" vm="2012">
        <f ca="1"/>
        <v>165.7</v>
      </c>
      <c r="G350" s="101" vm="2013">
        <f ca="1"/>
        <v>156.36000000000001</v>
      </c>
      <c r="H350" s="102" vm="2014">
        <f ca="1"/>
        <v>359933163</v>
      </c>
    </row>
    <row r="351" spans="3:8" x14ac:dyDescent="0.3">
      <c r="C351" s="100" vm="2015">
        <f ca="1"/>
        <v>44529</v>
      </c>
      <c r="D351" s="101" vm="2016">
        <f ca="1"/>
        <v>161.84</v>
      </c>
      <c r="E351" s="101" vm="2017">
        <f ca="1"/>
        <v>159.37</v>
      </c>
      <c r="F351" s="101" vm="2018">
        <f ca="1"/>
        <v>170.3</v>
      </c>
      <c r="G351" s="101" vm="2019">
        <f ca="1"/>
        <v>157.80000000000001</v>
      </c>
      <c r="H351" s="102" vm="2020">
        <f ca="1"/>
        <v>669981566</v>
      </c>
    </row>
    <row r="352" spans="3:8" x14ac:dyDescent="0.3">
      <c r="C352" s="100" vm="2021">
        <f ca="1"/>
        <v>44536</v>
      </c>
      <c r="D352" s="101" vm="2022">
        <f ca="1"/>
        <v>179.45</v>
      </c>
      <c r="E352" s="101" vm="2023">
        <f ca="1"/>
        <v>164.29</v>
      </c>
      <c r="F352" s="101" vm="2024">
        <f ca="1"/>
        <v>179.63</v>
      </c>
      <c r="G352" s="101" vm="2025">
        <f ca="1"/>
        <v>164.28</v>
      </c>
      <c r="H352" s="102" vm="2026">
        <f ca="1"/>
        <v>569227705</v>
      </c>
    </row>
    <row r="353" spans="3:8" x14ac:dyDescent="0.3">
      <c r="C353" s="100" vm="2027">
        <f ca="1"/>
        <v>44543</v>
      </c>
      <c r="D353" s="101" vm="2028">
        <f ca="1"/>
        <v>171.14</v>
      </c>
      <c r="E353" s="101" vm="2029">
        <f ca="1"/>
        <v>181.11500000000001</v>
      </c>
      <c r="F353" s="101" vm="2030">
        <f ca="1"/>
        <v>182.13</v>
      </c>
      <c r="G353" s="101" vm="2031">
        <f ca="1"/>
        <v>169.69</v>
      </c>
      <c r="H353" s="102" vm="2032">
        <f ca="1"/>
        <v>769789942</v>
      </c>
    </row>
    <row r="354" spans="3:8" x14ac:dyDescent="0.3">
      <c r="C354" s="100" vm="2033">
        <f ca="1"/>
        <v>44550</v>
      </c>
      <c r="D354" s="101" vm="2034">
        <f ca="1"/>
        <v>176.28</v>
      </c>
      <c r="E354" s="101" vm="2035">
        <f ca="1"/>
        <v>168.28</v>
      </c>
      <c r="F354" s="101" vm="2036">
        <f ca="1"/>
        <v>176.84989999999999</v>
      </c>
      <c r="G354" s="101" vm="2037">
        <f ca="1"/>
        <v>167.46</v>
      </c>
      <c r="H354" s="102" vm="2038">
        <f ca="1"/>
        <v>359176889</v>
      </c>
    </row>
    <row r="355" spans="3:8" x14ac:dyDescent="0.3">
      <c r="C355" s="100" vm="2039">
        <f ca="1"/>
        <v>44557</v>
      </c>
      <c r="D355" s="101" vm="2040">
        <f ca="1"/>
        <v>177.57</v>
      </c>
      <c r="E355" s="101" vm="2041">
        <f ca="1"/>
        <v>177.08500000000001</v>
      </c>
      <c r="F355" s="101" vm="2042">
        <f ca="1"/>
        <v>181.33</v>
      </c>
      <c r="G355" s="101" vm="2043">
        <f ca="1"/>
        <v>177.07</v>
      </c>
      <c r="H355" s="102" vm="2044">
        <f ca="1"/>
        <v>340248127</v>
      </c>
    </row>
    <row r="356" spans="3:8" x14ac:dyDescent="0.3">
      <c r="C356" s="100" vm="2045">
        <f ca="1"/>
        <v>44564</v>
      </c>
      <c r="D356" s="101" vm="2046">
        <f ca="1"/>
        <v>172.17</v>
      </c>
      <c r="E356" s="101" vm="2047">
        <f ca="1"/>
        <v>177.83</v>
      </c>
      <c r="F356" s="101" vm="2048">
        <f ca="1"/>
        <v>182.94</v>
      </c>
      <c r="G356" s="101" vm="2049">
        <f ca="1"/>
        <v>171.03</v>
      </c>
      <c r="H356" s="102" vm="2050">
        <f ca="1"/>
        <v>482162362</v>
      </c>
    </row>
    <row r="357" spans="3:8" x14ac:dyDescent="0.3">
      <c r="C357" s="100" vm="2051">
        <f ca="1"/>
        <v>44571</v>
      </c>
      <c r="D357" s="101" vm="2052">
        <f ca="1"/>
        <v>173.07</v>
      </c>
      <c r="E357" s="101" vm="2053">
        <f ca="1"/>
        <v>169.08</v>
      </c>
      <c r="F357" s="101" vm="2054">
        <f ca="1"/>
        <v>177.18</v>
      </c>
      <c r="G357" s="101" vm="2055">
        <f ca="1"/>
        <v>168.17</v>
      </c>
      <c r="H357" s="102" vm="2056">
        <f ca="1"/>
        <v>422655577</v>
      </c>
    </row>
    <row r="358" spans="3:8" x14ac:dyDescent="0.3">
      <c r="C358" s="100" vm="2057">
        <f ca="1"/>
        <v>44579</v>
      </c>
      <c r="D358" s="101" vm="2058">
        <f ca="1"/>
        <v>162.41</v>
      </c>
      <c r="E358" s="101" vm="2059">
        <f ca="1"/>
        <v>171.51</v>
      </c>
      <c r="F358" s="101" vm="2060">
        <f ca="1"/>
        <v>172.54</v>
      </c>
      <c r="G358" s="101" vm="2061">
        <f ca="1"/>
        <v>162.30000000000001</v>
      </c>
      <c r="H358" s="102" vm="2062">
        <f ca="1"/>
        <v>400253092</v>
      </c>
    </row>
    <row r="359" spans="3:8" x14ac:dyDescent="0.3">
      <c r="C359" s="100" vm="2063">
        <f ca="1"/>
        <v>44585</v>
      </c>
      <c r="D359" s="101" vm="2064">
        <f ca="1"/>
        <v>170.33</v>
      </c>
      <c r="E359" s="101" vm="2065">
        <f ca="1"/>
        <v>160.02000000000001</v>
      </c>
      <c r="F359" s="101" vm="2066">
        <f ca="1"/>
        <v>170.35</v>
      </c>
      <c r="G359" s="101" vm="2067">
        <f ca="1"/>
        <v>154.69999999999999</v>
      </c>
      <c r="H359" s="102" vm="2068">
        <f ca="1"/>
        <v>688670659</v>
      </c>
    </row>
    <row r="360" spans="3:8" x14ac:dyDescent="0.3">
      <c r="C360" s="100" vm="2069">
        <f ca="1"/>
        <v>44592</v>
      </c>
      <c r="D360" s="101" vm="2070">
        <f ca="1"/>
        <v>172.39</v>
      </c>
      <c r="E360" s="101" vm="2071">
        <f ca="1"/>
        <v>170.16</v>
      </c>
      <c r="F360" s="101" vm="2072">
        <f ca="1"/>
        <v>176.23990000000001</v>
      </c>
      <c r="G360" s="101" vm="2073">
        <f ca="1"/>
        <v>169.51</v>
      </c>
      <c r="H360" s="102" vm="2074">
        <f ca="1"/>
        <v>458553231</v>
      </c>
    </row>
    <row r="361" spans="3:8" x14ac:dyDescent="0.3">
      <c r="C361" s="100" vm="2075">
        <f ca="1"/>
        <v>44599</v>
      </c>
      <c r="D361" s="101" vm="2076">
        <f ca="1"/>
        <v>168.64</v>
      </c>
      <c r="E361" s="101" vm="2077">
        <f ca="1"/>
        <v>172.86</v>
      </c>
      <c r="F361" s="101" vm="2078">
        <f ca="1"/>
        <v>176.65</v>
      </c>
      <c r="G361" s="101" vm="2079">
        <f ca="1"/>
        <v>168.04</v>
      </c>
      <c r="H361" s="102" vm="2080">
        <f ca="1"/>
        <v>412902045</v>
      </c>
    </row>
    <row r="362" spans="3:8" x14ac:dyDescent="0.3">
      <c r="C362" s="100" vm="2081">
        <f ca="1"/>
        <v>44606</v>
      </c>
      <c r="D362" s="101" vm="2082">
        <f ca="1"/>
        <v>167.3</v>
      </c>
      <c r="E362" s="101" vm="2083">
        <f ca="1"/>
        <v>167.37</v>
      </c>
      <c r="F362" s="101" vm="2084">
        <f ca="1"/>
        <v>173.34</v>
      </c>
      <c r="G362" s="101" vm="2085">
        <f ca="1"/>
        <v>166.19</v>
      </c>
      <c r="H362" s="102" vm="2086">
        <f ca="1"/>
        <v>364011266</v>
      </c>
    </row>
    <row r="363" spans="3:8" x14ac:dyDescent="0.3">
      <c r="C363" s="100" vm="2087">
        <f ca="1"/>
        <v>44614</v>
      </c>
      <c r="D363" s="101" vm="2088">
        <f ca="1"/>
        <v>164.85</v>
      </c>
      <c r="E363" s="101" vm="2089">
        <f ca="1"/>
        <v>164.98</v>
      </c>
      <c r="F363" s="101" vm="2090">
        <f ca="1"/>
        <v>166.69</v>
      </c>
      <c r="G363" s="101" vm="2091">
        <f ca="1"/>
        <v>152</v>
      </c>
      <c r="H363" s="102" vm="2092">
        <f ca="1"/>
        <v>414293767</v>
      </c>
    </row>
    <row r="364" spans="3:8" x14ac:dyDescent="0.3">
      <c r="C364" s="100" vm="2093">
        <f ca="1"/>
        <v>44620</v>
      </c>
      <c r="D364" s="101" vm="2094">
        <f ca="1"/>
        <v>163.16999999999999</v>
      </c>
      <c r="E364" s="101" vm="2095">
        <f ca="1"/>
        <v>163.06</v>
      </c>
      <c r="F364" s="101" vm="2096">
        <f ca="1"/>
        <v>168.91</v>
      </c>
      <c r="G364" s="101" vm="2097">
        <f ca="1"/>
        <v>161.97</v>
      </c>
      <c r="H364" s="102" vm="2098">
        <f ca="1"/>
        <v>418753837</v>
      </c>
    </row>
    <row r="365" spans="3:8" x14ac:dyDescent="0.3">
      <c r="C365" s="100" vm="2099">
        <f ca="1"/>
        <v>44627</v>
      </c>
      <c r="D365" s="101" vm="2100">
        <f ca="1"/>
        <v>154.72999999999999</v>
      </c>
      <c r="E365" s="101" vm="2101">
        <f ca="1"/>
        <v>163.36000000000001</v>
      </c>
      <c r="F365" s="101" vm="2102">
        <f ca="1"/>
        <v>165.02</v>
      </c>
      <c r="G365" s="101" vm="2103">
        <f ca="1"/>
        <v>154.5</v>
      </c>
      <c r="H365" s="102" vm="2104">
        <f ca="1"/>
        <v>521334165</v>
      </c>
    </row>
    <row r="366" spans="3:8" x14ac:dyDescent="0.3">
      <c r="C366" s="100" vm="2105">
        <f ca="1"/>
        <v>44634</v>
      </c>
      <c r="D366" s="101" vm="2106">
        <f ca="1"/>
        <v>163.98</v>
      </c>
      <c r="E366" s="101" vm="2107">
        <f ca="1"/>
        <v>151.44999999999999</v>
      </c>
      <c r="F366" s="101" vm="2108">
        <f ca="1"/>
        <v>164.48</v>
      </c>
      <c r="G366" s="101" vm="2109">
        <f ca="1"/>
        <v>150.1</v>
      </c>
      <c r="H366" s="102" vm="2110">
        <f ca="1"/>
        <v>503123638</v>
      </c>
    </row>
    <row r="367" spans="3:8" x14ac:dyDescent="0.3">
      <c r="C367" s="100" vm="2111">
        <f ca="1"/>
        <v>44641</v>
      </c>
      <c r="D367" s="101" vm="2112">
        <f ca="1"/>
        <v>174.72</v>
      </c>
      <c r="E367" s="101" vm="2113">
        <f ca="1"/>
        <v>163.51</v>
      </c>
      <c r="F367" s="101" vm="2114">
        <f ca="1"/>
        <v>175.28</v>
      </c>
      <c r="G367" s="101" vm="2115">
        <f ca="1"/>
        <v>163.01499999999999</v>
      </c>
      <c r="H367" s="102" vm="2116">
        <f ca="1"/>
        <v>446083607</v>
      </c>
    </row>
    <row r="368" spans="3:8" x14ac:dyDescent="0.3">
      <c r="C368" s="100" vm="2117">
        <f ca="1"/>
        <v>44648</v>
      </c>
      <c r="D368" s="101" vm="2118">
        <f ca="1"/>
        <v>174.31</v>
      </c>
      <c r="E368" s="101" vm="2046">
        <f ca="1"/>
        <v>172.17</v>
      </c>
      <c r="F368" s="101" vm="2119">
        <f ca="1"/>
        <v>179.61</v>
      </c>
      <c r="G368" s="101" vm="2120">
        <f ca="1"/>
        <v>171.94</v>
      </c>
      <c r="H368" s="102" vm="2121">
        <f ca="1"/>
        <v>465395123</v>
      </c>
    </row>
    <row r="369" spans="3:8" x14ac:dyDescent="0.3">
      <c r="C369" s="100" vm="2122">
        <f ca="1"/>
        <v>44655</v>
      </c>
      <c r="D369" s="101" vm="2123">
        <f ca="1"/>
        <v>170.09</v>
      </c>
      <c r="E369" s="101" vm="2124">
        <f ca="1"/>
        <v>174.57</v>
      </c>
      <c r="F369" s="101" vm="2125">
        <f ca="1"/>
        <v>178.49</v>
      </c>
      <c r="G369" s="101" vm="2126">
        <f ca="1"/>
        <v>169.2</v>
      </c>
      <c r="H369" s="102" vm="2127">
        <f ca="1"/>
        <v>393176709</v>
      </c>
    </row>
    <row r="370" spans="3:8" x14ac:dyDescent="0.3">
      <c r="C370" s="100" vm="2128">
        <f ca="1"/>
        <v>44662</v>
      </c>
      <c r="D370" s="101" vm="2129">
        <f ca="1"/>
        <v>165.29</v>
      </c>
      <c r="E370" s="101" vm="2130">
        <f ca="1"/>
        <v>168.71</v>
      </c>
      <c r="F370" s="101" vm="2131">
        <f ca="1"/>
        <v>171.27</v>
      </c>
      <c r="G370" s="101" vm="2132">
        <f ca="1"/>
        <v>165.04</v>
      </c>
      <c r="H370" s="102" vm="2133">
        <f ca="1"/>
        <v>297460188</v>
      </c>
    </row>
    <row r="371" spans="3:8" x14ac:dyDescent="0.3">
      <c r="C371" s="100" vm="2134">
        <f ca="1"/>
        <v>44669</v>
      </c>
      <c r="D371" s="101" vm="2135">
        <f ca="1"/>
        <v>161.79</v>
      </c>
      <c r="E371" s="101" vm="2136">
        <f ca="1"/>
        <v>163.92</v>
      </c>
      <c r="F371" s="101" vm="2137">
        <f ca="1"/>
        <v>171.53</v>
      </c>
      <c r="G371" s="101" vm="2138">
        <f ca="1"/>
        <v>161.5</v>
      </c>
      <c r="H371" s="102" vm="2139">
        <f ca="1"/>
        <v>376787780</v>
      </c>
    </row>
    <row r="372" spans="3:8" x14ac:dyDescent="0.3">
      <c r="C372" s="100" vm="2140">
        <f ca="1"/>
        <v>44676</v>
      </c>
      <c r="D372" s="101" vm="2141">
        <f ca="1"/>
        <v>157.65</v>
      </c>
      <c r="E372" s="101" vm="2142">
        <f ca="1"/>
        <v>161.12</v>
      </c>
      <c r="F372" s="101" vm="2143">
        <f ca="1"/>
        <v>166.2</v>
      </c>
      <c r="G372" s="101" vm="2144">
        <f ca="1"/>
        <v>155.38</v>
      </c>
      <c r="H372" s="102" vm="2145">
        <f ca="1"/>
        <v>541697170</v>
      </c>
    </row>
    <row r="373" spans="3:8" x14ac:dyDescent="0.3">
      <c r="C373" s="100" vm="2146">
        <f ca="1"/>
        <v>44683</v>
      </c>
      <c r="D373" s="101" vm="2147">
        <f ca="1"/>
        <v>157.28</v>
      </c>
      <c r="E373" s="101" vm="2148">
        <f ca="1"/>
        <v>156.71</v>
      </c>
      <c r="F373" s="101" vm="2149">
        <f ca="1"/>
        <v>166.48</v>
      </c>
      <c r="G373" s="101" vm="2150">
        <f ca="1"/>
        <v>153.27000000000001</v>
      </c>
      <c r="H373" s="102" vm="2151">
        <f ca="1"/>
        <v>566928216</v>
      </c>
    </row>
    <row r="374" spans="3:8" x14ac:dyDescent="0.3">
      <c r="C374" s="100" vm="2152">
        <f ca="1"/>
        <v>44690</v>
      </c>
      <c r="D374" s="101" vm="2153">
        <f ca="1"/>
        <v>147.11000000000001</v>
      </c>
      <c r="E374" s="101" vm="2154">
        <f ca="1"/>
        <v>154.92500000000001</v>
      </c>
      <c r="F374" s="101" vm="2155">
        <f ca="1"/>
        <v>156.74</v>
      </c>
      <c r="G374" s="101" vm="2156">
        <f ca="1"/>
        <v>138.80000000000001</v>
      </c>
      <c r="H374" s="102" vm="2157">
        <f ca="1"/>
        <v>686227375</v>
      </c>
    </row>
    <row r="375" spans="3:8" x14ac:dyDescent="0.3">
      <c r="C375" s="100" vm="2158">
        <f ca="1"/>
        <v>44697</v>
      </c>
      <c r="D375" s="101" vm="2159">
        <f ca="1"/>
        <v>137.59</v>
      </c>
      <c r="E375" s="101" vm="2160">
        <f ca="1"/>
        <v>145.55000000000001</v>
      </c>
      <c r="F375" s="101" vm="2161">
        <f ca="1"/>
        <v>149.77000000000001</v>
      </c>
      <c r="G375" s="101" vm="2162">
        <f ca="1"/>
        <v>132.61000000000001</v>
      </c>
      <c r="H375" s="102" vm="2163">
        <f ca="1"/>
        <v>548244690</v>
      </c>
    </row>
    <row r="376" spans="3:8" x14ac:dyDescent="0.3">
      <c r="C376" s="100" vm="2164">
        <f ca="1"/>
        <v>44704</v>
      </c>
      <c r="D376" s="101" vm="2165">
        <f ca="1"/>
        <v>149.63999999999999</v>
      </c>
      <c r="E376" s="101" vm="2166">
        <f ca="1"/>
        <v>137.79</v>
      </c>
      <c r="F376" s="101" vm="2167">
        <f ca="1"/>
        <v>149.68</v>
      </c>
      <c r="G376" s="101" vm="2168">
        <f ca="1"/>
        <v>137.13999999999999</v>
      </c>
      <c r="H376" s="102" vm="2169">
        <f ca="1"/>
        <v>495921758</v>
      </c>
    </row>
    <row r="377" spans="3:8" x14ac:dyDescent="0.3">
      <c r="C377" s="100" vm="2170">
        <f ca="1"/>
        <v>44712</v>
      </c>
      <c r="D377" s="101" vm="2171">
        <f ca="1"/>
        <v>145.38</v>
      </c>
      <c r="E377" s="101" vm="2172">
        <f ca="1"/>
        <v>149.07</v>
      </c>
      <c r="F377" s="101" vm="2173">
        <f ca="1"/>
        <v>151.74</v>
      </c>
      <c r="G377" s="101" vm="2174">
        <f ca="1"/>
        <v>144.46</v>
      </c>
      <c r="H377" s="102" vm="2175">
        <f ca="1"/>
        <v>338923395</v>
      </c>
    </row>
    <row r="378" spans="3:8" x14ac:dyDescent="0.3">
      <c r="C378" s="100" vm="2176">
        <f ca="1"/>
        <v>44718</v>
      </c>
      <c r="D378" s="101" vm="2177">
        <f ca="1"/>
        <v>137.13</v>
      </c>
      <c r="E378" s="101" vm="2178">
        <f ca="1"/>
        <v>147.03</v>
      </c>
      <c r="F378" s="101" vm="2179">
        <f ca="1"/>
        <v>149.86969999999999</v>
      </c>
      <c r="G378" s="101" vm="2180">
        <f ca="1"/>
        <v>137.06</v>
      </c>
      <c r="H378" s="102" vm="2181">
        <f ca="1"/>
        <v>354396344</v>
      </c>
    </row>
    <row r="379" spans="3:8" x14ac:dyDescent="0.3">
      <c r="C379" s="100" vm="2182">
        <f ca="1"/>
        <v>44725</v>
      </c>
      <c r="D379" s="101" vm="2183">
        <f ca="1"/>
        <v>131.56</v>
      </c>
      <c r="E379" s="101" vm="2184">
        <f ca="1"/>
        <v>132.87</v>
      </c>
      <c r="F379" s="101" vm="2185">
        <f ca="1"/>
        <v>137.34</v>
      </c>
      <c r="G379" s="101" vm="2186">
        <f ca="1"/>
        <v>129.04</v>
      </c>
      <c r="H379" s="102" vm="2187">
        <f ca="1"/>
        <v>541006195</v>
      </c>
    </row>
    <row r="380" spans="3:8" x14ac:dyDescent="0.3">
      <c r="C380" s="100" vm="2188">
        <f ca="1"/>
        <v>44733</v>
      </c>
      <c r="D380" s="101" vm="2189">
        <f ca="1"/>
        <v>141.66</v>
      </c>
      <c r="E380" s="101" vm="2190">
        <f ca="1"/>
        <v>133.41999999999999</v>
      </c>
      <c r="F380" s="101" vm="2191">
        <f ca="1"/>
        <v>141.91</v>
      </c>
      <c r="G380" s="101" vm="2192">
        <f ca="1"/>
        <v>133.32</v>
      </c>
      <c r="H380" s="102" vm="2193">
        <f ca="1"/>
        <v>315960327</v>
      </c>
    </row>
    <row r="381" spans="3:8" x14ac:dyDescent="0.3">
      <c r="C381" s="100" vm="2194">
        <f ca="1"/>
        <v>44739</v>
      </c>
      <c r="D381" s="101" vm="2195">
        <f ca="1"/>
        <v>138.93</v>
      </c>
      <c r="E381" s="101" vm="2196">
        <f ca="1"/>
        <v>142.69499999999999</v>
      </c>
      <c r="F381" s="101" vm="2197">
        <f ca="1"/>
        <v>143.49</v>
      </c>
      <c r="G381" s="101" vm="2198">
        <f ca="1"/>
        <v>133.77369999999999</v>
      </c>
      <c r="H381" s="102" vm="2199">
        <f ca="1"/>
        <v>373781666</v>
      </c>
    </row>
    <row r="382" spans="3:8" x14ac:dyDescent="0.3">
      <c r="C382" s="100" vm="2200">
        <f ca="1"/>
        <v>44747</v>
      </c>
      <c r="D382" s="101" vm="2201">
        <f ca="1"/>
        <v>147.04</v>
      </c>
      <c r="E382" s="101" vm="2202">
        <f ca="1"/>
        <v>137.77000000000001</v>
      </c>
      <c r="F382" s="101" vm="2203">
        <f ca="1"/>
        <v>147.55000000000001</v>
      </c>
      <c r="G382" s="101" vm="2204">
        <f ca="1"/>
        <v>136.93</v>
      </c>
      <c r="H382" s="102" vm="2205">
        <f ca="1"/>
        <v>278295402</v>
      </c>
    </row>
    <row r="383" spans="3:8" x14ac:dyDescent="0.3">
      <c r="C383" s="100" vm="2206">
        <f ca="1"/>
        <v>44753</v>
      </c>
      <c r="D383" s="101" vm="2207">
        <f ca="1"/>
        <v>150.16999999999999</v>
      </c>
      <c r="E383" s="101" vm="2208">
        <f ca="1"/>
        <v>145.66999999999999</v>
      </c>
      <c r="F383" s="101" vm="1934">
        <f ca="1"/>
        <v>150.86000000000001</v>
      </c>
      <c r="G383" s="101" vm="2209">
        <f ca="1"/>
        <v>142.12010000000001</v>
      </c>
      <c r="H383" s="102" vm="2210">
        <f ca="1"/>
        <v>366480107</v>
      </c>
    </row>
    <row r="384" spans="3:8" x14ac:dyDescent="0.3">
      <c r="C384" s="100" vm="2211">
        <f ca="1"/>
        <v>44760</v>
      </c>
      <c r="D384" s="101" vm="2212">
        <f ca="1"/>
        <v>154.09</v>
      </c>
      <c r="E384" s="101" vm="2213">
        <f ca="1"/>
        <v>150.74</v>
      </c>
      <c r="F384" s="101" vm="2214">
        <f ca="1"/>
        <v>156.28</v>
      </c>
      <c r="G384" s="101" vm="2215">
        <f ca="1"/>
        <v>146.69999999999999</v>
      </c>
      <c r="H384" s="102" vm="2216">
        <f ca="1"/>
        <v>360988692</v>
      </c>
    </row>
    <row r="385" spans="3:8" x14ac:dyDescent="0.3">
      <c r="C385" s="100" vm="2217">
        <f ca="1"/>
        <v>44767</v>
      </c>
      <c r="D385" s="101" vm="2218">
        <f ca="1"/>
        <v>162.51</v>
      </c>
      <c r="E385" s="101" vm="2219">
        <f ca="1"/>
        <v>154.01</v>
      </c>
      <c r="F385" s="101" vm="2220">
        <f ca="1"/>
        <v>163.63</v>
      </c>
      <c r="G385" s="101" vm="2221">
        <f ca="1"/>
        <v>150.80000000000001</v>
      </c>
      <c r="H385" s="102" vm="2222">
        <f ca="1"/>
        <v>370548915</v>
      </c>
    </row>
    <row r="386" spans="3:8" x14ac:dyDescent="0.3">
      <c r="C386" s="100" vm="2223">
        <f ca="1"/>
        <v>44774</v>
      </c>
      <c r="D386" s="101" vm="2224">
        <f ca="1"/>
        <v>165.35</v>
      </c>
      <c r="E386" s="101" vm="2225">
        <f ca="1"/>
        <v>161.01</v>
      </c>
      <c r="F386" s="101" vm="2226">
        <f ca="1"/>
        <v>167.19</v>
      </c>
      <c r="G386" s="101" vm="2227">
        <f ca="1"/>
        <v>159.63</v>
      </c>
      <c r="H386" s="102" vm="2228">
        <f ca="1"/>
        <v>322415021</v>
      </c>
    </row>
    <row r="387" spans="3:8" x14ac:dyDescent="0.3">
      <c r="C387" s="100" vm="2229">
        <f ca="1"/>
        <v>44781</v>
      </c>
      <c r="D387" s="101" vm="2230">
        <f ca="1"/>
        <v>172.1</v>
      </c>
      <c r="E387" s="101" vm="2231">
        <f ca="1"/>
        <v>166.37</v>
      </c>
      <c r="F387" s="101" vm="2046">
        <f ca="1"/>
        <v>172.17</v>
      </c>
      <c r="G387" s="101" vm="2232">
        <f ca="1"/>
        <v>163.25</v>
      </c>
      <c r="H387" s="102" vm="2233">
        <f ca="1"/>
        <v>318856922</v>
      </c>
    </row>
    <row r="388" spans="3:8" x14ac:dyDescent="0.3">
      <c r="C388" s="100" vm="2234">
        <f ca="1"/>
        <v>44788</v>
      </c>
      <c r="D388" s="101" vm="2235">
        <f ca="1"/>
        <v>171.52</v>
      </c>
      <c r="E388" s="101" vm="2235">
        <f ca="1"/>
        <v>171.52</v>
      </c>
      <c r="F388" s="101" vm="2236">
        <f ca="1"/>
        <v>176.15</v>
      </c>
      <c r="G388" s="101" vm="2237">
        <f ca="1"/>
        <v>171.31010000000001</v>
      </c>
      <c r="H388" s="102" vm="2238">
        <f ca="1"/>
        <v>322647151</v>
      </c>
    </row>
    <row r="389" spans="3:8" x14ac:dyDescent="0.3">
      <c r="C389" s="100" vm="2239">
        <f ca="1"/>
        <v>44795</v>
      </c>
      <c r="D389" s="101" vm="2240">
        <f ca="1"/>
        <v>163.62</v>
      </c>
      <c r="E389" s="101" vm="2031">
        <f ca="1"/>
        <v>169.69</v>
      </c>
      <c r="F389" s="101" vm="2241">
        <f ca="1"/>
        <v>171.05</v>
      </c>
      <c r="G389" s="101" vm="2242">
        <f ca="1"/>
        <v>163.56</v>
      </c>
      <c r="H389" s="102" vm="2243">
        <f ca="1"/>
        <v>307194601</v>
      </c>
    </row>
    <row r="390" spans="3:8" x14ac:dyDescent="0.3">
      <c r="C390" s="100" vm="2244">
        <f ca="1"/>
        <v>44802</v>
      </c>
      <c r="D390" s="101" vm="2245">
        <f ca="1"/>
        <v>155.81</v>
      </c>
      <c r="E390" s="101" vm="2246">
        <f ca="1"/>
        <v>161.14500000000001</v>
      </c>
      <c r="F390" s="101" vm="2247">
        <f ca="1"/>
        <v>162.9</v>
      </c>
      <c r="G390" s="101" vm="2248">
        <f ca="1"/>
        <v>154.66999999999999</v>
      </c>
      <c r="H390" s="102" vm="2249">
        <f ca="1"/>
        <v>390398905</v>
      </c>
    </row>
    <row r="391" spans="3:8" x14ac:dyDescent="0.3">
      <c r="C391" s="100" vm="2250">
        <f ca="1"/>
        <v>44810</v>
      </c>
      <c r="D391" s="101" vm="2251">
        <f ca="1"/>
        <v>157.37</v>
      </c>
      <c r="E391" s="101" vm="2252">
        <f ca="1"/>
        <v>156.47</v>
      </c>
      <c r="F391" s="101" vm="2253">
        <f ca="1"/>
        <v>157.82</v>
      </c>
      <c r="G391" s="101" vm="2254">
        <f ca="1"/>
        <v>152.68</v>
      </c>
      <c r="H391" s="102" vm="2255">
        <f ca="1"/>
        <v>314169270</v>
      </c>
    </row>
    <row r="392" spans="3:8" x14ac:dyDescent="0.3">
      <c r="C392" s="100" vm="2256">
        <f ca="1"/>
        <v>44816</v>
      </c>
      <c r="D392" s="101" vm="2257">
        <f ca="1"/>
        <v>150.69999999999999</v>
      </c>
      <c r="E392" s="101" vm="2258">
        <f ca="1"/>
        <v>159.59</v>
      </c>
      <c r="F392" s="101" vm="2259">
        <f ca="1"/>
        <v>164.26</v>
      </c>
      <c r="G392" s="101" vm="2260">
        <f ca="1"/>
        <v>148.37</v>
      </c>
      <c r="H392" s="102" vm="2261">
        <f ca="1"/>
        <v>568337936</v>
      </c>
    </row>
    <row r="393" spans="3:8" x14ac:dyDescent="0.3">
      <c r="C393" s="100" vm="2262">
        <f ca="1"/>
        <v>44823</v>
      </c>
      <c r="D393" s="101" vm="2263">
        <f ca="1"/>
        <v>150.43</v>
      </c>
      <c r="E393" s="101" vm="2264">
        <f ca="1"/>
        <v>149.31</v>
      </c>
      <c r="F393" s="101" vm="2265">
        <f ca="1"/>
        <v>158.74</v>
      </c>
      <c r="G393" s="101" vm="1902">
        <f ca="1"/>
        <v>148.56</v>
      </c>
      <c r="H393" s="102" vm="2266">
        <f ca="1"/>
        <v>473543283</v>
      </c>
    </row>
    <row r="394" spans="3:8" x14ac:dyDescent="0.3">
      <c r="C394" s="100" vm="2267">
        <f ca="1"/>
        <v>44830</v>
      </c>
      <c r="D394" s="101" vm="2268">
        <f ca="1"/>
        <v>138.19999999999999</v>
      </c>
      <c r="E394" s="101" vm="2269">
        <f ca="1"/>
        <v>149.66</v>
      </c>
      <c r="F394" s="101" vm="2270">
        <f ca="1"/>
        <v>154.72</v>
      </c>
      <c r="G394" s="101" vm="2271">
        <f ca="1"/>
        <v>138</v>
      </c>
      <c r="H394" s="102" vm="2272">
        <f ca="1"/>
        <v>577537048</v>
      </c>
    </row>
    <row r="395" spans="3:8" x14ac:dyDescent="0.3">
      <c r="C395" s="100" vm="2273">
        <f ca="1"/>
        <v>44837</v>
      </c>
      <c r="D395" s="101" vm="2274">
        <f ca="1"/>
        <v>140.09</v>
      </c>
      <c r="E395" s="101" vm="2275">
        <f ca="1"/>
        <v>138.21</v>
      </c>
      <c r="F395" s="101" vm="2276">
        <f ca="1"/>
        <v>147.54</v>
      </c>
      <c r="G395" s="101" vm="2277">
        <f ca="1"/>
        <v>137.685</v>
      </c>
      <c r="H395" s="102" vm="2278">
        <f ca="1"/>
        <v>435940423</v>
      </c>
    </row>
    <row r="396" spans="3:8" x14ac:dyDescent="0.3">
      <c r="C396" s="100" vm="2279">
        <f ca="1"/>
        <v>44844</v>
      </c>
      <c r="D396" s="101" vm="2280">
        <f ca="1"/>
        <v>138.38</v>
      </c>
      <c r="E396" s="101" vm="2281">
        <f ca="1"/>
        <v>140.41999999999999</v>
      </c>
      <c r="F396" s="101" vm="2282">
        <f ca="1"/>
        <v>144.52000000000001</v>
      </c>
      <c r="G396" s="101" vm="2283">
        <f ca="1"/>
        <v>134.37</v>
      </c>
      <c r="H396" s="102" vm="2284">
        <f ca="1"/>
        <v>424188362</v>
      </c>
    </row>
    <row r="397" spans="3:8" x14ac:dyDescent="0.3">
      <c r="C397" s="100" vm="2285">
        <f ca="1"/>
        <v>44851</v>
      </c>
      <c r="D397" s="101" vm="2286">
        <f ca="1"/>
        <v>147.27000000000001</v>
      </c>
      <c r="E397" s="101" vm="2287">
        <f ca="1"/>
        <v>141.065</v>
      </c>
      <c r="F397" s="101" vm="2288">
        <f ca="1"/>
        <v>147.84790000000001</v>
      </c>
      <c r="G397" s="101" vm="2289">
        <f ca="1"/>
        <v>140.27000000000001</v>
      </c>
      <c r="H397" s="102" vm="2290">
        <f ca="1"/>
        <v>397216487</v>
      </c>
    </row>
    <row r="398" spans="3:8" x14ac:dyDescent="0.3">
      <c r="C398" s="100" vm="2291">
        <f ca="1"/>
        <v>44858</v>
      </c>
      <c r="D398" s="101" vm="2292">
        <f ca="1"/>
        <v>155.74</v>
      </c>
      <c r="E398" s="101" vm="2293">
        <f ca="1"/>
        <v>147.185</v>
      </c>
      <c r="F398" s="101" vm="2294">
        <f ca="1"/>
        <v>157.5</v>
      </c>
      <c r="G398" s="101" vm="2295">
        <f ca="1"/>
        <v>144.13</v>
      </c>
      <c r="H398" s="102" vm="2296">
        <f ca="1"/>
        <v>513092901</v>
      </c>
    </row>
    <row r="399" spans="3:8" x14ac:dyDescent="0.3">
      <c r="C399" s="100" vm="2297">
        <f ca="1"/>
        <v>44865</v>
      </c>
      <c r="D399" s="101" vm="2280">
        <f ca="1"/>
        <v>138.38</v>
      </c>
      <c r="E399" s="101" vm="2298">
        <f ca="1"/>
        <v>153.155</v>
      </c>
      <c r="F399" s="101" vm="2299">
        <f ca="1"/>
        <v>155.44999999999999</v>
      </c>
      <c r="G399" s="101" vm="2300">
        <f ca="1"/>
        <v>134.38</v>
      </c>
      <c r="H399" s="102" vm="2301">
        <f ca="1"/>
        <v>510660451</v>
      </c>
    </row>
    <row r="400" spans="3:8" x14ac:dyDescent="0.3">
      <c r="C400" s="100" vm="2302">
        <f ca="1"/>
        <v>44872</v>
      </c>
      <c r="D400" s="101" vm="2303">
        <f ca="1"/>
        <v>149.69999999999999</v>
      </c>
      <c r="E400" s="101" vm="2304">
        <f ca="1"/>
        <v>137.11000000000001</v>
      </c>
      <c r="F400" s="101" vm="2305">
        <f ca="1"/>
        <v>150.01</v>
      </c>
      <c r="G400" s="101" vm="2306">
        <f ca="1"/>
        <v>134.5933</v>
      </c>
      <c r="H400" s="102" vm="2307">
        <f ca="1"/>
        <v>461034592</v>
      </c>
    </row>
    <row r="401" spans="3:8" x14ac:dyDescent="0.3">
      <c r="C401" s="100" vm="2308">
        <f ca="1"/>
        <v>44879</v>
      </c>
      <c r="D401" s="101" vm="2309">
        <f ca="1"/>
        <v>151.29</v>
      </c>
      <c r="E401" s="101" vm="1944">
        <f ca="1"/>
        <v>148.97</v>
      </c>
      <c r="F401" s="101" vm="2310">
        <f ca="1"/>
        <v>153.59</v>
      </c>
      <c r="G401" s="101" vm="2311">
        <f ca="1"/>
        <v>146.15</v>
      </c>
      <c r="H401" s="102" vm="2312">
        <f ca="1"/>
        <v>382679685</v>
      </c>
    </row>
    <row r="402" spans="3:8" x14ac:dyDescent="0.3">
      <c r="C402" s="100" vm="2313">
        <f ca="1"/>
        <v>44886</v>
      </c>
      <c r="D402" s="101" vm="2314">
        <f ca="1"/>
        <v>148.11000000000001</v>
      </c>
      <c r="E402" s="101" vm="2315">
        <f ca="1"/>
        <v>150.16</v>
      </c>
      <c r="F402" s="101" vm="2316">
        <f ca="1"/>
        <v>151.83000000000001</v>
      </c>
      <c r="G402" s="101" vm="2317">
        <f ca="1"/>
        <v>146.92500000000001</v>
      </c>
      <c r="H402" s="102" vm="2318">
        <f ca="1"/>
        <v>204025457</v>
      </c>
    </row>
    <row r="403" spans="3:8" x14ac:dyDescent="0.3">
      <c r="C403" s="100" vm="2319">
        <f ca="1"/>
        <v>44893</v>
      </c>
      <c r="D403" s="101" vm="2320">
        <f ca="1"/>
        <v>147.81</v>
      </c>
      <c r="E403" s="101" vm="2321">
        <f ca="1"/>
        <v>145.13999999999999</v>
      </c>
      <c r="F403" s="101" vm="2322">
        <f ca="1"/>
        <v>149.13</v>
      </c>
      <c r="G403" s="101" vm="2323">
        <f ca="1"/>
        <v>140.35499999999999</v>
      </c>
      <c r="H403" s="102" vm="2324">
        <f ca="1"/>
        <v>401189067</v>
      </c>
    </row>
    <row r="404" spans="3:8" x14ac:dyDescent="0.3">
      <c r="C404" s="100" vm="2325">
        <f ca="1"/>
        <v>44900</v>
      </c>
      <c r="D404" s="101" vm="2326">
        <f ca="1"/>
        <v>142.16</v>
      </c>
      <c r="E404" s="101" vm="2327">
        <f ca="1"/>
        <v>147.77000000000001</v>
      </c>
      <c r="F404" s="101" vm="2328">
        <f ca="1"/>
        <v>150.91990000000001</v>
      </c>
      <c r="G404" s="101" vm="1887">
        <f ca="1"/>
        <v>140</v>
      </c>
      <c r="H404" s="102" vm="2329">
        <f ca="1"/>
        <v>341500071</v>
      </c>
    </row>
    <row r="405" spans="3:8" x14ac:dyDescent="0.3">
      <c r="C405" s="100" vm="2330">
        <f ca="1"/>
        <v>44907</v>
      </c>
      <c r="D405" s="101" vm="2331">
        <f ca="1"/>
        <v>134.51</v>
      </c>
      <c r="E405" s="101" vm="2332">
        <f ca="1"/>
        <v>142.69999999999999</v>
      </c>
      <c r="F405" s="101" vm="2333">
        <f ca="1"/>
        <v>149.9692</v>
      </c>
      <c r="G405" s="101" vm="2334">
        <f ca="1"/>
        <v>133.72999999999999</v>
      </c>
      <c r="H405" s="102" vm="2335">
        <f ca="1"/>
        <v>505728804</v>
      </c>
    </row>
    <row r="406" spans="3:8" x14ac:dyDescent="0.3">
      <c r="C406" s="100" vm="2336">
        <f ca="1"/>
        <v>44914</v>
      </c>
      <c r="D406" s="101" vm="2337">
        <f ca="1"/>
        <v>131.86000000000001</v>
      </c>
      <c r="E406" s="101" vm="2338">
        <f ca="1"/>
        <v>135.11000000000001</v>
      </c>
      <c r="F406" s="101" vm="2339">
        <f ca="1"/>
        <v>136.81</v>
      </c>
      <c r="G406" s="101" vm="2340">
        <f ca="1"/>
        <v>129.63999999999999</v>
      </c>
      <c r="H406" s="102" vm="2341">
        <f ca="1"/>
        <v>384620427</v>
      </c>
    </row>
    <row r="407" spans="3:8" x14ac:dyDescent="0.3">
      <c r="C407" s="100" vm="2342">
        <f ca="1"/>
        <v>44922</v>
      </c>
      <c r="D407" s="101" vm="2343">
        <f ca="1"/>
        <v>129.93</v>
      </c>
      <c r="E407" s="101" vm="2344">
        <f ca="1"/>
        <v>131.38</v>
      </c>
      <c r="F407" s="101" vm="2345">
        <f ca="1"/>
        <v>131.41</v>
      </c>
      <c r="G407" s="101" vm="2346">
        <f ca="1"/>
        <v>125.87</v>
      </c>
      <c r="H407" s="102" vm="2347">
        <f ca="1"/>
        <v>307184140</v>
      </c>
    </row>
    <row r="408" spans="3:8" x14ac:dyDescent="0.3">
      <c r="C408" s="100" vm="2348">
        <f ca="1"/>
        <v>44929</v>
      </c>
      <c r="D408" s="101" vm="2349">
        <f ca="1"/>
        <v>129.62</v>
      </c>
      <c r="E408" s="101" vm="2350">
        <f ca="1"/>
        <v>130.28</v>
      </c>
      <c r="F408" s="101" vm="2351">
        <f ca="1"/>
        <v>130.9</v>
      </c>
      <c r="G408" s="101" vm="2352">
        <f ca="1"/>
        <v>124.17</v>
      </c>
      <c r="H408" s="102" vm="2353">
        <f ca="1"/>
        <v>369948527</v>
      </c>
    </row>
    <row r="409" spans="3:8" x14ac:dyDescent="0.3">
      <c r="C409" s="100" vm="2354">
        <f ca="1"/>
        <v>44935</v>
      </c>
      <c r="D409" s="101" vm="2355">
        <f ca="1"/>
        <v>134.76</v>
      </c>
      <c r="E409" s="101" vm="2356">
        <f ca="1"/>
        <v>130.465</v>
      </c>
      <c r="F409" s="101" vm="2357">
        <f ca="1"/>
        <v>134.91999999999999</v>
      </c>
      <c r="G409" s="101" vm="2358">
        <f ca="1"/>
        <v>128.12</v>
      </c>
      <c r="H409" s="102" vm="2359">
        <f ca="1"/>
        <v>333335284</v>
      </c>
    </row>
    <row r="410" spans="3:8" x14ac:dyDescent="0.3">
      <c r="C410" s="100" vm="2360">
        <f ca="1"/>
        <v>44943</v>
      </c>
      <c r="D410" s="101" vm="2361">
        <f ca="1"/>
        <v>137.87</v>
      </c>
      <c r="E410" s="101" vm="1834">
        <f ca="1"/>
        <v>134.83000000000001</v>
      </c>
      <c r="F410" s="101" vm="2362">
        <f ca="1"/>
        <v>138.61000000000001</v>
      </c>
      <c r="G410" s="101" vm="2363">
        <f ca="1"/>
        <v>133.77000000000001</v>
      </c>
      <c r="H410" s="102" vm="2364">
        <f ca="1"/>
        <v>271823466</v>
      </c>
    </row>
    <row r="411" spans="3:8" x14ac:dyDescent="0.3">
      <c r="C411" s="100" vm="2365">
        <f ca="1"/>
        <v>44949</v>
      </c>
      <c r="D411" s="101" vm="2366">
        <f ca="1"/>
        <v>145.93</v>
      </c>
      <c r="E411" s="101" vm="2367">
        <f ca="1"/>
        <v>138.12</v>
      </c>
      <c r="F411" s="101" vm="2368">
        <f ca="1"/>
        <v>147.22999999999999</v>
      </c>
      <c r="G411" s="101" vm="2369">
        <f ca="1"/>
        <v>137.9</v>
      </c>
      <c r="H411" s="102" vm="2370">
        <f ca="1"/>
        <v>338655715</v>
      </c>
    </row>
    <row r="412" spans="3:8" x14ac:dyDescent="0.3">
      <c r="C412" s="100" vm="2371">
        <f ca="1"/>
        <v>44956</v>
      </c>
      <c r="D412" s="101" vm="2103">
        <f ca="1"/>
        <v>154.5</v>
      </c>
      <c r="E412" s="101" vm="2372">
        <f ca="1"/>
        <v>144.95500000000001</v>
      </c>
      <c r="F412" s="101" vm="2373">
        <f ca="1"/>
        <v>157.38</v>
      </c>
      <c r="G412" s="101" vm="2374">
        <f ca="1"/>
        <v>141.32</v>
      </c>
      <c r="H412" s="102" vm="2375">
        <f ca="1"/>
        <v>480249683</v>
      </c>
    </row>
    <row r="413" spans="3:8" x14ac:dyDescent="0.3">
      <c r="C413" s="100" vm="2376">
        <f ca="1"/>
        <v>44963</v>
      </c>
      <c r="D413" s="101" vm="2377">
        <f ca="1"/>
        <v>151.01</v>
      </c>
      <c r="E413" s="101" vm="2378">
        <f ca="1"/>
        <v>152.57499999999999</v>
      </c>
      <c r="F413" s="101" vm="2379">
        <f ca="1"/>
        <v>155.22999999999999</v>
      </c>
      <c r="G413" s="101" vm="2380">
        <f ca="1"/>
        <v>149.22</v>
      </c>
      <c r="H413" s="102" vm="2381">
        <f ca="1"/>
        <v>330758787</v>
      </c>
    </row>
    <row r="414" spans="3:8" x14ac:dyDescent="0.3">
      <c r="C414" s="100" vm="2382">
        <f ca="1"/>
        <v>44970</v>
      </c>
      <c r="D414" s="101" vm="2383">
        <f ca="1"/>
        <v>152.55000000000001</v>
      </c>
      <c r="E414" s="101" vm="2384">
        <f ca="1"/>
        <v>150.952</v>
      </c>
      <c r="F414" s="101" vm="2385">
        <f ca="1"/>
        <v>156.33000000000001</v>
      </c>
      <c r="G414" s="101" vm="2386">
        <f ca="1"/>
        <v>150.85</v>
      </c>
      <c r="H414" s="102" vm="2387">
        <f ca="1"/>
        <v>316887898</v>
      </c>
    </row>
    <row r="415" spans="3:8" x14ac:dyDescent="0.3">
      <c r="C415" s="100" vm="2388">
        <f ca="1"/>
        <v>44978</v>
      </c>
      <c r="D415" s="101" vm="2389">
        <f ca="1"/>
        <v>146.71</v>
      </c>
      <c r="E415" s="101" vm="2390">
        <f ca="1"/>
        <v>150.19999999999999</v>
      </c>
      <c r="F415" s="101" vm="2391">
        <f ca="1"/>
        <v>151.30000000000001</v>
      </c>
      <c r="G415" s="101" vm="2392">
        <f ca="1"/>
        <v>145.72020000000001</v>
      </c>
      <c r="H415" s="102" vm="2393">
        <f ca="1"/>
        <v>213742390</v>
      </c>
    </row>
    <row r="416" spans="3:8" x14ac:dyDescent="0.3">
      <c r="C416" s="100" vm="2394">
        <f ca="1"/>
        <v>44984</v>
      </c>
      <c r="D416" s="101" vm="2395">
        <f ca="1"/>
        <v>151.03</v>
      </c>
      <c r="E416" s="101" vm="2396">
        <f ca="1"/>
        <v>147.71</v>
      </c>
      <c r="F416" s="101" vm="2397">
        <f ca="1"/>
        <v>151.11000000000001</v>
      </c>
      <c r="G416" s="101" vm="2398">
        <f ca="1"/>
        <v>143.9</v>
      </c>
      <c r="H416" s="102" vm="2399">
        <f ca="1"/>
        <v>274036517</v>
      </c>
    </row>
    <row r="417" spans="3:8" x14ac:dyDescent="0.3">
      <c r="C417" s="100" vm="2400">
        <f ca="1"/>
        <v>44991</v>
      </c>
      <c r="D417" s="101" vm="2401">
        <f ca="1"/>
        <v>148.5</v>
      </c>
      <c r="E417" s="101" vm="2402">
        <f ca="1"/>
        <v>153.785</v>
      </c>
      <c r="F417" s="101" vm="2403">
        <f ca="1"/>
        <v>156.30000000000001</v>
      </c>
      <c r="G417" s="101" vm="2404">
        <f ca="1"/>
        <v>147.6096</v>
      </c>
      <c r="H417" s="102" vm="2405">
        <f ca="1"/>
        <v>313350829</v>
      </c>
    </row>
    <row r="418" spans="3:8" x14ac:dyDescent="0.3">
      <c r="C418" s="100" vm="2406">
        <f ca="1"/>
        <v>44998</v>
      </c>
      <c r="D418" s="101" vm="2407">
        <f ca="1"/>
        <v>155</v>
      </c>
      <c r="E418" s="101" vm="2408">
        <f ca="1"/>
        <v>147.80500000000001</v>
      </c>
      <c r="F418" s="101" vm="2155">
        <f ca="1"/>
        <v>156.74</v>
      </c>
      <c r="G418" s="101" vm="2409">
        <f ca="1"/>
        <v>147.69999999999999</v>
      </c>
      <c r="H418" s="102" vm="2410">
        <f ca="1"/>
        <v>410519933</v>
      </c>
    </row>
    <row r="419" spans="3:8" x14ac:dyDescent="0.3">
      <c r="C419" s="100" vm="2411">
        <f ca="1"/>
        <v>45005</v>
      </c>
      <c r="D419" s="101" vm="2412">
        <f ca="1"/>
        <v>160.25</v>
      </c>
      <c r="E419" s="101" vm="2413">
        <f ca="1"/>
        <v>155.07</v>
      </c>
      <c r="F419" s="101" vm="2414">
        <f ca="1"/>
        <v>162.13999999999999</v>
      </c>
      <c r="G419" s="101" vm="2415">
        <f ca="1"/>
        <v>154.15</v>
      </c>
      <c r="H419" s="102" vm="2416">
        <f ca="1"/>
        <v>350159914</v>
      </c>
    </row>
    <row r="420" spans="3:8" x14ac:dyDescent="0.3">
      <c r="C420" s="100" vm="2417">
        <f ca="1"/>
        <v>45012</v>
      </c>
      <c r="D420" s="101" vm="2418">
        <f ca="1"/>
        <v>164.9</v>
      </c>
      <c r="E420" s="101" vm="2419">
        <f ca="1"/>
        <v>159.94</v>
      </c>
      <c r="F420" s="101" vm="2420">
        <f ca="1"/>
        <v>165</v>
      </c>
      <c r="G420" s="101" vm="2421">
        <f ca="1"/>
        <v>155.97999999999999</v>
      </c>
      <c r="H420" s="102" vm="2422">
        <f ca="1"/>
        <v>267939590</v>
      </c>
    </row>
    <row r="421" spans="3:8" x14ac:dyDescent="0.3">
      <c r="C421" s="100" vm="2423">
        <f ca="1"/>
        <v>45019</v>
      </c>
      <c r="D421" s="101" vm="2424">
        <f ca="1"/>
        <v>164.66</v>
      </c>
      <c r="E421" s="101" vm="2425">
        <f ca="1"/>
        <v>164.27</v>
      </c>
      <c r="F421" s="101" vm="2426">
        <f ca="1"/>
        <v>166.84</v>
      </c>
      <c r="G421" s="101" vm="2427">
        <f ca="1"/>
        <v>161.80000000000001</v>
      </c>
      <c r="H421" s="102" vm="2428">
        <f ca="1"/>
        <v>200156349</v>
      </c>
    </row>
    <row r="422" spans="3:8" x14ac:dyDescent="0.3">
      <c r="C422" s="100" vm="2429">
        <f ca="1"/>
        <v>45026</v>
      </c>
      <c r="D422" s="101" vm="2430">
        <f ca="1"/>
        <v>165.21</v>
      </c>
      <c r="E422" s="101" vm="2431">
        <f ca="1"/>
        <v>161.41999999999999</v>
      </c>
      <c r="F422" s="101" vm="2432">
        <f ca="1"/>
        <v>166.32</v>
      </c>
      <c r="G422" s="101" vm="2433">
        <f ca="1"/>
        <v>159.78</v>
      </c>
      <c r="H422" s="102" vm="2434">
        <f ca="1"/>
        <v>263326290</v>
      </c>
    </row>
    <row r="423" spans="3:8" x14ac:dyDescent="0.3">
      <c r="C423" s="100" vm="2435">
        <f ca="1"/>
        <v>45033</v>
      </c>
      <c r="D423" s="101" vm="2102">
        <f ca="1"/>
        <v>165.02</v>
      </c>
      <c r="E423" s="101" vm="2436">
        <f ca="1"/>
        <v>165.09</v>
      </c>
      <c r="F423" s="101" vm="2437">
        <f ca="1"/>
        <v>168.16</v>
      </c>
      <c r="G423" s="101" vm="2438">
        <f ca="1"/>
        <v>164.03</v>
      </c>
      <c r="H423" s="102" vm="2439">
        <f ca="1"/>
        <v>249953109</v>
      </c>
    </row>
    <row r="424" spans="3:8" x14ac:dyDescent="0.3">
      <c r="C424" s="100" vm="2440">
        <f ca="1"/>
        <v>45040</v>
      </c>
      <c r="D424" s="101" vm="2441">
        <f ca="1"/>
        <v>169.68</v>
      </c>
      <c r="E424" s="101" vm="2420">
        <f ca="1"/>
        <v>165</v>
      </c>
      <c r="F424" s="101" vm="2442">
        <f ca="1"/>
        <v>169.85</v>
      </c>
      <c r="G424" s="101" vm="2443">
        <f ca="1"/>
        <v>162.80000000000001</v>
      </c>
      <c r="H424" s="102" vm="2444">
        <f ca="1"/>
        <v>256340620</v>
      </c>
    </row>
    <row r="425" spans="3:8" x14ac:dyDescent="0.3">
      <c r="C425" s="100" vm="2445">
        <f ca="1"/>
        <v>45047</v>
      </c>
      <c r="D425" s="101" vm="2446">
        <f ca="1"/>
        <v>173.57</v>
      </c>
      <c r="E425" s="101" vm="2447">
        <f ca="1"/>
        <v>169.28</v>
      </c>
      <c r="F425" s="101" vm="2448">
        <f ca="1"/>
        <v>174.3</v>
      </c>
      <c r="G425" s="101" vm="2449">
        <f ca="1"/>
        <v>164.31</v>
      </c>
      <c r="H425" s="102" vm="2450">
        <f ca="1"/>
        <v>360723248</v>
      </c>
    </row>
    <row r="426" spans="3:8" x14ac:dyDescent="0.3">
      <c r="C426" s="100" vm="2451">
        <f ca="1"/>
        <v>45054</v>
      </c>
      <c r="D426" s="101" vm="2452">
        <f ca="1"/>
        <v>172.57</v>
      </c>
      <c r="E426" s="101" vm="2453">
        <f ca="1"/>
        <v>172.48</v>
      </c>
      <c r="F426" s="101" vm="2454">
        <f ca="1"/>
        <v>174.59</v>
      </c>
      <c r="G426" s="101" vm="2455">
        <f ca="1"/>
        <v>171</v>
      </c>
      <c r="H426" s="102" vm="2456">
        <f ca="1"/>
        <v>250061982</v>
      </c>
    </row>
    <row r="427" spans="3:8" x14ac:dyDescent="0.3">
      <c r="C427" s="100" vm="2457">
        <f ca="1"/>
        <v>45061</v>
      </c>
      <c r="D427" s="101" vm="2458">
        <f ca="1"/>
        <v>175.16</v>
      </c>
      <c r="E427" s="101" vm="2459">
        <f ca="1"/>
        <v>173.16</v>
      </c>
      <c r="F427" s="101" vm="2460">
        <f ca="1"/>
        <v>176.39</v>
      </c>
      <c r="G427" s="101" vm="2461">
        <f ca="1"/>
        <v>170.42009999999999</v>
      </c>
      <c r="H427" s="102" vm="2462">
        <f ca="1"/>
        <v>258634688</v>
      </c>
    </row>
    <row r="428" spans="3:8" x14ac:dyDescent="0.3">
      <c r="C428" s="100" vm="2463">
        <f ca="1"/>
        <v>45068</v>
      </c>
      <c r="D428" s="101" vm="2464">
        <f ca="1"/>
        <v>175.43</v>
      </c>
      <c r="E428" s="101" vm="2465">
        <f ca="1"/>
        <v>173.98</v>
      </c>
      <c r="F428" s="101" vm="2466">
        <f ca="1"/>
        <v>175.77</v>
      </c>
      <c r="G428" s="101" vm="2467">
        <f ca="1"/>
        <v>170.52</v>
      </c>
      <c r="H428" s="102" vm="2468">
        <f ca="1"/>
        <v>250354916</v>
      </c>
    </row>
    <row r="429" spans="3:8" x14ac:dyDescent="0.3">
      <c r="C429" s="100" vm="2469">
        <f ca="1"/>
        <v>45076</v>
      </c>
      <c r="D429" s="101" vm="2470">
        <f ca="1"/>
        <v>180.95</v>
      </c>
      <c r="E429" s="101" vm="2471">
        <f ca="1"/>
        <v>176.96</v>
      </c>
      <c r="F429" s="101" vm="2472">
        <f ca="1"/>
        <v>181.78</v>
      </c>
      <c r="G429" s="101" vm="2473">
        <f ca="1"/>
        <v>176.57</v>
      </c>
      <c r="H429" s="102" vm="2474">
        <f ca="1"/>
        <v>286488411</v>
      </c>
    </row>
    <row r="430" spans="3:8" x14ac:dyDescent="0.3">
      <c r="C430" s="100" vm="2475">
        <f ca="1"/>
        <v>45082</v>
      </c>
      <c r="D430" s="101" vm="2476">
        <f ca="1"/>
        <v>180.96</v>
      </c>
      <c r="E430" s="101" vm="2477">
        <f ca="1"/>
        <v>182.63</v>
      </c>
      <c r="F430" s="101" vm="2478">
        <f ca="1"/>
        <v>184.95099999999999</v>
      </c>
      <c r="G430" s="101" vm="2479">
        <f ca="1"/>
        <v>177.32</v>
      </c>
      <c r="H430" s="102" vm="2480">
        <f ca="1"/>
        <v>347854340</v>
      </c>
    </row>
    <row r="431" spans="3:8" x14ac:dyDescent="0.3">
      <c r="C431" s="100" vm="2481">
        <f ca="1"/>
        <v>45089</v>
      </c>
      <c r="D431" s="101" vm="2482">
        <f ca="1"/>
        <v>184.92</v>
      </c>
      <c r="E431" s="101" vm="2483">
        <f ca="1"/>
        <v>181.27</v>
      </c>
      <c r="F431" s="101" vm="2484">
        <f ca="1"/>
        <v>186.99</v>
      </c>
      <c r="G431" s="101" vm="2485">
        <f ca="1"/>
        <v>180.97</v>
      </c>
      <c r="H431" s="102" vm="2486">
        <f ca="1"/>
        <v>333836397</v>
      </c>
    </row>
    <row r="432" spans="3:8" x14ac:dyDescent="0.3">
      <c r="C432" s="100" vm="2487">
        <f ca="1"/>
        <v>45097</v>
      </c>
      <c r="D432" s="101" vm="2488">
        <f ca="1"/>
        <v>186.68</v>
      </c>
      <c r="E432" s="101" vm="2489">
        <f ca="1"/>
        <v>184.41</v>
      </c>
      <c r="F432" s="101" vm="2490">
        <f ca="1"/>
        <v>187.56</v>
      </c>
      <c r="G432" s="101" vm="2491">
        <f ca="1"/>
        <v>182.59010000000001</v>
      </c>
      <c r="H432" s="102" vm="2492">
        <f ca="1"/>
        <v>203677112</v>
      </c>
    </row>
    <row r="433" spans="3:8" x14ac:dyDescent="0.3">
      <c r="C433" s="100" vm="2493">
        <f ca="1"/>
        <v>45103</v>
      </c>
      <c r="D433" s="101" vm="2494">
        <f ca="1"/>
        <v>193.97</v>
      </c>
      <c r="E433" s="101" vm="2495">
        <f ca="1"/>
        <v>186.83</v>
      </c>
      <c r="F433" s="101" vm="2496">
        <f ca="1"/>
        <v>194.48</v>
      </c>
      <c r="G433" s="101" vm="2497">
        <f ca="1"/>
        <v>185.23</v>
      </c>
      <c r="H433" s="102" vm="2498">
        <f ca="1"/>
        <v>281596832</v>
      </c>
    </row>
    <row r="434" spans="3:8" x14ac:dyDescent="0.3">
      <c r="C434" s="100" vm="2499">
        <f ca="1"/>
        <v>45110</v>
      </c>
      <c r="D434" s="101" vm="2500">
        <f ca="1"/>
        <v>190.68</v>
      </c>
      <c r="E434" s="101" vm="2501">
        <f ca="1"/>
        <v>193.78</v>
      </c>
      <c r="F434" s="101" vm="2502">
        <f ca="1"/>
        <v>193.88</v>
      </c>
      <c r="G434" s="101" vm="2503">
        <f ca="1"/>
        <v>189.2</v>
      </c>
      <c r="H434" s="102" vm="2504">
        <f ca="1"/>
        <v>170349466</v>
      </c>
    </row>
    <row r="435" spans="3:8" x14ac:dyDescent="0.3">
      <c r="C435" s="100" vm="2505">
        <f ca="1"/>
        <v>45117</v>
      </c>
      <c r="D435" s="101" vm="2506">
        <f ca="1"/>
        <v>190.69</v>
      </c>
      <c r="E435" s="101" vm="2507">
        <f ca="1"/>
        <v>189.26</v>
      </c>
      <c r="F435" s="101" vm="2508">
        <f ca="1"/>
        <v>191.7</v>
      </c>
      <c r="G435" s="101" vm="2509">
        <f ca="1"/>
        <v>186.6</v>
      </c>
      <c r="H435" s="102" vm="2510">
        <f ca="1"/>
        <v>250269110</v>
      </c>
    </row>
    <row r="436" spans="3:8" x14ac:dyDescent="0.3">
      <c r="C436" s="100" vm="2511">
        <f ca="1"/>
        <v>45124</v>
      </c>
      <c r="D436" s="101" vm="2512">
        <f ca="1"/>
        <v>191.94</v>
      </c>
      <c r="E436" s="101" vm="2513">
        <f ca="1"/>
        <v>191.9</v>
      </c>
      <c r="F436" s="101" vm="2514">
        <f ca="1"/>
        <v>198.23</v>
      </c>
      <c r="G436" s="101" vm="2515">
        <f ca="1"/>
        <v>191.23</v>
      </c>
      <c r="H436" s="102" vm="2516">
        <f ca="1"/>
        <v>310914135</v>
      </c>
    </row>
    <row r="437" spans="3:8" x14ac:dyDescent="0.3">
      <c r="C437" s="100" vm="2517">
        <f ca="1"/>
        <v>45131</v>
      </c>
      <c r="D437" s="101" vm="2518">
        <f ca="1"/>
        <v>195.83</v>
      </c>
      <c r="E437" s="101" vm="2519">
        <f ca="1"/>
        <v>193.41</v>
      </c>
      <c r="F437" s="101" vm="2520">
        <f ca="1"/>
        <v>197.2</v>
      </c>
      <c r="G437" s="101" vm="2521">
        <f ca="1"/>
        <v>192.25</v>
      </c>
      <c r="H437" s="102" vm="2522">
        <f ca="1"/>
        <v>226011789</v>
      </c>
    </row>
    <row r="438" spans="3:8" x14ac:dyDescent="0.3">
      <c r="C438" s="100" vm="2523">
        <f ca="1"/>
        <v>45138</v>
      </c>
      <c r="D438" s="101" vm="2524">
        <f ca="1"/>
        <v>181.99</v>
      </c>
      <c r="E438" s="101" vm="2525">
        <f ca="1"/>
        <v>196.06</v>
      </c>
      <c r="F438" s="101" vm="2526">
        <f ca="1"/>
        <v>196.73</v>
      </c>
      <c r="G438" s="101" vm="2527">
        <f ca="1"/>
        <v>181.92</v>
      </c>
      <c r="H438" s="102" vm="2528">
        <f ca="1"/>
        <v>302694989</v>
      </c>
    </row>
    <row r="439" spans="3:8" x14ac:dyDescent="0.3">
      <c r="C439" s="100" vm="2529">
        <f ca="1"/>
        <v>45145</v>
      </c>
      <c r="D439" s="101" vm="2530">
        <f ca="1"/>
        <v>177.79</v>
      </c>
      <c r="E439" s="101" vm="2030">
        <f ca="1"/>
        <v>182.13</v>
      </c>
      <c r="F439" s="101" vm="2531">
        <f ca="1"/>
        <v>183.13</v>
      </c>
      <c r="G439" s="101" vm="2532">
        <f ca="1"/>
        <v>176.55</v>
      </c>
      <c r="H439" s="102" vm="2533">
        <f ca="1"/>
        <v>332501087</v>
      </c>
    </row>
    <row r="440" spans="3:8" x14ac:dyDescent="0.3">
      <c r="C440" s="100" vm="2534">
        <f ca="1"/>
        <v>45152</v>
      </c>
      <c r="D440" s="101" vm="2535">
        <f ca="1"/>
        <v>174.49</v>
      </c>
      <c r="E440" s="101" vm="2536">
        <f ca="1"/>
        <v>177.97</v>
      </c>
      <c r="F440" s="101" vm="2537">
        <f ca="1"/>
        <v>179.69</v>
      </c>
      <c r="G440" s="101" vm="2538">
        <f ca="1"/>
        <v>171.96</v>
      </c>
      <c r="H440" s="102" vm="2539">
        <f ca="1"/>
        <v>261498109</v>
      </c>
    </row>
    <row r="441" spans="3:8" x14ac:dyDescent="0.3">
      <c r="C441" s="100" vm="2540">
        <f ca="1"/>
        <v>45159</v>
      </c>
      <c r="D441" s="101" vm="2541">
        <f ca="1"/>
        <v>178.61</v>
      </c>
      <c r="E441" s="101" vm="2542">
        <f ca="1"/>
        <v>175.07</v>
      </c>
      <c r="F441" s="101" vm="2543">
        <f ca="1"/>
        <v>181.55</v>
      </c>
      <c r="G441" s="101" vm="2544">
        <f ca="1"/>
        <v>173.73500000000001</v>
      </c>
      <c r="H441" s="102" vm="2545">
        <f ca="1"/>
        <v>247514268</v>
      </c>
    </row>
    <row r="442" spans="3:8" x14ac:dyDescent="0.3">
      <c r="C442" s="100" vm="2546">
        <f ca="1"/>
        <v>45166</v>
      </c>
      <c r="D442" s="101" vm="2547">
        <f ca="1"/>
        <v>189.46</v>
      </c>
      <c r="E442" s="101" vm="2548">
        <f ca="1"/>
        <v>180.09</v>
      </c>
      <c r="F442" s="101" vm="2549">
        <f ca="1"/>
        <v>189.92</v>
      </c>
      <c r="G442" s="101" vm="2550">
        <f ca="1"/>
        <v>178.54499999999999</v>
      </c>
      <c r="H442" s="102" vm="2551">
        <f ca="1"/>
        <v>264199503</v>
      </c>
    </row>
    <row r="443" spans="3:8" x14ac:dyDescent="0.3">
      <c r="C443" s="100" vm="2552">
        <f ca="1"/>
        <v>45174</v>
      </c>
      <c r="D443" s="101" vm="2553">
        <f ca="1"/>
        <v>178.18</v>
      </c>
      <c r="E443" s="101" vm="2554">
        <f ca="1"/>
        <v>188.28</v>
      </c>
      <c r="F443" s="101" vm="2555">
        <f ca="1"/>
        <v>189.98</v>
      </c>
      <c r="G443" s="101" vm="2556">
        <f ca="1"/>
        <v>173.54</v>
      </c>
      <c r="H443" s="102" vm="2557">
        <f ca="1"/>
        <v>305126712</v>
      </c>
    </row>
    <row r="444" spans="3:8" x14ac:dyDescent="0.3">
      <c r="C444" s="100" vm="2558">
        <f ca="1"/>
        <v>45180</v>
      </c>
      <c r="D444" s="101" vm="2559">
        <f ca="1"/>
        <v>175.01</v>
      </c>
      <c r="E444" s="101" vm="2560">
        <f ca="1"/>
        <v>180.07</v>
      </c>
      <c r="F444" s="101" vm="2561">
        <f ca="1"/>
        <v>180.3</v>
      </c>
      <c r="G444" s="101" vm="2562">
        <f ca="1"/>
        <v>173.58</v>
      </c>
      <c r="H444" s="102" vm="2563">
        <f ca="1"/>
        <v>403746390</v>
      </c>
    </row>
    <row r="445" spans="3:8" x14ac:dyDescent="0.3">
      <c r="C445" s="100" vm="2564">
        <f ca="1"/>
        <v>45187</v>
      </c>
      <c r="D445" s="101" vm="2565">
        <f ca="1"/>
        <v>174.79</v>
      </c>
      <c r="E445" s="101" vm="2566">
        <f ca="1"/>
        <v>176.48</v>
      </c>
      <c r="F445" s="101" vm="2567">
        <f ca="1"/>
        <v>179.69499999999999</v>
      </c>
      <c r="G445" s="101" vm="2568">
        <f ca="1"/>
        <v>173.86</v>
      </c>
      <c r="H445" s="102" vm="2569">
        <f ca="1"/>
        <v>297395196</v>
      </c>
    </row>
    <row r="446" spans="3:8" x14ac:dyDescent="0.3">
      <c r="C446" s="100" vm="2570">
        <f ca="1"/>
        <v>45194</v>
      </c>
      <c r="D446" s="101" vm="2571">
        <f ca="1"/>
        <v>171.21</v>
      </c>
      <c r="E446" s="101" vm="2572">
        <f ca="1"/>
        <v>174.2</v>
      </c>
      <c r="F446" s="101" vm="2573">
        <f ca="1"/>
        <v>176.97</v>
      </c>
      <c r="G446" s="101" vm="2574">
        <f ca="1"/>
        <v>167.62</v>
      </c>
      <c r="H446" s="102" vm="2575">
        <f ca="1"/>
        <v>285838995</v>
      </c>
    </row>
    <row r="447" spans="3:8" x14ac:dyDescent="0.3">
      <c r="C447" s="100" vm="2576">
        <f ca="1"/>
        <v>45201</v>
      </c>
      <c r="D447" s="101" vm="2577">
        <f ca="1"/>
        <v>177.49</v>
      </c>
      <c r="E447" s="101" vm="2578">
        <f ca="1"/>
        <v>171.22</v>
      </c>
      <c r="F447" s="101" vm="2579">
        <f ca="1"/>
        <v>177.99</v>
      </c>
      <c r="G447" s="101" vm="2580">
        <f ca="1"/>
        <v>170.82</v>
      </c>
      <c r="H447" s="102" vm="2581">
        <f ca="1"/>
        <v>260574027</v>
      </c>
    </row>
    <row r="448" spans="3:8" x14ac:dyDescent="0.3">
      <c r="C448" s="100" vm="2582">
        <f ca="1"/>
        <v>45208</v>
      </c>
      <c r="D448" s="101" vm="2583">
        <f ca="1"/>
        <v>178.85</v>
      </c>
      <c r="E448" s="101" vm="2584">
        <f ca="1"/>
        <v>176.81</v>
      </c>
      <c r="F448" s="101" vm="2585">
        <f ca="1"/>
        <v>182.34</v>
      </c>
      <c r="G448" s="101" vm="2586">
        <f ca="1"/>
        <v>175.8</v>
      </c>
      <c r="H448" s="102" vm="2587">
        <f ca="1"/>
        <v>241839090</v>
      </c>
    </row>
    <row r="449" spans="3:8" x14ac:dyDescent="0.3">
      <c r="C449" s="100" vm="2588">
        <f ca="1"/>
        <v>45215</v>
      </c>
      <c r="D449" s="101" vm="2589">
        <f ca="1"/>
        <v>172.88</v>
      </c>
      <c r="E449" s="101" vm="2590">
        <f ca="1"/>
        <v>176.75</v>
      </c>
      <c r="F449" s="101" vm="2591">
        <f ca="1"/>
        <v>179.07499999999999</v>
      </c>
      <c r="G449" s="101" vm="2592">
        <f ca="1"/>
        <v>172.64</v>
      </c>
      <c r="H449" s="102" vm="2593">
        <f ca="1"/>
        <v>288377600</v>
      </c>
    </row>
    <row r="450" spans="3:8" x14ac:dyDescent="0.3">
      <c r="C450" s="100" vm="2594">
        <f ca="1"/>
        <v>45222</v>
      </c>
      <c r="D450" s="101" vm="2595">
        <f ca="1"/>
        <v>168.22</v>
      </c>
      <c r="E450" s="101" vm="2596">
        <f ca="1"/>
        <v>170.91</v>
      </c>
      <c r="F450" s="101" vm="2597">
        <f ca="1"/>
        <v>174.01</v>
      </c>
      <c r="G450" s="101" vm="2598">
        <f ca="1"/>
        <v>165.67</v>
      </c>
      <c r="H450" s="102" vm="2599">
        <f ca="1"/>
        <v>286078102</v>
      </c>
    </row>
    <row r="451" spans="3:8" x14ac:dyDescent="0.3">
      <c r="C451" s="100" vm="2600">
        <f ca="1"/>
        <v>45229</v>
      </c>
      <c r="D451" s="101" vm="2078">
        <f ca="1"/>
        <v>176.65</v>
      </c>
      <c r="E451" s="101" vm="2601">
        <f ca="1"/>
        <v>169.02</v>
      </c>
      <c r="F451" s="101" vm="2602">
        <f ca="1"/>
        <v>177.78</v>
      </c>
      <c r="G451" s="101" vm="2603">
        <f ca="1"/>
        <v>167.9</v>
      </c>
      <c r="H451" s="102" vm="2604">
        <f ca="1"/>
        <v>310075876</v>
      </c>
    </row>
    <row r="452" spans="3:8" x14ac:dyDescent="0.3">
      <c r="C452" s="100" vm="2605">
        <f ca="1"/>
        <v>45236</v>
      </c>
      <c r="D452" s="101" vm="2606">
        <f ca="1"/>
        <v>186.4</v>
      </c>
      <c r="E452" s="101" vm="2607">
        <f ca="1"/>
        <v>176.38</v>
      </c>
      <c r="F452" s="101" vm="2608">
        <f ca="1"/>
        <v>186.565</v>
      </c>
      <c r="G452" s="101" vm="2609">
        <f ca="1"/>
        <v>176.21</v>
      </c>
      <c r="H452" s="102" vm="2610">
        <f ca="1"/>
        <v>303653020</v>
      </c>
    </row>
    <row r="453" spans="3:8" x14ac:dyDescent="0.3">
      <c r="C453" s="100" vm="2611">
        <f ca="1"/>
        <v>45243</v>
      </c>
      <c r="D453" s="101" vm="2612">
        <f ca="1"/>
        <v>189.69</v>
      </c>
      <c r="E453" s="101" vm="2613">
        <f ca="1"/>
        <v>185.82</v>
      </c>
      <c r="F453" s="101" vm="2614">
        <f ca="1"/>
        <v>190.96</v>
      </c>
      <c r="G453" s="101" vm="2615">
        <f ca="1"/>
        <v>184.21</v>
      </c>
      <c r="H453" s="102" vm="2616">
        <f ca="1"/>
        <v>262880715</v>
      </c>
    </row>
    <row r="454" spans="3:8" x14ac:dyDescent="0.3">
      <c r="C454" s="100" vm="2617">
        <f ca="1"/>
        <v>45250</v>
      </c>
      <c r="D454" s="101" vm="2618">
        <f ca="1"/>
        <v>189.97</v>
      </c>
      <c r="E454" s="101" vm="2619">
        <f ca="1"/>
        <v>189.89</v>
      </c>
      <c r="F454" s="101" vm="2620">
        <f ca="1"/>
        <v>192.93</v>
      </c>
      <c r="G454" s="101" vm="2621">
        <f ca="1"/>
        <v>189.25</v>
      </c>
      <c r="H454" s="102" vm="2622">
        <f ca="1"/>
        <v>148351454</v>
      </c>
    </row>
    <row r="455" spans="3:8" x14ac:dyDescent="0.3">
      <c r="C455" s="100" vm="2623">
        <f ca="1"/>
        <v>45257</v>
      </c>
      <c r="D455" s="101" vm="2624">
        <f ca="1"/>
        <v>191.24</v>
      </c>
      <c r="E455" s="101" vm="2549">
        <f ca="1"/>
        <v>189.92</v>
      </c>
      <c r="F455" s="101" vm="2625">
        <f ca="1"/>
        <v>192.09</v>
      </c>
      <c r="G455" s="101" vm="2626">
        <f ca="1"/>
        <v>188.19</v>
      </c>
      <c r="H455" s="102" vm="2627">
        <f ca="1"/>
        <v>216481441</v>
      </c>
    </row>
    <row r="456" spans="3:8" x14ac:dyDescent="0.3">
      <c r="C456" s="100" vm="2628">
        <f ca="1"/>
        <v>45264</v>
      </c>
      <c r="D456" s="101" vm="2629">
        <f ca="1"/>
        <v>195.71</v>
      </c>
      <c r="E456" s="101" vm="2555">
        <f ca="1"/>
        <v>189.98</v>
      </c>
      <c r="F456" s="101" vm="2630">
        <f ca="1"/>
        <v>195.99</v>
      </c>
      <c r="G456" s="101" vm="2631">
        <f ca="1"/>
        <v>187.4511</v>
      </c>
      <c r="H456" s="102" vm="2632">
        <f ca="1"/>
        <v>251991667</v>
      </c>
    </row>
    <row r="457" spans="3:8" x14ac:dyDescent="0.3">
      <c r="C457" s="100" vm="2633">
        <f ca="1"/>
        <v>45271</v>
      </c>
      <c r="D457" s="101" vm="2634">
        <f ca="1"/>
        <v>197.57</v>
      </c>
      <c r="E457" s="101" vm="2635">
        <f ca="1"/>
        <v>193.11</v>
      </c>
      <c r="F457" s="101" vm="2636">
        <f ca="1"/>
        <v>199.62</v>
      </c>
      <c r="G457" s="101" vm="2637">
        <f ca="1"/>
        <v>191.42</v>
      </c>
      <c r="H457" s="102" vm="2638">
        <f ca="1"/>
        <v>379414755</v>
      </c>
    </row>
    <row r="458" spans="3:8" x14ac:dyDescent="0.3">
      <c r="C458" s="100" vm="2639">
        <f ca="1"/>
        <v>45278</v>
      </c>
      <c r="D458" s="101" vm="2640">
        <f ca="1"/>
        <v>193.6</v>
      </c>
      <c r="E458" s="101" vm="2641">
        <f ca="1"/>
        <v>196.09</v>
      </c>
      <c r="F458" s="101" vm="2642">
        <f ca="1"/>
        <v>197.68</v>
      </c>
      <c r="G458" s="101" vm="2643">
        <f ca="1"/>
        <v>192.97</v>
      </c>
      <c r="H458" s="102" vm="2644">
        <f ca="1"/>
        <v>232340846</v>
      </c>
    </row>
    <row r="459" spans="3:8" x14ac:dyDescent="0.3">
      <c r="C459" s="100" vm="2645">
        <f ca="1"/>
        <v>45286</v>
      </c>
      <c r="D459" s="101" vm="2646">
        <f ca="1"/>
        <v>192.53</v>
      </c>
      <c r="E459" s="101" vm="2647">
        <f ca="1"/>
        <v>193.61</v>
      </c>
      <c r="F459" s="101" vm="2648">
        <f ca="1"/>
        <v>194.66</v>
      </c>
      <c r="G459" s="101" vm="2649">
        <f ca="1"/>
        <v>191.09</v>
      </c>
      <c r="H459" s="102" vm="2650">
        <f ca="1"/>
        <v>153729037</v>
      </c>
    </row>
    <row r="460" spans="3:8" x14ac:dyDescent="0.3">
      <c r="C460" s="100" vm="2651">
        <f ca="1"/>
        <v>45293</v>
      </c>
      <c r="D460" s="101" vm="2652">
        <f ca="1"/>
        <v>181.18</v>
      </c>
      <c r="E460" s="101" vm="2653">
        <f ca="1"/>
        <v>187.15</v>
      </c>
      <c r="F460" s="101" vm="2654">
        <f ca="1"/>
        <v>188.44</v>
      </c>
      <c r="G460" s="101" vm="2655">
        <f ca="1"/>
        <v>180.17</v>
      </c>
      <c r="H460" s="102" vm="2656">
        <f ca="1"/>
        <v>275266365</v>
      </c>
    </row>
    <row r="461" spans="3:8" x14ac:dyDescent="0.3">
      <c r="C461" s="100" vm="2657">
        <f ca="1"/>
        <v>45299</v>
      </c>
      <c r="D461" s="101" vm="2658">
        <f ca="1"/>
        <v>185.92</v>
      </c>
      <c r="E461" s="101" vm="2659">
        <f ca="1"/>
        <v>182.08500000000001</v>
      </c>
      <c r="F461" s="101" vm="2660">
        <f ca="1"/>
        <v>187.05</v>
      </c>
      <c r="G461" s="101" vm="2661">
        <f ca="1"/>
        <v>181.5</v>
      </c>
      <c r="H461" s="102" vm="2662">
        <f ca="1"/>
        <v>238385377</v>
      </c>
    </row>
    <row r="462" spans="3:8" x14ac:dyDescent="0.3">
      <c r="C462" s="100" vm="2663">
        <f ca="1"/>
        <v>45307</v>
      </c>
      <c r="D462" s="101" vm="2664">
        <f ca="1"/>
        <v>191.56</v>
      </c>
      <c r="E462" s="101" vm="2665">
        <f ca="1"/>
        <v>182.16</v>
      </c>
      <c r="F462" s="101" vm="2666">
        <f ca="1"/>
        <v>191.95</v>
      </c>
      <c r="G462" s="101" vm="2561">
        <f ca="1"/>
        <v>180.3</v>
      </c>
      <c r="H462" s="102" vm="2667">
        <f ca="1"/>
        <v>259829213</v>
      </c>
    </row>
    <row r="463" spans="3:8" x14ac:dyDescent="0.3">
      <c r="C463" s="100" vm="2668">
        <f ca="1"/>
        <v>45313</v>
      </c>
      <c r="D463" s="101" vm="2669">
        <f ca="1"/>
        <v>192.42</v>
      </c>
      <c r="E463" s="101" vm="2670">
        <f ca="1"/>
        <v>192.3</v>
      </c>
      <c r="F463" s="101" vm="2671">
        <f ca="1"/>
        <v>196.38</v>
      </c>
      <c r="G463" s="101" vm="2512">
        <f ca="1"/>
        <v>191.94</v>
      </c>
      <c r="H463" s="102" vm="2672">
        <f ca="1"/>
        <v>255536895</v>
      </c>
    </row>
    <row r="464" spans="3:8" x14ac:dyDescent="0.3">
      <c r="C464" s="100" vm="2673">
        <f ca="1"/>
        <v>45320</v>
      </c>
      <c r="D464" s="101" vm="2674">
        <f ca="1"/>
        <v>185.85</v>
      </c>
      <c r="E464" s="101" vm="2675">
        <f ca="1"/>
        <v>192.01</v>
      </c>
      <c r="F464" s="101" vm="2676">
        <f ca="1"/>
        <v>192.2</v>
      </c>
      <c r="G464" s="101" vm="2677">
        <f ca="1"/>
        <v>179.25</v>
      </c>
      <c r="H464" s="102" vm="2678">
        <f ca="1"/>
        <v>325909883</v>
      </c>
    </row>
    <row r="465" spans="3:8" x14ac:dyDescent="0.3">
      <c r="C465" s="100" vm="2679">
        <f ca="1"/>
        <v>45327</v>
      </c>
      <c r="D465" s="101" vm="2680">
        <f ca="1"/>
        <v>188.85</v>
      </c>
      <c r="E465" s="101" vm="2681">
        <f ca="1"/>
        <v>188.15</v>
      </c>
      <c r="F465" s="101" vm="2682">
        <f ca="1"/>
        <v>191.05</v>
      </c>
      <c r="G465" s="101" vm="2683">
        <f ca="1"/>
        <v>185.84</v>
      </c>
      <c r="H465" s="102" vm="2684">
        <f ca="1"/>
        <v>252715796</v>
      </c>
    </row>
    <row r="466" spans="3:8" x14ac:dyDescent="0.3">
      <c r="C466" s="100" vm="2685">
        <f ca="1"/>
        <v>45334</v>
      </c>
      <c r="D466" s="101" vm="2686">
        <f ca="1"/>
        <v>182.31</v>
      </c>
      <c r="E466" s="101" vm="2687">
        <f ca="1"/>
        <v>188.41499999999999</v>
      </c>
      <c r="F466" s="101" vm="2688">
        <f ca="1"/>
        <v>188.67</v>
      </c>
      <c r="G466" s="101" vm="2689">
        <f ca="1"/>
        <v>181.35</v>
      </c>
      <c r="H466" s="102" vm="2690">
        <f ca="1"/>
        <v>268128941</v>
      </c>
    </row>
    <row r="467" spans="3:8" x14ac:dyDescent="0.3">
      <c r="C467" s="100" vm="2691">
        <f ca="1"/>
        <v>45342</v>
      </c>
      <c r="D467" s="101" vm="2692">
        <f ca="1"/>
        <v>182.52</v>
      </c>
      <c r="E467" s="101" vm="2693">
        <f ca="1"/>
        <v>181.79</v>
      </c>
      <c r="F467" s="101" vm="2694">
        <f ca="1"/>
        <v>185.04</v>
      </c>
      <c r="G467" s="101" vm="2695">
        <f ca="1"/>
        <v>180</v>
      </c>
      <c r="H467" s="102" vm="2696">
        <f ca="1"/>
        <v>192607112</v>
      </c>
    </row>
    <row r="468" spans="3:8" x14ac:dyDescent="0.3">
      <c r="C468" s="100" vm="2697">
        <f ca="1"/>
        <v>45348</v>
      </c>
      <c r="D468" s="101" vm="2698">
        <f ca="1"/>
        <v>179.66</v>
      </c>
      <c r="E468" s="101" vm="2699">
        <f ca="1"/>
        <v>182.24</v>
      </c>
      <c r="F468" s="101" vm="2700">
        <f ca="1"/>
        <v>183.92250000000001</v>
      </c>
      <c r="G468" s="101" vm="2701">
        <f ca="1"/>
        <v>177.38</v>
      </c>
      <c r="H468" s="102" vm="2702">
        <f ca="1"/>
        <v>354385890</v>
      </c>
    </row>
    <row r="469" spans="3:8" x14ac:dyDescent="0.3">
      <c r="C469" s="100" vm="2703">
        <f ca="1"/>
        <v>45355</v>
      </c>
      <c r="D469" s="101" vm="2704">
        <f ca="1"/>
        <v>170.73</v>
      </c>
      <c r="E469" s="101" vm="2236">
        <f ca="1"/>
        <v>176.15</v>
      </c>
      <c r="F469" s="101" vm="2705">
        <f ca="1"/>
        <v>176.9</v>
      </c>
      <c r="G469" s="101" vm="2706">
        <f ca="1"/>
        <v>168.49</v>
      </c>
      <c r="H469" s="102" vm="2707">
        <f ca="1"/>
        <v>393262265</v>
      </c>
    </row>
    <row r="470" spans="3:8" x14ac:dyDescent="0.3">
      <c r="C470" s="100" vm="2708">
        <f ca="1"/>
        <v>45362</v>
      </c>
      <c r="D470" s="101" vm="2709">
        <f ca="1"/>
        <v>172.62</v>
      </c>
      <c r="E470" s="101" vm="2710">
        <f ca="1"/>
        <v>172.94</v>
      </c>
      <c r="F470" s="101" vm="2711">
        <f ca="1"/>
        <v>174.38</v>
      </c>
      <c r="G470" s="101" vm="2712">
        <f ca="1"/>
        <v>170.285</v>
      </c>
      <c r="H470" s="102" vm="2713">
        <f ca="1"/>
        <v>367119743</v>
      </c>
    </row>
    <row r="471" spans="3:8" x14ac:dyDescent="0.3">
      <c r="C471" s="100" vm="2714">
        <f ca="1"/>
        <v>45369</v>
      </c>
      <c r="D471" s="101" vm="2715">
        <f ca="1"/>
        <v>172.28</v>
      </c>
      <c r="E471" s="101" vm="2716">
        <f ca="1"/>
        <v>175.57</v>
      </c>
      <c r="F471" s="101" vm="2717">
        <f ca="1"/>
        <v>178.67</v>
      </c>
      <c r="G471" s="101" vm="2718">
        <f ca="1"/>
        <v>170.06</v>
      </c>
      <c r="H471" s="102" vm="2719">
        <f ca="1"/>
        <v>361583938</v>
      </c>
    </row>
    <row r="472" spans="3:8" x14ac:dyDescent="0.3">
      <c r="C472" s="100" vm="2720">
        <f ca="1"/>
        <v>45376</v>
      </c>
      <c r="D472" s="101" vm="2721">
        <f ca="1"/>
        <v>171.48</v>
      </c>
      <c r="E472" s="101" vm="2722">
        <f ca="1"/>
        <v>170.565</v>
      </c>
      <c r="F472" s="101" vm="2723">
        <f ca="1"/>
        <v>173.6</v>
      </c>
      <c r="G472" s="101" vm="2724">
        <f ca="1"/>
        <v>169.45</v>
      </c>
      <c r="H472" s="102" vm="2725">
        <f ca="1"/>
        <v>237622732</v>
      </c>
    </row>
    <row r="473" spans="3:8" x14ac:dyDescent="0.3">
      <c r="C473" s="100" vm="2726">
        <f ca="1"/>
        <v>45383</v>
      </c>
      <c r="D473" s="101" vm="2727">
        <f ca="1"/>
        <v>169.58</v>
      </c>
      <c r="E473" s="101" vm="2728">
        <f ca="1"/>
        <v>171.19</v>
      </c>
      <c r="F473" s="101" vm="2729">
        <f ca="1"/>
        <v>171.92</v>
      </c>
      <c r="G473" s="101" vm="2730">
        <f ca="1"/>
        <v>168.2302</v>
      </c>
      <c r="H473" s="102" vm="2731">
        <f ca="1"/>
        <v>239070908</v>
      </c>
    </row>
    <row r="474" spans="3:8" x14ac:dyDescent="0.3">
      <c r="C474" s="100" vm="2732">
        <f ca="1"/>
        <v>45390</v>
      </c>
      <c r="D474" s="101" vm="2532">
        <f ca="1"/>
        <v>176.55</v>
      </c>
      <c r="E474" s="101" vm="2733">
        <f ca="1"/>
        <v>169.03</v>
      </c>
      <c r="F474" s="101" vm="2734">
        <f ca="1"/>
        <v>178.36</v>
      </c>
      <c r="G474" s="101" vm="2735">
        <f ca="1"/>
        <v>167.11</v>
      </c>
      <c r="H474" s="102" vm="2736">
        <f ca="1"/>
        <v>322327219</v>
      </c>
    </row>
    <row r="475" spans="3:8" x14ac:dyDescent="0.3">
      <c r="C475" s="100" vm="2737">
        <f ca="1"/>
        <v>45397</v>
      </c>
      <c r="D475" s="101" vm="2420">
        <f ca="1"/>
        <v>165</v>
      </c>
      <c r="E475" s="101" vm="2738">
        <f ca="1"/>
        <v>175.36</v>
      </c>
      <c r="F475" s="101" vm="2739">
        <f ca="1"/>
        <v>176.63</v>
      </c>
      <c r="G475" s="101" vm="2740">
        <f ca="1"/>
        <v>164.07499999999999</v>
      </c>
      <c r="H475" s="102" vm="2741">
        <f ca="1"/>
        <v>309416498</v>
      </c>
    </row>
    <row r="476" spans="3:8" x14ac:dyDescent="0.3">
      <c r="C476" s="100" vm="2742">
        <f ca="1"/>
        <v>45404</v>
      </c>
      <c r="D476" s="101" vm="2743">
        <f ca="1"/>
        <v>169.3</v>
      </c>
      <c r="E476" s="101" vm="2744">
        <f ca="1"/>
        <v>165.51499999999999</v>
      </c>
      <c r="F476" s="101" vm="2745">
        <f ca="1"/>
        <v>171.34</v>
      </c>
      <c r="G476" s="101" vm="2746">
        <f ca="1"/>
        <v>164.77</v>
      </c>
      <c r="H476" s="102" vm="2747">
        <f ca="1"/>
        <v>241302722</v>
      </c>
    </row>
    <row r="477" spans="3:8" x14ac:dyDescent="0.3">
      <c r="C477" s="100" vm="2748">
        <f ca="1"/>
        <v>45411</v>
      </c>
      <c r="D477" s="101" vm="2749">
        <f ca="1"/>
        <v>183.38</v>
      </c>
      <c r="E477" s="101" vm="2750">
        <f ca="1"/>
        <v>173.37</v>
      </c>
      <c r="F477" s="101" vm="2751">
        <f ca="1"/>
        <v>187</v>
      </c>
      <c r="G477" s="101" vm="2752">
        <f ca="1"/>
        <v>169.11</v>
      </c>
      <c r="H477" s="102" vm="2753">
        <f ca="1"/>
        <v>441926366</v>
      </c>
    </row>
    <row r="478" spans="3:8" x14ac:dyDescent="0.3">
      <c r="C478" s="100" vm="2754">
        <f ca="1"/>
        <v>45418</v>
      </c>
      <c r="D478" s="101" vm="2755">
        <f ca="1"/>
        <v>183.05</v>
      </c>
      <c r="E478" s="101" vm="2756">
        <f ca="1"/>
        <v>182.35400000000001</v>
      </c>
      <c r="F478" s="101" vm="2757">
        <f ca="1"/>
        <v>185.09</v>
      </c>
      <c r="G478" s="101" vm="2758">
        <f ca="1"/>
        <v>180.42</v>
      </c>
      <c r="H478" s="102" vm="2759">
        <f ca="1"/>
        <v>300674993</v>
      </c>
    </row>
    <row r="479" spans="3:8" x14ac:dyDescent="0.3">
      <c r="C479" s="100" vm="2760">
        <f ca="1"/>
        <v>45425</v>
      </c>
      <c r="D479" s="101" vm="2761">
        <f ca="1"/>
        <v>189.87</v>
      </c>
      <c r="E479" s="101" vm="2762">
        <f ca="1"/>
        <v>185.435</v>
      </c>
      <c r="F479" s="101" vm="2763">
        <f ca="1"/>
        <v>191.095</v>
      </c>
      <c r="G479" s="101" vm="2764">
        <f ca="1"/>
        <v>184.62</v>
      </c>
      <c r="H479" s="102" vm="2765">
        <f ca="1"/>
        <v>288966571</v>
      </c>
    </row>
    <row r="480" spans="3:8" x14ac:dyDescent="0.3">
      <c r="C480" s="100" vm="2766">
        <f ca="1"/>
        <v>45432</v>
      </c>
      <c r="D480" s="101" vm="2555">
        <f ca="1"/>
        <v>189.98</v>
      </c>
      <c r="E480" s="101" vm="2767">
        <f ca="1"/>
        <v>189.32499999999999</v>
      </c>
      <c r="F480" s="101" vm="2768">
        <f ca="1"/>
        <v>192.82310000000001</v>
      </c>
      <c r="G480" s="101" vm="2769">
        <f ca="1"/>
        <v>186.625</v>
      </c>
      <c r="H480" s="102" vm="2770">
        <f ca="1"/>
        <v>208652122</v>
      </c>
    </row>
    <row r="481" spans="3:8" x14ac:dyDescent="0.3">
      <c r="C481" s="100" vm="2771">
        <f ca="1"/>
        <v>45440</v>
      </c>
      <c r="D481" s="101" vm="2521">
        <f ca="1"/>
        <v>192.25</v>
      </c>
      <c r="E481" s="101" vm="2772">
        <f ca="1"/>
        <v>191.51</v>
      </c>
      <c r="F481" s="101" vm="2773">
        <f ca="1"/>
        <v>193</v>
      </c>
      <c r="G481" s="101" vm="2774">
        <f ca="1"/>
        <v>189.1</v>
      </c>
      <c r="H481" s="102" vm="2775">
        <f ca="1"/>
        <v>230454285</v>
      </c>
    </row>
    <row r="482" spans="3:8" x14ac:dyDescent="0.3">
      <c r="C482" s="100" vm="2776">
        <f ca="1"/>
        <v>45446</v>
      </c>
      <c r="D482" s="101" vm="2777">
        <f ca="1"/>
        <v>196.89</v>
      </c>
      <c r="E482" s="101" vm="2778">
        <f ca="1"/>
        <v>192.9</v>
      </c>
      <c r="F482" s="101" vm="2779">
        <f ca="1"/>
        <v>196.94</v>
      </c>
      <c r="G482" s="101" vm="2780">
        <f ca="1"/>
        <v>192.52</v>
      </c>
      <c r="H482" s="102" vm="2781">
        <f ca="1"/>
        <v>245994434</v>
      </c>
    </row>
    <row r="483" spans="3:8" x14ac:dyDescent="0.3">
      <c r="C483" s="100" vm="2782">
        <f ca="1"/>
        <v>45453</v>
      </c>
      <c r="D483" s="101" vm="2783">
        <f ca="1"/>
        <v>212.49</v>
      </c>
      <c r="E483" s="101" vm="2784">
        <f ca="1"/>
        <v>196.9</v>
      </c>
      <c r="F483" s="101" vm="2785">
        <f ca="1"/>
        <v>220.2</v>
      </c>
      <c r="G483" s="101" vm="2786">
        <f ca="1"/>
        <v>192.15</v>
      </c>
      <c r="H483" s="102" vm="2787">
        <f ca="1"/>
        <v>635755143</v>
      </c>
    </row>
    <row r="484" spans="3:8" x14ac:dyDescent="0.3">
      <c r="C484" s="100" vm="2788">
        <f ca="1"/>
        <v>45460</v>
      </c>
      <c r="D484" s="101" vm="2789">
        <f ca="1"/>
        <v>207.49</v>
      </c>
      <c r="E484" s="101" vm="2790">
        <f ca="1"/>
        <v>213.37</v>
      </c>
      <c r="F484" s="101" vm="2791">
        <f ca="1"/>
        <v>218.95</v>
      </c>
      <c r="G484" s="101" vm="2792">
        <f ca="1"/>
        <v>207.11</v>
      </c>
      <c r="H484" s="102" vm="2793">
        <f ca="1"/>
        <v>506265358</v>
      </c>
    </row>
    <row r="485" spans="3:8" x14ac:dyDescent="0.3">
      <c r="C485" s="100" vm="2794">
        <f ca="1"/>
        <v>45467</v>
      </c>
      <c r="D485" s="101" vm="2795">
        <f ca="1"/>
        <v>210.62</v>
      </c>
      <c r="E485" s="101" vm="2796">
        <f ca="1"/>
        <v>207.72</v>
      </c>
      <c r="F485" s="101" vm="2797">
        <f ca="1"/>
        <v>216.07</v>
      </c>
      <c r="G485" s="101" vm="2798">
        <f ca="1"/>
        <v>206.59</v>
      </c>
      <c r="H485" s="102" vm="2799">
        <f ca="1"/>
        <v>335969485</v>
      </c>
    </row>
    <row r="486" spans="3:8" x14ac:dyDescent="0.3">
      <c r="C486" s="100" vm="2800">
        <f ca="1"/>
        <v>45474</v>
      </c>
      <c r="D486" s="101" vm="2801">
        <f ca="1"/>
        <v>226.34</v>
      </c>
      <c r="E486" s="101" vm="2802">
        <f ca="1"/>
        <v>212.09</v>
      </c>
      <c r="F486" s="101" vm="2803">
        <f ca="1"/>
        <v>226.45</v>
      </c>
      <c r="G486" s="101" vm="2804">
        <f ca="1"/>
        <v>211.92</v>
      </c>
      <c r="H486" s="102" vm="2805">
        <f ca="1"/>
        <v>216231316</v>
      </c>
    </row>
    <row r="487" spans="3:8" x14ac:dyDescent="0.3">
      <c r="C487" s="100" vm="2806">
        <f ca="1"/>
        <v>45481</v>
      </c>
      <c r="D487" s="101" vm="2807">
        <f ca="1"/>
        <v>230.54</v>
      </c>
      <c r="E487" s="101" vm="2808">
        <f ca="1"/>
        <v>227.09</v>
      </c>
      <c r="F487" s="101" vm="2809">
        <f ca="1"/>
        <v>233.08</v>
      </c>
      <c r="G487" s="101" vm="2810">
        <f ca="1"/>
        <v>223.25</v>
      </c>
      <c r="H487" s="102" vm="2811">
        <f ca="1"/>
        <v>287640514</v>
      </c>
    </row>
    <row r="488" spans="3:8" x14ac:dyDescent="0.3">
      <c r="C488" s="100" vm="2812">
        <f ca="1"/>
        <v>45488</v>
      </c>
      <c r="D488" s="101" vm="2813">
        <f ca="1"/>
        <v>224.31</v>
      </c>
      <c r="E488" s="101" vm="2814">
        <f ca="1"/>
        <v>236.48</v>
      </c>
      <c r="F488" s="101" vm="2815">
        <f ca="1"/>
        <v>237.23</v>
      </c>
      <c r="G488" s="101" vm="2816">
        <f ca="1"/>
        <v>222.27</v>
      </c>
      <c r="H488" s="102" vm="2817">
        <f ca="1"/>
        <v>278397452</v>
      </c>
    </row>
    <row r="489" spans="3:8" x14ac:dyDescent="0.3">
      <c r="C489" s="100" vm="2818">
        <f ca="1"/>
        <v>45495</v>
      </c>
      <c r="D489" s="101" vm="2819">
        <f ca="1"/>
        <v>217.96</v>
      </c>
      <c r="E489" s="101" vm="2820">
        <f ca="1"/>
        <v>227.01</v>
      </c>
      <c r="F489" s="101" vm="2821">
        <f ca="1"/>
        <v>227.78</v>
      </c>
      <c r="G489" s="101" vm="2822">
        <f ca="1"/>
        <v>214.62</v>
      </c>
      <c r="H489" s="102" vm="2823">
        <f ca="1"/>
        <v>242932215</v>
      </c>
    </row>
    <row r="490" spans="3:8" x14ac:dyDescent="0.3">
      <c r="C490" s="100" vm="2824">
        <f ca="1"/>
        <v>45502</v>
      </c>
      <c r="D490" s="101" vm="2825">
        <f ca="1"/>
        <v>219.86</v>
      </c>
      <c r="E490" s="101" vm="2826">
        <f ca="1"/>
        <v>216.96</v>
      </c>
      <c r="F490" s="101" vm="2827">
        <f ca="1"/>
        <v>225.6</v>
      </c>
      <c r="G490" s="101" vm="2828">
        <f ca="1"/>
        <v>215.75</v>
      </c>
      <c r="H490" s="102" vm="2829">
        <f ca="1"/>
        <v>296061436</v>
      </c>
    </row>
    <row r="491" spans="3:8" x14ac:dyDescent="0.3">
      <c r="C491" s="100" vm="2830">
        <f ca="1"/>
        <v>45509</v>
      </c>
      <c r="D491" s="101" vm="2831">
        <f ca="1"/>
        <v>216.24</v>
      </c>
      <c r="E491" s="101" vm="2832">
        <f ca="1"/>
        <v>199.09</v>
      </c>
      <c r="F491" s="101" vm="2833">
        <f ca="1"/>
        <v>216.78</v>
      </c>
      <c r="G491" s="101" vm="2834">
        <f ca="1"/>
        <v>196</v>
      </c>
      <c r="H491" s="102" vm="2835">
        <f ca="1"/>
        <v>342088289</v>
      </c>
    </row>
    <row r="492" spans="3:8" x14ac:dyDescent="0.3">
      <c r="C492" s="100" vm="2836">
        <f ca="1"/>
        <v>45516</v>
      </c>
      <c r="D492" s="101" vm="2837">
        <f ca="1"/>
        <v>226.05</v>
      </c>
      <c r="E492" s="101" vm="2797">
        <f ca="1"/>
        <v>216.07</v>
      </c>
      <c r="F492" s="101" vm="2838">
        <f ca="1"/>
        <v>226.8271</v>
      </c>
      <c r="G492" s="101" vm="2839">
        <f ca="1"/>
        <v>215.6</v>
      </c>
      <c r="H492" s="102" vm="2840">
        <f ca="1"/>
        <v>214898250</v>
      </c>
    </row>
    <row r="493" spans="3:8" x14ac:dyDescent="0.3">
      <c r="C493" s="100" vm="2841">
        <f ca="1"/>
        <v>45523</v>
      </c>
      <c r="D493" s="101" vm="2842">
        <f ca="1"/>
        <v>226.84</v>
      </c>
      <c r="E493" s="101" vm="2843">
        <f ca="1"/>
        <v>225.72</v>
      </c>
      <c r="F493" s="101" vm="2844">
        <f ca="1"/>
        <v>228.34</v>
      </c>
      <c r="G493" s="101" vm="2845">
        <f ca="1"/>
        <v>223.04</v>
      </c>
      <c r="H493" s="102" vm="2846">
        <f ca="1"/>
        <v>188124897</v>
      </c>
    </row>
    <row r="494" spans="3:8" x14ac:dyDescent="0.3">
      <c r="C494" s="100" vm="2847">
        <f ca="1"/>
        <v>45530</v>
      </c>
      <c r="D494" s="101" vm="2848">
        <f ca="1"/>
        <v>229</v>
      </c>
      <c r="E494" s="101" vm="2849">
        <f ca="1"/>
        <v>226.76</v>
      </c>
      <c r="F494" s="101" vm="2850">
        <f ca="1"/>
        <v>232.92</v>
      </c>
      <c r="G494" s="101" vm="2851">
        <f ca="1"/>
        <v>223.8905</v>
      </c>
      <c r="H494" s="102" vm="2852">
        <f ca="1"/>
        <v>209486001</v>
      </c>
    </row>
    <row r="495" spans="3:8" x14ac:dyDescent="0.3">
      <c r="C495" s="100" vm="2853">
        <f ca="1"/>
        <v>45538</v>
      </c>
      <c r="D495" s="101" vm="2854">
        <f ca="1"/>
        <v>220.82</v>
      </c>
      <c r="E495" s="101" vm="2855">
        <f ca="1"/>
        <v>228.55</v>
      </c>
      <c r="F495" s="101" vm="2848">
        <f ca="1"/>
        <v>229</v>
      </c>
      <c r="G495" s="101" vm="2856">
        <f ca="1"/>
        <v>217.48</v>
      </c>
      <c r="H495" s="102" vm="2857">
        <f ca="1"/>
        <v>179069179</v>
      </c>
    </row>
    <row r="496" spans="3:8" x14ac:dyDescent="0.3">
      <c r="C496" s="100" vm="2858">
        <f ca="1"/>
        <v>45544</v>
      </c>
      <c r="D496" s="101" vm="2859">
        <f ca="1"/>
        <v>222.5</v>
      </c>
      <c r="E496" s="101" vm="2854">
        <f ca="1"/>
        <v>220.82</v>
      </c>
      <c r="F496" s="101" vm="2860">
        <f ca="1"/>
        <v>224.04</v>
      </c>
      <c r="G496" s="101" vm="2861">
        <f ca="1"/>
        <v>216.71</v>
      </c>
      <c r="H496" s="102" vm="2862">
        <f ca="1"/>
        <v>237622914</v>
      </c>
    </row>
    <row r="497" spans="3:8" x14ac:dyDescent="0.3">
      <c r="C497" s="100" vm="2863">
        <f ca="1"/>
        <v>45551</v>
      </c>
      <c r="D497" s="101" vm="2864">
        <f ca="1"/>
        <v>228.2</v>
      </c>
      <c r="E497" s="101" vm="2865">
        <f ca="1"/>
        <v>216.54</v>
      </c>
      <c r="F497" s="101" vm="2866">
        <f ca="1"/>
        <v>233.09</v>
      </c>
      <c r="G497" s="101" vm="2867">
        <f ca="1"/>
        <v>213.92</v>
      </c>
      <c r="H497" s="102" vm="2868">
        <f ca="1"/>
        <v>550232897</v>
      </c>
    </row>
    <row r="498" spans="3:8" x14ac:dyDescent="0.3">
      <c r="C498" s="100" vm="2869">
        <f ca="1"/>
        <v>45558</v>
      </c>
      <c r="D498" s="101" vm="2870">
        <f ca="1"/>
        <v>227.79</v>
      </c>
      <c r="E498" s="101" vm="2871">
        <f ca="1"/>
        <v>227.34</v>
      </c>
      <c r="F498" s="101" vm="2872">
        <f ca="1"/>
        <v>229.52</v>
      </c>
      <c r="G498" s="101" vm="2873">
        <f ca="1"/>
        <v>224.02</v>
      </c>
      <c r="H498" s="102" vm="2874">
        <f ca="1"/>
        <v>210673480</v>
      </c>
    </row>
    <row r="499" spans="3:8" x14ac:dyDescent="0.3">
      <c r="C499" s="100" vm="2875">
        <f ca="1"/>
        <v>45565</v>
      </c>
      <c r="D499" s="101" vm="2876">
        <f ca="1"/>
        <v>226.8</v>
      </c>
      <c r="E499" s="101" vm="2877">
        <f ca="1"/>
        <v>230.04</v>
      </c>
      <c r="F499" s="101" vm="2878">
        <f ca="1"/>
        <v>233</v>
      </c>
      <c r="G499" s="101" vm="2879">
        <f ca="1"/>
        <v>223.02</v>
      </c>
      <c r="H499" s="102" vm="2880">
        <f ca="1"/>
        <v>222348300</v>
      </c>
    </row>
    <row r="500" spans="3:8" x14ac:dyDescent="0.3">
      <c r="C500" s="100" vm="2881">
        <f ca="1"/>
        <v>45572</v>
      </c>
      <c r="D500" s="101" vm="2882">
        <f ca="1"/>
        <v>227.55</v>
      </c>
      <c r="E500" s="101" vm="2883">
        <f ca="1"/>
        <v>224.5</v>
      </c>
      <c r="F500" s="101" vm="2884">
        <f ca="1"/>
        <v>229.75</v>
      </c>
      <c r="G500" s="101" vm="2885">
        <f ca="1"/>
        <v>221.33</v>
      </c>
      <c r="H500" s="102" vm="2886">
        <f ca="1"/>
        <v>164894870</v>
      </c>
    </row>
    <row r="501" spans="3:8" x14ac:dyDescent="0.3">
      <c r="C501" s="103" vm="2887">
        <f ca="1"/>
        <v>45579</v>
      </c>
      <c r="D501" s="101" vm="2888">
        <f ca="1"/>
        <v>235</v>
      </c>
      <c r="E501" s="101" vm="2889">
        <f ca="1"/>
        <v>228.7</v>
      </c>
      <c r="F501" s="101" vm="2890">
        <f ca="1"/>
        <v>237.49</v>
      </c>
      <c r="G501" s="101" vm="2891">
        <f ca="1"/>
        <v>228.6</v>
      </c>
      <c r="H501" s="102" vm="2892">
        <f ca="1"/>
        <v>218140974</v>
      </c>
    </row>
    <row r="502" spans="3:8" x14ac:dyDescent="0.3">
      <c r="C502" s="100" vm="2893">
        <f ca="1"/>
        <v>45586</v>
      </c>
      <c r="D502" s="101" vm="2894">
        <f ca="1"/>
        <v>231.41</v>
      </c>
      <c r="E502" s="101" vm="2895">
        <f ca="1"/>
        <v>234.45</v>
      </c>
      <c r="F502" s="101" vm="2896">
        <f ca="1"/>
        <v>236.85</v>
      </c>
      <c r="G502" s="101" vm="2897">
        <f ca="1"/>
        <v>227.76</v>
      </c>
      <c r="H502" s="102" vm="2898">
        <f ca="1"/>
        <v>197299834</v>
      </c>
    </row>
    <row r="503" spans="3:8" x14ac:dyDescent="0.3">
      <c r="C503" s="100" vm="2899">
        <f ca="1"/>
        <v>45593</v>
      </c>
      <c r="D503" s="101" vm="2900">
        <f ca="1"/>
        <v>222.91</v>
      </c>
      <c r="E503" s="101" vm="2901">
        <f ca="1"/>
        <v>233.32</v>
      </c>
      <c r="F503" s="101" vm="2902">
        <f ca="1"/>
        <v>234.73</v>
      </c>
      <c r="G503" s="101" vm="2903">
        <f ca="1"/>
        <v>220.27</v>
      </c>
      <c r="H503" s="102" vm="2904">
        <f ca="1"/>
        <v>248222115</v>
      </c>
    </row>
    <row r="504" spans="3:8" x14ac:dyDescent="0.3">
      <c r="C504" s="100" vm="2905">
        <f ca="1"/>
        <v>45600</v>
      </c>
      <c r="D504" s="101" vm="2906">
        <f ca="1"/>
        <v>226.96</v>
      </c>
      <c r="E504" s="101" vm="2907">
        <f ca="1"/>
        <v>220.99</v>
      </c>
      <c r="F504" s="101" vm="2908">
        <f ca="1"/>
        <v>228.66</v>
      </c>
      <c r="G504" s="101" vm="2909">
        <f ca="1"/>
        <v>219.71</v>
      </c>
      <c r="H504" s="102" vm="2910">
        <f ca="1"/>
        <v>208083442</v>
      </c>
    </row>
    <row r="505" spans="3:8" x14ac:dyDescent="0.3">
      <c r="C505" s="100" vm="2911">
        <f ca="1"/>
        <v>45607</v>
      </c>
      <c r="D505" s="101" vm="2912">
        <f ca="1"/>
        <v>225</v>
      </c>
      <c r="E505" s="101" vm="2912">
        <f ca="1"/>
        <v>225</v>
      </c>
      <c r="F505" s="101" vm="2913">
        <f ca="1"/>
        <v>228.87</v>
      </c>
      <c r="G505" s="101" vm="2914">
        <f ca="1"/>
        <v>221.5</v>
      </c>
      <c r="H505" s="102" vm="2915">
        <f ca="1"/>
        <v>223817755</v>
      </c>
    </row>
    <row r="506" spans="3:8" x14ac:dyDescent="0.3">
      <c r="C506" s="100" vm="2916">
        <f ca="1"/>
        <v>45614</v>
      </c>
      <c r="D506" s="101" vm="2917">
        <f ca="1"/>
        <v>229.87</v>
      </c>
      <c r="E506" s="101" vm="2918">
        <f ca="1"/>
        <v>225.25</v>
      </c>
      <c r="F506" s="101" vm="2919">
        <f ca="1"/>
        <v>230.7199</v>
      </c>
      <c r="G506" s="101" vm="2920">
        <f ca="1"/>
        <v>225.17</v>
      </c>
      <c r="H506" s="102" vm="2921">
        <f ca="1"/>
        <v>196343939</v>
      </c>
    </row>
    <row r="507" spans="3:8" x14ac:dyDescent="0.3">
      <c r="C507" s="100" vm="2922">
        <f ca="1"/>
        <v>45621</v>
      </c>
      <c r="D507" s="101" vm="2923">
        <f ca="1"/>
        <v>237.33</v>
      </c>
      <c r="E507" s="101" vm="2924">
        <f ca="1"/>
        <v>231.46</v>
      </c>
      <c r="F507" s="101" vm="2925">
        <f ca="1"/>
        <v>237.81</v>
      </c>
      <c r="G507" s="101" vm="2926">
        <f ca="1"/>
        <v>229.74</v>
      </c>
      <c r="H507" s="102" vm="2927">
        <f ca="1"/>
        <v>198118837</v>
      </c>
    </row>
    <row r="508" spans="3:8" x14ac:dyDescent="0.3">
      <c r="C508" s="100" vm="2928">
        <f ca="1"/>
        <v>45628</v>
      </c>
      <c r="D508" s="101" vm="2929">
        <f ca="1"/>
        <v>242.84</v>
      </c>
      <c r="E508" s="101" vm="2930">
        <f ca="1"/>
        <v>237.27</v>
      </c>
      <c r="F508" s="101" vm="2931">
        <f ca="1"/>
        <v>244.63</v>
      </c>
      <c r="G508" s="101" vm="2932">
        <f ca="1"/>
        <v>237.16</v>
      </c>
      <c r="H508" s="102" vm="2933">
        <f ca="1"/>
        <v>208286552</v>
      </c>
    </row>
    <row r="509" spans="3:8" x14ac:dyDescent="0.3">
      <c r="C509" s="100" vm="2934">
        <f ca="1"/>
        <v>45635</v>
      </c>
      <c r="D509" s="101" vm="2935">
        <f ca="1"/>
        <v>248.13</v>
      </c>
      <c r="E509" s="101" vm="2936">
        <f ca="1"/>
        <v>241.83</v>
      </c>
      <c r="F509" s="101" vm="2937">
        <f ca="1"/>
        <v>250.8</v>
      </c>
      <c r="G509" s="101" vm="2938">
        <f ca="1"/>
        <v>241.75</v>
      </c>
      <c r="H509" s="102" vm="2939">
        <f ca="1"/>
        <v>192702674</v>
      </c>
    </row>
    <row r="510" spans="3:8" x14ac:dyDescent="0.3">
      <c r="C510" s="100" vm="2940">
        <f ca="1"/>
        <v>45642</v>
      </c>
      <c r="D510" s="101" vm="2941">
        <f ca="1"/>
        <v>254.49</v>
      </c>
      <c r="E510" s="101" vm="2942">
        <f ca="1"/>
        <v>247.99</v>
      </c>
      <c r="F510" s="101" vm="2943">
        <f ca="1"/>
        <v>255</v>
      </c>
      <c r="G510" s="101" vm="2944">
        <f ca="1"/>
        <v>245.69</v>
      </c>
      <c r="H510" s="102" vm="2945">
        <f ca="1"/>
        <v>368202745</v>
      </c>
    </row>
    <row r="511" spans="3:8" x14ac:dyDescent="0.3">
      <c r="C511" s="103" vm="2946">
        <f ca="1"/>
        <v>45649</v>
      </c>
      <c r="D511" s="101" vm="2947">
        <f ca="1"/>
        <v>255.59</v>
      </c>
      <c r="E511" s="101" vm="2948">
        <f ca="1"/>
        <v>254.77</v>
      </c>
      <c r="F511" s="101" vm="2949">
        <f ca="1"/>
        <v>260.10000000000002</v>
      </c>
      <c r="G511" s="101" vm="2950">
        <f ca="1"/>
        <v>253.06</v>
      </c>
      <c r="H511" s="102" vm="2951">
        <f ca="1"/>
        <v>133711783</v>
      </c>
    </row>
    <row r="512" spans="3:8" x14ac:dyDescent="0.3">
      <c r="C512" s="100" vm="2952">
        <f ca="1"/>
        <v>45656</v>
      </c>
      <c r="D512" s="101" vm="2953">
        <f ca="1"/>
        <v>243.36</v>
      </c>
      <c r="E512" s="101" vm="2954">
        <f ca="1"/>
        <v>252.23</v>
      </c>
      <c r="F512" s="101" vm="2955">
        <f ca="1"/>
        <v>253.5</v>
      </c>
      <c r="G512" s="101" vm="2956">
        <f ca="1"/>
        <v>241.8201</v>
      </c>
      <c r="H512" s="102" vm="2957">
        <f ca="1"/>
        <v>171023105</v>
      </c>
    </row>
    <row r="513" spans="3:8" x14ac:dyDescent="0.3">
      <c r="C513" s="100" vm="2958">
        <f ca="1"/>
        <v>45663</v>
      </c>
      <c r="D513" s="101" vm="2896">
        <f ca="1"/>
        <v>236.85</v>
      </c>
      <c r="E513" s="101" vm="2959">
        <f ca="1"/>
        <v>244.31</v>
      </c>
      <c r="F513" s="101" vm="2960">
        <f ca="1"/>
        <v>247.33</v>
      </c>
      <c r="G513" s="101" vm="2878">
        <f ca="1"/>
        <v>233</v>
      </c>
      <c r="H513" s="102" vm="2961">
        <f ca="1"/>
        <v>185241327</v>
      </c>
    </row>
    <row r="514" spans="3:8" x14ac:dyDescent="0.3">
      <c r="C514" s="100" vm="2962">
        <f ca="1"/>
        <v>45670</v>
      </c>
      <c r="D514" s="101" vm="2963">
        <f ca="1"/>
        <v>229.98</v>
      </c>
      <c r="E514" s="101" vm="2964">
        <f ca="1"/>
        <v>233.53</v>
      </c>
      <c r="F514" s="101" vm="2965">
        <f ca="1"/>
        <v>238.96</v>
      </c>
      <c r="G514" s="101" vm="2966">
        <f ca="1"/>
        <v>228.03</v>
      </c>
      <c r="H514" s="102" vm="2967">
        <f ca="1"/>
        <v>269145341</v>
      </c>
    </row>
    <row r="515" spans="3:8" x14ac:dyDescent="0.3">
      <c r="C515" s="100" vm="2968">
        <f ca="1"/>
        <v>45678</v>
      </c>
      <c r="D515" s="101" vm="2969">
        <f ca="1"/>
        <v>222.78</v>
      </c>
      <c r="E515" s="101" vm="2970">
        <f ca="1"/>
        <v>224</v>
      </c>
      <c r="F515" s="101" vm="2971">
        <f ca="1"/>
        <v>227.03</v>
      </c>
      <c r="G515" s="101" vm="2972">
        <f ca="1"/>
        <v>219.38</v>
      </c>
      <c r="H515" s="102" vm="2973">
        <f ca="1"/>
        <v>277129596</v>
      </c>
    </row>
    <row r="516" spans="3:8" x14ac:dyDescent="0.3">
      <c r="C516" s="100" vm="2974">
        <f ca="1"/>
        <v>45684</v>
      </c>
      <c r="D516" s="101" vm="2975">
        <f ca="1"/>
        <v>236</v>
      </c>
      <c r="E516" s="101" vm="2873">
        <f ca="1"/>
        <v>224.02</v>
      </c>
      <c r="F516" s="101" vm="2976">
        <f ca="1"/>
        <v>247.19</v>
      </c>
      <c r="G516" s="101" vm="2977">
        <f ca="1"/>
        <v>223.98</v>
      </c>
      <c r="H516" s="102" vm="2978">
        <f ca="1"/>
        <v>372790494</v>
      </c>
    </row>
    <row r="517" spans="3:8" x14ac:dyDescent="0.3">
      <c r="C517" s="100" vm="2979">
        <f ca="1"/>
        <v>45691</v>
      </c>
      <c r="D517" s="101" vm="2980">
        <f ca="1"/>
        <v>227.63</v>
      </c>
      <c r="E517" s="101" vm="2981">
        <f ca="1"/>
        <v>229.99</v>
      </c>
      <c r="F517" s="101" vm="2982">
        <f ca="1"/>
        <v>234</v>
      </c>
      <c r="G517" s="101" vm="2983">
        <f ca="1"/>
        <v>225.7</v>
      </c>
      <c r="H517" s="102" vm="2984">
        <f ca="1"/>
        <v>227428164</v>
      </c>
    </row>
    <row r="518" spans="3:8" x14ac:dyDescent="0.3">
      <c r="C518" s="100" vm="2985">
        <f ca="1"/>
        <v>45698</v>
      </c>
      <c r="D518" s="101" vm="2986">
        <f ca="1"/>
        <v>244.6</v>
      </c>
      <c r="E518" s="101" vm="2987">
        <f ca="1"/>
        <v>229.57</v>
      </c>
      <c r="F518" s="101" vm="2988">
        <f ca="1"/>
        <v>245.55</v>
      </c>
      <c r="G518" s="101" vm="2989">
        <f ca="1"/>
        <v>227.2</v>
      </c>
      <c r="H518" s="102" vm="2990">
        <f ca="1"/>
        <v>226587580</v>
      </c>
    </row>
    <row r="519" spans="3:8" x14ac:dyDescent="0.3">
      <c r="C519" s="100" vm="2991">
        <f ca="1"/>
        <v>45706</v>
      </c>
      <c r="D519" s="101" vm="2988">
        <f ca="1"/>
        <v>245.55</v>
      </c>
      <c r="E519" s="101" vm="2992">
        <f ca="1"/>
        <v>244.15</v>
      </c>
      <c r="F519" s="101" vm="2993">
        <f ca="1"/>
        <v>248.69</v>
      </c>
      <c r="G519" s="101" vm="2994">
        <f ca="1"/>
        <v>241.84</v>
      </c>
      <c r="H519" s="102" vm="2995">
        <f ca="1"/>
        <v>166541044</v>
      </c>
    </row>
    <row r="520" spans="3:8" x14ac:dyDescent="0.3">
      <c r="C520" s="100" vm="2996">
        <f ca="1"/>
        <v>45712</v>
      </c>
      <c r="D520" s="101" vm="2994">
        <f ca="1"/>
        <v>241.84</v>
      </c>
      <c r="E520" s="101" vm="2997">
        <f ca="1"/>
        <v>244.92500000000001</v>
      </c>
      <c r="F520" s="101" vm="2998">
        <f ca="1"/>
        <v>250</v>
      </c>
      <c r="G520" s="101" vm="2999">
        <f ca="1"/>
        <v>230.2</v>
      </c>
      <c r="H520" s="102" vm="3000">
        <f ca="1"/>
        <v>241760231</v>
      </c>
    </row>
    <row r="521" spans="3:8" x14ac:dyDescent="0.3">
      <c r="C521" s="100" vm="3001">
        <f ca="1"/>
        <v>45719</v>
      </c>
      <c r="D521" s="101" vm="3002">
        <f ca="1"/>
        <v>239.07</v>
      </c>
      <c r="E521" s="101" vm="3003">
        <f ca="1"/>
        <v>241.79</v>
      </c>
      <c r="F521" s="101" vm="3004">
        <f ca="1"/>
        <v>244.02719999999999</v>
      </c>
      <c r="G521" s="101" vm="3005">
        <f ca="1"/>
        <v>229.23</v>
      </c>
      <c r="H521" s="102" vm="3006">
        <f ca="1"/>
        <v>239653674</v>
      </c>
    </row>
    <row r="522" spans="3:8" x14ac:dyDescent="0.3">
      <c r="C522" s="100" vm="3007">
        <f ca="1"/>
        <v>45726</v>
      </c>
      <c r="D522" s="101" vm="3008">
        <f ca="1"/>
        <v>213.49</v>
      </c>
      <c r="E522" s="101" vm="3009">
        <f ca="1"/>
        <v>235.54</v>
      </c>
      <c r="F522" s="101" vm="3010">
        <f ca="1"/>
        <v>236.16</v>
      </c>
      <c r="G522" s="101" vm="3011">
        <f ca="1"/>
        <v>208.42</v>
      </c>
      <c r="H522" s="102" vm="3012">
        <f ca="1"/>
        <v>332231986</v>
      </c>
    </row>
    <row r="523" spans="3:8" x14ac:dyDescent="0.3">
      <c r="C523" s="100" vm="3013">
        <f ca="1"/>
        <v>45733</v>
      </c>
      <c r="D523" s="101" vm="3014">
        <f ca="1"/>
        <v>218.27</v>
      </c>
      <c r="E523" s="101" vm="3015">
        <f ca="1"/>
        <v>213.31</v>
      </c>
      <c r="F523" s="101" vm="3016">
        <f ca="1"/>
        <v>218.84</v>
      </c>
      <c r="G523" s="101" vm="3017">
        <f ca="1"/>
        <v>209.97</v>
      </c>
      <c r="H523" s="102" vm="3018">
        <f ca="1"/>
        <v>287881958</v>
      </c>
    </row>
    <row r="524" spans="3:8" x14ac:dyDescent="0.3">
      <c r="C524" s="100" vm="3019">
        <f ca="1"/>
        <v>45740</v>
      </c>
      <c r="D524" s="101" vm="3020">
        <f ca="1"/>
        <v>217.9</v>
      </c>
      <c r="E524" s="101" vm="3021">
        <f ca="1"/>
        <v>221</v>
      </c>
      <c r="F524" s="101" vm="3022">
        <f ca="1"/>
        <v>225.02</v>
      </c>
      <c r="G524" s="101" vm="3023">
        <f ca="1"/>
        <v>217.68</v>
      </c>
      <c r="H524" s="102" vm="3024">
        <f ca="1"/>
        <v>190239113</v>
      </c>
    </row>
    <row r="525" spans="3:8" x14ac:dyDescent="0.3">
      <c r="C525" s="100" vm="3025">
        <f ca="1"/>
        <v>45747</v>
      </c>
      <c r="D525" s="101" vm="3026">
        <f ca="1"/>
        <v>188.38</v>
      </c>
      <c r="E525" s="101" vm="3027">
        <f ca="1"/>
        <v>217.005</v>
      </c>
      <c r="F525" s="101" vm="3028">
        <f ca="1"/>
        <v>225.62</v>
      </c>
      <c r="G525" s="101" vm="3029">
        <f ca="1"/>
        <v>187.34</v>
      </c>
      <c r="H525" s="102" vm="3030">
        <f ca="1"/>
        <v>366947884</v>
      </c>
    </row>
    <row r="526" spans="3:8" x14ac:dyDescent="0.3">
      <c r="C526" s="100" vm="3031">
        <f ca="1"/>
        <v>45754</v>
      </c>
      <c r="D526" s="101" vm="3032">
        <f ca="1"/>
        <v>198.15</v>
      </c>
      <c r="E526" s="101" vm="3033">
        <f ca="1"/>
        <v>177.2</v>
      </c>
      <c r="F526" s="101" vm="3034">
        <f ca="1"/>
        <v>200.61</v>
      </c>
      <c r="G526" s="101" vm="3035">
        <f ca="1"/>
        <v>169.21010000000001</v>
      </c>
      <c r="H526" s="102" vm="3036">
        <f ca="1"/>
        <v>673678015</v>
      </c>
    </row>
    <row r="527" spans="3:8" x14ac:dyDescent="0.3">
      <c r="C527" s="100" vm="3037">
        <f ca="1"/>
        <v>45761</v>
      </c>
      <c r="D527" s="101" vm="3038">
        <f ca="1"/>
        <v>196.98</v>
      </c>
      <c r="E527" s="101" vm="3039">
        <f ca="1"/>
        <v>211.44</v>
      </c>
      <c r="F527" s="101" vm="3040">
        <f ca="1"/>
        <v>212.94</v>
      </c>
      <c r="G527" s="101" vm="3041">
        <f ca="1"/>
        <v>192.37</v>
      </c>
      <c r="H527" s="102" vm="3042">
        <f ca="1"/>
        <v>264593881</v>
      </c>
    </row>
    <row r="528" spans="3:8" x14ac:dyDescent="0.3">
      <c r="C528" s="100" vm="3043">
        <f ca="1"/>
        <v>45768</v>
      </c>
      <c r="D528" s="101" vm="3044">
        <f ca="1"/>
        <v>209.28</v>
      </c>
      <c r="E528" s="101" vm="3045">
        <f ca="1"/>
        <v>193.26499999999999</v>
      </c>
      <c r="F528" s="101" vm="3046">
        <f ca="1"/>
        <v>209.75</v>
      </c>
      <c r="G528" s="101" vm="3047">
        <f ca="1"/>
        <v>189.81120000000001</v>
      </c>
      <c r="H528" s="102" vm="3048">
        <f ca="1"/>
        <v>238181320</v>
      </c>
    </row>
    <row r="529" spans="3:8" ht="15" thickBot="1" x14ac:dyDescent="0.35">
      <c r="C529" s="105" vm="3049">
        <f ca="1"/>
        <v>45775</v>
      </c>
      <c r="D529" s="106" vm="3050">
        <f ca="1"/>
        <v>205.35</v>
      </c>
      <c r="E529" s="106" vm="3051">
        <f ca="1"/>
        <v>210</v>
      </c>
      <c r="F529" s="106" vm="3052">
        <f ca="1"/>
        <v>214.56</v>
      </c>
      <c r="G529" s="106" vm="3053">
        <f ca="1"/>
        <v>202.16</v>
      </c>
      <c r="H529" s="107" vm="3054">
        <f ca="1"/>
        <v>286233457</v>
      </c>
    </row>
  </sheetData>
  <pageMargins left="0.7" right="0.7" top="0.75" bottom="0.75" header="0.3" footer="0.3"/>
  <pageSetup orientation="portrait" r:id="rId1"/>
  <headerFooter>
    <oddHeader>&amp;C&amp;24
APPLE</oddHead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CB16A0-575C-4CFC-91FB-C3C56B80ED4D}">
  <dimension ref="A1:M528"/>
  <sheetViews>
    <sheetView showGridLines="0" workbookViewId="0">
      <selection activeCell="B10" sqref="B10"/>
    </sheetView>
  </sheetViews>
  <sheetFormatPr defaultRowHeight="14.4" x14ac:dyDescent="0.3"/>
  <cols>
    <col min="1" max="1" width="10.44140625" customWidth="1"/>
    <col min="2" max="2" width="2.21875" customWidth="1"/>
    <col min="3" max="3" width="10.5546875" bestFit="1" customWidth="1"/>
    <col min="8" max="8" width="11.44140625" bestFit="1" customWidth="1"/>
    <col min="13" max="13" width="12" bestFit="1" customWidth="1"/>
  </cols>
  <sheetData>
    <row r="1" spans="1:13" ht="38.4" customHeight="1" x14ac:dyDescent="0.65">
      <c r="A1" s="141" t="s">
        <v>5</v>
      </c>
    </row>
    <row r="2" spans="1:13" ht="15" thickBot="1" x14ac:dyDescent="0.35"/>
    <row r="3" spans="1:13" x14ac:dyDescent="0.3">
      <c r="C3" s="97" t="e" vm="2">
        <v>#VALUE!</v>
      </c>
      <c r="D3" s="98"/>
      <c r="E3" s="98"/>
      <c r="F3" s="98"/>
      <c r="G3" s="98"/>
      <c r="H3" s="99"/>
    </row>
    <row r="4" spans="1:13" ht="15" thickBot="1" x14ac:dyDescent="0.35">
      <c r="C4" s="100"/>
      <c r="D4" s="101"/>
      <c r="E4" s="101"/>
      <c r="F4" s="101"/>
      <c r="G4" s="101"/>
      <c r="H4" s="102"/>
    </row>
    <row r="5" spans="1:13" x14ac:dyDescent="0.3">
      <c r="C5" s="103" t="str" cm="1">
        <f t="array" aca="1" ref="C5:H528" ca="1">_xlfn.STOCKHISTORY(C3,"5/1/2015","5/1/2025",1,1,0,1,2,3,4,5)</f>
        <v>Date</v>
      </c>
      <c r="D5" s="101" t="str">
        <f ca="1"/>
        <v>Close</v>
      </c>
      <c r="E5" s="101" t="str">
        <f ca="1"/>
        <v>Open</v>
      </c>
      <c r="F5" s="101" t="str">
        <f ca="1"/>
        <v>High</v>
      </c>
      <c r="G5" s="101" t="str">
        <f ca="1"/>
        <v>Low</v>
      </c>
      <c r="H5" s="102" t="str">
        <f ca="1"/>
        <v>Volume</v>
      </c>
      <c r="K5" s="109" t="s">
        <v>11</v>
      </c>
      <c r="L5" s="110"/>
      <c r="M5" s="111">
        <f ca="1">AVERAGE(D5:D528)</f>
        <v>23.812173804971319</v>
      </c>
    </row>
    <row r="6" spans="1:13" x14ac:dyDescent="0.3">
      <c r="C6" s="103" vm="8">
        <f ca="1"/>
        <v>42121</v>
      </c>
      <c r="D6" s="101" vm="3055">
        <f ca="1"/>
        <v>15.3454</v>
      </c>
      <c r="E6" s="101" vm="3056">
        <f ca="1"/>
        <v>15.1593</v>
      </c>
      <c r="F6" s="101" vm="3057">
        <f ca="1"/>
        <v>15.404400000000001</v>
      </c>
      <c r="G6" s="101" vm="3058">
        <f ca="1"/>
        <v>14.8596</v>
      </c>
      <c r="H6" s="108" vm="3059">
        <f ca="1"/>
        <v>48097603</v>
      </c>
      <c r="K6" s="112" t="s">
        <v>13</v>
      </c>
      <c r="L6" s="113"/>
      <c r="M6" s="114">
        <f ca="1">_xlfn.VAR.S(C6:D528)</f>
        <v>483356380.58296579</v>
      </c>
    </row>
    <row r="7" spans="1:13" x14ac:dyDescent="0.3">
      <c r="C7" s="100" vm="14">
        <f ca="1"/>
        <v>42128</v>
      </c>
      <c r="D7" s="101" vm="3060">
        <f ca="1"/>
        <v>15.1683</v>
      </c>
      <c r="E7" s="101" vm="3055">
        <f ca="1"/>
        <v>15.3454</v>
      </c>
      <c r="F7" s="101" vm="3061">
        <f ca="1"/>
        <v>15.3863</v>
      </c>
      <c r="G7" s="101" vm="3062">
        <f ca="1"/>
        <v>14.6417</v>
      </c>
      <c r="H7" s="102" vm="3063">
        <f ca="1"/>
        <v>37590956</v>
      </c>
      <c r="K7" s="112" t="s">
        <v>14</v>
      </c>
      <c r="L7" s="113"/>
      <c r="M7" s="115">
        <f ca="1">_xlfn.STDEV.S(D6:D528)</f>
        <v>7.6086031719508647</v>
      </c>
    </row>
    <row r="8" spans="1:13" x14ac:dyDescent="0.3">
      <c r="C8" s="100" vm="20">
        <f ca="1"/>
        <v>42135</v>
      </c>
      <c r="D8" s="101" vm="3064">
        <f ca="1"/>
        <v>15.2546</v>
      </c>
      <c r="E8" s="101" vm="3065">
        <f ca="1"/>
        <v>15.1638</v>
      </c>
      <c r="F8" s="101" vm="3066">
        <f ca="1"/>
        <v>15.3545</v>
      </c>
      <c r="G8" s="101" vm="3067">
        <f ca="1"/>
        <v>14.9368</v>
      </c>
      <c r="H8" s="102" vm="3068">
        <f ca="1"/>
        <v>41093289</v>
      </c>
      <c r="K8" s="112"/>
      <c r="L8" s="113"/>
      <c r="M8" s="114"/>
    </row>
    <row r="9" spans="1:13" x14ac:dyDescent="0.3">
      <c r="C9" s="100" vm="26">
        <f ca="1"/>
        <v>42142</v>
      </c>
      <c r="D9" s="101" vm="3069">
        <f ca="1"/>
        <v>15.7812</v>
      </c>
      <c r="E9" s="101" vm="3070">
        <f ca="1"/>
        <v>15.204700000000001</v>
      </c>
      <c r="F9" s="101" vm="3071">
        <f ca="1"/>
        <v>16.162600000000001</v>
      </c>
      <c r="G9" s="101" vm="3072">
        <f ca="1"/>
        <v>14.88</v>
      </c>
      <c r="H9" s="102" vm="3073">
        <f ca="1"/>
        <v>70482448</v>
      </c>
      <c r="K9" s="112" t="s">
        <v>17</v>
      </c>
      <c r="L9" s="113"/>
      <c r="M9" s="116">
        <f ca="1">MAX(F476:G528)</f>
        <v>39.795000000000002</v>
      </c>
    </row>
    <row r="10" spans="1:13" ht="15" thickBot="1" x14ac:dyDescent="0.35">
      <c r="C10" s="100" vm="32">
        <f ca="1"/>
        <v>42150</v>
      </c>
      <c r="D10" s="101" vm="3065">
        <f ca="1"/>
        <v>15.1638</v>
      </c>
      <c r="E10" s="101" vm="3074">
        <f ca="1"/>
        <v>15.6496</v>
      </c>
      <c r="F10" s="101" vm="3075">
        <f ca="1"/>
        <v>15.717700000000001</v>
      </c>
      <c r="G10" s="101" vm="3076">
        <f ca="1"/>
        <v>15.082100000000001</v>
      </c>
      <c r="H10" s="102" vm="3077">
        <f ca="1"/>
        <v>50144729</v>
      </c>
      <c r="K10" s="117" t="s">
        <v>18</v>
      </c>
      <c r="L10" s="118"/>
      <c r="M10" s="119">
        <f ca="1">MIN(F476:G528)</f>
        <v>21.21</v>
      </c>
    </row>
    <row r="11" spans="1:13" x14ac:dyDescent="0.3">
      <c r="C11" s="100" vm="38">
        <f ca="1"/>
        <v>42156</v>
      </c>
      <c r="D11" s="101" vm="3078">
        <f ca="1"/>
        <v>14.9459</v>
      </c>
      <c r="E11" s="101" vm="3060">
        <f ca="1"/>
        <v>15.1683</v>
      </c>
      <c r="F11" s="101" vm="3079">
        <f ca="1"/>
        <v>15.5633</v>
      </c>
      <c r="G11" s="101" vm="3080">
        <f ca="1"/>
        <v>14.898199999999999</v>
      </c>
      <c r="H11" s="102" vm="3081">
        <f ca="1"/>
        <v>54685083</v>
      </c>
    </row>
    <row r="12" spans="1:13" x14ac:dyDescent="0.3">
      <c r="C12" s="100" vm="43">
        <f ca="1"/>
        <v>42163</v>
      </c>
      <c r="D12" s="101" vm="3082">
        <f ca="1"/>
        <v>14.7143</v>
      </c>
      <c r="E12" s="101" vm="3083">
        <f ca="1"/>
        <v>14.877800000000001</v>
      </c>
      <c r="F12" s="101" vm="3084">
        <f ca="1"/>
        <v>15.0503</v>
      </c>
      <c r="G12" s="101" vm="3085">
        <f ca="1"/>
        <v>14.619</v>
      </c>
      <c r="H12" s="102" vm="3086">
        <f ca="1"/>
        <v>38472713</v>
      </c>
    </row>
    <row r="13" spans="1:13" x14ac:dyDescent="0.3">
      <c r="C13" s="100" vm="49">
        <f ca="1"/>
        <v>42170</v>
      </c>
      <c r="D13" s="101" vm="3087">
        <f ca="1"/>
        <v>14.4374</v>
      </c>
      <c r="E13" s="101" vm="3088">
        <f ca="1"/>
        <v>14.6508</v>
      </c>
      <c r="F13" s="101" vm="3089">
        <f ca="1"/>
        <v>14.782400000000001</v>
      </c>
      <c r="G13" s="101" vm="3090">
        <f ca="1"/>
        <v>14.2921</v>
      </c>
      <c r="H13" s="102" vm="3091">
        <f ca="1"/>
        <v>66444326</v>
      </c>
    </row>
    <row r="14" spans="1:13" x14ac:dyDescent="0.3">
      <c r="C14" s="100" vm="55">
        <f ca="1"/>
        <v>42177</v>
      </c>
      <c r="D14" s="101" vm="3092">
        <f ca="1"/>
        <v>13.860799999999999</v>
      </c>
      <c r="E14" s="101" vm="3093">
        <f ca="1"/>
        <v>14.51</v>
      </c>
      <c r="F14" s="101" vm="3094">
        <f ca="1"/>
        <v>14.5282</v>
      </c>
      <c r="G14" s="101" vm="3095">
        <f ca="1"/>
        <v>13.742800000000001</v>
      </c>
      <c r="H14" s="102" vm="3096">
        <f ca="1"/>
        <v>63426766</v>
      </c>
    </row>
    <row r="15" spans="1:13" x14ac:dyDescent="0.3">
      <c r="C15" s="100" vm="61">
        <f ca="1"/>
        <v>42184</v>
      </c>
      <c r="D15" s="101" vm="3097">
        <f ca="1"/>
        <v>13.933400000000001</v>
      </c>
      <c r="E15" s="101" vm="3098">
        <f ca="1"/>
        <v>13.77</v>
      </c>
      <c r="F15" s="101" vm="3099">
        <f ca="1"/>
        <v>14.0787</v>
      </c>
      <c r="G15" s="101" vm="3100">
        <f ca="1"/>
        <v>13.4023</v>
      </c>
      <c r="H15" s="102" vm="3101">
        <f ca="1"/>
        <v>69912288</v>
      </c>
    </row>
    <row r="16" spans="1:13" x14ac:dyDescent="0.3">
      <c r="C16" s="100" vm="67">
        <f ca="1"/>
        <v>42191</v>
      </c>
      <c r="D16" s="101" vm="3102">
        <f ca="1"/>
        <v>13.9153</v>
      </c>
      <c r="E16" s="101" vm="3103">
        <f ca="1"/>
        <v>13.7927</v>
      </c>
      <c r="F16" s="101" vm="3104">
        <f ca="1"/>
        <v>14.1196</v>
      </c>
      <c r="G16" s="101" vm="3105">
        <f ca="1"/>
        <v>13.4931</v>
      </c>
      <c r="H16" s="102" vm="3106">
        <f ca="1"/>
        <v>67484843</v>
      </c>
    </row>
    <row r="17" spans="3:8" x14ac:dyDescent="0.3">
      <c r="C17" s="100" vm="73">
        <f ca="1"/>
        <v>42198</v>
      </c>
      <c r="D17" s="101" vm="3107">
        <f ca="1"/>
        <v>13.7836</v>
      </c>
      <c r="E17" s="101" vm="3108">
        <f ca="1"/>
        <v>14.046900000000001</v>
      </c>
      <c r="F17" s="101" vm="3109">
        <f ca="1"/>
        <v>14.065099999999999</v>
      </c>
      <c r="G17" s="101" vm="3110">
        <f ca="1"/>
        <v>13.5975</v>
      </c>
      <c r="H17" s="102" vm="3111">
        <f ca="1"/>
        <v>50364208</v>
      </c>
    </row>
    <row r="18" spans="3:8" x14ac:dyDescent="0.3">
      <c r="C18" s="100" vm="78">
        <f ca="1"/>
        <v>42205</v>
      </c>
      <c r="D18" s="101" vm="3112">
        <f ca="1"/>
        <v>13.9879</v>
      </c>
      <c r="E18" s="101" vm="3113">
        <f ca="1"/>
        <v>13.8018</v>
      </c>
      <c r="F18" s="101" vm="3114">
        <f ca="1"/>
        <v>14.282999999999999</v>
      </c>
      <c r="G18" s="101" vm="3115">
        <f ca="1"/>
        <v>13.661</v>
      </c>
      <c r="H18" s="102" vm="3116">
        <f ca="1"/>
        <v>79762874</v>
      </c>
    </row>
    <row r="19" spans="3:8" x14ac:dyDescent="0.3">
      <c r="C19" s="100" vm="83">
        <f ca="1"/>
        <v>42212</v>
      </c>
      <c r="D19" s="101" vm="3117">
        <f ca="1"/>
        <v>13.856299999999999</v>
      </c>
      <c r="E19" s="101" vm="3118">
        <f ca="1"/>
        <v>13.842599999999999</v>
      </c>
      <c r="F19" s="101" vm="3119">
        <f ca="1"/>
        <v>13.9925</v>
      </c>
      <c r="G19" s="101" vm="3120">
        <f ca="1"/>
        <v>13.6248</v>
      </c>
      <c r="H19" s="102" vm="3121">
        <f ca="1"/>
        <v>45559778</v>
      </c>
    </row>
    <row r="20" spans="3:8" x14ac:dyDescent="0.3">
      <c r="C20" s="100" vm="89">
        <f ca="1"/>
        <v>42219</v>
      </c>
      <c r="D20" s="101" vm="3122">
        <f ca="1"/>
        <v>13.3523</v>
      </c>
      <c r="E20" s="101" vm="3123">
        <f ca="1"/>
        <v>13.888</v>
      </c>
      <c r="F20" s="101" vm="3124">
        <f ca="1"/>
        <v>13.974299999999999</v>
      </c>
      <c r="G20" s="101" vm="3125">
        <f ca="1"/>
        <v>13.347799999999999</v>
      </c>
      <c r="H20" s="102" vm="3126">
        <f ca="1"/>
        <v>55566044</v>
      </c>
    </row>
    <row r="21" spans="3:8" x14ac:dyDescent="0.3">
      <c r="C21" s="100" vm="95">
        <f ca="1"/>
        <v>42226</v>
      </c>
      <c r="D21" s="101" vm="3127">
        <f ca="1"/>
        <v>13.0345</v>
      </c>
      <c r="E21" s="101" vm="3128">
        <f ca="1"/>
        <v>13.3796</v>
      </c>
      <c r="F21" s="101" vm="3129">
        <f ca="1"/>
        <v>13.751799999999999</v>
      </c>
      <c r="G21" s="101" vm="3130">
        <f ca="1"/>
        <v>12.8847</v>
      </c>
      <c r="H21" s="102" vm="3131">
        <f ca="1"/>
        <v>48677301</v>
      </c>
    </row>
    <row r="22" spans="3:8" x14ac:dyDescent="0.3">
      <c r="C22" s="100" vm="101">
        <f ca="1"/>
        <v>42233</v>
      </c>
      <c r="D22" s="101" vm="3132">
        <f ca="1"/>
        <v>12.471500000000001</v>
      </c>
      <c r="E22" s="101" vm="3133">
        <f ca="1"/>
        <v>12.9392</v>
      </c>
      <c r="F22" s="101" vm="3134">
        <f ca="1"/>
        <v>13.3614</v>
      </c>
      <c r="G22" s="101" vm="3135">
        <f ca="1"/>
        <v>12.2309</v>
      </c>
      <c r="H22" s="102" vm="3136">
        <f ca="1"/>
        <v>89229511</v>
      </c>
    </row>
    <row r="23" spans="3:8" x14ac:dyDescent="0.3">
      <c r="C23" s="100" vm="107">
        <f ca="1"/>
        <v>42240</v>
      </c>
      <c r="D23" s="101" vm="3137">
        <f ca="1"/>
        <v>12.7258</v>
      </c>
      <c r="E23" s="101" vm="3138">
        <f ca="1"/>
        <v>11.6271</v>
      </c>
      <c r="F23" s="101" vm="3139">
        <f ca="1"/>
        <v>12.7712</v>
      </c>
      <c r="G23" s="101" vm="3140">
        <f ca="1"/>
        <v>11.2834</v>
      </c>
      <c r="H23" s="102" vm="3141">
        <f ca="1"/>
        <v>114305505</v>
      </c>
    </row>
    <row r="24" spans="3:8" x14ac:dyDescent="0.3">
      <c r="C24" s="100" vm="113">
        <f ca="1"/>
        <v>42247</v>
      </c>
      <c r="D24" s="101" vm="3142">
        <f ca="1"/>
        <v>12.2536</v>
      </c>
      <c r="E24" s="101" vm="3143">
        <f ca="1"/>
        <v>12.6259</v>
      </c>
      <c r="F24" s="101" vm="3144">
        <f ca="1"/>
        <v>13.03</v>
      </c>
      <c r="G24" s="101" vm="3145">
        <f ca="1"/>
        <v>12.2445</v>
      </c>
      <c r="H24" s="102" vm="3146">
        <f ca="1"/>
        <v>69879665</v>
      </c>
    </row>
    <row r="25" spans="3:8" x14ac:dyDescent="0.3">
      <c r="C25" s="100" vm="119">
        <f ca="1"/>
        <v>42255</v>
      </c>
      <c r="D25" s="101" vm="3147">
        <f ca="1"/>
        <v>12.3263</v>
      </c>
      <c r="E25" s="101" vm="3148">
        <f ca="1"/>
        <v>12.4534</v>
      </c>
      <c r="F25" s="101" vm="3149">
        <f ca="1"/>
        <v>12.716699999999999</v>
      </c>
      <c r="G25" s="101" vm="3150">
        <f ca="1"/>
        <v>12.190099999999999</v>
      </c>
      <c r="H25" s="102" vm="3151">
        <f ca="1"/>
        <v>43776217</v>
      </c>
    </row>
    <row r="26" spans="3:8" x14ac:dyDescent="0.3">
      <c r="C26" s="100" vm="124">
        <f ca="1"/>
        <v>42261</v>
      </c>
      <c r="D26" s="101" vm="3152">
        <f ca="1"/>
        <v>12.049300000000001</v>
      </c>
      <c r="E26" s="101" vm="3153">
        <f ca="1"/>
        <v>12.3444</v>
      </c>
      <c r="F26" s="101" vm="3154">
        <f ca="1"/>
        <v>12.9596</v>
      </c>
      <c r="G26" s="101" vm="3155">
        <f ca="1"/>
        <v>12.0085</v>
      </c>
      <c r="H26" s="102" vm="3156">
        <f ca="1"/>
        <v>107779497</v>
      </c>
    </row>
    <row r="27" spans="3:8" x14ac:dyDescent="0.3">
      <c r="C27" s="100" vm="130">
        <f ca="1"/>
        <v>42268</v>
      </c>
      <c r="D27" s="101" vm="3157">
        <f ca="1"/>
        <v>11.354699999999999</v>
      </c>
      <c r="E27" s="101" vm="3158">
        <f ca="1"/>
        <v>11.885899999999999</v>
      </c>
      <c r="F27" s="101" vm="3159">
        <f ca="1"/>
        <v>12.122</v>
      </c>
      <c r="G27" s="101" vm="3160">
        <f ca="1"/>
        <v>11.241199999999999</v>
      </c>
      <c r="H27" s="102" vm="3161">
        <f ca="1"/>
        <v>85658061</v>
      </c>
    </row>
    <row r="28" spans="3:8" x14ac:dyDescent="0.3">
      <c r="C28" s="100" vm="136">
        <f ca="1"/>
        <v>42275</v>
      </c>
      <c r="D28" s="101" vm="3162">
        <f ca="1"/>
        <v>11.835900000000001</v>
      </c>
      <c r="E28" s="101" vm="3163">
        <f ca="1"/>
        <v>11.118600000000001</v>
      </c>
      <c r="F28" s="101" vm="3162">
        <f ca="1"/>
        <v>11.835900000000001</v>
      </c>
      <c r="G28" s="101" vm="3164">
        <f ca="1"/>
        <v>11.032299999999999</v>
      </c>
      <c r="H28" s="102" vm="3165">
        <f ca="1"/>
        <v>79447773</v>
      </c>
    </row>
    <row r="29" spans="3:8" x14ac:dyDescent="0.3">
      <c r="C29" s="100" vm="142">
        <f ca="1"/>
        <v>42282</v>
      </c>
      <c r="D29" s="101" vm="3166">
        <f ca="1"/>
        <v>13.3024</v>
      </c>
      <c r="E29" s="101" vm="3167">
        <f ca="1"/>
        <v>11.963100000000001</v>
      </c>
      <c r="F29" s="101" vm="3168">
        <f ca="1"/>
        <v>13.5158</v>
      </c>
      <c r="G29" s="101" vm="3169">
        <f ca="1"/>
        <v>11.9131</v>
      </c>
      <c r="H29" s="102" vm="3170">
        <f ca="1"/>
        <v>98010634</v>
      </c>
    </row>
    <row r="30" spans="3:8" x14ac:dyDescent="0.3">
      <c r="C30" s="100" vm="148">
        <f ca="1"/>
        <v>42289</v>
      </c>
      <c r="D30" s="101" vm="3171">
        <f ca="1"/>
        <v>13.102600000000001</v>
      </c>
      <c r="E30" s="101" vm="3172">
        <f ca="1"/>
        <v>13.2615</v>
      </c>
      <c r="F30" s="101" vm="3173">
        <f ca="1"/>
        <v>13.438599999999999</v>
      </c>
      <c r="G30" s="101" vm="3174">
        <f ca="1"/>
        <v>12.9483</v>
      </c>
      <c r="H30" s="102" vm="3175">
        <f ca="1"/>
        <v>49783873</v>
      </c>
    </row>
    <row r="31" spans="3:8" x14ac:dyDescent="0.3">
      <c r="C31" s="100" vm="154">
        <f ca="1"/>
        <v>42296</v>
      </c>
      <c r="D31" s="101" vm="3176">
        <f ca="1"/>
        <v>13.1798</v>
      </c>
      <c r="E31" s="101" vm="3177">
        <f ca="1"/>
        <v>12.9846</v>
      </c>
      <c r="F31" s="101" vm="3178">
        <f ca="1"/>
        <v>13.278499999999999</v>
      </c>
      <c r="G31" s="101" vm="3179">
        <f ca="1"/>
        <v>12.807499999999999</v>
      </c>
      <c r="H31" s="102" vm="3180">
        <f ca="1"/>
        <v>45327395</v>
      </c>
    </row>
    <row r="32" spans="3:8" x14ac:dyDescent="0.3">
      <c r="C32" s="100" vm="160">
        <f ca="1"/>
        <v>42303</v>
      </c>
      <c r="D32" s="101" vm="3181">
        <f ca="1"/>
        <v>12.24</v>
      </c>
      <c r="E32" s="101" vm="3182">
        <f ca="1"/>
        <v>13.1389</v>
      </c>
      <c r="F32" s="101" vm="3183">
        <f ca="1"/>
        <v>13.1753</v>
      </c>
      <c r="G32" s="101" vm="3184">
        <f ca="1"/>
        <v>12.131</v>
      </c>
      <c r="H32" s="102" vm="3185">
        <f ca="1"/>
        <v>69920019</v>
      </c>
    </row>
    <row r="33" spans="3:8" x14ac:dyDescent="0.3">
      <c r="C33" s="100" vm="166">
        <f ca="1"/>
        <v>42310</v>
      </c>
      <c r="D33" s="101" vm="3186">
        <f ca="1"/>
        <v>14.01</v>
      </c>
      <c r="E33" s="101" vm="3187">
        <f ca="1"/>
        <v>12.47</v>
      </c>
      <c r="F33" s="101" vm="3188">
        <f ca="1"/>
        <v>14.5</v>
      </c>
      <c r="G33" s="101" vm="3189">
        <f ca="1"/>
        <v>12.41</v>
      </c>
      <c r="H33" s="102" vm="3190">
        <f ca="1"/>
        <v>164472115</v>
      </c>
    </row>
    <row r="34" spans="3:8" x14ac:dyDescent="0.3">
      <c r="C34" s="100" vm="172">
        <f ca="1"/>
        <v>42317</v>
      </c>
      <c r="D34" s="101" vm="3191">
        <f ca="1"/>
        <v>13.11</v>
      </c>
      <c r="E34" s="101" vm="3192">
        <f ca="1"/>
        <v>14.25</v>
      </c>
      <c r="F34" s="101" vm="3193">
        <f ca="1"/>
        <v>14.35</v>
      </c>
      <c r="G34" s="101" vm="3144">
        <f ca="1"/>
        <v>13.03</v>
      </c>
      <c r="H34" s="102" vm="3194">
        <f ca="1"/>
        <v>83055790</v>
      </c>
    </row>
    <row r="35" spans="3:8" x14ac:dyDescent="0.3">
      <c r="C35" s="100" vm="178">
        <f ca="1"/>
        <v>42324</v>
      </c>
      <c r="D35" s="101" vm="3195">
        <f ca="1"/>
        <v>14.06</v>
      </c>
      <c r="E35" s="101" vm="3196">
        <f ca="1"/>
        <v>13.15</v>
      </c>
      <c r="F35" s="101" vm="3197">
        <f ca="1"/>
        <v>14.09</v>
      </c>
      <c r="G35" s="101" vm="3191">
        <f ca="1"/>
        <v>13.11</v>
      </c>
      <c r="H35" s="102" vm="3198">
        <f ca="1"/>
        <v>75772789</v>
      </c>
    </row>
    <row r="36" spans="3:8" x14ac:dyDescent="0.3">
      <c r="C36" s="100" vm="184">
        <f ca="1"/>
        <v>42331</v>
      </c>
      <c r="D36" s="101" vm="3199">
        <f ca="1"/>
        <v>12.61</v>
      </c>
      <c r="E36" s="101" vm="3200">
        <f ca="1"/>
        <v>14.31</v>
      </c>
      <c r="F36" s="101" vm="3201">
        <f ca="1"/>
        <v>14.82</v>
      </c>
      <c r="G36" s="101" vm="3202">
        <f ca="1"/>
        <v>12.26</v>
      </c>
      <c r="H36" s="102" vm="3203">
        <f ca="1"/>
        <v>132547158</v>
      </c>
    </row>
    <row r="37" spans="3:8" x14ac:dyDescent="0.3">
      <c r="C37" s="100" vm="190">
        <f ca="1"/>
        <v>42338</v>
      </c>
      <c r="D37" s="101" vm="3204">
        <f ca="1"/>
        <v>12.32</v>
      </c>
      <c r="E37" s="101" vm="3205">
        <f ca="1"/>
        <v>12.58</v>
      </c>
      <c r="F37" s="101" vm="3206">
        <f ca="1"/>
        <v>12.77</v>
      </c>
      <c r="G37" s="101" vm="3207">
        <f ca="1"/>
        <v>11.86</v>
      </c>
      <c r="H37" s="102" vm="3208">
        <f ca="1"/>
        <v>168010371</v>
      </c>
    </row>
    <row r="38" spans="3:8" x14ac:dyDescent="0.3">
      <c r="C38" s="100" vm="196">
        <f ca="1"/>
        <v>42345</v>
      </c>
      <c r="D38" s="101" vm="3209">
        <f ca="1"/>
        <v>12.21</v>
      </c>
      <c r="E38" s="101" vm="3209">
        <f ca="1"/>
        <v>12.21</v>
      </c>
      <c r="F38" s="101" vm="3210">
        <f ca="1"/>
        <v>12.465</v>
      </c>
      <c r="G38" s="101" vm="3211">
        <f ca="1"/>
        <v>11.89</v>
      </c>
      <c r="H38" s="102" vm="3212">
        <f ca="1"/>
        <v>101904738</v>
      </c>
    </row>
    <row r="39" spans="3:8" x14ac:dyDescent="0.3">
      <c r="C39" s="100" vm="202">
        <f ca="1"/>
        <v>42352</v>
      </c>
      <c r="D39" s="101" vm="3213">
        <f ca="1"/>
        <v>11.51</v>
      </c>
      <c r="E39" s="101" vm="3214">
        <f ca="1"/>
        <v>12.3</v>
      </c>
      <c r="F39" s="101" vm="3187">
        <f ca="1"/>
        <v>12.47</v>
      </c>
      <c r="G39" s="101" vm="3215">
        <f ca="1"/>
        <v>11.45</v>
      </c>
      <c r="H39" s="102" vm="3216">
        <f ca="1"/>
        <v>120610733</v>
      </c>
    </row>
    <row r="40" spans="3:8" x14ac:dyDescent="0.3">
      <c r="C40" s="100" vm="208">
        <f ca="1"/>
        <v>42359</v>
      </c>
      <c r="D40" s="101" vm="3217">
        <f ca="1"/>
        <v>11.73</v>
      </c>
      <c r="E40" s="101" vm="3218">
        <f ca="1"/>
        <v>11.6</v>
      </c>
      <c r="F40" s="101" vm="3211">
        <f ca="1"/>
        <v>11.89</v>
      </c>
      <c r="G40" s="101" vm="3219">
        <f ca="1"/>
        <v>11.3</v>
      </c>
      <c r="H40" s="102" vm="3220">
        <f ca="1"/>
        <v>54594726</v>
      </c>
    </row>
    <row r="41" spans="3:8" x14ac:dyDescent="0.3">
      <c r="C41" s="100" vm="214">
        <f ca="1"/>
        <v>42366</v>
      </c>
      <c r="D41" s="101" vm="3221">
        <f ca="1"/>
        <v>11.84</v>
      </c>
      <c r="E41" s="101" vm="3222">
        <f ca="1"/>
        <v>11.7</v>
      </c>
      <c r="F41" s="101" vm="3223">
        <f ca="1"/>
        <v>11.99</v>
      </c>
      <c r="G41" s="101" vm="3224">
        <f ca="1"/>
        <v>11.58</v>
      </c>
      <c r="H41" s="102" vm="3225">
        <f ca="1"/>
        <v>36492049</v>
      </c>
    </row>
    <row r="42" spans="3:8" x14ac:dyDescent="0.3">
      <c r="C42" s="100" vm="220">
        <f ca="1"/>
        <v>42373</v>
      </c>
      <c r="D42" s="101" vm="3226">
        <f ca="1"/>
        <v>10.58</v>
      </c>
      <c r="E42" s="101" vm="3224">
        <f ca="1"/>
        <v>11.58</v>
      </c>
      <c r="F42" s="101" vm="3227">
        <f ca="1"/>
        <v>11.78</v>
      </c>
      <c r="G42" s="101" vm="3228">
        <f ca="1"/>
        <v>10.55</v>
      </c>
      <c r="H42" s="102" vm="3229">
        <f ca="1"/>
        <v>87971636</v>
      </c>
    </row>
    <row r="43" spans="3:8" x14ac:dyDescent="0.3">
      <c r="C43" s="100" vm="226">
        <f ca="1"/>
        <v>42380</v>
      </c>
      <c r="D43" s="101" vm="3230">
        <f ca="1"/>
        <v>10.11</v>
      </c>
      <c r="E43" s="101" vm="3231">
        <f ca="1"/>
        <v>10.66</v>
      </c>
      <c r="F43" s="101" vm="3232">
        <f ca="1"/>
        <v>10.925000000000001</v>
      </c>
      <c r="G43" s="101" vm="3233">
        <f ca="1"/>
        <v>9.99</v>
      </c>
      <c r="H43" s="102" vm="3234">
        <f ca="1"/>
        <v>116770432</v>
      </c>
    </row>
    <row r="44" spans="3:8" x14ac:dyDescent="0.3">
      <c r="C44" s="100" vm="232">
        <f ca="1"/>
        <v>42388</v>
      </c>
      <c r="D44" s="101" vm="3235">
        <f ca="1"/>
        <v>9.8000000000000007</v>
      </c>
      <c r="E44" s="101" vm="3236">
        <f ca="1"/>
        <v>10.27</v>
      </c>
      <c r="F44" s="101" vm="3237">
        <f ca="1"/>
        <v>10.28</v>
      </c>
      <c r="G44" s="101" vm="3238">
        <f ca="1"/>
        <v>9.24</v>
      </c>
      <c r="H44" s="102" vm="3239">
        <f ca="1"/>
        <v>97469956</v>
      </c>
    </row>
    <row r="45" spans="3:8" x14ac:dyDescent="0.3">
      <c r="C45" s="100" vm="238">
        <f ca="1"/>
        <v>42394</v>
      </c>
      <c r="D45" s="101" vm="3240">
        <f ca="1"/>
        <v>9.7100000000000009</v>
      </c>
      <c r="E45" s="101" vm="3241">
        <f ca="1"/>
        <v>9.7899999999999991</v>
      </c>
      <c r="F45" s="101" vm="3242">
        <f ca="1"/>
        <v>9.89</v>
      </c>
      <c r="G45" s="101" vm="3243">
        <f ca="1"/>
        <v>9.4</v>
      </c>
      <c r="H45" s="102" vm="3244">
        <f ca="1"/>
        <v>95167139</v>
      </c>
    </row>
    <row r="46" spans="3:8" x14ac:dyDescent="0.3">
      <c r="C46" s="100" vm="244">
        <f ca="1"/>
        <v>42401</v>
      </c>
      <c r="D46" s="101" vm="3245">
        <f ca="1"/>
        <v>9.91</v>
      </c>
      <c r="E46" s="101" vm="3246">
        <f ca="1"/>
        <v>9.65</v>
      </c>
      <c r="F46" s="101" vm="3247">
        <f ca="1"/>
        <v>10.119999999999999</v>
      </c>
      <c r="G46" s="101" vm="3248">
        <f ca="1"/>
        <v>9.33</v>
      </c>
      <c r="H46" s="102" vm="3249">
        <f ca="1"/>
        <v>87350211</v>
      </c>
    </row>
    <row r="47" spans="3:8" x14ac:dyDescent="0.3">
      <c r="C47" s="100" vm="250">
        <f ca="1"/>
        <v>42408</v>
      </c>
      <c r="D47" s="101" vm="3250">
        <f ca="1"/>
        <v>9.42</v>
      </c>
      <c r="E47" s="101" vm="3251">
        <f ca="1"/>
        <v>9.76</v>
      </c>
      <c r="F47" s="101" vm="3252">
        <f ca="1"/>
        <v>9.8089999999999993</v>
      </c>
      <c r="G47" s="101" vm="3253">
        <f ca="1"/>
        <v>8.91</v>
      </c>
      <c r="H47" s="102" vm="3254">
        <f ca="1"/>
        <v>73058444</v>
      </c>
    </row>
    <row r="48" spans="3:8" x14ac:dyDescent="0.3">
      <c r="C48" s="100" vm="256">
        <f ca="1"/>
        <v>42416</v>
      </c>
      <c r="D48" s="101" vm="3255">
        <f ca="1"/>
        <v>10.32</v>
      </c>
      <c r="E48" s="101" vm="3256">
        <f ca="1"/>
        <v>9.56</v>
      </c>
      <c r="F48" s="101" vm="3257">
        <f ca="1"/>
        <v>10.67</v>
      </c>
      <c r="G48" s="101" vm="3258">
        <f ca="1"/>
        <v>9.4499999999999993</v>
      </c>
      <c r="H48" s="102" vm="3259">
        <f ca="1"/>
        <v>56749342</v>
      </c>
    </row>
    <row r="49" spans="3:8" x14ac:dyDescent="0.3">
      <c r="C49" s="100" vm="262">
        <f ca="1"/>
        <v>42422</v>
      </c>
      <c r="D49" s="101" vm="3260">
        <f ca="1"/>
        <v>10.64</v>
      </c>
      <c r="E49" s="101" vm="3261">
        <f ca="1"/>
        <v>10.44</v>
      </c>
      <c r="F49" s="101" vm="3262">
        <f ca="1"/>
        <v>10.99</v>
      </c>
      <c r="G49" s="101" vm="3263">
        <f ca="1"/>
        <v>9.9499999999999993</v>
      </c>
      <c r="H49" s="102" vm="3264">
        <f ca="1"/>
        <v>103986434</v>
      </c>
    </row>
    <row r="50" spans="3:8" x14ac:dyDescent="0.3">
      <c r="C50" s="100" vm="268">
        <f ca="1"/>
        <v>42429</v>
      </c>
      <c r="D50" s="101" vm="3265">
        <f ca="1"/>
        <v>11.18</v>
      </c>
      <c r="E50" s="101" vm="3260">
        <f ca="1"/>
        <v>10.64</v>
      </c>
      <c r="F50" s="101" vm="3266">
        <f ca="1"/>
        <v>11.32</v>
      </c>
      <c r="G50" s="101" vm="3267">
        <f ca="1"/>
        <v>10.6</v>
      </c>
      <c r="H50" s="102" vm="3268">
        <f ca="1"/>
        <v>80534519</v>
      </c>
    </row>
    <row r="51" spans="3:8" x14ac:dyDescent="0.3">
      <c r="C51" s="100" vm="274">
        <f ca="1"/>
        <v>42436</v>
      </c>
      <c r="D51" s="101" vm="3222">
        <f ca="1"/>
        <v>11.7</v>
      </c>
      <c r="E51" s="101" vm="3262">
        <f ca="1"/>
        <v>10.99</v>
      </c>
      <c r="F51" s="101" vm="3222">
        <f ca="1"/>
        <v>11.7</v>
      </c>
      <c r="G51" s="101" vm="3269">
        <f ca="1"/>
        <v>10.95</v>
      </c>
      <c r="H51" s="102" vm="3270">
        <f ca="1"/>
        <v>66360328</v>
      </c>
    </row>
    <row r="52" spans="3:8" x14ac:dyDescent="0.3">
      <c r="C52" s="100" vm="280">
        <f ca="1"/>
        <v>42443</v>
      </c>
      <c r="D52" s="101" vm="3271">
        <f ca="1"/>
        <v>12.18</v>
      </c>
      <c r="E52" s="101" vm="3272">
        <f ca="1"/>
        <v>11.63</v>
      </c>
      <c r="F52" s="101" vm="3273">
        <f ca="1"/>
        <v>12.25</v>
      </c>
      <c r="G52" s="101" vm="3274">
        <f ca="1"/>
        <v>11.2</v>
      </c>
      <c r="H52" s="102" vm="3275">
        <f ca="1"/>
        <v>90182315</v>
      </c>
    </row>
    <row r="53" spans="3:8" x14ac:dyDescent="0.3">
      <c r="C53" s="100" vm="286">
        <f ca="1"/>
        <v>42450</v>
      </c>
      <c r="D53" s="101" vm="3276">
        <f ca="1"/>
        <v>12.07</v>
      </c>
      <c r="E53" s="101" vm="3277">
        <f ca="1"/>
        <v>12.14</v>
      </c>
      <c r="F53" s="101" vm="3214">
        <f ca="1"/>
        <v>12.3</v>
      </c>
      <c r="G53" s="101" vm="3278">
        <f ca="1"/>
        <v>11.715</v>
      </c>
      <c r="H53" s="102" vm="3279">
        <f ca="1"/>
        <v>49497171</v>
      </c>
    </row>
    <row r="54" spans="3:8" x14ac:dyDescent="0.3">
      <c r="C54" s="100" vm="292">
        <f ca="1"/>
        <v>42457</v>
      </c>
      <c r="D54" s="101" vm="3202">
        <f ca="1"/>
        <v>12.26</v>
      </c>
      <c r="E54" s="101" vm="3280">
        <f ca="1"/>
        <v>12.06</v>
      </c>
      <c r="F54" s="101" vm="3281">
        <f ca="1"/>
        <v>12.39</v>
      </c>
      <c r="G54" s="101" vm="3282">
        <f ca="1"/>
        <v>11.92</v>
      </c>
      <c r="H54" s="102" vm="3283">
        <f ca="1"/>
        <v>57803672</v>
      </c>
    </row>
    <row r="55" spans="3:8" x14ac:dyDescent="0.3">
      <c r="C55" s="100" vm="298">
        <f ca="1"/>
        <v>42464</v>
      </c>
      <c r="D55" s="101" vm="3280">
        <f ca="1"/>
        <v>12.06</v>
      </c>
      <c r="E55" s="101" vm="3181">
        <f ca="1"/>
        <v>12.24</v>
      </c>
      <c r="F55" s="101" vm="3214">
        <f ca="1"/>
        <v>12.3</v>
      </c>
      <c r="G55" s="101" vm="3211">
        <f ca="1"/>
        <v>11.89</v>
      </c>
      <c r="H55" s="102" vm="3284">
        <f ca="1"/>
        <v>62234482</v>
      </c>
    </row>
    <row r="56" spans="3:8" x14ac:dyDescent="0.3">
      <c r="C56" s="100" vm="303">
        <f ca="1"/>
        <v>42471</v>
      </c>
      <c r="D56" s="101" vm="3285">
        <f ca="1"/>
        <v>12.52</v>
      </c>
      <c r="E56" s="101" vm="3286">
        <f ca="1"/>
        <v>12.1</v>
      </c>
      <c r="F56" s="101" vm="3287">
        <f ca="1"/>
        <v>12.74</v>
      </c>
      <c r="G56" s="101" vm="3227">
        <f ca="1"/>
        <v>11.78</v>
      </c>
      <c r="H56" s="102" vm="3288">
        <f ca="1"/>
        <v>87021440</v>
      </c>
    </row>
    <row r="57" spans="3:8" x14ac:dyDescent="0.3">
      <c r="C57" s="100" vm="308">
        <f ca="1"/>
        <v>42478</v>
      </c>
      <c r="D57" s="101" vm="3199">
        <f ca="1"/>
        <v>12.61</v>
      </c>
      <c r="E57" s="101" vm="3289">
        <f ca="1"/>
        <v>12.48</v>
      </c>
      <c r="F57" s="101" vm="3290">
        <f ca="1"/>
        <v>12.96</v>
      </c>
      <c r="G57" s="101" vm="3291">
        <f ca="1"/>
        <v>12.45</v>
      </c>
      <c r="H57" s="102" vm="3292">
        <f ca="1"/>
        <v>73572363</v>
      </c>
    </row>
    <row r="58" spans="3:8" x14ac:dyDescent="0.3">
      <c r="C58" s="100" vm="314">
        <f ca="1"/>
        <v>42485</v>
      </c>
      <c r="D58" s="101" vm="3293">
        <f ca="1"/>
        <v>12.27</v>
      </c>
      <c r="E58" s="101" vm="3294">
        <f ca="1"/>
        <v>12.55</v>
      </c>
      <c r="F58" s="101" vm="3295">
        <f ca="1"/>
        <v>12.8</v>
      </c>
      <c r="G58" s="101" vm="3296">
        <f ca="1"/>
        <v>12.13</v>
      </c>
      <c r="H58" s="102" vm="3297">
        <f ca="1"/>
        <v>61733321</v>
      </c>
    </row>
    <row r="59" spans="3:8" x14ac:dyDescent="0.3">
      <c r="C59" s="100" vm="320">
        <f ca="1"/>
        <v>42492</v>
      </c>
      <c r="D59" s="101" vm="3298">
        <f ca="1"/>
        <v>11.59</v>
      </c>
      <c r="E59" s="101" vm="3202">
        <f ca="1"/>
        <v>12.26</v>
      </c>
      <c r="F59" s="101" vm="3299">
        <f ca="1"/>
        <v>12.33</v>
      </c>
      <c r="G59" s="101" vm="3300">
        <f ca="1"/>
        <v>11.37</v>
      </c>
      <c r="H59" s="102" vm="3301">
        <f ca="1"/>
        <v>54689574</v>
      </c>
    </row>
    <row r="60" spans="3:8" x14ac:dyDescent="0.3">
      <c r="C60" s="100" vm="326">
        <f ca="1"/>
        <v>42499</v>
      </c>
      <c r="D60" s="101" vm="3302">
        <f ca="1"/>
        <v>11.5</v>
      </c>
      <c r="E60" s="101" vm="3224">
        <f ca="1"/>
        <v>11.58</v>
      </c>
      <c r="F60" s="101" vm="3303">
        <f ca="1"/>
        <v>11.8</v>
      </c>
      <c r="G60" s="101" vm="3304">
        <f ca="1"/>
        <v>11.38</v>
      </c>
      <c r="H60" s="102" vm="3305">
        <f ca="1"/>
        <v>58407132</v>
      </c>
    </row>
    <row r="61" spans="3:8" x14ac:dyDescent="0.3">
      <c r="C61" s="100" vm="332">
        <f ca="1"/>
        <v>42506</v>
      </c>
      <c r="D61" s="101" vm="3306">
        <f ca="1"/>
        <v>11.66</v>
      </c>
      <c r="E61" s="101" vm="3307">
        <f ca="1"/>
        <v>11.53</v>
      </c>
      <c r="F61" s="101" vm="3308">
        <f ca="1"/>
        <v>11.79</v>
      </c>
      <c r="G61" s="101" vm="3309">
        <f ca="1"/>
        <v>11.31</v>
      </c>
      <c r="H61" s="102" vm="3310">
        <f ca="1"/>
        <v>43921843</v>
      </c>
    </row>
    <row r="62" spans="3:8" x14ac:dyDescent="0.3">
      <c r="C62" s="100" vm="337">
        <f ca="1"/>
        <v>42513</v>
      </c>
      <c r="D62" s="101" vm="3311">
        <f ca="1"/>
        <v>13.17</v>
      </c>
      <c r="E62" s="101" vm="3306">
        <f ca="1"/>
        <v>11.66</v>
      </c>
      <c r="F62" s="101" vm="3312">
        <f ca="1"/>
        <v>13.305</v>
      </c>
      <c r="G62" s="101" vm="3313">
        <f ca="1"/>
        <v>11.62</v>
      </c>
      <c r="H62" s="102" vm="3314">
        <f ca="1"/>
        <v>82310833</v>
      </c>
    </row>
    <row r="63" spans="3:8" x14ac:dyDescent="0.3">
      <c r="C63" s="100" vm="343">
        <f ca="1"/>
        <v>42521</v>
      </c>
      <c r="D63" s="101" vm="3315">
        <f ca="1"/>
        <v>13.44</v>
      </c>
      <c r="E63" s="101" vm="3316">
        <f ca="1"/>
        <v>13.12</v>
      </c>
      <c r="F63" s="101" vm="3317">
        <f ca="1"/>
        <v>13.645</v>
      </c>
      <c r="G63" s="101" vm="3318">
        <f ca="1"/>
        <v>13.07</v>
      </c>
      <c r="H63" s="102" vm="3319">
        <f ca="1"/>
        <v>61780837</v>
      </c>
    </row>
    <row r="64" spans="3:8" x14ac:dyDescent="0.3">
      <c r="C64" s="100" vm="349">
        <f ca="1"/>
        <v>42527</v>
      </c>
      <c r="D64" s="101" vm="3320">
        <f ca="1"/>
        <v>13.5</v>
      </c>
      <c r="E64" s="101" vm="3321">
        <f ca="1"/>
        <v>13.43</v>
      </c>
      <c r="F64" s="101" vm="3322">
        <f ca="1"/>
        <v>13.9</v>
      </c>
      <c r="G64" s="101" vm="3323">
        <f ca="1"/>
        <v>13.39</v>
      </c>
      <c r="H64" s="102" vm="3324">
        <f ca="1"/>
        <v>47086654</v>
      </c>
    </row>
    <row r="65" spans="3:8" x14ac:dyDescent="0.3">
      <c r="C65" s="100" vm="355">
        <f ca="1"/>
        <v>42534</v>
      </c>
      <c r="D65" s="101" vm="3316">
        <f ca="1"/>
        <v>13.12</v>
      </c>
      <c r="E65" s="101" vm="3325">
        <f ca="1"/>
        <v>13.27</v>
      </c>
      <c r="F65" s="101" vm="3326">
        <f ca="1"/>
        <v>13.29</v>
      </c>
      <c r="G65" s="101" vm="3327">
        <f ca="1"/>
        <v>12.71</v>
      </c>
      <c r="H65" s="102" vm="3328">
        <f ca="1"/>
        <v>58057024</v>
      </c>
    </row>
    <row r="66" spans="3:8" x14ac:dyDescent="0.3">
      <c r="C66" s="100" vm="361">
        <f ca="1"/>
        <v>42541</v>
      </c>
      <c r="D66" s="101" vm="3202">
        <f ca="1"/>
        <v>12.26</v>
      </c>
      <c r="E66" s="101" vm="3329">
        <f ca="1"/>
        <v>13.28</v>
      </c>
      <c r="F66" s="101" vm="3330">
        <f ca="1"/>
        <v>13.38</v>
      </c>
      <c r="G66" s="101" vm="3331">
        <f ca="1"/>
        <v>12.15</v>
      </c>
      <c r="H66" s="102" vm="3332">
        <f ca="1"/>
        <v>77064580</v>
      </c>
    </row>
    <row r="67" spans="3:8" x14ac:dyDescent="0.3">
      <c r="C67" s="100" vm="367">
        <f ca="1"/>
        <v>42548</v>
      </c>
      <c r="D67" s="101" vm="3333">
        <f ca="1"/>
        <v>12.73</v>
      </c>
      <c r="E67" s="101" vm="3334">
        <f ca="1"/>
        <v>12.11</v>
      </c>
      <c r="F67" s="101" vm="3335">
        <f ca="1"/>
        <v>12.76</v>
      </c>
      <c r="G67" s="101" vm="3336">
        <f ca="1"/>
        <v>11.48</v>
      </c>
      <c r="H67" s="102" vm="3337">
        <f ca="1"/>
        <v>69950728</v>
      </c>
    </row>
    <row r="68" spans="3:8" x14ac:dyDescent="0.3">
      <c r="C68" s="100" vm="372">
        <f ca="1"/>
        <v>42556</v>
      </c>
      <c r="D68" s="101" vm="3338">
        <f ca="1"/>
        <v>13.08</v>
      </c>
      <c r="E68" s="101" vm="3339">
        <f ca="1"/>
        <v>12.62</v>
      </c>
      <c r="F68" s="101" vm="3340">
        <f ca="1"/>
        <v>13.154999999999999</v>
      </c>
      <c r="G68" s="101" vm="3341">
        <f ca="1"/>
        <v>12.04</v>
      </c>
      <c r="H68" s="102" vm="3342">
        <f ca="1"/>
        <v>43511857</v>
      </c>
    </row>
    <row r="69" spans="3:8" x14ac:dyDescent="0.3">
      <c r="C69" s="100" vm="377">
        <f ca="1"/>
        <v>42562</v>
      </c>
      <c r="D69" s="101" vm="3343">
        <f ca="1"/>
        <v>13.85</v>
      </c>
      <c r="E69" s="101" vm="3311">
        <f ca="1"/>
        <v>13.17</v>
      </c>
      <c r="F69" s="101" vm="3344">
        <f ca="1"/>
        <v>13.94</v>
      </c>
      <c r="G69" s="101" vm="3345">
        <f ca="1"/>
        <v>13.0265</v>
      </c>
      <c r="H69" s="102" vm="3346">
        <f ca="1"/>
        <v>56089435</v>
      </c>
    </row>
    <row r="70" spans="3:8" x14ac:dyDescent="0.3">
      <c r="C70" s="100" vm="383">
        <f ca="1"/>
        <v>42569</v>
      </c>
      <c r="D70" s="101" vm="3347">
        <f ca="1"/>
        <v>14.11</v>
      </c>
      <c r="E70" s="101" vm="3343">
        <f ca="1"/>
        <v>13.85</v>
      </c>
      <c r="F70" s="101" vm="3192">
        <f ca="1"/>
        <v>14.25</v>
      </c>
      <c r="G70" s="101" vm="3343">
        <f ca="1"/>
        <v>13.85</v>
      </c>
      <c r="H70" s="102" vm="3348">
        <f ca="1"/>
        <v>64099295</v>
      </c>
    </row>
    <row r="71" spans="3:8" x14ac:dyDescent="0.3">
      <c r="C71" s="100" vm="389">
        <f ca="1"/>
        <v>42576</v>
      </c>
      <c r="D71" s="101" vm="3186">
        <f ca="1"/>
        <v>14.01</v>
      </c>
      <c r="E71" s="101" vm="3349">
        <f ca="1"/>
        <v>14.1</v>
      </c>
      <c r="F71" s="101" vm="3350">
        <f ca="1"/>
        <v>14.27</v>
      </c>
      <c r="G71" s="101" vm="3351">
        <f ca="1"/>
        <v>13.79</v>
      </c>
      <c r="H71" s="102" vm="3352">
        <f ca="1"/>
        <v>65854850</v>
      </c>
    </row>
    <row r="72" spans="3:8" x14ac:dyDescent="0.3">
      <c r="C72" s="100" vm="395">
        <f ca="1"/>
        <v>42583</v>
      </c>
      <c r="D72" s="101" vm="3353">
        <f ca="1"/>
        <v>14.28</v>
      </c>
      <c r="E72" s="101" vm="3195">
        <f ca="1"/>
        <v>14.06</v>
      </c>
      <c r="F72" s="101" vm="3354">
        <f ca="1"/>
        <v>14.38</v>
      </c>
      <c r="G72" s="101" vm="3343">
        <f ca="1"/>
        <v>13.85</v>
      </c>
      <c r="H72" s="102" vm="3355">
        <f ca="1"/>
        <v>59716895</v>
      </c>
    </row>
    <row r="73" spans="3:8" x14ac:dyDescent="0.3">
      <c r="C73" s="100" vm="400">
        <f ca="1"/>
        <v>42590</v>
      </c>
      <c r="D73" s="101" vm="3353">
        <f ca="1"/>
        <v>14.28</v>
      </c>
      <c r="E73" s="101" vm="3356">
        <f ca="1"/>
        <v>14.3</v>
      </c>
      <c r="F73" s="101" vm="3354">
        <f ca="1"/>
        <v>14.38</v>
      </c>
      <c r="G73" s="101" vm="3357">
        <f ca="1"/>
        <v>14.14</v>
      </c>
      <c r="H73" s="102" vm="3358">
        <f ca="1"/>
        <v>54032923</v>
      </c>
    </row>
    <row r="74" spans="3:8" x14ac:dyDescent="0.3">
      <c r="C74" s="100" vm="406">
        <f ca="1"/>
        <v>42597</v>
      </c>
      <c r="D74" s="101" vm="3359">
        <f ca="1"/>
        <v>14.42</v>
      </c>
      <c r="E74" s="101" vm="3200">
        <f ca="1"/>
        <v>14.31</v>
      </c>
      <c r="F74" s="101" vm="3360">
        <f ca="1"/>
        <v>14.6</v>
      </c>
      <c r="G74" s="101" vm="3200">
        <f ca="1"/>
        <v>14.31</v>
      </c>
      <c r="H74" s="102" vm="3361">
        <f ca="1"/>
        <v>51045259</v>
      </c>
    </row>
    <row r="75" spans="3:8" x14ac:dyDescent="0.3">
      <c r="C75" s="100" vm="412">
        <f ca="1"/>
        <v>42604</v>
      </c>
      <c r="D75" s="101" vm="3362">
        <f ca="1"/>
        <v>14.39</v>
      </c>
      <c r="E75" s="101" vm="3363">
        <f ca="1"/>
        <v>14.36</v>
      </c>
      <c r="F75" s="101" vm="3364">
        <f ca="1"/>
        <v>14.73</v>
      </c>
      <c r="G75" s="101" vm="3365">
        <f ca="1"/>
        <v>13.55</v>
      </c>
      <c r="H75" s="102" vm="3366">
        <f ca="1"/>
        <v>98646408</v>
      </c>
    </row>
    <row r="76" spans="3:8" x14ac:dyDescent="0.3">
      <c r="C76" s="100" vm="418">
        <f ca="1"/>
        <v>42611</v>
      </c>
      <c r="D76" s="101" vm="3367">
        <f ca="1"/>
        <v>14.49</v>
      </c>
      <c r="E76" s="101" vm="3368">
        <f ca="1"/>
        <v>14.41</v>
      </c>
      <c r="F76" s="101" vm="3369">
        <f ca="1"/>
        <v>14.7</v>
      </c>
      <c r="G76" s="101" vm="3370">
        <f ca="1"/>
        <v>14.21</v>
      </c>
      <c r="H76" s="102" vm="3371">
        <f ca="1"/>
        <v>49028296</v>
      </c>
    </row>
    <row r="77" spans="3:8" x14ac:dyDescent="0.3">
      <c r="C77" s="100" vm="424">
        <f ca="1"/>
        <v>42619</v>
      </c>
      <c r="D77" s="101" vm="3372">
        <f ca="1"/>
        <v>14.07</v>
      </c>
      <c r="E77" s="101" vm="3373">
        <f ca="1"/>
        <v>14.54</v>
      </c>
      <c r="F77" s="101" vm="3374">
        <f ca="1"/>
        <v>14.75</v>
      </c>
      <c r="G77" s="101" vm="3372">
        <f ca="1"/>
        <v>14.07</v>
      </c>
      <c r="H77" s="102" vm="3375">
        <f ca="1"/>
        <v>41329345</v>
      </c>
    </row>
    <row r="78" spans="3:8" x14ac:dyDescent="0.3">
      <c r="C78" s="100" vm="429">
        <f ca="1"/>
        <v>42625</v>
      </c>
      <c r="D78" s="101" vm="3376">
        <f ca="1"/>
        <v>14.53</v>
      </c>
      <c r="E78" s="101" vm="3343">
        <f ca="1"/>
        <v>13.85</v>
      </c>
      <c r="F78" s="101" vm="3377">
        <f ca="1"/>
        <v>14.8</v>
      </c>
      <c r="G78" s="101" vm="3378">
        <f ca="1"/>
        <v>13.78</v>
      </c>
      <c r="H78" s="102" vm="3379">
        <f ca="1"/>
        <v>69784796</v>
      </c>
    </row>
    <row r="79" spans="3:8" x14ac:dyDescent="0.3">
      <c r="C79" s="100" vm="435">
        <f ca="1"/>
        <v>42632</v>
      </c>
      <c r="D79" s="101" vm="3380">
        <f ca="1"/>
        <v>15.09</v>
      </c>
      <c r="E79" s="101" vm="3381">
        <f ca="1"/>
        <v>14.58</v>
      </c>
      <c r="F79" s="101" vm="3382">
        <f ca="1"/>
        <v>15.185</v>
      </c>
      <c r="G79" s="101" vm="3383">
        <f ca="1"/>
        <v>14.52</v>
      </c>
      <c r="H79" s="102" vm="3384">
        <f ca="1"/>
        <v>47978191</v>
      </c>
    </row>
    <row r="80" spans="3:8" x14ac:dyDescent="0.3">
      <c r="C80" s="100" vm="441">
        <f ca="1"/>
        <v>42639</v>
      </c>
      <c r="D80" s="101" vm="3385">
        <f ca="1"/>
        <v>15.53</v>
      </c>
      <c r="E80" s="101" vm="3386">
        <f ca="1"/>
        <v>15</v>
      </c>
      <c r="F80" s="101" vm="3387">
        <f ca="1"/>
        <v>15.73</v>
      </c>
      <c r="G80" s="101" vm="3388">
        <f ca="1"/>
        <v>14.93</v>
      </c>
      <c r="H80" s="102" vm="3389">
        <f ca="1"/>
        <v>47540061</v>
      </c>
    </row>
    <row r="81" spans="3:8" x14ac:dyDescent="0.3">
      <c r="C81" s="100" vm="446">
        <f ca="1"/>
        <v>42646</v>
      </c>
      <c r="D81" s="101" vm="3390">
        <f ca="1"/>
        <v>15.58</v>
      </c>
      <c r="E81" s="101" vm="3391">
        <f ca="1"/>
        <v>15.46</v>
      </c>
      <c r="F81" s="101" vm="3392">
        <f ca="1"/>
        <v>15.74</v>
      </c>
      <c r="G81" s="101" vm="3393">
        <f ca="1"/>
        <v>15.27</v>
      </c>
      <c r="H81" s="102" vm="3394">
        <f ca="1"/>
        <v>39421611</v>
      </c>
    </row>
    <row r="82" spans="3:8" x14ac:dyDescent="0.3">
      <c r="C82" s="100" vm="450">
        <f ca="1"/>
        <v>42653</v>
      </c>
      <c r="D82" s="101" vm="3395">
        <f ca="1"/>
        <v>14.48</v>
      </c>
      <c r="E82" s="101" vm="3396">
        <f ca="1"/>
        <v>15.69</v>
      </c>
      <c r="F82" s="101" vm="3397">
        <f ca="1"/>
        <v>15.88</v>
      </c>
      <c r="G82" s="101" vm="3395">
        <f ca="1"/>
        <v>14.48</v>
      </c>
      <c r="H82" s="102" vm="3398">
        <f ca="1"/>
        <v>65971349</v>
      </c>
    </row>
    <row r="83" spans="3:8" x14ac:dyDescent="0.3">
      <c r="C83" s="100" vm="456">
        <f ca="1"/>
        <v>42660</v>
      </c>
      <c r="D83" s="101" vm="3399">
        <f ca="1"/>
        <v>13.8</v>
      </c>
      <c r="E83" s="101" vm="3188">
        <f ca="1"/>
        <v>14.5</v>
      </c>
      <c r="F83" s="101" vm="3400">
        <f ca="1"/>
        <v>14.56</v>
      </c>
      <c r="G83" s="101" vm="3098">
        <f ca="1"/>
        <v>13.77</v>
      </c>
      <c r="H83" s="102" vm="3401">
        <f ca="1"/>
        <v>66173142</v>
      </c>
    </row>
    <row r="84" spans="3:8" x14ac:dyDescent="0.3">
      <c r="C84" s="100" vm="462">
        <f ca="1"/>
        <v>42667</v>
      </c>
      <c r="D84" s="101" vm="3197">
        <f ca="1"/>
        <v>14.09</v>
      </c>
      <c r="E84" s="101" vm="3402">
        <f ca="1"/>
        <v>13.86</v>
      </c>
      <c r="F84" s="101" vm="3403">
        <f ca="1"/>
        <v>14.19</v>
      </c>
      <c r="G84" s="101" vm="3404">
        <f ca="1"/>
        <v>13.83</v>
      </c>
      <c r="H84" s="102" vm="3405">
        <f ca="1"/>
        <v>67515221</v>
      </c>
    </row>
    <row r="85" spans="3:8" x14ac:dyDescent="0.3">
      <c r="C85" s="100" vm="467">
        <f ca="1"/>
        <v>42674</v>
      </c>
      <c r="D85" s="101" vm="3406">
        <f ca="1"/>
        <v>14.71</v>
      </c>
      <c r="E85" s="101" vm="3407">
        <f ca="1"/>
        <v>14.13</v>
      </c>
      <c r="F85" s="101" vm="3388">
        <f ca="1"/>
        <v>14.93</v>
      </c>
      <c r="G85" s="101" vm="3408">
        <f ca="1"/>
        <v>14.03</v>
      </c>
      <c r="H85" s="102" vm="3409">
        <f ca="1"/>
        <v>86401976</v>
      </c>
    </row>
    <row r="86" spans="3:8" x14ac:dyDescent="0.3">
      <c r="C86" s="100" vm="473">
        <f ca="1"/>
        <v>42681</v>
      </c>
      <c r="D86" s="101" vm="3410">
        <f ca="1"/>
        <v>15.82</v>
      </c>
      <c r="E86" s="101" vm="3411">
        <f ca="1"/>
        <v>14.9</v>
      </c>
      <c r="F86" s="101" vm="3412">
        <f ca="1"/>
        <v>15.9</v>
      </c>
      <c r="G86" s="101" vm="3413">
        <f ca="1"/>
        <v>14.8735</v>
      </c>
      <c r="H86" s="102" vm="3414">
        <f ca="1"/>
        <v>64778658</v>
      </c>
    </row>
    <row r="87" spans="3:8" x14ac:dyDescent="0.3">
      <c r="C87" s="100" vm="479">
        <f ca="1"/>
        <v>42688</v>
      </c>
      <c r="D87" s="101" vm="3415">
        <f ca="1"/>
        <v>15.87</v>
      </c>
      <c r="E87" s="101" vm="3416">
        <f ca="1"/>
        <v>15.85</v>
      </c>
      <c r="F87" s="101" vm="3417">
        <f ca="1"/>
        <v>16.190000000000001</v>
      </c>
      <c r="G87" s="101" vm="3418">
        <f ca="1"/>
        <v>15.72</v>
      </c>
      <c r="H87" s="102" vm="3419">
        <f ca="1"/>
        <v>59473297</v>
      </c>
    </row>
    <row r="88" spans="3:8" x14ac:dyDescent="0.3">
      <c r="C88" s="100" vm="485">
        <f ca="1"/>
        <v>42695</v>
      </c>
      <c r="D88" s="101" vm="3420">
        <f ca="1"/>
        <v>15.18</v>
      </c>
      <c r="E88" s="101" vm="3421">
        <f ca="1"/>
        <v>15.94</v>
      </c>
      <c r="F88" s="101" vm="3417">
        <f ca="1"/>
        <v>16.190000000000001</v>
      </c>
      <c r="G88" s="101" vm="3422">
        <f ca="1"/>
        <v>14.78</v>
      </c>
      <c r="H88" s="102" vm="3423">
        <f ca="1"/>
        <v>62568320</v>
      </c>
    </row>
    <row r="89" spans="3:8" x14ac:dyDescent="0.3">
      <c r="C89" s="100" vm="491">
        <f ca="1"/>
        <v>42702</v>
      </c>
      <c r="D89" s="101" vm="3424">
        <f ca="1"/>
        <v>15.12</v>
      </c>
      <c r="E89" s="101" vm="3425">
        <f ca="1"/>
        <v>15.06</v>
      </c>
      <c r="F89" s="101" vm="3385">
        <f ca="1"/>
        <v>15.53</v>
      </c>
      <c r="G89" s="101" vm="3386">
        <f ca="1"/>
        <v>15</v>
      </c>
      <c r="H89" s="102" vm="3426">
        <f ca="1"/>
        <v>59686794</v>
      </c>
    </row>
    <row r="90" spans="3:8" x14ac:dyDescent="0.3">
      <c r="C90" s="100" vm="497">
        <f ca="1"/>
        <v>42709</v>
      </c>
      <c r="D90" s="101" vm="3427">
        <f ca="1"/>
        <v>15.78</v>
      </c>
      <c r="E90" s="101" vm="3428">
        <f ca="1"/>
        <v>15.26</v>
      </c>
      <c r="F90" s="101" vm="3429">
        <f ca="1"/>
        <v>16.25</v>
      </c>
      <c r="G90" s="101" vm="3430">
        <f ca="1"/>
        <v>15.255000000000001</v>
      </c>
      <c r="H90" s="102" vm="3431">
        <f ca="1"/>
        <v>49551553</v>
      </c>
    </row>
    <row r="91" spans="3:8" x14ac:dyDescent="0.3">
      <c r="C91" s="100" vm="503">
        <f ca="1"/>
        <v>42716</v>
      </c>
      <c r="D91" s="101" vm="3432">
        <f ca="1"/>
        <v>15.05</v>
      </c>
      <c r="E91" s="101" vm="3433">
        <f ca="1"/>
        <v>15.41</v>
      </c>
      <c r="F91" s="101" vm="3434">
        <f ca="1"/>
        <v>15.95</v>
      </c>
      <c r="G91" s="101" vm="3432">
        <f ca="1"/>
        <v>15.05</v>
      </c>
      <c r="H91" s="102" vm="3435">
        <f ca="1"/>
        <v>64210656</v>
      </c>
    </row>
    <row r="92" spans="3:8" x14ac:dyDescent="0.3">
      <c r="C92" s="100" vm="508">
        <f ca="1"/>
        <v>42723</v>
      </c>
      <c r="D92" s="101" vm="3436">
        <f ca="1"/>
        <v>15.1</v>
      </c>
      <c r="E92" s="101" vm="3437">
        <f ca="1"/>
        <v>15.03</v>
      </c>
      <c r="F92" s="101" vm="3438">
        <f ca="1"/>
        <v>15.36</v>
      </c>
      <c r="G92" s="101" vm="3439">
        <f ca="1"/>
        <v>14.91</v>
      </c>
      <c r="H92" s="102" vm="3440">
        <f ca="1"/>
        <v>44523144</v>
      </c>
    </row>
    <row r="93" spans="3:8" x14ac:dyDescent="0.3">
      <c r="C93" s="100" vm="514">
        <f ca="1"/>
        <v>42731</v>
      </c>
      <c r="D93" s="101" vm="3441">
        <f ca="1"/>
        <v>14.84</v>
      </c>
      <c r="E93" s="101" vm="3442">
        <f ca="1"/>
        <v>15.14</v>
      </c>
      <c r="F93" s="101" vm="3443">
        <f ca="1"/>
        <v>15.31</v>
      </c>
      <c r="G93" s="101" vm="3444">
        <f ca="1"/>
        <v>14.77</v>
      </c>
      <c r="H93" s="102" vm="3445">
        <f ca="1"/>
        <v>23675703</v>
      </c>
    </row>
    <row r="94" spans="3:8" x14ac:dyDescent="0.3">
      <c r="C94" s="100" vm="519">
        <f ca="1"/>
        <v>42738</v>
      </c>
      <c r="D94" s="101" vm="3386">
        <f ca="1"/>
        <v>15</v>
      </c>
      <c r="E94" s="101" vm="3446">
        <f ca="1"/>
        <v>14.95</v>
      </c>
      <c r="F94" s="101" vm="3447">
        <f ca="1"/>
        <v>15.21</v>
      </c>
      <c r="G94" s="101" vm="3448">
        <f ca="1"/>
        <v>14.62</v>
      </c>
      <c r="H94" s="102" vm="3449">
        <f ca="1"/>
        <v>42345342</v>
      </c>
    </row>
    <row r="95" spans="3:8" x14ac:dyDescent="0.3">
      <c r="C95" s="100" vm="524">
        <f ca="1"/>
        <v>42744</v>
      </c>
      <c r="D95" s="101" vm="3444">
        <f ca="1"/>
        <v>14.77</v>
      </c>
      <c r="E95" s="101" vm="3450">
        <f ca="1"/>
        <v>14.98</v>
      </c>
      <c r="F95" s="101" vm="3380">
        <f ca="1"/>
        <v>15.09</v>
      </c>
      <c r="G95" s="101" vm="3451">
        <f ca="1"/>
        <v>14.4</v>
      </c>
      <c r="H95" s="102" vm="3452">
        <f ca="1"/>
        <v>64650749</v>
      </c>
    </row>
    <row r="96" spans="3:8" x14ac:dyDescent="0.3">
      <c r="C96" s="100" vm="530">
        <f ca="1"/>
        <v>42752</v>
      </c>
      <c r="D96" s="101" vm="3364">
        <f ca="1"/>
        <v>14.73</v>
      </c>
      <c r="E96" s="101" vm="3453">
        <f ca="1"/>
        <v>14.68</v>
      </c>
      <c r="F96" s="101" vm="3454">
        <f ca="1"/>
        <v>15.02</v>
      </c>
      <c r="G96" s="101" vm="3188">
        <f ca="1"/>
        <v>14.5</v>
      </c>
      <c r="H96" s="102" vm="3455">
        <f ca="1"/>
        <v>55410700</v>
      </c>
    </row>
    <row r="97" spans="3:8" x14ac:dyDescent="0.3">
      <c r="C97" s="100" vm="536">
        <f ca="1"/>
        <v>42758</v>
      </c>
      <c r="D97" s="101" vm="3377">
        <f ca="1"/>
        <v>14.8</v>
      </c>
      <c r="E97" s="101" vm="3406">
        <f ca="1"/>
        <v>14.71</v>
      </c>
      <c r="F97" s="101" vm="3456">
        <f ca="1"/>
        <v>15.35</v>
      </c>
      <c r="G97" s="101" vm="3368">
        <f ca="1"/>
        <v>14.41</v>
      </c>
      <c r="H97" s="102" vm="3457">
        <f ca="1"/>
        <v>73184193</v>
      </c>
    </row>
    <row r="98" spans="3:8" x14ac:dyDescent="0.3">
      <c r="C98" s="100" vm="540">
        <f ca="1"/>
        <v>42765</v>
      </c>
      <c r="D98" s="101" vm="3393">
        <f ca="1"/>
        <v>15.27</v>
      </c>
      <c r="E98" s="101" vm="3458">
        <f ca="1"/>
        <v>14.83</v>
      </c>
      <c r="F98" s="101" vm="3459">
        <f ca="1"/>
        <v>15.32</v>
      </c>
      <c r="G98" s="101" vm="3460">
        <f ca="1"/>
        <v>14.57</v>
      </c>
      <c r="H98" s="102" vm="3461">
        <f ca="1"/>
        <v>65822115</v>
      </c>
    </row>
    <row r="99" spans="3:8" x14ac:dyDescent="0.3">
      <c r="C99" s="100" vm="546">
        <f ca="1"/>
        <v>42772</v>
      </c>
      <c r="D99" s="101" vm="3418">
        <f ca="1"/>
        <v>15.72</v>
      </c>
      <c r="E99" s="101" vm="3462">
        <f ca="1"/>
        <v>15.17</v>
      </c>
      <c r="F99" s="101" vm="3463">
        <f ca="1"/>
        <v>15.77</v>
      </c>
      <c r="G99" s="101" vm="3380">
        <f ca="1"/>
        <v>15.09</v>
      </c>
      <c r="H99" s="102" vm="3464">
        <f ca="1"/>
        <v>51225826</v>
      </c>
    </row>
    <row r="100" spans="3:8" x14ac:dyDescent="0.3">
      <c r="C100" s="100" vm="551">
        <f ca="1"/>
        <v>42779</v>
      </c>
      <c r="D100" s="101" vm="3434">
        <f ca="1"/>
        <v>15.95</v>
      </c>
      <c r="E100" s="101" vm="3465">
        <f ca="1"/>
        <v>15.75</v>
      </c>
      <c r="F100" s="101" vm="3466">
        <f ca="1"/>
        <v>16.41</v>
      </c>
      <c r="G100" s="101" vm="3467">
        <f ca="1"/>
        <v>15.7</v>
      </c>
      <c r="H100" s="102" vm="3468">
        <f ca="1"/>
        <v>77604449</v>
      </c>
    </row>
    <row r="101" spans="3:8" x14ac:dyDescent="0.3">
      <c r="C101" s="100" vm="557">
        <f ca="1"/>
        <v>42787</v>
      </c>
      <c r="D101" s="101" vm="3469">
        <f ca="1"/>
        <v>17.649999999999999</v>
      </c>
      <c r="E101" s="101" vm="3470">
        <f ca="1"/>
        <v>15.93</v>
      </c>
      <c r="F101" s="101" vm="3471">
        <f ca="1"/>
        <v>17.8</v>
      </c>
      <c r="G101" s="101" vm="3470">
        <f ca="1"/>
        <v>15.93</v>
      </c>
      <c r="H101" s="102" vm="3472">
        <f ca="1"/>
        <v>90907186</v>
      </c>
    </row>
    <row r="102" spans="3:8" x14ac:dyDescent="0.3">
      <c r="C102" s="100" vm="563">
        <f ca="1"/>
        <v>42793</v>
      </c>
      <c r="D102" s="101" vm="3473">
        <f ca="1"/>
        <v>17.350000000000001</v>
      </c>
      <c r="E102" s="101" vm="3469">
        <f ca="1"/>
        <v>17.649999999999999</v>
      </c>
      <c r="F102" s="101" vm="3474">
        <f ca="1"/>
        <v>17.809999999999999</v>
      </c>
      <c r="G102" s="101" vm="3475">
        <f ca="1"/>
        <v>17.12</v>
      </c>
      <c r="H102" s="102" vm="3476">
        <f ca="1"/>
        <v>65564872</v>
      </c>
    </row>
    <row r="103" spans="3:8" x14ac:dyDescent="0.3">
      <c r="C103" s="100" vm="569">
        <f ca="1"/>
        <v>42800</v>
      </c>
      <c r="D103" s="101" vm="3477">
        <f ca="1"/>
        <v>17.39</v>
      </c>
      <c r="E103" s="101" vm="3478">
        <f ca="1"/>
        <v>17.440000000000001</v>
      </c>
      <c r="F103" s="101" vm="3479">
        <f ca="1"/>
        <v>17.600000000000001</v>
      </c>
      <c r="G103" s="101" vm="3480">
        <f ca="1"/>
        <v>17.05</v>
      </c>
      <c r="H103" s="102" vm="3481">
        <f ca="1"/>
        <v>45782798</v>
      </c>
    </row>
    <row r="104" spans="3:8" x14ac:dyDescent="0.3">
      <c r="C104" s="100" vm="575">
        <f ca="1"/>
        <v>42807</v>
      </c>
      <c r="D104" s="101" vm="3482">
        <f ca="1"/>
        <v>17.559999999999999</v>
      </c>
      <c r="E104" s="101" vm="3483">
        <f ca="1"/>
        <v>17.41</v>
      </c>
      <c r="F104" s="101" vm="3484">
        <f ca="1"/>
        <v>17.71</v>
      </c>
      <c r="G104" s="101" vm="3485">
        <f ca="1"/>
        <v>17.28</v>
      </c>
      <c r="H104" s="102" vm="3486">
        <f ca="1"/>
        <v>50145558</v>
      </c>
    </row>
    <row r="105" spans="3:8" x14ac:dyDescent="0.3">
      <c r="C105" s="100" vm="581">
        <f ca="1"/>
        <v>42814</v>
      </c>
      <c r="D105" s="101" vm="3487">
        <f ca="1"/>
        <v>17.23</v>
      </c>
      <c r="E105" s="101" vm="3488">
        <f ca="1"/>
        <v>17.57</v>
      </c>
      <c r="F105" s="101" vm="3489">
        <f ca="1"/>
        <v>17.690000000000001</v>
      </c>
      <c r="G105" s="101" vm="3490">
        <f ca="1"/>
        <v>17.100000000000001</v>
      </c>
      <c r="H105" s="102" vm="3491">
        <f ca="1"/>
        <v>46545597</v>
      </c>
    </row>
    <row r="106" spans="3:8" x14ac:dyDescent="0.3">
      <c r="C106" s="100" vm="587">
        <f ca="1"/>
        <v>42821</v>
      </c>
      <c r="D106" s="101" vm="3492">
        <f ca="1"/>
        <v>17.88</v>
      </c>
      <c r="E106" s="101" vm="3493">
        <f ca="1"/>
        <v>17.09</v>
      </c>
      <c r="F106" s="101" vm="3494">
        <f ca="1"/>
        <v>17.96</v>
      </c>
      <c r="G106" s="101" vm="3495">
        <f ca="1"/>
        <v>17.03</v>
      </c>
      <c r="H106" s="102" vm="3496">
        <f ca="1"/>
        <v>49963782</v>
      </c>
    </row>
    <row r="107" spans="3:8" x14ac:dyDescent="0.3">
      <c r="C107" s="100" vm="593">
        <f ca="1"/>
        <v>42828</v>
      </c>
      <c r="D107" s="101" vm="3497">
        <f ca="1"/>
        <v>17.37</v>
      </c>
      <c r="E107" s="101" vm="3498">
        <f ca="1"/>
        <v>17.93</v>
      </c>
      <c r="F107" s="101" vm="3499">
        <f ca="1"/>
        <v>17.95</v>
      </c>
      <c r="G107" s="101" vm="3485">
        <f ca="1"/>
        <v>17.28</v>
      </c>
      <c r="H107" s="102" vm="3500">
        <f ca="1"/>
        <v>49463829</v>
      </c>
    </row>
    <row r="108" spans="3:8" x14ac:dyDescent="0.3">
      <c r="C108" s="100" vm="599">
        <f ca="1"/>
        <v>42835</v>
      </c>
      <c r="D108" s="101" vm="3501">
        <f ca="1"/>
        <v>18.2</v>
      </c>
      <c r="E108" s="101" vm="3502">
        <f ca="1"/>
        <v>17.399999999999999</v>
      </c>
      <c r="F108" s="101" vm="3503">
        <f ca="1"/>
        <v>18.37</v>
      </c>
      <c r="G108" s="101" vm="3504">
        <f ca="1"/>
        <v>17.29</v>
      </c>
      <c r="H108" s="102" vm="3505">
        <f ca="1"/>
        <v>53312901</v>
      </c>
    </row>
    <row r="109" spans="3:8" x14ac:dyDescent="0.3">
      <c r="C109" s="100" vm="605">
        <f ca="1"/>
        <v>42842</v>
      </c>
      <c r="D109" s="101" vm="3506">
        <f ca="1"/>
        <v>18.29</v>
      </c>
      <c r="E109" s="101" vm="3507">
        <f ca="1"/>
        <v>18.170000000000002</v>
      </c>
      <c r="F109" s="101" vm="3508">
        <f ca="1"/>
        <v>18.61</v>
      </c>
      <c r="G109" s="101" vm="3509">
        <f ca="1"/>
        <v>18.07</v>
      </c>
      <c r="H109" s="102" vm="3510">
        <f ca="1"/>
        <v>47482432</v>
      </c>
    </row>
    <row r="110" spans="3:8" x14ac:dyDescent="0.3">
      <c r="C110" s="100" vm="611">
        <f ca="1"/>
        <v>42849</v>
      </c>
      <c r="D110" s="101" vm="3511">
        <f ca="1"/>
        <v>18.82</v>
      </c>
      <c r="E110" s="101" vm="3512">
        <f ca="1"/>
        <v>18.52</v>
      </c>
      <c r="F110" s="101" vm="3513">
        <f ca="1"/>
        <v>18.829999999999998</v>
      </c>
      <c r="G110" s="101" vm="3514">
        <f ca="1"/>
        <v>18.36</v>
      </c>
      <c r="H110" s="102" vm="3515">
        <f ca="1"/>
        <v>43581615</v>
      </c>
    </row>
    <row r="111" spans="3:8" x14ac:dyDescent="0.3">
      <c r="C111" s="100" vm="617">
        <f ca="1"/>
        <v>42856</v>
      </c>
      <c r="D111" s="101" vm="3516">
        <f ca="1"/>
        <v>18.91</v>
      </c>
      <c r="E111" s="101" vm="3517">
        <f ca="1"/>
        <v>18.850000000000001</v>
      </c>
      <c r="F111" s="101" vm="3518">
        <f ca="1"/>
        <v>19.03</v>
      </c>
      <c r="G111" s="101" vm="3519">
        <f ca="1"/>
        <v>18.690000000000001</v>
      </c>
      <c r="H111" s="102" vm="3520">
        <f ca="1"/>
        <v>45584341</v>
      </c>
    </row>
    <row r="112" spans="3:8" x14ac:dyDescent="0.3">
      <c r="C112" s="100" vm="623">
        <f ca="1"/>
        <v>42863</v>
      </c>
      <c r="D112" s="101" vm="3521">
        <f ca="1"/>
        <v>19.3</v>
      </c>
      <c r="E112" s="101" vm="3516">
        <f ca="1"/>
        <v>18.91</v>
      </c>
      <c r="F112" s="101" vm="3522">
        <f ca="1"/>
        <v>19.420000000000002</v>
      </c>
      <c r="G112" s="101" vm="3523">
        <f ca="1"/>
        <v>18.89</v>
      </c>
      <c r="H112" s="102" vm="3524">
        <f ca="1"/>
        <v>38629928</v>
      </c>
    </row>
    <row r="113" spans="3:8" x14ac:dyDescent="0.3">
      <c r="C113" s="100" vm="628">
        <f ca="1"/>
        <v>42870</v>
      </c>
      <c r="D113" s="101" vm="3525">
        <f ca="1"/>
        <v>19</v>
      </c>
      <c r="E113" s="101" vm="3526">
        <f ca="1"/>
        <v>19.350000000000001</v>
      </c>
      <c r="F113" s="101" vm="3527">
        <f ca="1"/>
        <v>19.484999999999999</v>
      </c>
      <c r="G113" s="101" vm="3528">
        <f ca="1"/>
        <v>18.649999999999999</v>
      </c>
      <c r="H113" s="102" vm="3529">
        <f ca="1"/>
        <v>47954295</v>
      </c>
    </row>
    <row r="114" spans="3:8" x14ac:dyDescent="0.3">
      <c r="C114" s="100" vm="634">
        <f ca="1"/>
        <v>42877</v>
      </c>
      <c r="D114" s="101" vm="3530">
        <f ca="1"/>
        <v>18.47</v>
      </c>
      <c r="E114" s="101" vm="3531">
        <f ca="1"/>
        <v>19.079999999999998</v>
      </c>
      <c r="F114" s="101" vm="3532">
        <f ca="1"/>
        <v>19.579999999999998</v>
      </c>
      <c r="G114" s="101" vm="3533">
        <f ca="1"/>
        <v>18.21</v>
      </c>
      <c r="H114" s="102" vm="3534">
        <f ca="1"/>
        <v>66892839</v>
      </c>
    </row>
    <row r="115" spans="3:8" x14ac:dyDescent="0.3">
      <c r="C115" s="100" vm="640">
        <f ca="1"/>
        <v>42885</v>
      </c>
      <c r="D115" s="101" vm="3535">
        <f ca="1"/>
        <v>18.98</v>
      </c>
      <c r="E115" s="101" vm="3536">
        <f ca="1"/>
        <v>18.43</v>
      </c>
      <c r="F115" s="101" vm="3537">
        <f ca="1"/>
        <v>19.16</v>
      </c>
      <c r="G115" s="101" vm="3538">
        <f ca="1"/>
        <v>18.420000000000002</v>
      </c>
      <c r="H115" s="102" vm="3539">
        <f ca="1"/>
        <v>46260809</v>
      </c>
    </row>
    <row r="116" spans="3:8" x14ac:dyDescent="0.3">
      <c r="C116" s="100" vm="645">
        <f ca="1"/>
        <v>42891</v>
      </c>
      <c r="D116" s="101" vm="3471">
        <f ca="1"/>
        <v>17.8</v>
      </c>
      <c r="E116" s="101" vm="3540">
        <f ca="1"/>
        <v>18.940000000000001</v>
      </c>
      <c r="F116" s="101" vm="3541">
        <f ca="1"/>
        <v>18.96</v>
      </c>
      <c r="G116" s="101" vm="3479">
        <f ca="1"/>
        <v>17.600000000000001</v>
      </c>
      <c r="H116" s="102" vm="3542">
        <f ca="1"/>
        <v>71226651</v>
      </c>
    </row>
    <row r="117" spans="3:8" x14ac:dyDescent="0.3">
      <c r="C117" s="100" vm="650">
        <f ca="1"/>
        <v>42898</v>
      </c>
      <c r="D117" s="101" vm="3473">
        <f ca="1"/>
        <v>17.350000000000001</v>
      </c>
      <c r="E117" s="101" vm="3543">
        <f ca="1"/>
        <v>17.61</v>
      </c>
      <c r="F117" s="101" vm="3544">
        <f ca="1"/>
        <v>17.940000000000001</v>
      </c>
      <c r="G117" s="101" vm="3545">
        <f ca="1"/>
        <v>17.14</v>
      </c>
      <c r="H117" s="102" vm="3546">
        <f ca="1"/>
        <v>53707843</v>
      </c>
    </row>
    <row r="118" spans="3:8" x14ac:dyDescent="0.3">
      <c r="C118" s="100" vm="655">
        <f ca="1"/>
        <v>42905</v>
      </c>
      <c r="D118" s="101" vm="3471">
        <f ca="1"/>
        <v>17.8</v>
      </c>
      <c r="E118" s="101" vm="3547">
        <f ca="1"/>
        <v>17.420000000000002</v>
      </c>
      <c r="F118" s="101" vm="3494">
        <f ca="1"/>
        <v>17.96</v>
      </c>
      <c r="G118" s="101" vm="3477">
        <f ca="1"/>
        <v>17.39</v>
      </c>
      <c r="H118" s="102" vm="3548">
        <f ca="1"/>
        <v>66410095</v>
      </c>
    </row>
    <row r="119" spans="3:8" x14ac:dyDescent="0.3">
      <c r="C119" s="100" vm="659">
        <f ca="1"/>
        <v>42912</v>
      </c>
      <c r="D119" s="101" vm="3549">
        <f ca="1"/>
        <v>17.48</v>
      </c>
      <c r="E119" s="101" vm="3550">
        <f ca="1"/>
        <v>17.89</v>
      </c>
      <c r="F119" s="101" vm="3551">
        <f ca="1"/>
        <v>18.245000000000001</v>
      </c>
      <c r="G119" s="101" vm="3552">
        <f ca="1"/>
        <v>17.425000000000001</v>
      </c>
      <c r="H119" s="102" vm="3553">
        <f ca="1"/>
        <v>46593922</v>
      </c>
    </row>
    <row r="120" spans="3:8" x14ac:dyDescent="0.3">
      <c r="C120" s="100" vm="665">
        <f ca="1"/>
        <v>42919</v>
      </c>
      <c r="D120" s="101" vm="3473">
        <f ca="1"/>
        <v>17.350000000000001</v>
      </c>
      <c r="E120" s="101" vm="3554">
        <f ca="1"/>
        <v>17.59</v>
      </c>
      <c r="F120" s="101" vm="3555">
        <f ca="1"/>
        <v>17.745000000000001</v>
      </c>
      <c r="G120" s="101" vm="3490">
        <f ca="1"/>
        <v>17.100000000000001</v>
      </c>
      <c r="H120" s="102" vm="3556">
        <f ca="1"/>
        <v>38532390</v>
      </c>
    </row>
    <row r="121" spans="3:8" x14ac:dyDescent="0.3">
      <c r="C121" s="100" vm="671">
        <f ca="1"/>
        <v>42926</v>
      </c>
      <c r="D121" s="101" vm="3538">
        <f ca="1"/>
        <v>18.420000000000002</v>
      </c>
      <c r="E121" s="101" vm="3557">
        <f ca="1"/>
        <v>17.53</v>
      </c>
      <c r="F121" s="101" vm="3558">
        <f ca="1"/>
        <v>18.489999999999998</v>
      </c>
      <c r="G121" s="101" vm="3559">
        <f ca="1"/>
        <v>17.45</v>
      </c>
      <c r="H121" s="102" vm="3560">
        <f ca="1"/>
        <v>49578485</v>
      </c>
    </row>
    <row r="122" spans="3:8" x14ac:dyDescent="0.3">
      <c r="C122" s="100" vm="677">
        <f ca="1"/>
        <v>42933</v>
      </c>
      <c r="D122" s="101" vm="3561">
        <f ca="1"/>
        <v>19.149999999999999</v>
      </c>
      <c r="E122" s="101" vm="3538">
        <f ca="1"/>
        <v>18.420000000000002</v>
      </c>
      <c r="F122" s="101" vm="3562">
        <f ca="1"/>
        <v>19.234999999999999</v>
      </c>
      <c r="G122" s="101" vm="3563">
        <f ca="1"/>
        <v>18.25</v>
      </c>
      <c r="H122" s="102" vm="3564">
        <f ca="1"/>
        <v>45722172</v>
      </c>
    </row>
    <row r="123" spans="3:8" x14ac:dyDescent="0.3">
      <c r="C123" s="100" vm="683">
        <f ca="1"/>
        <v>42940</v>
      </c>
      <c r="D123" s="101" vm="3565">
        <f ca="1"/>
        <v>19.170000000000002</v>
      </c>
      <c r="E123" s="101" vm="3566">
        <f ca="1"/>
        <v>19.12</v>
      </c>
      <c r="F123" s="101" vm="3532">
        <f ca="1"/>
        <v>19.579999999999998</v>
      </c>
      <c r="G123" s="101" vm="3511">
        <f ca="1"/>
        <v>18.82</v>
      </c>
      <c r="H123" s="102" vm="3567">
        <f ca="1"/>
        <v>46069454</v>
      </c>
    </row>
    <row r="124" spans="3:8" x14ac:dyDescent="0.3">
      <c r="C124" s="100" vm="689">
        <f ca="1"/>
        <v>42947</v>
      </c>
      <c r="D124" s="101" vm="3568">
        <f ca="1"/>
        <v>19.37</v>
      </c>
      <c r="E124" s="101" vm="3569">
        <f ca="1"/>
        <v>19.2</v>
      </c>
      <c r="F124" s="101" vm="3532">
        <f ca="1"/>
        <v>19.579999999999998</v>
      </c>
      <c r="G124" s="101" vm="3570">
        <f ca="1"/>
        <v>18.87</v>
      </c>
      <c r="H124" s="102" vm="3571">
        <f ca="1"/>
        <v>54199816</v>
      </c>
    </row>
    <row r="125" spans="3:8" x14ac:dyDescent="0.3">
      <c r="C125" s="100" vm="695">
        <f ca="1"/>
        <v>42954</v>
      </c>
      <c r="D125" s="101" vm="3572">
        <f ca="1"/>
        <v>18.899999999999999</v>
      </c>
      <c r="E125" s="101" vm="3568">
        <f ca="1"/>
        <v>19.37</v>
      </c>
      <c r="F125" s="101" vm="3573">
        <f ca="1"/>
        <v>19.48</v>
      </c>
      <c r="G125" s="101" vm="3517">
        <f ca="1"/>
        <v>18.850000000000001</v>
      </c>
      <c r="H125" s="102" vm="3574">
        <f ca="1"/>
        <v>48490605</v>
      </c>
    </row>
    <row r="126" spans="3:8" x14ac:dyDescent="0.3">
      <c r="C126" s="100" vm="701">
        <f ca="1"/>
        <v>42961</v>
      </c>
      <c r="D126" s="101" vm="3575">
        <f ca="1"/>
        <v>18.510000000000002</v>
      </c>
      <c r="E126" s="101" vm="3576">
        <f ca="1"/>
        <v>19.07</v>
      </c>
      <c r="F126" s="101" vm="3569">
        <f ca="1"/>
        <v>19.2</v>
      </c>
      <c r="G126" s="101" vm="3514">
        <f ca="1"/>
        <v>18.36</v>
      </c>
      <c r="H126" s="102" vm="3577">
        <f ca="1"/>
        <v>47414978</v>
      </c>
    </row>
    <row r="127" spans="3:8" x14ac:dyDescent="0.3">
      <c r="C127" s="100" vm="707">
        <f ca="1"/>
        <v>42968</v>
      </c>
      <c r="D127" s="101" vm="3578">
        <f ca="1"/>
        <v>19.309999999999999</v>
      </c>
      <c r="E127" s="101" vm="3579">
        <f ca="1"/>
        <v>18.48</v>
      </c>
      <c r="F127" s="101" vm="3580">
        <f ca="1"/>
        <v>19.78</v>
      </c>
      <c r="G127" s="101" vm="3581">
        <f ca="1"/>
        <v>18.405000000000001</v>
      </c>
      <c r="H127" s="102" vm="3582">
        <f ca="1"/>
        <v>71386418</v>
      </c>
    </row>
    <row r="128" spans="3:8" x14ac:dyDescent="0.3">
      <c r="C128" s="100" vm="712">
        <f ca="1"/>
        <v>42975</v>
      </c>
      <c r="D128" s="101" vm="3583">
        <f ca="1"/>
        <v>19.36</v>
      </c>
      <c r="E128" s="101" vm="3526">
        <f ca="1"/>
        <v>19.350000000000001</v>
      </c>
      <c r="F128" s="101" vm="3584">
        <f ca="1"/>
        <v>19.5</v>
      </c>
      <c r="G128" s="101" vm="3541">
        <f ca="1"/>
        <v>18.96</v>
      </c>
      <c r="H128" s="102" vm="3585">
        <f ca="1"/>
        <v>48543436</v>
      </c>
    </row>
    <row r="129" spans="3:8" x14ac:dyDescent="0.3">
      <c r="C129" s="100" vm="718">
        <f ca="1"/>
        <v>42983</v>
      </c>
      <c r="D129" s="101" vm="3566">
        <f ca="1"/>
        <v>19.12</v>
      </c>
      <c r="E129" s="101" vm="3586">
        <f ca="1"/>
        <v>19.28</v>
      </c>
      <c r="F129" s="101" vm="3587">
        <f ca="1"/>
        <v>19.475000000000001</v>
      </c>
      <c r="G129" s="101" vm="3531">
        <f ca="1"/>
        <v>19.079999999999998</v>
      </c>
      <c r="H129" s="102" vm="3588">
        <f ca="1"/>
        <v>36075487</v>
      </c>
    </row>
    <row r="130" spans="3:8" x14ac:dyDescent="0.3">
      <c r="C130" s="100" vm="724">
        <f ca="1"/>
        <v>42989</v>
      </c>
      <c r="D130" s="101" vm="3589">
        <f ca="1"/>
        <v>19.47</v>
      </c>
      <c r="E130" s="101" vm="3590">
        <f ca="1"/>
        <v>19.263000000000002</v>
      </c>
      <c r="F130" s="101" vm="3591">
        <f ca="1"/>
        <v>19.55</v>
      </c>
      <c r="G130" s="101" vm="3592">
        <f ca="1"/>
        <v>19.100000000000001</v>
      </c>
      <c r="H130" s="102" vm="3593">
        <f ca="1"/>
        <v>45188045</v>
      </c>
    </row>
    <row r="131" spans="3:8" x14ac:dyDescent="0.3">
      <c r="C131" s="100" vm="730">
        <f ca="1"/>
        <v>42996</v>
      </c>
      <c r="D131" s="101" vm="3594">
        <f ca="1"/>
        <v>19.940000000000001</v>
      </c>
      <c r="E131" s="101" vm="3595">
        <f ca="1"/>
        <v>19.52</v>
      </c>
      <c r="F131" s="101" vm="3596">
        <f ca="1"/>
        <v>19.95</v>
      </c>
      <c r="G131" s="101" vm="3526">
        <f ca="1"/>
        <v>19.350000000000001</v>
      </c>
      <c r="H131" s="102" vm="3597">
        <f ca="1"/>
        <v>33267796</v>
      </c>
    </row>
    <row r="132" spans="3:8" x14ac:dyDescent="0.3">
      <c r="C132" s="100" vm="735">
        <f ca="1"/>
        <v>43003</v>
      </c>
      <c r="D132" s="101" vm="3598">
        <f ca="1"/>
        <v>19.96</v>
      </c>
      <c r="E132" s="101" vm="3599">
        <f ca="1"/>
        <v>19.84</v>
      </c>
      <c r="F132" s="101" vm="3600">
        <f ca="1"/>
        <v>20.125</v>
      </c>
      <c r="G132" s="101" vm="3601">
        <f ca="1"/>
        <v>19.683299999999999</v>
      </c>
      <c r="H132" s="102" vm="3602">
        <f ca="1"/>
        <v>51726614</v>
      </c>
    </row>
    <row r="133" spans="3:8" x14ac:dyDescent="0.3">
      <c r="C133" s="100" vm="741">
        <f ca="1"/>
        <v>43010</v>
      </c>
      <c r="D133" s="101" vm="3603">
        <f ca="1"/>
        <v>20.58</v>
      </c>
      <c r="E133" s="101" vm="3594">
        <f ca="1"/>
        <v>19.940000000000001</v>
      </c>
      <c r="F133" s="101" vm="3604">
        <f ca="1"/>
        <v>20.61</v>
      </c>
      <c r="G133" s="101" vm="3594">
        <f ca="1"/>
        <v>19.940000000000001</v>
      </c>
      <c r="H133" s="102" vm="3605">
        <f ca="1"/>
        <v>43783603</v>
      </c>
    </row>
    <row r="134" spans="3:8" x14ac:dyDescent="0.3">
      <c r="C134" s="100" vm="747">
        <f ca="1"/>
        <v>43017</v>
      </c>
      <c r="D134" s="101" vm="3606">
        <f ca="1"/>
        <v>21.71</v>
      </c>
      <c r="E134" s="101" vm="3607">
        <f ca="1"/>
        <v>20.64</v>
      </c>
      <c r="F134" s="101" vm="3608">
        <f ca="1"/>
        <v>22</v>
      </c>
      <c r="G134" s="101" vm="3609">
        <f ca="1"/>
        <v>20.25</v>
      </c>
      <c r="H134" s="102" vm="3610">
        <f ca="1"/>
        <v>56794655</v>
      </c>
    </row>
    <row r="135" spans="3:8" x14ac:dyDescent="0.3">
      <c r="C135" s="100" vm="753">
        <f ca="1"/>
        <v>43024</v>
      </c>
      <c r="D135" s="101" vm="3611">
        <f ca="1"/>
        <v>22.02</v>
      </c>
      <c r="E135" s="101" vm="3612">
        <f ca="1"/>
        <v>21.77</v>
      </c>
      <c r="F135" s="101" vm="3613">
        <f ca="1"/>
        <v>22.16</v>
      </c>
      <c r="G135" s="101" vm="3614">
        <f ca="1"/>
        <v>21.46</v>
      </c>
      <c r="H135" s="102" vm="3615">
        <f ca="1"/>
        <v>43262233</v>
      </c>
    </row>
    <row r="136" spans="3:8" x14ac:dyDescent="0.3">
      <c r="C136" s="100" vm="759">
        <f ca="1"/>
        <v>43031</v>
      </c>
      <c r="D136" s="101" vm="3616">
        <f ca="1"/>
        <v>21.5</v>
      </c>
      <c r="E136" s="101" vm="3617">
        <f ca="1"/>
        <v>22.15</v>
      </c>
      <c r="F136" s="101" vm="3618">
        <f ca="1"/>
        <v>22.305900000000001</v>
      </c>
      <c r="G136" s="101" vm="3619">
        <f ca="1"/>
        <v>21.32</v>
      </c>
      <c r="H136" s="102" vm="3620">
        <f ca="1"/>
        <v>67712937</v>
      </c>
    </row>
    <row r="137" spans="3:8" x14ac:dyDescent="0.3">
      <c r="C137" s="100" vm="765">
        <f ca="1"/>
        <v>43038</v>
      </c>
      <c r="D137" s="101" vm="3621">
        <f ca="1"/>
        <v>21.47</v>
      </c>
      <c r="E137" s="101" vm="3621">
        <f ca="1"/>
        <v>21.47</v>
      </c>
      <c r="F137" s="101" vm="3622">
        <f ca="1"/>
        <v>21.704999999999998</v>
      </c>
      <c r="G137" s="101" vm="3623">
        <f ca="1"/>
        <v>21.07</v>
      </c>
      <c r="H137" s="102" vm="3624">
        <f ca="1"/>
        <v>48480807</v>
      </c>
    </row>
    <row r="138" spans="3:8" x14ac:dyDescent="0.3">
      <c r="C138" s="100" vm="771">
        <f ca="1"/>
        <v>43045</v>
      </c>
      <c r="D138" s="101" vm="3625">
        <f ca="1"/>
        <v>21.23</v>
      </c>
      <c r="E138" s="101" vm="3621">
        <f ca="1"/>
        <v>21.47</v>
      </c>
      <c r="F138" s="101" vm="3626">
        <f ca="1"/>
        <v>21.53</v>
      </c>
      <c r="G138" s="101" vm="3627">
        <f ca="1"/>
        <v>21.14</v>
      </c>
      <c r="H138" s="102" vm="3628">
        <f ca="1"/>
        <v>37738571</v>
      </c>
    </row>
    <row r="139" spans="3:8" x14ac:dyDescent="0.3">
      <c r="C139" s="100" vm="777">
        <f ca="1"/>
        <v>43052</v>
      </c>
      <c r="D139" s="101" vm="3629">
        <f ca="1"/>
        <v>21.75</v>
      </c>
      <c r="E139" s="101" vm="3625">
        <f ca="1"/>
        <v>21.23</v>
      </c>
      <c r="F139" s="101" vm="3630">
        <f ca="1"/>
        <v>21.87</v>
      </c>
      <c r="G139" s="101" vm="3631">
        <f ca="1"/>
        <v>20.99</v>
      </c>
      <c r="H139" s="102" vm="3632">
        <f ca="1"/>
        <v>49407233</v>
      </c>
    </row>
    <row r="140" spans="3:8" x14ac:dyDescent="0.3">
      <c r="C140" s="100" vm="783">
        <f ca="1"/>
        <v>43059</v>
      </c>
      <c r="D140" s="101" vm="3633">
        <f ca="1"/>
        <v>21.24</v>
      </c>
      <c r="E140" s="101" vm="3634">
        <f ca="1"/>
        <v>21.81</v>
      </c>
      <c r="F140" s="101" vm="3635">
        <f ca="1"/>
        <v>22.68</v>
      </c>
      <c r="G140" s="101" vm="3636">
        <f ca="1"/>
        <v>20.59</v>
      </c>
      <c r="H140" s="102" vm="3637">
        <f ca="1"/>
        <v>67507397</v>
      </c>
    </row>
    <row r="141" spans="3:8" x14ac:dyDescent="0.3">
      <c r="C141" s="100" vm="789">
        <f ca="1"/>
        <v>43066</v>
      </c>
      <c r="D141" s="101" vm="3638">
        <f ca="1"/>
        <v>21.41</v>
      </c>
      <c r="E141" s="101" vm="3639">
        <f ca="1"/>
        <v>21.17</v>
      </c>
      <c r="F141" s="101" vm="3640">
        <f ca="1"/>
        <v>21.97</v>
      </c>
      <c r="G141" s="101" vm="3641">
        <f ca="1"/>
        <v>20.954999999999998</v>
      </c>
      <c r="H141" s="102" vm="3642">
        <f ca="1"/>
        <v>61672940</v>
      </c>
    </row>
    <row r="142" spans="3:8" x14ac:dyDescent="0.3">
      <c r="C142" s="100" vm="795">
        <f ca="1"/>
        <v>43073</v>
      </c>
      <c r="D142" s="101" vm="3623">
        <f ca="1"/>
        <v>21.07</v>
      </c>
      <c r="E142" s="101" vm="3614">
        <f ca="1"/>
        <v>21.46</v>
      </c>
      <c r="F142" s="101" vm="3643">
        <f ca="1"/>
        <v>21.73</v>
      </c>
      <c r="G142" s="101" vm="3644">
        <f ca="1"/>
        <v>20.855</v>
      </c>
      <c r="H142" s="102" vm="3645">
        <f ca="1"/>
        <v>54489660</v>
      </c>
    </row>
    <row r="143" spans="3:8" x14ac:dyDescent="0.3">
      <c r="C143" s="100" vm="801">
        <f ca="1"/>
        <v>43080</v>
      </c>
      <c r="D143" s="101" vm="3646">
        <f ca="1"/>
        <v>20.92</v>
      </c>
      <c r="E143" s="101" vm="3647">
        <f ca="1"/>
        <v>20.97</v>
      </c>
      <c r="F143" s="101" vm="3648">
        <f ca="1"/>
        <v>21.36</v>
      </c>
      <c r="G143" s="101" vm="3649">
        <f ca="1"/>
        <v>20.66</v>
      </c>
      <c r="H143" s="102" vm="3650">
        <f ca="1"/>
        <v>51246077</v>
      </c>
    </row>
    <row r="144" spans="3:8" x14ac:dyDescent="0.3">
      <c r="C144" s="100" vm="807">
        <f ca="1"/>
        <v>43087</v>
      </c>
      <c r="D144" s="101" vm="3651">
        <f ca="1"/>
        <v>21.26</v>
      </c>
      <c r="E144" s="101" vm="3652">
        <f ca="1"/>
        <v>21</v>
      </c>
      <c r="F144" s="101" vm="3653">
        <f ca="1"/>
        <v>21.62</v>
      </c>
      <c r="G144" s="101" vm="3631">
        <f ca="1"/>
        <v>20.99</v>
      </c>
      <c r="H144" s="102" vm="3654">
        <f ca="1"/>
        <v>42118545</v>
      </c>
    </row>
    <row r="145" spans="3:8" x14ac:dyDescent="0.3">
      <c r="C145" s="100" vm="813">
        <f ca="1"/>
        <v>43095</v>
      </c>
      <c r="D145" s="101" vm="3655">
        <f ca="1"/>
        <v>21.01</v>
      </c>
      <c r="E145" s="101" vm="3656">
        <f ca="1"/>
        <v>21.13</v>
      </c>
      <c r="F145" s="101" vm="3657">
        <f ca="1"/>
        <v>21.305</v>
      </c>
      <c r="G145" s="101" vm="3655">
        <f ca="1"/>
        <v>21.01</v>
      </c>
      <c r="H145" s="102" vm="3658">
        <f ca="1"/>
        <v>21038621</v>
      </c>
    </row>
    <row r="146" spans="3:8" x14ac:dyDescent="0.3">
      <c r="C146" s="100" vm="819">
        <f ca="1"/>
        <v>43102</v>
      </c>
      <c r="D146" s="101" vm="3629">
        <f ca="1"/>
        <v>21.75</v>
      </c>
      <c r="E146" s="101" vm="3659">
        <f ca="1"/>
        <v>21.18</v>
      </c>
      <c r="F146" s="101" vm="3612">
        <f ca="1"/>
        <v>21.77</v>
      </c>
      <c r="G146" s="101" vm="3652">
        <f ca="1"/>
        <v>21</v>
      </c>
      <c r="H146" s="102" vm="3660">
        <f ca="1"/>
        <v>26819581</v>
      </c>
    </row>
    <row r="147" spans="3:8" x14ac:dyDescent="0.3">
      <c r="C147" s="100" vm="825">
        <f ca="1"/>
        <v>43108</v>
      </c>
      <c r="D147" s="101" vm="3661">
        <f ca="1"/>
        <v>22.92</v>
      </c>
      <c r="E147" s="101" vm="3662">
        <f ca="1"/>
        <v>21.78</v>
      </c>
      <c r="F147" s="101" vm="3663">
        <f ca="1"/>
        <v>22.97</v>
      </c>
      <c r="G147" s="101" vm="3664">
        <f ca="1"/>
        <v>21.59</v>
      </c>
      <c r="H147" s="102" vm="3665">
        <f ca="1"/>
        <v>39250460</v>
      </c>
    </row>
    <row r="148" spans="3:8" x14ac:dyDescent="0.3">
      <c r="C148" s="100" vm="831">
        <f ca="1"/>
        <v>43116</v>
      </c>
      <c r="D148" s="101" vm="3666">
        <f ca="1"/>
        <v>23.7</v>
      </c>
      <c r="E148" s="101" vm="3667">
        <f ca="1"/>
        <v>23.05</v>
      </c>
      <c r="F148" s="101" vm="3668">
        <f ca="1"/>
        <v>23.79</v>
      </c>
      <c r="G148" s="101" vm="3669">
        <f ca="1"/>
        <v>22.66</v>
      </c>
      <c r="H148" s="102" vm="3670">
        <f ca="1"/>
        <v>44291829</v>
      </c>
    </row>
    <row r="149" spans="3:8" x14ac:dyDescent="0.3">
      <c r="C149" s="100" vm="837">
        <f ca="1"/>
        <v>43122</v>
      </c>
      <c r="D149" s="101" vm="3671">
        <f ca="1"/>
        <v>23.91</v>
      </c>
      <c r="E149" s="101" vm="3672">
        <f ca="1"/>
        <v>23.68</v>
      </c>
      <c r="F149" s="101" vm="3673">
        <f ca="1"/>
        <v>23.998000000000001</v>
      </c>
      <c r="G149" s="101" vm="3674">
        <f ca="1"/>
        <v>23.3</v>
      </c>
      <c r="H149" s="102" vm="3675">
        <f ca="1"/>
        <v>39159417</v>
      </c>
    </row>
    <row r="150" spans="3:8" x14ac:dyDescent="0.3">
      <c r="C150" s="100" vm="843">
        <f ca="1"/>
        <v>43129</v>
      </c>
      <c r="D150" s="101" vm="3676">
        <f ca="1"/>
        <v>22.48</v>
      </c>
      <c r="E150" s="101" vm="3677">
        <f ca="1"/>
        <v>24.1</v>
      </c>
      <c r="F150" s="101" vm="3677">
        <f ca="1"/>
        <v>24.1</v>
      </c>
      <c r="G150" s="101" vm="3678">
        <f ca="1"/>
        <v>22.47</v>
      </c>
      <c r="H150" s="102" vm="3679">
        <f ca="1"/>
        <v>45195250</v>
      </c>
    </row>
    <row r="151" spans="3:8" x14ac:dyDescent="0.3">
      <c r="C151" s="100" vm="846">
        <f ca="1"/>
        <v>43136</v>
      </c>
      <c r="D151" s="101" vm="3680">
        <f ca="1"/>
        <v>20.11</v>
      </c>
      <c r="E151" s="101" vm="3681">
        <f ca="1"/>
        <v>22.32</v>
      </c>
      <c r="F151" s="101" vm="3682">
        <f ca="1"/>
        <v>22.56</v>
      </c>
      <c r="G151" s="101" vm="3578">
        <f ca="1"/>
        <v>19.309999999999999</v>
      </c>
      <c r="H151" s="102" vm="3683">
        <f ca="1"/>
        <v>75560021</v>
      </c>
    </row>
    <row r="152" spans="3:8" x14ac:dyDescent="0.3">
      <c r="C152" s="100" vm="852">
        <f ca="1"/>
        <v>43143</v>
      </c>
      <c r="D152" s="101" vm="3684">
        <f ca="1"/>
        <v>21.4</v>
      </c>
      <c r="E152" s="101" vm="3685">
        <f ca="1"/>
        <v>20.29</v>
      </c>
      <c r="F152" s="101" vm="3606">
        <f ca="1"/>
        <v>21.71</v>
      </c>
      <c r="G152" s="101" vm="3686">
        <f ca="1"/>
        <v>20.14</v>
      </c>
      <c r="H152" s="102" vm="3687">
        <f ca="1"/>
        <v>50524853</v>
      </c>
    </row>
    <row r="153" spans="3:8" x14ac:dyDescent="0.3">
      <c r="C153" s="100" vm="858">
        <f ca="1"/>
        <v>43151</v>
      </c>
      <c r="D153" s="101" vm="3688">
        <f ca="1"/>
        <v>22.13</v>
      </c>
      <c r="E153" s="101" vm="3689">
        <f ca="1"/>
        <v>21.27</v>
      </c>
      <c r="F153" s="101" vm="3690">
        <f ca="1"/>
        <v>23.22</v>
      </c>
      <c r="G153" s="101" vm="3639">
        <f ca="1"/>
        <v>21.17</v>
      </c>
      <c r="H153" s="102" vm="3691">
        <f ca="1"/>
        <v>48637219</v>
      </c>
    </row>
    <row r="154" spans="3:8" x14ac:dyDescent="0.3">
      <c r="C154" s="100" vm="863">
        <f ca="1"/>
        <v>43157</v>
      </c>
      <c r="D154" s="101" vm="3692">
        <f ca="1"/>
        <v>23.57</v>
      </c>
      <c r="E154" s="101" vm="3693">
        <f ca="1"/>
        <v>22.55</v>
      </c>
      <c r="F154" s="101" vm="3694">
        <f ca="1"/>
        <v>23.9</v>
      </c>
      <c r="G154" s="101" vm="3693">
        <f ca="1"/>
        <v>22.55</v>
      </c>
      <c r="H154" s="102" vm="3695">
        <f ca="1"/>
        <v>72080484</v>
      </c>
    </row>
    <row r="155" spans="3:8" x14ac:dyDescent="0.3">
      <c r="C155" s="100" vm="869">
        <f ca="1"/>
        <v>43164</v>
      </c>
      <c r="D155" s="101" vm="3696">
        <f ca="1"/>
        <v>24.65</v>
      </c>
      <c r="E155" s="101" vm="3697">
        <f ca="1"/>
        <v>23.46</v>
      </c>
      <c r="F155" s="101" vm="3698">
        <f ca="1"/>
        <v>24.75</v>
      </c>
      <c r="G155" s="101" vm="3699">
        <f ca="1"/>
        <v>23.335000000000001</v>
      </c>
      <c r="H155" s="102" vm="3700">
        <f ca="1"/>
        <v>48338792</v>
      </c>
    </row>
    <row r="156" spans="3:8" x14ac:dyDescent="0.3">
      <c r="C156" s="100" vm="875">
        <f ca="1"/>
        <v>43171</v>
      </c>
      <c r="D156" s="101" vm="3701">
        <f ca="1"/>
        <v>23.51</v>
      </c>
      <c r="E156" s="101" vm="3702">
        <f ca="1"/>
        <v>24.69</v>
      </c>
      <c r="F156" s="101" vm="3702">
        <f ca="1"/>
        <v>24.69</v>
      </c>
      <c r="G156" s="101" vm="3703">
        <f ca="1"/>
        <v>23.28</v>
      </c>
      <c r="H156" s="102" vm="3704">
        <f ca="1"/>
        <v>76260848</v>
      </c>
    </row>
    <row r="157" spans="3:8" x14ac:dyDescent="0.3">
      <c r="C157" s="100" vm="881">
        <f ca="1"/>
        <v>43178</v>
      </c>
      <c r="D157" s="101" vm="3705">
        <f ca="1"/>
        <v>21.85</v>
      </c>
      <c r="E157" s="101" vm="3706">
        <f ca="1"/>
        <v>23.45</v>
      </c>
      <c r="F157" s="101" vm="3692">
        <f ca="1"/>
        <v>23.57</v>
      </c>
      <c r="G157" s="101" vm="3707">
        <f ca="1"/>
        <v>21.83</v>
      </c>
      <c r="H157" s="102" vm="3708">
        <f ca="1"/>
        <v>54960576</v>
      </c>
    </row>
    <row r="158" spans="3:8" x14ac:dyDescent="0.3">
      <c r="C158" s="100" vm="885">
        <f ca="1"/>
        <v>43185</v>
      </c>
      <c r="D158" s="101" vm="3709">
        <f ca="1"/>
        <v>21.92</v>
      </c>
      <c r="E158" s="101" vm="3710">
        <f ca="1"/>
        <v>22.25</v>
      </c>
      <c r="F158" s="101" vm="3711">
        <f ca="1"/>
        <v>22.44</v>
      </c>
      <c r="G158" s="101" vm="3712">
        <f ca="1"/>
        <v>21.434100000000001</v>
      </c>
      <c r="H158" s="102" vm="3713">
        <f ca="1"/>
        <v>46633443</v>
      </c>
    </row>
    <row r="159" spans="3:8" x14ac:dyDescent="0.3">
      <c r="C159" s="100" vm="891">
        <f ca="1"/>
        <v>43192</v>
      </c>
      <c r="D159" s="101" vm="3714">
        <f ca="1"/>
        <v>20.78</v>
      </c>
      <c r="E159" s="101" vm="3715">
        <f ca="1"/>
        <v>21.84</v>
      </c>
      <c r="F159" s="101" vm="3716">
        <f ca="1"/>
        <v>21.88</v>
      </c>
      <c r="G159" s="101" vm="3717">
        <f ca="1"/>
        <v>20.6</v>
      </c>
      <c r="H159" s="102" vm="3718">
        <f ca="1"/>
        <v>44151204</v>
      </c>
    </row>
    <row r="160" spans="3:8" x14ac:dyDescent="0.3">
      <c r="C160" s="100" vm="896">
        <f ca="1"/>
        <v>43199</v>
      </c>
      <c r="D160" s="101" vm="3612">
        <f ca="1"/>
        <v>21.77</v>
      </c>
      <c r="E160" s="101" vm="3719">
        <f ca="1"/>
        <v>20.94</v>
      </c>
      <c r="F160" s="101" vm="3720">
        <f ca="1"/>
        <v>22.12</v>
      </c>
      <c r="G160" s="101" vm="3721">
        <f ca="1"/>
        <v>20.754999999999999</v>
      </c>
      <c r="H160" s="102" vm="3722">
        <f ca="1"/>
        <v>43816408</v>
      </c>
    </row>
    <row r="161" spans="3:8" x14ac:dyDescent="0.3">
      <c r="C161" s="100" vm="902">
        <f ca="1"/>
        <v>43206</v>
      </c>
      <c r="D161" s="101" vm="3626">
        <f ca="1"/>
        <v>21.53</v>
      </c>
      <c r="E161" s="101" vm="3640">
        <f ca="1"/>
        <v>21.97</v>
      </c>
      <c r="F161" s="101" vm="3723">
        <f ca="1"/>
        <v>22.14</v>
      </c>
      <c r="G161" s="101" vm="3724">
        <f ca="1"/>
        <v>21.43</v>
      </c>
      <c r="H161" s="102" vm="3725">
        <f ca="1"/>
        <v>36374612</v>
      </c>
    </row>
    <row r="162" spans="3:8" x14ac:dyDescent="0.3">
      <c r="C162" s="100" vm="908">
        <f ca="1"/>
        <v>43213</v>
      </c>
      <c r="D162" s="101" vm="3726">
        <f ca="1"/>
        <v>21.61</v>
      </c>
      <c r="E162" s="101" vm="3727">
        <f ca="1"/>
        <v>21.56</v>
      </c>
      <c r="F162" s="101" vm="3728">
        <f ca="1"/>
        <v>21.66</v>
      </c>
      <c r="G162" s="101" vm="3729">
        <f ca="1"/>
        <v>21.03</v>
      </c>
      <c r="H162" s="102" vm="3730">
        <f ca="1"/>
        <v>33855201</v>
      </c>
    </row>
    <row r="163" spans="3:8" x14ac:dyDescent="0.3">
      <c r="C163" s="100" vm="914">
        <f ca="1"/>
        <v>43220</v>
      </c>
      <c r="D163" s="101" vm="3731">
        <f ca="1"/>
        <v>21.68</v>
      </c>
      <c r="E163" s="101" vm="3728">
        <f ca="1"/>
        <v>21.66</v>
      </c>
      <c r="F163" s="101" vm="3732">
        <f ca="1"/>
        <v>21.91</v>
      </c>
      <c r="G163" s="101" vm="3733">
        <f ca="1"/>
        <v>20.96</v>
      </c>
      <c r="H163" s="102" vm="3734">
        <f ca="1"/>
        <v>36792657</v>
      </c>
    </row>
    <row r="164" spans="3:8" x14ac:dyDescent="0.3">
      <c r="C164" s="100" vm="920">
        <f ca="1"/>
        <v>43227</v>
      </c>
      <c r="D164" s="101" vm="3735">
        <f ca="1"/>
        <v>22.71</v>
      </c>
      <c r="E164" s="101" vm="3606">
        <f ca="1"/>
        <v>21.71</v>
      </c>
      <c r="F164" s="101" vm="3736">
        <f ca="1"/>
        <v>22.84</v>
      </c>
      <c r="G164" s="101" vm="3737">
        <f ca="1"/>
        <v>21.65</v>
      </c>
      <c r="H164" s="102" vm="3738">
        <f ca="1"/>
        <v>30007207</v>
      </c>
    </row>
    <row r="165" spans="3:8" x14ac:dyDescent="0.3">
      <c r="C165" s="100" vm="926">
        <f ca="1"/>
        <v>43234</v>
      </c>
      <c r="D165" s="101" vm="3723">
        <f ca="1"/>
        <v>22.14</v>
      </c>
      <c r="E165" s="101" vm="3739">
        <f ca="1"/>
        <v>22.82</v>
      </c>
      <c r="F165" s="101" vm="3740">
        <f ca="1"/>
        <v>23.065000000000001</v>
      </c>
      <c r="G165" s="101" vm="3741">
        <f ca="1"/>
        <v>21.7865</v>
      </c>
      <c r="H165" s="102" vm="3742">
        <f ca="1"/>
        <v>35940560</v>
      </c>
    </row>
    <row r="166" spans="3:8" x14ac:dyDescent="0.3">
      <c r="C166" s="100" vm="932">
        <f ca="1"/>
        <v>43241</v>
      </c>
      <c r="D166" s="101" vm="3732">
        <f ca="1"/>
        <v>21.91</v>
      </c>
      <c r="E166" s="101" vm="3743">
        <f ca="1"/>
        <v>22.34</v>
      </c>
      <c r="F166" s="101" vm="3743">
        <f ca="1"/>
        <v>22.34</v>
      </c>
      <c r="G166" s="101" vm="3744">
        <f ca="1"/>
        <v>21.44</v>
      </c>
      <c r="H166" s="102" vm="3745">
        <f ca="1"/>
        <v>40910091</v>
      </c>
    </row>
    <row r="167" spans="3:8" x14ac:dyDescent="0.3">
      <c r="C167" s="100" vm="938">
        <f ca="1"/>
        <v>43249</v>
      </c>
      <c r="D167" s="101" vm="3635">
        <f ca="1"/>
        <v>22.68</v>
      </c>
      <c r="E167" s="101" vm="3746">
        <f ca="1"/>
        <v>21.739000000000001</v>
      </c>
      <c r="F167" s="101" vm="3735">
        <f ca="1"/>
        <v>22.71</v>
      </c>
      <c r="G167" s="101" vm="3747">
        <f ca="1"/>
        <v>21.04</v>
      </c>
      <c r="H167" s="102" vm="3748">
        <f ca="1"/>
        <v>56153779</v>
      </c>
    </row>
    <row r="168" spans="3:8" x14ac:dyDescent="0.3">
      <c r="C168" s="100" vm="944">
        <f ca="1"/>
        <v>43255</v>
      </c>
      <c r="D168" s="101" vm="3749">
        <f ca="1"/>
        <v>23.71</v>
      </c>
      <c r="E168" s="101" vm="3750">
        <f ca="1"/>
        <v>22.7</v>
      </c>
      <c r="F168" s="101" vm="3751">
        <f ca="1"/>
        <v>23.745000000000001</v>
      </c>
      <c r="G168" s="101" vm="3752">
        <f ca="1"/>
        <v>22.6</v>
      </c>
      <c r="H168" s="102" vm="3753">
        <f ca="1"/>
        <v>48651917</v>
      </c>
    </row>
    <row r="169" spans="3:8" x14ac:dyDescent="0.3">
      <c r="C169" s="100" vm="950">
        <f ca="1"/>
        <v>43262</v>
      </c>
      <c r="D169" s="101" vm="3754">
        <f ca="1"/>
        <v>23.59</v>
      </c>
      <c r="E169" s="101" vm="3672">
        <f ca="1"/>
        <v>23.68</v>
      </c>
      <c r="F169" s="101" vm="3755">
        <f ca="1"/>
        <v>24.2</v>
      </c>
      <c r="G169" s="101" vm="3756">
        <f ca="1"/>
        <v>23.44</v>
      </c>
      <c r="H169" s="102" vm="3757">
        <f ca="1"/>
        <v>44576491</v>
      </c>
    </row>
    <row r="170" spans="3:8" x14ac:dyDescent="0.3">
      <c r="C170" s="100" vm="956">
        <f ca="1"/>
        <v>43269</v>
      </c>
      <c r="D170" s="101" vm="3758">
        <f ca="1"/>
        <v>23.8</v>
      </c>
      <c r="E170" s="101" vm="3759">
        <f ca="1"/>
        <v>23.37</v>
      </c>
      <c r="F170" s="101" vm="3760">
        <f ca="1"/>
        <v>23.899899999999999</v>
      </c>
      <c r="G170" s="101" vm="3761">
        <f ca="1"/>
        <v>23.155000000000001</v>
      </c>
      <c r="H170" s="102" vm="3762">
        <f ca="1"/>
        <v>45266907</v>
      </c>
    </row>
    <row r="171" spans="3:8" x14ac:dyDescent="0.3">
      <c r="C171" s="100" vm="962">
        <f ca="1"/>
        <v>43276</v>
      </c>
      <c r="D171" s="101" vm="3763">
        <f ca="1"/>
        <v>22.69</v>
      </c>
      <c r="E171" s="101" vm="3764">
        <f ca="1"/>
        <v>23.63</v>
      </c>
      <c r="F171" s="101" vm="3765">
        <f ca="1"/>
        <v>23.76</v>
      </c>
      <c r="G171" s="101" vm="3766">
        <f ca="1"/>
        <v>22.344999999999999</v>
      </c>
      <c r="H171" s="102" vm="3767">
        <f ca="1"/>
        <v>40556031</v>
      </c>
    </row>
    <row r="172" spans="3:8" x14ac:dyDescent="0.3">
      <c r="C172" s="100" vm="968">
        <f ca="1"/>
        <v>43283</v>
      </c>
      <c r="D172" s="101" vm="3768">
        <f ca="1"/>
        <v>23.01</v>
      </c>
      <c r="E172" s="101" vm="3769">
        <f ca="1"/>
        <v>22.54</v>
      </c>
      <c r="F172" s="101" vm="3690">
        <f ca="1"/>
        <v>23.22</v>
      </c>
      <c r="G172" s="101" vm="3770">
        <f ca="1"/>
        <v>22.38</v>
      </c>
      <c r="H172" s="102" vm="3771">
        <f ca="1"/>
        <v>22008785</v>
      </c>
    </row>
    <row r="173" spans="3:8" x14ac:dyDescent="0.3">
      <c r="C173" s="100" vm="974">
        <f ca="1"/>
        <v>43290</v>
      </c>
      <c r="D173" s="101" vm="3749">
        <f ca="1"/>
        <v>23.71</v>
      </c>
      <c r="E173" s="101" vm="3772">
        <f ca="1"/>
        <v>23.14</v>
      </c>
      <c r="F173" s="101" vm="3773">
        <f ca="1"/>
        <v>23.97</v>
      </c>
      <c r="G173" s="101" vm="3768">
        <f ca="1"/>
        <v>23.01</v>
      </c>
      <c r="H173" s="102" vm="3774">
        <f ca="1"/>
        <v>35896039</v>
      </c>
    </row>
    <row r="174" spans="3:8" x14ac:dyDescent="0.3">
      <c r="C174" s="100" vm="980">
        <f ca="1"/>
        <v>43297</v>
      </c>
      <c r="D174" s="101" vm="3775">
        <f ca="1"/>
        <v>22.94</v>
      </c>
      <c r="E174" s="101" vm="3776">
        <f ca="1"/>
        <v>23.69</v>
      </c>
      <c r="F174" s="101" vm="3777">
        <f ca="1"/>
        <v>23.74</v>
      </c>
      <c r="G174" s="101" vm="3778">
        <f ca="1"/>
        <v>22.89</v>
      </c>
      <c r="H174" s="102" vm="3779">
        <f ca="1"/>
        <v>27330882</v>
      </c>
    </row>
    <row r="175" spans="3:8" x14ac:dyDescent="0.3">
      <c r="C175" s="100" vm="986">
        <f ca="1"/>
        <v>43304</v>
      </c>
      <c r="D175" s="101" vm="3780">
        <f ca="1"/>
        <v>23.23</v>
      </c>
      <c r="E175" s="101" vm="3781">
        <f ca="1"/>
        <v>22.87</v>
      </c>
      <c r="F175" s="101" vm="3782">
        <f ca="1"/>
        <v>23.645</v>
      </c>
      <c r="G175" s="101" vm="3669">
        <f ca="1"/>
        <v>22.66</v>
      </c>
      <c r="H175" s="102" vm="3783">
        <f ca="1"/>
        <v>29871904</v>
      </c>
    </row>
    <row r="176" spans="3:8" x14ac:dyDescent="0.3">
      <c r="C176" s="100" vm="992">
        <f ca="1"/>
        <v>43311</v>
      </c>
      <c r="D176" s="101" vm="3784">
        <f ca="1"/>
        <v>23.34</v>
      </c>
      <c r="E176" s="101" vm="328">
        <f ca="1"/>
        <v>23.25</v>
      </c>
      <c r="F176" s="101" vm="3785">
        <f ca="1"/>
        <v>23.484999999999999</v>
      </c>
      <c r="G176" s="101" vm="3778">
        <f ca="1"/>
        <v>22.89</v>
      </c>
      <c r="H176" s="102" vm="3786">
        <f ca="1"/>
        <v>25052605</v>
      </c>
    </row>
    <row r="177" spans="3:8" x14ac:dyDescent="0.3">
      <c r="C177" s="100" vm="998">
        <f ca="1"/>
        <v>43318</v>
      </c>
      <c r="D177" s="101" vm="3787">
        <f ca="1"/>
        <v>23.99</v>
      </c>
      <c r="E177" s="101" vm="3703">
        <f ca="1"/>
        <v>23.28</v>
      </c>
      <c r="F177" s="101" vm="3788">
        <f ca="1"/>
        <v>24.32</v>
      </c>
      <c r="G177" s="101" vm="3703">
        <f ca="1"/>
        <v>23.28</v>
      </c>
      <c r="H177" s="102" vm="3789">
        <f ca="1"/>
        <v>27702153</v>
      </c>
    </row>
    <row r="178" spans="3:8" x14ac:dyDescent="0.3">
      <c r="C178" s="100" vm="1004">
        <f ca="1"/>
        <v>43325</v>
      </c>
      <c r="D178" s="101" vm="3790">
        <f ca="1"/>
        <v>24.54</v>
      </c>
      <c r="E178" s="101" vm="3791">
        <f ca="1"/>
        <v>24.05</v>
      </c>
      <c r="F178" s="101" vm="3792">
        <f ca="1"/>
        <v>24.62</v>
      </c>
      <c r="G178" s="101" vm="3668">
        <f ca="1"/>
        <v>23.79</v>
      </c>
      <c r="H178" s="102" vm="3793">
        <f ca="1"/>
        <v>29671576</v>
      </c>
    </row>
    <row r="179" spans="3:8" x14ac:dyDescent="0.3">
      <c r="C179" s="100" vm="1009">
        <f ca="1"/>
        <v>43332</v>
      </c>
      <c r="D179" s="101" vm="3794">
        <f ca="1"/>
        <v>24.15</v>
      </c>
      <c r="E179" s="101" vm="3790">
        <f ca="1"/>
        <v>24.54</v>
      </c>
      <c r="F179" s="101" vm="3795">
        <f ca="1"/>
        <v>24.8</v>
      </c>
      <c r="G179" s="101" vm="3672">
        <f ca="1"/>
        <v>23.68</v>
      </c>
      <c r="H179" s="102" vm="3796">
        <f ca="1"/>
        <v>40552030</v>
      </c>
    </row>
    <row r="180" spans="3:8" x14ac:dyDescent="0.3">
      <c r="C180" s="100" vm="1015">
        <f ca="1"/>
        <v>43339</v>
      </c>
      <c r="D180" s="101" vm="3696">
        <f ca="1"/>
        <v>24.65</v>
      </c>
      <c r="E180" s="101" vm="3797">
        <f ca="1"/>
        <v>24.39</v>
      </c>
      <c r="F180" s="101" vm="3798">
        <f ca="1"/>
        <v>25.28</v>
      </c>
      <c r="G180" s="101" vm="3799">
        <f ca="1"/>
        <v>24.27</v>
      </c>
      <c r="H180" s="102" vm="3800">
        <f ca="1"/>
        <v>41982959</v>
      </c>
    </row>
    <row r="181" spans="3:8" x14ac:dyDescent="0.3">
      <c r="C181" s="100" vm="1021">
        <f ca="1"/>
        <v>43347</v>
      </c>
      <c r="D181" s="101" vm="3801">
        <f ca="1"/>
        <v>24.71</v>
      </c>
      <c r="E181" s="101" vm="3802">
        <f ca="1"/>
        <v>24.53</v>
      </c>
      <c r="F181" s="101" vm="3803">
        <f ca="1"/>
        <v>24.958400000000001</v>
      </c>
      <c r="G181" s="101" vm="3804">
        <f ca="1"/>
        <v>24.385000000000002</v>
      </c>
      <c r="H181" s="102" vm="3805">
        <f ca="1"/>
        <v>43737472</v>
      </c>
    </row>
    <row r="182" spans="3:8" x14ac:dyDescent="0.3">
      <c r="C182" s="100" vm="1027">
        <f ca="1"/>
        <v>43353</v>
      </c>
      <c r="D182" s="101" vm="3806">
        <f ca="1"/>
        <v>25.04</v>
      </c>
      <c r="E182" s="101" vm="358">
        <f ca="1"/>
        <v>24.78</v>
      </c>
      <c r="F182" s="101" vm="3807">
        <f ca="1"/>
        <v>25.15</v>
      </c>
      <c r="G182" s="101" vm="3808">
        <f ca="1"/>
        <v>24.344999999999999</v>
      </c>
      <c r="H182" s="102" vm="3809">
        <f ca="1"/>
        <v>44579537</v>
      </c>
    </row>
    <row r="183" spans="3:8" x14ac:dyDescent="0.3">
      <c r="C183" s="100" vm="1033">
        <f ca="1"/>
        <v>43360</v>
      </c>
      <c r="D183" s="101" vm="3810">
        <f ca="1"/>
        <v>25.83</v>
      </c>
      <c r="E183" s="101" vm="3806">
        <f ca="1"/>
        <v>25.04</v>
      </c>
      <c r="F183" s="101" vm="3811">
        <f ca="1"/>
        <v>26.14</v>
      </c>
      <c r="G183" s="101" vm="3812">
        <f ca="1"/>
        <v>24.96</v>
      </c>
      <c r="H183" s="102" vm="3813">
        <f ca="1"/>
        <v>52721077</v>
      </c>
    </row>
    <row r="184" spans="3:8" x14ac:dyDescent="0.3">
      <c r="C184" s="100" vm="1039">
        <f ca="1"/>
        <v>43367</v>
      </c>
      <c r="D184" s="101" vm="3814">
        <f ca="1"/>
        <v>25.77</v>
      </c>
      <c r="E184" s="101" vm="3815">
        <f ca="1"/>
        <v>25.73</v>
      </c>
      <c r="F184" s="101" vm="296">
        <f ca="1"/>
        <v>26.22</v>
      </c>
      <c r="G184" s="101" vm="3816">
        <f ca="1"/>
        <v>25.48</v>
      </c>
      <c r="H184" s="102" vm="3817">
        <f ca="1"/>
        <v>43428291</v>
      </c>
    </row>
    <row r="185" spans="3:8" x14ac:dyDescent="0.3">
      <c r="C185" s="100" vm="1045">
        <f ca="1"/>
        <v>43374</v>
      </c>
      <c r="D185" s="101" vm="3818">
        <f ca="1"/>
        <v>25.34</v>
      </c>
      <c r="E185" s="101" vm="3819">
        <f ca="1"/>
        <v>25.8</v>
      </c>
      <c r="F185" s="101" vm="3820">
        <f ca="1"/>
        <v>27.08</v>
      </c>
      <c r="G185" s="101" vm="3821">
        <f ca="1"/>
        <v>25.215</v>
      </c>
      <c r="H185" s="102" vm="3822">
        <f ca="1"/>
        <v>60305169</v>
      </c>
    </row>
    <row r="186" spans="3:8" x14ac:dyDescent="0.3">
      <c r="C186" s="100" vm="1051">
        <f ca="1"/>
        <v>43381</v>
      </c>
      <c r="D186" s="101" vm="3823">
        <f ca="1"/>
        <v>23.67</v>
      </c>
      <c r="E186" s="101" vm="3824">
        <f ca="1"/>
        <v>25.19</v>
      </c>
      <c r="F186" s="101" vm="3825">
        <f ca="1"/>
        <v>25.344999999999999</v>
      </c>
      <c r="G186" s="101" vm="3736">
        <f ca="1"/>
        <v>22.84</v>
      </c>
      <c r="H186" s="102" vm="3826">
        <f ca="1"/>
        <v>65665666</v>
      </c>
    </row>
    <row r="187" spans="3:8" x14ac:dyDescent="0.3">
      <c r="C187" s="100" vm="1057">
        <f ca="1"/>
        <v>43388</v>
      </c>
      <c r="D187" s="101" vm="230">
        <f ca="1"/>
        <v>23.84</v>
      </c>
      <c r="E187" s="101" vm="3827">
        <f ca="1"/>
        <v>23.62</v>
      </c>
      <c r="F187" s="101" vm="3828">
        <f ca="1"/>
        <v>24.25</v>
      </c>
      <c r="G187" s="101" vm="3829">
        <f ca="1"/>
        <v>23.54</v>
      </c>
      <c r="H187" s="102" vm="3830">
        <f ca="1"/>
        <v>44080904</v>
      </c>
    </row>
    <row r="188" spans="3:8" x14ac:dyDescent="0.3">
      <c r="C188" s="100" vm="1063">
        <f ca="1"/>
        <v>43395</v>
      </c>
      <c r="D188" s="101" vm="3831">
        <f ca="1"/>
        <v>23.13</v>
      </c>
      <c r="E188" s="101" vm="363">
        <f ca="1"/>
        <v>24</v>
      </c>
      <c r="F188" s="101" vm="3832">
        <f ca="1"/>
        <v>24.43</v>
      </c>
      <c r="G188" s="101" vm="3833">
        <f ca="1"/>
        <v>22.844999999999999</v>
      </c>
      <c r="H188" s="102" vm="3834">
        <f ca="1"/>
        <v>55068051</v>
      </c>
    </row>
    <row r="189" spans="3:8" x14ac:dyDescent="0.3">
      <c r="C189" s="100" vm="1069">
        <f ca="1"/>
        <v>43402</v>
      </c>
      <c r="D189" s="101" vm="3835">
        <f ca="1"/>
        <v>24.63</v>
      </c>
      <c r="E189" s="101" vm="3836">
        <f ca="1"/>
        <v>23.48</v>
      </c>
      <c r="F189" s="101" vm="3837">
        <f ca="1"/>
        <v>24.83</v>
      </c>
      <c r="G189" s="101" vm="3750">
        <f ca="1"/>
        <v>22.7</v>
      </c>
      <c r="H189" s="102" vm="3838">
        <f ca="1"/>
        <v>48432156</v>
      </c>
    </row>
    <row r="190" spans="3:8" x14ac:dyDescent="0.3">
      <c r="C190" s="100" vm="1075">
        <f ca="1"/>
        <v>43409</v>
      </c>
      <c r="D190" s="101" vm="3839">
        <f ca="1"/>
        <v>25</v>
      </c>
      <c r="E190" s="101" vm="3835">
        <f ca="1"/>
        <v>24.63</v>
      </c>
      <c r="F190" s="101" vm="3840">
        <f ca="1"/>
        <v>25.72</v>
      </c>
      <c r="G190" s="101" vm="3841">
        <f ca="1"/>
        <v>24.420999999999999</v>
      </c>
      <c r="H190" s="102" vm="3842">
        <f ca="1"/>
        <v>36235668</v>
      </c>
    </row>
    <row r="191" spans="3:8" x14ac:dyDescent="0.3">
      <c r="C191" s="100" vm="1081">
        <f ca="1"/>
        <v>43416</v>
      </c>
      <c r="D191" s="101" vm="3843">
        <f ca="1"/>
        <v>24.16</v>
      </c>
      <c r="E191" s="101" vm="3844">
        <f ca="1"/>
        <v>24.77</v>
      </c>
      <c r="F191" s="101" vm="3845">
        <f ca="1"/>
        <v>24.86</v>
      </c>
      <c r="G191" s="101" vm="3846">
        <f ca="1"/>
        <v>23.414999999999999</v>
      </c>
      <c r="H191" s="102" vm="3847">
        <f ca="1"/>
        <v>44632848</v>
      </c>
    </row>
    <row r="192" spans="3:8" x14ac:dyDescent="0.3">
      <c r="C192" s="100" vm="1087">
        <f ca="1"/>
        <v>43423</v>
      </c>
      <c r="D192" s="101" vm="3848">
        <f ca="1"/>
        <v>22.51</v>
      </c>
      <c r="E192" s="101" vm="3849">
        <f ca="1"/>
        <v>24.09</v>
      </c>
      <c r="F192" s="101" vm="373">
        <f ca="1"/>
        <v>24.17</v>
      </c>
      <c r="G192" s="101" vm="3850">
        <f ca="1"/>
        <v>22.27</v>
      </c>
      <c r="H192" s="102" vm="3851">
        <f ca="1"/>
        <v>32804757</v>
      </c>
    </row>
    <row r="193" spans="3:8" x14ac:dyDescent="0.3">
      <c r="C193" s="100" vm="1093">
        <f ca="1"/>
        <v>43430</v>
      </c>
      <c r="D193" s="101" vm="111">
        <f ca="1"/>
        <v>23</v>
      </c>
      <c r="E193" s="101" vm="3852">
        <f ca="1"/>
        <v>22.85</v>
      </c>
      <c r="F193" s="101" vm="3756">
        <f ca="1"/>
        <v>23.44</v>
      </c>
      <c r="G193" s="101" vm="3853">
        <f ca="1"/>
        <v>22.42</v>
      </c>
      <c r="H193" s="102" vm="3854">
        <f ca="1"/>
        <v>65516346</v>
      </c>
    </row>
    <row r="194" spans="3:8" x14ac:dyDescent="0.3">
      <c r="C194" s="100" vm="1099">
        <f ca="1"/>
        <v>43437</v>
      </c>
      <c r="D194" s="101" vm="3855">
        <f ca="1"/>
        <v>22.93</v>
      </c>
      <c r="E194" s="101" vm="3856">
        <f ca="1"/>
        <v>23.4</v>
      </c>
      <c r="F194" s="101" vm="373">
        <f ca="1"/>
        <v>24.17</v>
      </c>
      <c r="G194" s="101" vm="327">
        <f ca="1"/>
        <v>22.63</v>
      </c>
      <c r="H194" s="102" vm="3857">
        <f ca="1"/>
        <v>65594997</v>
      </c>
    </row>
    <row r="195" spans="3:8" x14ac:dyDescent="0.3">
      <c r="C195" s="100" vm="1105">
        <f ca="1"/>
        <v>43444</v>
      </c>
      <c r="D195" s="101" vm="3858">
        <f ca="1"/>
        <v>22.01</v>
      </c>
      <c r="E195" s="101" vm="3859">
        <f ca="1"/>
        <v>22.8</v>
      </c>
      <c r="F195" s="101" vm="3856">
        <f ca="1"/>
        <v>23.4</v>
      </c>
      <c r="G195" s="101" vm="3860">
        <f ca="1"/>
        <v>21.94</v>
      </c>
      <c r="H195" s="102" vm="3861">
        <f ca="1"/>
        <v>58772278</v>
      </c>
    </row>
    <row r="196" spans="3:8" x14ac:dyDescent="0.3">
      <c r="C196" s="100" vm="1111">
        <f ca="1"/>
        <v>43451</v>
      </c>
      <c r="D196" s="101" vm="3862">
        <f ca="1"/>
        <v>19.649999999999999</v>
      </c>
      <c r="E196" s="101" vm="3863">
        <f ca="1"/>
        <v>21.9</v>
      </c>
      <c r="F196" s="101" vm="3864">
        <f ca="1"/>
        <v>22.274999999999999</v>
      </c>
      <c r="G196" s="101" vm="3865">
        <f ca="1"/>
        <v>19.63</v>
      </c>
      <c r="H196" s="102" vm="3866">
        <f ca="1"/>
        <v>79071027</v>
      </c>
    </row>
    <row r="197" spans="3:8" x14ac:dyDescent="0.3">
      <c r="C197" s="100" vm="1117">
        <f ca="1"/>
        <v>43458</v>
      </c>
      <c r="D197" s="101" vm="3867">
        <f ca="1"/>
        <v>20.34</v>
      </c>
      <c r="E197" s="101" vm="3868">
        <f ca="1"/>
        <v>19.399999999999999</v>
      </c>
      <c r="F197" s="101" vm="3869">
        <f ca="1"/>
        <v>20.795000000000002</v>
      </c>
      <c r="G197" s="101" vm="3870">
        <f ca="1"/>
        <v>19.215</v>
      </c>
      <c r="H197" s="102" vm="3871">
        <f ca="1"/>
        <v>42116963</v>
      </c>
    </row>
    <row r="198" spans="3:8" x14ac:dyDescent="0.3">
      <c r="C198" s="100" vm="1123">
        <f ca="1"/>
        <v>43465</v>
      </c>
      <c r="D198" s="101" vm="3872">
        <f ca="1"/>
        <v>20.72</v>
      </c>
      <c r="E198" s="101" vm="3873">
        <f ca="1"/>
        <v>20.49</v>
      </c>
      <c r="F198" s="101" vm="3874">
        <f ca="1"/>
        <v>20.89</v>
      </c>
      <c r="G198" s="101" vm="3875">
        <f ca="1"/>
        <v>19.704999999999998</v>
      </c>
      <c r="H198" s="102" vm="3876">
        <f ca="1"/>
        <v>40323225</v>
      </c>
    </row>
    <row r="199" spans="3:8" x14ac:dyDescent="0.3">
      <c r="C199" s="100" vm="1128">
        <f ca="1"/>
        <v>43472</v>
      </c>
      <c r="D199" s="101" vm="3639">
        <f ca="1"/>
        <v>21.17</v>
      </c>
      <c r="E199" s="101" vm="3877">
        <f ca="1"/>
        <v>20.75</v>
      </c>
      <c r="F199" s="101" vm="3878">
        <f ca="1"/>
        <v>21.524999999999999</v>
      </c>
      <c r="G199" s="101" vm="3879">
        <f ca="1"/>
        <v>20.734999999999999</v>
      </c>
      <c r="H199" s="102" vm="3880">
        <f ca="1"/>
        <v>43225537</v>
      </c>
    </row>
    <row r="200" spans="3:8" x14ac:dyDescent="0.3">
      <c r="C200" s="100" vm="1134">
        <f ca="1"/>
        <v>43479</v>
      </c>
      <c r="D200" s="101" vm="3629">
        <f ca="1"/>
        <v>21.75</v>
      </c>
      <c r="E200" s="101" vm="3719">
        <f ca="1"/>
        <v>20.94</v>
      </c>
      <c r="F200" s="101" vm="3881">
        <f ca="1"/>
        <v>21.79</v>
      </c>
      <c r="G200" s="101" vm="3882">
        <f ca="1"/>
        <v>20.645</v>
      </c>
      <c r="H200" s="102" vm="3883">
        <f ca="1"/>
        <v>48935650</v>
      </c>
    </row>
    <row r="201" spans="3:8" x14ac:dyDescent="0.3">
      <c r="C201" s="100" vm="1140">
        <f ca="1"/>
        <v>43487</v>
      </c>
      <c r="D201" s="101" vm="3884">
        <f ca="1"/>
        <v>22.1</v>
      </c>
      <c r="E201" s="101" vm="3653">
        <f ca="1"/>
        <v>21.62</v>
      </c>
      <c r="F201" s="101" vm="3720">
        <f ca="1"/>
        <v>22.12</v>
      </c>
      <c r="G201" s="101" vm="3659">
        <f ca="1"/>
        <v>21.18</v>
      </c>
      <c r="H201" s="102" vm="3885">
        <f ca="1"/>
        <v>37478866</v>
      </c>
    </row>
    <row r="202" spans="3:8" x14ac:dyDescent="0.3">
      <c r="C202" s="100" vm="1145">
        <f ca="1"/>
        <v>43493</v>
      </c>
      <c r="D202" s="101" vm="3886">
        <f ca="1"/>
        <v>22.26</v>
      </c>
      <c r="E202" s="101" vm="3707">
        <f ca="1"/>
        <v>21.83</v>
      </c>
      <c r="F202" s="101" vm="3887">
        <f ca="1"/>
        <v>22.29</v>
      </c>
      <c r="G202" s="101" vm="3731">
        <f ca="1"/>
        <v>21.68</v>
      </c>
      <c r="H202" s="102" vm="3888">
        <f ca="1"/>
        <v>38976298</v>
      </c>
    </row>
    <row r="203" spans="3:8" x14ac:dyDescent="0.3">
      <c r="C203" s="100" vm="1151">
        <f ca="1"/>
        <v>43500</v>
      </c>
      <c r="D203" s="101" vm="3661">
        <f ca="1"/>
        <v>22.92</v>
      </c>
      <c r="E203" s="101" vm="3850">
        <f ca="1"/>
        <v>22.27</v>
      </c>
      <c r="F203" s="101" vm="3889">
        <f ca="1"/>
        <v>23.09</v>
      </c>
      <c r="G203" s="101" vm="3613">
        <f ca="1"/>
        <v>22.16</v>
      </c>
      <c r="H203" s="102" vm="3890">
        <f ca="1"/>
        <v>32623143</v>
      </c>
    </row>
    <row r="204" spans="3:8" x14ac:dyDescent="0.3">
      <c r="C204" s="100" vm="1157">
        <f ca="1"/>
        <v>43507</v>
      </c>
      <c r="D204" s="101" vm="3703">
        <f ca="1"/>
        <v>23.28</v>
      </c>
      <c r="E204" s="101" vm="111">
        <f ca="1"/>
        <v>23</v>
      </c>
      <c r="F204" s="101" vm="3829">
        <f ca="1"/>
        <v>23.54</v>
      </c>
      <c r="G204" s="101" vm="3891">
        <f ca="1"/>
        <v>22.79</v>
      </c>
      <c r="H204" s="102" vm="3892">
        <f ca="1"/>
        <v>41082287</v>
      </c>
    </row>
    <row r="205" spans="3:8" x14ac:dyDescent="0.3">
      <c r="C205" s="100" vm="1161">
        <f ca="1"/>
        <v>43515</v>
      </c>
      <c r="D205" s="101" vm="3777">
        <f ca="1"/>
        <v>23.74</v>
      </c>
      <c r="E205" s="101" vm="3893">
        <f ca="1"/>
        <v>23.24</v>
      </c>
      <c r="F205" s="101" vm="3894">
        <f ca="1"/>
        <v>23.82</v>
      </c>
      <c r="G205" s="101" vm="3895">
        <f ca="1"/>
        <v>23.175000000000001</v>
      </c>
      <c r="H205" s="102" vm="3896">
        <f ca="1"/>
        <v>31177831</v>
      </c>
    </row>
    <row r="206" spans="3:8" x14ac:dyDescent="0.3">
      <c r="C206" s="100" vm="1167">
        <f ca="1"/>
        <v>43521</v>
      </c>
      <c r="D206" s="101" vm="3897">
        <f ca="1"/>
        <v>19.600000000000001</v>
      </c>
      <c r="E206" s="101" vm="3898">
        <f ca="1"/>
        <v>23.83</v>
      </c>
      <c r="F206" s="101" vm="3849">
        <f ca="1"/>
        <v>24.09</v>
      </c>
      <c r="G206" s="101" vm="3899">
        <f ca="1"/>
        <v>19.34</v>
      </c>
      <c r="H206" s="102" vm="3900">
        <f ca="1"/>
        <v>116634508</v>
      </c>
    </row>
    <row r="207" spans="3:8" x14ac:dyDescent="0.3">
      <c r="C207" s="100" vm="1172">
        <f ca="1"/>
        <v>43528</v>
      </c>
      <c r="D207" s="101" vm="3901">
        <f ca="1"/>
        <v>18.739999999999998</v>
      </c>
      <c r="E207" s="101" vm="3902">
        <f ca="1"/>
        <v>19.61</v>
      </c>
      <c r="F207" s="101" vm="3903">
        <f ca="1"/>
        <v>19.91</v>
      </c>
      <c r="G207" s="101" vm="3904">
        <f ca="1"/>
        <v>18.46</v>
      </c>
      <c r="H207" s="102" vm="3905">
        <f ca="1"/>
        <v>75862972</v>
      </c>
    </row>
    <row r="208" spans="3:8" x14ac:dyDescent="0.3">
      <c r="C208" s="100" vm="1178">
        <f ca="1"/>
        <v>43535</v>
      </c>
      <c r="D208" s="101" vm="3594">
        <f ca="1"/>
        <v>19.940000000000001</v>
      </c>
      <c r="E208" s="101" vm="3906">
        <f ca="1"/>
        <v>18.78</v>
      </c>
      <c r="F208" s="101" vm="3907">
        <f ca="1"/>
        <v>19.97</v>
      </c>
      <c r="G208" s="101" vm="3906">
        <f ca="1"/>
        <v>18.78</v>
      </c>
      <c r="H208" s="102" vm="3908">
        <f ca="1"/>
        <v>97206888</v>
      </c>
    </row>
    <row r="209" spans="3:8" x14ac:dyDescent="0.3">
      <c r="C209" s="100" vm="1184">
        <f ca="1"/>
        <v>43542</v>
      </c>
      <c r="D209" s="101" vm="3899">
        <f ca="1"/>
        <v>19.34</v>
      </c>
      <c r="E209" s="101" vm="3903">
        <f ca="1"/>
        <v>19.91</v>
      </c>
      <c r="F209" s="101" vm="3909">
        <f ca="1"/>
        <v>20.344999999999999</v>
      </c>
      <c r="G209" s="101" vm="3910">
        <f ca="1"/>
        <v>19.329999999999998</v>
      </c>
      <c r="H209" s="102" vm="3911">
        <f ca="1"/>
        <v>65416079</v>
      </c>
    </row>
    <row r="210" spans="3:8" x14ac:dyDescent="0.3">
      <c r="C210" s="100" vm="1190">
        <f ca="1"/>
        <v>43549</v>
      </c>
      <c r="D210" s="101" vm="3912">
        <f ca="1"/>
        <v>19.43</v>
      </c>
      <c r="E210" s="101" vm="3913">
        <f ca="1"/>
        <v>19.279900000000001</v>
      </c>
      <c r="F210" s="101" vm="3573">
        <f ca="1"/>
        <v>19.48</v>
      </c>
      <c r="G210" s="101" vm="3914">
        <f ca="1"/>
        <v>18.86</v>
      </c>
      <c r="H210" s="102" vm="3915">
        <f ca="1"/>
        <v>68250264</v>
      </c>
    </row>
    <row r="211" spans="3:8" x14ac:dyDescent="0.3">
      <c r="C211" s="100" vm="1195">
        <f ca="1"/>
        <v>43556</v>
      </c>
      <c r="D211" s="101" vm="3916">
        <f ca="1"/>
        <v>19.79</v>
      </c>
      <c r="E211" s="101" vm="3917">
        <f ca="1"/>
        <v>19.73</v>
      </c>
      <c r="F211" s="101" vm="3918">
        <f ca="1"/>
        <v>20.195</v>
      </c>
      <c r="G211" s="101" vm="3919">
        <f ca="1"/>
        <v>19.54</v>
      </c>
      <c r="H211" s="102" vm="3920">
        <f ca="1"/>
        <v>60284666</v>
      </c>
    </row>
    <row r="212" spans="3:8" x14ac:dyDescent="0.3">
      <c r="C212" s="100" vm="1201">
        <f ca="1"/>
        <v>43563</v>
      </c>
      <c r="D212" s="101" vm="3921">
        <f ca="1"/>
        <v>20.21</v>
      </c>
      <c r="E212" s="101" vm="3922">
        <f ca="1"/>
        <v>19.739999999999998</v>
      </c>
      <c r="F212" s="101" vm="3923">
        <f ca="1"/>
        <v>20.245000000000001</v>
      </c>
      <c r="G212" s="101" vm="3584">
        <f ca="1"/>
        <v>19.5</v>
      </c>
      <c r="H212" s="102" vm="3924">
        <f ca="1"/>
        <v>53156094</v>
      </c>
    </row>
    <row r="213" spans="3:8" x14ac:dyDescent="0.3">
      <c r="C213" s="100" vm="1207">
        <f ca="1"/>
        <v>43570</v>
      </c>
      <c r="D213" s="101" vm="3925">
        <f ca="1"/>
        <v>20.52</v>
      </c>
      <c r="E213" s="101" vm="3926">
        <f ca="1"/>
        <v>20.23</v>
      </c>
      <c r="F213" s="101" vm="3927">
        <f ca="1"/>
        <v>20.65</v>
      </c>
      <c r="G213" s="101" vm="3928">
        <f ca="1"/>
        <v>20.010000000000002</v>
      </c>
      <c r="H213" s="102" vm="3929">
        <f ca="1"/>
        <v>35738851</v>
      </c>
    </row>
    <row r="214" spans="3:8" x14ac:dyDescent="0.3">
      <c r="C214" s="100" vm="1213">
        <f ca="1"/>
        <v>43577</v>
      </c>
      <c r="D214" s="101" vm="3930">
        <f ca="1"/>
        <v>19.41</v>
      </c>
      <c r="E214" s="101" vm="3931">
        <f ca="1"/>
        <v>20.420000000000002</v>
      </c>
      <c r="F214" s="101" vm="3932">
        <f ca="1"/>
        <v>20.48</v>
      </c>
      <c r="G214" s="101" vm="3933">
        <f ca="1"/>
        <v>19.29</v>
      </c>
      <c r="H214" s="102" vm="3934">
        <f ca="1"/>
        <v>50732297</v>
      </c>
    </row>
    <row r="215" spans="3:8" x14ac:dyDescent="0.3">
      <c r="C215" s="100" vm="1218">
        <f ca="1"/>
        <v>43584</v>
      </c>
      <c r="D215" s="101" vm="3685">
        <f ca="1"/>
        <v>20.29</v>
      </c>
      <c r="E215" s="101" vm="3910">
        <f ca="1"/>
        <v>19.329999999999998</v>
      </c>
      <c r="F215" s="101" vm="3935">
        <f ca="1"/>
        <v>20.350000000000001</v>
      </c>
      <c r="G215" s="101" vm="3910">
        <f ca="1"/>
        <v>19.329999999999998</v>
      </c>
      <c r="H215" s="102" vm="3936">
        <f ca="1"/>
        <v>42054535</v>
      </c>
    </row>
    <row r="216" spans="3:8" x14ac:dyDescent="0.3">
      <c r="C216" s="100" vm="1224">
        <f ca="1"/>
        <v>43591</v>
      </c>
      <c r="D216" s="101" vm="3566">
        <f ca="1"/>
        <v>19.12</v>
      </c>
      <c r="E216" s="101" vm="3937">
        <f ca="1"/>
        <v>19.829999999999998</v>
      </c>
      <c r="F216" s="101" vm="3680">
        <f ca="1"/>
        <v>20.11</v>
      </c>
      <c r="G216" s="101" vm="3938">
        <f ca="1"/>
        <v>18.774999999999999</v>
      </c>
      <c r="H216" s="102" vm="3939">
        <f ca="1"/>
        <v>46052112</v>
      </c>
    </row>
    <row r="217" spans="3:8" x14ac:dyDescent="0.3">
      <c r="C217" s="100" vm="1230">
        <f ca="1"/>
        <v>43598</v>
      </c>
      <c r="D217" s="101" vm="3940">
        <f ca="1"/>
        <v>19.02</v>
      </c>
      <c r="E217" s="101" vm="3941">
        <f ca="1"/>
        <v>18.55</v>
      </c>
      <c r="F217" s="101" vm="3942">
        <f ca="1"/>
        <v>19.135000000000002</v>
      </c>
      <c r="G217" s="101" vm="3943">
        <f ca="1"/>
        <v>18.059999999999999</v>
      </c>
      <c r="H217" s="102" vm="3944">
        <f ca="1"/>
        <v>51792386</v>
      </c>
    </row>
    <row r="218" spans="3:8" x14ac:dyDescent="0.3">
      <c r="C218" s="100" vm="1236">
        <f ca="1"/>
        <v>43605</v>
      </c>
      <c r="D218" s="101" vm="3945">
        <f ca="1"/>
        <v>20.03</v>
      </c>
      <c r="E218" s="101" vm="3946">
        <f ca="1"/>
        <v>18.75</v>
      </c>
      <c r="F218" s="101" vm="3947">
        <f ca="1"/>
        <v>20.226500000000001</v>
      </c>
      <c r="G218" s="101" vm="3948">
        <f ca="1"/>
        <v>18.670000000000002</v>
      </c>
      <c r="H218" s="102" vm="3949">
        <f ca="1"/>
        <v>70305860</v>
      </c>
    </row>
    <row r="219" spans="3:8" x14ac:dyDescent="0.3">
      <c r="C219" s="100" vm="1241">
        <f ca="1"/>
        <v>43613</v>
      </c>
      <c r="D219" s="101" vm="3950">
        <f ca="1"/>
        <v>18.68</v>
      </c>
      <c r="E219" s="101" vm="3951">
        <f ca="1"/>
        <v>19.98</v>
      </c>
      <c r="F219" s="101" vm="3952">
        <f ca="1"/>
        <v>20.13</v>
      </c>
      <c r="G219" s="101" vm="3953">
        <f ca="1"/>
        <v>18.350000000000001</v>
      </c>
      <c r="H219" s="102" vm="3954">
        <f ca="1"/>
        <v>59198574</v>
      </c>
    </row>
    <row r="220" spans="3:8" x14ac:dyDescent="0.3">
      <c r="C220" s="100" vm="1246">
        <f ca="1"/>
        <v>43619</v>
      </c>
      <c r="D220" s="101" vm="3955">
        <f ca="1"/>
        <v>19.71</v>
      </c>
      <c r="E220" s="101" vm="3946">
        <f ca="1"/>
        <v>18.75</v>
      </c>
      <c r="F220" s="101" vm="3951">
        <f ca="1"/>
        <v>19.98</v>
      </c>
      <c r="G220" s="101" vm="3956">
        <f ca="1"/>
        <v>18.605</v>
      </c>
      <c r="H220" s="102" vm="3957">
        <f ca="1"/>
        <v>44674558</v>
      </c>
    </row>
    <row r="221" spans="3:8" x14ac:dyDescent="0.3">
      <c r="C221" s="100" vm="1252">
        <f ca="1"/>
        <v>43626</v>
      </c>
      <c r="D221" s="101" vm="3903">
        <f ca="1"/>
        <v>19.91</v>
      </c>
      <c r="E221" s="101" vm="3937">
        <f ca="1"/>
        <v>19.829999999999998</v>
      </c>
      <c r="F221" s="101" vm="3958">
        <f ca="1"/>
        <v>20.09</v>
      </c>
      <c r="G221" s="101" vm="3959">
        <f ca="1"/>
        <v>19.7</v>
      </c>
      <c r="H221" s="102" vm="3960">
        <f ca="1"/>
        <v>39837649</v>
      </c>
    </row>
    <row r="222" spans="3:8" x14ac:dyDescent="0.3">
      <c r="C222" s="100" vm="1258">
        <f ca="1"/>
        <v>43633</v>
      </c>
      <c r="D222" s="101" vm="3961">
        <f ca="1"/>
        <v>20.7</v>
      </c>
      <c r="E222" s="101" vm="3962">
        <f ca="1"/>
        <v>19.87</v>
      </c>
      <c r="F222" s="101" vm="3963">
        <f ca="1"/>
        <v>20.9</v>
      </c>
      <c r="G222" s="101" vm="3916">
        <f ca="1"/>
        <v>19.79</v>
      </c>
      <c r="H222" s="102" vm="3964">
        <f ca="1"/>
        <v>50533624</v>
      </c>
    </row>
    <row r="223" spans="3:8" x14ac:dyDescent="0.3">
      <c r="C223" s="100" vm="1264">
        <f ca="1"/>
        <v>43640</v>
      </c>
      <c r="D223" s="101" vm="3965">
        <f ca="1"/>
        <v>20.79</v>
      </c>
      <c r="E223" s="101" vm="3961">
        <f ca="1"/>
        <v>20.7</v>
      </c>
      <c r="F223" s="101" vm="3966">
        <f ca="1"/>
        <v>21.09</v>
      </c>
      <c r="G223" s="101" vm="3967">
        <f ca="1"/>
        <v>20.57</v>
      </c>
      <c r="H223" s="102" vm="3968">
        <f ca="1"/>
        <v>46068071</v>
      </c>
    </row>
    <row r="224" spans="3:8" x14ac:dyDescent="0.3">
      <c r="C224" s="100" vm="1270">
        <f ca="1"/>
        <v>43647</v>
      </c>
      <c r="D224" s="101" vm="3969">
        <f ca="1"/>
        <v>21.16</v>
      </c>
      <c r="E224" s="101" vm="3970">
        <f ca="1"/>
        <v>21.12</v>
      </c>
      <c r="F224" s="101" vm="3971">
        <f ca="1"/>
        <v>21.38</v>
      </c>
      <c r="G224" s="101" vm="3972">
        <f ca="1"/>
        <v>20.88</v>
      </c>
      <c r="H224" s="102" vm="3973">
        <f ca="1"/>
        <v>25547318</v>
      </c>
    </row>
    <row r="225" spans="3:8" x14ac:dyDescent="0.3">
      <c r="C225" s="100" vm="1276">
        <f ca="1"/>
        <v>43654</v>
      </c>
      <c r="D225" s="101" vm="3625">
        <f ca="1"/>
        <v>21.23</v>
      </c>
      <c r="E225" s="101" vm="3652">
        <f ca="1"/>
        <v>21</v>
      </c>
      <c r="F225" s="101" vm="3689">
        <f ca="1"/>
        <v>21.27</v>
      </c>
      <c r="G225" s="101" vm="3974">
        <f ca="1"/>
        <v>20.47</v>
      </c>
      <c r="H225" s="102" vm="3975">
        <f ca="1"/>
        <v>41183462</v>
      </c>
    </row>
    <row r="226" spans="3:8" x14ac:dyDescent="0.3">
      <c r="C226" s="100" vm="1282">
        <f ca="1"/>
        <v>43661</v>
      </c>
      <c r="D226" s="101" vm="3976">
        <f ca="1"/>
        <v>21.39</v>
      </c>
      <c r="E226" s="101" vm="3977">
        <f ca="1"/>
        <v>21.25</v>
      </c>
      <c r="F226" s="101" vm="3978">
        <f ca="1"/>
        <v>21.614999999999998</v>
      </c>
      <c r="G226" s="101" vm="3979">
        <f ca="1"/>
        <v>21.08</v>
      </c>
      <c r="H226" s="102" vm="3980">
        <f ca="1"/>
        <v>33839585</v>
      </c>
    </row>
    <row r="227" spans="3:8" x14ac:dyDescent="0.3">
      <c r="C227" s="100" vm="1288">
        <f ca="1"/>
        <v>43668</v>
      </c>
      <c r="D227" s="101" vm="3981">
        <f ca="1"/>
        <v>21.52</v>
      </c>
      <c r="E227" s="101" vm="3616">
        <f ca="1"/>
        <v>21.5</v>
      </c>
      <c r="F227" s="101" vm="3982">
        <f ca="1"/>
        <v>21.74</v>
      </c>
      <c r="G227" s="101" vm="3983">
        <f ca="1"/>
        <v>21.1601</v>
      </c>
      <c r="H227" s="102" vm="3984">
        <f ca="1"/>
        <v>35429496</v>
      </c>
    </row>
    <row r="228" spans="3:8" x14ac:dyDescent="0.3">
      <c r="C228" s="100" vm="1294">
        <f ca="1"/>
        <v>43675</v>
      </c>
      <c r="D228" s="101" vm="3686">
        <f ca="1"/>
        <v>20.14</v>
      </c>
      <c r="E228" s="101" vm="3621">
        <f ca="1"/>
        <v>21.47</v>
      </c>
      <c r="F228" s="101" vm="3985">
        <f ca="1"/>
        <v>21.6</v>
      </c>
      <c r="G228" s="101" vm="3986">
        <f ca="1"/>
        <v>19.93</v>
      </c>
      <c r="H228" s="102" vm="3987">
        <f ca="1"/>
        <v>46321699</v>
      </c>
    </row>
    <row r="229" spans="3:8" x14ac:dyDescent="0.3">
      <c r="C229" s="100" vm="1300">
        <f ca="1"/>
        <v>43682</v>
      </c>
      <c r="D229" s="101" vm="3586">
        <f ca="1"/>
        <v>19.28</v>
      </c>
      <c r="E229" s="101" vm="3598">
        <f ca="1"/>
        <v>19.96</v>
      </c>
      <c r="F229" s="101" vm="3988">
        <f ca="1"/>
        <v>20</v>
      </c>
      <c r="G229" s="101" vm="3989">
        <f ca="1"/>
        <v>18.809999999999999</v>
      </c>
      <c r="H229" s="102" vm="3990">
        <f ca="1"/>
        <v>37866426</v>
      </c>
    </row>
    <row r="230" spans="3:8" x14ac:dyDescent="0.3">
      <c r="C230" s="100" vm="1306">
        <f ca="1"/>
        <v>43689</v>
      </c>
      <c r="D230" s="101" vm="3531">
        <f ca="1"/>
        <v>19.079999999999998</v>
      </c>
      <c r="E230" s="101" vm="3561">
        <f ca="1"/>
        <v>19.149999999999999</v>
      </c>
      <c r="F230" s="101" vm="3916">
        <f ca="1"/>
        <v>19.79</v>
      </c>
      <c r="G230" s="101" vm="3991">
        <f ca="1"/>
        <v>18.440000000000001</v>
      </c>
      <c r="H230" s="102" vm="3992">
        <f ca="1"/>
        <v>57237828</v>
      </c>
    </row>
    <row r="231" spans="3:8" x14ac:dyDescent="0.3">
      <c r="C231" s="100" vm="1311">
        <f ca="1"/>
        <v>43696</v>
      </c>
      <c r="D231" s="101" vm="3474">
        <f ca="1"/>
        <v>17.809999999999999</v>
      </c>
      <c r="E231" s="101" vm="3993">
        <f ca="1"/>
        <v>19.46</v>
      </c>
      <c r="F231" s="101" vm="3865">
        <f ca="1"/>
        <v>19.63</v>
      </c>
      <c r="G231" s="101" vm="3490">
        <f ca="1"/>
        <v>17.100000000000001</v>
      </c>
      <c r="H231" s="102" vm="3994">
        <f ca="1"/>
        <v>61398301</v>
      </c>
    </row>
    <row r="232" spans="3:8" x14ac:dyDescent="0.3">
      <c r="C232" s="100" vm="1317">
        <f ca="1"/>
        <v>43703</v>
      </c>
      <c r="D232" s="101" vm="3506">
        <f ca="1"/>
        <v>18.29</v>
      </c>
      <c r="E232" s="101" vm="3995">
        <f ca="1"/>
        <v>17.98</v>
      </c>
      <c r="F232" s="101" vm="3575">
        <f ca="1"/>
        <v>18.510000000000002</v>
      </c>
      <c r="G232" s="101" vm="3479">
        <f ca="1"/>
        <v>17.600000000000001</v>
      </c>
      <c r="H232" s="102" vm="3996">
        <f ca="1"/>
        <v>55282458</v>
      </c>
    </row>
    <row r="233" spans="3:8" x14ac:dyDescent="0.3">
      <c r="C233" s="100" vm="1322">
        <f ca="1"/>
        <v>43711</v>
      </c>
      <c r="D233" s="101" vm="3592">
        <f ca="1"/>
        <v>19.100000000000001</v>
      </c>
      <c r="E233" s="101" vm="3509">
        <f ca="1"/>
        <v>18.07</v>
      </c>
      <c r="F233" s="101" vm="3537">
        <f ca="1"/>
        <v>19.16</v>
      </c>
      <c r="G233" s="101" vm="3997">
        <f ca="1"/>
        <v>17.97</v>
      </c>
      <c r="H233" s="102" vm="3998">
        <f ca="1"/>
        <v>30477377</v>
      </c>
    </row>
    <row r="234" spans="3:8" x14ac:dyDescent="0.3">
      <c r="C234" s="100" vm="1328">
        <f ca="1"/>
        <v>43717</v>
      </c>
      <c r="D234" s="101" vm="3531">
        <f ca="1"/>
        <v>19.079999999999998</v>
      </c>
      <c r="E234" s="101" vm="3999">
        <f ca="1"/>
        <v>18.79</v>
      </c>
      <c r="F234" s="101" vm="3569">
        <f ca="1"/>
        <v>19.2</v>
      </c>
      <c r="G234" s="101" vm="4000">
        <f ca="1"/>
        <v>18.465</v>
      </c>
      <c r="H234" s="102" vm="4001">
        <f ca="1"/>
        <v>69511796</v>
      </c>
    </row>
    <row r="235" spans="3:8" x14ac:dyDescent="0.3">
      <c r="C235" s="100" vm="1334">
        <f ca="1"/>
        <v>43724</v>
      </c>
      <c r="D235" s="101" vm="3530">
        <f ca="1"/>
        <v>18.47</v>
      </c>
      <c r="E235" s="101" vm="4002">
        <f ca="1"/>
        <v>18.559999999999999</v>
      </c>
      <c r="F235" s="101" vm="4003">
        <f ca="1"/>
        <v>19.04</v>
      </c>
      <c r="G235" s="101" vm="3904">
        <f ca="1"/>
        <v>18.46</v>
      </c>
      <c r="H235" s="102" vm="4004">
        <f ca="1"/>
        <v>47480686</v>
      </c>
    </row>
    <row r="236" spans="3:8" x14ac:dyDescent="0.3">
      <c r="C236" s="100" vm="1339">
        <f ca="1"/>
        <v>43731</v>
      </c>
      <c r="D236" s="101" vm="4005">
        <f ca="1"/>
        <v>18.53</v>
      </c>
      <c r="E236" s="101" vm="4006">
        <f ca="1"/>
        <v>18.39</v>
      </c>
      <c r="F236" s="101" vm="3946">
        <f ca="1"/>
        <v>18.75</v>
      </c>
      <c r="G236" s="101" vm="4007">
        <f ca="1"/>
        <v>18.12</v>
      </c>
      <c r="H236" s="102" vm="4008">
        <f ca="1"/>
        <v>66663573</v>
      </c>
    </row>
    <row r="237" spans="3:8" x14ac:dyDescent="0.3">
      <c r="C237" s="100" vm="1345">
        <f ca="1"/>
        <v>43738</v>
      </c>
      <c r="D237" s="101" vm="4009">
        <f ca="1"/>
        <v>16.64</v>
      </c>
      <c r="E237" s="101" vm="4010">
        <f ca="1"/>
        <v>18.600000000000001</v>
      </c>
      <c r="F237" s="101" vm="4011">
        <f ca="1"/>
        <v>19.18</v>
      </c>
      <c r="G237" s="101" vm="4012">
        <f ca="1"/>
        <v>16.46</v>
      </c>
      <c r="H237" s="102" vm="4013">
        <f ca="1"/>
        <v>112947678</v>
      </c>
    </row>
    <row r="238" spans="3:8" x14ac:dyDescent="0.3">
      <c r="C238" s="100" vm="1351">
        <f ca="1"/>
        <v>43745</v>
      </c>
      <c r="D238" s="101" vm="4014">
        <f ca="1"/>
        <v>16.239999999999998</v>
      </c>
      <c r="E238" s="101" vm="4015">
        <f ca="1"/>
        <v>16.53</v>
      </c>
      <c r="F238" s="101" vm="4016">
        <f ca="1"/>
        <v>17.02</v>
      </c>
      <c r="G238" s="101" vm="3470">
        <f ca="1"/>
        <v>15.93</v>
      </c>
      <c r="H238" s="102" vm="4017">
        <f ca="1"/>
        <v>87011074</v>
      </c>
    </row>
    <row r="239" spans="3:8" x14ac:dyDescent="0.3">
      <c r="C239" s="100" vm="1357">
        <f ca="1"/>
        <v>43752</v>
      </c>
      <c r="D239" s="101" vm="4018">
        <f ca="1"/>
        <v>16.850000000000001</v>
      </c>
      <c r="E239" s="101" vm="4019">
        <f ca="1"/>
        <v>16.329999999999998</v>
      </c>
      <c r="F239" s="101" vm="4020">
        <f ca="1"/>
        <v>17.16</v>
      </c>
      <c r="G239" s="101" vm="4021">
        <f ca="1"/>
        <v>16.29</v>
      </c>
      <c r="H239" s="102" vm="4022">
        <f ca="1"/>
        <v>68821659</v>
      </c>
    </row>
    <row r="240" spans="3:8" x14ac:dyDescent="0.3">
      <c r="C240" s="100" vm="1363">
        <f ca="1"/>
        <v>43759</v>
      </c>
      <c r="D240" s="101" vm="4023">
        <f ca="1"/>
        <v>17.329999999999998</v>
      </c>
      <c r="E240" s="101" vm="4024">
        <f ca="1"/>
        <v>16.989999999999998</v>
      </c>
      <c r="F240" s="101" vm="4025">
        <f ca="1"/>
        <v>17.454999999999998</v>
      </c>
      <c r="G240" s="101" vm="4026">
        <f ca="1"/>
        <v>16.905000000000001</v>
      </c>
      <c r="H240" s="102" vm="4027">
        <f ca="1"/>
        <v>49918574</v>
      </c>
    </row>
    <row r="241" spans="3:8" x14ac:dyDescent="0.3">
      <c r="C241" s="100" vm="1369">
        <f ca="1"/>
        <v>43766</v>
      </c>
      <c r="D241" s="101" vm="4028">
        <f ca="1"/>
        <v>17.78</v>
      </c>
      <c r="E241" s="101" vm="4029">
        <f ca="1"/>
        <v>17.46</v>
      </c>
      <c r="F241" s="101" vm="4028">
        <f ca="1"/>
        <v>17.78</v>
      </c>
      <c r="G241" s="101" vm="4020">
        <f ca="1"/>
        <v>17.16</v>
      </c>
      <c r="H241" s="102" vm="4030">
        <f ca="1"/>
        <v>52264520</v>
      </c>
    </row>
    <row r="242" spans="3:8" x14ac:dyDescent="0.3">
      <c r="C242" s="100" vm="1375">
        <f ca="1"/>
        <v>43773</v>
      </c>
      <c r="D242" s="101" vm="3595">
        <f ca="1"/>
        <v>19.52</v>
      </c>
      <c r="E242" s="101" vm="4031">
        <f ca="1"/>
        <v>17.850000000000001</v>
      </c>
      <c r="F242" s="101" vm="4032">
        <f ca="1"/>
        <v>21.67</v>
      </c>
      <c r="G242" s="101" vm="4033">
        <f ca="1"/>
        <v>17.82</v>
      </c>
      <c r="H242" s="102" vm="4034">
        <f ca="1"/>
        <v>137619282</v>
      </c>
    </row>
    <row r="243" spans="3:8" x14ac:dyDescent="0.3">
      <c r="C243" s="100" vm="1381">
        <f ca="1"/>
        <v>43780</v>
      </c>
      <c r="D243" s="101" vm="4035">
        <f ca="1"/>
        <v>20.18</v>
      </c>
      <c r="E243" s="101" vm="4036">
        <f ca="1"/>
        <v>19.53</v>
      </c>
      <c r="F243" s="101" vm="3609">
        <f ca="1"/>
        <v>20.25</v>
      </c>
      <c r="G243" s="101" vm="4037">
        <f ca="1"/>
        <v>19.25</v>
      </c>
      <c r="H243" s="102" vm="4038">
        <f ca="1"/>
        <v>64512819</v>
      </c>
    </row>
    <row r="244" spans="3:8" x14ac:dyDescent="0.3">
      <c r="C244" s="100" vm="1387">
        <f ca="1"/>
        <v>43787</v>
      </c>
      <c r="D244" s="101" vm="3594">
        <f ca="1"/>
        <v>19.940000000000001</v>
      </c>
      <c r="E244" s="101" vm="4039">
        <f ca="1"/>
        <v>19.899999999999999</v>
      </c>
      <c r="F244" s="101" vm="3926">
        <f ca="1"/>
        <v>20.23</v>
      </c>
      <c r="G244" s="101" vm="4036">
        <f ca="1"/>
        <v>19.53</v>
      </c>
      <c r="H244" s="102" vm="4040">
        <f ca="1"/>
        <v>63189356</v>
      </c>
    </row>
    <row r="245" spans="3:8" x14ac:dyDescent="0.3">
      <c r="C245" s="100" vm="1393">
        <f ca="1"/>
        <v>43794</v>
      </c>
      <c r="D245" s="101" vm="4041">
        <f ca="1"/>
        <v>20.079999999999998</v>
      </c>
      <c r="E245" s="101" vm="3596">
        <f ca="1"/>
        <v>19.95</v>
      </c>
      <c r="F245" s="101" vm="4042">
        <f ca="1"/>
        <v>20.440000000000001</v>
      </c>
      <c r="G245" s="101" vm="3955">
        <f ca="1"/>
        <v>19.71</v>
      </c>
      <c r="H245" s="102" vm="4043">
        <f ca="1"/>
        <v>58307742</v>
      </c>
    </row>
    <row r="246" spans="3:8" x14ac:dyDescent="0.3">
      <c r="C246" s="100" vm="1398">
        <f ca="1"/>
        <v>43801</v>
      </c>
      <c r="D246" s="101" vm="4044">
        <f ca="1"/>
        <v>20.5</v>
      </c>
      <c r="E246" s="101" vm="3951">
        <f ca="1"/>
        <v>19.98</v>
      </c>
      <c r="F246" s="101" vm="3927">
        <f ca="1"/>
        <v>20.65</v>
      </c>
      <c r="G246" s="101" vm="3522">
        <f ca="1"/>
        <v>19.420000000000002</v>
      </c>
      <c r="H246" s="102" vm="4045">
        <f ca="1"/>
        <v>68563965</v>
      </c>
    </row>
    <row r="247" spans="3:8" x14ac:dyDescent="0.3">
      <c r="C247" s="100" vm="1404">
        <f ca="1"/>
        <v>43808</v>
      </c>
      <c r="D247" s="101" vm="3935">
        <f ca="1"/>
        <v>20.350000000000001</v>
      </c>
      <c r="E247" s="101" vm="3873">
        <f ca="1"/>
        <v>20.49</v>
      </c>
      <c r="F247" s="101" vm="3877">
        <f ca="1"/>
        <v>20.75</v>
      </c>
      <c r="G247" s="101" vm="3594">
        <f ca="1"/>
        <v>19.940000000000001</v>
      </c>
      <c r="H247" s="102" vm="4046">
        <f ca="1"/>
        <v>57327698</v>
      </c>
    </row>
    <row r="248" spans="3:8" x14ac:dyDescent="0.3">
      <c r="C248" s="100" vm="1410">
        <f ca="1"/>
        <v>43815</v>
      </c>
      <c r="D248" s="101" vm="4047">
        <f ca="1"/>
        <v>20.56</v>
      </c>
      <c r="E248" s="101" vm="4048">
        <f ca="1"/>
        <v>20.399999999999999</v>
      </c>
      <c r="F248" s="101" vm="4049">
        <f ca="1"/>
        <v>20.69</v>
      </c>
      <c r="G248" s="101" vm="4050">
        <f ca="1"/>
        <v>20.22</v>
      </c>
      <c r="H248" s="102" vm="4051">
        <f ca="1"/>
        <v>51327793</v>
      </c>
    </row>
    <row r="249" spans="3:8" x14ac:dyDescent="0.3">
      <c r="C249" s="100" vm="1416">
        <f ca="1"/>
        <v>43822</v>
      </c>
      <c r="D249" s="101" vm="4052">
        <f ca="1"/>
        <v>20.53</v>
      </c>
      <c r="E249" s="101" vm="4053">
        <f ca="1"/>
        <v>20.55</v>
      </c>
      <c r="F249" s="101" vm="3869">
        <f ca="1"/>
        <v>20.795000000000002</v>
      </c>
      <c r="G249" s="101" vm="4048">
        <f ca="1"/>
        <v>20.399999999999999</v>
      </c>
      <c r="H249" s="102" vm="4054">
        <f ca="1"/>
        <v>18997770</v>
      </c>
    </row>
    <row r="250" spans="3:8" x14ac:dyDescent="0.3">
      <c r="C250" s="100" vm="1422">
        <f ca="1"/>
        <v>43829</v>
      </c>
      <c r="D250" s="101" vm="4052">
        <f ca="1"/>
        <v>20.53</v>
      </c>
      <c r="E250" s="101" vm="4044">
        <f ca="1"/>
        <v>20.5</v>
      </c>
      <c r="F250" s="101" vm="4055">
        <f ca="1"/>
        <v>20.83</v>
      </c>
      <c r="G250" s="101" vm="4056">
        <f ca="1"/>
        <v>20.329999999999998</v>
      </c>
      <c r="H250" s="102" vm="4057">
        <f ca="1"/>
        <v>23247742</v>
      </c>
    </row>
    <row r="251" spans="3:8" x14ac:dyDescent="0.3">
      <c r="C251" s="100" vm="1428">
        <f ca="1"/>
        <v>43836</v>
      </c>
      <c r="D251" s="101" vm="3971">
        <f ca="1"/>
        <v>21.38</v>
      </c>
      <c r="E251" s="101" vm="3649">
        <f ca="1"/>
        <v>20.66</v>
      </c>
      <c r="F251" s="101" vm="4058">
        <f ca="1"/>
        <v>21.54</v>
      </c>
      <c r="G251" s="101" vm="4059">
        <f ca="1"/>
        <v>20.51</v>
      </c>
      <c r="H251" s="102" vm="4060">
        <f ca="1"/>
        <v>43025431</v>
      </c>
    </row>
    <row r="252" spans="3:8" x14ac:dyDescent="0.3">
      <c r="C252" s="100" vm="1434">
        <f ca="1"/>
        <v>43843</v>
      </c>
      <c r="D252" s="101" vm="3640">
        <f ca="1"/>
        <v>21.97</v>
      </c>
      <c r="E252" s="101" vm="3614">
        <f ca="1"/>
        <v>21.46</v>
      </c>
      <c r="F252" s="101" vm="4061">
        <f ca="1"/>
        <v>21.98</v>
      </c>
      <c r="G252" s="101" vm="3651">
        <f ca="1"/>
        <v>21.26</v>
      </c>
      <c r="H252" s="102" vm="4062">
        <f ca="1"/>
        <v>54120038</v>
      </c>
    </row>
    <row r="253" spans="3:8" x14ac:dyDescent="0.3">
      <c r="C253" s="100" vm="1440">
        <f ca="1"/>
        <v>43851</v>
      </c>
      <c r="D253" s="101" vm="4061">
        <f ca="1"/>
        <v>21.98</v>
      </c>
      <c r="E253" s="101" vm="3709">
        <f ca="1"/>
        <v>21.92</v>
      </c>
      <c r="F253" s="101" vm="4063">
        <f ca="1"/>
        <v>22.2</v>
      </c>
      <c r="G253" s="101" vm="3626">
        <f ca="1"/>
        <v>21.53</v>
      </c>
      <c r="H253" s="102" vm="4064">
        <f ca="1"/>
        <v>40783258</v>
      </c>
    </row>
    <row r="254" spans="3:8" x14ac:dyDescent="0.3">
      <c r="C254" s="100" vm="1446">
        <f ca="1"/>
        <v>43857</v>
      </c>
      <c r="D254" s="101" vm="3619">
        <f ca="1"/>
        <v>21.32</v>
      </c>
      <c r="E254" s="101" vm="4065">
        <f ca="1"/>
        <v>21.63</v>
      </c>
      <c r="F254" s="101" vm="3732">
        <f ca="1"/>
        <v>21.91</v>
      </c>
      <c r="G254" s="101" vm="3969">
        <f ca="1"/>
        <v>21.16</v>
      </c>
      <c r="H254" s="102" vm="4066">
        <f ca="1"/>
        <v>46316744</v>
      </c>
    </row>
    <row r="255" spans="3:8" x14ac:dyDescent="0.3">
      <c r="C255" s="100" vm="1452">
        <f ca="1"/>
        <v>43864</v>
      </c>
      <c r="D255" s="101" vm="3643">
        <f ca="1"/>
        <v>21.73</v>
      </c>
      <c r="E255" s="101" vm="3684">
        <f ca="1"/>
        <v>21.4</v>
      </c>
      <c r="F255" s="101" vm="4067">
        <f ca="1"/>
        <v>21.93</v>
      </c>
      <c r="G255" s="101" vm="3633">
        <f ca="1"/>
        <v>21.24</v>
      </c>
      <c r="H255" s="102" vm="4068">
        <f ca="1"/>
        <v>40267250</v>
      </c>
    </row>
    <row r="256" spans="3:8" x14ac:dyDescent="0.3">
      <c r="C256" s="100" vm="1458">
        <f ca="1"/>
        <v>43871</v>
      </c>
      <c r="D256" s="101" vm="4069">
        <f ca="1"/>
        <v>22.37</v>
      </c>
      <c r="E256" s="101" vm="3750">
        <f ca="1"/>
        <v>22.7</v>
      </c>
      <c r="F256" s="101" vm="3781">
        <f ca="1"/>
        <v>22.87</v>
      </c>
      <c r="G256" s="101" vm="4070">
        <f ca="1"/>
        <v>21.844999999999999</v>
      </c>
      <c r="H256" s="102" vm="4071">
        <f ca="1"/>
        <v>53177085</v>
      </c>
    </row>
    <row r="257" spans="3:8" x14ac:dyDescent="0.3">
      <c r="C257" s="100" vm="1464">
        <f ca="1"/>
        <v>43879</v>
      </c>
      <c r="D257" s="101" vm="3750">
        <f ca="1"/>
        <v>22.7</v>
      </c>
      <c r="E257" s="101" vm="4072">
        <f ca="1"/>
        <v>22.07</v>
      </c>
      <c r="F257" s="101" vm="3739">
        <f ca="1"/>
        <v>22.82</v>
      </c>
      <c r="G257" s="101" vm="3608">
        <f ca="1"/>
        <v>22</v>
      </c>
      <c r="H257" s="102" vm="4073">
        <f ca="1"/>
        <v>59142481</v>
      </c>
    </row>
    <row r="258" spans="3:8" x14ac:dyDescent="0.3">
      <c r="C258" s="100" vm="1470">
        <f ca="1"/>
        <v>43885</v>
      </c>
      <c r="D258" s="101" vm="3965">
        <f ca="1"/>
        <v>20.79</v>
      </c>
      <c r="E258" s="101" vm="4074">
        <f ca="1"/>
        <v>22.28</v>
      </c>
      <c r="F258" s="101" vm="4075">
        <f ca="1"/>
        <v>23.93</v>
      </c>
      <c r="G258" s="101" vm="4076">
        <f ca="1"/>
        <v>20.170000000000002</v>
      </c>
      <c r="H258" s="102" vm="4077">
        <f ca="1"/>
        <v>132875502</v>
      </c>
    </row>
    <row r="259" spans="3:8" x14ac:dyDescent="0.3">
      <c r="C259" s="100" vm="1476">
        <f ca="1"/>
        <v>43892</v>
      </c>
      <c r="D259" s="101" vm="3638">
        <f ca="1"/>
        <v>21.41</v>
      </c>
      <c r="E259" s="101" vm="3963">
        <f ca="1"/>
        <v>20.9</v>
      </c>
      <c r="F259" s="101" vm="3716">
        <f ca="1"/>
        <v>21.88</v>
      </c>
      <c r="G259" s="101" vm="4078">
        <f ca="1"/>
        <v>20.41</v>
      </c>
      <c r="H259" s="102" vm="4079">
        <f ca="1"/>
        <v>83168300</v>
      </c>
    </row>
    <row r="260" spans="3:8" x14ac:dyDescent="0.3">
      <c r="C260" s="100" vm="1482">
        <f ca="1"/>
        <v>43899</v>
      </c>
      <c r="D260" s="101" vm="4080">
        <f ca="1"/>
        <v>17.18</v>
      </c>
      <c r="E260" s="101" vm="3598">
        <f ca="1"/>
        <v>19.96</v>
      </c>
      <c r="F260" s="101" vm="4056">
        <f ca="1"/>
        <v>20.329999999999998</v>
      </c>
      <c r="G260" s="101" vm="4081">
        <f ca="1"/>
        <v>16.350000000000001</v>
      </c>
      <c r="H260" s="102" vm="4082">
        <f ca="1"/>
        <v>67279720</v>
      </c>
    </row>
    <row r="261" spans="3:8" x14ac:dyDescent="0.3">
      <c r="C261" s="100" vm="1488">
        <f ca="1"/>
        <v>43906</v>
      </c>
      <c r="D261" s="101" vm="4083">
        <f ca="1"/>
        <v>13.95</v>
      </c>
      <c r="E261" s="101" vm="3418">
        <f ca="1"/>
        <v>15.72</v>
      </c>
      <c r="F261" s="101" vm="3418">
        <f ca="1"/>
        <v>15.72</v>
      </c>
      <c r="G261" s="101" vm="4084">
        <f ca="1"/>
        <v>12.54</v>
      </c>
      <c r="H261" s="102" vm="4085">
        <f ca="1"/>
        <v>78859916</v>
      </c>
    </row>
    <row r="262" spans="3:8" x14ac:dyDescent="0.3">
      <c r="C262" s="100" vm="1494">
        <f ca="1"/>
        <v>43913</v>
      </c>
      <c r="D262" s="101" vm="4086">
        <f ca="1"/>
        <v>16.86</v>
      </c>
      <c r="E262" s="101" vm="3378">
        <f ca="1"/>
        <v>13.78</v>
      </c>
      <c r="F262" s="101" vm="3533">
        <f ca="1"/>
        <v>18.21</v>
      </c>
      <c r="G262" s="101" vm="4087">
        <f ca="1"/>
        <v>12.97</v>
      </c>
      <c r="H262" s="102" vm="4088">
        <f ca="1"/>
        <v>75293661</v>
      </c>
    </row>
    <row r="263" spans="3:8" x14ac:dyDescent="0.3">
      <c r="C263" s="100" vm="1500">
        <f ca="1"/>
        <v>43920</v>
      </c>
      <c r="D263" s="101" vm="3395">
        <f ca="1"/>
        <v>14.48</v>
      </c>
      <c r="E263" s="101" vm="4089">
        <f ca="1"/>
        <v>16.93</v>
      </c>
      <c r="F263" s="101" vm="4090">
        <f ca="1"/>
        <v>18.09</v>
      </c>
      <c r="G263" s="101" vm="4091">
        <f ca="1"/>
        <v>14.205</v>
      </c>
      <c r="H263" s="102" vm="4092">
        <f ca="1"/>
        <v>74966700</v>
      </c>
    </row>
    <row r="264" spans="3:8" x14ac:dyDescent="0.3">
      <c r="C264" s="100" vm="1506">
        <f ca="1"/>
        <v>43927</v>
      </c>
      <c r="D264" s="101" vm="4093">
        <f ca="1"/>
        <v>15.97</v>
      </c>
      <c r="E264" s="101" vm="4094">
        <f ca="1"/>
        <v>15.22</v>
      </c>
      <c r="F264" s="101" vm="4095">
        <f ca="1"/>
        <v>16.489999999999998</v>
      </c>
      <c r="G264" s="101" vm="3388">
        <f ca="1"/>
        <v>14.93</v>
      </c>
      <c r="H264" s="102" vm="4096">
        <f ca="1"/>
        <v>80445187</v>
      </c>
    </row>
    <row r="265" spans="3:8" x14ac:dyDescent="0.3">
      <c r="C265" s="100" vm="1512">
        <f ca="1"/>
        <v>43934</v>
      </c>
      <c r="D265" s="101" vm="4097">
        <f ca="1"/>
        <v>15.52</v>
      </c>
      <c r="E265" s="101" vm="3434">
        <f ca="1"/>
        <v>15.95</v>
      </c>
      <c r="F265" s="101" vm="4098">
        <f ca="1"/>
        <v>16.149999999999999</v>
      </c>
      <c r="G265" s="101" vm="4099">
        <f ca="1"/>
        <v>14.55</v>
      </c>
      <c r="H265" s="102" vm="4100">
        <f ca="1"/>
        <v>66149396</v>
      </c>
    </row>
    <row r="266" spans="3:8" x14ac:dyDescent="0.3">
      <c r="C266" s="100" vm="1518">
        <f ca="1"/>
        <v>43941</v>
      </c>
      <c r="D266" s="101" vm="3386">
        <f ca="1"/>
        <v>15</v>
      </c>
      <c r="E266" s="101" vm="4094">
        <f ca="1"/>
        <v>15.22</v>
      </c>
      <c r="F266" s="101" vm="4101">
        <f ca="1"/>
        <v>15.49</v>
      </c>
      <c r="G266" s="101" vm="3451">
        <f ca="1"/>
        <v>14.4</v>
      </c>
      <c r="H266" s="102" vm="4102">
        <f ca="1"/>
        <v>62298380</v>
      </c>
    </row>
    <row r="267" spans="3:8" x14ac:dyDescent="0.3">
      <c r="C267" s="100" vm="1524">
        <f ca="1"/>
        <v>43948</v>
      </c>
      <c r="D267" s="101" vm="3406">
        <f ca="1"/>
        <v>14.71</v>
      </c>
      <c r="E267" s="101" vm="3424">
        <f ca="1"/>
        <v>15.12</v>
      </c>
      <c r="F267" s="101" vm="4009">
        <f ca="1"/>
        <v>16.64</v>
      </c>
      <c r="G267" s="101" vm="3448">
        <f ca="1"/>
        <v>14.62</v>
      </c>
      <c r="H267" s="102" vm="4103">
        <f ca="1"/>
        <v>66567585</v>
      </c>
    </row>
    <row r="268" spans="3:8" x14ac:dyDescent="0.3">
      <c r="C268" s="100" vm="1530">
        <f ca="1"/>
        <v>43955</v>
      </c>
      <c r="D268" s="101" vm="4104">
        <f ca="1"/>
        <v>15.66</v>
      </c>
      <c r="E268" s="101" vm="4105">
        <f ca="1"/>
        <v>14.63</v>
      </c>
      <c r="F268" s="101" vm="3392">
        <f ca="1"/>
        <v>15.74</v>
      </c>
      <c r="G268" s="101" vm="3368">
        <f ca="1"/>
        <v>14.41</v>
      </c>
      <c r="H268" s="102" vm="4106">
        <f ca="1"/>
        <v>50455117</v>
      </c>
    </row>
    <row r="269" spans="3:8" x14ac:dyDescent="0.3">
      <c r="C269" s="100" vm="1536">
        <f ca="1"/>
        <v>43962</v>
      </c>
      <c r="D269" s="101" vm="4107">
        <f ca="1"/>
        <v>14.86</v>
      </c>
      <c r="E269" s="101" vm="4108">
        <f ca="1"/>
        <v>15.42</v>
      </c>
      <c r="F269" s="101" vm="4109">
        <f ca="1"/>
        <v>15.59</v>
      </c>
      <c r="G269" s="101" vm="3323">
        <f ca="1"/>
        <v>13.39</v>
      </c>
      <c r="H269" s="102" vm="4110">
        <f ca="1"/>
        <v>59847801</v>
      </c>
    </row>
    <row r="270" spans="3:8" x14ac:dyDescent="0.3">
      <c r="C270" s="100" vm="1542">
        <f ca="1"/>
        <v>43969</v>
      </c>
      <c r="D270" s="101" vm="4111">
        <f ca="1"/>
        <v>17</v>
      </c>
      <c r="E270" s="101" vm="3438">
        <f ca="1"/>
        <v>15.36</v>
      </c>
      <c r="F270" s="101" vm="4112">
        <f ca="1"/>
        <v>17.54</v>
      </c>
      <c r="G270" s="101" vm="3459">
        <f ca="1"/>
        <v>15.32</v>
      </c>
      <c r="H270" s="102" vm="4113">
        <f ca="1"/>
        <v>71156652</v>
      </c>
    </row>
    <row r="271" spans="3:8" x14ac:dyDescent="0.3">
      <c r="C271" s="100" vm="1548">
        <f ca="1"/>
        <v>43977</v>
      </c>
      <c r="D271" s="101" vm="3442">
        <f ca="1"/>
        <v>15.14</v>
      </c>
      <c r="E271" s="101" vm="3502">
        <f ca="1"/>
        <v>17.399999999999999</v>
      </c>
      <c r="F271" s="101" vm="3549">
        <f ca="1"/>
        <v>17.48</v>
      </c>
      <c r="G271" s="101" vm="4107">
        <f ca="1"/>
        <v>14.86</v>
      </c>
      <c r="H271" s="102" vm="4114">
        <f ca="1"/>
        <v>99925973</v>
      </c>
    </row>
    <row r="272" spans="3:8" x14ac:dyDescent="0.3">
      <c r="C272" s="100" vm="1554">
        <f ca="1"/>
        <v>43983</v>
      </c>
      <c r="D272" s="101" vm="3483">
        <f ca="1"/>
        <v>17.41</v>
      </c>
      <c r="E272" s="101" vm="3432">
        <f ca="1"/>
        <v>15.05</v>
      </c>
      <c r="F272" s="101" vm="4115">
        <f ca="1"/>
        <v>17.64</v>
      </c>
      <c r="G272" s="101" vm="3446">
        <f ca="1"/>
        <v>14.95</v>
      </c>
      <c r="H272" s="102" vm="4116">
        <f ca="1"/>
        <v>107248441</v>
      </c>
    </row>
    <row r="273" spans="3:8" x14ac:dyDescent="0.3">
      <c r="C273" s="100" vm="1560">
        <f ca="1"/>
        <v>43990</v>
      </c>
      <c r="D273" s="101" vm="4117">
        <f ca="1"/>
        <v>16.28</v>
      </c>
      <c r="E273" s="101" vm="4115">
        <f ca="1"/>
        <v>17.64</v>
      </c>
      <c r="F273" s="101" vm="4118">
        <f ca="1"/>
        <v>18.324999999999999</v>
      </c>
      <c r="G273" s="101" vm="4119">
        <f ca="1"/>
        <v>15.55</v>
      </c>
      <c r="H273" s="102" vm="4120">
        <f ca="1"/>
        <v>94811239</v>
      </c>
    </row>
    <row r="274" spans="3:8" x14ac:dyDescent="0.3">
      <c r="C274" s="100" vm="1566">
        <f ca="1"/>
        <v>43997</v>
      </c>
      <c r="D274" s="101" vm="4121">
        <f ca="1"/>
        <v>16.78</v>
      </c>
      <c r="E274" s="101" vm="4122">
        <f ca="1"/>
        <v>15.83</v>
      </c>
      <c r="F274" s="101" vm="3543">
        <f ca="1"/>
        <v>17.61</v>
      </c>
      <c r="G274" s="101" vm="4123">
        <f ca="1"/>
        <v>15.67</v>
      </c>
      <c r="H274" s="102" vm="4124">
        <f ca="1"/>
        <v>80612101</v>
      </c>
    </row>
    <row r="275" spans="3:8" x14ac:dyDescent="0.3">
      <c r="C275" s="100" vm="1572">
        <f ca="1"/>
        <v>44004</v>
      </c>
      <c r="D275" s="101" vm="4125">
        <f ca="1"/>
        <v>16.61</v>
      </c>
      <c r="E275" s="101" vm="4126">
        <f ca="1"/>
        <v>16.670000000000002</v>
      </c>
      <c r="F275" s="101" vm="4127">
        <f ca="1"/>
        <v>17.344999999999999</v>
      </c>
      <c r="G275" s="101" vm="4128">
        <f ca="1"/>
        <v>15.984999999999999</v>
      </c>
      <c r="H275" s="102" vm="4129">
        <f ca="1"/>
        <v>82278538</v>
      </c>
    </row>
    <row r="276" spans="3:8" x14ac:dyDescent="0.3">
      <c r="C276" s="100" vm="1578">
        <f ca="1"/>
        <v>44011</v>
      </c>
      <c r="D276" s="101" vm="4130">
        <f ca="1"/>
        <v>17.07</v>
      </c>
      <c r="E276" s="101" vm="4131">
        <f ca="1"/>
        <v>16.7</v>
      </c>
      <c r="F276" s="101" vm="4132">
        <f ca="1"/>
        <v>17.594999999999999</v>
      </c>
      <c r="G276" s="101" vm="4133">
        <f ca="1"/>
        <v>16.48</v>
      </c>
      <c r="H276" s="102" vm="4134">
        <f ca="1"/>
        <v>46295545</v>
      </c>
    </row>
    <row r="277" spans="3:8" x14ac:dyDescent="0.3">
      <c r="C277" s="100" vm="1584">
        <f ca="1"/>
        <v>44018</v>
      </c>
      <c r="D277" s="101" vm="4024">
        <f ca="1"/>
        <v>16.989999999999998</v>
      </c>
      <c r="E277" s="101" vm="3473">
        <f ca="1"/>
        <v>17.350000000000001</v>
      </c>
      <c r="F277" s="101" vm="4135">
        <f ca="1"/>
        <v>17.6281</v>
      </c>
      <c r="G277" s="101" vm="4136">
        <f ca="1"/>
        <v>16.02</v>
      </c>
      <c r="H277" s="102" vm="4137">
        <f ca="1"/>
        <v>65884558</v>
      </c>
    </row>
    <row r="278" spans="3:8" x14ac:dyDescent="0.3">
      <c r="C278" s="100" vm="1590">
        <f ca="1"/>
        <v>44025</v>
      </c>
      <c r="D278" s="101" vm="4138">
        <f ca="1"/>
        <v>17.55</v>
      </c>
      <c r="E278" s="101" vm="4139">
        <f ca="1"/>
        <v>17.170000000000002</v>
      </c>
      <c r="F278" s="101" vm="4140">
        <f ca="1"/>
        <v>18.3627</v>
      </c>
      <c r="G278" s="101" vm="4089">
        <f ca="1"/>
        <v>16.93</v>
      </c>
      <c r="H278" s="102" vm="4141">
        <f ca="1"/>
        <v>62773100</v>
      </c>
    </row>
    <row r="279" spans="3:8" x14ac:dyDescent="0.3">
      <c r="C279" s="100" vm="1596">
        <f ca="1"/>
        <v>44032</v>
      </c>
      <c r="D279" s="101" vm="4142">
        <f ca="1"/>
        <v>17.5</v>
      </c>
      <c r="E279" s="101" vm="3483">
        <f ca="1"/>
        <v>17.41</v>
      </c>
      <c r="F279" s="101" vm="4143">
        <f ca="1"/>
        <v>18.03</v>
      </c>
      <c r="G279" s="101" vm="4144">
        <f ca="1"/>
        <v>17.27</v>
      </c>
      <c r="H279" s="102" vm="4145">
        <f ca="1"/>
        <v>42097845</v>
      </c>
    </row>
    <row r="280" spans="3:8" x14ac:dyDescent="0.3">
      <c r="C280" s="100" vm="1602">
        <f ca="1"/>
        <v>44039</v>
      </c>
      <c r="D280" s="101" vm="4146">
        <f ca="1"/>
        <v>17.579999999999998</v>
      </c>
      <c r="E280" s="101" vm="3554">
        <f ca="1"/>
        <v>17.59</v>
      </c>
      <c r="F280" s="101" vm="4147">
        <f ca="1"/>
        <v>17.87</v>
      </c>
      <c r="G280" s="101" vm="4148">
        <f ca="1"/>
        <v>16.655000000000001</v>
      </c>
      <c r="H280" s="102" vm="4149">
        <f ca="1"/>
        <v>64989195</v>
      </c>
    </row>
    <row r="281" spans="3:8" x14ac:dyDescent="0.3">
      <c r="C281" s="100" vm="1608">
        <f ca="1"/>
        <v>44046</v>
      </c>
      <c r="D281" s="101" vm="3530">
        <f ca="1"/>
        <v>18.47</v>
      </c>
      <c r="E281" s="101" vm="3554">
        <f ca="1"/>
        <v>17.59</v>
      </c>
      <c r="F281" s="101" vm="3530">
        <f ca="1"/>
        <v>18.47</v>
      </c>
      <c r="G281" s="101" vm="4150">
        <f ca="1"/>
        <v>17.38</v>
      </c>
      <c r="H281" s="102" vm="4151">
        <f ca="1"/>
        <v>41155146</v>
      </c>
    </row>
    <row r="282" spans="3:8" x14ac:dyDescent="0.3">
      <c r="C282" s="100" vm="1614">
        <f ca="1"/>
        <v>44053</v>
      </c>
      <c r="D282" s="101" vm="4152">
        <f ca="1"/>
        <v>18.18</v>
      </c>
      <c r="E282" s="101" vm="4153">
        <f ca="1"/>
        <v>18.5</v>
      </c>
      <c r="F282" s="101" vm="3912">
        <f ca="1"/>
        <v>19.43</v>
      </c>
      <c r="G282" s="101" vm="4154">
        <f ca="1"/>
        <v>18.035</v>
      </c>
      <c r="H282" s="102" vm="4155">
        <f ca="1"/>
        <v>48877013</v>
      </c>
    </row>
    <row r="283" spans="3:8" x14ac:dyDescent="0.3">
      <c r="C283" s="100" vm="1620">
        <f ca="1"/>
        <v>44060</v>
      </c>
      <c r="D283" s="101" vm="4156">
        <f ca="1"/>
        <v>18.23</v>
      </c>
      <c r="E283" s="101" vm="4157">
        <f ca="1"/>
        <v>18.239999999999998</v>
      </c>
      <c r="F283" s="101" vm="3558">
        <f ca="1"/>
        <v>18.489999999999998</v>
      </c>
      <c r="G283" s="101" vm="3474">
        <f ca="1"/>
        <v>17.809999999999999</v>
      </c>
      <c r="H283" s="102" vm="4158">
        <f ca="1"/>
        <v>40676821</v>
      </c>
    </row>
    <row r="284" spans="3:8" x14ac:dyDescent="0.3">
      <c r="C284" s="100" vm="1626">
        <f ca="1"/>
        <v>44067</v>
      </c>
      <c r="D284" s="101" vm="4159">
        <f ca="1"/>
        <v>19.850000000000001</v>
      </c>
      <c r="E284" s="101" vm="3538">
        <f ca="1"/>
        <v>18.420000000000002</v>
      </c>
      <c r="F284" s="101" vm="4035">
        <f ca="1"/>
        <v>20.18</v>
      </c>
      <c r="G284" s="101" vm="4160">
        <f ca="1"/>
        <v>18.3</v>
      </c>
      <c r="H284" s="102" vm="4161">
        <f ca="1"/>
        <v>59871009</v>
      </c>
    </row>
    <row r="285" spans="3:8" x14ac:dyDescent="0.3">
      <c r="C285" s="100" vm="1632">
        <f ca="1"/>
        <v>44074</v>
      </c>
      <c r="D285" s="101" vm="4162">
        <f ca="1"/>
        <v>19.23</v>
      </c>
      <c r="E285" s="101" vm="4163">
        <f ca="1"/>
        <v>19.8</v>
      </c>
      <c r="F285" s="101" vm="4076">
        <f ca="1"/>
        <v>20.170000000000002</v>
      </c>
      <c r="G285" s="101" vm="4164">
        <f ca="1"/>
        <v>18.920000000000002</v>
      </c>
      <c r="H285" s="102" vm="4165">
        <f ca="1"/>
        <v>64462604</v>
      </c>
    </row>
    <row r="286" spans="3:8" x14ac:dyDescent="0.3">
      <c r="C286" s="100" vm="1638">
        <f ca="1"/>
        <v>44082</v>
      </c>
      <c r="D286" s="101" vm="3933">
        <f ca="1"/>
        <v>19.29</v>
      </c>
      <c r="E286" s="101" vm="3570">
        <f ca="1"/>
        <v>18.87</v>
      </c>
      <c r="F286" s="101" vm="3951">
        <f ca="1"/>
        <v>19.98</v>
      </c>
      <c r="G286" s="101" vm="4166">
        <f ca="1"/>
        <v>18.73</v>
      </c>
      <c r="H286" s="102" vm="4167">
        <f ca="1"/>
        <v>48249342</v>
      </c>
    </row>
    <row r="287" spans="3:8" x14ac:dyDescent="0.3">
      <c r="C287" s="100" vm="1644">
        <f ca="1"/>
        <v>44088</v>
      </c>
      <c r="D287" s="101" vm="4168">
        <f ca="1"/>
        <v>18.95</v>
      </c>
      <c r="E287" s="101" vm="3584">
        <f ca="1"/>
        <v>19.5</v>
      </c>
      <c r="F287" s="101" vm="4169">
        <f ca="1"/>
        <v>19.754999999999999</v>
      </c>
      <c r="G287" s="101" vm="4170">
        <f ca="1"/>
        <v>18.875</v>
      </c>
      <c r="H287" s="102" vm="4171">
        <f ca="1"/>
        <v>61117599</v>
      </c>
    </row>
    <row r="288" spans="3:8" x14ac:dyDescent="0.3">
      <c r="C288" s="100" vm="1650">
        <f ca="1"/>
        <v>44095</v>
      </c>
      <c r="D288" s="101" vm="4160">
        <f ca="1"/>
        <v>18.3</v>
      </c>
      <c r="E288" s="101" vm="3512">
        <f ca="1"/>
        <v>18.52</v>
      </c>
      <c r="F288" s="101" vm="4168">
        <f ca="1"/>
        <v>18.95</v>
      </c>
      <c r="G288" s="101" vm="4172">
        <f ca="1"/>
        <v>17.829999999999998</v>
      </c>
      <c r="H288" s="102" vm="4173">
        <f ca="1"/>
        <v>45988552</v>
      </c>
    </row>
    <row r="289" spans="3:8" x14ac:dyDescent="0.3">
      <c r="C289" s="100" vm="1656">
        <f ca="1"/>
        <v>44102</v>
      </c>
      <c r="D289" s="101" vm="4174">
        <f ca="1"/>
        <v>19.09</v>
      </c>
      <c r="E289" s="101" vm="4010">
        <f ca="1"/>
        <v>18.600000000000001</v>
      </c>
      <c r="F289" s="101" vm="4175">
        <f ca="1"/>
        <v>19.32</v>
      </c>
      <c r="G289" s="101" vm="4153">
        <f ca="1"/>
        <v>18.5</v>
      </c>
      <c r="H289" s="102" vm="4176">
        <f ca="1"/>
        <v>50621138</v>
      </c>
    </row>
    <row r="290" spans="3:8" x14ac:dyDescent="0.3">
      <c r="C290" s="100" vm="1662">
        <f ca="1"/>
        <v>44109</v>
      </c>
      <c r="D290" s="101" vm="3568">
        <f ca="1"/>
        <v>19.37</v>
      </c>
      <c r="E290" s="101" vm="4175">
        <f ca="1"/>
        <v>19.32</v>
      </c>
      <c r="F290" s="101" vm="4177">
        <f ca="1"/>
        <v>19.68</v>
      </c>
      <c r="G290" s="101" vm="4178">
        <f ca="1"/>
        <v>18.945</v>
      </c>
      <c r="H290" s="102" vm="4179">
        <f ca="1"/>
        <v>49620965</v>
      </c>
    </row>
    <row r="291" spans="3:8" x14ac:dyDescent="0.3">
      <c r="C291" s="100" vm="1668">
        <f ca="1"/>
        <v>44116</v>
      </c>
      <c r="D291" s="101" vm="3897">
        <f ca="1"/>
        <v>19.600000000000001</v>
      </c>
      <c r="E291" s="101" vm="4180">
        <f ca="1"/>
        <v>19.57</v>
      </c>
      <c r="F291" s="101" vm="3907">
        <f ca="1"/>
        <v>19.97</v>
      </c>
      <c r="G291" s="101" vm="4181">
        <f ca="1"/>
        <v>19.11</v>
      </c>
      <c r="H291" s="102" vm="4182">
        <f ca="1"/>
        <v>36023694</v>
      </c>
    </row>
    <row r="292" spans="3:8" x14ac:dyDescent="0.3">
      <c r="C292" s="100" vm="1674">
        <f ca="1"/>
        <v>44123</v>
      </c>
      <c r="D292" s="101" vm="3566">
        <f ca="1"/>
        <v>19.12</v>
      </c>
      <c r="E292" s="101" vm="4183">
        <f ca="1"/>
        <v>19.670000000000002</v>
      </c>
      <c r="F292" s="101" vm="4184">
        <f ca="1"/>
        <v>19.77</v>
      </c>
      <c r="G292" s="101" vm="3535">
        <f ca="1"/>
        <v>18.98</v>
      </c>
      <c r="H292" s="102" vm="4185">
        <f ca="1"/>
        <v>29296049</v>
      </c>
    </row>
    <row r="293" spans="3:8" x14ac:dyDescent="0.3">
      <c r="C293" s="100" vm="1680">
        <f ca="1"/>
        <v>44130</v>
      </c>
      <c r="D293" s="101" vm="3494">
        <f ca="1"/>
        <v>17.96</v>
      </c>
      <c r="E293" s="101" vm="4186">
        <f ca="1"/>
        <v>18.88</v>
      </c>
      <c r="F293" s="101" vm="3525">
        <f ca="1"/>
        <v>19</v>
      </c>
      <c r="G293" s="101" vm="4187">
        <f ca="1"/>
        <v>17.25</v>
      </c>
      <c r="H293" s="102" vm="4188">
        <f ca="1"/>
        <v>49132957</v>
      </c>
    </row>
    <row r="294" spans="3:8" x14ac:dyDescent="0.3">
      <c r="C294" s="100" vm="1686">
        <f ca="1"/>
        <v>44137</v>
      </c>
      <c r="D294" s="101" vm="4037">
        <f ca="1"/>
        <v>19.25</v>
      </c>
      <c r="E294" s="101" vm="4152">
        <f ca="1"/>
        <v>18.18</v>
      </c>
      <c r="F294" s="101" vm="3899">
        <f ca="1"/>
        <v>19.34</v>
      </c>
      <c r="G294" s="101" vm="4189">
        <f ca="1"/>
        <v>18.02</v>
      </c>
      <c r="H294" s="102" vm="4190">
        <f ca="1"/>
        <v>37605577</v>
      </c>
    </row>
    <row r="295" spans="3:8" x14ac:dyDescent="0.3">
      <c r="C295" s="100" vm="1692">
        <f ca="1"/>
        <v>44144</v>
      </c>
      <c r="D295" s="101" vm="3902">
        <f ca="1"/>
        <v>19.61</v>
      </c>
      <c r="E295" s="101" vm="4191">
        <f ca="1"/>
        <v>19.920000000000002</v>
      </c>
      <c r="F295" s="101" vm="3717">
        <f ca="1"/>
        <v>20.6</v>
      </c>
      <c r="G295" s="101" vm="3519">
        <f ca="1"/>
        <v>18.690000000000001</v>
      </c>
      <c r="H295" s="102" vm="4192">
        <f ca="1"/>
        <v>50290527</v>
      </c>
    </row>
    <row r="296" spans="3:8" x14ac:dyDescent="0.3">
      <c r="C296" s="100" vm="1697">
        <f ca="1"/>
        <v>44151</v>
      </c>
      <c r="D296" s="101" vm="4193">
        <f ca="1"/>
        <v>20.45</v>
      </c>
      <c r="E296" s="101" vm="4194">
        <f ca="1"/>
        <v>19.89</v>
      </c>
      <c r="F296" s="101" vm="4195">
        <f ca="1"/>
        <v>20.95</v>
      </c>
      <c r="G296" s="101" vm="4196">
        <f ca="1"/>
        <v>19.734999999999999</v>
      </c>
      <c r="H296" s="102" vm="4197">
        <f ca="1"/>
        <v>45481611</v>
      </c>
    </row>
    <row r="297" spans="3:8" x14ac:dyDescent="0.3">
      <c r="C297" s="100" vm="1703">
        <f ca="1"/>
        <v>44158</v>
      </c>
      <c r="D297" s="101" vm="3850">
        <f ca="1"/>
        <v>22.27</v>
      </c>
      <c r="E297" s="101" vm="3961">
        <f ca="1"/>
        <v>20.7</v>
      </c>
      <c r="F297" s="101" vm="362">
        <f ca="1"/>
        <v>23.35</v>
      </c>
      <c r="G297" s="101" vm="3603">
        <f ca="1"/>
        <v>20.58</v>
      </c>
      <c r="H297" s="102" vm="4198">
        <f ca="1"/>
        <v>51031596</v>
      </c>
    </row>
    <row r="298" spans="3:8" x14ac:dyDescent="0.3">
      <c r="C298" s="100" vm="1709">
        <f ca="1"/>
        <v>44165</v>
      </c>
      <c r="D298" s="101" vm="4199">
        <f ca="1"/>
        <v>23.78</v>
      </c>
      <c r="E298" s="101" vm="4200">
        <f ca="1"/>
        <v>22.09</v>
      </c>
      <c r="F298" s="101" vm="4201">
        <f ca="1"/>
        <v>23.88</v>
      </c>
      <c r="G298" s="101" vm="4202">
        <f ca="1"/>
        <v>21.8</v>
      </c>
      <c r="H298" s="102" vm="4203">
        <f ca="1"/>
        <v>52233437</v>
      </c>
    </row>
    <row r="299" spans="3:8" x14ac:dyDescent="0.3">
      <c r="C299" s="100" vm="1713">
        <f ca="1"/>
        <v>44172</v>
      </c>
      <c r="D299" s="101" vm="4204">
        <f ca="1"/>
        <v>23.11</v>
      </c>
      <c r="E299" s="101" vm="3692">
        <f ca="1"/>
        <v>23.57</v>
      </c>
      <c r="F299" s="101" vm="4205">
        <f ca="1"/>
        <v>23.89</v>
      </c>
      <c r="G299" s="101" vm="3852">
        <f ca="1"/>
        <v>22.85</v>
      </c>
      <c r="H299" s="102" vm="4206">
        <f ca="1"/>
        <v>44771228</v>
      </c>
    </row>
    <row r="300" spans="3:8" x14ac:dyDescent="0.3">
      <c r="C300" s="100" vm="1719">
        <f ca="1"/>
        <v>44179</v>
      </c>
      <c r="D300" s="101" vm="4207">
        <f ca="1"/>
        <v>24.46</v>
      </c>
      <c r="E300" s="101" vm="4208">
        <f ca="1"/>
        <v>23.12</v>
      </c>
      <c r="F300" s="101" vm="3802">
        <f ca="1"/>
        <v>24.53</v>
      </c>
      <c r="G300" s="101" vm="4208">
        <f ca="1"/>
        <v>23.12</v>
      </c>
      <c r="H300" s="102" vm="4209">
        <f ca="1"/>
        <v>52979047</v>
      </c>
    </row>
    <row r="301" spans="3:8" x14ac:dyDescent="0.3">
      <c r="C301" s="100" vm="1725">
        <f ca="1"/>
        <v>44186</v>
      </c>
      <c r="D301" s="101" vm="4210">
        <f ca="1"/>
        <v>24.26</v>
      </c>
      <c r="E301" s="101" vm="4211">
        <f ca="1"/>
        <v>23.96</v>
      </c>
      <c r="F301" s="101" vm="4207">
        <f ca="1"/>
        <v>24.46</v>
      </c>
      <c r="G301" s="101" vm="4212">
        <f ca="1"/>
        <v>23.715</v>
      </c>
      <c r="H301" s="102" vm="4213">
        <f ca="1"/>
        <v>24388207</v>
      </c>
    </row>
    <row r="302" spans="3:8" x14ac:dyDescent="0.3">
      <c r="C302" s="100" vm="1731">
        <f ca="1"/>
        <v>44193</v>
      </c>
      <c r="D302" s="101" vm="4214">
        <f ca="1"/>
        <v>24.59</v>
      </c>
      <c r="E302" s="101" vm="4215">
        <f ca="1"/>
        <v>24.31</v>
      </c>
      <c r="F302" s="101" vm="3702">
        <f ca="1"/>
        <v>24.69</v>
      </c>
      <c r="G302" s="101" vm="3773">
        <f ca="1"/>
        <v>23.97</v>
      </c>
      <c r="H302" s="102" vm="4216">
        <f ca="1"/>
        <v>25190222</v>
      </c>
    </row>
    <row r="303" spans="3:8" x14ac:dyDescent="0.3">
      <c r="C303" s="100" vm="1737">
        <f ca="1"/>
        <v>44200</v>
      </c>
      <c r="D303" s="101" vm="4217">
        <f ca="1"/>
        <v>25.53</v>
      </c>
      <c r="E303" s="101" vm="4218">
        <f ca="1"/>
        <v>24.7</v>
      </c>
      <c r="F303" s="101" vm="4219">
        <f ca="1"/>
        <v>25.94</v>
      </c>
      <c r="G303" s="101" vm="4220">
        <f ca="1"/>
        <v>23.85</v>
      </c>
      <c r="H303" s="102" vm="4221">
        <f ca="1"/>
        <v>40839819</v>
      </c>
    </row>
    <row r="304" spans="3:8" x14ac:dyDescent="0.3">
      <c r="C304" s="100" vm="1743">
        <f ca="1"/>
        <v>44207</v>
      </c>
      <c r="D304" s="101" vm="4222">
        <f ca="1"/>
        <v>25.17</v>
      </c>
      <c r="E304" s="101" vm="4223">
        <f ca="1"/>
        <v>25.5</v>
      </c>
      <c r="F304" s="101" vm="4224">
        <f ca="1"/>
        <v>26.145</v>
      </c>
      <c r="G304" s="101" vm="4225">
        <f ca="1"/>
        <v>24.99</v>
      </c>
      <c r="H304" s="102" vm="4226">
        <f ca="1"/>
        <v>39398750</v>
      </c>
    </row>
    <row r="305" spans="3:8" x14ac:dyDescent="0.3">
      <c r="C305" s="100" vm="1749">
        <f ca="1"/>
        <v>44215</v>
      </c>
      <c r="D305" s="101" vm="4227">
        <f ca="1"/>
        <v>25.27</v>
      </c>
      <c r="E305" s="101" vm="4228">
        <f ca="1"/>
        <v>25.26</v>
      </c>
      <c r="F305" s="101" vm="4229">
        <f ca="1"/>
        <v>25.44</v>
      </c>
      <c r="G305" s="101" vm="4230">
        <f ca="1"/>
        <v>24.965</v>
      </c>
      <c r="H305" s="102" vm="4231">
        <f ca="1"/>
        <v>26909370</v>
      </c>
    </row>
    <row r="306" spans="3:8" x14ac:dyDescent="0.3">
      <c r="C306" s="100" vm="1755">
        <f ca="1"/>
        <v>44221</v>
      </c>
      <c r="D306" s="101" vm="4232">
        <f ca="1"/>
        <v>24.34</v>
      </c>
      <c r="E306" s="101" vm="4233">
        <f ca="1"/>
        <v>25.22</v>
      </c>
      <c r="F306" s="101" vm="4234">
        <f ca="1"/>
        <v>25.36</v>
      </c>
      <c r="G306" s="101" vm="4235">
        <f ca="1"/>
        <v>24.07</v>
      </c>
      <c r="H306" s="102" vm="4236">
        <f ca="1"/>
        <v>58410104</v>
      </c>
    </row>
    <row r="307" spans="3:8" x14ac:dyDescent="0.3">
      <c r="C307" s="100" vm="1761">
        <f ca="1"/>
        <v>44228</v>
      </c>
      <c r="D307" s="101" vm="4237">
        <f ca="1"/>
        <v>26.15</v>
      </c>
      <c r="E307" s="101" vm="344">
        <f ca="1"/>
        <v>24.48</v>
      </c>
      <c r="F307" s="101" vm="4238">
        <f ca="1"/>
        <v>26.58</v>
      </c>
      <c r="G307" s="101" vm="4239">
        <f ca="1"/>
        <v>24.101900000000001</v>
      </c>
      <c r="H307" s="102" vm="4240">
        <f ca="1"/>
        <v>35837276</v>
      </c>
    </row>
    <row r="308" spans="3:8" x14ac:dyDescent="0.3">
      <c r="C308" s="100" vm="1767">
        <f ca="1"/>
        <v>44235</v>
      </c>
      <c r="D308" s="101" vm="4241">
        <f ca="1"/>
        <v>27.49</v>
      </c>
      <c r="E308" s="101" vm="4242">
        <f ca="1"/>
        <v>26.37</v>
      </c>
      <c r="F308" s="101" vm="4243">
        <f ca="1"/>
        <v>27.55</v>
      </c>
      <c r="G308" s="101" vm="4244">
        <f ca="1"/>
        <v>26.31</v>
      </c>
      <c r="H308" s="102" vm="4245">
        <f ca="1"/>
        <v>31966632</v>
      </c>
    </row>
    <row r="309" spans="3:8" x14ac:dyDescent="0.3">
      <c r="C309" s="100" vm="1773">
        <f ca="1"/>
        <v>44243</v>
      </c>
      <c r="D309" s="101" vm="4246">
        <f ca="1"/>
        <v>27.1</v>
      </c>
      <c r="E309" s="101" vm="487">
        <f ca="1"/>
        <v>27.53</v>
      </c>
      <c r="F309" s="101" vm="4247">
        <f ca="1"/>
        <v>27.68</v>
      </c>
      <c r="G309" s="101" vm="4248">
        <f ca="1"/>
        <v>25.96</v>
      </c>
      <c r="H309" s="102" vm="4249">
        <f ca="1"/>
        <v>32110646</v>
      </c>
    </row>
    <row r="310" spans="3:8" x14ac:dyDescent="0.3">
      <c r="C310" s="100" vm="1779">
        <f ca="1"/>
        <v>44249</v>
      </c>
      <c r="D310" s="101" vm="4250">
        <f ca="1"/>
        <v>28.97</v>
      </c>
      <c r="E310" s="101" vm="4251">
        <f ca="1"/>
        <v>26.99</v>
      </c>
      <c r="F310" s="101" vm="4252">
        <f ca="1"/>
        <v>30.25</v>
      </c>
      <c r="G310" s="101" vm="4253">
        <f ca="1"/>
        <v>26.49</v>
      </c>
      <c r="H310" s="102" vm="4254">
        <f ca="1"/>
        <v>74090388</v>
      </c>
    </row>
    <row r="311" spans="3:8" x14ac:dyDescent="0.3">
      <c r="C311" s="100" vm="1785">
        <f ca="1"/>
        <v>44256</v>
      </c>
      <c r="D311" s="101" vm="4255">
        <f ca="1"/>
        <v>29.75</v>
      </c>
      <c r="E311" s="101" vm="4256">
        <f ca="1"/>
        <v>29.37</v>
      </c>
      <c r="F311" s="101" vm="4257">
        <f ca="1"/>
        <v>30.44</v>
      </c>
      <c r="G311" s="101" vm="4258">
        <f ca="1"/>
        <v>27.854099999999999</v>
      </c>
      <c r="H311" s="102" vm="4259">
        <f ca="1"/>
        <v>66459094</v>
      </c>
    </row>
    <row r="312" spans="3:8" x14ac:dyDescent="0.3">
      <c r="C312" s="100" vm="1791">
        <f ca="1"/>
        <v>44263</v>
      </c>
      <c r="D312" s="101" vm="4260">
        <f ca="1"/>
        <v>30.28</v>
      </c>
      <c r="E312" s="101" vm="4261">
        <f ca="1"/>
        <v>29.61</v>
      </c>
      <c r="F312" s="101" vm="4262">
        <f ca="1"/>
        <v>30.83</v>
      </c>
      <c r="G312" s="101" vm="4263">
        <f ca="1"/>
        <v>29.56</v>
      </c>
      <c r="H312" s="102" vm="4264">
        <f ca="1"/>
        <v>54901194</v>
      </c>
    </row>
    <row r="313" spans="3:8" x14ac:dyDescent="0.3">
      <c r="C313" s="100" vm="1797">
        <f ca="1"/>
        <v>44270</v>
      </c>
      <c r="D313" s="101" vm="4265">
        <f ca="1"/>
        <v>30.08</v>
      </c>
      <c r="E313" s="101" vm="4266">
        <f ca="1"/>
        <v>30.26</v>
      </c>
      <c r="F313" s="101" vm="4267">
        <f ca="1"/>
        <v>31.11</v>
      </c>
      <c r="G313" s="101" vm="4268">
        <f ca="1"/>
        <v>29.68</v>
      </c>
      <c r="H313" s="102" vm="4269">
        <f ca="1"/>
        <v>96843012</v>
      </c>
    </row>
    <row r="314" spans="3:8" x14ac:dyDescent="0.3">
      <c r="C314" s="100" vm="1803">
        <f ca="1"/>
        <v>44277</v>
      </c>
      <c r="D314" s="101" vm="4270">
        <f ca="1"/>
        <v>31.66</v>
      </c>
      <c r="E314" s="101" vm="4271">
        <f ca="1"/>
        <v>30.11</v>
      </c>
      <c r="F314" s="101" vm="4272">
        <f ca="1"/>
        <v>31.69</v>
      </c>
      <c r="G314" s="101" vm="4250">
        <f ca="1"/>
        <v>28.97</v>
      </c>
      <c r="H314" s="102" vm="4273">
        <f ca="1"/>
        <v>57099302</v>
      </c>
    </row>
    <row r="315" spans="3:8" x14ac:dyDescent="0.3">
      <c r="C315" s="100" vm="1808">
        <f ca="1"/>
        <v>44284</v>
      </c>
      <c r="D315" s="101" vm="4274">
        <f ca="1"/>
        <v>32.049999999999997</v>
      </c>
      <c r="E315" s="101" vm="4275">
        <f ca="1"/>
        <v>31.59</v>
      </c>
      <c r="F315" s="101" vm="4276">
        <f ca="1"/>
        <v>32.14</v>
      </c>
      <c r="G315" s="101" vm="4277">
        <f ca="1"/>
        <v>30.96</v>
      </c>
      <c r="H315" s="102" vm="4278">
        <f ca="1"/>
        <v>33667743</v>
      </c>
    </row>
    <row r="316" spans="3:8" x14ac:dyDescent="0.3">
      <c r="C316" s="100" vm="1814">
        <f ca="1"/>
        <v>44291</v>
      </c>
      <c r="D316" s="101" vm="4279">
        <f ca="1"/>
        <v>32.979999999999997</v>
      </c>
      <c r="E316" s="101" vm="4280">
        <f ca="1"/>
        <v>32.32</v>
      </c>
      <c r="F316" s="101" vm="4281">
        <f ca="1"/>
        <v>32.99</v>
      </c>
      <c r="G316" s="101" vm="4282">
        <f ca="1"/>
        <v>31.745000000000001</v>
      </c>
      <c r="H316" s="102" vm="4283">
        <f ca="1"/>
        <v>36427363</v>
      </c>
    </row>
    <row r="317" spans="3:8" x14ac:dyDescent="0.3">
      <c r="C317" s="100" vm="1820">
        <f ca="1"/>
        <v>44298</v>
      </c>
      <c r="D317" s="101" vm="4284">
        <f ca="1"/>
        <v>33.979999999999997</v>
      </c>
      <c r="E317" s="101" vm="4279">
        <f ca="1"/>
        <v>32.979999999999997</v>
      </c>
      <c r="F317" s="101" vm="4285">
        <f ca="1"/>
        <v>34.270000000000003</v>
      </c>
      <c r="G317" s="101" vm="4286">
        <f ca="1"/>
        <v>32.340000000000003</v>
      </c>
      <c r="H317" s="102" vm="4287">
        <f ca="1"/>
        <v>39923094</v>
      </c>
    </row>
    <row r="318" spans="3:8" x14ac:dyDescent="0.3">
      <c r="C318" s="100" vm="1826">
        <f ca="1"/>
        <v>44305</v>
      </c>
      <c r="D318" s="101" vm="4288">
        <f ca="1"/>
        <v>34.42</v>
      </c>
      <c r="E318" s="101" vm="4289">
        <f ca="1"/>
        <v>33.799999999999997</v>
      </c>
      <c r="F318" s="101" vm="4290">
        <f ca="1"/>
        <v>34.607900000000001</v>
      </c>
      <c r="G318" s="101" vm="4291">
        <f ca="1"/>
        <v>33.200000000000003</v>
      </c>
      <c r="H318" s="102" vm="4292">
        <f ca="1"/>
        <v>36193557</v>
      </c>
    </row>
    <row r="319" spans="3:8" x14ac:dyDescent="0.3">
      <c r="C319" s="100" vm="1832">
        <f ca="1"/>
        <v>44312</v>
      </c>
      <c r="D319" s="101" vm="4293">
        <f ca="1"/>
        <v>34.11</v>
      </c>
      <c r="E319" s="101" vm="4294">
        <f ca="1"/>
        <v>34.5</v>
      </c>
      <c r="F319" s="101" vm="4295">
        <f ca="1"/>
        <v>34.869999999999997</v>
      </c>
      <c r="G319" s="101" vm="4296">
        <f ca="1"/>
        <v>33.905000000000001</v>
      </c>
      <c r="H319" s="102" vm="4297">
        <f ca="1"/>
        <v>34477289</v>
      </c>
    </row>
    <row r="320" spans="3:8" x14ac:dyDescent="0.3">
      <c r="C320" s="100" vm="1838">
        <f ca="1"/>
        <v>44319</v>
      </c>
      <c r="D320" s="101" vm="663">
        <f ca="1"/>
        <v>35.57</v>
      </c>
      <c r="E320" s="101" vm="4298">
        <f ca="1"/>
        <v>34.33</v>
      </c>
      <c r="F320" s="101" vm="4299">
        <f ca="1"/>
        <v>35.590000000000003</v>
      </c>
      <c r="G320" s="101" vm="4300">
        <f ca="1"/>
        <v>33.630000000000003</v>
      </c>
      <c r="H320" s="102" vm="4301">
        <f ca="1"/>
        <v>32904713</v>
      </c>
    </row>
    <row r="321" spans="3:8" x14ac:dyDescent="0.3">
      <c r="C321" s="100" vm="1843">
        <f ca="1"/>
        <v>44326</v>
      </c>
      <c r="D321" s="101" vm="4302">
        <f ca="1"/>
        <v>32.92</v>
      </c>
      <c r="E321" s="101" vm="4303">
        <f ca="1"/>
        <v>35.89</v>
      </c>
      <c r="F321" s="101" vm="4304">
        <f ca="1"/>
        <v>36</v>
      </c>
      <c r="G321" s="101" vm="4305">
        <f ca="1"/>
        <v>31.765000000000001</v>
      </c>
      <c r="H321" s="102" vm="4306">
        <f ca="1"/>
        <v>49355751</v>
      </c>
    </row>
    <row r="322" spans="3:8" x14ac:dyDescent="0.3">
      <c r="C322" s="100" vm="1848">
        <f ca="1"/>
        <v>44333</v>
      </c>
      <c r="D322" s="101" vm="4270">
        <f ca="1"/>
        <v>31.66</v>
      </c>
      <c r="E322" s="101" vm="4307">
        <f ca="1"/>
        <v>32.74</v>
      </c>
      <c r="F322" s="101" vm="4308">
        <f ca="1"/>
        <v>33.125</v>
      </c>
      <c r="G322" s="101" vm="4309">
        <f ca="1"/>
        <v>31.22</v>
      </c>
      <c r="H322" s="102" vm="4310">
        <f ca="1"/>
        <v>43160923</v>
      </c>
    </row>
    <row r="323" spans="3:8" x14ac:dyDescent="0.3">
      <c r="C323" s="100" vm="1854">
        <f ca="1"/>
        <v>44340</v>
      </c>
      <c r="D323" s="101" vm="4311">
        <f ca="1"/>
        <v>29.23</v>
      </c>
      <c r="E323" s="101" vm="4312">
        <f ca="1"/>
        <v>32.89</v>
      </c>
      <c r="F323" s="101" vm="4312">
        <f ca="1"/>
        <v>32.89</v>
      </c>
      <c r="G323" s="101" vm="4313">
        <f ca="1"/>
        <v>29.065000000000001</v>
      </c>
      <c r="H323" s="102" vm="4314">
        <f ca="1"/>
        <v>89643539</v>
      </c>
    </row>
    <row r="324" spans="3:8" x14ac:dyDescent="0.3">
      <c r="C324" s="100" vm="1860">
        <f ca="1"/>
        <v>44348</v>
      </c>
      <c r="D324" s="101" vm="4315">
        <f ca="1"/>
        <v>30.63</v>
      </c>
      <c r="E324" s="101" vm="4316">
        <f ca="1"/>
        <v>29.72</v>
      </c>
      <c r="F324" s="101" vm="4317">
        <f ca="1"/>
        <v>30.81</v>
      </c>
      <c r="G324" s="101" vm="4318">
        <f ca="1"/>
        <v>29.38</v>
      </c>
      <c r="H324" s="102" vm="4319">
        <f ca="1"/>
        <v>46841684</v>
      </c>
    </row>
    <row r="325" spans="3:8" x14ac:dyDescent="0.3">
      <c r="C325" s="100" vm="1866">
        <f ca="1"/>
        <v>44354</v>
      </c>
      <c r="D325" s="101" vm="4265">
        <f ca="1"/>
        <v>30.08</v>
      </c>
      <c r="E325" s="101" vm="4320">
        <f ca="1"/>
        <v>30.8</v>
      </c>
      <c r="F325" s="101" vm="4321">
        <f ca="1"/>
        <v>30.885000000000002</v>
      </c>
      <c r="G325" s="101" vm="4322">
        <f ca="1"/>
        <v>29.85</v>
      </c>
      <c r="H325" s="102" vm="4323">
        <f ca="1"/>
        <v>50999314</v>
      </c>
    </row>
    <row r="326" spans="3:8" x14ac:dyDescent="0.3">
      <c r="C326" s="100" vm="1872">
        <f ca="1"/>
        <v>44361</v>
      </c>
      <c r="D326" s="101" vm="4324">
        <f ca="1"/>
        <v>28.67</v>
      </c>
      <c r="E326" s="101" vm="4325">
        <f ca="1"/>
        <v>30.04</v>
      </c>
      <c r="F326" s="101" vm="4326">
        <f ca="1"/>
        <v>30.12</v>
      </c>
      <c r="G326" s="101" vm="4327">
        <f ca="1"/>
        <v>28.02</v>
      </c>
      <c r="H326" s="102" vm="4328">
        <f ca="1"/>
        <v>70989125</v>
      </c>
    </row>
    <row r="327" spans="3:8" x14ac:dyDescent="0.3">
      <c r="C327" s="100" vm="1878">
        <f ca="1"/>
        <v>44368</v>
      </c>
      <c r="D327" s="101" vm="4329">
        <f ca="1"/>
        <v>29.71</v>
      </c>
      <c r="E327" s="101" vm="4330">
        <f ca="1"/>
        <v>28.9</v>
      </c>
      <c r="F327" s="101" vm="4331">
        <f ca="1"/>
        <v>29.914999999999999</v>
      </c>
      <c r="G327" s="101" vm="4332">
        <f ca="1"/>
        <v>28.78</v>
      </c>
      <c r="H327" s="102" vm="4333">
        <f ca="1"/>
        <v>49185395</v>
      </c>
    </row>
    <row r="328" spans="3:8" x14ac:dyDescent="0.3">
      <c r="C328" s="100" vm="1884">
        <f ca="1"/>
        <v>44375</v>
      </c>
      <c r="D328" s="101" vm="4334">
        <f ca="1"/>
        <v>30.7</v>
      </c>
      <c r="E328" s="101" vm="525">
        <f ca="1"/>
        <v>29.76</v>
      </c>
      <c r="F328" s="101" vm="4335">
        <f ca="1"/>
        <v>30.8063</v>
      </c>
      <c r="G328" s="101" vm="4336">
        <f ca="1"/>
        <v>29.64</v>
      </c>
      <c r="H328" s="102" vm="4337">
        <f ca="1"/>
        <v>35380090</v>
      </c>
    </row>
    <row r="329" spans="3:8" x14ac:dyDescent="0.3">
      <c r="C329" s="100" vm="1890">
        <f ca="1"/>
        <v>44383</v>
      </c>
      <c r="D329" s="101" vm="4325">
        <f ca="1"/>
        <v>30.04</v>
      </c>
      <c r="E329" s="101" vm="4338">
        <f ca="1"/>
        <v>30.58</v>
      </c>
      <c r="F329" s="101" vm="4339">
        <f ca="1"/>
        <v>30.65</v>
      </c>
      <c r="G329" s="101" vm="4340">
        <f ca="1"/>
        <v>29.46</v>
      </c>
      <c r="H329" s="102" vm="4341">
        <f ca="1"/>
        <v>32839794</v>
      </c>
    </row>
    <row r="330" spans="3:8" x14ac:dyDescent="0.3">
      <c r="C330" s="100" vm="1895">
        <f ca="1"/>
        <v>44389</v>
      </c>
      <c r="D330" s="101" vm="475">
        <f ca="1"/>
        <v>27.52</v>
      </c>
      <c r="E330" s="101" vm="4342">
        <f ca="1"/>
        <v>29.9</v>
      </c>
      <c r="F330" s="101" vm="4343">
        <f ca="1"/>
        <v>29.925000000000001</v>
      </c>
      <c r="G330" s="101" vm="4344">
        <f ca="1"/>
        <v>27.454999999999998</v>
      </c>
      <c r="H330" s="102" vm="4345">
        <f ca="1"/>
        <v>52295791</v>
      </c>
    </row>
    <row r="331" spans="3:8" x14ac:dyDescent="0.3">
      <c r="C331" s="100" vm="1901">
        <f ca="1"/>
        <v>44396</v>
      </c>
      <c r="D331" s="101" vm="205">
        <f ca="1"/>
        <v>28.2</v>
      </c>
      <c r="E331" s="101" vm="4346">
        <f ca="1"/>
        <v>27.12</v>
      </c>
      <c r="F331" s="101" vm="4324">
        <f ca="1"/>
        <v>28.67</v>
      </c>
      <c r="G331" s="101" vm="4347">
        <f ca="1"/>
        <v>26.91</v>
      </c>
      <c r="H331" s="102" vm="4348">
        <f ca="1"/>
        <v>54191851</v>
      </c>
    </row>
    <row r="332" spans="3:8" x14ac:dyDescent="0.3">
      <c r="C332" s="100" vm="1907">
        <f ca="1"/>
        <v>44403</v>
      </c>
      <c r="D332" s="101" vm="4349">
        <f ca="1"/>
        <v>28.87</v>
      </c>
      <c r="E332" s="101" vm="4350">
        <f ca="1"/>
        <v>28.35</v>
      </c>
      <c r="F332" s="101" vm="4351">
        <f ca="1"/>
        <v>28.98</v>
      </c>
      <c r="G332" s="101" vm="4352">
        <f ca="1"/>
        <v>27.85</v>
      </c>
      <c r="H332" s="102" vm="4353">
        <f ca="1"/>
        <v>33959059</v>
      </c>
    </row>
    <row r="333" spans="3:8" x14ac:dyDescent="0.3">
      <c r="C333" s="100" vm="1913">
        <f ca="1"/>
        <v>44410</v>
      </c>
      <c r="D333" s="101" vm="4354">
        <f ca="1"/>
        <v>29.32</v>
      </c>
      <c r="E333" s="101" vm="4355">
        <f ca="1"/>
        <v>29.05</v>
      </c>
      <c r="F333" s="101" vm="4356">
        <f ca="1"/>
        <v>29.69</v>
      </c>
      <c r="G333" s="101" vm="4357">
        <f ca="1"/>
        <v>28.914999999999999</v>
      </c>
      <c r="H333" s="102" vm="4358">
        <f ca="1"/>
        <v>32783454</v>
      </c>
    </row>
    <row r="334" spans="3:8" x14ac:dyDescent="0.3">
      <c r="C334" s="100" vm="1919">
        <f ca="1"/>
        <v>44417</v>
      </c>
      <c r="D334" s="101" vm="103">
        <f ca="1"/>
        <v>29.01</v>
      </c>
      <c r="E334" s="101" vm="4359">
        <f ca="1"/>
        <v>29.3</v>
      </c>
      <c r="F334" s="101" vm="4360">
        <f ca="1"/>
        <v>30.475000000000001</v>
      </c>
      <c r="G334" s="101" vm="4351">
        <f ca="1"/>
        <v>28.98</v>
      </c>
      <c r="H334" s="102" vm="4361">
        <f ca="1"/>
        <v>35655495</v>
      </c>
    </row>
    <row r="335" spans="3:8" x14ac:dyDescent="0.3">
      <c r="C335" s="100" vm="1925">
        <f ca="1"/>
        <v>44424</v>
      </c>
      <c r="D335" s="101" vm="4362">
        <f ca="1"/>
        <v>28.22</v>
      </c>
      <c r="E335" s="101" vm="4363">
        <f ca="1"/>
        <v>28.92</v>
      </c>
      <c r="F335" s="101" vm="4364">
        <f ca="1"/>
        <v>29.53</v>
      </c>
      <c r="G335" s="101" vm="4365">
        <f ca="1"/>
        <v>27.545000000000002</v>
      </c>
      <c r="H335" s="102" vm="4366">
        <f ca="1"/>
        <v>41826085</v>
      </c>
    </row>
    <row r="336" spans="3:8" x14ac:dyDescent="0.3">
      <c r="C336" s="100" vm="1931">
        <f ca="1"/>
        <v>44431</v>
      </c>
      <c r="D336" s="101" vm="4363">
        <f ca="1"/>
        <v>28.92</v>
      </c>
      <c r="E336" s="101" vm="4367">
        <f ca="1"/>
        <v>28.44</v>
      </c>
      <c r="F336" s="101" vm="4368">
        <f ca="1"/>
        <v>29.734999999999999</v>
      </c>
      <c r="G336" s="101" vm="4369">
        <f ca="1"/>
        <v>27.51</v>
      </c>
      <c r="H336" s="102" vm="4370">
        <f ca="1"/>
        <v>61141099</v>
      </c>
    </row>
    <row r="337" spans="3:8" x14ac:dyDescent="0.3">
      <c r="C337" s="100" vm="1937">
        <f ca="1"/>
        <v>44438</v>
      </c>
      <c r="D337" s="101" vm="4371">
        <f ca="1"/>
        <v>29.86</v>
      </c>
      <c r="E337" s="101" vm="4372">
        <f ca="1"/>
        <v>29.14</v>
      </c>
      <c r="F337" s="101" vm="4373">
        <f ca="1"/>
        <v>30.36</v>
      </c>
      <c r="G337" s="101" vm="4351">
        <f ca="1"/>
        <v>28.98</v>
      </c>
      <c r="H337" s="102" vm="4374">
        <f ca="1"/>
        <v>55947618</v>
      </c>
    </row>
    <row r="338" spans="3:8" x14ac:dyDescent="0.3">
      <c r="C338" s="100" vm="1943">
        <f ca="1"/>
        <v>44446</v>
      </c>
      <c r="D338" s="101" vm="4375">
        <f ca="1"/>
        <v>28</v>
      </c>
      <c r="E338" s="101" vm="4376">
        <f ca="1"/>
        <v>29.5</v>
      </c>
      <c r="F338" s="101" vm="4377">
        <f ca="1"/>
        <v>29.574999999999999</v>
      </c>
      <c r="G338" s="101" vm="4378">
        <f ca="1"/>
        <v>27.88</v>
      </c>
      <c r="H338" s="102" vm="4379">
        <f ca="1"/>
        <v>36490914</v>
      </c>
    </row>
    <row r="339" spans="3:8" x14ac:dyDescent="0.3">
      <c r="C339" s="100" vm="1949">
        <f ca="1"/>
        <v>44452</v>
      </c>
      <c r="D339" s="101" vm="4247">
        <f ca="1"/>
        <v>27.68</v>
      </c>
      <c r="E339" s="101" vm="4380">
        <f ca="1"/>
        <v>28.21</v>
      </c>
      <c r="F339" s="101" vm="4381">
        <f ca="1"/>
        <v>28.47</v>
      </c>
      <c r="G339" s="101" vm="4382">
        <f ca="1"/>
        <v>27.38</v>
      </c>
      <c r="H339" s="102" vm="4383">
        <f ca="1"/>
        <v>41288572</v>
      </c>
    </row>
    <row r="340" spans="3:8" x14ac:dyDescent="0.3">
      <c r="C340" s="100" vm="1955">
        <f ca="1"/>
        <v>44459</v>
      </c>
      <c r="D340" s="101" vm="4384">
        <f ca="1"/>
        <v>27.89</v>
      </c>
      <c r="E340" s="101" vm="4385">
        <f ca="1"/>
        <v>27.06</v>
      </c>
      <c r="F340" s="101" vm="4386">
        <f ca="1"/>
        <v>28.225000000000001</v>
      </c>
      <c r="G340" s="101" vm="4387">
        <f ca="1"/>
        <v>26.765000000000001</v>
      </c>
      <c r="H340" s="102" vm="4388">
        <f ca="1"/>
        <v>35640600</v>
      </c>
    </row>
    <row r="341" spans="3:8" x14ac:dyDescent="0.3">
      <c r="C341" s="100" vm="1961">
        <f ca="1"/>
        <v>44466</v>
      </c>
      <c r="D341" s="101" vm="145">
        <f ca="1"/>
        <v>28.07</v>
      </c>
      <c r="E341" s="101" vm="4352">
        <f ca="1"/>
        <v>27.85</v>
      </c>
      <c r="F341" s="101" vm="4389">
        <f ca="1"/>
        <v>29.535</v>
      </c>
      <c r="G341" s="101" vm="4390">
        <f ca="1"/>
        <v>27.170999999999999</v>
      </c>
      <c r="H341" s="102" vm="4391">
        <f ca="1"/>
        <v>49819481</v>
      </c>
    </row>
    <row r="342" spans="3:8" x14ac:dyDescent="0.3">
      <c r="C342" s="100" vm="1967">
        <f ca="1"/>
        <v>44473</v>
      </c>
      <c r="D342" s="101" vm="4384">
        <f ca="1"/>
        <v>27.89</v>
      </c>
      <c r="E342" s="101" vm="4392">
        <f ca="1"/>
        <v>27.96</v>
      </c>
      <c r="F342" s="101" vm="4393">
        <f ca="1"/>
        <v>28.54</v>
      </c>
      <c r="G342" s="101" vm="152">
        <f ca="1"/>
        <v>27.39</v>
      </c>
      <c r="H342" s="102" vm="4394">
        <f ca="1"/>
        <v>38540465</v>
      </c>
    </row>
    <row r="343" spans="3:8" x14ac:dyDescent="0.3">
      <c r="C343" s="100" vm="1973">
        <f ca="1"/>
        <v>44480</v>
      </c>
      <c r="D343" s="101" vm="4395">
        <f ca="1"/>
        <v>28.28</v>
      </c>
      <c r="E343" s="101" vm="4396">
        <f ca="1"/>
        <v>27.97</v>
      </c>
      <c r="F343" s="101" vm="4397">
        <f ca="1"/>
        <v>28.62</v>
      </c>
      <c r="G343" s="101" vm="4398">
        <f ca="1"/>
        <v>26.11</v>
      </c>
      <c r="H343" s="102" vm="4399">
        <f ca="1"/>
        <v>57027327</v>
      </c>
    </row>
    <row r="344" spans="3:8" x14ac:dyDescent="0.3">
      <c r="C344" s="100" vm="1979">
        <f ca="1"/>
        <v>44487</v>
      </c>
      <c r="D344" s="101" vm="4400">
        <f ca="1"/>
        <v>30.47</v>
      </c>
      <c r="E344" s="101" vm="4401">
        <f ca="1"/>
        <v>28.09</v>
      </c>
      <c r="F344" s="101" vm="4402">
        <f ca="1"/>
        <v>30.995000000000001</v>
      </c>
      <c r="G344" s="101" vm="4401">
        <f ca="1"/>
        <v>28.09</v>
      </c>
      <c r="H344" s="102" vm="4403">
        <f ca="1"/>
        <v>61254617</v>
      </c>
    </row>
    <row r="345" spans="3:8" x14ac:dyDescent="0.3">
      <c r="C345" s="100" vm="1985">
        <f ca="1"/>
        <v>44494</v>
      </c>
      <c r="D345" s="101" vm="4404">
        <f ca="1"/>
        <v>30.33</v>
      </c>
      <c r="E345" s="101" vm="4405">
        <f ca="1"/>
        <v>30.85</v>
      </c>
      <c r="F345" s="101" vm="4406">
        <f ca="1"/>
        <v>30.98</v>
      </c>
      <c r="G345" s="101" vm="4407">
        <f ca="1"/>
        <v>29.65</v>
      </c>
      <c r="H345" s="102" vm="4408">
        <f ca="1"/>
        <v>38621551</v>
      </c>
    </row>
    <row r="346" spans="3:8" x14ac:dyDescent="0.3">
      <c r="C346" s="100" vm="1991">
        <f ca="1"/>
        <v>44501</v>
      </c>
      <c r="D346" s="101" vm="4409">
        <f ca="1"/>
        <v>31.95</v>
      </c>
      <c r="E346" s="101" vm="4410">
        <f ca="1"/>
        <v>30.42</v>
      </c>
      <c r="F346" s="101" vm="4411">
        <f ca="1"/>
        <v>32.04</v>
      </c>
      <c r="G346" s="101" vm="4373">
        <f ca="1"/>
        <v>30.36</v>
      </c>
      <c r="H346" s="102" vm="4412">
        <f ca="1"/>
        <v>36824679</v>
      </c>
    </row>
    <row r="347" spans="3:8" x14ac:dyDescent="0.3">
      <c r="C347" s="100" vm="1997">
        <f ca="1"/>
        <v>44508</v>
      </c>
      <c r="D347" s="101" vm="4413">
        <f ca="1"/>
        <v>31.82</v>
      </c>
      <c r="E347" s="101" vm="4414">
        <f ca="1"/>
        <v>31.9</v>
      </c>
      <c r="F347" s="101" vm="36">
        <f ca="1"/>
        <v>32.28</v>
      </c>
      <c r="G347" s="101" vm="4415">
        <f ca="1"/>
        <v>31.39</v>
      </c>
      <c r="H347" s="102" vm="4416">
        <f ca="1"/>
        <v>29550544</v>
      </c>
    </row>
    <row r="348" spans="3:8" x14ac:dyDescent="0.3">
      <c r="C348" s="100" vm="2003">
        <f ca="1"/>
        <v>44515</v>
      </c>
      <c r="D348" s="101" vm="4417">
        <f ca="1"/>
        <v>31.45</v>
      </c>
      <c r="E348" s="101" vm="4418">
        <f ca="1"/>
        <v>31.92</v>
      </c>
      <c r="F348" s="101" vm="4419">
        <f ca="1"/>
        <v>32.03</v>
      </c>
      <c r="G348" s="101" vm="4420">
        <f ca="1"/>
        <v>30.64</v>
      </c>
      <c r="H348" s="102" vm="4421">
        <f ca="1"/>
        <v>34974108</v>
      </c>
    </row>
    <row r="349" spans="3:8" x14ac:dyDescent="0.3">
      <c r="C349" s="100" vm="2009">
        <f ca="1"/>
        <v>44522</v>
      </c>
      <c r="D349" s="101" vm="4422">
        <f ca="1"/>
        <v>34.58</v>
      </c>
      <c r="E349" s="101" vm="4423">
        <f ca="1"/>
        <v>31.6</v>
      </c>
      <c r="F349" s="101" vm="4424">
        <f ca="1"/>
        <v>36.21</v>
      </c>
      <c r="G349" s="101" vm="4425">
        <f ca="1"/>
        <v>31.414999999999999</v>
      </c>
      <c r="H349" s="102" vm="4426">
        <f ca="1"/>
        <v>67273875</v>
      </c>
    </row>
    <row r="350" spans="3:8" x14ac:dyDescent="0.3">
      <c r="C350" s="100" vm="2015">
        <f ca="1"/>
        <v>44529</v>
      </c>
      <c r="D350" s="101" vm="4427">
        <f ca="1"/>
        <v>37.549999999999997</v>
      </c>
      <c r="E350" s="101" vm="4428">
        <f ca="1"/>
        <v>34.765000000000001</v>
      </c>
      <c r="F350" s="101" vm="4429">
        <f ca="1"/>
        <v>38.49</v>
      </c>
      <c r="G350" s="101" vm="4430">
        <f ca="1"/>
        <v>34.659999999999997</v>
      </c>
      <c r="H350" s="102" vm="4431">
        <f ca="1"/>
        <v>96214678</v>
      </c>
    </row>
    <row r="351" spans="3:8" x14ac:dyDescent="0.3">
      <c r="C351" s="100" vm="2021">
        <f ca="1"/>
        <v>44536</v>
      </c>
      <c r="D351" s="101" vm="4432">
        <f ca="1"/>
        <v>36.43</v>
      </c>
      <c r="E351" s="101" vm="4433">
        <f ca="1"/>
        <v>37.799999999999997</v>
      </c>
      <c r="F351" s="101" vm="4434">
        <f ca="1"/>
        <v>38.22</v>
      </c>
      <c r="G351" s="101" vm="4435">
        <f ca="1"/>
        <v>35.805</v>
      </c>
      <c r="H351" s="102" vm="4436">
        <f ca="1"/>
        <v>58002686</v>
      </c>
    </row>
    <row r="352" spans="3:8" x14ac:dyDescent="0.3">
      <c r="C352" s="100" vm="2027">
        <f ca="1"/>
        <v>44543</v>
      </c>
      <c r="D352" s="101" vm="656">
        <f ca="1"/>
        <v>36.57</v>
      </c>
      <c r="E352" s="101" vm="4437">
        <f ca="1"/>
        <v>36.299999999999997</v>
      </c>
      <c r="F352" s="101" vm="739">
        <f ca="1"/>
        <v>37.29</v>
      </c>
      <c r="G352" s="101" vm="4438">
        <f ca="1"/>
        <v>34.83</v>
      </c>
      <c r="H352" s="102" vm="4439">
        <f ca="1"/>
        <v>73349060</v>
      </c>
    </row>
    <row r="353" spans="3:8" x14ac:dyDescent="0.3">
      <c r="C353" s="100" vm="2033">
        <f ca="1"/>
        <v>44550</v>
      </c>
      <c r="D353" s="101" vm="4440">
        <f ca="1"/>
        <v>37.65</v>
      </c>
      <c r="E353" s="101" vm="4441">
        <f ca="1"/>
        <v>36.090000000000003</v>
      </c>
      <c r="F353" s="101" vm="4442">
        <f ca="1"/>
        <v>38.04</v>
      </c>
      <c r="G353" s="101" vm="4443">
        <f ca="1"/>
        <v>35.58</v>
      </c>
      <c r="H353" s="102" vm="4444">
        <f ca="1"/>
        <v>31980942</v>
      </c>
    </row>
    <row r="354" spans="3:8" x14ac:dyDescent="0.3">
      <c r="C354" s="100" vm="2039">
        <f ca="1"/>
        <v>44557</v>
      </c>
      <c r="D354" s="101" vm="4445">
        <f ca="1"/>
        <v>37.67</v>
      </c>
      <c r="E354" s="101" vm="4446">
        <f ca="1"/>
        <v>37.53</v>
      </c>
      <c r="F354" s="101" vm="4447">
        <f ca="1"/>
        <v>38.409999999999997</v>
      </c>
      <c r="G354" s="101" vm="4446">
        <f ca="1"/>
        <v>37.53</v>
      </c>
      <c r="H354" s="102" vm="4448">
        <f ca="1"/>
        <v>24815628</v>
      </c>
    </row>
    <row r="355" spans="3:8" x14ac:dyDescent="0.3">
      <c r="C355" s="100" vm="2045">
        <f ca="1"/>
        <v>44564</v>
      </c>
      <c r="D355" s="101" vm="4449">
        <f ca="1"/>
        <v>38.65</v>
      </c>
      <c r="E355" s="101" vm="4450">
        <f ca="1"/>
        <v>37.71</v>
      </c>
      <c r="F355" s="101" vm="4451">
        <f ca="1"/>
        <v>39.645000000000003</v>
      </c>
      <c r="G355" s="101" vm="4452">
        <f ca="1"/>
        <v>37.590000000000003</v>
      </c>
      <c r="H355" s="102" vm="4453">
        <f ca="1"/>
        <v>42846944</v>
      </c>
    </row>
    <row r="356" spans="3:8" x14ac:dyDescent="0.3">
      <c r="C356" s="100" vm="2051">
        <f ca="1"/>
        <v>44571</v>
      </c>
      <c r="D356" s="101" vm="4454">
        <f ca="1"/>
        <v>38.42</v>
      </c>
      <c r="E356" s="101" vm="4455">
        <f ca="1"/>
        <v>38.590000000000003</v>
      </c>
      <c r="F356" s="101" vm="4456">
        <f ca="1"/>
        <v>39.65</v>
      </c>
      <c r="G356" s="101" vm="4457">
        <f ca="1"/>
        <v>37.96</v>
      </c>
      <c r="H356" s="102" vm="4458">
        <f ca="1"/>
        <v>45299519</v>
      </c>
    </row>
    <row r="357" spans="3:8" x14ac:dyDescent="0.3">
      <c r="C357" s="100" vm="2057">
        <f ca="1"/>
        <v>44579</v>
      </c>
      <c r="D357" s="101" vm="4459">
        <f ca="1"/>
        <v>34.86</v>
      </c>
      <c r="E357" s="101" vm="4460">
        <f ca="1"/>
        <v>38.01</v>
      </c>
      <c r="F357" s="101" vm="4461">
        <f ca="1"/>
        <v>38.340000000000003</v>
      </c>
      <c r="G357" s="101" vm="4462">
        <f ca="1"/>
        <v>34.79</v>
      </c>
      <c r="H357" s="102" vm="4463">
        <f ca="1"/>
        <v>35613911</v>
      </c>
    </row>
    <row r="358" spans="3:8" x14ac:dyDescent="0.3">
      <c r="C358" s="100" vm="2063">
        <f ca="1"/>
        <v>44585</v>
      </c>
      <c r="D358" s="101" vm="4437">
        <f ca="1"/>
        <v>36.299999999999997</v>
      </c>
      <c r="E358" s="101" vm="4464">
        <f ca="1"/>
        <v>34.295000000000002</v>
      </c>
      <c r="F358" s="101" vm="4465">
        <f ca="1"/>
        <v>36.459299999999999</v>
      </c>
      <c r="G358" s="101" vm="4466">
        <f ca="1"/>
        <v>33.61</v>
      </c>
      <c r="H358" s="102" vm="4467">
        <f ca="1"/>
        <v>55070931</v>
      </c>
    </row>
    <row r="359" spans="3:8" x14ac:dyDescent="0.3">
      <c r="C359" s="100" vm="2069">
        <f ca="1"/>
        <v>44592</v>
      </c>
      <c r="D359" s="101" vm="4468">
        <f ca="1"/>
        <v>37.6</v>
      </c>
      <c r="E359" s="101" vm="4469">
        <f ca="1"/>
        <v>36.119999999999997</v>
      </c>
      <c r="F359" s="101" vm="4470">
        <f ca="1"/>
        <v>38.44</v>
      </c>
      <c r="G359" s="101" vm="4471">
        <f ca="1"/>
        <v>35.92</v>
      </c>
      <c r="H359" s="102" vm="4472">
        <f ca="1"/>
        <v>46840179</v>
      </c>
    </row>
    <row r="360" spans="3:8" x14ac:dyDescent="0.3">
      <c r="C360" s="100" vm="2075">
        <f ca="1"/>
        <v>44599</v>
      </c>
      <c r="D360" s="101" vm="4473">
        <f ca="1"/>
        <v>37.33</v>
      </c>
      <c r="E360" s="101" vm="4474">
        <f ca="1"/>
        <v>37.54</v>
      </c>
      <c r="F360" s="101" vm="4475">
        <f ca="1"/>
        <v>39.07</v>
      </c>
      <c r="G360" s="101" vm="4476">
        <f ca="1"/>
        <v>37.119999999999997</v>
      </c>
      <c r="H360" s="102" vm="4477">
        <f ca="1"/>
        <v>37812433</v>
      </c>
    </row>
    <row r="361" spans="3:8" x14ac:dyDescent="0.3">
      <c r="C361" s="100" vm="2081">
        <f ca="1"/>
        <v>44606</v>
      </c>
      <c r="D361" s="101" vm="4478">
        <f ca="1"/>
        <v>36.200000000000003</v>
      </c>
      <c r="E361" s="101" vm="672">
        <f ca="1"/>
        <v>37.26</v>
      </c>
      <c r="F361" s="101" vm="4479">
        <f ca="1"/>
        <v>38.049999999999997</v>
      </c>
      <c r="G361" s="101" vm="4480">
        <f ca="1"/>
        <v>35.984999999999999</v>
      </c>
      <c r="H361" s="102" vm="4481">
        <f ca="1"/>
        <v>41671079</v>
      </c>
    </row>
    <row r="362" spans="3:8" x14ac:dyDescent="0.3">
      <c r="C362" s="100" vm="2087">
        <f ca="1"/>
        <v>44614</v>
      </c>
      <c r="D362" s="101" vm="4482">
        <f ca="1"/>
        <v>34.450000000000003</v>
      </c>
      <c r="E362" s="101" vm="4483">
        <f ca="1"/>
        <v>36.049999999999997</v>
      </c>
      <c r="F362" s="101" vm="667">
        <f ca="1"/>
        <v>36.22</v>
      </c>
      <c r="G362" s="101" vm="4484">
        <f ca="1"/>
        <v>33.04</v>
      </c>
      <c r="H362" s="102" vm="4485">
        <f ca="1"/>
        <v>45996386</v>
      </c>
    </row>
    <row r="363" spans="3:8" x14ac:dyDescent="0.3">
      <c r="C363" s="100" vm="2093">
        <f ca="1"/>
        <v>44620</v>
      </c>
      <c r="D363" s="101" vm="4486">
        <f ca="1"/>
        <v>36.35</v>
      </c>
      <c r="E363" s="101" vm="4487">
        <f ca="1"/>
        <v>34.29</v>
      </c>
      <c r="F363" s="101" vm="657">
        <f ca="1"/>
        <v>36.79</v>
      </c>
      <c r="G363" s="101" vm="4488">
        <f ca="1"/>
        <v>33.53</v>
      </c>
      <c r="H363" s="102" vm="4489">
        <f ca="1"/>
        <v>93426284</v>
      </c>
    </row>
    <row r="364" spans="3:8" x14ac:dyDescent="0.3">
      <c r="C364" s="100" vm="2099">
        <f ca="1"/>
        <v>44627</v>
      </c>
      <c r="D364" s="101" vm="4490">
        <f ca="1"/>
        <v>36.29</v>
      </c>
      <c r="E364" s="101" vm="4483">
        <f ca="1"/>
        <v>36.049999999999997</v>
      </c>
      <c r="F364" s="101" vm="4491">
        <f ca="1"/>
        <v>36.750100000000003</v>
      </c>
      <c r="G364" s="101" vm="4492">
        <f ca="1"/>
        <v>35.090000000000003</v>
      </c>
      <c r="H364" s="102" vm="4493">
        <f ca="1"/>
        <v>88314763</v>
      </c>
    </row>
    <row r="365" spans="3:8" x14ac:dyDescent="0.3">
      <c r="C365" s="100" vm="2105">
        <f ca="1"/>
        <v>44634</v>
      </c>
      <c r="D365" s="101" vm="4494">
        <f ca="1"/>
        <v>37.090000000000003</v>
      </c>
      <c r="E365" s="101" vm="4495">
        <f ca="1"/>
        <v>35.97</v>
      </c>
      <c r="F365" s="101" vm="4452">
        <f ca="1"/>
        <v>37.590000000000003</v>
      </c>
      <c r="G365" s="101" vm="4496">
        <f ca="1"/>
        <v>33.74</v>
      </c>
      <c r="H365" s="102" vm="4497">
        <f ca="1"/>
        <v>133287462</v>
      </c>
    </row>
    <row r="366" spans="3:8" x14ac:dyDescent="0.3">
      <c r="C366" s="100" vm="2111">
        <f ca="1"/>
        <v>44641</v>
      </c>
      <c r="D366" s="101" vm="1125">
        <f ca="1"/>
        <v>39.840000000000003</v>
      </c>
      <c r="E366" s="101" vm="4498">
        <f ca="1"/>
        <v>36.9</v>
      </c>
      <c r="F366" s="101" vm="1125">
        <f ca="1"/>
        <v>39.840000000000003</v>
      </c>
      <c r="G366" s="101" vm="4499">
        <f ca="1"/>
        <v>36.72</v>
      </c>
      <c r="H366" s="102" vm="4500">
        <f ca="1"/>
        <v>79218614</v>
      </c>
    </row>
    <row r="367" spans="3:8" x14ac:dyDescent="0.3">
      <c r="C367" s="100" vm="2117">
        <f ca="1"/>
        <v>44648</v>
      </c>
      <c r="D367" s="101" vm="4501">
        <f ca="1"/>
        <v>35.6</v>
      </c>
      <c r="E367" s="101" vm="4502">
        <f ca="1"/>
        <v>38.36</v>
      </c>
      <c r="F367" s="101" vm="4503">
        <f ca="1"/>
        <v>40.365000000000002</v>
      </c>
      <c r="G367" s="101" vm="572">
        <f ca="1"/>
        <v>34.994999999999997</v>
      </c>
      <c r="H367" s="102" vm="4504">
        <f ca="1"/>
        <v>89635373</v>
      </c>
    </row>
    <row r="368" spans="3:8" x14ac:dyDescent="0.3">
      <c r="C368" s="100" vm="2122">
        <f ca="1"/>
        <v>44655</v>
      </c>
      <c r="D368" s="101" vm="4505">
        <f ca="1"/>
        <v>38.630000000000003</v>
      </c>
      <c r="E368" s="101" vm="4506">
        <f ca="1"/>
        <v>35.78</v>
      </c>
      <c r="F368" s="101" vm="4507">
        <f ca="1"/>
        <v>41.47</v>
      </c>
      <c r="G368" s="101" vm="4508">
        <f ca="1"/>
        <v>34.465000000000003</v>
      </c>
      <c r="H368" s="102" vm="4509">
        <f ca="1"/>
        <v>174420185</v>
      </c>
    </row>
    <row r="369" spans="3:8" x14ac:dyDescent="0.3">
      <c r="C369" s="100" vm="2128">
        <f ca="1"/>
        <v>44662</v>
      </c>
      <c r="D369" s="101" vm="4510">
        <f ca="1"/>
        <v>37.47</v>
      </c>
      <c r="E369" s="101" vm="4470">
        <f ca="1"/>
        <v>38.44</v>
      </c>
      <c r="F369" s="101" vm="4511">
        <f ca="1"/>
        <v>39.54</v>
      </c>
      <c r="G369" s="101" vm="4512">
        <f ca="1"/>
        <v>37.450000000000003</v>
      </c>
      <c r="H369" s="102" vm="4513">
        <f ca="1"/>
        <v>48872676</v>
      </c>
    </row>
    <row r="370" spans="3:8" x14ac:dyDescent="0.3">
      <c r="C370" s="100" vm="2134">
        <f ca="1"/>
        <v>44669</v>
      </c>
      <c r="D370" s="101" vm="657">
        <f ca="1"/>
        <v>36.79</v>
      </c>
      <c r="E370" s="101" vm="4474">
        <f ca="1"/>
        <v>37.54</v>
      </c>
      <c r="F370" s="101" vm="4514">
        <f ca="1"/>
        <v>39.78</v>
      </c>
      <c r="G370" s="101" vm="4515">
        <f ca="1"/>
        <v>36.75</v>
      </c>
      <c r="H370" s="102" vm="4516">
        <f ca="1"/>
        <v>51085462</v>
      </c>
    </row>
    <row r="371" spans="3:8" x14ac:dyDescent="0.3">
      <c r="C371" s="100" vm="2140">
        <f ca="1"/>
        <v>44676</v>
      </c>
      <c r="D371" s="101" vm="4517">
        <f ca="1"/>
        <v>36.630000000000003</v>
      </c>
      <c r="E371" s="101" vm="4518">
        <f ca="1"/>
        <v>36.6</v>
      </c>
      <c r="F371" s="101" vm="4519">
        <f ca="1"/>
        <v>38.204999999999998</v>
      </c>
      <c r="G371" s="101" vm="4441">
        <f ca="1"/>
        <v>36.090000000000003</v>
      </c>
      <c r="H371" s="102" vm="4520">
        <f ca="1"/>
        <v>47479770</v>
      </c>
    </row>
    <row r="372" spans="3:8" x14ac:dyDescent="0.3">
      <c r="C372" s="100" vm="2146">
        <f ca="1"/>
        <v>44683</v>
      </c>
      <c r="D372" s="101" vm="4494">
        <f ca="1"/>
        <v>37.090000000000003</v>
      </c>
      <c r="E372" s="101" vm="4521">
        <f ca="1"/>
        <v>36.619999999999997</v>
      </c>
      <c r="F372" s="101" vm="4522">
        <f ca="1"/>
        <v>39.520000000000003</v>
      </c>
      <c r="G372" s="101" vm="4523">
        <f ca="1"/>
        <v>36.01</v>
      </c>
      <c r="H372" s="102" vm="4524">
        <f ca="1"/>
        <v>45677324</v>
      </c>
    </row>
    <row r="373" spans="3:8" x14ac:dyDescent="0.3">
      <c r="C373" s="100" vm="2152">
        <f ca="1"/>
        <v>44690</v>
      </c>
      <c r="D373" s="101" vm="4525">
        <f ca="1"/>
        <v>36.78</v>
      </c>
      <c r="E373" s="101" vm="4526">
        <f ca="1"/>
        <v>36.159999999999997</v>
      </c>
      <c r="F373" s="101" vm="751">
        <f ca="1"/>
        <v>38.774999999999999</v>
      </c>
      <c r="G373" s="101" vm="4527">
        <f ca="1"/>
        <v>35</v>
      </c>
      <c r="H373" s="102" vm="4528">
        <f ca="1"/>
        <v>54942402</v>
      </c>
    </row>
    <row r="374" spans="3:8" x14ac:dyDescent="0.3">
      <c r="C374" s="100" vm="2158">
        <f ca="1"/>
        <v>44697</v>
      </c>
      <c r="D374" s="101" vm="4529">
        <f ca="1"/>
        <v>34.65</v>
      </c>
      <c r="E374" s="101" vm="4530">
        <f ca="1"/>
        <v>36.89</v>
      </c>
      <c r="F374" s="101" vm="4531">
        <f ca="1"/>
        <v>39.706600000000002</v>
      </c>
      <c r="G374" s="101" vm="4532">
        <f ca="1"/>
        <v>33.450000000000003</v>
      </c>
      <c r="H374" s="102" vm="4533">
        <f ca="1"/>
        <v>63629743</v>
      </c>
    </row>
    <row r="375" spans="3:8" x14ac:dyDescent="0.3">
      <c r="C375" s="100" vm="2164">
        <f ca="1"/>
        <v>44704</v>
      </c>
      <c r="D375" s="101" vm="4534">
        <f ca="1"/>
        <v>38.75</v>
      </c>
      <c r="E375" s="101" vm="4535">
        <f ca="1"/>
        <v>34.770000000000003</v>
      </c>
      <c r="F375" s="101" vm="4536">
        <f ca="1"/>
        <v>39.14</v>
      </c>
      <c r="G375" s="101" vm="4537">
        <f ca="1"/>
        <v>33.89</v>
      </c>
      <c r="H375" s="102" vm="4538">
        <f ca="1"/>
        <v>59469746</v>
      </c>
    </row>
    <row r="376" spans="3:8" x14ac:dyDescent="0.3">
      <c r="C376" s="100" vm="2170">
        <f ca="1"/>
        <v>44712</v>
      </c>
      <c r="D376" s="101" vm="4539">
        <f ca="1"/>
        <v>39.81</v>
      </c>
      <c r="E376" s="101" vm="4540">
        <f ca="1"/>
        <v>38.69</v>
      </c>
      <c r="F376" s="101" vm="4541">
        <f ca="1"/>
        <v>40.79</v>
      </c>
      <c r="G376" s="101" vm="4542">
        <f ca="1"/>
        <v>38.26</v>
      </c>
      <c r="H376" s="102" vm="4543">
        <f ca="1"/>
        <v>65444880</v>
      </c>
    </row>
    <row r="377" spans="3:8" x14ac:dyDescent="0.3">
      <c r="C377" s="100" vm="2176">
        <f ca="1"/>
        <v>44718</v>
      </c>
      <c r="D377" s="101" vm="4544">
        <f ca="1"/>
        <v>35.28</v>
      </c>
      <c r="E377" s="101" vm="4545">
        <f ca="1"/>
        <v>40.07</v>
      </c>
      <c r="F377" s="101" vm="4546">
        <f ca="1"/>
        <v>40.590000000000003</v>
      </c>
      <c r="G377" s="101" vm="4547">
        <f ca="1"/>
        <v>35.25</v>
      </c>
      <c r="H377" s="102" vm="4548">
        <f ca="1"/>
        <v>43058380</v>
      </c>
    </row>
    <row r="378" spans="3:8" x14ac:dyDescent="0.3">
      <c r="C378" s="100" vm="2182">
        <f ca="1"/>
        <v>44725</v>
      </c>
      <c r="D378" s="101" vm="4549">
        <f ca="1"/>
        <v>33.549999999999997</v>
      </c>
      <c r="E378" s="101" vm="4550">
        <f ca="1"/>
        <v>34.4</v>
      </c>
      <c r="F378" s="101" vm="4551">
        <f ca="1"/>
        <v>34.94</v>
      </c>
      <c r="G378" s="101" vm="4552">
        <f ca="1"/>
        <v>32.305</v>
      </c>
      <c r="H378" s="102" vm="4553">
        <f ca="1"/>
        <v>69508093</v>
      </c>
    </row>
    <row r="379" spans="3:8" x14ac:dyDescent="0.3">
      <c r="C379" s="100" vm="2188">
        <f ca="1"/>
        <v>44733</v>
      </c>
      <c r="D379" s="101" vm="4554">
        <f ca="1"/>
        <v>35.229999999999997</v>
      </c>
      <c r="E379" s="101" vm="4555">
        <f ca="1"/>
        <v>34.46</v>
      </c>
      <c r="F379" s="101" vm="4556">
        <f ca="1"/>
        <v>35.26</v>
      </c>
      <c r="G379" s="101" vm="4557">
        <f ca="1"/>
        <v>33.405000000000001</v>
      </c>
      <c r="H379" s="102" vm="4558">
        <f ca="1"/>
        <v>39846344</v>
      </c>
    </row>
    <row r="380" spans="3:8" x14ac:dyDescent="0.3">
      <c r="C380" s="100" vm="2194">
        <f ca="1"/>
        <v>44739</v>
      </c>
      <c r="D380" s="101" vm="4559">
        <f ca="1"/>
        <v>31.87</v>
      </c>
      <c r="E380" s="101" vm="4560">
        <f ca="1"/>
        <v>35.44</v>
      </c>
      <c r="F380" s="101" vm="4561">
        <f ca="1"/>
        <v>35.75</v>
      </c>
      <c r="G380" s="101" vm="4562">
        <f ca="1"/>
        <v>31.48</v>
      </c>
      <c r="H380" s="102" vm="4563">
        <f ca="1"/>
        <v>42092236</v>
      </c>
    </row>
    <row r="381" spans="3:8" x14ac:dyDescent="0.3">
      <c r="C381" s="100" vm="2200">
        <f ca="1"/>
        <v>44747</v>
      </c>
      <c r="D381" s="101" vm="4564">
        <f ca="1"/>
        <v>32.11</v>
      </c>
      <c r="E381" s="101" vm="4565">
        <f ca="1"/>
        <v>30.91</v>
      </c>
      <c r="F381" s="101" vm="4566">
        <f ca="1"/>
        <v>32.424999999999997</v>
      </c>
      <c r="G381" s="101" vm="4567">
        <f ca="1"/>
        <v>30.01</v>
      </c>
      <c r="H381" s="102" vm="4568">
        <f ca="1"/>
        <v>35884065</v>
      </c>
    </row>
    <row r="382" spans="3:8" x14ac:dyDescent="0.3">
      <c r="C382" s="100" vm="2206">
        <f ca="1"/>
        <v>44753</v>
      </c>
      <c r="D382" s="101" vm="4270">
        <f ca="1"/>
        <v>31.66</v>
      </c>
      <c r="E382" s="101" vm="4569">
        <f ca="1"/>
        <v>31.56</v>
      </c>
      <c r="F382" s="101" vm="4570">
        <f ca="1"/>
        <v>31.94</v>
      </c>
      <c r="G382" s="101" vm="4266">
        <f ca="1"/>
        <v>30.26</v>
      </c>
      <c r="H382" s="102" vm="4571">
        <f ca="1"/>
        <v>37521452</v>
      </c>
    </row>
    <row r="383" spans="3:8" x14ac:dyDescent="0.3">
      <c r="C383" s="100" vm="2211">
        <f ca="1"/>
        <v>44760</v>
      </c>
      <c r="D383" s="101" vm="4572">
        <f ca="1"/>
        <v>32.47</v>
      </c>
      <c r="E383" s="101" vm="4573">
        <f ca="1"/>
        <v>31.99</v>
      </c>
      <c r="F383" s="101" vm="4574">
        <f ca="1"/>
        <v>33.57</v>
      </c>
      <c r="G383" s="101" vm="4575">
        <f ca="1"/>
        <v>31.37</v>
      </c>
      <c r="H383" s="102" vm="4576">
        <f ca="1"/>
        <v>36326940</v>
      </c>
    </row>
    <row r="384" spans="3:8" x14ac:dyDescent="0.3">
      <c r="C384" s="100" vm="2217">
        <f ca="1"/>
        <v>44767</v>
      </c>
      <c r="D384" s="101" vm="4577">
        <f ca="1"/>
        <v>33.39</v>
      </c>
      <c r="E384" s="101" vm="4578">
        <f ca="1"/>
        <v>32.64</v>
      </c>
      <c r="F384" s="101" vm="4579">
        <f ca="1"/>
        <v>33.42</v>
      </c>
      <c r="G384" s="101" vm="4580">
        <f ca="1"/>
        <v>31.85</v>
      </c>
      <c r="H384" s="102" vm="4581">
        <f ca="1"/>
        <v>30554540</v>
      </c>
    </row>
    <row r="385" spans="3:8" x14ac:dyDescent="0.3">
      <c r="C385" s="100" vm="2223">
        <f ca="1"/>
        <v>44774</v>
      </c>
      <c r="D385" s="101" vm="4582">
        <f ca="1"/>
        <v>33.58</v>
      </c>
      <c r="E385" s="101" vm="4583">
        <f ca="1"/>
        <v>33.049999999999997</v>
      </c>
      <c r="F385" s="101" vm="4584">
        <f ca="1"/>
        <v>33.99</v>
      </c>
      <c r="G385" s="101" vm="4585">
        <f ca="1"/>
        <v>32.299999999999997</v>
      </c>
      <c r="H385" s="102" vm="4586">
        <f ca="1"/>
        <v>32334527</v>
      </c>
    </row>
    <row r="386" spans="3:8" x14ac:dyDescent="0.3">
      <c r="C386" s="100" vm="2229">
        <f ca="1"/>
        <v>44781</v>
      </c>
      <c r="D386" s="101" vm="4529">
        <f ca="1"/>
        <v>34.65</v>
      </c>
      <c r="E386" s="101" vm="4289">
        <f ca="1"/>
        <v>33.799999999999997</v>
      </c>
      <c r="F386" s="101" vm="4587">
        <f ca="1"/>
        <v>34.78</v>
      </c>
      <c r="G386" s="101" vm="4274">
        <f ca="1"/>
        <v>32.049999999999997</v>
      </c>
      <c r="H386" s="102" vm="4588">
        <f ca="1"/>
        <v>34827467</v>
      </c>
    </row>
    <row r="387" spans="3:8" x14ac:dyDescent="0.3">
      <c r="C387" s="100" vm="2234">
        <f ca="1"/>
        <v>44788</v>
      </c>
      <c r="D387" s="101" vm="4589">
        <f ca="1"/>
        <v>34.229999999999997</v>
      </c>
      <c r="E387" s="101" vm="560">
        <f ca="1"/>
        <v>34.369999999999997</v>
      </c>
      <c r="F387" s="101" vm="4590">
        <f ca="1"/>
        <v>35.32</v>
      </c>
      <c r="G387" s="101" vm="4591">
        <f ca="1"/>
        <v>33.659999999999997</v>
      </c>
      <c r="H387" s="102" vm="4592">
        <f ca="1"/>
        <v>33795133</v>
      </c>
    </row>
    <row r="388" spans="3:8" x14ac:dyDescent="0.3">
      <c r="C388" s="100" vm="2239">
        <f ca="1"/>
        <v>44795</v>
      </c>
      <c r="D388" s="101" vm="4415">
        <f ca="1"/>
        <v>31.39</v>
      </c>
      <c r="E388" s="101" vm="4593">
        <f ca="1"/>
        <v>33.715000000000003</v>
      </c>
      <c r="F388" s="101" vm="4594">
        <f ca="1"/>
        <v>34.520000000000003</v>
      </c>
      <c r="G388" s="101" vm="4575">
        <f ca="1"/>
        <v>31.37</v>
      </c>
      <c r="H388" s="102" vm="4595">
        <f ca="1"/>
        <v>40278360</v>
      </c>
    </row>
    <row r="389" spans="3:8" x14ac:dyDescent="0.3">
      <c r="C389" s="100" vm="2244">
        <f ca="1"/>
        <v>44802</v>
      </c>
      <c r="D389" s="101" vm="4596">
        <f ca="1"/>
        <v>27.64</v>
      </c>
      <c r="E389" s="101" vm="4597">
        <f ca="1"/>
        <v>31.05</v>
      </c>
      <c r="F389" s="101" vm="4598">
        <f ca="1"/>
        <v>31.984999999999999</v>
      </c>
      <c r="G389" s="101" vm="487">
        <f ca="1"/>
        <v>27.53</v>
      </c>
      <c r="H389" s="102" vm="4599">
        <f ca="1"/>
        <v>83442655</v>
      </c>
    </row>
    <row r="390" spans="3:8" x14ac:dyDescent="0.3">
      <c r="C390" s="100" vm="2250">
        <f ca="1"/>
        <v>44810</v>
      </c>
      <c r="D390" s="101" vm="4600">
        <f ca="1"/>
        <v>28.26</v>
      </c>
      <c r="E390" s="101" vm="4601">
        <f ca="1"/>
        <v>27.61</v>
      </c>
      <c r="F390" s="101" vm="4602">
        <f ca="1"/>
        <v>28.36</v>
      </c>
      <c r="G390" s="101" vm="4603">
        <f ca="1"/>
        <v>26.864999999999998</v>
      </c>
      <c r="H390" s="102" vm="4604">
        <f ca="1"/>
        <v>44262078</v>
      </c>
    </row>
    <row r="391" spans="3:8" x14ac:dyDescent="0.3">
      <c r="C391" s="100" vm="2256">
        <f ca="1"/>
        <v>44816</v>
      </c>
      <c r="D391" s="101" vm="4605">
        <f ca="1"/>
        <v>27.23</v>
      </c>
      <c r="E391" s="101" vm="460">
        <f ca="1"/>
        <v>28.45</v>
      </c>
      <c r="F391" s="101" vm="4330">
        <f ca="1"/>
        <v>28.9</v>
      </c>
      <c r="G391" s="101" vm="4606">
        <f ca="1"/>
        <v>26.52</v>
      </c>
      <c r="H391" s="102" vm="4607">
        <f ca="1"/>
        <v>79907213</v>
      </c>
    </row>
    <row r="392" spans="3:8" x14ac:dyDescent="0.3">
      <c r="C392" s="100" vm="2262">
        <f ca="1"/>
        <v>44823</v>
      </c>
      <c r="D392" s="101" vm="4608">
        <f ca="1"/>
        <v>25.35</v>
      </c>
      <c r="E392" s="101" vm="4609">
        <f ca="1"/>
        <v>26.98</v>
      </c>
      <c r="F392" s="101" vm="4610">
        <f ca="1"/>
        <v>27.315000000000001</v>
      </c>
      <c r="G392" s="101" vm="4611">
        <f ca="1"/>
        <v>24.92</v>
      </c>
      <c r="H392" s="102" vm="4612">
        <f ca="1"/>
        <v>45929551</v>
      </c>
    </row>
    <row r="393" spans="3:8" x14ac:dyDescent="0.3">
      <c r="C393" s="100" vm="2267">
        <f ca="1"/>
        <v>44830</v>
      </c>
      <c r="D393" s="101" vm="4611">
        <f ca="1"/>
        <v>24.92</v>
      </c>
      <c r="E393" s="101" vm="4613">
        <f ca="1"/>
        <v>25.07</v>
      </c>
      <c r="F393" s="101" vm="4614">
        <f ca="1"/>
        <v>25.69</v>
      </c>
      <c r="G393" s="101" vm="4615">
        <f ca="1"/>
        <v>24.734999999999999</v>
      </c>
      <c r="H393" s="102" vm="4616">
        <f ca="1"/>
        <v>39524230</v>
      </c>
    </row>
    <row r="394" spans="3:8" x14ac:dyDescent="0.3">
      <c r="C394" s="100" vm="2273">
        <f ca="1"/>
        <v>44837</v>
      </c>
      <c r="D394" s="101" vm="3806">
        <f ca="1"/>
        <v>25.04</v>
      </c>
      <c r="E394" s="101" vm="3818">
        <f ca="1"/>
        <v>25.34</v>
      </c>
      <c r="F394" s="101" vm="4617">
        <f ca="1"/>
        <v>27.04</v>
      </c>
      <c r="G394" s="101" vm="345">
        <f ca="1"/>
        <v>24.9</v>
      </c>
      <c r="H394" s="102" vm="4618">
        <f ca="1"/>
        <v>43959240</v>
      </c>
    </row>
    <row r="395" spans="3:8" x14ac:dyDescent="0.3">
      <c r="C395" s="100" vm="2279">
        <f ca="1"/>
        <v>44844</v>
      </c>
      <c r="D395" s="101" vm="4229">
        <f ca="1"/>
        <v>25.44</v>
      </c>
      <c r="E395" s="101" vm="3798">
        <f ca="1"/>
        <v>25.28</v>
      </c>
      <c r="F395" s="101" vm="4619">
        <f ca="1"/>
        <v>26.35</v>
      </c>
      <c r="G395" s="101" vm="4620">
        <f ca="1"/>
        <v>24.074999999999999</v>
      </c>
      <c r="H395" s="102" vm="4621">
        <f ca="1"/>
        <v>44234591</v>
      </c>
    </row>
    <row r="396" spans="3:8" x14ac:dyDescent="0.3">
      <c r="C396" s="100" vm="2285">
        <f ca="1"/>
        <v>44851</v>
      </c>
      <c r="D396" s="101" vm="404">
        <f ca="1"/>
        <v>26.79</v>
      </c>
      <c r="E396" s="101" vm="4622">
        <f ca="1"/>
        <v>25.87</v>
      </c>
      <c r="F396" s="101" vm="4623">
        <f ca="1"/>
        <v>26.835000000000001</v>
      </c>
      <c r="G396" s="101" vm="4624">
        <f ca="1"/>
        <v>25.204999999999998</v>
      </c>
      <c r="H396" s="102" vm="4625">
        <f ca="1"/>
        <v>36123295</v>
      </c>
    </row>
    <row r="397" spans="3:8" x14ac:dyDescent="0.3">
      <c r="C397" s="100" vm="2291">
        <f ca="1"/>
        <v>44858</v>
      </c>
      <c r="D397" s="101" vm="4626">
        <f ca="1"/>
        <v>28.05</v>
      </c>
      <c r="E397" s="101" vm="421">
        <f ca="1"/>
        <v>27</v>
      </c>
      <c r="F397" s="101" vm="4627">
        <f ca="1"/>
        <v>28.12</v>
      </c>
      <c r="G397" s="101" vm="413">
        <f ca="1"/>
        <v>26.734999999999999</v>
      </c>
      <c r="H397" s="102" vm="4628">
        <f ca="1"/>
        <v>34142688</v>
      </c>
    </row>
    <row r="398" spans="3:8" x14ac:dyDescent="0.3">
      <c r="C398" s="100" vm="2297">
        <f ca="1"/>
        <v>44865</v>
      </c>
      <c r="D398" s="101" vm="4629">
        <f ca="1"/>
        <v>28.29</v>
      </c>
      <c r="E398" s="101" vm="4630">
        <f ca="1"/>
        <v>27.79</v>
      </c>
      <c r="F398" s="101" vm="4631">
        <f ca="1"/>
        <v>28.31</v>
      </c>
      <c r="G398" s="101" vm="4632">
        <f ca="1"/>
        <v>26.2</v>
      </c>
      <c r="H398" s="102" vm="4633">
        <f ca="1"/>
        <v>35227681</v>
      </c>
    </row>
    <row r="399" spans="3:8" x14ac:dyDescent="0.3">
      <c r="C399" s="100" vm="2302">
        <f ca="1"/>
        <v>44872</v>
      </c>
      <c r="D399" s="101" vm="4634">
        <f ca="1"/>
        <v>30.55</v>
      </c>
      <c r="E399" s="101" vm="4350">
        <f ca="1"/>
        <v>28.35</v>
      </c>
      <c r="F399" s="101" vm="4635">
        <f ca="1"/>
        <v>30.684999999999999</v>
      </c>
      <c r="G399" s="101" vm="4636">
        <f ca="1"/>
        <v>27.72</v>
      </c>
      <c r="H399" s="102" vm="4637">
        <f ca="1"/>
        <v>48406343</v>
      </c>
    </row>
    <row r="400" spans="3:8" x14ac:dyDescent="0.3">
      <c r="C400" s="100" vm="2308">
        <f ca="1"/>
        <v>44879</v>
      </c>
      <c r="D400" s="101" vm="4638">
        <f ca="1"/>
        <v>29.48</v>
      </c>
      <c r="E400" s="101" vm="4639">
        <f ca="1"/>
        <v>30.17</v>
      </c>
      <c r="F400" s="101" vm="4640">
        <f ca="1"/>
        <v>31.085000000000001</v>
      </c>
      <c r="G400" s="101" vm="4641">
        <f ca="1"/>
        <v>28.305</v>
      </c>
      <c r="H400" s="102" vm="4642">
        <f ca="1"/>
        <v>45021712</v>
      </c>
    </row>
    <row r="401" spans="3:8" x14ac:dyDescent="0.3">
      <c r="C401" s="100" vm="2313">
        <f ca="1"/>
        <v>44886</v>
      </c>
      <c r="D401" s="101" vm="4643">
        <f ca="1"/>
        <v>30.15</v>
      </c>
      <c r="E401" s="101" vm="4644">
        <f ca="1"/>
        <v>29.16</v>
      </c>
      <c r="F401" s="101" vm="4645">
        <f ca="1"/>
        <v>30.74</v>
      </c>
      <c r="G401" s="101" vm="4631">
        <f ca="1"/>
        <v>28.31</v>
      </c>
      <c r="H401" s="102" vm="4646">
        <f ca="1"/>
        <v>49512590</v>
      </c>
    </row>
    <row r="402" spans="3:8" x14ac:dyDescent="0.3">
      <c r="C402" s="100" vm="2319">
        <f ca="1"/>
        <v>44893</v>
      </c>
      <c r="D402" s="101" vm="4336">
        <f ca="1"/>
        <v>29.64</v>
      </c>
      <c r="E402" s="101" vm="4255">
        <f ca="1"/>
        <v>29.75</v>
      </c>
      <c r="F402" s="101" vm="4647">
        <f ca="1"/>
        <v>30.23</v>
      </c>
      <c r="G402" s="101" vm="4648">
        <f ca="1"/>
        <v>28.72</v>
      </c>
      <c r="H402" s="102" vm="4649">
        <f ca="1"/>
        <v>35733935</v>
      </c>
    </row>
    <row r="403" spans="3:8" x14ac:dyDescent="0.3">
      <c r="C403" s="100" vm="2325">
        <f ca="1"/>
        <v>44900</v>
      </c>
      <c r="D403" s="101" vm="4380">
        <f ca="1"/>
        <v>28.21</v>
      </c>
      <c r="E403" s="101" vm="4650">
        <f ca="1"/>
        <v>29.41</v>
      </c>
      <c r="F403" s="101" vm="4651">
        <f ca="1"/>
        <v>29.62</v>
      </c>
      <c r="G403" s="101" vm="4652">
        <f ca="1"/>
        <v>27.625</v>
      </c>
      <c r="H403" s="102" vm="4653">
        <f ca="1"/>
        <v>30863698</v>
      </c>
    </row>
    <row r="404" spans="3:8" x14ac:dyDescent="0.3">
      <c r="C404" s="100" vm="2330">
        <f ca="1"/>
        <v>44907</v>
      </c>
      <c r="D404" s="101" vm="4654">
        <f ca="1"/>
        <v>26.72</v>
      </c>
      <c r="E404" s="101" vm="4655">
        <f ca="1"/>
        <v>28.18</v>
      </c>
      <c r="F404" s="101" vm="4656">
        <f ca="1"/>
        <v>29.73</v>
      </c>
      <c r="G404" s="101" vm="4657">
        <f ca="1"/>
        <v>26.41</v>
      </c>
      <c r="H404" s="102" vm="4658">
        <f ca="1"/>
        <v>50121007</v>
      </c>
    </row>
    <row r="405" spans="3:8" x14ac:dyDescent="0.3">
      <c r="C405" s="100" vm="2336">
        <f ca="1"/>
        <v>44914</v>
      </c>
      <c r="D405" s="101" vm="4659">
        <f ca="1"/>
        <v>26.76</v>
      </c>
      <c r="E405" s="101" vm="4659">
        <f ca="1"/>
        <v>26.76</v>
      </c>
      <c r="F405" s="101" vm="421">
        <f ca="1"/>
        <v>27</v>
      </c>
      <c r="G405" s="101" vm="4660">
        <f ca="1"/>
        <v>26.085000000000001</v>
      </c>
      <c r="H405" s="102" vm="4661">
        <f ca="1"/>
        <v>24948972</v>
      </c>
    </row>
    <row r="406" spans="3:8" x14ac:dyDescent="0.3">
      <c r="C406" s="100" vm="2342">
        <f ca="1"/>
        <v>44922</v>
      </c>
      <c r="D406" s="101" vm="396">
        <f ca="1"/>
        <v>26.87</v>
      </c>
      <c r="E406" s="101" vm="4662">
        <f ca="1"/>
        <v>26.77</v>
      </c>
      <c r="F406" s="101" vm="4663">
        <f ca="1"/>
        <v>27.3</v>
      </c>
      <c r="G406" s="101" vm="309">
        <f ca="1"/>
        <v>26.42</v>
      </c>
      <c r="H406" s="102" vm="4664">
        <f ca="1"/>
        <v>19632144</v>
      </c>
    </row>
    <row r="407" spans="3:8" x14ac:dyDescent="0.3">
      <c r="C407" s="100" vm="2348">
        <f ca="1"/>
        <v>44929</v>
      </c>
      <c r="D407" s="101" vm="4602">
        <f ca="1"/>
        <v>28.36</v>
      </c>
      <c r="E407" s="101" vm="421">
        <f ca="1"/>
        <v>27</v>
      </c>
      <c r="F407" s="101" vm="4665">
        <f ca="1"/>
        <v>28.57</v>
      </c>
      <c r="G407" s="101" vm="4666">
        <f ca="1"/>
        <v>26.574999999999999</v>
      </c>
      <c r="H407" s="102" vm="4667">
        <f ca="1"/>
        <v>22571516</v>
      </c>
    </row>
    <row r="408" spans="3:8" x14ac:dyDescent="0.3">
      <c r="C408" s="100" vm="2354">
        <f ca="1"/>
        <v>44935</v>
      </c>
      <c r="D408" s="101" vm="443">
        <f ca="1"/>
        <v>27.91</v>
      </c>
      <c r="E408" s="101" vm="4668">
        <f ca="1"/>
        <v>28.63</v>
      </c>
      <c r="F408" s="101" vm="4669">
        <f ca="1"/>
        <v>29.175000000000001</v>
      </c>
      <c r="G408" s="101" vm="4670">
        <f ca="1"/>
        <v>27.62</v>
      </c>
      <c r="H408" s="102" vm="4671">
        <f ca="1"/>
        <v>29619531</v>
      </c>
    </row>
    <row r="409" spans="3:8" x14ac:dyDescent="0.3">
      <c r="C409" s="100" vm="2360">
        <f ca="1"/>
        <v>44943</v>
      </c>
      <c r="D409" s="101" vm="443">
        <f ca="1"/>
        <v>27.91</v>
      </c>
      <c r="E409" s="101" vm="4672">
        <f ca="1"/>
        <v>27.86</v>
      </c>
      <c r="F409" s="101" vm="93">
        <f ca="1"/>
        <v>28.024999999999999</v>
      </c>
      <c r="G409" s="101" vm="4659">
        <f ca="1"/>
        <v>26.76</v>
      </c>
      <c r="H409" s="102" vm="4673">
        <f ca="1"/>
        <v>23946161</v>
      </c>
    </row>
    <row r="410" spans="3:8" x14ac:dyDescent="0.3">
      <c r="C410" s="100" vm="2365">
        <f ca="1"/>
        <v>44949</v>
      </c>
      <c r="D410" s="101" vm="4311">
        <f ca="1"/>
        <v>29.23</v>
      </c>
      <c r="E410" s="101" vm="4626">
        <f ca="1"/>
        <v>28.05</v>
      </c>
      <c r="F410" s="101" vm="521">
        <f ca="1"/>
        <v>29.54</v>
      </c>
      <c r="G410" s="101" vm="4674">
        <f ca="1"/>
        <v>27.9</v>
      </c>
      <c r="H410" s="102" vm="4675">
        <f ca="1"/>
        <v>24898073</v>
      </c>
    </row>
    <row r="411" spans="3:8" x14ac:dyDescent="0.3">
      <c r="C411" s="100" vm="2371">
        <f ca="1"/>
        <v>44956</v>
      </c>
      <c r="D411" s="101" vm="4676">
        <f ca="1"/>
        <v>30.51</v>
      </c>
      <c r="E411" s="101" vm="4330">
        <f ca="1"/>
        <v>28.9</v>
      </c>
      <c r="F411" s="101" vm="4677">
        <f ca="1"/>
        <v>31.02</v>
      </c>
      <c r="G411" s="101" vm="4678">
        <f ca="1"/>
        <v>28.6</v>
      </c>
      <c r="H411" s="102" vm="4679">
        <f ca="1"/>
        <v>27111384</v>
      </c>
    </row>
    <row r="412" spans="3:8" x14ac:dyDescent="0.3">
      <c r="C412" s="100" vm="2376">
        <f ca="1"/>
        <v>44963</v>
      </c>
      <c r="D412" s="101" vm="4680">
        <f ca="1"/>
        <v>29.97</v>
      </c>
      <c r="E412" s="101" vm="4681">
        <f ca="1"/>
        <v>30.22</v>
      </c>
      <c r="F412" s="101" vm="4682">
        <f ca="1"/>
        <v>30.32</v>
      </c>
      <c r="G412" s="101" vm="4683">
        <f ca="1"/>
        <v>29.34</v>
      </c>
      <c r="H412" s="102" vm="4684">
        <f ca="1"/>
        <v>22823156</v>
      </c>
    </row>
    <row r="413" spans="3:8" x14ac:dyDescent="0.3">
      <c r="C413" s="100" vm="2382">
        <f ca="1"/>
        <v>44970</v>
      </c>
      <c r="D413" s="101" vm="4685">
        <f ca="1"/>
        <v>30.16</v>
      </c>
      <c r="E413" s="101" vm="4371">
        <f ca="1"/>
        <v>29.86</v>
      </c>
      <c r="F413" s="101" vm="4686">
        <f ca="1"/>
        <v>30.57</v>
      </c>
      <c r="G413" s="101" vm="4687">
        <f ca="1"/>
        <v>29.744700000000002</v>
      </c>
      <c r="H413" s="102" vm="4688">
        <f ca="1"/>
        <v>23470997</v>
      </c>
    </row>
    <row r="414" spans="3:8" x14ac:dyDescent="0.3">
      <c r="C414" s="100" vm="2388">
        <f ca="1"/>
        <v>44978</v>
      </c>
      <c r="D414" s="101" vm="4689">
        <f ca="1"/>
        <v>29.22</v>
      </c>
      <c r="E414" s="101" vm="4690">
        <f ca="1"/>
        <v>29.63</v>
      </c>
      <c r="F414" s="101" vm="4656">
        <f ca="1"/>
        <v>29.73</v>
      </c>
      <c r="G414" s="101" vm="4357">
        <f ca="1"/>
        <v>28.914999999999999</v>
      </c>
      <c r="H414" s="102" vm="4691">
        <f ca="1"/>
        <v>23197100</v>
      </c>
    </row>
    <row r="415" spans="3:8" x14ac:dyDescent="0.3">
      <c r="C415" s="100" vm="2394">
        <f ca="1"/>
        <v>44984</v>
      </c>
      <c r="D415" s="101" vm="4692">
        <f ca="1"/>
        <v>28.61</v>
      </c>
      <c r="E415" s="101" vm="4693">
        <f ca="1"/>
        <v>29.57</v>
      </c>
      <c r="F415" s="101" vm="4266">
        <f ca="1"/>
        <v>30.26</v>
      </c>
      <c r="G415" s="101" vm="4694">
        <f ca="1"/>
        <v>28.15</v>
      </c>
      <c r="H415" s="102" vm="4695">
        <f ca="1"/>
        <v>47267734</v>
      </c>
    </row>
    <row r="416" spans="3:8" x14ac:dyDescent="0.3">
      <c r="C416" s="100" vm="2400">
        <f ca="1"/>
        <v>44991</v>
      </c>
      <c r="D416" s="101" vm="4696">
        <f ca="1"/>
        <v>27.45</v>
      </c>
      <c r="E416" s="101" vm="4349">
        <f ca="1"/>
        <v>28.87</v>
      </c>
      <c r="F416" s="101" vm="4697">
        <f ca="1"/>
        <v>29.085000000000001</v>
      </c>
      <c r="G416" s="101" vm="4698">
        <f ca="1"/>
        <v>27.05</v>
      </c>
      <c r="H416" s="102" vm="4699">
        <f ca="1"/>
        <v>34643790</v>
      </c>
    </row>
    <row r="417" spans="3:8" x14ac:dyDescent="0.3">
      <c r="C417" s="100" vm="2406">
        <f ca="1"/>
        <v>44998</v>
      </c>
      <c r="D417" s="101" vm="4700">
        <f ca="1"/>
        <v>28.04</v>
      </c>
      <c r="E417" s="101" vm="4701">
        <f ca="1"/>
        <v>27.11</v>
      </c>
      <c r="F417" s="101" vm="4702">
        <f ca="1"/>
        <v>28.424900000000001</v>
      </c>
      <c r="G417" s="101" vm="4703">
        <f ca="1"/>
        <v>26.93</v>
      </c>
      <c r="H417" s="102" vm="4704">
        <f ca="1"/>
        <v>54658889</v>
      </c>
    </row>
    <row r="418" spans="3:8" x14ac:dyDescent="0.3">
      <c r="C418" s="100" vm="2411">
        <f ca="1"/>
        <v>45005</v>
      </c>
      <c r="D418" s="101" vm="4636">
        <f ca="1"/>
        <v>27.72</v>
      </c>
      <c r="E418" s="101" vm="4655">
        <f ca="1"/>
        <v>28.18</v>
      </c>
      <c r="F418" s="101" vm="4705">
        <f ca="1"/>
        <v>28.79</v>
      </c>
      <c r="G418" s="101" vm="4706">
        <f ca="1"/>
        <v>27.24</v>
      </c>
      <c r="H418" s="102" vm="4707">
        <f ca="1"/>
        <v>30580312</v>
      </c>
    </row>
    <row r="419" spans="3:8" x14ac:dyDescent="0.3">
      <c r="C419" s="100" vm="2417">
        <f ca="1"/>
        <v>45012</v>
      </c>
      <c r="D419" s="101" vm="4708">
        <f ca="1"/>
        <v>29.35</v>
      </c>
      <c r="E419" s="101" vm="4396">
        <f ca="1"/>
        <v>27.97</v>
      </c>
      <c r="F419" s="101" vm="4709">
        <f ca="1"/>
        <v>29.39</v>
      </c>
      <c r="G419" s="101" vm="4710">
        <f ca="1"/>
        <v>27.42</v>
      </c>
      <c r="H419" s="102" vm="4711">
        <f ca="1"/>
        <v>25665614</v>
      </c>
    </row>
    <row r="420" spans="3:8" x14ac:dyDescent="0.3">
      <c r="C420" s="100" vm="2423">
        <f ca="1"/>
        <v>45019</v>
      </c>
      <c r="D420" s="101" vm="4712">
        <f ca="1"/>
        <v>29.29</v>
      </c>
      <c r="E420" s="101" vm="4683">
        <f ca="1"/>
        <v>29.34</v>
      </c>
      <c r="F420" s="101" vm="4265">
        <f ca="1"/>
        <v>30.08</v>
      </c>
      <c r="G420" s="101" vm="4713">
        <f ca="1"/>
        <v>29.18</v>
      </c>
      <c r="H420" s="102" vm="4714">
        <f ca="1"/>
        <v>21151929</v>
      </c>
    </row>
    <row r="421" spans="3:8" x14ac:dyDescent="0.3">
      <c r="C421" s="100" vm="2429">
        <f ca="1"/>
        <v>45026</v>
      </c>
      <c r="D421" s="101" vm="4715">
        <f ca="1"/>
        <v>29.82</v>
      </c>
      <c r="E421" s="101" vm="4716">
        <f ca="1"/>
        <v>29.17</v>
      </c>
      <c r="F421" s="101" vm="4315">
        <f ca="1"/>
        <v>30.63</v>
      </c>
      <c r="G421" s="101" vm="4717">
        <f ca="1"/>
        <v>29.12</v>
      </c>
      <c r="H421" s="102" vm="4718">
        <f ca="1"/>
        <v>28087577</v>
      </c>
    </row>
    <row r="422" spans="3:8" x14ac:dyDescent="0.3">
      <c r="C422" s="100" vm="2435">
        <f ca="1"/>
        <v>45033</v>
      </c>
      <c r="D422" s="101" vm="4638">
        <f ca="1"/>
        <v>29.48</v>
      </c>
      <c r="E422" s="101" vm="4334">
        <f ca="1"/>
        <v>30.7</v>
      </c>
      <c r="F422" s="101" vm="4719">
        <f ca="1"/>
        <v>31.47</v>
      </c>
      <c r="G422" s="101" vm="4644">
        <f ca="1"/>
        <v>29.16</v>
      </c>
      <c r="H422" s="102" vm="4720">
        <f ca="1"/>
        <v>32743195</v>
      </c>
    </row>
    <row r="423" spans="3:8" x14ac:dyDescent="0.3">
      <c r="C423" s="100" vm="2440">
        <f ca="1"/>
        <v>45040</v>
      </c>
      <c r="D423" s="101" vm="4329">
        <f ca="1"/>
        <v>29.71</v>
      </c>
      <c r="E423" s="101" vm="4721">
        <f ca="1"/>
        <v>29.44</v>
      </c>
      <c r="F423" s="101" vm="4722">
        <f ca="1"/>
        <v>30.07</v>
      </c>
      <c r="G423" s="101" vm="4648">
        <f ca="1"/>
        <v>28.72</v>
      </c>
      <c r="H423" s="102" vm="4723">
        <f ca="1"/>
        <v>28490773</v>
      </c>
    </row>
    <row r="424" spans="3:8" x14ac:dyDescent="0.3">
      <c r="C424" s="100" vm="2445">
        <f ca="1"/>
        <v>45047</v>
      </c>
      <c r="D424" s="101" vm="4724">
        <f ca="1"/>
        <v>30.13</v>
      </c>
      <c r="E424" s="101" vm="4371">
        <f ca="1"/>
        <v>29.86</v>
      </c>
      <c r="F424" s="101" vm="4725">
        <f ca="1"/>
        <v>30.48</v>
      </c>
      <c r="G424" s="101" vm="4726">
        <f ca="1"/>
        <v>29.27</v>
      </c>
      <c r="H424" s="102" vm="4727">
        <f ca="1"/>
        <v>26706426</v>
      </c>
    </row>
    <row r="425" spans="3:8" x14ac:dyDescent="0.3">
      <c r="C425" s="100" vm="2451">
        <f ca="1"/>
        <v>45054</v>
      </c>
      <c r="D425" s="101" vm="4330">
        <f ca="1"/>
        <v>28.9</v>
      </c>
      <c r="E425" s="101" vm="4252">
        <f ca="1"/>
        <v>30.25</v>
      </c>
      <c r="F425" s="101" vm="4728">
        <f ca="1"/>
        <v>30.680099999999999</v>
      </c>
      <c r="G425" s="101" vm="4729">
        <f ca="1"/>
        <v>28.53</v>
      </c>
      <c r="H425" s="102" vm="4730">
        <f ca="1"/>
        <v>28845487</v>
      </c>
    </row>
    <row r="426" spans="3:8" x14ac:dyDescent="0.3">
      <c r="C426" s="100" vm="2457">
        <f ca="1"/>
        <v>45061</v>
      </c>
      <c r="D426" s="101" vm="4731">
        <f ca="1"/>
        <v>30.54</v>
      </c>
      <c r="E426" s="101" vm="4349">
        <f ca="1"/>
        <v>28.87</v>
      </c>
      <c r="F426" s="101" vm="4406">
        <f ca="1"/>
        <v>30.98</v>
      </c>
      <c r="G426" s="101" vm="4732">
        <f ca="1"/>
        <v>28.8</v>
      </c>
      <c r="H426" s="102" vm="4733">
        <f ca="1"/>
        <v>27947420</v>
      </c>
    </row>
    <row r="427" spans="3:8" x14ac:dyDescent="0.3">
      <c r="C427" s="100" vm="2463">
        <f ca="1"/>
        <v>45068</v>
      </c>
      <c r="D427" s="101" vm="4734">
        <f ca="1"/>
        <v>31.3</v>
      </c>
      <c r="E427" s="101" vm="4735">
        <f ca="1"/>
        <v>30.49</v>
      </c>
      <c r="F427" s="101" vm="4736">
        <f ca="1"/>
        <v>31.4</v>
      </c>
      <c r="G427" s="101" vm="4737">
        <f ca="1"/>
        <v>29.83</v>
      </c>
      <c r="H427" s="102" vm="4738">
        <f ca="1"/>
        <v>32891334</v>
      </c>
    </row>
    <row r="428" spans="3:8" x14ac:dyDescent="0.3">
      <c r="C428" s="100" vm="2469">
        <f ca="1"/>
        <v>45076</v>
      </c>
      <c r="D428" s="101" vm="4634">
        <f ca="1"/>
        <v>30.55</v>
      </c>
      <c r="E428" s="101" vm="4739">
        <f ca="1"/>
        <v>31.62</v>
      </c>
      <c r="F428" s="101" vm="4740">
        <f ca="1"/>
        <v>31.71</v>
      </c>
      <c r="G428" s="101" vm="430">
        <f ca="1"/>
        <v>28.73</v>
      </c>
      <c r="H428" s="102" vm="4741">
        <f ca="1"/>
        <v>67211097</v>
      </c>
    </row>
    <row r="429" spans="3:8" x14ac:dyDescent="0.3">
      <c r="C429" s="100" vm="2475">
        <f ca="1"/>
        <v>45082</v>
      </c>
      <c r="D429" s="101" vm="4742">
        <f ca="1"/>
        <v>29.8</v>
      </c>
      <c r="E429" s="101" vm="4743">
        <f ca="1"/>
        <v>30.46</v>
      </c>
      <c r="F429" s="101" vm="4744">
        <f ca="1"/>
        <v>30.52</v>
      </c>
      <c r="G429" s="101" vm="4745">
        <f ca="1"/>
        <v>29.06</v>
      </c>
      <c r="H429" s="102" vm="4746">
        <f ca="1"/>
        <v>35900842</v>
      </c>
    </row>
    <row r="430" spans="3:8" x14ac:dyDescent="0.3">
      <c r="C430" s="100" vm="2481">
        <f ca="1"/>
        <v>45089</v>
      </c>
      <c r="D430" s="101" vm="4747">
        <f ca="1"/>
        <v>31</v>
      </c>
      <c r="E430" s="101" vm="4748">
        <f ca="1"/>
        <v>29.95</v>
      </c>
      <c r="F430" s="101" vm="4749">
        <f ca="1"/>
        <v>31.38</v>
      </c>
      <c r="G430" s="101" vm="4750">
        <f ca="1"/>
        <v>29.89</v>
      </c>
      <c r="H430" s="102" vm="4751">
        <f ca="1"/>
        <v>57444537</v>
      </c>
    </row>
    <row r="431" spans="3:8" x14ac:dyDescent="0.3">
      <c r="C431" s="100" vm="2487">
        <f ca="1"/>
        <v>45097</v>
      </c>
      <c r="D431" s="101" vm="4261">
        <f ca="1"/>
        <v>29.61</v>
      </c>
      <c r="E431" s="101" vm="4317">
        <f ca="1"/>
        <v>30.81</v>
      </c>
      <c r="F431" s="101" vm="4752">
        <f ca="1"/>
        <v>30.875</v>
      </c>
      <c r="G431" s="101" vm="4354">
        <f ca="1"/>
        <v>29.32</v>
      </c>
      <c r="H431" s="102" vm="4753">
        <f ca="1"/>
        <v>44229290</v>
      </c>
    </row>
    <row r="432" spans="3:8" x14ac:dyDescent="0.3">
      <c r="C432" s="100" vm="2493">
        <f ca="1"/>
        <v>45103</v>
      </c>
      <c r="D432" s="101" vm="4754">
        <f ca="1"/>
        <v>30.71</v>
      </c>
      <c r="E432" s="101" vm="4755">
        <f ca="1"/>
        <v>29.78</v>
      </c>
      <c r="F432" s="101" vm="4756">
        <f ca="1"/>
        <v>30.78</v>
      </c>
      <c r="G432" s="101" vm="521">
        <f ca="1"/>
        <v>29.54</v>
      </c>
      <c r="H432" s="102" vm="4757">
        <f ca="1"/>
        <v>32616518</v>
      </c>
    </row>
    <row r="433" spans="3:8" x14ac:dyDescent="0.3">
      <c r="C433" s="100" vm="2499">
        <f ca="1"/>
        <v>45110</v>
      </c>
      <c r="D433" s="101" vm="4758">
        <f ca="1"/>
        <v>31.13</v>
      </c>
      <c r="E433" s="101" vm="4334">
        <f ca="1"/>
        <v>30.7</v>
      </c>
      <c r="F433" s="101" vm="4759">
        <f ca="1"/>
        <v>31.41</v>
      </c>
      <c r="G433" s="101" vm="174">
        <f ca="1"/>
        <v>30.24</v>
      </c>
      <c r="H433" s="102" vm="4760">
        <f ca="1"/>
        <v>23213078</v>
      </c>
    </row>
    <row r="434" spans="3:8" x14ac:dyDescent="0.3">
      <c r="C434" s="100" vm="2505">
        <f ca="1"/>
        <v>45117</v>
      </c>
      <c r="D434" s="101" vm="4761">
        <f ca="1"/>
        <v>32.79</v>
      </c>
      <c r="E434" s="101" vm="4758">
        <f ca="1"/>
        <v>31.13</v>
      </c>
      <c r="F434" s="101" vm="4762">
        <f ca="1"/>
        <v>33.9</v>
      </c>
      <c r="G434" s="101" vm="4763">
        <f ca="1"/>
        <v>31.03</v>
      </c>
      <c r="H434" s="102" vm="4764">
        <f ca="1"/>
        <v>35966751</v>
      </c>
    </row>
    <row r="435" spans="3:8" x14ac:dyDescent="0.3">
      <c r="C435" s="100" vm="2511">
        <f ca="1"/>
        <v>45124</v>
      </c>
      <c r="D435" s="101" vm="4765">
        <f ca="1"/>
        <v>32.24</v>
      </c>
      <c r="E435" s="101" vm="4766">
        <f ca="1"/>
        <v>32.67</v>
      </c>
      <c r="F435" s="101" vm="4767">
        <f ca="1"/>
        <v>33.25</v>
      </c>
      <c r="G435" s="101" vm="4768">
        <f ca="1"/>
        <v>32.229999999999997</v>
      </c>
      <c r="H435" s="102" vm="4769">
        <f ca="1"/>
        <v>22175050</v>
      </c>
    </row>
    <row r="436" spans="3:8" x14ac:dyDescent="0.3">
      <c r="C436" s="100" vm="2517">
        <f ca="1"/>
        <v>45131</v>
      </c>
      <c r="D436" s="101" vm="4770">
        <f ca="1"/>
        <v>32.630000000000003</v>
      </c>
      <c r="E436" s="101" vm="4771">
        <f ca="1"/>
        <v>32.369999999999997</v>
      </c>
      <c r="F436" s="101" vm="4772">
        <f ca="1"/>
        <v>33.5</v>
      </c>
      <c r="G436" s="101" vm="4773">
        <f ca="1"/>
        <v>32.244999999999997</v>
      </c>
      <c r="H436" s="102" vm="4774">
        <f ca="1"/>
        <v>20713055</v>
      </c>
    </row>
    <row r="437" spans="3:8" x14ac:dyDescent="0.3">
      <c r="C437" s="100" vm="2523">
        <f ca="1"/>
        <v>45138</v>
      </c>
      <c r="D437" s="101" vm="4775">
        <f ca="1"/>
        <v>32.43</v>
      </c>
      <c r="E437" s="101" vm="4307">
        <f ca="1"/>
        <v>32.74</v>
      </c>
      <c r="F437" s="101" vm="4583">
        <f ca="1"/>
        <v>33.049999999999997</v>
      </c>
      <c r="G437" s="101" vm="4776">
        <f ca="1"/>
        <v>32.15</v>
      </c>
      <c r="H437" s="102" vm="4777">
        <f ca="1"/>
        <v>20695450</v>
      </c>
    </row>
    <row r="438" spans="3:8" x14ac:dyDescent="0.3">
      <c r="C438" s="100" vm="2529">
        <f ca="1"/>
        <v>45145</v>
      </c>
      <c r="D438" s="101" vm="4778">
        <f ca="1"/>
        <v>32.770000000000003</v>
      </c>
      <c r="E438" s="101" vm="4779">
        <f ca="1"/>
        <v>32.65</v>
      </c>
      <c r="F438" s="101" vm="4780">
        <f ca="1"/>
        <v>33.244999999999997</v>
      </c>
      <c r="G438" s="101" vm="4781">
        <f ca="1"/>
        <v>32.414999999999999</v>
      </c>
      <c r="H438" s="102" vm="4782">
        <f ca="1"/>
        <v>22901714</v>
      </c>
    </row>
    <row r="439" spans="3:8" x14ac:dyDescent="0.3">
      <c r="C439" s="100" vm="2534">
        <f ca="1"/>
        <v>45152</v>
      </c>
      <c r="D439" s="101" vm="4783">
        <f ca="1"/>
        <v>31.06</v>
      </c>
      <c r="E439" s="101" vm="4307">
        <f ca="1"/>
        <v>32.74</v>
      </c>
      <c r="F439" s="101" vm="4784">
        <f ca="1"/>
        <v>32.75</v>
      </c>
      <c r="G439" s="101" vm="4785">
        <f ca="1"/>
        <v>30.67</v>
      </c>
      <c r="H439" s="102" vm="4786">
        <f ca="1"/>
        <v>30291067</v>
      </c>
    </row>
    <row r="440" spans="3:8" x14ac:dyDescent="0.3">
      <c r="C440" s="100" vm="2540">
        <f ca="1"/>
        <v>45159</v>
      </c>
      <c r="D440" s="101" vm="18">
        <f ca="1"/>
        <v>30.84</v>
      </c>
      <c r="E440" s="101" vm="4787">
        <f ca="1"/>
        <v>31.07</v>
      </c>
      <c r="F440" s="101" vm="4788">
        <f ca="1"/>
        <v>31.53</v>
      </c>
      <c r="G440" s="101" vm="4789">
        <f ca="1"/>
        <v>30.355</v>
      </c>
      <c r="H440" s="102" vm="4790">
        <f ca="1"/>
        <v>23547384</v>
      </c>
    </row>
    <row r="441" spans="3:8" x14ac:dyDescent="0.3">
      <c r="C441" s="100" vm="2546">
        <f ca="1"/>
        <v>45166</v>
      </c>
      <c r="D441" s="101" vm="4791">
        <f ca="1"/>
        <v>30.37</v>
      </c>
      <c r="E441" s="101" vm="4792">
        <f ca="1"/>
        <v>30.94</v>
      </c>
      <c r="F441" s="101" vm="4793">
        <f ca="1"/>
        <v>31.86</v>
      </c>
      <c r="G441" s="101" vm="4352">
        <f ca="1"/>
        <v>27.85</v>
      </c>
      <c r="H441" s="102" vm="4794">
        <f ca="1"/>
        <v>56061906</v>
      </c>
    </row>
    <row r="442" spans="3:8" x14ac:dyDescent="0.3">
      <c r="C442" s="100" vm="2552">
        <f ca="1"/>
        <v>45174</v>
      </c>
      <c r="D442" s="101" vm="4795">
        <f ca="1"/>
        <v>29.45</v>
      </c>
      <c r="E442" s="101" vm="4639">
        <f ca="1"/>
        <v>30.17</v>
      </c>
      <c r="F442" s="101" vm="4796">
        <f ca="1"/>
        <v>30.38</v>
      </c>
      <c r="G442" s="101" vm="4797">
        <f ca="1"/>
        <v>29.25</v>
      </c>
      <c r="H442" s="102" vm="4798">
        <f ca="1"/>
        <v>30411835</v>
      </c>
    </row>
    <row r="443" spans="3:8" x14ac:dyDescent="0.3">
      <c r="C443" s="100" vm="2558">
        <f ca="1"/>
        <v>45180</v>
      </c>
      <c r="D443" s="101" vm="407">
        <f ca="1"/>
        <v>27.34</v>
      </c>
      <c r="E443" s="101" vm="4799">
        <f ca="1"/>
        <v>29.7</v>
      </c>
      <c r="F443" s="101" vm="4800">
        <f ca="1"/>
        <v>29.91</v>
      </c>
      <c r="G443" s="101" vm="4801">
        <f ca="1"/>
        <v>26.8001</v>
      </c>
      <c r="H443" s="102" vm="4802">
        <f ca="1"/>
        <v>59633225</v>
      </c>
    </row>
    <row r="444" spans="3:8" x14ac:dyDescent="0.3">
      <c r="C444" s="100" vm="2564">
        <f ca="1"/>
        <v>45187</v>
      </c>
      <c r="D444" s="101" vm="4662">
        <f ca="1"/>
        <v>26.77</v>
      </c>
      <c r="E444" s="101" vm="4803">
        <f ca="1"/>
        <v>27.26</v>
      </c>
      <c r="F444" s="101" vm="4804">
        <f ca="1"/>
        <v>27.74</v>
      </c>
      <c r="G444" s="101" vm="4805">
        <f ca="1"/>
        <v>26.745000000000001</v>
      </c>
      <c r="H444" s="102" vm="4806">
        <f ca="1"/>
        <v>40961275</v>
      </c>
    </row>
    <row r="445" spans="3:8" x14ac:dyDescent="0.3">
      <c r="C445" s="100" vm="2570">
        <f ca="1"/>
        <v>45194</v>
      </c>
      <c r="D445" s="101" vm="4807">
        <f ca="1"/>
        <v>25.7</v>
      </c>
      <c r="E445" s="101" vm="4808">
        <f ca="1"/>
        <v>26.18</v>
      </c>
      <c r="F445" s="101" vm="4809">
        <f ca="1"/>
        <v>26.92</v>
      </c>
      <c r="G445" s="101" vm="4233">
        <f ca="1"/>
        <v>25.22</v>
      </c>
      <c r="H445" s="102" vm="4810">
        <f ca="1"/>
        <v>45980430</v>
      </c>
    </row>
    <row r="446" spans="3:8" x14ac:dyDescent="0.3">
      <c r="C446" s="100" vm="2576">
        <f ca="1"/>
        <v>45201</v>
      </c>
      <c r="D446" s="101" vm="4811">
        <f ca="1"/>
        <v>25.9</v>
      </c>
      <c r="E446" s="101" vm="4812">
        <f ca="1"/>
        <v>25.64</v>
      </c>
      <c r="F446" s="101" vm="4813">
        <f ca="1"/>
        <v>26.61</v>
      </c>
      <c r="G446" s="101" vm="4814">
        <f ca="1"/>
        <v>25.56</v>
      </c>
      <c r="H446" s="102" vm="4815">
        <f ca="1"/>
        <v>51966239</v>
      </c>
    </row>
    <row r="447" spans="3:8" x14ac:dyDescent="0.3">
      <c r="C447" s="100" vm="2582">
        <f ca="1"/>
        <v>45208</v>
      </c>
      <c r="D447" s="101" vm="294">
        <f ca="1"/>
        <v>26.5</v>
      </c>
      <c r="E447" s="101" vm="4816">
        <f ca="1"/>
        <v>25.86</v>
      </c>
      <c r="F447" s="101" vm="401">
        <f ca="1"/>
        <v>27.045000000000002</v>
      </c>
      <c r="G447" s="101" vm="4817">
        <f ca="1"/>
        <v>25.59</v>
      </c>
      <c r="H447" s="102" vm="4818">
        <f ca="1"/>
        <v>41785074</v>
      </c>
    </row>
    <row r="448" spans="3:8" x14ac:dyDescent="0.3">
      <c r="C448" s="100" vm="2588">
        <f ca="1"/>
        <v>45215</v>
      </c>
      <c r="D448" s="101" vm="4819">
        <f ca="1"/>
        <v>26.01</v>
      </c>
      <c r="E448" s="101" vm="4820">
        <f ca="1"/>
        <v>26.7</v>
      </c>
      <c r="F448" s="101" vm="4706">
        <f ca="1"/>
        <v>27.24</v>
      </c>
      <c r="G448" s="101" vm="398">
        <f ca="1"/>
        <v>26</v>
      </c>
      <c r="H448" s="102" vm="4821">
        <f ca="1"/>
        <v>35948481</v>
      </c>
    </row>
    <row r="449" spans="3:8" x14ac:dyDescent="0.3">
      <c r="C449" s="100" vm="2594">
        <f ca="1"/>
        <v>45222</v>
      </c>
      <c r="D449" s="101" vm="4822">
        <f ca="1"/>
        <v>25.84</v>
      </c>
      <c r="E449" s="101" vm="4219">
        <f ca="1"/>
        <v>25.94</v>
      </c>
      <c r="F449" s="101" vm="4619">
        <f ca="1"/>
        <v>26.35</v>
      </c>
      <c r="G449" s="101" vm="4823">
        <f ca="1"/>
        <v>25.67</v>
      </c>
      <c r="H449" s="102" vm="4824">
        <f ca="1"/>
        <v>29929429</v>
      </c>
    </row>
    <row r="450" spans="3:8" x14ac:dyDescent="0.3">
      <c r="C450" s="100" vm="2600">
        <f ca="1"/>
        <v>45229</v>
      </c>
      <c r="D450" s="101" vm="4710">
        <f ca="1"/>
        <v>27.42</v>
      </c>
      <c r="E450" s="101" vm="398">
        <f ca="1"/>
        <v>26</v>
      </c>
      <c r="F450" s="101" vm="4825">
        <f ca="1"/>
        <v>27.535</v>
      </c>
      <c r="G450" s="101" vm="4811">
        <f ca="1"/>
        <v>25.9</v>
      </c>
      <c r="H450" s="102" vm="4826">
        <f ca="1"/>
        <v>29762774</v>
      </c>
    </row>
    <row r="451" spans="3:8" x14ac:dyDescent="0.3">
      <c r="C451" s="100" vm="2605">
        <f ca="1"/>
        <v>45236</v>
      </c>
      <c r="D451" s="101" vm="4670">
        <f ca="1"/>
        <v>27.62</v>
      </c>
      <c r="E451" s="101" vm="499">
        <f ca="1"/>
        <v>27.5</v>
      </c>
      <c r="F451" s="101" vm="4247">
        <f ca="1"/>
        <v>27.68</v>
      </c>
      <c r="G451" s="101" vm="4827">
        <f ca="1"/>
        <v>27.01</v>
      </c>
      <c r="H451" s="102" vm="4828">
        <f ca="1"/>
        <v>35093754</v>
      </c>
    </row>
    <row r="452" spans="3:8" x14ac:dyDescent="0.3">
      <c r="C452" s="100" vm="2611">
        <f ca="1"/>
        <v>45243</v>
      </c>
      <c r="D452" s="101" vm="4631">
        <f ca="1"/>
        <v>28.31</v>
      </c>
      <c r="E452" s="101" vm="149">
        <f ca="1"/>
        <v>27.76</v>
      </c>
      <c r="F452" s="101" vm="4829">
        <f ca="1"/>
        <v>28.855</v>
      </c>
      <c r="G452" s="101" vm="4670">
        <f ca="1"/>
        <v>27.62</v>
      </c>
      <c r="H452" s="102" vm="4830">
        <f ca="1"/>
        <v>40904514</v>
      </c>
    </row>
    <row r="453" spans="3:8" x14ac:dyDescent="0.3">
      <c r="C453" s="100" vm="2617">
        <f ca="1"/>
        <v>45250</v>
      </c>
      <c r="D453" s="101" vm="448">
        <f ca="1"/>
        <v>28.64</v>
      </c>
      <c r="E453" s="101" vm="4831">
        <f ca="1"/>
        <v>28.08</v>
      </c>
      <c r="F453" s="101" vm="4832">
        <f ca="1"/>
        <v>29.292200000000001</v>
      </c>
      <c r="G453" s="101" vm="4833">
        <f ca="1"/>
        <v>27.66</v>
      </c>
      <c r="H453" s="102" vm="4834">
        <f ca="1"/>
        <v>41929586</v>
      </c>
    </row>
    <row r="454" spans="3:8" x14ac:dyDescent="0.3">
      <c r="C454" s="100" vm="2623">
        <f ca="1"/>
        <v>45257</v>
      </c>
      <c r="D454" s="101" vm="4376">
        <f ca="1"/>
        <v>29.5</v>
      </c>
      <c r="E454" s="101" vm="4835">
        <f ca="1"/>
        <v>28.41</v>
      </c>
      <c r="F454" s="101" vm="4836">
        <f ca="1"/>
        <v>29.58</v>
      </c>
      <c r="G454" s="101" vm="4837">
        <f ca="1"/>
        <v>28.254999999999999</v>
      </c>
      <c r="H454" s="102" vm="4838">
        <f ca="1"/>
        <v>43217099</v>
      </c>
    </row>
    <row r="455" spans="3:8" x14ac:dyDescent="0.3">
      <c r="C455" s="100" vm="2628">
        <f ca="1"/>
        <v>45264</v>
      </c>
      <c r="D455" s="101" vm="4340">
        <f ca="1"/>
        <v>29.46</v>
      </c>
      <c r="E455" s="101" vm="4839">
        <f ca="1"/>
        <v>29.24</v>
      </c>
      <c r="F455" s="101" vm="465">
        <f ca="1"/>
        <v>29.59</v>
      </c>
      <c r="G455" s="101" vm="460">
        <f ca="1"/>
        <v>28.45</v>
      </c>
      <c r="H455" s="102" vm="4840">
        <f ca="1"/>
        <v>46627242</v>
      </c>
    </row>
    <row r="456" spans="3:8" x14ac:dyDescent="0.3">
      <c r="C456" s="100" vm="2633">
        <f ca="1"/>
        <v>45271</v>
      </c>
      <c r="D456" s="101" vm="4756">
        <f ca="1"/>
        <v>30.78</v>
      </c>
      <c r="E456" s="101" vm="4342">
        <f ca="1"/>
        <v>29.9</v>
      </c>
      <c r="F456" s="101" vm="4841">
        <f ca="1"/>
        <v>31.17</v>
      </c>
      <c r="G456" s="101" vm="4755">
        <f ca="1"/>
        <v>29.78</v>
      </c>
      <c r="H456" s="102" vm="4842">
        <f ca="1"/>
        <v>74573468</v>
      </c>
    </row>
    <row r="457" spans="3:8" x14ac:dyDescent="0.3">
      <c r="C457" s="100" vm="2639">
        <f ca="1"/>
        <v>45278</v>
      </c>
      <c r="D457" s="101" vm="4843">
        <f ca="1"/>
        <v>30.18</v>
      </c>
      <c r="E457" s="101" vm="4844">
        <f ca="1"/>
        <v>30.68</v>
      </c>
      <c r="F457" s="101" vm="4317">
        <f ca="1"/>
        <v>30.81</v>
      </c>
      <c r="G457" s="101" vm="4845">
        <f ca="1"/>
        <v>29.79</v>
      </c>
      <c r="H457" s="102" vm="4846">
        <f ca="1"/>
        <v>43009981</v>
      </c>
    </row>
    <row r="458" spans="3:8" x14ac:dyDescent="0.3">
      <c r="C458" s="100" vm="2645">
        <f ca="1"/>
        <v>45286</v>
      </c>
      <c r="D458" s="101" vm="4847">
        <f ca="1"/>
        <v>30.09</v>
      </c>
      <c r="E458" s="101" vm="4848">
        <f ca="1"/>
        <v>30.14</v>
      </c>
      <c r="F458" s="101" vm="4634">
        <f ca="1"/>
        <v>30.55</v>
      </c>
      <c r="G458" s="101" vm="4748">
        <f ca="1"/>
        <v>29.95</v>
      </c>
      <c r="H458" s="102" vm="4849">
        <f ca="1"/>
        <v>20888319</v>
      </c>
    </row>
    <row r="459" spans="3:8" x14ac:dyDescent="0.3">
      <c r="C459" s="100" vm="2651">
        <f ca="1"/>
        <v>45293</v>
      </c>
      <c r="D459" s="101" vm="4748">
        <f ca="1"/>
        <v>29.95</v>
      </c>
      <c r="E459" s="101" vm="4715">
        <f ca="1"/>
        <v>29.82</v>
      </c>
      <c r="F459" s="101" vm="4681">
        <f ca="1"/>
        <v>30.22</v>
      </c>
      <c r="G459" s="101" vm="4638">
        <f ca="1"/>
        <v>29.48</v>
      </c>
      <c r="H459" s="102" vm="4850">
        <f ca="1"/>
        <v>31453593</v>
      </c>
    </row>
    <row r="460" spans="3:8" x14ac:dyDescent="0.3">
      <c r="C460" s="100" vm="2657">
        <f ca="1"/>
        <v>45299</v>
      </c>
      <c r="D460" s="101" vm="4851">
        <f ca="1"/>
        <v>29.81</v>
      </c>
      <c r="E460" s="101" vm="4848">
        <f ca="1"/>
        <v>30.14</v>
      </c>
      <c r="F460" s="101" vm="4852">
        <f ca="1"/>
        <v>31.09</v>
      </c>
      <c r="G460" s="101" vm="4329">
        <f ca="1"/>
        <v>29.71</v>
      </c>
      <c r="H460" s="102" vm="4853">
        <f ca="1"/>
        <v>44288243</v>
      </c>
    </row>
    <row r="461" spans="3:8" x14ac:dyDescent="0.3">
      <c r="C461" s="100" vm="2663">
        <f ca="1"/>
        <v>45307</v>
      </c>
      <c r="D461" s="101" vm="4717">
        <f ca="1"/>
        <v>29.12</v>
      </c>
      <c r="E461" s="101" vm="4376">
        <f ca="1"/>
        <v>29.5</v>
      </c>
      <c r="F461" s="101" vm="4263">
        <f ca="1"/>
        <v>29.56</v>
      </c>
      <c r="G461" s="101" vm="4854">
        <f ca="1"/>
        <v>28.4</v>
      </c>
      <c r="H461" s="102" vm="4855">
        <f ca="1"/>
        <v>32829687</v>
      </c>
    </row>
    <row r="462" spans="3:8" x14ac:dyDescent="0.3">
      <c r="C462" s="100" vm="2668">
        <f ca="1"/>
        <v>45313</v>
      </c>
      <c r="D462" s="101" vm="531">
        <f ca="1"/>
        <v>30</v>
      </c>
      <c r="E462" s="101" vm="4359">
        <f ca="1"/>
        <v>29.3</v>
      </c>
      <c r="F462" s="101" vm="4685">
        <f ca="1"/>
        <v>30.16</v>
      </c>
      <c r="G462" s="101" vm="4856">
        <f ca="1"/>
        <v>29.114999999999998</v>
      </c>
      <c r="H462" s="102" vm="4857">
        <f ca="1"/>
        <v>41070437</v>
      </c>
    </row>
    <row r="463" spans="3:8" x14ac:dyDescent="0.3">
      <c r="C463" s="100" vm="2673">
        <f ca="1"/>
        <v>45320</v>
      </c>
      <c r="D463" s="101" vm="454">
        <f ca="1"/>
        <v>28.68</v>
      </c>
      <c r="E463" s="101" vm="531">
        <f ca="1"/>
        <v>30</v>
      </c>
      <c r="F463" s="101" vm="4567">
        <f ca="1"/>
        <v>30.01</v>
      </c>
      <c r="G463" s="101" vm="4858">
        <f ca="1"/>
        <v>28.38</v>
      </c>
      <c r="H463" s="102" vm="4859">
        <f ca="1"/>
        <v>44211340</v>
      </c>
    </row>
    <row r="464" spans="3:8" x14ac:dyDescent="0.3">
      <c r="C464" s="100" vm="2679">
        <f ca="1"/>
        <v>45327</v>
      </c>
      <c r="D464" s="101" vm="4860">
        <f ca="1"/>
        <v>28.42</v>
      </c>
      <c r="E464" s="101" vm="4665">
        <f ca="1"/>
        <v>28.57</v>
      </c>
      <c r="F464" s="101" vm="4861">
        <f ca="1"/>
        <v>28.59</v>
      </c>
      <c r="G464" s="101" vm="4672">
        <f ca="1"/>
        <v>27.86</v>
      </c>
      <c r="H464" s="102" vm="4862">
        <f ca="1"/>
        <v>35303052</v>
      </c>
    </row>
    <row r="465" spans="3:8" x14ac:dyDescent="0.3">
      <c r="C465" s="100" vm="2685">
        <f ca="1"/>
        <v>45334</v>
      </c>
      <c r="D465" s="101" vm="4863">
        <f ca="1"/>
        <v>28.58</v>
      </c>
      <c r="E465" s="101" vm="4860">
        <f ca="1"/>
        <v>28.42</v>
      </c>
      <c r="F465" s="101" vm="4864">
        <f ca="1"/>
        <v>29.094999999999999</v>
      </c>
      <c r="G465" s="101" vm="4384">
        <f ca="1"/>
        <v>27.89</v>
      </c>
      <c r="H465" s="102" vm="4865">
        <f ca="1"/>
        <v>30703112</v>
      </c>
    </row>
    <row r="466" spans="3:8" x14ac:dyDescent="0.3">
      <c r="C466" s="100" vm="2691">
        <f ca="1"/>
        <v>45342</v>
      </c>
      <c r="D466" s="101" vm="4726">
        <f ca="1"/>
        <v>29.27</v>
      </c>
      <c r="E466" s="101" vm="4858">
        <f ca="1"/>
        <v>28.38</v>
      </c>
      <c r="F466" s="101" vm="4866">
        <f ca="1"/>
        <v>29.33</v>
      </c>
      <c r="G466" s="101" vm="442">
        <f ca="1"/>
        <v>28.262499999999999</v>
      </c>
      <c r="H466" s="102" vm="4867">
        <f ca="1"/>
        <v>25081846</v>
      </c>
    </row>
    <row r="467" spans="3:8" x14ac:dyDescent="0.3">
      <c r="C467" s="100" vm="2697">
        <f ca="1"/>
        <v>45348</v>
      </c>
      <c r="D467" s="101" vm="4650">
        <f ca="1"/>
        <v>29.41</v>
      </c>
      <c r="E467" s="101" vm="4868">
        <f ca="1"/>
        <v>29.31</v>
      </c>
      <c r="F467" s="101" vm="4690">
        <f ca="1"/>
        <v>29.63</v>
      </c>
      <c r="G467" s="101" vm="4869">
        <f ca="1"/>
        <v>27.658200000000001</v>
      </c>
      <c r="H467" s="102" vm="4870">
        <f ca="1"/>
        <v>63022223</v>
      </c>
    </row>
    <row r="468" spans="3:8" x14ac:dyDescent="0.3">
      <c r="C468" s="100" vm="2703">
        <f ca="1"/>
        <v>45355</v>
      </c>
      <c r="D468" s="101" vm="4645">
        <f ca="1"/>
        <v>30.74</v>
      </c>
      <c r="E468" s="101" vm="4708">
        <f ca="1"/>
        <v>29.35</v>
      </c>
      <c r="F468" s="101" vm="4597">
        <f ca="1"/>
        <v>31.05</v>
      </c>
      <c r="G468" s="101" vm="4349">
        <f ca="1"/>
        <v>28.87</v>
      </c>
      <c r="H468" s="102" vm="4871">
        <f ca="1"/>
        <v>60227049</v>
      </c>
    </row>
    <row r="469" spans="3:8" x14ac:dyDescent="0.3">
      <c r="C469" s="100" vm="2708">
        <f ca="1"/>
        <v>45362</v>
      </c>
      <c r="D469" s="101" vm="4410">
        <f ca="1"/>
        <v>30.42</v>
      </c>
      <c r="E469" s="101" vm="538">
        <f ca="1"/>
        <v>30.61</v>
      </c>
      <c r="F469" s="101" vm="4872">
        <f ca="1"/>
        <v>30.9559</v>
      </c>
      <c r="G469" s="101" vm="4873">
        <f ca="1"/>
        <v>30.19</v>
      </c>
      <c r="H469" s="102" vm="4874">
        <f ca="1"/>
        <v>53449336</v>
      </c>
    </row>
    <row r="470" spans="3:8" x14ac:dyDescent="0.3">
      <c r="C470" s="100" vm="2714">
        <f ca="1"/>
        <v>45369</v>
      </c>
      <c r="D470" s="101" vm="4875">
        <f ca="1"/>
        <v>30.05</v>
      </c>
      <c r="E470" s="101" vm="4876">
        <f ca="1"/>
        <v>30.39</v>
      </c>
      <c r="F470" s="101" vm="4400">
        <f ca="1"/>
        <v>30.47</v>
      </c>
      <c r="G470" s="101" vm="4866">
        <f ca="1"/>
        <v>29.33</v>
      </c>
      <c r="H470" s="102" vm="4877">
        <f ca="1"/>
        <v>32126425</v>
      </c>
    </row>
    <row r="471" spans="3:8" x14ac:dyDescent="0.3">
      <c r="C471" s="100" vm="2720">
        <f ca="1"/>
        <v>45376</v>
      </c>
      <c r="D471" s="101" vm="4681">
        <f ca="1"/>
        <v>30.22</v>
      </c>
      <c r="E471" s="101" vm="4750">
        <f ca="1"/>
        <v>29.89</v>
      </c>
      <c r="F471" s="101" vm="4878">
        <f ca="1"/>
        <v>30.364999999999998</v>
      </c>
      <c r="G471" s="101" vm="4879">
        <f ca="1"/>
        <v>29.725000000000001</v>
      </c>
      <c r="H471" s="102" vm="4880">
        <f ca="1"/>
        <v>25467066</v>
      </c>
    </row>
    <row r="472" spans="3:8" x14ac:dyDescent="0.3">
      <c r="C472" s="100" vm="2726">
        <f ca="1"/>
        <v>45383</v>
      </c>
      <c r="D472" s="101" vm="4881">
        <f ca="1"/>
        <v>29.11</v>
      </c>
      <c r="E472" s="101" vm="4252">
        <f ca="1"/>
        <v>30.25</v>
      </c>
      <c r="F472" s="101" vm="4882">
        <f ca="1"/>
        <v>30.56</v>
      </c>
      <c r="G472" s="101" vm="438">
        <f ca="1"/>
        <v>29.045000000000002</v>
      </c>
      <c r="H472" s="102" vm="4883">
        <f ca="1"/>
        <v>30365131</v>
      </c>
    </row>
    <row r="473" spans="3:8" x14ac:dyDescent="0.3">
      <c r="C473" s="100" vm="2732">
        <f ca="1"/>
        <v>45390</v>
      </c>
      <c r="D473" s="101" vm="4729">
        <f ca="1"/>
        <v>28.53</v>
      </c>
      <c r="E473" s="101" vm="188">
        <f ca="1"/>
        <v>29.28</v>
      </c>
      <c r="F473" s="101" vm="181">
        <f ca="1"/>
        <v>29.98</v>
      </c>
      <c r="G473" s="101" vm="4602">
        <f ca="1"/>
        <v>28.36</v>
      </c>
      <c r="H473" s="102" vm="4884">
        <f ca="1"/>
        <v>31614815</v>
      </c>
    </row>
    <row r="474" spans="3:8" x14ac:dyDescent="0.3">
      <c r="C474" s="100" vm="2737">
        <f ca="1"/>
        <v>45397</v>
      </c>
      <c r="D474" s="101" vm="4885">
        <f ca="1"/>
        <v>27.81</v>
      </c>
      <c r="E474" s="101" vm="4886">
        <f ca="1"/>
        <v>28.77</v>
      </c>
      <c r="F474" s="101" vm="4330">
        <f ca="1"/>
        <v>28.9</v>
      </c>
      <c r="G474" s="101" vm="4887">
        <f ca="1"/>
        <v>27.510100000000001</v>
      </c>
      <c r="H474" s="102" vm="4888">
        <f ca="1"/>
        <v>28750395</v>
      </c>
    </row>
    <row r="475" spans="3:8" x14ac:dyDescent="0.3">
      <c r="C475" s="100" vm="2742">
        <f ca="1"/>
        <v>45404</v>
      </c>
      <c r="D475" s="101" vm="4375">
        <f ca="1"/>
        <v>28</v>
      </c>
      <c r="E475" s="101" vm="4375">
        <f ca="1"/>
        <v>28</v>
      </c>
      <c r="F475" s="101" vm="4861">
        <f ca="1"/>
        <v>28.59</v>
      </c>
      <c r="G475" s="101" vm="4889">
        <f ca="1"/>
        <v>27.425000000000001</v>
      </c>
      <c r="H475" s="102" vm="4890">
        <f ca="1"/>
        <v>36153456</v>
      </c>
    </row>
    <row r="476" spans="3:8" x14ac:dyDescent="0.3">
      <c r="C476" s="100" vm="2748">
        <f ca="1"/>
        <v>45411</v>
      </c>
      <c r="D476" s="101" vm="4655">
        <f ca="1"/>
        <v>28.18</v>
      </c>
      <c r="E476" s="101" vm="4627">
        <f ca="1"/>
        <v>28.12</v>
      </c>
      <c r="F476" s="101" vm="4891">
        <f ca="1"/>
        <v>28.5</v>
      </c>
      <c r="G476" s="101" vm="475">
        <f ca="1"/>
        <v>27.52</v>
      </c>
      <c r="H476" s="102" vm="4892">
        <f ca="1"/>
        <v>28979369</v>
      </c>
    </row>
    <row r="477" spans="3:8" x14ac:dyDescent="0.3">
      <c r="C477" s="100" vm="2754">
        <f ca="1"/>
        <v>45418</v>
      </c>
      <c r="D477" s="101" vm="4316">
        <f ca="1"/>
        <v>29.72</v>
      </c>
      <c r="E477" s="101" vm="4893">
        <f ca="1"/>
        <v>28.33</v>
      </c>
      <c r="F477" s="101" vm="4894">
        <f ca="1"/>
        <v>29.88</v>
      </c>
      <c r="G477" s="101" vm="4362">
        <f ca="1"/>
        <v>28.22</v>
      </c>
      <c r="H477" s="102" vm="4895">
        <f ca="1"/>
        <v>28509335</v>
      </c>
    </row>
    <row r="478" spans="3:8" x14ac:dyDescent="0.3">
      <c r="C478" s="100" vm="2760">
        <f ca="1"/>
        <v>45425</v>
      </c>
      <c r="D478" s="101" vm="4896">
        <f ca="1"/>
        <v>31.19</v>
      </c>
      <c r="E478" s="101" vm="4897">
        <f ca="1"/>
        <v>29.84</v>
      </c>
      <c r="F478" s="101" vm="4898">
        <f ca="1"/>
        <v>31.395</v>
      </c>
      <c r="G478" s="101" vm="4851">
        <f ca="1"/>
        <v>29.81</v>
      </c>
      <c r="H478" s="102" vm="4899">
        <f ca="1"/>
        <v>30422716</v>
      </c>
    </row>
    <row r="479" spans="3:8" x14ac:dyDescent="0.3">
      <c r="C479" s="100" vm="2766">
        <f ca="1"/>
        <v>45432</v>
      </c>
      <c r="D479" s="101" vm="4784">
        <f ca="1"/>
        <v>32.75</v>
      </c>
      <c r="E479" s="101" vm="4749">
        <f ca="1"/>
        <v>31.38</v>
      </c>
      <c r="F479" s="101" vm="4900">
        <f ca="1"/>
        <v>33.380000000000003</v>
      </c>
      <c r="G479" s="101" vm="4901">
        <f ca="1"/>
        <v>31.26</v>
      </c>
      <c r="H479" s="102" vm="4902">
        <f ca="1"/>
        <v>34836660</v>
      </c>
    </row>
    <row r="480" spans="3:8" x14ac:dyDescent="0.3">
      <c r="C480" s="100" vm="2771">
        <f ca="1"/>
        <v>45440</v>
      </c>
      <c r="D480" s="101" vm="4903">
        <f ca="1"/>
        <v>36.5</v>
      </c>
      <c r="E480" s="101" vm="4312">
        <f ca="1"/>
        <v>32.89</v>
      </c>
      <c r="F480" s="101" vm="4522">
        <f ca="1"/>
        <v>39.520000000000003</v>
      </c>
      <c r="G480" s="101" vm="4904">
        <f ca="1"/>
        <v>32.409999999999997</v>
      </c>
      <c r="H480" s="102" vm="4905">
        <f ca="1"/>
        <v>88720126</v>
      </c>
    </row>
    <row r="481" spans="3:8" x14ac:dyDescent="0.3">
      <c r="C481" s="100" vm="2776">
        <f ca="1"/>
        <v>45446</v>
      </c>
      <c r="D481" s="101" vm="4906">
        <f ca="1"/>
        <v>36.450000000000003</v>
      </c>
      <c r="E481" s="101" vm="4903">
        <f ca="1"/>
        <v>36.5</v>
      </c>
      <c r="F481" s="101" vm="657">
        <f ca="1"/>
        <v>36.79</v>
      </c>
      <c r="G481" s="101" vm="4907">
        <f ca="1"/>
        <v>34.840000000000003</v>
      </c>
      <c r="H481" s="102" vm="4908">
        <f ca="1"/>
        <v>48206378</v>
      </c>
    </row>
    <row r="482" spans="3:8" x14ac:dyDescent="0.3">
      <c r="C482" s="100" vm="2782">
        <f ca="1"/>
        <v>45453</v>
      </c>
      <c r="D482" s="101" vm="4909">
        <f ca="1"/>
        <v>35.51</v>
      </c>
      <c r="E482" s="101" vm="4437">
        <f ca="1"/>
        <v>36.299999999999997</v>
      </c>
      <c r="F482" s="101" vm="4910">
        <f ca="1"/>
        <v>36.975000000000001</v>
      </c>
      <c r="G482" s="101" vm="4911">
        <f ca="1"/>
        <v>35.435000000000002</v>
      </c>
      <c r="H482" s="102" vm="4912">
        <f ca="1"/>
        <v>39307778</v>
      </c>
    </row>
    <row r="483" spans="3:8" x14ac:dyDescent="0.3">
      <c r="C483" s="100" vm="2788">
        <f ca="1"/>
        <v>45460</v>
      </c>
      <c r="D483" s="101" vm="4913">
        <f ca="1"/>
        <v>36.369999999999997</v>
      </c>
      <c r="E483" s="101" vm="4914">
        <f ca="1"/>
        <v>35.61</v>
      </c>
      <c r="F483" s="101" vm="4915">
        <f ca="1"/>
        <v>37.18</v>
      </c>
      <c r="G483" s="101" vm="4916">
        <f ca="1"/>
        <v>35.22</v>
      </c>
      <c r="H483" s="102" vm="4917">
        <f ca="1"/>
        <v>43554758</v>
      </c>
    </row>
    <row r="484" spans="3:8" x14ac:dyDescent="0.3">
      <c r="C484" s="100" vm="2794">
        <f ca="1"/>
        <v>45467</v>
      </c>
      <c r="D484" s="101" vm="4918">
        <f ca="1"/>
        <v>35.020000000000003</v>
      </c>
      <c r="E484" s="101" vm="4486">
        <f ca="1"/>
        <v>36.35</v>
      </c>
      <c r="F484" s="101" vm="4498">
        <f ca="1"/>
        <v>36.9</v>
      </c>
      <c r="G484" s="101" vm="4919">
        <f ca="1"/>
        <v>34.645000000000003</v>
      </c>
      <c r="H484" s="102" vm="4920">
        <f ca="1"/>
        <v>41417209</v>
      </c>
    </row>
    <row r="485" spans="3:8" x14ac:dyDescent="0.3">
      <c r="C485" s="100" vm="2800">
        <f ca="1"/>
        <v>45474</v>
      </c>
      <c r="D485" s="101" vm="4921">
        <f ca="1"/>
        <v>34.630000000000003</v>
      </c>
      <c r="E485" s="101" vm="4922">
        <f ca="1"/>
        <v>35.200000000000003</v>
      </c>
      <c r="F485" s="101" vm="4554">
        <f ca="1"/>
        <v>35.229999999999997</v>
      </c>
      <c r="G485" s="101" vm="4923">
        <f ca="1"/>
        <v>34.39</v>
      </c>
      <c r="H485" s="102" vm="4924">
        <f ca="1"/>
        <v>19138140</v>
      </c>
    </row>
    <row r="486" spans="3:8" x14ac:dyDescent="0.3">
      <c r="C486" s="100" vm="2806">
        <f ca="1"/>
        <v>45481</v>
      </c>
      <c r="D486" s="101" vm="4925">
        <f ca="1"/>
        <v>36.729999999999997</v>
      </c>
      <c r="E486" s="101" vm="4926">
        <f ca="1"/>
        <v>34.85</v>
      </c>
      <c r="F486" s="101" vm="4927">
        <f ca="1"/>
        <v>36.909999999999997</v>
      </c>
      <c r="G486" s="101" vm="4928">
        <f ca="1"/>
        <v>34.799999999999997</v>
      </c>
      <c r="H486" s="102" vm="4929">
        <f ca="1"/>
        <v>30332392</v>
      </c>
    </row>
    <row r="487" spans="3:8" x14ac:dyDescent="0.3">
      <c r="C487" s="100" vm="2812">
        <f ca="1"/>
        <v>45488</v>
      </c>
      <c r="D487" s="101" vm="4930">
        <f ca="1"/>
        <v>37.15</v>
      </c>
      <c r="E487" s="101" vm="4432">
        <f ca="1"/>
        <v>36.43</v>
      </c>
      <c r="F487" s="101" vm="4454">
        <f ca="1"/>
        <v>38.42</v>
      </c>
      <c r="G487" s="101" vm="4931">
        <f ca="1"/>
        <v>36.409999999999997</v>
      </c>
      <c r="H487" s="102" vm="4932">
        <f ca="1"/>
        <v>33867700</v>
      </c>
    </row>
    <row r="488" spans="3:8" x14ac:dyDescent="0.3">
      <c r="C488" s="100" vm="2818">
        <f ca="1"/>
        <v>45495</v>
      </c>
      <c r="D488" s="101" vm="4933">
        <f ca="1"/>
        <v>36.340000000000003</v>
      </c>
      <c r="E488" s="101" vm="4934">
        <f ca="1"/>
        <v>37.619999999999997</v>
      </c>
      <c r="F488" s="101" vm="4935">
        <f ca="1"/>
        <v>38.14</v>
      </c>
      <c r="G488" s="101" vm="4936">
        <f ca="1"/>
        <v>36.195</v>
      </c>
      <c r="H488" s="102" vm="4937">
        <f ca="1"/>
        <v>31192574</v>
      </c>
    </row>
    <row r="489" spans="3:8" x14ac:dyDescent="0.3">
      <c r="C489" s="100" vm="2824">
        <f ca="1"/>
        <v>45502</v>
      </c>
      <c r="D489" s="101" vm="4938">
        <f ca="1"/>
        <v>33.72</v>
      </c>
      <c r="E489" s="101" vm="4939">
        <f ca="1"/>
        <v>36.4</v>
      </c>
      <c r="F489" s="101" vm="4940">
        <f ca="1"/>
        <v>36.424999999999997</v>
      </c>
      <c r="G489" s="101" vm="4941">
        <f ca="1"/>
        <v>33.555</v>
      </c>
      <c r="H489" s="102" vm="4942">
        <f ca="1"/>
        <v>31820622</v>
      </c>
    </row>
    <row r="490" spans="3:8" x14ac:dyDescent="0.3">
      <c r="C490" s="100" vm="2830">
        <f ca="1"/>
        <v>45509</v>
      </c>
      <c r="D490" s="101" vm="4943">
        <f ca="1"/>
        <v>33.54</v>
      </c>
      <c r="E490" s="101" vm="4944">
        <f ca="1"/>
        <v>32.58</v>
      </c>
      <c r="F490" s="101" vm="4537">
        <f ca="1"/>
        <v>33.89</v>
      </c>
      <c r="G490" s="101" vm="4945">
        <f ca="1"/>
        <v>31.951000000000001</v>
      </c>
      <c r="H490" s="102" vm="4946">
        <f ca="1"/>
        <v>33611922</v>
      </c>
    </row>
    <row r="491" spans="3:8" x14ac:dyDescent="0.3">
      <c r="C491" s="100" vm="2836">
        <f ca="1"/>
        <v>45516</v>
      </c>
      <c r="D491" s="101" vm="4947">
        <f ca="1"/>
        <v>35.909999999999997</v>
      </c>
      <c r="E491" s="101" vm="4300">
        <f ca="1"/>
        <v>33.630000000000003</v>
      </c>
      <c r="F491" s="101" vm="4948">
        <f ca="1"/>
        <v>36.03</v>
      </c>
      <c r="G491" s="101" vm="4582">
        <f ca="1"/>
        <v>33.58</v>
      </c>
      <c r="H491" s="102" vm="4949">
        <f ca="1"/>
        <v>27673375</v>
      </c>
    </row>
    <row r="492" spans="3:8" x14ac:dyDescent="0.3">
      <c r="C492" s="100" vm="2841">
        <f ca="1"/>
        <v>45523</v>
      </c>
      <c r="D492" s="101" vm="4950">
        <f ca="1"/>
        <v>35.659999999999997</v>
      </c>
      <c r="E492" s="101" vm="4951">
        <f ca="1"/>
        <v>34.619999999999997</v>
      </c>
      <c r="F492" s="101" vm="4952">
        <f ca="1"/>
        <v>36.17</v>
      </c>
      <c r="G492" s="101" vm="4953">
        <f ca="1"/>
        <v>34.28</v>
      </c>
      <c r="H492" s="102" vm="4954">
        <f ca="1"/>
        <v>32459816</v>
      </c>
    </row>
    <row r="493" spans="3:8" x14ac:dyDescent="0.3">
      <c r="C493" s="100" vm="2847">
        <f ca="1"/>
        <v>45530</v>
      </c>
      <c r="D493" s="101" vm="4955">
        <f ca="1"/>
        <v>36.18</v>
      </c>
      <c r="E493" s="101" vm="4956">
        <f ca="1"/>
        <v>35.85</v>
      </c>
      <c r="F493" s="101" vm="4957">
        <f ca="1"/>
        <v>36.869900000000001</v>
      </c>
      <c r="G493" s="101" vm="4289">
        <f ca="1"/>
        <v>33.799999999999997</v>
      </c>
      <c r="H493" s="102" vm="4958">
        <f ca="1"/>
        <v>54772238</v>
      </c>
    </row>
    <row r="494" spans="3:8" x14ac:dyDescent="0.3">
      <c r="C494" s="100" vm="2853">
        <f ca="1"/>
        <v>45538</v>
      </c>
      <c r="D494" s="101" vm="561">
        <f ca="1"/>
        <v>33.82</v>
      </c>
      <c r="E494" s="101" vm="4959">
        <f ca="1"/>
        <v>35.99</v>
      </c>
      <c r="F494" s="101" vm="4952">
        <f ca="1"/>
        <v>36.17</v>
      </c>
      <c r="G494" s="101" vm="4960">
        <f ca="1"/>
        <v>33.765000000000001</v>
      </c>
      <c r="H494" s="102" vm="4961">
        <f ca="1"/>
        <v>30524080</v>
      </c>
    </row>
    <row r="495" spans="3:8" x14ac:dyDescent="0.3">
      <c r="C495" s="100" vm="2858">
        <f ca="1"/>
        <v>45544</v>
      </c>
      <c r="D495" s="101" vm="4962">
        <f ca="1"/>
        <v>33.32</v>
      </c>
      <c r="E495" s="101" vm="4953">
        <f ca="1"/>
        <v>34.28</v>
      </c>
      <c r="F495" s="101" vm="4438">
        <f ca="1"/>
        <v>34.83</v>
      </c>
      <c r="G495" s="101" vm="4963">
        <f ca="1"/>
        <v>32.685000000000002</v>
      </c>
      <c r="H495" s="102" vm="4964">
        <f ca="1"/>
        <v>37286433</v>
      </c>
    </row>
    <row r="496" spans="3:8" x14ac:dyDescent="0.3">
      <c r="C496" s="100" vm="2863">
        <f ca="1"/>
        <v>45551</v>
      </c>
      <c r="D496" s="101" vm="4965">
        <f ca="1"/>
        <v>34.76</v>
      </c>
      <c r="E496" s="101" vm="4966">
        <f ca="1"/>
        <v>33.19</v>
      </c>
      <c r="F496" s="101" vm="4967">
        <f ca="1"/>
        <v>35.216000000000001</v>
      </c>
      <c r="G496" s="101" vm="4968">
        <f ca="1"/>
        <v>33.14</v>
      </c>
      <c r="H496" s="102" vm="4969">
        <f ca="1"/>
        <v>69590769</v>
      </c>
    </row>
    <row r="497" spans="3:8" x14ac:dyDescent="0.3">
      <c r="C497" s="100" vm="2869">
        <f ca="1"/>
        <v>45558</v>
      </c>
      <c r="D497" s="101" vm="4970">
        <f ca="1"/>
        <v>35.409999999999997</v>
      </c>
      <c r="E497" s="101" vm="4462">
        <f ca="1"/>
        <v>34.79</v>
      </c>
      <c r="F497" s="101" vm="4971">
        <f ca="1"/>
        <v>36.93</v>
      </c>
      <c r="G497" s="101" vm="4921">
        <f ca="1"/>
        <v>34.630000000000003</v>
      </c>
      <c r="H497" s="102" vm="4972">
        <f ca="1"/>
        <v>37390753</v>
      </c>
    </row>
    <row r="498" spans="3:8" x14ac:dyDescent="0.3">
      <c r="C498" s="100" vm="2875">
        <f ca="1"/>
        <v>45565</v>
      </c>
      <c r="D498" s="101" vm="4959">
        <f ca="1"/>
        <v>35.99</v>
      </c>
      <c r="E498" s="101" vm="1126">
        <f ca="1"/>
        <v>35.5</v>
      </c>
      <c r="F498" s="101" vm="4973">
        <f ca="1"/>
        <v>36.11</v>
      </c>
      <c r="G498" s="101" vm="4974">
        <f ca="1"/>
        <v>34.15</v>
      </c>
      <c r="H498" s="102" vm="4975">
        <f ca="1"/>
        <v>39813560</v>
      </c>
    </row>
    <row r="499" spans="3:8" x14ac:dyDescent="0.3">
      <c r="C499" s="100" vm="2881">
        <f ca="1"/>
        <v>45572</v>
      </c>
      <c r="D499" s="101" vm="4976">
        <f ca="1"/>
        <v>37.01</v>
      </c>
      <c r="E499" s="101" vm="4495">
        <f ca="1"/>
        <v>35.97</v>
      </c>
      <c r="F499" s="101" vm="4977">
        <f ca="1"/>
        <v>37.479999999999997</v>
      </c>
      <c r="G499" s="101" vm="4978">
        <f ca="1"/>
        <v>35.21</v>
      </c>
      <c r="H499" s="102" vm="4979">
        <f ca="1"/>
        <v>28941363</v>
      </c>
    </row>
    <row r="500" spans="3:8" x14ac:dyDescent="0.3">
      <c r="C500" s="100" vm="2887">
        <f ca="1"/>
        <v>45579</v>
      </c>
      <c r="D500" s="101" vm="4980">
        <f ca="1"/>
        <v>37.28</v>
      </c>
      <c r="E500" s="101" vm="4981">
        <f ca="1"/>
        <v>37</v>
      </c>
      <c r="F500" s="101" vm="4982">
        <f ca="1"/>
        <v>37.97</v>
      </c>
      <c r="G500" s="101" vm="4983">
        <f ca="1"/>
        <v>36.844999999999999</v>
      </c>
      <c r="H500" s="102" vm="4984">
        <f ca="1"/>
        <v>26802411</v>
      </c>
    </row>
    <row r="501" spans="3:8" x14ac:dyDescent="0.3">
      <c r="C501" s="100" vm="2893">
        <f ca="1"/>
        <v>45586</v>
      </c>
      <c r="D501" s="101" vm="4985">
        <f ca="1"/>
        <v>36.880000000000003</v>
      </c>
      <c r="E501" s="101" vm="4986">
        <f ca="1"/>
        <v>37.340000000000003</v>
      </c>
      <c r="F501" s="101" vm="4987">
        <f ca="1"/>
        <v>37.545000000000002</v>
      </c>
      <c r="G501" s="101" vm="4988">
        <f ca="1"/>
        <v>35.564999999999998</v>
      </c>
      <c r="H501" s="102" vm="4989">
        <f ca="1"/>
        <v>26128024</v>
      </c>
    </row>
    <row r="502" spans="3:8" x14ac:dyDescent="0.3">
      <c r="C502" s="100" vm="2899">
        <f ca="1"/>
        <v>45593</v>
      </c>
      <c r="D502" s="101" vm="4990">
        <f ca="1"/>
        <v>36.28</v>
      </c>
      <c r="E502" s="101" vm="4981">
        <f ca="1"/>
        <v>37</v>
      </c>
      <c r="F502" s="101" vm="4991">
        <f ca="1"/>
        <v>37.634999999999998</v>
      </c>
      <c r="G502" s="101" vm="4992">
        <f ca="1"/>
        <v>35.39</v>
      </c>
      <c r="H502" s="102" vm="4993">
        <f ca="1"/>
        <v>28893113</v>
      </c>
    </row>
    <row r="503" spans="3:8" x14ac:dyDescent="0.3">
      <c r="C503" s="100" vm="2905">
        <f ca="1"/>
        <v>45600</v>
      </c>
      <c r="D503" s="101" vm="4994">
        <f ca="1"/>
        <v>36.82</v>
      </c>
      <c r="E503" s="101" vm="4995">
        <f ca="1"/>
        <v>36.270000000000003</v>
      </c>
      <c r="F503" s="101" vm="4468">
        <f ca="1"/>
        <v>37.6</v>
      </c>
      <c r="G503" s="101" vm="4996">
        <f ca="1"/>
        <v>35.799999999999997</v>
      </c>
      <c r="H503" s="102" vm="4997">
        <f ca="1"/>
        <v>34559134</v>
      </c>
    </row>
    <row r="504" spans="3:8" x14ac:dyDescent="0.3">
      <c r="C504" s="100" vm="2911">
        <f ca="1"/>
        <v>45607</v>
      </c>
      <c r="D504" s="101" vm="4499">
        <f ca="1"/>
        <v>36.72</v>
      </c>
      <c r="E504" s="101" vm="4998">
        <f ca="1"/>
        <v>36.99</v>
      </c>
      <c r="F504" s="101" vm="4999">
        <f ca="1"/>
        <v>38.669899999999998</v>
      </c>
      <c r="G504" s="101" vm="5000">
        <f ca="1"/>
        <v>36.33</v>
      </c>
      <c r="H504" s="102" vm="5001">
        <f ca="1"/>
        <v>36365605</v>
      </c>
    </row>
    <row r="505" spans="3:8" x14ac:dyDescent="0.3">
      <c r="C505" s="100" vm="2916">
        <f ca="1"/>
        <v>45614</v>
      </c>
      <c r="D505" s="101" vm="5002">
        <f ca="1"/>
        <v>38.130000000000003</v>
      </c>
      <c r="E505" s="101" vm="5003">
        <f ca="1"/>
        <v>36.92</v>
      </c>
      <c r="F505" s="101" vm="4449">
        <f ca="1"/>
        <v>38.65</v>
      </c>
      <c r="G505" s="101" vm="4940">
        <f ca="1"/>
        <v>36.424999999999997</v>
      </c>
      <c r="H505" s="102" vm="5004">
        <f ca="1"/>
        <v>30149915</v>
      </c>
    </row>
    <row r="506" spans="3:8" x14ac:dyDescent="0.3">
      <c r="C506" s="100" vm="2922">
        <f ca="1"/>
        <v>45621</v>
      </c>
      <c r="D506" s="101" vm="5005">
        <f ca="1"/>
        <v>35.43</v>
      </c>
      <c r="E506" s="101" vm="4429">
        <f ca="1"/>
        <v>38.49</v>
      </c>
      <c r="F506" s="101" vm="5006">
        <f ca="1"/>
        <v>39.795000000000002</v>
      </c>
      <c r="G506" s="101" vm="5007">
        <f ca="1"/>
        <v>33.534999999999997</v>
      </c>
      <c r="H506" s="102" vm="5008">
        <f ca="1"/>
        <v>61997402</v>
      </c>
    </row>
    <row r="507" spans="3:8" x14ac:dyDescent="0.3">
      <c r="C507" s="100" vm="2928">
        <f ca="1"/>
        <v>45628</v>
      </c>
      <c r="D507" s="101" vm="4478">
        <f ca="1"/>
        <v>36.200000000000003</v>
      </c>
      <c r="E507" s="101" vm="4561">
        <f ca="1"/>
        <v>35.75</v>
      </c>
      <c r="F507" s="101" vm="4971">
        <f ca="1"/>
        <v>36.93</v>
      </c>
      <c r="G507" s="101" vm="4916">
        <f ca="1"/>
        <v>35.22</v>
      </c>
      <c r="H507" s="102" vm="5009">
        <f ca="1"/>
        <v>42203524</v>
      </c>
    </row>
    <row r="508" spans="3:8" x14ac:dyDescent="0.3">
      <c r="C508" s="100" vm="2934">
        <f ca="1"/>
        <v>45635</v>
      </c>
      <c r="D508" s="101" vm="5010">
        <f ca="1"/>
        <v>34.549999999999997</v>
      </c>
      <c r="E508" s="101" vm="4990">
        <f ca="1"/>
        <v>36.28</v>
      </c>
      <c r="F508" s="101" vm="5011">
        <f ca="1"/>
        <v>36.81</v>
      </c>
      <c r="G508" s="101" vm="5012">
        <f ca="1"/>
        <v>34.26</v>
      </c>
      <c r="H508" s="102" vm="5013">
        <f ca="1"/>
        <v>32752880</v>
      </c>
    </row>
    <row r="509" spans="3:8" x14ac:dyDescent="0.3">
      <c r="C509" s="100" vm="2940">
        <f ca="1"/>
        <v>45642</v>
      </c>
      <c r="D509" s="101" vm="5014">
        <f ca="1"/>
        <v>32.94</v>
      </c>
      <c r="E509" s="101" vm="4550">
        <f ca="1"/>
        <v>34.4</v>
      </c>
      <c r="F509" s="101" vm="4587">
        <f ca="1"/>
        <v>34.78</v>
      </c>
      <c r="G509" s="101" vm="4276">
        <f ca="1"/>
        <v>32.14</v>
      </c>
      <c r="H509" s="102" vm="5015">
        <f ca="1"/>
        <v>52234919</v>
      </c>
    </row>
    <row r="510" spans="3:8" x14ac:dyDescent="0.3">
      <c r="C510" s="100" vm="2946">
        <f ca="1"/>
        <v>45649</v>
      </c>
      <c r="D510" s="101" vm="5016">
        <f ca="1"/>
        <v>33.28</v>
      </c>
      <c r="E510" s="101" vm="5017">
        <f ca="1"/>
        <v>32.840000000000003</v>
      </c>
      <c r="F510" s="101" vm="5018">
        <f ca="1"/>
        <v>33.65</v>
      </c>
      <c r="G510" s="101" vm="4779">
        <f ca="1"/>
        <v>32.65</v>
      </c>
      <c r="H510" s="102" vm="5019">
        <f ca="1"/>
        <v>14856335</v>
      </c>
    </row>
    <row r="511" spans="3:8" x14ac:dyDescent="0.3">
      <c r="C511" s="103" vm="2952">
        <f ca="1"/>
        <v>45656</v>
      </c>
      <c r="D511" s="101" vm="4968">
        <f ca="1"/>
        <v>33.14</v>
      </c>
      <c r="E511" s="101" vm="5017">
        <f ca="1"/>
        <v>32.840000000000003</v>
      </c>
      <c r="F511" s="101" vm="34">
        <f ca="1"/>
        <v>33.15</v>
      </c>
      <c r="G511" s="101" vm="5020">
        <f ca="1"/>
        <v>32.204999999999998</v>
      </c>
      <c r="H511" s="102" vm="5021">
        <f ca="1"/>
        <v>18482034</v>
      </c>
    </row>
    <row r="512" spans="3:8" x14ac:dyDescent="0.3">
      <c r="C512" s="100" vm="2958">
        <f ca="1"/>
        <v>45663</v>
      </c>
      <c r="D512" s="101" vm="4291">
        <f ca="1"/>
        <v>33.200000000000003</v>
      </c>
      <c r="E512" s="101" vm="4488">
        <f ca="1"/>
        <v>33.53</v>
      </c>
      <c r="F512" s="101" vm="4482">
        <f ca="1"/>
        <v>34.450000000000003</v>
      </c>
      <c r="G512" s="101" vm="4312">
        <f ca="1"/>
        <v>32.89</v>
      </c>
      <c r="H512" s="102" vm="5022">
        <f ca="1"/>
        <v>24215776</v>
      </c>
    </row>
    <row r="513" spans="3:8" x14ac:dyDescent="0.3">
      <c r="C513" s="100" vm="2962">
        <f ca="1"/>
        <v>45670</v>
      </c>
      <c r="D513" s="101" vm="5023">
        <f ca="1"/>
        <v>32.51</v>
      </c>
      <c r="E513" s="101" vm="5024">
        <f ca="1"/>
        <v>33.090000000000003</v>
      </c>
      <c r="F513" s="101" vm="5025">
        <f ca="1"/>
        <v>33.545000000000002</v>
      </c>
      <c r="G513" s="101" vm="4286">
        <f ca="1"/>
        <v>32.340000000000003</v>
      </c>
      <c r="H513" s="102" vm="5026">
        <f ca="1"/>
        <v>36237410</v>
      </c>
    </row>
    <row r="514" spans="3:8" x14ac:dyDescent="0.3">
      <c r="C514" s="100" vm="2968">
        <f ca="1"/>
        <v>45678</v>
      </c>
      <c r="D514" s="101" vm="5027">
        <f ca="1"/>
        <v>32.729999999999997</v>
      </c>
      <c r="E514" s="101" vm="5028">
        <f ca="1"/>
        <v>32.42</v>
      </c>
      <c r="F514" s="101" vm="4574">
        <f ca="1"/>
        <v>33.57</v>
      </c>
      <c r="G514" s="101" vm="5029">
        <f ca="1"/>
        <v>32.22</v>
      </c>
      <c r="H514" s="102" vm="5030">
        <f ca="1"/>
        <v>21615175</v>
      </c>
    </row>
    <row r="515" spans="3:8" x14ac:dyDescent="0.3">
      <c r="C515" s="100" vm="2974">
        <f ca="1"/>
        <v>45684</v>
      </c>
      <c r="D515" s="101" vm="5031">
        <f ca="1"/>
        <v>32.5</v>
      </c>
      <c r="E515" s="101" vm="5032">
        <f ca="1"/>
        <v>32.53</v>
      </c>
      <c r="F515" s="101" vm="5033">
        <f ca="1"/>
        <v>33.36</v>
      </c>
      <c r="G515" s="101" vm="5034">
        <f ca="1"/>
        <v>32.29</v>
      </c>
      <c r="H515" s="102" vm="5035">
        <f ca="1"/>
        <v>29963405</v>
      </c>
    </row>
    <row r="516" spans="3:8" x14ac:dyDescent="0.3">
      <c r="C516" s="100" vm="2979">
        <f ca="1"/>
        <v>45691</v>
      </c>
      <c r="D516" s="101" vm="541">
        <f ca="1"/>
        <v>32.270000000000003</v>
      </c>
      <c r="E516" s="101" vm="4740">
        <f ca="1"/>
        <v>31.71</v>
      </c>
      <c r="F516" s="101" vm="5036">
        <f ca="1"/>
        <v>32.97</v>
      </c>
      <c r="G516" s="101" vm="4597">
        <f ca="1"/>
        <v>31.05</v>
      </c>
      <c r="H516" s="102" vm="5037">
        <f ca="1"/>
        <v>29354400</v>
      </c>
    </row>
    <row r="517" spans="3:8" x14ac:dyDescent="0.3">
      <c r="C517" s="100" vm="2985">
        <f ca="1"/>
        <v>45698</v>
      </c>
      <c r="D517" s="101" vm="5038">
        <f ca="1"/>
        <v>33.64</v>
      </c>
      <c r="E517" s="101" vm="5039">
        <f ca="1"/>
        <v>32.590000000000003</v>
      </c>
      <c r="F517" s="101" vm="5040">
        <f ca="1"/>
        <v>33.81</v>
      </c>
      <c r="G517" s="101" vm="5041">
        <f ca="1"/>
        <v>32.380000000000003</v>
      </c>
      <c r="H517" s="102" vm="5042">
        <f ca="1"/>
        <v>23697986</v>
      </c>
    </row>
    <row r="518" spans="3:8" x14ac:dyDescent="0.3">
      <c r="C518" s="100" vm="2991">
        <f ca="1"/>
        <v>45706</v>
      </c>
      <c r="D518" s="101" vm="4921">
        <f ca="1"/>
        <v>34.630000000000003</v>
      </c>
      <c r="E518" s="101" vm="5043">
        <f ca="1"/>
        <v>33.869999999999997</v>
      </c>
      <c r="F518" s="101" vm="5044">
        <f ca="1"/>
        <v>34.950000000000003</v>
      </c>
      <c r="G518" s="101" vm="5045">
        <f ca="1"/>
        <v>33.604999999999997</v>
      </c>
      <c r="H518" s="102" vm="5046">
        <f ca="1"/>
        <v>23196679</v>
      </c>
    </row>
    <row r="519" spans="3:8" x14ac:dyDescent="0.3">
      <c r="C519" s="100" vm="2996">
        <f ca="1"/>
        <v>45712</v>
      </c>
      <c r="D519" s="101" vm="5047">
        <f ca="1"/>
        <v>30.87</v>
      </c>
      <c r="E519" s="101" vm="4907">
        <f ca="1"/>
        <v>34.840000000000003</v>
      </c>
      <c r="F519" s="101" vm="5048">
        <f ca="1"/>
        <v>35.274999999999999</v>
      </c>
      <c r="G519" s="101" vm="181">
        <f ca="1"/>
        <v>29.98</v>
      </c>
      <c r="H519" s="102" vm="5049">
        <f ca="1"/>
        <v>53832547</v>
      </c>
    </row>
    <row r="520" spans="3:8" x14ac:dyDescent="0.3">
      <c r="C520" s="100" vm="3001">
        <f ca="1"/>
        <v>45719</v>
      </c>
      <c r="D520" s="101" vm="4731">
        <f ca="1"/>
        <v>30.54</v>
      </c>
      <c r="E520" s="101" vm="76">
        <f ca="1"/>
        <v>31.08</v>
      </c>
      <c r="F520" s="101" vm="5050">
        <f ca="1"/>
        <v>31.43</v>
      </c>
      <c r="G520" s="101" vm="4669">
        <f ca="1"/>
        <v>29.175000000000001</v>
      </c>
      <c r="H520" s="102" vm="5051">
        <f ca="1"/>
        <v>47974589</v>
      </c>
    </row>
    <row r="521" spans="3:8" x14ac:dyDescent="0.3">
      <c r="C521" s="100" vm="3007">
        <f ca="1"/>
        <v>45726</v>
      </c>
      <c r="D521" s="101" vm="4835">
        <f ca="1"/>
        <v>28.41</v>
      </c>
      <c r="E521" s="101" vm="5052">
        <f ca="1"/>
        <v>30.31</v>
      </c>
      <c r="F521" s="101" vm="5053">
        <f ca="1"/>
        <v>30.5</v>
      </c>
      <c r="G521" s="101" vm="5054">
        <f ca="1"/>
        <v>27.67</v>
      </c>
      <c r="H521" s="102" vm="5055">
        <f ca="1"/>
        <v>41076609</v>
      </c>
    </row>
    <row r="522" spans="3:8" x14ac:dyDescent="0.3">
      <c r="C522" s="100" vm="3013">
        <f ca="1"/>
        <v>45733</v>
      </c>
      <c r="D522" s="101" vm="454">
        <f ca="1"/>
        <v>28.68</v>
      </c>
      <c r="E522" s="101" vm="5056">
        <f ca="1"/>
        <v>28.395</v>
      </c>
      <c r="F522" s="101" vm="103">
        <f ca="1"/>
        <v>29.01</v>
      </c>
      <c r="G522" s="101" vm="5057">
        <f ca="1"/>
        <v>27.95</v>
      </c>
      <c r="H522" s="102" vm="5058">
        <f ca="1"/>
        <v>48736178</v>
      </c>
    </row>
    <row r="523" spans="3:8" x14ac:dyDescent="0.3">
      <c r="C523" s="100" vm="3019">
        <f ca="1"/>
        <v>45740</v>
      </c>
      <c r="D523" s="101" vm="4674">
        <f ca="1"/>
        <v>27.9</v>
      </c>
      <c r="E523" s="101" vm="4745">
        <f ca="1"/>
        <v>29.06</v>
      </c>
      <c r="F523" s="101" vm="4669">
        <f ca="1"/>
        <v>29.175000000000001</v>
      </c>
      <c r="G523" s="101" vm="4630">
        <f ca="1"/>
        <v>27.79</v>
      </c>
      <c r="H523" s="102" vm="5059">
        <f ca="1"/>
        <v>29788602</v>
      </c>
    </row>
    <row r="524" spans="3:8" x14ac:dyDescent="0.3">
      <c r="C524" s="100" vm="3025">
        <f ca="1"/>
        <v>45747</v>
      </c>
      <c r="D524" s="101" vm="5060">
        <f ca="1"/>
        <v>22.61</v>
      </c>
      <c r="E524" s="101" vm="4344">
        <f ca="1"/>
        <v>27.454999999999998</v>
      </c>
      <c r="F524" s="101" vm="5061">
        <f ca="1"/>
        <v>28.065000000000001</v>
      </c>
      <c r="G524" s="101" vm="5062">
        <f ca="1"/>
        <v>21.96</v>
      </c>
      <c r="H524" s="102" vm="5063">
        <f ca="1"/>
        <v>67446123</v>
      </c>
    </row>
    <row r="525" spans="3:8" x14ac:dyDescent="0.3">
      <c r="C525" s="100" vm="3031">
        <f ca="1"/>
        <v>45754</v>
      </c>
      <c r="D525" s="101" vm="3756">
        <f ca="1"/>
        <v>23.44</v>
      </c>
      <c r="E525" s="101" vm="5064">
        <f ca="1"/>
        <v>21.82</v>
      </c>
      <c r="F525" s="101" vm="239">
        <f ca="1"/>
        <v>24.335000000000001</v>
      </c>
      <c r="G525" s="101" vm="5065">
        <f ca="1"/>
        <v>21.21</v>
      </c>
      <c r="H525" s="102" vm="5066">
        <f ca="1"/>
        <v>81086808</v>
      </c>
    </row>
    <row r="526" spans="3:8" x14ac:dyDescent="0.3">
      <c r="C526" s="100" vm="3037">
        <f ca="1"/>
        <v>45761</v>
      </c>
      <c r="D526" s="101" vm="3898">
        <f ca="1"/>
        <v>23.83</v>
      </c>
      <c r="E526" s="101" vm="3702">
        <f ca="1"/>
        <v>24.69</v>
      </c>
      <c r="F526" s="101" vm="5067">
        <f ca="1"/>
        <v>25.109200000000001</v>
      </c>
      <c r="G526" s="101" vm="5068">
        <f ca="1"/>
        <v>23.071100000000001</v>
      </c>
      <c r="H526" s="102" vm="5069">
        <f ca="1"/>
        <v>33867500</v>
      </c>
    </row>
    <row r="527" spans="3:8" x14ac:dyDescent="0.3">
      <c r="C527" s="100" vm="3043">
        <f ca="1"/>
        <v>45768</v>
      </c>
      <c r="D527" s="101" vm="3798">
        <f ca="1"/>
        <v>25.28</v>
      </c>
      <c r="E527" s="101" vm="3706">
        <f ca="1"/>
        <v>23.45</v>
      </c>
      <c r="F527" s="101" vm="5070">
        <f ca="1"/>
        <v>25.58</v>
      </c>
      <c r="G527" s="101" vm="5071">
        <f ca="1"/>
        <v>23.105</v>
      </c>
      <c r="H527" s="102" vm="5072">
        <f ca="1"/>
        <v>34082476</v>
      </c>
    </row>
    <row r="528" spans="3:8" ht="15" thickBot="1" x14ac:dyDescent="0.35">
      <c r="C528" s="105" vm="3049">
        <f ca="1"/>
        <v>45775</v>
      </c>
      <c r="D528" s="106" vm="5073">
        <f ca="1"/>
        <v>25.95</v>
      </c>
      <c r="E528" s="106" vm="3798">
        <f ca="1"/>
        <v>25.28</v>
      </c>
      <c r="F528" s="106" vm="5074">
        <f ca="1"/>
        <v>26.074999999999999</v>
      </c>
      <c r="G528" s="106" vm="4611">
        <f ca="1"/>
        <v>24.92</v>
      </c>
      <c r="H528" s="107" vm="5075">
        <f ca="1"/>
        <v>28974716</v>
      </c>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4766F7-16F6-4B8A-BC11-00CAE4D177AD}">
  <dimension ref="A1:N529"/>
  <sheetViews>
    <sheetView showGridLines="0" workbookViewId="0"/>
  </sheetViews>
  <sheetFormatPr defaultRowHeight="14.4" x14ac:dyDescent="0.3"/>
  <cols>
    <col min="1" max="1" width="16" customWidth="1"/>
    <col min="2" max="2" width="1.21875" customWidth="1"/>
    <col min="3" max="3" width="0.88671875" customWidth="1"/>
    <col min="4" max="4" width="10.5546875" bestFit="1" customWidth="1"/>
    <col min="9" max="9" width="14" bestFit="1" customWidth="1"/>
  </cols>
  <sheetData>
    <row r="1" spans="1:14" ht="42" customHeight="1" x14ac:dyDescent="0.65">
      <c r="A1" s="141" t="s">
        <v>20</v>
      </c>
    </row>
    <row r="3" spans="1:14" ht="15" thickBot="1" x14ac:dyDescent="0.35"/>
    <row r="4" spans="1:14" x14ac:dyDescent="0.3">
      <c r="D4" s="97" t="e" vm="3">
        <v>#VALUE!</v>
      </c>
      <c r="E4" s="98"/>
      <c r="F4" s="98"/>
      <c r="G4" s="98"/>
      <c r="H4" s="98"/>
      <c r="I4" s="99"/>
    </row>
    <row r="5" spans="1:14" ht="15" thickBot="1" x14ac:dyDescent="0.35">
      <c r="D5" s="100"/>
      <c r="E5" s="101"/>
      <c r="F5" s="101"/>
      <c r="G5" s="101"/>
      <c r="H5" s="101"/>
      <c r="I5" s="102"/>
    </row>
    <row r="6" spans="1:14" x14ac:dyDescent="0.3">
      <c r="D6" s="100" t="str" cm="1">
        <f t="array" aca="1" ref="D6:I529" ca="1">_xlfn.STOCKHISTORY(D4,"5/1/2015","5/1/2025",1,1,0,1,2,3,4,5)</f>
        <v>Date</v>
      </c>
      <c r="E6" s="101" t="str">
        <f ca="1"/>
        <v>Close</v>
      </c>
      <c r="F6" s="101" t="str">
        <f ca="1"/>
        <v>Open</v>
      </c>
      <c r="G6" s="101" t="str">
        <f ca="1"/>
        <v>High</v>
      </c>
      <c r="H6" s="101" t="str">
        <f ca="1"/>
        <v>Low</v>
      </c>
      <c r="I6" s="102" t="str">
        <f ca="1"/>
        <v>Volume</v>
      </c>
      <c r="L6" s="109" t="s">
        <v>12</v>
      </c>
      <c r="M6" s="110"/>
      <c r="N6" s="111">
        <f ca="1">AVERAGE(E6:E529)</f>
        <v>24.933303250478019</v>
      </c>
    </row>
    <row r="7" spans="1:14" x14ac:dyDescent="0.3">
      <c r="D7" s="103" vm="8">
        <f ca="1"/>
        <v>42121</v>
      </c>
      <c r="E7" s="101" vm="5076">
        <f ca="1"/>
        <v>0.56879999999999997</v>
      </c>
      <c r="F7" s="101" vm="5077">
        <f ca="1"/>
        <v>0.55249999999999999</v>
      </c>
      <c r="G7" s="101" vm="5078">
        <f ca="1"/>
        <v>0.57050000000000001</v>
      </c>
      <c r="H7" s="101" vm="5079">
        <f ca="1"/>
        <v>0.54779999999999995</v>
      </c>
      <c r="I7" s="108" vm="5080">
        <f ca="1"/>
        <v>1153905960</v>
      </c>
      <c r="L7" s="112" t="s">
        <v>13</v>
      </c>
      <c r="M7" s="113"/>
      <c r="N7" s="114"/>
    </row>
    <row r="8" spans="1:14" x14ac:dyDescent="0.3">
      <c r="D8" s="100" vm="14">
        <f ca="1"/>
        <v>42128</v>
      </c>
      <c r="E8" s="101" vm="5081">
        <f ca="1"/>
        <v>0.52059999999999995</v>
      </c>
      <c r="F8" s="101" vm="5082">
        <f ca="1"/>
        <v>0.56830000000000003</v>
      </c>
      <c r="G8" s="101" vm="5083">
        <f ca="1"/>
        <v>0.57199999999999995</v>
      </c>
      <c r="H8" s="101" vm="5084">
        <f ca="1"/>
        <v>0.51229999999999998</v>
      </c>
      <c r="I8" s="102" vm="5085">
        <f ca="1"/>
        <v>2491247400</v>
      </c>
      <c r="L8" s="112" t="s">
        <v>14</v>
      </c>
      <c r="M8" s="113"/>
      <c r="N8" s="115">
        <f ca="1">_xlfn.STDEV.S(E7:E529)</f>
        <v>37.028015924175115</v>
      </c>
    </row>
    <row r="9" spans="1:14" x14ac:dyDescent="0.3">
      <c r="D9" s="100" vm="20">
        <f ca="1"/>
        <v>42135</v>
      </c>
      <c r="E9" s="101" vm="5086">
        <f ca="1"/>
        <v>0.53249999999999997</v>
      </c>
      <c r="F9" s="101" vm="5087">
        <f ca="1"/>
        <v>0.51349999999999996</v>
      </c>
      <c r="G9" s="101" vm="5088">
        <f ca="1"/>
        <v>0.53700000000000003</v>
      </c>
      <c r="H9" s="101" vm="5089">
        <f ca="1"/>
        <v>0.50949999999999995</v>
      </c>
      <c r="I9" s="102" vm="5090">
        <f ca="1"/>
        <v>1750344280</v>
      </c>
      <c r="L9" s="112"/>
      <c r="M9" s="113"/>
      <c r="N9" s="114"/>
    </row>
    <row r="10" spans="1:14" x14ac:dyDescent="0.3">
      <c r="D10" s="100" vm="26">
        <f ca="1"/>
        <v>42142</v>
      </c>
      <c r="E10" s="101" vm="5091">
        <f ca="1"/>
        <v>0.52149999999999996</v>
      </c>
      <c r="F10" s="101" vm="5092">
        <f ca="1"/>
        <v>0.53129999999999999</v>
      </c>
      <c r="G10" s="101" vm="5093">
        <f ca="1"/>
        <v>0.53500000000000003</v>
      </c>
      <c r="H10" s="101" vm="5094">
        <f ca="1"/>
        <v>0.52029999999999998</v>
      </c>
      <c r="I10" s="102" vm="5095">
        <f ca="1"/>
        <v>1227905080</v>
      </c>
      <c r="L10" s="112" t="s">
        <v>17</v>
      </c>
      <c r="M10" s="113"/>
      <c r="N10" s="116">
        <f ca="1">MAX(G477:H529)</f>
        <v>153.13</v>
      </c>
    </row>
    <row r="11" spans="1:14" ht="15" thickBot="1" x14ac:dyDescent="0.35">
      <c r="D11" s="100" vm="32">
        <f ca="1"/>
        <v>42150</v>
      </c>
      <c r="E11" s="101" vm="5096">
        <f ca="1"/>
        <v>0.55330000000000001</v>
      </c>
      <c r="F11" s="101" vm="5097">
        <f ca="1"/>
        <v>0.51900000000000002</v>
      </c>
      <c r="G11" s="101" vm="5098">
        <f ca="1"/>
        <v>0.55700000000000005</v>
      </c>
      <c r="H11" s="101" vm="5099">
        <f ca="1"/>
        <v>0.51439999999999997</v>
      </c>
      <c r="I11" s="102" vm="5100">
        <f ca="1"/>
        <v>1354888920</v>
      </c>
      <c r="L11" s="117" t="s">
        <v>18</v>
      </c>
      <c r="M11" s="118"/>
      <c r="N11" s="119">
        <f ca="1">MIN(G477:H529)</f>
        <v>81.254599999999996</v>
      </c>
    </row>
    <row r="12" spans="1:14" x14ac:dyDescent="0.3">
      <c r="D12" s="100" vm="38">
        <f ca="1"/>
        <v>42156</v>
      </c>
      <c r="E12" s="101" vm="5101">
        <f ca="1"/>
        <v>0.55649999999999999</v>
      </c>
      <c r="F12" s="101" vm="5102">
        <f ca="1"/>
        <v>0.55679999999999996</v>
      </c>
      <c r="G12" s="101" vm="5103">
        <f ca="1"/>
        <v>0.56499999999999995</v>
      </c>
      <c r="H12" s="101" vm="5104">
        <f ca="1"/>
        <v>0.5393</v>
      </c>
      <c r="I12" s="102" vm="5105">
        <f ca="1"/>
        <v>1484781760</v>
      </c>
    </row>
    <row r="13" spans="1:14" x14ac:dyDescent="0.3">
      <c r="D13" s="100" vm="43">
        <f ca="1"/>
        <v>42163</v>
      </c>
      <c r="E13" s="101" vm="5106">
        <f ca="1"/>
        <v>0.52780000000000005</v>
      </c>
      <c r="F13" s="101" vm="5107">
        <f ca="1"/>
        <v>0.55479999999999996</v>
      </c>
      <c r="G13" s="101" vm="5108">
        <f ca="1"/>
        <v>0.5585</v>
      </c>
      <c r="H13" s="101" vm="5109">
        <f ca="1"/>
        <v>0.52649999999999997</v>
      </c>
      <c r="I13" s="102" vm="5110">
        <f ca="1"/>
        <v>1735940360</v>
      </c>
    </row>
    <row r="14" spans="1:14" x14ac:dyDescent="0.3">
      <c r="D14" s="100" vm="49">
        <f ca="1"/>
        <v>42170</v>
      </c>
      <c r="E14" s="101" vm="5111">
        <f ca="1"/>
        <v>0.54679999999999995</v>
      </c>
      <c r="F14" s="101" vm="5112">
        <f ca="1"/>
        <v>0.52500000000000002</v>
      </c>
      <c r="G14" s="101" vm="5113">
        <f ca="1"/>
        <v>0.55300000000000005</v>
      </c>
      <c r="H14" s="101" vm="5114">
        <f ca="1"/>
        <v>0.52049999999999996</v>
      </c>
      <c r="I14" s="102" vm="5115">
        <f ca="1"/>
        <v>1452043640</v>
      </c>
    </row>
    <row r="15" spans="1:14" x14ac:dyDescent="0.3">
      <c r="D15" s="100" vm="55">
        <f ca="1"/>
        <v>42177</v>
      </c>
      <c r="E15" s="101" vm="5116">
        <f ca="1"/>
        <v>0.51849999999999996</v>
      </c>
      <c r="F15" s="101" vm="5079">
        <f ca="1"/>
        <v>0.54779999999999995</v>
      </c>
      <c r="G15" s="101" vm="5117">
        <f ca="1"/>
        <v>0.55079999999999996</v>
      </c>
      <c r="H15" s="101" vm="5118">
        <f ca="1"/>
        <v>0.51629999999999998</v>
      </c>
      <c r="I15" s="102" vm="5119">
        <f ca="1"/>
        <v>1953427240</v>
      </c>
    </row>
    <row r="16" spans="1:14" x14ac:dyDescent="0.3">
      <c r="D16" s="100" vm="61">
        <f ca="1"/>
        <v>42184</v>
      </c>
      <c r="E16" s="101" vm="5120">
        <f ca="1"/>
        <v>0.51049999999999995</v>
      </c>
      <c r="F16" s="101" vm="5121">
        <f ca="1"/>
        <v>0.51249999999999996</v>
      </c>
      <c r="G16" s="101" vm="5122">
        <f ca="1"/>
        <v>0.52249999999999996</v>
      </c>
      <c r="H16" s="101" vm="5123">
        <f ca="1"/>
        <v>0.49930000000000002</v>
      </c>
      <c r="I16" s="102" vm="5124">
        <f ca="1"/>
        <v>1156322760</v>
      </c>
    </row>
    <row r="17" spans="4:9" x14ac:dyDescent="0.3">
      <c r="D17" s="100" vm="67">
        <f ca="1"/>
        <v>42191</v>
      </c>
      <c r="E17" s="101" vm="5125">
        <f ca="1"/>
        <v>0.49380000000000002</v>
      </c>
      <c r="F17" s="101" vm="5126">
        <f ca="1"/>
        <v>0.50629999999999997</v>
      </c>
      <c r="G17" s="101" vm="5127">
        <f ca="1"/>
        <v>0.51329999999999998</v>
      </c>
      <c r="H17" s="101" vm="5128">
        <f ca="1"/>
        <v>0.47899999999999998</v>
      </c>
      <c r="I17" s="102" vm="5129">
        <f ca="1"/>
        <v>1715819560</v>
      </c>
    </row>
    <row r="18" spans="4:9" x14ac:dyDescent="0.3">
      <c r="D18" s="100" vm="73">
        <f ca="1"/>
        <v>42198</v>
      </c>
      <c r="E18" s="101" vm="5130">
        <f ca="1"/>
        <v>0.50180000000000002</v>
      </c>
      <c r="F18" s="101" vm="5131">
        <f ca="1"/>
        <v>0.49880000000000002</v>
      </c>
      <c r="G18" s="101" vm="5132">
        <f ca="1"/>
        <v>0.50480000000000003</v>
      </c>
      <c r="H18" s="101" vm="5133">
        <f ca="1"/>
        <v>0.48930000000000001</v>
      </c>
      <c r="I18" s="102" vm="5134">
        <f ca="1"/>
        <v>1230686680</v>
      </c>
    </row>
    <row r="19" spans="4:9" x14ac:dyDescent="0.3">
      <c r="D19" s="100" vm="78">
        <f ca="1"/>
        <v>42205</v>
      </c>
      <c r="E19" s="101" vm="5135">
        <f ca="1"/>
        <v>0.48549999999999999</v>
      </c>
      <c r="F19" s="101" vm="5130">
        <f ca="1"/>
        <v>0.50180000000000002</v>
      </c>
      <c r="G19" s="101" vm="5136">
        <f ca="1"/>
        <v>0.50380000000000003</v>
      </c>
      <c r="H19" s="101" vm="5137">
        <f ca="1"/>
        <v>0.4793</v>
      </c>
      <c r="I19" s="102" vm="5138">
        <f ca="1"/>
        <v>1053362360</v>
      </c>
    </row>
    <row r="20" spans="4:9" x14ac:dyDescent="0.3">
      <c r="D20" s="100" vm="83">
        <f ca="1"/>
        <v>42212</v>
      </c>
      <c r="E20" s="101" vm="5131">
        <f ca="1"/>
        <v>0.49880000000000002</v>
      </c>
      <c r="F20" s="101" vm="5139">
        <f ca="1"/>
        <v>0.48130000000000001</v>
      </c>
      <c r="G20" s="101" vm="5140">
        <f ca="1"/>
        <v>0.50549999999999995</v>
      </c>
      <c r="H20" s="101" vm="5141">
        <f ca="1"/>
        <v>0.4773</v>
      </c>
      <c r="I20" s="102" vm="5142">
        <f ca="1"/>
        <v>1031959040</v>
      </c>
    </row>
    <row r="21" spans="4:9" x14ac:dyDescent="0.3">
      <c r="D21" s="100" vm="89">
        <f ca="1"/>
        <v>42219</v>
      </c>
      <c r="E21" s="101" vm="5143">
        <f ca="1"/>
        <v>0.57450000000000001</v>
      </c>
      <c r="F21" s="101" vm="5144">
        <f ca="1"/>
        <v>0.50280000000000002</v>
      </c>
      <c r="G21" s="101" vm="5145">
        <f ca="1"/>
        <v>0.58430000000000004</v>
      </c>
      <c r="H21" s="101" vm="5146">
        <f ca="1"/>
        <v>0.49630000000000002</v>
      </c>
      <c r="I21" s="102" vm="5147">
        <f ca="1"/>
        <v>2952780200</v>
      </c>
    </row>
    <row r="22" spans="4:9" x14ac:dyDescent="0.3">
      <c r="D22" s="100" vm="95">
        <f ca="1"/>
        <v>42226</v>
      </c>
      <c r="E22" s="101" vm="5148">
        <f ca="1"/>
        <v>0.58850000000000002</v>
      </c>
      <c r="F22" s="101" vm="5078">
        <f ca="1"/>
        <v>0.57050000000000001</v>
      </c>
      <c r="G22" s="101" vm="5149">
        <f ca="1"/>
        <v>0.5988</v>
      </c>
      <c r="H22" s="101" vm="5150">
        <f ca="1"/>
        <v>0.56699999999999995</v>
      </c>
      <c r="I22" s="102" vm="5151">
        <f ca="1"/>
        <v>1972930560</v>
      </c>
    </row>
    <row r="23" spans="4:9" x14ac:dyDescent="0.3">
      <c r="D23" s="100" vm="101">
        <f ca="1"/>
        <v>42233</v>
      </c>
      <c r="E23" s="101" vm="5152">
        <f ca="1"/>
        <v>0.53669999999999995</v>
      </c>
      <c r="F23" s="101" vm="5153">
        <f ca="1"/>
        <v>0.58750000000000002</v>
      </c>
      <c r="G23" s="101" vm="5153">
        <f ca="1"/>
        <v>0.58750000000000002</v>
      </c>
      <c r="H23" s="101" vm="5154">
        <f ca="1"/>
        <v>0.5363</v>
      </c>
      <c r="I23" s="102" vm="5155">
        <f ca="1"/>
        <v>1619833520</v>
      </c>
    </row>
    <row r="24" spans="4:9" x14ac:dyDescent="0.3">
      <c r="D24" s="100" vm="107">
        <f ca="1"/>
        <v>42240</v>
      </c>
      <c r="E24" s="101" vm="5082">
        <f ca="1"/>
        <v>0.56830000000000003</v>
      </c>
      <c r="F24" s="101" vm="5156">
        <f ca="1"/>
        <v>0.50680000000000003</v>
      </c>
      <c r="G24" s="101" vm="5157">
        <f ca="1"/>
        <v>0.57179999999999997</v>
      </c>
      <c r="H24" s="101" vm="5158">
        <f ca="1"/>
        <v>0.5</v>
      </c>
      <c r="I24" s="102" vm="5159">
        <f ca="1"/>
        <v>2704653480</v>
      </c>
    </row>
    <row r="25" spans="4:9" x14ac:dyDescent="0.3">
      <c r="D25" s="100" vm="113">
        <f ca="1"/>
        <v>42247</v>
      </c>
      <c r="E25" s="101" vm="5160">
        <f ca="1"/>
        <v>0.54379999999999995</v>
      </c>
      <c r="F25" s="101" vm="5161">
        <f ca="1"/>
        <v>0.5655</v>
      </c>
      <c r="G25" s="101" vm="5162">
        <f ca="1"/>
        <v>0.56950000000000001</v>
      </c>
      <c r="H25" s="101" vm="5093">
        <f ca="1"/>
        <v>0.53500000000000003</v>
      </c>
      <c r="I25" s="102" vm="5163">
        <f ca="1"/>
        <v>1467371120</v>
      </c>
    </row>
    <row r="26" spans="4:9" x14ac:dyDescent="0.3">
      <c r="D26" s="100" vm="119">
        <f ca="1"/>
        <v>42255</v>
      </c>
      <c r="E26" s="101" vm="5164">
        <f ca="1"/>
        <v>0.56630000000000003</v>
      </c>
      <c r="F26" s="101" vm="5098">
        <f ca="1"/>
        <v>0.55700000000000005</v>
      </c>
      <c r="G26" s="101" vm="5165">
        <f ca="1"/>
        <v>0.57350000000000001</v>
      </c>
      <c r="H26" s="101" vm="5166">
        <f ca="1"/>
        <v>0.54990000000000006</v>
      </c>
      <c r="I26" s="102" vm="5167">
        <f ca="1"/>
        <v>1186502840</v>
      </c>
    </row>
    <row r="27" spans="4:9" x14ac:dyDescent="0.3">
      <c r="D27" s="100" vm="124">
        <f ca="1"/>
        <v>42261</v>
      </c>
      <c r="E27" s="101" vm="5168">
        <f ca="1"/>
        <v>0.58230000000000004</v>
      </c>
      <c r="F27" s="101" vm="5169">
        <f ca="1"/>
        <v>0.56899999999999995</v>
      </c>
      <c r="G27" s="101" vm="5170">
        <f ca="1"/>
        <v>0.59279999999999999</v>
      </c>
      <c r="H27" s="101" vm="5171">
        <f ca="1"/>
        <v>0.56430000000000002</v>
      </c>
      <c r="I27" s="102" vm="5172">
        <f ca="1"/>
        <v>1289070240</v>
      </c>
    </row>
    <row r="28" spans="4:9" x14ac:dyDescent="0.3">
      <c r="D28" s="100" vm="130">
        <f ca="1"/>
        <v>42268</v>
      </c>
      <c r="E28" s="101" vm="5173">
        <f ca="1"/>
        <v>0.59030000000000005</v>
      </c>
      <c r="F28" s="101" vm="5174">
        <f ca="1"/>
        <v>0.58299999999999996</v>
      </c>
      <c r="G28" s="101" vm="5175">
        <f ca="1"/>
        <v>0.6018</v>
      </c>
      <c r="H28" s="101" vm="5176">
        <f ca="1"/>
        <v>0.5625</v>
      </c>
      <c r="I28" s="102" vm="5177">
        <f ca="1"/>
        <v>1423987480</v>
      </c>
    </row>
    <row r="29" spans="4:9" x14ac:dyDescent="0.3">
      <c r="D29" s="100" vm="136">
        <f ca="1"/>
        <v>42275</v>
      </c>
      <c r="E29" s="101" vm="5178">
        <f ca="1"/>
        <v>0.62</v>
      </c>
      <c r="F29" s="101" vm="5173">
        <f ca="1"/>
        <v>0.59030000000000005</v>
      </c>
      <c r="G29" s="101" vm="5178">
        <f ca="1"/>
        <v>0.62</v>
      </c>
      <c r="H29" s="101" vm="5179">
        <f ca="1"/>
        <v>0.57879999999999998</v>
      </c>
      <c r="I29" s="102" vm="5180">
        <f ca="1"/>
        <v>2208142240</v>
      </c>
    </row>
    <row r="30" spans="4:9" x14ac:dyDescent="0.3">
      <c r="D30" s="100" vm="142">
        <f ca="1"/>
        <v>42282</v>
      </c>
      <c r="E30" s="101" vm="5181">
        <f ca="1"/>
        <v>0.65180000000000005</v>
      </c>
      <c r="F30" s="101" vm="5182">
        <f ca="1"/>
        <v>0.624</v>
      </c>
      <c r="G30" s="101" vm="5183">
        <f ca="1"/>
        <v>0.65700000000000003</v>
      </c>
      <c r="H30" s="101" vm="5184">
        <f ca="1"/>
        <v>0.62080000000000002</v>
      </c>
      <c r="I30" s="102" vm="5185">
        <f ca="1"/>
        <v>2129913880</v>
      </c>
    </row>
    <row r="31" spans="4:9" x14ac:dyDescent="0.3">
      <c r="D31" s="103" vm="148">
        <f ca="1"/>
        <v>42289</v>
      </c>
      <c r="E31" s="101" vm="5186">
        <f ca="1"/>
        <v>0.69650000000000001</v>
      </c>
      <c r="F31" s="101" vm="5187">
        <f ca="1"/>
        <v>0.65249999999999997</v>
      </c>
      <c r="G31" s="101" vm="5188">
        <f ca="1"/>
        <v>0.70299999999999996</v>
      </c>
      <c r="H31" s="101" vm="5189">
        <f ca="1"/>
        <v>0.64759999999999995</v>
      </c>
      <c r="I31" s="102" vm="5190">
        <f ca="1"/>
        <v>2112664080</v>
      </c>
    </row>
    <row r="32" spans="4:9" x14ac:dyDescent="0.3">
      <c r="D32" s="100" vm="154">
        <f ca="1"/>
        <v>42296</v>
      </c>
      <c r="E32" s="101" vm="5191">
        <f ca="1"/>
        <v>0.71479999999999999</v>
      </c>
      <c r="F32" s="101" vm="5192">
        <f ca="1"/>
        <v>0.69879999999999998</v>
      </c>
      <c r="G32" s="101" vm="5193">
        <f ca="1"/>
        <v>0.71950000000000003</v>
      </c>
      <c r="H32" s="101" vm="5194">
        <f ca="1"/>
        <v>0.68400000000000005</v>
      </c>
      <c r="I32" s="102" vm="5195">
        <f ca="1"/>
        <v>1634875640</v>
      </c>
    </row>
    <row r="33" spans="4:9" x14ac:dyDescent="0.3">
      <c r="D33" s="100" vm="160">
        <f ca="1"/>
        <v>42303</v>
      </c>
      <c r="E33" s="101" vm="5196">
        <f ca="1"/>
        <v>0.70930000000000004</v>
      </c>
      <c r="F33" s="101" vm="5197">
        <f ca="1"/>
        <v>0.71530000000000005</v>
      </c>
      <c r="G33" s="101" vm="5198">
        <f ca="1"/>
        <v>0.71699999999999997</v>
      </c>
      <c r="H33" s="101" vm="5199">
        <f ca="1"/>
        <v>0.69079999999999997</v>
      </c>
      <c r="I33" s="102" vm="5200">
        <f ca="1"/>
        <v>1301064280</v>
      </c>
    </row>
    <row r="34" spans="4:9" x14ac:dyDescent="0.3">
      <c r="D34" s="100" vm="166">
        <f ca="1"/>
        <v>42310</v>
      </c>
      <c r="E34" s="101" vm="5201">
        <f ca="1"/>
        <v>0.78879999999999995</v>
      </c>
      <c r="F34" s="101" vm="5202">
        <f ca="1"/>
        <v>0.71150000000000002</v>
      </c>
      <c r="G34" s="101" vm="5203">
        <f ca="1"/>
        <v>0.79849999999999999</v>
      </c>
      <c r="H34" s="101" vm="5199">
        <f ca="1"/>
        <v>0.69079999999999997</v>
      </c>
      <c r="I34" s="102" vm="5204">
        <f ca="1"/>
        <v>2660189960</v>
      </c>
    </row>
    <row r="35" spans="4:9" x14ac:dyDescent="0.3">
      <c r="D35" s="100" vm="172">
        <f ca="1"/>
        <v>42317</v>
      </c>
      <c r="E35" s="101" vm="5205">
        <f ca="1"/>
        <v>0.745</v>
      </c>
      <c r="F35" s="101" vm="5206">
        <f ca="1"/>
        <v>0.78100000000000003</v>
      </c>
      <c r="G35" s="101" vm="5207">
        <f ca="1"/>
        <v>0.78749999999999998</v>
      </c>
      <c r="H35" s="101" vm="5208">
        <f ca="1"/>
        <v>0.74129999999999996</v>
      </c>
      <c r="I35" s="102" vm="5209">
        <f ca="1"/>
        <v>2248975880</v>
      </c>
    </row>
    <row r="36" spans="4:9" x14ac:dyDescent="0.3">
      <c r="D36" s="100" vm="178">
        <f ca="1"/>
        <v>42324</v>
      </c>
      <c r="E36" s="101" vm="5210">
        <f ca="1"/>
        <v>0.78480000000000005</v>
      </c>
      <c r="F36" s="101" vm="5211">
        <f ca="1"/>
        <v>0.75480000000000003</v>
      </c>
      <c r="G36" s="101" vm="5212">
        <f ca="1"/>
        <v>0.7893</v>
      </c>
      <c r="H36" s="101" vm="5213">
        <f ca="1"/>
        <v>0.74880000000000002</v>
      </c>
      <c r="I36" s="102" vm="5214">
        <f ca="1"/>
        <v>1445359640</v>
      </c>
    </row>
    <row r="37" spans="4:9" x14ac:dyDescent="0.3">
      <c r="D37" s="100" vm="184">
        <f ca="1"/>
        <v>42331</v>
      </c>
      <c r="E37" s="101" vm="5210">
        <f ca="1"/>
        <v>0.78480000000000005</v>
      </c>
      <c r="F37" s="101" vm="5215">
        <f ca="1"/>
        <v>0.7913</v>
      </c>
      <c r="G37" s="101" vm="5215">
        <f ca="1"/>
        <v>0.7913</v>
      </c>
      <c r="H37" s="101" vm="5216">
        <f ca="1"/>
        <v>0.76949999999999996</v>
      </c>
      <c r="I37" s="102" vm="5217">
        <f ca="1"/>
        <v>663284840</v>
      </c>
    </row>
    <row r="38" spans="4:9" x14ac:dyDescent="0.3">
      <c r="D38" s="100" vm="190">
        <f ca="1"/>
        <v>42338</v>
      </c>
      <c r="E38" s="101" vm="5218">
        <f ca="1"/>
        <v>0.84379999999999999</v>
      </c>
      <c r="F38" s="101" vm="5219">
        <f ca="1"/>
        <v>0.78549999999999998</v>
      </c>
      <c r="G38" s="101" vm="5220">
        <f ca="1"/>
        <v>0.84530000000000005</v>
      </c>
      <c r="H38" s="101" vm="5210">
        <f ca="1"/>
        <v>0.78480000000000005</v>
      </c>
      <c r="I38" s="102" vm="5221">
        <f ca="1"/>
        <v>1734530040</v>
      </c>
    </row>
    <row r="39" spans="4:9" x14ac:dyDescent="0.3">
      <c r="D39" s="100" vm="196">
        <f ca="1"/>
        <v>42345</v>
      </c>
      <c r="E39" s="101" vm="5222">
        <f ca="1"/>
        <v>0.81230000000000002</v>
      </c>
      <c r="F39" s="101" vm="5223">
        <f ca="1"/>
        <v>0.84350000000000003</v>
      </c>
      <c r="G39" s="101" vm="5218">
        <f ca="1"/>
        <v>0.84379999999999999</v>
      </c>
      <c r="H39" s="101" vm="5224">
        <f ca="1"/>
        <v>0.80930000000000002</v>
      </c>
      <c r="I39" s="102" vm="5225">
        <f ca="1"/>
        <v>1484669760</v>
      </c>
    </row>
    <row r="40" spans="4:9" x14ac:dyDescent="0.3">
      <c r="D40" s="100" vm="202">
        <f ca="1"/>
        <v>42352</v>
      </c>
      <c r="E40" s="101" vm="5226">
        <f ca="1"/>
        <v>0.80349999999999999</v>
      </c>
      <c r="F40" s="101" vm="5227">
        <f ca="1"/>
        <v>0.81299999999999994</v>
      </c>
      <c r="G40" s="101" vm="5228">
        <f ca="1"/>
        <v>0.83899999999999997</v>
      </c>
      <c r="H40" s="101" vm="5229">
        <f ca="1"/>
        <v>0.80249999999999999</v>
      </c>
      <c r="I40" s="102" vm="5230">
        <f ca="1"/>
        <v>1470053640</v>
      </c>
    </row>
    <row r="41" spans="4:9" x14ac:dyDescent="0.3">
      <c r="D41" s="100" vm="208">
        <f ca="1"/>
        <v>42359</v>
      </c>
      <c r="E41" s="101" vm="5231">
        <f ca="1"/>
        <v>0.82930000000000004</v>
      </c>
      <c r="F41" s="101" vm="5222">
        <f ca="1"/>
        <v>0.81230000000000002</v>
      </c>
      <c r="G41" s="101" vm="5232">
        <f ca="1"/>
        <v>0.83150000000000002</v>
      </c>
      <c r="H41" s="101" vm="5233">
        <f ca="1"/>
        <v>0.80500000000000005</v>
      </c>
      <c r="I41" s="102" vm="5234">
        <f ca="1"/>
        <v>589200480</v>
      </c>
    </row>
    <row r="42" spans="4:9" x14ac:dyDescent="0.3">
      <c r="D42" s="100" vm="214">
        <f ca="1"/>
        <v>42366</v>
      </c>
      <c r="E42" s="101" vm="5235">
        <f ca="1"/>
        <v>0.82399999999999995</v>
      </c>
      <c r="F42" s="101" vm="5236">
        <f ca="1"/>
        <v>0.82050000000000001</v>
      </c>
      <c r="G42" s="101" vm="5237">
        <f ca="1"/>
        <v>0.84850000000000003</v>
      </c>
      <c r="H42" s="101" vm="5238">
        <f ca="1"/>
        <v>0.80900000000000005</v>
      </c>
      <c r="I42" s="102" vm="5239">
        <f ca="1"/>
        <v>674559480</v>
      </c>
    </row>
    <row r="43" spans="4:9" x14ac:dyDescent="0.3">
      <c r="D43" s="100" vm="220">
        <f ca="1"/>
        <v>42373</v>
      </c>
      <c r="E43" s="101" vm="5240">
        <f ca="1"/>
        <v>0.74080000000000001</v>
      </c>
      <c r="F43" s="101" vm="5241">
        <f ca="1"/>
        <v>0.80730000000000002</v>
      </c>
      <c r="G43" s="101" vm="5242">
        <f ca="1"/>
        <v>0.83599999999999997</v>
      </c>
      <c r="H43" s="101" vm="5243">
        <f ca="1"/>
        <v>0.73909999999999998</v>
      </c>
      <c r="I43" s="102" vm="5244">
        <f ca="1"/>
        <v>2341467280</v>
      </c>
    </row>
    <row r="44" spans="4:9" x14ac:dyDescent="0.3">
      <c r="D44" s="100" vm="226">
        <f ca="1"/>
        <v>42380</v>
      </c>
      <c r="E44" s="101" vm="5245">
        <f ca="1"/>
        <v>0.67779999999999996</v>
      </c>
      <c r="F44" s="101" vm="5246">
        <f ca="1"/>
        <v>0.74150000000000005</v>
      </c>
      <c r="G44" s="101" vm="5247">
        <f ca="1"/>
        <v>0.76549999999999996</v>
      </c>
      <c r="H44" s="101" vm="5248">
        <f ca="1"/>
        <v>0.66600000000000004</v>
      </c>
      <c r="I44" s="102" vm="5249">
        <f ca="1"/>
        <v>2802116680</v>
      </c>
    </row>
    <row r="45" spans="4:9" x14ac:dyDescent="0.3">
      <c r="D45" s="100" vm="232">
        <f ca="1"/>
        <v>42388</v>
      </c>
      <c r="E45" s="101" vm="5250">
        <f ca="1"/>
        <v>0.71130000000000004</v>
      </c>
      <c r="F45" s="101" vm="5251">
        <f ca="1"/>
        <v>0.69179999999999997</v>
      </c>
      <c r="G45" s="101" vm="5252">
        <f ca="1"/>
        <v>0.71599999999999997</v>
      </c>
      <c r="H45" s="101" vm="5253">
        <f ca="1"/>
        <v>0.6613</v>
      </c>
      <c r="I45" s="102" vm="5254">
        <f ca="1"/>
        <v>1677789120</v>
      </c>
    </row>
    <row r="46" spans="4:9" x14ac:dyDescent="0.3">
      <c r="D46" s="100" vm="238">
        <f ca="1"/>
        <v>42394</v>
      </c>
      <c r="E46" s="101" vm="5255">
        <f ca="1"/>
        <v>0.73229999999999995</v>
      </c>
      <c r="F46" s="101" vm="5256">
        <f ca="1"/>
        <v>0.71099999999999997</v>
      </c>
      <c r="G46" s="101" vm="5257">
        <f ca="1"/>
        <v>0.73360000000000003</v>
      </c>
      <c r="H46" s="101" vm="5258">
        <f ca="1"/>
        <v>0.6875</v>
      </c>
      <c r="I46" s="102" vm="5259">
        <f ca="1"/>
        <v>1317679440</v>
      </c>
    </row>
    <row r="47" spans="4:9" x14ac:dyDescent="0.3">
      <c r="D47" s="100" vm="244">
        <f ca="1"/>
        <v>42401</v>
      </c>
      <c r="E47" s="101" vm="5260">
        <f ca="1"/>
        <v>0.66080000000000005</v>
      </c>
      <c r="F47" s="101" vm="5261">
        <f ca="1"/>
        <v>0.73150000000000004</v>
      </c>
      <c r="G47" s="101" vm="5262">
        <f ca="1"/>
        <v>0.73629999999999995</v>
      </c>
      <c r="H47" s="101" vm="5263">
        <f ca="1"/>
        <v>0.65880000000000005</v>
      </c>
      <c r="I47" s="102" vm="5264">
        <f ca="1"/>
        <v>1907131800</v>
      </c>
    </row>
    <row r="48" spans="4:9" x14ac:dyDescent="0.3">
      <c r="D48" s="100" vm="250">
        <f ca="1"/>
        <v>42408</v>
      </c>
      <c r="E48" s="101" vm="5265">
        <f ca="1"/>
        <v>0.64329999999999998</v>
      </c>
      <c r="F48" s="101" vm="5266">
        <f ca="1"/>
        <v>0.65080000000000005</v>
      </c>
      <c r="G48" s="101" vm="5267">
        <f ca="1"/>
        <v>0.66379999999999995</v>
      </c>
      <c r="H48" s="101" vm="5268">
        <f ca="1"/>
        <v>0.61880000000000002</v>
      </c>
      <c r="I48" s="102" vm="5269">
        <f ca="1"/>
        <v>2050984640</v>
      </c>
    </row>
    <row r="49" spans="4:9" x14ac:dyDescent="0.3">
      <c r="D49" s="100" vm="256">
        <f ca="1"/>
        <v>42416</v>
      </c>
      <c r="E49" s="101" vm="5270">
        <f ca="1"/>
        <v>0.76100000000000001</v>
      </c>
      <c r="F49" s="101" vm="5187">
        <f ca="1"/>
        <v>0.65249999999999997</v>
      </c>
      <c r="G49" s="101" vm="5271">
        <f ca="1"/>
        <v>0.77439999999999998</v>
      </c>
      <c r="H49" s="101" vm="5272">
        <f ca="1"/>
        <v>0.65049999999999997</v>
      </c>
      <c r="I49" s="102" vm="5273">
        <f ca="1"/>
        <v>2851107280</v>
      </c>
    </row>
    <row r="50" spans="4:9" x14ac:dyDescent="0.3">
      <c r="D50" s="100" vm="262">
        <f ca="1"/>
        <v>42422</v>
      </c>
      <c r="E50" s="101" vm="5274">
        <f ca="1"/>
        <v>0.79200000000000004</v>
      </c>
      <c r="F50" s="101" vm="5275">
        <f ca="1"/>
        <v>0.77200000000000002</v>
      </c>
      <c r="G50" s="101" vm="5276">
        <f ca="1"/>
        <v>0.80289999999999995</v>
      </c>
      <c r="H50" s="101" vm="5277">
        <f ca="1"/>
        <v>0.76500000000000001</v>
      </c>
      <c r="I50" s="102" vm="5278">
        <f ca="1"/>
        <v>1867476920</v>
      </c>
    </row>
    <row r="51" spans="4:9" x14ac:dyDescent="0.3">
      <c r="D51" s="100" vm="268">
        <f ca="1"/>
        <v>42429</v>
      </c>
      <c r="E51" s="101" vm="5279">
        <f ca="1"/>
        <v>0.81379999999999997</v>
      </c>
      <c r="F51" s="101" vm="5280">
        <f ca="1"/>
        <v>0.7903</v>
      </c>
      <c r="G51" s="101" vm="5281">
        <f ca="1"/>
        <v>0.82650000000000001</v>
      </c>
      <c r="H51" s="101" vm="5282">
        <f ca="1"/>
        <v>0.78349999999999997</v>
      </c>
      <c r="I51" s="102" vm="5283">
        <f ca="1"/>
        <v>1383191400</v>
      </c>
    </row>
    <row r="52" spans="4:9" x14ac:dyDescent="0.3">
      <c r="D52" s="100" vm="274">
        <f ca="1"/>
        <v>42436</v>
      </c>
      <c r="E52" s="101" vm="5284">
        <f ca="1"/>
        <v>0.80549999999999999</v>
      </c>
      <c r="F52" s="101" vm="5224">
        <f ca="1"/>
        <v>0.80930000000000002</v>
      </c>
      <c r="G52" s="101" vm="5285">
        <f ca="1"/>
        <v>0.81479999999999997</v>
      </c>
      <c r="H52" s="101" vm="5286">
        <f ca="1"/>
        <v>0.77600000000000002</v>
      </c>
      <c r="I52" s="102" vm="5287">
        <f ca="1"/>
        <v>1301433320</v>
      </c>
    </row>
    <row r="53" spans="4:9" x14ac:dyDescent="0.3">
      <c r="D53" s="100" vm="280">
        <f ca="1"/>
        <v>42443</v>
      </c>
      <c r="E53" s="101" vm="5220">
        <f ca="1"/>
        <v>0.84530000000000005</v>
      </c>
      <c r="F53" s="101" vm="5288">
        <f ca="1"/>
        <v>0.80179999999999996</v>
      </c>
      <c r="G53" s="101" vm="5289">
        <f ca="1"/>
        <v>0.85629999999999995</v>
      </c>
      <c r="H53" s="101" vm="5212">
        <f ca="1"/>
        <v>0.7893</v>
      </c>
      <c r="I53" s="102" vm="5290">
        <f ca="1"/>
        <v>1679364680</v>
      </c>
    </row>
    <row r="54" spans="4:9" x14ac:dyDescent="0.3">
      <c r="D54" s="100" vm="286">
        <f ca="1"/>
        <v>42450</v>
      </c>
      <c r="E54" s="101" vm="5291">
        <f ca="1"/>
        <v>0.86199999999999999</v>
      </c>
      <c r="F54" s="101" vm="5292">
        <f ca="1"/>
        <v>0.83779999999999999</v>
      </c>
      <c r="G54" s="101" vm="5293">
        <f ca="1"/>
        <v>0.86699999999999999</v>
      </c>
      <c r="H54" s="101" vm="5294">
        <f ca="1"/>
        <v>0.82879999999999998</v>
      </c>
      <c r="I54" s="102" vm="5295">
        <f ca="1"/>
        <v>1253753200</v>
      </c>
    </row>
    <row r="55" spans="4:9" x14ac:dyDescent="0.3">
      <c r="D55" s="100" vm="292">
        <f ca="1"/>
        <v>42457</v>
      </c>
      <c r="E55" s="101" vm="5296">
        <f ca="1"/>
        <v>0.90380000000000005</v>
      </c>
      <c r="F55" s="101" vm="5297">
        <f ca="1"/>
        <v>0.86050000000000004</v>
      </c>
      <c r="G55" s="101" vm="5298">
        <f ca="1"/>
        <v>0.90629999999999999</v>
      </c>
      <c r="H55" s="101" vm="5299">
        <f ca="1"/>
        <v>0.85950000000000004</v>
      </c>
      <c r="I55" s="102" vm="5300">
        <f ca="1"/>
        <v>1632072440</v>
      </c>
    </row>
    <row r="56" spans="4:9" x14ac:dyDescent="0.3">
      <c r="D56" s="100" vm="298">
        <f ca="1"/>
        <v>42464</v>
      </c>
      <c r="E56" s="101" vm="5301">
        <f ca="1"/>
        <v>0.89149999999999996</v>
      </c>
      <c r="F56" s="101" vm="5302">
        <f ca="1"/>
        <v>0.9113</v>
      </c>
      <c r="G56" s="101" vm="5303">
        <f ca="1"/>
        <v>0.91600000000000004</v>
      </c>
      <c r="H56" s="101" vm="5304">
        <f ca="1"/>
        <v>0.86580000000000001</v>
      </c>
      <c r="I56" s="102" vm="5305">
        <f ca="1"/>
        <v>1820926480</v>
      </c>
    </row>
    <row r="57" spans="4:9" x14ac:dyDescent="0.3">
      <c r="D57" s="100" vm="303">
        <f ca="1"/>
        <v>42471</v>
      </c>
      <c r="E57" s="101" vm="5306">
        <f ca="1"/>
        <v>0.92830000000000001</v>
      </c>
      <c r="F57" s="101" vm="5307">
        <f ca="1"/>
        <v>0.89680000000000004</v>
      </c>
      <c r="G57" s="101" vm="5308">
        <f ca="1"/>
        <v>0.9365</v>
      </c>
      <c r="H57" s="101" vm="5309">
        <f ca="1"/>
        <v>0.87849999999999995</v>
      </c>
      <c r="I57" s="102" vm="5310">
        <f ca="1"/>
        <v>1884537600</v>
      </c>
    </row>
    <row r="58" spans="4:9" x14ac:dyDescent="0.3">
      <c r="D58" s="100" vm="308">
        <f ca="1"/>
        <v>42478</v>
      </c>
      <c r="E58" s="101" vm="5311">
        <f ca="1"/>
        <v>0.90680000000000005</v>
      </c>
      <c r="F58" s="101" vm="5312">
        <f ca="1"/>
        <v>0.92649999999999999</v>
      </c>
      <c r="G58" s="101" vm="5313">
        <f ca="1"/>
        <v>0.92949999999999999</v>
      </c>
      <c r="H58" s="101" vm="5314">
        <f ca="1"/>
        <v>0.90200000000000002</v>
      </c>
      <c r="I58" s="102" vm="5315">
        <f ca="1"/>
        <v>1218471320</v>
      </c>
    </row>
    <row r="59" spans="4:9" x14ac:dyDescent="0.3">
      <c r="D59" s="100" vm="314">
        <f ca="1"/>
        <v>42485</v>
      </c>
      <c r="E59" s="101" vm="5316">
        <f ca="1"/>
        <v>0.88829999999999998</v>
      </c>
      <c r="F59" s="101" vm="5317">
        <f ca="1"/>
        <v>0.90700000000000003</v>
      </c>
      <c r="G59" s="101" vm="5318">
        <f ca="1"/>
        <v>0.93330000000000002</v>
      </c>
      <c r="H59" s="101" vm="5309">
        <f ca="1"/>
        <v>0.87849999999999995</v>
      </c>
      <c r="I59" s="102" vm="5319">
        <f ca="1"/>
        <v>1462044000</v>
      </c>
    </row>
    <row r="60" spans="4:9" x14ac:dyDescent="0.3">
      <c r="D60" s="100" vm="320">
        <f ca="1"/>
        <v>42492</v>
      </c>
      <c r="E60" s="101" vm="5320">
        <f ca="1"/>
        <v>0.88329999999999997</v>
      </c>
      <c r="F60" s="101" vm="5307">
        <f ca="1"/>
        <v>0.89680000000000004</v>
      </c>
      <c r="G60" s="101" vm="5321">
        <f ca="1"/>
        <v>0.90549999999999997</v>
      </c>
      <c r="H60" s="101" vm="5322">
        <f ca="1"/>
        <v>0.86</v>
      </c>
      <c r="I60" s="102" vm="5323">
        <f ca="1"/>
        <v>1435987320</v>
      </c>
    </row>
    <row r="61" spans="4:9" x14ac:dyDescent="0.3">
      <c r="D61" s="100" vm="326">
        <f ca="1"/>
        <v>42499</v>
      </c>
      <c r="E61" s="101" vm="5324">
        <f ca="1"/>
        <v>1.0245</v>
      </c>
      <c r="F61" s="101" vm="5325">
        <f ca="1"/>
        <v>0.88549999999999995</v>
      </c>
      <c r="G61" s="101" vm="5326">
        <f ca="1"/>
        <v>1.0249999999999999</v>
      </c>
      <c r="H61" s="101" vm="5327">
        <f ca="1"/>
        <v>0.87329999999999997</v>
      </c>
      <c r="I61" s="102" vm="5328">
        <f ca="1"/>
        <v>3711988720</v>
      </c>
    </row>
    <row r="62" spans="4:9" x14ac:dyDescent="0.3">
      <c r="D62" s="100" vm="332">
        <f ca="1"/>
        <v>42506</v>
      </c>
      <c r="E62" s="101" vm="5329">
        <f ca="1"/>
        <v>1.1083000000000001</v>
      </c>
      <c r="F62" s="101" vm="5330">
        <f ca="1"/>
        <v>1.0167999999999999</v>
      </c>
      <c r="G62" s="101" vm="5331">
        <f ca="1"/>
        <v>1.1127</v>
      </c>
      <c r="H62" s="101" vm="5332">
        <f ca="1"/>
        <v>1.0135000000000001</v>
      </c>
      <c r="I62" s="102" vm="5333">
        <f ca="1"/>
        <v>2932455480</v>
      </c>
    </row>
    <row r="63" spans="4:9" x14ac:dyDescent="0.3">
      <c r="D63" s="100" vm="337">
        <f ca="1"/>
        <v>42513</v>
      </c>
      <c r="E63" s="101" vm="5334">
        <f ca="1"/>
        <v>1.1475</v>
      </c>
      <c r="F63" s="101" vm="5335">
        <f ca="1"/>
        <v>1.113</v>
      </c>
      <c r="G63" s="101" vm="5336">
        <f ca="1"/>
        <v>1.1495</v>
      </c>
      <c r="H63" s="101" vm="5337">
        <f ca="1"/>
        <v>1.1032999999999999</v>
      </c>
      <c r="I63" s="102" vm="5338">
        <f ca="1"/>
        <v>1875579160</v>
      </c>
    </row>
    <row r="64" spans="4:9" x14ac:dyDescent="0.3">
      <c r="D64" s="100" vm="343">
        <f ca="1"/>
        <v>42521</v>
      </c>
      <c r="E64" s="101" vm="5339">
        <f ca="1"/>
        <v>1.1619999999999999</v>
      </c>
      <c r="F64" s="101" vm="5340">
        <f ca="1"/>
        <v>1.1525000000000001</v>
      </c>
      <c r="G64" s="101" vm="5341">
        <f ca="1"/>
        <v>1.1884999999999999</v>
      </c>
      <c r="H64" s="101" vm="5342">
        <f ca="1"/>
        <v>1.1415</v>
      </c>
      <c r="I64" s="102" vm="5343">
        <f ca="1"/>
        <v>1589938560</v>
      </c>
    </row>
    <row r="65" spans="4:9" x14ac:dyDescent="0.3">
      <c r="D65" s="100" vm="349">
        <f ca="1"/>
        <v>42527</v>
      </c>
      <c r="E65" s="101" vm="5344">
        <f ca="1"/>
        <v>1.155</v>
      </c>
      <c r="F65" s="101" vm="5345">
        <f ca="1"/>
        <v>1.165</v>
      </c>
      <c r="G65" s="101" vm="5346">
        <f ca="1"/>
        <v>1.1862999999999999</v>
      </c>
      <c r="H65" s="101" vm="5347">
        <f ca="1"/>
        <v>1.145</v>
      </c>
      <c r="I65" s="102" vm="5348">
        <f ca="1"/>
        <v>1622721920</v>
      </c>
    </row>
    <row r="66" spans="4:9" x14ac:dyDescent="0.3">
      <c r="D66" s="100" vm="355">
        <f ca="1"/>
        <v>42534</v>
      </c>
      <c r="E66" s="101" vm="5349">
        <f ca="1"/>
        <v>1.1679999999999999</v>
      </c>
      <c r="F66" s="101" vm="5350">
        <f ca="1"/>
        <v>1.1563000000000001</v>
      </c>
      <c r="G66" s="101" vm="5351">
        <f ca="1"/>
        <v>1.1942999999999999</v>
      </c>
      <c r="H66" s="101" vm="5352">
        <f ca="1"/>
        <v>1.1538999999999999</v>
      </c>
      <c r="I66" s="102" vm="5353">
        <f ca="1"/>
        <v>1792426280</v>
      </c>
    </row>
    <row r="67" spans="4:9" x14ac:dyDescent="0.3">
      <c r="D67" s="100" vm="361">
        <f ca="1"/>
        <v>42541</v>
      </c>
      <c r="E67" s="101" vm="5354">
        <f ca="1"/>
        <v>1.1432</v>
      </c>
      <c r="F67" s="101" vm="5355">
        <f ca="1"/>
        <v>1.1868000000000001</v>
      </c>
      <c r="G67" s="101" vm="5356">
        <f ca="1"/>
        <v>1.2135</v>
      </c>
      <c r="H67" s="101" vm="5357">
        <f ca="1"/>
        <v>1.1325000000000001</v>
      </c>
      <c r="I67" s="102" vm="5358">
        <f ca="1"/>
        <v>2024460480</v>
      </c>
    </row>
    <row r="68" spans="4:9" x14ac:dyDescent="0.3">
      <c r="D68" s="100" vm="367">
        <f ca="1"/>
        <v>42548</v>
      </c>
      <c r="E68" s="101" vm="5359">
        <f ca="1"/>
        <v>1.1665000000000001</v>
      </c>
      <c r="F68" s="101" vm="5360">
        <f ca="1"/>
        <v>1.1337999999999999</v>
      </c>
      <c r="G68" s="101" vm="5361">
        <f ca="1"/>
        <v>1.1839999999999999</v>
      </c>
      <c r="H68" s="101" vm="5362">
        <f ca="1"/>
        <v>1.1143000000000001</v>
      </c>
      <c r="I68" s="102" vm="5363">
        <f ca="1"/>
        <v>1800616160</v>
      </c>
    </row>
    <row r="69" spans="4:9" x14ac:dyDescent="0.3">
      <c r="D69" s="100" vm="372">
        <f ca="1"/>
        <v>42556</v>
      </c>
      <c r="E69" s="101" vm="5364">
        <f ca="1"/>
        <v>1.2713000000000001</v>
      </c>
      <c r="F69" s="101" vm="5365">
        <f ca="1"/>
        <v>1.1599999999999999</v>
      </c>
      <c r="G69" s="101" vm="5366">
        <f ca="1"/>
        <v>1.2773000000000001</v>
      </c>
      <c r="H69" s="101" vm="5367">
        <f ca="1"/>
        <v>1.1508</v>
      </c>
      <c r="I69" s="102" vm="5368">
        <f ca="1"/>
        <v>1521516800</v>
      </c>
    </row>
    <row r="70" spans="4:9" x14ac:dyDescent="0.3">
      <c r="D70" s="100" vm="377">
        <f ca="1"/>
        <v>42562</v>
      </c>
      <c r="E70" s="101" vm="5369">
        <f ca="1"/>
        <v>1.3174999999999999</v>
      </c>
      <c r="F70" s="101" vm="5370">
        <f ca="1"/>
        <v>1.2895000000000001</v>
      </c>
      <c r="G70" s="101" vm="5371">
        <f ca="1"/>
        <v>1.345</v>
      </c>
      <c r="H70" s="101" vm="5372">
        <f ca="1"/>
        <v>1.288</v>
      </c>
      <c r="I70" s="102" vm="5373">
        <f ca="1"/>
        <v>1955650080</v>
      </c>
    </row>
    <row r="71" spans="4:9" x14ac:dyDescent="0.3">
      <c r="D71" s="100" vm="383">
        <f ca="1"/>
        <v>42569</v>
      </c>
      <c r="E71" s="101" vm="5374">
        <f ca="1"/>
        <v>1.3668</v>
      </c>
      <c r="F71" s="101" vm="5375">
        <f ca="1"/>
        <v>1.3338000000000001</v>
      </c>
      <c r="G71" s="101" vm="5374">
        <f ca="1"/>
        <v>1.3668</v>
      </c>
      <c r="H71" s="101" vm="5376">
        <f ca="1"/>
        <v>1.3192999999999999</v>
      </c>
      <c r="I71" s="102" vm="5377">
        <f ca="1"/>
        <v>1609178080</v>
      </c>
    </row>
    <row r="72" spans="4:9" x14ac:dyDescent="0.3">
      <c r="D72" s="100" vm="389">
        <f ca="1"/>
        <v>42576</v>
      </c>
      <c r="E72" s="101" vm="5378">
        <f ca="1"/>
        <v>1.4275</v>
      </c>
      <c r="F72" s="101" vm="5379">
        <f ca="1"/>
        <v>1.375</v>
      </c>
      <c r="G72" s="101" vm="5380">
        <f ca="1"/>
        <v>1.4313</v>
      </c>
      <c r="H72" s="101" vm="5381">
        <f ca="1"/>
        <v>1.369</v>
      </c>
      <c r="I72" s="102" vm="5382">
        <f ca="1"/>
        <v>1905217360</v>
      </c>
    </row>
    <row r="73" spans="4:9" x14ac:dyDescent="0.3">
      <c r="D73" s="100" vm="395">
        <f ca="1"/>
        <v>42583</v>
      </c>
      <c r="E73" s="101" vm="5383">
        <f ca="1"/>
        <v>1.4550000000000001</v>
      </c>
      <c r="F73" s="101" vm="5384">
        <f ca="1"/>
        <v>1.4335</v>
      </c>
      <c r="G73" s="101" vm="5385">
        <f ca="1"/>
        <v>1.4558</v>
      </c>
      <c r="H73" s="101" vm="5386">
        <f ca="1"/>
        <v>1.3875</v>
      </c>
      <c r="I73" s="102" vm="5387">
        <f ca="1"/>
        <v>1527997480</v>
      </c>
    </row>
    <row r="74" spans="4:9" x14ac:dyDescent="0.3">
      <c r="D74" s="100" vm="400">
        <f ca="1"/>
        <v>42590</v>
      </c>
      <c r="E74" s="101" vm="5388">
        <f ca="1"/>
        <v>1.5760000000000001</v>
      </c>
      <c r="F74" s="101" vm="5389">
        <f ca="1"/>
        <v>1.4750000000000001</v>
      </c>
      <c r="G74" s="101" vm="5390">
        <f ca="1"/>
        <v>1.5845</v>
      </c>
      <c r="H74" s="101" vm="5391">
        <f ca="1"/>
        <v>1.4530000000000001</v>
      </c>
      <c r="I74" s="102" vm="5392">
        <f ca="1"/>
        <v>3159952520</v>
      </c>
    </row>
    <row r="75" spans="4:9" x14ac:dyDescent="0.3">
      <c r="D75" s="100" vm="406">
        <f ca="1"/>
        <v>42597</v>
      </c>
      <c r="E75" s="101" vm="5393">
        <f ca="1"/>
        <v>1.5565</v>
      </c>
      <c r="F75" s="101" vm="5394">
        <f ca="1"/>
        <v>1.5778000000000001</v>
      </c>
      <c r="G75" s="101" vm="5395">
        <f ca="1"/>
        <v>1.5873999999999999</v>
      </c>
      <c r="H75" s="101" vm="5396">
        <f ca="1"/>
        <v>1.5164</v>
      </c>
      <c r="I75" s="102" vm="5397">
        <f ca="1"/>
        <v>2079413560</v>
      </c>
    </row>
    <row r="76" spans="4:9" x14ac:dyDescent="0.3">
      <c r="D76" s="100" vm="412">
        <f ca="1"/>
        <v>42604</v>
      </c>
      <c r="E76" s="101" vm="5398">
        <f ca="1"/>
        <v>1.5508</v>
      </c>
      <c r="F76" s="101" vm="5399">
        <f ca="1"/>
        <v>1.5612999999999999</v>
      </c>
      <c r="G76" s="101" vm="5400">
        <f ca="1"/>
        <v>1.583</v>
      </c>
      <c r="H76" s="101" vm="5401">
        <f ca="1"/>
        <v>1.5189999999999999</v>
      </c>
      <c r="I76" s="102" vm="5402">
        <f ca="1"/>
        <v>1589015680</v>
      </c>
    </row>
    <row r="77" spans="4:9" x14ac:dyDescent="0.3">
      <c r="D77" s="100" vm="418">
        <f ca="1"/>
        <v>42611</v>
      </c>
      <c r="E77" s="101" vm="5403">
        <f ca="1"/>
        <v>1.5632999999999999</v>
      </c>
      <c r="F77" s="101" vm="5404">
        <f ca="1"/>
        <v>1.5569999999999999</v>
      </c>
      <c r="G77" s="101" vm="5390">
        <f ca="1"/>
        <v>1.5845</v>
      </c>
      <c r="H77" s="101" vm="5405">
        <f ca="1"/>
        <v>1.5289999999999999</v>
      </c>
      <c r="I77" s="102" vm="5406">
        <f ca="1"/>
        <v>1700383600</v>
      </c>
    </row>
    <row r="78" spans="4:9" x14ac:dyDescent="0.3">
      <c r="D78" s="100" vm="424">
        <f ca="1"/>
        <v>42619</v>
      </c>
      <c r="E78" s="101" vm="5407">
        <f ca="1"/>
        <v>1.488</v>
      </c>
      <c r="F78" s="101" vm="5408">
        <f ca="1"/>
        <v>1.5688</v>
      </c>
      <c r="G78" s="101" vm="5409">
        <f ca="1"/>
        <v>1.5807</v>
      </c>
      <c r="H78" s="101" vm="5389">
        <f ca="1"/>
        <v>1.4750000000000001</v>
      </c>
      <c r="I78" s="102" vm="5410">
        <f ca="1"/>
        <v>1718368200</v>
      </c>
    </row>
    <row r="79" spans="4:9" x14ac:dyDescent="0.3">
      <c r="D79" s="100" vm="429">
        <f ca="1"/>
        <v>42625</v>
      </c>
      <c r="E79" s="101" vm="5411">
        <f ca="1"/>
        <v>1.571</v>
      </c>
      <c r="F79" s="101" vm="5412">
        <f ca="1"/>
        <v>1.4682999999999999</v>
      </c>
      <c r="G79" s="101" vm="5413">
        <f ca="1"/>
        <v>1.5812999999999999</v>
      </c>
      <c r="H79" s="101" vm="5414">
        <f ca="1"/>
        <v>1.4329000000000001</v>
      </c>
      <c r="I79" s="102" vm="5415">
        <f ca="1"/>
        <v>2807239240</v>
      </c>
    </row>
    <row r="80" spans="4:9" x14ac:dyDescent="0.3">
      <c r="D80" s="100" vm="435">
        <f ca="1"/>
        <v>42632</v>
      </c>
      <c r="E80" s="101" vm="5416">
        <f ca="1"/>
        <v>1.6237999999999999</v>
      </c>
      <c r="F80" s="101" vm="5417">
        <f ca="1"/>
        <v>1.5874999999999999</v>
      </c>
      <c r="G80" s="101" vm="5418">
        <f ca="1"/>
        <v>1.6359999999999999</v>
      </c>
      <c r="H80" s="101" vm="5419">
        <f ca="1"/>
        <v>1.5685</v>
      </c>
      <c r="I80" s="102" vm="5420">
        <f ca="1"/>
        <v>1669320280</v>
      </c>
    </row>
    <row r="81" spans="4:9" x14ac:dyDescent="0.3">
      <c r="D81" s="100" vm="441">
        <f ca="1"/>
        <v>42639</v>
      </c>
      <c r="E81" s="101" vm="5421">
        <f ca="1"/>
        <v>1.7130000000000001</v>
      </c>
      <c r="F81" s="101" vm="5422">
        <f ca="1"/>
        <v>1.6052</v>
      </c>
      <c r="G81" s="101" vm="5423">
        <f ca="1"/>
        <v>1.7298</v>
      </c>
      <c r="H81" s="101" vm="5424">
        <f ca="1"/>
        <v>1.5883</v>
      </c>
      <c r="I81" s="102" vm="5425">
        <f ca="1"/>
        <v>1719197800</v>
      </c>
    </row>
    <row r="82" spans="4:9" x14ac:dyDescent="0.3">
      <c r="D82" s="100" vm="446">
        <f ca="1"/>
        <v>42646</v>
      </c>
      <c r="E82" s="101" vm="5426">
        <f ca="1"/>
        <v>1.6713</v>
      </c>
      <c r="F82" s="101" vm="5421">
        <f ca="1"/>
        <v>1.7130000000000001</v>
      </c>
      <c r="G82" s="101" vm="5427">
        <f ca="1"/>
        <v>1.7424999999999999</v>
      </c>
      <c r="H82" s="101" vm="5428">
        <f ca="1"/>
        <v>1.6565000000000001</v>
      </c>
      <c r="I82" s="102" vm="5429">
        <f ca="1"/>
        <v>1476133040</v>
      </c>
    </row>
    <row r="83" spans="4:9" x14ac:dyDescent="0.3">
      <c r="D83" s="100" vm="450">
        <f ca="1"/>
        <v>42653</v>
      </c>
      <c r="E83" s="101" vm="5430">
        <f ca="1"/>
        <v>1.6497999999999999</v>
      </c>
      <c r="F83" s="101" vm="5431">
        <f ca="1"/>
        <v>1.68</v>
      </c>
      <c r="G83" s="101" vm="5432">
        <f ca="1"/>
        <v>1.6890000000000001</v>
      </c>
      <c r="H83" s="101" vm="5433">
        <f ca="1"/>
        <v>1.5925</v>
      </c>
      <c r="I83" s="102" vm="5434">
        <f ca="1"/>
        <v>1817085200</v>
      </c>
    </row>
    <row r="84" spans="4:9" x14ac:dyDescent="0.3">
      <c r="D84" s="100" vm="456">
        <f ca="1"/>
        <v>42660</v>
      </c>
      <c r="E84" s="101" vm="5435">
        <f ca="1"/>
        <v>1.6884999999999999</v>
      </c>
      <c r="F84" s="101" vm="5436">
        <f ca="1"/>
        <v>1.6495</v>
      </c>
      <c r="G84" s="101" vm="5437">
        <f ca="1"/>
        <v>1.6988000000000001</v>
      </c>
      <c r="H84" s="101" vm="5438">
        <f ca="1"/>
        <v>1.6379999999999999</v>
      </c>
      <c r="I84" s="102" vm="5439">
        <f ca="1"/>
        <v>1255344880</v>
      </c>
    </row>
    <row r="85" spans="4:9" x14ac:dyDescent="0.3">
      <c r="D85" s="100" vm="462">
        <f ca="1"/>
        <v>42667</v>
      </c>
      <c r="E85" s="101" vm="5440">
        <f ca="1"/>
        <v>1.764</v>
      </c>
      <c r="F85" s="101" vm="5441">
        <f ca="1"/>
        <v>1.7</v>
      </c>
      <c r="G85" s="101" vm="5442">
        <f ca="1"/>
        <v>1.8238000000000001</v>
      </c>
      <c r="H85" s="101" vm="5443">
        <f ca="1"/>
        <v>1.6998</v>
      </c>
      <c r="I85" s="102" vm="5444">
        <f ca="1"/>
        <v>1750610200</v>
      </c>
    </row>
    <row r="86" spans="4:9" x14ac:dyDescent="0.3">
      <c r="D86" s="100" vm="467">
        <f ca="1"/>
        <v>42674</v>
      </c>
      <c r="E86" s="101" vm="5445">
        <f ca="1"/>
        <v>1.6893</v>
      </c>
      <c r="F86" s="101" vm="5446">
        <f ca="1"/>
        <v>1.7698</v>
      </c>
      <c r="G86" s="101" vm="5447">
        <f ca="1"/>
        <v>1.7952999999999999</v>
      </c>
      <c r="H86" s="101" vm="5448">
        <f ca="1"/>
        <v>1.6644000000000001</v>
      </c>
      <c r="I86" s="102" vm="5449">
        <f ca="1"/>
        <v>1659906440</v>
      </c>
    </row>
    <row r="87" spans="4:9" x14ac:dyDescent="0.3">
      <c r="D87" s="100" vm="473">
        <f ca="1"/>
        <v>42681</v>
      </c>
      <c r="E87" s="101" vm="5450">
        <f ca="1"/>
        <v>2.1993</v>
      </c>
      <c r="F87" s="101" vm="5451">
        <f ca="1"/>
        <v>1.7387999999999999</v>
      </c>
      <c r="G87" s="101" vm="5452">
        <f ca="1"/>
        <v>2.2193000000000001</v>
      </c>
      <c r="H87" s="101" vm="5453">
        <f ca="1"/>
        <v>1.669</v>
      </c>
      <c r="I87" s="102" vm="5454">
        <f ca="1"/>
        <v>4418622280</v>
      </c>
    </row>
    <row r="88" spans="4:9" x14ac:dyDescent="0.3">
      <c r="D88" s="100" vm="479">
        <f ca="1"/>
        <v>42688</v>
      </c>
      <c r="E88" s="101" vm="5455">
        <f ca="1"/>
        <v>2.3340000000000001</v>
      </c>
      <c r="F88" s="101" vm="5456">
        <f ca="1"/>
        <v>2.2023000000000001</v>
      </c>
      <c r="G88" s="101" vm="5457">
        <f ca="1"/>
        <v>2.3698000000000001</v>
      </c>
      <c r="H88" s="101" vm="5458">
        <f ca="1"/>
        <v>2.0905</v>
      </c>
      <c r="I88" s="102" vm="5459">
        <f ca="1"/>
        <v>4371922320</v>
      </c>
    </row>
    <row r="89" spans="4:9" x14ac:dyDescent="0.3">
      <c r="D89" s="100" vm="485">
        <f ca="1"/>
        <v>42695</v>
      </c>
      <c r="E89" s="101" vm="5460">
        <f ca="1"/>
        <v>2.3540000000000001</v>
      </c>
      <c r="F89" s="101" vm="5461">
        <f ca="1"/>
        <v>2.3523000000000001</v>
      </c>
      <c r="G89" s="101" vm="5462">
        <f ca="1"/>
        <v>2.3812000000000002</v>
      </c>
      <c r="H89" s="101" vm="5463">
        <f ca="1"/>
        <v>2.3094999999999999</v>
      </c>
      <c r="I89" s="102" vm="5464">
        <f ca="1"/>
        <v>1405601400</v>
      </c>
    </row>
    <row r="90" spans="4:9" x14ac:dyDescent="0.3">
      <c r="D90" s="100" vm="491">
        <f ca="1"/>
        <v>42702</v>
      </c>
      <c r="E90" s="101" vm="5465">
        <f ca="1"/>
        <v>2.2113</v>
      </c>
      <c r="F90" s="101" vm="5466">
        <f ca="1"/>
        <v>2.3468</v>
      </c>
      <c r="G90" s="101" vm="5467">
        <f ca="1"/>
        <v>2.3685</v>
      </c>
      <c r="H90" s="101" vm="5468">
        <f ca="1"/>
        <v>2.1193</v>
      </c>
      <c r="I90" s="102" vm="5469">
        <f ca="1"/>
        <v>2677619040</v>
      </c>
    </row>
    <row r="91" spans="4:9" x14ac:dyDescent="0.3">
      <c r="D91" s="100" vm="497">
        <f ca="1"/>
        <v>42709</v>
      </c>
      <c r="E91" s="101" vm="5470">
        <f ca="1"/>
        <v>2.2955000000000001</v>
      </c>
      <c r="F91" s="101" vm="5471">
        <f ca="1"/>
        <v>2.2498</v>
      </c>
      <c r="G91" s="101" vm="5472">
        <f ca="1"/>
        <v>2.4155000000000002</v>
      </c>
      <c r="H91" s="101" vm="5473">
        <f ca="1"/>
        <v>2.2250000000000001</v>
      </c>
      <c r="I91" s="102" vm="5474">
        <f ca="1"/>
        <v>2345739760</v>
      </c>
    </row>
    <row r="92" spans="4:9" x14ac:dyDescent="0.3">
      <c r="D92" s="100" vm="503">
        <f ca="1"/>
        <v>42716</v>
      </c>
      <c r="E92" s="101" vm="5475">
        <f ca="1"/>
        <v>2.5103</v>
      </c>
      <c r="F92" s="101" vm="5476">
        <f ca="1"/>
        <v>2.2463000000000002</v>
      </c>
      <c r="G92" s="101" vm="5477">
        <f ca="1"/>
        <v>2.5175000000000001</v>
      </c>
      <c r="H92" s="101" vm="5478">
        <f ca="1"/>
        <v>2.1884999999999999</v>
      </c>
      <c r="I92" s="102" vm="5479">
        <f ca="1"/>
        <v>3809181920</v>
      </c>
    </row>
    <row r="93" spans="4:9" x14ac:dyDescent="0.3">
      <c r="D93" s="100" vm="508">
        <f ca="1"/>
        <v>42723</v>
      </c>
      <c r="E93" s="101" vm="5480">
        <f ca="1"/>
        <v>2.7444999999999999</v>
      </c>
      <c r="F93" s="101" vm="5481">
        <f ca="1"/>
        <v>2.4925000000000002</v>
      </c>
      <c r="G93" s="101" vm="5482">
        <f ca="1"/>
        <v>2.7458999999999998</v>
      </c>
      <c r="H93" s="101" vm="5483">
        <f ca="1"/>
        <v>2.4750000000000001</v>
      </c>
      <c r="I93" s="102" vm="5484">
        <f ca="1"/>
        <v>3535152600</v>
      </c>
    </row>
    <row r="94" spans="4:9" x14ac:dyDescent="0.3">
      <c r="D94" s="100" vm="514">
        <f ca="1"/>
        <v>42731</v>
      </c>
      <c r="E94" s="101" vm="5485">
        <f ca="1"/>
        <v>2.6684999999999999</v>
      </c>
      <c r="F94" s="101" vm="5486">
        <f ca="1"/>
        <v>2.8014999999999999</v>
      </c>
      <c r="G94" s="101" vm="5487">
        <f ca="1"/>
        <v>2.9983</v>
      </c>
      <c r="H94" s="101" vm="5488">
        <f ca="1"/>
        <v>2.57</v>
      </c>
      <c r="I94" s="102" vm="5489">
        <f ca="1"/>
        <v>6878335960</v>
      </c>
    </row>
    <row r="95" spans="4:9" x14ac:dyDescent="0.3">
      <c r="D95" s="100" vm="519">
        <f ca="1"/>
        <v>42738</v>
      </c>
      <c r="E95" s="101" vm="5490">
        <f ca="1"/>
        <v>2.5775000000000001</v>
      </c>
      <c r="F95" s="101" vm="5491">
        <f ca="1"/>
        <v>2.61</v>
      </c>
      <c r="G95" s="101" vm="5492">
        <f ca="1"/>
        <v>2.6593</v>
      </c>
      <c r="H95" s="101" vm="5493">
        <f ca="1"/>
        <v>2.4845000000000002</v>
      </c>
      <c r="I95" s="102" vm="5494">
        <f ca="1"/>
        <v>4508367200</v>
      </c>
    </row>
    <row r="96" spans="4:9" x14ac:dyDescent="0.3">
      <c r="D96" s="100" vm="524">
        <f ca="1"/>
        <v>42744</v>
      </c>
      <c r="E96" s="101" vm="5495">
        <f ca="1"/>
        <v>2.5857999999999999</v>
      </c>
      <c r="F96" s="101" vm="5496">
        <f ca="1"/>
        <v>2.5874999999999999</v>
      </c>
      <c r="G96" s="101" vm="5497">
        <f ca="1"/>
        <v>2.7298</v>
      </c>
      <c r="H96" s="101" vm="5498">
        <f ca="1"/>
        <v>2.5405000000000002</v>
      </c>
      <c r="I96" s="102" vm="5499">
        <f ca="1"/>
        <v>3406269560</v>
      </c>
    </row>
    <row r="97" spans="4:9" x14ac:dyDescent="0.3">
      <c r="D97" s="100" vm="530">
        <f ca="1"/>
        <v>42752</v>
      </c>
      <c r="E97" s="101" vm="5500">
        <f ca="1"/>
        <v>2.6002999999999998</v>
      </c>
      <c r="F97" s="101" vm="5501">
        <f ca="1"/>
        <v>2.5750000000000002</v>
      </c>
      <c r="G97" s="101" vm="5502">
        <f ca="1"/>
        <v>2.67</v>
      </c>
      <c r="H97" s="101" vm="5503">
        <f ca="1"/>
        <v>2.4777999999999998</v>
      </c>
      <c r="I97" s="102" vm="5504">
        <f ca="1"/>
        <v>2371928360</v>
      </c>
    </row>
    <row r="98" spans="4:9" x14ac:dyDescent="0.3">
      <c r="D98" s="100" vm="536">
        <f ca="1"/>
        <v>42758</v>
      </c>
      <c r="E98" s="101" vm="5505">
        <f ca="1"/>
        <v>2.7942999999999998</v>
      </c>
      <c r="F98" s="101" vm="5506">
        <f ca="1"/>
        <v>2.5950000000000002</v>
      </c>
      <c r="G98" s="101" vm="5507">
        <f ca="1"/>
        <v>2.7972999999999999</v>
      </c>
      <c r="H98" s="101" vm="5508">
        <f ca="1"/>
        <v>2.5924999999999998</v>
      </c>
      <c r="I98" s="102" vm="5509">
        <f ca="1"/>
        <v>2252132320</v>
      </c>
    </row>
    <row r="99" spans="4:9" x14ac:dyDescent="0.3">
      <c r="D99" s="100" vm="540">
        <f ca="1"/>
        <v>42765</v>
      </c>
      <c r="E99" s="101" vm="5510">
        <f ca="1"/>
        <v>2.8595000000000002</v>
      </c>
      <c r="F99" s="101" vm="5511">
        <f ca="1"/>
        <v>2.7730000000000001</v>
      </c>
      <c r="G99" s="101" vm="5512">
        <f ca="1"/>
        <v>2.8975</v>
      </c>
      <c r="H99" s="101" vm="5513">
        <f ca="1"/>
        <v>2.6978</v>
      </c>
      <c r="I99" s="102" vm="5514">
        <f ca="1"/>
        <v>2304748160</v>
      </c>
    </row>
    <row r="100" spans="4:9" x14ac:dyDescent="0.3">
      <c r="D100" s="100" vm="546">
        <f ca="1"/>
        <v>42772</v>
      </c>
      <c r="E100" s="101" vm="5515">
        <f ca="1"/>
        <v>2.8405</v>
      </c>
      <c r="F100" s="101" vm="5516">
        <f ca="1"/>
        <v>2.85</v>
      </c>
      <c r="G100" s="101" vm="5517">
        <f ca="1"/>
        <v>3.0230000000000001</v>
      </c>
      <c r="H100" s="101" vm="5518">
        <f ca="1"/>
        <v>2.8149999999999999</v>
      </c>
      <c r="I100" s="102" vm="5519">
        <f ca="1"/>
        <v>4196231120</v>
      </c>
    </row>
    <row r="101" spans="4:9" x14ac:dyDescent="0.3">
      <c r="D101" s="100" vm="551">
        <f ca="1"/>
        <v>42779</v>
      </c>
      <c r="E101" s="101" vm="5520">
        <f ca="1"/>
        <v>2.6808000000000001</v>
      </c>
      <c r="F101" s="101" vm="5521">
        <f ca="1"/>
        <v>2.8348</v>
      </c>
      <c r="G101" s="101" vm="5522">
        <f ca="1"/>
        <v>2.8494999999999999</v>
      </c>
      <c r="H101" s="101" vm="5523">
        <f ca="1"/>
        <v>2.6198000000000001</v>
      </c>
      <c r="I101" s="102" vm="5524">
        <f ca="1"/>
        <v>3615288840</v>
      </c>
    </row>
    <row r="102" spans="4:9" x14ac:dyDescent="0.3">
      <c r="D102" s="100" vm="557">
        <f ca="1"/>
        <v>42787</v>
      </c>
      <c r="E102" s="101" vm="5525">
        <f ca="1"/>
        <v>2.5365000000000002</v>
      </c>
      <c r="F102" s="101" vm="5526">
        <f ca="1"/>
        <v>2.7058</v>
      </c>
      <c r="G102" s="101" vm="5527">
        <f ca="1"/>
        <v>2.7949999999999999</v>
      </c>
      <c r="H102" s="101" vm="5528">
        <f ca="1"/>
        <v>2.3925000000000001</v>
      </c>
      <c r="I102" s="102" vm="5529">
        <f ca="1"/>
        <v>3608513960</v>
      </c>
    </row>
    <row r="103" spans="4:9" x14ac:dyDescent="0.3">
      <c r="D103" s="100" vm="563">
        <f ca="1"/>
        <v>42793</v>
      </c>
      <c r="E103" s="101" vm="5530">
        <f ca="1"/>
        <v>2.4607999999999999</v>
      </c>
      <c r="F103" s="101" vm="5531">
        <f ca="1"/>
        <v>2.5550000000000002</v>
      </c>
      <c r="G103" s="101" vm="5532">
        <f ca="1"/>
        <v>2.63</v>
      </c>
      <c r="H103" s="101" vm="5533">
        <f ca="1"/>
        <v>2.4055</v>
      </c>
      <c r="I103" s="102" vm="5534">
        <f ca="1"/>
        <v>3465353120</v>
      </c>
    </row>
    <row r="104" spans="4:9" x14ac:dyDescent="0.3">
      <c r="D104" s="100" vm="569">
        <f ca="1"/>
        <v>42800</v>
      </c>
      <c r="E104" s="101" vm="5535">
        <f ca="1"/>
        <v>2.4780000000000002</v>
      </c>
      <c r="F104" s="101" vm="5536">
        <f ca="1"/>
        <v>2.4239999999999999</v>
      </c>
      <c r="G104" s="101" vm="5537">
        <f ca="1"/>
        <v>2.5325000000000002</v>
      </c>
      <c r="H104" s="101" vm="5538">
        <f ca="1"/>
        <v>2.3793000000000002</v>
      </c>
      <c r="I104" s="102" vm="5539">
        <f ca="1"/>
        <v>3103479280</v>
      </c>
    </row>
    <row r="105" spans="4:9" x14ac:dyDescent="0.3">
      <c r="D105" s="100" vm="575">
        <f ca="1"/>
        <v>42807</v>
      </c>
      <c r="E105" s="101" vm="5540">
        <f ca="1"/>
        <v>2.6518000000000002</v>
      </c>
      <c r="F105" s="101" vm="5541">
        <f ca="1"/>
        <v>2.4885000000000002</v>
      </c>
      <c r="G105" s="101" vm="5542">
        <f ca="1"/>
        <v>2.653</v>
      </c>
      <c r="H105" s="101" vm="5543">
        <f ca="1"/>
        <v>2.4878</v>
      </c>
      <c r="I105" s="102" vm="5544">
        <f ca="1"/>
        <v>3553973320</v>
      </c>
    </row>
    <row r="106" spans="4:9" x14ac:dyDescent="0.3">
      <c r="D106" s="100" vm="581">
        <f ca="1"/>
        <v>42814</v>
      </c>
      <c r="E106" s="101" vm="5545">
        <f ca="1"/>
        <v>2.6867999999999999</v>
      </c>
      <c r="F106" s="101" vm="5546">
        <f ca="1"/>
        <v>2.6695000000000002</v>
      </c>
      <c r="G106" s="101" vm="5547">
        <f ca="1"/>
        <v>2.7490000000000001</v>
      </c>
      <c r="H106" s="101" vm="5548">
        <f ca="1"/>
        <v>2.6324999999999998</v>
      </c>
      <c r="I106" s="102" vm="5549">
        <f ca="1"/>
        <v>3252257960</v>
      </c>
    </row>
    <row r="107" spans="4:9" x14ac:dyDescent="0.3">
      <c r="D107" s="100" vm="587">
        <f ca="1"/>
        <v>42821</v>
      </c>
      <c r="E107" s="101" vm="5550">
        <f ca="1"/>
        <v>2.7233000000000001</v>
      </c>
      <c r="F107" s="101" vm="5551">
        <f ca="1"/>
        <v>2.6395</v>
      </c>
      <c r="G107" s="101" vm="5552">
        <f ca="1"/>
        <v>2.75</v>
      </c>
      <c r="H107" s="101" vm="5553">
        <f ca="1"/>
        <v>2.5893999999999999</v>
      </c>
      <c r="I107" s="102" vm="5554">
        <f ca="1"/>
        <v>2255420560</v>
      </c>
    </row>
    <row r="108" spans="4:9" x14ac:dyDescent="0.3">
      <c r="D108" s="100" vm="593">
        <f ca="1"/>
        <v>42828</v>
      </c>
      <c r="E108" s="101" vm="5555">
        <f ca="1"/>
        <v>2.5083000000000002</v>
      </c>
      <c r="F108" s="101" vm="5556">
        <f ca="1"/>
        <v>2.7238000000000002</v>
      </c>
      <c r="G108" s="101" vm="5557">
        <f ca="1"/>
        <v>2.7412999999999998</v>
      </c>
      <c r="H108" s="101" vm="5558">
        <f ca="1"/>
        <v>2.4603000000000002</v>
      </c>
      <c r="I108" s="102" vm="5559">
        <f ca="1"/>
        <v>3527748120</v>
      </c>
    </row>
    <row r="109" spans="4:9" x14ac:dyDescent="0.3">
      <c r="D109" s="100" vm="599">
        <f ca="1"/>
        <v>42835</v>
      </c>
      <c r="E109" s="101" vm="5560">
        <f ca="1"/>
        <v>2.3873000000000002</v>
      </c>
      <c r="F109" s="101" vm="5561">
        <f ca="1"/>
        <v>2.5089999999999999</v>
      </c>
      <c r="G109" s="101" vm="5562">
        <f ca="1"/>
        <v>2.5158</v>
      </c>
      <c r="H109" s="101" vm="5560">
        <f ca="1"/>
        <v>2.3873000000000002</v>
      </c>
      <c r="I109" s="102" vm="5563">
        <f ca="1"/>
        <v>2295466080</v>
      </c>
    </row>
    <row r="110" spans="4:9" x14ac:dyDescent="0.3">
      <c r="D110" s="100" vm="605">
        <f ca="1"/>
        <v>42842</v>
      </c>
      <c r="E110" s="101" vm="5564">
        <f ca="1"/>
        <v>2.5419999999999998</v>
      </c>
      <c r="F110" s="101" vm="5565">
        <f ca="1"/>
        <v>2.4003000000000001</v>
      </c>
      <c r="G110" s="101" vm="5566">
        <f ca="1"/>
        <v>2.5448</v>
      </c>
      <c r="H110" s="101" vm="5567">
        <f ca="1"/>
        <v>2.395</v>
      </c>
      <c r="I110" s="102" vm="5568">
        <f ca="1"/>
        <v>1994146240</v>
      </c>
    </row>
    <row r="111" spans="4:9" x14ac:dyDescent="0.3">
      <c r="D111" s="100" vm="611">
        <f ca="1"/>
        <v>42849</v>
      </c>
      <c r="E111" s="101" vm="5569">
        <f ca="1"/>
        <v>2.6074999999999999</v>
      </c>
      <c r="F111" s="101" vm="5570">
        <f ca="1"/>
        <v>2.5739999999999998</v>
      </c>
      <c r="G111" s="101" vm="5571">
        <f ca="1"/>
        <v>2.6495000000000002</v>
      </c>
      <c r="H111" s="101" vm="5572">
        <f ca="1"/>
        <v>2.5528</v>
      </c>
      <c r="I111" s="102" vm="5573">
        <f ca="1"/>
        <v>1755209160</v>
      </c>
    </row>
    <row r="112" spans="4:9" x14ac:dyDescent="0.3">
      <c r="D112" s="100" vm="617">
        <f ca="1"/>
        <v>42856</v>
      </c>
      <c r="E112" s="101" vm="5574">
        <f ca="1"/>
        <v>2.5964999999999998</v>
      </c>
      <c r="F112" s="101" vm="5575">
        <f ca="1"/>
        <v>2.6185</v>
      </c>
      <c r="G112" s="101" vm="5576">
        <f ca="1"/>
        <v>2.6713</v>
      </c>
      <c r="H112" s="101" vm="5577">
        <f ca="1"/>
        <v>2.5640000000000001</v>
      </c>
      <c r="I112" s="102" vm="5578">
        <f ca="1"/>
        <v>1712828840</v>
      </c>
    </row>
    <row r="113" spans="4:9" x14ac:dyDescent="0.3">
      <c r="D113" s="100" vm="623">
        <f ca="1"/>
        <v>42863</v>
      </c>
      <c r="E113" s="101" vm="5579">
        <f ca="1"/>
        <v>3.1972999999999998</v>
      </c>
      <c r="F113" s="101" vm="5580">
        <f ca="1"/>
        <v>2.6084999999999998</v>
      </c>
      <c r="G113" s="101" vm="5581">
        <f ca="1"/>
        <v>3.2608000000000001</v>
      </c>
      <c r="H113" s="101" vm="5582">
        <f ca="1"/>
        <v>2.5577999999999999</v>
      </c>
      <c r="I113" s="102" vm="5583">
        <f ca="1"/>
        <v>6244419320</v>
      </c>
    </row>
    <row r="114" spans="4:9" x14ac:dyDescent="0.3">
      <c r="D114" s="100" vm="628">
        <f ca="1"/>
        <v>42870</v>
      </c>
      <c r="E114" s="101" vm="5584">
        <f ca="1"/>
        <v>3.4</v>
      </c>
      <c r="F114" s="101" vm="5585">
        <f ca="1"/>
        <v>3.2389999999999999</v>
      </c>
      <c r="G114" s="101" vm="5586">
        <f ca="1"/>
        <v>3.4554999999999998</v>
      </c>
      <c r="H114" s="101" vm="5587">
        <f ca="1"/>
        <v>3.1762999999999999</v>
      </c>
      <c r="I114" s="102" vm="5588">
        <f ca="1"/>
        <v>5654008200</v>
      </c>
    </row>
    <row r="115" spans="4:9" x14ac:dyDescent="0.3">
      <c r="D115" s="100" vm="634">
        <f ca="1"/>
        <v>42877</v>
      </c>
      <c r="E115" s="101" vm="5589">
        <f ca="1"/>
        <v>3.5459999999999998</v>
      </c>
      <c r="F115" s="101" vm="5590">
        <f ca="1"/>
        <v>3.4443000000000001</v>
      </c>
      <c r="G115" s="101" vm="5591">
        <f ca="1"/>
        <v>3.6320000000000001</v>
      </c>
      <c r="H115" s="101" vm="5592">
        <f ca="1"/>
        <v>3.3927999999999998</v>
      </c>
      <c r="I115" s="102" vm="5593">
        <f ca="1"/>
        <v>3722606600</v>
      </c>
    </row>
    <row r="116" spans="4:9" x14ac:dyDescent="0.3">
      <c r="D116" s="100" vm="640">
        <f ca="1"/>
        <v>42885</v>
      </c>
      <c r="E116" s="101" vm="5594">
        <f ca="1"/>
        <v>3.5910000000000002</v>
      </c>
      <c r="F116" s="101" vm="5595">
        <f ca="1"/>
        <v>3.5924999999999998</v>
      </c>
      <c r="G116" s="101" vm="5596">
        <f ca="1"/>
        <v>3.6749999999999998</v>
      </c>
      <c r="H116" s="101" vm="5597">
        <f ca="1"/>
        <v>3.5512999999999999</v>
      </c>
      <c r="I116" s="102" vm="5598">
        <f ca="1"/>
        <v>2867763720</v>
      </c>
    </row>
    <row r="117" spans="4:9" x14ac:dyDescent="0.3">
      <c r="D117" s="100" vm="645">
        <f ca="1"/>
        <v>42891</v>
      </c>
      <c r="E117" s="101" vm="5599">
        <f ca="1"/>
        <v>3.74</v>
      </c>
      <c r="F117" s="101" vm="5600">
        <f ca="1"/>
        <v>3.5745</v>
      </c>
      <c r="G117" s="101" vm="5601">
        <f ca="1"/>
        <v>4.2125000000000004</v>
      </c>
      <c r="H117" s="101" vm="5602">
        <f ca="1"/>
        <v>3.5628000000000002</v>
      </c>
      <c r="I117" s="102" vm="5603">
        <f ca="1"/>
        <v>7043389000</v>
      </c>
    </row>
    <row r="118" spans="4:9" x14ac:dyDescent="0.3">
      <c r="D118" s="100" vm="650">
        <f ca="1"/>
        <v>42898</v>
      </c>
      <c r="E118" s="101" vm="5604">
        <f ca="1"/>
        <v>3.7905000000000002</v>
      </c>
      <c r="F118" s="101" vm="5605">
        <f ca="1"/>
        <v>3.6469999999999998</v>
      </c>
      <c r="G118" s="101" vm="5606">
        <f ca="1"/>
        <v>3.8693</v>
      </c>
      <c r="H118" s="101" vm="5607">
        <f ca="1"/>
        <v>3.5528</v>
      </c>
      <c r="I118" s="102" vm="5608">
        <f ca="1"/>
        <v>6443458320</v>
      </c>
    </row>
    <row r="119" spans="4:9" x14ac:dyDescent="0.3">
      <c r="D119" s="100" vm="655">
        <f ca="1"/>
        <v>42905</v>
      </c>
      <c r="E119" s="101" vm="5609">
        <f ca="1"/>
        <v>3.8458000000000001</v>
      </c>
      <c r="F119" s="101" vm="5610">
        <f ca="1"/>
        <v>3.8353000000000002</v>
      </c>
      <c r="G119" s="101" vm="5611">
        <f ca="1"/>
        <v>4.0434999999999999</v>
      </c>
      <c r="H119" s="101" vm="5612">
        <f ca="1"/>
        <v>3.8304999999999998</v>
      </c>
      <c r="I119" s="102" vm="5613">
        <f ca="1"/>
        <v>4113993200</v>
      </c>
    </row>
    <row r="120" spans="4:9" x14ac:dyDescent="0.3">
      <c r="D120" s="100" vm="659">
        <f ca="1"/>
        <v>42912</v>
      </c>
      <c r="E120" s="101" vm="5614">
        <f ca="1"/>
        <v>3.6139999999999999</v>
      </c>
      <c r="F120" s="101" vm="5615">
        <f ca="1"/>
        <v>3.879</v>
      </c>
      <c r="G120" s="101" vm="5616">
        <f ca="1"/>
        <v>3.915</v>
      </c>
      <c r="H120" s="101" vm="5617">
        <f ca="1"/>
        <v>3.5874999999999999</v>
      </c>
      <c r="I120" s="102" vm="5618">
        <f ca="1"/>
        <v>4853885800</v>
      </c>
    </row>
    <row r="121" spans="4:9" x14ac:dyDescent="0.3">
      <c r="D121" s="100" vm="665">
        <f ca="1"/>
        <v>42919</v>
      </c>
      <c r="E121" s="101" vm="5619">
        <f ca="1"/>
        <v>3.669</v>
      </c>
      <c r="F121" s="101" vm="5620">
        <f ca="1"/>
        <v>3.6263000000000001</v>
      </c>
      <c r="G121" s="101" vm="5621">
        <f ca="1"/>
        <v>3.6875</v>
      </c>
      <c r="H121" s="101" vm="5622">
        <f ca="1"/>
        <v>3.4645000000000001</v>
      </c>
      <c r="I121" s="102" vm="5623">
        <f ca="1"/>
        <v>2930519720</v>
      </c>
    </row>
    <row r="122" spans="4:9" x14ac:dyDescent="0.3">
      <c r="D122" s="100" vm="671">
        <f ca="1"/>
        <v>42926</v>
      </c>
      <c r="E122" s="101" vm="5624">
        <f ca="1"/>
        <v>4.1238000000000001</v>
      </c>
      <c r="F122" s="101" vm="5625">
        <f ca="1"/>
        <v>3.7435</v>
      </c>
      <c r="G122" s="101" vm="5626">
        <f ca="1"/>
        <v>4.1574999999999998</v>
      </c>
      <c r="H122" s="101" vm="5627">
        <f ca="1"/>
        <v>3.7170999999999998</v>
      </c>
      <c r="I122" s="102" vm="5628">
        <f ca="1"/>
        <v>5172736240</v>
      </c>
    </row>
    <row r="123" spans="4:9" x14ac:dyDescent="0.3">
      <c r="D123" s="100" vm="677">
        <f ca="1"/>
        <v>42933</v>
      </c>
      <c r="E123" s="101" vm="5629">
        <f ca="1"/>
        <v>4.2024999999999997</v>
      </c>
      <c r="F123" s="101" vm="5630">
        <f ca="1"/>
        <v>4.1582999999999997</v>
      </c>
      <c r="G123" s="101" vm="5631">
        <f ca="1"/>
        <v>4.2324999999999999</v>
      </c>
      <c r="H123" s="101" vm="5632">
        <f ca="1"/>
        <v>4.0324999999999998</v>
      </c>
      <c r="I123" s="102" vm="5633">
        <f ca="1"/>
        <v>3742401280</v>
      </c>
    </row>
    <row r="124" spans="4:9" x14ac:dyDescent="0.3">
      <c r="D124" s="100" vm="683">
        <f ca="1"/>
        <v>42940</v>
      </c>
      <c r="E124" s="101" vm="5634">
        <f ca="1"/>
        <v>4.1097999999999999</v>
      </c>
      <c r="F124" s="101" vm="5635">
        <f ca="1"/>
        <v>4.2098000000000004</v>
      </c>
      <c r="G124" s="101" vm="5636">
        <f ca="1"/>
        <v>4.2481999999999998</v>
      </c>
      <c r="H124" s="101" vm="5637">
        <f ca="1"/>
        <v>3.9390000000000001</v>
      </c>
      <c r="I124" s="102" vm="5638">
        <f ca="1"/>
        <v>3085687080</v>
      </c>
    </row>
    <row r="125" spans="4:9" x14ac:dyDescent="0.3">
      <c r="D125" s="100" vm="689">
        <f ca="1"/>
        <v>42947</v>
      </c>
      <c r="E125" s="101" vm="5639">
        <f ca="1"/>
        <v>4.1802999999999999</v>
      </c>
      <c r="F125" s="101" vm="5640">
        <f ca="1"/>
        <v>4.1234999999999999</v>
      </c>
      <c r="G125" s="101" vm="5641">
        <f ca="1"/>
        <v>4.2518000000000002</v>
      </c>
      <c r="H125" s="101" vm="5642">
        <f ca="1"/>
        <v>4.0155000000000003</v>
      </c>
      <c r="I125" s="102" vm="5643">
        <f ca="1"/>
        <v>2501014240</v>
      </c>
    </row>
    <row r="126" spans="4:9" x14ac:dyDescent="0.3">
      <c r="D126" s="100" vm="695">
        <f ca="1"/>
        <v>42954</v>
      </c>
      <c r="E126" s="101" vm="5644">
        <f ca="1"/>
        <v>3.899</v>
      </c>
      <c r="F126" s="101" vm="5635">
        <f ca="1"/>
        <v>4.2098000000000004</v>
      </c>
      <c r="G126" s="101" vm="5645">
        <f ca="1"/>
        <v>4.3639999999999999</v>
      </c>
      <c r="H126" s="101" vm="5646">
        <f ca="1"/>
        <v>3.8228</v>
      </c>
      <c r="I126" s="102" vm="5647">
        <f ca="1"/>
        <v>4828812600</v>
      </c>
    </row>
    <row r="127" spans="4:9" x14ac:dyDescent="0.3">
      <c r="D127" s="100" vm="701">
        <f ca="1"/>
        <v>42961</v>
      </c>
      <c r="E127" s="101" vm="5648">
        <f ca="1"/>
        <v>4.0374999999999996</v>
      </c>
      <c r="F127" s="101" vm="5649">
        <f ca="1"/>
        <v>3.9918</v>
      </c>
      <c r="G127" s="101" vm="5650">
        <f ca="1"/>
        <v>4.2417999999999996</v>
      </c>
      <c r="H127" s="101" vm="5651">
        <f ca="1"/>
        <v>3.98</v>
      </c>
      <c r="I127" s="102" vm="5652">
        <f ca="1"/>
        <v>3766830480</v>
      </c>
    </row>
    <row r="128" spans="4:9" x14ac:dyDescent="0.3">
      <c r="D128" s="100" vm="707">
        <f ca="1"/>
        <v>42968</v>
      </c>
      <c r="E128" s="101" vm="5653">
        <f ca="1"/>
        <v>4.0952999999999999</v>
      </c>
      <c r="F128" s="101" vm="5654">
        <f ca="1"/>
        <v>4.0622999999999996</v>
      </c>
      <c r="G128" s="101" vm="5655">
        <f ca="1"/>
        <v>4.1820000000000004</v>
      </c>
      <c r="H128" s="101" vm="5656">
        <f ca="1"/>
        <v>3.9342999999999999</v>
      </c>
      <c r="I128" s="102" vm="5657">
        <f ca="1"/>
        <v>2480547560</v>
      </c>
    </row>
    <row r="129" spans="4:9" x14ac:dyDescent="0.3">
      <c r="D129" s="100" vm="712">
        <f ca="1"/>
        <v>42975</v>
      </c>
      <c r="E129" s="101" vm="5658">
        <f ca="1"/>
        <v>4.2614999999999998</v>
      </c>
      <c r="F129" s="101" vm="5659">
        <f ca="1"/>
        <v>4.1144999999999996</v>
      </c>
      <c r="G129" s="101" vm="5660">
        <f ca="1"/>
        <v>4.2975000000000003</v>
      </c>
      <c r="H129" s="101" vm="5661">
        <f ca="1"/>
        <v>4.0564999999999998</v>
      </c>
      <c r="I129" s="102" vm="5662">
        <f ca="1"/>
        <v>2156107240</v>
      </c>
    </row>
    <row r="130" spans="4:9" x14ac:dyDescent="0.3">
      <c r="D130" s="100" vm="718">
        <f ca="1"/>
        <v>42983</v>
      </c>
      <c r="E130" s="101" vm="5663">
        <f ca="1"/>
        <v>4.0922999999999998</v>
      </c>
      <c r="F130" s="101" vm="5664">
        <f ca="1"/>
        <v>4.2095000000000002</v>
      </c>
      <c r="G130" s="101" vm="5665">
        <f ca="1"/>
        <v>4.2145999999999999</v>
      </c>
      <c r="H130" s="101" vm="5666">
        <f ca="1"/>
        <v>4.0678000000000001</v>
      </c>
      <c r="I130" s="102" vm="5667">
        <f ca="1"/>
        <v>1946091960</v>
      </c>
    </row>
    <row r="131" spans="4:9" x14ac:dyDescent="0.3">
      <c r="D131" s="100" vm="724">
        <f ca="1"/>
        <v>42989</v>
      </c>
      <c r="E131" s="101" vm="5668">
        <f ca="1"/>
        <v>4.5027999999999997</v>
      </c>
      <c r="F131" s="101" vm="5669">
        <f ca="1"/>
        <v>4.1384999999999996</v>
      </c>
      <c r="G131" s="101" vm="5668">
        <f ca="1"/>
        <v>4.5027999999999997</v>
      </c>
      <c r="H131" s="101" vm="5670">
        <f ca="1"/>
        <v>4.133</v>
      </c>
      <c r="I131" s="102" vm="5671">
        <f ca="1"/>
        <v>3438394200</v>
      </c>
    </row>
    <row r="132" spans="4:9" x14ac:dyDescent="0.3">
      <c r="D132" s="100" vm="730">
        <f ca="1"/>
        <v>42996</v>
      </c>
      <c r="E132" s="101" vm="5672">
        <f ca="1"/>
        <v>4.4749999999999996</v>
      </c>
      <c r="F132" s="101" vm="5673">
        <f ca="1"/>
        <v>4.6284999999999998</v>
      </c>
      <c r="G132" s="101" vm="5674">
        <f ca="1"/>
        <v>4.78</v>
      </c>
      <c r="H132" s="101" vm="5675">
        <f ca="1"/>
        <v>4.4402999999999997</v>
      </c>
      <c r="I132" s="102" vm="5676">
        <f ca="1"/>
        <v>4850490640</v>
      </c>
    </row>
    <row r="133" spans="4:9" x14ac:dyDescent="0.3">
      <c r="D133" s="100" vm="735">
        <f ca="1"/>
        <v>43003</v>
      </c>
      <c r="E133" s="101" vm="5677">
        <f ca="1"/>
        <v>4.4692999999999996</v>
      </c>
      <c r="F133" s="101" vm="5678">
        <f ca="1"/>
        <v>4.4438000000000004</v>
      </c>
      <c r="G133" s="101" vm="5679">
        <f ca="1"/>
        <v>4.4932999999999996</v>
      </c>
      <c r="H133" s="101" vm="5680">
        <f ca="1"/>
        <v>4.2539999999999996</v>
      </c>
      <c r="I133" s="102" vm="5681">
        <f ca="1"/>
        <v>3768252480</v>
      </c>
    </row>
    <row r="134" spans="4:9" x14ac:dyDescent="0.3">
      <c r="D134" s="100" vm="741">
        <f ca="1"/>
        <v>43010</v>
      </c>
      <c r="E134" s="101" vm="5682">
        <f ca="1"/>
        <v>4.5324999999999998</v>
      </c>
      <c r="F134" s="101" vm="5683">
        <f ca="1"/>
        <v>4.5199999999999996</v>
      </c>
      <c r="G134" s="101" vm="5684">
        <f ca="1"/>
        <v>4.55</v>
      </c>
      <c r="H134" s="101" vm="5685">
        <f ca="1"/>
        <v>4.4249999999999998</v>
      </c>
      <c r="I134" s="102" vm="5686">
        <f ca="1"/>
        <v>2077820400</v>
      </c>
    </row>
    <row r="135" spans="4:9" x14ac:dyDescent="0.3">
      <c r="D135" s="100" vm="747">
        <f ca="1"/>
        <v>43017</v>
      </c>
      <c r="E135" s="101" vm="5687">
        <f ca="1"/>
        <v>4.8647999999999998</v>
      </c>
      <c r="F135" s="101" vm="5688">
        <f ca="1"/>
        <v>4.5697999999999999</v>
      </c>
      <c r="G135" s="101" vm="5689">
        <f ca="1"/>
        <v>4.875</v>
      </c>
      <c r="H135" s="101" vm="5690">
        <f ca="1"/>
        <v>4.5507999999999997</v>
      </c>
      <c r="I135" s="102" vm="5691">
        <f ca="1"/>
        <v>3224898240</v>
      </c>
    </row>
    <row r="136" spans="4:9" x14ac:dyDescent="0.3">
      <c r="D136" s="100" vm="753">
        <f ca="1"/>
        <v>43024</v>
      </c>
      <c r="E136" s="101" vm="5692">
        <f ca="1"/>
        <v>4.9225000000000003</v>
      </c>
      <c r="F136" s="101" vm="5693">
        <f ca="1"/>
        <v>4.8949999999999996</v>
      </c>
      <c r="G136" s="101" vm="5694">
        <f ca="1"/>
        <v>4.9897999999999998</v>
      </c>
      <c r="H136" s="101" vm="5695">
        <f ca="1"/>
        <v>4.8113000000000001</v>
      </c>
      <c r="I136" s="102" vm="5696">
        <f ca="1"/>
        <v>2644937880</v>
      </c>
    </row>
    <row r="137" spans="4:9" x14ac:dyDescent="0.3">
      <c r="D137" s="100" vm="759">
        <f ca="1"/>
        <v>43031</v>
      </c>
      <c r="E137" s="101" vm="5697">
        <f ca="1"/>
        <v>5.0465</v>
      </c>
      <c r="F137" s="101" vm="5698">
        <f ca="1"/>
        <v>4.9444999999999997</v>
      </c>
      <c r="G137" s="101" vm="5699">
        <f ca="1"/>
        <v>5.0468000000000002</v>
      </c>
      <c r="H137" s="101" vm="5700">
        <f ca="1"/>
        <v>4.7793000000000001</v>
      </c>
      <c r="I137" s="102" vm="5701">
        <f ca="1"/>
        <v>2559037440</v>
      </c>
    </row>
    <row r="138" spans="4:9" x14ac:dyDescent="0.3">
      <c r="D138" s="100" vm="765">
        <f ca="1"/>
        <v>43038</v>
      </c>
      <c r="E138" s="101" vm="5702">
        <f ca="1"/>
        <v>5.2172999999999998</v>
      </c>
      <c r="F138" s="101" vm="5697">
        <f ca="1"/>
        <v>5.0465</v>
      </c>
      <c r="G138" s="101" vm="5703">
        <f ca="1"/>
        <v>5.2492999999999999</v>
      </c>
      <c r="H138" s="101" vm="5704">
        <f ca="1"/>
        <v>5.0305</v>
      </c>
      <c r="I138" s="102" vm="5705">
        <f ca="1"/>
        <v>2114493280</v>
      </c>
    </row>
    <row r="139" spans="4:9" x14ac:dyDescent="0.3">
      <c r="D139" s="100" vm="771">
        <f ca="1"/>
        <v>43045</v>
      </c>
      <c r="E139" s="101" vm="5706">
        <f ca="1"/>
        <v>5.4035000000000002</v>
      </c>
      <c r="F139" s="101" vm="5707">
        <f ca="1"/>
        <v>5.18</v>
      </c>
      <c r="G139" s="101" vm="5708">
        <f ca="1"/>
        <v>5.4668000000000001</v>
      </c>
      <c r="H139" s="101" vm="5709">
        <f ca="1"/>
        <v>5.0092999999999996</v>
      </c>
      <c r="I139" s="102" vm="5710">
        <f ca="1"/>
        <v>3572452160</v>
      </c>
    </row>
    <row r="140" spans="4:9" x14ac:dyDescent="0.3">
      <c r="D140" s="100" vm="777">
        <f ca="1"/>
        <v>43052</v>
      </c>
      <c r="E140" s="101" vm="5711">
        <f ca="1"/>
        <v>5.2839999999999998</v>
      </c>
      <c r="F140" s="101" vm="5706">
        <f ca="1"/>
        <v>5.4035000000000002</v>
      </c>
      <c r="G140" s="101" vm="5712">
        <f ca="1"/>
        <v>5.4292999999999996</v>
      </c>
      <c r="H140" s="101" vm="5713">
        <f ca="1"/>
        <v>5.1950000000000003</v>
      </c>
      <c r="I140" s="102" vm="5714">
        <f ca="1"/>
        <v>2571048560</v>
      </c>
    </row>
    <row r="141" spans="4:9" x14ac:dyDescent="0.3">
      <c r="D141" s="100" vm="783">
        <f ca="1"/>
        <v>43059</v>
      </c>
      <c r="E141" s="101" vm="5715">
        <f ca="1"/>
        <v>5.4240000000000004</v>
      </c>
      <c r="F141" s="101" vm="5716">
        <f ca="1"/>
        <v>5.2998000000000003</v>
      </c>
      <c r="G141" s="101" vm="5717">
        <f ca="1"/>
        <v>5.4249999999999998</v>
      </c>
      <c r="H141" s="101" vm="5718">
        <f ca="1"/>
        <v>5.2625000000000002</v>
      </c>
      <c r="I141" s="102" vm="5719">
        <f ca="1"/>
        <v>1332666680</v>
      </c>
    </row>
    <row r="142" spans="4:9" x14ac:dyDescent="0.3">
      <c r="D142" s="100" vm="789">
        <f ca="1"/>
        <v>43066</v>
      </c>
      <c r="E142" s="101" vm="5720">
        <f ca="1"/>
        <v>4.9420000000000002</v>
      </c>
      <c r="F142" s="101" vm="5721">
        <f ca="1"/>
        <v>5.4328000000000003</v>
      </c>
      <c r="G142" s="101" vm="5722">
        <f ca="1"/>
        <v>5.4340000000000002</v>
      </c>
      <c r="H142" s="101" vm="5723">
        <f ca="1"/>
        <v>4.7808000000000002</v>
      </c>
      <c r="I142" s="102" vm="5724">
        <f ca="1"/>
        <v>3967754240</v>
      </c>
    </row>
    <row r="143" spans="4:9" x14ac:dyDescent="0.3">
      <c r="D143" s="100" vm="795">
        <f ca="1"/>
        <v>43073</v>
      </c>
      <c r="E143" s="101" vm="5725">
        <f ca="1"/>
        <v>4.7873000000000001</v>
      </c>
      <c r="F143" s="101" vm="5726">
        <f ca="1"/>
        <v>5.0012999999999996</v>
      </c>
      <c r="G143" s="101" vm="5727">
        <f ca="1"/>
        <v>5.0075000000000003</v>
      </c>
      <c r="H143" s="101" vm="5728">
        <f ca="1"/>
        <v>4.5145</v>
      </c>
      <c r="I143" s="102" vm="5729">
        <f ca="1"/>
        <v>3698836840</v>
      </c>
    </row>
    <row r="144" spans="4:9" x14ac:dyDescent="0.3">
      <c r="D144" s="100" vm="801">
        <f ca="1"/>
        <v>43080</v>
      </c>
      <c r="E144" s="101" vm="5730">
        <f ca="1"/>
        <v>4.7889999999999997</v>
      </c>
      <c r="F144" s="101" vm="5731">
        <f ca="1"/>
        <v>4.8014999999999999</v>
      </c>
      <c r="G144" s="101" vm="5732">
        <f ca="1"/>
        <v>4.8695000000000004</v>
      </c>
      <c r="H144" s="101" vm="5733">
        <f ca="1"/>
        <v>4.6150000000000002</v>
      </c>
      <c r="I144" s="102" vm="5734">
        <f ca="1"/>
        <v>2490244480</v>
      </c>
    </row>
    <row r="145" spans="4:9" x14ac:dyDescent="0.3">
      <c r="D145" s="100" vm="807">
        <f ca="1"/>
        <v>43087</v>
      </c>
      <c r="E145" s="101" vm="5735">
        <f ca="1"/>
        <v>4.8818000000000001</v>
      </c>
      <c r="F145" s="101" vm="5736">
        <f ca="1"/>
        <v>4.83</v>
      </c>
      <c r="G145" s="101" vm="5737">
        <f ca="1"/>
        <v>4.9518000000000004</v>
      </c>
      <c r="H145" s="101" vm="5738">
        <f ca="1"/>
        <v>4.7812999999999999</v>
      </c>
      <c r="I145" s="102" vm="5739">
        <f ca="1"/>
        <v>1906800160</v>
      </c>
    </row>
    <row r="146" spans="4:9" x14ac:dyDescent="0.3">
      <c r="D146" s="100" vm="813">
        <f ca="1"/>
        <v>43095</v>
      </c>
      <c r="E146" s="101" vm="5740">
        <f ca="1"/>
        <v>4.8375000000000004</v>
      </c>
      <c r="F146" s="101" vm="5741">
        <f ca="1"/>
        <v>4.8258000000000001</v>
      </c>
      <c r="G146" s="101" vm="5742">
        <f ca="1"/>
        <v>4.9992999999999999</v>
      </c>
      <c r="H146" s="101" vm="5743">
        <f ca="1"/>
        <v>4.7954999999999997</v>
      </c>
      <c r="I146" s="102" vm="5744">
        <f ca="1"/>
        <v>1204784800</v>
      </c>
    </row>
    <row r="147" spans="4:9" x14ac:dyDescent="0.3">
      <c r="D147" s="100" vm="819">
        <f ca="1"/>
        <v>43102</v>
      </c>
      <c r="E147" s="101" vm="5745">
        <f ca="1"/>
        <v>5.3849999999999998</v>
      </c>
      <c r="F147" s="101" vm="5746">
        <f ca="1"/>
        <v>4.8944999999999999</v>
      </c>
      <c r="G147" s="101" vm="5747">
        <f ca="1"/>
        <v>5.4512999999999998</v>
      </c>
      <c r="H147" s="101" vm="5748">
        <f ca="1"/>
        <v>4.8624999999999998</v>
      </c>
      <c r="I147" s="102" vm="5749">
        <f ca="1"/>
        <v>2433713240</v>
      </c>
    </row>
    <row r="148" spans="4:9" x14ac:dyDescent="0.3">
      <c r="D148" s="100" vm="825">
        <f ca="1"/>
        <v>43108</v>
      </c>
      <c r="E148" s="101" vm="5750">
        <f ca="1"/>
        <v>5.5744999999999996</v>
      </c>
      <c r="F148" s="101" vm="5751">
        <f ca="1"/>
        <v>5.51</v>
      </c>
      <c r="G148" s="101" vm="5752">
        <f ca="1"/>
        <v>5.6567999999999996</v>
      </c>
      <c r="H148" s="101" vm="5753">
        <f ca="1"/>
        <v>5.4</v>
      </c>
      <c r="I148" s="102" vm="5754">
        <f ca="1"/>
        <v>2726828480</v>
      </c>
    </row>
    <row r="149" spans="4:9" x14ac:dyDescent="0.3">
      <c r="D149" s="100" vm="831">
        <f ca="1"/>
        <v>43116</v>
      </c>
      <c r="E149" s="101" vm="5755">
        <f ca="1"/>
        <v>5.7527999999999997</v>
      </c>
      <c r="F149" s="101" vm="5756">
        <f ca="1"/>
        <v>5.6013000000000002</v>
      </c>
      <c r="G149" s="101" vm="5757">
        <f ca="1"/>
        <v>5.7773000000000003</v>
      </c>
      <c r="H149" s="101" vm="5758">
        <f ca="1"/>
        <v>5.4173</v>
      </c>
      <c r="I149" s="102" vm="5759">
        <f ca="1"/>
        <v>2258769440</v>
      </c>
    </row>
    <row r="150" spans="4:9" x14ac:dyDescent="0.3">
      <c r="D150" s="100" vm="837">
        <f ca="1"/>
        <v>43122</v>
      </c>
      <c r="E150" s="101" vm="5760">
        <f ca="1"/>
        <v>6.0833000000000004</v>
      </c>
      <c r="F150" s="101" vm="5761">
        <f ca="1"/>
        <v>5.7607999999999997</v>
      </c>
      <c r="G150" s="101" vm="5762">
        <f ca="1"/>
        <v>6.0834999999999999</v>
      </c>
      <c r="H150" s="101" vm="5763">
        <f ca="1"/>
        <v>5.7024999999999997</v>
      </c>
      <c r="I150" s="102" vm="5764">
        <f ca="1"/>
        <v>2532380800</v>
      </c>
    </row>
    <row r="151" spans="4:9" x14ac:dyDescent="0.3">
      <c r="D151" s="100" vm="843">
        <f ca="1"/>
        <v>43129</v>
      </c>
      <c r="E151" s="101" vm="5765">
        <f ca="1"/>
        <v>5.8380000000000001</v>
      </c>
      <c r="F151" s="101" vm="5766">
        <f ca="1"/>
        <v>6.0685000000000002</v>
      </c>
      <c r="G151" s="101" vm="5767">
        <f ca="1"/>
        <v>6.2317999999999998</v>
      </c>
      <c r="H151" s="101" vm="5768">
        <f ca="1"/>
        <v>5.7793000000000001</v>
      </c>
      <c r="I151" s="102" vm="5769">
        <f ca="1"/>
        <v>2742210720</v>
      </c>
    </row>
    <row r="152" spans="4:9" x14ac:dyDescent="0.3">
      <c r="D152" s="100" vm="846">
        <f ca="1"/>
        <v>43136</v>
      </c>
      <c r="E152" s="101" vm="5770">
        <f ca="1"/>
        <v>5.8019999999999996</v>
      </c>
      <c r="F152" s="101" vm="5771">
        <f ca="1"/>
        <v>5.6749999999999998</v>
      </c>
      <c r="G152" s="101" vm="5772">
        <f ca="1"/>
        <v>5.9722999999999997</v>
      </c>
      <c r="H152" s="101" vm="5773">
        <f ca="1"/>
        <v>5.0999999999999996</v>
      </c>
      <c r="I152" s="102" vm="5774">
        <f ca="1"/>
        <v>5901541600</v>
      </c>
    </row>
    <row r="153" spans="4:9" x14ac:dyDescent="0.3">
      <c r="D153" s="100" vm="852">
        <f ca="1"/>
        <v>43143</v>
      </c>
      <c r="E153" s="101" vm="5775">
        <f ca="1"/>
        <v>6.0960000000000001</v>
      </c>
      <c r="F153" s="101" vm="5776">
        <f ca="1"/>
        <v>5.8838999999999997</v>
      </c>
      <c r="G153" s="101" vm="5777">
        <f ca="1"/>
        <v>6.25</v>
      </c>
      <c r="H153" s="101" vm="5778">
        <f ca="1"/>
        <v>5.6257999999999999</v>
      </c>
      <c r="I153" s="102" vm="5779">
        <f ca="1"/>
        <v>3800246040</v>
      </c>
    </row>
    <row r="154" spans="4:9" x14ac:dyDescent="0.3">
      <c r="D154" s="100" vm="858">
        <f ca="1"/>
        <v>43151</v>
      </c>
      <c r="E154" s="101" vm="5780">
        <f ca="1"/>
        <v>6.1482999999999999</v>
      </c>
      <c r="F154" s="101" vm="5781">
        <f ca="1"/>
        <v>6.1188000000000002</v>
      </c>
      <c r="G154" s="101" vm="5782">
        <f ca="1"/>
        <v>6.2991999999999999</v>
      </c>
      <c r="H154" s="101" vm="5783">
        <f ca="1"/>
        <v>5.9874999999999998</v>
      </c>
      <c r="I154" s="102" vm="5784">
        <f ca="1"/>
        <v>2528197960</v>
      </c>
    </row>
    <row r="155" spans="4:9" x14ac:dyDescent="0.3">
      <c r="D155" s="100" vm="863">
        <f ca="1"/>
        <v>43157</v>
      </c>
      <c r="E155" s="101" vm="5785">
        <f ca="1"/>
        <v>5.9135</v>
      </c>
      <c r="F155" s="101" vm="5786">
        <f ca="1"/>
        <v>6.1950000000000003</v>
      </c>
      <c r="G155" s="101" vm="5787">
        <f ca="1"/>
        <v>6.2228000000000003</v>
      </c>
      <c r="H155" s="101" vm="5788">
        <f ca="1"/>
        <v>5.5462999999999996</v>
      </c>
      <c r="I155" s="102" vm="5789">
        <f ca="1"/>
        <v>3401411120</v>
      </c>
    </row>
    <row r="156" spans="4:9" x14ac:dyDescent="0.3">
      <c r="D156" s="100" vm="869">
        <f ca="1"/>
        <v>43164</v>
      </c>
      <c r="E156" s="101" vm="5790">
        <f ca="1"/>
        <v>6.1333000000000002</v>
      </c>
      <c r="F156" s="101" vm="5791">
        <f ca="1"/>
        <v>5.8628</v>
      </c>
      <c r="G156" s="101" vm="5792">
        <f ca="1"/>
        <v>6.1463000000000001</v>
      </c>
      <c r="H156" s="101" vm="5793">
        <f ca="1"/>
        <v>5.7380000000000004</v>
      </c>
      <c r="I156" s="102" vm="5794">
        <f ca="1"/>
        <v>2756231640</v>
      </c>
    </row>
    <row r="157" spans="4:9" x14ac:dyDescent="0.3">
      <c r="D157" s="100" vm="875">
        <f ca="1"/>
        <v>43171</v>
      </c>
      <c r="E157" s="101" vm="5795">
        <f ca="1"/>
        <v>6.2619999999999996</v>
      </c>
      <c r="F157" s="101" vm="5796">
        <f ca="1"/>
        <v>6.1749999999999998</v>
      </c>
      <c r="G157" s="101" vm="5797">
        <f ca="1"/>
        <v>6.3624999999999998</v>
      </c>
      <c r="H157" s="101" vm="5798">
        <f ca="1"/>
        <v>6.1509999999999998</v>
      </c>
      <c r="I157" s="102" vm="5799">
        <f ca="1"/>
        <v>2531739200</v>
      </c>
    </row>
    <row r="158" spans="4:9" x14ac:dyDescent="0.3">
      <c r="D158" s="100" vm="881">
        <f ca="1"/>
        <v>43178</v>
      </c>
      <c r="E158" s="101" vm="5800">
        <f ca="1"/>
        <v>5.8243</v>
      </c>
      <c r="F158" s="101" vm="5801">
        <f ca="1"/>
        <v>6.2045000000000003</v>
      </c>
      <c r="G158" s="101" vm="5802">
        <f ca="1"/>
        <v>6.3</v>
      </c>
      <c r="H158" s="101" vm="5803">
        <f ca="1"/>
        <v>5.8129999999999997</v>
      </c>
      <c r="I158" s="102" vm="5804">
        <f ca="1"/>
        <v>2993973720</v>
      </c>
    </row>
    <row r="159" spans="4:9" x14ac:dyDescent="0.3">
      <c r="D159" s="100" vm="885">
        <f ca="1"/>
        <v>43185</v>
      </c>
      <c r="E159" s="101" vm="5805">
        <f ca="1"/>
        <v>5.7897999999999996</v>
      </c>
      <c r="F159" s="101" vm="5806">
        <f ca="1"/>
        <v>5.95</v>
      </c>
      <c r="G159" s="101" vm="5777">
        <f ca="1"/>
        <v>6.25</v>
      </c>
      <c r="H159" s="101" vm="5717">
        <f ca="1"/>
        <v>5.4249999999999998</v>
      </c>
      <c r="I159" s="102" vm="5807">
        <f ca="1"/>
        <v>3882959680</v>
      </c>
    </row>
    <row r="160" spans="4:9" x14ac:dyDescent="0.3">
      <c r="D160" s="100" vm="891">
        <f ca="1"/>
        <v>43192</v>
      </c>
      <c r="E160" s="101" vm="5808">
        <f ca="1"/>
        <v>5.3563000000000001</v>
      </c>
      <c r="F160" s="101" vm="5809">
        <f ca="1"/>
        <v>5.7184999999999997</v>
      </c>
      <c r="G160" s="101" vm="5810">
        <f ca="1"/>
        <v>5.8662999999999998</v>
      </c>
      <c r="H160" s="101" vm="5811">
        <f ca="1"/>
        <v>5.3268000000000004</v>
      </c>
      <c r="I160" s="102" vm="5812">
        <f ca="1"/>
        <v>3742917120</v>
      </c>
    </row>
    <row r="161" spans="4:9" x14ac:dyDescent="0.3">
      <c r="D161" s="100" vm="896">
        <f ca="1"/>
        <v>43199</v>
      </c>
      <c r="E161" s="101" vm="5813">
        <f ca="1"/>
        <v>5.7874999999999996</v>
      </c>
      <c r="F161" s="101" vm="5814">
        <f ca="1"/>
        <v>5.42</v>
      </c>
      <c r="G161" s="101" vm="5815">
        <f ca="1"/>
        <v>5.9378000000000002</v>
      </c>
      <c r="H161" s="101" vm="5816">
        <f ca="1"/>
        <v>5.3650000000000002</v>
      </c>
      <c r="I161" s="102" vm="5817">
        <f ca="1"/>
        <v>2821473040</v>
      </c>
    </row>
    <row r="162" spans="4:9" x14ac:dyDescent="0.3">
      <c r="D162" s="100" vm="902">
        <f ca="1"/>
        <v>43206</v>
      </c>
      <c r="E162" s="101" vm="5818">
        <f ca="1"/>
        <v>5.7178000000000004</v>
      </c>
      <c r="F162" s="101" vm="5819">
        <f ca="1"/>
        <v>5.7942999999999998</v>
      </c>
      <c r="G162" s="101" vm="5820">
        <f ca="1"/>
        <v>5.9813000000000001</v>
      </c>
      <c r="H162" s="101" vm="5821">
        <f ca="1"/>
        <v>5.67</v>
      </c>
      <c r="I162" s="102" vm="5822">
        <f ca="1"/>
        <v>2045685240</v>
      </c>
    </row>
    <row r="163" spans="4:9" x14ac:dyDescent="0.3">
      <c r="D163" s="100" vm="908">
        <f ca="1"/>
        <v>43213</v>
      </c>
      <c r="E163" s="101" vm="5823">
        <f ca="1"/>
        <v>5.6582999999999997</v>
      </c>
      <c r="F163" s="101" vm="5824">
        <f ca="1"/>
        <v>5.7358000000000002</v>
      </c>
      <c r="G163" s="101" vm="5813">
        <f ca="1"/>
        <v>5.7874999999999996</v>
      </c>
      <c r="H163" s="101" vm="5825">
        <f ca="1"/>
        <v>5.2575000000000003</v>
      </c>
      <c r="I163" s="102" vm="5826">
        <f ca="1"/>
        <v>2207271160</v>
      </c>
    </row>
    <row r="164" spans="4:9" x14ac:dyDescent="0.3">
      <c r="D164" s="100" vm="914">
        <f ca="1"/>
        <v>43220</v>
      </c>
      <c r="E164" s="101" vm="5827">
        <f ca="1"/>
        <v>5.9764999999999997</v>
      </c>
      <c r="F164" s="101" vm="5828">
        <f ca="1"/>
        <v>5.6748000000000003</v>
      </c>
      <c r="G164" s="101" vm="5829">
        <f ca="1"/>
        <v>5.9797000000000002</v>
      </c>
      <c r="H164" s="101" vm="5830">
        <f ca="1"/>
        <v>5.5549999999999997</v>
      </c>
      <c r="I164" s="102" vm="5831">
        <f ca="1"/>
        <v>1693686280</v>
      </c>
    </row>
    <row r="165" spans="4:9" x14ac:dyDescent="0.3">
      <c r="D165" s="100" vm="920">
        <f ca="1"/>
        <v>43227</v>
      </c>
      <c r="E165" s="101" vm="5832">
        <f ca="1"/>
        <v>6.3632999999999997</v>
      </c>
      <c r="F165" s="101" vm="5833">
        <f ca="1"/>
        <v>6.0823999999999998</v>
      </c>
      <c r="G165" s="101" vm="5834">
        <f ca="1"/>
        <v>6.5125000000000002</v>
      </c>
      <c r="H165" s="101" vm="5835">
        <f ca="1"/>
        <v>6.0723000000000003</v>
      </c>
      <c r="I165" s="102" vm="5836">
        <f ca="1"/>
        <v>3999526680</v>
      </c>
    </row>
    <row r="166" spans="4:9" x14ac:dyDescent="0.3">
      <c r="D166" s="100" vm="926">
        <f ca="1"/>
        <v>43234</v>
      </c>
      <c r="E166" s="101" vm="5837">
        <f ca="1"/>
        <v>6.1485000000000003</v>
      </c>
      <c r="F166" s="101" vm="5838">
        <f ca="1"/>
        <v>6.4017999999999997</v>
      </c>
      <c r="G166" s="101" vm="5839">
        <f ca="1"/>
        <v>6.4622999999999999</v>
      </c>
      <c r="H166" s="101" vm="5840">
        <f ca="1"/>
        <v>6.0374999999999996</v>
      </c>
      <c r="I166" s="102" vm="5841">
        <f ca="1"/>
        <v>3043997600</v>
      </c>
    </row>
    <row r="167" spans="4:9" x14ac:dyDescent="0.3">
      <c r="D167" s="100" vm="932">
        <f ca="1"/>
        <v>43241</v>
      </c>
      <c r="E167" s="101" vm="5842">
        <f ca="1"/>
        <v>6.2320000000000002</v>
      </c>
      <c r="F167" s="101" vm="5843">
        <f ca="1"/>
        <v>6.2469999999999999</v>
      </c>
      <c r="G167" s="101" vm="5844">
        <f ca="1"/>
        <v>6.2507999999999999</v>
      </c>
      <c r="H167" s="101" vm="5845">
        <f ca="1"/>
        <v>6.0063000000000004</v>
      </c>
      <c r="I167" s="102" vm="5846">
        <f ca="1"/>
        <v>2331330400</v>
      </c>
    </row>
    <row r="168" spans="4:9" x14ac:dyDescent="0.3">
      <c r="D168" s="100" vm="938">
        <f ca="1"/>
        <v>43249</v>
      </c>
      <c r="E168" s="101" vm="5847">
        <f ca="1"/>
        <v>6.4405000000000001</v>
      </c>
      <c r="F168" s="101" vm="5848">
        <f ca="1"/>
        <v>6.2138</v>
      </c>
      <c r="G168" s="101" vm="5849">
        <f ca="1"/>
        <v>6.4467999999999996</v>
      </c>
      <c r="H168" s="101" vm="5850">
        <f ca="1"/>
        <v>6.1675000000000004</v>
      </c>
      <c r="I168" s="102" vm="5851">
        <f ca="1"/>
        <v>1659516160</v>
      </c>
    </row>
    <row r="169" spans="4:9" x14ac:dyDescent="0.3">
      <c r="D169" s="100" vm="944">
        <f ca="1"/>
        <v>43255</v>
      </c>
      <c r="E169" s="101" vm="5852">
        <f ca="1"/>
        <v>6.5570000000000004</v>
      </c>
      <c r="F169" s="101" vm="5853">
        <f ca="1"/>
        <v>6.4749999999999996</v>
      </c>
      <c r="G169" s="101" vm="5854">
        <f ca="1"/>
        <v>6.6647999999999996</v>
      </c>
      <c r="H169" s="101" vm="5855">
        <f ca="1"/>
        <v>6.4424999999999999</v>
      </c>
      <c r="I169" s="102" vm="5856">
        <f ca="1"/>
        <v>2134998280</v>
      </c>
    </row>
    <row r="170" spans="4:9" x14ac:dyDescent="0.3">
      <c r="D170" s="100" vm="950">
        <f ca="1"/>
        <v>43262</v>
      </c>
      <c r="E170" s="101" vm="5857">
        <f ca="1"/>
        <v>6.6315</v>
      </c>
      <c r="F170" s="101" vm="5858">
        <f ca="1"/>
        <v>6.5442999999999998</v>
      </c>
      <c r="G170" s="101" vm="5859">
        <f ca="1"/>
        <v>6.73</v>
      </c>
      <c r="H170" s="101" vm="5860">
        <f ca="1"/>
        <v>6.4915000000000003</v>
      </c>
      <c r="I170" s="102" vm="5861">
        <f ca="1"/>
        <v>1785011840</v>
      </c>
    </row>
    <row r="171" spans="4:9" x14ac:dyDescent="0.3">
      <c r="D171" s="100" vm="956">
        <f ca="1"/>
        <v>43269</v>
      </c>
      <c r="E171" s="101" vm="5862">
        <f ca="1"/>
        <v>6.2737999999999996</v>
      </c>
      <c r="F171" s="101" vm="5863">
        <f ca="1"/>
        <v>6.5869999999999997</v>
      </c>
      <c r="G171" s="101" vm="5864">
        <f ca="1"/>
        <v>6.6449999999999996</v>
      </c>
      <c r="H171" s="101" vm="5865">
        <f ca="1"/>
        <v>6.2583000000000002</v>
      </c>
      <c r="I171" s="102" vm="5866">
        <f ca="1"/>
        <v>2114654080</v>
      </c>
    </row>
    <row r="172" spans="4:9" x14ac:dyDescent="0.3">
      <c r="D172" s="100" vm="962">
        <f ca="1"/>
        <v>43276</v>
      </c>
      <c r="E172" s="101" vm="5867">
        <f ca="1"/>
        <v>5.9225000000000003</v>
      </c>
      <c r="F172" s="101" vm="5868">
        <f ca="1"/>
        <v>6.1662999999999997</v>
      </c>
      <c r="G172" s="101" vm="5869">
        <f ca="1"/>
        <v>6.17</v>
      </c>
      <c r="H172" s="101" vm="5870">
        <f ca="1"/>
        <v>5.8753000000000002</v>
      </c>
      <c r="I172" s="102" vm="5871">
        <f ca="1"/>
        <v>2328905800</v>
      </c>
    </row>
    <row r="173" spans="4:9" x14ac:dyDescent="0.3">
      <c r="D173" s="100" vm="968">
        <f ca="1"/>
        <v>43283</v>
      </c>
      <c r="E173" s="101" vm="5872">
        <f ca="1"/>
        <v>6.1833</v>
      </c>
      <c r="F173" s="101" vm="5873">
        <f ca="1"/>
        <v>5.8522999999999996</v>
      </c>
      <c r="G173" s="101" vm="5874">
        <f ca="1"/>
        <v>6.1916000000000002</v>
      </c>
      <c r="H173" s="101" vm="5875">
        <f ca="1"/>
        <v>5.8315999999999999</v>
      </c>
      <c r="I173" s="102" vm="5876">
        <f ca="1"/>
        <v>1182877720</v>
      </c>
    </row>
    <row r="174" spans="4:9" x14ac:dyDescent="0.3">
      <c r="D174" s="100" vm="974">
        <f ca="1"/>
        <v>43290</v>
      </c>
      <c r="E174" s="101" vm="5877">
        <f ca="1"/>
        <v>6.2329999999999997</v>
      </c>
      <c r="F174" s="101" vm="5878">
        <f ca="1"/>
        <v>6.2582000000000004</v>
      </c>
      <c r="G174" s="101" vm="5879">
        <f ca="1"/>
        <v>6.3535000000000004</v>
      </c>
      <c r="H174" s="101" vm="5880">
        <f ca="1"/>
        <v>6.1517999999999997</v>
      </c>
      <c r="I174" s="102" vm="5881">
        <f ca="1"/>
        <v>1624072920</v>
      </c>
    </row>
    <row r="175" spans="4:9" x14ac:dyDescent="0.3">
      <c r="D175" s="100" vm="980">
        <f ca="1"/>
        <v>43297</v>
      </c>
      <c r="E175" s="101" vm="5882">
        <f ca="1"/>
        <v>6.2723000000000004</v>
      </c>
      <c r="F175" s="101" vm="5883">
        <f ca="1"/>
        <v>6.2050000000000001</v>
      </c>
      <c r="G175" s="101" vm="5884">
        <f ca="1"/>
        <v>6.3574999999999999</v>
      </c>
      <c r="H175" s="101" vm="5885">
        <f ca="1"/>
        <v>6.1295000000000002</v>
      </c>
      <c r="I175" s="102" vm="5886">
        <f ca="1"/>
        <v>1295052240</v>
      </c>
    </row>
    <row r="176" spans="4:9" x14ac:dyDescent="0.3">
      <c r="D176" s="100" vm="986">
        <f ca="1"/>
        <v>43304</v>
      </c>
      <c r="E176" s="101" vm="5887">
        <f ca="1"/>
        <v>6.3005000000000004</v>
      </c>
      <c r="F176" s="101" vm="5888">
        <f ca="1"/>
        <v>6.2454999999999998</v>
      </c>
      <c r="G176" s="101" vm="5889">
        <f ca="1"/>
        <v>6.415</v>
      </c>
      <c r="H176" s="101" vm="5890">
        <f ca="1"/>
        <v>6.0819999999999999</v>
      </c>
      <c r="I176" s="102" vm="5891">
        <f ca="1"/>
        <v>1596935200</v>
      </c>
    </row>
    <row r="177" spans="4:9" x14ac:dyDescent="0.3">
      <c r="D177" s="100" vm="992">
        <f ca="1"/>
        <v>43311</v>
      </c>
      <c r="E177" s="101" vm="5892">
        <f ca="1"/>
        <v>6.3025000000000002</v>
      </c>
      <c r="F177" s="101" vm="5893">
        <f ca="1"/>
        <v>6.3148</v>
      </c>
      <c r="G177" s="101" vm="5894">
        <f ca="1"/>
        <v>6.3265000000000002</v>
      </c>
      <c r="H177" s="101" vm="5895">
        <f ca="1"/>
        <v>6.0303000000000004</v>
      </c>
      <c r="I177" s="102" vm="5896">
        <f ca="1"/>
        <v>1391840600</v>
      </c>
    </row>
    <row r="178" spans="4:9" x14ac:dyDescent="0.3">
      <c r="D178" s="100" vm="998">
        <f ca="1"/>
        <v>43318</v>
      </c>
      <c r="E178" s="101" vm="5897">
        <f ca="1"/>
        <v>6.3697999999999997</v>
      </c>
      <c r="F178" s="101" vm="5898">
        <f ca="1"/>
        <v>6.2897999999999996</v>
      </c>
      <c r="G178" s="101" vm="5899">
        <f ca="1"/>
        <v>6.5060000000000002</v>
      </c>
      <c r="H178" s="101" vm="5900">
        <f ca="1"/>
        <v>6.2426000000000004</v>
      </c>
      <c r="I178" s="102" vm="5901">
        <f ca="1"/>
        <v>1188640680</v>
      </c>
    </row>
    <row r="179" spans="4:9" x14ac:dyDescent="0.3">
      <c r="D179" s="100" vm="1004">
        <f ca="1"/>
        <v>43325</v>
      </c>
      <c r="E179" s="101" vm="5902">
        <f ca="1"/>
        <v>6.1204999999999998</v>
      </c>
      <c r="F179" s="101" vm="5903">
        <f ca="1"/>
        <v>6.3784999999999998</v>
      </c>
      <c r="G179" s="101" vm="5904">
        <f ca="1"/>
        <v>6.5910000000000002</v>
      </c>
      <c r="H179" s="101" vm="5905">
        <f ca="1"/>
        <v>6.0933000000000002</v>
      </c>
      <c r="I179" s="102" vm="5906">
        <f ca="1"/>
        <v>3377008320</v>
      </c>
    </row>
    <row r="180" spans="4:9" x14ac:dyDescent="0.3">
      <c r="D180" s="100" vm="1009">
        <f ca="1"/>
        <v>43332</v>
      </c>
      <c r="E180" s="101" vm="5907">
        <f ca="1"/>
        <v>6.8055000000000003</v>
      </c>
      <c r="F180" s="101" vm="5908">
        <f ca="1"/>
        <v>6.0795000000000003</v>
      </c>
      <c r="G180" s="101" vm="5909">
        <f ca="1"/>
        <v>6.8202999999999996</v>
      </c>
      <c r="H180" s="101" vm="5910">
        <f ca="1"/>
        <v>5.968</v>
      </c>
      <c r="I180" s="102" vm="5911">
        <f ca="1"/>
        <v>3529287920</v>
      </c>
    </row>
    <row r="181" spans="4:9" x14ac:dyDescent="0.3">
      <c r="D181" s="100" vm="1015">
        <f ca="1"/>
        <v>43339</v>
      </c>
      <c r="E181" s="101" vm="5912">
        <f ca="1"/>
        <v>7.0170000000000003</v>
      </c>
      <c r="F181" s="101" vm="5913">
        <f ca="1"/>
        <v>6.8354999999999997</v>
      </c>
      <c r="G181" s="101" vm="5914">
        <f ca="1"/>
        <v>7.0429000000000004</v>
      </c>
      <c r="H181" s="101" vm="5915">
        <f ca="1"/>
        <v>6.7382999999999997</v>
      </c>
      <c r="I181" s="102" vm="5916">
        <f ca="1"/>
        <v>2054470120</v>
      </c>
    </row>
    <row r="182" spans="4:9" x14ac:dyDescent="0.3">
      <c r="D182" s="100" vm="1021">
        <f ca="1"/>
        <v>43347</v>
      </c>
      <c r="E182" s="101" vm="5917">
        <f ca="1"/>
        <v>6.7965</v>
      </c>
      <c r="F182" s="101" vm="5918">
        <f ca="1"/>
        <v>7.0038</v>
      </c>
      <c r="G182" s="101" vm="5919">
        <f ca="1"/>
        <v>7.1304999999999996</v>
      </c>
      <c r="H182" s="101" vm="5920">
        <f ca="1"/>
        <v>6.6798000000000002</v>
      </c>
      <c r="I182" s="102" vm="5921">
        <f ca="1"/>
        <v>1403092120</v>
      </c>
    </row>
    <row r="183" spans="4:9" x14ac:dyDescent="0.3">
      <c r="D183" s="100" vm="1027">
        <f ca="1"/>
        <v>43353</v>
      </c>
      <c r="E183" s="101" vm="5922">
        <f ca="1"/>
        <v>6.9108000000000001</v>
      </c>
      <c r="F183" s="101" vm="5923">
        <f ca="1"/>
        <v>6.8193000000000001</v>
      </c>
      <c r="G183" s="101" vm="5924">
        <f ca="1"/>
        <v>6.9775</v>
      </c>
      <c r="H183" s="101" vm="5925">
        <f ca="1"/>
        <v>6.548</v>
      </c>
      <c r="I183" s="102" vm="5926">
        <f ca="1"/>
        <v>1574812040</v>
      </c>
    </row>
    <row r="184" spans="4:9" x14ac:dyDescent="0.3">
      <c r="D184" s="100" vm="1033">
        <f ca="1"/>
        <v>43360</v>
      </c>
      <c r="E184" s="101" vm="5927">
        <f ca="1"/>
        <v>6.5862999999999996</v>
      </c>
      <c r="F184" s="101" vm="5928">
        <f ca="1"/>
        <v>6.8849999999999998</v>
      </c>
      <c r="G184" s="101" vm="5929">
        <f ca="1"/>
        <v>6.9560000000000004</v>
      </c>
      <c r="H184" s="101" vm="5930">
        <f ca="1"/>
        <v>6.5528000000000004</v>
      </c>
      <c r="I184" s="102" vm="5931">
        <f ca="1"/>
        <v>1595616120</v>
      </c>
    </row>
    <row r="185" spans="4:9" x14ac:dyDescent="0.3">
      <c r="D185" s="100" vm="1039">
        <f ca="1"/>
        <v>43367</v>
      </c>
      <c r="E185" s="101" vm="5932">
        <f ca="1"/>
        <v>7.0255000000000001</v>
      </c>
      <c r="F185" s="101" vm="5933">
        <f ca="1"/>
        <v>6.5549999999999997</v>
      </c>
      <c r="G185" s="101" vm="5934">
        <f ca="1"/>
        <v>7.0479000000000003</v>
      </c>
      <c r="H185" s="101" vm="5935">
        <f ca="1"/>
        <v>6.4669999999999996</v>
      </c>
      <c r="I185" s="102" vm="5936">
        <f ca="1"/>
        <v>1766675640</v>
      </c>
    </row>
    <row r="186" spans="4:9" x14ac:dyDescent="0.3">
      <c r="D186" s="100" vm="1045">
        <f ca="1"/>
        <v>43374</v>
      </c>
      <c r="E186" s="101" vm="5937">
        <f ca="1"/>
        <v>6.7465000000000002</v>
      </c>
      <c r="F186" s="101" vm="5938">
        <f ca="1"/>
        <v>7.1040000000000001</v>
      </c>
      <c r="G186" s="101" vm="5939">
        <f ca="1"/>
        <v>7.319</v>
      </c>
      <c r="H186" s="101" vm="5940">
        <f ca="1"/>
        <v>6.6885000000000003</v>
      </c>
      <c r="I186" s="102" vm="5941">
        <f ca="1"/>
        <v>2144427600</v>
      </c>
    </row>
    <row r="187" spans="4:9" x14ac:dyDescent="0.3">
      <c r="D187" s="100" vm="1051">
        <f ca="1"/>
        <v>43381</v>
      </c>
      <c r="E187" s="101" vm="5942">
        <f ca="1"/>
        <v>6.1635</v>
      </c>
      <c r="F187" s="101" vm="5943">
        <f ca="1"/>
        <v>6.6624999999999996</v>
      </c>
      <c r="G187" s="101" vm="5944">
        <f ca="1"/>
        <v>6.7789999999999999</v>
      </c>
      <c r="H187" s="101" vm="5945">
        <f ca="1"/>
        <v>5.8564999999999996</v>
      </c>
      <c r="I187" s="102" vm="5946">
        <f ca="1"/>
        <v>2700722320</v>
      </c>
    </row>
    <row r="188" spans="4:9" x14ac:dyDescent="0.3">
      <c r="D188" s="100" vm="1057">
        <f ca="1"/>
        <v>43388</v>
      </c>
      <c r="E188" s="101" vm="5947">
        <f ca="1"/>
        <v>5.7293000000000003</v>
      </c>
      <c r="F188" s="101" vm="5948">
        <f ca="1"/>
        <v>6.15</v>
      </c>
      <c r="G188" s="101" vm="5843">
        <f ca="1"/>
        <v>6.2469999999999999</v>
      </c>
      <c r="H188" s="101" vm="5949">
        <f ca="1"/>
        <v>5.6924999999999999</v>
      </c>
      <c r="I188" s="102" vm="5950">
        <f ca="1"/>
        <v>2325773000</v>
      </c>
    </row>
    <row r="189" spans="4:9" x14ac:dyDescent="0.3">
      <c r="D189" s="100" vm="1063">
        <f ca="1"/>
        <v>43395</v>
      </c>
      <c r="E189" s="101" vm="5951">
        <f ca="1"/>
        <v>4.9573</v>
      </c>
      <c r="F189" s="101" vm="5952">
        <f ca="1"/>
        <v>5.782</v>
      </c>
      <c r="G189" s="101" vm="5953">
        <f ca="1"/>
        <v>5.883</v>
      </c>
      <c r="H189" s="101" vm="5954">
        <f ca="1"/>
        <v>4.8280000000000003</v>
      </c>
      <c r="I189" s="102" vm="5955">
        <f ca="1"/>
        <v>3494475000</v>
      </c>
    </row>
    <row r="190" spans="4:9" x14ac:dyDescent="0.3">
      <c r="D190" s="100" vm="1069">
        <f ca="1"/>
        <v>43402</v>
      </c>
      <c r="E190" s="101" vm="5956">
        <f ca="1"/>
        <v>5.3730000000000002</v>
      </c>
      <c r="F190" s="101" vm="5957">
        <f ca="1"/>
        <v>5.0998000000000001</v>
      </c>
      <c r="G190" s="101" vm="5958">
        <f ca="1"/>
        <v>5.55</v>
      </c>
      <c r="H190" s="101" vm="5959">
        <f ca="1"/>
        <v>4.4002999999999997</v>
      </c>
      <c r="I190" s="102" vm="5960">
        <f ca="1"/>
        <v>3320015440</v>
      </c>
    </row>
    <row r="191" spans="4:9" x14ac:dyDescent="0.3">
      <c r="D191" s="100" vm="1075">
        <f ca="1"/>
        <v>43409</v>
      </c>
      <c r="E191" s="101" vm="5961">
        <f ca="1"/>
        <v>5.1417999999999999</v>
      </c>
      <c r="F191" s="101" vm="5962">
        <f ca="1"/>
        <v>5.3597999999999999</v>
      </c>
      <c r="G191" s="101" vm="5963">
        <f ca="1"/>
        <v>5.4352999999999998</v>
      </c>
      <c r="H191" s="101" vm="5964">
        <f ca="1"/>
        <v>5.0259999999999998</v>
      </c>
      <c r="I191" s="102" vm="5965">
        <f ca="1"/>
        <v>2084373400</v>
      </c>
    </row>
    <row r="192" spans="4:9" x14ac:dyDescent="0.3">
      <c r="D192" s="100" vm="1081">
        <f ca="1"/>
        <v>43416</v>
      </c>
      <c r="E192" s="101" vm="5966">
        <f ca="1"/>
        <v>4.1108000000000002</v>
      </c>
      <c r="F192" s="101" vm="5967">
        <f ca="1"/>
        <v>5.0495000000000001</v>
      </c>
      <c r="G192" s="101" vm="5968">
        <f ca="1"/>
        <v>5.1719999999999997</v>
      </c>
      <c r="H192" s="101" vm="5969">
        <f ca="1"/>
        <v>4.0403000000000002</v>
      </c>
      <c r="I192" s="102" vm="5970">
        <f ca="1"/>
        <v>4584686560</v>
      </c>
    </row>
    <row r="193" spans="4:9" x14ac:dyDescent="0.3">
      <c r="D193" s="100" vm="1087">
        <f ca="1"/>
        <v>43423</v>
      </c>
      <c r="E193" s="101" vm="5971">
        <f ca="1"/>
        <v>3.625</v>
      </c>
      <c r="F193" s="101" vm="5972">
        <f ca="1"/>
        <v>4.0446999999999997</v>
      </c>
      <c r="G193" s="101" vm="5973">
        <f ca="1"/>
        <v>4.0454999999999997</v>
      </c>
      <c r="H193" s="101" vm="5974">
        <f ca="1"/>
        <v>3.3328000000000002</v>
      </c>
      <c r="I193" s="102" vm="5975">
        <f ca="1"/>
        <v>4817748120</v>
      </c>
    </row>
    <row r="194" spans="4:9" x14ac:dyDescent="0.3">
      <c r="D194" s="100" vm="1093">
        <f ca="1"/>
        <v>43430</v>
      </c>
      <c r="E194" s="101" vm="5976">
        <f ca="1"/>
        <v>4.0857999999999999</v>
      </c>
      <c r="F194" s="101" vm="5977">
        <f ca="1"/>
        <v>3.7473000000000001</v>
      </c>
      <c r="G194" s="101" vm="5978">
        <f ca="1"/>
        <v>4.0964999999999998</v>
      </c>
      <c r="H194" s="101" vm="5979">
        <f ca="1"/>
        <v>3.6640000000000001</v>
      </c>
      <c r="I194" s="102" vm="5980">
        <f ca="1"/>
        <v>3632083960</v>
      </c>
    </row>
    <row r="195" spans="4:9" x14ac:dyDescent="0.3">
      <c r="D195" s="100" vm="1099">
        <f ca="1"/>
        <v>43437</v>
      </c>
      <c r="E195" s="101" vm="5981">
        <f ca="1"/>
        <v>3.6903000000000001</v>
      </c>
      <c r="F195" s="101" vm="5982">
        <f ca="1"/>
        <v>4.3150000000000004</v>
      </c>
      <c r="G195" s="101" vm="5983">
        <f ca="1"/>
        <v>4.367</v>
      </c>
      <c r="H195" s="101" vm="5984">
        <f ca="1"/>
        <v>3.6404000000000001</v>
      </c>
      <c r="I195" s="102" vm="5985">
        <f ca="1"/>
        <v>3074769800</v>
      </c>
    </row>
    <row r="196" spans="4:9" x14ac:dyDescent="0.3">
      <c r="D196" s="100" vm="1105">
        <f ca="1"/>
        <v>43444</v>
      </c>
      <c r="E196" s="101" vm="5986">
        <f ca="1"/>
        <v>3.6613000000000002</v>
      </c>
      <c r="F196" s="101" vm="5987">
        <f ca="1"/>
        <v>3.645</v>
      </c>
      <c r="G196" s="101" vm="5988">
        <f ca="1"/>
        <v>3.8973</v>
      </c>
      <c r="H196" s="101" vm="5989">
        <f ca="1"/>
        <v>3.6204999999999998</v>
      </c>
      <c r="I196" s="102" vm="5990">
        <f ca="1"/>
        <v>2898728800</v>
      </c>
    </row>
    <row r="197" spans="4:9" x14ac:dyDescent="0.3">
      <c r="D197" s="100" vm="1111">
        <f ca="1"/>
        <v>43451</v>
      </c>
      <c r="E197" s="101" vm="5991">
        <f ca="1"/>
        <v>3.2393000000000001</v>
      </c>
      <c r="F197" s="101" vm="5992">
        <f ca="1"/>
        <v>3.6309999999999998</v>
      </c>
      <c r="G197" s="101" vm="5993">
        <f ca="1"/>
        <v>3.7583000000000002</v>
      </c>
      <c r="H197" s="101" vm="5994">
        <f ca="1"/>
        <v>3.2115</v>
      </c>
      <c r="I197" s="102" vm="5995">
        <f ca="1"/>
        <v>3569614400</v>
      </c>
    </row>
    <row r="198" spans="4:9" x14ac:dyDescent="0.3">
      <c r="D198" s="100" vm="1117">
        <f ca="1"/>
        <v>43458</v>
      </c>
      <c r="E198" s="101" vm="5996">
        <f ca="1"/>
        <v>3.3412999999999999</v>
      </c>
      <c r="F198" s="101" vm="5997">
        <f ca="1"/>
        <v>3.1623000000000001</v>
      </c>
      <c r="G198" s="101" vm="5998">
        <f ca="1"/>
        <v>3.4348000000000001</v>
      </c>
      <c r="H198" s="101" vm="5999">
        <f ca="1"/>
        <v>3.1114999999999999</v>
      </c>
      <c r="I198" s="102" vm="6000">
        <f ca="1"/>
        <v>2424474440</v>
      </c>
    </row>
    <row r="199" spans="4:9" x14ac:dyDescent="0.3">
      <c r="D199" s="100" vm="1123">
        <f ca="1"/>
        <v>43465</v>
      </c>
      <c r="E199" s="101" vm="6001">
        <f ca="1"/>
        <v>3.4047999999999998</v>
      </c>
      <c r="F199" s="101" vm="6002">
        <f ca="1"/>
        <v>3.3849999999999998</v>
      </c>
      <c r="G199" s="101" vm="6003">
        <f ca="1"/>
        <v>3.4620000000000002</v>
      </c>
      <c r="H199" s="101" vm="6004">
        <f ca="1"/>
        <v>3.1922999999999999</v>
      </c>
      <c r="I199" s="102" vm="6005">
        <f ca="1"/>
        <v>2263986600</v>
      </c>
    </row>
    <row r="200" spans="4:9" x14ac:dyDescent="0.3">
      <c r="D200" s="100" vm="1128">
        <f ca="1"/>
        <v>43472</v>
      </c>
      <c r="E200" s="101" vm="6006">
        <f ca="1"/>
        <v>3.7208000000000001</v>
      </c>
      <c r="F200" s="101" vm="6007">
        <f ca="1"/>
        <v>3.4624999999999999</v>
      </c>
      <c r="G200" s="101" vm="6008">
        <f ca="1"/>
        <v>3.7437999999999998</v>
      </c>
      <c r="H200" s="101" vm="6009">
        <f ca="1"/>
        <v>3.4108000000000001</v>
      </c>
      <c r="I200" s="102" vm="6010">
        <f ca="1"/>
        <v>3505611960</v>
      </c>
    </row>
    <row r="201" spans="4:9" x14ac:dyDescent="0.3">
      <c r="D201" s="100" vm="1134">
        <f ca="1"/>
        <v>43479</v>
      </c>
      <c r="E201" s="101" vm="6011">
        <f ca="1"/>
        <v>3.9232999999999998</v>
      </c>
      <c r="F201" s="101" vm="6012">
        <f ca="1"/>
        <v>3.6680000000000001</v>
      </c>
      <c r="G201" s="101" vm="6013">
        <f ca="1"/>
        <v>3.9495</v>
      </c>
      <c r="H201" s="101" vm="6014">
        <f ca="1"/>
        <v>3.6442999999999999</v>
      </c>
      <c r="I201" s="102" vm="6015">
        <f ca="1"/>
        <v>2959090680</v>
      </c>
    </row>
    <row r="202" spans="4:9" x14ac:dyDescent="0.3">
      <c r="D202" s="100" vm="1140">
        <f ca="1"/>
        <v>43487</v>
      </c>
      <c r="E202" s="101" vm="6016">
        <f ca="1"/>
        <v>4.0038</v>
      </c>
      <c r="F202" s="101" vm="6017">
        <f ca="1"/>
        <v>3.8927999999999998</v>
      </c>
      <c r="G202" s="101" vm="6018">
        <f ca="1"/>
        <v>4.0220000000000002</v>
      </c>
      <c r="H202" s="101" vm="6019">
        <f ca="1"/>
        <v>3.6888000000000001</v>
      </c>
      <c r="I202" s="102" vm="6020">
        <f ca="1"/>
        <v>3116765160</v>
      </c>
    </row>
    <row r="203" spans="4:9" x14ac:dyDescent="0.3">
      <c r="D203" s="100" vm="1145">
        <f ca="1"/>
        <v>43493</v>
      </c>
      <c r="E203" s="101" vm="6021">
        <f ca="1"/>
        <v>3.6183000000000001</v>
      </c>
      <c r="F203" s="101" vm="6022">
        <f ca="1"/>
        <v>3.4138000000000002</v>
      </c>
      <c r="G203" s="101" vm="6023">
        <f ca="1"/>
        <v>3.6698</v>
      </c>
      <c r="H203" s="101" vm="6024">
        <f ca="1"/>
        <v>3.2749999999999999</v>
      </c>
      <c r="I203" s="102" vm="6025">
        <f ca="1"/>
        <v>6107590720</v>
      </c>
    </row>
    <row r="204" spans="4:9" x14ac:dyDescent="0.3">
      <c r="D204" s="100" vm="1151">
        <f ca="1"/>
        <v>43500</v>
      </c>
      <c r="E204" s="101" vm="6026">
        <f ca="1"/>
        <v>3.7042999999999999</v>
      </c>
      <c r="F204" s="101" vm="6027">
        <f ca="1"/>
        <v>3.6343000000000001</v>
      </c>
      <c r="G204" s="101" vm="6028">
        <f ca="1"/>
        <v>3.89</v>
      </c>
      <c r="H204" s="101" vm="6029">
        <f ca="1"/>
        <v>3.6032999999999999</v>
      </c>
      <c r="I204" s="102" vm="6030">
        <f ca="1"/>
        <v>2872217080</v>
      </c>
    </row>
    <row r="205" spans="4:9" x14ac:dyDescent="0.3">
      <c r="D205" s="100" vm="1157">
        <f ca="1"/>
        <v>43507</v>
      </c>
      <c r="E205" s="101" vm="6031">
        <f ca="1"/>
        <v>3.9335</v>
      </c>
      <c r="F205" s="101" vm="6032">
        <f ca="1"/>
        <v>3.6598000000000002</v>
      </c>
      <c r="G205" s="101" vm="6033">
        <f ca="1"/>
        <v>4.0968</v>
      </c>
      <c r="H205" s="101" vm="6034">
        <f ca="1"/>
        <v>3.6124999999999998</v>
      </c>
      <c r="I205" s="102" vm="6035">
        <f ca="1"/>
        <v>4027446240</v>
      </c>
    </row>
    <row r="206" spans="4:9" x14ac:dyDescent="0.3">
      <c r="D206" s="100" vm="1161">
        <f ca="1"/>
        <v>43515</v>
      </c>
      <c r="E206" s="101" vm="6036">
        <f ca="1"/>
        <v>3.9798</v>
      </c>
      <c r="F206" s="101" vm="6037">
        <f ca="1"/>
        <v>3.9228000000000001</v>
      </c>
      <c r="G206" s="101" vm="6038">
        <f ca="1"/>
        <v>4.0315000000000003</v>
      </c>
      <c r="H206" s="101" vm="6039">
        <f ca="1"/>
        <v>3.8795000000000002</v>
      </c>
      <c r="I206" s="102" vm="6040">
        <f ca="1"/>
        <v>1943170080</v>
      </c>
    </row>
    <row r="207" spans="4:9" x14ac:dyDescent="0.3">
      <c r="D207" s="100" vm="1167">
        <f ca="1"/>
        <v>43521</v>
      </c>
      <c r="E207" s="101" vm="6041">
        <f ca="1"/>
        <v>3.9113000000000002</v>
      </c>
      <c r="F207" s="101" vm="6042">
        <f ca="1"/>
        <v>4.0640000000000001</v>
      </c>
      <c r="G207" s="101" vm="6043">
        <f ca="1"/>
        <v>4.1319999999999997</v>
      </c>
      <c r="H207" s="101" vm="6044">
        <f ca="1"/>
        <v>3.8277999999999999</v>
      </c>
      <c r="I207" s="102" vm="6045">
        <f ca="1"/>
        <v>2326867040</v>
      </c>
    </row>
    <row r="208" spans="4:9" x14ac:dyDescent="0.3">
      <c r="D208" s="100" vm="1172">
        <f ca="1"/>
        <v>43528</v>
      </c>
      <c r="E208" s="101" vm="6046">
        <f ca="1"/>
        <v>3.766</v>
      </c>
      <c r="F208" s="101" vm="6047">
        <f ca="1"/>
        <v>3.95</v>
      </c>
      <c r="G208" s="101" vm="6048">
        <f ca="1"/>
        <v>3.9729999999999999</v>
      </c>
      <c r="H208" s="101" vm="6049">
        <f ca="1"/>
        <v>3.62</v>
      </c>
      <c r="I208" s="102" vm="6050">
        <f ca="1"/>
        <v>2048960880</v>
      </c>
    </row>
    <row r="209" spans="4:9" x14ac:dyDescent="0.3">
      <c r="D209" s="100" vm="1178">
        <f ca="1"/>
        <v>43535</v>
      </c>
      <c r="E209" s="101" vm="6051">
        <f ca="1"/>
        <v>4.2453000000000003</v>
      </c>
      <c r="F209" s="101" vm="6052">
        <f ca="1"/>
        <v>3.7898000000000001</v>
      </c>
      <c r="G209" s="101" vm="6053">
        <f ca="1"/>
        <v>4.2882999999999996</v>
      </c>
      <c r="H209" s="101" vm="6054">
        <f ca="1"/>
        <v>3.7423000000000002</v>
      </c>
      <c r="I209" s="102" vm="6055">
        <f ca="1"/>
        <v>3389045920</v>
      </c>
    </row>
    <row r="210" spans="4:9" x14ac:dyDescent="0.3">
      <c r="D210" s="100" vm="1184">
        <f ca="1"/>
        <v>43542</v>
      </c>
      <c r="E210" s="101" vm="6056">
        <f ca="1"/>
        <v>4.4375</v>
      </c>
      <c r="F210" s="101" vm="6057">
        <f ca="1"/>
        <v>4.2770000000000001</v>
      </c>
      <c r="G210" s="101" vm="6058">
        <f ca="1"/>
        <v>4.625</v>
      </c>
      <c r="H210" s="101" vm="6059">
        <f ca="1"/>
        <v>4.1963999999999997</v>
      </c>
      <c r="I210" s="102" vm="6060">
        <f ca="1"/>
        <v>3633068320</v>
      </c>
    </row>
    <row r="211" spans="4:9" x14ac:dyDescent="0.3">
      <c r="D211" s="100" vm="1190">
        <f ca="1"/>
        <v>43549</v>
      </c>
      <c r="E211" s="101" vm="6061">
        <f ca="1"/>
        <v>4.4889999999999999</v>
      </c>
      <c r="F211" s="101" vm="6062">
        <f ca="1"/>
        <v>4.3964999999999996</v>
      </c>
      <c r="G211" s="101" vm="6063">
        <f ca="1"/>
        <v>4.5438000000000001</v>
      </c>
      <c r="H211" s="101" vm="6064">
        <f ca="1"/>
        <v>4.2778</v>
      </c>
      <c r="I211" s="102" vm="6065">
        <f ca="1"/>
        <v>2640250160</v>
      </c>
    </row>
    <row r="212" spans="4:9" x14ac:dyDescent="0.3">
      <c r="D212" s="100" vm="1195">
        <f ca="1"/>
        <v>43556</v>
      </c>
      <c r="E212" s="101" vm="6066">
        <f ca="1"/>
        <v>4.7737999999999996</v>
      </c>
      <c r="F212" s="101" vm="6067">
        <f ca="1"/>
        <v>4.5815000000000001</v>
      </c>
      <c r="G212" s="101" vm="6068">
        <f ca="1"/>
        <v>4.7912999999999997</v>
      </c>
      <c r="H212" s="101" vm="6069">
        <f ca="1"/>
        <v>4.5094000000000003</v>
      </c>
      <c r="I212" s="102" vm="6070">
        <f ca="1"/>
        <v>2652645760</v>
      </c>
    </row>
    <row r="213" spans="4:9" x14ac:dyDescent="0.3">
      <c r="D213" s="100" vm="1201">
        <f ca="1"/>
        <v>43563</v>
      </c>
      <c r="E213" s="101" vm="6071">
        <f ca="1"/>
        <v>4.7503000000000002</v>
      </c>
      <c r="F213" s="101" vm="6072">
        <f ca="1"/>
        <v>4.7430000000000003</v>
      </c>
      <c r="G213" s="101" vm="6073">
        <f ca="1"/>
        <v>4.8368000000000002</v>
      </c>
      <c r="H213" s="101" vm="6074">
        <f ca="1"/>
        <v>4.6890000000000001</v>
      </c>
      <c r="I213" s="102" vm="6075">
        <f ca="1"/>
        <v>2155247040</v>
      </c>
    </row>
    <row r="214" spans="4:9" x14ac:dyDescent="0.3">
      <c r="D214" s="100" vm="1207">
        <f ca="1"/>
        <v>43570</v>
      </c>
      <c r="E214" s="101" vm="6076">
        <f ca="1"/>
        <v>4.6574999999999998</v>
      </c>
      <c r="F214" s="101" vm="6077">
        <f ca="1"/>
        <v>4.7424999999999997</v>
      </c>
      <c r="G214" s="101" vm="6078">
        <f ca="1"/>
        <v>4.7614999999999998</v>
      </c>
      <c r="H214" s="101" vm="6079">
        <f ca="1"/>
        <v>4.5774999999999997</v>
      </c>
      <c r="I214" s="102" vm="6080">
        <f ca="1"/>
        <v>1567048320</v>
      </c>
    </row>
    <row r="215" spans="4:9" x14ac:dyDescent="0.3">
      <c r="D215" s="100" vm="1213">
        <f ca="1"/>
        <v>43577</v>
      </c>
      <c r="E215" s="101" vm="6081">
        <f ca="1"/>
        <v>4.4523000000000001</v>
      </c>
      <c r="F215" s="101" vm="6082">
        <f ca="1"/>
        <v>4.6337999999999999</v>
      </c>
      <c r="G215" s="101" vm="6083">
        <f ca="1"/>
        <v>4.8202999999999996</v>
      </c>
      <c r="H215" s="101" vm="6084">
        <f ca="1"/>
        <v>4.3324999999999996</v>
      </c>
      <c r="I215" s="102" vm="6085">
        <f ca="1"/>
        <v>2313282200</v>
      </c>
    </row>
    <row r="216" spans="4:9" x14ac:dyDescent="0.3">
      <c r="D216" s="100" vm="1218">
        <f ca="1"/>
        <v>43584</v>
      </c>
      <c r="E216" s="101" vm="6086">
        <f ca="1"/>
        <v>4.5751999999999997</v>
      </c>
      <c r="F216" s="101" vm="6087">
        <f ca="1"/>
        <v>4.4603000000000002</v>
      </c>
      <c r="G216" s="101" vm="6088">
        <f ca="1"/>
        <v>4.6218000000000004</v>
      </c>
      <c r="H216" s="101" vm="6089">
        <f ca="1"/>
        <v>4.3875000000000002</v>
      </c>
      <c r="I216" s="102" vm="6090">
        <f ca="1"/>
        <v>1840631040</v>
      </c>
    </row>
    <row r="217" spans="4:9" x14ac:dyDescent="0.3">
      <c r="D217" s="100" vm="1224">
        <f ca="1"/>
        <v>43591</v>
      </c>
      <c r="E217" s="101" vm="6091">
        <f ca="1"/>
        <v>4.2205000000000004</v>
      </c>
      <c r="F217" s="101" vm="6089">
        <f ca="1"/>
        <v>4.3875000000000002</v>
      </c>
      <c r="G217" s="101" vm="6092">
        <f ca="1"/>
        <v>4.5084999999999997</v>
      </c>
      <c r="H217" s="101" vm="6093">
        <f ca="1"/>
        <v>4.0999999999999996</v>
      </c>
      <c r="I217" s="102" vm="6094">
        <f ca="1"/>
        <v>2626306880</v>
      </c>
    </row>
    <row r="218" spans="4:9" x14ac:dyDescent="0.3">
      <c r="D218" s="100" vm="1230">
        <f ca="1"/>
        <v>43598</v>
      </c>
      <c r="E218" s="101" vm="6095">
        <f ca="1"/>
        <v>3.9133</v>
      </c>
      <c r="F218" s="101" vm="6096">
        <f ca="1"/>
        <v>4.0875000000000004</v>
      </c>
      <c r="G218" s="101" vm="5966">
        <f ca="1"/>
        <v>4.1108000000000002</v>
      </c>
      <c r="H218" s="101" vm="6097">
        <f ca="1"/>
        <v>3.8734999999999999</v>
      </c>
      <c r="I218" s="102" vm="6098">
        <f ca="1"/>
        <v>3487267760</v>
      </c>
    </row>
    <row r="219" spans="4:9" x14ac:dyDescent="0.3">
      <c r="D219" s="100" vm="1236">
        <f ca="1"/>
        <v>43605</v>
      </c>
      <c r="E219" s="101" vm="6099">
        <f ca="1"/>
        <v>3.6288</v>
      </c>
      <c r="F219" s="101" vm="6100">
        <f ca="1"/>
        <v>3.8138000000000001</v>
      </c>
      <c r="G219" s="101" vm="6101">
        <f ca="1"/>
        <v>3.8925000000000001</v>
      </c>
      <c r="H219" s="101" vm="6102">
        <f ca="1"/>
        <v>3.6219999999999999</v>
      </c>
      <c r="I219" s="102" vm="6103">
        <f ca="1"/>
        <v>2209214480</v>
      </c>
    </row>
    <row r="220" spans="4:9" x14ac:dyDescent="0.3">
      <c r="D220" s="100" vm="1241">
        <f ca="1"/>
        <v>43613</v>
      </c>
      <c r="E220" s="101" vm="6104">
        <f ca="1"/>
        <v>3.3864999999999998</v>
      </c>
      <c r="F220" s="101" vm="6105">
        <f ca="1"/>
        <v>3.6465000000000001</v>
      </c>
      <c r="G220" s="101" vm="6106">
        <f ca="1"/>
        <v>3.6795</v>
      </c>
      <c r="H220" s="101" vm="6107">
        <f ca="1"/>
        <v>3.3847999999999998</v>
      </c>
      <c r="I220" s="102" vm="6108">
        <f ca="1"/>
        <v>1772174840</v>
      </c>
    </row>
    <row r="221" spans="4:9" x14ac:dyDescent="0.3">
      <c r="D221" s="100" vm="1246">
        <f ca="1"/>
        <v>43619</v>
      </c>
      <c r="E221" s="101" vm="6109">
        <f ca="1"/>
        <v>3.6375000000000002</v>
      </c>
      <c r="F221" s="101" vm="6110">
        <f ca="1"/>
        <v>3.3978000000000002</v>
      </c>
      <c r="G221" s="101" vm="6111">
        <f ca="1"/>
        <v>3.6720000000000002</v>
      </c>
      <c r="H221" s="101" vm="6112">
        <f ca="1"/>
        <v>3.3149999999999999</v>
      </c>
      <c r="I221" s="102" vm="6113">
        <f ca="1"/>
        <v>2389090000</v>
      </c>
    </row>
    <row r="222" spans="4:9" x14ac:dyDescent="0.3">
      <c r="D222" s="100" vm="1252">
        <f ca="1"/>
        <v>43626</v>
      </c>
      <c r="E222" s="101" vm="6114">
        <f ca="1"/>
        <v>3.6160000000000001</v>
      </c>
      <c r="F222" s="101" vm="6115">
        <f ca="1"/>
        <v>3.694</v>
      </c>
      <c r="G222" s="101" vm="6116">
        <f ca="1"/>
        <v>3.8090000000000002</v>
      </c>
      <c r="H222" s="101" vm="6117">
        <f ca="1"/>
        <v>3.5709</v>
      </c>
      <c r="I222" s="102" vm="6118">
        <f ca="1"/>
        <v>1848050160</v>
      </c>
    </row>
    <row r="223" spans="4:9" x14ac:dyDescent="0.3">
      <c r="D223" s="100" vm="1258">
        <f ca="1"/>
        <v>43633</v>
      </c>
      <c r="E223" s="101" vm="6119">
        <f ca="1"/>
        <v>3.794</v>
      </c>
      <c r="F223" s="101" vm="6120">
        <f ca="1"/>
        <v>3.6143000000000001</v>
      </c>
      <c r="G223" s="101" vm="6121">
        <f ca="1"/>
        <v>3.9333</v>
      </c>
      <c r="H223" s="101" vm="6122">
        <f ca="1"/>
        <v>3.5912999999999999</v>
      </c>
      <c r="I223" s="102" vm="6123">
        <f ca="1"/>
        <v>1974197600</v>
      </c>
    </row>
    <row r="224" spans="4:9" x14ac:dyDescent="0.3">
      <c r="D224" s="100" vm="1264">
        <f ca="1"/>
        <v>43640</v>
      </c>
      <c r="E224" s="101" vm="6124">
        <f ca="1"/>
        <v>4.1056999999999997</v>
      </c>
      <c r="F224" s="101" vm="6125">
        <f ca="1"/>
        <v>3.8155000000000001</v>
      </c>
      <c r="G224" s="101" vm="6126">
        <f ca="1"/>
        <v>4.1342999999999996</v>
      </c>
      <c r="H224" s="101" vm="6127">
        <f ca="1"/>
        <v>3.7679999999999998</v>
      </c>
      <c r="I224" s="102" vm="6128">
        <f ca="1"/>
        <v>2021996040</v>
      </c>
    </row>
    <row r="225" spans="4:9" x14ac:dyDescent="0.3">
      <c r="D225" s="100" vm="1270">
        <f ca="1"/>
        <v>43647</v>
      </c>
      <c r="E225" s="101" vm="6129">
        <f ca="1"/>
        <v>4.0057999999999998</v>
      </c>
      <c r="F225" s="101" vm="6130">
        <f ca="1"/>
        <v>4.3143000000000002</v>
      </c>
      <c r="G225" s="101" vm="6131">
        <f ca="1"/>
        <v>4.3487999999999998</v>
      </c>
      <c r="H225" s="101" vm="6132">
        <f ca="1"/>
        <v>3.9420000000000002</v>
      </c>
      <c r="I225" s="102" vm="6133">
        <f ca="1"/>
        <v>1754948720</v>
      </c>
    </row>
    <row r="226" spans="4:9" x14ac:dyDescent="0.3">
      <c r="D226" s="100" vm="1276">
        <f ca="1"/>
        <v>43654</v>
      </c>
      <c r="E226" s="101" vm="6134">
        <f ca="1"/>
        <v>4.1902999999999997</v>
      </c>
      <c r="F226" s="101" vm="6135">
        <f ca="1"/>
        <v>3.9458000000000002</v>
      </c>
      <c r="G226" s="101" vm="6136">
        <f ca="1"/>
        <v>4.2618</v>
      </c>
      <c r="H226" s="101" vm="6137">
        <f ca="1"/>
        <v>3.875</v>
      </c>
      <c r="I226" s="102" vm="6138">
        <f ca="1"/>
        <v>2313674400</v>
      </c>
    </row>
    <row r="227" spans="4:9" x14ac:dyDescent="0.3">
      <c r="D227" s="100" vm="1282">
        <f ca="1"/>
        <v>43661</v>
      </c>
      <c r="E227" s="101" vm="6139">
        <f ca="1"/>
        <v>4.2110000000000003</v>
      </c>
      <c r="F227" s="101" vm="6140">
        <f ca="1"/>
        <v>4.2115</v>
      </c>
      <c r="G227" s="101" vm="6141">
        <f ca="1"/>
        <v>4.3178000000000001</v>
      </c>
      <c r="H227" s="101" vm="6142">
        <f ca="1"/>
        <v>4.1211000000000002</v>
      </c>
      <c r="I227" s="102" vm="6143">
        <f ca="1"/>
        <v>1767562680</v>
      </c>
    </row>
    <row r="228" spans="4:9" x14ac:dyDescent="0.3">
      <c r="D228" s="100" vm="1288">
        <f ca="1"/>
        <v>43668</v>
      </c>
      <c r="E228" s="101" vm="6144">
        <f ca="1"/>
        <v>4.3768000000000002</v>
      </c>
      <c r="F228" s="101" vm="5631">
        <f ca="1"/>
        <v>4.2324999999999999</v>
      </c>
      <c r="G228" s="101" vm="6145">
        <f ca="1"/>
        <v>4.4722999999999997</v>
      </c>
      <c r="H228" s="101" vm="6146">
        <f ca="1"/>
        <v>4.2249999999999996</v>
      </c>
      <c r="I228" s="102" vm="6147">
        <f ca="1"/>
        <v>1777211960</v>
      </c>
    </row>
    <row r="229" spans="4:9" x14ac:dyDescent="0.3">
      <c r="D229" s="100" vm="1294">
        <f ca="1"/>
        <v>43675</v>
      </c>
      <c r="E229" s="101" vm="6148">
        <f ca="1"/>
        <v>4.0297999999999998</v>
      </c>
      <c r="F229" s="101" vm="6149">
        <f ca="1"/>
        <v>4.3695000000000004</v>
      </c>
      <c r="G229" s="101" vm="6150">
        <f ca="1"/>
        <v>4.3985000000000003</v>
      </c>
      <c r="H229" s="101" vm="6151">
        <f ca="1"/>
        <v>3.9820000000000002</v>
      </c>
      <c r="I229" s="102" vm="6152">
        <f ca="1"/>
        <v>1654909880</v>
      </c>
    </row>
    <row r="230" spans="4:9" x14ac:dyDescent="0.3">
      <c r="D230" s="100" vm="1300">
        <f ca="1"/>
        <v>43682</v>
      </c>
      <c r="E230" s="101" vm="6153">
        <f ca="1"/>
        <v>3.8544999999999998</v>
      </c>
      <c r="F230" s="101" vm="6154">
        <f ca="1"/>
        <v>3.8450000000000002</v>
      </c>
      <c r="G230" s="101" vm="6155">
        <f ca="1"/>
        <v>3.9578000000000002</v>
      </c>
      <c r="H230" s="101" vm="6156">
        <f ca="1"/>
        <v>3.7225000000000001</v>
      </c>
      <c r="I230" s="102" vm="6157">
        <f ca="1"/>
        <v>1974105520</v>
      </c>
    </row>
    <row r="231" spans="4:9" x14ac:dyDescent="0.3">
      <c r="D231" s="100" vm="1306">
        <f ca="1"/>
        <v>43689</v>
      </c>
      <c r="E231" s="101" vm="6158">
        <f ca="1"/>
        <v>3.9889999999999999</v>
      </c>
      <c r="F231" s="101" vm="6159">
        <f ca="1"/>
        <v>3.802</v>
      </c>
      <c r="G231" s="101" vm="6160">
        <f ca="1"/>
        <v>4.0385</v>
      </c>
      <c r="H231" s="101" vm="6161">
        <f ca="1"/>
        <v>3.6848999999999998</v>
      </c>
      <c r="I231" s="102" vm="6162">
        <f ca="1"/>
        <v>2629441400</v>
      </c>
    </row>
    <row r="232" spans="4:9" x14ac:dyDescent="0.3">
      <c r="D232" s="100" vm="1311">
        <f ca="1"/>
        <v>43696</v>
      </c>
      <c r="E232" s="101" vm="6163">
        <f ca="1"/>
        <v>4.0609999999999999</v>
      </c>
      <c r="F232" s="101" vm="6164">
        <f ca="1"/>
        <v>4.1029999999999998</v>
      </c>
      <c r="G232" s="101" vm="6165">
        <f ca="1"/>
        <v>4.3362999999999996</v>
      </c>
      <c r="H232" s="101" vm="6166">
        <f ca="1"/>
        <v>4.0410000000000004</v>
      </c>
      <c r="I232" s="102" vm="6167">
        <f ca="1"/>
        <v>2581009000</v>
      </c>
    </row>
    <row r="233" spans="4:9" x14ac:dyDescent="0.3">
      <c r="D233" s="100" vm="1317">
        <f ca="1"/>
        <v>43703</v>
      </c>
      <c r="E233" s="101" vm="6168">
        <f ca="1"/>
        <v>4.1878000000000002</v>
      </c>
      <c r="F233" s="101" vm="6169">
        <f ca="1"/>
        <v>4.1402999999999999</v>
      </c>
      <c r="G233" s="101" vm="6170">
        <f ca="1"/>
        <v>4.2714999999999996</v>
      </c>
      <c r="H233" s="101" vm="6171">
        <f ca="1"/>
        <v>3.9750000000000001</v>
      </c>
      <c r="I233" s="102" vm="6172">
        <f ca="1"/>
        <v>1515253360</v>
      </c>
    </row>
    <row r="234" spans="4:9" x14ac:dyDescent="0.3">
      <c r="D234" s="100" vm="1322">
        <f ca="1"/>
        <v>43711</v>
      </c>
      <c r="E234" s="101" vm="6173">
        <f ca="1"/>
        <v>4.4663000000000004</v>
      </c>
      <c r="F234" s="101" vm="5659">
        <f ca="1"/>
        <v>4.1144999999999996</v>
      </c>
      <c r="G234" s="101" vm="6174">
        <f ca="1"/>
        <v>4.5273000000000003</v>
      </c>
      <c r="H234" s="101" vm="6175">
        <f ca="1"/>
        <v>4.0812999999999997</v>
      </c>
      <c r="I234" s="102" vm="6176">
        <f ca="1"/>
        <v>1598092920</v>
      </c>
    </row>
    <row r="235" spans="4:9" x14ac:dyDescent="0.3">
      <c r="D235" s="100" vm="1328">
        <f ca="1"/>
        <v>43717</v>
      </c>
      <c r="E235" s="101" vm="6177">
        <f ca="1"/>
        <v>4.5484999999999998</v>
      </c>
      <c r="F235" s="101" vm="6178">
        <f ca="1"/>
        <v>4.4974999999999996</v>
      </c>
      <c r="G235" s="101" vm="6179">
        <f ca="1"/>
        <v>4.71</v>
      </c>
      <c r="H235" s="101" vm="6180">
        <f ca="1"/>
        <v>4.4698000000000002</v>
      </c>
      <c r="I235" s="102" vm="6181">
        <f ca="1"/>
        <v>1784281280</v>
      </c>
    </row>
    <row r="236" spans="4:9" x14ac:dyDescent="0.3">
      <c r="D236" s="100" vm="1334">
        <f ca="1"/>
        <v>43724</v>
      </c>
      <c r="E236" s="101" vm="6182">
        <f ca="1"/>
        <v>4.3173000000000004</v>
      </c>
      <c r="F236" s="101" vm="6183">
        <f ca="1"/>
        <v>4.4729999999999999</v>
      </c>
      <c r="G236" s="101" vm="6184">
        <f ca="1"/>
        <v>4.54</v>
      </c>
      <c r="H236" s="101" vm="6185">
        <f ca="1"/>
        <v>4.3070000000000004</v>
      </c>
      <c r="I236" s="102" vm="6186">
        <f ca="1"/>
        <v>1337937200</v>
      </c>
    </row>
    <row r="237" spans="4:9" x14ac:dyDescent="0.3">
      <c r="D237" s="100" vm="1339">
        <f ca="1"/>
        <v>43731</v>
      </c>
      <c r="E237" s="101" vm="6187">
        <f ca="1"/>
        <v>4.2939999999999996</v>
      </c>
      <c r="F237" s="101" vm="6188">
        <f ca="1"/>
        <v>4.3174999999999999</v>
      </c>
      <c r="G237" s="101" vm="6189">
        <f ca="1"/>
        <v>4.4755000000000003</v>
      </c>
      <c r="H237" s="101" vm="6190">
        <f ca="1"/>
        <v>4.2329999999999997</v>
      </c>
      <c r="I237" s="102" vm="6191">
        <f ca="1"/>
        <v>1493959440</v>
      </c>
    </row>
    <row r="238" spans="4:9" x14ac:dyDescent="0.3">
      <c r="D238" s="100" vm="1345">
        <f ca="1"/>
        <v>43738</v>
      </c>
      <c r="E238" s="101" vm="6192">
        <f ca="1"/>
        <v>4.5492999999999997</v>
      </c>
      <c r="F238" s="101" vm="6193">
        <f ca="1"/>
        <v>4.32</v>
      </c>
      <c r="G238" s="101" vm="6194">
        <f ca="1"/>
        <v>4.5788000000000002</v>
      </c>
      <c r="H238" s="101" vm="6195">
        <f ca="1"/>
        <v>4.2533000000000003</v>
      </c>
      <c r="I238" s="102" vm="6196">
        <f ca="1"/>
        <v>1587117640</v>
      </c>
    </row>
    <row r="239" spans="4:9" x14ac:dyDescent="0.3">
      <c r="D239" s="100" vm="1351">
        <f ca="1"/>
        <v>43745</v>
      </c>
      <c r="E239" s="101" vm="6197">
        <f ca="1"/>
        <v>4.6497999999999999</v>
      </c>
      <c r="F239" s="101" vm="6198">
        <f ca="1"/>
        <v>4.6144999999999996</v>
      </c>
      <c r="G239" s="101" vm="6199">
        <f ca="1"/>
        <v>4.7335000000000003</v>
      </c>
      <c r="H239" s="101" vm="6200">
        <f ca="1"/>
        <v>4.4124999999999996</v>
      </c>
      <c r="I239" s="102" vm="6201">
        <f ca="1"/>
        <v>2019458120</v>
      </c>
    </row>
    <row r="240" spans="4:9" x14ac:dyDescent="0.3">
      <c r="D240" s="100" vm="1357">
        <f ca="1"/>
        <v>43752</v>
      </c>
      <c r="E240" s="101" vm="6202">
        <f ca="1"/>
        <v>4.7622999999999998</v>
      </c>
      <c r="F240" s="101" vm="6203">
        <f ca="1"/>
        <v>4.641</v>
      </c>
      <c r="G240" s="101" vm="6204">
        <f ca="1"/>
        <v>4.9823000000000004</v>
      </c>
      <c r="H240" s="101" vm="6205">
        <f ca="1"/>
        <v>4.6096000000000004</v>
      </c>
      <c r="I240" s="102" vm="6206">
        <f ca="1"/>
        <v>1883015360</v>
      </c>
    </row>
    <row r="241" spans="4:9" x14ac:dyDescent="0.3">
      <c r="D241" s="100" vm="1363">
        <f ca="1"/>
        <v>43759</v>
      </c>
      <c r="E241" s="101" vm="6207">
        <f ca="1"/>
        <v>5.1135000000000002</v>
      </c>
      <c r="F241" s="101" vm="6208">
        <f ca="1"/>
        <v>4.8239999999999998</v>
      </c>
      <c r="G241" s="101" vm="6209">
        <f ca="1"/>
        <v>5.1345000000000001</v>
      </c>
      <c r="H241" s="101" vm="6210">
        <f ca="1"/>
        <v>4.7758000000000003</v>
      </c>
      <c r="I241" s="102" vm="6211">
        <f ca="1"/>
        <v>1541119800</v>
      </c>
    </row>
    <row r="242" spans="4:9" x14ac:dyDescent="0.3">
      <c r="D242" s="100" vm="1369">
        <f ca="1"/>
        <v>43766</v>
      </c>
      <c r="E242" s="101" vm="6212">
        <f ca="1"/>
        <v>5.0648</v>
      </c>
      <c r="F242" s="101" vm="6213">
        <f ca="1"/>
        <v>5.1574999999999998</v>
      </c>
      <c r="G242" s="101" vm="6214">
        <f ca="1"/>
        <v>5.2225000000000001</v>
      </c>
      <c r="H242" s="101" vm="6215">
        <f ca="1"/>
        <v>4.9452999999999996</v>
      </c>
      <c r="I242" s="102" vm="6216">
        <f ca="1"/>
        <v>1241360800</v>
      </c>
    </row>
    <row r="243" spans="4:9" x14ac:dyDescent="0.3">
      <c r="D243" s="100" vm="1375">
        <f ca="1"/>
        <v>43773</v>
      </c>
      <c r="E243" s="101" vm="6217">
        <f ca="1"/>
        <v>5.1944999999999997</v>
      </c>
      <c r="F243" s="101" vm="6218">
        <f ca="1"/>
        <v>5.1463000000000001</v>
      </c>
      <c r="G243" s="101" vm="6219">
        <f ca="1"/>
        <v>5.2925000000000004</v>
      </c>
      <c r="H243" s="101" vm="6220">
        <f ca="1"/>
        <v>5.1028000000000002</v>
      </c>
      <c r="I243" s="102" vm="6221">
        <f ca="1"/>
        <v>1414527480</v>
      </c>
    </row>
    <row r="244" spans="4:9" x14ac:dyDescent="0.3">
      <c r="D244" s="100" vm="1381">
        <f ca="1"/>
        <v>43780</v>
      </c>
      <c r="E244" s="101" vm="6222">
        <f ca="1"/>
        <v>5.1048</v>
      </c>
      <c r="F244" s="101" vm="6223">
        <f ca="1"/>
        <v>5.1938000000000004</v>
      </c>
      <c r="G244" s="101" vm="6224">
        <f ca="1"/>
        <v>5.2965</v>
      </c>
      <c r="H244" s="101" vm="6225">
        <f ca="1"/>
        <v>5.0159000000000002</v>
      </c>
      <c r="I244" s="102" vm="6226">
        <f ca="1"/>
        <v>2411216440</v>
      </c>
    </row>
    <row r="245" spans="4:9" x14ac:dyDescent="0.3">
      <c r="D245" s="100" vm="1387">
        <f ca="1"/>
        <v>43787</v>
      </c>
      <c r="E245" s="101" vm="6227">
        <f ca="1"/>
        <v>5.2723000000000004</v>
      </c>
      <c r="F245" s="101" vm="6228">
        <f ca="1"/>
        <v>5.0972999999999997</v>
      </c>
      <c r="G245" s="101" vm="6229">
        <f ca="1"/>
        <v>5.3638000000000003</v>
      </c>
      <c r="H245" s="101" vm="6230">
        <f ca="1"/>
        <v>5.0942999999999996</v>
      </c>
      <c r="I245" s="102" vm="6231">
        <f ca="1"/>
        <v>1973973280</v>
      </c>
    </row>
    <row r="246" spans="4:9" x14ac:dyDescent="0.3">
      <c r="D246" s="100" vm="1393">
        <f ca="1"/>
        <v>43794</v>
      </c>
      <c r="E246" s="101" vm="6232">
        <f ca="1"/>
        <v>5.4184999999999999</v>
      </c>
      <c r="F246" s="101" vm="6233">
        <f ca="1"/>
        <v>5.4009999999999998</v>
      </c>
      <c r="G246" s="101" vm="6234">
        <f ca="1"/>
        <v>5.5353000000000003</v>
      </c>
      <c r="H246" s="101" vm="6235">
        <f ca="1"/>
        <v>5.3879999999999999</v>
      </c>
      <c r="I246" s="102" vm="6236">
        <f ca="1"/>
        <v>1247538400</v>
      </c>
    </row>
    <row r="247" spans="4:9" x14ac:dyDescent="0.3">
      <c r="D247" s="100" vm="1398">
        <f ca="1"/>
        <v>43801</v>
      </c>
      <c r="E247" s="101" vm="6237">
        <f ca="1"/>
        <v>5.3042999999999996</v>
      </c>
      <c r="F247" s="101" vm="6238">
        <f ca="1"/>
        <v>5.4115000000000002</v>
      </c>
      <c r="G247" s="101" vm="5717">
        <f ca="1"/>
        <v>5.4249999999999998</v>
      </c>
      <c r="H247" s="101" vm="5709">
        <f ca="1"/>
        <v>5.0092999999999996</v>
      </c>
      <c r="I247" s="102" vm="6239">
        <f ca="1"/>
        <v>1530486440</v>
      </c>
    </row>
    <row r="248" spans="4:9" x14ac:dyDescent="0.3">
      <c r="D248" s="100" vm="1404">
        <f ca="1"/>
        <v>43808</v>
      </c>
      <c r="E248" s="101" vm="6240">
        <f ca="1"/>
        <v>5.5998000000000001</v>
      </c>
      <c r="F248" s="101" vm="6241">
        <f ca="1"/>
        <v>5.2812999999999999</v>
      </c>
      <c r="G248" s="101" vm="6242">
        <f ca="1"/>
        <v>5.7244999999999999</v>
      </c>
      <c r="H248" s="101" vm="6243">
        <f ca="1"/>
        <v>5.2725</v>
      </c>
      <c r="I248" s="102" vm="6244">
        <f ca="1"/>
        <v>1546358480</v>
      </c>
    </row>
    <row r="249" spans="4:9" x14ac:dyDescent="0.3">
      <c r="D249" s="100" vm="1410">
        <f ca="1"/>
        <v>43815</v>
      </c>
      <c r="E249" s="101" vm="6245">
        <f ca="1"/>
        <v>5.9843000000000002</v>
      </c>
      <c r="F249" s="101" vm="6246">
        <f ca="1"/>
        <v>5.6475</v>
      </c>
      <c r="G249" s="101" vm="6247">
        <f ca="1"/>
        <v>6.0098000000000003</v>
      </c>
      <c r="H249" s="101" vm="6248">
        <f ca="1"/>
        <v>5.6193</v>
      </c>
      <c r="I249" s="102" vm="6249">
        <f ca="1"/>
        <v>2034699080</v>
      </c>
    </row>
    <row r="250" spans="4:9" x14ac:dyDescent="0.3">
      <c r="D250" s="100" vm="1416">
        <f ca="1"/>
        <v>43822</v>
      </c>
      <c r="E250" s="101" vm="6250">
        <f ca="1"/>
        <v>5.9218000000000002</v>
      </c>
      <c r="F250" s="101" vm="6251">
        <f ca="1"/>
        <v>6.0129999999999999</v>
      </c>
      <c r="G250" s="101" vm="6252">
        <f ca="1"/>
        <v>6.0453000000000001</v>
      </c>
      <c r="H250" s="101" vm="6253">
        <f ca="1"/>
        <v>5.8952999999999998</v>
      </c>
      <c r="I250" s="102" vm="6254">
        <f ca="1"/>
        <v>932284560</v>
      </c>
    </row>
    <row r="251" spans="4:9" x14ac:dyDescent="0.3">
      <c r="D251" s="100" vm="1422">
        <f ca="1"/>
        <v>43829</v>
      </c>
      <c r="E251" s="101" vm="6255">
        <f ca="1"/>
        <v>5.9017999999999997</v>
      </c>
      <c r="F251" s="101" vm="6256">
        <f ca="1"/>
        <v>5.8997999999999999</v>
      </c>
      <c r="G251" s="101" vm="6257">
        <f ca="1"/>
        <v>5.9977999999999998</v>
      </c>
      <c r="H251" s="101" vm="6258">
        <f ca="1"/>
        <v>5.7533000000000003</v>
      </c>
      <c r="I251" s="102" vm="6259">
        <f ca="1"/>
        <v>929174880</v>
      </c>
    </row>
    <row r="252" spans="4:9" x14ac:dyDescent="0.3">
      <c r="D252" s="100" vm="1428">
        <f ca="1"/>
        <v>43836</v>
      </c>
      <c r="E252" s="101" vm="6260">
        <f ca="1"/>
        <v>6.1079999999999997</v>
      </c>
      <c r="F252" s="101" vm="6261">
        <f ca="1"/>
        <v>5.8079999999999998</v>
      </c>
      <c r="G252" s="101" vm="5848">
        <f ca="1"/>
        <v>6.2138</v>
      </c>
      <c r="H252" s="101" vm="6262">
        <f ca="1"/>
        <v>5.7817999999999996</v>
      </c>
      <c r="I252" s="102" vm="6263">
        <f ca="1"/>
        <v>1429822280</v>
      </c>
    </row>
    <row r="253" spans="4:9" x14ac:dyDescent="0.3">
      <c r="D253" s="100" vm="1434">
        <f ca="1"/>
        <v>43843</v>
      </c>
      <c r="E253" s="101" vm="5842">
        <f ca="1"/>
        <v>6.2320000000000002</v>
      </c>
      <c r="F253" s="101" vm="6264">
        <f ca="1"/>
        <v>6.1914999999999996</v>
      </c>
      <c r="G253" s="101" vm="6265">
        <f ca="1"/>
        <v>6.3247</v>
      </c>
      <c r="H253" s="101" vm="6266">
        <f ca="1"/>
        <v>6.1132999999999997</v>
      </c>
      <c r="I253" s="102" vm="6267">
        <f ca="1"/>
        <v>1472001720</v>
      </c>
    </row>
    <row r="254" spans="4:9" x14ac:dyDescent="0.3">
      <c r="D254" s="100" vm="1440">
        <f ca="1"/>
        <v>43851</v>
      </c>
      <c r="E254" s="101" vm="5795">
        <f ca="1"/>
        <v>6.2619999999999996</v>
      </c>
      <c r="F254" s="101" vm="6268">
        <f ca="1"/>
        <v>6.1951000000000001</v>
      </c>
      <c r="G254" s="101" vm="6269">
        <f ca="1"/>
        <v>6.4874999999999998</v>
      </c>
      <c r="H254" s="101" vm="6270">
        <f ca="1"/>
        <v>6.1642999999999999</v>
      </c>
      <c r="I254" s="102" vm="6271">
        <f ca="1"/>
        <v>1068963600</v>
      </c>
    </row>
    <row r="255" spans="4:9" x14ac:dyDescent="0.3">
      <c r="D255" s="100" vm="1446">
        <f ca="1"/>
        <v>43857</v>
      </c>
      <c r="E255" s="101" vm="6272">
        <f ca="1"/>
        <v>5.9108000000000001</v>
      </c>
      <c r="F255" s="101" vm="6273">
        <f ca="1"/>
        <v>5.9560000000000004</v>
      </c>
      <c r="G255" s="101" vm="5767">
        <f ca="1"/>
        <v>6.2317999999999998</v>
      </c>
      <c r="H255" s="101" vm="6274">
        <f ca="1"/>
        <v>5.8057999999999996</v>
      </c>
      <c r="I255" s="102" vm="6275">
        <f ca="1"/>
        <v>1677600800</v>
      </c>
    </row>
    <row r="256" spans="4:9" x14ac:dyDescent="0.3">
      <c r="D256" s="100" vm="1452">
        <f ca="1"/>
        <v>43864</v>
      </c>
      <c r="E256" s="101" vm="5898">
        <f ca="1"/>
        <v>6.2897999999999996</v>
      </c>
      <c r="F256" s="101" vm="6276">
        <f ca="1"/>
        <v>5.8925000000000001</v>
      </c>
      <c r="G256" s="101" vm="6277">
        <f ca="1"/>
        <v>6.3563000000000001</v>
      </c>
      <c r="H256" s="101" vm="6278">
        <f ca="1"/>
        <v>5.8863000000000003</v>
      </c>
      <c r="I256" s="102" vm="6279">
        <f ca="1"/>
        <v>1142730360</v>
      </c>
    </row>
    <row r="257" spans="4:9" x14ac:dyDescent="0.3">
      <c r="D257" s="100" vm="1458">
        <f ca="1"/>
        <v>43871</v>
      </c>
      <c r="E257" s="101" vm="6280">
        <f ca="1"/>
        <v>7.2447999999999997</v>
      </c>
      <c r="F257" s="101" vm="6281">
        <f ca="1"/>
        <v>6.3125</v>
      </c>
      <c r="G257" s="101" vm="6282">
        <f ca="1"/>
        <v>7.3742999999999999</v>
      </c>
      <c r="H257" s="101" vm="6283">
        <f ca="1"/>
        <v>6.3075000000000001</v>
      </c>
      <c r="I257" s="102" vm="6284">
        <f ca="1"/>
        <v>3109676960</v>
      </c>
    </row>
    <row r="258" spans="4:9" x14ac:dyDescent="0.3">
      <c r="D258" s="100" vm="1464">
        <f ca="1"/>
        <v>43879</v>
      </c>
      <c r="E258" s="101" vm="6285">
        <f ca="1"/>
        <v>7.3517999999999999</v>
      </c>
      <c r="F258" s="101" vm="6286">
        <f ca="1"/>
        <v>7.1410999999999998</v>
      </c>
      <c r="G258" s="101" vm="6287">
        <f ca="1"/>
        <v>7.9080000000000004</v>
      </c>
      <c r="H258" s="101" vm="6288">
        <f ca="1"/>
        <v>7.1215000000000002</v>
      </c>
      <c r="I258" s="102" vm="6289">
        <f ca="1"/>
        <v>2889694240</v>
      </c>
    </row>
    <row r="259" spans="4:9" x14ac:dyDescent="0.3">
      <c r="D259" s="100" vm="1470">
        <f ca="1"/>
        <v>43885</v>
      </c>
      <c r="E259" s="101" vm="6290">
        <f ca="1"/>
        <v>6.7518000000000002</v>
      </c>
      <c r="F259" s="101" vm="6291">
        <f ca="1"/>
        <v>6.7548000000000004</v>
      </c>
      <c r="G259" s="101" vm="6292">
        <f ca="1"/>
        <v>7.0468000000000002</v>
      </c>
      <c r="H259" s="101" vm="6293">
        <f ca="1"/>
        <v>6.0448000000000004</v>
      </c>
      <c r="I259" s="102" vm="6294">
        <f ca="1"/>
        <v>4695556240</v>
      </c>
    </row>
    <row r="260" spans="4:9" x14ac:dyDescent="0.3">
      <c r="D260" s="100" vm="1476">
        <f ca="1"/>
        <v>43892</v>
      </c>
      <c r="E260" s="101" vm="6295">
        <f ca="1"/>
        <v>6.6509999999999998</v>
      </c>
      <c r="F260" s="101" vm="6296">
        <f ca="1"/>
        <v>6.9225000000000003</v>
      </c>
      <c r="G260" s="101" vm="6297">
        <f ca="1"/>
        <v>7.1223000000000001</v>
      </c>
      <c r="H260" s="101" vm="6298">
        <f ca="1"/>
        <v>6.45</v>
      </c>
      <c r="I260" s="102" vm="6299">
        <f ca="1"/>
        <v>3194872240</v>
      </c>
    </row>
    <row r="261" spans="4:9" x14ac:dyDescent="0.3">
      <c r="D261" s="100" vm="1482">
        <f ca="1"/>
        <v>43899</v>
      </c>
      <c r="E261" s="101" vm="6300">
        <f ca="1"/>
        <v>6.0209999999999999</v>
      </c>
      <c r="F261" s="101" vm="6301">
        <f ca="1"/>
        <v>5.9974999999999996</v>
      </c>
      <c r="G261" s="101" vm="6302">
        <f ca="1"/>
        <v>6.5270000000000001</v>
      </c>
      <c r="H261" s="101" vm="6303">
        <f ca="1"/>
        <v>5.3949999999999996</v>
      </c>
      <c r="I261" s="102" vm="6304">
        <f ca="1"/>
        <v>3143088160</v>
      </c>
    </row>
    <row r="262" spans="4:9" x14ac:dyDescent="0.3">
      <c r="D262" s="100" vm="1488">
        <f ca="1"/>
        <v>43906</v>
      </c>
      <c r="E262" s="101" vm="6305">
        <f ca="1"/>
        <v>5.1437999999999997</v>
      </c>
      <c r="F262" s="101" vm="6306">
        <f ca="1"/>
        <v>5.3102999999999998</v>
      </c>
      <c r="G262" s="101" vm="6307">
        <f ca="1"/>
        <v>5.758</v>
      </c>
      <c r="H262" s="101" vm="6308">
        <f ca="1"/>
        <v>4.5170000000000003</v>
      </c>
      <c r="I262" s="102" vm="6309">
        <f ca="1"/>
        <v>3999754920</v>
      </c>
    </row>
    <row r="263" spans="4:9" x14ac:dyDescent="0.3">
      <c r="D263" s="100" vm="1494">
        <f ca="1"/>
        <v>43913</v>
      </c>
      <c r="E263" s="101" vm="6310">
        <f ca="1"/>
        <v>6.3182999999999998</v>
      </c>
      <c r="F263" s="101" vm="6311">
        <f ca="1"/>
        <v>5.1428000000000003</v>
      </c>
      <c r="G263" s="101" vm="6312">
        <f ca="1"/>
        <v>6.5778999999999996</v>
      </c>
      <c r="H263" s="101" vm="6313">
        <f ca="1"/>
        <v>4.9630000000000001</v>
      </c>
      <c r="I263" s="102" vm="6314">
        <f ca="1"/>
        <v>3871658520</v>
      </c>
    </row>
    <row r="264" spans="4:9" x14ac:dyDescent="0.3">
      <c r="D264" s="100" vm="1500">
        <f ca="1"/>
        <v>43920</v>
      </c>
      <c r="E264" s="101" vm="6315">
        <f ca="1"/>
        <v>6.0978000000000003</v>
      </c>
      <c r="F264" s="101" vm="6316">
        <f ca="1"/>
        <v>6.3840000000000003</v>
      </c>
      <c r="G264" s="101" vm="5928">
        <f ca="1"/>
        <v>6.8849999999999998</v>
      </c>
      <c r="H264" s="101" vm="6317">
        <f ca="1"/>
        <v>5.9598000000000004</v>
      </c>
      <c r="I264" s="102" vm="6318">
        <f ca="1"/>
        <v>3527046560</v>
      </c>
    </row>
    <row r="265" spans="4:9" x14ac:dyDescent="0.3">
      <c r="D265" s="100" vm="1506">
        <f ca="1"/>
        <v>43927</v>
      </c>
      <c r="E265" s="101" vm="6319">
        <f ca="1"/>
        <v>6.5738000000000003</v>
      </c>
      <c r="F265" s="101" vm="6320">
        <f ca="1"/>
        <v>6.3810000000000002</v>
      </c>
      <c r="G265" s="101" vm="6321">
        <f ca="1"/>
        <v>6.9562999999999997</v>
      </c>
      <c r="H265" s="101" vm="6322">
        <f ca="1"/>
        <v>6.3232999999999997</v>
      </c>
      <c r="I265" s="102" vm="6323">
        <f ca="1"/>
        <v>2568369920</v>
      </c>
    </row>
    <row r="266" spans="4:9" x14ac:dyDescent="0.3">
      <c r="D266" s="100" vm="1512">
        <f ca="1"/>
        <v>43934</v>
      </c>
      <c r="E266" s="101" vm="6324">
        <f ca="1"/>
        <v>7.3079999999999998</v>
      </c>
      <c r="F266" s="101" vm="6325">
        <f ca="1"/>
        <v>6.5137999999999998</v>
      </c>
      <c r="G266" s="101" vm="6326">
        <f ca="1"/>
        <v>7.4749999999999996</v>
      </c>
      <c r="H266" s="101" vm="6327">
        <f ca="1"/>
        <v>6.4249999999999998</v>
      </c>
      <c r="I266" s="102" vm="6328">
        <f ca="1"/>
        <v>2565408600</v>
      </c>
    </row>
    <row r="267" spans="4:9" x14ac:dyDescent="0.3">
      <c r="D267" s="100" vm="1518">
        <f ca="1"/>
        <v>43941</v>
      </c>
      <c r="E267" s="101" vm="6329">
        <f ca="1"/>
        <v>7.2397999999999998</v>
      </c>
      <c r="F267" s="101" vm="6330">
        <f ca="1"/>
        <v>7.181</v>
      </c>
      <c r="G267" s="101" vm="6331">
        <f ca="1"/>
        <v>7.3375000000000004</v>
      </c>
      <c r="H267" s="101" vm="6332">
        <f ca="1"/>
        <v>6.6778000000000004</v>
      </c>
      <c r="I267" s="102" vm="6333">
        <f ca="1"/>
        <v>2426258240</v>
      </c>
    </row>
    <row r="268" spans="4:9" x14ac:dyDescent="0.3">
      <c r="D268" s="100" vm="1524">
        <f ca="1"/>
        <v>43948</v>
      </c>
      <c r="E268" s="101" vm="6334">
        <f ca="1"/>
        <v>7.0694999999999997</v>
      </c>
      <c r="F268" s="101" vm="6335">
        <f ca="1"/>
        <v>7.3747999999999996</v>
      </c>
      <c r="G268" s="101" vm="6336">
        <f ca="1"/>
        <v>7.6050000000000004</v>
      </c>
      <c r="H268" s="101" vm="6337">
        <f ca="1"/>
        <v>7.0210999999999997</v>
      </c>
      <c r="I268" s="102" vm="6338">
        <f ca="1"/>
        <v>2016809040</v>
      </c>
    </row>
    <row r="269" spans="4:9" x14ac:dyDescent="0.3">
      <c r="D269" s="100" vm="1530">
        <f ca="1"/>
        <v>43955</v>
      </c>
      <c r="E269" s="101" vm="6339">
        <f ca="1"/>
        <v>7.8125</v>
      </c>
      <c r="F269" s="101" vm="6340">
        <f ca="1"/>
        <v>7.0220000000000002</v>
      </c>
      <c r="G269" s="101" vm="6341">
        <f ca="1"/>
        <v>7.8188000000000004</v>
      </c>
      <c r="H269" s="101" vm="6340">
        <f ca="1"/>
        <v>7.0220000000000002</v>
      </c>
      <c r="I269" s="102" vm="6342">
        <f ca="1"/>
        <v>1720010720</v>
      </c>
    </row>
    <row r="270" spans="4:9" x14ac:dyDescent="0.3">
      <c r="D270" s="100" vm="1536">
        <f ca="1"/>
        <v>43962</v>
      </c>
      <c r="E270" s="101" vm="6343">
        <f ca="1"/>
        <v>8.4908000000000001</v>
      </c>
      <c r="F270" s="101" vm="6344">
        <f ca="1"/>
        <v>7.8075000000000001</v>
      </c>
      <c r="G270" s="101" vm="6345">
        <f ca="1"/>
        <v>8.5005000000000006</v>
      </c>
      <c r="H270" s="101" vm="6346">
        <f ca="1"/>
        <v>7.5948000000000002</v>
      </c>
      <c r="I270" s="102" vm="6347">
        <f ca="1"/>
        <v>3159646000</v>
      </c>
    </row>
    <row r="271" spans="4:9" x14ac:dyDescent="0.3">
      <c r="D271" s="100" vm="1542">
        <f ca="1"/>
        <v>43969</v>
      </c>
      <c r="E271" s="101" vm="6348">
        <f ca="1"/>
        <v>9.0263000000000009</v>
      </c>
      <c r="F271" s="101" vm="6349">
        <f ca="1"/>
        <v>8.7605000000000004</v>
      </c>
      <c r="G271" s="101" vm="6350">
        <f ca="1"/>
        <v>9.093</v>
      </c>
      <c r="H271" s="101" vm="6351">
        <f ca="1"/>
        <v>8.6805000000000003</v>
      </c>
      <c r="I271" s="102" vm="6352">
        <f ca="1"/>
        <v>3860914240</v>
      </c>
    </row>
    <row r="272" spans="4:9" x14ac:dyDescent="0.3">
      <c r="D272" s="100" vm="1548">
        <f ca="1"/>
        <v>43977</v>
      </c>
      <c r="E272" s="101" vm="6353">
        <f ca="1"/>
        <v>8.8755000000000006</v>
      </c>
      <c r="F272" s="101" vm="6354">
        <f ca="1"/>
        <v>9.1568000000000005</v>
      </c>
      <c r="G272" s="101" vm="6355">
        <f ca="1"/>
        <v>9.1816999999999993</v>
      </c>
      <c r="H272" s="101" vm="6356">
        <f ca="1"/>
        <v>7.9968000000000004</v>
      </c>
      <c r="I272" s="102" vm="6357">
        <f ca="1"/>
        <v>3406733480</v>
      </c>
    </row>
    <row r="273" spans="4:9" x14ac:dyDescent="0.3">
      <c r="D273" s="100" vm="1554">
        <f ca="1"/>
        <v>43983</v>
      </c>
      <c r="E273" s="101" vm="6358">
        <f ca="1"/>
        <v>8.92</v>
      </c>
      <c r="F273" s="101" vm="6359">
        <f ca="1"/>
        <v>8.8332999999999995</v>
      </c>
      <c r="G273" s="101" vm="6360">
        <f ca="1"/>
        <v>8.9969999999999999</v>
      </c>
      <c r="H273" s="101" vm="6361">
        <f ca="1"/>
        <v>8.6579999999999995</v>
      </c>
      <c r="I273" s="102" vm="6362">
        <f ca="1"/>
        <v>2050255000</v>
      </c>
    </row>
    <row r="274" spans="4:9" x14ac:dyDescent="0.3">
      <c r="D274" s="100" vm="1560">
        <f ca="1"/>
        <v>43990</v>
      </c>
      <c r="E274" s="101" vm="6363">
        <f ca="1"/>
        <v>8.9324999999999992</v>
      </c>
      <c r="F274" s="101" vm="6364">
        <f ca="1"/>
        <v>8.8773</v>
      </c>
      <c r="G274" s="101" vm="6365">
        <f ca="1"/>
        <v>9.5</v>
      </c>
      <c r="H274" s="101" vm="6366">
        <f ca="1"/>
        <v>8.6858000000000004</v>
      </c>
      <c r="I274" s="102" vm="6367">
        <f ca="1"/>
        <v>2617364200</v>
      </c>
    </row>
    <row r="275" spans="4:9" x14ac:dyDescent="0.3">
      <c r="D275" s="100" vm="1566">
        <f ca="1"/>
        <v>43997</v>
      </c>
      <c r="E275" s="101" vm="6368">
        <f ca="1"/>
        <v>9.2613000000000003</v>
      </c>
      <c r="F275" s="101" vm="6369">
        <f ca="1"/>
        <v>8.8153000000000006</v>
      </c>
      <c r="G275" s="101" vm="6370">
        <f ca="1"/>
        <v>9.4450000000000003</v>
      </c>
      <c r="H275" s="101" vm="6371">
        <f ca="1"/>
        <v>8.7438000000000002</v>
      </c>
      <c r="I275" s="102" vm="6372">
        <f ca="1"/>
        <v>2113695400</v>
      </c>
    </row>
    <row r="276" spans="4:9" x14ac:dyDescent="0.3">
      <c r="D276" s="100" vm="1572">
        <f ca="1"/>
        <v>44004</v>
      </c>
      <c r="E276" s="101" vm="6373">
        <f ca="1"/>
        <v>9.1549999999999994</v>
      </c>
      <c r="F276" s="101" vm="6374">
        <f ca="1"/>
        <v>9.3000000000000007</v>
      </c>
      <c r="G276" s="101" vm="6375">
        <f ca="1"/>
        <v>9.6425000000000001</v>
      </c>
      <c r="H276" s="101" vm="6376">
        <f ca="1"/>
        <v>9.125</v>
      </c>
      <c r="I276" s="102" vm="6377">
        <f ca="1"/>
        <v>2183130920</v>
      </c>
    </row>
    <row r="277" spans="4:9" x14ac:dyDescent="0.3">
      <c r="D277" s="100" vm="1578">
        <f ca="1"/>
        <v>44011</v>
      </c>
      <c r="E277" s="101" vm="6378">
        <f ca="1"/>
        <v>9.6122999999999994</v>
      </c>
      <c r="F277" s="101" vm="6379">
        <f ca="1"/>
        <v>9.1698000000000004</v>
      </c>
      <c r="G277" s="101" vm="6380">
        <f ca="1"/>
        <v>9.7375000000000007</v>
      </c>
      <c r="H277" s="101" vm="6381">
        <f ca="1"/>
        <v>8.9</v>
      </c>
      <c r="I277" s="102" vm="6382">
        <f ca="1"/>
        <v>1399303000</v>
      </c>
    </row>
    <row r="278" spans="4:9" x14ac:dyDescent="0.3">
      <c r="D278" s="100" vm="1584">
        <f ca="1"/>
        <v>44018</v>
      </c>
      <c r="E278" s="101" vm="6383">
        <f ca="1"/>
        <v>10.4793</v>
      </c>
      <c r="F278" s="101" vm="6384">
        <f ca="1"/>
        <v>9.7417999999999996</v>
      </c>
      <c r="G278" s="101" vm="6385">
        <f ca="1"/>
        <v>10.6553</v>
      </c>
      <c r="H278" s="101" vm="6386">
        <f ca="1"/>
        <v>9.7125000000000004</v>
      </c>
      <c r="I278" s="102" vm="6387">
        <f ca="1"/>
        <v>2020077440</v>
      </c>
    </row>
    <row r="279" spans="4:9" x14ac:dyDescent="0.3">
      <c r="D279" s="100" vm="1590">
        <f ca="1"/>
        <v>44025</v>
      </c>
      <c r="E279" s="101" vm="6388">
        <f ca="1"/>
        <v>10.201499999999999</v>
      </c>
      <c r="F279" s="101" vm="6389">
        <f ca="1"/>
        <v>10.595000000000001</v>
      </c>
      <c r="G279" s="101" vm="6390">
        <f ca="1"/>
        <v>10.792199999999999</v>
      </c>
      <c r="H279" s="101" vm="6391">
        <f ca="1"/>
        <v>9.7855000000000008</v>
      </c>
      <c r="I279" s="102" vm="6392">
        <f ca="1"/>
        <v>2012119880</v>
      </c>
    </row>
    <row r="280" spans="4:9" x14ac:dyDescent="0.3">
      <c r="D280" s="100" vm="1596">
        <f ca="1"/>
        <v>44032</v>
      </c>
      <c r="E280" s="101" vm="6393">
        <f ca="1"/>
        <v>10.1945</v>
      </c>
      <c r="F280" s="101" vm="6394">
        <f ca="1"/>
        <v>10.2743</v>
      </c>
      <c r="G280" s="101" vm="6395">
        <f ca="1"/>
        <v>10.602499999999999</v>
      </c>
      <c r="H280" s="101" vm="6396">
        <f ca="1"/>
        <v>9.7769999999999992</v>
      </c>
      <c r="I280" s="102" vm="6397">
        <f ca="1"/>
        <v>1808310000</v>
      </c>
    </row>
    <row r="281" spans="4:9" x14ac:dyDescent="0.3">
      <c r="D281" s="100" vm="1602">
        <f ca="1"/>
        <v>44039</v>
      </c>
      <c r="E281" s="101" vm="6398">
        <f ca="1"/>
        <v>10.614800000000001</v>
      </c>
      <c r="F281" s="101" vm="6399">
        <f ca="1"/>
        <v>10.2323</v>
      </c>
      <c r="G281" s="101" vm="6400">
        <f ca="1"/>
        <v>10.766500000000001</v>
      </c>
      <c r="H281" s="101" vm="6401">
        <f ca="1"/>
        <v>10.209300000000001</v>
      </c>
      <c r="I281" s="102" vm="6402">
        <f ca="1"/>
        <v>1525183520</v>
      </c>
    </row>
    <row r="282" spans="4:9" x14ac:dyDescent="0.3">
      <c r="D282" s="100" vm="1608">
        <f ca="1"/>
        <v>44046</v>
      </c>
      <c r="E282" s="101" vm="6403">
        <f ca="1"/>
        <v>11.1995</v>
      </c>
      <c r="F282" s="101" vm="6404">
        <f ca="1"/>
        <v>10.7325</v>
      </c>
      <c r="G282" s="101" vm="6405">
        <f ca="1"/>
        <v>11.504799999999999</v>
      </c>
      <c r="H282" s="101" vm="6406">
        <f ca="1"/>
        <v>10.715299999999999</v>
      </c>
      <c r="I282" s="102" vm="6407">
        <f ca="1"/>
        <v>1552769520</v>
      </c>
    </row>
    <row r="283" spans="4:9" x14ac:dyDescent="0.3">
      <c r="D283" s="100" vm="1614">
        <f ca="1"/>
        <v>44053</v>
      </c>
      <c r="E283" s="101" vm="6408">
        <f ca="1"/>
        <v>11.564</v>
      </c>
      <c r="F283" s="101" vm="6409">
        <f ca="1"/>
        <v>11.334300000000001</v>
      </c>
      <c r="G283" s="101" vm="6410">
        <f ca="1"/>
        <v>11.7218</v>
      </c>
      <c r="H283" s="101" vm="6411">
        <f ca="1"/>
        <v>10.7958</v>
      </c>
      <c r="I283" s="102" vm="6412">
        <f ca="1"/>
        <v>1984240800</v>
      </c>
    </row>
    <row r="284" spans="4:9" x14ac:dyDescent="0.3">
      <c r="D284" s="100" vm="1620">
        <f ca="1"/>
        <v>44060</v>
      </c>
      <c r="E284" s="101" vm="6413">
        <f ca="1"/>
        <v>12.6835</v>
      </c>
      <c r="F284" s="101" vm="6414">
        <f ca="1"/>
        <v>11.8513</v>
      </c>
      <c r="G284" s="101" vm="6415">
        <f ca="1"/>
        <v>12.8087</v>
      </c>
      <c r="H284" s="101" vm="6416">
        <f ca="1"/>
        <v>11.8172</v>
      </c>
      <c r="I284" s="102" vm="6417">
        <f ca="1"/>
        <v>3594897400</v>
      </c>
    </row>
    <row r="285" spans="4:9" x14ac:dyDescent="0.3">
      <c r="D285" s="100" vm="1626">
        <f ca="1"/>
        <v>44067</v>
      </c>
      <c r="E285" s="101" vm="6418">
        <f ca="1"/>
        <v>13.1478</v>
      </c>
      <c r="F285" s="101" vm="6419">
        <f ca="1"/>
        <v>12.883800000000001</v>
      </c>
      <c r="G285" s="101" vm="6420">
        <f ca="1"/>
        <v>13.148</v>
      </c>
      <c r="H285" s="101" vm="6421">
        <f ca="1"/>
        <v>12.5075</v>
      </c>
      <c r="I285" s="102" vm="6422">
        <f ca="1"/>
        <v>1947549800</v>
      </c>
    </row>
    <row r="286" spans="4:9" x14ac:dyDescent="0.3">
      <c r="D286" s="100" vm="1632">
        <f ca="1"/>
        <v>44074</v>
      </c>
      <c r="E286" s="101" vm="6423">
        <f ca="1"/>
        <v>12.6225</v>
      </c>
      <c r="F286" s="101" vm="6424">
        <f ca="1"/>
        <v>13.1828</v>
      </c>
      <c r="G286" s="101" vm="6425">
        <f ca="1"/>
        <v>14.726699999999999</v>
      </c>
      <c r="H286" s="101" vm="6426">
        <f ca="1"/>
        <v>11.704800000000001</v>
      </c>
      <c r="I286" s="102" vm="6427">
        <f ca="1"/>
        <v>4253656400</v>
      </c>
    </row>
    <row r="287" spans="4:9" x14ac:dyDescent="0.3">
      <c r="D287" s="100" vm="1638">
        <f ca="1"/>
        <v>44082</v>
      </c>
      <c r="E287" s="101" vm="6428">
        <f ca="1"/>
        <v>12.1645</v>
      </c>
      <c r="F287" s="101" vm="6429">
        <f ca="1"/>
        <v>11.734500000000001</v>
      </c>
      <c r="G287" s="101" vm="6430">
        <f ca="1"/>
        <v>13.065300000000001</v>
      </c>
      <c r="H287" s="101" vm="6431">
        <f ca="1"/>
        <v>11.7043</v>
      </c>
      <c r="I287" s="102" vm="6432">
        <f ca="1"/>
        <v>2849165760</v>
      </c>
    </row>
    <row r="288" spans="4:9" x14ac:dyDescent="0.3">
      <c r="D288" s="100" vm="1644">
        <f ca="1"/>
        <v>44088</v>
      </c>
      <c r="E288" s="101" vm="6433">
        <f ca="1"/>
        <v>12.189299999999999</v>
      </c>
      <c r="F288" s="101" vm="6434">
        <f ca="1"/>
        <v>13.081</v>
      </c>
      <c r="G288" s="101" vm="6435">
        <f ca="1"/>
        <v>13.315</v>
      </c>
      <c r="H288" s="101" vm="6436">
        <f ca="1"/>
        <v>11.988799999999999</v>
      </c>
      <c r="I288" s="102" vm="6437">
        <f ca="1"/>
        <v>3959882840</v>
      </c>
    </row>
    <row r="289" spans="4:9" x14ac:dyDescent="0.3">
      <c r="D289" s="100" vm="1650">
        <f ca="1"/>
        <v>44095</v>
      </c>
      <c r="E289" s="101" vm="6438">
        <f ca="1"/>
        <v>12.873799999999999</v>
      </c>
      <c r="F289" s="101" vm="6439">
        <f ca="1"/>
        <v>11.925000000000001</v>
      </c>
      <c r="G289" s="101" vm="6440">
        <f ca="1"/>
        <v>12.8835</v>
      </c>
      <c r="H289" s="101" vm="6441">
        <f ca="1"/>
        <v>11.904500000000001</v>
      </c>
      <c r="I289" s="102" vm="6442">
        <f ca="1"/>
        <v>3316856320</v>
      </c>
    </row>
    <row r="290" spans="4:9" x14ac:dyDescent="0.3">
      <c r="D290" s="100" vm="1656">
        <f ca="1"/>
        <v>44102</v>
      </c>
      <c r="E290" s="101" vm="6443">
        <f ca="1"/>
        <v>13.0623</v>
      </c>
      <c r="F290" s="101" vm="6444">
        <f ca="1"/>
        <v>13.0403</v>
      </c>
      <c r="G290" s="101" vm="6445">
        <f ca="1"/>
        <v>13.762700000000001</v>
      </c>
      <c r="H290" s="101" vm="6446">
        <f ca="1"/>
        <v>12.75</v>
      </c>
      <c r="I290" s="102" vm="6447">
        <f ca="1"/>
        <v>2946837480</v>
      </c>
    </row>
    <row r="291" spans="4:9" x14ac:dyDescent="0.3">
      <c r="D291" s="100" vm="1662">
        <f ca="1"/>
        <v>44109</v>
      </c>
      <c r="E291" s="101" vm="6448">
        <f ca="1"/>
        <v>13.7628</v>
      </c>
      <c r="F291" s="101" vm="6449">
        <f ca="1"/>
        <v>13.236000000000001</v>
      </c>
      <c r="G291" s="101" vm="6450">
        <f ca="1"/>
        <v>14.141999999999999</v>
      </c>
      <c r="H291" s="101" vm="6451">
        <f ca="1"/>
        <v>13.222799999999999</v>
      </c>
      <c r="I291" s="102" vm="6452">
        <f ca="1"/>
        <v>2392258400</v>
      </c>
    </row>
    <row r="292" spans="4:9" x14ac:dyDescent="0.3">
      <c r="D292" s="100" vm="1668">
        <f ca="1"/>
        <v>44116</v>
      </c>
      <c r="E292" s="101" vm="6453">
        <f ca="1"/>
        <v>13.811500000000001</v>
      </c>
      <c r="F292" s="101" vm="6454">
        <f ca="1"/>
        <v>13.9895</v>
      </c>
      <c r="G292" s="101" vm="6455">
        <f ca="1"/>
        <v>14.3485</v>
      </c>
      <c r="H292" s="101" vm="6456">
        <f ca="1"/>
        <v>13.767799999999999</v>
      </c>
      <c r="I292" s="102" vm="6457">
        <f ca="1"/>
        <v>1548373520</v>
      </c>
    </row>
    <row r="293" spans="4:9" x14ac:dyDescent="0.3">
      <c r="D293" s="100" vm="1674">
        <f ca="1"/>
        <v>44123</v>
      </c>
      <c r="E293" s="101" vm="6458">
        <f ca="1"/>
        <v>13.590299999999999</v>
      </c>
      <c r="F293" s="101" vm="6459">
        <f ca="1"/>
        <v>13.902900000000001</v>
      </c>
      <c r="G293" s="101" vm="6460">
        <f ca="1"/>
        <v>13.983499999999999</v>
      </c>
      <c r="H293" s="101" vm="6461">
        <f ca="1"/>
        <v>13.2318</v>
      </c>
      <c r="I293" s="102" vm="6462">
        <f ca="1"/>
        <v>1256545320</v>
      </c>
    </row>
    <row r="294" spans="4:9" x14ac:dyDescent="0.3">
      <c r="D294" s="100" vm="1680">
        <f ca="1"/>
        <v>44130</v>
      </c>
      <c r="E294" s="101" vm="6463">
        <f ca="1"/>
        <v>12.534000000000001</v>
      </c>
      <c r="F294" s="101" vm="6464">
        <f ca="1"/>
        <v>13.427</v>
      </c>
      <c r="G294" s="101" vm="6465">
        <f ca="1"/>
        <v>13.6928</v>
      </c>
      <c r="H294" s="101" vm="3214">
        <f ca="1"/>
        <v>12.3</v>
      </c>
      <c r="I294" s="102" vm="6466">
        <f ca="1"/>
        <v>1697406240</v>
      </c>
    </row>
    <row r="295" spans="4:9" x14ac:dyDescent="0.3">
      <c r="D295" s="100" vm="1686">
        <f ca="1"/>
        <v>44137</v>
      </c>
      <c r="E295" s="101" vm="6467">
        <f ca="1"/>
        <v>14.561999999999999</v>
      </c>
      <c r="F295" s="101" vm="6468">
        <f ca="1"/>
        <v>12.6578</v>
      </c>
      <c r="G295" s="101" vm="6469">
        <f ca="1"/>
        <v>14.588800000000001</v>
      </c>
      <c r="H295" s="101" vm="6470">
        <f ca="1"/>
        <v>12.395</v>
      </c>
      <c r="I295" s="102" vm="6471">
        <f ca="1"/>
        <v>1673286760</v>
      </c>
    </row>
    <row r="296" spans="4:9" x14ac:dyDescent="0.3">
      <c r="D296" s="100" vm="1692">
        <f ca="1"/>
        <v>44144</v>
      </c>
      <c r="E296" s="101" vm="6472">
        <f ca="1"/>
        <v>13.297000000000001</v>
      </c>
      <c r="F296" s="101" vm="6473">
        <f ca="1"/>
        <v>14.5525</v>
      </c>
      <c r="G296" s="101" vm="6474">
        <f ca="1"/>
        <v>14.6915</v>
      </c>
      <c r="H296" s="101" vm="6475">
        <f ca="1"/>
        <v>12.628299999999999</v>
      </c>
      <c r="I296" s="102" vm="6476">
        <f ca="1"/>
        <v>2339939040</v>
      </c>
    </row>
    <row r="297" spans="4:9" x14ac:dyDescent="0.3">
      <c r="D297" s="100" vm="1697">
        <f ca="1"/>
        <v>44151</v>
      </c>
      <c r="E297" s="101" vm="6477">
        <f ca="1"/>
        <v>13.0878</v>
      </c>
      <c r="F297" s="101" vm="6478">
        <f ca="1"/>
        <v>13.172499999999999</v>
      </c>
      <c r="G297" s="101" vm="6479">
        <f ca="1"/>
        <v>13.6495</v>
      </c>
      <c r="H297" s="101" vm="6480">
        <f ca="1"/>
        <v>13.065</v>
      </c>
      <c r="I297" s="102" vm="6481">
        <f ca="1"/>
        <v>2057367280</v>
      </c>
    </row>
    <row r="298" spans="4:9" x14ac:dyDescent="0.3">
      <c r="D298" s="100" vm="1703">
        <f ca="1"/>
        <v>44158</v>
      </c>
      <c r="E298" s="101" vm="6482">
        <f ca="1"/>
        <v>13.2613</v>
      </c>
      <c r="F298" s="101" vm="6483">
        <f ca="1"/>
        <v>13.171099999999999</v>
      </c>
      <c r="G298" s="101" vm="6484">
        <f ca="1"/>
        <v>13.407500000000001</v>
      </c>
      <c r="H298" s="101" vm="6485">
        <f ca="1"/>
        <v>12.885</v>
      </c>
      <c r="I298" s="102" vm="6486">
        <f ca="1"/>
        <v>1131039720</v>
      </c>
    </row>
    <row r="299" spans="4:9" x14ac:dyDescent="0.3">
      <c r="D299" s="100" vm="1709">
        <f ca="1"/>
        <v>44165</v>
      </c>
      <c r="E299" s="101" vm="6487">
        <f ca="1"/>
        <v>13.558299999999999</v>
      </c>
      <c r="F299" s="101" vm="6488">
        <f ca="1"/>
        <v>13.265000000000001</v>
      </c>
      <c r="G299" s="101" vm="6489">
        <f ca="1"/>
        <v>13.673400000000001</v>
      </c>
      <c r="H299" s="101" vm="6490">
        <f ca="1"/>
        <v>12.9724</v>
      </c>
      <c r="I299" s="102" vm="6491">
        <f ca="1"/>
        <v>1262694280</v>
      </c>
    </row>
    <row r="300" spans="4:9" x14ac:dyDescent="0.3">
      <c r="D300" s="100" vm="1713">
        <f ca="1"/>
        <v>44172</v>
      </c>
      <c r="E300" s="101" vm="6492">
        <f ca="1"/>
        <v>13.013299999999999</v>
      </c>
      <c r="F300" s="101" vm="6493">
        <f ca="1"/>
        <v>13.6013</v>
      </c>
      <c r="G300" s="101" vm="6494">
        <f ca="1"/>
        <v>13.731299999999999</v>
      </c>
      <c r="H300" s="101" vm="6495">
        <f ca="1"/>
        <v>12.823</v>
      </c>
      <c r="I300" s="102" vm="6496">
        <f ca="1"/>
        <v>1308602840</v>
      </c>
    </row>
    <row r="301" spans="4:9" x14ac:dyDescent="0.3">
      <c r="D301" s="100" vm="1719">
        <f ca="1"/>
        <v>44179</v>
      </c>
      <c r="E301" s="101" vm="6497">
        <f ca="1"/>
        <v>13.272</v>
      </c>
      <c r="F301" s="101" vm="6498">
        <f ca="1"/>
        <v>13.087899999999999</v>
      </c>
      <c r="G301" s="101" vm="6499">
        <f ca="1"/>
        <v>13.464</v>
      </c>
      <c r="H301" s="101" vm="6500">
        <f ca="1"/>
        <v>13.070499999999999</v>
      </c>
      <c r="I301" s="102" vm="6501">
        <f ca="1"/>
        <v>1249809040</v>
      </c>
    </row>
    <row r="302" spans="4:9" x14ac:dyDescent="0.3">
      <c r="D302" s="100" vm="1725">
        <f ca="1"/>
        <v>44186</v>
      </c>
      <c r="E302" s="101" vm="6502">
        <f ca="1"/>
        <v>12.9938</v>
      </c>
      <c r="F302" s="101" vm="6503">
        <f ca="1"/>
        <v>13.0748</v>
      </c>
      <c r="G302" s="101" vm="6504">
        <f ca="1"/>
        <v>13.37</v>
      </c>
      <c r="H302" s="101" vm="6505">
        <f ca="1"/>
        <v>12.938700000000001</v>
      </c>
      <c r="I302" s="102" vm="6506">
        <f ca="1"/>
        <v>763913160</v>
      </c>
    </row>
    <row r="303" spans="4:9" x14ac:dyDescent="0.3">
      <c r="D303" s="100" vm="1731">
        <f ca="1"/>
        <v>44193</v>
      </c>
      <c r="E303" s="101" vm="6507">
        <f ca="1"/>
        <v>13.055</v>
      </c>
      <c r="F303" s="101" vm="6508">
        <f ca="1"/>
        <v>13.0625</v>
      </c>
      <c r="G303" s="101" vm="6509">
        <f ca="1"/>
        <v>13.213800000000001</v>
      </c>
      <c r="H303" s="101" vm="6510">
        <f ca="1"/>
        <v>12.763199999999999</v>
      </c>
      <c r="I303" s="102" vm="6511">
        <f ca="1"/>
        <v>795932080</v>
      </c>
    </row>
    <row r="304" spans="4:9" x14ac:dyDescent="0.3">
      <c r="D304" s="100" vm="1737">
        <f ca="1"/>
        <v>44200</v>
      </c>
      <c r="E304" s="101" vm="6512">
        <f ca="1"/>
        <v>13.2768</v>
      </c>
      <c r="F304" s="101" vm="6513">
        <f ca="1"/>
        <v>13.1043</v>
      </c>
      <c r="G304" s="101" vm="6514">
        <f ca="1"/>
        <v>13.6525</v>
      </c>
      <c r="H304" s="101" vm="6515">
        <f ca="1"/>
        <v>12.586</v>
      </c>
      <c r="I304" s="102" vm="6516">
        <f ca="1"/>
        <v>2203239520</v>
      </c>
    </row>
    <row r="305" spans="4:9" x14ac:dyDescent="0.3">
      <c r="D305" s="100" vm="1743">
        <f ca="1"/>
        <v>44207</v>
      </c>
      <c r="E305" s="101" vm="6517">
        <f ca="1"/>
        <v>12.859500000000001</v>
      </c>
      <c r="F305" s="101" vm="6518">
        <f ca="1"/>
        <v>13.418799999999999</v>
      </c>
      <c r="G305" s="101" vm="6519">
        <f ca="1"/>
        <v>13.961</v>
      </c>
      <c r="H305" s="101" vm="6520">
        <f ca="1"/>
        <v>12.8485</v>
      </c>
      <c r="I305" s="102" vm="6521">
        <f ca="1"/>
        <v>1581436520</v>
      </c>
    </row>
    <row r="306" spans="4:9" x14ac:dyDescent="0.3">
      <c r="D306" s="100" vm="1749">
        <f ca="1"/>
        <v>44215</v>
      </c>
      <c r="E306" s="101" vm="6522">
        <f ca="1"/>
        <v>13.7125</v>
      </c>
      <c r="F306" s="101" vm="6523">
        <f ca="1"/>
        <v>13.016299999999999</v>
      </c>
      <c r="G306" s="101" vm="6524">
        <f ca="1"/>
        <v>13.9994</v>
      </c>
      <c r="H306" s="101" vm="6525">
        <f ca="1"/>
        <v>12.843999999999999</v>
      </c>
      <c r="I306" s="102" vm="6526">
        <f ca="1"/>
        <v>1069915920</v>
      </c>
    </row>
    <row r="307" spans="4:9" x14ac:dyDescent="0.3">
      <c r="D307" s="100" vm="1755">
        <f ca="1"/>
        <v>44221</v>
      </c>
      <c r="E307" s="101" vm="6527">
        <f ca="1"/>
        <v>12.989800000000001</v>
      </c>
      <c r="F307" s="101" vm="6528">
        <f ca="1"/>
        <v>13.7818</v>
      </c>
      <c r="G307" s="101" vm="6529">
        <f ca="1"/>
        <v>13.8285</v>
      </c>
      <c r="H307" s="101" vm="6530">
        <f ca="1"/>
        <v>12.793799999999999</v>
      </c>
      <c r="I307" s="102" vm="6531">
        <f ca="1"/>
        <v>1286232400</v>
      </c>
    </row>
    <row r="308" spans="4:9" x14ac:dyDescent="0.3">
      <c r="D308" s="100" vm="1761">
        <f ca="1"/>
        <v>44228</v>
      </c>
      <c r="E308" s="101" vm="6532">
        <f ca="1"/>
        <v>13.590999999999999</v>
      </c>
      <c r="F308" s="101" vm="6533">
        <f ca="1"/>
        <v>13.0533</v>
      </c>
      <c r="G308" s="101" vm="6534">
        <f ca="1"/>
        <v>13.931800000000001</v>
      </c>
      <c r="H308" s="101" vm="6535">
        <f ca="1"/>
        <v>12.902799999999999</v>
      </c>
      <c r="I308" s="102" vm="6536">
        <f ca="1"/>
        <v>1053544000</v>
      </c>
    </row>
    <row r="309" spans="4:9" x14ac:dyDescent="0.3">
      <c r="D309" s="100" vm="1767">
        <f ca="1"/>
        <v>44235</v>
      </c>
      <c r="E309" s="101" vm="6537">
        <f ca="1"/>
        <v>14.9613</v>
      </c>
      <c r="F309" s="101" vm="6538">
        <f ca="1"/>
        <v>13.7272</v>
      </c>
      <c r="G309" s="101" vm="6539">
        <f ca="1"/>
        <v>15.2911</v>
      </c>
      <c r="H309" s="101" vm="6538">
        <f ca="1"/>
        <v>13.7272</v>
      </c>
      <c r="I309" s="102" vm="6540">
        <f ca="1"/>
        <v>2033120480</v>
      </c>
    </row>
    <row r="310" spans="4:9" x14ac:dyDescent="0.3">
      <c r="D310" s="100" vm="1773">
        <f ca="1"/>
        <v>44243</v>
      </c>
      <c r="E310" s="101" vm="6541">
        <f ca="1"/>
        <v>14.926500000000001</v>
      </c>
      <c r="F310" s="101" vm="6542">
        <f ca="1"/>
        <v>15.064299999999999</v>
      </c>
      <c r="G310" s="101" vm="6543">
        <f ca="1"/>
        <v>15.3725</v>
      </c>
      <c r="H310" s="101" vm="6544">
        <f ca="1"/>
        <v>14.574999999999999</v>
      </c>
      <c r="I310" s="102" vm="6545">
        <f ca="1"/>
        <v>1103463120</v>
      </c>
    </row>
    <row r="311" spans="4:9" x14ac:dyDescent="0.3">
      <c r="D311" s="100" vm="1779">
        <f ca="1"/>
        <v>44249</v>
      </c>
      <c r="E311" s="101" vm="6546">
        <f ca="1"/>
        <v>13.714499999999999</v>
      </c>
      <c r="F311" s="101" vm="6547">
        <f ca="1"/>
        <v>14.774800000000001</v>
      </c>
      <c r="G311" s="101" vm="6548">
        <f ca="1"/>
        <v>15.1333</v>
      </c>
      <c r="H311" s="101" vm="6549">
        <f ca="1"/>
        <v>13.2163</v>
      </c>
      <c r="I311" s="102" vm="6550">
        <f ca="1"/>
        <v>2491350400</v>
      </c>
    </row>
    <row r="312" spans="4:9" x14ac:dyDescent="0.3">
      <c r="D312" s="100" vm="1785">
        <f ca="1"/>
        <v>44256</v>
      </c>
      <c r="E312" s="101" vm="6551">
        <f ca="1"/>
        <v>12.461499999999999</v>
      </c>
      <c r="F312" s="101" vm="6552">
        <f ca="1"/>
        <v>13.875</v>
      </c>
      <c r="G312" s="101" vm="6553">
        <f ca="1"/>
        <v>13.925000000000001</v>
      </c>
      <c r="H312" s="101" vm="6554">
        <f ca="1"/>
        <v>11.6793</v>
      </c>
      <c r="I312" s="102" vm="6555">
        <f ca="1"/>
        <v>2111071400</v>
      </c>
    </row>
    <row r="313" spans="4:9" x14ac:dyDescent="0.3">
      <c r="D313" s="100" vm="1791">
        <f ca="1"/>
        <v>44263</v>
      </c>
      <c r="E313" s="101" vm="6556">
        <f ca="1"/>
        <v>12.856</v>
      </c>
      <c r="F313" s="101" vm="3291">
        <f ca="1"/>
        <v>12.45</v>
      </c>
      <c r="G313" s="101" vm="6557">
        <f ca="1"/>
        <v>13.0463</v>
      </c>
      <c r="H313" s="101" vm="6558">
        <f ca="1"/>
        <v>11.5665</v>
      </c>
      <c r="I313" s="102" vm="6559">
        <f ca="1"/>
        <v>1993192000</v>
      </c>
    </row>
    <row r="314" spans="4:9" x14ac:dyDescent="0.3">
      <c r="D314" s="100" vm="1797">
        <f ca="1"/>
        <v>44270</v>
      </c>
      <c r="E314" s="101" vm="6560">
        <f ca="1"/>
        <v>12.845800000000001</v>
      </c>
      <c r="F314" s="101" vm="6561">
        <f ca="1"/>
        <v>12.864800000000001</v>
      </c>
      <c r="G314" s="101" vm="6562">
        <f ca="1"/>
        <v>13.512499999999999</v>
      </c>
      <c r="H314" s="101" vm="6563">
        <f ca="1"/>
        <v>12.612500000000001</v>
      </c>
      <c r="I314" s="102" vm="6564">
        <f ca="1"/>
        <v>1331909280</v>
      </c>
    </row>
    <row r="315" spans="4:9" x14ac:dyDescent="0.3">
      <c r="D315" s="100" vm="1803">
        <f ca="1"/>
        <v>44277</v>
      </c>
      <c r="E315" s="101" vm="6565">
        <f ca="1"/>
        <v>12.8393</v>
      </c>
      <c r="F315" s="101" vm="6566">
        <f ca="1"/>
        <v>12.912800000000001</v>
      </c>
      <c r="G315" s="101" vm="6567">
        <f ca="1"/>
        <v>13.394500000000001</v>
      </c>
      <c r="H315" s="101" vm="6568">
        <f ca="1"/>
        <v>12.272</v>
      </c>
      <c r="I315" s="102" vm="6569">
        <f ca="1"/>
        <v>1424801200</v>
      </c>
    </row>
    <row r="316" spans="4:9" x14ac:dyDescent="0.3">
      <c r="D316" s="100" vm="1808">
        <f ca="1"/>
        <v>44284</v>
      </c>
      <c r="E316" s="101" vm="6570">
        <f ca="1"/>
        <v>13.8118</v>
      </c>
      <c r="F316" s="101" vm="6571">
        <f ca="1"/>
        <v>12.8203</v>
      </c>
      <c r="G316" s="101" vm="6572">
        <f ca="1"/>
        <v>13.87</v>
      </c>
      <c r="H316" s="101" vm="6573">
        <f ca="1"/>
        <v>12.7</v>
      </c>
      <c r="I316" s="102" vm="6574">
        <f ca="1"/>
        <v>1096774480</v>
      </c>
    </row>
    <row r="317" spans="4:9" x14ac:dyDescent="0.3">
      <c r="D317" s="100" vm="1814">
        <f ca="1"/>
        <v>44291</v>
      </c>
      <c r="E317" s="101" vm="3451">
        <f ca="1"/>
        <v>14.4</v>
      </c>
      <c r="F317" s="101" vm="6575">
        <f ca="1"/>
        <v>13.8675</v>
      </c>
      <c r="G317" s="101" vm="6576">
        <f ca="1"/>
        <v>14.471500000000001</v>
      </c>
      <c r="H317" s="101" vm="6577">
        <f ca="1"/>
        <v>13.711499999999999</v>
      </c>
      <c r="I317" s="102" vm="6578">
        <f ca="1"/>
        <v>1138287520</v>
      </c>
    </row>
    <row r="318" spans="4:9" x14ac:dyDescent="0.3">
      <c r="D318" s="100" vm="1820">
        <f ca="1"/>
        <v>44298</v>
      </c>
      <c r="E318" s="101" vm="6579">
        <f ca="1"/>
        <v>15.9125</v>
      </c>
      <c r="F318" s="101" vm="6580">
        <f ca="1"/>
        <v>14.2898</v>
      </c>
      <c r="G318" s="101" vm="6581">
        <f ca="1"/>
        <v>16.214200000000002</v>
      </c>
      <c r="H318" s="101" vm="6582">
        <f ca="1"/>
        <v>14.1393</v>
      </c>
      <c r="I318" s="102" vm="6583">
        <f ca="1"/>
        <v>2858447480</v>
      </c>
    </row>
    <row r="319" spans="4:9" x14ac:dyDescent="0.3">
      <c r="D319" s="100" vm="1826">
        <f ca="1"/>
        <v>44305</v>
      </c>
      <c r="E319" s="101" vm="6584">
        <f ca="1"/>
        <v>15.2653</v>
      </c>
      <c r="F319" s="101" vm="6585">
        <f ca="1"/>
        <v>15.5365</v>
      </c>
      <c r="G319" s="101" vm="6586">
        <f ca="1"/>
        <v>15.807499999999999</v>
      </c>
      <c r="H319" s="101" vm="6587">
        <f ca="1"/>
        <v>14.7835</v>
      </c>
      <c r="I319" s="102" vm="6588">
        <f ca="1"/>
        <v>1460886640</v>
      </c>
    </row>
    <row r="320" spans="4:9" x14ac:dyDescent="0.3">
      <c r="D320" s="100" vm="1832">
        <f ca="1"/>
        <v>44312</v>
      </c>
      <c r="E320" s="101" vm="6589">
        <f ca="1"/>
        <v>15.009499999999999</v>
      </c>
      <c r="F320" s="101" vm="3382">
        <f ca="1"/>
        <v>15.185</v>
      </c>
      <c r="G320" s="101" vm="6590">
        <f ca="1"/>
        <v>15.670500000000001</v>
      </c>
      <c r="H320" s="101" vm="6591">
        <f ca="1"/>
        <v>14.997</v>
      </c>
      <c r="I320" s="102" vm="6592">
        <f ca="1"/>
        <v>946892840</v>
      </c>
    </row>
    <row r="321" spans="4:9" x14ac:dyDescent="0.3">
      <c r="D321" s="100" vm="1838">
        <f ca="1"/>
        <v>44319</v>
      </c>
      <c r="E321" s="101" vm="6593">
        <f ca="1"/>
        <v>14.8123</v>
      </c>
      <c r="F321" s="101" vm="6594">
        <f ca="1"/>
        <v>15.125</v>
      </c>
      <c r="G321" s="101" vm="6595">
        <f ca="1"/>
        <v>15.2468</v>
      </c>
      <c r="H321" s="101" vm="6596">
        <f ca="1"/>
        <v>14.010300000000001</v>
      </c>
      <c r="I321" s="102" vm="6597">
        <f ca="1"/>
        <v>1323967920</v>
      </c>
    </row>
    <row r="322" spans="4:9" x14ac:dyDescent="0.3">
      <c r="D322" s="100" vm="1843">
        <f ca="1"/>
        <v>44326</v>
      </c>
      <c r="E322" s="101" vm="6598">
        <f ca="1"/>
        <v>14.243</v>
      </c>
      <c r="F322" s="101" vm="6599">
        <f ca="1"/>
        <v>14.7873</v>
      </c>
      <c r="G322" s="101" vm="6600">
        <f ca="1"/>
        <v>14.805999999999999</v>
      </c>
      <c r="H322" s="101" vm="6601">
        <f ca="1"/>
        <v>13.459</v>
      </c>
      <c r="I322" s="102" vm="6602">
        <f ca="1"/>
        <v>1401381080</v>
      </c>
    </row>
    <row r="323" spans="4:9" x14ac:dyDescent="0.3">
      <c r="D323" s="100" vm="1848">
        <f ca="1"/>
        <v>44333</v>
      </c>
      <c r="E323" s="101" vm="6603">
        <f ca="1"/>
        <v>14.9918</v>
      </c>
      <c r="F323" s="101" vm="6604">
        <f ca="1"/>
        <v>14.157</v>
      </c>
      <c r="G323" s="101" vm="6605">
        <f ca="1"/>
        <v>15.222</v>
      </c>
      <c r="H323" s="101" vm="6606">
        <f ca="1"/>
        <v>13.5433</v>
      </c>
      <c r="I323" s="102" vm="6607">
        <f ca="1"/>
        <v>1741818360</v>
      </c>
    </row>
    <row r="324" spans="4:9" x14ac:dyDescent="0.3">
      <c r="D324" s="100" vm="1854">
        <f ca="1"/>
        <v>44340</v>
      </c>
      <c r="E324" s="101" vm="6608">
        <f ca="1"/>
        <v>16.244499999999999</v>
      </c>
      <c r="F324" s="101" vm="6609">
        <f ca="1"/>
        <v>15.2125</v>
      </c>
      <c r="G324" s="101" vm="6610">
        <f ca="1"/>
        <v>16.2775</v>
      </c>
      <c r="H324" s="101" vm="6611">
        <f ca="1"/>
        <v>15.176</v>
      </c>
      <c r="I324" s="102" vm="6612">
        <f ca="1"/>
        <v>2586672520</v>
      </c>
    </row>
    <row r="325" spans="4:9" x14ac:dyDescent="0.3">
      <c r="D325" s="100" vm="1860">
        <f ca="1"/>
        <v>44348</v>
      </c>
      <c r="E325" s="101" vm="6613">
        <f ca="1"/>
        <v>17.578299999999999</v>
      </c>
      <c r="F325" s="101" vm="6614">
        <f ca="1"/>
        <v>16.27</v>
      </c>
      <c r="G325" s="101" vm="6615">
        <f ca="1"/>
        <v>17.661000000000001</v>
      </c>
      <c r="H325" s="101" vm="6616">
        <f ca="1"/>
        <v>15.9033</v>
      </c>
      <c r="I325" s="102" vm="6617">
        <f ca="1"/>
        <v>2264097640</v>
      </c>
    </row>
    <row r="326" spans="4:9" x14ac:dyDescent="0.3">
      <c r="D326" s="100" vm="1866">
        <f ca="1"/>
        <v>44354</v>
      </c>
      <c r="E326" s="101" vm="6618">
        <f ca="1"/>
        <v>17.825299999999999</v>
      </c>
      <c r="F326" s="101" vm="6619">
        <f ca="1"/>
        <v>17.571100000000001</v>
      </c>
      <c r="G326" s="101" vm="6620">
        <f ca="1"/>
        <v>17.9392</v>
      </c>
      <c r="H326" s="101" vm="6621">
        <f ca="1"/>
        <v>17.175999999999998</v>
      </c>
      <c r="I326" s="102" vm="6622">
        <f ca="1"/>
        <v>1985337240</v>
      </c>
    </row>
    <row r="327" spans="4:9" x14ac:dyDescent="0.3">
      <c r="D327" s="100" vm="1872">
        <f ca="1"/>
        <v>44361</v>
      </c>
      <c r="E327" s="101" vm="6623">
        <f ca="1"/>
        <v>18.6387</v>
      </c>
      <c r="F327" s="101" vm="6624">
        <f ca="1"/>
        <v>17.905999999999999</v>
      </c>
      <c r="G327" s="101" vm="6625">
        <f ca="1"/>
        <v>19.375</v>
      </c>
      <c r="H327" s="101" vm="6626">
        <f ca="1"/>
        <v>17.584399999999999</v>
      </c>
      <c r="I327" s="102" vm="6627">
        <f ca="1"/>
        <v>2641301880</v>
      </c>
    </row>
    <row r="328" spans="4:9" x14ac:dyDescent="0.3">
      <c r="D328" s="100" vm="1878">
        <f ca="1"/>
        <v>44368</v>
      </c>
      <c r="E328" s="101" vm="6628">
        <f ca="1"/>
        <v>19.030999999999999</v>
      </c>
      <c r="F328" s="101" vm="6629">
        <f ca="1"/>
        <v>18.435300000000002</v>
      </c>
      <c r="G328" s="101" vm="3522">
        <f ca="1"/>
        <v>19.420000000000002</v>
      </c>
      <c r="H328" s="101" vm="6630">
        <f ca="1"/>
        <v>17.822700000000001</v>
      </c>
      <c r="I328" s="102" vm="6631">
        <f ca="1"/>
        <v>2184173080</v>
      </c>
    </row>
    <row r="329" spans="4:9" x14ac:dyDescent="0.3">
      <c r="D329" s="100" vm="1884">
        <f ca="1"/>
        <v>44375</v>
      </c>
      <c r="E329" s="101" vm="6632">
        <f ca="1"/>
        <v>20.486999999999998</v>
      </c>
      <c r="F329" s="101" vm="6633">
        <f ca="1"/>
        <v>19.3613</v>
      </c>
      <c r="G329" s="101" vm="6634">
        <f ca="1"/>
        <v>20.505299999999998</v>
      </c>
      <c r="H329" s="101" vm="6635">
        <f ca="1"/>
        <v>19.318999999999999</v>
      </c>
      <c r="I329" s="102" vm="6636">
        <f ca="1"/>
        <v>2013168200</v>
      </c>
    </row>
    <row r="330" spans="4:9" x14ac:dyDescent="0.3">
      <c r="D330" s="100" vm="1890">
        <f ca="1"/>
        <v>44383</v>
      </c>
      <c r="E330" s="101" vm="6637">
        <f ca="1"/>
        <v>20.0503</v>
      </c>
      <c r="F330" s="101" vm="6638">
        <f ca="1"/>
        <v>20.737500000000001</v>
      </c>
      <c r="G330" s="101" vm="6639">
        <f ca="1"/>
        <v>20.875</v>
      </c>
      <c r="H330" s="101" vm="6640">
        <f ca="1"/>
        <v>19.700800000000001</v>
      </c>
      <c r="I330" s="102" vm="6641">
        <f ca="1"/>
        <v>1665057120</v>
      </c>
    </row>
    <row r="331" spans="4:9" x14ac:dyDescent="0.3">
      <c r="D331" s="100" vm="1895">
        <f ca="1"/>
        <v>44389</v>
      </c>
      <c r="E331" s="101" vm="6642">
        <f ca="1"/>
        <v>18.161000000000001</v>
      </c>
      <c r="F331" s="101" vm="6643">
        <f ca="1"/>
        <v>20.239999999999998</v>
      </c>
      <c r="G331" s="101" vm="6644">
        <f ca="1"/>
        <v>20.532800000000002</v>
      </c>
      <c r="H331" s="101" vm="6645">
        <f ca="1"/>
        <v>18.073</v>
      </c>
      <c r="I331" s="102" vm="6646">
        <f ca="1"/>
        <v>2231577440</v>
      </c>
    </row>
    <row r="332" spans="4:9" x14ac:dyDescent="0.3">
      <c r="D332" s="100" vm="1901">
        <f ca="1"/>
        <v>44396</v>
      </c>
      <c r="E332" s="101" vm="6647">
        <f ca="1"/>
        <v>19.558</v>
      </c>
      <c r="F332" s="101" vm="6648">
        <f ca="1"/>
        <v>17.915299999999998</v>
      </c>
      <c r="G332" s="101" vm="6649">
        <f ca="1"/>
        <v>19.887</v>
      </c>
      <c r="H332" s="101" vm="6650">
        <f ca="1"/>
        <v>17.865500000000001</v>
      </c>
      <c r="I332" s="102" vm="6651">
        <f ca="1"/>
        <v>2074260590</v>
      </c>
    </row>
    <row r="333" spans="4:9" x14ac:dyDescent="0.3">
      <c r="D333" s="100" vm="1907">
        <f ca="1"/>
        <v>44403</v>
      </c>
      <c r="E333" s="101" vm="6652">
        <f ca="1"/>
        <v>19.498999999999999</v>
      </c>
      <c r="F333" s="101" vm="6653">
        <f ca="1"/>
        <v>19.311</v>
      </c>
      <c r="G333" s="101" vm="6654">
        <f ca="1"/>
        <v>19.853000000000002</v>
      </c>
      <c r="H333" s="101" vm="6655">
        <f ca="1"/>
        <v>18.741</v>
      </c>
      <c r="I333" s="102" vm="6656">
        <f ca="1"/>
        <v>1029275230</v>
      </c>
    </row>
    <row r="334" spans="4:9" x14ac:dyDescent="0.3">
      <c r="D334" s="100" vm="1913">
        <f ca="1"/>
        <v>44410</v>
      </c>
      <c r="E334" s="101" vm="6657">
        <f ca="1"/>
        <v>20.366</v>
      </c>
      <c r="F334" s="101" vm="3959">
        <f ca="1"/>
        <v>19.7</v>
      </c>
      <c r="G334" s="101" vm="6658">
        <f ca="1"/>
        <v>20.733000000000001</v>
      </c>
      <c r="H334" s="101" vm="6659">
        <f ca="1"/>
        <v>19.22</v>
      </c>
      <c r="I334" s="102" vm="6660">
        <f ca="1"/>
        <v>1140496090</v>
      </c>
    </row>
    <row r="335" spans="4:9" x14ac:dyDescent="0.3">
      <c r="D335" s="100" vm="1919">
        <f ca="1"/>
        <v>44417</v>
      </c>
      <c r="E335" s="101" vm="6661">
        <f ca="1"/>
        <v>20.187999999999999</v>
      </c>
      <c r="F335" s="101" vm="6662">
        <f ca="1"/>
        <v>20.446000000000002</v>
      </c>
      <c r="G335" s="101" vm="6663">
        <f ca="1"/>
        <v>20.507999999999999</v>
      </c>
      <c r="H335" s="101" vm="3912">
        <f ca="1"/>
        <v>19.43</v>
      </c>
      <c r="I335" s="102" vm="6664">
        <f ca="1"/>
        <v>846530130</v>
      </c>
    </row>
    <row r="336" spans="4:9" x14ac:dyDescent="0.3">
      <c r="D336" s="100" vm="1925">
        <f ca="1"/>
        <v>44424</v>
      </c>
      <c r="E336" s="101" vm="6665">
        <f ca="1"/>
        <v>20.815999999999999</v>
      </c>
      <c r="F336" s="101" vm="6666">
        <f ca="1"/>
        <v>20.135000000000002</v>
      </c>
      <c r="G336" s="101" vm="6667">
        <f ca="1"/>
        <v>20.865100000000002</v>
      </c>
      <c r="H336" s="101" vm="6668">
        <f ca="1"/>
        <v>18.762</v>
      </c>
      <c r="I336" s="102" vm="6669">
        <f ca="1"/>
        <v>2143947210</v>
      </c>
    </row>
    <row r="337" spans="4:9" x14ac:dyDescent="0.3">
      <c r="D337" s="100" vm="1931">
        <f ca="1"/>
        <v>44431</v>
      </c>
      <c r="E337" s="101" vm="6670">
        <f ca="1"/>
        <v>22.635999999999999</v>
      </c>
      <c r="F337" s="101" vm="6671">
        <f ca="1"/>
        <v>20.971</v>
      </c>
      <c r="G337" s="101" vm="6672">
        <f ca="1"/>
        <v>22.722000000000001</v>
      </c>
      <c r="H337" s="101" vm="4195">
        <f ca="1"/>
        <v>20.95</v>
      </c>
      <c r="I337" s="102" vm="6673">
        <f ca="1"/>
        <v>1763469150</v>
      </c>
    </row>
    <row r="338" spans="4:9" x14ac:dyDescent="0.3">
      <c r="D338" s="100" vm="1937">
        <f ca="1"/>
        <v>44438</v>
      </c>
      <c r="E338" s="101" vm="6674">
        <f ca="1"/>
        <v>22.843</v>
      </c>
      <c r="F338" s="101" vm="6675">
        <f ca="1"/>
        <v>22.83</v>
      </c>
      <c r="G338" s="101" vm="6676">
        <f ca="1"/>
        <v>23.042999999999999</v>
      </c>
      <c r="H338" s="101" vm="3720">
        <f ca="1"/>
        <v>22.12</v>
      </c>
      <c r="I338" s="102" vm="6677">
        <f ca="1"/>
        <v>1193138080</v>
      </c>
    </row>
    <row r="339" spans="4:9" x14ac:dyDescent="0.3">
      <c r="D339" s="100" vm="1943">
        <f ca="1"/>
        <v>44446</v>
      </c>
      <c r="E339" s="101" vm="6678">
        <f ca="1"/>
        <v>22.478000000000002</v>
      </c>
      <c r="F339" s="101" vm="6679">
        <f ca="1"/>
        <v>22.832999999999998</v>
      </c>
      <c r="G339" s="101" vm="6680">
        <f ca="1"/>
        <v>22.899000000000001</v>
      </c>
      <c r="H339" s="101" vm="6681">
        <f ca="1"/>
        <v>21.977</v>
      </c>
      <c r="I339" s="102" vm="6682">
        <f ca="1"/>
        <v>897773120</v>
      </c>
    </row>
    <row r="340" spans="4:9" x14ac:dyDescent="0.3">
      <c r="D340" s="100" vm="1949">
        <f ca="1"/>
        <v>44452</v>
      </c>
      <c r="E340" s="101" vm="3863">
        <f ca="1"/>
        <v>21.9</v>
      </c>
      <c r="F340" s="101" vm="6683">
        <f ca="1"/>
        <v>22.684000000000001</v>
      </c>
      <c r="G340" s="101" vm="6684">
        <f ca="1"/>
        <v>22.963999999999999</v>
      </c>
      <c r="H340" s="101" vm="3707">
        <f ca="1"/>
        <v>21.83</v>
      </c>
      <c r="I340" s="102" vm="6685">
        <f ca="1"/>
        <v>1114328790</v>
      </c>
    </row>
    <row r="341" spans="4:9" x14ac:dyDescent="0.3">
      <c r="D341" s="100" vm="1955">
        <f ca="1"/>
        <v>44459</v>
      </c>
      <c r="E341" s="101" vm="6686">
        <f ca="1"/>
        <v>22.081</v>
      </c>
      <c r="F341" s="101" vm="6687">
        <f ca="1"/>
        <v>21.146000000000001</v>
      </c>
      <c r="G341" s="101" vm="6688">
        <f ca="1"/>
        <v>22.534500000000001</v>
      </c>
      <c r="H341" s="101" vm="6689">
        <f ca="1"/>
        <v>20.661999999999999</v>
      </c>
      <c r="I341" s="102" vm="6690">
        <f ca="1"/>
        <v>1289064470</v>
      </c>
    </row>
    <row r="342" spans="4:9" x14ac:dyDescent="0.3">
      <c r="D342" s="100" vm="1961">
        <f ca="1"/>
        <v>44466</v>
      </c>
      <c r="E342" s="101" vm="6691">
        <f ca="1"/>
        <v>20.742000000000001</v>
      </c>
      <c r="F342" s="101" vm="6692">
        <f ca="1"/>
        <v>21.7104</v>
      </c>
      <c r="G342" s="101" vm="6693">
        <f ca="1"/>
        <v>21.798999999999999</v>
      </c>
      <c r="H342" s="101" vm="6694">
        <f ca="1"/>
        <v>20.202999999999999</v>
      </c>
      <c r="I342" s="102" vm="6695">
        <f ca="1"/>
        <v>1268664800</v>
      </c>
    </row>
    <row r="343" spans="4:9" x14ac:dyDescent="0.3">
      <c r="D343" s="100" vm="1967">
        <f ca="1"/>
        <v>44473</v>
      </c>
      <c r="E343" s="101" vm="6696">
        <f ca="1"/>
        <v>20.831</v>
      </c>
      <c r="F343" s="101" vm="6697">
        <f ca="1"/>
        <v>20.504000000000001</v>
      </c>
      <c r="G343" s="101" vm="6698">
        <f ca="1"/>
        <v>21.321999999999999</v>
      </c>
      <c r="H343" s="101" vm="6699">
        <f ca="1"/>
        <v>19.555</v>
      </c>
      <c r="I343" s="102" vm="6700">
        <f ca="1"/>
        <v>1330295210</v>
      </c>
    </row>
    <row r="344" spans="4:9" x14ac:dyDescent="0.3">
      <c r="D344" s="100" vm="1973">
        <f ca="1"/>
        <v>44480</v>
      </c>
      <c r="E344" s="101" vm="6701">
        <f ca="1"/>
        <v>21.861999999999998</v>
      </c>
      <c r="F344" s="101" vm="6702">
        <f ca="1"/>
        <v>20.574999999999999</v>
      </c>
      <c r="G344" s="101" vm="6703">
        <f ca="1"/>
        <v>21.931000000000001</v>
      </c>
      <c r="H344" s="101" vm="6704">
        <f ca="1"/>
        <v>20.510999999999999</v>
      </c>
      <c r="I344" s="102" vm="6705">
        <f ca="1"/>
        <v>976755780</v>
      </c>
    </row>
    <row r="345" spans="4:9" x14ac:dyDescent="0.3">
      <c r="D345" s="100" vm="1979">
        <f ca="1"/>
        <v>44487</v>
      </c>
      <c r="E345" s="101" vm="6706">
        <f ca="1"/>
        <v>22.725999999999999</v>
      </c>
      <c r="F345" s="101" vm="6707">
        <f ca="1"/>
        <v>21.748999999999999</v>
      </c>
      <c r="G345" s="101" vm="3831">
        <f ca="1"/>
        <v>23.13</v>
      </c>
      <c r="H345" s="101" vm="6708">
        <f ca="1"/>
        <v>21.643999999999998</v>
      </c>
      <c r="I345" s="102" vm="6709">
        <f ca="1"/>
        <v>934216900</v>
      </c>
    </row>
    <row r="346" spans="4:9" x14ac:dyDescent="0.3">
      <c r="D346" s="100" vm="1985">
        <f ca="1"/>
        <v>44494</v>
      </c>
      <c r="E346" s="101" vm="6710">
        <f ca="1"/>
        <v>25.567</v>
      </c>
      <c r="F346" s="101" vm="6711">
        <f ca="1"/>
        <v>22.972999999999999</v>
      </c>
      <c r="G346" s="101" vm="6712">
        <f ca="1"/>
        <v>25.709</v>
      </c>
      <c r="H346" s="101" vm="6713">
        <f ca="1"/>
        <v>22.77</v>
      </c>
      <c r="I346" s="102" vm="6714">
        <f ca="1"/>
        <v>1488830170</v>
      </c>
    </row>
    <row r="347" spans="4:9" x14ac:dyDescent="0.3">
      <c r="D347" s="100" vm="1991">
        <f ca="1"/>
        <v>44501</v>
      </c>
      <c r="E347" s="101" vm="6715">
        <f ca="1"/>
        <v>29.751999999999999</v>
      </c>
      <c r="F347" s="101" vm="6716">
        <f ca="1"/>
        <v>25.649000000000001</v>
      </c>
      <c r="G347" s="101" vm="4736">
        <f ca="1"/>
        <v>31.4</v>
      </c>
      <c r="H347" s="101" vm="6717">
        <f ca="1"/>
        <v>25.227</v>
      </c>
      <c r="I347" s="102" vm="6718">
        <f ca="1"/>
        <v>2804653780</v>
      </c>
    </row>
    <row r="348" spans="4:9" x14ac:dyDescent="0.3">
      <c r="D348" s="100" vm="1997">
        <f ca="1"/>
        <v>44508</v>
      </c>
      <c r="E348" s="101" vm="4876">
        <f ca="1"/>
        <v>30.39</v>
      </c>
      <c r="F348" s="101" vm="6719">
        <f ca="1"/>
        <v>30.149000000000001</v>
      </c>
      <c r="G348" s="101" vm="6720">
        <f ca="1"/>
        <v>32.31</v>
      </c>
      <c r="H348" s="101" vm="6721">
        <f ca="1"/>
        <v>28.777999999999999</v>
      </c>
      <c r="I348" s="102" vm="6722">
        <f ca="1"/>
        <v>2531279250</v>
      </c>
    </row>
    <row r="349" spans="4:9" x14ac:dyDescent="0.3">
      <c r="D349" s="100" vm="2003">
        <f ca="1"/>
        <v>44515</v>
      </c>
      <c r="E349" s="101" vm="6723">
        <f ca="1"/>
        <v>32.984999999999999</v>
      </c>
      <c r="F349" s="101" vm="6724">
        <f ca="1"/>
        <v>30.552</v>
      </c>
      <c r="G349" s="101" vm="6725">
        <f ca="1"/>
        <v>33.088000000000001</v>
      </c>
      <c r="H349" s="101" vm="4732">
        <f ca="1"/>
        <v>28.8</v>
      </c>
      <c r="I349" s="102" vm="6726">
        <f ca="1"/>
        <v>2393478060</v>
      </c>
    </row>
    <row r="350" spans="4:9" x14ac:dyDescent="0.3">
      <c r="D350" s="100" vm="2009">
        <f ca="1"/>
        <v>44522</v>
      </c>
      <c r="E350" s="101" vm="6727">
        <f ca="1"/>
        <v>31.503</v>
      </c>
      <c r="F350" s="101" vm="6728">
        <f ca="1"/>
        <v>33.517000000000003</v>
      </c>
      <c r="G350" s="101" vm="6729">
        <f ca="1"/>
        <v>34.646999999999998</v>
      </c>
      <c r="H350" s="101" vm="6730">
        <f ca="1"/>
        <v>30.88</v>
      </c>
      <c r="I350" s="102" vm="6731">
        <f ca="1"/>
        <v>2004729060</v>
      </c>
    </row>
    <row r="351" spans="4:9" x14ac:dyDescent="0.3">
      <c r="D351" s="100" vm="2015">
        <f ca="1"/>
        <v>44529</v>
      </c>
      <c r="E351" s="101" vm="6732">
        <f ca="1"/>
        <v>30.693000000000001</v>
      </c>
      <c r="F351" s="101" vm="6733">
        <f ca="1"/>
        <v>32.366</v>
      </c>
      <c r="G351" s="101" vm="6734">
        <f ca="1"/>
        <v>33.411999999999999</v>
      </c>
      <c r="H351" s="101" vm="4724">
        <f ca="1"/>
        <v>30.13</v>
      </c>
      <c r="I351" s="102" vm="6735">
        <f ca="1"/>
        <v>2580047870</v>
      </c>
    </row>
    <row r="352" spans="4:9" x14ac:dyDescent="0.3">
      <c r="D352" s="100" vm="2021">
        <f ca="1"/>
        <v>44536</v>
      </c>
      <c r="E352" s="101" vm="6736">
        <f ca="1"/>
        <v>30.198</v>
      </c>
      <c r="F352" s="101" vm="4894">
        <f ca="1"/>
        <v>29.88</v>
      </c>
      <c r="G352" s="101" vm="6737">
        <f ca="1"/>
        <v>32.448999999999998</v>
      </c>
      <c r="H352" s="101" vm="6738">
        <f ca="1"/>
        <v>28.038</v>
      </c>
      <c r="I352" s="102" vm="6739">
        <f ca="1"/>
        <v>2704875630</v>
      </c>
    </row>
    <row r="353" spans="4:9" x14ac:dyDescent="0.3">
      <c r="D353" s="100" vm="2027">
        <f ca="1"/>
        <v>44543</v>
      </c>
      <c r="E353" s="101" vm="6740">
        <f ca="1"/>
        <v>27.800999999999998</v>
      </c>
      <c r="F353" s="101" vm="6741">
        <f ca="1"/>
        <v>30.248999999999999</v>
      </c>
      <c r="G353" s="101" vm="6742">
        <f ca="1"/>
        <v>31.16</v>
      </c>
      <c r="H353" s="101" vm="211">
        <f ca="1"/>
        <v>27.25</v>
      </c>
      <c r="I353" s="102" vm="6743">
        <f ca="1"/>
        <v>3387664250</v>
      </c>
    </row>
    <row r="354" spans="4:9" x14ac:dyDescent="0.3">
      <c r="D354" s="100" vm="2033">
        <f ca="1"/>
        <v>44550</v>
      </c>
      <c r="E354" s="101" vm="4336">
        <f ca="1"/>
        <v>29.64</v>
      </c>
      <c r="F354" s="101" vm="6744">
        <f ca="1"/>
        <v>27.305</v>
      </c>
      <c r="G354" s="101" vm="6745">
        <f ca="1"/>
        <v>30.059000000000001</v>
      </c>
      <c r="H354" s="101" vm="6746">
        <f ca="1"/>
        <v>27.145</v>
      </c>
      <c r="I354" s="102" vm="6747">
        <f ca="1"/>
        <v>1724437820</v>
      </c>
    </row>
    <row r="355" spans="4:9" x14ac:dyDescent="0.3">
      <c r="D355" s="100" vm="2039">
        <f ca="1"/>
        <v>44557</v>
      </c>
      <c r="E355" s="101" vm="6748">
        <f ca="1"/>
        <v>29.411000000000001</v>
      </c>
      <c r="F355" s="101" vm="6749">
        <f ca="1"/>
        <v>29.66</v>
      </c>
      <c r="G355" s="101" vm="6750">
        <f ca="1"/>
        <v>31.33</v>
      </c>
      <c r="H355" s="101" vm="6751">
        <f ca="1"/>
        <v>29.3306</v>
      </c>
      <c r="I355" s="102" vm="6752">
        <f ca="1"/>
        <v>1742810490</v>
      </c>
    </row>
    <row r="356" spans="4:9" x14ac:dyDescent="0.3">
      <c r="D356" s="100" vm="2045">
        <f ca="1"/>
        <v>44564</v>
      </c>
      <c r="E356" s="101" vm="6753">
        <f ca="1"/>
        <v>27.247</v>
      </c>
      <c r="F356" s="101" vm="6754">
        <f ca="1"/>
        <v>29.815000000000001</v>
      </c>
      <c r="G356" s="101" vm="6755">
        <f ca="1"/>
        <v>30.710999999999999</v>
      </c>
      <c r="H356" s="101" vm="6756">
        <f ca="1"/>
        <v>27.056999999999999</v>
      </c>
      <c r="I356" s="102" vm="6757">
        <f ca="1"/>
        <v>2281746100</v>
      </c>
    </row>
    <row r="357" spans="4:9" x14ac:dyDescent="0.3">
      <c r="D357" s="100" vm="2051">
        <f ca="1"/>
        <v>44571</v>
      </c>
      <c r="E357" s="101" vm="6758">
        <f ca="1"/>
        <v>26.942</v>
      </c>
      <c r="F357" s="101" vm="6759">
        <f ca="1"/>
        <v>26.581</v>
      </c>
      <c r="G357" s="101" vm="6760">
        <f ca="1"/>
        <v>28.594999999999999</v>
      </c>
      <c r="H357" s="101" vm="6761">
        <f ca="1"/>
        <v>25.643799999999999</v>
      </c>
      <c r="I357" s="102" vm="6762">
        <f ca="1"/>
        <v>2316884160</v>
      </c>
    </row>
    <row r="358" spans="4:9" x14ac:dyDescent="0.3">
      <c r="D358" s="100" vm="2057">
        <f ca="1"/>
        <v>44579</v>
      </c>
      <c r="E358" s="101" vm="6763">
        <f ca="1"/>
        <v>23.373999999999999</v>
      </c>
      <c r="F358" s="101" vm="6764">
        <f ca="1"/>
        <v>26.26</v>
      </c>
      <c r="G358" s="101" vm="6765">
        <f ca="1"/>
        <v>26.638000000000002</v>
      </c>
      <c r="H358" s="101" vm="6766">
        <f ca="1"/>
        <v>23.263000000000002</v>
      </c>
      <c r="I358" s="102" vm="6767">
        <f ca="1"/>
        <v>2067759250</v>
      </c>
    </row>
    <row r="359" spans="4:9" x14ac:dyDescent="0.3">
      <c r="D359" s="100" vm="2063">
        <f ca="1"/>
        <v>44585</v>
      </c>
      <c r="E359" s="101" vm="3736">
        <f ca="1"/>
        <v>22.84</v>
      </c>
      <c r="F359" s="101" vm="6768">
        <f ca="1"/>
        <v>22.33</v>
      </c>
      <c r="G359" s="101" vm="6769">
        <f ca="1"/>
        <v>24.056999999999999</v>
      </c>
      <c r="H359" s="101" vm="6770">
        <f ca="1"/>
        <v>20.888000000000002</v>
      </c>
      <c r="I359" s="102" vm="6771">
        <f ca="1"/>
        <v>3453512690</v>
      </c>
    </row>
    <row r="360" spans="4:9" x14ac:dyDescent="0.3">
      <c r="D360" s="100" vm="2069">
        <f ca="1"/>
        <v>44592</v>
      </c>
      <c r="E360" s="101" vm="6772">
        <f ca="1"/>
        <v>24.318999999999999</v>
      </c>
      <c r="F360" s="101" vm="6773">
        <f ca="1"/>
        <v>23.181999999999999</v>
      </c>
      <c r="G360" s="101" vm="6774">
        <f ca="1"/>
        <v>25.817</v>
      </c>
      <c r="H360" s="101" vm="6775">
        <f ca="1"/>
        <v>23.052</v>
      </c>
      <c r="I360" s="102" vm="6776">
        <f ca="1"/>
        <v>2392030540</v>
      </c>
    </row>
    <row r="361" spans="4:9" x14ac:dyDescent="0.3">
      <c r="D361" s="100" vm="2075">
        <f ca="1"/>
        <v>44599</v>
      </c>
      <c r="E361" s="101" vm="6777">
        <f ca="1"/>
        <v>23.949000000000002</v>
      </c>
      <c r="F361" s="101" vm="6778">
        <f ca="1"/>
        <v>24.372</v>
      </c>
      <c r="G361" s="101" vm="6779">
        <f ca="1"/>
        <v>26.925000000000001</v>
      </c>
      <c r="H361" s="101" vm="6780">
        <f ca="1"/>
        <v>23.773</v>
      </c>
      <c r="I361" s="102" vm="6781">
        <f ca="1"/>
        <v>2430179500</v>
      </c>
    </row>
    <row r="362" spans="4:9" x14ac:dyDescent="0.3">
      <c r="D362" s="100" vm="2081">
        <f ca="1"/>
        <v>44606</v>
      </c>
      <c r="E362" s="101" vm="6782">
        <f ca="1"/>
        <v>23.641999999999999</v>
      </c>
      <c r="F362" s="101" vm="6783">
        <f ca="1"/>
        <v>23.934000000000001</v>
      </c>
      <c r="G362" s="101" vm="6784">
        <f ca="1"/>
        <v>26.582000000000001</v>
      </c>
      <c r="H362" s="101" vm="6785">
        <f ca="1"/>
        <v>23.1</v>
      </c>
      <c r="I362" s="102" vm="6786">
        <f ca="1"/>
        <v>3446703550</v>
      </c>
    </row>
    <row r="363" spans="4:9" x14ac:dyDescent="0.3">
      <c r="D363" s="100" vm="2087">
        <f ca="1"/>
        <v>44614</v>
      </c>
      <c r="E363" s="101" vm="6787">
        <f ca="1"/>
        <v>24.157</v>
      </c>
      <c r="F363" s="101" vm="6788">
        <f ca="1"/>
        <v>23.035</v>
      </c>
      <c r="G363" s="101" vm="6789">
        <f ca="1"/>
        <v>24.216999999999999</v>
      </c>
      <c r="H363" s="101" vm="3874">
        <f ca="1"/>
        <v>20.89</v>
      </c>
      <c r="I363" s="102" vm="6790">
        <f ca="1"/>
        <v>2464599350</v>
      </c>
    </row>
    <row r="364" spans="4:9" x14ac:dyDescent="0.3">
      <c r="D364" s="100" vm="2093">
        <f ca="1"/>
        <v>44620</v>
      </c>
      <c r="E364" s="101" vm="6791">
        <f ca="1"/>
        <v>22.936</v>
      </c>
      <c r="F364" s="101" vm="6792">
        <f ca="1"/>
        <v>23.992000000000001</v>
      </c>
      <c r="G364" s="101" vm="384">
        <f ca="1"/>
        <v>24.664999999999999</v>
      </c>
      <c r="H364" s="101" vm="6793">
        <f ca="1"/>
        <v>22.481999999999999</v>
      </c>
      <c r="I364" s="102" vm="6794">
        <f ca="1"/>
        <v>2076122180</v>
      </c>
    </row>
    <row r="365" spans="4:9" x14ac:dyDescent="0.3">
      <c r="D365" s="100" vm="2099">
        <f ca="1"/>
        <v>44627</v>
      </c>
      <c r="E365" s="101" vm="3884">
        <f ca="1"/>
        <v>22.1</v>
      </c>
      <c r="F365" s="101" vm="6795">
        <f ca="1"/>
        <v>22.817</v>
      </c>
      <c r="G365" s="101" vm="3690">
        <f ca="1"/>
        <v>23.22</v>
      </c>
      <c r="H365" s="101" vm="3927">
        <f ca="1"/>
        <v>20.65</v>
      </c>
      <c r="I365" s="102" vm="6796">
        <f ca="1"/>
        <v>2296304250</v>
      </c>
    </row>
    <row r="366" spans="4:9" x14ac:dyDescent="0.3">
      <c r="D366" s="100" vm="2105">
        <f ca="1"/>
        <v>44634</v>
      </c>
      <c r="E366" s="101" vm="6797">
        <f ca="1"/>
        <v>26.452999999999999</v>
      </c>
      <c r="F366" s="101" vm="6798">
        <f ca="1"/>
        <v>21.869</v>
      </c>
      <c r="G366" s="101" vm="6799">
        <f ca="1"/>
        <v>26.568999999999999</v>
      </c>
      <c r="H366" s="101" vm="6800">
        <f ca="1"/>
        <v>21.158999999999999</v>
      </c>
      <c r="I366" s="102" vm="6801">
        <f ca="1"/>
        <v>2751431420</v>
      </c>
    </row>
    <row r="367" spans="4:9" x14ac:dyDescent="0.3">
      <c r="D367" s="100" vm="2111">
        <f ca="1"/>
        <v>44641</v>
      </c>
      <c r="E367" s="101" vm="6802">
        <f ca="1"/>
        <v>27.692</v>
      </c>
      <c r="F367" s="101" vm="6803">
        <f ca="1"/>
        <v>26.507000000000001</v>
      </c>
      <c r="G367" s="101" vm="6804">
        <f ca="1"/>
        <v>28.358000000000001</v>
      </c>
      <c r="H367" s="101" vm="6805">
        <f ca="1"/>
        <v>25.574999999999999</v>
      </c>
      <c r="I367" s="102" vm="6806">
        <f ca="1"/>
        <v>3097249360</v>
      </c>
    </row>
    <row r="368" spans="4:9" x14ac:dyDescent="0.3">
      <c r="D368" s="100" vm="2117">
        <f ca="1"/>
        <v>44648</v>
      </c>
      <c r="E368" s="101" vm="6807">
        <f ca="1"/>
        <v>26.712</v>
      </c>
      <c r="F368" s="101" vm="6808">
        <f ca="1"/>
        <v>27.755500000000001</v>
      </c>
      <c r="G368" s="101" vm="6809">
        <f ca="1"/>
        <v>28.946000000000002</v>
      </c>
      <c r="H368" s="101" vm="6810">
        <f ca="1"/>
        <v>26.266999999999999</v>
      </c>
      <c r="I368" s="102" vm="6811">
        <f ca="1"/>
        <v>2418640780</v>
      </c>
    </row>
    <row r="369" spans="4:9" x14ac:dyDescent="0.3">
      <c r="D369" s="100" vm="2122">
        <f ca="1"/>
        <v>44655</v>
      </c>
      <c r="E369" s="101" vm="6812">
        <f ca="1"/>
        <v>23.119</v>
      </c>
      <c r="F369" s="101" vm="6813">
        <f ca="1"/>
        <v>26.728000000000002</v>
      </c>
      <c r="G369" s="101" vm="6814">
        <f ca="1"/>
        <v>27.558</v>
      </c>
      <c r="H369" s="101" vm="6815">
        <f ca="1"/>
        <v>23.062000000000001</v>
      </c>
      <c r="I369" s="102" vm="6816">
        <f ca="1"/>
        <v>2620928110</v>
      </c>
    </row>
    <row r="370" spans="4:9" x14ac:dyDescent="0.3">
      <c r="D370" s="100" vm="2128">
        <f ca="1"/>
        <v>44662</v>
      </c>
      <c r="E370" s="101" vm="6817">
        <f ca="1"/>
        <v>21.257999999999999</v>
      </c>
      <c r="F370" s="101" vm="6818">
        <f ca="1"/>
        <v>22.213999999999999</v>
      </c>
      <c r="G370" s="101" vm="6819">
        <f ca="1"/>
        <v>22.777000000000001</v>
      </c>
      <c r="H370" s="101" vm="6820">
        <f ca="1"/>
        <v>21.163</v>
      </c>
      <c r="I370" s="102" vm="6821">
        <f ca="1"/>
        <v>2323505200</v>
      </c>
    </row>
    <row r="371" spans="4:9" x14ac:dyDescent="0.3">
      <c r="D371" s="100" vm="2134">
        <f ca="1"/>
        <v>44669</v>
      </c>
      <c r="E371" s="101" vm="6822">
        <f ca="1"/>
        <v>19.515000000000001</v>
      </c>
      <c r="F371" s="101" vm="6823">
        <f ca="1"/>
        <v>21.2</v>
      </c>
      <c r="G371" s="101" vm="6824">
        <f ca="1"/>
        <v>22.670400000000001</v>
      </c>
      <c r="H371" s="101" vm="3584">
        <f ca="1"/>
        <v>19.5</v>
      </c>
      <c r="I371" s="102" vm="6825">
        <f ca="1"/>
        <v>2788378500</v>
      </c>
    </row>
    <row r="372" spans="4:9" x14ac:dyDescent="0.3">
      <c r="D372" s="100" vm="2140">
        <f ca="1"/>
        <v>44676</v>
      </c>
      <c r="E372" s="101" vm="6826">
        <f ca="1"/>
        <v>18.547000000000001</v>
      </c>
      <c r="F372" s="101" vm="6827">
        <f ca="1"/>
        <v>19.202000000000002</v>
      </c>
      <c r="G372" s="101" vm="6828">
        <f ca="1"/>
        <v>20.128499999999999</v>
      </c>
      <c r="H372" s="101" vm="3506">
        <f ca="1"/>
        <v>18.29</v>
      </c>
      <c r="I372" s="102" vm="6829">
        <f ca="1"/>
        <v>2864929900</v>
      </c>
    </row>
    <row r="373" spans="4:9" x14ac:dyDescent="0.3">
      <c r="D373" s="100" vm="2146">
        <f ca="1"/>
        <v>44683</v>
      </c>
      <c r="E373" s="101" vm="6830">
        <f ca="1"/>
        <v>18.675000000000001</v>
      </c>
      <c r="F373" s="101" vm="6831">
        <f ca="1"/>
        <v>18.540500000000002</v>
      </c>
      <c r="G373" s="101" vm="4048">
        <f ca="1"/>
        <v>20.399999999999999</v>
      </c>
      <c r="H373" s="101" vm="6832">
        <f ca="1"/>
        <v>17.989999999999998</v>
      </c>
      <c r="I373" s="102" vm="6833">
        <f ca="1"/>
        <v>2956282280</v>
      </c>
    </row>
    <row r="374" spans="4:9" x14ac:dyDescent="0.3">
      <c r="D374" s="100" vm="2152">
        <f ca="1"/>
        <v>44690</v>
      </c>
      <c r="E374" s="101" vm="6834">
        <f ca="1"/>
        <v>17.706</v>
      </c>
      <c r="F374" s="101" vm="6835">
        <f ca="1"/>
        <v>18.033999999999999</v>
      </c>
      <c r="G374" s="101" vm="6836">
        <f ca="1"/>
        <v>18.254999999999999</v>
      </c>
      <c r="H374" s="101" vm="6837">
        <f ca="1"/>
        <v>15.567</v>
      </c>
      <c r="I374" s="102" vm="6838">
        <f ca="1"/>
        <v>3455260710</v>
      </c>
    </row>
    <row r="375" spans="4:9" x14ac:dyDescent="0.3">
      <c r="D375" s="100" vm="2158">
        <f ca="1"/>
        <v>44697</v>
      </c>
      <c r="E375" s="101" vm="6839">
        <f ca="1"/>
        <v>16.693999999999999</v>
      </c>
      <c r="F375" s="101" vm="6840">
        <f ca="1"/>
        <v>17.509</v>
      </c>
      <c r="G375" s="101" vm="6841">
        <f ca="1"/>
        <v>18.370999999999999</v>
      </c>
      <c r="H375" s="101" vm="6842">
        <f ca="1"/>
        <v>15.755000000000001</v>
      </c>
      <c r="I375" s="102" vm="6843">
        <f ca="1"/>
        <v>3012851600</v>
      </c>
    </row>
    <row r="376" spans="4:9" x14ac:dyDescent="0.3">
      <c r="D376" s="100" vm="2164">
        <f ca="1"/>
        <v>44704</v>
      </c>
      <c r="E376" s="101" vm="6844">
        <f ca="1"/>
        <v>18.811</v>
      </c>
      <c r="F376" s="101" vm="6845">
        <f ca="1"/>
        <v>16.274000000000001</v>
      </c>
      <c r="G376" s="101" vm="6846">
        <f ca="1"/>
        <v>18.881</v>
      </c>
      <c r="H376" s="101" vm="3427">
        <f ca="1"/>
        <v>15.78</v>
      </c>
      <c r="I376" s="102" vm="6847">
        <f ca="1"/>
        <v>3744524480</v>
      </c>
    </row>
    <row r="377" spans="4:9" x14ac:dyDescent="0.3">
      <c r="D377" s="100" vm="2170">
        <f ca="1"/>
        <v>44712</v>
      </c>
      <c r="E377" s="101" vm="6848">
        <f ca="1"/>
        <v>18.72</v>
      </c>
      <c r="F377" s="101" vm="3535">
        <f ca="1"/>
        <v>18.98</v>
      </c>
      <c r="G377" s="101" vm="6849">
        <f ca="1"/>
        <v>19.619</v>
      </c>
      <c r="H377" s="101" vm="6850">
        <f ca="1"/>
        <v>18.122</v>
      </c>
      <c r="I377" s="102" vm="6851">
        <f ca="1"/>
        <v>2456047910</v>
      </c>
    </row>
    <row r="378" spans="4:9" x14ac:dyDescent="0.3">
      <c r="D378" s="100" vm="2176">
        <f ca="1"/>
        <v>44718</v>
      </c>
      <c r="E378" s="101" vm="6852">
        <f ca="1"/>
        <v>16.974</v>
      </c>
      <c r="F378" s="101" vm="6853">
        <f ca="1"/>
        <v>19.138999999999999</v>
      </c>
      <c r="G378" s="101" vm="6854">
        <f ca="1"/>
        <v>19.337</v>
      </c>
      <c r="H378" s="101" vm="6855">
        <f ca="1"/>
        <v>16.869</v>
      </c>
      <c r="I378" s="102" vm="6856">
        <f ca="1"/>
        <v>2035796170</v>
      </c>
    </row>
    <row r="379" spans="4:9" x14ac:dyDescent="0.3">
      <c r="D379" s="100" vm="2182">
        <f ca="1"/>
        <v>44725</v>
      </c>
      <c r="E379" s="101" vm="3397">
        <f ca="1"/>
        <v>15.88</v>
      </c>
      <c r="F379" s="101" vm="6857">
        <f ca="1"/>
        <v>16</v>
      </c>
      <c r="G379" s="101" vm="6858">
        <f ca="1"/>
        <v>16.867999999999999</v>
      </c>
      <c r="H379" s="101" vm="6859">
        <f ca="1"/>
        <v>15.327999999999999</v>
      </c>
      <c r="I379" s="102" vm="6860">
        <f ca="1"/>
        <v>2813851190</v>
      </c>
    </row>
    <row r="380" spans="4:9" x14ac:dyDescent="0.3">
      <c r="D380" s="100" vm="2188">
        <f ca="1"/>
        <v>44733</v>
      </c>
      <c r="E380" s="101" vm="6861">
        <f ca="1"/>
        <v>17.126000000000001</v>
      </c>
      <c r="F380" s="101" vm="6862">
        <f ca="1"/>
        <v>16.474499999999999</v>
      </c>
      <c r="G380" s="101" vm="3545">
        <f ca="1"/>
        <v>17.14</v>
      </c>
      <c r="H380" s="101" vm="6863">
        <f ca="1"/>
        <v>15.853</v>
      </c>
      <c r="I380" s="102" vm="6864">
        <f ca="1"/>
        <v>1856918740</v>
      </c>
    </row>
    <row r="381" spans="4:9" x14ac:dyDescent="0.3">
      <c r="D381" s="100" vm="2194">
        <f ca="1"/>
        <v>44739</v>
      </c>
      <c r="E381" s="101" vm="6865">
        <f ca="1"/>
        <v>14.523</v>
      </c>
      <c r="F381" s="101" vm="6866">
        <f ca="1"/>
        <v>17.312000000000001</v>
      </c>
      <c r="G381" s="101" vm="4023">
        <f ca="1"/>
        <v>17.329999999999998</v>
      </c>
      <c r="H381" s="101" vm="6867">
        <f ca="1"/>
        <v>14.391999999999999</v>
      </c>
      <c r="I381" s="102" vm="6868">
        <f ca="1"/>
        <v>2635859630</v>
      </c>
    </row>
    <row r="382" spans="4:9" x14ac:dyDescent="0.3">
      <c r="D382" s="100" vm="2200">
        <f ca="1"/>
        <v>44747</v>
      </c>
      <c r="E382" s="101" vm="6869">
        <f ca="1"/>
        <v>15.837999999999999</v>
      </c>
      <c r="F382" s="101" vm="6870">
        <f ca="1"/>
        <v>14.175000000000001</v>
      </c>
      <c r="G382" s="101" vm="6871">
        <f ca="1"/>
        <v>16.036999999999999</v>
      </c>
      <c r="H382" s="101" vm="6872">
        <f ca="1"/>
        <v>14.055</v>
      </c>
      <c r="I382" s="102" vm="6873">
        <f ca="1"/>
        <v>2142147990</v>
      </c>
    </row>
    <row r="383" spans="4:9" x14ac:dyDescent="0.3">
      <c r="D383" s="100" vm="2206">
        <f ca="1"/>
        <v>44753</v>
      </c>
      <c r="E383" s="101" vm="6874">
        <f ca="1"/>
        <v>15.762</v>
      </c>
      <c r="F383" s="101" vm="6875">
        <f ca="1"/>
        <v>15.526</v>
      </c>
      <c r="G383" s="101" vm="6876">
        <f ca="1"/>
        <v>15.782</v>
      </c>
      <c r="H383" s="101" vm="6877">
        <f ca="1"/>
        <v>14.465</v>
      </c>
      <c r="I383" s="102" vm="6878">
        <f ca="1"/>
        <v>2260960480</v>
      </c>
    </row>
    <row r="384" spans="4:9" x14ac:dyDescent="0.3">
      <c r="D384" s="100" vm="2211">
        <f ca="1"/>
        <v>44760</v>
      </c>
      <c r="E384" s="101" vm="6879">
        <f ca="1"/>
        <v>17.318999999999999</v>
      </c>
      <c r="F384" s="101" vm="6880">
        <f ca="1"/>
        <v>16.302</v>
      </c>
      <c r="G384" s="101" vm="6881">
        <f ca="1"/>
        <v>18.143999999999998</v>
      </c>
      <c r="H384" s="101" vm="6882">
        <f ca="1"/>
        <v>16.001999999999999</v>
      </c>
      <c r="I384" s="102" vm="6883">
        <f ca="1"/>
        <v>3227141480</v>
      </c>
    </row>
    <row r="385" spans="4:9" x14ac:dyDescent="0.3">
      <c r="D385" s="100" vm="2217">
        <f ca="1"/>
        <v>44767</v>
      </c>
      <c r="E385" s="101" vm="6884">
        <f ca="1"/>
        <v>18.163</v>
      </c>
      <c r="F385" s="101" vm="6885">
        <f ca="1"/>
        <v>17.018999999999998</v>
      </c>
      <c r="G385" s="101" vm="6886">
        <f ca="1"/>
        <v>18.244</v>
      </c>
      <c r="H385" s="101" vm="6887">
        <f ca="1"/>
        <v>16.478000000000002</v>
      </c>
      <c r="I385" s="102" vm="6888">
        <f ca="1"/>
        <v>2358495350</v>
      </c>
    </row>
    <row r="386" spans="4:9" x14ac:dyDescent="0.3">
      <c r="D386" s="100" vm="2223">
        <f ca="1"/>
        <v>44774</v>
      </c>
      <c r="E386" s="101" vm="6889">
        <f ca="1"/>
        <v>18.989000000000001</v>
      </c>
      <c r="F386" s="101" vm="6890">
        <f ca="1"/>
        <v>18.181999999999999</v>
      </c>
      <c r="G386" s="101" vm="6891">
        <f ca="1"/>
        <v>19.274000000000001</v>
      </c>
      <c r="H386" s="101" vm="6832">
        <f ca="1"/>
        <v>17.989999999999998</v>
      </c>
      <c r="I386" s="102" vm="6892">
        <f ca="1"/>
        <v>2179862090</v>
      </c>
    </row>
    <row r="387" spans="4:9" x14ac:dyDescent="0.3">
      <c r="D387" s="100" vm="2229">
        <f ca="1"/>
        <v>44781</v>
      </c>
      <c r="E387" s="101" vm="6893">
        <f ca="1"/>
        <v>18.709</v>
      </c>
      <c r="F387" s="101" vm="6894">
        <f ca="1"/>
        <v>17.501999999999999</v>
      </c>
      <c r="G387" s="101" vm="6895">
        <f ca="1"/>
        <v>18.718</v>
      </c>
      <c r="H387" s="101" vm="6896">
        <f ca="1"/>
        <v>16.724</v>
      </c>
      <c r="I387" s="102" vm="6897">
        <f ca="1"/>
        <v>3236888990</v>
      </c>
    </row>
    <row r="388" spans="4:9" x14ac:dyDescent="0.3">
      <c r="D388" s="100" vm="2234">
        <f ca="1"/>
        <v>44788</v>
      </c>
      <c r="E388" s="101" vm="6898">
        <f ca="1"/>
        <v>17.849</v>
      </c>
      <c r="F388" s="101" vm="6899">
        <f ca="1"/>
        <v>18.701000000000001</v>
      </c>
      <c r="G388" s="101" vm="6900">
        <f ca="1"/>
        <v>19.164000000000001</v>
      </c>
      <c r="H388" s="101" vm="6901">
        <f ca="1"/>
        <v>17.77</v>
      </c>
      <c r="I388" s="102" vm="6902">
        <f ca="1"/>
        <v>2212739200</v>
      </c>
    </row>
    <row r="389" spans="4:9" x14ac:dyDescent="0.3">
      <c r="D389" s="100" vm="2239">
        <f ca="1"/>
        <v>44795</v>
      </c>
      <c r="E389" s="101" vm="6903">
        <f ca="1"/>
        <v>16.260000000000002</v>
      </c>
      <c r="F389" s="101" vm="6904">
        <f ca="1"/>
        <v>17.489999999999998</v>
      </c>
      <c r="G389" s="101" vm="6905">
        <f ca="1"/>
        <v>17.946999999999999</v>
      </c>
      <c r="H389" s="101" vm="6906">
        <f ca="1"/>
        <v>16.236999999999998</v>
      </c>
      <c r="I389" s="102" vm="6907">
        <f ca="1"/>
        <v>2842057950</v>
      </c>
    </row>
    <row r="390" spans="4:9" x14ac:dyDescent="0.3">
      <c r="D390" s="100" vm="2244">
        <f ca="1"/>
        <v>44802</v>
      </c>
      <c r="E390" s="101" vm="6908">
        <f ca="1"/>
        <v>13.647</v>
      </c>
      <c r="F390" s="101" vm="4136">
        <f ca="1"/>
        <v>16.02</v>
      </c>
      <c r="G390" s="101" vm="6909">
        <f ca="1"/>
        <v>16.338000000000001</v>
      </c>
      <c r="H390" s="101" vm="6910">
        <f ca="1"/>
        <v>13.270200000000001</v>
      </c>
      <c r="I390" s="102" vm="6911">
        <f ca="1"/>
        <v>3522045090</v>
      </c>
    </row>
    <row r="391" spans="4:9" x14ac:dyDescent="0.3">
      <c r="D391" s="100" vm="2250">
        <f ca="1"/>
        <v>44810</v>
      </c>
      <c r="E391" s="101" vm="6912">
        <f ca="1"/>
        <v>14.387</v>
      </c>
      <c r="F391" s="101" vm="6913">
        <f ca="1"/>
        <v>13.731</v>
      </c>
      <c r="G391" s="101" vm="6914">
        <f ca="1"/>
        <v>14.474</v>
      </c>
      <c r="H391" s="101" vm="6915">
        <f ca="1"/>
        <v>13.346</v>
      </c>
      <c r="I391" s="102" vm="6916">
        <f ca="1"/>
        <v>2160410180</v>
      </c>
    </row>
    <row r="392" spans="4:9" x14ac:dyDescent="0.3">
      <c r="D392" s="100" vm="2256">
        <f ca="1"/>
        <v>44816</v>
      </c>
      <c r="E392" s="101" vm="6917">
        <f ca="1"/>
        <v>13.198</v>
      </c>
      <c r="F392" s="101" vm="6918">
        <f ca="1"/>
        <v>14.369</v>
      </c>
      <c r="G392" s="101" vm="6919">
        <f ca="1"/>
        <v>14.547000000000001</v>
      </c>
      <c r="H392" s="101" vm="6920">
        <f ca="1"/>
        <v>12.617000000000001</v>
      </c>
      <c r="I392" s="102" vm="6921">
        <f ca="1"/>
        <v>2981997970</v>
      </c>
    </row>
    <row r="393" spans="4:9" x14ac:dyDescent="0.3">
      <c r="D393" s="100" vm="2262">
        <f ca="1"/>
        <v>44823</v>
      </c>
      <c r="E393" s="101" vm="6922">
        <f ca="1"/>
        <v>12.516</v>
      </c>
      <c r="F393" s="101" vm="6923">
        <f ca="1"/>
        <v>13.012</v>
      </c>
      <c r="G393" s="101" vm="6924">
        <f ca="1"/>
        <v>14.031000000000001</v>
      </c>
      <c r="H393" s="101" vm="6925">
        <f ca="1"/>
        <v>12.257</v>
      </c>
      <c r="I393" s="102" vm="6926">
        <f ca="1"/>
        <v>3324653900</v>
      </c>
    </row>
    <row r="394" spans="4:9" x14ac:dyDescent="0.3">
      <c r="D394" s="100" vm="2267">
        <f ca="1"/>
        <v>44830</v>
      </c>
      <c r="E394" s="101" vm="6927">
        <f ca="1"/>
        <v>12.138999999999999</v>
      </c>
      <c r="F394" s="101" vm="6928">
        <f ca="1"/>
        <v>12.491</v>
      </c>
      <c r="G394" s="101" vm="6495">
        <f ca="1"/>
        <v>12.823</v>
      </c>
      <c r="H394" s="101" vm="6929">
        <f ca="1"/>
        <v>11.946</v>
      </c>
      <c r="I394" s="102" vm="6930">
        <f ca="1"/>
        <v>2742012170</v>
      </c>
    </row>
    <row r="395" spans="4:9" x14ac:dyDescent="0.3">
      <c r="D395" s="100" vm="2273">
        <f ca="1"/>
        <v>44837</v>
      </c>
      <c r="E395" s="101" vm="6931">
        <f ca="1"/>
        <v>12.076000000000001</v>
      </c>
      <c r="F395" s="101" vm="6932">
        <f ca="1"/>
        <v>12.347</v>
      </c>
      <c r="G395" s="101" vm="6933">
        <f ca="1"/>
        <v>13.656000000000001</v>
      </c>
      <c r="H395" s="101" vm="6934">
        <f ca="1"/>
        <v>12.022</v>
      </c>
      <c r="I395" s="102" vm="6935">
        <f ca="1"/>
        <v>2955425920</v>
      </c>
    </row>
    <row r="396" spans="4:9" x14ac:dyDescent="0.3">
      <c r="D396" s="100" vm="2279">
        <f ca="1"/>
        <v>44844</v>
      </c>
      <c r="E396" s="101" vm="6936">
        <f ca="1"/>
        <v>11.227</v>
      </c>
      <c r="F396" s="101" vm="6937">
        <f ca="1"/>
        <v>12.037000000000001</v>
      </c>
      <c r="G396" s="101" vm="6938">
        <f ca="1"/>
        <v>12.1243</v>
      </c>
      <c r="H396" s="101" vm="6939">
        <f ca="1"/>
        <v>10.813000000000001</v>
      </c>
      <c r="I396" s="102" vm="6940">
        <f ca="1"/>
        <v>3422306070</v>
      </c>
    </row>
    <row r="397" spans="4:9" x14ac:dyDescent="0.3">
      <c r="D397" s="100" vm="2285">
        <f ca="1"/>
        <v>44851</v>
      </c>
      <c r="E397" s="101" vm="6941">
        <f ca="1"/>
        <v>12.465999999999999</v>
      </c>
      <c r="F397" s="101" vm="6942">
        <f ca="1"/>
        <v>11.518000000000001</v>
      </c>
      <c r="G397" s="101" vm="6943">
        <f ca="1"/>
        <v>12.769</v>
      </c>
      <c r="H397" s="101" vm="6944">
        <f ca="1"/>
        <v>11.516999999999999</v>
      </c>
      <c r="I397" s="102" vm="6945">
        <f ca="1"/>
        <v>3025158860</v>
      </c>
    </row>
    <row r="398" spans="4:9" x14ac:dyDescent="0.3">
      <c r="D398" s="100" vm="2291">
        <f ca="1"/>
        <v>44858</v>
      </c>
      <c r="E398" s="101" vm="6946">
        <f ca="1"/>
        <v>13.834</v>
      </c>
      <c r="F398" s="101" vm="6947">
        <f ca="1"/>
        <v>12.507999999999999</v>
      </c>
      <c r="G398" s="101" vm="3343">
        <f ca="1"/>
        <v>13.85</v>
      </c>
      <c r="H398" s="101" vm="6948">
        <f ca="1"/>
        <v>12.064</v>
      </c>
      <c r="I398" s="102" vm="6949">
        <f ca="1"/>
        <v>2662626030</v>
      </c>
    </row>
    <row r="399" spans="4:9" x14ac:dyDescent="0.3">
      <c r="D399" s="100" vm="2297">
        <f ca="1"/>
        <v>44865</v>
      </c>
      <c r="E399" s="101" vm="6950">
        <f ca="1"/>
        <v>14.156000000000001</v>
      </c>
      <c r="F399" s="101" vm="6951">
        <f ca="1"/>
        <v>13.778</v>
      </c>
      <c r="G399" s="101" vm="6952">
        <f ca="1"/>
        <v>14.228999999999999</v>
      </c>
      <c r="H399" s="101" vm="6953">
        <f ca="1"/>
        <v>12.956</v>
      </c>
      <c r="I399" s="102" vm="6954">
        <f ca="1"/>
        <v>2704426500</v>
      </c>
    </row>
    <row r="400" spans="4:9" x14ac:dyDescent="0.3">
      <c r="D400" s="100" vm="2302">
        <f ca="1"/>
        <v>44872</v>
      </c>
      <c r="E400" s="101" vm="6955">
        <f ca="1"/>
        <v>16.327000000000002</v>
      </c>
      <c r="F400" s="101" vm="6956">
        <f ca="1"/>
        <v>14.228</v>
      </c>
      <c r="G400" s="101" vm="6957">
        <f ca="1"/>
        <v>16.388999999999999</v>
      </c>
      <c r="H400" s="101" vm="6958">
        <f ca="1"/>
        <v>13.759</v>
      </c>
      <c r="I400" s="102" vm="6959">
        <f ca="1"/>
        <v>2816073320</v>
      </c>
    </row>
    <row r="401" spans="4:9" x14ac:dyDescent="0.3">
      <c r="D401" s="100" vm="2308">
        <f ca="1"/>
        <v>44879</v>
      </c>
      <c r="E401" s="101" vm="6960">
        <f ca="1"/>
        <v>15.409000000000001</v>
      </c>
      <c r="F401" s="101" vm="6961">
        <f ca="1"/>
        <v>16.218</v>
      </c>
      <c r="G401" s="101" vm="6962">
        <f ca="1"/>
        <v>16.998000000000001</v>
      </c>
      <c r="H401" s="101" vm="3424">
        <f ca="1"/>
        <v>15.12</v>
      </c>
      <c r="I401" s="102" vm="6963">
        <f ca="1"/>
        <v>2926240000</v>
      </c>
    </row>
    <row r="402" spans="4:9" x14ac:dyDescent="0.3">
      <c r="D402" s="100" vm="2313">
        <f ca="1"/>
        <v>44886</v>
      </c>
      <c r="E402" s="101" vm="6614">
        <f ca="1"/>
        <v>16.27</v>
      </c>
      <c r="F402" s="101" vm="6964">
        <f ca="1"/>
        <v>15.147</v>
      </c>
      <c r="G402" s="101" vm="6965">
        <f ca="1"/>
        <v>16.527000000000001</v>
      </c>
      <c r="H402" s="101" vm="6966">
        <f ca="1"/>
        <v>15.08</v>
      </c>
      <c r="I402" s="102" vm="6967">
        <f ca="1"/>
        <v>1472780610</v>
      </c>
    </row>
    <row r="403" spans="4:9" x14ac:dyDescent="0.3">
      <c r="D403" s="100" vm="2319">
        <f ca="1"/>
        <v>44893</v>
      </c>
      <c r="E403" s="101" vm="6968">
        <f ca="1"/>
        <v>16.876000000000001</v>
      </c>
      <c r="F403" s="101" vm="6969">
        <f ca="1"/>
        <v>16.026</v>
      </c>
      <c r="G403" s="101" vm="6970">
        <f ca="1"/>
        <v>17.265000000000001</v>
      </c>
      <c r="H403" s="101" vm="4097">
        <f ca="1"/>
        <v>15.52</v>
      </c>
      <c r="I403" s="102" vm="6971">
        <f ca="1"/>
        <v>2010199870</v>
      </c>
    </row>
    <row r="404" spans="4:9" x14ac:dyDescent="0.3">
      <c r="D404" s="100" vm="2325">
        <f ca="1"/>
        <v>44900</v>
      </c>
      <c r="E404" s="101" vm="6972">
        <f ca="1"/>
        <v>17.001000000000001</v>
      </c>
      <c r="F404" s="101" vm="6973">
        <f ca="1"/>
        <v>16.678999999999998</v>
      </c>
      <c r="G404" s="101" vm="6974">
        <f ca="1"/>
        <v>17.582999999999998</v>
      </c>
      <c r="H404" s="101" vm="6975">
        <f ca="1"/>
        <v>15.667</v>
      </c>
      <c r="I404" s="102" vm="6976">
        <f ca="1"/>
        <v>2058130750</v>
      </c>
    </row>
    <row r="405" spans="4:9" x14ac:dyDescent="0.3">
      <c r="D405" s="100" vm="2330">
        <f ca="1"/>
        <v>44907</v>
      </c>
      <c r="E405" s="101" vm="6977">
        <f ca="1"/>
        <v>16.571000000000002</v>
      </c>
      <c r="F405" s="101" vm="6978">
        <f ca="1"/>
        <v>17.036999999999999</v>
      </c>
      <c r="G405" s="101" vm="3999">
        <f ca="1"/>
        <v>18.79</v>
      </c>
      <c r="H405" s="101" vm="3466">
        <f ca="1"/>
        <v>16.41</v>
      </c>
      <c r="I405" s="102" vm="6979">
        <f ca="1"/>
        <v>2567578690</v>
      </c>
    </row>
    <row r="406" spans="4:9" x14ac:dyDescent="0.3">
      <c r="D406" s="100" vm="2336">
        <f ca="1"/>
        <v>44914</v>
      </c>
      <c r="E406" s="101" vm="6980">
        <f ca="1"/>
        <v>15.206</v>
      </c>
      <c r="F406" s="101" vm="6981">
        <f ca="1"/>
        <v>16.571999999999999</v>
      </c>
      <c r="G406" s="101" vm="6982">
        <f ca="1"/>
        <v>16.626999999999999</v>
      </c>
      <c r="H406" s="101" vm="6983">
        <f ca="1"/>
        <v>14.882</v>
      </c>
      <c r="I406" s="102" vm="6984">
        <f ca="1"/>
        <v>1996694840</v>
      </c>
    </row>
    <row r="407" spans="4:9" x14ac:dyDescent="0.3">
      <c r="D407" s="100" vm="2342">
        <f ca="1"/>
        <v>44922</v>
      </c>
      <c r="E407" s="101" vm="6985">
        <f ca="1"/>
        <v>14.614000000000001</v>
      </c>
      <c r="F407" s="101" vm="6986">
        <f ca="1"/>
        <v>15.074</v>
      </c>
      <c r="G407" s="101" vm="3436">
        <f ca="1"/>
        <v>15.1</v>
      </c>
      <c r="H407" s="101" vm="6987">
        <f ca="1"/>
        <v>13.884</v>
      </c>
      <c r="I407" s="102" vm="6988">
        <f ca="1"/>
        <v>1481381780</v>
      </c>
    </row>
    <row r="408" spans="4:9" x14ac:dyDescent="0.3">
      <c r="D408" s="100" vm="2348">
        <f ca="1"/>
        <v>44929</v>
      </c>
      <c r="E408" s="101" vm="6989">
        <f ca="1"/>
        <v>14.859</v>
      </c>
      <c r="F408" s="101" vm="6990">
        <f ca="1"/>
        <v>14.851000000000001</v>
      </c>
      <c r="G408" s="101" vm="6991">
        <f ca="1"/>
        <v>15.01</v>
      </c>
      <c r="H408" s="101" vm="6992">
        <f ca="1"/>
        <v>14.034000000000001</v>
      </c>
      <c r="I408" s="102" vm="6993">
        <f ca="1"/>
        <v>1626811910</v>
      </c>
    </row>
    <row r="409" spans="4:9" x14ac:dyDescent="0.3">
      <c r="D409" s="100" vm="2354">
        <f ca="1"/>
        <v>44935</v>
      </c>
      <c r="E409" s="101" vm="6994">
        <f ca="1"/>
        <v>16.899000000000001</v>
      </c>
      <c r="F409" s="101" vm="6995">
        <f ca="1"/>
        <v>15.284000000000001</v>
      </c>
      <c r="G409" s="101" vm="6996">
        <f ca="1"/>
        <v>16.922000000000001</v>
      </c>
      <c r="H409" s="101" vm="6997">
        <f ca="1"/>
        <v>15.141</v>
      </c>
      <c r="I409" s="102" vm="6998">
        <f ca="1"/>
        <v>2240312870</v>
      </c>
    </row>
    <row r="410" spans="4:9" x14ac:dyDescent="0.3">
      <c r="D410" s="100" vm="2360">
        <f ca="1"/>
        <v>44943</v>
      </c>
      <c r="E410" s="101" vm="6999">
        <f ca="1"/>
        <v>17.838999999999999</v>
      </c>
      <c r="F410" s="101" vm="6994">
        <f ca="1"/>
        <v>16.899000000000001</v>
      </c>
      <c r="G410" s="101" vm="7000">
        <f ca="1"/>
        <v>17.873000000000001</v>
      </c>
      <c r="H410" s="101" vm="7001">
        <f ca="1"/>
        <v>16.731000000000002</v>
      </c>
      <c r="I410" s="102" vm="7002">
        <f ca="1"/>
        <v>1968624430</v>
      </c>
    </row>
    <row r="411" spans="4:9" x14ac:dyDescent="0.3">
      <c r="D411" s="100" vm="2365">
        <f ca="1"/>
        <v>44949</v>
      </c>
      <c r="E411" s="101" vm="7003">
        <f ca="1"/>
        <v>20.364999999999998</v>
      </c>
      <c r="F411" s="101" vm="7004">
        <f ca="1"/>
        <v>18.064</v>
      </c>
      <c r="G411" s="101" vm="7005">
        <f ca="1"/>
        <v>20.628</v>
      </c>
      <c r="H411" s="101" vm="7006">
        <f ca="1"/>
        <v>17.817499999999999</v>
      </c>
      <c r="I411" s="102" vm="7007">
        <f ca="1"/>
        <v>2632581200</v>
      </c>
    </row>
    <row r="412" spans="4:9" x14ac:dyDescent="0.3">
      <c r="D412" s="100" vm="2371">
        <f ca="1"/>
        <v>44956</v>
      </c>
      <c r="E412" s="101" vm="7008">
        <f ca="1"/>
        <v>21.1</v>
      </c>
      <c r="F412" s="101" vm="3596">
        <f ca="1"/>
        <v>19.95</v>
      </c>
      <c r="G412" s="101" vm="7009">
        <f ca="1"/>
        <v>21.949000000000002</v>
      </c>
      <c r="H412" s="101" vm="4168">
        <f ca="1"/>
        <v>18.95</v>
      </c>
      <c r="I412" s="102" vm="7010">
        <f ca="1"/>
        <v>2640746520</v>
      </c>
    </row>
    <row r="413" spans="4:9" x14ac:dyDescent="0.3">
      <c r="D413" s="100" vm="2376">
        <f ca="1"/>
        <v>44963</v>
      </c>
      <c r="E413" s="101" vm="7011">
        <f ca="1"/>
        <v>21.265000000000001</v>
      </c>
      <c r="F413" s="101" vm="7012">
        <f ca="1"/>
        <v>20.806000000000001</v>
      </c>
      <c r="G413" s="101" vm="7013">
        <f ca="1"/>
        <v>23.02</v>
      </c>
      <c r="H413" s="101" vm="7014">
        <f ca="1"/>
        <v>20.786000000000001</v>
      </c>
      <c r="I413" s="102" vm="7015">
        <f ca="1"/>
        <v>2750610450</v>
      </c>
    </row>
    <row r="414" spans="4:9" x14ac:dyDescent="0.3">
      <c r="D414" s="100" vm="2382">
        <f ca="1"/>
        <v>44970</v>
      </c>
      <c r="E414" s="101" vm="7016">
        <f ca="1"/>
        <v>21.388000000000002</v>
      </c>
      <c r="F414" s="101" vm="7017">
        <f ca="1"/>
        <v>21.538</v>
      </c>
      <c r="G414" s="101" vm="7018">
        <f ca="1"/>
        <v>23.0488</v>
      </c>
      <c r="H414" s="101" vm="7019">
        <f ca="1"/>
        <v>20.962</v>
      </c>
      <c r="I414" s="102" vm="7020">
        <f ca="1"/>
        <v>2449494300</v>
      </c>
    </row>
    <row r="415" spans="4:9" x14ac:dyDescent="0.3">
      <c r="D415" s="100" vm="2388">
        <f ca="1"/>
        <v>44978</v>
      </c>
      <c r="E415" s="101" vm="7021">
        <f ca="1"/>
        <v>23.286000000000001</v>
      </c>
      <c r="F415" s="101" vm="3652">
        <f ca="1"/>
        <v>21</v>
      </c>
      <c r="G415" s="101" vm="7022">
        <f ca="1"/>
        <v>23.888000000000002</v>
      </c>
      <c r="H415" s="101" vm="7023">
        <f ca="1"/>
        <v>20.420999999999999</v>
      </c>
      <c r="I415" s="102" vm="7024">
        <f ca="1"/>
        <v>2630910190</v>
      </c>
    </row>
    <row r="416" spans="4:9" x14ac:dyDescent="0.3">
      <c r="D416" s="100" vm="2394">
        <f ca="1"/>
        <v>44984</v>
      </c>
      <c r="E416" s="101" vm="4205">
        <f ca="1"/>
        <v>23.89</v>
      </c>
      <c r="F416" s="101" vm="3823">
        <f ca="1"/>
        <v>23.67</v>
      </c>
      <c r="G416" s="101" vm="3694">
        <f ca="1"/>
        <v>23.9</v>
      </c>
      <c r="H416" s="101" vm="7025">
        <f ca="1"/>
        <v>22.431999999999999</v>
      </c>
      <c r="I416" s="102" vm="7026">
        <f ca="1"/>
        <v>2171450040</v>
      </c>
    </row>
    <row r="417" spans="4:9" x14ac:dyDescent="0.3">
      <c r="D417" s="100" vm="2400">
        <f ca="1"/>
        <v>44991</v>
      </c>
      <c r="E417" s="101" vm="7027">
        <f ca="1"/>
        <v>22.965</v>
      </c>
      <c r="F417" s="101" vm="7028">
        <f ca="1"/>
        <v>23.890999999999998</v>
      </c>
      <c r="G417" s="101" vm="7029">
        <f ca="1"/>
        <v>24.454000000000001</v>
      </c>
      <c r="H417" s="101" vm="6706">
        <f ca="1"/>
        <v>22.725999999999999</v>
      </c>
      <c r="I417" s="102" vm="7030">
        <f ca="1"/>
        <v>2442279140</v>
      </c>
    </row>
    <row r="418" spans="4:9" x14ac:dyDescent="0.3">
      <c r="D418" s="100" vm="2406">
        <f ca="1"/>
        <v>44998</v>
      </c>
      <c r="E418" s="101" vm="7031">
        <f ca="1"/>
        <v>25.725000000000001</v>
      </c>
      <c r="F418" s="101" vm="7032">
        <f ca="1"/>
        <v>22.751999999999999</v>
      </c>
      <c r="G418" s="101" vm="7033">
        <f ca="1"/>
        <v>26.399000000000001</v>
      </c>
      <c r="H418" s="101" vm="7034">
        <f ca="1"/>
        <v>22.297000000000001</v>
      </c>
      <c r="I418" s="102" vm="7035">
        <f ca="1"/>
        <v>2854779010</v>
      </c>
    </row>
    <row r="419" spans="4:9" x14ac:dyDescent="0.3">
      <c r="D419" s="100" vm="2411">
        <f ca="1"/>
        <v>45005</v>
      </c>
      <c r="E419" s="101" vm="7036">
        <f ca="1"/>
        <v>26.779</v>
      </c>
      <c r="F419" s="101" vm="7037">
        <f ca="1"/>
        <v>25.614999999999998</v>
      </c>
      <c r="G419" s="101" vm="7038">
        <f ca="1"/>
        <v>27.588999999999999</v>
      </c>
      <c r="H419" s="101" vm="7039">
        <f ca="1"/>
        <v>25.129799999999999</v>
      </c>
      <c r="I419" s="102" vm="7040">
        <f ca="1"/>
        <v>2797752890</v>
      </c>
    </row>
    <row r="420" spans="4:9" x14ac:dyDescent="0.3">
      <c r="D420" s="100" vm="2417">
        <f ca="1"/>
        <v>45012</v>
      </c>
      <c r="E420" s="101" vm="7041">
        <f ca="1"/>
        <v>27.777000000000001</v>
      </c>
      <c r="F420" s="101" vm="7042">
        <f ca="1"/>
        <v>26.837</v>
      </c>
      <c r="G420" s="101" vm="7043">
        <f ca="1"/>
        <v>27.834299999999999</v>
      </c>
      <c r="H420" s="101" vm="7044">
        <f ca="1"/>
        <v>25.85</v>
      </c>
      <c r="I420" s="102" vm="7045">
        <f ca="1"/>
        <v>1909271900</v>
      </c>
    </row>
    <row r="421" spans="4:9" x14ac:dyDescent="0.3">
      <c r="D421" s="100" vm="2423">
        <f ca="1"/>
        <v>45019</v>
      </c>
      <c r="E421" s="101" vm="7046">
        <f ca="1"/>
        <v>27.036999999999999</v>
      </c>
      <c r="F421" s="101" vm="7047">
        <f ca="1"/>
        <v>27.509</v>
      </c>
      <c r="G421" s="101" vm="4375">
        <f ca="1"/>
        <v>28</v>
      </c>
      <c r="H421" s="101" vm="7048">
        <f ca="1"/>
        <v>26.395</v>
      </c>
      <c r="I421" s="102" vm="7049">
        <f ca="1"/>
        <v>1679976210</v>
      </c>
    </row>
    <row r="422" spans="4:9" x14ac:dyDescent="0.3">
      <c r="D422" s="100" vm="2429">
        <f ca="1"/>
        <v>45026</v>
      </c>
      <c r="E422" s="101" vm="7050">
        <f ca="1"/>
        <v>26.757999999999999</v>
      </c>
      <c r="F422" s="101" vm="7051">
        <f ca="1"/>
        <v>26.823</v>
      </c>
      <c r="G422" s="101" vm="4630">
        <f ca="1"/>
        <v>27.79</v>
      </c>
      <c r="H422" s="101" vm="296">
        <f ca="1"/>
        <v>26.22</v>
      </c>
      <c r="I422" s="102" vm="7052">
        <f ca="1"/>
        <v>1905191080</v>
      </c>
    </row>
    <row r="423" spans="4:9" x14ac:dyDescent="0.3">
      <c r="D423" s="100" vm="2435">
        <f ca="1"/>
        <v>45033</v>
      </c>
      <c r="E423" s="101" vm="7053">
        <f ca="1"/>
        <v>27.119</v>
      </c>
      <c r="F423" s="101" vm="7054">
        <f ca="1"/>
        <v>26.5655</v>
      </c>
      <c r="G423" s="101" vm="7055">
        <f ca="1"/>
        <v>28.11</v>
      </c>
      <c r="H423" s="101" vm="7056">
        <f ca="1"/>
        <v>26.433199999999999</v>
      </c>
      <c r="I423" s="102" vm="7057">
        <f ca="1"/>
        <v>2057759280</v>
      </c>
    </row>
    <row r="424" spans="4:9" x14ac:dyDescent="0.3">
      <c r="D424" s="100" vm="2440">
        <f ca="1"/>
        <v>45040</v>
      </c>
      <c r="E424" s="101" vm="7058">
        <f ca="1"/>
        <v>27.748999999999999</v>
      </c>
      <c r="F424" s="101" vm="7059">
        <f ca="1"/>
        <v>27.013000000000002</v>
      </c>
      <c r="G424" s="101" vm="7060">
        <f ca="1"/>
        <v>27.757999999999999</v>
      </c>
      <c r="H424" s="101" vm="7061">
        <f ca="1"/>
        <v>26.225000000000001</v>
      </c>
      <c r="I424" s="102" vm="7062">
        <f ca="1"/>
        <v>1793523160</v>
      </c>
    </row>
    <row r="425" spans="4:9" x14ac:dyDescent="0.3">
      <c r="D425" s="100" vm="2445">
        <f ca="1"/>
        <v>45047</v>
      </c>
      <c r="E425" s="101" vm="454">
        <f ca="1"/>
        <v>28.68</v>
      </c>
      <c r="F425" s="101" vm="7063">
        <f ca="1"/>
        <v>27.84</v>
      </c>
      <c r="G425" s="101" vm="7064">
        <f ca="1"/>
        <v>29.058399999999999</v>
      </c>
      <c r="H425" s="101" vm="4706">
        <f ca="1"/>
        <v>27.24</v>
      </c>
      <c r="I425" s="102" vm="7065">
        <f ca="1"/>
        <v>2039789990</v>
      </c>
    </row>
    <row r="426" spans="4:9" x14ac:dyDescent="0.3">
      <c r="D426" s="100" vm="2451">
        <f ca="1"/>
        <v>45054</v>
      </c>
      <c r="E426" s="101" vm="7066">
        <f ca="1"/>
        <v>28.34</v>
      </c>
      <c r="F426" s="101" vm="7067">
        <f ca="1"/>
        <v>28.521999999999998</v>
      </c>
      <c r="G426" s="101" vm="4689">
        <f ca="1"/>
        <v>29.22</v>
      </c>
      <c r="H426" s="101" vm="7068">
        <f ca="1"/>
        <v>28.045999999999999</v>
      </c>
      <c r="I426" s="102" vm="7069">
        <f ca="1"/>
        <v>1625569620</v>
      </c>
    </row>
    <row r="427" spans="4:9" x14ac:dyDescent="0.3">
      <c r="D427" s="100" vm="2457">
        <f ca="1"/>
        <v>45061</v>
      </c>
      <c r="E427" s="101" vm="7070">
        <f ca="1"/>
        <v>31.263999999999999</v>
      </c>
      <c r="F427" s="101" vm="7071">
        <f ca="1"/>
        <v>28.508500000000002</v>
      </c>
      <c r="G427" s="101" vm="7072">
        <f ca="1"/>
        <v>31.827999999999999</v>
      </c>
      <c r="H427" s="101" vm="7073">
        <f ca="1"/>
        <v>28.152000000000001</v>
      </c>
      <c r="I427" s="102" vm="7074">
        <f ca="1"/>
        <v>2398498880</v>
      </c>
    </row>
    <row r="428" spans="4:9" x14ac:dyDescent="0.3">
      <c r="D428" s="100" vm="2463">
        <f ca="1"/>
        <v>45068</v>
      </c>
      <c r="E428" s="101" vm="7075">
        <f ca="1"/>
        <v>38.945999999999998</v>
      </c>
      <c r="F428" s="101" vm="7076">
        <f ca="1"/>
        <v>30.901</v>
      </c>
      <c r="G428" s="101" vm="7077">
        <f ca="1"/>
        <v>39.479999999999997</v>
      </c>
      <c r="H428" s="101" vm="7078">
        <f ca="1"/>
        <v>29.806000000000001</v>
      </c>
      <c r="I428" s="102" vm="7079">
        <f ca="1"/>
        <v>3707978870</v>
      </c>
    </row>
    <row r="429" spans="4:9" x14ac:dyDescent="0.3">
      <c r="D429" s="100" vm="2469">
        <f ca="1"/>
        <v>45076</v>
      </c>
      <c r="E429" s="101" vm="7080">
        <f ca="1"/>
        <v>39.326999999999998</v>
      </c>
      <c r="F429" s="101" vm="7081">
        <f ca="1"/>
        <v>40.594999999999999</v>
      </c>
      <c r="G429" s="101" vm="7082">
        <f ca="1"/>
        <v>41.938000000000002</v>
      </c>
      <c r="H429" s="101" vm="7083">
        <f ca="1"/>
        <v>37.822000000000003</v>
      </c>
      <c r="I429" s="102" vm="7084">
        <f ca="1"/>
        <v>3044585460</v>
      </c>
    </row>
    <row r="430" spans="4:9" x14ac:dyDescent="0.3">
      <c r="D430" s="100" vm="2475">
        <f ca="1"/>
        <v>45082</v>
      </c>
      <c r="E430" s="101" vm="7085">
        <f ca="1"/>
        <v>38.770000000000003</v>
      </c>
      <c r="F430" s="101" vm="7086">
        <f ca="1"/>
        <v>38.908999999999999</v>
      </c>
      <c r="G430" s="101" vm="7087">
        <f ca="1"/>
        <v>39.710999999999999</v>
      </c>
      <c r="H430" s="101" vm="7088">
        <f ca="1"/>
        <v>37.356000000000002</v>
      </c>
      <c r="I430" s="102" vm="7089">
        <f ca="1"/>
        <v>2142310710</v>
      </c>
    </row>
    <row r="431" spans="4:9" x14ac:dyDescent="0.3">
      <c r="D431" s="100" vm="2481">
        <f ca="1"/>
        <v>45089</v>
      </c>
      <c r="E431" s="101" vm="7090">
        <f ca="1"/>
        <v>42.692</v>
      </c>
      <c r="F431" s="101" vm="7091">
        <f ca="1"/>
        <v>39.200000000000003</v>
      </c>
      <c r="G431" s="101" vm="7092">
        <f ca="1"/>
        <v>43.720999999999997</v>
      </c>
      <c r="H431" s="101" vm="7093">
        <f ca="1"/>
        <v>38.618000000000002</v>
      </c>
      <c r="I431" s="102" vm="7094">
        <f ca="1"/>
        <v>2967677980</v>
      </c>
    </row>
    <row r="432" spans="4:9" x14ac:dyDescent="0.3">
      <c r="D432" s="100" vm="2487">
        <f ca="1"/>
        <v>45097</v>
      </c>
      <c r="E432" s="101" vm="7095">
        <f ca="1"/>
        <v>42.209000000000003</v>
      </c>
      <c r="F432" s="101" vm="7096">
        <f ca="1"/>
        <v>42.997999999999998</v>
      </c>
      <c r="G432" s="101" vm="7097">
        <f ca="1"/>
        <v>43.99</v>
      </c>
      <c r="H432" s="101" vm="7098">
        <f ca="1"/>
        <v>42.015000000000001</v>
      </c>
      <c r="I432" s="102" vm="7099">
        <f ca="1"/>
        <v>1778633290</v>
      </c>
    </row>
    <row r="433" spans="4:9" x14ac:dyDescent="0.3">
      <c r="D433" s="100" vm="2493">
        <f ca="1"/>
        <v>45103</v>
      </c>
      <c r="E433" s="101" vm="7100">
        <f ca="1"/>
        <v>42.302</v>
      </c>
      <c r="F433" s="101" vm="7101">
        <f ca="1"/>
        <v>42.460999999999999</v>
      </c>
      <c r="G433" s="101" vm="7102">
        <f ca="1"/>
        <v>42.764000000000003</v>
      </c>
      <c r="H433" s="101" vm="7103">
        <f ca="1"/>
        <v>40.1</v>
      </c>
      <c r="I433" s="102" vm="7104">
        <f ca="1"/>
        <v>2520797940</v>
      </c>
    </row>
    <row r="434" spans="4:9" x14ac:dyDescent="0.3">
      <c r="D434" s="100" vm="2499">
        <f ca="1"/>
        <v>45110</v>
      </c>
      <c r="E434" s="101" vm="7105">
        <f ca="1"/>
        <v>42.503</v>
      </c>
      <c r="F434" s="101" vm="7106">
        <f ca="1"/>
        <v>42.517000000000003</v>
      </c>
      <c r="G434" s="101" vm="7107">
        <f ca="1"/>
        <v>43.213999999999999</v>
      </c>
      <c r="H434" s="101" vm="7108">
        <f ca="1"/>
        <v>41.345999999999997</v>
      </c>
      <c r="I434" s="102" vm="7109">
        <f ca="1"/>
        <v>1181847010</v>
      </c>
    </row>
    <row r="435" spans="4:9" x14ac:dyDescent="0.3">
      <c r="D435" s="100" vm="2505">
        <f ca="1"/>
        <v>45117</v>
      </c>
      <c r="E435" s="101" vm="7110">
        <f ca="1"/>
        <v>45.469000000000001</v>
      </c>
      <c r="F435" s="101" vm="7111">
        <f ca="1"/>
        <v>42.656999999999996</v>
      </c>
      <c r="G435" s="101" vm="7112">
        <f ca="1"/>
        <v>48.088000000000001</v>
      </c>
      <c r="H435" s="101" vm="7113">
        <f ca="1"/>
        <v>41.649000000000001</v>
      </c>
      <c r="I435" s="102" vm="7114">
        <f ca="1"/>
        <v>2383708210</v>
      </c>
    </row>
    <row r="436" spans="4:9" x14ac:dyDescent="0.3">
      <c r="D436" s="100" vm="2511">
        <f ca="1"/>
        <v>45124</v>
      </c>
      <c r="E436" s="101" vm="7115">
        <f ca="1"/>
        <v>44.308999999999997</v>
      </c>
      <c r="F436" s="101" vm="7116">
        <f ca="1"/>
        <v>46.289000000000001</v>
      </c>
      <c r="G436" s="101" vm="7117">
        <f ca="1"/>
        <v>47.896000000000001</v>
      </c>
      <c r="H436" s="101" vm="7118">
        <f ca="1"/>
        <v>44.1</v>
      </c>
      <c r="I436" s="102" vm="7119">
        <f ca="1"/>
        <v>3009813570</v>
      </c>
    </row>
    <row r="437" spans="4:9" x14ac:dyDescent="0.3">
      <c r="D437" s="100" vm="2517">
        <f ca="1"/>
        <v>45131</v>
      </c>
      <c r="E437" s="101" vm="7120">
        <f ca="1"/>
        <v>46.75</v>
      </c>
      <c r="F437" s="101" vm="7121">
        <f ca="1"/>
        <v>44.731000000000002</v>
      </c>
      <c r="G437" s="101" vm="7122">
        <f ca="1"/>
        <v>47.395000000000003</v>
      </c>
      <c r="H437" s="101" vm="7123">
        <f ca="1"/>
        <v>44.04</v>
      </c>
      <c r="I437" s="102" vm="7124">
        <f ca="1"/>
        <v>1882587670</v>
      </c>
    </row>
    <row r="438" spans="4:9" x14ac:dyDescent="0.3">
      <c r="D438" s="100" vm="2523">
        <f ca="1"/>
        <v>45138</v>
      </c>
      <c r="E438" s="101" vm="7125">
        <f ca="1"/>
        <v>44.68</v>
      </c>
      <c r="F438" s="101" vm="7126">
        <f ca="1"/>
        <v>46.753999999999998</v>
      </c>
      <c r="G438" s="101" vm="7127">
        <f ca="1"/>
        <v>47.13</v>
      </c>
      <c r="H438" s="101" vm="7128">
        <f ca="1"/>
        <v>43.387</v>
      </c>
      <c r="I438" s="102" vm="7129">
        <f ca="1"/>
        <v>1708215600</v>
      </c>
    </row>
    <row r="439" spans="4:9" x14ac:dyDescent="0.3">
      <c r="D439" s="100" vm="2529">
        <f ca="1"/>
        <v>45145</v>
      </c>
      <c r="E439" s="101" vm="7130">
        <f ca="1"/>
        <v>40.854999999999997</v>
      </c>
      <c r="F439" s="101" vm="7131">
        <f ca="1"/>
        <v>45.110999999999997</v>
      </c>
      <c r="G439" s="101" vm="7132">
        <f ca="1"/>
        <v>45.54</v>
      </c>
      <c r="H439" s="101" vm="7133">
        <f ca="1"/>
        <v>40.639000000000003</v>
      </c>
      <c r="I439" s="102" vm="7134">
        <f ca="1"/>
        <v>2288236600</v>
      </c>
    </row>
    <row r="440" spans="4:9" x14ac:dyDescent="0.3">
      <c r="D440" s="100" vm="2534">
        <f ca="1"/>
        <v>45152</v>
      </c>
      <c r="E440" s="101" vm="7135">
        <f ca="1"/>
        <v>43.298999999999999</v>
      </c>
      <c r="F440" s="101" vm="7136">
        <f ca="1"/>
        <v>40.485999999999997</v>
      </c>
      <c r="G440" s="101" vm="7137">
        <f ca="1"/>
        <v>45.268000000000001</v>
      </c>
      <c r="H440" s="101" vm="7138">
        <f ca="1"/>
        <v>40.311</v>
      </c>
      <c r="I440" s="102" vm="7139">
        <f ca="1"/>
        <v>2930410710</v>
      </c>
    </row>
    <row r="441" spans="4:9" x14ac:dyDescent="0.3">
      <c r="D441" s="100" vm="2540">
        <f ca="1"/>
        <v>45159</v>
      </c>
      <c r="E441" s="101" vm="7140">
        <f ca="1"/>
        <v>46.018000000000001</v>
      </c>
      <c r="F441" s="101" vm="7141">
        <f ca="1"/>
        <v>44.494</v>
      </c>
      <c r="G441" s="101" vm="7142">
        <f ca="1"/>
        <v>50.265999999999998</v>
      </c>
      <c r="H441" s="101" vm="7143">
        <f ca="1"/>
        <v>44.222000000000001</v>
      </c>
      <c r="I441" s="102" vm="7144">
        <f ca="1"/>
        <v>4310210970</v>
      </c>
    </row>
    <row r="442" spans="4:9" x14ac:dyDescent="0.3">
      <c r="D442" s="100" vm="2546">
        <f ca="1"/>
        <v>45166</v>
      </c>
      <c r="E442" s="101" vm="7145">
        <f ca="1"/>
        <v>48.509</v>
      </c>
      <c r="F442" s="101" vm="7146">
        <f ca="1"/>
        <v>46.481999999999999</v>
      </c>
      <c r="G442" s="101" vm="7147">
        <f ca="1"/>
        <v>49.927</v>
      </c>
      <c r="H442" s="101" vm="7148">
        <f ca="1"/>
        <v>44.887999999999998</v>
      </c>
      <c r="I442" s="102" vm="7149">
        <f ca="1"/>
        <v>3114195270</v>
      </c>
    </row>
    <row r="443" spans="4:9" x14ac:dyDescent="0.3">
      <c r="D443" s="100" vm="2552">
        <f ca="1"/>
        <v>45174</v>
      </c>
      <c r="E443" s="101" vm="7150">
        <f ca="1"/>
        <v>45.572000000000003</v>
      </c>
      <c r="F443" s="101" vm="7151">
        <f ca="1"/>
        <v>48.222999999999999</v>
      </c>
      <c r="G443" s="101" vm="7152">
        <f ca="1"/>
        <v>48.8508</v>
      </c>
      <c r="H443" s="101" vm="7153">
        <f ca="1"/>
        <v>45.152000000000001</v>
      </c>
      <c r="I443" s="102" vm="7154">
        <f ca="1"/>
        <v>1758551980</v>
      </c>
    </row>
    <row r="444" spans="4:9" x14ac:dyDescent="0.3">
      <c r="D444" s="100" vm="2558">
        <f ca="1"/>
        <v>45180</v>
      </c>
      <c r="E444" s="101" vm="1248">
        <f ca="1"/>
        <v>43.9</v>
      </c>
      <c r="F444" s="101" vm="7155">
        <f ca="1"/>
        <v>46.148000000000003</v>
      </c>
      <c r="G444" s="101" vm="7156">
        <f ca="1"/>
        <v>46.162999999999997</v>
      </c>
      <c r="H444" s="101" vm="7157">
        <f ca="1"/>
        <v>43.808</v>
      </c>
      <c r="I444" s="102" vm="7158">
        <f ca="1"/>
        <v>2098504950</v>
      </c>
    </row>
    <row r="445" spans="4:9" x14ac:dyDescent="0.3">
      <c r="D445" s="100" vm="2564">
        <f ca="1"/>
        <v>45187</v>
      </c>
      <c r="E445" s="101" vm="7159">
        <f ca="1"/>
        <v>41.61</v>
      </c>
      <c r="F445" s="101" vm="7160">
        <f ca="1"/>
        <v>42.747999999999998</v>
      </c>
      <c r="G445" s="101" vm="7161">
        <f ca="1"/>
        <v>44.241999999999997</v>
      </c>
      <c r="H445" s="101" vm="7162">
        <f ca="1"/>
        <v>40.98</v>
      </c>
      <c r="I445" s="102" vm="7163">
        <f ca="1"/>
        <v>2170414990</v>
      </c>
    </row>
    <row r="446" spans="4:9" x14ac:dyDescent="0.3">
      <c r="D446" s="100" vm="2570">
        <f ca="1"/>
        <v>45194</v>
      </c>
      <c r="E446" s="101" vm="7164">
        <f ca="1"/>
        <v>43.499000000000002</v>
      </c>
      <c r="F446" s="101" vm="7165">
        <f ca="1"/>
        <v>41.591000000000001</v>
      </c>
      <c r="G446" s="101" vm="7166">
        <f ca="1"/>
        <v>44.143999999999998</v>
      </c>
      <c r="H446" s="101" vm="7167">
        <f ca="1"/>
        <v>41.177</v>
      </c>
      <c r="I446" s="102" vm="7168">
        <f ca="1"/>
        <v>2088800970</v>
      </c>
    </row>
    <row r="447" spans="4:9" x14ac:dyDescent="0.3">
      <c r="D447" s="100" vm="2576">
        <f ca="1"/>
        <v>45201</v>
      </c>
      <c r="E447" s="101" vm="7169">
        <f ca="1"/>
        <v>45.762</v>
      </c>
      <c r="F447" s="101" vm="7170">
        <f ca="1"/>
        <v>44.03</v>
      </c>
      <c r="G447" s="101" vm="7171">
        <f ca="1"/>
        <v>45.789000000000001</v>
      </c>
      <c r="H447" s="101" vm="7172">
        <f ca="1"/>
        <v>43.246000000000002</v>
      </c>
      <c r="I447" s="102" vm="7173">
        <f ca="1"/>
        <v>2093887720</v>
      </c>
    </row>
    <row r="448" spans="4:9" x14ac:dyDescent="0.3">
      <c r="D448" s="100" vm="2582">
        <f ca="1"/>
        <v>45208</v>
      </c>
      <c r="E448" s="101" vm="7174">
        <f ca="1"/>
        <v>45.460999999999999</v>
      </c>
      <c r="F448" s="101" vm="7175">
        <f ca="1"/>
        <v>44.841999999999999</v>
      </c>
      <c r="G448" s="101" vm="7176">
        <f ca="1"/>
        <v>47.609000000000002</v>
      </c>
      <c r="H448" s="101" vm="7177">
        <f ca="1"/>
        <v>44.368000000000002</v>
      </c>
      <c r="I448" s="102" vm="7178">
        <f ca="1"/>
        <v>2113144680</v>
      </c>
    </row>
    <row r="449" spans="4:9" x14ac:dyDescent="0.3">
      <c r="D449" s="100" vm="2588">
        <f ca="1"/>
        <v>45215</v>
      </c>
      <c r="E449" s="101" vm="7179">
        <f ca="1"/>
        <v>41.387</v>
      </c>
      <c r="F449" s="101" vm="7180">
        <f ca="1"/>
        <v>45.063000000000002</v>
      </c>
      <c r="G449" s="101" vm="7181">
        <f ca="1"/>
        <v>46.225000000000001</v>
      </c>
      <c r="H449" s="101" vm="7182">
        <f ca="1"/>
        <v>41.078000000000003</v>
      </c>
      <c r="I449" s="102" vm="7183">
        <f ca="1"/>
        <v>2793225380</v>
      </c>
    </row>
    <row r="450" spans="4:9" x14ac:dyDescent="0.3">
      <c r="D450" s="100" vm="2594">
        <f ca="1"/>
        <v>45222</v>
      </c>
      <c r="E450" s="101" vm="7184">
        <f ca="1"/>
        <v>40.5</v>
      </c>
      <c r="F450" s="101" vm="7185">
        <f ca="1"/>
        <v>41.228999999999999</v>
      </c>
      <c r="G450" s="101" vm="7186">
        <f ca="1"/>
        <v>43.697000000000003</v>
      </c>
      <c r="H450" s="101" vm="7187">
        <f ca="1"/>
        <v>39.880200000000002</v>
      </c>
      <c r="I450" s="102" vm="7188">
        <f ca="1"/>
        <v>2236158810</v>
      </c>
    </row>
    <row r="451" spans="4:9" x14ac:dyDescent="0.3">
      <c r="D451" s="100" vm="2600">
        <f ca="1"/>
        <v>45229</v>
      </c>
      <c r="E451" s="101" vm="7189">
        <f ca="1"/>
        <v>45.005000000000003</v>
      </c>
      <c r="F451" s="101" vm="7190">
        <f ca="1"/>
        <v>41.087000000000003</v>
      </c>
      <c r="G451" s="101" vm="7191">
        <f ca="1"/>
        <v>45.308999999999997</v>
      </c>
      <c r="H451" s="101" vm="7192">
        <f ca="1"/>
        <v>39.229999999999997</v>
      </c>
      <c r="I451" s="102" vm="7193">
        <f ca="1"/>
        <v>2177371200</v>
      </c>
    </row>
    <row r="452" spans="4:9" x14ac:dyDescent="0.3">
      <c r="D452" s="100" vm="2605">
        <f ca="1"/>
        <v>45236</v>
      </c>
      <c r="E452" s="101" vm="7194">
        <f ca="1"/>
        <v>48.335000000000001</v>
      </c>
      <c r="F452" s="101" vm="7195">
        <f ca="1"/>
        <v>45.284500000000001</v>
      </c>
      <c r="G452" s="101" vm="7196">
        <f ca="1"/>
        <v>48.472000000000001</v>
      </c>
      <c r="H452" s="101" vm="7197">
        <f ca="1"/>
        <v>44.899000000000001</v>
      </c>
      <c r="I452" s="102" vm="7198">
        <f ca="1"/>
        <v>2053555290</v>
      </c>
    </row>
    <row r="453" spans="4:9" x14ac:dyDescent="0.3">
      <c r="D453" s="100" vm="2611">
        <f ca="1"/>
        <v>45243</v>
      </c>
      <c r="E453" s="101" vm="7199">
        <f ca="1"/>
        <v>49.298000000000002</v>
      </c>
      <c r="F453" s="101" vm="7200">
        <f ca="1"/>
        <v>48.32</v>
      </c>
      <c r="G453" s="101" vm="7201">
        <f ca="1"/>
        <v>49.96</v>
      </c>
      <c r="H453" s="101" vm="7202">
        <f ca="1"/>
        <v>48.098999999999997</v>
      </c>
      <c r="I453" s="102" vm="7203">
        <f ca="1"/>
        <v>1942240070</v>
      </c>
    </row>
    <row r="454" spans="4:9" x14ac:dyDescent="0.3">
      <c r="D454" s="100" vm="2617">
        <f ca="1"/>
        <v>45250</v>
      </c>
      <c r="E454" s="101" vm="7204">
        <f ca="1"/>
        <v>47.776000000000003</v>
      </c>
      <c r="F454" s="101" vm="7205">
        <f ca="1"/>
        <v>49.311999999999998</v>
      </c>
      <c r="G454" s="101" vm="7206">
        <f ca="1"/>
        <v>50.548000000000002</v>
      </c>
      <c r="H454" s="101" vm="7207">
        <f ca="1"/>
        <v>47.69</v>
      </c>
      <c r="I454" s="102" vm="7208">
        <f ca="1"/>
        <v>2177176440</v>
      </c>
    </row>
    <row r="455" spans="4:9" x14ac:dyDescent="0.3">
      <c r="D455" s="100" vm="2623">
        <f ca="1"/>
        <v>45257</v>
      </c>
      <c r="E455" s="101" vm="7209">
        <f ca="1"/>
        <v>46.765000000000001</v>
      </c>
      <c r="F455" s="101" vm="7210">
        <f ca="1"/>
        <v>47.8</v>
      </c>
      <c r="G455" s="101" vm="7211">
        <f ca="1"/>
        <v>48.762</v>
      </c>
      <c r="H455" s="101" vm="7212">
        <f ca="1"/>
        <v>46.186999999999998</v>
      </c>
      <c r="I455" s="102" vm="7213">
        <f ca="1"/>
        <v>2074721040</v>
      </c>
    </row>
    <row r="456" spans="4:9" x14ac:dyDescent="0.3">
      <c r="D456" s="100" vm="2628">
        <f ca="1"/>
        <v>45264</v>
      </c>
      <c r="E456" s="101" vm="7214">
        <f ca="1"/>
        <v>47.506</v>
      </c>
      <c r="F456" s="101" vm="7215">
        <f ca="1"/>
        <v>46.076999999999998</v>
      </c>
      <c r="G456" s="101" vm="7216">
        <f ca="1"/>
        <v>47.740900000000003</v>
      </c>
      <c r="H456" s="101" vm="7217">
        <f ca="1"/>
        <v>45.01</v>
      </c>
      <c r="I456" s="102" vm="7218">
        <f ca="1"/>
        <v>1899896860</v>
      </c>
    </row>
    <row r="457" spans="4:9" x14ac:dyDescent="0.3">
      <c r="D457" s="100" vm="2633">
        <f ca="1"/>
        <v>45271</v>
      </c>
      <c r="E457" s="101" vm="7219">
        <f ca="1"/>
        <v>48.89</v>
      </c>
      <c r="F457" s="101" vm="7220">
        <f ca="1"/>
        <v>47.491</v>
      </c>
      <c r="G457" s="101" vm="7221">
        <f ca="1"/>
        <v>49.404000000000003</v>
      </c>
      <c r="H457" s="101" vm="7222">
        <f ca="1"/>
        <v>45.83</v>
      </c>
      <c r="I457" s="102" vm="7223">
        <f ca="1"/>
        <v>2201086130</v>
      </c>
    </row>
    <row r="458" spans="4:9" x14ac:dyDescent="0.3">
      <c r="D458" s="100" vm="2639">
        <f ca="1"/>
        <v>45278</v>
      </c>
      <c r="E458" s="101" vm="7224">
        <f ca="1"/>
        <v>48.83</v>
      </c>
      <c r="F458" s="101" vm="7225">
        <f ca="1"/>
        <v>49.4</v>
      </c>
      <c r="G458" s="101" vm="7226">
        <f ca="1"/>
        <v>50.433</v>
      </c>
      <c r="H458" s="101" vm="7227">
        <f ca="1"/>
        <v>48.097999999999999</v>
      </c>
      <c r="I458" s="102" vm="7228">
        <f ca="1"/>
        <v>1827858130</v>
      </c>
    </row>
    <row r="459" spans="4:9" x14ac:dyDescent="0.3">
      <c r="D459" s="100" vm="2645">
        <f ca="1"/>
        <v>45286</v>
      </c>
      <c r="E459" s="101" vm="7229">
        <f ca="1"/>
        <v>49.521999999999998</v>
      </c>
      <c r="F459" s="101" vm="7230">
        <f ca="1"/>
        <v>48.968000000000004</v>
      </c>
      <c r="G459" s="101" vm="7231">
        <f ca="1"/>
        <v>49.997</v>
      </c>
      <c r="H459" s="101" vm="7232">
        <f ca="1"/>
        <v>48.750999999999998</v>
      </c>
      <c r="I459" s="102" vm="7233">
        <f ca="1"/>
        <v>1113728280</v>
      </c>
    </row>
    <row r="460" spans="4:9" x14ac:dyDescent="0.3">
      <c r="D460" s="100" vm="2651">
        <f ca="1"/>
        <v>45293</v>
      </c>
      <c r="E460" s="101" vm="7234">
        <f ca="1"/>
        <v>49.097000000000001</v>
      </c>
      <c r="F460" s="101" vm="7235">
        <f ca="1"/>
        <v>49.244</v>
      </c>
      <c r="G460" s="101" vm="7236">
        <f ca="1"/>
        <v>49.546999999999997</v>
      </c>
      <c r="H460" s="101" vm="7237">
        <f ca="1"/>
        <v>47.32</v>
      </c>
      <c r="I460" s="102" vm="7238">
        <f ca="1"/>
        <v>1453724550</v>
      </c>
    </row>
    <row r="461" spans="4:9" x14ac:dyDescent="0.3">
      <c r="D461" s="100" vm="2657">
        <f ca="1"/>
        <v>45299</v>
      </c>
      <c r="E461" s="101" vm="7239">
        <f ca="1"/>
        <v>54.71</v>
      </c>
      <c r="F461" s="101" vm="7240">
        <f ca="1"/>
        <v>49.512</v>
      </c>
      <c r="G461" s="101" vm="7241">
        <f ca="1"/>
        <v>55.345999999999997</v>
      </c>
      <c r="H461" s="101" vm="7242">
        <f ca="1"/>
        <v>49.478999999999999</v>
      </c>
      <c r="I461" s="102" vm="7243">
        <f ca="1"/>
        <v>2899158090</v>
      </c>
    </row>
    <row r="462" spans="4:9" x14ac:dyDescent="0.3">
      <c r="D462" s="100" vm="2663">
        <f ca="1"/>
        <v>45307</v>
      </c>
      <c r="E462" s="101" vm="7244">
        <f ca="1"/>
        <v>59.491</v>
      </c>
      <c r="F462" s="101" vm="7245">
        <f ca="1"/>
        <v>55.018000000000001</v>
      </c>
      <c r="G462" s="101" vm="7246">
        <f ca="1"/>
        <v>59.5</v>
      </c>
      <c r="H462" s="101" vm="7247">
        <f ca="1"/>
        <v>54.74</v>
      </c>
      <c r="I462" s="102" vm="7248">
        <f ca="1"/>
        <v>1959126010</v>
      </c>
    </row>
    <row r="463" spans="4:9" x14ac:dyDescent="0.3">
      <c r="D463" s="100" vm="2668">
        <f ca="1"/>
        <v>45313</v>
      </c>
      <c r="E463" s="101" vm="7249">
        <f ca="1"/>
        <v>61.030999999999999</v>
      </c>
      <c r="F463" s="101" vm="7250">
        <f ca="1"/>
        <v>60.048999999999999</v>
      </c>
      <c r="G463" s="101" vm="7251">
        <f ca="1"/>
        <v>62.848999999999997</v>
      </c>
      <c r="H463" s="101" vm="7252">
        <f ca="1"/>
        <v>58.585000000000001</v>
      </c>
      <c r="I463" s="102" vm="7253">
        <f ca="1"/>
        <v>2180965270</v>
      </c>
    </row>
    <row r="464" spans="4:9" x14ac:dyDescent="0.3">
      <c r="D464" s="100" vm="2673">
        <f ca="1"/>
        <v>45320</v>
      </c>
      <c r="E464" s="101" vm="7254">
        <f ca="1"/>
        <v>66.16</v>
      </c>
      <c r="F464" s="101" vm="7255">
        <f ca="1"/>
        <v>61.231999999999999</v>
      </c>
      <c r="G464" s="101" vm="7256">
        <f ca="1"/>
        <v>66.599999999999994</v>
      </c>
      <c r="H464" s="101" vm="7257">
        <f ca="1"/>
        <v>60.7</v>
      </c>
      <c r="I464" s="102" vm="7258">
        <f ca="1"/>
        <v>2058986590</v>
      </c>
    </row>
    <row r="465" spans="4:9" x14ac:dyDescent="0.3">
      <c r="D465" s="100" vm="2679">
        <f ca="1"/>
        <v>45327</v>
      </c>
      <c r="E465" s="101" vm="7259">
        <f ca="1"/>
        <v>72.132999999999996</v>
      </c>
      <c r="F465" s="101" vm="7260">
        <f ca="1"/>
        <v>68.224999999999994</v>
      </c>
      <c r="G465" s="101" vm="7261">
        <f ca="1"/>
        <v>72.185000000000002</v>
      </c>
      <c r="H465" s="101" vm="7262">
        <f ca="1"/>
        <v>66.3</v>
      </c>
      <c r="I465" s="102" vm="7263">
        <f ca="1"/>
        <v>2709822920</v>
      </c>
    </row>
    <row r="466" spans="4:9" x14ac:dyDescent="0.3">
      <c r="D466" s="100" vm="2685">
        <f ca="1"/>
        <v>45334</v>
      </c>
      <c r="E466" s="101" vm="7264">
        <f ca="1"/>
        <v>72.613</v>
      </c>
      <c r="F466" s="101" vm="7265">
        <f ca="1"/>
        <v>72.599999999999994</v>
      </c>
      <c r="G466" s="101" vm="7266">
        <f ca="1"/>
        <v>74.611000000000004</v>
      </c>
      <c r="H466" s="101" vm="7267">
        <f ca="1"/>
        <v>69.62</v>
      </c>
      <c r="I466" s="102" vm="7268">
        <f ca="1"/>
        <v>2636656180</v>
      </c>
    </row>
    <row r="467" spans="4:9" x14ac:dyDescent="0.3">
      <c r="D467" s="100" vm="2691">
        <f ca="1"/>
        <v>45342</v>
      </c>
      <c r="E467" s="101" vm="7269">
        <f ca="1"/>
        <v>78.816999999999993</v>
      </c>
      <c r="F467" s="101" vm="7270">
        <f ca="1"/>
        <v>71.947000000000003</v>
      </c>
      <c r="G467" s="101" vm="7271">
        <f ca="1"/>
        <v>82.394000000000005</v>
      </c>
      <c r="H467" s="101" vm="7272">
        <f ca="1"/>
        <v>66.248000000000005</v>
      </c>
      <c r="I467" s="102" vm="7273">
        <f ca="1"/>
        <v>3089619340</v>
      </c>
    </row>
    <row r="468" spans="4:9" x14ac:dyDescent="0.3">
      <c r="D468" s="100" vm="2697">
        <f ca="1"/>
        <v>45348</v>
      </c>
      <c r="E468" s="101" vm="7274">
        <f ca="1"/>
        <v>82.278999999999996</v>
      </c>
      <c r="F468" s="101" vm="7275">
        <f ca="1"/>
        <v>79.7</v>
      </c>
      <c r="G468" s="101" vm="7276">
        <f ca="1"/>
        <v>82.3</v>
      </c>
      <c r="H468" s="101" vm="7277">
        <f ca="1"/>
        <v>77.125</v>
      </c>
      <c r="I468" s="102" vm="7278">
        <f ca="1"/>
        <v>2275212450</v>
      </c>
    </row>
    <row r="469" spans="4:9" x14ac:dyDescent="0.3">
      <c r="D469" s="100" vm="2703">
        <f ca="1"/>
        <v>45355</v>
      </c>
      <c r="E469" s="101" vm="7279">
        <f ca="1"/>
        <v>87.528000000000006</v>
      </c>
      <c r="F469" s="101" vm="7280">
        <f ca="1"/>
        <v>84.13</v>
      </c>
      <c r="G469" s="101" vm="7281">
        <f ca="1"/>
        <v>97.4</v>
      </c>
      <c r="H469" s="101" vm="7282">
        <f ca="1"/>
        <v>83.417000000000002</v>
      </c>
      <c r="I469" s="102" vm="7283">
        <f ca="1"/>
        <v>3469164270</v>
      </c>
    </row>
    <row r="470" spans="4:9" x14ac:dyDescent="0.3">
      <c r="D470" s="100" vm="2708">
        <f ca="1"/>
        <v>45362</v>
      </c>
      <c r="E470" s="101" vm="7284">
        <f ca="1"/>
        <v>87.836500000000001</v>
      </c>
      <c r="F470" s="101" vm="7285">
        <f ca="1"/>
        <v>86.429000000000002</v>
      </c>
      <c r="G470" s="101" vm="7286">
        <f ca="1"/>
        <v>91.96</v>
      </c>
      <c r="H470" s="101" vm="7287">
        <f ca="1"/>
        <v>84.165999999999997</v>
      </c>
      <c r="I470" s="102" vm="7288">
        <f ca="1"/>
        <v>3226556480</v>
      </c>
    </row>
    <row r="471" spans="4:9" x14ac:dyDescent="0.3">
      <c r="D471" s="100" vm="2714">
        <f ca="1"/>
        <v>45369</v>
      </c>
      <c r="E471" s="101" vm="7289">
        <f ca="1"/>
        <v>94.289000000000001</v>
      </c>
      <c r="F471" s="101" vm="7290">
        <f ca="1"/>
        <v>90.388000000000005</v>
      </c>
      <c r="G471" s="101" vm="7291">
        <f ca="1"/>
        <v>94.778000000000006</v>
      </c>
      <c r="H471" s="101" vm="7292">
        <f ca="1"/>
        <v>85.01</v>
      </c>
      <c r="I471" s="102" vm="7293">
        <f ca="1"/>
        <v>2887301660</v>
      </c>
    </row>
    <row r="472" spans="4:9" x14ac:dyDescent="0.3">
      <c r="D472" s="100" vm="2720">
        <f ca="1"/>
        <v>45376</v>
      </c>
      <c r="E472" s="101" vm="7294">
        <f ca="1"/>
        <v>90.355999999999995</v>
      </c>
      <c r="F472" s="101" vm="7295">
        <f ca="1"/>
        <v>93.941000000000003</v>
      </c>
      <c r="G472" s="101" vm="7296">
        <f ca="1"/>
        <v>96.766000000000005</v>
      </c>
      <c r="H472" s="101" vm="7297">
        <f ca="1"/>
        <v>89.123000000000005</v>
      </c>
      <c r="I472" s="102" vm="7298">
        <f ca="1"/>
        <v>2087063160</v>
      </c>
    </row>
    <row r="473" spans="4:9" x14ac:dyDescent="0.3">
      <c r="D473" s="100" vm="2726">
        <f ca="1"/>
        <v>45383</v>
      </c>
      <c r="E473" s="101" vm="7299">
        <f ca="1"/>
        <v>88.007999999999996</v>
      </c>
      <c r="F473" s="101" vm="7300">
        <f ca="1"/>
        <v>90.299000000000007</v>
      </c>
      <c r="G473" s="101" vm="7301">
        <f ca="1"/>
        <v>92.224999999999994</v>
      </c>
      <c r="H473" s="101" vm="7302">
        <f ca="1"/>
        <v>85.88</v>
      </c>
      <c r="I473" s="102" vm="7303">
        <f ca="1"/>
        <v>2090214970</v>
      </c>
    </row>
    <row r="474" spans="4:9" x14ac:dyDescent="0.3">
      <c r="D474" s="100" vm="2732">
        <f ca="1"/>
        <v>45390</v>
      </c>
      <c r="E474" s="101" vm="7304">
        <f ca="1"/>
        <v>88.186000000000007</v>
      </c>
      <c r="F474" s="101" vm="7305">
        <f ca="1"/>
        <v>88.7</v>
      </c>
      <c r="G474" s="101" vm="7306">
        <f ca="1"/>
        <v>90.739000000000004</v>
      </c>
      <c r="H474" s="101" vm="7307">
        <f ca="1"/>
        <v>83.022000000000006</v>
      </c>
      <c r="I474" s="102" vm="7308">
        <f ca="1"/>
        <v>2077137940</v>
      </c>
    </row>
    <row r="475" spans="4:9" x14ac:dyDescent="0.3">
      <c r="D475" s="100" vm="2737">
        <f ca="1"/>
        <v>45397</v>
      </c>
      <c r="E475" s="101" vm="7309">
        <f ca="1"/>
        <v>76.2</v>
      </c>
      <c r="F475" s="101" vm="7310">
        <f ca="1"/>
        <v>89.097999999999999</v>
      </c>
      <c r="G475" s="101" vm="7311">
        <f ca="1"/>
        <v>90.613</v>
      </c>
      <c r="H475" s="101" vm="7312">
        <f ca="1"/>
        <v>75.605999999999995</v>
      </c>
      <c r="I475" s="102" vm="7313">
        <f ca="1"/>
        <v>2631387820</v>
      </c>
    </row>
    <row r="476" spans="4:9" x14ac:dyDescent="0.3">
      <c r="D476" s="100" vm="2742">
        <f ca="1"/>
        <v>45404</v>
      </c>
      <c r="E476" s="101" vm="7314">
        <f ca="1"/>
        <v>87.734999999999999</v>
      </c>
      <c r="F476" s="101" vm="7315">
        <f ca="1"/>
        <v>78.103999999999999</v>
      </c>
      <c r="G476" s="101" vm="7316">
        <f ca="1"/>
        <v>88.3309</v>
      </c>
      <c r="H476" s="101" vm="7317">
        <f ca="1"/>
        <v>76.400000000000006</v>
      </c>
      <c r="I476" s="102" vm="7318">
        <f ca="1"/>
        <v>2522758920</v>
      </c>
    </row>
    <row r="477" spans="4:9" x14ac:dyDescent="0.3">
      <c r="D477" s="100" vm="2748">
        <f ca="1"/>
        <v>45411</v>
      </c>
      <c r="E477" s="101" vm="7319">
        <f ca="1"/>
        <v>88.789000000000001</v>
      </c>
      <c r="F477" s="101" vm="7320">
        <f ca="1"/>
        <v>87.594999999999999</v>
      </c>
      <c r="G477" s="101" vm="7321">
        <f ca="1"/>
        <v>89.281000000000006</v>
      </c>
      <c r="H477" s="101" vm="7322">
        <f ca="1"/>
        <v>81.254599999999996</v>
      </c>
      <c r="I477" s="102" vm="7323">
        <f ca="1"/>
        <v>2088780890</v>
      </c>
    </row>
    <row r="478" spans="4:9" x14ac:dyDescent="0.3">
      <c r="D478" s="100" vm="2754">
        <f ca="1"/>
        <v>45418</v>
      </c>
      <c r="E478" s="101" vm="7324">
        <f ca="1"/>
        <v>89.878</v>
      </c>
      <c r="F478" s="101" vm="7325">
        <f ca="1"/>
        <v>89.39</v>
      </c>
      <c r="G478" s="101" vm="7326">
        <f ca="1"/>
        <v>92.22</v>
      </c>
      <c r="H478" s="101" vm="7327">
        <f ca="1"/>
        <v>88.230999999999995</v>
      </c>
      <c r="I478" s="102" vm="7328">
        <f ca="1"/>
        <v>1852603270</v>
      </c>
    </row>
    <row r="479" spans="4:9" x14ac:dyDescent="0.3">
      <c r="D479" s="100" vm="2760">
        <f ca="1"/>
        <v>45425</v>
      </c>
      <c r="E479" s="101" vm="7329">
        <f ca="1"/>
        <v>92.478999999999999</v>
      </c>
      <c r="F479" s="101" vm="7330">
        <f ca="1"/>
        <v>90.477999999999994</v>
      </c>
      <c r="G479" s="101" vm="7331">
        <f ca="1"/>
        <v>95.819000000000003</v>
      </c>
      <c r="H479" s="101" vm="7332">
        <f ca="1"/>
        <v>88.528999999999996</v>
      </c>
      <c r="I479" s="102" vm="7333">
        <f ca="1"/>
        <v>1687565550</v>
      </c>
    </row>
    <row r="480" spans="4:9" x14ac:dyDescent="0.3">
      <c r="D480" s="100" vm="2766">
        <f ca="1"/>
        <v>45432</v>
      </c>
      <c r="E480" s="101" vm="7334">
        <f ca="1"/>
        <v>106.46899999999999</v>
      </c>
      <c r="F480" s="101" vm="7335">
        <f ca="1"/>
        <v>93.75</v>
      </c>
      <c r="G480" s="101" vm="7336">
        <f ca="1"/>
        <v>106.47499999999999</v>
      </c>
      <c r="H480" s="101" vm="7337">
        <f ca="1"/>
        <v>93.18</v>
      </c>
      <c r="I480" s="102" vm="7338">
        <f ca="1"/>
        <v>2460917860</v>
      </c>
    </row>
    <row r="481" spans="4:9" x14ac:dyDescent="0.3">
      <c r="D481" s="100" vm="2771">
        <f ca="1"/>
        <v>45440</v>
      </c>
      <c r="E481" s="101" vm="7339">
        <f ca="1"/>
        <v>109.633</v>
      </c>
      <c r="F481" s="101" vm="7340">
        <f ca="1"/>
        <v>110.244</v>
      </c>
      <c r="G481" s="101" vm="7341">
        <f ca="1"/>
        <v>115.8192</v>
      </c>
      <c r="H481" s="101" vm="7342">
        <f ca="1"/>
        <v>106.94</v>
      </c>
      <c r="I481" s="102" vm="7343">
        <f ca="1"/>
        <v>2310782650</v>
      </c>
    </row>
    <row r="482" spans="4:9" x14ac:dyDescent="0.3">
      <c r="D482" s="100" vm="2776">
        <f ca="1"/>
        <v>45446</v>
      </c>
      <c r="E482" s="101" vm="7344">
        <f ca="1"/>
        <v>120.88800000000001</v>
      </c>
      <c r="F482" s="101" vm="7345">
        <f ca="1"/>
        <v>113.621</v>
      </c>
      <c r="G482" s="101" vm="7346">
        <f ca="1"/>
        <v>125.587</v>
      </c>
      <c r="H482" s="101" vm="7347">
        <f ca="1"/>
        <v>112.003</v>
      </c>
      <c r="I482" s="102" vm="7348">
        <f ca="1"/>
        <v>2447199540</v>
      </c>
    </row>
    <row r="483" spans="4:9" x14ac:dyDescent="0.3">
      <c r="D483" s="100" vm="2782">
        <f ca="1"/>
        <v>45453</v>
      </c>
      <c r="E483" s="101" vm="7349">
        <f ca="1"/>
        <v>131.88</v>
      </c>
      <c r="F483" s="101" vm="7350">
        <f ca="1"/>
        <v>120.37</v>
      </c>
      <c r="G483" s="101" vm="7351">
        <f ca="1"/>
        <v>132.84</v>
      </c>
      <c r="H483" s="101" vm="7352">
        <f ca="1"/>
        <v>117.01</v>
      </c>
      <c r="I483" s="102" vm="7353">
        <f ca="1"/>
        <v>1406333722</v>
      </c>
    </row>
    <row r="484" spans="4:9" x14ac:dyDescent="0.3">
      <c r="D484" s="100" vm="2788">
        <f ca="1"/>
        <v>45460</v>
      </c>
      <c r="E484" s="101" vm="7354">
        <f ca="1"/>
        <v>126.57</v>
      </c>
      <c r="F484" s="101" vm="7355">
        <f ca="1"/>
        <v>132.99</v>
      </c>
      <c r="G484" s="101" vm="7356">
        <f ca="1"/>
        <v>140.76</v>
      </c>
      <c r="H484" s="101" vm="7357">
        <f ca="1"/>
        <v>124.3</v>
      </c>
      <c r="I484" s="102" vm="7358">
        <f ca="1"/>
        <v>1756092587</v>
      </c>
    </row>
    <row r="485" spans="4:9" x14ac:dyDescent="0.3">
      <c r="D485" s="100" vm="2794">
        <f ca="1"/>
        <v>45467</v>
      </c>
      <c r="E485" s="101" vm="7359">
        <f ca="1"/>
        <v>123.54</v>
      </c>
      <c r="F485" s="101" vm="7360">
        <f ca="1"/>
        <v>123.24</v>
      </c>
      <c r="G485" s="101" vm="2358">
        <f ca="1"/>
        <v>128.12</v>
      </c>
      <c r="H485" s="101" vm="7361">
        <f ca="1"/>
        <v>118.04</v>
      </c>
      <c r="I485" s="102" vm="7362">
        <f ca="1"/>
        <v>1832912673</v>
      </c>
    </row>
    <row r="486" spans="4:9" x14ac:dyDescent="0.3">
      <c r="D486" s="100" vm="2800">
        <f ca="1"/>
        <v>45474</v>
      </c>
      <c r="E486" s="101" vm="7363">
        <f ca="1"/>
        <v>125.83</v>
      </c>
      <c r="F486" s="101" vm="7364">
        <f ca="1"/>
        <v>123.47</v>
      </c>
      <c r="G486" s="101" vm="7365">
        <f ca="1"/>
        <v>128.85</v>
      </c>
      <c r="H486" s="101" vm="7366">
        <f ca="1"/>
        <v>118.83</v>
      </c>
      <c r="I486" s="102" vm="7367">
        <f ca="1"/>
        <v>933185147</v>
      </c>
    </row>
    <row r="487" spans="4:9" x14ac:dyDescent="0.3">
      <c r="D487" s="100" vm="2806">
        <f ca="1"/>
        <v>45481</v>
      </c>
      <c r="E487" s="101" vm="7368">
        <f ca="1"/>
        <v>129.24</v>
      </c>
      <c r="F487" s="101" vm="7369">
        <f ca="1"/>
        <v>127.49</v>
      </c>
      <c r="G487" s="101" vm="7370">
        <f ca="1"/>
        <v>136.15</v>
      </c>
      <c r="H487" s="101" vm="7371">
        <f ca="1"/>
        <v>127.04</v>
      </c>
      <c r="I487" s="102" vm="7372">
        <f ca="1"/>
        <v>1401139984</v>
      </c>
    </row>
    <row r="488" spans="4:9" x14ac:dyDescent="0.3">
      <c r="D488" s="100" vm="2812">
        <f ca="1"/>
        <v>45488</v>
      </c>
      <c r="E488" s="101" vm="7373">
        <f ca="1"/>
        <v>117.93</v>
      </c>
      <c r="F488" s="101" vm="7374">
        <f ca="1"/>
        <v>130.56</v>
      </c>
      <c r="G488" s="101" vm="7375">
        <f ca="1"/>
        <v>131.38999999999999</v>
      </c>
      <c r="H488" s="101" vm="7376">
        <f ca="1"/>
        <v>116.56</v>
      </c>
      <c r="I488" s="102" vm="7377">
        <f ca="1"/>
        <v>1351385198</v>
      </c>
    </row>
    <row r="489" spans="4:9" x14ac:dyDescent="0.3">
      <c r="D489" s="100" vm="2818">
        <f ca="1"/>
        <v>45495</v>
      </c>
      <c r="E489" s="101" vm="7378">
        <f ca="1"/>
        <v>113.06</v>
      </c>
      <c r="F489" s="101" vm="7379">
        <f ca="1"/>
        <v>120.35</v>
      </c>
      <c r="G489" s="101" vm="7380">
        <f ca="1"/>
        <v>124.69</v>
      </c>
      <c r="H489" s="101" vm="7381">
        <f ca="1"/>
        <v>106.3</v>
      </c>
      <c r="I489" s="102" vm="7382">
        <f ca="1"/>
        <v>1513222902</v>
      </c>
    </row>
    <row r="490" spans="4:9" x14ac:dyDescent="0.3">
      <c r="D490" s="100" vm="2824">
        <f ca="1"/>
        <v>45502</v>
      </c>
      <c r="E490" s="101" vm="7383">
        <f ca="1"/>
        <v>107.27</v>
      </c>
      <c r="F490" s="101" vm="7384">
        <f ca="1"/>
        <v>113.69</v>
      </c>
      <c r="G490" s="101" vm="7385">
        <f ca="1"/>
        <v>120.16</v>
      </c>
      <c r="H490" s="101" vm="7386">
        <f ca="1"/>
        <v>101.37</v>
      </c>
      <c r="I490" s="102" vm="7387">
        <f ca="1"/>
        <v>2213649314</v>
      </c>
    </row>
    <row r="491" spans="4:9" x14ac:dyDescent="0.3">
      <c r="D491" s="100" vm="2830">
        <f ca="1"/>
        <v>45509</v>
      </c>
      <c r="E491" s="101" vm="7388">
        <f ca="1"/>
        <v>104.75</v>
      </c>
      <c r="F491" s="101" vm="7389">
        <f ca="1"/>
        <v>92.06</v>
      </c>
      <c r="G491" s="101" vm="7390">
        <f ca="1"/>
        <v>108.8</v>
      </c>
      <c r="H491" s="101" vm="7391">
        <f ca="1"/>
        <v>90.69</v>
      </c>
      <c r="I491" s="102" vm="7392">
        <f ca="1"/>
        <v>2056049067</v>
      </c>
    </row>
    <row r="492" spans="4:9" x14ac:dyDescent="0.3">
      <c r="D492" s="100" vm="2836">
        <f ca="1"/>
        <v>45516</v>
      </c>
      <c r="E492" s="101" vm="7393">
        <f ca="1"/>
        <v>124.58</v>
      </c>
      <c r="F492" s="101" vm="7394">
        <f ca="1"/>
        <v>106.32</v>
      </c>
      <c r="G492" s="101" vm="7395">
        <f ca="1"/>
        <v>125</v>
      </c>
      <c r="H492" s="101" vm="1603">
        <f ca="1"/>
        <v>106.26</v>
      </c>
      <c r="I492" s="102" vm="7396">
        <f ca="1"/>
        <v>1598129482</v>
      </c>
    </row>
    <row r="493" spans="4:9" x14ac:dyDescent="0.3">
      <c r="D493" s="100" vm="2841">
        <f ca="1"/>
        <v>45523</v>
      </c>
      <c r="E493" s="101" vm="7397">
        <f ca="1"/>
        <v>129.37</v>
      </c>
      <c r="F493" s="101" vm="7398">
        <f ca="1"/>
        <v>124.28</v>
      </c>
      <c r="G493" s="101" vm="7399">
        <f ca="1"/>
        <v>130.75</v>
      </c>
      <c r="H493" s="101" vm="7400">
        <f ca="1"/>
        <v>123.1</v>
      </c>
      <c r="I493" s="102" vm="7401">
        <f ca="1"/>
        <v>1575723972</v>
      </c>
    </row>
    <row r="494" spans="4:9" x14ac:dyDescent="0.3">
      <c r="D494" s="100" vm="2847">
        <f ca="1"/>
        <v>45530</v>
      </c>
      <c r="E494" s="101" vm="7402">
        <f ca="1"/>
        <v>119.37</v>
      </c>
      <c r="F494" s="101" vm="7403">
        <f ca="1"/>
        <v>129.57</v>
      </c>
      <c r="G494" s="101" vm="7404">
        <f ca="1"/>
        <v>131.26</v>
      </c>
      <c r="H494" s="101" vm="7405">
        <f ca="1"/>
        <v>116.71</v>
      </c>
      <c r="I494" s="102" vm="7406">
        <f ca="1"/>
        <v>1869975248</v>
      </c>
    </row>
    <row r="495" spans="4:9" x14ac:dyDescent="0.3">
      <c r="D495" s="100" vm="2853">
        <f ca="1"/>
        <v>45538</v>
      </c>
      <c r="E495" s="101" vm="7407">
        <f ca="1"/>
        <v>102.83</v>
      </c>
      <c r="F495" s="101" vm="7408">
        <f ca="1"/>
        <v>116.01</v>
      </c>
      <c r="G495" s="101" vm="1795">
        <f ca="1"/>
        <v>116.21</v>
      </c>
      <c r="H495" s="101" vm="7409">
        <f ca="1"/>
        <v>100.95</v>
      </c>
      <c r="I495" s="102" vm="7410">
        <f ca="1"/>
        <v>1570114185</v>
      </c>
    </row>
    <row r="496" spans="4:9" x14ac:dyDescent="0.3">
      <c r="D496" s="100" vm="2858">
        <f ca="1"/>
        <v>45544</v>
      </c>
      <c r="E496" s="101" vm="7411">
        <f ca="1"/>
        <v>119.1</v>
      </c>
      <c r="F496" s="101" vm="7412">
        <f ca="1"/>
        <v>104.88</v>
      </c>
      <c r="G496" s="101" vm="7413">
        <f ca="1"/>
        <v>120.79</v>
      </c>
      <c r="H496" s="101" vm="7414">
        <f ca="1"/>
        <v>103.69</v>
      </c>
      <c r="I496" s="102" vm="7415">
        <f ca="1"/>
        <v>1589076945</v>
      </c>
    </row>
    <row r="497" spans="3:9" x14ac:dyDescent="0.3">
      <c r="D497" s="100" vm="2863">
        <f ca="1"/>
        <v>45551</v>
      </c>
      <c r="E497" s="101" vm="7416">
        <f ca="1"/>
        <v>116</v>
      </c>
      <c r="F497" s="101" vm="7417">
        <f ca="1"/>
        <v>116.79</v>
      </c>
      <c r="G497" s="101" vm="7418">
        <f ca="1"/>
        <v>119.66</v>
      </c>
      <c r="H497" s="101" vm="7419">
        <f ca="1"/>
        <v>113.22</v>
      </c>
      <c r="I497" s="102" vm="7420">
        <f ca="1"/>
        <v>1466985987</v>
      </c>
    </row>
    <row r="498" spans="3:9" x14ac:dyDescent="0.3">
      <c r="D498" s="100" vm="2869">
        <f ca="1"/>
        <v>45558</v>
      </c>
      <c r="E498" s="101" vm="7421">
        <f ca="1"/>
        <v>121.4</v>
      </c>
      <c r="F498" s="101" vm="7422">
        <f ca="1"/>
        <v>116.55</v>
      </c>
      <c r="G498" s="101" vm="7423">
        <f ca="1"/>
        <v>127.66500000000001</v>
      </c>
      <c r="H498" s="101" vm="7424">
        <f ca="1"/>
        <v>114.86</v>
      </c>
      <c r="I498" s="102" vm="7425">
        <f ca="1"/>
        <v>1419480253</v>
      </c>
    </row>
    <row r="499" spans="3:9" x14ac:dyDescent="0.3">
      <c r="D499" s="100" vm="2875">
        <f ca="1"/>
        <v>45565</v>
      </c>
      <c r="E499" s="101" vm="7426">
        <f ca="1"/>
        <v>124.92</v>
      </c>
      <c r="F499" s="101" vm="7427">
        <f ca="1"/>
        <v>118.31</v>
      </c>
      <c r="G499" s="101" vm="7428">
        <f ca="1"/>
        <v>125.04</v>
      </c>
      <c r="H499" s="101" vm="7429">
        <f ca="1"/>
        <v>115.14</v>
      </c>
      <c r="I499" s="102" vm="7430">
        <f ca="1"/>
        <v>1272577548</v>
      </c>
    </row>
    <row r="500" spans="3:9" x14ac:dyDescent="0.3">
      <c r="D500" s="100" vm="2881">
        <f ca="1"/>
        <v>45572</v>
      </c>
      <c r="E500" s="101" vm="7431">
        <f ca="1"/>
        <v>134.80000000000001</v>
      </c>
      <c r="F500" s="101" vm="7432">
        <f ca="1"/>
        <v>124.99</v>
      </c>
      <c r="G500" s="101" vm="7433">
        <f ca="1"/>
        <v>135.78</v>
      </c>
      <c r="H500" s="101" vm="7434">
        <f ca="1"/>
        <v>124.95</v>
      </c>
      <c r="I500" s="102" vm="7435">
        <f ca="1"/>
        <v>1290685141</v>
      </c>
    </row>
    <row r="501" spans="3:9" x14ac:dyDescent="0.3">
      <c r="D501" s="100" vm="2887">
        <f ca="1"/>
        <v>45579</v>
      </c>
      <c r="E501" s="101" vm="2271">
        <f ca="1"/>
        <v>138</v>
      </c>
      <c r="F501" s="101" vm="7436">
        <f ca="1"/>
        <v>136.47</v>
      </c>
      <c r="G501" s="101" vm="7437">
        <f ca="1"/>
        <v>140.88999999999999</v>
      </c>
      <c r="H501" s="101" vm="7438">
        <f ca="1"/>
        <v>128.74</v>
      </c>
      <c r="I501" s="102" vm="7439">
        <f ca="1"/>
        <v>1357584514</v>
      </c>
    </row>
    <row r="502" spans="3:9" x14ac:dyDescent="0.3">
      <c r="D502" s="100" vm="2893">
        <f ca="1"/>
        <v>45586</v>
      </c>
      <c r="E502" s="101" vm="7440">
        <f ca="1"/>
        <v>141.54</v>
      </c>
      <c r="F502" s="101" vm="7441">
        <f ca="1"/>
        <v>138.13</v>
      </c>
      <c r="G502" s="101" vm="7442">
        <f ca="1"/>
        <v>144.41999999999999</v>
      </c>
      <c r="H502" s="101" vm="7443">
        <f ca="1"/>
        <v>137.46</v>
      </c>
      <c r="I502" s="102" vm="7444">
        <f ca="1"/>
        <v>1154273138</v>
      </c>
    </row>
    <row r="503" spans="3:9" x14ac:dyDescent="0.3">
      <c r="D503" s="100" vm="2899">
        <f ca="1"/>
        <v>45593</v>
      </c>
      <c r="E503" s="101" vm="7445">
        <f ca="1"/>
        <v>135.4</v>
      </c>
      <c r="F503" s="101" vm="7446">
        <f ca="1"/>
        <v>143</v>
      </c>
      <c r="G503" s="101" vm="7447">
        <f ca="1"/>
        <v>143.13999999999999</v>
      </c>
      <c r="H503" s="101" vm="7448">
        <f ca="1"/>
        <v>132.11060000000001</v>
      </c>
      <c r="I503" s="102" vm="7449">
        <f ca="1"/>
        <v>987765940</v>
      </c>
    </row>
    <row r="504" spans="3:9" x14ac:dyDescent="0.3">
      <c r="D504" s="100" vm="2905">
        <f ca="1"/>
        <v>45600</v>
      </c>
      <c r="E504" s="101" vm="7450">
        <f ca="1"/>
        <v>147.63</v>
      </c>
      <c r="F504" s="101" vm="7451">
        <f ca="1"/>
        <v>137.21</v>
      </c>
      <c r="G504" s="101" vm="2161">
        <f ca="1"/>
        <v>149.77000000000001</v>
      </c>
      <c r="H504" s="101" vm="7452">
        <f ca="1"/>
        <v>135.57</v>
      </c>
      <c r="I504" s="102" vm="7453">
        <f ca="1"/>
        <v>973098624</v>
      </c>
    </row>
    <row r="505" spans="3:9" x14ac:dyDescent="0.3">
      <c r="D505" s="100" vm="2911">
        <f ca="1"/>
        <v>45607</v>
      </c>
      <c r="E505" s="101" vm="7454">
        <f ca="1"/>
        <v>141.97999999999999</v>
      </c>
      <c r="F505" s="101" vm="1987">
        <f ca="1"/>
        <v>148.68</v>
      </c>
      <c r="G505" s="101" vm="7455">
        <f ca="1"/>
        <v>149.65</v>
      </c>
      <c r="H505" s="101" vm="7456">
        <f ca="1"/>
        <v>140.08000000000001</v>
      </c>
      <c r="I505" s="102" vm="7457">
        <f ca="1"/>
        <v>1017459795</v>
      </c>
    </row>
    <row r="506" spans="3:9" x14ac:dyDescent="0.3">
      <c r="D506" s="100" vm="2916">
        <f ca="1"/>
        <v>45614</v>
      </c>
      <c r="E506" s="101" vm="7458">
        <f ca="1"/>
        <v>141.94999999999999</v>
      </c>
      <c r="F506" s="101" vm="7459">
        <f ca="1"/>
        <v>139.5</v>
      </c>
      <c r="G506" s="101" vm="7460">
        <f ca="1"/>
        <v>152.88999999999999</v>
      </c>
      <c r="H506" s="101" vm="7461">
        <f ca="1"/>
        <v>137.15</v>
      </c>
      <c r="I506" s="102" vm="7462">
        <f ca="1"/>
        <v>1396925283</v>
      </c>
    </row>
    <row r="507" spans="3:9" x14ac:dyDescent="0.3">
      <c r="D507" s="100" vm="2922">
        <f ca="1"/>
        <v>45621</v>
      </c>
      <c r="E507" s="101" vm="7463">
        <f ca="1"/>
        <v>138.25</v>
      </c>
      <c r="F507" s="101" vm="7464">
        <f ca="1"/>
        <v>141.99</v>
      </c>
      <c r="G507" s="101" vm="7465">
        <f ca="1"/>
        <v>142.05000000000001</v>
      </c>
      <c r="H507" s="101" vm="7466">
        <f ca="1"/>
        <v>131.80000000000001</v>
      </c>
      <c r="I507" s="102" vm="7467">
        <f ca="1"/>
        <v>903463597</v>
      </c>
    </row>
    <row r="508" spans="3:9" x14ac:dyDescent="0.3">
      <c r="D508" s="100" vm="2928">
        <f ca="1"/>
        <v>45628</v>
      </c>
      <c r="E508" s="101" vm="7468">
        <f ca="1"/>
        <v>142.44</v>
      </c>
      <c r="F508" s="101" vm="7469">
        <f ca="1"/>
        <v>138.83000000000001</v>
      </c>
      <c r="G508" s="101" vm="7470">
        <f ca="1"/>
        <v>146.54</v>
      </c>
      <c r="H508" s="101" vm="7471">
        <f ca="1"/>
        <v>137.82499999999999</v>
      </c>
      <c r="I508" s="102" vm="7472">
        <f ca="1"/>
        <v>928447790</v>
      </c>
    </row>
    <row r="509" spans="3:9" x14ac:dyDescent="0.3">
      <c r="D509" s="100" vm="2934">
        <f ca="1"/>
        <v>45635</v>
      </c>
      <c r="E509" s="101" vm="7473">
        <f ca="1"/>
        <v>134.25</v>
      </c>
      <c r="F509" s="101" vm="7474">
        <f ca="1"/>
        <v>138.97</v>
      </c>
      <c r="G509" s="101" vm="7475">
        <f ca="1"/>
        <v>141.82</v>
      </c>
      <c r="H509" s="101" vm="7476">
        <f ca="1"/>
        <v>132.54</v>
      </c>
      <c r="I509" s="102" vm="7477">
        <f ca="1"/>
        <v>974960979</v>
      </c>
    </row>
    <row r="510" spans="3:9" x14ac:dyDescent="0.3">
      <c r="D510" s="100" vm="2940">
        <f ca="1"/>
        <v>45642</v>
      </c>
      <c r="E510" s="101" vm="7478">
        <f ca="1"/>
        <v>134.69999999999999</v>
      </c>
      <c r="F510" s="101" vm="7479">
        <f ca="1"/>
        <v>134.18</v>
      </c>
      <c r="G510" s="101" vm="7480">
        <f ca="1"/>
        <v>136.69999999999999</v>
      </c>
      <c r="H510" s="101" vm="1747">
        <f ca="1"/>
        <v>126.86</v>
      </c>
      <c r="I510" s="102" vm="7481">
        <f ca="1"/>
        <v>1291053689</v>
      </c>
    </row>
    <row r="511" spans="3:9" x14ac:dyDescent="0.3">
      <c r="C511" s="1"/>
      <c r="D511" s="100" vm="2946">
        <f ca="1"/>
        <v>45649</v>
      </c>
      <c r="E511" s="101" vm="7482">
        <f ca="1"/>
        <v>137.01</v>
      </c>
      <c r="F511" s="101" vm="7483">
        <f ca="1"/>
        <v>136.28</v>
      </c>
      <c r="G511" s="101" vm="7484">
        <f ca="1"/>
        <v>141.9</v>
      </c>
      <c r="H511" s="101" vm="7485">
        <f ca="1"/>
        <v>134.71</v>
      </c>
      <c r="I511" s="102" vm="7486">
        <f ca="1"/>
        <v>568312188</v>
      </c>
    </row>
    <row r="512" spans="3:9" x14ac:dyDescent="0.3">
      <c r="D512" s="100" vm="2952">
        <f ca="1"/>
        <v>45656</v>
      </c>
      <c r="E512" s="101" vm="7487">
        <f ca="1"/>
        <v>144.47</v>
      </c>
      <c r="F512" s="101" vm="1834">
        <f ca="1"/>
        <v>134.83000000000001</v>
      </c>
      <c r="G512" s="101" vm="7488">
        <f ca="1"/>
        <v>144.9</v>
      </c>
      <c r="H512" s="101" vm="7489">
        <f ca="1"/>
        <v>133.83000000000001</v>
      </c>
      <c r="I512" s="102" vm="7490">
        <f ca="1"/>
        <v>750963555</v>
      </c>
    </row>
    <row r="513" spans="4:9" x14ac:dyDescent="0.3">
      <c r="D513" s="100" vm="2958">
        <f ca="1"/>
        <v>45663</v>
      </c>
      <c r="E513" s="101" vm="7491">
        <f ca="1"/>
        <v>135.91</v>
      </c>
      <c r="F513" s="101" vm="7492">
        <f ca="1"/>
        <v>148.59</v>
      </c>
      <c r="G513" s="101" vm="7493">
        <f ca="1"/>
        <v>153.13</v>
      </c>
      <c r="H513" s="101" vm="7494">
        <f ca="1"/>
        <v>134.22</v>
      </c>
      <c r="I513" s="102" vm="7495">
        <f ca="1"/>
        <v>1052111995</v>
      </c>
    </row>
    <row r="514" spans="4:9" x14ac:dyDescent="0.3">
      <c r="D514" s="100" vm="2962">
        <f ca="1"/>
        <v>45670</v>
      </c>
      <c r="E514" s="101" vm="7496">
        <f ca="1"/>
        <v>137.71</v>
      </c>
      <c r="F514" s="101" vm="7497">
        <f ca="1"/>
        <v>129.99</v>
      </c>
      <c r="G514" s="101" vm="7498">
        <f ca="1"/>
        <v>138.75</v>
      </c>
      <c r="H514" s="101" vm="7499">
        <f ca="1"/>
        <v>129.51</v>
      </c>
      <c r="I514" s="102" vm="7500">
        <f ca="1"/>
        <v>996041080</v>
      </c>
    </row>
    <row r="515" spans="4:9" x14ac:dyDescent="0.3">
      <c r="D515" s="100" vm="2968">
        <f ca="1"/>
        <v>45678</v>
      </c>
      <c r="E515" s="101" vm="7501">
        <f ca="1"/>
        <v>142.62</v>
      </c>
      <c r="F515" s="101" vm="7502">
        <f ca="1"/>
        <v>139.16</v>
      </c>
      <c r="G515" s="101" vm="1944">
        <f ca="1"/>
        <v>148.97</v>
      </c>
      <c r="H515" s="101" vm="7503">
        <f ca="1"/>
        <v>137.09</v>
      </c>
      <c r="I515" s="102" vm="7504">
        <f ca="1"/>
        <v>825973564</v>
      </c>
    </row>
    <row r="516" spans="4:9" x14ac:dyDescent="0.3">
      <c r="D516" s="100" vm="2974">
        <f ca="1"/>
        <v>45684</v>
      </c>
      <c r="E516" s="101" vm="7505">
        <f ca="1"/>
        <v>120.07</v>
      </c>
      <c r="F516" s="101" vm="7506">
        <f ca="1"/>
        <v>124.8</v>
      </c>
      <c r="G516" s="101" vm="7507">
        <f ca="1"/>
        <v>129</v>
      </c>
      <c r="H516" s="101" vm="7508">
        <f ca="1"/>
        <v>116.25</v>
      </c>
      <c r="I516" s="102" vm="7509">
        <f ca="1"/>
        <v>2648916253</v>
      </c>
    </row>
    <row r="517" spans="4:9" x14ac:dyDescent="0.3">
      <c r="D517" s="100" vm="2979">
        <f ca="1"/>
        <v>45691</v>
      </c>
      <c r="E517" s="101" vm="7510">
        <f ca="1"/>
        <v>129.84</v>
      </c>
      <c r="F517" s="101" vm="7511">
        <f ca="1"/>
        <v>114.75</v>
      </c>
      <c r="G517" s="101" vm="7512">
        <f ca="1"/>
        <v>130.37</v>
      </c>
      <c r="H517" s="101" vm="7513">
        <f ca="1"/>
        <v>113.01</v>
      </c>
      <c r="I517" s="102" vm="7514">
        <f ca="1"/>
        <v>1370566218</v>
      </c>
    </row>
    <row r="518" spans="4:9" x14ac:dyDescent="0.3">
      <c r="D518" s="100" vm="2985">
        <f ca="1"/>
        <v>45698</v>
      </c>
      <c r="E518" s="101" vm="7515">
        <f ca="1"/>
        <v>138.85</v>
      </c>
      <c r="F518" s="101" vm="7516">
        <f ca="1"/>
        <v>130.09</v>
      </c>
      <c r="G518" s="101" vm="7517">
        <f ca="1"/>
        <v>139.25</v>
      </c>
      <c r="H518" s="101" vm="7518">
        <f ca="1"/>
        <v>129.08000000000001</v>
      </c>
      <c r="I518" s="102" vm="7519">
        <f ca="1"/>
        <v>949079549</v>
      </c>
    </row>
    <row r="519" spans="4:9" x14ac:dyDescent="0.3">
      <c r="D519" s="100" vm="2991">
        <f ca="1"/>
        <v>45706</v>
      </c>
      <c r="E519" s="101" vm="7520">
        <f ca="1"/>
        <v>134.43</v>
      </c>
      <c r="F519" s="101" vm="1959">
        <f ca="1"/>
        <v>141.27000000000001</v>
      </c>
      <c r="G519" s="101" vm="7521">
        <f ca="1"/>
        <v>143.44</v>
      </c>
      <c r="H519" s="101" vm="7522">
        <f ca="1"/>
        <v>134.03</v>
      </c>
      <c r="I519" s="102" vm="7523">
        <f ca="1"/>
        <v>758833801</v>
      </c>
    </row>
    <row r="520" spans="4:9" x14ac:dyDescent="0.3">
      <c r="D520" s="100" vm="2996">
        <f ca="1"/>
        <v>45712</v>
      </c>
      <c r="E520" s="101" vm="7426">
        <f ca="1"/>
        <v>124.92</v>
      </c>
      <c r="F520" s="101" vm="7524">
        <f ca="1"/>
        <v>136.56</v>
      </c>
      <c r="G520" s="101" vm="7525">
        <f ca="1"/>
        <v>138.59</v>
      </c>
      <c r="H520" s="101" vm="7526">
        <f ca="1"/>
        <v>116.4</v>
      </c>
      <c r="I520" s="102" vm="7527">
        <f ca="1"/>
        <v>1677630653</v>
      </c>
    </row>
    <row r="521" spans="4:9" x14ac:dyDescent="0.3">
      <c r="D521" s="100" vm="3001">
        <f ca="1"/>
        <v>45719</v>
      </c>
      <c r="E521" s="101" vm="7528">
        <f ca="1"/>
        <v>112.69</v>
      </c>
      <c r="F521" s="101" vm="7529">
        <f ca="1"/>
        <v>123.51</v>
      </c>
      <c r="G521" s="101" vm="7530">
        <f ca="1"/>
        <v>123.7</v>
      </c>
      <c r="H521" s="101" vm="7531">
        <f ca="1"/>
        <v>107.56</v>
      </c>
      <c r="I521" s="102" vm="7532">
        <f ca="1"/>
        <v>1756819893</v>
      </c>
    </row>
    <row r="522" spans="4:9" x14ac:dyDescent="0.3">
      <c r="D522" s="100" vm="3007">
        <f ca="1"/>
        <v>45726</v>
      </c>
      <c r="E522" s="101" vm="7533">
        <f ca="1"/>
        <v>121.67</v>
      </c>
      <c r="F522" s="101" vm="7534">
        <f ca="1"/>
        <v>109.9</v>
      </c>
      <c r="G522" s="101" vm="7535">
        <f ca="1"/>
        <v>121.88</v>
      </c>
      <c r="H522" s="101" vm="7536">
        <f ca="1"/>
        <v>104.77</v>
      </c>
      <c r="I522" s="102" vm="7537">
        <f ca="1"/>
        <v>1621837095</v>
      </c>
    </row>
    <row r="523" spans="4:9" x14ac:dyDescent="0.3">
      <c r="D523" s="100" vm="3013">
        <f ca="1"/>
        <v>45733</v>
      </c>
      <c r="E523" s="101" vm="7538">
        <f ca="1"/>
        <v>117.7</v>
      </c>
      <c r="F523" s="101" vm="7539">
        <f ca="1"/>
        <v>122.74</v>
      </c>
      <c r="G523" s="101" vm="7540">
        <f ca="1"/>
        <v>122.89</v>
      </c>
      <c r="H523" s="101" vm="7541">
        <f ca="1"/>
        <v>114.54</v>
      </c>
      <c r="I523" s="102" vm="7542">
        <f ca="1"/>
        <v>1343942927</v>
      </c>
    </row>
    <row r="524" spans="4:9" x14ac:dyDescent="0.3">
      <c r="D524" s="100" vm="3019">
        <f ca="1"/>
        <v>45740</v>
      </c>
      <c r="E524" s="101" vm="7543">
        <f ca="1"/>
        <v>109.67</v>
      </c>
      <c r="F524" s="101" vm="7544">
        <f ca="1"/>
        <v>119.88</v>
      </c>
      <c r="G524" s="101" vm="7545">
        <f ca="1"/>
        <v>122.22</v>
      </c>
      <c r="H524" s="101" vm="7546">
        <f ca="1"/>
        <v>109.0701</v>
      </c>
      <c r="I524" s="102" vm="7547">
        <f ca="1"/>
        <v>1159106003</v>
      </c>
    </row>
    <row r="525" spans="4:9" x14ac:dyDescent="0.3">
      <c r="D525" s="100" vm="3025">
        <f ca="1"/>
        <v>45747</v>
      </c>
      <c r="E525" s="101" vm="7548">
        <f ca="1"/>
        <v>94.31</v>
      </c>
      <c r="F525" s="101" vm="7549">
        <f ca="1"/>
        <v>105.13</v>
      </c>
      <c r="G525" s="101" vm="7550">
        <f ca="1"/>
        <v>111.98</v>
      </c>
      <c r="H525" s="101" vm="7551">
        <f ca="1"/>
        <v>92.11</v>
      </c>
      <c r="I525" s="102" vm="7552">
        <f ca="1"/>
        <v>1613471152</v>
      </c>
    </row>
    <row r="526" spans="4:9" x14ac:dyDescent="0.3">
      <c r="D526" s="100" vm="3031">
        <f ca="1"/>
        <v>45754</v>
      </c>
      <c r="E526" s="101" vm="7553">
        <f ca="1"/>
        <v>110.93</v>
      </c>
      <c r="F526" s="101" vm="7554">
        <f ca="1"/>
        <v>87.46</v>
      </c>
      <c r="G526" s="101" vm="7555">
        <f ca="1"/>
        <v>115.1</v>
      </c>
      <c r="H526" s="101" vm="7556">
        <f ca="1"/>
        <v>86.62</v>
      </c>
      <c r="I526" s="102" vm="7557">
        <f ca="1"/>
        <v>2451432693</v>
      </c>
    </row>
    <row r="527" spans="4:9" x14ac:dyDescent="0.3">
      <c r="D527" s="100" vm="3037">
        <f ca="1"/>
        <v>45761</v>
      </c>
      <c r="E527" s="101" vm="7558">
        <f ca="1"/>
        <v>101.49</v>
      </c>
      <c r="F527" s="101" vm="7559">
        <f ca="1"/>
        <v>114.11</v>
      </c>
      <c r="G527" s="101" vm="7560">
        <f ca="1"/>
        <v>114.29</v>
      </c>
      <c r="H527" s="101" vm="7561">
        <f ca="1"/>
        <v>100.05</v>
      </c>
      <c r="I527" s="102" vm="7562">
        <f ca="1"/>
        <v>1183206284</v>
      </c>
    </row>
    <row r="528" spans="4:9" x14ac:dyDescent="0.3">
      <c r="D528" s="100" vm="3043">
        <f ca="1"/>
        <v>45768</v>
      </c>
      <c r="E528" s="101" vm="7563">
        <f ca="1"/>
        <v>111.01</v>
      </c>
      <c r="F528" s="101" vm="7564">
        <f ca="1"/>
        <v>98.77</v>
      </c>
      <c r="G528" s="101" vm="7565">
        <f ca="1"/>
        <v>111.92</v>
      </c>
      <c r="H528" s="101" vm="7566">
        <f ca="1"/>
        <v>95.04</v>
      </c>
      <c r="I528" s="102" vm="7567">
        <f ca="1"/>
        <v>1248911604</v>
      </c>
    </row>
    <row r="529" spans="4:9" ht="15" thickBot="1" x14ac:dyDescent="0.35">
      <c r="D529" s="105" vm="3049">
        <f ca="1"/>
        <v>45775</v>
      </c>
      <c r="E529" s="106" vm="7568">
        <f ca="1"/>
        <v>114.5</v>
      </c>
      <c r="F529" s="106" vm="7569">
        <f ca="1"/>
        <v>109.69</v>
      </c>
      <c r="G529" s="106" vm="7570">
        <f ca="1"/>
        <v>115.4</v>
      </c>
      <c r="H529" s="106" vm="7571">
        <f ca="1"/>
        <v>104.08</v>
      </c>
      <c r="I529" s="107" vm="7572">
        <f ca="1"/>
        <v>1039513638</v>
      </c>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EB82E4-BE7B-42F4-AD9E-D7917D698D71}">
  <dimension ref="A1:N529"/>
  <sheetViews>
    <sheetView showGridLines="0" workbookViewId="0">
      <selection activeCell="A4" sqref="A4"/>
    </sheetView>
  </sheetViews>
  <sheetFormatPr defaultRowHeight="14.4" x14ac:dyDescent="0.3"/>
  <cols>
    <col min="1" max="1" width="14.5546875" customWidth="1"/>
    <col min="2" max="2" width="1.5546875" customWidth="1"/>
    <col min="3" max="3" width="1.21875" customWidth="1"/>
    <col min="4" max="4" width="10.5546875" bestFit="1" customWidth="1"/>
    <col min="9" max="9" width="11.44140625" bestFit="1" customWidth="1"/>
  </cols>
  <sheetData>
    <row r="1" spans="1:14" ht="43.2" customHeight="1" x14ac:dyDescent="0.65">
      <c r="A1" s="141" t="s">
        <v>6</v>
      </c>
    </row>
    <row r="3" spans="1:14" ht="15" thickBot="1" x14ac:dyDescent="0.35"/>
    <row r="4" spans="1:14" x14ac:dyDescent="0.3">
      <c r="D4" s="97" t="e" vm="4">
        <v>#VALUE!</v>
      </c>
      <c r="E4" s="98"/>
      <c r="F4" s="98"/>
      <c r="G4" s="98"/>
      <c r="H4" s="98"/>
      <c r="I4" s="99"/>
    </row>
    <row r="5" spans="1:14" ht="15" thickBot="1" x14ac:dyDescent="0.35">
      <c r="D5" s="100"/>
      <c r="E5" s="101"/>
      <c r="F5" s="101"/>
      <c r="G5" s="101"/>
      <c r="H5" s="101"/>
      <c r="I5" s="102"/>
    </row>
    <row r="6" spans="1:14" x14ac:dyDescent="0.3">
      <c r="D6" s="100" t="str" cm="1">
        <f t="array" aca="1" ref="D6:I529" ca="1">_xlfn.STOCKHISTORY(D4,"5/1/2015","5/1/2025",1,1,0,1,2,3,4,5)</f>
        <v>Date</v>
      </c>
      <c r="E6" s="101" t="str">
        <f ca="1"/>
        <v>Close</v>
      </c>
      <c r="F6" s="101" t="str">
        <f ca="1"/>
        <v>Open</v>
      </c>
      <c r="G6" s="101" t="str">
        <f ca="1"/>
        <v>High</v>
      </c>
      <c r="H6" s="101" t="str">
        <f ca="1"/>
        <v>Low</v>
      </c>
      <c r="I6" s="102" t="str">
        <f ca="1"/>
        <v>Volume</v>
      </c>
      <c r="L6" s="127" t="s">
        <v>12</v>
      </c>
      <c r="M6" s="128"/>
      <c r="N6" s="129">
        <f ca="1">AVERAGE(E6:E529)</f>
        <v>125.50542409177827</v>
      </c>
    </row>
    <row r="7" spans="1:14" x14ac:dyDescent="0.3">
      <c r="D7" s="103" vm="8">
        <f ca="1"/>
        <v>42121</v>
      </c>
      <c r="E7" s="101" vm="7573">
        <f ca="1"/>
        <v>15.0685</v>
      </c>
      <c r="F7" s="101" vm="7574">
        <f ca="1"/>
        <v>14.837199999999999</v>
      </c>
      <c r="G7" s="101" vm="7575">
        <f ca="1"/>
        <v>15.916499999999999</v>
      </c>
      <c r="H7" s="101" vm="7576">
        <f ca="1"/>
        <v>14.6935</v>
      </c>
      <c r="I7" s="108" vm="7577">
        <f ca="1"/>
        <v>30887629</v>
      </c>
      <c r="L7" s="130" t="s">
        <v>13</v>
      </c>
      <c r="M7" s="131"/>
      <c r="N7" s="132"/>
    </row>
    <row r="8" spans="1:14" x14ac:dyDescent="0.3">
      <c r="D8" s="100" vm="14">
        <f ca="1"/>
        <v>42128</v>
      </c>
      <c r="E8" s="101" vm="7578">
        <f ca="1"/>
        <v>15.7738</v>
      </c>
      <c r="F8" s="101" vm="7579">
        <f ca="1"/>
        <v>15.2118</v>
      </c>
      <c r="G8" s="101" vm="7580">
        <f ca="1"/>
        <v>15.9665</v>
      </c>
      <c r="H8" s="101" vm="7581">
        <f ca="1"/>
        <v>14.683199999999999</v>
      </c>
      <c r="I8" s="102" vm="7582">
        <f ca="1"/>
        <v>29626547</v>
      </c>
      <c r="L8" s="130" t="s">
        <v>14</v>
      </c>
      <c r="M8" s="131"/>
      <c r="N8" s="133">
        <f ca="1">_xlfn.STDEV.S(E7:E529)</f>
        <v>118.55363273125415</v>
      </c>
    </row>
    <row r="9" spans="1:14" x14ac:dyDescent="0.3">
      <c r="D9" s="100" vm="20">
        <f ca="1"/>
        <v>42135</v>
      </c>
      <c r="E9" s="101" vm="7583">
        <f ca="1"/>
        <v>16.589200000000002</v>
      </c>
      <c r="F9" s="101" vm="7584">
        <f ca="1"/>
        <v>15.7525</v>
      </c>
      <c r="G9" s="101" vm="7585">
        <f ca="1"/>
        <v>16.6265</v>
      </c>
      <c r="H9" s="101" vm="7586">
        <f ca="1"/>
        <v>15.687200000000001</v>
      </c>
      <c r="I9" s="102" vm="7587">
        <f ca="1"/>
        <v>24899355</v>
      </c>
      <c r="L9" s="130"/>
      <c r="M9" s="131"/>
      <c r="N9" s="132"/>
    </row>
    <row r="10" spans="1:14" x14ac:dyDescent="0.3">
      <c r="D10" s="100" vm="26">
        <f ca="1"/>
        <v>42142</v>
      </c>
      <c r="E10" s="101" vm="7588">
        <f ca="1"/>
        <v>16.5152</v>
      </c>
      <c r="F10" s="101" vm="7589">
        <f ca="1"/>
        <v>16.4665</v>
      </c>
      <c r="G10" s="101" vm="7590">
        <f ca="1"/>
        <v>16.7332</v>
      </c>
      <c r="H10" s="101" vm="7591">
        <f ca="1"/>
        <v>16.0913</v>
      </c>
      <c r="I10" s="102" vm="7592">
        <f ca="1"/>
        <v>14976744</v>
      </c>
      <c r="L10" s="130" t="s">
        <v>17</v>
      </c>
      <c r="M10" s="131"/>
      <c r="N10" s="134">
        <f ca="1">MAX(G477:H529)</f>
        <v>488.53989999999999</v>
      </c>
    </row>
    <row r="11" spans="1:14" ht="15" thickBot="1" x14ac:dyDescent="0.35">
      <c r="D11" s="100" vm="32">
        <f ca="1"/>
        <v>42150</v>
      </c>
      <c r="E11" s="101" vm="7593">
        <f ca="1"/>
        <v>16.719799999999999</v>
      </c>
      <c r="F11" s="101" vm="7594">
        <f ca="1"/>
        <v>16.511800000000001</v>
      </c>
      <c r="G11" s="101" vm="7595">
        <f ca="1"/>
        <v>16.857700000000001</v>
      </c>
      <c r="H11" s="101" vm="7596">
        <f ca="1"/>
        <v>16.336500000000001</v>
      </c>
      <c r="I11" s="102" vm="7597">
        <f ca="1"/>
        <v>14343448</v>
      </c>
      <c r="L11" s="135" t="s">
        <v>18</v>
      </c>
      <c r="M11" s="136"/>
      <c r="N11" s="137">
        <f ca="1">MIN(G477:H529)</f>
        <v>167.41</v>
      </c>
    </row>
    <row r="12" spans="1:14" x14ac:dyDescent="0.3">
      <c r="D12" s="100" vm="38">
        <f ca="1"/>
        <v>42156</v>
      </c>
      <c r="E12" s="101" vm="7598">
        <f ca="1"/>
        <v>16.609200000000001</v>
      </c>
      <c r="F12" s="101" vm="7599">
        <f ca="1"/>
        <v>16.7605</v>
      </c>
      <c r="G12" s="101" vm="7600">
        <f ca="1"/>
        <v>16.773199999999999</v>
      </c>
      <c r="H12" s="101" vm="7601">
        <f ca="1"/>
        <v>16.378499999999999</v>
      </c>
      <c r="I12" s="102" vm="7602">
        <f ca="1"/>
        <v>11897012</v>
      </c>
    </row>
    <row r="13" spans="1:14" x14ac:dyDescent="0.3">
      <c r="D13" s="100" vm="43">
        <f ca="1"/>
        <v>42163</v>
      </c>
      <c r="E13" s="101" vm="7603">
        <f ca="1"/>
        <v>16.712499999999999</v>
      </c>
      <c r="F13" s="101" vm="7604">
        <f ca="1"/>
        <v>16.723199999999999</v>
      </c>
      <c r="G13" s="101" vm="7605">
        <f ca="1"/>
        <v>17.2498</v>
      </c>
      <c r="H13" s="101" vm="7606">
        <f ca="1"/>
        <v>16.566500000000001</v>
      </c>
      <c r="I13" s="102" vm="7607">
        <f ca="1"/>
        <v>14548989</v>
      </c>
    </row>
    <row r="14" spans="1:14" x14ac:dyDescent="0.3">
      <c r="D14" s="100" vm="49">
        <f ca="1"/>
        <v>42170</v>
      </c>
      <c r="E14" s="101" vm="7608">
        <f ca="1"/>
        <v>17.500499999999999</v>
      </c>
      <c r="F14" s="101" vm="7609">
        <f ca="1"/>
        <v>16.6465</v>
      </c>
      <c r="G14" s="101" vm="7610">
        <f ca="1"/>
        <v>17.623799999999999</v>
      </c>
      <c r="H14" s="101" vm="7611">
        <f ca="1"/>
        <v>16.400500000000001</v>
      </c>
      <c r="I14" s="102" vm="7612">
        <f ca="1"/>
        <v>14929489</v>
      </c>
    </row>
    <row r="15" spans="1:14" x14ac:dyDescent="0.3">
      <c r="D15" s="100" vm="55">
        <f ca="1"/>
        <v>42177</v>
      </c>
      <c r="E15" s="101" vm="7613">
        <f ca="1"/>
        <v>17.805800000000001</v>
      </c>
      <c r="F15" s="101" vm="7614">
        <f ca="1"/>
        <v>17.476500000000001</v>
      </c>
      <c r="G15" s="101" vm="7615">
        <f ca="1"/>
        <v>18.093800000000002</v>
      </c>
      <c r="H15" s="101" vm="7616">
        <f ca="1"/>
        <v>17.0458</v>
      </c>
      <c r="I15" s="102" vm="7617">
        <f ca="1"/>
        <v>17531828</v>
      </c>
    </row>
    <row r="16" spans="1:14" x14ac:dyDescent="0.3">
      <c r="D16" s="100" vm="61">
        <f ca="1"/>
        <v>42184</v>
      </c>
      <c r="E16" s="101" vm="7618">
        <f ca="1"/>
        <v>18.6678</v>
      </c>
      <c r="F16" s="101" vm="7619">
        <f ca="1"/>
        <v>17.463200000000001</v>
      </c>
      <c r="G16" s="101" vm="7620">
        <f ca="1"/>
        <v>18.829799999999999</v>
      </c>
      <c r="H16" s="101" vm="7621">
        <f ca="1"/>
        <v>17.379799999999999</v>
      </c>
      <c r="I16" s="102" vm="7622">
        <f ca="1"/>
        <v>15830998</v>
      </c>
    </row>
    <row r="17" spans="4:9" x14ac:dyDescent="0.3">
      <c r="D17" s="100" vm="67">
        <f ca="1"/>
        <v>42191</v>
      </c>
      <c r="E17" s="101" vm="7623">
        <f ca="1"/>
        <v>17.276499999999999</v>
      </c>
      <c r="F17" s="101" vm="7624">
        <f ca="1"/>
        <v>18.591799999999999</v>
      </c>
      <c r="G17" s="101" vm="7625">
        <f ca="1"/>
        <v>18.7791</v>
      </c>
      <c r="H17" s="101" vm="7626">
        <f ca="1"/>
        <v>16.953800000000001</v>
      </c>
      <c r="I17" s="102" vm="7627">
        <f ca="1"/>
        <v>22393071</v>
      </c>
    </row>
    <row r="18" spans="4:9" x14ac:dyDescent="0.3">
      <c r="D18" s="100" vm="73">
        <f ca="1"/>
        <v>42198</v>
      </c>
      <c r="E18" s="101" vm="7628">
        <f ca="1"/>
        <v>18.310500000000001</v>
      </c>
      <c r="F18" s="101" vm="7629">
        <f ca="1"/>
        <v>17.4832</v>
      </c>
      <c r="G18" s="101" vm="7630">
        <f ca="1"/>
        <v>18.3691</v>
      </c>
      <c r="H18" s="101" vm="7631">
        <f ca="1"/>
        <v>17.069800000000001</v>
      </c>
      <c r="I18" s="102" vm="7632">
        <f ca="1"/>
        <v>13509641</v>
      </c>
    </row>
    <row r="19" spans="4:9" x14ac:dyDescent="0.3">
      <c r="D19" s="100" vm="78">
        <f ca="1"/>
        <v>42205</v>
      </c>
      <c r="E19" s="101" vm="7633">
        <f ca="1"/>
        <v>17.6938</v>
      </c>
      <c r="F19" s="101" vm="7634">
        <f ca="1"/>
        <v>18.333200000000001</v>
      </c>
      <c r="G19" s="101" vm="7635">
        <f ca="1"/>
        <v>19.1098</v>
      </c>
      <c r="H19" s="101" vm="7636">
        <f ca="1"/>
        <v>17.390499999999999</v>
      </c>
      <c r="I19" s="102" vm="7637">
        <f ca="1"/>
        <v>19255837</v>
      </c>
    </row>
    <row r="20" spans="4:9" x14ac:dyDescent="0.3">
      <c r="D20" s="100" vm="83">
        <f ca="1"/>
        <v>42212</v>
      </c>
      <c r="E20" s="101" vm="7638">
        <f ca="1"/>
        <v>17.743200000000002</v>
      </c>
      <c r="F20" s="101" vm="7639">
        <f ca="1"/>
        <v>17.495200000000001</v>
      </c>
      <c r="G20" s="101" vm="7640">
        <f ca="1"/>
        <v>17.957100000000001</v>
      </c>
      <c r="H20" s="101" vm="7641">
        <f ca="1"/>
        <v>16.719200000000001</v>
      </c>
      <c r="I20" s="102" vm="7642">
        <f ca="1"/>
        <v>15637207</v>
      </c>
    </row>
    <row r="21" spans="4:9" x14ac:dyDescent="0.3">
      <c r="D21" s="100" vm="89">
        <f ca="1"/>
        <v>42219</v>
      </c>
      <c r="E21" s="101" vm="7643">
        <f ca="1"/>
        <v>16.167200000000001</v>
      </c>
      <c r="F21" s="101" vm="7644">
        <f ca="1"/>
        <v>17.752500000000001</v>
      </c>
      <c r="G21" s="101" vm="7645">
        <f ca="1"/>
        <v>18.066500000000001</v>
      </c>
      <c r="H21" s="101" vm="7646">
        <f ca="1"/>
        <v>15.741199999999999</v>
      </c>
      <c r="I21" s="102" vm="7647">
        <f ca="1"/>
        <v>30817467</v>
      </c>
    </row>
    <row r="22" spans="4:9" x14ac:dyDescent="0.3">
      <c r="D22" s="100" vm="95">
        <f ca="1"/>
        <v>42226</v>
      </c>
      <c r="E22" s="101" vm="7648">
        <f ca="1"/>
        <v>16.209800000000001</v>
      </c>
      <c r="F22" s="101" vm="7649">
        <f ca="1"/>
        <v>15.8765</v>
      </c>
      <c r="G22" s="101" vm="7650">
        <f ca="1"/>
        <v>16.528500000000001</v>
      </c>
      <c r="H22" s="101" vm="7651">
        <f ca="1"/>
        <v>15.5158</v>
      </c>
      <c r="I22" s="102" vm="7652">
        <f ca="1"/>
        <v>21243948</v>
      </c>
    </row>
    <row r="23" spans="4:9" x14ac:dyDescent="0.3">
      <c r="D23" s="100" vm="101">
        <f ca="1"/>
        <v>42233</v>
      </c>
      <c r="E23" s="101" vm="7653">
        <f ca="1"/>
        <v>15.384499999999999</v>
      </c>
      <c r="F23" s="101" vm="7654">
        <f ca="1"/>
        <v>17.037199999999999</v>
      </c>
      <c r="G23" s="101" vm="7655">
        <f ca="1"/>
        <v>17.3965</v>
      </c>
      <c r="H23" s="101" vm="7656">
        <f ca="1"/>
        <v>15.3672</v>
      </c>
      <c r="I23" s="102" vm="7657">
        <f ca="1"/>
        <v>26471998</v>
      </c>
    </row>
    <row r="24" spans="4:9" x14ac:dyDescent="0.3">
      <c r="D24" s="100" vm="107">
        <f ca="1"/>
        <v>42240</v>
      </c>
      <c r="E24" s="101" vm="7658">
        <f ca="1"/>
        <v>16.565200000000001</v>
      </c>
      <c r="F24" s="101" vm="7659">
        <f ca="1"/>
        <v>13.5192</v>
      </c>
      <c r="G24" s="101" vm="7660">
        <f ca="1"/>
        <v>16.763200000000001</v>
      </c>
      <c r="H24" s="101" vm="7661">
        <f ca="1"/>
        <v>12.9999</v>
      </c>
      <c r="I24" s="102" vm="7662">
        <f ca="1"/>
        <v>32041553</v>
      </c>
    </row>
    <row r="25" spans="4:9" x14ac:dyDescent="0.3">
      <c r="D25" s="100" vm="113">
        <f ca="1"/>
        <v>42247</v>
      </c>
      <c r="E25" s="101" vm="7663">
        <f ca="1"/>
        <v>16.128499999999999</v>
      </c>
      <c r="F25" s="101" vm="7664">
        <f ca="1"/>
        <v>16.374500000000001</v>
      </c>
      <c r="G25" s="101" vm="7665">
        <f ca="1"/>
        <v>16.996500000000001</v>
      </c>
      <c r="H25" s="101" vm="7666">
        <f ca="1"/>
        <v>15.797800000000001</v>
      </c>
      <c r="I25" s="102" vm="7667">
        <f ca="1"/>
        <v>22668096</v>
      </c>
    </row>
    <row r="26" spans="4:9" x14ac:dyDescent="0.3">
      <c r="D26" s="100" vm="119">
        <f ca="1"/>
        <v>42255</v>
      </c>
      <c r="E26" s="101" vm="7668">
        <f ca="1"/>
        <v>16.682500000000001</v>
      </c>
      <c r="F26" s="101" vm="7596">
        <f ca="1"/>
        <v>16.336500000000001</v>
      </c>
      <c r="G26" s="101" vm="7669">
        <f ca="1"/>
        <v>16.9498</v>
      </c>
      <c r="H26" s="101" vm="7670">
        <f ca="1"/>
        <v>16.2698</v>
      </c>
      <c r="I26" s="102" vm="7671">
        <f ca="1"/>
        <v>11588887</v>
      </c>
    </row>
    <row r="27" spans="4:9" x14ac:dyDescent="0.3">
      <c r="D27" s="100" vm="124">
        <f ca="1"/>
        <v>42261</v>
      </c>
      <c r="E27" s="101" vm="7672">
        <f ca="1"/>
        <v>17.374500000000001</v>
      </c>
      <c r="F27" s="101" vm="7673">
        <f ca="1"/>
        <v>16.739799999999999</v>
      </c>
      <c r="G27" s="101" vm="7674">
        <f ca="1"/>
        <v>17.6998</v>
      </c>
      <c r="H27" s="101" vm="7675">
        <f ca="1"/>
        <v>16.633199999999999</v>
      </c>
      <c r="I27" s="102" vm="7676">
        <f ca="1"/>
        <v>17590274</v>
      </c>
    </row>
    <row r="28" spans="4:9" x14ac:dyDescent="0.3">
      <c r="D28" s="100" vm="130">
        <f ca="1"/>
        <v>42268</v>
      </c>
      <c r="E28" s="101" vm="7677">
        <f ca="1"/>
        <v>17.127199999999998</v>
      </c>
      <c r="F28" s="101" vm="7678">
        <f ca="1"/>
        <v>17.598500000000001</v>
      </c>
      <c r="G28" s="101" vm="7679">
        <f ca="1"/>
        <v>18.104500000000002</v>
      </c>
      <c r="H28" s="101" vm="7680">
        <f ca="1"/>
        <v>17.0532</v>
      </c>
      <c r="I28" s="102" vm="7681">
        <f ca="1"/>
        <v>19606869</v>
      </c>
    </row>
    <row r="29" spans="4:9" x14ac:dyDescent="0.3">
      <c r="D29" s="100" vm="136">
        <f ca="1"/>
        <v>42275</v>
      </c>
      <c r="E29" s="101" vm="7682">
        <f ca="1"/>
        <v>16.5045</v>
      </c>
      <c r="F29" s="101" vm="7683">
        <f ca="1"/>
        <v>17.156500000000001</v>
      </c>
      <c r="G29" s="101" vm="7684">
        <f ca="1"/>
        <v>17.319199999999999</v>
      </c>
      <c r="H29" s="101" vm="7685">
        <f ca="1"/>
        <v>15.661799999999999</v>
      </c>
      <c r="I29" s="102" vm="7686">
        <f ca="1"/>
        <v>22530739</v>
      </c>
    </row>
    <row r="30" spans="4:9" x14ac:dyDescent="0.3">
      <c r="D30" s="100" vm="142">
        <f ca="1"/>
        <v>42282</v>
      </c>
      <c r="E30" s="101" vm="7687">
        <f ca="1"/>
        <v>14.7125</v>
      </c>
      <c r="F30" s="101" vm="7583">
        <f ca="1"/>
        <v>16.589200000000002</v>
      </c>
      <c r="G30" s="101" vm="7688">
        <f ca="1"/>
        <v>16.655799999999999</v>
      </c>
      <c r="H30" s="101" vm="7689">
        <f ca="1"/>
        <v>14.5572</v>
      </c>
      <c r="I30" s="102" vm="7690">
        <f ca="1"/>
        <v>28031307</v>
      </c>
    </row>
    <row r="31" spans="4:9" x14ac:dyDescent="0.3">
      <c r="D31" s="100" vm="148">
        <f ca="1"/>
        <v>42289</v>
      </c>
      <c r="E31" s="101" vm="7691">
        <f ca="1"/>
        <v>15.133800000000001</v>
      </c>
      <c r="F31" s="101" vm="7692">
        <f ca="1"/>
        <v>14.8659</v>
      </c>
      <c r="G31" s="101" vm="7693">
        <f ca="1"/>
        <v>15.3652</v>
      </c>
      <c r="H31" s="101" vm="7694">
        <f ca="1"/>
        <v>14.075200000000001</v>
      </c>
      <c r="I31" s="102" vm="7695">
        <f ca="1"/>
        <v>19291010</v>
      </c>
    </row>
    <row r="32" spans="4:9" x14ac:dyDescent="0.3">
      <c r="D32" s="100" vm="154">
        <f ca="1"/>
        <v>42296</v>
      </c>
      <c r="E32" s="101" vm="7696">
        <f ca="1"/>
        <v>13.9392</v>
      </c>
      <c r="F32" s="101" vm="7697">
        <f ca="1"/>
        <v>15.0998</v>
      </c>
      <c r="G32" s="101" vm="7698">
        <f ca="1"/>
        <v>15.409800000000001</v>
      </c>
      <c r="H32" s="101" vm="7699">
        <f ca="1"/>
        <v>13.4665</v>
      </c>
      <c r="I32" s="102" vm="7700">
        <f ca="1"/>
        <v>28652034</v>
      </c>
    </row>
    <row r="33" spans="4:9" x14ac:dyDescent="0.3">
      <c r="D33" s="100" vm="160">
        <f ca="1"/>
        <v>42303</v>
      </c>
      <c r="E33" s="101" vm="7701">
        <f ca="1"/>
        <v>13.795199999999999</v>
      </c>
      <c r="F33" s="101" vm="7702">
        <f ca="1"/>
        <v>14.091900000000001</v>
      </c>
      <c r="G33" s="101" vm="7703">
        <f ca="1"/>
        <v>14.4732</v>
      </c>
      <c r="H33" s="101" vm="7704">
        <f ca="1"/>
        <v>13.592499999999999</v>
      </c>
      <c r="I33" s="102" vm="7705">
        <f ca="1"/>
        <v>15883413</v>
      </c>
    </row>
    <row r="34" spans="4:9" x14ac:dyDescent="0.3">
      <c r="D34" s="100" vm="166">
        <f ca="1"/>
        <v>42310</v>
      </c>
      <c r="E34" s="101" vm="7706">
        <f ca="1"/>
        <v>15.490500000000001</v>
      </c>
      <c r="F34" s="101" vm="7707">
        <f ca="1"/>
        <v>13.927899999999999</v>
      </c>
      <c r="G34" s="101" vm="7708">
        <f ca="1"/>
        <v>15.6388</v>
      </c>
      <c r="H34" s="101" vm="7709">
        <f ca="1"/>
        <v>13.814500000000001</v>
      </c>
      <c r="I34" s="102" vm="7710">
        <f ca="1"/>
        <v>31928932</v>
      </c>
    </row>
    <row r="35" spans="4:9" x14ac:dyDescent="0.3">
      <c r="D35" s="100" vm="172">
        <f ca="1"/>
        <v>42317</v>
      </c>
      <c r="E35" s="101" vm="7711">
        <f ca="1"/>
        <v>13.8125</v>
      </c>
      <c r="F35" s="101" vm="7712">
        <f ca="1"/>
        <v>15.532500000000001</v>
      </c>
      <c r="G35" s="101" vm="7712">
        <f ca="1"/>
        <v>15.532500000000001</v>
      </c>
      <c r="H35" s="101" vm="7713">
        <f ca="1"/>
        <v>13.767899999999999</v>
      </c>
      <c r="I35" s="102" vm="7714">
        <f ca="1"/>
        <v>18161900</v>
      </c>
    </row>
    <row r="36" spans="4:9" x14ac:dyDescent="0.3">
      <c r="D36" s="100" vm="178">
        <f ca="1"/>
        <v>42324</v>
      </c>
      <c r="E36" s="101" vm="7715">
        <f ca="1"/>
        <v>14.667199999999999</v>
      </c>
      <c r="F36" s="101" vm="7716">
        <f ca="1"/>
        <v>13.7392</v>
      </c>
      <c r="G36" s="101" vm="7717">
        <f ca="1"/>
        <v>15.0792</v>
      </c>
      <c r="H36" s="101" vm="7718">
        <f ca="1"/>
        <v>13.719900000000001</v>
      </c>
      <c r="I36" s="102" vm="7719">
        <f ca="1"/>
        <v>14791071</v>
      </c>
    </row>
    <row r="37" spans="4:9" x14ac:dyDescent="0.3">
      <c r="D37" s="100" vm="184">
        <f ca="1"/>
        <v>42331</v>
      </c>
      <c r="E37" s="101" vm="7720">
        <f ca="1"/>
        <v>15.4405</v>
      </c>
      <c r="F37" s="101" vm="7721">
        <f ca="1"/>
        <v>14.4899</v>
      </c>
      <c r="G37" s="101" vm="7722">
        <f ca="1"/>
        <v>15.4832</v>
      </c>
      <c r="H37" s="101" vm="7723">
        <f ca="1"/>
        <v>14.3118</v>
      </c>
      <c r="I37" s="102" vm="7724">
        <f ca="1"/>
        <v>10946624</v>
      </c>
    </row>
    <row r="38" spans="4:9" x14ac:dyDescent="0.3">
      <c r="D38" s="100" vm="190">
        <f ca="1"/>
        <v>42338</v>
      </c>
      <c r="E38" s="101" vm="7725">
        <f ca="1"/>
        <v>15.358499999999999</v>
      </c>
      <c r="F38" s="101" vm="7726">
        <f ca="1"/>
        <v>15.452500000000001</v>
      </c>
      <c r="G38" s="101" vm="7727">
        <f ca="1"/>
        <v>15.906499999999999</v>
      </c>
      <c r="H38" s="101" vm="7728">
        <f ca="1"/>
        <v>15.177199999999999</v>
      </c>
      <c r="I38" s="102" vm="7729">
        <f ca="1"/>
        <v>14870713</v>
      </c>
    </row>
    <row r="39" spans="4:9" x14ac:dyDescent="0.3">
      <c r="D39" s="100" vm="196">
        <f ca="1"/>
        <v>42345</v>
      </c>
      <c r="E39" s="101" vm="7730">
        <f ca="1"/>
        <v>14.4679</v>
      </c>
      <c r="F39" s="101" vm="7731">
        <f ca="1"/>
        <v>15.1798</v>
      </c>
      <c r="G39" s="101" vm="7732">
        <f ca="1"/>
        <v>15.708500000000001</v>
      </c>
      <c r="H39" s="101" vm="7733">
        <f ca="1"/>
        <v>14.442500000000001</v>
      </c>
      <c r="I39" s="102" vm="7734">
        <f ca="1"/>
        <v>14230030</v>
      </c>
    </row>
    <row r="40" spans="4:9" x14ac:dyDescent="0.3">
      <c r="D40" s="100" vm="202">
        <f ca="1"/>
        <v>42352</v>
      </c>
      <c r="E40" s="101" vm="7735">
        <f ca="1"/>
        <v>15.363799999999999</v>
      </c>
      <c r="F40" s="101" vm="7736">
        <f ca="1"/>
        <v>14.500500000000001</v>
      </c>
      <c r="G40" s="101" vm="7737">
        <f ca="1"/>
        <v>15.8505</v>
      </c>
      <c r="H40" s="101" vm="7738">
        <f ca="1"/>
        <v>14.3245</v>
      </c>
      <c r="I40" s="102" vm="7739">
        <f ca="1"/>
        <v>16493091</v>
      </c>
    </row>
    <row r="41" spans="4:9" x14ac:dyDescent="0.3">
      <c r="D41" s="100" vm="208">
        <f ca="1"/>
        <v>42359</v>
      </c>
      <c r="E41" s="101" vm="7740">
        <f ca="1"/>
        <v>15.3712</v>
      </c>
      <c r="F41" s="101" vm="7741">
        <f ca="1"/>
        <v>15.4458</v>
      </c>
      <c r="G41" s="101" vm="7742">
        <f ca="1"/>
        <v>15.7698</v>
      </c>
      <c r="H41" s="101" vm="7743">
        <f ca="1"/>
        <v>15.208500000000001</v>
      </c>
      <c r="I41" s="102" vm="7744">
        <f ca="1"/>
        <v>6179925</v>
      </c>
    </row>
    <row r="42" spans="4:9" x14ac:dyDescent="0.3">
      <c r="D42" s="100" vm="214">
        <f ca="1"/>
        <v>42366</v>
      </c>
      <c r="E42" s="101" vm="7745">
        <f ca="1"/>
        <v>16.000499999999999</v>
      </c>
      <c r="F42" s="101" vm="7746">
        <f ca="1"/>
        <v>15.432499999999999</v>
      </c>
      <c r="G42" s="101" vm="7747">
        <f ca="1"/>
        <v>16.242100000000001</v>
      </c>
      <c r="H42" s="101" vm="7748">
        <f ca="1"/>
        <v>15.0358</v>
      </c>
      <c r="I42" s="102" vm="7749">
        <f ca="1"/>
        <v>10720553</v>
      </c>
    </row>
    <row r="43" spans="4:9" x14ac:dyDescent="0.3">
      <c r="D43" s="100" vm="220">
        <f ca="1"/>
        <v>42373</v>
      </c>
      <c r="E43" s="101" vm="7750">
        <f ca="1"/>
        <v>14.0665</v>
      </c>
      <c r="F43" s="101" vm="7751">
        <f ca="1"/>
        <v>15.3812</v>
      </c>
      <c r="G43" s="101" vm="7752">
        <f ca="1"/>
        <v>15.4252</v>
      </c>
      <c r="H43" s="101" vm="7753">
        <f ca="1"/>
        <v>14.0512</v>
      </c>
      <c r="I43" s="102" vm="7754">
        <f ca="1"/>
        <v>20975335</v>
      </c>
    </row>
    <row r="44" spans="4:9" x14ac:dyDescent="0.3">
      <c r="D44" s="100" vm="226">
        <f ca="1"/>
        <v>42380</v>
      </c>
      <c r="E44" s="101" vm="7755">
        <f ca="1"/>
        <v>13.665900000000001</v>
      </c>
      <c r="F44" s="101" vm="7756">
        <f ca="1"/>
        <v>14.267200000000001</v>
      </c>
      <c r="G44" s="101" vm="7757">
        <f ca="1"/>
        <v>14.2965</v>
      </c>
      <c r="H44" s="101" vm="7758">
        <f ca="1"/>
        <v>12.8919</v>
      </c>
      <c r="I44" s="102" vm="7759">
        <f ca="1"/>
        <v>23379136</v>
      </c>
    </row>
    <row r="45" spans="4:9" x14ac:dyDescent="0.3">
      <c r="D45" s="100" vm="232">
        <f ca="1"/>
        <v>42388</v>
      </c>
      <c r="E45" s="101" vm="7760">
        <f ca="1"/>
        <v>13.5032</v>
      </c>
      <c r="F45" s="101" vm="7761">
        <f ca="1"/>
        <v>13.9139</v>
      </c>
      <c r="G45" s="101" vm="7762">
        <f ca="1"/>
        <v>14.0312</v>
      </c>
      <c r="H45" s="101" vm="7763">
        <f ca="1"/>
        <v>12.7499</v>
      </c>
      <c r="I45" s="102" vm="7764">
        <f ca="1"/>
        <v>16167498</v>
      </c>
    </row>
    <row r="46" spans="4:9" x14ac:dyDescent="0.3">
      <c r="D46" s="100" vm="238">
        <f ca="1"/>
        <v>42394</v>
      </c>
      <c r="E46" s="101" vm="7765">
        <f ca="1"/>
        <v>12.746499999999999</v>
      </c>
      <c r="F46" s="101" vm="7766">
        <f ca="1"/>
        <v>13.337199999999999</v>
      </c>
      <c r="G46" s="101" vm="7767">
        <f ca="1"/>
        <v>13.571199999999999</v>
      </c>
      <c r="H46" s="101" vm="7768">
        <f ca="1"/>
        <v>12.160500000000001</v>
      </c>
      <c r="I46" s="102" vm="7769">
        <f ca="1"/>
        <v>18725183</v>
      </c>
    </row>
    <row r="47" spans="4:9" x14ac:dyDescent="0.3">
      <c r="D47" s="100" vm="244">
        <f ca="1"/>
        <v>42401</v>
      </c>
      <c r="E47" s="101" vm="7770">
        <f ca="1"/>
        <v>10.8399</v>
      </c>
      <c r="F47" s="101" vm="7771">
        <f ca="1"/>
        <v>12.5839</v>
      </c>
      <c r="G47" s="101" vm="7772">
        <f ca="1"/>
        <v>13.3012</v>
      </c>
      <c r="H47" s="101" vm="7773">
        <f ca="1"/>
        <v>10.5162</v>
      </c>
      <c r="I47" s="102" vm="7774">
        <f ca="1"/>
        <v>32825595</v>
      </c>
    </row>
    <row r="48" spans="4:9" x14ac:dyDescent="0.3">
      <c r="D48" s="100" vm="250">
        <f ca="1"/>
        <v>42408</v>
      </c>
      <c r="E48" s="101" vm="7775">
        <f ca="1"/>
        <v>10.0692</v>
      </c>
      <c r="F48" s="101" vm="7776">
        <f ca="1"/>
        <v>10.473599999999999</v>
      </c>
      <c r="G48" s="101" vm="7777">
        <f ca="1"/>
        <v>10.883900000000001</v>
      </c>
      <c r="H48" s="101" vm="7778">
        <f ca="1"/>
        <v>9.4032</v>
      </c>
      <c r="I48" s="102" vm="7779">
        <f ca="1"/>
        <v>49859296</v>
      </c>
    </row>
    <row r="49" spans="4:9" x14ac:dyDescent="0.3">
      <c r="D49" s="100" vm="256">
        <f ca="1"/>
        <v>42416</v>
      </c>
      <c r="E49" s="101" vm="7780">
        <f ca="1"/>
        <v>11.1052</v>
      </c>
      <c r="F49" s="101" vm="7781">
        <f ca="1"/>
        <v>10.5799</v>
      </c>
      <c r="G49" s="101" vm="7782">
        <f ca="1"/>
        <v>11.5299</v>
      </c>
      <c r="H49" s="101" vm="7783">
        <f ca="1"/>
        <v>10.273899999999999</v>
      </c>
      <c r="I49" s="102" vm="7784">
        <f ca="1"/>
        <v>18265917</v>
      </c>
    </row>
    <row r="50" spans="4:9" x14ac:dyDescent="0.3">
      <c r="D50" s="100" vm="262">
        <f ca="1"/>
        <v>42422</v>
      </c>
      <c r="E50" s="101" vm="7785">
        <f ca="1"/>
        <v>12.6892</v>
      </c>
      <c r="F50" s="101" vm="7786">
        <f ca="1"/>
        <v>11.341200000000001</v>
      </c>
      <c r="G50" s="101" vm="7787">
        <f ca="1"/>
        <v>12.799899999999999</v>
      </c>
      <c r="H50" s="101" vm="7788">
        <f ca="1"/>
        <v>11.1892</v>
      </c>
      <c r="I50" s="102" vm="7789">
        <f ca="1"/>
        <v>28255892</v>
      </c>
    </row>
    <row r="51" spans="4:9" x14ac:dyDescent="0.3">
      <c r="D51" s="100" vm="268">
        <f ca="1"/>
        <v>42429</v>
      </c>
      <c r="E51" s="101" vm="7790">
        <f ca="1"/>
        <v>13.4025</v>
      </c>
      <c r="F51" s="101" vm="7791">
        <f ca="1"/>
        <v>12.826499999999999</v>
      </c>
      <c r="G51" s="101" vm="7792">
        <f ca="1"/>
        <v>13.601900000000001</v>
      </c>
      <c r="H51" s="101" vm="7793">
        <f ca="1"/>
        <v>12.0999</v>
      </c>
      <c r="I51" s="102" vm="7794">
        <f ca="1"/>
        <v>27391628</v>
      </c>
    </row>
    <row r="52" spans="4:9" x14ac:dyDescent="0.3">
      <c r="D52" s="100" vm="274">
        <f ca="1"/>
        <v>42436</v>
      </c>
      <c r="E52" s="101" vm="7795">
        <f ca="1"/>
        <v>13.8332</v>
      </c>
      <c r="F52" s="101" vm="7796">
        <f ca="1"/>
        <v>13.1785</v>
      </c>
      <c r="G52" s="101" vm="7797">
        <f ca="1"/>
        <v>14.219200000000001</v>
      </c>
      <c r="H52" s="101" vm="7798">
        <f ca="1"/>
        <v>13.1599</v>
      </c>
      <c r="I52" s="102" vm="7799">
        <f ca="1"/>
        <v>21259919</v>
      </c>
    </row>
    <row r="53" spans="4:9" x14ac:dyDescent="0.3">
      <c r="D53" s="100" vm="280">
        <f ca="1"/>
        <v>42443</v>
      </c>
      <c r="E53" s="101" vm="7651">
        <f ca="1"/>
        <v>15.5158</v>
      </c>
      <c r="F53" s="101" vm="7800">
        <f ca="1"/>
        <v>14.176500000000001</v>
      </c>
      <c r="G53" s="101" vm="7801">
        <f ca="1"/>
        <v>15.6318</v>
      </c>
      <c r="H53" s="101" vm="7802">
        <f ca="1"/>
        <v>14.0425</v>
      </c>
      <c r="I53" s="102" vm="7803">
        <f ca="1"/>
        <v>19257545</v>
      </c>
    </row>
    <row r="54" spans="4:9" x14ac:dyDescent="0.3">
      <c r="D54" s="100" vm="286">
        <f ca="1"/>
        <v>42450</v>
      </c>
      <c r="E54" s="101" vm="7804">
        <f ca="1"/>
        <v>15.183199999999999</v>
      </c>
      <c r="F54" s="101" vm="7805">
        <f ca="1"/>
        <v>15.6892</v>
      </c>
      <c r="G54" s="101" vm="7806">
        <f ca="1"/>
        <v>15.9918</v>
      </c>
      <c r="H54" s="101" vm="7807">
        <f ca="1"/>
        <v>14.3332</v>
      </c>
      <c r="I54" s="102" vm="7808">
        <f ca="1"/>
        <v>19533551</v>
      </c>
    </row>
    <row r="55" spans="4:9" x14ac:dyDescent="0.3">
      <c r="D55" s="100" vm="292">
        <f ca="1"/>
        <v>42457</v>
      </c>
      <c r="E55" s="101" vm="7809">
        <f ca="1"/>
        <v>15.8392</v>
      </c>
      <c r="F55" s="101" vm="7720">
        <f ca="1"/>
        <v>15.4405</v>
      </c>
      <c r="G55" s="101" vm="7810">
        <f ca="1"/>
        <v>16.526499999999999</v>
      </c>
      <c r="H55" s="101" vm="7811">
        <f ca="1"/>
        <v>14.9999</v>
      </c>
      <c r="I55" s="102" vm="7812">
        <f ca="1"/>
        <v>35983378</v>
      </c>
    </row>
    <row r="56" spans="4:9" x14ac:dyDescent="0.3">
      <c r="D56" s="100" vm="298">
        <f ca="1"/>
        <v>42464</v>
      </c>
      <c r="E56" s="101" vm="7813">
        <f ca="1"/>
        <v>16.671199999999999</v>
      </c>
      <c r="F56" s="101" vm="7814">
        <f ca="1"/>
        <v>16.607800000000001</v>
      </c>
      <c r="G56" s="101" vm="7815">
        <f ca="1"/>
        <v>17.9558</v>
      </c>
      <c r="H56" s="101" vm="7816">
        <f ca="1"/>
        <v>15.9998</v>
      </c>
      <c r="I56" s="102" vm="7817">
        <f ca="1"/>
        <v>51349611</v>
      </c>
    </row>
    <row r="57" spans="4:9" x14ac:dyDescent="0.3">
      <c r="D57" s="100" vm="303">
        <f ca="1"/>
        <v>42471</v>
      </c>
      <c r="E57" s="101" vm="7818">
        <f ca="1"/>
        <v>16.967199999999998</v>
      </c>
      <c r="F57" s="101" vm="7590">
        <f ca="1"/>
        <v>16.7332</v>
      </c>
      <c r="G57" s="101" vm="7819">
        <f ca="1"/>
        <v>17.265799999999999</v>
      </c>
      <c r="H57" s="101" vm="7820">
        <f ca="1"/>
        <v>16.241800000000001</v>
      </c>
      <c r="I57" s="102" vm="7821">
        <f ca="1"/>
        <v>27735047</v>
      </c>
    </row>
    <row r="58" spans="4:9" x14ac:dyDescent="0.3">
      <c r="D58" s="100" vm="308">
        <f ca="1"/>
        <v>42478</v>
      </c>
      <c r="E58" s="101" vm="7822">
        <f ca="1"/>
        <v>16.916499999999999</v>
      </c>
      <c r="F58" s="101" vm="7823">
        <f ca="1"/>
        <v>16.815200000000001</v>
      </c>
      <c r="G58" s="101" vm="7824">
        <f ca="1"/>
        <v>17.220500000000001</v>
      </c>
      <c r="H58" s="101" vm="7825">
        <f ca="1"/>
        <v>16.083200000000001</v>
      </c>
      <c r="I58" s="102" vm="7826">
        <f ca="1"/>
        <v>22392325</v>
      </c>
    </row>
    <row r="59" spans="4:9" x14ac:dyDescent="0.3">
      <c r="D59" s="100" vm="314">
        <f ca="1"/>
        <v>42485</v>
      </c>
      <c r="E59" s="101" vm="7827">
        <f ca="1"/>
        <v>16.0505</v>
      </c>
      <c r="F59" s="101" vm="7828">
        <f ca="1"/>
        <v>16.8672</v>
      </c>
      <c r="G59" s="101" vm="7829">
        <f ca="1"/>
        <v>17.1585</v>
      </c>
      <c r="H59" s="101" vm="7830">
        <f ca="1"/>
        <v>15.8538</v>
      </c>
      <c r="I59" s="102" vm="7831">
        <f ca="1"/>
        <v>18032772</v>
      </c>
    </row>
    <row r="60" spans="4:9" x14ac:dyDescent="0.3">
      <c r="D60" s="100" vm="320">
        <f ca="1"/>
        <v>42492</v>
      </c>
      <c r="E60" s="101" vm="7832">
        <f ca="1"/>
        <v>14.3285</v>
      </c>
      <c r="F60" s="101" vm="7833">
        <f ca="1"/>
        <v>16.099799999999998</v>
      </c>
      <c r="G60" s="101" vm="7834">
        <f ca="1"/>
        <v>16.212499999999999</v>
      </c>
      <c r="H60" s="101" vm="7835">
        <f ca="1"/>
        <v>13.873900000000001</v>
      </c>
      <c r="I60" s="102" vm="7836">
        <f ca="1"/>
        <v>33786680</v>
      </c>
    </row>
    <row r="61" spans="4:9" x14ac:dyDescent="0.3">
      <c r="D61" s="100" vm="326">
        <f ca="1"/>
        <v>42499</v>
      </c>
      <c r="E61" s="101" vm="7837">
        <f ca="1"/>
        <v>13.8405</v>
      </c>
      <c r="F61" s="101" vm="7838">
        <f ca="1"/>
        <v>14.3812</v>
      </c>
      <c r="G61" s="101" vm="7839">
        <f ca="1"/>
        <v>14.4099</v>
      </c>
      <c r="H61" s="101" vm="7840">
        <f ca="1"/>
        <v>13.577</v>
      </c>
      <c r="I61" s="102" vm="7841">
        <f ca="1"/>
        <v>20482120</v>
      </c>
    </row>
    <row r="62" spans="4:9" x14ac:dyDescent="0.3">
      <c r="D62" s="100" vm="332">
        <f ca="1"/>
        <v>42506</v>
      </c>
      <c r="E62" s="101" vm="7842">
        <f ca="1"/>
        <v>14.6852</v>
      </c>
      <c r="F62" s="101" vm="7843">
        <f ca="1"/>
        <v>13.8765</v>
      </c>
      <c r="G62" s="101" vm="7844">
        <f ca="1"/>
        <v>14.703200000000001</v>
      </c>
      <c r="H62" s="101" vm="7845">
        <f ca="1"/>
        <v>13.6012</v>
      </c>
      <c r="I62" s="102" vm="7846">
        <f ca="1"/>
        <v>27283909</v>
      </c>
    </row>
    <row r="63" spans="4:9" x14ac:dyDescent="0.3">
      <c r="D63" s="100" vm="337">
        <f ca="1"/>
        <v>42513</v>
      </c>
      <c r="E63" s="101" vm="7847">
        <f ca="1"/>
        <v>14.869199999999999</v>
      </c>
      <c r="F63" s="101" vm="7848">
        <f ca="1"/>
        <v>14.6579</v>
      </c>
      <c r="G63" s="101" vm="7849">
        <f ca="1"/>
        <v>15.0618</v>
      </c>
      <c r="H63" s="101" vm="7850">
        <f ca="1"/>
        <v>14.3452</v>
      </c>
      <c r="I63" s="102" vm="7851">
        <f ca="1"/>
        <v>18971633</v>
      </c>
    </row>
    <row r="64" spans="4:9" x14ac:dyDescent="0.3">
      <c r="D64" s="100" vm="343">
        <f ca="1"/>
        <v>42521</v>
      </c>
      <c r="E64" s="101" vm="7852">
        <f ca="1"/>
        <v>14.5992</v>
      </c>
      <c r="F64" s="101" vm="7847">
        <f ca="1"/>
        <v>14.869199999999999</v>
      </c>
      <c r="G64" s="101" vm="7853">
        <f ca="1"/>
        <v>14.9832</v>
      </c>
      <c r="H64" s="101" vm="7854">
        <f ca="1"/>
        <v>14.459199999999999</v>
      </c>
      <c r="I64" s="102" vm="7855">
        <f ca="1"/>
        <v>10033499</v>
      </c>
    </row>
    <row r="65" spans="4:9" x14ac:dyDescent="0.3">
      <c r="D65" s="100" vm="349">
        <f ca="1"/>
        <v>42527</v>
      </c>
      <c r="E65" s="101" vm="7856">
        <f ca="1"/>
        <v>14.585900000000001</v>
      </c>
      <c r="F65" s="101" vm="7857">
        <f ca="1"/>
        <v>14.533200000000001</v>
      </c>
      <c r="G65" s="101" vm="7858">
        <f ca="1"/>
        <v>16.0562</v>
      </c>
      <c r="H65" s="101" vm="7859">
        <f ca="1"/>
        <v>14.363200000000001</v>
      </c>
      <c r="I65" s="102" vm="7860">
        <f ca="1"/>
        <v>24953754</v>
      </c>
    </row>
    <row r="66" spans="4:9" x14ac:dyDescent="0.3">
      <c r="D66" s="100" vm="355">
        <f ca="1"/>
        <v>42534</v>
      </c>
      <c r="E66" s="101" vm="7861">
        <f ca="1"/>
        <v>14.3645</v>
      </c>
      <c r="F66" s="101" vm="7862">
        <f ca="1"/>
        <v>14.6332</v>
      </c>
      <c r="G66" s="101" vm="7863">
        <f ca="1"/>
        <v>15.0512</v>
      </c>
      <c r="H66" s="101" vm="7864">
        <f ca="1"/>
        <v>14.1685</v>
      </c>
      <c r="I66" s="102" vm="7865">
        <f ca="1"/>
        <v>16234590</v>
      </c>
    </row>
    <row r="67" spans="4:9" x14ac:dyDescent="0.3">
      <c r="D67" s="100" vm="361">
        <f ca="1"/>
        <v>42541</v>
      </c>
      <c r="E67" s="101" vm="7866">
        <f ca="1"/>
        <v>12.8765</v>
      </c>
      <c r="F67" s="101" vm="7862">
        <f ca="1"/>
        <v>14.6332</v>
      </c>
      <c r="G67" s="101" vm="7867">
        <f ca="1"/>
        <v>14.916499999999999</v>
      </c>
      <c r="H67" s="101" vm="7868">
        <f ca="1"/>
        <v>12.6485</v>
      </c>
      <c r="I67" s="102" vm="7869">
        <f ca="1"/>
        <v>48984154</v>
      </c>
    </row>
    <row r="68" spans="4:9" x14ac:dyDescent="0.3">
      <c r="D68" s="100" vm="367">
        <f ca="1"/>
        <v>42548</v>
      </c>
      <c r="E68" s="101" vm="7870">
        <f ca="1"/>
        <v>14.433199999999999</v>
      </c>
      <c r="F68" s="101" vm="7871">
        <f ca="1"/>
        <v>12.7239</v>
      </c>
      <c r="G68" s="101" vm="7872">
        <f ca="1"/>
        <v>14.549200000000001</v>
      </c>
      <c r="H68" s="101" vm="7873">
        <f ca="1"/>
        <v>12.5245</v>
      </c>
      <c r="I68" s="102" vm="7874">
        <f ca="1"/>
        <v>29670715</v>
      </c>
    </row>
    <row r="69" spans="4:9" x14ac:dyDescent="0.3">
      <c r="D69" s="100" vm="372">
        <f ca="1"/>
        <v>42556</v>
      </c>
      <c r="E69" s="101" vm="7875">
        <f ca="1"/>
        <v>14.4519</v>
      </c>
      <c r="F69" s="101" vm="7876">
        <f ca="1"/>
        <v>13.9819</v>
      </c>
      <c r="G69" s="101" vm="7877">
        <f ca="1"/>
        <v>14.6539</v>
      </c>
      <c r="H69" s="101" vm="7878">
        <f ca="1"/>
        <v>13.8665</v>
      </c>
      <c r="I69" s="102" vm="7879">
        <f ca="1"/>
        <v>17782007</v>
      </c>
    </row>
    <row r="70" spans="4:9" x14ac:dyDescent="0.3">
      <c r="D70" s="100" vm="377">
        <f ca="1"/>
        <v>42562</v>
      </c>
      <c r="E70" s="101" vm="7880">
        <f ca="1"/>
        <v>14.693199999999999</v>
      </c>
      <c r="F70" s="101" vm="7881">
        <f ca="1"/>
        <v>14.6639</v>
      </c>
      <c r="G70" s="101" vm="7882">
        <f ca="1"/>
        <v>15.166499999999999</v>
      </c>
      <c r="H70" s="101" vm="7883">
        <f ca="1"/>
        <v>14.633900000000001</v>
      </c>
      <c r="I70" s="102" vm="7884">
        <f ca="1"/>
        <v>18483131</v>
      </c>
    </row>
    <row r="71" spans="4:9" x14ac:dyDescent="0.3">
      <c r="D71" s="100" vm="383">
        <f ca="1"/>
        <v>42569</v>
      </c>
      <c r="E71" s="101" vm="7885">
        <f ca="1"/>
        <v>14.8179</v>
      </c>
      <c r="F71" s="101" vm="7886">
        <f ca="1"/>
        <v>14.6425</v>
      </c>
      <c r="G71" s="101" vm="7887">
        <f ca="1"/>
        <v>15.319800000000001</v>
      </c>
      <c r="H71" s="101" vm="7888">
        <f ca="1"/>
        <v>14.5532</v>
      </c>
      <c r="I71" s="102" vm="7889">
        <f ca="1"/>
        <v>16103961</v>
      </c>
    </row>
    <row r="72" spans="4:9" x14ac:dyDescent="0.3">
      <c r="D72" s="100" vm="389">
        <f ca="1"/>
        <v>42576</v>
      </c>
      <c r="E72" s="101" vm="7890">
        <f ca="1"/>
        <v>15.6525</v>
      </c>
      <c r="F72" s="101" vm="7885">
        <f ca="1"/>
        <v>14.8179</v>
      </c>
      <c r="G72" s="101" vm="7891">
        <f ca="1"/>
        <v>15.6852</v>
      </c>
      <c r="H72" s="101" vm="7892">
        <f ca="1"/>
        <v>14.757999999999999</v>
      </c>
      <c r="I72" s="102" vm="7893">
        <f ca="1"/>
        <v>16299604</v>
      </c>
    </row>
    <row r="73" spans="4:9" x14ac:dyDescent="0.3">
      <c r="D73" s="100" vm="395">
        <f ca="1"/>
        <v>42583</v>
      </c>
      <c r="E73" s="101" vm="7894">
        <f ca="1"/>
        <v>15.3352</v>
      </c>
      <c r="F73" s="101" vm="7895">
        <f ca="1"/>
        <v>15.6998</v>
      </c>
      <c r="G73" s="101" vm="7896">
        <f ca="1"/>
        <v>15.7752</v>
      </c>
      <c r="H73" s="101" vm="7897">
        <f ca="1"/>
        <v>14.7599</v>
      </c>
      <c r="I73" s="102" vm="7898">
        <f ca="1"/>
        <v>19190687</v>
      </c>
    </row>
    <row r="74" spans="4:9" x14ac:dyDescent="0.3">
      <c r="D74" s="100" vm="400">
        <f ca="1"/>
        <v>42590</v>
      </c>
      <c r="E74" s="101" vm="7899">
        <f ca="1"/>
        <v>15.0405</v>
      </c>
      <c r="F74" s="101" vm="7900">
        <f ca="1"/>
        <v>15.1998</v>
      </c>
      <c r="G74" s="101" vm="7901">
        <f ca="1"/>
        <v>15.435700000000001</v>
      </c>
      <c r="H74" s="101" vm="7902">
        <f ca="1"/>
        <v>14.8939</v>
      </c>
      <c r="I74" s="102" vm="7903">
        <f ca="1"/>
        <v>10504194</v>
      </c>
    </row>
    <row r="75" spans="4:9" x14ac:dyDescent="0.3">
      <c r="D75" s="100" vm="406">
        <f ca="1"/>
        <v>42597</v>
      </c>
      <c r="E75" s="101" vm="7811">
        <f ca="1"/>
        <v>14.9999</v>
      </c>
      <c r="F75" s="101" vm="7904">
        <f ca="1"/>
        <v>15.0678</v>
      </c>
      <c r="G75" s="101" vm="7905">
        <f ca="1"/>
        <v>15.299799999999999</v>
      </c>
      <c r="H75" s="101" vm="7906">
        <f ca="1"/>
        <v>14.8192</v>
      </c>
      <c r="I75" s="102" vm="7907">
        <f ca="1"/>
        <v>9462599</v>
      </c>
    </row>
    <row r="76" spans="4:9" x14ac:dyDescent="0.3">
      <c r="D76" s="100" vm="412">
        <f ca="1"/>
        <v>42604</v>
      </c>
      <c r="E76" s="101" vm="7908">
        <f ca="1"/>
        <v>14.665900000000001</v>
      </c>
      <c r="F76" s="101" vm="7909">
        <f ca="1"/>
        <v>14.9445</v>
      </c>
      <c r="G76" s="101" vm="7910">
        <f ca="1"/>
        <v>15.2325</v>
      </c>
      <c r="H76" s="101" vm="7911">
        <f ca="1"/>
        <v>14.587899999999999</v>
      </c>
      <c r="I76" s="102" vm="7912">
        <f ca="1"/>
        <v>13422115</v>
      </c>
    </row>
    <row r="77" spans="4:9" x14ac:dyDescent="0.3">
      <c r="D77" s="100" vm="418">
        <f ca="1"/>
        <v>42611</v>
      </c>
      <c r="E77" s="101" vm="7913">
        <f ca="1"/>
        <v>13.1852</v>
      </c>
      <c r="F77" s="101" vm="7914">
        <f ca="1"/>
        <v>14.676500000000001</v>
      </c>
      <c r="G77" s="101" vm="7880">
        <f ca="1"/>
        <v>14.693199999999999</v>
      </c>
      <c r="H77" s="101" vm="7915">
        <f ca="1"/>
        <v>13.0799</v>
      </c>
      <c r="I77" s="102" vm="7916">
        <f ca="1"/>
        <v>23632295</v>
      </c>
    </row>
    <row r="78" spans="4:9" x14ac:dyDescent="0.3">
      <c r="D78" s="100" vm="424">
        <f ca="1"/>
        <v>42619</v>
      </c>
      <c r="E78" s="101" vm="7917">
        <f ca="1"/>
        <v>12.964499999999999</v>
      </c>
      <c r="F78" s="101" vm="7918">
        <f ca="1"/>
        <v>13.267899999999999</v>
      </c>
      <c r="G78" s="101" vm="7919">
        <f ca="1"/>
        <v>13.766299999999999</v>
      </c>
      <c r="H78" s="101" vm="7920">
        <f ca="1"/>
        <v>12.9132</v>
      </c>
      <c r="I78" s="102" vm="7921">
        <f ca="1"/>
        <v>15166433</v>
      </c>
    </row>
    <row r="79" spans="4:9" x14ac:dyDescent="0.3">
      <c r="D79" s="100" vm="429">
        <f ca="1"/>
        <v>42625</v>
      </c>
      <c r="E79" s="101" vm="7922">
        <f ca="1"/>
        <v>13.693199999999999</v>
      </c>
      <c r="F79" s="101" vm="7661">
        <f ca="1"/>
        <v>12.9999</v>
      </c>
      <c r="G79" s="101" vm="7923">
        <f ca="1"/>
        <v>13.713200000000001</v>
      </c>
      <c r="H79" s="101" vm="7924">
        <f ca="1"/>
        <v>12.8965</v>
      </c>
      <c r="I79" s="102" vm="7925">
        <f ca="1"/>
        <v>15756694</v>
      </c>
    </row>
    <row r="80" spans="4:9" x14ac:dyDescent="0.3">
      <c r="D80" s="100" vm="435">
        <f ca="1"/>
        <v>42632</v>
      </c>
      <c r="E80" s="101" vm="7926">
        <f ca="1"/>
        <v>13.8299</v>
      </c>
      <c r="F80" s="101" vm="7927">
        <f ca="1"/>
        <v>13.799899999999999</v>
      </c>
      <c r="G80" s="101" vm="7928">
        <f ca="1"/>
        <v>14.011900000000001</v>
      </c>
      <c r="H80" s="101" vm="7929">
        <f ca="1"/>
        <v>13.437200000000001</v>
      </c>
      <c r="I80" s="102" vm="7930">
        <f ca="1"/>
        <v>12631620</v>
      </c>
    </row>
    <row r="81" spans="4:9" x14ac:dyDescent="0.3">
      <c r="D81" s="100" vm="441">
        <f ca="1"/>
        <v>42639</v>
      </c>
      <c r="E81" s="101" vm="7792">
        <f ca="1"/>
        <v>13.601900000000001</v>
      </c>
      <c r="F81" s="101" vm="7931">
        <f ca="1"/>
        <v>13.766500000000001</v>
      </c>
      <c r="G81" s="101" vm="7750">
        <f ca="1"/>
        <v>14.0665</v>
      </c>
      <c r="H81" s="101" vm="7932">
        <f ca="1"/>
        <v>13.3032</v>
      </c>
      <c r="I81" s="102" vm="7933">
        <f ca="1"/>
        <v>13169214</v>
      </c>
    </row>
    <row r="82" spans="4:9" x14ac:dyDescent="0.3">
      <c r="D82" s="100" vm="446">
        <f ca="1"/>
        <v>42646</v>
      </c>
      <c r="E82" s="101" vm="7934">
        <f ca="1"/>
        <v>13.107200000000001</v>
      </c>
      <c r="F82" s="101" vm="7935">
        <f ca="1"/>
        <v>14.1532</v>
      </c>
      <c r="G82" s="101" vm="7936">
        <f ca="1"/>
        <v>14.377800000000001</v>
      </c>
      <c r="H82" s="101" vm="7937">
        <f ca="1"/>
        <v>13.0532</v>
      </c>
      <c r="I82" s="102" vm="7938">
        <f ca="1"/>
        <v>19615327</v>
      </c>
    </row>
    <row r="83" spans="4:9" x14ac:dyDescent="0.3">
      <c r="D83" s="100" vm="450">
        <f ca="1"/>
        <v>42653</v>
      </c>
      <c r="E83" s="101" vm="7939">
        <f ca="1"/>
        <v>13.1005</v>
      </c>
      <c r="F83" s="101" vm="7940">
        <f ca="1"/>
        <v>13.4232</v>
      </c>
      <c r="G83" s="101" vm="7941">
        <f ca="1"/>
        <v>13.6092</v>
      </c>
      <c r="H83" s="101" vm="7942">
        <f ca="1"/>
        <v>13.086499999999999</v>
      </c>
      <c r="I83" s="102" vm="7943">
        <f ca="1"/>
        <v>14380671</v>
      </c>
    </row>
    <row r="84" spans="4:9" x14ac:dyDescent="0.3">
      <c r="D84" s="100" vm="456">
        <f ca="1"/>
        <v>42660</v>
      </c>
      <c r="E84" s="101" vm="7944">
        <f ca="1"/>
        <v>13.3392</v>
      </c>
      <c r="F84" s="101" vm="7945">
        <f ca="1"/>
        <v>13.1365</v>
      </c>
      <c r="G84" s="101" vm="7946">
        <f ca="1"/>
        <v>13.777200000000001</v>
      </c>
      <c r="H84" s="101" vm="7787">
        <f ca="1"/>
        <v>12.799899999999999</v>
      </c>
      <c r="I84" s="102" vm="7947">
        <f ca="1"/>
        <v>25242017</v>
      </c>
    </row>
    <row r="85" spans="4:9" x14ac:dyDescent="0.3">
      <c r="D85" s="100" vm="462">
        <f ca="1"/>
        <v>42667</v>
      </c>
      <c r="E85" s="101" vm="7948">
        <f ca="1"/>
        <v>13.331200000000001</v>
      </c>
      <c r="F85" s="101" vm="7949">
        <f ca="1"/>
        <v>13.399900000000001</v>
      </c>
      <c r="G85" s="101" vm="7950">
        <f ca="1"/>
        <v>14.246499999999999</v>
      </c>
      <c r="H85" s="101" vm="7951">
        <f ca="1"/>
        <v>13.321899999999999</v>
      </c>
      <c r="I85" s="102" vm="7952">
        <f ca="1"/>
        <v>28203302</v>
      </c>
    </row>
    <row r="86" spans="4:9" x14ac:dyDescent="0.3">
      <c r="D86" s="100" vm="467">
        <f ca="1"/>
        <v>42674</v>
      </c>
      <c r="E86" s="101" vm="7953">
        <f ca="1"/>
        <v>12.703900000000001</v>
      </c>
      <c r="F86" s="101" vm="7954">
        <f ca="1"/>
        <v>13.4992</v>
      </c>
      <c r="G86" s="101" vm="7954">
        <f ca="1"/>
        <v>13.4992</v>
      </c>
      <c r="H86" s="101" vm="7955">
        <f ca="1"/>
        <v>12.3972</v>
      </c>
      <c r="I86" s="102" vm="7956">
        <f ca="1"/>
        <v>23804757</v>
      </c>
    </row>
    <row r="87" spans="4:9" x14ac:dyDescent="0.3">
      <c r="D87" s="100" vm="473">
        <f ca="1"/>
        <v>42681</v>
      </c>
      <c r="E87" s="101" vm="7957">
        <f ca="1"/>
        <v>12.570499999999999</v>
      </c>
      <c r="F87" s="101" vm="7958">
        <f ca="1"/>
        <v>12.905900000000001</v>
      </c>
      <c r="G87" s="101" vm="7959">
        <f ca="1"/>
        <v>13.165900000000001</v>
      </c>
      <c r="H87" s="101" vm="7960">
        <f ca="1"/>
        <v>12.027900000000001</v>
      </c>
      <c r="I87" s="102" vm="7961">
        <f ca="1"/>
        <v>26049602</v>
      </c>
    </row>
    <row r="88" spans="4:9" x14ac:dyDescent="0.3">
      <c r="D88" s="100" vm="479">
        <f ca="1"/>
        <v>42688</v>
      </c>
      <c r="E88" s="101" vm="7962">
        <f ca="1"/>
        <v>12.3345</v>
      </c>
      <c r="F88" s="101" vm="7963">
        <f ca="1"/>
        <v>12.533200000000001</v>
      </c>
      <c r="G88" s="101" vm="7964">
        <f ca="1"/>
        <v>12.8665</v>
      </c>
      <c r="H88" s="101" vm="7965">
        <f ca="1"/>
        <v>11.879200000000001</v>
      </c>
      <c r="I88" s="102" vm="7966">
        <f ca="1"/>
        <v>23986074</v>
      </c>
    </row>
    <row r="89" spans="4:9" x14ac:dyDescent="0.3">
      <c r="D89" s="100" vm="485">
        <f ca="1"/>
        <v>42695</v>
      </c>
      <c r="E89" s="101" vm="7967">
        <f ca="1"/>
        <v>13.1099</v>
      </c>
      <c r="F89" s="101" vm="7968">
        <f ca="1"/>
        <v>12.335900000000001</v>
      </c>
      <c r="G89" s="101" vm="7969">
        <f ca="1"/>
        <v>13.148999999999999</v>
      </c>
      <c r="H89" s="101" vm="7970">
        <f ca="1"/>
        <v>12.247199999999999</v>
      </c>
      <c r="I89" s="102" vm="7971">
        <f ca="1"/>
        <v>17222395</v>
      </c>
    </row>
    <row r="90" spans="4:9" x14ac:dyDescent="0.3">
      <c r="D90" s="100" vm="491">
        <f ca="1"/>
        <v>42702</v>
      </c>
      <c r="E90" s="101" vm="7972">
        <f ca="1"/>
        <v>12.097899999999999</v>
      </c>
      <c r="F90" s="101" vm="7973">
        <f ca="1"/>
        <v>13.0319</v>
      </c>
      <c r="G90" s="101" vm="7974">
        <f ca="1"/>
        <v>13.289899999999999</v>
      </c>
      <c r="H90" s="101" vm="7975">
        <f ca="1"/>
        <v>11.9999</v>
      </c>
      <c r="I90" s="102" vm="7976">
        <f ca="1"/>
        <v>21684267</v>
      </c>
    </row>
    <row r="91" spans="4:9" x14ac:dyDescent="0.3">
      <c r="D91" s="100" vm="497">
        <f ca="1"/>
        <v>42709</v>
      </c>
      <c r="E91" s="101" vm="7977">
        <f ca="1"/>
        <v>12.8119</v>
      </c>
      <c r="F91" s="101" vm="7978">
        <f ca="1"/>
        <v>12.167199999999999</v>
      </c>
      <c r="G91" s="101" vm="7979">
        <f ca="1"/>
        <v>12.9223</v>
      </c>
      <c r="H91" s="101" vm="7978">
        <f ca="1"/>
        <v>12.167199999999999</v>
      </c>
      <c r="I91" s="102" vm="7980">
        <f ca="1"/>
        <v>18842365</v>
      </c>
    </row>
    <row r="92" spans="4:9" x14ac:dyDescent="0.3">
      <c r="D92" s="100" vm="503">
        <f ca="1"/>
        <v>42716</v>
      </c>
      <c r="E92" s="101" vm="7954">
        <f ca="1"/>
        <v>13.4992</v>
      </c>
      <c r="F92" s="101" vm="7981">
        <f ca="1"/>
        <v>12.853199999999999</v>
      </c>
      <c r="G92" s="101" vm="7982">
        <f ca="1"/>
        <v>13.533200000000001</v>
      </c>
      <c r="H92" s="101" vm="7983">
        <f ca="1"/>
        <v>12.735900000000001</v>
      </c>
      <c r="I92" s="102" vm="7984">
        <f ca="1"/>
        <v>20430143</v>
      </c>
    </row>
    <row r="93" spans="4:9" x14ac:dyDescent="0.3">
      <c r="D93" s="100" vm="508">
        <f ca="1"/>
        <v>42723</v>
      </c>
      <c r="E93" s="101" vm="7985">
        <f ca="1"/>
        <v>14.2225</v>
      </c>
      <c r="F93" s="101" vm="7954">
        <f ca="1"/>
        <v>13.4992</v>
      </c>
      <c r="G93" s="101" vm="7986">
        <f ca="1"/>
        <v>14.229900000000001</v>
      </c>
      <c r="H93" s="101" vm="7987">
        <f ca="1"/>
        <v>13.3225</v>
      </c>
      <c r="I93" s="102" vm="7988">
        <f ca="1"/>
        <v>21166336</v>
      </c>
    </row>
    <row r="94" spans="4:9" x14ac:dyDescent="0.3">
      <c r="D94" s="100" vm="514">
        <f ca="1"/>
        <v>42731</v>
      </c>
      <c r="E94" s="101" vm="7989">
        <f ca="1"/>
        <v>14.245900000000001</v>
      </c>
      <c r="F94" s="101" vm="7990">
        <f ca="1"/>
        <v>14.325200000000001</v>
      </c>
      <c r="G94" s="101" vm="7991">
        <f ca="1"/>
        <v>14.9199</v>
      </c>
      <c r="H94" s="101" vm="7992">
        <f ca="1"/>
        <v>14.1119</v>
      </c>
      <c r="I94" s="102" vm="7993">
        <f ca="1"/>
        <v>18385776</v>
      </c>
    </row>
    <row r="95" spans="4:9" x14ac:dyDescent="0.3">
      <c r="D95" s="100" vm="519">
        <f ca="1"/>
        <v>42738</v>
      </c>
      <c r="E95" s="101" vm="7994">
        <f ca="1"/>
        <v>15.267200000000001</v>
      </c>
      <c r="F95" s="101" vm="7995">
        <f ca="1"/>
        <v>14.3239</v>
      </c>
      <c r="G95" s="101" vm="7996">
        <f ca="1"/>
        <v>15.3538</v>
      </c>
      <c r="H95" s="101" vm="7997">
        <f ca="1"/>
        <v>14.0639</v>
      </c>
      <c r="I95" s="102" vm="7998">
        <f ca="1"/>
        <v>28576313</v>
      </c>
    </row>
    <row r="96" spans="4:9" x14ac:dyDescent="0.3">
      <c r="D96" s="100" vm="524">
        <f ca="1"/>
        <v>42744</v>
      </c>
      <c r="E96" s="101" vm="7999">
        <f ca="1"/>
        <v>15.8498</v>
      </c>
      <c r="F96" s="101" vm="8000">
        <f ca="1"/>
        <v>15.2645</v>
      </c>
      <c r="G96" s="101" vm="8001">
        <f ca="1"/>
        <v>15.8565</v>
      </c>
      <c r="H96" s="101" vm="8002">
        <f ca="1"/>
        <v>15.038500000000001</v>
      </c>
      <c r="I96" s="102" vm="8003">
        <f ca="1"/>
        <v>21173453</v>
      </c>
    </row>
    <row r="97" spans="4:9" x14ac:dyDescent="0.3">
      <c r="D97" s="100" vm="530">
        <f ca="1"/>
        <v>42752</v>
      </c>
      <c r="E97" s="101" vm="8004">
        <f ca="1"/>
        <v>16.315200000000001</v>
      </c>
      <c r="F97" s="101" vm="8005">
        <f ca="1"/>
        <v>15.7798</v>
      </c>
      <c r="G97" s="101" vm="8006">
        <f ca="1"/>
        <v>16.578499999999998</v>
      </c>
      <c r="H97" s="101" vm="8007">
        <f ca="1"/>
        <v>15.624499999999999</v>
      </c>
      <c r="I97" s="102" vm="8008">
        <f ca="1"/>
        <v>20323067</v>
      </c>
    </row>
    <row r="98" spans="4:9" x14ac:dyDescent="0.3">
      <c r="D98" s="100" vm="536">
        <f ca="1"/>
        <v>42758</v>
      </c>
      <c r="E98" s="101" vm="8009">
        <f ca="1"/>
        <v>16.863199999999999</v>
      </c>
      <c r="F98" s="101" vm="8010">
        <f ca="1"/>
        <v>16.389800000000001</v>
      </c>
      <c r="G98" s="101" vm="8011">
        <f ca="1"/>
        <v>17.230499999999999</v>
      </c>
      <c r="H98" s="101" vm="8012">
        <f ca="1"/>
        <v>16.366499999999998</v>
      </c>
      <c r="I98" s="102" vm="8013">
        <f ca="1"/>
        <v>22693209</v>
      </c>
    </row>
    <row r="99" spans="4:9" x14ac:dyDescent="0.3">
      <c r="D99" s="100" vm="540">
        <f ca="1"/>
        <v>42765</v>
      </c>
      <c r="E99" s="101" vm="8014">
        <f ca="1"/>
        <v>16.755199999999999</v>
      </c>
      <c r="F99" s="101" vm="8015">
        <f ca="1"/>
        <v>16.8352</v>
      </c>
      <c r="G99" s="101" vm="8016">
        <f ca="1"/>
        <v>17.059200000000001</v>
      </c>
      <c r="H99" s="101" vm="8017">
        <f ca="1"/>
        <v>16.473199999999999</v>
      </c>
      <c r="I99" s="102" vm="8018">
        <f ca="1"/>
        <v>16562505</v>
      </c>
    </row>
    <row r="100" spans="4:9" x14ac:dyDescent="0.3">
      <c r="D100" s="100" vm="546">
        <f ca="1"/>
        <v>42772</v>
      </c>
      <c r="E100" s="101" vm="8019">
        <f ca="1"/>
        <v>17.948499999999999</v>
      </c>
      <c r="F100" s="101" vm="7590">
        <f ca="1"/>
        <v>16.7332</v>
      </c>
      <c r="G100" s="101" vm="8020">
        <f ca="1"/>
        <v>18.078499999999998</v>
      </c>
      <c r="H100" s="101" vm="8021">
        <f ca="1"/>
        <v>16.708500000000001</v>
      </c>
      <c r="I100" s="102" vm="8022">
        <f ca="1"/>
        <v>23180267</v>
      </c>
    </row>
    <row r="101" spans="4:9" x14ac:dyDescent="0.3">
      <c r="D101" s="100" vm="551">
        <f ca="1"/>
        <v>42779</v>
      </c>
      <c r="E101" s="101" vm="8023">
        <f ca="1"/>
        <v>18.148499999999999</v>
      </c>
      <c r="F101" s="101" vm="8024">
        <f ca="1"/>
        <v>18.049199999999999</v>
      </c>
      <c r="G101" s="101" vm="8025">
        <f ca="1"/>
        <v>19.159099999999999</v>
      </c>
      <c r="H101" s="101" vm="8026">
        <f ca="1"/>
        <v>17.6098</v>
      </c>
      <c r="I101" s="102" vm="8027">
        <f ca="1"/>
        <v>32657156</v>
      </c>
    </row>
    <row r="102" spans="4:9" x14ac:dyDescent="0.3">
      <c r="D102" s="100" vm="557">
        <f ca="1"/>
        <v>42787</v>
      </c>
      <c r="E102" s="101" vm="8028">
        <f ca="1"/>
        <v>17.133199999999999</v>
      </c>
      <c r="F102" s="101" vm="8029">
        <f ca="1"/>
        <v>18.363099999999999</v>
      </c>
      <c r="G102" s="101" vm="8030">
        <f ca="1"/>
        <v>18.8965</v>
      </c>
      <c r="H102" s="101" vm="8031">
        <f ca="1"/>
        <v>16.6798</v>
      </c>
      <c r="I102" s="102" vm="8032">
        <f ca="1"/>
        <v>37518597</v>
      </c>
    </row>
    <row r="103" spans="4:9" x14ac:dyDescent="0.3">
      <c r="D103" s="100" vm="563">
        <f ca="1"/>
        <v>42793</v>
      </c>
      <c r="E103" s="101" vm="8033">
        <f ca="1"/>
        <v>16.7712</v>
      </c>
      <c r="F103" s="101" vm="8034">
        <f ca="1"/>
        <v>16.544499999999999</v>
      </c>
      <c r="G103" s="101" vm="8035">
        <f ca="1"/>
        <v>16.989799999999999</v>
      </c>
      <c r="H103" s="101" vm="8036">
        <f ca="1"/>
        <v>16.133800000000001</v>
      </c>
      <c r="I103" s="102" vm="8037">
        <f ca="1"/>
        <v>28629510</v>
      </c>
    </row>
    <row r="104" spans="4:9" x14ac:dyDescent="0.3">
      <c r="D104" s="100" vm="569">
        <f ca="1"/>
        <v>42800</v>
      </c>
      <c r="E104" s="101" vm="8038">
        <f ca="1"/>
        <v>16.245799999999999</v>
      </c>
      <c r="F104" s="101" vm="8039">
        <f ca="1"/>
        <v>16.527200000000001</v>
      </c>
      <c r="G104" s="101" vm="8040">
        <f ca="1"/>
        <v>16.925799999999999</v>
      </c>
      <c r="H104" s="101" vm="8041">
        <f ca="1"/>
        <v>16.1998</v>
      </c>
      <c r="I104" s="102" vm="8042">
        <f ca="1"/>
        <v>17489184</v>
      </c>
    </row>
    <row r="105" spans="4:9" x14ac:dyDescent="0.3">
      <c r="D105" s="100" vm="575">
        <f ca="1"/>
        <v>42807</v>
      </c>
      <c r="E105" s="101" vm="8043">
        <f ca="1"/>
        <v>17.433199999999999</v>
      </c>
      <c r="F105" s="101" vm="8044">
        <f ca="1"/>
        <v>16.321200000000001</v>
      </c>
      <c r="G105" s="101" vm="8045">
        <f ca="1"/>
        <v>17.7165</v>
      </c>
      <c r="H105" s="101" vm="8046">
        <f ca="1"/>
        <v>16.185199999999998</v>
      </c>
      <c r="I105" s="102" vm="8047">
        <f ca="1"/>
        <v>29581526</v>
      </c>
    </row>
    <row r="106" spans="4:9" x14ac:dyDescent="0.3">
      <c r="D106" s="100" vm="581">
        <f ca="1"/>
        <v>42814</v>
      </c>
      <c r="E106" s="101" vm="8048">
        <f ca="1"/>
        <v>17.543800000000001</v>
      </c>
      <c r="F106" s="101" vm="8049">
        <f ca="1"/>
        <v>17.373200000000001</v>
      </c>
      <c r="G106" s="101" vm="8050">
        <f ca="1"/>
        <v>17.653199999999998</v>
      </c>
      <c r="H106" s="101" vm="7668">
        <f ca="1"/>
        <v>16.682500000000001</v>
      </c>
      <c r="I106" s="102" vm="8051">
        <f ca="1"/>
        <v>23549643</v>
      </c>
    </row>
    <row r="107" spans="4:9" x14ac:dyDescent="0.3">
      <c r="D107" s="100" vm="587">
        <f ca="1"/>
        <v>42821</v>
      </c>
      <c r="E107" s="101" vm="8052">
        <f ca="1"/>
        <v>18.553100000000001</v>
      </c>
      <c r="F107" s="101" vm="8049">
        <f ca="1"/>
        <v>17.373200000000001</v>
      </c>
      <c r="G107" s="101" vm="8053">
        <f ca="1"/>
        <v>18.799800000000001</v>
      </c>
      <c r="H107" s="101" vm="8054">
        <f ca="1"/>
        <v>17.316500000000001</v>
      </c>
      <c r="I107" s="102" vm="8055">
        <f ca="1"/>
        <v>25337622</v>
      </c>
    </row>
    <row r="108" spans="4:9" x14ac:dyDescent="0.3">
      <c r="D108" s="100" vm="593">
        <f ca="1"/>
        <v>42828</v>
      </c>
      <c r="E108" s="101" vm="8056">
        <f ca="1"/>
        <v>20.1691</v>
      </c>
      <c r="F108" s="101" vm="8057">
        <f ca="1"/>
        <v>19.1265</v>
      </c>
      <c r="G108" s="101" vm="8058">
        <f ca="1"/>
        <v>20.325099999999999</v>
      </c>
      <c r="H108" s="101" vm="8059">
        <f ca="1"/>
        <v>18.971800000000002</v>
      </c>
      <c r="I108" s="102" vm="8060">
        <f ca="1"/>
        <v>42004313</v>
      </c>
    </row>
    <row r="109" spans="4:9" x14ac:dyDescent="0.3">
      <c r="D109" s="100" vm="599">
        <f ca="1"/>
        <v>42835</v>
      </c>
      <c r="E109" s="101" vm="8061">
        <f ca="1"/>
        <v>20.266500000000001</v>
      </c>
      <c r="F109" s="101" vm="8062">
        <f ca="1"/>
        <v>20.6098</v>
      </c>
      <c r="G109" s="101" vm="8063">
        <f ca="1"/>
        <v>20.915099999999999</v>
      </c>
      <c r="H109" s="101" vm="8064">
        <f ca="1"/>
        <v>19.686499999999999</v>
      </c>
      <c r="I109" s="102" vm="8065">
        <f ca="1"/>
        <v>28724351</v>
      </c>
    </row>
    <row r="110" spans="4:9" x14ac:dyDescent="0.3">
      <c r="D110" s="100" vm="605">
        <f ca="1"/>
        <v>42842</v>
      </c>
      <c r="E110" s="101" vm="8066">
        <f ca="1"/>
        <v>20.373100000000001</v>
      </c>
      <c r="F110" s="101" vm="8067">
        <f ca="1"/>
        <v>20.1798</v>
      </c>
      <c r="G110" s="101" vm="8062">
        <f ca="1"/>
        <v>20.6098</v>
      </c>
      <c r="H110" s="101" vm="8068">
        <f ca="1"/>
        <v>19.8598</v>
      </c>
      <c r="I110" s="102" vm="8069">
        <f ca="1"/>
        <v>21731566</v>
      </c>
    </row>
    <row r="111" spans="4:9" x14ac:dyDescent="0.3">
      <c r="D111" s="100" vm="611">
        <f ca="1"/>
        <v>42849</v>
      </c>
      <c r="E111" s="101" vm="8070">
        <f ca="1"/>
        <v>20.937799999999999</v>
      </c>
      <c r="F111" s="101" vm="8071">
        <f ca="1"/>
        <v>20.6145</v>
      </c>
      <c r="G111" s="101" vm="8072">
        <f ca="1"/>
        <v>20.986499999999999</v>
      </c>
      <c r="H111" s="101" vm="8073">
        <f ca="1"/>
        <v>20.390499999999999</v>
      </c>
      <c r="I111" s="102" vm="8074">
        <f ca="1"/>
        <v>24490304</v>
      </c>
    </row>
    <row r="112" spans="4:9" x14ac:dyDescent="0.3">
      <c r="D112" s="100" vm="617">
        <f ca="1"/>
        <v>42856</v>
      </c>
      <c r="E112" s="101" vm="8075">
        <f ca="1"/>
        <v>20.5565</v>
      </c>
      <c r="F112" s="101" vm="8076">
        <f ca="1"/>
        <v>20.991800000000001</v>
      </c>
      <c r="G112" s="101" vm="8077">
        <f ca="1"/>
        <v>21.843800000000002</v>
      </c>
      <c r="H112" s="101" vm="8078">
        <f ca="1"/>
        <v>19.383800000000001</v>
      </c>
      <c r="I112" s="102" vm="8079">
        <f ca="1"/>
        <v>43675062</v>
      </c>
    </row>
    <row r="113" spans="4:9" x14ac:dyDescent="0.3">
      <c r="D113" s="100" vm="623">
        <f ca="1"/>
        <v>42863</v>
      </c>
      <c r="E113" s="101" vm="8080">
        <f ca="1"/>
        <v>21.6538</v>
      </c>
      <c r="F113" s="101" vm="8081">
        <f ca="1"/>
        <v>20.726500000000001</v>
      </c>
      <c r="G113" s="101" vm="8082">
        <f ca="1"/>
        <v>21.799800000000001</v>
      </c>
      <c r="H113" s="101" vm="8083">
        <f ca="1"/>
        <v>20.387799999999999</v>
      </c>
      <c r="I113" s="102" vm="8084">
        <f ca="1"/>
        <v>31300046</v>
      </c>
    </row>
    <row r="114" spans="4:9" x14ac:dyDescent="0.3">
      <c r="D114" s="100" vm="628">
        <f ca="1"/>
        <v>42870</v>
      </c>
      <c r="E114" s="101" vm="8085">
        <f ca="1"/>
        <v>20.721800000000002</v>
      </c>
      <c r="F114" s="101" vm="8086">
        <f ca="1"/>
        <v>21.225100000000001</v>
      </c>
      <c r="G114" s="101" vm="8087">
        <f ca="1"/>
        <v>21.346499999999999</v>
      </c>
      <c r="H114" s="101" vm="8088">
        <f ca="1"/>
        <v>20.3538</v>
      </c>
      <c r="I114" s="102" vm="8089">
        <f ca="1"/>
        <v>28827801</v>
      </c>
    </row>
    <row r="115" spans="4:9" x14ac:dyDescent="0.3">
      <c r="D115" s="100" vm="634">
        <f ca="1"/>
        <v>42877</v>
      </c>
      <c r="E115" s="101" vm="8090">
        <f ca="1"/>
        <v>21.675799999999999</v>
      </c>
      <c r="F115" s="101" vm="8091">
        <f ca="1"/>
        <v>20.853100000000001</v>
      </c>
      <c r="G115" s="101" vm="8092">
        <f ca="1"/>
        <v>21.699100000000001</v>
      </c>
      <c r="H115" s="101" vm="8093">
        <f ca="1"/>
        <v>20.2318</v>
      </c>
      <c r="I115" s="102" vm="8094">
        <f ca="1"/>
        <v>26505386</v>
      </c>
    </row>
    <row r="116" spans="4:9" x14ac:dyDescent="0.3">
      <c r="D116" s="100" vm="640">
        <f ca="1"/>
        <v>42885</v>
      </c>
      <c r="E116" s="101" vm="8095">
        <f ca="1"/>
        <v>22.656400000000001</v>
      </c>
      <c r="F116" s="101" vm="8096">
        <f ca="1"/>
        <v>21.7331</v>
      </c>
      <c r="G116" s="101" vm="8097">
        <f ca="1"/>
        <v>22.991800000000001</v>
      </c>
      <c r="H116" s="101" vm="8098">
        <f ca="1"/>
        <v>21.717099999999999</v>
      </c>
      <c r="I116" s="102" vm="8099">
        <f ca="1"/>
        <v>30944595</v>
      </c>
    </row>
    <row r="117" spans="4:9" x14ac:dyDescent="0.3">
      <c r="D117" s="100" vm="645">
        <f ca="1"/>
        <v>42891</v>
      </c>
      <c r="E117" s="101" vm="8100">
        <f ca="1"/>
        <v>23.821100000000001</v>
      </c>
      <c r="F117" s="101" vm="8101">
        <f ca="1"/>
        <v>22.566400000000002</v>
      </c>
      <c r="G117" s="101" vm="8102">
        <f ca="1"/>
        <v>25.124400000000001</v>
      </c>
      <c r="H117" s="101" vm="8103">
        <f ca="1"/>
        <v>22.2804</v>
      </c>
      <c r="I117" s="102" vm="8104">
        <f ca="1"/>
        <v>53592056</v>
      </c>
    </row>
    <row r="118" spans="4:9" x14ac:dyDescent="0.3">
      <c r="D118" s="100" vm="650">
        <f ca="1"/>
        <v>42898</v>
      </c>
      <c r="E118" s="101" vm="8105">
        <f ca="1"/>
        <v>24.759799999999998</v>
      </c>
      <c r="F118" s="101" vm="8106">
        <f ca="1"/>
        <v>23.8658</v>
      </c>
      <c r="G118" s="101" vm="8107">
        <f ca="1"/>
        <v>25.616399999999999</v>
      </c>
      <c r="H118" s="101" vm="8108">
        <f ca="1"/>
        <v>23.374400000000001</v>
      </c>
      <c r="I118" s="102" vm="8109">
        <f ca="1"/>
        <v>52301451</v>
      </c>
    </row>
    <row r="119" spans="4:9" x14ac:dyDescent="0.3">
      <c r="D119" s="100" vm="655">
        <f ca="1"/>
        <v>42905</v>
      </c>
      <c r="E119" s="101" vm="8110">
        <f ca="1"/>
        <v>25.563099999999999</v>
      </c>
      <c r="F119" s="101" vm="8111">
        <f ca="1"/>
        <v>24.9998</v>
      </c>
      <c r="G119" s="101" vm="8112">
        <f ca="1"/>
        <v>25.799099999999999</v>
      </c>
      <c r="H119" s="101" vm="8113">
        <f ca="1"/>
        <v>24.5198</v>
      </c>
      <c r="I119" s="102" vm="8114">
        <f ca="1"/>
        <v>32886779</v>
      </c>
    </row>
    <row r="120" spans="4:9" x14ac:dyDescent="0.3">
      <c r="D120" s="100" vm="659">
        <f ca="1"/>
        <v>42912</v>
      </c>
      <c r="E120" s="101" vm="8115">
        <f ca="1"/>
        <v>24.107099999999999</v>
      </c>
      <c r="F120" s="101" vm="8116">
        <f ca="1"/>
        <v>25.7791</v>
      </c>
      <c r="G120" s="101" vm="8117">
        <f ca="1"/>
        <v>25.796399999999998</v>
      </c>
      <c r="H120" s="101" vm="8118">
        <f ca="1"/>
        <v>23.606400000000001</v>
      </c>
      <c r="I120" s="102" vm="8119">
        <f ca="1"/>
        <v>33972520</v>
      </c>
    </row>
    <row r="121" spans="4:9" x14ac:dyDescent="0.3">
      <c r="D121" s="100" vm="665">
        <f ca="1"/>
        <v>42919</v>
      </c>
      <c r="E121" s="101" vm="8120">
        <f ca="1"/>
        <v>20.8811</v>
      </c>
      <c r="F121" s="101" vm="8121">
        <f ca="1"/>
        <v>24.682400000000001</v>
      </c>
      <c r="G121" s="101" vm="8122">
        <f ca="1"/>
        <v>24.756399999999999</v>
      </c>
      <c r="H121" s="101" vm="8123">
        <f ca="1"/>
        <v>20.419799999999999</v>
      </c>
      <c r="I121" s="102" vm="8124">
        <f ca="1"/>
        <v>56853512</v>
      </c>
    </row>
    <row r="122" spans="4:9" x14ac:dyDescent="0.3">
      <c r="D122" s="100" vm="671">
        <f ca="1"/>
        <v>42926</v>
      </c>
      <c r="E122" s="101" vm="8125">
        <f ca="1"/>
        <v>21.851800000000001</v>
      </c>
      <c r="F122" s="101" vm="8126">
        <f ca="1"/>
        <v>20.8598</v>
      </c>
      <c r="G122" s="101" vm="8127">
        <f ca="1"/>
        <v>22.206399999999999</v>
      </c>
      <c r="H122" s="101" vm="8128">
        <f ca="1"/>
        <v>20.208500000000001</v>
      </c>
      <c r="I122" s="102" vm="8129">
        <f ca="1"/>
        <v>49946095</v>
      </c>
    </row>
    <row r="123" spans="4:9" x14ac:dyDescent="0.3">
      <c r="D123" s="100" vm="677">
        <f ca="1"/>
        <v>42933</v>
      </c>
      <c r="E123" s="101" vm="8130">
        <f ca="1"/>
        <v>21.8931</v>
      </c>
      <c r="F123" s="101" vm="8131">
        <f ca="1"/>
        <v>21.702400000000001</v>
      </c>
      <c r="G123" s="101" vm="8132">
        <f ca="1"/>
        <v>22.1098</v>
      </c>
      <c r="H123" s="101" vm="8133">
        <f ca="1"/>
        <v>20.8965</v>
      </c>
      <c r="I123" s="102" vm="8134">
        <f ca="1"/>
        <v>32675440</v>
      </c>
    </row>
    <row r="124" spans="4:9" x14ac:dyDescent="0.3">
      <c r="D124" s="100" vm="683">
        <f ca="1"/>
        <v>42940</v>
      </c>
      <c r="E124" s="101" vm="8135">
        <f ca="1"/>
        <v>22.337800000000001</v>
      </c>
      <c r="F124" s="101" vm="8136">
        <f ca="1"/>
        <v>22.015799999999999</v>
      </c>
      <c r="G124" s="101" vm="8137">
        <f ca="1"/>
        <v>23.166399999999999</v>
      </c>
      <c r="H124" s="101" vm="8138">
        <f ca="1"/>
        <v>21.752400000000002</v>
      </c>
      <c r="I124" s="102" vm="8139">
        <f ca="1"/>
        <v>33629888</v>
      </c>
    </row>
    <row r="125" spans="4:9" x14ac:dyDescent="0.3">
      <c r="D125" s="100" vm="689">
        <f ca="1"/>
        <v>42947</v>
      </c>
      <c r="E125" s="101" vm="8140">
        <f ca="1"/>
        <v>23.793800000000001</v>
      </c>
      <c r="F125" s="101" vm="8141">
        <f ca="1"/>
        <v>22.366399999999999</v>
      </c>
      <c r="G125" s="101" vm="8142">
        <f ca="1"/>
        <v>23.817799999999998</v>
      </c>
      <c r="H125" s="101" vm="8143">
        <f ca="1"/>
        <v>20.747800000000002</v>
      </c>
      <c r="I125" s="102" vm="8144">
        <f ca="1"/>
        <v>52733642</v>
      </c>
    </row>
    <row r="126" spans="4:9" x14ac:dyDescent="0.3">
      <c r="D126" s="100" vm="695">
        <f ca="1"/>
        <v>42954</v>
      </c>
      <c r="E126" s="101" vm="8145">
        <f ca="1"/>
        <v>23.857800000000001</v>
      </c>
      <c r="F126" s="101" vm="8146">
        <f ca="1"/>
        <v>23.8231</v>
      </c>
      <c r="G126" s="101" vm="8147">
        <f ca="1"/>
        <v>24.666399999999999</v>
      </c>
      <c r="H126" s="101" vm="8148">
        <f ca="1"/>
        <v>23.516400000000001</v>
      </c>
      <c r="I126" s="102" vm="8149">
        <f ca="1"/>
        <v>32125054</v>
      </c>
    </row>
    <row r="127" spans="4:9" x14ac:dyDescent="0.3">
      <c r="D127" s="100" vm="701">
        <f ca="1"/>
        <v>42961</v>
      </c>
      <c r="E127" s="101" vm="8150">
        <f ca="1"/>
        <v>23.163799999999998</v>
      </c>
      <c r="F127" s="101" vm="8151">
        <f ca="1"/>
        <v>24.308399999999999</v>
      </c>
      <c r="G127" s="101" vm="8152">
        <f ca="1"/>
        <v>24.510400000000001</v>
      </c>
      <c r="H127" s="101" vm="8153">
        <f ca="1"/>
        <v>23.053100000000001</v>
      </c>
      <c r="I127" s="102" vm="8154">
        <f ca="1"/>
        <v>21453890</v>
      </c>
    </row>
    <row r="128" spans="4:9" x14ac:dyDescent="0.3">
      <c r="D128" s="100" vm="707">
        <f ca="1"/>
        <v>42968</v>
      </c>
      <c r="E128" s="101" vm="8155">
        <f ca="1"/>
        <v>23.203099999999999</v>
      </c>
      <c r="F128" s="101" vm="8156">
        <f ca="1"/>
        <v>23.054400000000001</v>
      </c>
      <c r="G128" s="101" vm="8157">
        <f ca="1"/>
        <v>23.777100000000001</v>
      </c>
      <c r="H128" s="101" vm="8158">
        <f ca="1"/>
        <v>22.123100000000001</v>
      </c>
      <c r="I128" s="102" vm="8159">
        <f ca="1"/>
        <v>23840537</v>
      </c>
    </row>
    <row r="129" spans="4:9" x14ac:dyDescent="0.3">
      <c r="D129" s="100" vm="712">
        <f ca="1"/>
        <v>42975</v>
      </c>
      <c r="E129" s="101" vm="8160">
        <f ca="1"/>
        <v>23.693100000000001</v>
      </c>
      <c r="F129" s="101" vm="8161">
        <f ca="1"/>
        <v>23.151800000000001</v>
      </c>
      <c r="G129" s="101" vm="8162">
        <f ca="1"/>
        <v>23.895800000000001</v>
      </c>
      <c r="H129" s="101" vm="8163">
        <f ca="1"/>
        <v>22.583100000000002</v>
      </c>
      <c r="I129" s="102" vm="8164">
        <f ca="1"/>
        <v>18372915</v>
      </c>
    </row>
    <row r="130" spans="4:9" x14ac:dyDescent="0.3">
      <c r="D130" s="100" vm="718">
        <f ca="1"/>
        <v>42983</v>
      </c>
      <c r="E130" s="101" vm="8165">
        <f ca="1"/>
        <v>22.8931</v>
      </c>
      <c r="F130" s="101" vm="8166">
        <f ca="1"/>
        <v>23.586400000000001</v>
      </c>
      <c r="G130" s="101" vm="8167">
        <f ca="1"/>
        <v>23.699100000000001</v>
      </c>
      <c r="H130" s="101" vm="8168">
        <f ca="1"/>
        <v>22.770399999999999</v>
      </c>
      <c r="I130" s="102" vm="8169">
        <f ca="1"/>
        <v>15442454</v>
      </c>
    </row>
    <row r="131" spans="4:9" x14ac:dyDescent="0.3">
      <c r="D131" s="100" vm="724">
        <f ca="1"/>
        <v>42989</v>
      </c>
      <c r="E131" s="101" vm="8170">
        <f ca="1"/>
        <v>25.320399999999999</v>
      </c>
      <c r="F131" s="101" vm="8171">
        <f ca="1"/>
        <v>23.423100000000002</v>
      </c>
      <c r="G131" s="101" vm="8172">
        <f ca="1"/>
        <v>25.333100000000002</v>
      </c>
      <c r="H131" s="101" vm="8173">
        <f ca="1"/>
        <v>23.333100000000002</v>
      </c>
      <c r="I131" s="102" vm="8174">
        <f ca="1"/>
        <v>30448213</v>
      </c>
    </row>
    <row r="132" spans="4:9" x14ac:dyDescent="0.3">
      <c r="D132" s="100" vm="730">
        <f ca="1"/>
        <v>42996</v>
      </c>
      <c r="E132" s="101" vm="8175">
        <f ca="1"/>
        <v>23.405799999999999</v>
      </c>
      <c r="F132" s="101" vm="8176">
        <f ca="1"/>
        <v>25.349699999999999</v>
      </c>
      <c r="G132" s="101" vm="8177">
        <f ca="1"/>
        <v>25.973700000000001</v>
      </c>
      <c r="H132" s="101" vm="8178">
        <f ca="1"/>
        <v>23.3918</v>
      </c>
      <c r="I132" s="102" vm="8179">
        <f ca="1"/>
        <v>31336526</v>
      </c>
    </row>
    <row r="133" spans="4:9" x14ac:dyDescent="0.3">
      <c r="D133" s="100" vm="735">
        <f ca="1"/>
        <v>43003</v>
      </c>
      <c r="E133" s="101" vm="8180">
        <f ca="1"/>
        <v>22.739799999999999</v>
      </c>
      <c r="F133" s="101" vm="8181">
        <f ca="1"/>
        <v>23.543099999999999</v>
      </c>
      <c r="G133" s="101" vm="8182">
        <f ca="1"/>
        <v>23.831</v>
      </c>
      <c r="H133" s="101" vm="8183">
        <f ca="1"/>
        <v>22.3598</v>
      </c>
      <c r="I133" s="102" vm="8184">
        <f ca="1"/>
        <v>31249249</v>
      </c>
    </row>
    <row r="134" spans="4:9" x14ac:dyDescent="0.3">
      <c r="D134" s="100" vm="741">
        <f ca="1"/>
        <v>43010</v>
      </c>
      <c r="E134" s="101" vm="8185">
        <f ca="1"/>
        <v>23.791799999999999</v>
      </c>
      <c r="F134" s="101" vm="8186">
        <f ca="1"/>
        <v>22.834399999999999</v>
      </c>
      <c r="G134" s="101" vm="8187">
        <f ca="1"/>
        <v>24.006399999999999</v>
      </c>
      <c r="H134" s="101" vm="8188">
        <f ca="1"/>
        <v>22.085100000000001</v>
      </c>
      <c r="I134" s="102" vm="8189">
        <f ca="1"/>
        <v>32073062</v>
      </c>
    </row>
    <row r="135" spans="4:9" x14ac:dyDescent="0.3">
      <c r="D135" s="100" vm="747">
        <f ca="1"/>
        <v>43017</v>
      </c>
      <c r="E135" s="101" vm="8190">
        <f ca="1"/>
        <v>23.7044</v>
      </c>
      <c r="F135" s="101" vm="8191">
        <f ca="1"/>
        <v>23.309799999999999</v>
      </c>
      <c r="G135" s="101" vm="8192">
        <f ca="1"/>
        <v>23.985099999999999</v>
      </c>
      <c r="H135" s="101" vm="8193">
        <f ca="1"/>
        <v>22.8444</v>
      </c>
      <c r="I135" s="102" vm="8194">
        <f ca="1"/>
        <v>26600561</v>
      </c>
    </row>
    <row r="136" spans="4:9" x14ac:dyDescent="0.3">
      <c r="D136" s="100" vm="753">
        <f ca="1"/>
        <v>43024</v>
      </c>
      <c r="E136" s="101" vm="8195">
        <f ca="1"/>
        <v>23.006399999999999</v>
      </c>
      <c r="F136" s="101" vm="8196">
        <f ca="1"/>
        <v>23.5838</v>
      </c>
      <c r="G136" s="101" vm="8197">
        <f ca="1"/>
        <v>24.1998</v>
      </c>
      <c r="H136" s="101" vm="8198">
        <f ca="1"/>
        <v>22.9558</v>
      </c>
      <c r="I136" s="102" vm="8199">
        <f ca="1"/>
        <v>23600143</v>
      </c>
    </row>
    <row r="137" spans="4:9" x14ac:dyDescent="0.3">
      <c r="D137" s="100" vm="759">
        <f ca="1"/>
        <v>43031</v>
      </c>
      <c r="E137" s="101" vm="8200">
        <f ca="1"/>
        <v>21.391100000000002</v>
      </c>
      <c r="F137" s="101" vm="8201">
        <f ca="1"/>
        <v>23.325099999999999</v>
      </c>
      <c r="G137" s="101" vm="8202">
        <f ca="1"/>
        <v>23.329799999999999</v>
      </c>
      <c r="H137" s="101" vm="8203">
        <f ca="1"/>
        <v>21.110499999999998</v>
      </c>
      <c r="I137" s="102" vm="8204">
        <f ca="1"/>
        <v>30836295</v>
      </c>
    </row>
    <row r="138" spans="4:9" x14ac:dyDescent="0.3">
      <c r="D138" s="100" vm="765">
        <f ca="1"/>
        <v>43038</v>
      </c>
      <c r="E138" s="101" vm="8205">
        <f ca="1"/>
        <v>20.405799999999999</v>
      </c>
      <c r="F138" s="101" vm="8206">
        <f ca="1"/>
        <v>21.278500000000001</v>
      </c>
      <c r="G138" s="101" vm="8207">
        <f ca="1"/>
        <v>22.1737</v>
      </c>
      <c r="H138" s="101" vm="8208">
        <f ca="1"/>
        <v>19.508500000000002</v>
      </c>
      <c r="I138" s="102" vm="8209">
        <f ca="1"/>
        <v>47069451</v>
      </c>
    </row>
    <row r="139" spans="4:9" x14ac:dyDescent="0.3">
      <c r="D139" s="100" vm="771">
        <f ca="1"/>
        <v>43045</v>
      </c>
      <c r="E139" s="101" vm="8210">
        <f ca="1"/>
        <v>20.199100000000001</v>
      </c>
      <c r="F139" s="101" vm="8211">
        <f ca="1"/>
        <v>20.4665</v>
      </c>
      <c r="G139" s="101" vm="8212">
        <f ca="1"/>
        <v>20.557099999999998</v>
      </c>
      <c r="H139" s="101" vm="8213">
        <f ca="1"/>
        <v>19.7531</v>
      </c>
      <c r="I139" s="102" vm="8214">
        <f ca="1"/>
        <v>26578130</v>
      </c>
    </row>
    <row r="140" spans="4:9" x14ac:dyDescent="0.3">
      <c r="D140" s="100" vm="777">
        <f ca="1"/>
        <v>43052</v>
      </c>
      <c r="E140" s="101" vm="8215">
        <f ca="1"/>
        <v>21.0031</v>
      </c>
      <c r="F140" s="101" vm="8216">
        <f ca="1"/>
        <v>20.008500000000002</v>
      </c>
      <c r="G140" s="101" vm="8217">
        <f ca="1"/>
        <v>21.777799999999999</v>
      </c>
      <c r="H140" s="101" vm="8218">
        <f ca="1"/>
        <v>19.9405</v>
      </c>
      <c r="I140" s="102" vm="8219">
        <f ca="1"/>
        <v>38796897</v>
      </c>
    </row>
    <row r="141" spans="4:9" x14ac:dyDescent="0.3">
      <c r="D141" s="100" vm="783">
        <f ca="1"/>
        <v>43059</v>
      </c>
      <c r="E141" s="101" vm="8220">
        <f ca="1"/>
        <v>21.0365</v>
      </c>
      <c r="F141" s="101" vm="8221">
        <f ca="1"/>
        <v>20.9191</v>
      </c>
      <c r="G141" s="101" vm="8222">
        <f ca="1"/>
        <v>21.2151</v>
      </c>
      <c r="H141" s="101" vm="8223">
        <f ca="1"/>
        <v>20.316500000000001</v>
      </c>
      <c r="I141" s="102" vm="8224">
        <f ca="1"/>
        <v>23670624</v>
      </c>
    </row>
    <row r="142" spans="4:9" x14ac:dyDescent="0.3">
      <c r="D142" s="100" vm="789">
        <f ca="1"/>
        <v>43066</v>
      </c>
      <c r="E142" s="101" vm="8225">
        <f ca="1"/>
        <v>20.435099999999998</v>
      </c>
      <c r="F142" s="101" vm="8226">
        <f ca="1"/>
        <v>20.883099999999999</v>
      </c>
      <c r="G142" s="101" vm="8227">
        <f ca="1"/>
        <v>21.333100000000002</v>
      </c>
      <c r="H142" s="101" vm="8228">
        <f ca="1"/>
        <v>20.081800000000001</v>
      </c>
      <c r="I142" s="102" vm="8229">
        <f ca="1"/>
        <v>26917238</v>
      </c>
    </row>
    <row r="143" spans="4:9" x14ac:dyDescent="0.3">
      <c r="D143" s="100" vm="795">
        <f ca="1"/>
        <v>43073</v>
      </c>
      <c r="E143" s="101" vm="8230">
        <f ca="1"/>
        <v>21.008500000000002</v>
      </c>
      <c r="F143" s="101" vm="8231">
        <f ca="1"/>
        <v>20.4331</v>
      </c>
      <c r="G143" s="101" vm="8232">
        <f ca="1"/>
        <v>21.242100000000001</v>
      </c>
      <c r="H143" s="101" vm="8233">
        <f ca="1"/>
        <v>19.9998</v>
      </c>
      <c r="I143" s="102" vm="8234">
        <f ca="1"/>
        <v>25926056</v>
      </c>
    </row>
    <row r="144" spans="4:9" x14ac:dyDescent="0.3">
      <c r="D144" s="100" vm="801">
        <f ca="1"/>
        <v>43080</v>
      </c>
      <c r="E144" s="101" vm="8235">
        <f ca="1"/>
        <v>22.8964</v>
      </c>
      <c r="F144" s="101" vm="8236">
        <f ca="1"/>
        <v>20.975100000000001</v>
      </c>
      <c r="G144" s="101" vm="8237">
        <f ca="1"/>
        <v>23.162400000000002</v>
      </c>
      <c r="H144" s="101" vm="8238">
        <f ca="1"/>
        <v>20.916499999999999</v>
      </c>
      <c r="I144" s="102" vm="8239">
        <f ca="1"/>
        <v>35625756</v>
      </c>
    </row>
    <row r="145" spans="4:9" x14ac:dyDescent="0.3">
      <c r="D145" s="100" vm="807">
        <f ca="1"/>
        <v>43087</v>
      </c>
      <c r="E145" s="101" vm="8240">
        <f ca="1"/>
        <v>21.6798</v>
      </c>
      <c r="F145" s="101" vm="8241">
        <f ca="1"/>
        <v>22.993099999999998</v>
      </c>
      <c r="G145" s="101" vm="8242">
        <f ca="1"/>
        <v>23.115100000000002</v>
      </c>
      <c r="H145" s="101" vm="8243">
        <f ca="1"/>
        <v>21.654499999999999</v>
      </c>
      <c r="I145" s="102" vm="8244">
        <f ca="1"/>
        <v>26855966</v>
      </c>
    </row>
    <row r="146" spans="4:9" x14ac:dyDescent="0.3">
      <c r="D146" s="100" vm="813">
        <f ca="1"/>
        <v>43095</v>
      </c>
      <c r="E146" s="101" vm="8245">
        <f ca="1"/>
        <v>20.756499999999999</v>
      </c>
      <c r="F146" s="101" vm="8246">
        <f ca="1"/>
        <v>21.5885</v>
      </c>
      <c r="G146" s="101" vm="8247">
        <f ca="1"/>
        <v>21.595800000000001</v>
      </c>
      <c r="H146" s="101" vm="8248">
        <f ca="1"/>
        <v>20.6358</v>
      </c>
      <c r="I146" s="102" vm="8249">
        <f ca="1"/>
        <v>17184026</v>
      </c>
    </row>
    <row r="147" spans="4:9" x14ac:dyDescent="0.3">
      <c r="D147" s="100" vm="819">
        <f ca="1"/>
        <v>43102</v>
      </c>
      <c r="E147" s="101" vm="8250">
        <f ca="1"/>
        <v>21.1051</v>
      </c>
      <c r="F147" s="101" vm="8251">
        <f ca="1"/>
        <v>20.799800000000001</v>
      </c>
      <c r="G147" s="101" vm="8252">
        <f ca="1"/>
        <v>21.6831</v>
      </c>
      <c r="H147" s="101" vm="8253">
        <f ca="1"/>
        <v>20.378499999999999</v>
      </c>
      <c r="I147" s="102" vm="8254">
        <f ca="1"/>
        <v>23411252</v>
      </c>
    </row>
    <row r="148" spans="4:9" x14ac:dyDescent="0.3">
      <c r="D148" s="100" vm="825">
        <f ca="1"/>
        <v>43108</v>
      </c>
      <c r="E148" s="101" vm="8255">
        <f ca="1"/>
        <v>22.414400000000001</v>
      </c>
      <c r="F148" s="101" vm="8256">
        <f ca="1"/>
        <v>21.066500000000001</v>
      </c>
      <c r="G148" s="101" vm="8257">
        <f ca="1"/>
        <v>22.987100000000002</v>
      </c>
      <c r="H148" s="101" vm="8258">
        <f ca="1"/>
        <v>21.033100000000001</v>
      </c>
      <c r="I148" s="102" vm="8259">
        <f ca="1"/>
        <v>32786535</v>
      </c>
    </row>
    <row r="149" spans="4:9" x14ac:dyDescent="0.3">
      <c r="D149" s="100" vm="831">
        <f ca="1"/>
        <v>43116</v>
      </c>
      <c r="E149" s="101" vm="8260">
        <f ca="1"/>
        <v>23.334399999999999</v>
      </c>
      <c r="F149" s="101" vm="8261">
        <f ca="1"/>
        <v>22.502400000000002</v>
      </c>
      <c r="G149" s="101" vm="8262">
        <f ca="1"/>
        <v>23.4864</v>
      </c>
      <c r="H149" s="101" vm="8263">
        <f ca="1"/>
        <v>22.319800000000001</v>
      </c>
      <c r="I149" s="102" vm="8264">
        <f ca="1"/>
        <v>24151904</v>
      </c>
    </row>
    <row r="150" spans="4:9" x14ac:dyDescent="0.3">
      <c r="D150" s="100" vm="837">
        <f ca="1"/>
        <v>43122</v>
      </c>
      <c r="E150" s="101" vm="8265">
        <f ca="1"/>
        <v>22.856400000000001</v>
      </c>
      <c r="F150" s="101" vm="8266">
        <f ca="1"/>
        <v>23.293099999999999</v>
      </c>
      <c r="G150" s="101" vm="8267">
        <f ca="1"/>
        <v>24.033100000000001</v>
      </c>
      <c r="H150" s="101" vm="8268">
        <f ca="1"/>
        <v>22.380400000000002</v>
      </c>
      <c r="I150" s="102" vm="8269">
        <f ca="1"/>
        <v>28242911</v>
      </c>
    </row>
    <row r="151" spans="4:9" x14ac:dyDescent="0.3">
      <c r="D151" s="100" vm="843">
        <f ca="1"/>
        <v>43129</v>
      </c>
      <c r="E151" s="101" vm="8270">
        <f ca="1"/>
        <v>22.916399999999999</v>
      </c>
      <c r="F151" s="101" vm="8095">
        <f ca="1"/>
        <v>22.656400000000001</v>
      </c>
      <c r="G151" s="101" vm="8271">
        <f ca="1"/>
        <v>23.9771</v>
      </c>
      <c r="H151" s="101" vm="8272">
        <f ca="1"/>
        <v>22.5518</v>
      </c>
      <c r="I151" s="102" vm="8273">
        <f ca="1"/>
        <v>23581441</v>
      </c>
    </row>
    <row r="152" spans="4:9" x14ac:dyDescent="0.3">
      <c r="D152" s="100" vm="846">
        <f ca="1"/>
        <v>43136</v>
      </c>
      <c r="E152" s="101" vm="8274">
        <f ca="1"/>
        <v>20.694500000000001</v>
      </c>
      <c r="F152" s="101" vm="8275">
        <f ca="1"/>
        <v>22.531099999999999</v>
      </c>
      <c r="G152" s="101" vm="8276">
        <f ca="1"/>
        <v>23.241099999999999</v>
      </c>
      <c r="H152" s="101" vm="8277">
        <f ca="1"/>
        <v>19.650500000000001</v>
      </c>
      <c r="I152" s="102" vm="8278">
        <f ca="1"/>
        <v>39770118</v>
      </c>
    </row>
    <row r="153" spans="4:9" x14ac:dyDescent="0.3">
      <c r="D153" s="100" vm="852">
        <f ca="1"/>
        <v>43143</v>
      </c>
      <c r="E153" s="101" vm="8279">
        <f ca="1"/>
        <v>22.3658</v>
      </c>
      <c r="F153" s="101" vm="8280">
        <f ca="1"/>
        <v>21.075099999999999</v>
      </c>
      <c r="G153" s="101" vm="8281">
        <f ca="1"/>
        <v>22.874400000000001</v>
      </c>
      <c r="H153" s="101" vm="8282">
        <f ca="1"/>
        <v>20.416499999999999</v>
      </c>
      <c r="I153" s="102" vm="8283">
        <f ca="1"/>
        <v>26294350</v>
      </c>
    </row>
    <row r="154" spans="4:9" x14ac:dyDescent="0.3">
      <c r="D154" s="100" vm="858">
        <f ca="1"/>
        <v>43151</v>
      </c>
      <c r="E154" s="101" vm="8284">
        <f ca="1"/>
        <v>23.469799999999999</v>
      </c>
      <c r="F154" s="101" vm="8285">
        <f ca="1"/>
        <v>22.297799999999999</v>
      </c>
      <c r="G154" s="101" vm="8286">
        <f ca="1"/>
        <v>23.665800000000001</v>
      </c>
      <c r="H154" s="101" vm="8287">
        <f ca="1"/>
        <v>22.099799999999998</v>
      </c>
      <c r="I154" s="102" vm="8288">
        <f ca="1"/>
        <v>20016279</v>
      </c>
    </row>
    <row r="155" spans="4:9" x14ac:dyDescent="0.3">
      <c r="D155" s="100" vm="863">
        <f ca="1"/>
        <v>43157</v>
      </c>
      <c r="E155" s="101" vm="8289">
        <f ca="1"/>
        <v>22.341100000000001</v>
      </c>
      <c r="F155" s="101" vm="8290">
        <f ca="1"/>
        <v>23.566400000000002</v>
      </c>
      <c r="G155" s="101" vm="8291">
        <f ca="1"/>
        <v>23.999099999999999</v>
      </c>
      <c r="H155" s="101" vm="8292">
        <f ca="1"/>
        <v>21.531099999999999</v>
      </c>
      <c r="I155" s="102" vm="8293">
        <f ca="1"/>
        <v>27185492</v>
      </c>
    </row>
    <row r="156" spans="4:9" x14ac:dyDescent="0.3">
      <c r="D156" s="100" vm="869">
        <f ca="1"/>
        <v>43164</v>
      </c>
      <c r="E156" s="101" vm="8294">
        <f ca="1"/>
        <v>21.8111</v>
      </c>
      <c r="F156" s="101" vm="8295">
        <f ca="1"/>
        <v>22.159099999999999</v>
      </c>
      <c r="G156" s="101" vm="8296">
        <f ca="1"/>
        <v>22.516400000000001</v>
      </c>
      <c r="H156" s="101" vm="8297">
        <f ca="1"/>
        <v>21.449100000000001</v>
      </c>
      <c r="I156" s="102" vm="8298">
        <f ca="1"/>
        <v>22189818</v>
      </c>
    </row>
    <row r="157" spans="4:9" x14ac:dyDescent="0.3">
      <c r="D157" s="100" vm="875">
        <f ca="1"/>
        <v>43171</v>
      </c>
      <c r="E157" s="101" vm="8299">
        <f ca="1"/>
        <v>21.423100000000002</v>
      </c>
      <c r="F157" s="101" vm="8300">
        <f ca="1"/>
        <v>21.9071</v>
      </c>
      <c r="G157" s="101" vm="8301">
        <f ca="1"/>
        <v>23.147099999999998</v>
      </c>
      <c r="H157" s="101" vm="8302">
        <f ca="1"/>
        <v>21.271100000000001</v>
      </c>
      <c r="I157" s="102" vm="8303">
        <f ca="1"/>
        <v>34879290</v>
      </c>
    </row>
    <row r="158" spans="4:9" x14ac:dyDescent="0.3">
      <c r="D158" s="100" vm="881">
        <f ca="1"/>
        <v>43178</v>
      </c>
      <c r="E158" s="101" vm="8304">
        <f ca="1"/>
        <v>20.102499999999999</v>
      </c>
      <c r="F158" s="101" vm="8305">
        <f ca="1"/>
        <v>21.099799999999998</v>
      </c>
      <c r="G158" s="101" vm="8306">
        <f ca="1"/>
        <v>21.495799999999999</v>
      </c>
      <c r="H158" s="101" vm="8307">
        <f ca="1"/>
        <v>20.029800000000002</v>
      </c>
      <c r="I158" s="102" vm="8308">
        <f ca="1"/>
        <v>29801668</v>
      </c>
    </row>
    <row r="159" spans="4:9" x14ac:dyDescent="0.3">
      <c r="D159" s="100" vm="885">
        <f ca="1"/>
        <v>43185</v>
      </c>
      <c r="E159" s="101" vm="8309">
        <f ca="1"/>
        <v>17.741800000000001</v>
      </c>
      <c r="F159" s="101" vm="8310">
        <f ca="1"/>
        <v>20.489100000000001</v>
      </c>
      <c r="G159" s="101" vm="8311">
        <f ca="1"/>
        <v>20.505800000000001</v>
      </c>
      <c r="H159" s="101" vm="8312">
        <f ca="1"/>
        <v>16.5472</v>
      </c>
      <c r="I159" s="102" vm="8313">
        <f ca="1"/>
        <v>58419390</v>
      </c>
    </row>
    <row r="160" spans="4:9" x14ac:dyDescent="0.3">
      <c r="D160" s="100" vm="891">
        <f ca="1"/>
        <v>43192</v>
      </c>
      <c r="E160" s="101" vm="8314">
        <f ca="1"/>
        <v>19.953099999999999</v>
      </c>
      <c r="F160" s="101" vm="8315">
        <f ca="1"/>
        <v>17.0838</v>
      </c>
      <c r="G160" s="101" vm="8316">
        <f ca="1"/>
        <v>20.618500000000001</v>
      </c>
      <c r="H160" s="101" vm="8317">
        <f ca="1"/>
        <v>16.305800000000001</v>
      </c>
      <c r="I160" s="102" vm="8318">
        <f ca="1"/>
        <v>87496485</v>
      </c>
    </row>
    <row r="161" spans="4:9" x14ac:dyDescent="0.3">
      <c r="D161" s="100" vm="896">
        <f ca="1"/>
        <v>43199</v>
      </c>
      <c r="E161" s="101" vm="8319">
        <f ca="1"/>
        <v>20.022500000000001</v>
      </c>
      <c r="F161" s="101" vm="8320">
        <f ca="1"/>
        <v>20.0245</v>
      </c>
      <c r="G161" s="101" vm="8321">
        <f ca="1"/>
        <v>20.633099999999999</v>
      </c>
      <c r="H161" s="101" vm="8322">
        <f ca="1"/>
        <v>19.2805</v>
      </c>
      <c r="I161" s="102" vm="8323">
        <f ca="1"/>
        <v>43693001</v>
      </c>
    </row>
    <row r="162" spans="4:9" x14ac:dyDescent="0.3">
      <c r="D162" s="100" vm="902">
        <f ca="1"/>
        <v>43206</v>
      </c>
      <c r="E162" s="101" vm="8324">
        <f ca="1"/>
        <v>19.3491</v>
      </c>
      <c r="F162" s="101" vm="8325">
        <f ca="1"/>
        <v>19.9331</v>
      </c>
      <c r="G162" s="101" vm="8326">
        <f ca="1"/>
        <v>20.0671</v>
      </c>
      <c r="H162" s="101" vm="8327">
        <f ca="1"/>
        <v>18.8338</v>
      </c>
      <c r="I162" s="102" vm="8328">
        <f ca="1"/>
        <v>31438789</v>
      </c>
    </row>
    <row r="163" spans="4:9" x14ac:dyDescent="0.3">
      <c r="D163" s="100" vm="908">
        <f ca="1"/>
        <v>43213</v>
      </c>
      <c r="E163" s="101" vm="8329">
        <f ca="1"/>
        <v>19.604800000000001</v>
      </c>
      <c r="F163" s="101" vm="8330">
        <f ca="1"/>
        <v>19.4191</v>
      </c>
      <c r="G163" s="101" vm="8331">
        <f ca="1"/>
        <v>19.6311</v>
      </c>
      <c r="H163" s="101" vm="8332">
        <f ca="1"/>
        <v>18.4331</v>
      </c>
      <c r="I163" s="102" vm="8333">
        <f ca="1"/>
        <v>23312899</v>
      </c>
    </row>
    <row r="164" spans="4:9" x14ac:dyDescent="0.3">
      <c r="D164" s="100" vm="914">
        <f ca="1"/>
        <v>43220</v>
      </c>
      <c r="E164" s="101" vm="8334">
        <f ca="1"/>
        <v>19.605799999999999</v>
      </c>
      <c r="F164" s="101" vm="8335">
        <f ca="1"/>
        <v>19.573799999999999</v>
      </c>
      <c r="G164" s="101" vm="8336">
        <f ca="1"/>
        <v>20.456499999999998</v>
      </c>
      <c r="H164" s="101" vm="8337">
        <f ca="1"/>
        <v>18.348500000000001</v>
      </c>
      <c r="I164" s="102" vm="8338">
        <f ca="1"/>
        <v>43745629</v>
      </c>
    </row>
    <row r="165" spans="4:9" x14ac:dyDescent="0.3">
      <c r="D165" s="100" vm="920">
        <f ca="1"/>
        <v>43227</v>
      </c>
      <c r="E165" s="101" vm="8339">
        <f ca="1"/>
        <v>20.070499999999999</v>
      </c>
      <c r="F165" s="101" vm="8340">
        <f ca="1"/>
        <v>19.833100000000002</v>
      </c>
      <c r="G165" s="101" vm="8341">
        <f ca="1"/>
        <v>20.8658</v>
      </c>
      <c r="H165" s="101" vm="8342">
        <f ca="1"/>
        <v>19.677800000000001</v>
      </c>
      <c r="I165" s="102" vm="8343">
        <f ca="1"/>
        <v>30666799</v>
      </c>
    </row>
    <row r="166" spans="4:9" x14ac:dyDescent="0.3">
      <c r="D166" s="100" vm="926">
        <f ca="1"/>
        <v>43234</v>
      </c>
      <c r="E166" s="101" vm="8344">
        <f ca="1"/>
        <v>18.454499999999999</v>
      </c>
      <c r="F166" s="101" vm="8345">
        <f ca="1"/>
        <v>20.2211</v>
      </c>
      <c r="G166" s="101" vm="8346">
        <f ca="1"/>
        <v>20.3291</v>
      </c>
      <c r="H166" s="101" vm="8347">
        <f ca="1"/>
        <v>18.266500000000001</v>
      </c>
      <c r="I166" s="102" vm="8348">
        <f ca="1"/>
        <v>34152495</v>
      </c>
    </row>
    <row r="167" spans="4:9" x14ac:dyDescent="0.3">
      <c r="D167" s="100" vm="932">
        <f ca="1"/>
        <v>43241</v>
      </c>
      <c r="E167" s="101" vm="8349">
        <f ca="1"/>
        <v>18.5898</v>
      </c>
      <c r="F167" s="101" vm="8350">
        <f ca="1"/>
        <v>18.755099999999999</v>
      </c>
      <c r="G167" s="101" vm="8351">
        <f ca="1"/>
        <v>19.432500000000001</v>
      </c>
      <c r="H167" s="101" vm="8352">
        <f ca="1"/>
        <v>18.228000000000002</v>
      </c>
      <c r="I167" s="102" vm="8353">
        <f ca="1"/>
        <v>32165170</v>
      </c>
    </row>
    <row r="168" spans="4:9" x14ac:dyDescent="0.3">
      <c r="D168" s="100" vm="938">
        <f ca="1"/>
        <v>43249</v>
      </c>
      <c r="E168" s="101" vm="8354">
        <f ca="1"/>
        <v>19.454499999999999</v>
      </c>
      <c r="F168" s="101" vm="8355">
        <f ca="1"/>
        <v>18.5671</v>
      </c>
      <c r="G168" s="101" vm="8356">
        <f ca="1"/>
        <v>19.666799999999999</v>
      </c>
      <c r="H168" s="101" vm="8357">
        <f ca="1"/>
        <v>18.409800000000001</v>
      </c>
      <c r="I168" s="102" vm="8358">
        <f ca="1"/>
        <v>24500433</v>
      </c>
    </row>
    <row r="169" spans="4:9" x14ac:dyDescent="0.3">
      <c r="D169" s="100" vm="944">
        <f ca="1"/>
        <v>43255</v>
      </c>
      <c r="E169" s="101" vm="8359">
        <f ca="1"/>
        <v>21.177099999999999</v>
      </c>
      <c r="F169" s="101" vm="8360">
        <f ca="1"/>
        <v>19.622499999999999</v>
      </c>
      <c r="G169" s="101" vm="8361">
        <f ca="1"/>
        <v>21.9998</v>
      </c>
      <c r="H169" s="101" vm="8362">
        <f ca="1"/>
        <v>19.1158</v>
      </c>
      <c r="I169" s="102" vm="8363">
        <f ca="1"/>
        <v>52110709</v>
      </c>
    </row>
    <row r="170" spans="4:9" x14ac:dyDescent="0.3">
      <c r="D170" s="100" vm="950">
        <f ca="1"/>
        <v>43262</v>
      </c>
      <c r="E170" s="101" vm="8364">
        <f ca="1"/>
        <v>23.877800000000001</v>
      </c>
      <c r="F170" s="101" vm="8365">
        <f ca="1"/>
        <v>21.500499999999999</v>
      </c>
      <c r="G170" s="101" vm="8366">
        <f ca="1"/>
        <v>24.3111</v>
      </c>
      <c r="H170" s="101" vm="8367">
        <f ca="1"/>
        <v>21.4998</v>
      </c>
      <c r="I170" s="102" vm="8368">
        <f ca="1"/>
        <v>66829957</v>
      </c>
    </row>
    <row r="171" spans="4:9" x14ac:dyDescent="0.3">
      <c r="D171" s="100" vm="956">
        <f ca="1"/>
        <v>43269</v>
      </c>
      <c r="E171" s="101" vm="8369">
        <f ca="1"/>
        <v>22.241800000000001</v>
      </c>
      <c r="F171" s="101" vm="8160">
        <f ca="1"/>
        <v>23.693100000000001</v>
      </c>
      <c r="G171" s="101" vm="8370">
        <f ca="1"/>
        <v>24.915099999999999</v>
      </c>
      <c r="H171" s="101" vm="8371">
        <f ca="1"/>
        <v>22.133099999999999</v>
      </c>
      <c r="I171" s="102" vm="8372">
        <f ca="1"/>
        <v>51451989</v>
      </c>
    </row>
    <row r="172" spans="4:9" x14ac:dyDescent="0.3">
      <c r="D172" s="100" vm="962">
        <f ca="1"/>
        <v>43276</v>
      </c>
      <c r="E172" s="101" vm="8373">
        <f ca="1"/>
        <v>22.863099999999999</v>
      </c>
      <c r="F172" s="101" vm="8374">
        <f ca="1"/>
        <v>22.0078</v>
      </c>
      <c r="G172" s="101" vm="8375">
        <f ca="1"/>
        <v>23.801100000000002</v>
      </c>
      <c r="H172" s="101" vm="8376">
        <f ca="1"/>
        <v>21.7197</v>
      </c>
      <c r="I172" s="102" vm="8377">
        <f ca="1"/>
        <v>37607919</v>
      </c>
    </row>
    <row r="173" spans="4:9" x14ac:dyDescent="0.3">
      <c r="D173" s="100" vm="968">
        <f ca="1"/>
        <v>43283</v>
      </c>
      <c r="E173" s="101" vm="8378">
        <f ca="1"/>
        <v>20.5931</v>
      </c>
      <c r="F173" s="101" vm="8379">
        <f ca="1"/>
        <v>24.0044</v>
      </c>
      <c r="G173" s="101" vm="8380">
        <f ca="1"/>
        <v>24.3184</v>
      </c>
      <c r="H173" s="101" vm="8381">
        <f ca="1"/>
        <v>19.747800000000002</v>
      </c>
      <c r="I173" s="102" vm="8382">
        <f ca="1"/>
        <v>57384228</v>
      </c>
    </row>
    <row r="174" spans="4:9" x14ac:dyDescent="0.3">
      <c r="D174" s="100" vm="974">
        <f ca="1"/>
        <v>43290</v>
      </c>
      <c r="E174" s="101" vm="8383">
        <f ca="1"/>
        <v>21.2578</v>
      </c>
      <c r="F174" s="101" vm="8384">
        <f ca="1"/>
        <v>20.799099999999999</v>
      </c>
      <c r="G174" s="101" vm="8385">
        <f ca="1"/>
        <v>21.844899999999999</v>
      </c>
      <c r="H174" s="101" vm="8386">
        <f ca="1"/>
        <v>20.533100000000001</v>
      </c>
      <c r="I174" s="102" vm="8387">
        <f ca="1"/>
        <v>33549263</v>
      </c>
    </row>
    <row r="175" spans="4:9" x14ac:dyDescent="0.3">
      <c r="D175" s="100" vm="980">
        <f ca="1"/>
        <v>43297</v>
      </c>
      <c r="E175" s="101" vm="8388">
        <f ca="1"/>
        <v>20.905100000000001</v>
      </c>
      <c r="F175" s="101" vm="8389">
        <f ca="1"/>
        <v>20.7805</v>
      </c>
      <c r="G175" s="101" vm="8390">
        <f ca="1"/>
        <v>21.6998</v>
      </c>
      <c r="H175" s="101" vm="8282">
        <f ca="1"/>
        <v>20.416499999999999</v>
      </c>
      <c r="I175" s="102" vm="8391">
        <f ca="1"/>
        <v>31520990</v>
      </c>
    </row>
    <row r="176" spans="4:9" x14ac:dyDescent="0.3">
      <c r="D176" s="100" vm="986">
        <f ca="1"/>
        <v>43304</v>
      </c>
      <c r="E176" s="101" vm="8392">
        <f ca="1"/>
        <v>19.811800000000002</v>
      </c>
      <c r="F176" s="101" vm="8393">
        <f ca="1"/>
        <v>20.122499999999999</v>
      </c>
      <c r="G176" s="101" vm="8394">
        <f ca="1"/>
        <v>20.713100000000001</v>
      </c>
      <c r="H176" s="101" vm="8395">
        <f ca="1"/>
        <v>19.502800000000001</v>
      </c>
      <c r="I176" s="102" vm="8396">
        <f ca="1"/>
        <v>38011759</v>
      </c>
    </row>
    <row r="177" spans="4:9" x14ac:dyDescent="0.3">
      <c r="D177" s="100" vm="992">
        <f ca="1"/>
        <v>43311</v>
      </c>
      <c r="E177" s="101" vm="8397">
        <f ca="1"/>
        <v>23.211099999999998</v>
      </c>
      <c r="F177" s="101" vm="8398">
        <f ca="1"/>
        <v>19.726500000000001</v>
      </c>
      <c r="G177" s="101" vm="8399">
        <f ca="1"/>
        <v>23.666399999999999</v>
      </c>
      <c r="H177" s="101" vm="8400">
        <f ca="1"/>
        <v>19.075099999999999</v>
      </c>
      <c r="I177" s="102" vm="8401">
        <f ca="1"/>
        <v>58891866</v>
      </c>
    </row>
    <row r="178" spans="4:9" x14ac:dyDescent="0.3">
      <c r="D178" s="100" vm="998">
        <f ca="1"/>
        <v>43318</v>
      </c>
      <c r="E178" s="101" vm="8167">
        <f ca="1"/>
        <v>23.699100000000001</v>
      </c>
      <c r="F178" s="101" vm="8402">
        <f ca="1"/>
        <v>23.0304</v>
      </c>
      <c r="G178" s="101" vm="8403">
        <f ca="1"/>
        <v>25.830400000000001</v>
      </c>
      <c r="H178" s="101" vm="8404">
        <f ca="1"/>
        <v>22.6098</v>
      </c>
      <c r="I178" s="102" vm="8405">
        <f ca="1"/>
        <v>92747117</v>
      </c>
    </row>
    <row r="179" spans="4:9" x14ac:dyDescent="0.3">
      <c r="D179" s="100" vm="1004">
        <f ca="1"/>
        <v>43325</v>
      </c>
      <c r="E179" s="101" vm="8406">
        <f ca="1"/>
        <v>20.366499999999998</v>
      </c>
      <c r="F179" s="101" vm="8407">
        <f ca="1"/>
        <v>24.075099999999999</v>
      </c>
      <c r="G179" s="101" vm="8408">
        <f ca="1"/>
        <v>24.212399999999999</v>
      </c>
      <c r="H179" s="101" vm="8409">
        <f ca="1"/>
        <v>20.235099999999999</v>
      </c>
      <c r="I179" s="102" vm="8410">
        <f ca="1"/>
        <v>51574211</v>
      </c>
    </row>
    <row r="180" spans="4:9" x14ac:dyDescent="0.3">
      <c r="D180" s="100" vm="1009">
        <f ca="1"/>
        <v>43332</v>
      </c>
      <c r="E180" s="101" vm="8411">
        <f ca="1"/>
        <v>21.521100000000001</v>
      </c>
      <c r="F180" s="101" vm="8412">
        <f ca="1"/>
        <v>19.4467</v>
      </c>
      <c r="G180" s="101" vm="8413">
        <f ca="1"/>
        <v>21.821100000000001</v>
      </c>
      <c r="H180" s="101" vm="8414">
        <f ca="1"/>
        <v>19.213100000000001</v>
      </c>
      <c r="I180" s="102" vm="8415">
        <f ca="1"/>
        <v>45255397</v>
      </c>
    </row>
    <row r="181" spans="4:9" x14ac:dyDescent="0.3">
      <c r="D181" s="100" vm="1015">
        <f ca="1"/>
        <v>43339</v>
      </c>
      <c r="E181" s="101" vm="8416">
        <f ca="1"/>
        <v>20.110499999999998</v>
      </c>
      <c r="F181" s="101" vm="8417">
        <f ca="1"/>
        <v>21.1998</v>
      </c>
      <c r="G181" s="101" vm="8418">
        <f ca="1"/>
        <v>21.4955</v>
      </c>
      <c r="H181" s="101" vm="8419">
        <f ca="1"/>
        <v>19.847799999999999</v>
      </c>
      <c r="I181" s="102" vm="8420">
        <f ca="1"/>
        <v>40767581</v>
      </c>
    </row>
    <row r="182" spans="4:9" x14ac:dyDescent="0.3">
      <c r="D182" s="100" vm="1021">
        <f ca="1"/>
        <v>43347</v>
      </c>
      <c r="E182" s="101" vm="8421">
        <f ca="1"/>
        <v>17.549199999999999</v>
      </c>
      <c r="F182" s="101" vm="8422">
        <f ca="1"/>
        <v>19.7958</v>
      </c>
      <c r="G182" s="101" vm="8423">
        <f ca="1"/>
        <v>19.879100000000001</v>
      </c>
      <c r="H182" s="101" vm="8424">
        <f ca="1"/>
        <v>16.816800000000001</v>
      </c>
      <c r="I182" s="102" vm="8425">
        <f ca="1"/>
        <v>46043981</v>
      </c>
    </row>
    <row r="183" spans="4:9" x14ac:dyDescent="0.3">
      <c r="D183" s="100" vm="1027">
        <f ca="1"/>
        <v>43353</v>
      </c>
      <c r="E183" s="101" vm="8426">
        <f ca="1"/>
        <v>19.6798</v>
      </c>
      <c r="F183" s="101" vm="8427">
        <f ca="1"/>
        <v>18.217199999999998</v>
      </c>
      <c r="G183" s="101" vm="8428">
        <f ca="1"/>
        <v>19.8215</v>
      </c>
      <c r="H183" s="101" vm="7645">
        <f ca="1"/>
        <v>18.066500000000001</v>
      </c>
      <c r="I183" s="102" vm="8429">
        <f ca="1"/>
        <v>46574892</v>
      </c>
    </row>
    <row r="184" spans="4:9" x14ac:dyDescent="0.3">
      <c r="D184" s="100" vm="1033">
        <f ca="1"/>
        <v>43360</v>
      </c>
      <c r="E184" s="101" vm="8430">
        <f ca="1"/>
        <v>19.939800000000002</v>
      </c>
      <c r="F184" s="101" vm="8431">
        <f ca="1"/>
        <v>19.335799999999999</v>
      </c>
      <c r="G184" s="101" vm="8432">
        <f ca="1"/>
        <v>20.398499999999999</v>
      </c>
      <c r="H184" s="101" vm="8433">
        <f ca="1"/>
        <v>18.366499999999998</v>
      </c>
      <c r="I184" s="102" vm="8434">
        <f ca="1"/>
        <v>44129916</v>
      </c>
    </row>
    <row r="185" spans="4:9" x14ac:dyDescent="0.3">
      <c r="D185" s="100" vm="1039">
        <f ca="1"/>
        <v>43367</v>
      </c>
      <c r="E185" s="101" vm="8435">
        <f ca="1"/>
        <v>17.651199999999999</v>
      </c>
      <c r="F185" s="101" vm="8436">
        <f ca="1"/>
        <v>19.898499999999999</v>
      </c>
      <c r="G185" s="101" vm="8437">
        <f ca="1"/>
        <v>20.9971</v>
      </c>
      <c r="H185" s="101" vm="8438">
        <f ca="1"/>
        <v>17.370200000000001</v>
      </c>
      <c r="I185" s="102" vm="8439">
        <f ca="1"/>
        <v>59326684</v>
      </c>
    </row>
    <row r="186" spans="4:9" x14ac:dyDescent="0.3">
      <c r="D186" s="100" vm="1045">
        <f ca="1"/>
        <v>43374</v>
      </c>
      <c r="E186" s="101" vm="7619">
        <f ca="1"/>
        <v>17.463200000000001</v>
      </c>
      <c r="F186" s="101" vm="8440">
        <f ca="1"/>
        <v>20.384499999999999</v>
      </c>
      <c r="G186" s="101" vm="8441">
        <f ca="1"/>
        <v>21.122499999999999</v>
      </c>
      <c r="H186" s="101" vm="8442">
        <f ca="1"/>
        <v>17.333200000000001</v>
      </c>
      <c r="I186" s="102" vm="8443">
        <f ca="1"/>
        <v>69274845</v>
      </c>
    </row>
    <row r="187" spans="4:9" x14ac:dyDescent="0.3">
      <c r="D187" s="100" vm="1051">
        <f ca="1"/>
        <v>43381</v>
      </c>
      <c r="E187" s="101" vm="8444">
        <f ca="1"/>
        <v>17.251799999999999</v>
      </c>
      <c r="F187" s="101" vm="8445">
        <f ca="1"/>
        <v>17.634499999999999</v>
      </c>
      <c r="G187" s="101" vm="8446">
        <f ca="1"/>
        <v>17.8505</v>
      </c>
      <c r="H187" s="101" vm="8447">
        <f ca="1"/>
        <v>16.517800000000001</v>
      </c>
      <c r="I187" s="102" vm="8448">
        <f ca="1"/>
        <v>53717647</v>
      </c>
    </row>
    <row r="188" spans="4:9" x14ac:dyDescent="0.3">
      <c r="D188" s="103" vm="1057">
        <f ca="1"/>
        <v>43388</v>
      </c>
      <c r="E188" s="101" vm="8442">
        <f ca="1"/>
        <v>17.333200000000001</v>
      </c>
      <c r="F188" s="101" vm="8449">
        <f ca="1"/>
        <v>17.270499999999998</v>
      </c>
      <c r="G188" s="101" vm="8450">
        <f ca="1"/>
        <v>18.846499999999999</v>
      </c>
      <c r="H188" s="101" vm="8451">
        <f ca="1"/>
        <v>16.899799999999999</v>
      </c>
      <c r="I188" s="102" vm="8452">
        <f ca="1"/>
        <v>39178641</v>
      </c>
    </row>
    <row r="189" spans="4:9" x14ac:dyDescent="0.3">
      <c r="D189" s="100" vm="1063">
        <f ca="1"/>
        <v>43395</v>
      </c>
      <c r="E189" s="101" vm="8453">
        <f ca="1"/>
        <v>22.059799999999999</v>
      </c>
      <c r="F189" s="101" vm="8454">
        <f ca="1"/>
        <v>17.378499999999999</v>
      </c>
      <c r="G189" s="101" vm="8455">
        <f ca="1"/>
        <v>22.659800000000001</v>
      </c>
      <c r="H189" s="101" vm="8456">
        <f ca="1"/>
        <v>16.839200000000002</v>
      </c>
      <c r="I189" s="102" vm="8457">
        <f ca="1"/>
        <v>92856019</v>
      </c>
    </row>
    <row r="190" spans="4:9" x14ac:dyDescent="0.3">
      <c r="D190" s="100" vm="1069">
        <f ca="1"/>
        <v>43402</v>
      </c>
      <c r="E190" s="101" vm="8458">
        <f ca="1"/>
        <v>23.093800000000002</v>
      </c>
      <c r="F190" s="101" vm="8459">
        <f ca="1"/>
        <v>22.497800000000002</v>
      </c>
      <c r="G190" s="101" vm="8460">
        <f ca="1"/>
        <v>23.279800000000002</v>
      </c>
      <c r="H190" s="101" vm="8461">
        <f ca="1"/>
        <v>21.483799999999999</v>
      </c>
      <c r="I190" s="102" vm="8462">
        <f ca="1"/>
        <v>47023565</v>
      </c>
    </row>
    <row r="191" spans="4:9" x14ac:dyDescent="0.3">
      <c r="D191" s="100" vm="1075">
        <f ca="1"/>
        <v>43409</v>
      </c>
      <c r="E191" s="101" vm="8463">
        <f ca="1"/>
        <v>23.367100000000001</v>
      </c>
      <c r="F191" s="101" vm="8464">
        <f ca="1"/>
        <v>22.6998</v>
      </c>
      <c r="G191" s="101" vm="8465">
        <f ca="1"/>
        <v>23.838100000000001</v>
      </c>
      <c r="H191" s="101" vm="8466">
        <f ca="1"/>
        <v>22.0091</v>
      </c>
      <c r="I191" s="102" vm="8467">
        <f ca="1"/>
        <v>34148947</v>
      </c>
    </row>
    <row r="192" spans="4:9" x14ac:dyDescent="0.3">
      <c r="D192" s="100" vm="1081">
        <f ca="1"/>
        <v>43416</v>
      </c>
      <c r="E192" s="101" vm="8468">
        <f ca="1"/>
        <v>23.6204</v>
      </c>
      <c r="F192" s="101" vm="8469">
        <f ca="1"/>
        <v>23.224399999999999</v>
      </c>
      <c r="G192" s="101" vm="8470">
        <f ca="1"/>
        <v>23.713100000000001</v>
      </c>
      <c r="H192" s="101" vm="8471">
        <f ca="1"/>
        <v>22.022400000000001</v>
      </c>
      <c r="I192" s="102" vm="8472">
        <f ca="1"/>
        <v>29186890</v>
      </c>
    </row>
    <row r="193" spans="4:9" x14ac:dyDescent="0.3">
      <c r="D193" s="100" vm="1087">
        <f ca="1"/>
        <v>43423</v>
      </c>
      <c r="E193" s="101" vm="8473">
        <f ca="1"/>
        <v>21.721800000000002</v>
      </c>
      <c r="F193" s="101" vm="8474">
        <f ca="1"/>
        <v>23.755800000000001</v>
      </c>
      <c r="G193" s="101" vm="8475">
        <f ca="1"/>
        <v>24.4498</v>
      </c>
      <c r="H193" s="101" vm="8476">
        <f ca="1"/>
        <v>21.703099999999999</v>
      </c>
      <c r="I193" s="102" vm="8477">
        <f ca="1"/>
        <v>26546835</v>
      </c>
    </row>
    <row r="194" spans="4:9" x14ac:dyDescent="0.3">
      <c r="D194" s="100" vm="1093">
        <f ca="1"/>
        <v>43430</v>
      </c>
      <c r="E194" s="101" vm="8478">
        <f ca="1"/>
        <v>23.365100000000002</v>
      </c>
      <c r="F194" s="101" vm="8479">
        <f ca="1"/>
        <v>21.666499999999999</v>
      </c>
      <c r="G194" s="101" vm="8480">
        <f ca="1"/>
        <v>23.439800000000002</v>
      </c>
      <c r="H194" s="101" vm="8479">
        <f ca="1"/>
        <v>21.666499999999999</v>
      </c>
      <c r="I194" s="102" vm="8481">
        <f ca="1"/>
        <v>27161339</v>
      </c>
    </row>
    <row r="195" spans="4:9" x14ac:dyDescent="0.3">
      <c r="D195" s="100" vm="1099">
        <f ca="1"/>
        <v>43437</v>
      </c>
      <c r="E195" s="101" vm="8482">
        <f ca="1"/>
        <v>23.864100000000001</v>
      </c>
      <c r="F195" s="101" vm="8483">
        <f ca="1"/>
        <v>23.9998</v>
      </c>
      <c r="G195" s="101" vm="8484">
        <f ca="1"/>
        <v>25.299099999999999</v>
      </c>
      <c r="H195" s="101" vm="8485">
        <f ca="1"/>
        <v>23.383800000000001</v>
      </c>
      <c r="I195" s="102" vm="8486">
        <f ca="1"/>
        <v>36052839</v>
      </c>
    </row>
    <row r="196" spans="4:9" x14ac:dyDescent="0.3">
      <c r="D196" s="100" vm="1105">
        <f ca="1"/>
        <v>43444</v>
      </c>
      <c r="E196" s="101" vm="8487">
        <f ca="1"/>
        <v>24.380400000000002</v>
      </c>
      <c r="F196" s="101" vm="8483">
        <f ca="1"/>
        <v>23.9998</v>
      </c>
      <c r="G196" s="101" vm="8488">
        <f ca="1"/>
        <v>25.191099999999999</v>
      </c>
      <c r="H196" s="101" vm="8489">
        <f ca="1"/>
        <v>23.5411</v>
      </c>
      <c r="I196" s="102" vm="8490">
        <f ca="1"/>
        <v>31610772</v>
      </c>
    </row>
    <row r="197" spans="4:9" x14ac:dyDescent="0.3">
      <c r="D197" s="100" vm="1111">
        <f ca="1"/>
        <v>43451</v>
      </c>
      <c r="E197" s="101" vm="8491">
        <f ca="1"/>
        <v>21.317799999999998</v>
      </c>
      <c r="F197" s="101" vm="8492">
        <f ca="1"/>
        <v>24.133099999999999</v>
      </c>
      <c r="G197" s="101" vm="8493">
        <f ca="1"/>
        <v>24.379799999999999</v>
      </c>
      <c r="H197" s="101" vm="8494">
        <f ca="1"/>
        <v>20.7911</v>
      </c>
      <c r="I197" s="102" vm="8495">
        <f ca="1"/>
        <v>40113501</v>
      </c>
    </row>
    <row r="198" spans="4:9" x14ac:dyDescent="0.3">
      <c r="D198" s="100" vm="1117">
        <f ca="1"/>
        <v>43458</v>
      </c>
      <c r="E198" s="101" vm="8496">
        <f ca="1"/>
        <v>22.2578</v>
      </c>
      <c r="F198" s="101" vm="8497">
        <f ca="1"/>
        <v>20.899799999999999</v>
      </c>
      <c r="G198" s="101" vm="8498">
        <f ca="1"/>
        <v>22.415800000000001</v>
      </c>
      <c r="H198" s="101" vm="8334">
        <f ca="1"/>
        <v>19.605799999999999</v>
      </c>
      <c r="I198" s="102" vm="8499">
        <f ca="1"/>
        <v>32237176</v>
      </c>
    </row>
    <row r="199" spans="4:9" x14ac:dyDescent="0.3">
      <c r="D199" s="100" vm="1123">
        <f ca="1"/>
        <v>43465</v>
      </c>
      <c r="E199" s="101" vm="8500">
        <f ca="1"/>
        <v>21.179099999999998</v>
      </c>
      <c r="F199" s="101" vm="8501">
        <f ca="1"/>
        <v>22.519100000000002</v>
      </c>
      <c r="G199" s="101" vm="8502">
        <f ca="1"/>
        <v>22.613800000000001</v>
      </c>
      <c r="H199" s="101" vm="8503">
        <f ca="1"/>
        <v>19.825099999999999</v>
      </c>
      <c r="I199" s="102" vm="8504">
        <f ca="1"/>
        <v>32214551</v>
      </c>
    </row>
    <row r="200" spans="4:9" x14ac:dyDescent="0.3">
      <c r="D200" s="100" vm="1128">
        <f ca="1"/>
        <v>43472</v>
      </c>
      <c r="E200" s="101" vm="8505">
        <f ca="1"/>
        <v>23.150400000000001</v>
      </c>
      <c r="F200" s="101" vm="8506">
        <f ca="1"/>
        <v>21.447800000000001</v>
      </c>
      <c r="G200" s="101" vm="8507">
        <f ca="1"/>
        <v>23.2271</v>
      </c>
      <c r="H200" s="101" vm="8508">
        <f ca="1"/>
        <v>21.183199999999999</v>
      </c>
      <c r="I200" s="102" vm="8509">
        <f ca="1"/>
        <v>31052966</v>
      </c>
    </row>
    <row r="201" spans="4:9" x14ac:dyDescent="0.3">
      <c r="D201" s="100" vm="1134">
        <f ca="1"/>
        <v>43479</v>
      </c>
      <c r="E201" s="101" vm="8510">
        <f ca="1"/>
        <v>20.150500000000001</v>
      </c>
      <c r="F201" s="101" vm="8511">
        <f ca="1"/>
        <v>22.825099999999999</v>
      </c>
      <c r="G201" s="101" vm="8512">
        <f ca="1"/>
        <v>23.4664</v>
      </c>
      <c r="H201" s="101" vm="8513">
        <f ca="1"/>
        <v>19.9818</v>
      </c>
      <c r="I201" s="102" vm="8514">
        <f ca="1"/>
        <v>43774028</v>
      </c>
    </row>
    <row r="202" spans="4:9" x14ac:dyDescent="0.3">
      <c r="D202" s="100" vm="1140">
        <f ca="1"/>
        <v>43487</v>
      </c>
      <c r="E202" s="101" vm="8515">
        <f ca="1"/>
        <v>19.802499999999998</v>
      </c>
      <c r="F202" s="101" vm="8516">
        <f ca="1"/>
        <v>20.321100000000001</v>
      </c>
      <c r="G202" s="101" vm="8386">
        <f ca="1"/>
        <v>20.533100000000001</v>
      </c>
      <c r="H202" s="101" vm="8517">
        <f ca="1"/>
        <v>18.6187</v>
      </c>
      <c r="I202" s="102" vm="8518">
        <f ca="1"/>
        <v>39613907</v>
      </c>
    </row>
    <row r="203" spans="4:9" x14ac:dyDescent="0.3">
      <c r="D203" s="100" vm="1145">
        <f ca="1"/>
        <v>43493</v>
      </c>
      <c r="E203" s="101" vm="8519">
        <f ca="1"/>
        <v>20.813800000000001</v>
      </c>
      <c r="F203" s="101" vm="8520">
        <f ca="1"/>
        <v>19.527100000000001</v>
      </c>
      <c r="G203" s="101" vm="8521">
        <f ca="1"/>
        <v>21.0731</v>
      </c>
      <c r="H203" s="101" vm="8522">
        <f ca="1"/>
        <v>19.1831</v>
      </c>
      <c r="I203" s="102" vm="8523">
        <f ca="1"/>
        <v>42073110</v>
      </c>
    </row>
    <row r="204" spans="4:9" x14ac:dyDescent="0.3">
      <c r="D204" s="100" vm="1151">
        <f ca="1"/>
        <v>43500</v>
      </c>
      <c r="E204" s="101" vm="8524">
        <f ca="1"/>
        <v>20.386500000000002</v>
      </c>
      <c r="F204" s="101" vm="6667">
        <f ca="1"/>
        <v>20.865100000000002</v>
      </c>
      <c r="G204" s="101" vm="8525">
        <f ca="1"/>
        <v>21.6158</v>
      </c>
      <c r="H204" s="101" vm="8526">
        <f ca="1"/>
        <v>19.899799999999999</v>
      </c>
      <c r="I204" s="102" vm="8527">
        <f ca="1"/>
        <v>31432273</v>
      </c>
    </row>
    <row r="205" spans="4:9" x14ac:dyDescent="0.3">
      <c r="D205" s="100" vm="1157">
        <f ca="1"/>
        <v>43507</v>
      </c>
      <c r="E205" s="101" vm="8528">
        <f ca="1"/>
        <v>20.525099999999998</v>
      </c>
      <c r="F205" s="101" vm="8529">
        <f ca="1"/>
        <v>20.773099999999999</v>
      </c>
      <c r="G205" s="101" vm="8530">
        <f ca="1"/>
        <v>21.239799999999999</v>
      </c>
      <c r="H205" s="101" vm="8531">
        <f ca="1"/>
        <v>20.066500000000001</v>
      </c>
      <c r="I205" s="102" vm="8532">
        <f ca="1"/>
        <v>26744209</v>
      </c>
    </row>
    <row r="206" spans="4:9" x14ac:dyDescent="0.3">
      <c r="D206" s="100" vm="1161">
        <f ca="1"/>
        <v>43515</v>
      </c>
      <c r="E206" s="101" vm="8533">
        <f ca="1"/>
        <v>19.647099999999998</v>
      </c>
      <c r="F206" s="101" vm="8534">
        <f ca="1"/>
        <v>20.437100000000001</v>
      </c>
      <c r="G206" s="101" vm="8535">
        <f ca="1"/>
        <v>20.769400000000001</v>
      </c>
      <c r="H206" s="101" vm="8536">
        <f ca="1"/>
        <v>19.366499999999998</v>
      </c>
      <c r="I206" s="102" vm="8537">
        <f ca="1"/>
        <v>25960300</v>
      </c>
    </row>
    <row r="207" spans="4:9" x14ac:dyDescent="0.3">
      <c r="D207" s="100" vm="1167">
        <f ca="1"/>
        <v>43521</v>
      </c>
      <c r="E207" s="101" vm="8538">
        <f ca="1"/>
        <v>19.6525</v>
      </c>
      <c r="F207" s="101" vm="8539">
        <f ca="1"/>
        <v>19.860499999999998</v>
      </c>
      <c r="G207" s="101" vm="8227">
        <f ca="1"/>
        <v>21.333100000000002</v>
      </c>
      <c r="H207" s="101" vm="8540">
        <f ca="1"/>
        <v>19.251100000000001</v>
      </c>
      <c r="I207" s="102" vm="8541">
        <f ca="1"/>
        <v>59824993</v>
      </c>
    </row>
    <row r="208" spans="4:9" x14ac:dyDescent="0.3">
      <c r="D208" s="100" vm="1172">
        <f ca="1"/>
        <v>43528</v>
      </c>
      <c r="E208" s="101" vm="8542">
        <f ca="1"/>
        <v>18.942499999999999</v>
      </c>
      <c r="F208" s="101" vm="8543">
        <f ca="1"/>
        <v>19.874500000000001</v>
      </c>
      <c r="G208" s="101" vm="8325">
        <f ca="1"/>
        <v>19.9331</v>
      </c>
      <c r="H208" s="101" vm="8544">
        <f ca="1"/>
        <v>18.006499999999999</v>
      </c>
      <c r="I208" s="102" vm="8545">
        <f ca="1"/>
        <v>64459151</v>
      </c>
    </row>
    <row r="209" spans="4:9" x14ac:dyDescent="0.3">
      <c r="D209" s="100" vm="1178">
        <f ca="1"/>
        <v>43535</v>
      </c>
      <c r="E209" s="101" vm="8546">
        <f ca="1"/>
        <v>18.361799999999999</v>
      </c>
      <c r="F209" s="101" vm="8547">
        <f ca="1"/>
        <v>18.9011</v>
      </c>
      <c r="G209" s="101" vm="8548">
        <f ca="1"/>
        <v>19.692499999999999</v>
      </c>
      <c r="H209" s="101" vm="8549">
        <f ca="1"/>
        <v>18.293199999999999</v>
      </c>
      <c r="I209" s="102" vm="8550">
        <f ca="1"/>
        <v>43630112</v>
      </c>
    </row>
    <row r="210" spans="4:9" x14ac:dyDescent="0.3">
      <c r="D210" s="100" vm="1184">
        <f ca="1"/>
        <v>43542</v>
      </c>
      <c r="E210" s="101" vm="8551">
        <f ca="1"/>
        <v>17.635200000000001</v>
      </c>
      <c r="F210" s="101" vm="8552">
        <f ca="1"/>
        <v>18.399799999999999</v>
      </c>
      <c r="G210" s="101" vm="8553">
        <f ca="1"/>
        <v>18.5365</v>
      </c>
      <c r="H210" s="101" vm="8554">
        <f ca="1"/>
        <v>17.563800000000001</v>
      </c>
      <c r="I210" s="102" vm="8555">
        <f ca="1"/>
        <v>43682541</v>
      </c>
    </row>
    <row r="211" spans="4:9" x14ac:dyDescent="0.3">
      <c r="D211" s="100" vm="1190">
        <f ca="1"/>
        <v>43549</v>
      </c>
      <c r="E211" s="101" vm="8556">
        <f ca="1"/>
        <v>18.6571</v>
      </c>
      <c r="F211" s="101" vm="8557">
        <f ca="1"/>
        <v>17.313800000000001</v>
      </c>
      <c r="G211" s="101" vm="8558">
        <f ca="1"/>
        <v>18.688500000000001</v>
      </c>
      <c r="H211" s="101" vm="8559">
        <f ca="1"/>
        <v>16.963799999999999</v>
      </c>
      <c r="I211" s="102" vm="8560">
        <f ca="1"/>
        <v>39110574</v>
      </c>
    </row>
    <row r="212" spans="4:9" x14ac:dyDescent="0.3">
      <c r="D212" s="100" vm="1195">
        <f ca="1"/>
        <v>43556</v>
      </c>
      <c r="E212" s="101" vm="8561">
        <f ca="1"/>
        <v>18.330500000000001</v>
      </c>
      <c r="F212" s="101" vm="8562">
        <f ca="1"/>
        <v>18.841100000000001</v>
      </c>
      <c r="G212" s="101" vm="8563">
        <f ca="1"/>
        <v>19.744499999999999</v>
      </c>
      <c r="H212" s="101" vm="8564">
        <f ca="1"/>
        <v>17.372499999999999</v>
      </c>
      <c r="I212" s="102" vm="8565">
        <f ca="1"/>
        <v>58278229</v>
      </c>
    </row>
    <row r="213" spans="4:9" x14ac:dyDescent="0.3">
      <c r="D213" s="100" vm="1201">
        <f ca="1"/>
        <v>43563</v>
      </c>
      <c r="E213" s="101" vm="8566">
        <f ca="1"/>
        <v>17.846499999999999</v>
      </c>
      <c r="F213" s="101" vm="8567">
        <f ca="1"/>
        <v>18.512499999999999</v>
      </c>
      <c r="G213" s="101" vm="8568">
        <f ca="1"/>
        <v>18.7438</v>
      </c>
      <c r="H213" s="101" vm="8569">
        <f ca="1"/>
        <v>17.706499999999998</v>
      </c>
      <c r="I213" s="102" vm="8570">
        <f ca="1"/>
        <v>39957682</v>
      </c>
    </row>
    <row r="214" spans="4:9" x14ac:dyDescent="0.3">
      <c r="D214" s="100" vm="1207">
        <f ca="1"/>
        <v>43570</v>
      </c>
      <c r="E214" s="101" vm="8427">
        <f ca="1"/>
        <v>18.217199999999998</v>
      </c>
      <c r="F214" s="101" vm="8571">
        <f ca="1"/>
        <v>17.9085</v>
      </c>
      <c r="G214" s="101" vm="7634">
        <f ca="1"/>
        <v>18.333200000000001</v>
      </c>
      <c r="H214" s="101" vm="8572">
        <f ca="1"/>
        <v>17.241800000000001</v>
      </c>
      <c r="I214" s="102" vm="8573">
        <f ca="1"/>
        <v>28314302</v>
      </c>
    </row>
    <row r="215" spans="4:9" x14ac:dyDescent="0.3">
      <c r="D215" s="100" vm="1213">
        <f ca="1"/>
        <v>43577</v>
      </c>
      <c r="E215" s="101" vm="8574">
        <f ca="1"/>
        <v>15.675800000000001</v>
      </c>
      <c r="F215" s="101" vm="8575">
        <f ca="1"/>
        <v>17.933199999999999</v>
      </c>
      <c r="G215" s="101" vm="8576">
        <f ca="1"/>
        <v>17.9785</v>
      </c>
      <c r="H215" s="101" vm="8577">
        <f ca="1"/>
        <v>15.4085</v>
      </c>
      <c r="I215" s="102" vm="8578">
        <f ca="1"/>
        <v>78028556</v>
      </c>
    </row>
    <row r="216" spans="4:9" x14ac:dyDescent="0.3">
      <c r="D216" s="100" vm="1218">
        <f ca="1"/>
        <v>43584</v>
      </c>
      <c r="E216" s="101" vm="8579">
        <f ca="1"/>
        <v>17.001799999999999</v>
      </c>
      <c r="F216" s="101" vm="8580">
        <f ca="1"/>
        <v>15.723800000000001</v>
      </c>
      <c r="G216" s="101" vm="8581">
        <f ca="1"/>
        <v>17.107199999999999</v>
      </c>
      <c r="H216" s="101" vm="8582">
        <f ca="1"/>
        <v>15.433199999999999</v>
      </c>
      <c r="I216" s="102" vm="8583">
        <f ca="1"/>
        <v>78749568</v>
      </c>
    </row>
    <row r="217" spans="4:9" x14ac:dyDescent="0.3">
      <c r="D217" s="100" vm="1224">
        <f ca="1"/>
        <v>43591</v>
      </c>
      <c r="E217" s="101" vm="8584">
        <f ca="1"/>
        <v>15.9678</v>
      </c>
      <c r="F217" s="101" vm="8585">
        <f ca="1"/>
        <v>16.6678</v>
      </c>
      <c r="G217" s="101" vm="8586">
        <f ca="1"/>
        <v>17.223199999999999</v>
      </c>
      <c r="H217" s="101" vm="8587">
        <f ca="1"/>
        <v>15.734500000000001</v>
      </c>
      <c r="I217" s="102" vm="8588">
        <f ca="1"/>
        <v>40861509</v>
      </c>
    </row>
    <row r="218" spans="4:9" x14ac:dyDescent="0.3">
      <c r="D218" s="100" vm="1230">
        <f ca="1"/>
        <v>43598</v>
      </c>
      <c r="E218" s="101" vm="8589">
        <f ca="1"/>
        <v>14.0685</v>
      </c>
      <c r="F218" s="101" vm="8590">
        <f ca="1"/>
        <v>15.4672</v>
      </c>
      <c r="G218" s="101" vm="8591">
        <f ca="1"/>
        <v>15.6332</v>
      </c>
      <c r="H218" s="101" vm="7707">
        <f ca="1"/>
        <v>13.927899999999999</v>
      </c>
      <c r="I218" s="102" vm="8592">
        <f ca="1"/>
        <v>50653123</v>
      </c>
    </row>
    <row r="219" spans="4:9" x14ac:dyDescent="0.3">
      <c r="D219" s="100" vm="1236">
        <f ca="1"/>
        <v>43605</v>
      </c>
      <c r="E219" s="101" vm="8593">
        <f ca="1"/>
        <v>12.708500000000001</v>
      </c>
      <c r="F219" s="101" vm="8594">
        <f ca="1"/>
        <v>13.5199</v>
      </c>
      <c r="G219" s="101" vm="8595">
        <f ca="1"/>
        <v>13.826499999999999</v>
      </c>
      <c r="H219" s="101" vm="8596">
        <f ca="1"/>
        <v>12.4145</v>
      </c>
      <c r="I219" s="102" vm="8597">
        <f ca="1"/>
        <v>97898995</v>
      </c>
    </row>
    <row r="220" spans="4:9" x14ac:dyDescent="0.3">
      <c r="D220" s="100" vm="1241">
        <f ca="1"/>
        <v>43613</v>
      </c>
      <c r="E220" s="101" vm="8598">
        <f ca="1"/>
        <v>12.3439</v>
      </c>
      <c r="F220" s="101" vm="7765">
        <f ca="1"/>
        <v>12.746499999999999</v>
      </c>
      <c r="G220" s="101" vm="7661">
        <f ca="1"/>
        <v>12.9999</v>
      </c>
      <c r="H220" s="101" vm="8599">
        <f ca="1"/>
        <v>12.273199999999999</v>
      </c>
      <c r="I220" s="102" vm="8600">
        <f ca="1"/>
        <v>40614746</v>
      </c>
    </row>
    <row r="221" spans="4:9" x14ac:dyDescent="0.3">
      <c r="D221" s="100" vm="1246">
        <f ca="1"/>
        <v>43619</v>
      </c>
      <c r="E221" s="101" vm="8601">
        <f ca="1"/>
        <v>13.6332</v>
      </c>
      <c r="F221" s="101" vm="8602">
        <f ca="1"/>
        <v>12.3672</v>
      </c>
      <c r="G221" s="101" vm="7750">
        <f ca="1"/>
        <v>14.0665</v>
      </c>
      <c r="H221" s="101" vm="8603">
        <f ca="1"/>
        <v>11.799300000000001</v>
      </c>
      <c r="I221" s="102" vm="8604">
        <f ca="1"/>
        <v>76628366</v>
      </c>
    </row>
    <row r="222" spans="4:9" x14ac:dyDescent="0.3">
      <c r="D222" s="100" vm="1252">
        <f ca="1"/>
        <v>43626</v>
      </c>
      <c r="E222" s="101" vm="8605">
        <f ca="1"/>
        <v>14.3279</v>
      </c>
      <c r="F222" s="101" vm="8606">
        <f ca="1"/>
        <v>14.016500000000001</v>
      </c>
      <c r="G222" s="101" vm="8607">
        <f ca="1"/>
        <v>14.8919</v>
      </c>
      <c r="H222" s="101" vm="8608">
        <f ca="1"/>
        <v>13.8339</v>
      </c>
      <c r="I222" s="102" vm="8609">
        <f ca="1"/>
        <v>53037782</v>
      </c>
    </row>
    <row r="223" spans="4:9" x14ac:dyDescent="0.3">
      <c r="D223" s="100" vm="1258">
        <f ca="1"/>
        <v>43633</v>
      </c>
      <c r="E223" s="101" vm="8610">
        <f ca="1"/>
        <v>14.7905</v>
      </c>
      <c r="F223" s="101" vm="8611">
        <f ca="1"/>
        <v>14.3652</v>
      </c>
      <c r="G223" s="101" vm="8612">
        <f ca="1"/>
        <v>15.6492</v>
      </c>
      <c r="H223" s="101" vm="8613">
        <f ca="1"/>
        <v>14.2845</v>
      </c>
      <c r="I223" s="102" vm="8614">
        <f ca="1"/>
        <v>51673266</v>
      </c>
    </row>
    <row r="224" spans="4:9" x14ac:dyDescent="0.3">
      <c r="D224" s="100" vm="1264">
        <f ca="1"/>
        <v>43640</v>
      </c>
      <c r="E224" s="101" vm="8615">
        <f ca="1"/>
        <v>14.8972</v>
      </c>
      <c r="F224" s="101" vm="8616">
        <f ca="1"/>
        <v>14.8825</v>
      </c>
      <c r="G224" s="101" vm="8617">
        <f ca="1"/>
        <v>15.1485</v>
      </c>
      <c r="H224" s="101" vm="7721">
        <f ca="1"/>
        <v>14.4899</v>
      </c>
      <c r="I224" s="102" vm="8618">
        <f ca="1"/>
        <v>33631144</v>
      </c>
    </row>
    <row r="225" spans="4:9" x14ac:dyDescent="0.3">
      <c r="D225" s="100" vm="1270">
        <f ca="1"/>
        <v>43647</v>
      </c>
      <c r="E225" s="101" vm="8619">
        <f ca="1"/>
        <v>15.5398</v>
      </c>
      <c r="F225" s="101" vm="8620">
        <f ca="1"/>
        <v>15.347200000000001</v>
      </c>
      <c r="G225" s="101" vm="8621">
        <f ca="1"/>
        <v>16.104500000000002</v>
      </c>
      <c r="H225" s="101" vm="8622">
        <f ca="1"/>
        <v>14.814500000000001</v>
      </c>
      <c r="I225" s="102" vm="8623">
        <f ca="1"/>
        <v>38763877</v>
      </c>
    </row>
    <row r="226" spans="4:9" x14ac:dyDescent="0.3">
      <c r="D226" s="100" vm="1276">
        <f ca="1"/>
        <v>43654</v>
      </c>
      <c r="E226" s="101" vm="8624">
        <f ca="1"/>
        <v>16.3385</v>
      </c>
      <c r="F226" s="101" vm="8625">
        <f ca="1"/>
        <v>15.415800000000001</v>
      </c>
      <c r="G226" s="101" vm="8626">
        <f ca="1"/>
        <v>16.358499999999999</v>
      </c>
      <c r="H226" s="101" vm="8627">
        <f ca="1"/>
        <v>15.1518</v>
      </c>
      <c r="I226" s="102" vm="8628">
        <f ca="1"/>
        <v>37932064</v>
      </c>
    </row>
    <row r="227" spans="4:9" x14ac:dyDescent="0.3">
      <c r="D227" s="100" vm="1282">
        <f ca="1"/>
        <v>43661</v>
      </c>
      <c r="E227" s="101" vm="8629">
        <f ca="1"/>
        <v>17.2118</v>
      </c>
      <c r="F227" s="101" vm="8630">
        <f ca="1"/>
        <v>16.533200000000001</v>
      </c>
      <c r="G227" s="101" vm="8631">
        <f ca="1"/>
        <v>17.330500000000001</v>
      </c>
      <c r="H227" s="101" vm="8632">
        <f ca="1"/>
        <v>16.323799999999999</v>
      </c>
      <c r="I227" s="102" vm="8633">
        <f ca="1"/>
        <v>40726701</v>
      </c>
    </row>
    <row r="228" spans="4:9" x14ac:dyDescent="0.3">
      <c r="D228" s="100" vm="1288">
        <f ca="1"/>
        <v>43668</v>
      </c>
      <c r="E228" s="101" vm="8634">
        <f ca="1"/>
        <v>15.202500000000001</v>
      </c>
      <c r="F228" s="101" vm="7605">
        <f ca="1"/>
        <v>17.2498</v>
      </c>
      <c r="G228" s="101" vm="8635">
        <f ca="1"/>
        <v>17.7378</v>
      </c>
      <c r="H228" s="101" vm="8636">
        <f ca="1"/>
        <v>14.8165</v>
      </c>
      <c r="I228" s="102" vm="8637">
        <f ca="1"/>
        <v>55388178</v>
      </c>
    </row>
    <row r="229" spans="4:9" x14ac:dyDescent="0.3">
      <c r="D229" s="100" vm="1294">
        <f ca="1"/>
        <v>43675</v>
      </c>
      <c r="E229" s="101" vm="8638">
        <f ca="1"/>
        <v>15.6225</v>
      </c>
      <c r="F229" s="101" vm="8639">
        <f ca="1"/>
        <v>15.139200000000001</v>
      </c>
      <c r="G229" s="101" vm="8640">
        <f ca="1"/>
        <v>16.4452</v>
      </c>
      <c r="H229" s="101" vm="8641">
        <f ca="1"/>
        <v>15.0687</v>
      </c>
      <c r="I229" s="102" vm="8642">
        <f ca="1"/>
        <v>40956550</v>
      </c>
    </row>
    <row r="230" spans="4:9" x14ac:dyDescent="0.3">
      <c r="D230" s="100" vm="1300">
        <f ca="1"/>
        <v>43682</v>
      </c>
      <c r="E230" s="101" vm="8643">
        <f ca="1"/>
        <v>15.667199999999999</v>
      </c>
      <c r="F230" s="101" vm="8644">
        <f ca="1"/>
        <v>15.3065</v>
      </c>
      <c r="G230" s="101" vm="8645">
        <f ca="1"/>
        <v>15.986499999999999</v>
      </c>
      <c r="H230" s="101" vm="8646">
        <f ca="1"/>
        <v>15.049799999999999</v>
      </c>
      <c r="I230" s="102" vm="8647">
        <f ca="1"/>
        <v>26541572</v>
      </c>
    </row>
    <row r="231" spans="4:9" x14ac:dyDescent="0.3">
      <c r="D231" s="100" vm="1306">
        <f ca="1"/>
        <v>43689</v>
      </c>
      <c r="E231" s="101" vm="8648">
        <f ca="1"/>
        <v>14.6625</v>
      </c>
      <c r="F231" s="101" vm="7712">
        <f ca="1"/>
        <v>15.532500000000001</v>
      </c>
      <c r="G231" s="101" vm="8649">
        <f ca="1"/>
        <v>15.7332</v>
      </c>
      <c r="H231" s="101" vm="8650">
        <f ca="1"/>
        <v>14.103199999999999</v>
      </c>
      <c r="I231" s="102" vm="8651">
        <f ca="1"/>
        <v>32534854</v>
      </c>
    </row>
    <row r="232" spans="4:9" x14ac:dyDescent="0.3">
      <c r="D232" s="100" vm="1311">
        <f ca="1"/>
        <v>43696</v>
      </c>
      <c r="E232" s="101" vm="8652">
        <f ca="1"/>
        <v>14.0932</v>
      </c>
      <c r="F232" s="101" vm="8653">
        <f ca="1"/>
        <v>14.9472</v>
      </c>
      <c r="G232" s="101" vm="8654">
        <f ca="1"/>
        <v>15.272500000000001</v>
      </c>
      <c r="H232" s="101" vm="7750">
        <f ca="1"/>
        <v>14.0665</v>
      </c>
      <c r="I232" s="102" vm="8655">
        <f ca="1"/>
        <v>32406687</v>
      </c>
    </row>
    <row r="233" spans="4:9" x14ac:dyDescent="0.3">
      <c r="D233" s="100" vm="1317">
        <f ca="1"/>
        <v>43703</v>
      </c>
      <c r="E233" s="101" vm="7899">
        <f ca="1"/>
        <v>15.0405</v>
      </c>
      <c r="F233" s="101" vm="8656">
        <f ca="1"/>
        <v>14.2399</v>
      </c>
      <c r="G233" s="101" vm="8657">
        <f ca="1"/>
        <v>15.495799999999999</v>
      </c>
      <c r="H233" s="101" vm="8658">
        <f ca="1"/>
        <v>14.102499999999999</v>
      </c>
      <c r="I233" s="102" vm="8659">
        <f ca="1"/>
        <v>28224645</v>
      </c>
    </row>
    <row r="234" spans="4:9" x14ac:dyDescent="0.3">
      <c r="D234" s="100" vm="1322">
        <f ca="1"/>
        <v>43711</v>
      </c>
      <c r="E234" s="101" vm="8660">
        <f ca="1"/>
        <v>15.1632</v>
      </c>
      <c r="F234" s="101" vm="8661">
        <f ca="1"/>
        <v>14.938499999999999</v>
      </c>
      <c r="G234" s="101" vm="7887">
        <f ca="1"/>
        <v>15.319800000000001</v>
      </c>
      <c r="H234" s="101" vm="8662">
        <f ca="1"/>
        <v>14.6135</v>
      </c>
      <c r="I234" s="102" vm="8663">
        <f ca="1"/>
        <v>22721936</v>
      </c>
    </row>
    <row r="235" spans="4:9" x14ac:dyDescent="0.3">
      <c r="D235" s="100" vm="1328">
        <f ca="1"/>
        <v>43717</v>
      </c>
      <c r="E235" s="101" vm="8664">
        <f ca="1"/>
        <v>16.346499999999999</v>
      </c>
      <c r="F235" s="101" vm="8665">
        <f ca="1"/>
        <v>15.3332</v>
      </c>
      <c r="G235" s="101" vm="8451">
        <f ca="1"/>
        <v>16.899799999999999</v>
      </c>
      <c r="H235" s="101" vm="8666">
        <f ca="1"/>
        <v>15.262499999999999</v>
      </c>
      <c r="I235" s="102" vm="8667">
        <f ca="1"/>
        <v>33623515</v>
      </c>
    </row>
    <row r="236" spans="4:9" x14ac:dyDescent="0.3">
      <c r="D236" s="100" vm="1334">
        <f ca="1"/>
        <v>43724</v>
      </c>
      <c r="E236" s="101" vm="8668">
        <f ca="1"/>
        <v>16.0412</v>
      </c>
      <c r="F236" s="101" vm="8669">
        <f ca="1"/>
        <v>16.399799999999999</v>
      </c>
      <c r="G236" s="101" vm="8670">
        <f ca="1"/>
        <v>16.5444</v>
      </c>
      <c r="H236" s="101" vm="8671">
        <f ca="1"/>
        <v>15.8772</v>
      </c>
      <c r="I236" s="102" vm="8672">
        <f ca="1"/>
        <v>24292507</v>
      </c>
    </row>
    <row r="237" spans="4:9" x14ac:dyDescent="0.3">
      <c r="D237" s="100" vm="1339">
        <f ca="1"/>
        <v>43731</v>
      </c>
      <c r="E237" s="101" vm="8673">
        <f ca="1"/>
        <v>16.1418</v>
      </c>
      <c r="F237" s="101" vm="7816">
        <f ca="1"/>
        <v>15.9998</v>
      </c>
      <c r="G237" s="101" vm="8674">
        <f ca="1"/>
        <v>16.580500000000001</v>
      </c>
      <c r="H237" s="101" vm="7689">
        <f ca="1"/>
        <v>14.5572</v>
      </c>
      <c r="I237" s="102" vm="8675">
        <f ca="1"/>
        <v>49978992</v>
      </c>
    </row>
    <row r="238" spans="4:9" x14ac:dyDescent="0.3">
      <c r="D238" s="100" vm="1345">
        <f ca="1"/>
        <v>43738</v>
      </c>
      <c r="E238" s="101" vm="8676">
        <f ca="1"/>
        <v>15.4285</v>
      </c>
      <c r="F238" s="101" vm="8041">
        <f ca="1"/>
        <v>16.1998</v>
      </c>
      <c r="G238" s="101" vm="8677">
        <f ca="1"/>
        <v>16.3965</v>
      </c>
      <c r="H238" s="101" vm="8678">
        <f ca="1"/>
        <v>14.9519</v>
      </c>
      <c r="I238" s="102" vm="8679">
        <f ca="1"/>
        <v>41557942</v>
      </c>
    </row>
    <row r="239" spans="4:9" x14ac:dyDescent="0.3">
      <c r="D239" s="100" vm="1351">
        <f ca="1"/>
        <v>43745</v>
      </c>
      <c r="E239" s="101" vm="8680">
        <f ca="1"/>
        <v>16.5258</v>
      </c>
      <c r="F239" s="101" vm="7887">
        <f ca="1"/>
        <v>15.319800000000001</v>
      </c>
      <c r="G239" s="101" vm="8681">
        <f ca="1"/>
        <v>16.738499999999998</v>
      </c>
      <c r="H239" s="101" vm="8682">
        <f ca="1"/>
        <v>15.236499999999999</v>
      </c>
      <c r="I239" s="102" vm="8683">
        <f ca="1"/>
        <v>38513111</v>
      </c>
    </row>
    <row r="240" spans="4:9" x14ac:dyDescent="0.3">
      <c r="D240" s="100" vm="1357">
        <f ca="1"/>
        <v>43752</v>
      </c>
      <c r="E240" s="101" vm="8684">
        <f ca="1"/>
        <v>17.129799999999999</v>
      </c>
      <c r="F240" s="101" vm="7810">
        <f ca="1"/>
        <v>16.526499999999999</v>
      </c>
      <c r="G240" s="101" vm="8685">
        <f ca="1"/>
        <v>17.651800000000001</v>
      </c>
      <c r="H240" s="101" vm="8686">
        <f ca="1"/>
        <v>16.475200000000001</v>
      </c>
      <c r="I240" s="102" vm="8687">
        <f ca="1"/>
        <v>33943331</v>
      </c>
    </row>
    <row r="241" spans="4:9" x14ac:dyDescent="0.3">
      <c r="D241" s="100" vm="1363">
        <f ca="1"/>
        <v>43759</v>
      </c>
      <c r="E241" s="101" vm="8688">
        <f ca="1"/>
        <v>21.8751</v>
      </c>
      <c r="F241" s="101" vm="8689">
        <f ca="1"/>
        <v>17.221800000000002</v>
      </c>
      <c r="G241" s="101" vm="8361">
        <f ca="1"/>
        <v>21.9998</v>
      </c>
      <c r="H241" s="101" vm="8690">
        <f ca="1"/>
        <v>16.6785</v>
      </c>
      <c r="I241" s="102" vm="8691">
        <f ca="1"/>
        <v>80774700</v>
      </c>
    </row>
    <row r="242" spans="4:9" x14ac:dyDescent="0.3">
      <c r="D242" s="100" vm="1369">
        <f ca="1"/>
        <v>43766</v>
      </c>
      <c r="E242" s="101" vm="8692">
        <f ca="1"/>
        <v>20.8871</v>
      </c>
      <c r="F242" s="101" vm="8693">
        <f ca="1"/>
        <v>21.835799999999999</v>
      </c>
      <c r="G242" s="101" vm="8694">
        <f ca="1"/>
        <v>22.7224</v>
      </c>
      <c r="H242" s="101" vm="8695">
        <f ca="1"/>
        <v>20.653099999999998</v>
      </c>
      <c r="I242" s="102" vm="8696">
        <f ca="1"/>
        <v>52647248</v>
      </c>
    </row>
    <row r="243" spans="4:9" x14ac:dyDescent="0.3">
      <c r="D243" s="100" vm="1375">
        <f ca="1"/>
        <v>43773</v>
      </c>
      <c r="E243" s="101" vm="8697">
        <f ca="1"/>
        <v>22.4758</v>
      </c>
      <c r="F243" s="101" vm="8072">
        <f ca="1"/>
        <v>20.986499999999999</v>
      </c>
      <c r="G243" s="101" vm="8698">
        <f ca="1"/>
        <v>22.766400000000001</v>
      </c>
      <c r="H243" s="101" vm="8699">
        <f ca="1"/>
        <v>20.617100000000001</v>
      </c>
      <c r="I243" s="102" vm="8700">
        <f ca="1"/>
        <v>44194264</v>
      </c>
    </row>
    <row r="244" spans="4:9" x14ac:dyDescent="0.3">
      <c r="D244" s="100" vm="1381">
        <f ca="1"/>
        <v>43780</v>
      </c>
      <c r="E244" s="101" vm="8701">
        <f ca="1"/>
        <v>23.477799999999998</v>
      </c>
      <c r="F244" s="101" vm="8702">
        <f ca="1"/>
        <v>22.9298</v>
      </c>
      <c r="G244" s="101" vm="8703">
        <f ca="1"/>
        <v>23.755099999999999</v>
      </c>
      <c r="H244" s="101" vm="8704">
        <f ca="1"/>
        <v>22.799800000000001</v>
      </c>
      <c r="I244" s="102" vm="8705">
        <f ca="1"/>
        <v>37105201</v>
      </c>
    </row>
    <row r="245" spans="4:9" x14ac:dyDescent="0.3">
      <c r="D245" s="100" vm="1387">
        <f ca="1"/>
        <v>43787</v>
      </c>
      <c r="E245" s="101" vm="8706">
        <f ca="1"/>
        <v>22.202400000000001</v>
      </c>
      <c r="F245" s="101" vm="8707">
        <f ca="1"/>
        <v>23.5275</v>
      </c>
      <c r="G245" s="101" vm="8708">
        <f ca="1"/>
        <v>24.079799999999999</v>
      </c>
      <c r="H245" s="101" vm="8361">
        <f ca="1"/>
        <v>21.9998</v>
      </c>
      <c r="I245" s="102" vm="8709">
        <f ca="1"/>
        <v>41859203</v>
      </c>
    </row>
    <row r="246" spans="4:9" x14ac:dyDescent="0.3">
      <c r="D246" s="100" vm="1393">
        <f ca="1"/>
        <v>43794</v>
      </c>
      <c r="E246" s="101" vm="8710">
        <f ca="1"/>
        <v>21.995799999999999</v>
      </c>
      <c r="F246" s="101" vm="8711">
        <f ca="1"/>
        <v>22.9544</v>
      </c>
      <c r="G246" s="101" vm="8712">
        <f ca="1"/>
        <v>22.9711</v>
      </c>
      <c r="H246" s="101" vm="8713">
        <f ca="1"/>
        <v>21.8064</v>
      </c>
      <c r="I246" s="102" vm="8714">
        <f ca="1"/>
        <v>28330931</v>
      </c>
    </row>
    <row r="247" spans="4:9" x14ac:dyDescent="0.3">
      <c r="D247" s="100" vm="1398">
        <f ca="1"/>
        <v>43801</v>
      </c>
      <c r="E247" s="101" vm="8715">
        <f ca="1"/>
        <v>22.392399999999999</v>
      </c>
      <c r="F247" s="101" vm="8716">
        <f ca="1"/>
        <v>21.959800000000001</v>
      </c>
      <c r="G247" s="101" vm="8717">
        <f ca="1"/>
        <v>22.590399999999999</v>
      </c>
      <c r="H247" s="101" vm="8718">
        <f ca="1"/>
        <v>21.816400000000002</v>
      </c>
      <c r="I247" s="102" vm="8719">
        <f ca="1"/>
        <v>29490126</v>
      </c>
    </row>
    <row r="248" spans="4:9" x14ac:dyDescent="0.3">
      <c r="D248" s="100" vm="1404">
        <f ca="1"/>
        <v>43808</v>
      </c>
      <c r="E248" s="101" vm="8720">
        <f ca="1"/>
        <v>23.892399999999999</v>
      </c>
      <c r="F248" s="101" vm="8721">
        <f ca="1"/>
        <v>22.4391</v>
      </c>
      <c r="G248" s="101" vm="8722">
        <f ca="1"/>
        <v>24.347100000000001</v>
      </c>
      <c r="H248" s="101" vm="8723">
        <f ca="1"/>
        <v>22.3384</v>
      </c>
      <c r="I248" s="102" vm="8724">
        <f ca="1"/>
        <v>38886689</v>
      </c>
    </row>
    <row r="249" spans="4:9" x14ac:dyDescent="0.3">
      <c r="D249" s="100" vm="1410">
        <f ca="1"/>
        <v>43815</v>
      </c>
      <c r="E249" s="101" vm="8725">
        <f ca="1"/>
        <v>27.039100000000001</v>
      </c>
      <c r="F249" s="101" vm="8726">
        <f ca="1"/>
        <v>24.169799999999999</v>
      </c>
      <c r="G249" s="101" vm="8727">
        <f ca="1"/>
        <v>27.533100000000001</v>
      </c>
      <c r="H249" s="101" vm="8728">
        <f ca="1"/>
        <v>24.166399999999999</v>
      </c>
      <c r="I249" s="102" vm="8729">
        <f ca="1"/>
        <v>73766620</v>
      </c>
    </row>
    <row r="250" spans="4:9" x14ac:dyDescent="0.3">
      <c r="D250" s="100" vm="1416">
        <f ca="1"/>
        <v>43822</v>
      </c>
      <c r="E250" s="101" vm="8730">
        <f ca="1"/>
        <v>28.691700000000001</v>
      </c>
      <c r="F250" s="101" vm="8731">
        <f ca="1"/>
        <v>27.451699999999999</v>
      </c>
      <c r="G250" s="101" vm="8732">
        <f ca="1"/>
        <v>29.020399999999999</v>
      </c>
      <c r="H250" s="101" vm="8733">
        <f ca="1"/>
        <v>27.333100000000002</v>
      </c>
      <c r="I250" s="102" vm="8734">
        <f ca="1"/>
        <v>41992657</v>
      </c>
    </row>
    <row r="251" spans="4:9" x14ac:dyDescent="0.3">
      <c r="D251" s="100" vm="1422">
        <f ca="1"/>
        <v>43829</v>
      </c>
      <c r="E251" s="101" vm="8735">
        <f ca="1"/>
        <v>29.5337</v>
      </c>
      <c r="F251" s="101" vm="8736">
        <f ca="1"/>
        <v>28.585699999999999</v>
      </c>
      <c r="G251" s="101" vm="8737">
        <f ca="1"/>
        <v>30.266400000000001</v>
      </c>
      <c r="H251" s="101" vm="8738">
        <f ca="1"/>
        <v>26.805099999999999</v>
      </c>
      <c r="I251" s="102" vm="8739">
        <f ca="1"/>
        <v>50050101</v>
      </c>
    </row>
    <row r="252" spans="4:9" x14ac:dyDescent="0.3">
      <c r="D252" s="100" vm="1428">
        <f ca="1"/>
        <v>43836</v>
      </c>
      <c r="E252" s="101" vm="8740">
        <f ca="1"/>
        <v>31.876300000000001</v>
      </c>
      <c r="F252" s="101" vm="8741">
        <f ca="1"/>
        <v>29.3644</v>
      </c>
      <c r="G252" s="101" vm="8742">
        <f ca="1"/>
        <v>33.253</v>
      </c>
      <c r="H252" s="101" vm="8743">
        <f ca="1"/>
        <v>29.332999999999998</v>
      </c>
      <c r="I252" s="102" vm="8744">
        <f ca="1"/>
        <v>100934936</v>
      </c>
    </row>
    <row r="253" spans="4:9" x14ac:dyDescent="0.3">
      <c r="D253" s="100" vm="1434">
        <f ca="1"/>
        <v>43843</v>
      </c>
      <c r="E253" s="101" vm="8745">
        <f ca="1"/>
        <v>34.033000000000001</v>
      </c>
      <c r="F253" s="101" vm="8746">
        <f ca="1"/>
        <v>32.899700000000003</v>
      </c>
      <c r="G253" s="101" vm="8747">
        <f ca="1"/>
        <v>36.493600000000001</v>
      </c>
      <c r="H253" s="101" vm="8748">
        <f ca="1"/>
        <v>32.799700000000001</v>
      </c>
      <c r="I253" s="102" vm="8749">
        <f ca="1"/>
        <v>108201325</v>
      </c>
    </row>
    <row r="254" spans="4:9" x14ac:dyDescent="0.3">
      <c r="D254" s="100" vm="1440">
        <f ca="1"/>
        <v>43851</v>
      </c>
      <c r="E254" s="101" vm="8750">
        <f ca="1"/>
        <v>37.654299999999999</v>
      </c>
      <c r="F254" s="101" vm="8751">
        <f ca="1"/>
        <v>35.349600000000002</v>
      </c>
      <c r="G254" s="101" vm="8752">
        <f ca="1"/>
        <v>39.632899999999999</v>
      </c>
      <c r="H254" s="101" vm="8753">
        <f ca="1"/>
        <v>35.226999999999997</v>
      </c>
      <c r="I254" s="102" vm="8754">
        <f ca="1"/>
        <v>82681673</v>
      </c>
    </row>
    <row r="255" spans="4:9" x14ac:dyDescent="0.3">
      <c r="D255" s="100" vm="1446">
        <f ca="1"/>
        <v>43857</v>
      </c>
      <c r="E255" s="101" vm="8755">
        <f ca="1"/>
        <v>43.370899999999999</v>
      </c>
      <c r="F255" s="101" vm="8756">
        <f ca="1"/>
        <v>36.132300000000001</v>
      </c>
      <c r="G255" s="101" vm="8757">
        <f ca="1"/>
        <v>43.532899999999998</v>
      </c>
      <c r="H255" s="101" vm="8758">
        <f ca="1"/>
        <v>35.951599999999999</v>
      </c>
      <c r="I255" s="102" vm="8759">
        <f ca="1"/>
        <v>84458519</v>
      </c>
    </row>
    <row r="256" spans="4:9" x14ac:dyDescent="0.3">
      <c r="D256" s="100" vm="1452">
        <f ca="1"/>
        <v>43864</v>
      </c>
      <c r="E256" s="101" vm="8760">
        <f ca="1"/>
        <v>49.870800000000003</v>
      </c>
      <c r="F256" s="101" vm="8761">
        <f ca="1"/>
        <v>44.912199999999999</v>
      </c>
      <c r="G256" s="101" vm="8762">
        <f ca="1"/>
        <v>64.598699999999994</v>
      </c>
      <c r="H256" s="101" vm="8763">
        <f ca="1"/>
        <v>44.9009</v>
      </c>
      <c r="I256" s="102" vm="8764">
        <f ca="1"/>
        <v>213375229</v>
      </c>
    </row>
    <row r="257" spans="4:9" x14ac:dyDescent="0.3">
      <c r="D257" s="100" vm="1458">
        <f ca="1"/>
        <v>43871</v>
      </c>
      <c r="E257" s="101" vm="8765">
        <f ca="1"/>
        <v>53.334800000000001</v>
      </c>
      <c r="F257" s="101" vm="8766">
        <f ca="1"/>
        <v>53.332799999999999</v>
      </c>
      <c r="G257" s="101" vm="8767">
        <f ca="1"/>
        <v>54.665500000000002</v>
      </c>
      <c r="H257" s="101" vm="8768">
        <f ca="1"/>
        <v>48.999499999999998</v>
      </c>
      <c r="I257" s="102" vm="8769">
        <f ca="1"/>
        <v>90329909</v>
      </c>
    </row>
    <row r="258" spans="4:9" x14ac:dyDescent="0.3">
      <c r="D258" s="100" vm="1464">
        <f ca="1"/>
        <v>43879</v>
      </c>
      <c r="E258" s="101" vm="8770">
        <f ca="1"/>
        <v>60.066099999999999</v>
      </c>
      <c r="F258" s="101" vm="8771">
        <f ca="1"/>
        <v>56.106099999999998</v>
      </c>
      <c r="G258" s="101" vm="8772">
        <f ca="1"/>
        <v>62.984699999999997</v>
      </c>
      <c r="H258" s="101" vm="8773">
        <f ca="1"/>
        <v>55.490099999999998</v>
      </c>
      <c r="I258" s="102" vm="8774">
        <f ca="1"/>
        <v>73989439</v>
      </c>
    </row>
    <row r="259" spans="4:9" x14ac:dyDescent="0.3">
      <c r="D259" s="100" vm="1470">
        <f ca="1"/>
        <v>43885</v>
      </c>
      <c r="E259" s="101" vm="8775">
        <f ca="1"/>
        <v>44.532200000000003</v>
      </c>
      <c r="F259" s="101" vm="8776">
        <f ca="1"/>
        <v>55.9328</v>
      </c>
      <c r="G259" s="101" vm="8777">
        <f ca="1"/>
        <v>57.566099999999999</v>
      </c>
      <c r="H259" s="101" vm="8778">
        <f ca="1"/>
        <v>40.767600000000002</v>
      </c>
      <c r="I259" s="102" vm="8779">
        <f ca="1"/>
        <v>94964298</v>
      </c>
    </row>
    <row r="260" spans="4:9" x14ac:dyDescent="0.3">
      <c r="D260" s="100" vm="1476">
        <f ca="1"/>
        <v>43892</v>
      </c>
      <c r="E260" s="101" vm="8780">
        <f ca="1"/>
        <v>46.898200000000003</v>
      </c>
      <c r="F260" s="101" vm="8781">
        <f ca="1"/>
        <v>47.416899999999998</v>
      </c>
      <c r="G260" s="101" vm="8782">
        <f ca="1"/>
        <v>53.798099999999998</v>
      </c>
      <c r="H260" s="101" vm="8783">
        <f ca="1"/>
        <v>45.6175</v>
      </c>
      <c r="I260" s="102" vm="8784">
        <f ca="1"/>
        <v>84405334</v>
      </c>
    </row>
    <row r="261" spans="4:9" x14ac:dyDescent="0.3">
      <c r="D261" s="100" vm="1482">
        <f ca="1"/>
        <v>43899</v>
      </c>
      <c r="E261" s="101" vm="8785">
        <f ca="1"/>
        <v>36.441000000000003</v>
      </c>
      <c r="F261" s="101" vm="8786">
        <f ca="1"/>
        <v>40.358899999999998</v>
      </c>
      <c r="G261" s="101" vm="8787">
        <f ca="1"/>
        <v>44.532899999999998</v>
      </c>
      <c r="H261" s="101" vm="8788">
        <f ca="1"/>
        <v>33.466299999999997</v>
      </c>
      <c r="I261" s="102" vm="8789">
        <f ca="1"/>
        <v>87451961</v>
      </c>
    </row>
    <row r="262" spans="4:9" x14ac:dyDescent="0.3">
      <c r="D262" s="100" vm="1488">
        <f ca="1"/>
        <v>43906</v>
      </c>
      <c r="E262" s="101" vm="8790">
        <f ca="1"/>
        <v>28.5017</v>
      </c>
      <c r="F262" s="101" vm="8791">
        <f ca="1"/>
        <v>31.299700000000001</v>
      </c>
      <c r="G262" s="101" vm="8792">
        <f ca="1"/>
        <v>32.991</v>
      </c>
      <c r="H262" s="101" vm="8463">
        <f ca="1"/>
        <v>23.367100000000001</v>
      </c>
      <c r="I262" s="102" vm="8793">
        <f ca="1"/>
        <v>126616110</v>
      </c>
    </row>
    <row r="263" spans="4:9" x14ac:dyDescent="0.3">
      <c r="D263" s="100" vm="1494">
        <f ca="1"/>
        <v>43913</v>
      </c>
      <c r="E263" s="101" vm="8794">
        <f ca="1"/>
        <v>34.290300000000002</v>
      </c>
      <c r="F263" s="101" vm="8795">
        <f ca="1"/>
        <v>28.906400000000001</v>
      </c>
      <c r="G263" s="101" vm="8796">
        <f ca="1"/>
        <v>37.332999999999998</v>
      </c>
      <c r="H263" s="101" vm="8797">
        <f ca="1"/>
        <v>27.366399999999999</v>
      </c>
      <c r="I263" s="102" vm="8798">
        <f ca="1"/>
        <v>92371954</v>
      </c>
    </row>
    <row r="264" spans="4:9" x14ac:dyDescent="0.3">
      <c r="D264" s="100" vm="1500">
        <f ca="1"/>
        <v>43920</v>
      </c>
      <c r="E264" s="101" vm="8799">
        <f ca="1"/>
        <v>32.000300000000003</v>
      </c>
      <c r="F264" s="101" vm="8800">
        <f ca="1"/>
        <v>34.017000000000003</v>
      </c>
      <c r="G264" s="101" vm="8801">
        <f ca="1"/>
        <v>36.197000000000003</v>
      </c>
      <c r="H264" s="101" vm="8802">
        <f ca="1"/>
        <v>29.759699999999999</v>
      </c>
      <c r="I264" s="102" vm="8803">
        <f ca="1"/>
        <v>85313847</v>
      </c>
    </row>
    <row r="265" spans="4:9" x14ac:dyDescent="0.3">
      <c r="D265" s="100" vm="1506">
        <f ca="1"/>
        <v>43927</v>
      </c>
      <c r="E265" s="101" vm="8804">
        <f ca="1"/>
        <v>38.199599999999997</v>
      </c>
      <c r="F265" s="101" vm="8805">
        <f ca="1"/>
        <v>34.079700000000003</v>
      </c>
      <c r="G265" s="101" vm="8806">
        <f ca="1"/>
        <v>38.345100000000002</v>
      </c>
      <c r="H265" s="101" vm="8807">
        <f ca="1"/>
        <v>33.197000000000003</v>
      </c>
      <c r="I265" s="102" vm="8808">
        <f ca="1"/>
        <v>59051028</v>
      </c>
    </row>
    <row r="266" spans="4:9" x14ac:dyDescent="0.3">
      <c r="D266" s="100" vm="1512">
        <f ca="1"/>
        <v>43934</v>
      </c>
      <c r="E266" s="101" vm="8809">
        <f ca="1"/>
        <v>50.258800000000001</v>
      </c>
      <c r="F266" s="101" vm="8810">
        <f ca="1"/>
        <v>39.343600000000002</v>
      </c>
      <c r="G266" s="101" vm="8811">
        <f ca="1"/>
        <v>51.662799999999997</v>
      </c>
      <c r="H266" s="101" vm="8812">
        <f ca="1"/>
        <v>38.701599999999999</v>
      </c>
      <c r="I266" s="102" vm="8813">
        <f ca="1"/>
        <v>109420132</v>
      </c>
    </row>
    <row r="267" spans="4:9" x14ac:dyDescent="0.3">
      <c r="D267" s="100" vm="1518">
        <f ca="1"/>
        <v>43941</v>
      </c>
      <c r="E267" s="101" vm="8814">
        <f ca="1"/>
        <v>48.342799999999997</v>
      </c>
      <c r="F267" s="101" vm="8815">
        <f ca="1"/>
        <v>48.846200000000003</v>
      </c>
      <c r="G267" s="101" vm="1210">
        <f ca="1"/>
        <v>51.037500000000001</v>
      </c>
      <c r="H267" s="101" vm="8816">
        <f ca="1"/>
        <v>44.918900000000001</v>
      </c>
      <c r="I267" s="102" vm="8817">
        <f ca="1"/>
        <v>74817054</v>
      </c>
    </row>
    <row r="268" spans="4:9" x14ac:dyDescent="0.3">
      <c r="D268" s="100" vm="1524">
        <f ca="1"/>
        <v>43948</v>
      </c>
      <c r="E268" s="101" vm="8818">
        <f ca="1"/>
        <v>46.754199999999997</v>
      </c>
      <c r="F268" s="101" vm="8819">
        <f ca="1"/>
        <v>49.173499999999997</v>
      </c>
      <c r="G268" s="101" vm="8820">
        <f ca="1"/>
        <v>57.987400000000001</v>
      </c>
      <c r="H268" s="101" vm="8821">
        <f ca="1"/>
        <v>45.535499999999999</v>
      </c>
      <c r="I268" s="102" vm="8822">
        <f ca="1"/>
        <v>113123049</v>
      </c>
    </row>
    <row r="269" spans="4:9" x14ac:dyDescent="0.3">
      <c r="D269" s="100" vm="1530">
        <f ca="1"/>
        <v>43955</v>
      </c>
      <c r="E269" s="101" vm="8823">
        <f ca="1"/>
        <v>54.627499999999998</v>
      </c>
      <c r="F269" s="101" vm="8824">
        <f ca="1"/>
        <v>46.732900000000001</v>
      </c>
      <c r="G269" s="101" vm="8825">
        <f ca="1"/>
        <v>54.9328</v>
      </c>
      <c r="H269" s="101" vm="8826">
        <f ca="1"/>
        <v>46.532899999999998</v>
      </c>
      <c r="I269" s="102" vm="8827">
        <f ca="1"/>
        <v>74776994</v>
      </c>
    </row>
    <row r="270" spans="4:9" x14ac:dyDescent="0.3">
      <c r="D270" s="100" vm="1536">
        <f ca="1"/>
        <v>43962</v>
      </c>
      <c r="E270" s="101" vm="8828">
        <f ca="1"/>
        <v>53.277500000000003</v>
      </c>
      <c r="F270" s="101" vm="8829">
        <f ca="1"/>
        <v>52.700099999999999</v>
      </c>
      <c r="G270" s="101" vm="8830">
        <f ca="1"/>
        <v>56.218800000000002</v>
      </c>
      <c r="H270" s="101" vm="8831">
        <f ca="1"/>
        <v>50.886200000000002</v>
      </c>
      <c r="I270" s="102" vm="8832">
        <f ca="1"/>
        <v>75496991</v>
      </c>
    </row>
    <row r="271" spans="4:9" x14ac:dyDescent="0.3">
      <c r="D271" s="100" vm="1542">
        <f ca="1"/>
        <v>43969</v>
      </c>
      <c r="E271" s="101" vm="8833">
        <f ca="1"/>
        <v>54.458100000000002</v>
      </c>
      <c r="F271" s="101" vm="8834">
        <f ca="1"/>
        <v>55.184800000000003</v>
      </c>
      <c r="G271" s="101" vm="8835">
        <f ca="1"/>
        <v>55.647500000000001</v>
      </c>
      <c r="H271" s="101" vm="8836">
        <f ca="1"/>
        <v>53.066099999999999</v>
      </c>
      <c r="I271" s="102" vm="8837">
        <f ca="1"/>
        <v>50762522</v>
      </c>
    </row>
    <row r="272" spans="4:9" x14ac:dyDescent="0.3">
      <c r="D272" s="100" vm="1548">
        <f ca="1"/>
        <v>43977</v>
      </c>
      <c r="E272" s="101" vm="8838">
        <f ca="1"/>
        <v>55.6661</v>
      </c>
      <c r="F272" s="101" vm="8839">
        <f ca="1"/>
        <v>55.632800000000003</v>
      </c>
      <c r="G272" s="101" vm="8838">
        <f ca="1"/>
        <v>55.6661</v>
      </c>
      <c r="H272" s="101" vm="8840">
        <f ca="1"/>
        <v>52.332799999999999</v>
      </c>
      <c r="I272" s="102" vm="8841">
        <f ca="1"/>
        <v>38300743</v>
      </c>
    </row>
    <row r="273" spans="4:9" x14ac:dyDescent="0.3">
      <c r="D273" s="100" vm="1554">
        <f ca="1"/>
        <v>43983</v>
      </c>
      <c r="E273" s="101" vm="8842">
        <f ca="1"/>
        <v>59.043399999999998</v>
      </c>
      <c r="F273" s="101" vm="8843">
        <f ca="1"/>
        <v>57.199399999999997</v>
      </c>
      <c r="G273" s="101" vm="8844">
        <f ca="1"/>
        <v>60.576700000000002</v>
      </c>
      <c r="H273" s="101" vm="8845">
        <f ca="1"/>
        <v>56.939399999999999</v>
      </c>
      <c r="I273" s="102" vm="8846">
        <f ca="1"/>
        <v>53171974</v>
      </c>
    </row>
    <row r="274" spans="4:9" x14ac:dyDescent="0.3">
      <c r="D274" s="100" vm="1560">
        <f ca="1"/>
        <v>43990</v>
      </c>
      <c r="E274" s="101" vm="8847">
        <f ca="1"/>
        <v>62.351399999999998</v>
      </c>
      <c r="F274" s="101" vm="8848">
        <f ca="1"/>
        <v>61.266100000000002</v>
      </c>
      <c r="G274" s="101" vm="8849">
        <f ca="1"/>
        <v>68.498000000000005</v>
      </c>
      <c r="H274" s="101" vm="8850">
        <f ca="1"/>
        <v>60.610100000000003</v>
      </c>
      <c r="I274" s="102" vm="8851">
        <f ca="1"/>
        <v>75767915</v>
      </c>
    </row>
    <row r="275" spans="4:9" x14ac:dyDescent="0.3">
      <c r="D275" s="100" vm="1566">
        <f ca="1"/>
        <v>43997</v>
      </c>
      <c r="E275" s="101" vm="8852">
        <f ca="1"/>
        <v>66.725999999999999</v>
      </c>
      <c r="F275" s="101" vm="8853">
        <f ca="1"/>
        <v>61.185400000000001</v>
      </c>
      <c r="G275" s="101" vm="8854">
        <f ca="1"/>
        <v>67.945999999999998</v>
      </c>
      <c r="H275" s="101" vm="8855">
        <f ca="1"/>
        <v>60.566099999999999</v>
      </c>
      <c r="I275" s="102" vm="8856">
        <f ca="1"/>
        <v>57674813</v>
      </c>
    </row>
    <row r="276" spans="4:9" x14ac:dyDescent="0.3">
      <c r="D276" s="100" vm="1572">
        <f ca="1"/>
        <v>44004</v>
      </c>
      <c r="E276" s="101" vm="8857">
        <f ca="1"/>
        <v>63.981999999999999</v>
      </c>
      <c r="F276" s="101" vm="8858">
        <f ca="1"/>
        <v>66.662700000000001</v>
      </c>
      <c r="G276" s="101" vm="8859">
        <f ca="1"/>
        <v>67.465999999999994</v>
      </c>
      <c r="H276" s="101" vm="8860">
        <f ca="1"/>
        <v>62.475999999999999</v>
      </c>
      <c r="I276" s="102" vm="8861">
        <f ca="1"/>
        <v>41507220</v>
      </c>
    </row>
    <row r="277" spans="4:9" x14ac:dyDescent="0.3">
      <c r="D277" s="100" vm="1578">
        <f ca="1"/>
        <v>44011</v>
      </c>
      <c r="E277" s="101" vm="8862">
        <f ca="1"/>
        <v>80.576499999999996</v>
      </c>
      <c r="F277" s="101" vm="8863">
        <f ca="1"/>
        <v>64.599999999999994</v>
      </c>
      <c r="G277" s="101" vm="8864">
        <f ca="1"/>
        <v>81.865799999999993</v>
      </c>
      <c r="H277" s="101" vm="8865">
        <f ca="1"/>
        <v>63.234000000000002</v>
      </c>
      <c r="I277" s="102" vm="8866">
        <f ca="1"/>
        <v>56454873</v>
      </c>
    </row>
    <row r="278" spans="4:9" x14ac:dyDescent="0.3">
      <c r="D278" s="100" vm="1584">
        <f ca="1"/>
        <v>44018</v>
      </c>
      <c r="E278" s="101" vm="8867">
        <f ca="1"/>
        <v>102.9756</v>
      </c>
      <c r="F278" s="101" vm="8868">
        <f ca="1"/>
        <v>85.111800000000002</v>
      </c>
      <c r="G278" s="101" vm="8869">
        <f ca="1"/>
        <v>103.26</v>
      </c>
      <c r="H278" s="101" vm="8870">
        <f ca="1"/>
        <v>84.402100000000004</v>
      </c>
      <c r="I278" s="102" vm="8871">
        <f ca="1"/>
        <v>92252432</v>
      </c>
    </row>
    <row r="279" spans="4:9" x14ac:dyDescent="0.3">
      <c r="D279" s="100" vm="1590">
        <f ca="1"/>
        <v>44025</v>
      </c>
      <c r="E279" s="101" vm="8872">
        <f ca="1"/>
        <v>100.05500000000001</v>
      </c>
      <c r="F279" s="101" vm="8873">
        <f ca="1"/>
        <v>110.5989</v>
      </c>
      <c r="G279" s="101" vm="8874">
        <f ca="1"/>
        <v>119.6648</v>
      </c>
      <c r="H279" s="101" vm="8875">
        <f ca="1"/>
        <v>95.399000000000001</v>
      </c>
      <c r="I279" s="102" vm="8876">
        <f ca="1"/>
        <v>102296095</v>
      </c>
    </row>
    <row r="280" spans="4:9" x14ac:dyDescent="0.3">
      <c r="D280" s="100" vm="1596">
        <f ca="1"/>
        <v>44032</v>
      </c>
      <c r="E280" s="101" vm="8877">
        <f ca="1"/>
        <v>94.465699999999998</v>
      </c>
      <c r="F280" s="101" vm="8878">
        <f ca="1"/>
        <v>101.2663</v>
      </c>
      <c r="G280" s="101" vm="8879">
        <f ca="1"/>
        <v>112.5989</v>
      </c>
      <c r="H280" s="101" vm="8880">
        <f ca="1"/>
        <v>91.101799999999997</v>
      </c>
      <c r="I280" s="102" vm="8881">
        <f ca="1"/>
        <v>90582247</v>
      </c>
    </row>
    <row r="281" spans="4:9" x14ac:dyDescent="0.3">
      <c r="D281" s="100" vm="1602">
        <f ca="1"/>
        <v>44039</v>
      </c>
      <c r="E281" s="101" vm="8882">
        <f ca="1"/>
        <v>95.382999999999996</v>
      </c>
      <c r="F281" s="101" vm="8883">
        <f ca="1"/>
        <v>95.665700000000001</v>
      </c>
      <c r="G281" s="101" vm="8884">
        <f ca="1"/>
        <v>104.31229999999999</v>
      </c>
      <c r="H281" s="101" vm="8885">
        <f ca="1"/>
        <v>94.199100000000001</v>
      </c>
      <c r="I281" s="102" vm="8886">
        <f ca="1"/>
        <v>60818109</v>
      </c>
    </row>
    <row r="282" spans="4:9" x14ac:dyDescent="0.3">
      <c r="D282" s="100" vm="1608">
        <f ca="1"/>
        <v>44046</v>
      </c>
      <c r="E282" s="101" vm="8887">
        <f ca="1"/>
        <v>96.846400000000003</v>
      </c>
      <c r="F282" s="101" vm="8888">
        <f ca="1"/>
        <v>96.612399999999994</v>
      </c>
      <c r="G282" s="101" vm="8889">
        <f ca="1"/>
        <v>101.8263</v>
      </c>
      <c r="H282" s="101" vm="8890">
        <f ca="1"/>
        <v>94.333100000000002</v>
      </c>
      <c r="I282" s="102" vm="8891">
        <f ca="1"/>
        <v>36874002</v>
      </c>
    </row>
    <row r="283" spans="4:9" x14ac:dyDescent="0.3">
      <c r="D283" s="100" vm="1614">
        <f ca="1"/>
        <v>44053</v>
      </c>
      <c r="E283" s="101" vm="8892">
        <f ca="1"/>
        <v>110.0462</v>
      </c>
      <c r="F283" s="101" vm="8893">
        <f ca="1"/>
        <v>96.532399999999996</v>
      </c>
      <c r="G283" s="101" vm="8894">
        <f ca="1"/>
        <v>111.2522</v>
      </c>
      <c r="H283" s="101" vm="8895">
        <f ca="1"/>
        <v>90.999099999999999</v>
      </c>
      <c r="I283" s="102" vm="8896">
        <f ca="1"/>
        <v>70934061</v>
      </c>
    </row>
    <row r="284" spans="4:9" x14ac:dyDescent="0.3">
      <c r="D284" s="100" vm="1620">
        <f ca="1"/>
        <v>44060</v>
      </c>
      <c r="E284" s="101" vm="8897">
        <f ca="1"/>
        <v>136.66399999999999</v>
      </c>
      <c r="F284" s="101" vm="8898">
        <f ca="1"/>
        <v>111.7989</v>
      </c>
      <c r="G284" s="101" vm="8899">
        <f ca="1"/>
        <v>139.6979</v>
      </c>
      <c r="H284" s="101" vm="8900">
        <f ca="1"/>
        <v>111.5209</v>
      </c>
      <c r="I284" s="102" vm="8901">
        <f ca="1"/>
        <v>90930028</v>
      </c>
    </row>
    <row r="285" spans="4:9" x14ac:dyDescent="0.3">
      <c r="D285" s="100" vm="1626">
        <f ca="1"/>
        <v>44067</v>
      </c>
      <c r="E285" s="101" vm="8902">
        <f ca="1"/>
        <v>147.55850000000001</v>
      </c>
      <c r="F285" s="101" vm="8903">
        <f ca="1"/>
        <v>141.75020000000001</v>
      </c>
      <c r="G285" s="101" vm="8904">
        <f ca="1"/>
        <v>154.56450000000001</v>
      </c>
      <c r="H285" s="101" vm="8905">
        <f ca="1"/>
        <v>128.5</v>
      </c>
      <c r="I285" s="102" vm="8906">
        <f ca="1"/>
        <v>88380423</v>
      </c>
    </row>
    <row r="286" spans="4:9" x14ac:dyDescent="0.3">
      <c r="D286" s="100" vm="1632">
        <f ca="1"/>
        <v>44074</v>
      </c>
      <c r="E286" s="101" vm="8907">
        <f ca="1"/>
        <v>139.43860000000001</v>
      </c>
      <c r="F286" s="101" vm="8908">
        <f ca="1"/>
        <v>148.20189999999999</v>
      </c>
      <c r="G286" s="101" vm="8909">
        <f ca="1"/>
        <v>167.495</v>
      </c>
      <c r="H286" s="101" vm="8910">
        <f ca="1"/>
        <v>124.0055</v>
      </c>
      <c r="I286" s="102" vm="8911">
        <f ca="1"/>
        <v>502587924</v>
      </c>
    </row>
    <row r="287" spans="4:9" x14ac:dyDescent="0.3">
      <c r="D287" s="100" vm="1638">
        <f ca="1"/>
        <v>44082</v>
      </c>
      <c r="E287" s="101" vm="8912">
        <f ca="1"/>
        <v>124.2388</v>
      </c>
      <c r="F287" s="101" vm="8913">
        <f ca="1"/>
        <v>118.66549999999999</v>
      </c>
      <c r="G287" s="101" vm="8914">
        <f ca="1"/>
        <v>132.99529999999999</v>
      </c>
      <c r="H287" s="101" vm="8915">
        <f ca="1"/>
        <v>109.9589</v>
      </c>
      <c r="I287" s="102" vm="8916">
        <f ca="1"/>
        <v>337655285</v>
      </c>
    </row>
    <row r="288" spans="4:9" x14ac:dyDescent="0.3">
      <c r="D288" s="100" vm="1644">
        <f ca="1"/>
        <v>44088</v>
      </c>
      <c r="E288" s="101" vm="8917">
        <f ca="1"/>
        <v>147.3819</v>
      </c>
      <c r="F288" s="101" vm="8918">
        <f ca="1"/>
        <v>126.9821</v>
      </c>
      <c r="G288" s="101" vm="8919">
        <f ca="1"/>
        <v>153.9785</v>
      </c>
      <c r="H288" s="101" vm="8920">
        <f ca="1"/>
        <v>124.43210000000001</v>
      </c>
      <c r="I288" s="102" vm="8921">
        <f ca="1"/>
        <v>413043290</v>
      </c>
    </row>
    <row r="289" spans="4:9" x14ac:dyDescent="0.3">
      <c r="D289" s="100" vm="1650">
        <f ca="1"/>
        <v>44095</v>
      </c>
      <c r="E289" s="101" vm="8922">
        <f ca="1"/>
        <v>135.77860000000001</v>
      </c>
      <c r="F289" s="101" vm="8923">
        <f ca="1"/>
        <v>151.04179999999999</v>
      </c>
      <c r="G289" s="101" vm="8924">
        <f ca="1"/>
        <v>151.89179999999999</v>
      </c>
      <c r="H289" s="101" vm="8925">
        <f ca="1"/>
        <v>117.0988</v>
      </c>
      <c r="I289" s="102" vm="8926">
        <f ca="1"/>
        <v>437082777</v>
      </c>
    </row>
    <row r="290" spans="4:9" x14ac:dyDescent="0.3">
      <c r="D290" s="100" vm="1656">
        <f ca="1"/>
        <v>44102</v>
      </c>
      <c r="E290" s="101" vm="8927">
        <f ca="1"/>
        <v>138.36189999999999</v>
      </c>
      <c r="F290" s="101" vm="8928">
        <f ca="1"/>
        <v>141.5386</v>
      </c>
      <c r="G290" s="101" vm="8929">
        <f ca="1"/>
        <v>149.62520000000001</v>
      </c>
      <c r="H290" s="101" vm="8930">
        <f ca="1"/>
        <v>137.1986</v>
      </c>
      <c r="I290" s="102" vm="8931">
        <f ca="1"/>
        <v>267202496</v>
      </c>
    </row>
    <row r="291" spans="4:9" x14ac:dyDescent="0.3">
      <c r="D291" s="100" vm="1662">
        <f ca="1"/>
        <v>44109</v>
      </c>
      <c r="E291" s="101" vm="8932">
        <f ca="1"/>
        <v>144.6652</v>
      </c>
      <c r="F291" s="101" vm="8933">
        <f ca="1"/>
        <v>141.11529999999999</v>
      </c>
      <c r="G291" s="101" vm="8934">
        <f ca="1"/>
        <v>146.33189999999999</v>
      </c>
      <c r="H291" s="101" vm="8935">
        <f ca="1"/>
        <v>135.3486</v>
      </c>
      <c r="I291" s="102" vm="8936">
        <f ca="1"/>
        <v>204462829</v>
      </c>
    </row>
    <row r="292" spans="4:9" x14ac:dyDescent="0.3">
      <c r="D292" s="100" vm="1668">
        <f ca="1"/>
        <v>44116</v>
      </c>
      <c r="E292" s="101" vm="8937">
        <f ca="1"/>
        <v>146.55520000000001</v>
      </c>
      <c r="F292" s="101" vm="8938">
        <f ca="1"/>
        <v>147.33189999999999</v>
      </c>
      <c r="G292" s="101" vm="8939">
        <f ca="1"/>
        <v>155.29839999999999</v>
      </c>
      <c r="H292" s="101" vm="8940">
        <f ca="1"/>
        <v>145.53190000000001</v>
      </c>
      <c r="I292" s="102" vm="8941">
        <f ca="1"/>
        <v>187943090</v>
      </c>
    </row>
    <row r="293" spans="4:9" x14ac:dyDescent="0.3">
      <c r="D293" s="100" vm="1674">
        <f ca="1"/>
        <v>44123</v>
      </c>
      <c r="E293" s="101" vm="8942">
        <f ca="1"/>
        <v>140.20859999999999</v>
      </c>
      <c r="F293" s="101" vm="8943">
        <f ca="1"/>
        <v>148.74520000000001</v>
      </c>
      <c r="G293" s="101" vm="8944">
        <f ca="1"/>
        <v>148.99850000000001</v>
      </c>
      <c r="H293" s="101" vm="8945">
        <f ca="1"/>
        <v>135.792</v>
      </c>
      <c r="I293" s="102" vm="8946">
        <f ca="1"/>
        <v>168928962</v>
      </c>
    </row>
    <row r="294" spans="4:9" x14ac:dyDescent="0.3">
      <c r="D294" s="100" vm="1680">
        <f ca="1"/>
        <v>44130</v>
      </c>
      <c r="E294" s="101" vm="8947">
        <f ca="1"/>
        <v>129.34540000000001</v>
      </c>
      <c r="F294" s="101" vm="8948">
        <f ca="1"/>
        <v>137.20859999999999</v>
      </c>
      <c r="G294" s="101" vm="8949">
        <f ca="1"/>
        <v>143.49860000000001</v>
      </c>
      <c r="H294" s="101" vm="8950">
        <f ca="1"/>
        <v>126.3687</v>
      </c>
      <c r="I294" s="102" vm="8951">
        <f ca="1"/>
        <v>141368069</v>
      </c>
    </row>
    <row r="295" spans="4:9" x14ac:dyDescent="0.3">
      <c r="D295" s="100" vm="1686">
        <f ca="1"/>
        <v>44137</v>
      </c>
      <c r="E295" s="101" vm="8952">
        <f ca="1"/>
        <v>143.3152</v>
      </c>
      <c r="F295" s="101" vm="8953">
        <f ca="1"/>
        <v>131.33199999999999</v>
      </c>
      <c r="G295" s="101" vm="8954">
        <f ca="1"/>
        <v>146.6652</v>
      </c>
      <c r="H295" s="101" vm="8955">
        <f ca="1"/>
        <v>130.7654</v>
      </c>
      <c r="I295" s="102" vm="8956">
        <f ca="1"/>
        <v>144243126</v>
      </c>
    </row>
    <row r="296" spans="4:9" x14ac:dyDescent="0.3">
      <c r="D296" s="100" vm="1692">
        <f ca="1"/>
        <v>44144</v>
      </c>
      <c r="E296" s="101" vm="8957">
        <f ca="1"/>
        <v>136.1653</v>
      </c>
      <c r="F296" s="101" vm="8958">
        <f ca="1"/>
        <v>146.49850000000001</v>
      </c>
      <c r="G296" s="101" vm="8959">
        <f ca="1"/>
        <v>150.83179999999999</v>
      </c>
      <c r="H296" s="101" vm="8960">
        <f ca="1"/>
        <v>132.0087</v>
      </c>
      <c r="I296" s="102" vm="8961">
        <f ca="1"/>
        <v>121930620</v>
      </c>
    </row>
    <row r="297" spans="4:9" x14ac:dyDescent="0.3">
      <c r="D297" s="100" vm="1697">
        <f ca="1"/>
        <v>44151</v>
      </c>
      <c r="E297" s="101" vm="8962">
        <f ca="1"/>
        <v>163.20169999999999</v>
      </c>
      <c r="F297" s="101" vm="8963">
        <f ca="1"/>
        <v>136.30860000000001</v>
      </c>
      <c r="G297" s="101" vm="8964">
        <f ca="1"/>
        <v>169.53540000000001</v>
      </c>
      <c r="H297" s="101" vm="8965">
        <f ca="1"/>
        <v>134.6943</v>
      </c>
      <c r="I297" s="102" vm="8966">
        <f ca="1"/>
        <v>252416180</v>
      </c>
    </row>
    <row r="298" spans="4:9" x14ac:dyDescent="0.3">
      <c r="D298" s="100" vm="1703">
        <f ca="1"/>
        <v>44158</v>
      </c>
      <c r="E298" s="101" vm="8967">
        <f ca="1"/>
        <v>195.25139999999999</v>
      </c>
      <c r="F298" s="101" vm="8968">
        <f ca="1"/>
        <v>167.83170000000001</v>
      </c>
      <c r="G298" s="101" vm="8969">
        <f ca="1"/>
        <v>199.59129999999999</v>
      </c>
      <c r="H298" s="101" vm="8970">
        <f ca="1"/>
        <v>167.26169999999999</v>
      </c>
      <c r="I298" s="102" vm="8971">
        <f ca="1"/>
        <v>188776353</v>
      </c>
    </row>
    <row r="299" spans="4:9" x14ac:dyDescent="0.3">
      <c r="D299" s="100" vm="1709">
        <f ca="1"/>
        <v>44165</v>
      </c>
      <c r="E299" s="101" vm="8972">
        <f ca="1"/>
        <v>199.678</v>
      </c>
      <c r="F299" s="101" vm="8973">
        <f ca="1"/>
        <v>200.7347</v>
      </c>
      <c r="G299" s="101" vm="8974">
        <f ca="1"/>
        <v>202.59800000000001</v>
      </c>
      <c r="H299" s="101" vm="8975">
        <f ca="1"/>
        <v>180.4015</v>
      </c>
      <c r="I299" s="102" vm="8976">
        <f ca="1"/>
        <v>220449954</v>
      </c>
    </row>
    <row r="300" spans="4:9" x14ac:dyDescent="0.3">
      <c r="D300" s="100" vm="1713">
        <f ca="1"/>
        <v>44172</v>
      </c>
      <c r="E300" s="101" vm="8977">
        <f ca="1"/>
        <v>203.328</v>
      </c>
      <c r="F300" s="101" vm="8978">
        <f ca="1"/>
        <v>201.6379</v>
      </c>
      <c r="G300" s="101" vm="8979">
        <f ca="1"/>
        <v>218.1045</v>
      </c>
      <c r="H300" s="101" vm="8980">
        <f ca="1"/>
        <v>188.77809999999999</v>
      </c>
      <c r="I300" s="102" vm="8981">
        <f ca="1"/>
        <v>304140213</v>
      </c>
    </row>
    <row r="301" spans="4:9" x14ac:dyDescent="0.3">
      <c r="D301" s="100" vm="1719">
        <f ca="1"/>
        <v>44179</v>
      </c>
      <c r="E301" s="101" vm="8982">
        <f ca="1"/>
        <v>231.6644</v>
      </c>
      <c r="F301" s="101" vm="8983">
        <f ca="1"/>
        <v>206.3313</v>
      </c>
      <c r="G301" s="101" vm="8982">
        <f ca="1"/>
        <v>231.6644</v>
      </c>
      <c r="H301" s="101" vm="8984">
        <f ca="1"/>
        <v>201.66470000000001</v>
      </c>
      <c r="I301" s="102" vm="8985">
        <f ca="1"/>
        <v>417184591</v>
      </c>
    </row>
    <row r="302" spans="4:9" x14ac:dyDescent="0.3">
      <c r="D302" s="100" vm="1725">
        <f ca="1"/>
        <v>44186</v>
      </c>
      <c r="E302" s="101" vm="8986">
        <f ca="1"/>
        <v>220.58779999999999</v>
      </c>
      <c r="F302" s="101" vm="8987">
        <f ca="1"/>
        <v>222.0778</v>
      </c>
      <c r="G302" s="101" vm="8988">
        <f ca="1"/>
        <v>222.83109999999999</v>
      </c>
      <c r="H302" s="101" vm="8989">
        <f ca="1"/>
        <v>204.7413</v>
      </c>
      <c r="I302" s="102" vm="8990">
        <f ca="1"/>
        <v>165616195</v>
      </c>
    </row>
    <row r="303" spans="4:9" x14ac:dyDescent="0.3">
      <c r="D303" s="100" vm="1731">
        <f ca="1"/>
        <v>44193</v>
      </c>
      <c r="E303" s="101" vm="8991">
        <f ca="1"/>
        <v>235.221</v>
      </c>
      <c r="F303" s="101" vm="8992">
        <f ca="1"/>
        <v>224.83439999999999</v>
      </c>
      <c r="G303" s="101" vm="8993">
        <f ca="1"/>
        <v>239.57089999999999</v>
      </c>
      <c r="H303" s="101" vm="8994">
        <f ca="1"/>
        <v>218.3312</v>
      </c>
      <c r="I303" s="102" vm="8995">
        <f ca="1"/>
        <v>145859145</v>
      </c>
    </row>
    <row r="304" spans="4:9" x14ac:dyDescent="0.3">
      <c r="D304" s="100" vm="1737">
        <f ca="1"/>
        <v>44200</v>
      </c>
      <c r="E304" s="101" vm="8996">
        <f ca="1"/>
        <v>293.33710000000002</v>
      </c>
      <c r="F304" s="101" vm="8997">
        <f ca="1"/>
        <v>239.8176</v>
      </c>
      <c r="G304" s="101" vm="8998">
        <f ca="1"/>
        <v>294.82709999999997</v>
      </c>
      <c r="H304" s="101" vm="8999">
        <f ca="1"/>
        <v>239.0608</v>
      </c>
      <c r="I304" s="102" vm="9000">
        <f ca="1"/>
        <v>251440960</v>
      </c>
    </row>
    <row r="305" spans="4:9" x14ac:dyDescent="0.3">
      <c r="D305" s="100" vm="1743">
        <f ca="1"/>
        <v>44207</v>
      </c>
      <c r="E305" s="101" vm="9001">
        <f ca="1"/>
        <v>275.38389999999998</v>
      </c>
      <c r="F305" s="101" vm="9002">
        <f ca="1"/>
        <v>283.13049999999998</v>
      </c>
      <c r="G305" s="101" vm="9003">
        <f ca="1"/>
        <v>289.3304</v>
      </c>
      <c r="H305" s="101" vm="9004">
        <f ca="1"/>
        <v>267.87139999999999</v>
      </c>
      <c r="I305" s="102" vm="9005">
        <f ca="1"/>
        <v>209181285</v>
      </c>
    </row>
    <row r="306" spans="4:9" x14ac:dyDescent="0.3">
      <c r="D306" s="100" vm="1749">
        <f ca="1"/>
        <v>44215</v>
      </c>
      <c r="E306" s="101" vm="9006">
        <f ca="1"/>
        <v>282.21050000000002</v>
      </c>
      <c r="F306" s="101" vm="9007">
        <f ca="1"/>
        <v>279.26389999999998</v>
      </c>
      <c r="G306" s="101" vm="9008">
        <f ca="1"/>
        <v>286.49709999999999</v>
      </c>
      <c r="H306" s="101" vm="9009">
        <f ca="1"/>
        <v>276.20389999999998</v>
      </c>
      <c r="I306" s="102" vm="9010">
        <f ca="1"/>
        <v>91697493</v>
      </c>
    </row>
    <row r="307" spans="4:9" x14ac:dyDescent="0.3">
      <c r="D307" s="100" vm="1755">
        <f ca="1"/>
        <v>44221</v>
      </c>
      <c r="E307" s="101" vm="9011">
        <f ca="1"/>
        <v>264.50740000000002</v>
      </c>
      <c r="F307" s="101" vm="9012">
        <f ca="1"/>
        <v>284.99720000000002</v>
      </c>
      <c r="G307" s="101" vm="9013">
        <f ca="1"/>
        <v>300.13029999999998</v>
      </c>
      <c r="H307" s="101" vm="9014">
        <f ca="1"/>
        <v>260.03070000000002</v>
      </c>
      <c r="I307" s="102" vm="9015">
        <f ca="1"/>
        <v>153007757</v>
      </c>
    </row>
    <row r="308" spans="4:9" x14ac:dyDescent="0.3">
      <c r="D308" s="100" vm="1761">
        <f ca="1"/>
        <v>44228</v>
      </c>
      <c r="E308" s="101" vm="9016">
        <f ca="1"/>
        <v>284.07380000000001</v>
      </c>
      <c r="F308" s="101" vm="9017">
        <f ca="1"/>
        <v>271.4273</v>
      </c>
      <c r="G308" s="101" vm="9018">
        <f ca="1"/>
        <v>293.49709999999999</v>
      </c>
      <c r="H308" s="101" vm="9019">
        <f ca="1"/>
        <v>265.18400000000003</v>
      </c>
      <c r="I308" s="102" vm="9020">
        <f ca="1"/>
        <v>102460406</v>
      </c>
    </row>
    <row r="309" spans="4:9" x14ac:dyDescent="0.3">
      <c r="D309" s="100" vm="1767">
        <f ca="1"/>
        <v>44235</v>
      </c>
      <c r="E309" s="101" vm="9021">
        <f ca="1"/>
        <v>272.03730000000002</v>
      </c>
      <c r="F309" s="101" vm="9022">
        <f ca="1"/>
        <v>289.88709999999998</v>
      </c>
      <c r="G309" s="101" vm="9023">
        <f ca="1"/>
        <v>292.58710000000002</v>
      </c>
      <c r="H309" s="101" vm="9024">
        <f ca="1"/>
        <v>261.77420000000001</v>
      </c>
      <c r="I309" s="102" vm="9025">
        <f ca="1"/>
        <v>116926526</v>
      </c>
    </row>
    <row r="310" spans="4:9" x14ac:dyDescent="0.3">
      <c r="D310" s="100" vm="1773">
        <f ca="1"/>
        <v>44243</v>
      </c>
      <c r="E310" s="101" vm="9026">
        <f ca="1"/>
        <v>260.4307</v>
      </c>
      <c r="F310" s="101" vm="9027">
        <f ca="1"/>
        <v>272.66390000000001</v>
      </c>
      <c r="G310" s="101" vm="9028">
        <f ca="1"/>
        <v>273.66390000000001</v>
      </c>
      <c r="H310" s="101" vm="9029">
        <f ca="1"/>
        <v>254.0008</v>
      </c>
      <c r="I310" s="102" vm="9030">
        <f ca="1"/>
        <v>82796535</v>
      </c>
    </row>
    <row r="311" spans="4:9" x14ac:dyDescent="0.3">
      <c r="D311" s="100" vm="1779">
        <f ca="1"/>
        <v>44249</v>
      </c>
      <c r="E311" s="101" vm="9031">
        <f ca="1"/>
        <v>225.1644</v>
      </c>
      <c r="F311" s="101" vm="9032">
        <f ca="1"/>
        <v>254.21080000000001</v>
      </c>
      <c r="G311" s="101" vm="9033">
        <f ca="1"/>
        <v>256.16410000000002</v>
      </c>
      <c r="H311" s="101" vm="8983">
        <f ca="1"/>
        <v>206.3313</v>
      </c>
      <c r="I311" s="102" vm="9034">
        <f ca="1"/>
        <v>220756576</v>
      </c>
    </row>
    <row r="312" spans="4:9" x14ac:dyDescent="0.3">
      <c r="D312" s="100" vm="1785">
        <f ca="1"/>
        <v>44256</v>
      </c>
      <c r="E312" s="101" vm="9035">
        <f ca="1"/>
        <v>199.31469999999999</v>
      </c>
      <c r="F312" s="101" vm="9036">
        <f ca="1"/>
        <v>230.03440000000001</v>
      </c>
      <c r="G312" s="101" vm="9037">
        <f ca="1"/>
        <v>240.36760000000001</v>
      </c>
      <c r="H312" s="101" vm="9038">
        <f ca="1"/>
        <v>179.82820000000001</v>
      </c>
      <c r="I312" s="102" vm="9039">
        <f ca="1"/>
        <v>236392226</v>
      </c>
    </row>
    <row r="313" spans="4:9" x14ac:dyDescent="0.3">
      <c r="D313" s="100" vm="1791">
        <f ca="1"/>
        <v>44263</v>
      </c>
      <c r="E313" s="101" vm="9040">
        <f ca="1"/>
        <v>231.24100000000001</v>
      </c>
      <c r="F313" s="101" vm="9041">
        <f ca="1"/>
        <v>200.18129999999999</v>
      </c>
      <c r="G313" s="101" vm="9042">
        <f ca="1"/>
        <v>239.2809</v>
      </c>
      <c r="H313" s="101" vm="9043">
        <f ca="1"/>
        <v>186.26150000000001</v>
      </c>
      <c r="I313" s="102" vm="9044">
        <f ca="1"/>
        <v>249753690</v>
      </c>
    </row>
    <row r="314" spans="4:9" x14ac:dyDescent="0.3">
      <c r="D314" s="100" vm="1797">
        <f ca="1"/>
        <v>44270</v>
      </c>
      <c r="E314" s="101" vm="9045">
        <f ca="1"/>
        <v>218.2878</v>
      </c>
      <c r="F314" s="101" vm="9046">
        <f ca="1"/>
        <v>231.36099999999999</v>
      </c>
      <c r="G314" s="101" vm="9047">
        <f ca="1"/>
        <v>237.7243</v>
      </c>
      <c r="H314" s="101" vm="9048">
        <f ca="1"/>
        <v>208.2046</v>
      </c>
      <c r="I314" s="102" vm="9049">
        <f ca="1"/>
        <v>178254604</v>
      </c>
    </row>
    <row r="315" spans="4:9" x14ac:dyDescent="0.3">
      <c r="D315" s="100" vm="1803">
        <f ca="1"/>
        <v>44277</v>
      </c>
      <c r="E315" s="101" vm="9050">
        <f ca="1"/>
        <v>206.2346</v>
      </c>
      <c r="F315" s="101" vm="9051">
        <f ca="1"/>
        <v>228.1944</v>
      </c>
      <c r="G315" s="101" vm="9052">
        <f ca="1"/>
        <v>233.20429999999999</v>
      </c>
      <c r="H315" s="101" vm="9053">
        <f ca="1"/>
        <v>199.96129999999999</v>
      </c>
      <c r="I315" s="102" vm="9054">
        <f ca="1"/>
        <v>176876942</v>
      </c>
    </row>
    <row r="316" spans="4:9" x14ac:dyDescent="0.3">
      <c r="D316" s="100" vm="1808">
        <f ca="1"/>
        <v>44284</v>
      </c>
      <c r="E316" s="101" vm="9055">
        <f ca="1"/>
        <v>220.58109999999999</v>
      </c>
      <c r="F316" s="101" vm="9056">
        <f ca="1"/>
        <v>205.21129999999999</v>
      </c>
      <c r="G316" s="101" vm="9057">
        <f ca="1"/>
        <v>230.80449999999999</v>
      </c>
      <c r="H316" s="101" vm="9058">
        <f ca="1"/>
        <v>197.00139999999999</v>
      </c>
      <c r="I316" s="102" vm="9059">
        <f ca="1"/>
        <v>136705010</v>
      </c>
    </row>
    <row r="317" spans="4:9" x14ac:dyDescent="0.3">
      <c r="D317" s="100" vm="1814">
        <f ca="1"/>
        <v>44291</v>
      </c>
      <c r="E317" s="101" vm="9060">
        <f ca="1"/>
        <v>225.6711</v>
      </c>
      <c r="F317" s="101" vm="9061">
        <f ca="1"/>
        <v>235.90100000000001</v>
      </c>
      <c r="G317" s="101" vm="9062">
        <f ca="1"/>
        <v>236.05099999999999</v>
      </c>
      <c r="H317" s="101" vm="9063">
        <f ca="1"/>
        <v>222.61109999999999</v>
      </c>
      <c r="I317" s="102" vm="9064">
        <f ca="1"/>
        <v>141785455</v>
      </c>
    </row>
    <row r="318" spans="4:9" x14ac:dyDescent="0.3">
      <c r="D318" s="100" vm="1820">
        <f ca="1"/>
        <v>44298</v>
      </c>
      <c r="E318" s="101" vm="9065">
        <f ca="1"/>
        <v>246.5909</v>
      </c>
      <c r="F318" s="101" vm="9066">
        <f ca="1"/>
        <v>228.56440000000001</v>
      </c>
      <c r="G318" s="101" vm="9067">
        <f ca="1"/>
        <v>260.26069999999999</v>
      </c>
      <c r="H318" s="101" vm="9068">
        <f ca="1"/>
        <v>227.36109999999999</v>
      </c>
      <c r="I318" s="102" vm="9069">
        <f ca="1"/>
        <v>178486575</v>
      </c>
    </row>
    <row r="319" spans="4:9" x14ac:dyDescent="0.3">
      <c r="D319" s="100" vm="1826">
        <f ca="1"/>
        <v>44305</v>
      </c>
      <c r="E319" s="101" vm="9070">
        <f ca="1"/>
        <v>243.1309</v>
      </c>
      <c r="F319" s="101" vm="9071">
        <f ca="1"/>
        <v>239.86429999999999</v>
      </c>
      <c r="G319" s="101" vm="9072">
        <f ca="1"/>
        <v>251.2542</v>
      </c>
      <c r="H319" s="101" vm="9073">
        <f ca="1"/>
        <v>230.5977</v>
      </c>
      <c r="I319" s="102" vm="9074">
        <f ca="1"/>
        <v>170514922</v>
      </c>
    </row>
    <row r="320" spans="4:9" x14ac:dyDescent="0.3">
      <c r="D320" s="100" vm="1832">
        <f ca="1"/>
        <v>44312</v>
      </c>
      <c r="E320" s="101" vm="9075">
        <f ca="1"/>
        <v>236.4776</v>
      </c>
      <c r="F320" s="101" vm="9076">
        <f ca="1"/>
        <v>246.9975</v>
      </c>
      <c r="G320" s="101" vm="9077">
        <f ca="1"/>
        <v>249.76419999999999</v>
      </c>
      <c r="H320" s="101" vm="9078">
        <f ca="1"/>
        <v>222.0444</v>
      </c>
      <c r="I320" s="102" vm="9079">
        <f ca="1"/>
        <v>152350715</v>
      </c>
    </row>
    <row r="321" spans="4:9" x14ac:dyDescent="0.3">
      <c r="D321" s="100" vm="1838">
        <f ca="1"/>
        <v>44319</v>
      </c>
      <c r="E321" s="101" vm="9080">
        <f ca="1"/>
        <v>224.12110000000001</v>
      </c>
      <c r="F321" s="101" vm="9081">
        <f ca="1"/>
        <v>234.5977</v>
      </c>
      <c r="G321" s="101" vm="9082">
        <f ca="1"/>
        <v>235.33099999999999</v>
      </c>
      <c r="H321" s="101" vm="9083">
        <f ca="1"/>
        <v>216.6645</v>
      </c>
      <c r="I321" s="102" vm="9084">
        <f ca="1"/>
        <v>129938147</v>
      </c>
    </row>
    <row r="322" spans="4:9" x14ac:dyDescent="0.3">
      <c r="D322" s="100" vm="1843">
        <f ca="1"/>
        <v>44326</v>
      </c>
      <c r="E322" s="101" vm="9085">
        <f ca="1"/>
        <v>196.578</v>
      </c>
      <c r="F322" s="101" vm="9086">
        <f ca="1"/>
        <v>221.6311</v>
      </c>
      <c r="G322" s="101" vm="9087">
        <f ca="1"/>
        <v>221.68109999999999</v>
      </c>
      <c r="H322" s="101" vm="9088">
        <f ca="1"/>
        <v>186.54810000000001</v>
      </c>
      <c r="I322" s="102" vm="9089">
        <f ca="1"/>
        <v>188999186</v>
      </c>
    </row>
    <row r="323" spans="4:9" x14ac:dyDescent="0.3">
      <c r="D323" s="100" vm="1848">
        <f ca="1"/>
        <v>44333</v>
      </c>
      <c r="E323" s="101" vm="9090">
        <f ca="1"/>
        <v>193.62469999999999</v>
      </c>
      <c r="F323" s="101" vm="9091">
        <f ca="1"/>
        <v>191.84909999999999</v>
      </c>
      <c r="G323" s="101" vm="9092">
        <f ca="1"/>
        <v>198.8913</v>
      </c>
      <c r="H323" s="101" vm="9093">
        <f ca="1"/>
        <v>182.32480000000001</v>
      </c>
      <c r="I323" s="102" vm="9094">
        <f ca="1"/>
        <v>165651036</v>
      </c>
    </row>
    <row r="324" spans="4:9" x14ac:dyDescent="0.3">
      <c r="D324" s="100" vm="1854">
        <f ca="1"/>
        <v>44340</v>
      </c>
      <c r="E324" s="101" vm="9095">
        <f ca="1"/>
        <v>208.40459999999999</v>
      </c>
      <c r="F324" s="101" vm="9096">
        <f ca="1"/>
        <v>193.8647</v>
      </c>
      <c r="G324" s="101" vm="9097">
        <f ca="1"/>
        <v>211.8612</v>
      </c>
      <c r="H324" s="101" vm="9098">
        <f ca="1"/>
        <v>191.2148</v>
      </c>
      <c r="I324" s="102" vm="9099">
        <f ca="1"/>
        <v>140310958</v>
      </c>
    </row>
    <row r="325" spans="4:9" x14ac:dyDescent="0.3">
      <c r="D325" s="100" vm="1860">
        <f ca="1"/>
        <v>44348</v>
      </c>
      <c r="E325" s="101" vm="9100">
        <f ca="1"/>
        <v>199.68129999999999</v>
      </c>
      <c r="F325" s="101" vm="9101">
        <f ca="1"/>
        <v>209.2646</v>
      </c>
      <c r="G325" s="101" vm="9102">
        <f ca="1"/>
        <v>211.2646</v>
      </c>
      <c r="H325" s="101" vm="9103">
        <f ca="1"/>
        <v>190.40479999999999</v>
      </c>
      <c r="I325" s="102" vm="9104">
        <f ca="1"/>
        <v>95536458</v>
      </c>
    </row>
    <row r="326" spans="4:9" x14ac:dyDescent="0.3">
      <c r="D326" s="100" vm="1866">
        <f ca="1"/>
        <v>44354</v>
      </c>
      <c r="E326" s="101" vm="9105">
        <f ca="1"/>
        <v>203.2946</v>
      </c>
      <c r="F326" s="101" vm="9106">
        <f ca="1"/>
        <v>197.273</v>
      </c>
      <c r="G326" s="101" vm="9107">
        <f ca="1"/>
        <v>207.69460000000001</v>
      </c>
      <c r="H326" s="101" vm="9108">
        <f ca="1"/>
        <v>194.29140000000001</v>
      </c>
      <c r="I326" s="102" vm="9109">
        <f ca="1"/>
        <v>105306562</v>
      </c>
    </row>
    <row r="327" spans="4:9" x14ac:dyDescent="0.3">
      <c r="D327" s="100" vm="1872">
        <f ca="1"/>
        <v>44361</v>
      </c>
      <c r="E327" s="101" vm="9110">
        <f ca="1"/>
        <v>207.7679</v>
      </c>
      <c r="F327" s="101" vm="9111">
        <f ca="1"/>
        <v>204.0746</v>
      </c>
      <c r="G327" s="101" vm="9112">
        <f ca="1"/>
        <v>209.4479</v>
      </c>
      <c r="H327" s="101" vm="9113">
        <f ca="1"/>
        <v>197.8314</v>
      </c>
      <c r="I327" s="102" vm="9114">
        <f ca="1"/>
        <v>107532072</v>
      </c>
    </row>
    <row r="328" spans="4:9" x14ac:dyDescent="0.3">
      <c r="D328" s="100" vm="1878">
        <f ca="1"/>
        <v>44368</v>
      </c>
      <c r="E328" s="101" vm="9115">
        <f ca="1"/>
        <v>223.95439999999999</v>
      </c>
      <c r="F328" s="101" vm="9116">
        <f ca="1"/>
        <v>208.15790000000001</v>
      </c>
      <c r="G328" s="101" vm="9117">
        <f ca="1"/>
        <v>232.5377</v>
      </c>
      <c r="H328" s="101" vm="9118">
        <f ca="1"/>
        <v>202.958</v>
      </c>
      <c r="I328" s="102" vm="9119">
        <f ca="1"/>
        <v>153549954</v>
      </c>
    </row>
    <row r="329" spans="4:9" x14ac:dyDescent="0.3">
      <c r="D329" s="100" vm="1884">
        <f ca="1"/>
        <v>44375</v>
      </c>
      <c r="E329" s="101" vm="9120">
        <f ca="1"/>
        <v>226.29769999999999</v>
      </c>
      <c r="F329" s="101" vm="9121">
        <f ca="1"/>
        <v>223.87780000000001</v>
      </c>
      <c r="G329" s="101" vm="9122">
        <f ca="1"/>
        <v>233.33099999999999</v>
      </c>
      <c r="H329" s="101" vm="9123">
        <f ca="1"/>
        <v>223.43780000000001</v>
      </c>
      <c r="I329" s="102" vm="9124">
        <f ca="1"/>
        <v>103666230</v>
      </c>
    </row>
    <row r="330" spans="4:9" x14ac:dyDescent="0.3">
      <c r="D330" s="100" vm="1890">
        <f ca="1"/>
        <v>44383</v>
      </c>
      <c r="E330" s="101" vm="9125">
        <f ca="1"/>
        <v>218.9811</v>
      </c>
      <c r="F330" s="101" vm="9126">
        <f ca="1"/>
        <v>227.23490000000001</v>
      </c>
      <c r="G330" s="101" vm="9127">
        <f ca="1"/>
        <v>227.99770000000001</v>
      </c>
      <c r="H330" s="101" vm="9128">
        <f ca="1"/>
        <v>206.81790000000001</v>
      </c>
      <c r="I330" s="102" vm="9129">
        <f ca="1"/>
        <v>82990274</v>
      </c>
    </row>
    <row r="331" spans="4:9" x14ac:dyDescent="0.3">
      <c r="D331" s="100" vm="1895">
        <f ca="1"/>
        <v>44389</v>
      </c>
      <c r="E331" s="101" vm="9130">
        <f ca="1"/>
        <v>214.7379</v>
      </c>
      <c r="F331" s="101" vm="9131">
        <f ca="1"/>
        <v>220.7311</v>
      </c>
      <c r="G331" s="101" vm="9132">
        <f ca="1"/>
        <v>231.09100000000001</v>
      </c>
      <c r="H331" s="101" vm="9133">
        <f ca="1"/>
        <v>212.62450000000001</v>
      </c>
      <c r="I331" s="102" vm="9134">
        <f ca="1"/>
        <v>105114865</v>
      </c>
    </row>
    <row r="332" spans="4:9" x14ac:dyDescent="0.3">
      <c r="D332" s="100" vm="1901">
        <f ca="1"/>
        <v>44396</v>
      </c>
      <c r="E332" s="101" vm="9135">
        <f ca="1"/>
        <v>214.4579</v>
      </c>
      <c r="F332" s="101" vm="9136">
        <f ca="1"/>
        <v>209.96119999999999</v>
      </c>
      <c r="G332" s="101" vm="9137">
        <f ca="1"/>
        <v>221.61779999999999</v>
      </c>
      <c r="H332" s="101" vm="9138">
        <f ca="1"/>
        <v>207.09460000000001</v>
      </c>
      <c r="I332" s="102" vm="9139">
        <f ca="1"/>
        <v>80448226</v>
      </c>
    </row>
    <row r="333" spans="4:9" x14ac:dyDescent="0.3">
      <c r="D333" s="100" vm="1907">
        <f ca="1"/>
        <v>44403</v>
      </c>
      <c r="E333" s="101" vm="9140">
        <f ca="1"/>
        <v>229.06440000000001</v>
      </c>
      <c r="F333" s="101" vm="9141">
        <f ca="1"/>
        <v>216.98779999999999</v>
      </c>
      <c r="G333" s="101" vm="9142">
        <f ca="1"/>
        <v>232.5077</v>
      </c>
      <c r="H333" s="101" vm="9143">
        <f ca="1"/>
        <v>209.0779</v>
      </c>
      <c r="I333" s="102" vm="9144">
        <f ca="1"/>
        <v>134207490</v>
      </c>
    </row>
    <row r="334" spans="4:9" x14ac:dyDescent="0.3">
      <c r="D334" s="100" vm="1913">
        <f ca="1"/>
        <v>44410</v>
      </c>
      <c r="E334" s="101" vm="9145">
        <f ca="1"/>
        <v>233.03100000000001</v>
      </c>
      <c r="F334" s="101" vm="9122">
        <f ca="1"/>
        <v>233.33099999999999</v>
      </c>
      <c r="G334" s="101" vm="9146">
        <f ca="1"/>
        <v>242.3109</v>
      </c>
      <c r="H334" s="101" vm="9147">
        <f ca="1"/>
        <v>232.541</v>
      </c>
      <c r="I334" s="102" vm="9148">
        <f ca="1"/>
        <v>100781351</v>
      </c>
    </row>
    <row r="335" spans="4:9" x14ac:dyDescent="0.3">
      <c r="D335" s="100" vm="1919">
        <f ca="1"/>
        <v>44417</v>
      </c>
      <c r="E335" s="101" vm="9149">
        <f ca="1"/>
        <v>239.05430000000001</v>
      </c>
      <c r="F335" s="101" vm="9150">
        <f ca="1"/>
        <v>236.721</v>
      </c>
      <c r="G335" s="101" vm="9151">
        <f ca="1"/>
        <v>243.29759999999999</v>
      </c>
      <c r="H335" s="101" vm="9152">
        <f ca="1"/>
        <v>233.131</v>
      </c>
      <c r="I335" s="102" vm="9153">
        <f ca="1"/>
        <v>72361365</v>
      </c>
    </row>
    <row r="336" spans="4:9" x14ac:dyDescent="0.3">
      <c r="D336" s="100" vm="1925">
        <f ca="1"/>
        <v>44424</v>
      </c>
      <c r="E336" s="101" vm="9154">
        <f ca="1"/>
        <v>226.75110000000001</v>
      </c>
      <c r="F336" s="101" vm="9155">
        <f ca="1"/>
        <v>235.02099999999999</v>
      </c>
      <c r="G336" s="101" vm="9156">
        <f ca="1"/>
        <v>236.49760000000001</v>
      </c>
      <c r="H336" s="101" vm="9157">
        <f ca="1"/>
        <v>216.27780000000001</v>
      </c>
      <c r="I336" s="102" vm="9158">
        <f ca="1"/>
        <v>96329308</v>
      </c>
    </row>
    <row r="337" spans="4:9" x14ac:dyDescent="0.3">
      <c r="D337" s="100" vm="1931">
        <f ca="1"/>
        <v>44431</v>
      </c>
      <c r="E337" s="101" vm="9159">
        <f ca="1"/>
        <v>237.30430000000001</v>
      </c>
      <c r="F337" s="101" vm="9160">
        <f ca="1"/>
        <v>228.47839999999999</v>
      </c>
      <c r="G337" s="101" vm="9161">
        <f ca="1"/>
        <v>238.98759999999999</v>
      </c>
      <c r="H337" s="101" vm="9162">
        <f ca="1"/>
        <v>226.91460000000001</v>
      </c>
      <c r="I337" s="102" vm="9163">
        <f ca="1"/>
        <v>73041547</v>
      </c>
    </row>
    <row r="338" spans="4:9" x14ac:dyDescent="0.3">
      <c r="D338" s="100" vm="1937">
        <f ca="1"/>
        <v>44438</v>
      </c>
      <c r="E338" s="101" vm="9164">
        <f ca="1"/>
        <v>244.52090000000001</v>
      </c>
      <c r="F338" s="101" vm="9165">
        <f ca="1"/>
        <v>238.23599999999999</v>
      </c>
      <c r="G338" s="101" vm="9166">
        <f ca="1"/>
        <v>247.32749999999999</v>
      </c>
      <c r="H338" s="101" vm="9167">
        <f ca="1"/>
        <v>237.57429999999999</v>
      </c>
      <c r="I338" s="102" vm="9168">
        <f ca="1"/>
        <v>80731775</v>
      </c>
    </row>
    <row r="339" spans="4:9" x14ac:dyDescent="0.3">
      <c r="D339" s="100" vm="1943">
        <f ca="1"/>
        <v>44446</v>
      </c>
      <c r="E339" s="101" vm="9169">
        <f ca="1"/>
        <v>245.42089999999999</v>
      </c>
      <c r="F339" s="101" vm="9170">
        <f ca="1"/>
        <v>246.66419999999999</v>
      </c>
      <c r="G339" s="101" vm="9171">
        <f ca="1"/>
        <v>254.8141</v>
      </c>
      <c r="H339" s="101" vm="9172">
        <f ca="1"/>
        <v>244.83760000000001</v>
      </c>
      <c r="I339" s="102" vm="9173">
        <f ca="1"/>
        <v>68094762</v>
      </c>
    </row>
    <row r="340" spans="4:9" x14ac:dyDescent="0.3">
      <c r="D340" s="100" vm="1949">
        <f ca="1"/>
        <v>44452</v>
      </c>
      <c r="E340" s="101" vm="9174">
        <f ca="1"/>
        <v>253.16079999999999</v>
      </c>
      <c r="F340" s="101" vm="9175">
        <f ca="1"/>
        <v>246.73560000000001</v>
      </c>
      <c r="G340" s="101" vm="9176">
        <f ca="1"/>
        <v>253.67750000000001</v>
      </c>
      <c r="H340" s="101" vm="9177">
        <f ca="1"/>
        <v>236.28100000000001</v>
      </c>
      <c r="I340" s="102" vm="9178">
        <f ca="1"/>
        <v>98962617</v>
      </c>
    </row>
    <row r="341" spans="4:9" x14ac:dyDescent="0.3">
      <c r="D341" s="100" vm="1955">
        <f ca="1"/>
        <v>44459</v>
      </c>
      <c r="E341" s="101" vm="9179">
        <f ca="1"/>
        <v>258.12740000000002</v>
      </c>
      <c r="F341" s="101" vm="9180">
        <f ca="1"/>
        <v>244.8501</v>
      </c>
      <c r="G341" s="101" vm="9181">
        <f ca="1"/>
        <v>258.26409999999998</v>
      </c>
      <c r="H341" s="101" vm="9182">
        <f ca="1"/>
        <v>239.53919999999999</v>
      </c>
      <c r="I341" s="102" vm="9183">
        <f ca="1"/>
        <v>89535196</v>
      </c>
    </row>
    <row r="342" spans="4:9" x14ac:dyDescent="0.3">
      <c r="D342" s="100" vm="1961">
        <f ca="1"/>
        <v>44466</v>
      </c>
      <c r="E342" s="101" vm="9184">
        <f ca="1"/>
        <v>258.40410000000003</v>
      </c>
      <c r="F342" s="101" vm="9185">
        <f ca="1"/>
        <v>257.70409999999998</v>
      </c>
      <c r="G342" s="101" vm="9186">
        <f ca="1"/>
        <v>266.33069999999998</v>
      </c>
      <c r="H342" s="101" vm="9187">
        <f ca="1"/>
        <v>254.5275</v>
      </c>
      <c r="I342" s="102" vm="9188">
        <f ca="1"/>
        <v>109382331</v>
      </c>
    </row>
    <row r="343" spans="4:9" x14ac:dyDescent="0.3">
      <c r="D343" s="100" vm="1967">
        <f ca="1"/>
        <v>44473</v>
      </c>
      <c r="E343" s="101" vm="9189">
        <f ca="1"/>
        <v>261.82740000000001</v>
      </c>
      <c r="F343" s="101" vm="9190">
        <f ca="1"/>
        <v>265.4973</v>
      </c>
      <c r="G343" s="101" vm="9191">
        <f ca="1"/>
        <v>268.9873</v>
      </c>
      <c r="H343" s="101" vm="9192">
        <f ca="1"/>
        <v>257.73739999999998</v>
      </c>
      <c r="I343" s="102" vm="9193">
        <f ca="1"/>
        <v>99483120</v>
      </c>
    </row>
    <row r="344" spans="4:9" x14ac:dyDescent="0.3">
      <c r="D344" s="100" vm="1973">
        <f ca="1"/>
        <v>44480</v>
      </c>
      <c r="E344" s="101" vm="9194">
        <f ca="1"/>
        <v>281.00720000000001</v>
      </c>
      <c r="F344" s="101" vm="9195">
        <f ca="1"/>
        <v>262.54739999999998</v>
      </c>
      <c r="G344" s="101" vm="9196">
        <f ca="1"/>
        <v>281.06720000000001</v>
      </c>
      <c r="H344" s="101" vm="9197">
        <f ca="1"/>
        <v>261.83069999999998</v>
      </c>
      <c r="I344" s="102" vm="9198">
        <f ca="1"/>
        <v>81512174</v>
      </c>
    </row>
    <row r="345" spans="4:9" x14ac:dyDescent="0.3">
      <c r="D345" s="100" vm="1979">
        <f ca="1"/>
        <v>44487</v>
      </c>
      <c r="E345" s="101" vm="9199">
        <f ca="1"/>
        <v>303.22359999999998</v>
      </c>
      <c r="F345" s="101" vm="9200">
        <f ca="1"/>
        <v>283.92720000000003</v>
      </c>
      <c r="G345" s="101" vm="9201">
        <f ca="1"/>
        <v>303.33030000000002</v>
      </c>
      <c r="H345" s="101" vm="9202">
        <f ca="1"/>
        <v>283.82049999999998</v>
      </c>
      <c r="I345" s="102" vm="9203">
        <f ca="1"/>
        <v>109982713</v>
      </c>
    </row>
    <row r="346" spans="4:9" x14ac:dyDescent="0.3">
      <c r="D346" s="100" vm="1985">
        <f ca="1"/>
        <v>44494</v>
      </c>
      <c r="E346" s="101" vm="9204">
        <f ca="1"/>
        <v>371.32960000000003</v>
      </c>
      <c r="F346" s="101" vm="9205">
        <f ca="1"/>
        <v>316.84019999999998</v>
      </c>
      <c r="G346" s="101" vm="9206">
        <f ca="1"/>
        <v>371.73289999999997</v>
      </c>
      <c r="H346" s="101" vm="9207">
        <f ca="1"/>
        <v>314.73020000000002</v>
      </c>
      <c r="I346" s="102" vm="9208">
        <f ca="1"/>
        <v>220925116</v>
      </c>
    </row>
    <row r="347" spans="4:9" x14ac:dyDescent="0.3">
      <c r="D347" s="100" vm="1991">
        <f ca="1"/>
        <v>44501</v>
      </c>
      <c r="E347" s="101" vm="9209">
        <f ca="1"/>
        <v>407.35930000000002</v>
      </c>
      <c r="F347" s="101" vm="9210">
        <f ca="1"/>
        <v>381.66289999999998</v>
      </c>
      <c r="G347" s="101" vm="9211">
        <f ca="1"/>
        <v>414.49250000000001</v>
      </c>
      <c r="H347" s="101" vm="9212">
        <f ca="1"/>
        <v>372.88290000000001</v>
      </c>
      <c r="I347" s="102" vm="9213">
        <f ca="1"/>
        <v>180441254</v>
      </c>
    </row>
    <row r="348" spans="4:9" x14ac:dyDescent="0.3">
      <c r="D348" s="100" vm="1997">
        <f ca="1"/>
        <v>44508</v>
      </c>
      <c r="E348" s="101" vm="9214">
        <f ca="1"/>
        <v>344.4699</v>
      </c>
      <c r="F348" s="101" vm="9215">
        <f ca="1"/>
        <v>383.25779999999997</v>
      </c>
      <c r="G348" s="101" vm="9216">
        <f ca="1"/>
        <v>398.99599999999998</v>
      </c>
      <c r="H348" s="101" vm="9217">
        <f ca="1"/>
        <v>329.1</v>
      </c>
      <c r="I348" s="102" vm="9218">
        <f ca="1"/>
        <v>183323989</v>
      </c>
    </row>
    <row r="349" spans="4:9" x14ac:dyDescent="0.3">
      <c r="D349" s="100" vm="2003">
        <f ca="1"/>
        <v>44515</v>
      </c>
      <c r="E349" s="101" vm="9219">
        <f ca="1"/>
        <v>379.01620000000003</v>
      </c>
      <c r="F349" s="101" vm="9220">
        <f ca="1"/>
        <v>339.20659999999998</v>
      </c>
      <c r="G349" s="101" vm="9221">
        <f ca="1"/>
        <v>379.56950000000001</v>
      </c>
      <c r="H349" s="101" vm="9222">
        <f ca="1"/>
        <v>326.19670000000002</v>
      </c>
      <c r="I349" s="102" vm="9223">
        <f ca="1"/>
        <v>135304561</v>
      </c>
    </row>
    <row r="350" spans="4:9" x14ac:dyDescent="0.3">
      <c r="D350" s="100" vm="2009">
        <f ca="1"/>
        <v>44522</v>
      </c>
      <c r="E350" s="101" vm="9224">
        <f ca="1"/>
        <v>360.63639999999998</v>
      </c>
      <c r="F350" s="101" vm="9225">
        <f ca="1"/>
        <v>387.43950000000001</v>
      </c>
      <c r="G350" s="101" vm="9226">
        <f ca="1"/>
        <v>400.64600000000002</v>
      </c>
      <c r="H350" s="101" vm="9227">
        <f ca="1"/>
        <v>353.99650000000003</v>
      </c>
      <c r="I350" s="102" vm="9228">
        <f ca="1"/>
        <v>103485337</v>
      </c>
    </row>
    <row r="351" spans="4:9" x14ac:dyDescent="0.3">
      <c r="D351" s="100" vm="2015">
        <f ca="1"/>
        <v>44529</v>
      </c>
      <c r="E351" s="101" vm="9229">
        <f ca="1"/>
        <v>338.32</v>
      </c>
      <c r="F351" s="101" vm="9230">
        <f ca="1"/>
        <v>366.99299999999999</v>
      </c>
      <c r="G351" s="101" vm="9231">
        <f ca="1"/>
        <v>390.9427</v>
      </c>
      <c r="H351" s="101" vm="9232">
        <f ca="1"/>
        <v>333.4</v>
      </c>
      <c r="I351" s="102" vm="9233">
        <f ca="1"/>
        <v>124636821</v>
      </c>
    </row>
    <row r="352" spans="4:9" x14ac:dyDescent="0.3">
      <c r="D352" s="100" vm="2021">
        <f ca="1"/>
        <v>44536</v>
      </c>
      <c r="E352" s="101" vm="9234">
        <f ca="1"/>
        <v>339.00659999999999</v>
      </c>
      <c r="F352" s="101" vm="9235">
        <f ca="1"/>
        <v>333.83330000000001</v>
      </c>
      <c r="G352" s="101" vm="9236">
        <f ca="1"/>
        <v>357.45639999999997</v>
      </c>
      <c r="H352" s="101" vm="9237">
        <f ca="1"/>
        <v>316.83019999999999</v>
      </c>
      <c r="I352" s="102" vm="9238">
        <f ca="1"/>
        <v>99585638</v>
      </c>
    </row>
    <row r="353" spans="4:9" x14ac:dyDescent="0.3">
      <c r="D353" s="100" vm="2027">
        <f ca="1"/>
        <v>44543</v>
      </c>
      <c r="E353" s="101" vm="9239">
        <f ca="1"/>
        <v>310.85359999999997</v>
      </c>
      <c r="F353" s="101" vm="9240">
        <f ca="1"/>
        <v>333.69330000000002</v>
      </c>
      <c r="G353" s="101" vm="9241">
        <f ca="1"/>
        <v>334.99669999999998</v>
      </c>
      <c r="H353" s="101" vm="9242">
        <f ca="1"/>
        <v>303.01029999999997</v>
      </c>
      <c r="I353" s="102" vm="9243">
        <f ca="1"/>
        <v>136074239</v>
      </c>
    </row>
    <row r="354" spans="4:9" x14ac:dyDescent="0.3">
      <c r="D354" s="100" vm="2033">
        <f ca="1"/>
        <v>44550</v>
      </c>
      <c r="E354" s="101" vm="9244">
        <f ca="1"/>
        <v>355.66309999999999</v>
      </c>
      <c r="F354" s="101" vm="9245">
        <f ca="1"/>
        <v>303.56360000000001</v>
      </c>
      <c r="G354" s="101" vm="9246">
        <f ca="1"/>
        <v>357.65530000000001</v>
      </c>
      <c r="H354" s="101" vm="9247">
        <f ca="1"/>
        <v>295.37040000000002</v>
      </c>
      <c r="I354" s="102" vm="9248">
        <f ca="1"/>
        <v>104781767</v>
      </c>
    </row>
    <row r="355" spans="4:9" x14ac:dyDescent="0.3">
      <c r="D355" s="100" vm="2039">
        <f ca="1"/>
        <v>44557</v>
      </c>
      <c r="E355" s="101" vm="9249">
        <f ca="1"/>
        <v>352.25650000000002</v>
      </c>
      <c r="F355" s="101" vm="9250">
        <f ca="1"/>
        <v>357.88639999999998</v>
      </c>
      <c r="G355" s="101" vm="9251">
        <f ca="1"/>
        <v>372.99619999999999</v>
      </c>
      <c r="H355" s="101" vm="9252">
        <f ca="1"/>
        <v>351.04649999999998</v>
      </c>
      <c r="I355" s="102" vm="9253">
        <f ca="1"/>
        <v>91799445</v>
      </c>
    </row>
    <row r="356" spans="4:9" x14ac:dyDescent="0.3">
      <c r="D356" s="100" vm="2045">
        <f ca="1"/>
        <v>44564</v>
      </c>
      <c r="E356" s="101" vm="9254">
        <f ca="1"/>
        <v>342.31659999999999</v>
      </c>
      <c r="F356" s="101" vm="9255">
        <f ca="1"/>
        <v>382.5795</v>
      </c>
      <c r="G356" s="101" vm="9256">
        <f ca="1"/>
        <v>402.6626</v>
      </c>
      <c r="H356" s="101" vm="9257">
        <f ca="1"/>
        <v>336.66329999999999</v>
      </c>
      <c r="I356" s="102" vm="9258">
        <f ca="1"/>
        <v>153185108</v>
      </c>
    </row>
    <row r="357" spans="4:9" x14ac:dyDescent="0.3">
      <c r="D357" s="100" vm="2051">
        <f ca="1"/>
        <v>44571</v>
      </c>
      <c r="E357" s="101" vm="9259">
        <f ca="1"/>
        <v>349.86649999999997</v>
      </c>
      <c r="F357" s="101" vm="9260">
        <f ca="1"/>
        <v>333.33</v>
      </c>
      <c r="G357" s="101" vm="9261">
        <f ca="1"/>
        <v>371.86290000000002</v>
      </c>
      <c r="H357" s="101" vm="9262">
        <f ca="1"/>
        <v>326.66340000000002</v>
      </c>
      <c r="I357" s="102" vm="9263">
        <f ca="1"/>
        <v>137250435</v>
      </c>
    </row>
    <row r="358" spans="4:9" x14ac:dyDescent="0.3">
      <c r="D358" s="100" vm="2057">
        <f ca="1"/>
        <v>44579</v>
      </c>
      <c r="E358" s="101" vm="9264">
        <f ca="1"/>
        <v>314.6302</v>
      </c>
      <c r="F358" s="101" vm="9265">
        <f ca="1"/>
        <v>342.19819999999999</v>
      </c>
      <c r="G358" s="101" vm="9266">
        <f ca="1"/>
        <v>356.9264</v>
      </c>
      <c r="H358" s="101" vm="9267">
        <f ca="1"/>
        <v>313.49689999999998</v>
      </c>
      <c r="I358" s="102" vm="9268">
        <f ca="1"/>
        <v>105445556</v>
      </c>
    </row>
    <row r="359" spans="4:9" x14ac:dyDescent="0.3">
      <c r="D359" s="100" vm="2063">
        <f ca="1"/>
        <v>44585</v>
      </c>
      <c r="E359" s="101" vm="9269">
        <f ca="1"/>
        <v>282.11380000000003</v>
      </c>
      <c r="F359" s="101" vm="9270">
        <f ca="1"/>
        <v>301.58370000000002</v>
      </c>
      <c r="G359" s="101" vm="9271">
        <f ca="1"/>
        <v>329.22669999999999</v>
      </c>
      <c r="H359" s="101" vm="9272">
        <f ca="1"/>
        <v>264.00069999999999</v>
      </c>
      <c r="I359" s="102" vm="9273">
        <f ca="1"/>
        <v>208578950</v>
      </c>
    </row>
    <row r="360" spans="4:9" x14ac:dyDescent="0.3">
      <c r="D360" s="100" vm="2069">
        <f ca="1"/>
        <v>44592</v>
      </c>
      <c r="E360" s="101" vm="9274">
        <f ca="1"/>
        <v>307.77030000000002</v>
      </c>
      <c r="F360" s="101" vm="9275">
        <f ca="1"/>
        <v>290.90039999999999</v>
      </c>
      <c r="G360" s="101" vm="9276">
        <f ca="1"/>
        <v>314.56349999999998</v>
      </c>
      <c r="H360" s="101" vm="9277">
        <f ca="1"/>
        <v>287.34710000000001</v>
      </c>
      <c r="I360" s="102" vm="9278">
        <f ca="1"/>
        <v>132282831</v>
      </c>
    </row>
    <row r="361" spans="4:9" x14ac:dyDescent="0.3">
      <c r="D361" s="100" vm="2075">
        <f ca="1"/>
        <v>44599</v>
      </c>
      <c r="E361" s="101" vm="9279">
        <f ca="1"/>
        <v>286.66379999999998</v>
      </c>
      <c r="F361" s="101" vm="9280">
        <f ca="1"/>
        <v>307.92689999999999</v>
      </c>
      <c r="G361" s="101" vm="9281">
        <f ca="1"/>
        <v>315.92020000000002</v>
      </c>
      <c r="H361" s="101" vm="9282">
        <f ca="1"/>
        <v>283.56380000000001</v>
      </c>
      <c r="I361" s="102" vm="9283">
        <f ca="1"/>
        <v>103251907</v>
      </c>
    </row>
    <row r="362" spans="4:9" x14ac:dyDescent="0.3">
      <c r="D362" s="100" vm="2081">
        <f ca="1"/>
        <v>44606</v>
      </c>
      <c r="E362" s="101" vm="9284">
        <f ca="1"/>
        <v>285.65710000000001</v>
      </c>
      <c r="F362" s="101" vm="9285">
        <f ca="1"/>
        <v>287.18709999999999</v>
      </c>
      <c r="G362" s="101" vm="9286">
        <f ca="1"/>
        <v>308.80689999999998</v>
      </c>
      <c r="H362" s="101" vm="9287">
        <f ca="1"/>
        <v>279.20049999999998</v>
      </c>
      <c r="I362" s="102" vm="9288">
        <f ca="1"/>
        <v>100126871</v>
      </c>
    </row>
    <row r="363" spans="4:9" x14ac:dyDescent="0.3">
      <c r="D363" s="100" vm="2087">
        <f ca="1"/>
        <v>44614</v>
      </c>
      <c r="E363" s="101" vm="9289">
        <f ca="1"/>
        <v>269.95400000000001</v>
      </c>
      <c r="F363" s="101" vm="9290">
        <f ca="1"/>
        <v>278.04059999999998</v>
      </c>
      <c r="G363" s="101" vm="9291">
        <f ca="1"/>
        <v>285.57510000000002</v>
      </c>
      <c r="H363" s="101" vm="9122">
        <f ca="1"/>
        <v>233.33099999999999</v>
      </c>
      <c r="I363" s="102" vm="9292">
        <f ca="1"/>
        <v>129978416</v>
      </c>
    </row>
    <row r="364" spans="4:9" x14ac:dyDescent="0.3">
      <c r="D364" s="100" vm="2093">
        <f ca="1"/>
        <v>44620</v>
      </c>
      <c r="E364" s="101" vm="9293">
        <f ca="1"/>
        <v>279.42720000000003</v>
      </c>
      <c r="F364" s="101" vm="9294">
        <f ca="1"/>
        <v>271.66730000000001</v>
      </c>
      <c r="G364" s="101" vm="9295">
        <f ca="1"/>
        <v>296.62369999999999</v>
      </c>
      <c r="H364" s="101" vm="9296">
        <f ca="1"/>
        <v>271.56650000000002</v>
      </c>
      <c r="I364" s="102" vm="9297">
        <f ca="1"/>
        <v>125740178</v>
      </c>
    </row>
    <row r="365" spans="4:9" x14ac:dyDescent="0.3">
      <c r="D365" s="100" vm="2099">
        <f ca="1"/>
        <v>44627</v>
      </c>
      <c r="E365" s="101" vm="9298">
        <f ca="1"/>
        <v>265.11399999999998</v>
      </c>
      <c r="F365" s="101" vm="9299">
        <f ca="1"/>
        <v>285.43049999999999</v>
      </c>
      <c r="G365" s="101" vm="9300">
        <f ca="1"/>
        <v>288.71039999999999</v>
      </c>
      <c r="H365" s="101" vm="9301">
        <f ca="1"/>
        <v>260.72070000000002</v>
      </c>
      <c r="I365" s="102" vm="9302">
        <f ca="1"/>
        <v>112587689</v>
      </c>
    </row>
    <row r="366" spans="4:9" x14ac:dyDescent="0.3">
      <c r="D366" s="100" vm="2105">
        <f ca="1"/>
        <v>44634</v>
      </c>
      <c r="E366" s="101" vm="9303">
        <f ca="1"/>
        <v>301.79360000000003</v>
      </c>
      <c r="F366" s="101" vm="9304">
        <f ca="1"/>
        <v>260.20069999999998</v>
      </c>
      <c r="G366" s="101" vm="9305">
        <f ca="1"/>
        <v>302.61360000000002</v>
      </c>
      <c r="H366" s="101" vm="9306">
        <f ca="1"/>
        <v>252.01079999999999</v>
      </c>
      <c r="I366" s="102" vm="9307">
        <f ca="1"/>
        <v>129673130</v>
      </c>
    </row>
    <row r="367" spans="4:9" x14ac:dyDescent="0.3">
      <c r="D367" s="100" vm="2111">
        <f ca="1"/>
        <v>44641</v>
      </c>
      <c r="E367" s="101" vm="9308">
        <f ca="1"/>
        <v>336.8766</v>
      </c>
      <c r="F367" s="101" vm="9309">
        <f ca="1"/>
        <v>304.99029999999999</v>
      </c>
      <c r="G367" s="101" vm="9310">
        <f ca="1"/>
        <v>346.8965</v>
      </c>
      <c r="H367" s="101" vm="9311">
        <f ca="1"/>
        <v>302.3603</v>
      </c>
      <c r="I367" s="102" vm="9312">
        <f ca="1"/>
        <v>146492926</v>
      </c>
    </row>
    <row r="368" spans="4:9" x14ac:dyDescent="0.3">
      <c r="D368" s="100" vm="2117">
        <f ca="1"/>
        <v>44648</v>
      </c>
      <c r="E368" s="101" vm="9313">
        <f ca="1"/>
        <v>361.52640000000002</v>
      </c>
      <c r="F368" s="101" vm="9314">
        <f ca="1"/>
        <v>355.02980000000002</v>
      </c>
      <c r="G368" s="101" vm="9315">
        <f ca="1"/>
        <v>371.58629999999999</v>
      </c>
      <c r="H368" s="101" vm="9316">
        <f ca="1"/>
        <v>351.19650000000001</v>
      </c>
      <c r="I368" s="102" vm="9317">
        <f ca="1"/>
        <v>113080628</v>
      </c>
    </row>
    <row r="369" spans="4:9" x14ac:dyDescent="0.3">
      <c r="D369" s="100" vm="2122">
        <f ca="1"/>
        <v>44655</v>
      </c>
      <c r="E369" s="101" vm="9318">
        <f ca="1"/>
        <v>341.82659999999998</v>
      </c>
      <c r="F369" s="101" vm="9319">
        <f ca="1"/>
        <v>363.12299999999999</v>
      </c>
      <c r="G369" s="101" vm="9320">
        <f ca="1"/>
        <v>384.28620000000001</v>
      </c>
      <c r="H369" s="101" vm="9321">
        <f ca="1"/>
        <v>340.51</v>
      </c>
      <c r="I369" s="102" vm="9322">
        <f ca="1"/>
        <v>128687334</v>
      </c>
    </row>
    <row r="370" spans="4:9" x14ac:dyDescent="0.3">
      <c r="D370" s="100" vm="2128">
        <f ca="1"/>
        <v>44662</v>
      </c>
      <c r="E370" s="101" vm="9323">
        <f ca="1"/>
        <v>328.33010000000002</v>
      </c>
      <c r="F370" s="101" vm="9324">
        <f ca="1"/>
        <v>326.79669999999999</v>
      </c>
      <c r="G370" s="101" vm="9325">
        <f ca="1"/>
        <v>342.07659999999998</v>
      </c>
      <c r="H370" s="101" vm="9326">
        <f ca="1"/>
        <v>324.36239999999998</v>
      </c>
      <c r="I370" s="102" vm="9327">
        <f ca="1"/>
        <v>79625639</v>
      </c>
    </row>
    <row r="371" spans="4:9" x14ac:dyDescent="0.3">
      <c r="D371" s="100" vm="2134">
        <f ca="1"/>
        <v>44669</v>
      </c>
      <c r="E371" s="101" vm="9328">
        <f ca="1"/>
        <v>335.01330000000002</v>
      </c>
      <c r="F371" s="101" vm="9329">
        <f ca="1"/>
        <v>329.67340000000002</v>
      </c>
      <c r="G371" s="101" vm="9330">
        <f ca="1"/>
        <v>364.06970000000001</v>
      </c>
      <c r="H371" s="101" vm="9331">
        <f ca="1"/>
        <v>324.46679999999998</v>
      </c>
      <c r="I371" s="102" vm="9332">
        <f ca="1"/>
        <v>115795758</v>
      </c>
    </row>
    <row r="372" spans="4:9" x14ac:dyDescent="0.3">
      <c r="D372" s="100" vm="2140">
        <f ca="1"/>
        <v>44676</v>
      </c>
      <c r="E372" s="101" vm="9333">
        <f ca="1"/>
        <v>290.25040000000001</v>
      </c>
      <c r="F372" s="101" vm="9334">
        <f ca="1"/>
        <v>326.32010000000002</v>
      </c>
      <c r="G372" s="101" vm="9335">
        <f ca="1"/>
        <v>336.20330000000001</v>
      </c>
      <c r="H372" s="101" vm="9336">
        <f ca="1"/>
        <v>273.89729999999997</v>
      </c>
      <c r="I372" s="102" vm="9337">
        <f ca="1"/>
        <v>164837640</v>
      </c>
    </row>
    <row r="373" spans="4:9" x14ac:dyDescent="0.3">
      <c r="D373" s="100" vm="2146">
        <f ca="1"/>
        <v>44683</v>
      </c>
      <c r="E373" s="101" vm="9338">
        <f ca="1"/>
        <v>288.5471</v>
      </c>
      <c r="F373" s="101" vm="9339">
        <f ca="1"/>
        <v>286.9205</v>
      </c>
      <c r="G373" s="101" vm="9340">
        <f ca="1"/>
        <v>318.49680000000001</v>
      </c>
      <c r="H373" s="101" vm="9341">
        <f ca="1"/>
        <v>281.03219999999999</v>
      </c>
      <c r="I373" s="102" vm="9342">
        <f ca="1"/>
        <v>128852318</v>
      </c>
    </row>
    <row r="374" spans="4:9" x14ac:dyDescent="0.3">
      <c r="D374" s="100" vm="2152">
        <f ca="1"/>
        <v>44690</v>
      </c>
      <c r="E374" s="101" vm="9343">
        <f ca="1"/>
        <v>256.5274</v>
      </c>
      <c r="F374" s="101" vm="9344">
        <f ca="1"/>
        <v>278.81389999999999</v>
      </c>
      <c r="G374" s="101" vm="9345">
        <f ca="1"/>
        <v>281.87380000000002</v>
      </c>
      <c r="H374" s="101" vm="9346">
        <f ca="1"/>
        <v>226.6644</v>
      </c>
      <c r="I374" s="102" vm="9347">
        <f ca="1"/>
        <v>168299966</v>
      </c>
    </row>
    <row r="375" spans="4:9" x14ac:dyDescent="0.3">
      <c r="D375" s="100" vm="2158">
        <f ca="1"/>
        <v>44697</v>
      </c>
      <c r="E375" s="101" vm="9348">
        <f ca="1"/>
        <v>221.2978</v>
      </c>
      <c r="F375" s="101" vm="9349">
        <f ca="1"/>
        <v>255.7174</v>
      </c>
      <c r="G375" s="101" vm="9350">
        <f ca="1"/>
        <v>256.58409999999998</v>
      </c>
      <c r="H375" s="101" vm="9351">
        <f ca="1"/>
        <v>210.99789999999999</v>
      </c>
      <c r="I375" s="102" vm="9352">
        <f ca="1"/>
        <v>163138813</v>
      </c>
    </row>
    <row r="376" spans="4:9" x14ac:dyDescent="0.3">
      <c r="D376" s="100" vm="2164">
        <f ca="1"/>
        <v>44704</v>
      </c>
      <c r="E376" s="101" vm="9353">
        <f ca="1"/>
        <v>253.20750000000001</v>
      </c>
      <c r="F376" s="101" vm="9354">
        <f ca="1"/>
        <v>218.33779999999999</v>
      </c>
      <c r="G376" s="101" vm="9355">
        <f ca="1"/>
        <v>253.26410000000001</v>
      </c>
      <c r="H376" s="101" vm="9356">
        <f ca="1"/>
        <v>206.8546</v>
      </c>
      <c r="I376" s="102" vm="9357">
        <f ca="1"/>
        <v>155144601</v>
      </c>
    </row>
    <row r="377" spans="4:9" x14ac:dyDescent="0.3">
      <c r="D377" s="100" vm="2170">
        <f ca="1"/>
        <v>44712</v>
      </c>
      <c r="E377" s="101" vm="9358">
        <f ca="1"/>
        <v>234.51429999999999</v>
      </c>
      <c r="F377" s="101" vm="9359">
        <f ca="1"/>
        <v>257.94409999999999</v>
      </c>
      <c r="G377" s="101" vm="9360">
        <f ca="1"/>
        <v>264.20740000000001</v>
      </c>
      <c r="H377" s="101" vm="9361">
        <f ca="1"/>
        <v>233.41550000000001</v>
      </c>
      <c r="I377" s="102" vm="9362">
        <f ca="1"/>
        <v>128343063</v>
      </c>
    </row>
    <row r="378" spans="4:9" x14ac:dyDescent="0.3">
      <c r="D378" s="100" vm="2176">
        <f ca="1"/>
        <v>44718</v>
      </c>
      <c r="E378" s="101" vm="9363">
        <f ca="1"/>
        <v>232.2277</v>
      </c>
      <c r="F378" s="101" vm="9364">
        <f ca="1"/>
        <v>244.3509</v>
      </c>
      <c r="G378" s="101" vm="9365">
        <f ca="1"/>
        <v>255.54409999999999</v>
      </c>
      <c r="H378" s="101" vm="9366">
        <f ca="1"/>
        <v>227.9111</v>
      </c>
      <c r="I378" s="102" vm="9367">
        <f ca="1"/>
        <v>142601983</v>
      </c>
    </row>
    <row r="379" spans="4:9" x14ac:dyDescent="0.3">
      <c r="D379" s="100" vm="2182">
        <f ca="1"/>
        <v>44725</v>
      </c>
      <c r="E379" s="101" vm="9368">
        <f ca="1"/>
        <v>216.7578</v>
      </c>
      <c r="F379" s="101" vm="9369">
        <f ca="1"/>
        <v>223.1644</v>
      </c>
      <c r="G379" s="101" vm="9370">
        <f ca="1"/>
        <v>235.6609</v>
      </c>
      <c r="H379" s="101" vm="9371">
        <f ca="1"/>
        <v>208.69120000000001</v>
      </c>
      <c r="I379" s="102" vm="9372">
        <f ca="1"/>
        <v>173306821</v>
      </c>
    </row>
    <row r="380" spans="4:9" x14ac:dyDescent="0.3">
      <c r="D380" s="100" vm="2188">
        <f ca="1"/>
        <v>44733</v>
      </c>
      <c r="E380" s="101" vm="9373">
        <f ca="1"/>
        <v>245.70419999999999</v>
      </c>
      <c r="F380" s="101" vm="9374">
        <f ca="1"/>
        <v>224.6011</v>
      </c>
      <c r="G380" s="101" vm="9375">
        <f ca="1"/>
        <v>246.83090000000001</v>
      </c>
      <c r="H380" s="101" vm="9376">
        <f ca="1"/>
        <v>224.33109999999999</v>
      </c>
      <c r="I380" s="102" vm="9377">
        <f ca="1"/>
        <v>141431196</v>
      </c>
    </row>
    <row r="381" spans="4:9" x14ac:dyDescent="0.3">
      <c r="D381" s="100" vm="2194">
        <f ca="1"/>
        <v>44739</v>
      </c>
      <c r="E381" s="101" vm="9378">
        <f ca="1"/>
        <v>227.2611</v>
      </c>
      <c r="F381" s="101" vm="9379">
        <f ca="1"/>
        <v>249.36420000000001</v>
      </c>
      <c r="G381" s="101" vm="9380">
        <f ca="1"/>
        <v>252.0675</v>
      </c>
      <c r="H381" s="101" vm="9381">
        <f ca="1"/>
        <v>218.86109999999999</v>
      </c>
      <c r="I381" s="102" vm="9382">
        <f ca="1"/>
        <v>143934321</v>
      </c>
    </row>
    <row r="382" spans="4:9" x14ac:dyDescent="0.3">
      <c r="D382" s="100" vm="2200">
        <f ca="1"/>
        <v>44747</v>
      </c>
      <c r="E382" s="101" vm="9383">
        <f ca="1"/>
        <v>250.76079999999999</v>
      </c>
      <c r="F382" s="101" vm="9384">
        <f ca="1"/>
        <v>222.99780000000001</v>
      </c>
      <c r="G382" s="101" vm="9385">
        <f ca="1"/>
        <v>254.97739999999999</v>
      </c>
      <c r="H382" s="101" vm="9386">
        <f ca="1"/>
        <v>216.1645</v>
      </c>
      <c r="I382" s="102" vm="9387">
        <f ca="1"/>
        <v>113472506</v>
      </c>
    </row>
    <row r="383" spans="4:9" x14ac:dyDescent="0.3">
      <c r="D383" s="100" vm="2206">
        <f ca="1"/>
        <v>44753</v>
      </c>
      <c r="E383" s="101" vm="9388">
        <f ca="1"/>
        <v>240.0643</v>
      </c>
      <c r="F383" s="101" vm="9389">
        <f ca="1"/>
        <v>252.10079999999999</v>
      </c>
      <c r="G383" s="101" vm="9390">
        <f ca="1"/>
        <v>253.0608</v>
      </c>
      <c r="H383" s="101" vm="9391">
        <f ca="1"/>
        <v>225.03110000000001</v>
      </c>
      <c r="I383" s="102" vm="9392">
        <f ca="1"/>
        <v>144545065</v>
      </c>
    </row>
    <row r="384" spans="4:9" x14ac:dyDescent="0.3">
      <c r="D384" s="100" vm="2211">
        <f ca="1"/>
        <v>44760</v>
      </c>
      <c r="E384" s="101" vm="9393">
        <f ca="1"/>
        <v>272.24059999999997</v>
      </c>
      <c r="F384" s="101" vm="9394">
        <f ca="1"/>
        <v>244.9342</v>
      </c>
      <c r="G384" s="101" vm="9395">
        <f ca="1"/>
        <v>280.78390000000002</v>
      </c>
      <c r="H384" s="101" vm="9396">
        <f ca="1"/>
        <v>236.9743</v>
      </c>
      <c r="I384" s="102" vm="9397">
        <f ca="1"/>
        <v>165932217</v>
      </c>
    </row>
    <row r="385" spans="4:9" x14ac:dyDescent="0.3">
      <c r="D385" s="100" vm="2217">
        <f ca="1"/>
        <v>44767</v>
      </c>
      <c r="E385" s="101" vm="9398">
        <f ca="1"/>
        <v>297.14699999999999</v>
      </c>
      <c r="F385" s="101" vm="9399">
        <f ca="1"/>
        <v>272.21390000000002</v>
      </c>
      <c r="G385" s="101" vm="9400">
        <f ca="1"/>
        <v>298.31700000000001</v>
      </c>
      <c r="H385" s="101" vm="9401">
        <f ca="1"/>
        <v>256.26080000000002</v>
      </c>
      <c r="I385" s="102" vm="9402">
        <f ca="1"/>
        <v>133013375</v>
      </c>
    </row>
    <row r="386" spans="4:9" x14ac:dyDescent="0.3">
      <c r="D386" s="100" vm="2223">
        <f ca="1"/>
        <v>44774</v>
      </c>
      <c r="E386" s="101" vm="9403">
        <f ca="1"/>
        <v>288.1671</v>
      </c>
      <c r="F386" s="101" vm="9404">
        <f ca="1"/>
        <v>301.27199999999999</v>
      </c>
      <c r="G386" s="101" vm="9405">
        <f ca="1"/>
        <v>313.6035</v>
      </c>
      <c r="H386" s="101" vm="9406">
        <f ca="1"/>
        <v>285.54180000000002</v>
      </c>
      <c r="I386" s="102" vm="9407">
        <f ca="1"/>
        <v>159380225</v>
      </c>
    </row>
    <row r="387" spans="4:9" x14ac:dyDescent="0.3">
      <c r="D387" s="100" vm="2229">
        <f ca="1"/>
        <v>44781</v>
      </c>
      <c r="E387" s="101" vm="9408">
        <f ca="1"/>
        <v>300.02699999999999</v>
      </c>
      <c r="F387" s="101" vm="9409">
        <f ca="1"/>
        <v>294.99709999999999</v>
      </c>
      <c r="G387" s="101" vm="9410">
        <f ca="1"/>
        <v>305.19690000000003</v>
      </c>
      <c r="H387" s="101" vm="9411">
        <f ca="1"/>
        <v>279.35050000000001</v>
      </c>
      <c r="I387" s="102" vm="9412">
        <f ca="1"/>
        <v>143447053</v>
      </c>
    </row>
    <row r="388" spans="4:9" x14ac:dyDescent="0.3">
      <c r="D388" s="100" vm="2234">
        <f ca="1"/>
        <v>44788</v>
      </c>
      <c r="E388" s="101" vm="9413">
        <f ca="1"/>
        <v>296.66370000000001</v>
      </c>
      <c r="F388" s="101" vm="9414">
        <f ca="1"/>
        <v>301.78359999999998</v>
      </c>
      <c r="G388" s="101" vm="9415">
        <f ca="1"/>
        <v>314.6635</v>
      </c>
      <c r="H388" s="101" vm="9416">
        <f ca="1"/>
        <v>292.49709999999999</v>
      </c>
      <c r="I388" s="102" vm="9417">
        <f ca="1"/>
        <v>118385794</v>
      </c>
    </row>
    <row r="389" spans="4:9" x14ac:dyDescent="0.3">
      <c r="D389" s="100" vm="2239">
        <f ca="1"/>
        <v>44795</v>
      </c>
      <c r="E389" s="101" vm="9418">
        <f ca="1"/>
        <v>288.08999999999997</v>
      </c>
      <c r="F389" s="101" vm="9419">
        <f ca="1"/>
        <v>291.91039999999998</v>
      </c>
      <c r="G389" s="101" vm="9420">
        <f ca="1"/>
        <v>303.64359999999999</v>
      </c>
      <c r="H389" s="101" vm="9421">
        <f ca="1"/>
        <v>286.29379999999998</v>
      </c>
      <c r="I389" s="102" vm="9422">
        <f ca="1"/>
        <v>169423329</v>
      </c>
    </row>
    <row r="390" spans="4:9" x14ac:dyDescent="0.3">
      <c r="D390" s="100" vm="2244">
        <f ca="1"/>
        <v>44802</v>
      </c>
      <c r="E390" s="101" vm="9423">
        <f ca="1"/>
        <v>270.20999999999998</v>
      </c>
      <c r="F390" s="101" vm="9424">
        <f ca="1"/>
        <v>282.83</v>
      </c>
      <c r="G390" s="101" vm="9425">
        <f ca="1"/>
        <v>288.48</v>
      </c>
      <c r="H390" s="101" vm="9426">
        <f ca="1"/>
        <v>266.14999999999998</v>
      </c>
      <c r="I390" s="102" vm="9427">
        <f ca="1"/>
        <v>249690952</v>
      </c>
    </row>
    <row r="391" spans="4:9" x14ac:dyDescent="0.3">
      <c r="D391" s="100" vm="2250">
        <f ca="1"/>
        <v>44810</v>
      </c>
      <c r="E391" s="101" vm="9428">
        <f ca="1"/>
        <v>299.68</v>
      </c>
      <c r="F391" s="101" vm="9429">
        <f ca="1"/>
        <v>272.67500000000001</v>
      </c>
      <c r="G391" s="101" vm="9430">
        <f ca="1"/>
        <v>299.85000000000002</v>
      </c>
      <c r="H391" s="101" vm="9431">
        <f ca="1"/>
        <v>265.74</v>
      </c>
      <c r="I391" s="102" vm="9432">
        <f ca="1"/>
        <v>214072878</v>
      </c>
    </row>
    <row r="392" spans="4:9" x14ac:dyDescent="0.3">
      <c r="D392" s="100" vm="2256">
        <f ca="1"/>
        <v>44816</v>
      </c>
      <c r="E392" s="101" vm="9433">
        <f ca="1"/>
        <v>303.35000000000002</v>
      </c>
      <c r="F392" s="101" vm="9434">
        <f ca="1"/>
        <v>300.72000000000003</v>
      </c>
      <c r="G392" s="101" vm="9435">
        <f ca="1"/>
        <v>309.12</v>
      </c>
      <c r="H392" s="101" vm="9436">
        <f ca="1"/>
        <v>290.39999999999998</v>
      </c>
      <c r="I392" s="102" vm="9437">
        <f ca="1"/>
        <v>341416185</v>
      </c>
    </row>
    <row r="393" spans="4:9" x14ac:dyDescent="0.3">
      <c r="D393" s="100" vm="2262">
        <f ca="1"/>
        <v>44823</v>
      </c>
      <c r="E393" s="101" vm="9438">
        <f ca="1"/>
        <v>275.33</v>
      </c>
      <c r="F393" s="101" vm="9439">
        <f ca="1"/>
        <v>300.08999999999997</v>
      </c>
      <c r="G393" s="101" vm="9440">
        <f ca="1"/>
        <v>313.8</v>
      </c>
      <c r="H393" s="101" vm="9441">
        <f ca="1"/>
        <v>272.82</v>
      </c>
      <c r="I393" s="102" vm="9442">
        <f ca="1"/>
        <v>318723370</v>
      </c>
    </row>
    <row r="394" spans="4:9" x14ac:dyDescent="0.3">
      <c r="D394" s="100" vm="2267">
        <f ca="1"/>
        <v>44830</v>
      </c>
      <c r="E394" s="101" vm="9443">
        <f ca="1"/>
        <v>265.25</v>
      </c>
      <c r="F394" s="101" vm="9444">
        <f ca="1"/>
        <v>271.83</v>
      </c>
      <c r="G394" s="101" vm="9445">
        <f ca="1"/>
        <v>289</v>
      </c>
      <c r="H394" s="101" vm="9446">
        <f ca="1"/>
        <v>262.47000000000003</v>
      </c>
      <c r="I394" s="102" vm="9447">
        <f ca="1"/>
        <v>320014147</v>
      </c>
    </row>
    <row r="395" spans="4:9" x14ac:dyDescent="0.3">
      <c r="D395" s="100" vm="2273">
        <f ca="1"/>
        <v>44837</v>
      </c>
      <c r="E395" s="101" vm="9448">
        <f ca="1"/>
        <v>223.07</v>
      </c>
      <c r="F395" s="101" vm="9449">
        <f ca="1"/>
        <v>254.5</v>
      </c>
      <c r="G395" s="101" vm="9450">
        <f ca="1"/>
        <v>257.5</v>
      </c>
      <c r="H395" s="101" vm="9451">
        <f ca="1"/>
        <v>222.02</v>
      </c>
      <c r="I395" s="102" vm="9452">
        <f ca="1"/>
        <v>448139986</v>
      </c>
    </row>
    <row r="396" spans="4:9" x14ac:dyDescent="0.3">
      <c r="D396" s="100" vm="2279">
        <f ca="1"/>
        <v>44844</v>
      </c>
      <c r="E396" s="101" vm="9453">
        <f ca="1"/>
        <v>204.99</v>
      </c>
      <c r="F396" s="101" vm="9454">
        <f ca="1"/>
        <v>223.93</v>
      </c>
      <c r="G396" s="101" vm="9455">
        <f ca="1"/>
        <v>226.99</v>
      </c>
      <c r="H396" s="101" vm="9456">
        <f ca="1"/>
        <v>204.16</v>
      </c>
      <c r="I396" s="102" vm="9457">
        <f ca="1"/>
        <v>397406475</v>
      </c>
    </row>
    <row r="397" spans="4:9" x14ac:dyDescent="0.3">
      <c r="D397" s="100" vm="2285">
        <f ca="1"/>
        <v>44851</v>
      </c>
      <c r="E397" s="101" vm="9458">
        <f ca="1"/>
        <v>214.44</v>
      </c>
      <c r="F397" s="101" vm="9459">
        <f ca="1"/>
        <v>210.04</v>
      </c>
      <c r="G397" s="101" vm="9460">
        <f ca="1"/>
        <v>229.82</v>
      </c>
      <c r="H397" s="101" vm="9461">
        <f ca="1"/>
        <v>202</v>
      </c>
      <c r="I397" s="102" vm="9462">
        <f ca="1"/>
        <v>415404010</v>
      </c>
    </row>
    <row r="398" spans="4:9" x14ac:dyDescent="0.3">
      <c r="D398" s="100" vm="2291">
        <f ca="1"/>
        <v>44858</v>
      </c>
      <c r="E398" s="101" vm="9463">
        <f ca="1"/>
        <v>228.52</v>
      </c>
      <c r="F398" s="101" vm="9464">
        <f ca="1"/>
        <v>205.82</v>
      </c>
      <c r="G398" s="101" vm="9465">
        <f ca="1"/>
        <v>233.81</v>
      </c>
      <c r="H398" s="101" vm="9466">
        <f ca="1"/>
        <v>198.58629999999999</v>
      </c>
      <c r="I398" s="102" vm="9467">
        <f ca="1"/>
        <v>413072923</v>
      </c>
    </row>
    <row r="399" spans="4:9" x14ac:dyDescent="0.3">
      <c r="D399" s="100" vm="2297">
        <f ca="1"/>
        <v>44865</v>
      </c>
      <c r="E399" s="101" vm="9468">
        <f ca="1"/>
        <v>207.47</v>
      </c>
      <c r="F399" s="101" vm="9469">
        <f ca="1"/>
        <v>226.19</v>
      </c>
      <c r="G399" s="101" vm="9470">
        <f ca="1"/>
        <v>237.39510000000001</v>
      </c>
      <c r="H399" s="101" vm="9471">
        <f ca="1"/>
        <v>203.08</v>
      </c>
      <c r="I399" s="102" vm="9472">
        <f ca="1"/>
        <v>342474516</v>
      </c>
    </row>
    <row r="400" spans="4:9" x14ac:dyDescent="0.3">
      <c r="D400" s="100" vm="2302">
        <f ca="1"/>
        <v>44872</v>
      </c>
      <c r="E400" s="101" vm="9473">
        <f ca="1"/>
        <v>195.97</v>
      </c>
      <c r="F400" s="101" vm="9474">
        <f ca="1"/>
        <v>208.65</v>
      </c>
      <c r="G400" s="101" vm="9475">
        <f ca="1"/>
        <v>208.9</v>
      </c>
      <c r="H400" s="101" vm="9476">
        <f ca="1"/>
        <v>177.12</v>
      </c>
      <c r="I400" s="102" vm="9477">
        <f ca="1"/>
        <v>596889173</v>
      </c>
    </row>
    <row r="401" spans="4:9" x14ac:dyDescent="0.3">
      <c r="D401" s="100" vm="2308">
        <f ca="1"/>
        <v>44879</v>
      </c>
      <c r="E401" s="101" vm="9478">
        <f ca="1"/>
        <v>180.19</v>
      </c>
      <c r="F401" s="101" vm="9479">
        <f ca="1"/>
        <v>192.77</v>
      </c>
      <c r="G401" s="101" vm="9480">
        <f ca="1"/>
        <v>200.8237</v>
      </c>
      <c r="H401" s="101" vm="2532">
        <f ca="1"/>
        <v>176.55</v>
      </c>
      <c r="I401" s="102" vm="9481">
        <f ca="1"/>
        <v>390472869</v>
      </c>
    </row>
    <row r="402" spans="4:9" x14ac:dyDescent="0.3">
      <c r="D402" s="100" vm="2313">
        <f ca="1"/>
        <v>44886</v>
      </c>
      <c r="E402" s="101" vm="9482">
        <f ca="1"/>
        <v>182.86</v>
      </c>
      <c r="F402" s="101" vm="9483">
        <f ca="1"/>
        <v>175.85</v>
      </c>
      <c r="G402" s="101" vm="9484">
        <f ca="1"/>
        <v>185.2</v>
      </c>
      <c r="H402" s="101" vm="9485">
        <f ca="1"/>
        <v>166.185</v>
      </c>
      <c r="I402" s="102" vm="9486">
        <f ca="1"/>
        <v>331544487</v>
      </c>
    </row>
    <row r="403" spans="4:9" x14ac:dyDescent="0.3">
      <c r="D403" s="100" vm="2319">
        <f ca="1"/>
        <v>44893</v>
      </c>
      <c r="E403" s="101" vm="9487">
        <f ca="1"/>
        <v>194.86</v>
      </c>
      <c r="F403" s="101" vm="9488">
        <f ca="1"/>
        <v>179.96</v>
      </c>
      <c r="G403" s="101" vm="9489">
        <f ca="1"/>
        <v>198.92</v>
      </c>
      <c r="H403" s="101" vm="9490">
        <f ca="1"/>
        <v>178.75</v>
      </c>
      <c r="I403" s="102" vm="9491">
        <f ca="1"/>
        <v>439273798</v>
      </c>
    </row>
    <row r="404" spans="4:9" x14ac:dyDescent="0.3">
      <c r="D404" s="100" vm="2325">
        <f ca="1"/>
        <v>44900</v>
      </c>
      <c r="E404" s="101" vm="9492">
        <f ca="1"/>
        <v>179.05</v>
      </c>
      <c r="F404" s="101" vm="9493">
        <f ca="1"/>
        <v>189.44</v>
      </c>
      <c r="G404" s="101" vm="9494">
        <f ca="1"/>
        <v>191.27</v>
      </c>
      <c r="H404" s="101" vm="9495">
        <f ca="1"/>
        <v>169.06</v>
      </c>
      <c r="I404" s="102" vm="9496">
        <f ca="1"/>
        <v>471983601</v>
      </c>
    </row>
    <row r="405" spans="4:9" x14ac:dyDescent="0.3">
      <c r="D405" s="100" vm="2330">
        <f ca="1"/>
        <v>44907</v>
      </c>
      <c r="E405" s="101" vm="9497">
        <f ca="1"/>
        <v>150.22999999999999</v>
      </c>
      <c r="F405" s="101" vm="9498">
        <f ca="1"/>
        <v>176.1</v>
      </c>
      <c r="G405" s="101" vm="9499">
        <f ca="1"/>
        <v>177.37</v>
      </c>
      <c r="H405" s="101" vm="9500">
        <f ca="1"/>
        <v>150.04</v>
      </c>
      <c r="I405" s="102" vm="9501">
        <f ca="1"/>
        <v>687706165</v>
      </c>
    </row>
    <row r="406" spans="4:9" x14ac:dyDescent="0.3">
      <c r="D406" s="100" vm="2336">
        <f ca="1"/>
        <v>44914</v>
      </c>
      <c r="E406" s="101" vm="9502">
        <f ca="1"/>
        <v>123.15</v>
      </c>
      <c r="F406" s="101" vm="9503">
        <f ca="1"/>
        <v>154</v>
      </c>
      <c r="G406" s="101" vm="9504">
        <f ca="1"/>
        <v>155.25</v>
      </c>
      <c r="H406" s="101" vm="9505">
        <f ca="1"/>
        <v>121.02</v>
      </c>
      <c r="I406" s="102" vm="9506">
        <f ca="1"/>
        <v>821451251</v>
      </c>
    </row>
    <row r="407" spans="4:9" x14ac:dyDescent="0.3">
      <c r="D407" s="100" vm="2342">
        <f ca="1"/>
        <v>44922</v>
      </c>
      <c r="E407" s="101" vm="9507">
        <f ca="1"/>
        <v>123.18</v>
      </c>
      <c r="F407" s="101" vm="9508">
        <f ca="1"/>
        <v>117.495</v>
      </c>
      <c r="G407" s="101" vm="9509">
        <f ca="1"/>
        <v>124.48</v>
      </c>
      <c r="H407" s="101" vm="9510">
        <f ca="1"/>
        <v>108.24</v>
      </c>
      <c r="I407" s="102" vm="9511">
        <f ca="1"/>
        <v>809414633</v>
      </c>
    </row>
    <row r="408" spans="4:9" x14ac:dyDescent="0.3">
      <c r="D408" s="100" vm="2348">
        <f ca="1"/>
        <v>44929</v>
      </c>
      <c r="E408" s="101" vm="7378">
        <f ca="1"/>
        <v>113.06</v>
      </c>
      <c r="F408" s="101" vm="9512">
        <f ca="1"/>
        <v>118.47</v>
      </c>
      <c r="G408" s="101" vm="9513">
        <f ca="1"/>
        <v>118.8</v>
      </c>
      <c r="H408" s="101" vm="9514">
        <f ca="1"/>
        <v>101.81</v>
      </c>
      <c r="I408" s="102" vm="9515">
        <f ca="1"/>
        <v>790689169</v>
      </c>
    </row>
    <row r="409" spans="4:9" x14ac:dyDescent="0.3">
      <c r="D409" s="100" vm="2354">
        <f ca="1"/>
        <v>44935</v>
      </c>
      <c r="E409" s="101" vm="9516">
        <f ca="1"/>
        <v>122.4</v>
      </c>
      <c r="F409" s="101" vm="9517">
        <f ca="1"/>
        <v>118.96</v>
      </c>
      <c r="G409" s="101" vm="1716">
        <f ca="1"/>
        <v>125.95</v>
      </c>
      <c r="H409" s="101" vm="9518">
        <f ca="1"/>
        <v>114.92</v>
      </c>
      <c r="I409" s="102" vm="9519">
        <f ca="1"/>
        <v>891852239</v>
      </c>
    </row>
    <row r="410" spans="4:9" x14ac:dyDescent="0.3">
      <c r="D410" s="100" vm="2360">
        <f ca="1"/>
        <v>44943</v>
      </c>
      <c r="E410" s="101" vm="2190">
        <f ca="1"/>
        <v>133.41999999999999</v>
      </c>
      <c r="F410" s="101" vm="9520">
        <f ca="1"/>
        <v>125.69499999999999</v>
      </c>
      <c r="G410" s="101" vm="9521">
        <f ca="1"/>
        <v>136.68</v>
      </c>
      <c r="H410" s="101" vm="9522">
        <f ca="1"/>
        <v>124.3082</v>
      </c>
      <c r="I410" s="102" vm="9523">
        <f ca="1"/>
        <v>691307319</v>
      </c>
    </row>
    <row r="411" spans="4:9" x14ac:dyDescent="0.3">
      <c r="D411" s="100" vm="2365">
        <f ca="1"/>
        <v>44949</v>
      </c>
      <c r="E411" s="101" vm="9524">
        <f ca="1"/>
        <v>177.9</v>
      </c>
      <c r="F411" s="101" vm="9525">
        <f ca="1"/>
        <v>135.87</v>
      </c>
      <c r="G411" s="101" vm="9526">
        <f ca="1"/>
        <v>180.68</v>
      </c>
      <c r="H411" s="101" vm="9527">
        <f ca="1"/>
        <v>134.27000000000001</v>
      </c>
      <c r="I411" s="102" vm="9528">
        <f ca="1"/>
        <v>1095958317</v>
      </c>
    </row>
    <row r="412" spans="4:9" x14ac:dyDescent="0.3">
      <c r="D412" s="100" vm="2371">
        <f ca="1"/>
        <v>44956</v>
      </c>
      <c r="E412" s="101" vm="2555">
        <f ca="1"/>
        <v>189.98</v>
      </c>
      <c r="F412" s="101" vm="9529">
        <f ca="1"/>
        <v>178.05</v>
      </c>
      <c r="G412" s="101" vm="9530">
        <f ca="1"/>
        <v>199</v>
      </c>
      <c r="H412" s="101" vm="9531">
        <f ca="1"/>
        <v>162.78</v>
      </c>
      <c r="I412" s="102" vm="9532">
        <f ca="1"/>
        <v>1091608981</v>
      </c>
    </row>
    <row r="413" spans="4:9" x14ac:dyDescent="0.3">
      <c r="D413" s="100" vm="2376">
        <f ca="1"/>
        <v>44963</v>
      </c>
      <c r="E413" s="101" vm="2777">
        <f ca="1"/>
        <v>196.89</v>
      </c>
      <c r="F413" s="101" vm="9533">
        <f ca="1"/>
        <v>193.01</v>
      </c>
      <c r="G413" s="101" vm="9534">
        <f ca="1"/>
        <v>214</v>
      </c>
      <c r="H413" s="101" vm="9535">
        <f ca="1"/>
        <v>189.55</v>
      </c>
      <c r="I413" s="102" vm="9536">
        <f ca="1"/>
        <v>973057671</v>
      </c>
    </row>
    <row r="414" spans="4:9" x14ac:dyDescent="0.3">
      <c r="D414" s="100" vm="2382">
        <f ca="1"/>
        <v>44970</v>
      </c>
      <c r="E414" s="101" vm="9537">
        <f ca="1"/>
        <v>208.31</v>
      </c>
      <c r="F414" s="101" vm="9538">
        <f ca="1"/>
        <v>194.41499999999999</v>
      </c>
      <c r="G414" s="101" vm="9539">
        <f ca="1"/>
        <v>217.65</v>
      </c>
      <c r="H414" s="101" vm="9540">
        <f ca="1"/>
        <v>187.61</v>
      </c>
      <c r="I414" s="102" vm="9541">
        <f ca="1"/>
        <v>1014364828</v>
      </c>
    </row>
    <row r="415" spans="4:9" x14ac:dyDescent="0.3">
      <c r="D415" s="100" vm="2388">
        <f ca="1"/>
        <v>44978</v>
      </c>
      <c r="E415" s="101" vm="9542">
        <f ca="1"/>
        <v>196.88</v>
      </c>
      <c r="F415" s="101" vm="9453">
        <f ca="1"/>
        <v>204.99</v>
      </c>
      <c r="G415" s="101" vm="9543">
        <f ca="1"/>
        <v>209.71</v>
      </c>
      <c r="H415" s="101" vm="9544">
        <f ca="1"/>
        <v>191.78</v>
      </c>
      <c r="I415" s="102" vm="9545">
        <f ca="1"/>
        <v>660435100</v>
      </c>
    </row>
    <row r="416" spans="4:9" x14ac:dyDescent="0.3">
      <c r="D416" s="100" vm="2394">
        <f ca="1"/>
        <v>44984</v>
      </c>
      <c r="E416" s="101" vm="9546">
        <f ca="1"/>
        <v>197.79</v>
      </c>
      <c r="F416" s="101" vm="9547">
        <f ca="1"/>
        <v>202.03</v>
      </c>
      <c r="G416" s="101" vm="9548">
        <f ca="1"/>
        <v>211.23</v>
      </c>
      <c r="H416" s="101" vm="9549">
        <f ca="1"/>
        <v>186.01</v>
      </c>
      <c r="I416" s="102" vm="9550">
        <f ca="1"/>
        <v>807198448</v>
      </c>
    </row>
    <row r="417" spans="4:9" x14ac:dyDescent="0.3">
      <c r="D417" s="100" vm="2400">
        <f ca="1"/>
        <v>44991</v>
      </c>
      <c r="E417" s="101" vm="9551">
        <f ca="1"/>
        <v>173.44</v>
      </c>
      <c r="F417" s="101" vm="9552">
        <f ca="1"/>
        <v>198.54</v>
      </c>
      <c r="G417" s="101" vm="9553">
        <f ca="1"/>
        <v>198.6</v>
      </c>
      <c r="H417" s="101" vm="9554">
        <f ca="1"/>
        <v>168.44</v>
      </c>
      <c r="I417" s="102" vm="9555">
        <f ca="1"/>
        <v>789636325</v>
      </c>
    </row>
    <row r="418" spans="4:9" x14ac:dyDescent="0.3">
      <c r="D418" s="100" vm="2406">
        <f ca="1"/>
        <v>44998</v>
      </c>
      <c r="E418" s="101" vm="9556">
        <f ca="1"/>
        <v>180.13</v>
      </c>
      <c r="F418" s="101" vm="9557">
        <f ca="1"/>
        <v>167.45500000000001</v>
      </c>
      <c r="G418" s="101" vm="9558">
        <f ca="1"/>
        <v>186.2199</v>
      </c>
      <c r="H418" s="101" vm="9559">
        <f ca="1"/>
        <v>163.91</v>
      </c>
      <c r="I418" s="102" vm="9560">
        <f ca="1"/>
        <v>712075329</v>
      </c>
    </row>
    <row r="419" spans="4:9" x14ac:dyDescent="0.3">
      <c r="D419" s="100" vm="2411">
        <f ca="1"/>
        <v>45005</v>
      </c>
      <c r="E419" s="101" vm="9561">
        <f ca="1"/>
        <v>190.41</v>
      </c>
      <c r="F419" s="101" vm="9562">
        <f ca="1"/>
        <v>178.08</v>
      </c>
      <c r="G419" s="101" vm="9563">
        <f ca="1"/>
        <v>200.66</v>
      </c>
      <c r="H419" s="101" vm="9564">
        <f ca="1"/>
        <v>176.35</v>
      </c>
      <c r="I419" s="102" vm="9565">
        <f ca="1"/>
        <v>694177636</v>
      </c>
    </row>
    <row r="420" spans="4:9" x14ac:dyDescent="0.3">
      <c r="D420" s="100" vm="2417">
        <f ca="1"/>
        <v>45012</v>
      </c>
      <c r="E420" s="101" vm="9566">
        <f ca="1"/>
        <v>207.46</v>
      </c>
      <c r="F420" s="101" vm="9538">
        <f ca="1"/>
        <v>194.41499999999999</v>
      </c>
      <c r="G420" s="101" vm="9567">
        <f ca="1"/>
        <v>207.79</v>
      </c>
      <c r="H420" s="101" vm="9568">
        <f ca="1"/>
        <v>185.43</v>
      </c>
      <c r="I420" s="102" vm="9569">
        <f ca="1"/>
        <v>623640604</v>
      </c>
    </row>
    <row r="421" spans="4:9" x14ac:dyDescent="0.3">
      <c r="D421" s="100" vm="2423">
        <f ca="1"/>
        <v>45019</v>
      </c>
      <c r="E421" s="101" vm="9570">
        <f ca="1"/>
        <v>185.06</v>
      </c>
      <c r="F421" s="101" vm="9571">
        <f ca="1"/>
        <v>199.91</v>
      </c>
      <c r="G421" s="101" vm="9572">
        <f ca="1"/>
        <v>202.68969999999999</v>
      </c>
      <c r="H421" s="101" vm="9573">
        <f ca="1"/>
        <v>179.74</v>
      </c>
      <c r="I421" s="102" vm="9574">
        <f ca="1"/>
        <v>553750170</v>
      </c>
    </row>
    <row r="422" spans="4:9" x14ac:dyDescent="0.3">
      <c r="D422" s="100" vm="2429">
        <f ca="1"/>
        <v>45026</v>
      </c>
      <c r="E422" s="101" vm="9575">
        <f ca="1"/>
        <v>185</v>
      </c>
      <c r="F422" s="101" vm="9576">
        <f ca="1"/>
        <v>179.94</v>
      </c>
      <c r="G422" s="101" vm="9577">
        <f ca="1"/>
        <v>191.58459999999999</v>
      </c>
      <c r="H422" s="101" vm="9578">
        <f ca="1"/>
        <v>176.11</v>
      </c>
      <c r="I422" s="102" vm="9579">
        <f ca="1"/>
        <v>617553456</v>
      </c>
    </row>
    <row r="423" spans="4:9" x14ac:dyDescent="0.3">
      <c r="D423" s="100" vm="2435">
        <f ca="1"/>
        <v>45033</v>
      </c>
      <c r="E423" s="101" vm="9580">
        <f ca="1"/>
        <v>165.08</v>
      </c>
      <c r="F423" s="101" vm="9581">
        <f ca="1"/>
        <v>186.32</v>
      </c>
      <c r="G423" s="101" vm="2612">
        <f ca="1"/>
        <v>189.69</v>
      </c>
      <c r="H423" s="101" vm="9582">
        <f ca="1"/>
        <v>160.56</v>
      </c>
      <c r="I423" s="102" vm="9583">
        <f ca="1"/>
        <v>668971665</v>
      </c>
    </row>
    <row r="424" spans="4:9" x14ac:dyDescent="0.3">
      <c r="D424" s="100" vm="2440">
        <f ca="1"/>
        <v>45040</v>
      </c>
      <c r="E424" s="101" vm="2449">
        <f ca="1"/>
        <v>164.31</v>
      </c>
      <c r="F424" s="101" vm="9584">
        <f ca="1"/>
        <v>164.65</v>
      </c>
      <c r="G424" s="101" vm="9585">
        <f ca="1"/>
        <v>165.65</v>
      </c>
      <c r="H424" s="101" vm="9586">
        <f ca="1"/>
        <v>152.37</v>
      </c>
      <c r="I424" s="102" vm="9587">
        <f ca="1"/>
        <v>664901002</v>
      </c>
    </row>
    <row r="425" spans="4:9" x14ac:dyDescent="0.3">
      <c r="D425" s="100" vm="2445">
        <f ca="1"/>
        <v>45047</v>
      </c>
      <c r="E425" s="101" vm="2718">
        <f ca="1"/>
        <v>170.06</v>
      </c>
      <c r="F425" s="101" vm="2094">
        <f ca="1"/>
        <v>163.16999999999999</v>
      </c>
      <c r="G425" s="101" vm="9588">
        <f ca="1"/>
        <v>170.78989999999999</v>
      </c>
      <c r="H425" s="101" vm="9589">
        <f ca="1"/>
        <v>158.83000000000001</v>
      </c>
      <c r="I425" s="102" vm="9590">
        <f ca="1"/>
        <v>559718515</v>
      </c>
    </row>
    <row r="426" spans="4:9" x14ac:dyDescent="0.3">
      <c r="D426" s="100" vm="2451">
        <f ca="1"/>
        <v>45054</v>
      </c>
      <c r="E426" s="101" vm="9591">
        <f ca="1"/>
        <v>167.98</v>
      </c>
      <c r="F426" s="101" vm="9592">
        <f ca="1"/>
        <v>173.72</v>
      </c>
      <c r="G426" s="101" vm="2701">
        <f ca="1"/>
        <v>177.38</v>
      </c>
      <c r="H426" s="101" vm="9593">
        <f ca="1"/>
        <v>166.56</v>
      </c>
      <c r="I426" s="102" vm="9594">
        <f ca="1"/>
        <v>582794740</v>
      </c>
    </row>
    <row r="427" spans="4:9" x14ac:dyDescent="0.3">
      <c r="D427" s="100" vm="2457">
        <f ca="1"/>
        <v>45061</v>
      </c>
      <c r="E427" s="101" vm="9595">
        <f ca="1"/>
        <v>180.14</v>
      </c>
      <c r="F427" s="101" vm="9596">
        <f ca="1"/>
        <v>167.655</v>
      </c>
      <c r="G427" s="101" vm="9597">
        <f ca="1"/>
        <v>181.95</v>
      </c>
      <c r="H427" s="101" vm="9598">
        <f ca="1"/>
        <v>164.35</v>
      </c>
      <c r="I427" s="102" vm="9599">
        <f ca="1"/>
        <v>575071860</v>
      </c>
    </row>
    <row r="428" spans="4:9" x14ac:dyDescent="0.3">
      <c r="D428" s="100" vm="2463">
        <f ca="1"/>
        <v>45068</v>
      </c>
      <c r="E428" s="101" vm="9600">
        <f ca="1"/>
        <v>193.17</v>
      </c>
      <c r="F428" s="101" vm="9601">
        <f ca="1"/>
        <v>180.7</v>
      </c>
      <c r="G428" s="101" vm="9553">
        <f ca="1"/>
        <v>198.6</v>
      </c>
      <c r="H428" s="101" vm="9602">
        <f ca="1"/>
        <v>178.22</v>
      </c>
      <c r="I428" s="102" vm="9603">
        <f ca="1"/>
        <v>685490829</v>
      </c>
    </row>
    <row r="429" spans="4:9" x14ac:dyDescent="0.3">
      <c r="D429" s="100" vm="2469">
        <f ca="1"/>
        <v>45076</v>
      </c>
      <c r="E429" s="101" vm="9604">
        <f ca="1"/>
        <v>213.97</v>
      </c>
      <c r="F429" s="101" vm="9605">
        <f ca="1"/>
        <v>200.1</v>
      </c>
      <c r="G429" s="101" vm="9606">
        <f ca="1"/>
        <v>217.25</v>
      </c>
      <c r="H429" s="101" vm="9607">
        <f ca="1"/>
        <v>195.12</v>
      </c>
      <c r="I429" s="102" vm="9608">
        <f ca="1"/>
        <v>591958785</v>
      </c>
    </row>
    <row r="430" spans="4:9" x14ac:dyDescent="0.3">
      <c r="D430" s="100" vm="2475">
        <f ca="1"/>
        <v>45082</v>
      </c>
      <c r="E430" s="101" vm="9609">
        <f ca="1"/>
        <v>244.4</v>
      </c>
      <c r="F430" s="101" vm="9610">
        <f ca="1"/>
        <v>217.8</v>
      </c>
      <c r="G430" s="101" vm="9611">
        <f ca="1"/>
        <v>252.42</v>
      </c>
      <c r="H430" s="101" vm="9612">
        <f ca="1"/>
        <v>212.53</v>
      </c>
      <c r="I430" s="102" vm="9613">
        <f ca="1"/>
        <v>848497515</v>
      </c>
    </row>
    <row r="431" spans="4:9" x14ac:dyDescent="0.3">
      <c r="D431" s="100" vm="2481">
        <f ca="1"/>
        <v>45089</v>
      </c>
      <c r="E431" s="101" vm="9614">
        <f ca="1"/>
        <v>260.54000000000002</v>
      </c>
      <c r="F431" s="101" vm="9615">
        <f ca="1"/>
        <v>247.94</v>
      </c>
      <c r="G431" s="101" vm="9616">
        <f ca="1"/>
        <v>263.60000000000002</v>
      </c>
      <c r="H431" s="101" vm="9617">
        <f ca="1"/>
        <v>244.59</v>
      </c>
      <c r="I431" s="102" vm="9618">
        <f ca="1"/>
        <v>811787289</v>
      </c>
    </row>
    <row r="432" spans="4:9" x14ac:dyDescent="0.3">
      <c r="D432" s="100" vm="2487">
        <f ca="1"/>
        <v>45097</v>
      </c>
      <c r="E432" s="101" vm="9619">
        <f ca="1"/>
        <v>256.60000000000002</v>
      </c>
      <c r="F432" s="101" vm="9620">
        <f ca="1"/>
        <v>261.5</v>
      </c>
      <c r="G432" s="101" vm="9621">
        <f ca="1"/>
        <v>276.99</v>
      </c>
      <c r="H432" s="101" vm="9622">
        <f ca="1"/>
        <v>248.25</v>
      </c>
      <c r="I432" s="102" vm="9623">
        <f ca="1"/>
        <v>721745073</v>
      </c>
    </row>
    <row r="433" spans="4:9" x14ac:dyDescent="0.3">
      <c r="D433" s="100" vm="2493">
        <f ca="1"/>
        <v>45103</v>
      </c>
      <c r="E433" s="101" vm="9624">
        <f ca="1"/>
        <v>261.77</v>
      </c>
      <c r="F433" s="101" vm="9625">
        <f ca="1"/>
        <v>250.065</v>
      </c>
      <c r="G433" s="101" vm="9626">
        <f ca="1"/>
        <v>264.45</v>
      </c>
      <c r="H433" s="101" vm="9627">
        <f ca="1"/>
        <v>240.7</v>
      </c>
      <c r="I433" s="102" vm="9628">
        <f ca="1"/>
        <v>748633707</v>
      </c>
    </row>
    <row r="434" spans="4:9" x14ac:dyDescent="0.3">
      <c r="D434" s="100" vm="2499">
        <f ca="1"/>
        <v>45110</v>
      </c>
      <c r="E434" s="101" vm="9629">
        <f ca="1"/>
        <v>274.43</v>
      </c>
      <c r="F434" s="101" vm="9630">
        <f ca="1"/>
        <v>276.49</v>
      </c>
      <c r="G434" s="101" vm="9631">
        <f ca="1"/>
        <v>284.25</v>
      </c>
      <c r="H434" s="101" vm="9632">
        <f ca="1"/>
        <v>272.88</v>
      </c>
      <c r="I434" s="102" vm="9633">
        <f ca="1"/>
        <v>485803346</v>
      </c>
    </row>
    <row r="435" spans="4:9" x14ac:dyDescent="0.3">
      <c r="D435" s="100" vm="2505">
        <f ca="1"/>
        <v>45117</v>
      </c>
      <c r="E435" s="101" vm="9634">
        <f ca="1"/>
        <v>281.38</v>
      </c>
      <c r="F435" s="101" vm="9635">
        <f ca="1"/>
        <v>276.47000000000003</v>
      </c>
      <c r="G435" s="101" vm="9636">
        <f ca="1"/>
        <v>285.3</v>
      </c>
      <c r="H435" s="101" vm="9637">
        <f ca="1"/>
        <v>265.10000000000002</v>
      </c>
      <c r="I435" s="102" vm="9638">
        <f ca="1"/>
        <v>539813729</v>
      </c>
    </row>
    <row r="436" spans="4:9" x14ac:dyDescent="0.3">
      <c r="D436" s="100" vm="2511">
        <f ca="1"/>
        <v>45124</v>
      </c>
      <c r="E436" s="101" vm="9639">
        <f ca="1"/>
        <v>260.02</v>
      </c>
      <c r="F436" s="101" vm="9640">
        <f ca="1"/>
        <v>286.625</v>
      </c>
      <c r="G436" s="101" vm="9641">
        <f ca="1"/>
        <v>299.29000000000002</v>
      </c>
      <c r="H436" s="101" vm="9642">
        <f ca="1"/>
        <v>255.8</v>
      </c>
      <c r="I436" s="102" vm="9643">
        <f ca="1"/>
        <v>723314005</v>
      </c>
    </row>
    <row r="437" spans="4:9" x14ac:dyDescent="0.3">
      <c r="D437" s="100" vm="2517">
        <f ca="1"/>
        <v>45131</v>
      </c>
      <c r="E437" s="101" vm="9644">
        <f ca="1"/>
        <v>266.44</v>
      </c>
      <c r="F437" s="101" vm="9645">
        <f ca="1"/>
        <v>255.85</v>
      </c>
      <c r="G437" s="101" vm="9646">
        <f ca="1"/>
        <v>272.89999999999998</v>
      </c>
      <c r="H437" s="101" vm="9647">
        <f ca="1"/>
        <v>254.12</v>
      </c>
      <c r="I437" s="102" vm="9648">
        <f ca="1"/>
        <v>560761830</v>
      </c>
    </row>
    <row r="438" spans="4:9" x14ac:dyDescent="0.3">
      <c r="D438" s="100" vm="2523">
        <f ca="1"/>
        <v>45138</v>
      </c>
      <c r="E438" s="101" vm="9649">
        <f ca="1"/>
        <v>253.86</v>
      </c>
      <c r="F438" s="101" vm="9650">
        <f ca="1"/>
        <v>267.48</v>
      </c>
      <c r="G438" s="101" vm="9651">
        <f ca="1"/>
        <v>269.08</v>
      </c>
      <c r="H438" s="101" vm="9652">
        <f ca="1"/>
        <v>250.49</v>
      </c>
      <c r="I438" s="102" vm="9653">
        <f ca="1"/>
        <v>467350209</v>
      </c>
    </row>
    <row r="439" spans="4:9" x14ac:dyDescent="0.3">
      <c r="D439" s="100" vm="2529">
        <f ca="1"/>
        <v>45145</v>
      </c>
      <c r="E439" s="101" vm="9654">
        <f ca="1"/>
        <v>242.65</v>
      </c>
      <c r="F439" s="101" vm="9655">
        <f ca="1"/>
        <v>251.45</v>
      </c>
      <c r="G439" s="101" vm="9656">
        <f ca="1"/>
        <v>253.65110000000001</v>
      </c>
      <c r="H439" s="101" vm="9657">
        <f ca="1"/>
        <v>238.02</v>
      </c>
      <c r="I439" s="102" vm="9658">
        <f ca="1"/>
        <v>517873700</v>
      </c>
    </row>
    <row r="440" spans="4:9" x14ac:dyDescent="0.3">
      <c r="D440" s="100" vm="2534">
        <f ca="1"/>
        <v>45152</v>
      </c>
      <c r="E440" s="101" vm="9659">
        <f ca="1"/>
        <v>215.49</v>
      </c>
      <c r="F440" s="101" vm="9660">
        <f ca="1"/>
        <v>235.7</v>
      </c>
      <c r="G440" s="101" vm="9661">
        <f ca="1"/>
        <v>240.66</v>
      </c>
      <c r="H440" s="101" vm="9662">
        <f ca="1"/>
        <v>212.36</v>
      </c>
      <c r="I440" s="102" vm="9663">
        <f ca="1"/>
        <v>556272451</v>
      </c>
    </row>
    <row r="441" spans="4:9" x14ac:dyDescent="0.3">
      <c r="D441" s="100" vm="2540">
        <f ca="1"/>
        <v>45159</v>
      </c>
      <c r="E441" s="101" vm="9664">
        <f ca="1"/>
        <v>238.59</v>
      </c>
      <c r="F441" s="101" vm="9665">
        <f ca="1"/>
        <v>221.55119999999999</v>
      </c>
      <c r="G441" s="101" vm="9666">
        <f ca="1"/>
        <v>240.82</v>
      </c>
      <c r="H441" s="101" vm="9667">
        <f ca="1"/>
        <v>220.58</v>
      </c>
      <c r="I441" s="102" vm="9668">
        <f ca="1"/>
        <v>573767855</v>
      </c>
    </row>
    <row r="442" spans="4:9" x14ac:dyDescent="0.3">
      <c r="D442" s="100" vm="2546">
        <f ca="1"/>
        <v>45166</v>
      </c>
      <c r="E442" s="101" vm="9669">
        <f ca="1"/>
        <v>245.01</v>
      </c>
      <c r="F442" s="101" vm="9670">
        <f ca="1"/>
        <v>242.58</v>
      </c>
      <c r="G442" s="101" vm="9671">
        <f ca="1"/>
        <v>261.18</v>
      </c>
      <c r="H442" s="101" vm="9672">
        <f ca="1"/>
        <v>235.35</v>
      </c>
      <c r="I442" s="102" vm="9673">
        <f ca="1"/>
        <v>605113105</v>
      </c>
    </row>
    <row r="443" spans="4:9" x14ac:dyDescent="0.3">
      <c r="D443" s="100" vm="2552">
        <f ca="1"/>
        <v>45174</v>
      </c>
      <c r="E443" s="101" vm="9674">
        <f ca="1"/>
        <v>248.5</v>
      </c>
      <c r="F443" s="101" vm="9675">
        <f ca="1"/>
        <v>245</v>
      </c>
      <c r="G443" s="101" vm="9676">
        <f ca="1"/>
        <v>258</v>
      </c>
      <c r="H443" s="101" vm="9677">
        <f ca="1"/>
        <v>243.26499999999999</v>
      </c>
      <c r="I443" s="102" vm="9678">
        <f ca="1"/>
        <v>480301845</v>
      </c>
    </row>
    <row r="444" spans="4:9" x14ac:dyDescent="0.3">
      <c r="D444" s="100" vm="2558">
        <f ca="1"/>
        <v>45180</v>
      </c>
      <c r="E444" s="101" vm="9679">
        <f ca="1"/>
        <v>274.39</v>
      </c>
      <c r="F444" s="101" vm="9680">
        <f ca="1"/>
        <v>264.27</v>
      </c>
      <c r="G444" s="101" vm="9681">
        <f ca="1"/>
        <v>278.98</v>
      </c>
      <c r="H444" s="101" vm="9682">
        <f ca="1"/>
        <v>260.61</v>
      </c>
      <c r="I444" s="102" vm="9683">
        <f ca="1"/>
        <v>663743610</v>
      </c>
    </row>
    <row r="445" spans="4:9" x14ac:dyDescent="0.3">
      <c r="D445" s="100" vm="2564">
        <f ca="1"/>
        <v>45187</v>
      </c>
      <c r="E445" s="101" vm="9684">
        <f ca="1"/>
        <v>244.88</v>
      </c>
      <c r="F445" s="101" vm="9685">
        <f ca="1"/>
        <v>271.16000000000003</v>
      </c>
      <c r="G445" s="101" vm="9686">
        <f ca="1"/>
        <v>273.93</v>
      </c>
      <c r="H445" s="101" vm="9687">
        <f ca="1"/>
        <v>244.48</v>
      </c>
      <c r="I445" s="102" vm="9688">
        <f ca="1"/>
        <v>575237587</v>
      </c>
    </row>
    <row r="446" spans="4:9" x14ac:dyDescent="0.3">
      <c r="D446" s="100" vm="2570">
        <f ca="1"/>
        <v>45194</v>
      </c>
      <c r="E446" s="101" vm="9689">
        <f ca="1"/>
        <v>250.22</v>
      </c>
      <c r="F446" s="101" vm="9690">
        <f ca="1"/>
        <v>243.38</v>
      </c>
      <c r="G446" s="101" vm="2948">
        <f ca="1"/>
        <v>254.77</v>
      </c>
      <c r="H446" s="101" vm="9691">
        <f ca="1"/>
        <v>234.58</v>
      </c>
      <c r="I446" s="102" vm="9692">
        <f ca="1"/>
        <v>588808971</v>
      </c>
    </row>
    <row r="447" spans="4:9" x14ac:dyDescent="0.3">
      <c r="D447" s="100" vm="2576">
        <f ca="1"/>
        <v>45201</v>
      </c>
      <c r="E447" s="101" vm="9693">
        <f ca="1"/>
        <v>260.52999999999997</v>
      </c>
      <c r="F447" s="101" vm="9694">
        <f ca="1"/>
        <v>244.81</v>
      </c>
      <c r="G447" s="101" vm="9616">
        <f ca="1"/>
        <v>263.60000000000002</v>
      </c>
      <c r="H447" s="101" vm="9695">
        <f ca="1"/>
        <v>242.62</v>
      </c>
      <c r="I447" s="102" vm="9696">
        <f ca="1"/>
        <v>592798300</v>
      </c>
    </row>
    <row r="448" spans="4:9" x14ac:dyDescent="0.3">
      <c r="D448" s="100" vm="2582">
        <f ca="1"/>
        <v>45208</v>
      </c>
      <c r="E448" s="101" vm="9697">
        <f ca="1"/>
        <v>251.12</v>
      </c>
      <c r="F448" s="101" vm="9698">
        <f ca="1"/>
        <v>255.31</v>
      </c>
      <c r="G448" s="101" vm="9699">
        <f ca="1"/>
        <v>268.94</v>
      </c>
      <c r="H448" s="101" vm="9689">
        <f ca="1"/>
        <v>250.22</v>
      </c>
      <c r="I448" s="102" vm="9700">
        <f ca="1"/>
        <v>541545143</v>
      </c>
    </row>
    <row r="449" spans="4:9" x14ac:dyDescent="0.3">
      <c r="D449" s="100" vm="2588">
        <f ca="1"/>
        <v>45215</v>
      </c>
      <c r="E449" s="101" vm="9701">
        <f ca="1"/>
        <v>211.99</v>
      </c>
      <c r="F449" s="101" vm="9702">
        <f ca="1"/>
        <v>250.05</v>
      </c>
      <c r="G449" s="101" vm="9703">
        <f ca="1"/>
        <v>257.18299999999999</v>
      </c>
      <c r="H449" s="101" vm="9704">
        <f ca="1"/>
        <v>210.42</v>
      </c>
      <c r="I449" s="102" vm="9705">
        <f ca="1"/>
        <v>616410739</v>
      </c>
    </row>
    <row r="450" spans="4:9" x14ac:dyDescent="0.3">
      <c r="D450" s="100" vm="2594">
        <f ca="1"/>
        <v>45222</v>
      </c>
      <c r="E450" s="101" vm="9706">
        <f ca="1"/>
        <v>207.3</v>
      </c>
      <c r="F450" s="101" vm="3051">
        <f ca="1"/>
        <v>210</v>
      </c>
      <c r="G450" s="101" vm="9707">
        <f ca="1"/>
        <v>222.05</v>
      </c>
      <c r="H450" s="101" vm="9708">
        <f ca="1"/>
        <v>202.51</v>
      </c>
      <c r="I450" s="102" vm="9709">
        <f ca="1"/>
        <v>585973376</v>
      </c>
    </row>
    <row r="451" spans="4:9" x14ac:dyDescent="0.3">
      <c r="D451" s="100" vm="2600">
        <f ca="1"/>
        <v>45229</v>
      </c>
      <c r="E451" s="101" vm="9710">
        <f ca="1"/>
        <v>219.96</v>
      </c>
      <c r="F451" s="101" vm="3044">
        <f ca="1"/>
        <v>209.28</v>
      </c>
      <c r="G451" s="101" vm="9711">
        <f ca="1"/>
        <v>226.37010000000001</v>
      </c>
      <c r="H451" s="101" vm="9712">
        <f ca="1"/>
        <v>194.07</v>
      </c>
      <c r="I451" s="102" vm="9713">
        <f ca="1"/>
        <v>621700507</v>
      </c>
    </row>
    <row r="452" spans="4:9" x14ac:dyDescent="0.3">
      <c r="D452" s="100" vm="2605">
        <f ca="1"/>
        <v>45236</v>
      </c>
      <c r="E452" s="101" vm="9714">
        <f ca="1"/>
        <v>214.65</v>
      </c>
      <c r="F452" s="101" vm="2977">
        <f ca="1"/>
        <v>223.98</v>
      </c>
      <c r="G452" s="101" vm="9715">
        <f ca="1"/>
        <v>226.32</v>
      </c>
      <c r="H452" s="101" vm="9716">
        <f ca="1"/>
        <v>205.69</v>
      </c>
      <c r="I452" s="102" vm="9717">
        <f ca="1"/>
        <v>614241373</v>
      </c>
    </row>
    <row r="453" spans="4:9" x14ac:dyDescent="0.3">
      <c r="D453" s="100" vm="2611">
        <f ca="1"/>
        <v>45243</v>
      </c>
      <c r="E453" s="101" vm="9718">
        <f ca="1"/>
        <v>234.3</v>
      </c>
      <c r="F453" s="101" vm="2839">
        <f ca="1"/>
        <v>215.6</v>
      </c>
      <c r="G453" s="101" vm="9719">
        <f ca="1"/>
        <v>246.7</v>
      </c>
      <c r="H453" s="101" vm="9720">
        <f ca="1"/>
        <v>211.61009999999999</v>
      </c>
      <c r="I453" s="102" vm="9721">
        <f ca="1"/>
        <v>720156239</v>
      </c>
    </row>
    <row r="454" spans="4:9" x14ac:dyDescent="0.3">
      <c r="D454" s="100" vm="2617">
        <f ca="1"/>
        <v>45250</v>
      </c>
      <c r="E454" s="101" vm="9722">
        <f ca="1"/>
        <v>235.45</v>
      </c>
      <c r="F454" s="101" vm="9723">
        <f ca="1"/>
        <v>234.04</v>
      </c>
      <c r="G454" s="101" vm="9724">
        <f ca="1"/>
        <v>244.01</v>
      </c>
      <c r="H454" s="101" vm="9725">
        <f ca="1"/>
        <v>231.02</v>
      </c>
      <c r="I454" s="102" vm="9726">
        <f ca="1"/>
        <v>422092683</v>
      </c>
    </row>
    <row r="455" spans="4:9" x14ac:dyDescent="0.3">
      <c r="D455" s="100" vm="2623">
        <f ca="1"/>
        <v>45257</v>
      </c>
      <c r="E455" s="101" vm="9727">
        <f ca="1"/>
        <v>238.83</v>
      </c>
      <c r="F455" s="101" vm="9728">
        <f ca="1"/>
        <v>236.89</v>
      </c>
      <c r="G455" s="101" vm="9729">
        <f ca="1"/>
        <v>252.75</v>
      </c>
      <c r="H455" s="101" vm="9730">
        <f ca="1"/>
        <v>231.9</v>
      </c>
      <c r="I455" s="102" vm="9731">
        <f ca="1"/>
        <v>649667916</v>
      </c>
    </row>
    <row r="456" spans="4:9" x14ac:dyDescent="0.3">
      <c r="D456" s="100" vm="2628">
        <f ca="1"/>
        <v>45264</v>
      </c>
      <c r="E456" s="101" vm="9732">
        <f ca="1"/>
        <v>243.84</v>
      </c>
      <c r="F456" s="101" vm="9733">
        <f ca="1"/>
        <v>235.75</v>
      </c>
      <c r="G456" s="101" vm="9734">
        <f ca="1"/>
        <v>246.66</v>
      </c>
      <c r="H456" s="101" vm="9735">
        <f ca="1"/>
        <v>233.2902</v>
      </c>
      <c r="I456" s="102" vm="9736">
        <f ca="1"/>
        <v>578776202</v>
      </c>
    </row>
    <row r="457" spans="4:9" x14ac:dyDescent="0.3">
      <c r="D457" s="100" vm="2633">
        <f ca="1"/>
        <v>45271</v>
      </c>
      <c r="E457" s="101" vm="2955">
        <f ca="1"/>
        <v>253.5</v>
      </c>
      <c r="F457" s="101" vm="9737">
        <f ca="1"/>
        <v>242.74</v>
      </c>
      <c r="G457" s="101" vm="9738">
        <f ca="1"/>
        <v>254.13</v>
      </c>
      <c r="H457" s="101" vm="2864">
        <f ca="1"/>
        <v>228.2</v>
      </c>
      <c r="I457" s="102" vm="9739">
        <f ca="1"/>
        <v>636290550</v>
      </c>
    </row>
    <row r="458" spans="4:9" x14ac:dyDescent="0.3">
      <c r="D458" s="100" vm="2639">
        <f ca="1"/>
        <v>45278</v>
      </c>
      <c r="E458" s="101" vm="9740">
        <f ca="1"/>
        <v>252.54</v>
      </c>
      <c r="F458" s="101" vm="9741">
        <f ca="1"/>
        <v>253.78</v>
      </c>
      <c r="G458" s="101" vm="9742">
        <f ca="1"/>
        <v>259.83999999999997</v>
      </c>
      <c r="H458" s="101" vm="9743">
        <f ca="1"/>
        <v>247</v>
      </c>
      <c r="I458" s="102" vm="9744">
        <f ca="1"/>
        <v>551215167</v>
      </c>
    </row>
    <row r="459" spans="4:9" x14ac:dyDescent="0.3">
      <c r="D459" s="100" vm="2645">
        <f ca="1"/>
        <v>45286</v>
      </c>
      <c r="E459" s="101" vm="9745">
        <f ca="1"/>
        <v>248.48</v>
      </c>
      <c r="F459" s="101" vm="2941">
        <f ca="1"/>
        <v>254.49</v>
      </c>
      <c r="G459" s="101" vm="9746">
        <f ca="1"/>
        <v>265.13</v>
      </c>
      <c r="H459" s="101" vm="9747">
        <f ca="1"/>
        <v>247.43</v>
      </c>
      <c r="I459" s="102" vm="9748">
        <f ca="1"/>
        <v>407898262</v>
      </c>
    </row>
    <row r="460" spans="4:9" x14ac:dyDescent="0.3">
      <c r="D460" s="100" vm="2651">
        <f ca="1"/>
        <v>45293</v>
      </c>
      <c r="E460" s="101" vm="2890">
        <f ca="1"/>
        <v>237.49</v>
      </c>
      <c r="F460" s="101" vm="9749">
        <f ca="1"/>
        <v>250.08</v>
      </c>
      <c r="G460" s="101" vm="9750">
        <f ca="1"/>
        <v>251.25</v>
      </c>
      <c r="H460" s="101" vm="9751">
        <f ca="1"/>
        <v>234.90010000000001</v>
      </c>
      <c r="I460" s="102" vm="9752">
        <f ca="1"/>
        <v>420854984</v>
      </c>
    </row>
    <row r="461" spans="4:9" x14ac:dyDescent="0.3">
      <c r="D461" s="100" vm="2657">
        <f ca="1"/>
        <v>45299</v>
      </c>
      <c r="E461" s="101" vm="9753">
        <f ca="1"/>
        <v>218.89</v>
      </c>
      <c r="F461" s="101" vm="9754">
        <f ca="1"/>
        <v>236.14</v>
      </c>
      <c r="G461" s="101" vm="9755">
        <f ca="1"/>
        <v>241.25</v>
      </c>
      <c r="H461" s="101" vm="9756">
        <f ca="1"/>
        <v>217.15010000000001</v>
      </c>
      <c r="I461" s="102" vm="9757">
        <f ca="1"/>
        <v>502418170</v>
      </c>
    </row>
    <row r="462" spans="4:9" x14ac:dyDescent="0.3">
      <c r="D462" s="100" vm="2663">
        <f ca="1"/>
        <v>45307</v>
      </c>
      <c r="E462" s="101" vm="9758">
        <f ca="1"/>
        <v>212.19</v>
      </c>
      <c r="F462" s="101" vm="9759">
        <f ca="1"/>
        <v>215.1</v>
      </c>
      <c r="G462" s="101" vm="9760">
        <f ca="1"/>
        <v>223.49</v>
      </c>
      <c r="H462" s="101" vm="9761">
        <f ca="1"/>
        <v>207.56</v>
      </c>
      <c r="I462" s="102" vm="9762">
        <f ca="1"/>
        <v>429375220</v>
      </c>
    </row>
    <row r="463" spans="4:9" x14ac:dyDescent="0.3">
      <c r="D463" s="100" vm="2668">
        <f ca="1"/>
        <v>45313</v>
      </c>
      <c r="E463" s="101" vm="9763">
        <f ca="1"/>
        <v>183.25</v>
      </c>
      <c r="F463" s="101" vm="9764">
        <f ca="1"/>
        <v>212.26</v>
      </c>
      <c r="G463" s="101" vm="9610">
        <f ca="1"/>
        <v>217.8</v>
      </c>
      <c r="H463" s="101" vm="9765">
        <f ca="1"/>
        <v>180.06</v>
      </c>
      <c r="I463" s="102" vm="9766">
        <f ca="1"/>
        <v>653348423</v>
      </c>
    </row>
    <row r="464" spans="4:9" x14ac:dyDescent="0.3">
      <c r="D464" s="100" vm="2673">
        <f ca="1"/>
        <v>45320</v>
      </c>
      <c r="E464" s="101" vm="9767">
        <f ca="1"/>
        <v>187.91</v>
      </c>
      <c r="F464" s="101" vm="9768">
        <f ca="1"/>
        <v>185.63</v>
      </c>
      <c r="G464" s="101" vm="9769">
        <f ca="1"/>
        <v>196.35929999999999</v>
      </c>
      <c r="H464" s="101" vm="9770">
        <f ca="1"/>
        <v>182</v>
      </c>
      <c r="I464" s="102" vm="9771">
        <f ca="1"/>
        <v>540672852</v>
      </c>
    </row>
    <row r="465" spans="4:9" x14ac:dyDescent="0.3">
      <c r="D465" s="100" vm="2679">
        <f ca="1"/>
        <v>45327</v>
      </c>
      <c r="E465" s="101" vm="9772">
        <f ca="1"/>
        <v>193.57</v>
      </c>
      <c r="F465" s="101" vm="9773">
        <f ca="1"/>
        <v>184.26</v>
      </c>
      <c r="G465" s="101" vm="9774">
        <f ca="1"/>
        <v>194.12</v>
      </c>
      <c r="H465" s="101" vm="2559">
        <f ca="1"/>
        <v>175.01</v>
      </c>
      <c r="I465" s="102" vm="9775">
        <f ca="1"/>
        <v>536016008</v>
      </c>
    </row>
    <row r="466" spans="4:9" x14ac:dyDescent="0.3">
      <c r="D466" s="100" vm="2685">
        <f ca="1"/>
        <v>45334</v>
      </c>
      <c r="E466" s="101" vm="9776">
        <f ca="1"/>
        <v>199.95</v>
      </c>
      <c r="F466" s="101" vm="9777">
        <f ca="1"/>
        <v>192.11</v>
      </c>
      <c r="G466" s="101" vm="9778">
        <f ca="1"/>
        <v>203.17</v>
      </c>
      <c r="H466" s="101" vm="9779">
        <f ca="1"/>
        <v>182.1087</v>
      </c>
      <c r="I466" s="102" vm="9780">
        <f ca="1"/>
        <v>495639529</v>
      </c>
    </row>
    <row r="467" spans="4:9" x14ac:dyDescent="0.3">
      <c r="D467" s="100" vm="2691">
        <f ca="1"/>
        <v>45342</v>
      </c>
      <c r="E467" s="101" vm="9781">
        <f ca="1"/>
        <v>191.97</v>
      </c>
      <c r="F467" s="101" vm="9782">
        <f ca="1"/>
        <v>196.13</v>
      </c>
      <c r="G467" s="101" vm="9783">
        <f ca="1"/>
        <v>199.44</v>
      </c>
      <c r="H467" s="101" vm="9784">
        <f ca="1"/>
        <v>189.13</v>
      </c>
      <c r="I467" s="102" vm="9785">
        <f ca="1"/>
        <v>379971148</v>
      </c>
    </row>
    <row r="468" spans="4:9" x14ac:dyDescent="0.3">
      <c r="D468" s="100" vm="2697">
        <f ca="1"/>
        <v>45348</v>
      </c>
      <c r="E468" s="101" vm="9786">
        <f ca="1"/>
        <v>202.64</v>
      </c>
      <c r="F468" s="101" vm="9787">
        <f ca="1"/>
        <v>192.29</v>
      </c>
      <c r="G468" s="101" vm="9788">
        <f ca="1"/>
        <v>205.6</v>
      </c>
      <c r="H468" s="101" vm="9789">
        <f ca="1"/>
        <v>192</v>
      </c>
      <c r="I468" s="102" vm="9790">
        <f ca="1"/>
        <v>488348794</v>
      </c>
    </row>
    <row r="469" spans="4:9" x14ac:dyDescent="0.3">
      <c r="D469" s="100" vm="2703">
        <f ca="1"/>
        <v>45355</v>
      </c>
      <c r="E469" s="101" vm="9791">
        <f ca="1"/>
        <v>175.34</v>
      </c>
      <c r="F469" s="101" vm="9792">
        <f ca="1"/>
        <v>198.73</v>
      </c>
      <c r="G469" s="101" vm="9793">
        <f ca="1"/>
        <v>199.75</v>
      </c>
      <c r="H469" s="101" vm="9794">
        <f ca="1"/>
        <v>173.7</v>
      </c>
      <c r="I469" s="102" vm="9795">
        <f ca="1"/>
        <v>549590219</v>
      </c>
    </row>
    <row r="470" spans="4:9" x14ac:dyDescent="0.3">
      <c r="D470" s="100" vm="2708">
        <f ca="1"/>
        <v>45362</v>
      </c>
      <c r="E470" s="101" vm="9796">
        <f ca="1"/>
        <v>163.57</v>
      </c>
      <c r="F470" s="101" vm="9797">
        <f ca="1"/>
        <v>175.44499999999999</v>
      </c>
      <c r="G470" s="101" vm="9798">
        <f ca="1"/>
        <v>182.87</v>
      </c>
      <c r="H470" s="101" vm="9799">
        <f ca="1"/>
        <v>160.51</v>
      </c>
      <c r="I470" s="102" vm="9800">
        <f ca="1"/>
        <v>502780258</v>
      </c>
    </row>
    <row r="471" spans="4:9" x14ac:dyDescent="0.3">
      <c r="D471" s="100" vm="2714">
        <f ca="1"/>
        <v>45369</v>
      </c>
      <c r="E471" s="101" vm="9801">
        <f ca="1"/>
        <v>170.83</v>
      </c>
      <c r="F471" s="101" vm="9802">
        <f ca="1"/>
        <v>170.02</v>
      </c>
      <c r="G471" s="101" vm="2553">
        <f ca="1"/>
        <v>178.18</v>
      </c>
      <c r="H471" s="101" vm="9803">
        <f ca="1"/>
        <v>165.9</v>
      </c>
      <c r="I471" s="102" vm="9804">
        <f ca="1"/>
        <v>418091163</v>
      </c>
    </row>
    <row r="472" spans="4:9" x14ac:dyDescent="0.3">
      <c r="D472" s="100" vm="2720">
        <f ca="1"/>
        <v>45376</v>
      </c>
      <c r="E472" s="101" vm="9805">
        <f ca="1"/>
        <v>175.79</v>
      </c>
      <c r="F472" s="101" vm="9806">
        <f ca="1"/>
        <v>168.76</v>
      </c>
      <c r="G472" s="101" vm="9807">
        <f ca="1"/>
        <v>184.25</v>
      </c>
      <c r="H472" s="101" vm="9808">
        <f ca="1"/>
        <v>168.73</v>
      </c>
      <c r="I472" s="102" vm="9809">
        <f ca="1"/>
        <v>346873723</v>
      </c>
    </row>
    <row r="473" spans="4:9" x14ac:dyDescent="0.3">
      <c r="D473" s="100" vm="2726">
        <f ca="1"/>
        <v>45383</v>
      </c>
      <c r="E473" s="101" vm="2418">
        <f ca="1"/>
        <v>164.9</v>
      </c>
      <c r="F473" s="101" vm="9810">
        <f ca="1"/>
        <v>176.17</v>
      </c>
      <c r="G473" s="101" vm="9811">
        <f ca="1"/>
        <v>177.19</v>
      </c>
      <c r="H473" s="101" vm="9799">
        <f ca="1"/>
        <v>160.51</v>
      </c>
      <c r="I473" s="102" vm="9812">
        <f ca="1"/>
        <v>547482425</v>
      </c>
    </row>
    <row r="474" spans="4:9" x14ac:dyDescent="0.3">
      <c r="D474" s="100" vm="2732">
        <f ca="1"/>
        <v>45390</v>
      </c>
      <c r="E474" s="101" vm="2241">
        <f ca="1"/>
        <v>171.05</v>
      </c>
      <c r="F474" s="101" vm="9813">
        <f ca="1"/>
        <v>169.34</v>
      </c>
      <c r="G474" s="101" vm="9814">
        <f ca="1"/>
        <v>179.22</v>
      </c>
      <c r="H474" s="101" vm="9815">
        <f ca="1"/>
        <v>167.79</v>
      </c>
      <c r="I474" s="102" vm="9816">
        <f ca="1"/>
        <v>451427058</v>
      </c>
    </row>
    <row r="475" spans="4:9" x14ac:dyDescent="0.3">
      <c r="D475" s="100" vm="2737">
        <f ca="1"/>
        <v>45397</v>
      </c>
      <c r="E475" s="101" vm="9817">
        <f ca="1"/>
        <v>147.05000000000001</v>
      </c>
      <c r="F475" s="101" vm="9818">
        <f ca="1"/>
        <v>170.24</v>
      </c>
      <c r="G475" s="101" vm="9819">
        <f ca="1"/>
        <v>170.69</v>
      </c>
      <c r="H475" s="101" vm="9820">
        <f ca="1"/>
        <v>146.22</v>
      </c>
      <c r="I475" s="102" vm="9821">
        <f ca="1"/>
        <v>462858314</v>
      </c>
    </row>
    <row r="476" spans="4:9" x14ac:dyDescent="0.3">
      <c r="D476" s="100" vm="2742">
        <f ca="1"/>
        <v>45404</v>
      </c>
      <c r="E476" s="101" vm="9822">
        <f ca="1"/>
        <v>168.29</v>
      </c>
      <c r="F476" s="101" vm="9823">
        <f ca="1"/>
        <v>140.56</v>
      </c>
      <c r="G476" s="101" vm="9824">
        <f ca="1"/>
        <v>172.12</v>
      </c>
      <c r="H476" s="101" vm="9825">
        <f ca="1"/>
        <v>138.80250000000001</v>
      </c>
      <c r="I476" s="102" vm="9826">
        <f ca="1"/>
        <v>649063934</v>
      </c>
    </row>
    <row r="477" spans="4:9" x14ac:dyDescent="0.3">
      <c r="D477" s="100" vm="2748">
        <f ca="1"/>
        <v>45411</v>
      </c>
      <c r="E477" s="101" vm="9827">
        <f ca="1"/>
        <v>181.19</v>
      </c>
      <c r="F477" s="101" vm="9828">
        <f ca="1"/>
        <v>188.42</v>
      </c>
      <c r="G477" s="101" vm="9829">
        <f ca="1"/>
        <v>198.87</v>
      </c>
      <c r="H477" s="101" vm="9830">
        <f ca="1"/>
        <v>176.02</v>
      </c>
      <c r="I477" s="102" vm="9831">
        <f ca="1"/>
        <v>628370764</v>
      </c>
    </row>
    <row r="478" spans="4:9" x14ac:dyDescent="0.3">
      <c r="D478" s="100" vm="2754">
        <f ca="1"/>
        <v>45418</v>
      </c>
      <c r="E478" s="101" vm="9832">
        <f ca="1"/>
        <v>168.47</v>
      </c>
      <c r="F478" s="101" vm="9833">
        <f ca="1"/>
        <v>183.8</v>
      </c>
      <c r="G478" s="101" vm="2490">
        <f ca="1"/>
        <v>187.56</v>
      </c>
      <c r="H478" s="101" vm="9834">
        <f ca="1"/>
        <v>167.75</v>
      </c>
      <c r="I478" s="102" vm="9835">
        <f ca="1"/>
        <v>377983065</v>
      </c>
    </row>
    <row r="479" spans="4:9" x14ac:dyDescent="0.3">
      <c r="D479" s="100" vm="2760">
        <f ca="1"/>
        <v>45425</v>
      </c>
      <c r="E479" s="101" vm="9836">
        <f ca="1"/>
        <v>177.46</v>
      </c>
      <c r="F479" s="101" vm="9837">
        <f ca="1"/>
        <v>170</v>
      </c>
      <c r="G479" s="101" vm="2695">
        <f ca="1"/>
        <v>180</v>
      </c>
      <c r="H479" s="101" vm="9838">
        <f ca="1"/>
        <v>169</v>
      </c>
      <c r="I479" s="102" vm="9839">
        <f ca="1"/>
        <v>370347383</v>
      </c>
    </row>
    <row r="480" spans="4:9" x14ac:dyDescent="0.3">
      <c r="D480" s="100" vm="2766">
        <f ca="1"/>
        <v>45432</v>
      </c>
      <c r="E480" s="101" vm="9840">
        <f ca="1"/>
        <v>179.24</v>
      </c>
      <c r="F480" s="101" vm="9841">
        <f ca="1"/>
        <v>177.56</v>
      </c>
      <c r="G480" s="101" vm="9842">
        <f ca="1"/>
        <v>186.875</v>
      </c>
      <c r="H480" s="101" vm="9843">
        <f ca="1"/>
        <v>173.26</v>
      </c>
      <c r="I480" s="102" vm="9844">
        <f ca="1"/>
        <v>402867388</v>
      </c>
    </row>
    <row r="481" spans="4:9" x14ac:dyDescent="0.3">
      <c r="D481" s="100" vm="2771">
        <f ca="1"/>
        <v>45440</v>
      </c>
      <c r="E481" s="101" vm="9562">
        <f ca="1"/>
        <v>178.08</v>
      </c>
      <c r="F481" s="101" vm="9845">
        <f ca="1"/>
        <v>176.4</v>
      </c>
      <c r="G481" s="101" vm="9846">
        <f ca="1"/>
        <v>182.67</v>
      </c>
      <c r="H481" s="101" vm="2459">
        <f ca="1"/>
        <v>173.16</v>
      </c>
      <c r="I481" s="102" vm="9847">
        <f ca="1"/>
        <v>259618626</v>
      </c>
    </row>
    <row r="482" spans="4:9" x14ac:dyDescent="0.3">
      <c r="D482" s="100" vm="2776">
        <f ca="1"/>
        <v>45446</v>
      </c>
      <c r="E482" s="101" vm="9848">
        <f ca="1"/>
        <v>177.48</v>
      </c>
      <c r="F482" s="101" vm="9849">
        <f ca="1"/>
        <v>178.13</v>
      </c>
      <c r="G482" s="101" vm="9850">
        <f ca="1"/>
        <v>182.63890000000001</v>
      </c>
      <c r="H482" s="101" vm="9851">
        <f ca="1"/>
        <v>172.13</v>
      </c>
      <c r="I482" s="102" vm="9852">
        <f ca="1"/>
        <v>312710972</v>
      </c>
    </row>
    <row r="483" spans="4:9" x14ac:dyDescent="0.3">
      <c r="D483" s="100" vm="2782">
        <f ca="1"/>
        <v>45453</v>
      </c>
      <c r="E483" s="101" vm="9853">
        <f ca="1"/>
        <v>178.01</v>
      </c>
      <c r="F483" s="101" vm="9854">
        <f ca="1"/>
        <v>176.06</v>
      </c>
      <c r="G483" s="101" vm="9855">
        <f ca="1"/>
        <v>191.08</v>
      </c>
      <c r="H483" s="101" vm="9856">
        <f ca="1"/>
        <v>167.41</v>
      </c>
      <c r="I483" s="102" vm="9857">
        <f ca="1"/>
        <v>407043372</v>
      </c>
    </row>
    <row r="484" spans="4:9" x14ac:dyDescent="0.3">
      <c r="D484" s="100" vm="2788">
        <f ca="1"/>
        <v>45460</v>
      </c>
      <c r="E484" s="101" vm="9858">
        <f ca="1"/>
        <v>183.01</v>
      </c>
      <c r="F484" s="101" vm="9859">
        <f ca="1"/>
        <v>177.92</v>
      </c>
      <c r="G484" s="101" vm="9860">
        <f ca="1"/>
        <v>188.81</v>
      </c>
      <c r="H484" s="101" vm="9861">
        <f ca="1"/>
        <v>177</v>
      </c>
      <c r="I484" s="102" vm="9862">
        <f ca="1"/>
        <v>297690969</v>
      </c>
    </row>
    <row r="485" spans="4:9" x14ac:dyDescent="0.3">
      <c r="D485" s="100" vm="2794">
        <f ca="1"/>
        <v>45467</v>
      </c>
      <c r="E485" s="101" vm="9863">
        <f ca="1"/>
        <v>197.88</v>
      </c>
      <c r="F485" s="101" vm="9864">
        <f ca="1"/>
        <v>184.97</v>
      </c>
      <c r="G485" s="101" vm="9865">
        <f ca="1"/>
        <v>203.2</v>
      </c>
      <c r="H485" s="101" vm="9866">
        <f ca="1"/>
        <v>182.01</v>
      </c>
      <c r="I485" s="102" vm="9867">
        <f ca="1"/>
        <v>389591990</v>
      </c>
    </row>
    <row r="486" spans="4:9" x14ac:dyDescent="0.3">
      <c r="D486" s="100" vm="2800">
        <f ca="1"/>
        <v>45474</v>
      </c>
      <c r="E486" s="101" vm="9868">
        <f ca="1"/>
        <v>251.52</v>
      </c>
      <c r="F486" s="101" vm="9869">
        <f ca="1"/>
        <v>201.02</v>
      </c>
      <c r="G486" s="101" vm="9870">
        <f ca="1"/>
        <v>252.37</v>
      </c>
      <c r="H486" s="101" vm="9871">
        <f ca="1"/>
        <v>200.85</v>
      </c>
      <c r="I486" s="102" vm="9872">
        <f ca="1"/>
        <v>661801938</v>
      </c>
    </row>
    <row r="487" spans="4:9" x14ac:dyDescent="0.3">
      <c r="D487" s="100" vm="2806">
        <f ca="1"/>
        <v>45481</v>
      </c>
      <c r="E487" s="101" vm="9873">
        <f ca="1"/>
        <v>248.23</v>
      </c>
      <c r="F487" s="101" vm="9874">
        <f ca="1"/>
        <v>247.71</v>
      </c>
      <c r="G487" s="101" vm="9875">
        <f ca="1"/>
        <v>271</v>
      </c>
      <c r="H487" s="101" vm="9876">
        <f ca="1"/>
        <v>233.09119999999999</v>
      </c>
      <c r="I487" s="102" vm="9877">
        <f ca="1"/>
        <v>824144572</v>
      </c>
    </row>
    <row r="488" spans="4:9" x14ac:dyDescent="0.3">
      <c r="D488" s="100" vm="2812">
        <f ca="1"/>
        <v>45488</v>
      </c>
      <c r="E488" s="101" vm="9878">
        <f ca="1"/>
        <v>239.2</v>
      </c>
      <c r="F488" s="101" vm="9879">
        <f ca="1"/>
        <v>255.97</v>
      </c>
      <c r="G488" s="101" vm="9880">
        <f ca="1"/>
        <v>265.60000000000002</v>
      </c>
      <c r="H488" s="101" vm="9881">
        <f ca="1"/>
        <v>236.83</v>
      </c>
      <c r="I488" s="102" vm="9882">
        <f ca="1"/>
        <v>587103140</v>
      </c>
    </row>
    <row r="489" spans="4:9" x14ac:dyDescent="0.3">
      <c r="D489" s="100" vm="2818">
        <f ca="1"/>
        <v>45495</v>
      </c>
      <c r="E489" s="101" vm="9883">
        <f ca="1"/>
        <v>219.8</v>
      </c>
      <c r="F489" s="101" vm="9884">
        <f ca="1"/>
        <v>244.21</v>
      </c>
      <c r="G489" s="101" vm="9885">
        <f ca="1"/>
        <v>255.7594</v>
      </c>
      <c r="H489" s="101" vm="9886">
        <f ca="1"/>
        <v>214.71</v>
      </c>
      <c r="I489" s="102" vm="9887">
        <f ca="1"/>
        <v>576337172</v>
      </c>
    </row>
    <row r="490" spans="4:9" x14ac:dyDescent="0.3">
      <c r="D490" s="100" vm="2824">
        <f ca="1"/>
        <v>45502</v>
      </c>
      <c r="E490" s="101" vm="9888">
        <f ca="1"/>
        <v>207.67</v>
      </c>
      <c r="F490" s="101" vm="9889">
        <f ca="1"/>
        <v>224.9</v>
      </c>
      <c r="G490" s="101" vm="9890">
        <f ca="1"/>
        <v>234.68</v>
      </c>
      <c r="H490" s="101" vm="9891">
        <f ca="1"/>
        <v>205.78</v>
      </c>
      <c r="I490" s="102" vm="9892">
        <f ca="1"/>
        <v>464001152</v>
      </c>
    </row>
    <row r="491" spans="4:9" x14ac:dyDescent="0.3">
      <c r="D491" s="100" vm="2830">
        <f ca="1"/>
        <v>45509</v>
      </c>
      <c r="E491" s="101" vm="9893">
        <f ca="1"/>
        <v>200</v>
      </c>
      <c r="F491" s="101" vm="9894">
        <f ca="1"/>
        <v>185.22</v>
      </c>
      <c r="G491" s="101" vm="9895">
        <f ca="1"/>
        <v>203.87989999999999</v>
      </c>
      <c r="H491" s="101" vm="9770">
        <f ca="1"/>
        <v>182</v>
      </c>
      <c r="I491" s="102" vm="9896">
        <f ca="1"/>
        <v>368934704</v>
      </c>
    </row>
    <row r="492" spans="4:9" x14ac:dyDescent="0.3">
      <c r="D492" s="100" vm="2836">
        <f ca="1"/>
        <v>45516</v>
      </c>
      <c r="E492" s="101" vm="9897">
        <f ca="1"/>
        <v>216.12</v>
      </c>
      <c r="F492" s="101" vm="9898">
        <f ca="1"/>
        <v>199.02</v>
      </c>
      <c r="G492" s="101" vm="9883">
        <f ca="1"/>
        <v>219.8</v>
      </c>
      <c r="H492" s="101" vm="9899">
        <f ca="1"/>
        <v>194.67</v>
      </c>
      <c r="I492" s="102" vm="9900">
        <f ca="1"/>
        <v>389155956</v>
      </c>
    </row>
    <row r="493" spans="4:9" x14ac:dyDescent="0.3">
      <c r="D493" s="100" vm="2841">
        <f ca="1"/>
        <v>45523</v>
      </c>
      <c r="E493" s="101" vm="9901">
        <f ca="1"/>
        <v>220.32</v>
      </c>
      <c r="F493" s="101" vm="9902">
        <f ca="1"/>
        <v>217.07</v>
      </c>
      <c r="G493" s="101" vm="9903">
        <f ca="1"/>
        <v>228.22</v>
      </c>
      <c r="H493" s="101" vm="9904">
        <f ca="1"/>
        <v>210.32</v>
      </c>
      <c r="I493" s="102" vm="9905">
        <f ca="1"/>
        <v>381622057</v>
      </c>
    </row>
    <row r="494" spans="4:9" x14ac:dyDescent="0.3">
      <c r="D494" s="100" vm="2847">
        <f ca="1"/>
        <v>45530</v>
      </c>
      <c r="E494" s="101" vm="9906">
        <f ca="1"/>
        <v>214.11</v>
      </c>
      <c r="F494" s="101" vm="9907">
        <f ca="1"/>
        <v>218.75</v>
      </c>
      <c r="G494" s="101" vm="9908">
        <f ca="1"/>
        <v>219.09</v>
      </c>
      <c r="H494" s="101" vm="9909">
        <f ca="1"/>
        <v>202.59</v>
      </c>
      <c r="I494" s="102" vm="9910">
        <f ca="1"/>
        <v>311918353</v>
      </c>
    </row>
    <row r="495" spans="4:9" x14ac:dyDescent="0.3">
      <c r="D495" s="100" vm="2853">
        <f ca="1"/>
        <v>45538</v>
      </c>
      <c r="E495" s="101" vm="9911">
        <f ca="1"/>
        <v>210.73</v>
      </c>
      <c r="F495" s="101" vm="9912">
        <f ca="1"/>
        <v>215.26</v>
      </c>
      <c r="G495" s="101" vm="2888">
        <f ca="1"/>
        <v>235</v>
      </c>
      <c r="H495" s="101" vm="9913">
        <f ca="1"/>
        <v>209.64</v>
      </c>
      <c r="I495" s="102" vm="9914">
        <f ca="1"/>
        <v>388898006</v>
      </c>
    </row>
    <row r="496" spans="4:9" x14ac:dyDescent="0.3">
      <c r="D496" s="100" vm="2858">
        <f ca="1"/>
        <v>45544</v>
      </c>
      <c r="E496" s="101" vm="9915">
        <f ca="1"/>
        <v>230.29</v>
      </c>
      <c r="F496" s="101" vm="9916">
        <f ca="1"/>
        <v>216.2</v>
      </c>
      <c r="G496" s="101" vm="9917">
        <f ca="1"/>
        <v>232.67</v>
      </c>
      <c r="H496" s="101" vm="9918">
        <f ca="1"/>
        <v>213.67</v>
      </c>
      <c r="I496" s="102" vm="9919">
        <f ca="1"/>
        <v>361418443</v>
      </c>
    </row>
    <row r="497" spans="4:9" x14ac:dyDescent="0.3">
      <c r="D497" s="100" vm="2863">
        <f ca="1"/>
        <v>45551</v>
      </c>
      <c r="E497" s="101" vm="9920">
        <f ca="1"/>
        <v>238.25</v>
      </c>
      <c r="F497" s="101" vm="9921">
        <f ca="1"/>
        <v>229.3</v>
      </c>
      <c r="G497" s="101" vm="9922">
        <f ca="1"/>
        <v>244.24</v>
      </c>
      <c r="H497" s="101" vm="9923">
        <f ca="1"/>
        <v>223.53</v>
      </c>
      <c r="I497" s="102" vm="9924">
        <f ca="1"/>
        <v>401668481</v>
      </c>
    </row>
    <row r="498" spans="4:9" x14ac:dyDescent="0.3">
      <c r="D498" s="100" vm="2869">
        <f ca="1"/>
        <v>45558</v>
      </c>
      <c r="E498" s="101" vm="9925">
        <f ca="1"/>
        <v>260.45999999999998</v>
      </c>
      <c r="F498" s="101" vm="9926">
        <f ca="1"/>
        <v>242.61</v>
      </c>
      <c r="G498" s="101" vm="9927">
        <f ca="1"/>
        <v>261.75</v>
      </c>
      <c r="H498" s="101" vm="9928">
        <f ca="1"/>
        <v>241.92</v>
      </c>
      <c r="I498" s="102" vm="9929">
        <f ca="1"/>
        <v>378582771</v>
      </c>
    </row>
    <row r="499" spans="4:9" x14ac:dyDescent="0.3">
      <c r="D499" s="100" vm="2875">
        <f ca="1"/>
        <v>45565</v>
      </c>
      <c r="E499" s="101" vm="9749">
        <f ca="1"/>
        <v>250.08</v>
      </c>
      <c r="F499" s="101" vm="9930">
        <f ca="1"/>
        <v>259.04000000000002</v>
      </c>
      <c r="G499" s="101" vm="9931">
        <f ca="1"/>
        <v>264.86</v>
      </c>
      <c r="H499" s="101" vm="2925">
        <f ca="1"/>
        <v>237.81</v>
      </c>
      <c r="I499" s="102" vm="9932">
        <f ca="1"/>
        <v>429710449</v>
      </c>
    </row>
    <row r="500" spans="4:9" x14ac:dyDescent="0.3">
      <c r="D500" s="100" vm="2881">
        <f ca="1"/>
        <v>45572</v>
      </c>
      <c r="E500" s="101" vm="9610">
        <f ca="1"/>
        <v>217.8</v>
      </c>
      <c r="F500" s="101" vm="9933">
        <f ca="1"/>
        <v>249</v>
      </c>
      <c r="G500" s="101" vm="9934">
        <f ca="1"/>
        <v>249.83</v>
      </c>
      <c r="H500" s="101" vm="9935">
        <f ca="1"/>
        <v>214.38</v>
      </c>
      <c r="I500" s="102" vm="9936">
        <f ca="1"/>
        <v>416421896</v>
      </c>
    </row>
    <row r="501" spans="4:9" x14ac:dyDescent="0.3">
      <c r="D501" s="100" vm="2887">
        <f ca="1"/>
        <v>45579</v>
      </c>
      <c r="E501" s="101" vm="9937">
        <f ca="1"/>
        <v>220.7</v>
      </c>
      <c r="F501" s="101" vm="9938">
        <f ca="1"/>
        <v>220.13</v>
      </c>
      <c r="G501" s="101" vm="9939">
        <f ca="1"/>
        <v>224.26</v>
      </c>
      <c r="H501" s="101" vm="9940">
        <f ca="1"/>
        <v>213.74</v>
      </c>
      <c r="I501" s="102" vm="9941">
        <f ca="1"/>
        <v>299317185</v>
      </c>
    </row>
    <row r="502" spans="4:9" x14ac:dyDescent="0.3">
      <c r="D502" s="100" vm="2893">
        <f ca="1"/>
        <v>45586</v>
      </c>
      <c r="E502" s="101" vm="9942">
        <f ca="1"/>
        <v>269.19</v>
      </c>
      <c r="F502" s="101" vm="9943">
        <f ca="1"/>
        <v>218.9</v>
      </c>
      <c r="G502" s="101" vm="9944">
        <f ca="1"/>
        <v>269.49</v>
      </c>
      <c r="H502" s="101" vm="9945">
        <f ca="1"/>
        <v>212.11</v>
      </c>
      <c r="I502" s="102" vm="9946">
        <f ca="1"/>
        <v>537640455</v>
      </c>
    </row>
    <row r="503" spans="4:9" x14ac:dyDescent="0.3">
      <c r="D503" s="100" vm="2899">
        <f ca="1"/>
        <v>45593</v>
      </c>
      <c r="E503" s="101" vm="9947">
        <f ca="1"/>
        <v>248.98</v>
      </c>
      <c r="F503" s="101" vm="9948">
        <f ca="1"/>
        <v>270</v>
      </c>
      <c r="G503" s="101" vm="9949">
        <f ca="1"/>
        <v>273.536</v>
      </c>
      <c r="H503" s="101" vm="9950">
        <f ca="1"/>
        <v>246.63</v>
      </c>
      <c r="I503" s="102" vm="9951">
        <f ca="1"/>
        <v>366288979</v>
      </c>
    </row>
    <row r="504" spans="4:9" x14ac:dyDescent="0.3">
      <c r="D504" s="100" vm="2905">
        <f ca="1"/>
        <v>45600</v>
      </c>
      <c r="E504" s="101" vm="9952">
        <f ca="1"/>
        <v>321.22000000000003</v>
      </c>
      <c r="F504" s="101" vm="9953">
        <f ca="1"/>
        <v>244.56</v>
      </c>
      <c r="G504" s="101" vm="9954">
        <f ca="1"/>
        <v>328.71</v>
      </c>
      <c r="H504" s="101" vm="9955">
        <f ca="1"/>
        <v>238.88</v>
      </c>
      <c r="I504" s="102" vm="9956">
        <f ca="1"/>
        <v>625405564</v>
      </c>
    </row>
    <row r="505" spans="4:9" x14ac:dyDescent="0.3">
      <c r="D505" s="100" vm="2911">
        <f ca="1"/>
        <v>45607</v>
      </c>
      <c r="E505" s="101" vm="9957">
        <f ca="1"/>
        <v>320.72000000000003</v>
      </c>
      <c r="F505" s="101" vm="9958">
        <f ca="1"/>
        <v>346.3</v>
      </c>
      <c r="G505" s="101" vm="9959">
        <f ca="1"/>
        <v>358.64</v>
      </c>
      <c r="H505" s="101" vm="9960">
        <f ca="1"/>
        <v>309.22000000000003</v>
      </c>
      <c r="I505" s="102" vm="9961">
        <f ca="1"/>
        <v>726819635</v>
      </c>
    </row>
    <row r="506" spans="4:9" x14ac:dyDescent="0.3">
      <c r="D506" s="100" vm="2916">
        <f ca="1"/>
        <v>45614</v>
      </c>
      <c r="E506" s="101" vm="9962">
        <f ca="1"/>
        <v>352.56</v>
      </c>
      <c r="F506" s="101" vm="9963">
        <f ca="1"/>
        <v>340.73</v>
      </c>
      <c r="G506" s="101" vm="9964">
        <f ca="1"/>
        <v>361.53</v>
      </c>
      <c r="H506" s="101" vm="9965">
        <f ca="1"/>
        <v>330.01</v>
      </c>
      <c r="I506" s="102" vm="9966">
        <f ca="1"/>
        <v>428892998</v>
      </c>
    </row>
    <row r="507" spans="4:9" x14ac:dyDescent="0.3">
      <c r="D507" s="100" vm="2922">
        <f ca="1"/>
        <v>45621</v>
      </c>
      <c r="E507" s="101" vm="9967">
        <f ca="1"/>
        <v>345.16</v>
      </c>
      <c r="F507" s="101" vm="9968">
        <f ca="1"/>
        <v>360.14</v>
      </c>
      <c r="G507" s="101" vm="9969">
        <f ca="1"/>
        <v>361.93</v>
      </c>
      <c r="H507" s="101" vm="9970">
        <f ca="1"/>
        <v>326.58999999999997</v>
      </c>
      <c r="I507" s="102" vm="9971">
        <f ca="1"/>
        <v>253250816</v>
      </c>
    </row>
    <row r="508" spans="4:9" x14ac:dyDescent="0.3">
      <c r="D508" s="100" vm="2928">
        <f ca="1"/>
        <v>45628</v>
      </c>
      <c r="E508" s="101" vm="9972">
        <f ca="1"/>
        <v>389.22</v>
      </c>
      <c r="F508" s="101" vm="9973">
        <f ca="1"/>
        <v>352.38</v>
      </c>
      <c r="G508" s="101" vm="9974">
        <f ca="1"/>
        <v>389.49</v>
      </c>
      <c r="H508" s="101" vm="9975">
        <f ca="1"/>
        <v>348.2</v>
      </c>
      <c r="I508" s="102" vm="9976">
        <f ca="1"/>
        <v>349923951</v>
      </c>
    </row>
    <row r="509" spans="4:9" x14ac:dyDescent="0.3">
      <c r="D509" s="100" vm="2934">
        <f ca="1"/>
        <v>45635</v>
      </c>
      <c r="E509" s="101" vm="9977">
        <f ca="1"/>
        <v>436.23</v>
      </c>
      <c r="F509" s="101" vm="9978">
        <f ca="1"/>
        <v>397.61</v>
      </c>
      <c r="G509" s="101" vm="9979">
        <f ca="1"/>
        <v>436.3</v>
      </c>
      <c r="H509" s="101" vm="9980">
        <f ca="1"/>
        <v>378.01</v>
      </c>
      <c r="I509" s="102" vm="9981">
        <f ca="1"/>
        <v>474962693</v>
      </c>
    </row>
    <row r="510" spans="4:9" x14ac:dyDescent="0.3">
      <c r="D510" s="100" vm="2940">
        <f ca="1"/>
        <v>45642</v>
      </c>
      <c r="E510" s="101" vm="9982">
        <f ca="1"/>
        <v>421.06</v>
      </c>
      <c r="F510" s="101" vm="9983">
        <f ca="1"/>
        <v>441.09</v>
      </c>
      <c r="G510" s="101" vm="9984">
        <f ca="1"/>
        <v>488.53989999999999</v>
      </c>
      <c r="H510" s="101" vm="9985">
        <f ca="1"/>
        <v>417.64</v>
      </c>
      <c r="I510" s="102" vm="9986">
        <f ca="1"/>
        <v>645429899</v>
      </c>
    </row>
    <row r="511" spans="4:9" x14ac:dyDescent="0.3">
      <c r="D511" s="100" vm="2946">
        <f ca="1"/>
        <v>45649</v>
      </c>
      <c r="E511" s="101" vm="9987">
        <f ca="1"/>
        <v>431.66</v>
      </c>
      <c r="F511" s="101" vm="9988">
        <f ca="1"/>
        <v>431</v>
      </c>
      <c r="G511" s="101" vm="9989">
        <f ca="1"/>
        <v>465.32990000000001</v>
      </c>
      <c r="H511" s="101" vm="9990">
        <f ca="1"/>
        <v>415.41120000000001</v>
      </c>
      <c r="I511" s="102" vm="9991">
        <f ca="1"/>
        <v>291567836</v>
      </c>
    </row>
    <row r="512" spans="4:9" x14ac:dyDescent="0.3">
      <c r="D512" s="100" vm="2952">
        <f ca="1"/>
        <v>45656</v>
      </c>
      <c r="E512" s="101" vm="9992">
        <f ca="1"/>
        <v>410.44</v>
      </c>
      <c r="F512" s="101" vm="9993">
        <f ca="1"/>
        <v>419.4</v>
      </c>
      <c r="G512" s="101" vm="9994">
        <f ca="1"/>
        <v>427.93</v>
      </c>
      <c r="H512" s="101" vm="9995">
        <f ca="1"/>
        <v>373.04</v>
      </c>
      <c r="I512" s="102" vm="9996">
        <f ca="1"/>
        <v>346900211</v>
      </c>
    </row>
    <row r="513" spans="4:9" x14ac:dyDescent="0.3">
      <c r="D513" s="100" vm="2958">
        <f ca="1"/>
        <v>45663</v>
      </c>
      <c r="E513" s="101" vm="9997">
        <f ca="1"/>
        <v>394.74</v>
      </c>
      <c r="F513" s="101" vm="9998">
        <f ca="1"/>
        <v>423.2</v>
      </c>
      <c r="G513" s="101" vm="9999">
        <f ca="1"/>
        <v>426.43</v>
      </c>
      <c r="H513" s="101" vm="10000">
        <f ca="1"/>
        <v>377.29</v>
      </c>
      <c r="I513" s="102" vm="10001">
        <f ca="1"/>
        <v>296542197</v>
      </c>
    </row>
    <row r="514" spans="4:9" x14ac:dyDescent="0.3">
      <c r="D514" s="100" vm="2962">
        <f ca="1"/>
        <v>45670</v>
      </c>
      <c r="E514" s="101" vm="10002">
        <f ca="1"/>
        <v>426.5</v>
      </c>
      <c r="F514" s="101" vm="10003">
        <f ca="1"/>
        <v>383.21</v>
      </c>
      <c r="G514" s="101" vm="10004">
        <f ca="1"/>
        <v>439.74</v>
      </c>
      <c r="H514" s="101" vm="10005">
        <f ca="1"/>
        <v>380.07</v>
      </c>
      <c r="I514" s="102" vm="10006">
        <f ca="1"/>
        <v>396847556</v>
      </c>
    </row>
    <row r="515" spans="4:9" x14ac:dyDescent="0.3">
      <c r="D515" s="100" vm="2968">
        <f ca="1"/>
        <v>45678</v>
      </c>
      <c r="E515" s="101" vm="10007">
        <f ca="1"/>
        <v>406.58</v>
      </c>
      <c r="F515" s="101" vm="10008">
        <f ca="1"/>
        <v>432.64</v>
      </c>
      <c r="G515" s="101" vm="10009">
        <f ca="1"/>
        <v>433.2</v>
      </c>
      <c r="H515" s="101" vm="10010">
        <f ca="1"/>
        <v>405.78</v>
      </c>
      <c r="I515" s="102" vm="10011">
        <f ca="1"/>
        <v>255401977</v>
      </c>
    </row>
    <row r="516" spans="4:9" x14ac:dyDescent="0.3">
      <c r="D516" s="100" vm="2974">
        <f ca="1"/>
        <v>45684</v>
      </c>
      <c r="E516" s="101" vm="10012">
        <f ca="1"/>
        <v>404.6</v>
      </c>
      <c r="F516" s="101" vm="10013">
        <f ca="1"/>
        <v>394.8</v>
      </c>
      <c r="G516" s="101" vm="10014">
        <f ca="1"/>
        <v>419.99</v>
      </c>
      <c r="H516" s="101" vm="10015">
        <f ca="1"/>
        <v>384.41</v>
      </c>
      <c r="I516" s="102" vm="10016">
        <f ca="1"/>
        <v>356730932</v>
      </c>
    </row>
    <row r="517" spans="4:9" x14ac:dyDescent="0.3">
      <c r="D517" s="100" vm="2979">
        <f ca="1"/>
        <v>45691</v>
      </c>
      <c r="E517" s="101" vm="10017">
        <f ca="1"/>
        <v>361.62</v>
      </c>
      <c r="F517" s="101" vm="10018">
        <f ca="1"/>
        <v>386.68</v>
      </c>
      <c r="G517" s="101" vm="10019">
        <f ca="1"/>
        <v>394</v>
      </c>
      <c r="H517" s="101" vm="10020">
        <f ca="1"/>
        <v>360.34</v>
      </c>
      <c r="I517" s="102" vm="10021">
        <f ca="1"/>
        <v>356635566</v>
      </c>
    </row>
    <row r="518" spans="4:9" x14ac:dyDescent="0.3">
      <c r="D518" s="100" vm="2985">
        <f ca="1"/>
        <v>45698</v>
      </c>
      <c r="E518" s="101" vm="10022">
        <f ca="1"/>
        <v>355.84</v>
      </c>
      <c r="F518" s="101" vm="10023">
        <f ca="1"/>
        <v>356.21</v>
      </c>
      <c r="G518" s="101" vm="10024">
        <f ca="1"/>
        <v>362.7</v>
      </c>
      <c r="H518" s="101" vm="10025">
        <f ca="1"/>
        <v>325.10000000000002</v>
      </c>
      <c r="I518" s="102" vm="10026">
        <f ca="1"/>
        <v>459159830</v>
      </c>
    </row>
    <row r="519" spans="4:9" x14ac:dyDescent="0.3">
      <c r="D519" s="100" vm="2991">
        <f ca="1"/>
        <v>45706</v>
      </c>
      <c r="E519" s="101" vm="10027">
        <f ca="1"/>
        <v>337.8</v>
      </c>
      <c r="F519" s="101" vm="10028">
        <f ca="1"/>
        <v>355.01</v>
      </c>
      <c r="G519" s="101" vm="10029">
        <f ca="1"/>
        <v>367.34</v>
      </c>
      <c r="H519" s="101" vm="10030">
        <f ca="1"/>
        <v>334.42</v>
      </c>
      <c r="I519" s="102" vm="10031">
        <f ca="1"/>
        <v>238750078</v>
      </c>
    </row>
    <row r="520" spans="4:9" x14ac:dyDescent="0.3">
      <c r="D520" s="100" vm="2996">
        <f ca="1"/>
        <v>45712</v>
      </c>
      <c r="E520" s="101" vm="10032">
        <f ca="1"/>
        <v>292.98</v>
      </c>
      <c r="F520" s="101" vm="10033">
        <f ca="1"/>
        <v>338.14</v>
      </c>
      <c r="G520" s="101" vm="10034">
        <f ca="1"/>
        <v>342.39729999999997</v>
      </c>
      <c r="H520" s="101" vm="10035">
        <f ca="1"/>
        <v>273.60000000000002</v>
      </c>
      <c r="I520" s="102" vm="10036">
        <f ca="1"/>
        <v>527844539</v>
      </c>
    </row>
    <row r="521" spans="4:9" x14ac:dyDescent="0.3">
      <c r="D521" s="100" vm="3001">
        <f ca="1"/>
        <v>45719</v>
      </c>
      <c r="E521" s="101" vm="10037">
        <f ca="1"/>
        <v>262.67</v>
      </c>
      <c r="F521" s="101" vm="10038">
        <f ca="1"/>
        <v>300.33999999999997</v>
      </c>
      <c r="G521" s="101" vm="10039">
        <f ca="1"/>
        <v>303.94</v>
      </c>
      <c r="H521" s="101" vm="10040">
        <f ca="1"/>
        <v>250.73</v>
      </c>
      <c r="I521" s="102" vm="10041">
        <f ca="1"/>
        <v>537122156</v>
      </c>
    </row>
    <row r="522" spans="4:9" x14ac:dyDescent="0.3">
      <c r="D522" s="100" vm="3007">
        <f ca="1"/>
        <v>45726</v>
      </c>
      <c r="E522" s="101" vm="10042">
        <f ca="1"/>
        <v>249.98</v>
      </c>
      <c r="F522" s="101" vm="10043">
        <f ca="1"/>
        <v>252.535</v>
      </c>
      <c r="G522" s="101" vm="10044">
        <f ca="1"/>
        <v>253.37</v>
      </c>
      <c r="H522" s="101" vm="10045">
        <f ca="1"/>
        <v>217.02</v>
      </c>
      <c r="I522" s="102" vm="10046">
        <f ca="1"/>
        <v>721244833</v>
      </c>
    </row>
    <row r="523" spans="4:9" x14ac:dyDescent="0.3">
      <c r="D523" s="100" vm="3013">
        <f ca="1"/>
        <v>45733</v>
      </c>
      <c r="E523" s="101" vm="10047">
        <f ca="1"/>
        <v>248.71</v>
      </c>
      <c r="F523" s="101" vm="10048">
        <f ca="1"/>
        <v>245.05500000000001</v>
      </c>
      <c r="G523" s="101" vm="10049">
        <f ca="1"/>
        <v>249.52</v>
      </c>
      <c r="H523" s="101" vm="10050">
        <f ca="1"/>
        <v>222.28</v>
      </c>
      <c r="I523" s="102" vm="10051">
        <f ca="1"/>
        <v>567128908</v>
      </c>
    </row>
    <row r="524" spans="4:9" x14ac:dyDescent="0.3">
      <c r="D524" s="100" vm="3019">
        <f ca="1"/>
        <v>45740</v>
      </c>
      <c r="E524" s="101" vm="10052">
        <f ca="1"/>
        <v>263.55</v>
      </c>
      <c r="F524" s="101" vm="10053">
        <f ca="1"/>
        <v>258.07499999999999</v>
      </c>
      <c r="G524" s="101" vm="10054">
        <f ca="1"/>
        <v>291.85000000000002</v>
      </c>
      <c r="H524" s="101" vm="10055">
        <f ca="1"/>
        <v>256.33</v>
      </c>
      <c r="I524" s="102" vm="10056">
        <f ca="1"/>
        <v>762077379</v>
      </c>
    </row>
    <row r="525" spans="4:9" x14ac:dyDescent="0.3">
      <c r="D525" s="100" vm="3025">
        <f ca="1"/>
        <v>45747</v>
      </c>
      <c r="E525" s="101" vm="10057">
        <f ca="1"/>
        <v>239.43</v>
      </c>
      <c r="F525" s="101" vm="10058">
        <f ca="1"/>
        <v>249.31</v>
      </c>
      <c r="G525" s="101" vm="10059">
        <f ca="1"/>
        <v>284.99</v>
      </c>
      <c r="H525" s="101" vm="2975">
        <f ca="1"/>
        <v>236</v>
      </c>
      <c r="I525" s="102" vm="10060">
        <f ca="1"/>
        <v>810687308</v>
      </c>
    </row>
    <row r="526" spans="4:9" x14ac:dyDescent="0.3">
      <c r="D526" s="100" vm="3031">
        <f ca="1"/>
        <v>45754</v>
      </c>
      <c r="E526" s="101" vm="10061">
        <f ca="1"/>
        <v>252.31</v>
      </c>
      <c r="F526" s="101" vm="10062">
        <f ca="1"/>
        <v>223.78</v>
      </c>
      <c r="G526" s="101" vm="10063">
        <f ca="1"/>
        <v>274.69</v>
      </c>
      <c r="H526" s="101" vm="10064">
        <f ca="1"/>
        <v>214.25</v>
      </c>
      <c r="I526" s="102" vm="10065">
        <f ca="1"/>
        <v>885161310</v>
      </c>
    </row>
    <row r="527" spans="4:9" x14ac:dyDescent="0.3">
      <c r="D527" s="100" vm="3037">
        <f ca="1"/>
        <v>45761</v>
      </c>
      <c r="E527" s="101" vm="10066">
        <f ca="1"/>
        <v>241.37</v>
      </c>
      <c r="F527" s="101" vm="10067">
        <f ca="1"/>
        <v>258.36</v>
      </c>
      <c r="G527" s="101" vm="10068">
        <f ca="1"/>
        <v>261.8</v>
      </c>
      <c r="H527" s="101" vm="10069">
        <f ca="1"/>
        <v>233.89</v>
      </c>
      <c r="I527" s="102" vm="10070">
        <f ca="1"/>
        <v>375513071</v>
      </c>
    </row>
    <row r="528" spans="4:9" x14ac:dyDescent="0.3">
      <c r="D528" s="100" vm="3043">
        <f ca="1"/>
        <v>45768</v>
      </c>
      <c r="E528" s="101" vm="10071">
        <f ca="1"/>
        <v>284.95</v>
      </c>
      <c r="F528" s="101" vm="10072">
        <f ca="1"/>
        <v>230.26</v>
      </c>
      <c r="G528" s="101" vm="10073">
        <f ca="1"/>
        <v>286.85000000000002</v>
      </c>
      <c r="H528" s="101" vm="10074">
        <f ca="1"/>
        <v>222.79</v>
      </c>
      <c r="I528" s="102" vm="10075">
        <f ca="1"/>
        <v>631033245</v>
      </c>
    </row>
    <row r="529" spans="4:9" ht="15" thickBot="1" x14ac:dyDescent="0.35">
      <c r="D529" s="105" vm="3049">
        <f ca="1"/>
        <v>45775</v>
      </c>
      <c r="E529" s="106" vm="10076">
        <f ca="1"/>
        <v>287.20999999999998</v>
      </c>
      <c r="F529" s="106" vm="10077">
        <f ca="1"/>
        <v>288.98</v>
      </c>
      <c r="G529" s="106" vm="10078">
        <f ca="1"/>
        <v>294.86</v>
      </c>
      <c r="H529" s="106" vm="10079">
        <f ca="1"/>
        <v>270.77999999999997</v>
      </c>
      <c r="I529" s="107" vm="10080">
        <f ca="1"/>
        <v>603713038</v>
      </c>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F1B9E4-931A-420E-8A10-59A50B492B1F}">
  <dimension ref="A1:N529"/>
  <sheetViews>
    <sheetView showGridLines="0" workbookViewId="0">
      <selection activeCell="A3" sqref="A3"/>
    </sheetView>
  </sheetViews>
  <sheetFormatPr defaultRowHeight="14.4" x14ac:dyDescent="0.3"/>
  <cols>
    <col min="1" max="1" width="16.6640625" customWidth="1"/>
    <col min="2" max="2" width="1.77734375" customWidth="1"/>
    <col min="3" max="3" width="0.77734375" customWidth="1"/>
    <col min="4" max="4" width="10.5546875" bestFit="1" customWidth="1"/>
    <col min="9" max="9" width="12.44140625" bestFit="1" customWidth="1"/>
    <col min="14" max="14" width="9.5546875" bestFit="1" customWidth="1"/>
  </cols>
  <sheetData>
    <row r="1" spans="1:14" ht="51" customHeight="1" x14ac:dyDescent="0.7">
      <c r="A1" s="142" t="s">
        <v>7</v>
      </c>
    </row>
    <row r="3" spans="1:14" ht="15" thickBot="1" x14ac:dyDescent="0.35"/>
    <row r="4" spans="1:14" x14ac:dyDescent="0.3">
      <c r="D4" s="97" t="e" vm="5">
        <v>#VALUE!</v>
      </c>
      <c r="E4" s="98"/>
      <c r="F4" s="98"/>
      <c r="G4" s="98"/>
      <c r="H4" s="98"/>
      <c r="I4" s="99"/>
    </row>
    <row r="5" spans="1:14" x14ac:dyDescent="0.3">
      <c r="D5" s="100"/>
      <c r="E5" s="101"/>
      <c r="F5" s="101"/>
      <c r="G5" s="101"/>
      <c r="H5" s="101"/>
      <c r="I5" s="102"/>
    </row>
    <row r="6" spans="1:14" x14ac:dyDescent="0.3">
      <c r="D6" s="100" t="str" cm="1">
        <f t="array" aca="1" ref="D6:I529" ca="1">_xlfn.STOCKHISTORY(D4,"5/1/2015","5/1/2025",1,1,0,1,2,3,4,5)</f>
        <v>Date</v>
      </c>
      <c r="E6" s="101" t="str">
        <f ca="1"/>
        <v>Close</v>
      </c>
      <c r="F6" s="101" t="str">
        <f ca="1"/>
        <v>Open</v>
      </c>
      <c r="G6" s="101" t="str">
        <f ca="1"/>
        <v>High</v>
      </c>
      <c r="H6" s="101" t="str">
        <f ca="1"/>
        <v>Low</v>
      </c>
      <c r="I6" s="102" t="str">
        <f ca="1"/>
        <v>Volume</v>
      </c>
      <c r="L6" s="124" t="s">
        <v>12</v>
      </c>
      <c r="M6" s="124"/>
      <c r="N6" s="125">
        <f ca="1">AVERAGE(E6:E529)</f>
        <v>50.161325047801157</v>
      </c>
    </row>
    <row r="7" spans="1:14" x14ac:dyDescent="0.3">
      <c r="D7" s="103" vm="8">
        <f ca="1"/>
        <v>42121</v>
      </c>
      <c r="E7" s="101" vm="10081">
        <f ca="1"/>
        <v>18.268000000000001</v>
      </c>
      <c r="F7" s="101" vm="10082">
        <f ca="1"/>
        <v>17.637</v>
      </c>
      <c r="G7" s="101" vm="10083">
        <f ca="1"/>
        <v>19.789200000000001</v>
      </c>
      <c r="H7" s="101" vm="10084">
        <f ca="1"/>
        <v>16.901</v>
      </c>
      <c r="I7" s="104" vm="10085">
        <f ca="1"/>
        <v>9381760</v>
      </c>
      <c r="L7" s="124" t="s">
        <v>13</v>
      </c>
      <c r="M7" s="124"/>
      <c r="N7" s="124"/>
    </row>
    <row r="8" spans="1:14" x14ac:dyDescent="0.3">
      <c r="D8" s="100" vm="14">
        <f ca="1"/>
        <v>42128</v>
      </c>
      <c r="E8" s="101" vm="10086">
        <f ca="1"/>
        <v>18.084</v>
      </c>
      <c r="F8" s="101" vm="10087">
        <f ca="1"/>
        <v>18.282</v>
      </c>
      <c r="G8" s="101" vm="10088">
        <f ca="1"/>
        <v>18.654</v>
      </c>
      <c r="H8" s="101" vm="10089">
        <f ca="1"/>
        <v>17.507000000000001</v>
      </c>
      <c r="I8" s="102" vm="10090">
        <f ca="1"/>
        <v>4126240</v>
      </c>
      <c r="L8" s="124" t="s">
        <v>14</v>
      </c>
      <c r="M8" s="124"/>
      <c r="N8" s="125">
        <f ca="1">_xlfn.STDEV.S(E7:E529)</f>
        <v>76.133103425744693</v>
      </c>
    </row>
    <row r="9" spans="1:14" x14ac:dyDescent="0.3">
      <c r="D9" s="100" vm="20">
        <f ca="1"/>
        <v>42135</v>
      </c>
      <c r="E9" s="101" vm="3492">
        <f ca="1"/>
        <v>17.88</v>
      </c>
      <c r="F9" s="101" vm="10091">
        <f ca="1"/>
        <v>18.027000000000001</v>
      </c>
      <c r="G9" s="101" vm="10092">
        <f ca="1"/>
        <v>18.417400000000001</v>
      </c>
      <c r="H9" s="101" vm="10093">
        <f ca="1"/>
        <v>17.504000000000001</v>
      </c>
      <c r="I9" s="102" vm="10094">
        <f ca="1"/>
        <v>3415050</v>
      </c>
      <c r="L9" s="124"/>
      <c r="M9" s="124"/>
      <c r="N9" s="124"/>
    </row>
    <row r="10" spans="1:14" x14ac:dyDescent="0.3">
      <c r="D10" s="100" vm="26">
        <f ca="1"/>
        <v>42142</v>
      </c>
      <c r="E10" s="101" vm="3557">
        <f ca="1"/>
        <v>17.53</v>
      </c>
      <c r="F10" s="101" vm="10095">
        <f ca="1"/>
        <v>18.027999999999999</v>
      </c>
      <c r="G10" s="101" vm="10096">
        <f ca="1"/>
        <v>18.046500000000002</v>
      </c>
      <c r="H10" s="101" vm="10097">
        <f ca="1"/>
        <v>17.271000000000001</v>
      </c>
      <c r="I10" s="102" vm="10098">
        <f ca="1"/>
        <v>5390330</v>
      </c>
      <c r="L10" s="124" t="s">
        <v>17</v>
      </c>
      <c r="M10" s="124"/>
      <c r="N10" s="126">
        <f ca="1">MAX(G477:H529)</f>
        <v>543</v>
      </c>
    </row>
    <row r="11" spans="1:14" x14ac:dyDescent="0.3">
      <c r="D11" s="100" vm="32">
        <f ca="1"/>
        <v>42150</v>
      </c>
      <c r="E11" s="101" vm="10099">
        <f ca="1"/>
        <v>17.597999999999999</v>
      </c>
      <c r="F11" s="101" vm="10100">
        <f ca="1"/>
        <v>17.315999999999999</v>
      </c>
      <c r="G11" s="101" vm="10101">
        <f ca="1"/>
        <v>17.904</v>
      </c>
      <c r="H11" s="101" vm="4016">
        <f ca="1"/>
        <v>17.02</v>
      </c>
      <c r="I11" s="102" vm="10102">
        <f ca="1"/>
        <v>3291130</v>
      </c>
      <c r="L11" s="124" t="s">
        <v>18</v>
      </c>
      <c r="M11" s="124"/>
      <c r="N11" s="126">
        <f ca="1">MIN(G477:H529)</f>
        <v>101</v>
      </c>
    </row>
    <row r="12" spans="1:14" x14ac:dyDescent="0.3">
      <c r="D12" s="100" vm="38">
        <f ca="1"/>
        <v>42156</v>
      </c>
      <c r="E12" s="101" vm="10103">
        <f ca="1"/>
        <v>18.042999999999999</v>
      </c>
      <c r="F12" s="101" vm="10104">
        <f ca="1"/>
        <v>17.760999999999999</v>
      </c>
      <c r="G12" s="101" vm="10105">
        <f ca="1"/>
        <v>18.117000000000001</v>
      </c>
      <c r="H12" s="101" vm="10106">
        <f ca="1"/>
        <v>17.437000000000001</v>
      </c>
      <c r="I12" s="102" vm="10107">
        <f ca="1"/>
        <v>3822720</v>
      </c>
    </row>
    <row r="13" spans="1:14" x14ac:dyDescent="0.3">
      <c r="D13" s="100" vm="43">
        <f ca="1"/>
        <v>42163</v>
      </c>
      <c r="E13" s="101" vm="10108">
        <f ca="1"/>
        <v>17.875</v>
      </c>
      <c r="F13" s="101" vm="10109">
        <f ca="1"/>
        <v>17.959</v>
      </c>
      <c r="G13" s="101" vm="10087">
        <f ca="1"/>
        <v>18.282</v>
      </c>
      <c r="H13" s="101" vm="10110">
        <f ca="1"/>
        <v>17.475000000000001</v>
      </c>
      <c r="I13" s="102" vm="10111">
        <f ca="1"/>
        <v>4462750</v>
      </c>
    </row>
    <row r="14" spans="1:14" x14ac:dyDescent="0.3">
      <c r="D14" s="100" vm="49">
        <f ca="1"/>
        <v>42170</v>
      </c>
      <c r="E14" s="101" vm="10112">
        <f ca="1"/>
        <v>17.768999999999998</v>
      </c>
      <c r="F14" s="101" vm="10113">
        <f ca="1"/>
        <v>17.734999999999999</v>
      </c>
      <c r="G14" s="101" vm="10114">
        <f ca="1"/>
        <v>17.905000000000001</v>
      </c>
      <c r="H14" s="101" vm="10115">
        <f ca="1"/>
        <v>17.292999999999999</v>
      </c>
      <c r="I14" s="102" vm="10116">
        <f ca="1"/>
        <v>3464830</v>
      </c>
    </row>
    <row r="15" spans="1:14" x14ac:dyDescent="0.3">
      <c r="D15" s="100" vm="55">
        <f ca="1"/>
        <v>42177</v>
      </c>
      <c r="E15" s="101" vm="10117">
        <f ca="1"/>
        <v>17.385999999999999</v>
      </c>
      <c r="F15" s="101" vm="6901">
        <f ca="1"/>
        <v>17.77</v>
      </c>
      <c r="G15" s="101" vm="10118">
        <f ca="1"/>
        <v>17.983499999999999</v>
      </c>
      <c r="H15" s="101" vm="4111">
        <f ca="1"/>
        <v>17</v>
      </c>
      <c r="I15" s="102" vm="10119">
        <f ca="1"/>
        <v>2436640</v>
      </c>
    </row>
    <row r="16" spans="1:14" x14ac:dyDescent="0.3">
      <c r="D16" s="100" vm="61">
        <f ca="1"/>
        <v>42184</v>
      </c>
      <c r="E16" s="101" vm="10120">
        <f ca="1"/>
        <v>17.257000000000001</v>
      </c>
      <c r="F16" s="101" vm="10121">
        <f ca="1"/>
        <v>17.210999999999999</v>
      </c>
      <c r="G16" s="101" vm="10122">
        <f ca="1"/>
        <v>17.358000000000001</v>
      </c>
      <c r="H16" s="101" vm="10123">
        <f ca="1"/>
        <v>16.7178</v>
      </c>
      <c r="I16" s="102" vm="10124">
        <f ca="1"/>
        <v>2942550</v>
      </c>
    </row>
    <row r="17" spans="4:9" x14ac:dyDescent="0.3">
      <c r="D17" s="100" vm="67">
        <f ca="1"/>
        <v>42191</v>
      </c>
      <c r="E17" s="101" vm="3488">
        <f ca="1"/>
        <v>17.57</v>
      </c>
      <c r="F17" s="101" vm="10125">
        <f ca="1"/>
        <v>17.087</v>
      </c>
      <c r="G17" s="101" vm="10126">
        <f ca="1"/>
        <v>17.7</v>
      </c>
      <c r="H17" s="101" vm="10127">
        <f ca="1"/>
        <v>16.863</v>
      </c>
      <c r="I17" s="102" vm="10128">
        <f ca="1"/>
        <v>4402320</v>
      </c>
    </row>
    <row r="18" spans="4:9" x14ac:dyDescent="0.3">
      <c r="D18" s="100" vm="73">
        <f ca="1"/>
        <v>42198</v>
      </c>
      <c r="E18" s="101" vm="10129">
        <f ca="1"/>
        <v>18.562999999999999</v>
      </c>
      <c r="F18" s="101" vm="4115">
        <f ca="1"/>
        <v>17.64</v>
      </c>
      <c r="G18" s="101" vm="10130">
        <f ca="1"/>
        <v>18.71</v>
      </c>
      <c r="H18" s="101" vm="10131">
        <f ca="1"/>
        <v>17.597000000000001</v>
      </c>
      <c r="I18" s="102" vm="10132">
        <f ca="1"/>
        <v>4017220</v>
      </c>
    </row>
    <row r="19" spans="4:9" x14ac:dyDescent="0.3">
      <c r="D19" s="100" vm="78">
        <f ca="1"/>
        <v>42205</v>
      </c>
      <c r="E19" s="101" vm="10133">
        <f ca="1"/>
        <v>18.143000000000001</v>
      </c>
      <c r="F19" s="101" vm="10134">
        <f ca="1"/>
        <v>18.678000000000001</v>
      </c>
      <c r="G19" s="101" vm="10135">
        <f ca="1"/>
        <v>18.739000000000001</v>
      </c>
      <c r="H19" s="101" vm="10136">
        <f ca="1"/>
        <v>17.805299999999999</v>
      </c>
      <c r="I19" s="102" vm="10137">
        <f ca="1"/>
        <v>3759580</v>
      </c>
    </row>
    <row r="20" spans="4:9" x14ac:dyDescent="0.3">
      <c r="D20" s="100" vm="83">
        <f ca="1"/>
        <v>42212</v>
      </c>
      <c r="E20" s="101" vm="10138">
        <f ca="1"/>
        <v>20.385000000000002</v>
      </c>
      <c r="F20" s="101" vm="10139">
        <f ca="1"/>
        <v>18.067</v>
      </c>
      <c r="G20" s="101" vm="3714">
        <f ca="1"/>
        <v>20.78</v>
      </c>
      <c r="H20" s="101" vm="10140">
        <f ca="1"/>
        <v>17.585000000000001</v>
      </c>
      <c r="I20" s="102" vm="10141">
        <f ca="1"/>
        <v>11085750</v>
      </c>
    </row>
    <row r="21" spans="4:9" x14ac:dyDescent="0.3">
      <c r="D21" s="100" vm="89">
        <f ca="1"/>
        <v>42219</v>
      </c>
      <c r="E21" s="101" vm="10142">
        <f ca="1"/>
        <v>21.561</v>
      </c>
      <c r="F21" s="101" vm="10143">
        <f ca="1"/>
        <v>20.437999999999999</v>
      </c>
      <c r="G21" s="101" vm="10144">
        <f ca="1"/>
        <v>22.129000000000001</v>
      </c>
      <c r="H21" s="101" vm="10145">
        <f ca="1"/>
        <v>20.306999999999999</v>
      </c>
      <c r="I21" s="102" vm="10146">
        <f ca="1"/>
        <v>5606190</v>
      </c>
    </row>
    <row r="22" spans="4:9" x14ac:dyDescent="0.3">
      <c r="D22" s="100" vm="95">
        <f ca="1"/>
        <v>42226</v>
      </c>
      <c r="E22" s="101" vm="3716">
        <f ca="1"/>
        <v>21.88</v>
      </c>
      <c r="F22" s="101" vm="10147">
        <f ca="1"/>
        <v>21.620999999999999</v>
      </c>
      <c r="G22" s="101" vm="10148">
        <f ca="1"/>
        <v>22.166</v>
      </c>
      <c r="H22" s="101" vm="10149">
        <f ca="1"/>
        <v>21.248000000000001</v>
      </c>
      <c r="I22" s="102" vm="10150">
        <f ca="1"/>
        <v>4454270</v>
      </c>
    </row>
    <row r="23" spans="4:9" x14ac:dyDescent="0.3">
      <c r="D23" s="100" vm="101">
        <f ca="1"/>
        <v>42233</v>
      </c>
      <c r="E23" s="101" vm="4048">
        <f ca="1"/>
        <v>20.399999999999999</v>
      </c>
      <c r="F23" s="101" vm="10151">
        <f ca="1"/>
        <v>21.760999999999999</v>
      </c>
      <c r="G23" s="101" vm="10152">
        <f ca="1"/>
        <v>22.647500000000001</v>
      </c>
      <c r="H23" s="101" vm="10153">
        <f ca="1"/>
        <v>20.068000000000001</v>
      </c>
      <c r="I23" s="102" vm="10154">
        <f ca="1"/>
        <v>5305110</v>
      </c>
    </row>
    <row r="24" spans="4:9" x14ac:dyDescent="0.3">
      <c r="D24" s="100" vm="107">
        <f ca="1"/>
        <v>42240</v>
      </c>
      <c r="E24" s="101" vm="10155">
        <f ca="1"/>
        <v>20.099</v>
      </c>
      <c r="F24" s="101" vm="10156">
        <f ca="1"/>
        <v>19.501999999999999</v>
      </c>
      <c r="G24" s="101" vm="10157">
        <f ca="1"/>
        <v>20.659500000000001</v>
      </c>
      <c r="H24" s="101" vm="10158">
        <f ca="1"/>
        <v>19.300999999999998</v>
      </c>
      <c r="I24" s="102" vm="10159">
        <f ca="1"/>
        <v>5961480</v>
      </c>
    </row>
    <row r="25" spans="4:9" x14ac:dyDescent="0.3">
      <c r="D25" s="100" vm="113">
        <f ca="1"/>
        <v>42247</v>
      </c>
      <c r="E25" s="101" vm="10160">
        <f ca="1"/>
        <v>19.542999999999999</v>
      </c>
      <c r="F25" s="101" vm="10155">
        <f ca="1"/>
        <v>20.099</v>
      </c>
      <c r="G25" s="101" vm="10155">
        <f ca="1"/>
        <v>20.099</v>
      </c>
      <c r="H25" s="101" vm="10161">
        <f ca="1"/>
        <v>19.221</v>
      </c>
      <c r="I25" s="102" vm="10162">
        <f ca="1"/>
        <v>4094570</v>
      </c>
    </row>
    <row r="26" spans="4:9" x14ac:dyDescent="0.3">
      <c r="D26" s="100" vm="119">
        <f ca="1"/>
        <v>42255</v>
      </c>
      <c r="E26" s="101" vm="10163">
        <f ca="1"/>
        <v>20.114000000000001</v>
      </c>
      <c r="F26" s="101" vm="10164">
        <f ca="1"/>
        <v>19.748999999999999</v>
      </c>
      <c r="G26" s="101" vm="10165">
        <f ca="1"/>
        <v>20.341999999999999</v>
      </c>
      <c r="H26" s="101" vm="10166">
        <f ca="1"/>
        <v>19.599</v>
      </c>
      <c r="I26" s="102" vm="10167">
        <f ca="1"/>
        <v>4928230</v>
      </c>
    </row>
    <row r="27" spans="4:9" x14ac:dyDescent="0.3">
      <c r="D27" s="100" vm="124">
        <f ca="1"/>
        <v>42261</v>
      </c>
      <c r="E27" s="101" vm="10168">
        <f ca="1"/>
        <v>20.667999999999999</v>
      </c>
      <c r="F27" s="101" vm="10169">
        <f ca="1"/>
        <v>20.106000000000002</v>
      </c>
      <c r="G27" s="101" vm="10170">
        <f ca="1"/>
        <v>21.321000000000002</v>
      </c>
      <c r="H27" s="101" vm="10171">
        <f ca="1"/>
        <v>19.520800000000001</v>
      </c>
      <c r="I27" s="102" vm="10172">
        <f ca="1"/>
        <v>4771450</v>
      </c>
    </row>
    <row r="28" spans="4:9" x14ac:dyDescent="0.3">
      <c r="D28" s="100" vm="130">
        <f ca="1"/>
        <v>42268</v>
      </c>
      <c r="E28" s="101" vm="10173">
        <f ca="1"/>
        <v>20.518999999999998</v>
      </c>
      <c r="F28" s="101" vm="10174">
        <f ca="1"/>
        <v>20.800999999999998</v>
      </c>
      <c r="G28" s="101" vm="10175">
        <f ca="1"/>
        <v>21.458400000000001</v>
      </c>
      <c r="H28" s="101" vm="3909">
        <f ca="1"/>
        <v>20.344999999999999</v>
      </c>
      <c r="I28" s="102" vm="10176">
        <f ca="1"/>
        <v>4944550</v>
      </c>
    </row>
    <row r="29" spans="4:9" x14ac:dyDescent="0.3">
      <c r="D29" s="100" vm="136">
        <f ca="1"/>
        <v>42275</v>
      </c>
      <c r="E29" s="101" vm="10177">
        <f ca="1"/>
        <v>19.884</v>
      </c>
      <c r="F29" s="101" vm="10178">
        <f ca="1"/>
        <v>20.401</v>
      </c>
      <c r="G29" s="101" vm="10178">
        <f ca="1"/>
        <v>20.401</v>
      </c>
      <c r="H29" s="101" vm="10179">
        <f ca="1"/>
        <v>19.199000000000002</v>
      </c>
      <c r="I29" s="102" vm="10180">
        <f ca="1"/>
        <v>6799100</v>
      </c>
    </row>
    <row r="30" spans="4:9" x14ac:dyDescent="0.3">
      <c r="D30" s="100" vm="142">
        <f ca="1"/>
        <v>42282</v>
      </c>
      <c r="E30" s="101" vm="10181">
        <f ca="1"/>
        <v>20.524999999999999</v>
      </c>
      <c r="F30" s="101" vm="10182">
        <f ca="1"/>
        <v>19.984999999999999</v>
      </c>
      <c r="G30" s="101" vm="10183">
        <f ca="1"/>
        <v>20.640999999999998</v>
      </c>
      <c r="H30" s="101" vm="10184">
        <f ca="1"/>
        <v>19.536999999999999</v>
      </c>
      <c r="I30" s="102" vm="10185">
        <f ca="1"/>
        <v>6309350</v>
      </c>
    </row>
    <row r="31" spans="4:9" x14ac:dyDescent="0.3">
      <c r="D31" s="100" vm="148">
        <f ca="1"/>
        <v>42289</v>
      </c>
      <c r="E31" s="101" vm="10186">
        <f ca="1"/>
        <v>20.311</v>
      </c>
      <c r="F31" s="101" vm="10187">
        <f ca="1"/>
        <v>20.542999999999999</v>
      </c>
      <c r="G31" s="101" vm="10188">
        <f ca="1"/>
        <v>20.977</v>
      </c>
      <c r="H31" s="101" vm="10189">
        <f ca="1"/>
        <v>19.526</v>
      </c>
      <c r="I31" s="102" vm="10190">
        <f ca="1"/>
        <v>4135110</v>
      </c>
    </row>
    <row r="32" spans="4:9" x14ac:dyDescent="0.3">
      <c r="D32" s="100" vm="154">
        <f ca="1"/>
        <v>42296</v>
      </c>
      <c r="E32" s="101" vm="10191">
        <f ca="1"/>
        <v>18.818000000000001</v>
      </c>
      <c r="F32" s="101" vm="10192">
        <f ca="1"/>
        <v>20.302</v>
      </c>
      <c r="G32" s="101" vm="10193">
        <f ca="1"/>
        <v>20.478999999999999</v>
      </c>
      <c r="H32" s="101" vm="10194">
        <f ca="1"/>
        <v>18.673999999999999</v>
      </c>
      <c r="I32" s="102" vm="10195">
        <f ca="1"/>
        <v>5194280</v>
      </c>
    </row>
    <row r="33" spans="4:9" x14ac:dyDescent="0.3">
      <c r="D33" s="100" vm="160">
        <f ca="1"/>
        <v>42303</v>
      </c>
      <c r="E33" s="101" vm="10196">
        <f ca="1"/>
        <v>17.207000000000001</v>
      </c>
      <c r="F33" s="101" vm="10197">
        <f ca="1"/>
        <v>18.765000000000001</v>
      </c>
      <c r="G33" s="101" vm="10198">
        <f ca="1"/>
        <v>19.704000000000001</v>
      </c>
      <c r="H33" s="101" vm="10199">
        <f ca="1"/>
        <v>16.419</v>
      </c>
      <c r="I33" s="102" vm="10200">
        <f ca="1"/>
        <v>17955390</v>
      </c>
    </row>
    <row r="34" spans="4:9" x14ac:dyDescent="0.3">
      <c r="D34" s="100" vm="166">
        <f ca="1"/>
        <v>42310</v>
      </c>
      <c r="E34" s="101" vm="10201">
        <f ca="1"/>
        <v>17.765000000000001</v>
      </c>
      <c r="F34" s="101" vm="10202">
        <f ca="1"/>
        <v>17.280999999999999</v>
      </c>
      <c r="G34" s="101" vm="10203">
        <f ca="1"/>
        <v>18.167999999999999</v>
      </c>
      <c r="H34" s="101" vm="10204">
        <f ca="1"/>
        <v>17.128</v>
      </c>
      <c r="I34" s="102" vm="10205">
        <f ca="1"/>
        <v>7797000</v>
      </c>
    </row>
    <row r="35" spans="4:9" x14ac:dyDescent="0.3">
      <c r="D35" s="100" vm="172">
        <f ca="1"/>
        <v>42317</v>
      </c>
      <c r="E35" s="101" vm="10206">
        <f ca="1"/>
        <v>16.887</v>
      </c>
      <c r="F35" s="101" vm="10207">
        <f ca="1"/>
        <v>17.786000000000001</v>
      </c>
      <c r="G35" s="101" vm="10207">
        <f ca="1"/>
        <v>17.786000000000001</v>
      </c>
      <c r="H35" s="101" vm="10208">
        <f ca="1"/>
        <v>16.821000000000002</v>
      </c>
      <c r="I35" s="102" vm="10209">
        <f ca="1"/>
        <v>4900310</v>
      </c>
    </row>
    <row r="36" spans="4:9" x14ac:dyDescent="0.3">
      <c r="D36" s="100" vm="178">
        <f ca="1"/>
        <v>42324</v>
      </c>
      <c r="E36" s="101" vm="10210">
        <f ca="1"/>
        <v>17.321000000000002</v>
      </c>
      <c r="F36" s="101" vm="10211">
        <f ca="1"/>
        <v>16.888000000000002</v>
      </c>
      <c r="G36" s="101" vm="10212">
        <f ca="1"/>
        <v>17.625</v>
      </c>
      <c r="H36" s="101" vm="10213">
        <f ca="1"/>
        <v>16.811</v>
      </c>
      <c r="I36" s="102" vm="10214">
        <f ca="1"/>
        <v>4207330</v>
      </c>
    </row>
    <row r="37" spans="4:9" x14ac:dyDescent="0.3">
      <c r="D37" s="100" vm="184">
        <f ca="1"/>
        <v>42331</v>
      </c>
      <c r="E37" s="101" vm="10215">
        <f ca="1"/>
        <v>17.556000000000001</v>
      </c>
      <c r="F37" s="101" vm="10216">
        <f ca="1"/>
        <v>17.347999999999999</v>
      </c>
      <c r="G37" s="101" vm="4028">
        <f ca="1"/>
        <v>17.78</v>
      </c>
      <c r="H37" s="101" vm="4089">
        <f ca="1"/>
        <v>16.93</v>
      </c>
      <c r="I37" s="102" vm="10217">
        <f ca="1"/>
        <v>3375030</v>
      </c>
    </row>
    <row r="38" spans="4:9" x14ac:dyDescent="0.3">
      <c r="D38" s="100" vm="190">
        <f ca="1"/>
        <v>42338</v>
      </c>
      <c r="E38" s="101" vm="10218">
        <f ca="1"/>
        <v>17.684000000000001</v>
      </c>
      <c r="F38" s="101" vm="4150">
        <f ca="1"/>
        <v>17.38</v>
      </c>
      <c r="G38" s="101" vm="10219">
        <f ca="1"/>
        <v>17.899999999999999</v>
      </c>
      <c r="H38" s="101" vm="10220">
        <f ca="1"/>
        <v>17.135999999999999</v>
      </c>
      <c r="I38" s="102" vm="10221">
        <f ca="1"/>
        <v>5296320</v>
      </c>
    </row>
    <row r="39" spans="4:9" x14ac:dyDescent="0.3">
      <c r="D39" s="100" vm="196">
        <f ca="1"/>
        <v>42345</v>
      </c>
      <c r="E39" s="101" vm="10222">
        <f ca="1"/>
        <v>17.414000000000001</v>
      </c>
      <c r="F39" s="101" vm="3479">
        <f ca="1"/>
        <v>17.600000000000001</v>
      </c>
      <c r="G39" s="101" vm="10223">
        <f ca="1"/>
        <v>17.741</v>
      </c>
      <c r="H39" s="101" vm="10224">
        <f ca="1"/>
        <v>17.053999999999998</v>
      </c>
      <c r="I39" s="102" vm="10225">
        <f ca="1"/>
        <v>6833860</v>
      </c>
    </row>
    <row r="40" spans="4:9" x14ac:dyDescent="0.3">
      <c r="D40" s="100" vm="202">
        <f ca="1"/>
        <v>42352</v>
      </c>
      <c r="E40" s="101" vm="10226">
        <f ca="1"/>
        <v>17.574000000000002</v>
      </c>
      <c r="F40" s="101" vm="10227">
        <f ca="1"/>
        <v>17.391999999999999</v>
      </c>
      <c r="G40" s="101" vm="6850">
        <f ca="1"/>
        <v>18.122</v>
      </c>
      <c r="H40" s="101" vm="10228">
        <f ca="1"/>
        <v>17.114000000000001</v>
      </c>
      <c r="I40" s="102" vm="10229">
        <f ca="1"/>
        <v>8183050</v>
      </c>
    </row>
    <row r="41" spans="4:9" x14ac:dyDescent="0.3">
      <c r="D41" s="100" vm="208">
        <f ca="1"/>
        <v>42359</v>
      </c>
      <c r="E41" s="101" vm="10104">
        <f ca="1"/>
        <v>17.760999999999999</v>
      </c>
      <c r="F41" s="101" vm="10230">
        <f ca="1"/>
        <v>17.734000000000002</v>
      </c>
      <c r="G41" s="101" vm="10231">
        <f ca="1"/>
        <v>17.84</v>
      </c>
      <c r="H41" s="101" vm="10232">
        <f ca="1"/>
        <v>17.454000000000001</v>
      </c>
      <c r="I41" s="102" vm="10233">
        <f ca="1"/>
        <v>3751690</v>
      </c>
    </row>
    <row r="42" spans="4:9" x14ac:dyDescent="0.3">
      <c r="D42" s="100" vm="214">
        <f ca="1"/>
        <v>42366</v>
      </c>
      <c r="E42" s="101" vm="10234">
        <f ca="1"/>
        <v>17.928999999999998</v>
      </c>
      <c r="F42" s="101" vm="6615">
        <f ca="1"/>
        <v>17.661000000000001</v>
      </c>
      <c r="G42" s="101" vm="4152">
        <f ca="1"/>
        <v>18.18</v>
      </c>
      <c r="H42" s="101" vm="10235">
        <f ca="1"/>
        <v>17.536000000000001</v>
      </c>
      <c r="I42" s="102" vm="10236">
        <f ca="1"/>
        <v>2896400</v>
      </c>
    </row>
    <row r="43" spans="4:9" x14ac:dyDescent="0.3">
      <c r="D43" s="100" vm="220">
        <f ca="1"/>
        <v>42373</v>
      </c>
      <c r="E43" s="101" vm="10237">
        <f ca="1"/>
        <v>14.815</v>
      </c>
      <c r="F43" s="101" vm="10238">
        <f ca="1"/>
        <v>17.617000000000001</v>
      </c>
      <c r="G43" s="101" vm="10239">
        <f ca="1"/>
        <v>17.797999999999998</v>
      </c>
      <c r="H43" s="101" vm="10240">
        <f ca="1"/>
        <v>14.106</v>
      </c>
      <c r="I43" s="102" vm="10241">
        <f ca="1"/>
        <v>12710410</v>
      </c>
    </row>
    <row r="44" spans="4:9" x14ac:dyDescent="0.3">
      <c r="D44" s="100" vm="226">
        <f ca="1"/>
        <v>42380</v>
      </c>
      <c r="E44" s="101" vm="10242">
        <f ca="1"/>
        <v>14.993</v>
      </c>
      <c r="F44" s="101" vm="10243">
        <f ca="1"/>
        <v>14.981999999999999</v>
      </c>
      <c r="G44" s="101" vm="10244">
        <f ca="1"/>
        <v>15.704000000000001</v>
      </c>
      <c r="H44" s="101" vm="10245">
        <f ca="1"/>
        <v>14.295</v>
      </c>
      <c r="I44" s="102" vm="10246">
        <f ca="1"/>
        <v>8104920</v>
      </c>
    </row>
    <row r="45" spans="4:9" x14ac:dyDescent="0.3">
      <c r="D45" s="100" vm="232">
        <f ca="1"/>
        <v>42388</v>
      </c>
      <c r="E45" s="101" vm="10247">
        <f ca="1"/>
        <v>14.991</v>
      </c>
      <c r="F45" s="101" vm="10248">
        <f ca="1"/>
        <v>15.121</v>
      </c>
      <c r="G45" s="101" vm="10249">
        <f ca="1"/>
        <v>15.407999999999999</v>
      </c>
      <c r="H45" s="101" vm="10250">
        <f ca="1"/>
        <v>14.101000000000001</v>
      </c>
      <c r="I45" s="102" vm="10251">
        <f ca="1"/>
        <v>5828190</v>
      </c>
    </row>
    <row r="46" spans="4:9" x14ac:dyDescent="0.3">
      <c r="D46" s="100" vm="238">
        <f ca="1"/>
        <v>42394</v>
      </c>
      <c r="E46" s="101" vm="10252">
        <f ca="1"/>
        <v>17.251000000000001</v>
      </c>
      <c r="F46" s="101" vm="10253">
        <f ca="1"/>
        <v>14.920999999999999</v>
      </c>
      <c r="G46" s="101" vm="10254">
        <f ca="1"/>
        <v>17.376999999999999</v>
      </c>
      <c r="H46" s="101" vm="10255">
        <f ca="1"/>
        <v>14.154</v>
      </c>
      <c r="I46" s="102" vm="10256">
        <f ca="1"/>
        <v>15931320</v>
      </c>
    </row>
    <row r="47" spans="4:9" x14ac:dyDescent="0.3">
      <c r="D47" s="100" vm="244">
        <f ca="1"/>
        <v>42401</v>
      </c>
      <c r="E47" s="101" vm="10257">
        <f ca="1"/>
        <v>15.646000000000001</v>
      </c>
      <c r="F47" s="101" vm="10258">
        <f ca="1"/>
        <v>17.108000000000001</v>
      </c>
      <c r="G47" s="101" vm="10259">
        <f ca="1"/>
        <v>17.616</v>
      </c>
      <c r="H47" s="101" vm="10260">
        <f ca="1"/>
        <v>15.580500000000001</v>
      </c>
      <c r="I47" s="102" vm="10261">
        <f ca="1"/>
        <v>8892810</v>
      </c>
    </row>
    <row r="48" spans="4:9" x14ac:dyDescent="0.3">
      <c r="D48" s="100" vm="250">
        <f ca="1"/>
        <v>42408</v>
      </c>
      <c r="E48" s="101" vm="10262">
        <f ca="1"/>
        <v>15.19</v>
      </c>
      <c r="F48" s="101" vm="10263">
        <f ca="1"/>
        <v>15.452999999999999</v>
      </c>
      <c r="G48" s="101" vm="10264">
        <f ca="1"/>
        <v>16.170999999999999</v>
      </c>
      <c r="H48" s="101" vm="10265">
        <f ca="1"/>
        <v>14.555</v>
      </c>
      <c r="I48" s="102" vm="10266">
        <f ca="1"/>
        <v>7795170</v>
      </c>
    </row>
    <row r="49" spans="4:9" x14ac:dyDescent="0.3">
      <c r="D49" s="100" vm="256">
        <f ca="1"/>
        <v>42416</v>
      </c>
      <c r="E49" s="101" vm="10267">
        <f ca="1"/>
        <v>15.324999999999999</v>
      </c>
      <c r="F49" s="101" vm="10268">
        <f ca="1"/>
        <v>15.371</v>
      </c>
      <c r="G49" s="101" vm="10269">
        <f ca="1"/>
        <v>15.824</v>
      </c>
      <c r="H49" s="101" vm="10270">
        <f ca="1"/>
        <v>14.762</v>
      </c>
      <c r="I49" s="102" vm="10271">
        <f ca="1"/>
        <v>7906840</v>
      </c>
    </row>
    <row r="50" spans="4:9" x14ac:dyDescent="0.3">
      <c r="D50" s="100" vm="262">
        <f ca="1"/>
        <v>42422</v>
      </c>
      <c r="E50" s="101" vm="10272">
        <f ca="1"/>
        <v>15.858000000000001</v>
      </c>
      <c r="F50" s="101" vm="10273">
        <f ca="1"/>
        <v>15.532</v>
      </c>
      <c r="G50" s="101" vm="6857">
        <f ca="1"/>
        <v>16</v>
      </c>
      <c r="H50" s="101" vm="10274">
        <f ca="1"/>
        <v>15.026999999999999</v>
      </c>
      <c r="I50" s="102" vm="10275">
        <f ca="1"/>
        <v>8140290</v>
      </c>
    </row>
    <row r="51" spans="4:9" x14ac:dyDescent="0.3">
      <c r="D51" s="100" vm="268">
        <f ca="1"/>
        <v>42429</v>
      </c>
      <c r="E51" s="101" vm="10276">
        <f ca="1"/>
        <v>16.898</v>
      </c>
      <c r="F51" s="101" vm="10277">
        <f ca="1"/>
        <v>15.835000000000001</v>
      </c>
      <c r="G51" s="101" vm="10278">
        <f ca="1"/>
        <v>17.283000000000001</v>
      </c>
      <c r="H51" s="101" vm="10279">
        <f ca="1"/>
        <v>15.8</v>
      </c>
      <c r="I51" s="102" vm="10280">
        <f ca="1"/>
        <v>7436740</v>
      </c>
    </row>
    <row r="52" spans="4:9" x14ac:dyDescent="0.3">
      <c r="D52" s="100" vm="274">
        <f ca="1"/>
        <v>42436</v>
      </c>
      <c r="E52" s="101" vm="10281">
        <f ca="1"/>
        <v>17.059000000000001</v>
      </c>
      <c r="F52" s="101" vm="10282">
        <f ca="1"/>
        <v>16.797999999999998</v>
      </c>
      <c r="G52" s="101" vm="10283">
        <f ca="1"/>
        <v>17.111000000000001</v>
      </c>
      <c r="H52" s="101" vm="10284">
        <f ca="1"/>
        <v>15.936999999999999</v>
      </c>
      <c r="I52" s="102" vm="10285">
        <f ca="1"/>
        <v>5681710</v>
      </c>
    </row>
    <row r="53" spans="4:9" x14ac:dyDescent="0.3">
      <c r="D53" s="100" vm="280">
        <f ca="1"/>
        <v>42443</v>
      </c>
      <c r="E53" s="101" vm="10286">
        <f ca="1"/>
        <v>17.512</v>
      </c>
      <c r="F53" s="101" vm="10287">
        <f ca="1"/>
        <v>16.959</v>
      </c>
      <c r="G53" s="101" vm="10288">
        <f ca="1"/>
        <v>17.558</v>
      </c>
      <c r="H53" s="101" vm="10289">
        <f ca="1"/>
        <v>16.221</v>
      </c>
      <c r="I53" s="102" vm="10290">
        <f ca="1"/>
        <v>6406220</v>
      </c>
    </row>
    <row r="54" spans="4:9" x14ac:dyDescent="0.3">
      <c r="D54" s="100" vm="286">
        <f ca="1"/>
        <v>42450</v>
      </c>
      <c r="E54" s="101" vm="10291">
        <f ca="1"/>
        <v>17.282</v>
      </c>
      <c r="F54" s="101" vm="10292">
        <f ca="1"/>
        <v>17.484000000000002</v>
      </c>
      <c r="G54" s="101" vm="10293">
        <f ca="1"/>
        <v>17.73</v>
      </c>
      <c r="H54" s="101" vm="10294">
        <f ca="1"/>
        <v>16.8535</v>
      </c>
      <c r="I54" s="102" vm="10295">
        <f ca="1"/>
        <v>4187970</v>
      </c>
    </row>
    <row r="55" spans="4:9" x14ac:dyDescent="0.3">
      <c r="D55" s="100" vm="292">
        <f ca="1"/>
        <v>42457</v>
      </c>
      <c r="E55" s="101" vm="10296">
        <f ca="1"/>
        <v>18.274999999999999</v>
      </c>
      <c r="F55" s="101" vm="10297">
        <f ca="1"/>
        <v>17.417999999999999</v>
      </c>
      <c r="G55" s="101" vm="10298">
        <f ca="1"/>
        <v>18.309000000000001</v>
      </c>
      <c r="H55" s="101" vm="10299">
        <f ca="1"/>
        <v>16.847999999999999</v>
      </c>
      <c r="I55" s="102" vm="10300">
        <f ca="1"/>
        <v>5783290</v>
      </c>
    </row>
    <row r="56" spans="4:9" x14ac:dyDescent="0.3">
      <c r="D56" s="100" vm="298">
        <f ca="1"/>
        <v>42464</v>
      </c>
      <c r="E56" s="101" vm="3492">
        <f ca="1"/>
        <v>17.88</v>
      </c>
      <c r="F56" s="101" vm="10301">
        <f ca="1"/>
        <v>18.341999999999999</v>
      </c>
      <c r="G56" s="101" vm="10302">
        <f ca="1"/>
        <v>18.664999999999999</v>
      </c>
      <c r="H56" s="101" vm="10303">
        <f ca="1"/>
        <v>17.672000000000001</v>
      </c>
      <c r="I56" s="102" vm="10304">
        <f ca="1"/>
        <v>4927330</v>
      </c>
    </row>
    <row r="57" spans="4:9" x14ac:dyDescent="0.3">
      <c r="D57" s="100" vm="303">
        <f ca="1"/>
        <v>42471</v>
      </c>
      <c r="E57" s="101" vm="10305">
        <f ca="1"/>
        <v>18.617000000000001</v>
      </c>
      <c r="F57" s="101" vm="10306">
        <f ca="1"/>
        <v>18.212</v>
      </c>
      <c r="G57" s="101" vm="10307">
        <f ca="1"/>
        <v>18.940999999999999</v>
      </c>
      <c r="H57" s="101" vm="10308">
        <f ca="1"/>
        <v>17.896999999999998</v>
      </c>
      <c r="I57" s="102" vm="10309">
        <f ca="1"/>
        <v>7008200</v>
      </c>
    </row>
    <row r="58" spans="4:9" x14ac:dyDescent="0.3">
      <c r="D58" s="100" vm="308">
        <f ca="1"/>
        <v>42478</v>
      </c>
      <c r="E58" s="101" vm="4011">
        <f ca="1"/>
        <v>19.18</v>
      </c>
      <c r="F58" s="101" vm="10310">
        <f ca="1"/>
        <v>18.632000000000001</v>
      </c>
      <c r="G58" s="101" vm="10311">
        <f ca="1"/>
        <v>19.184000000000001</v>
      </c>
      <c r="H58" s="101" vm="10312">
        <f ca="1"/>
        <v>18.523</v>
      </c>
      <c r="I58" s="102" vm="10313">
        <f ca="1"/>
        <v>7736670</v>
      </c>
    </row>
    <row r="59" spans="4:9" x14ac:dyDescent="0.3">
      <c r="D59" s="100" vm="314">
        <f ca="1"/>
        <v>42485</v>
      </c>
      <c r="E59" s="101" vm="10314">
        <f ca="1"/>
        <v>17.931999999999999</v>
      </c>
      <c r="F59" s="101" vm="10315">
        <f ca="1"/>
        <v>19.190000000000001</v>
      </c>
      <c r="G59" s="101" vm="10316">
        <f ca="1"/>
        <v>19.239999999999998</v>
      </c>
      <c r="H59" s="101" vm="10317">
        <f ca="1"/>
        <v>17.026</v>
      </c>
      <c r="I59" s="102" vm="10318">
        <f ca="1"/>
        <v>12746060</v>
      </c>
    </row>
    <row r="60" spans="4:9" x14ac:dyDescent="0.3">
      <c r="D60" s="100" vm="320">
        <f ca="1"/>
        <v>42492</v>
      </c>
      <c r="E60" s="101" vm="10319">
        <f ca="1"/>
        <v>18.257000000000001</v>
      </c>
      <c r="F60" s="101" vm="10320">
        <f ca="1"/>
        <v>17.981999999999999</v>
      </c>
      <c r="G60" s="101" vm="10321">
        <f ca="1"/>
        <v>18.594000000000001</v>
      </c>
      <c r="H60" s="101" vm="10322">
        <f ca="1"/>
        <v>17.751000000000001</v>
      </c>
      <c r="I60" s="102" vm="10323">
        <f ca="1"/>
        <v>7696660</v>
      </c>
    </row>
    <row r="61" spans="4:9" x14ac:dyDescent="0.3">
      <c r="D61" s="100" vm="326">
        <f ca="1"/>
        <v>42499</v>
      </c>
      <c r="E61" s="101" vm="10324">
        <f ca="1"/>
        <v>18.215</v>
      </c>
      <c r="F61" s="101" vm="6886">
        <f ca="1"/>
        <v>18.244</v>
      </c>
      <c r="G61" s="101" vm="10325">
        <f ca="1"/>
        <v>19.218</v>
      </c>
      <c r="H61" s="101" vm="10326">
        <f ca="1"/>
        <v>18.125</v>
      </c>
      <c r="I61" s="102" vm="10327">
        <f ca="1"/>
        <v>8938110</v>
      </c>
    </row>
    <row r="62" spans="4:9" x14ac:dyDescent="0.3">
      <c r="D62" s="100" vm="332">
        <f ca="1"/>
        <v>42506</v>
      </c>
      <c r="E62" s="101" vm="10328">
        <f ca="1"/>
        <v>17.928000000000001</v>
      </c>
      <c r="F62" s="101" vm="10329">
        <f ca="1"/>
        <v>18.260000000000002</v>
      </c>
      <c r="G62" s="101" vm="10330">
        <f ca="1"/>
        <v>18.542000000000002</v>
      </c>
      <c r="H62" s="101" vm="10331">
        <f ca="1"/>
        <v>17.635999999999999</v>
      </c>
      <c r="I62" s="102" vm="10332">
        <f ca="1"/>
        <v>5902660</v>
      </c>
    </row>
    <row r="63" spans="4:9" x14ac:dyDescent="0.3">
      <c r="D63" s="100" vm="337">
        <f ca="1"/>
        <v>42513</v>
      </c>
      <c r="E63" s="101" vm="10333">
        <f ca="1"/>
        <v>19.093</v>
      </c>
      <c r="F63" s="101" vm="3494">
        <f ca="1"/>
        <v>17.96</v>
      </c>
      <c r="G63" s="101" vm="10334">
        <f ca="1"/>
        <v>19.151</v>
      </c>
      <c r="H63" s="101" vm="10335">
        <f ca="1"/>
        <v>17.957999999999998</v>
      </c>
      <c r="I63" s="102" vm="10336">
        <f ca="1"/>
        <v>4216900</v>
      </c>
    </row>
    <row r="64" spans="4:9" x14ac:dyDescent="0.3">
      <c r="D64" s="100" vm="343">
        <f ca="1"/>
        <v>42521</v>
      </c>
      <c r="E64" s="101" vm="10337">
        <f ca="1"/>
        <v>18.869</v>
      </c>
      <c r="F64" s="101" vm="4181">
        <f ca="1"/>
        <v>19.11</v>
      </c>
      <c r="G64" s="101" vm="4181">
        <f ca="1"/>
        <v>19.11</v>
      </c>
      <c r="H64" s="101" vm="10338">
        <f ca="1"/>
        <v>18.382000000000001</v>
      </c>
      <c r="I64" s="102" vm="10339">
        <f ca="1"/>
        <v>6059120</v>
      </c>
    </row>
    <row r="65" spans="4:9" x14ac:dyDescent="0.3">
      <c r="D65" s="100" vm="349">
        <f ca="1"/>
        <v>42527</v>
      </c>
      <c r="E65" s="101" vm="10340">
        <f ca="1"/>
        <v>18.776</v>
      </c>
      <c r="F65" s="101" vm="10341">
        <f ca="1"/>
        <v>18.975000000000001</v>
      </c>
      <c r="G65" s="101" vm="10166">
        <f ca="1"/>
        <v>19.599</v>
      </c>
      <c r="H65" s="101" vm="10342">
        <f ca="1"/>
        <v>18.669</v>
      </c>
      <c r="I65" s="102" vm="10343">
        <f ca="1"/>
        <v>5839510</v>
      </c>
    </row>
    <row r="66" spans="4:9" x14ac:dyDescent="0.3">
      <c r="D66" s="100" vm="355">
        <f ca="1"/>
        <v>42534</v>
      </c>
      <c r="E66" s="101" vm="10344">
        <f ca="1"/>
        <v>17.917999999999999</v>
      </c>
      <c r="F66" s="101" vm="10345">
        <f ca="1"/>
        <v>18.658000000000001</v>
      </c>
      <c r="G66" s="101" vm="10346">
        <f ca="1"/>
        <v>19.1005</v>
      </c>
      <c r="H66" s="101" vm="10347">
        <f ca="1"/>
        <v>17.739000000000001</v>
      </c>
      <c r="I66" s="102" vm="10348">
        <f ca="1"/>
        <v>4246000</v>
      </c>
    </row>
    <row r="67" spans="4:9" x14ac:dyDescent="0.3">
      <c r="D67" s="100" vm="361">
        <f ca="1"/>
        <v>42541</v>
      </c>
      <c r="E67" s="101" vm="6866">
        <f ca="1"/>
        <v>17.312000000000001</v>
      </c>
      <c r="F67" s="101" vm="10349">
        <f ca="1"/>
        <v>18.201000000000001</v>
      </c>
      <c r="G67" s="101" vm="10350">
        <f ca="1"/>
        <v>18.625</v>
      </c>
      <c r="H67" s="101" vm="10351">
        <f ca="1"/>
        <v>17.260000000000002</v>
      </c>
      <c r="I67" s="102" vm="10352">
        <f ca="1"/>
        <v>6201350</v>
      </c>
    </row>
    <row r="68" spans="4:9" x14ac:dyDescent="0.3">
      <c r="D68" s="100" vm="367">
        <f ca="1"/>
        <v>42548</v>
      </c>
      <c r="E68" s="101" vm="10353">
        <f ca="1"/>
        <v>17.239000000000001</v>
      </c>
      <c r="F68" s="101" vm="10354">
        <f ca="1"/>
        <v>17.073</v>
      </c>
      <c r="G68" s="101" vm="10355">
        <f ca="1"/>
        <v>17.696000000000002</v>
      </c>
      <c r="H68" s="101" vm="10356">
        <f ca="1"/>
        <v>16.501999999999999</v>
      </c>
      <c r="I68" s="102" vm="10357">
        <f ca="1"/>
        <v>7735610</v>
      </c>
    </row>
    <row r="69" spans="4:9" x14ac:dyDescent="0.3">
      <c r="D69" s="100" vm="372">
        <f ca="1"/>
        <v>42556</v>
      </c>
      <c r="E69" s="101" vm="10358">
        <f ca="1"/>
        <v>17.829000000000001</v>
      </c>
      <c r="F69" s="101" vm="10359">
        <f ca="1"/>
        <v>17.117999999999999</v>
      </c>
      <c r="G69" s="101" vm="10360">
        <f ca="1"/>
        <v>17.991</v>
      </c>
      <c r="H69" s="101" vm="10361">
        <f ca="1"/>
        <v>16.8</v>
      </c>
      <c r="I69" s="102" vm="10362">
        <f ca="1"/>
        <v>3585100</v>
      </c>
    </row>
    <row r="70" spans="4:9" x14ac:dyDescent="0.3">
      <c r="D70" s="100" vm="377">
        <f ca="1"/>
        <v>42562</v>
      </c>
      <c r="E70" s="101" vm="10363">
        <f ca="1"/>
        <v>18.721</v>
      </c>
      <c r="F70" s="101" vm="10364">
        <f ca="1"/>
        <v>18.007000000000001</v>
      </c>
      <c r="G70" s="101" vm="10365">
        <f ca="1"/>
        <v>18.806100000000001</v>
      </c>
      <c r="H70" s="101" vm="10366">
        <f ca="1"/>
        <v>17.797000000000001</v>
      </c>
      <c r="I70" s="102" vm="10367">
        <f ca="1"/>
        <v>6791000</v>
      </c>
    </row>
    <row r="71" spans="4:9" x14ac:dyDescent="0.3">
      <c r="D71" s="100" vm="383">
        <f ca="1"/>
        <v>42569</v>
      </c>
      <c r="E71" s="101" vm="10368">
        <f ca="1"/>
        <v>18.783999999999999</v>
      </c>
      <c r="F71" s="101" vm="10134">
        <f ca="1"/>
        <v>18.678000000000001</v>
      </c>
      <c r="G71" s="101" vm="10369">
        <f ca="1"/>
        <v>19.175999999999998</v>
      </c>
      <c r="H71" s="101" vm="10370">
        <f ca="1"/>
        <v>18.225000000000001</v>
      </c>
      <c r="I71" s="102" vm="10371">
        <f ca="1"/>
        <v>7437010</v>
      </c>
    </row>
    <row r="72" spans="4:9" x14ac:dyDescent="0.3">
      <c r="D72" s="100" vm="389">
        <f ca="1"/>
        <v>42576</v>
      </c>
      <c r="E72" s="101" vm="10372">
        <f ca="1"/>
        <v>17.489000000000001</v>
      </c>
      <c r="F72" s="101" vm="10373">
        <f ca="1"/>
        <v>18.765999999999998</v>
      </c>
      <c r="G72" s="101" vm="10373">
        <f ca="1"/>
        <v>18.765999999999998</v>
      </c>
      <c r="H72" s="101" vm="10374">
        <f ca="1"/>
        <v>16.189499999999999</v>
      </c>
      <c r="I72" s="102" vm="10375">
        <f ca="1"/>
        <v>10915160</v>
      </c>
    </row>
    <row r="73" spans="4:9" x14ac:dyDescent="0.3">
      <c r="D73" s="100" vm="395">
        <f ca="1"/>
        <v>42583</v>
      </c>
      <c r="E73" s="101" vm="10376">
        <f ca="1"/>
        <v>16.632000000000001</v>
      </c>
      <c r="F73" s="101" vm="10377">
        <f ca="1"/>
        <v>17.431999999999999</v>
      </c>
      <c r="G73" s="101" vm="10377">
        <f ca="1"/>
        <v>17.431999999999999</v>
      </c>
      <c r="H73" s="101" vm="10378">
        <f ca="1"/>
        <v>16.294</v>
      </c>
      <c r="I73" s="102" vm="10379">
        <f ca="1"/>
        <v>9293770</v>
      </c>
    </row>
    <row r="74" spans="4:9" x14ac:dyDescent="0.3">
      <c r="D74" s="100" vm="400">
        <f ca="1"/>
        <v>42590</v>
      </c>
      <c r="E74" s="101" vm="10380">
        <f ca="1"/>
        <v>16.542999999999999</v>
      </c>
      <c r="F74" s="101" vm="10381">
        <f ca="1"/>
        <v>16.611000000000001</v>
      </c>
      <c r="G74" s="101" vm="10382">
        <f ca="1"/>
        <v>16.707999999999998</v>
      </c>
      <c r="H74" s="101" vm="10383">
        <f ca="1"/>
        <v>16.321000000000002</v>
      </c>
      <c r="I74" s="102" vm="10384">
        <f ca="1"/>
        <v>5385470</v>
      </c>
    </row>
    <row r="75" spans="4:9" x14ac:dyDescent="0.3">
      <c r="D75" s="100" vm="406">
        <f ca="1"/>
        <v>42597</v>
      </c>
      <c r="E75" s="101" vm="10385">
        <f ca="1"/>
        <v>16.664000000000001</v>
      </c>
      <c r="F75" s="101" vm="10380">
        <f ca="1"/>
        <v>16.542999999999999</v>
      </c>
      <c r="G75" s="101" vm="10386">
        <f ca="1"/>
        <v>16.760000000000002</v>
      </c>
      <c r="H75" s="101" vm="10387">
        <f ca="1"/>
        <v>16.318000000000001</v>
      </c>
      <c r="I75" s="102" vm="10388">
        <f ca="1"/>
        <v>3912380</v>
      </c>
    </row>
    <row r="76" spans="4:9" x14ac:dyDescent="0.3">
      <c r="D76" s="100" vm="412">
        <f ca="1"/>
        <v>42604</v>
      </c>
      <c r="E76" s="101" vm="10389">
        <f ca="1"/>
        <v>16.747</v>
      </c>
      <c r="F76" s="101" vm="10390">
        <f ca="1"/>
        <v>16.66</v>
      </c>
      <c r="G76" s="101" vm="10391">
        <f ca="1"/>
        <v>17.1815</v>
      </c>
      <c r="H76" s="101" vm="10392">
        <f ca="1"/>
        <v>16.404</v>
      </c>
      <c r="I76" s="102" vm="10393">
        <f ca="1"/>
        <v>4973120</v>
      </c>
    </row>
    <row r="77" spans="4:9" x14ac:dyDescent="0.3">
      <c r="D77" s="100" vm="418">
        <f ca="1"/>
        <v>42611</v>
      </c>
      <c r="E77" s="101" vm="10394">
        <f ca="1"/>
        <v>16.978000000000002</v>
      </c>
      <c r="F77" s="101" vm="10395">
        <f ca="1"/>
        <v>16.73</v>
      </c>
      <c r="G77" s="101" vm="6861">
        <f ca="1"/>
        <v>17.126000000000001</v>
      </c>
      <c r="H77" s="101" vm="10396">
        <f ca="1"/>
        <v>16.509</v>
      </c>
      <c r="I77" s="102" vm="10397">
        <f ca="1"/>
        <v>4084830</v>
      </c>
    </row>
    <row r="78" spans="4:9" x14ac:dyDescent="0.3">
      <c r="D78" s="100" vm="424">
        <f ca="1"/>
        <v>42619</v>
      </c>
      <c r="E78" s="101" vm="4130">
        <f ca="1"/>
        <v>17.07</v>
      </c>
      <c r="F78" s="101" vm="10398">
        <f ca="1"/>
        <v>16.949000000000002</v>
      </c>
      <c r="G78" s="101" vm="10399">
        <f ca="1"/>
        <v>17.367000000000001</v>
      </c>
      <c r="H78" s="101" vm="10400">
        <f ca="1"/>
        <v>16.75</v>
      </c>
      <c r="I78" s="102" vm="10401">
        <f ca="1"/>
        <v>5602120</v>
      </c>
    </row>
    <row r="79" spans="4:9" x14ac:dyDescent="0.3">
      <c r="D79" s="100" vm="429">
        <f ca="1"/>
        <v>42625</v>
      </c>
      <c r="E79" s="101" vm="10402">
        <f ca="1"/>
        <v>16.484000000000002</v>
      </c>
      <c r="F79" s="101" vm="10403">
        <f ca="1"/>
        <v>17.088000000000001</v>
      </c>
      <c r="G79" s="101" vm="10404">
        <f ca="1"/>
        <v>17.289000000000001</v>
      </c>
      <c r="H79" s="101" vm="10405">
        <f ca="1"/>
        <v>16.402000000000001</v>
      </c>
      <c r="I79" s="102" vm="10406">
        <f ca="1"/>
        <v>7513820</v>
      </c>
    </row>
    <row r="80" spans="4:9" x14ac:dyDescent="0.3">
      <c r="D80" s="100" vm="435">
        <f ca="1"/>
        <v>42632</v>
      </c>
      <c r="E80" s="101" vm="10407">
        <f ca="1"/>
        <v>17.178000000000001</v>
      </c>
      <c r="F80" s="101" vm="10408">
        <f ca="1"/>
        <v>16.614000000000001</v>
      </c>
      <c r="G80" s="101" vm="10409">
        <f ca="1"/>
        <v>17.231000000000002</v>
      </c>
      <c r="H80" s="101" vm="10410">
        <f ca="1"/>
        <v>16.358000000000001</v>
      </c>
      <c r="I80" s="102" vm="10411">
        <f ca="1"/>
        <v>6401230</v>
      </c>
    </row>
    <row r="81" spans="4:9" x14ac:dyDescent="0.3">
      <c r="D81" s="100" vm="441">
        <f ca="1"/>
        <v>42639</v>
      </c>
      <c r="E81" s="101" vm="10412">
        <f ca="1"/>
        <v>16.744</v>
      </c>
      <c r="F81" s="101" vm="10413">
        <f ca="1"/>
        <v>17.094000000000001</v>
      </c>
      <c r="G81" s="101" vm="10414">
        <f ca="1"/>
        <v>17.170500000000001</v>
      </c>
      <c r="H81" s="101" vm="10415">
        <f ca="1"/>
        <v>16.452000000000002</v>
      </c>
      <c r="I81" s="102" vm="10416">
        <f ca="1"/>
        <v>5904770</v>
      </c>
    </row>
    <row r="82" spans="4:9" x14ac:dyDescent="0.3">
      <c r="D82" s="100" vm="446">
        <f ca="1"/>
        <v>42646</v>
      </c>
      <c r="E82" s="101" vm="10417">
        <f ca="1"/>
        <v>17.297999999999998</v>
      </c>
      <c r="F82" s="101" vm="10418">
        <f ca="1"/>
        <v>16.696999999999999</v>
      </c>
      <c r="G82" s="101" vm="10419">
        <f ca="1"/>
        <v>17.427</v>
      </c>
      <c r="H82" s="101" vm="10420">
        <f ca="1"/>
        <v>16.271999999999998</v>
      </c>
      <c r="I82" s="102" vm="10421">
        <f ca="1"/>
        <v>6725880</v>
      </c>
    </row>
    <row r="83" spans="4:9" x14ac:dyDescent="0.3">
      <c r="D83" s="100" vm="450">
        <f ca="1"/>
        <v>42653</v>
      </c>
      <c r="E83" s="101" vm="10422">
        <f ca="1"/>
        <v>17.22</v>
      </c>
      <c r="F83" s="101" vm="10423">
        <f ca="1"/>
        <v>17.422000000000001</v>
      </c>
      <c r="G83" s="101" vm="3471">
        <f ca="1"/>
        <v>17.8</v>
      </c>
      <c r="H83" s="101" vm="10424">
        <f ca="1"/>
        <v>17.007000000000001</v>
      </c>
      <c r="I83" s="102" vm="10425">
        <f ca="1"/>
        <v>4689260</v>
      </c>
    </row>
    <row r="84" spans="4:9" x14ac:dyDescent="0.3">
      <c r="D84" s="100" vm="456">
        <f ca="1"/>
        <v>42660</v>
      </c>
      <c r="E84" s="101" vm="10426">
        <f ca="1"/>
        <v>16.861000000000001</v>
      </c>
      <c r="F84" s="101" vm="4187">
        <f ca="1"/>
        <v>17.25</v>
      </c>
      <c r="G84" s="101" vm="3552">
        <f ca="1"/>
        <v>17.425000000000001</v>
      </c>
      <c r="H84" s="101" vm="10427">
        <f ca="1"/>
        <v>16.667000000000002</v>
      </c>
      <c r="I84" s="102" vm="10428">
        <f ca="1"/>
        <v>5231290</v>
      </c>
    </row>
    <row r="85" spans="4:9" x14ac:dyDescent="0.3">
      <c r="D85" s="100" vm="462">
        <f ca="1"/>
        <v>42667</v>
      </c>
      <c r="E85" s="101" vm="10429">
        <f ca="1"/>
        <v>19.146999999999998</v>
      </c>
      <c r="F85" s="101" vm="10430">
        <f ca="1"/>
        <v>16.984000000000002</v>
      </c>
      <c r="G85" s="101" vm="10431">
        <f ca="1"/>
        <v>19.901</v>
      </c>
      <c r="H85" s="101" vm="10432">
        <f ca="1"/>
        <v>16.903500000000001</v>
      </c>
      <c r="I85" s="102" vm="10433">
        <f ca="1"/>
        <v>11053240</v>
      </c>
    </row>
    <row r="86" spans="4:9" x14ac:dyDescent="0.3">
      <c r="D86" s="100" vm="467">
        <f ca="1"/>
        <v>42674</v>
      </c>
      <c r="E86" s="101" vm="10434">
        <f ca="1"/>
        <v>19.015999999999998</v>
      </c>
      <c r="F86" s="101" vm="10435">
        <f ca="1"/>
        <v>19.277000000000001</v>
      </c>
      <c r="G86" s="101" vm="10436">
        <f ca="1"/>
        <v>19.678999999999998</v>
      </c>
      <c r="H86" s="101" vm="10088">
        <f ca="1"/>
        <v>18.654</v>
      </c>
      <c r="I86" s="102" vm="10437">
        <f ca="1"/>
        <v>8525620</v>
      </c>
    </row>
    <row r="87" spans="4:9" x14ac:dyDescent="0.3">
      <c r="D87" s="100" vm="473">
        <f ca="1"/>
        <v>42681</v>
      </c>
      <c r="E87" s="101" vm="10438">
        <f ca="1"/>
        <v>19.675000000000001</v>
      </c>
      <c r="F87" s="101" vm="10439">
        <f ca="1"/>
        <v>19.297999999999998</v>
      </c>
      <c r="G87" s="101" vm="10440">
        <f ca="1"/>
        <v>19.811499999999999</v>
      </c>
      <c r="H87" s="101" vm="10441">
        <f ca="1"/>
        <v>18.643999999999998</v>
      </c>
      <c r="I87" s="102" vm="10442">
        <f ca="1"/>
        <v>13665940</v>
      </c>
    </row>
    <row r="88" spans="4:9" x14ac:dyDescent="0.3">
      <c r="D88" s="100" vm="479">
        <f ca="1"/>
        <v>42688</v>
      </c>
      <c r="E88" s="101" vm="10443">
        <f ca="1"/>
        <v>19.667999999999999</v>
      </c>
      <c r="F88" s="101" vm="10444">
        <f ca="1"/>
        <v>19.879000000000001</v>
      </c>
      <c r="G88" s="101" vm="10445">
        <f ca="1"/>
        <v>19.914000000000001</v>
      </c>
      <c r="H88" s="101" vm="10446">
        <f ca="1"/>
        <v>19.074999999999999</v>
      </c>
      <c r="I88" s="102" vm="10447">
        <f ca="1"/>
        <v>5061740</v>
      </c>
    </row>
    <row r="89" spans="4:9" x14ac:dyDescent="0.3">
      <c r="D89" s="100" vm="485">
        <f ca="1"/>
        <v>42695</v>
      </c>
      <c r="E89" s="101" vm="10448">
        <f ca="1"/>
        <v>19.785</v>
      </c>
      <c r="F89" s="101" vm="3897">
        <f ca="1"/>
        <v>19.600000000000001</v>
      </c>
      <c r="G89" s="101" vm="10449">
        <f ca="1"/>
        <v>19.9695</v>
      </c>
      <c r="H89" s="101" vm="10450">
        <f ca="1"/>
        <v>19.539000000000001</v>
      </c>
      <c r="I89" s="102" vm="10451">
        <f ca="1"/>
        <v>2378060</v>
      </c>
    </row>
    <row r="90" spans="4:9" x14ac:dyDescent="0.3">
      <c r="D90" s="100" vm="491">
        <f ca="1"/>
        <v>42702</v>
      </c>
      <c r="E90" s="101" vm="10452">
        <f ca="1"/>
        <v>19.193999999999999</v>
      </c>
      <c r="F90" s="101" vm="10453">
        <f ca="1"/>
        <v>19.727</v>
      </c>
      <c r="G90" s="101" vm="10454">
        <f ca="1"/>
        <v>19.927</v>
      </c>
      <c r="H90" s="101" vm="10455">
        <f ca="1"/>
        <v>18.501999999999999</v>
      </c>
      <c r="I90" s="102" vm="10456">
        <f ca="1"/>
        <v>4662180</v>
      </c>
    </row>
    <row r="91" spans="4:9" x14ac:dyDescent="0.3">
      <c r="D91" s="100" vm="497">
        <f ca="1"/>
        <v>42709</v>
      </c>
      <c r="E91" s="101" vm="10457">
        <f ca="1"/>
        <v>20.097000000000001</v>
      </c>
      <c r="F91" s="101" vm="10458">
        <f ca="1"/>
        <v>19.277999999999999</v>
      </c>
      <c r="G91" s="101" vm="10459">
        <f ca="1"/>
        <v>20.513500000000001</v>
      </c>
      <c r="H91" s="101" vm="10460">
        <f ca="1"/>
        <v>19.256</v>
      </c>
      <c r="I91" s="102" vm="10461">
        <f ca="1"/>
        <v>4513080</v>
      </c>
    </row>
    <row r="92" spans="4:9" x14ac:dyDescent="0.3">
      <c r="D92" s="100" vm="503">
        <f ca="1"/>
        <v>42716</v>
      </c>
      <c r="E92" s="101" vm="10462">
        <f ca="1"/>
        <v>20.04</v>
      </c>
      <c r="F92" s="101" vm="10463">
        <f ca="1"/>
        <v>20.071999999999999</v>
      </c>
      <c r="G92" s="101" vm="4047">
        <f ca="1"/>
        <v>20.56</v>
      </c>
      <c r="H92" s="101" vm="10464">
        <f ca="1"/>
        <v>19.623999999999999</v>
      </c>
      <c r="I92" s="102" vm="10465">
        <f ca="1"/>
        <v>4983270</v>
      </c>
    </row>
    <row r="93" spans="4:9" x14ac:dyDescent="0.3">
      <c r="D93" s="100" vm="508">
        <f ca="1"/>
        <v>42723</v>
      </c>
      <c r="E93" s="101" vm="10466">
        <f ca="1"/>
        <v>20.122</v>
      </c>
      <c r="F93" s="101" vm="4041">
        <f ca="1"/>
        <v>20.079999999999998</v>
      </c>
      <c r="G93" s="101" vm="10467">
        <f ca="1"/>
        <v>20.728000000000002</v>
      </c>
      <c r="H93" s="101" vm="10468">
        <f ca="1"/>
        <v>19.536000000000001</v>
      </c>
      <c r="I93" s="102" vm="10469">
        <f ca="1"/>
        <v>4334230</v>
      </c>
    </row>
    <row r="94" spans="4:9" x14ac:dyDescent="0.3">
      <c r="D94" s="100" vm="514">
        <f ca="1"/>
        <v>42731</v>
      </c>
      <c r="E94" s="101" vm="3922">
        <f ca="1"/>
        <v>19.739999999999998</v>
      </c>
      <c r="F94" s="101" vm="10470">
        <f ca="1"/>
        <v>20.065000000000001</v>
      </c>
      <c r="G94" s="101" vm="10471">
        <f ca="1"/>
        <v>20.698</v>
      </c>
      <c r="H94" s="101" vm="10472">
        <f ca="1"/>
        <v>19.59</v>
      </c>
      <c r="I94" s="102" vm="10473">
        <f ca="1"/>
        <v>2518870</v>
      </c>
    </row>
    <row r="95" spans="4:9" x14ac:dyDescent="0.3">
      <c r="D95" s="100" vm="519">
        <f ca="1"/>
        <v>42738</v>
      </c>
      <c r="E95" s="101" vm="10474">
        <f ca="1"/>
        <v>19.917000000000002</v>
      </c>
      <c r="F95" s="101" vm="10475">
        <f ca="1"/>
        <v>19.855</v>
      </c>
      <c r="G95" s="101" vm="10476">
        <f ca="1"/>
        <v>20.274000000000001</v>
      </c>
      <c r="H95" s="101" vm="10477">
        <f ca="1"/>
        <v>19.702000000000002</v>
      </c>
      <c r="I95" s="102" vm="10478">
        <f ca="1"/>
        <v>4129440</v>
      </c>
    </row>
    <row r="96" spans="4:9" x14ac:dyDescent="0.3">
      <c r="D96" s="100" vm="524">
        <f ca="1"/>
        <v>42744</v>
      </c>
      <c r="E96" s="101" vm="10479">
        <f ca="1"/>
        <v>20.38</v>
      </c>
      <c r="F96" s="101" vm="10480">
        <f ca="1"/>
        <v>19.969000000000001</v>
      </c>
      <c r="G96" s="101" vm="10481">
        <f ca="1"/>
        <v>20.422000000000001</v>
      </c>
      <c r="H96" s="101" vm="10482">
        <f ca="1"/>
        <v>19.667000000000002</v>
      </c>
      <c r="I96" s="102" vm="10483">
        <f ca="1"/>
        <v>3390590</v>
      </c>
    </row>
    <row r="97" spans="4:9" x14ac:dyDescent="0.3">
      <c r="D97" s="100" vm="530">
        <f ca="1"/>
        <v>42752</v>
      </c>
      <c r="E97" s="101" vm="10484">
        <f ca="1"/>
        <v>20.155000000000001</v>
      </c>
      <c r="F97" s="101" vm="10485">
        <f ca="1"/>
        <v>20.248999999999999</v>
      </c>
      <c r="G97" s="101" vm="10486">
        <f ca="1"/>
        <v>20.408999999999999</v>
      </c>
      <c r="H97" s="101" vm="10487">
        <f ca="1"/>
        <v>19.786999999999999</v>
      </c>
      <c r="I97" s="102" vm="10488">
        <f ca="1"/>
        <v>2871790</v>
      </c>
    </row>
    <row r="98" spans="4:9" x14ac:dyDescent="0.3">
      <c r="D98" s="100" vm="536">
        <f ca="1"/>
        <v>42758</v>
      </c>
      <c r="E98" s="101" vm="10489">
        <f ca="1"/>
        <v>19.957999999999998</v>
      </c>
      <c r="F98" s="101" vm="10490">
        <f ca="1"/>
        <v>20.192</v>
      </c>
      <c r="G98" s="101" vm="10491">
        <f ca="1"/>
        <v>20.596</v>
      </c>
      <c r="H98" s="101" vm="4039">
        <f ca="1"/>
        <v>19.899999999999999</v>
      </c>
      <c r="I98" s="102" vm="10492">
        <f ca="1"/>
        <v>3704480</v>
      </c>
    </row>
    <row r="99" spans="4:9" x14ac:dyDescent="0.3">
      <c r="D99" s="100" vm="540">
        <f ca="1"/>
        <v>42765</v>
      </c>
      <c r="E99" s="101" vm="10493">
        <f ca="1"/>
        <v>19.547999999999998</v>
      </c>
      <c r="F99" s="101" vm="10494">
        <f ca="1"/>
        <v>19.858000000000001</v>
      </c>
      <c r="G99" s="101" vm="10485">
        <f ca="1"/>
        <v>20.248999999999999</v>
      </c>
      <c r="H99" s="101" vm="10495">
        <f ca="1"/>
        <v>19.001999999999999</v>
      </c>
      <c r="I99" s="102" vm="10496">
        <f ca="1"/>
        <v>5848360</v>
      </c>
    </row>
    <row r="100" spans="4:9" x14ac:dyDescent="0.3">
      <c r="D100" s="100" vm="546">
        <f ca="1"/>
        <v>42772</v>
      </c>
      <c r="E100" s="101" vm="10497">
        <f ca="1"/>
        <v>18.934999999999999</v>
      </c>
      <c r="F100" s="101" vm="10498">
        <f ca="1"/>
        <v>19.431000000000001</v>
      </c>
      <c r="G100" s="101" vm="10499">
        <f ca="1"/>
        <v>19.463000000000001</v>
      </c>
      <c r="H100" s="101" vm="4002">
        <f ca="1"/>
        <v>18.559999999999999</v>
      </c>
      <c r="I100" s="102" vm="10500">
        <f ca="1"/>
        <v>2524300</v>
      </c>
    </row>
    <row r="101" spans="4:9" x14ac:dyDescent="0.3">
      <c r="D101" s="100" vm="551">
        <f ca="1"/>
        <v>42779</v>
      </c>
      <c r="E101" s="101" vm="10501">
        <f ca="1"/>
        <v>19.286999999999999</v>
      </c>
      <c r="F101" s="101" vm="10502">
        <f ca="1"/>
        <v>19.055</v>
      </c>
      <c r="G101" s="101" vm="10503">
        <f ca="1"/>
        <v>19.524999999999999</v>
      </c>
      <c r="H101" s="101" vm="10504">
        <f ca="1"/>
        <v>18.787700000000001</v>
      </c>
      <c r="I101" s="102" vm="10505">
        <f ca="1"/>
        <v>2547430</v>
      </c>
    </row>
    <row r="102" spans="4:9" x14ac:dyDescent="0.3">
      <c r="D102" s="100" vm="557">
        <f ca="1"/>
        <v>42787</v>
      </c>
      <c r="E102" s="101" vm="10506">
        <f ca="1"/>
        <v>19.433</v>
      </c>
      <c r="F102" s="101" vm="10507">
        <f ca="1"/>
        <v>19.308</v>
      </c>
      <c r="G102" s="101" vm="10508">
        <f ca="1"/>
        <v>19.722000000000001</v>
      </c>
      <c r="H102" s="101" vm="10509">
        <f ca="1"/>
        <v>19.152000000000001</v>
      </c>
      <c r="I102" s="102" vm="10510">
        <f ca="1"/>
        <v>2583390</v>
      </c>
    </row>
    <row r="103" spans="4:9" x14ac:dyDescent="0.3">
      <c r="D103" s="100" vm="563">
        <f ca="1"/>
        <v>42793</v>
      </c>
      <c r="E103" s="101" vm="3525">
        <f ca="1"/>
        <v>19</v>
      </c>
      <c r="F103" s="101" vm="10511">
        <f ca="1"/>
        <v>19.353000000000002</v>
      </c>
      <c r="G103" s="101" vm="4180">
        <f ca="1"/>
        <v>19.57</v>
      </c>
      <c r="H103" s="101" vm="10130">
        <f ca="1"/>
        <v>18.71</v>
      </c>
      <c r="I103" s="102" vm="10512">
        <f ca="1"/>
        <v>2597010</v>
      </c>
    </row>
    <row r="104" spans="4:9" x14ac:dyDescent="0.3">
      <c r="D104" s="100" vm="569">
        <f ca="1"/>
        <v>42800</v>
      </c>
      <c r="E104" s="101" vm="10513">
        <f ca="1"/>
        <v>18.696999999999999</v>
      </c>
      <c r="F104" s="101" vm="3572">
        <f ca="1"/>
        <v>18.899999999999999</v>
      </c>
      <c r="G104" s="101" vm="10514">
        <f ca="1"/>
        <v>19.190999999999999</v>
      </c>
      <c r="H104" s="101" vm="10515">
        <f ca="1"/>
        <v>18.542999999999999</v>
      </c>
      <c r="I104" s="102" vm="10516">
        <f ca="1"/>
        <v>2858000</v>
      </c>
    </row>
    <row r="105" spans="4:9" x14ac:dyDescent="0.3">
      <c r="D105" s="100" vm="575">
        <f ca="1"/>
        <v>42807</v>
      </c>
      <c r="E105" s="101" vm="10517">
        <f ca="1"/>
        <v>19.186</v>
      </c>
      <c r="F105" s="101" vm="3508">
        <f ca="1"/>
        <v>18.61</v>
      </c>
      <c r="G105" s="101" vm="3521">
        <f ca="1"/>
        <v>19.3</v>
      </c>
      <c r="H105" s="101" vm="3508">
        <f ca="1"/>
        <v>18.61</v>
      </c>
      <c r="I105" s="102" vm="10518">
        <f ca="1"/>
        <v>2741280</v>
      </c>
    </row>
    <row r="106" spans="4:9" x14ac:dyDescent="0.3">
      <c r="D106" s="100" vm="581">
        <f ca="1"/>
        <v>42814</v>
      </c>
      <c r="E106" s="101" vm="10519">
        <f ca="1"/>
        <v>18.614000000000001</v>
      </c>
      <c r="F106" s="101" vm="10520">
        <f ca="1"/>
        <v>19.161000000000001</v>
      </c>
      <c r="G106" s="101" vm="10521">
        <f ca="1"/>
        <v>19.401</v>
      </c>
      <c r="H106" s="101" vm="10522">
        <f ca="1"/>
        <v>18.361999999999998</v>
      </c>
      <c r="I106" s="102" vm="10523">
        <f ca="1"/>
        <v>3585730</v>
      </c>
    </row>
    <row r="107" spans="4:9" x14ac:dyDescent="0.3">
      <c r="D107" s="100" vm="587">
        <f ca="1"/>
        <v>42821</v>
      </c>
      <c r="E107" s="101" vm="3906">
        <f ca="1"/>
        <v>18.78</v>
      </c>
      <c r="F107" s="101" vm="3953">
        <f ca="1"/>
        <v>18.350000000000001</v>
      </c>
      <c r="G107" s="101" vm="10307">
        <f ca="1"/>
        <v>18.940999999999999</v>
      </c>
      <c r="H107" s="101" vm="10524">
        <f ca="1"/>
        <v>18.222000000000001</v>
      </c>
      <c r="I107" s="102" vm="10525">
        <f ca="1"/>
        <v>2392860</v>
      </c>
    </row>
    <row r="108" spans="4:9" x14ac:dyDescent="0.3">
      <c r="D108" s="100" vm="593">
        <f ca="1"/>
        <v>42828</v>
      </c>
      <c r="E108" s="101" vm="10526">
        <f ca="1"/>
        <v>18.28</v>
      </c>
      <c r="F108" s="101" vm="3999">
        <f ca="1"/>
        <v>18.79</v>
      </c>
      <c r="G108" s="101" vm="3930">
        <f ca="1"/>
        <v>19.41</v>
      </c>
      <c r="H108" s="101" vm="10527">
        <f ca="1"/>
        <v>18.103000000000002</v>
      </c>
      <c r="I108" s="102" vm="10528">
        <f ca="1"/>
        <v>3254010</v>
      </c>
    </row>
    <row r="109" spans="4:9" x14ac:dyDescent="0.3">
      <c r="D109" s="100" vm="599">
        <f ca="1"/>
        <v>42835</v>
      </c>
      <c r="E109" s="101" vm="6642">
        <f ca="1"/>
        <v>18.161000000000001</v>
      </c>
      <c r="F109" s="101" vm="10529">
        <f ca="1"/>
        <v>18.347999999999999</v>
      </c>
      <c r="G109" s="101" vm="10530">
        <f ca="1"/>
        <v>18.716999999999999</v>
      </c>
      <c r="H109" s="101" vm="10531">
        <f ca="1"/>
        <v>18.155000000000001</v>
      </c>
      <c r="I109" s="102" vm="10532">
        <f ca="1"/>
        <v>1363820</v>
      </c>
    </row>
    <row r="110" spans="4:9" x14ac:dyDescent="0.3">
      <c r="D110" s="100" vm="605">
        <f ca="1"/>
        <v>42842</v>
      </c>
      <c r="E110" s="101" vm="10533">
        <f ca="1"/>
        <v>18.759</v>
      </c>
      <c r="F110" s="101" vm="10534">
        <f ca="1"/>
        <v>18.265499999999999</v>
      </c>
      <c r="G110" s="101" vm="10535">
        <f ca="1"/>
        <v>19.143999999999998</v>
      </c>
      <c r="H110" s="101" vm="10536">
        <f ca="1"/>
        <v>18.184999999999999</v>
      </c>
      <c r="I110" s="102" vm="10537">
        <f ca="1"/>
        <v>3060170</v>
      </c>
    </row>
    <row r="111" spans="4:9" x14ac:dyDescent="0.3">
      <c r="D111" s="100" vm="611">
        <f ca="1"/>
        <v>42849</v>
      </c>
      <c r="E111" s="101" vm="10538">
        <f ca="1"/>
        <v>19.016999999999999</v>
      </c>
      <c r="F111" s="101" vm="10539">
        <f ca="1"/>
        <v>19.045999999999999</v>
      </c>
      <c r="G111" s="101" vm="10540">
        <f ca="1"/>
        <v>19.457999999999998</v>
      </c>
      <c r="H111" s="101" vm="10541">
        <f ca="1"/>
        <v>18.154</v>
      </c>
      <c r="I111" s="102" vm="10542">
        <f ca="1"/>
        <v>3900180</v>
      </c>
    </row>
    <row r="112" spans="4:9" x14ac:dyDescent="0.3">
      <c r="D112" s="100" vm="617">
        <f ca="1"/>
        <v>42856</v>
      </c>
      <c r="E112" s="101" vm="10543">
        <f ca="1"/>
        <v>19.094999999999999</v>
      </c>
      <c r="F112" s="101" vm="10544">
        <f ca="1"/>
        <v>19.044</v>
      </c>
      <c r="G112" s="101" vm="10545">
        <f ca="1"/>
        <v>19.457000000000001</v>
      </c>
      <c r="H112" s="101" vm="10546">
        <f ca="1"/>
        <v>18.277999999999999</v>
      </c>
      <c r="I112" s="102" vm="10547">
        <f ca="1"/>
        <v>4287620</v>
      </c>
    </row>
    <row r="113" spans="4:9" x14ac:dyDescent="0.3">
      <c r="D113" s="100" vm="623">
        <f ca="1"/>
        <v>42863</v>
      </c>
      <c r="E113" s="101" vm="10548">
        <f ca="1"/>
        <v>18.530999999999999</v>
      </c>
      <c r="F113" s="101" vm="10549">
        <f ca="1"/>
        <v>19.085999999999999</v>
      </c>
      <c r="G113" s="101" vm="10550">
        <f ca="1"/>
        <v>19.39</v>
      </c>
      <c r="H113" s="101" vm="10551">
        <f ca="1"/>
        <v>18.385000000000002</v>
      </c>
      <c r="I113" s="102" vm="10552">
        <f ca="1"/>
        <v>3348490</v>
      </c>
    </row>
    <row r="114" spans="4:9" x14ac:dyDescent="0.3">
      <c r="D114" s="100" vm="628">
        <f ca="1"/>
        <v>42870</v>
      </c>
      <c r="E114" s="101" vm="10553">
        <f ca="1"/>
        <v>18.378</v>
      </c>
      <c r="F114" s="101" vm="10554">
        <f ca="1"/>
        <v>18.504999999999999</v>
      </c>
      <c r="G114" s="101" vm="10555">
        <f ca="1"/>
        <v>18.919</v>
      </c>
      <c r="H114" s="101" vm="10556">
        <f ca="1"/>
        <v>18.295500000000001</v>
      </c>
      <c r="I114" s="102" vm="10557">
        <f ca="1"/>
        <v>3744490</v>
      </c>
    </row>
    <row r="115" spans="4:9" x14ac:dyDescent="0.3">
      <c r="D115" s="100" vm="634">
        <f ca="1"/>
        <v>42877</v>
      </c>
      <c r="E115" s="101" vm="10558">
        <f ca="1"/>
        <v>18.077000000000002</v>
      </c>
      <c r="F115" s="101" vm="10559">
        <f ca="1"/>
        <v>18.408000000000001</v>
      </c>
      <c r="G115" s="101" vm="10560">
        <f ca="1"/>
        <v>18.613</v>
      </c>
      <c r="H115" s="101" vm="10561">
        <f ca="1"/>
        <v>18</v>
      </c>
      <c r="I115" s="102" vm="10562">
        <f ca="1"/>
        <v>4748840</v>
      </c>
    </row>
    <row r="116" spans="4:9" x14ac:dyDescent="0.3">
      <c r="D116" s="100" vm="640">
        <f ca="1"/>
        <v>42885</v>
      </c>
      <c r="E116" s="101" vm="10563">
        <f ca="1"/>
        <v>18.832000000000001</v>
      </c>
      <c r="F116" s="101" vm="10564">
        <f ca="1"/>
        <v>18.042000000000002</v>
      </c>
      <c r="G116" s="101" vm="4168">
        <f ca="1"/>
        <v>18.95</v>
      </c>
      <c r="H116" s="101" vm="10565">
        <f ca="1"/>
        <v>18.0001</v>
      </c>
      <c r="I116" s="102" vm="10566">
        <f ca="1"/>
        <v>3213810</v>
      </c>
    </row>
    <row r="117" spans="4:9" x14ac:dyDescent="0.3">
      <c r="D117" s="100" vm="645">
        <f ca="1"/>
        <v>42891</v>
      </c>
      <c r="E117" s="101" vm="10567">
        <f ca="1"/>
        <v>18.079000000000001</v>
      </c>
      <c r="F117" s="101" vm="10568">
        <f ca="1"/>
        <v>18.821000000000002</v>
      </c>
      <c r="G117" s="101" vm="10568">
        <f ca="1"/>
        <v>18.821000000000002</v>
      </c>
      <c r="H117" s="101" vm="10569">
        <f ca="1"/>
        <v>17.867000000000001</v>
      </c>
      <c r="I117" s="102" vm="10570">
        <f ca="1"/>
        <v>3260590</v>
      </c>
    </row>
    <row r="118" spans="4:9" x14ac:dyDescent="0.3">
      <c r="D118" s="100" vm="650">
        <f ca="1"/>
        <v>42898</v>
      </c>
      <c r="E118" s="101" vm="10329">
        <f ca="1"/>
        <v>18.260000000000002</v>
      </c>
      <c r="F118" s="101" vm="10095">
        <f ca="1"/>
        <v>18.027999999999999</v>
      </c>
      <c r="G118" s="101" vm="10571">
        <f ca="1"/>
        <v>18.488</v>
      </c>
      <c r="H118" s="101" vm="10572">
        <f ca="1"/>
        <v>17.75</v>
      </c>
      <c r="I118" s="102" vm="10573">
        <f ca="1"/>
        <v>4127770</v>
      </c>
    </row>
    <row r="119" spans="4:9" x14ac:dyDescent="0.3">
      <c r="D119" s="100" vm="655">
        <f ca="1"/>
        <v>42905</v>
      </c>
      <c r="E119" s="101" vm="10574">
        <f ca="1"/>
        <v>18.495000000000001</v>
      </c>
      <c r="F119" s="101" vm="10575">
        <f ca="1"/>
        <v>18.297000000000001</v>
      </c>
      <c r="G119" s="101" vm="10576">
        <f ca="1"/>
        <v>18.777000000000001</v>
      </c>
      <c r="H119" s="101" vm="10577">
        <f ca="1"/>
        <v>18.096299999999999</v>
      </c>
      <c r="I119" s="102" vm="10578">
        <f ca="1"/>
        <v>5187120</v>
      </c>
    </row>
    <row r="120" spans="4:9" x14ac:dyDescent="0.3">
      <c r="D120" s="100" vm="659">
        <f ca="1"/>
        <v>42912</v>
      </c>
      <c r="E120" s="101" vm="10579">
        <f ca="1"/>
        <v>19.167000000000002</v>
      </c>
      <c r="F120" s="101" vm="4002">
        <f ca="1"/>
        <v>18.559999999999999</v>
      </c>
      <c r="G120" s="101" vm="10580">
        <f ca="1"/>
        <v>19.347000000000001</v>
      </c>
      <c r="H120" s="101" vm="10581">
        <f ca="1"/>
        <v>18.411000000000001</v>
      </c>
      <c r="I120" s="102" vm="10582">
        <f ca="1"/>
        <v>7264990</v>
      </c>
    </row>
    <row r="121" spans="4:9" x14ac:dyDescent="0.3">
      <c r="D121" s="100" vm="665">
        <f ca="1"/>
        <v>42919</v>
      </c>
      <c r="E121" s="101" vm="10583">
        <f ca="1"/>
        <v>18.498999999999999</v>
      </c>
      <c r="F121" s="101" vm="10584">
        <f ca="1"/>
        <v>19.204000000000001</v>
      </c>
      <c r="G121" s="101" vm="10585">
        <f ca="1"/>
        <v>19.224499999999999</v>
      </c>
      <c r="H121" s="101" vm="4152">
        <f ca="1"/>
        <v>18.18</v>
      </c>
      <c r="I121" s="102" vm="10586">
        <f ca="1"/>
        <v>2195290</v>
      </c>
    </row>
    <row r="122" spans="4:9" x14ac:dyDescent="0.3">
      <c r="D122" s="100" vm="671">
        <f ca="1"/>
        <v>42926</v>
      </c>
      <c r="E122" s="101" vm="10587">
        <f ca="1"/>
        <v>18.472999999999999</v>
      </c>
      <c r="F122" s="101" vm="10588">
        <f ca="1"/>
        <v>18.468</v>
      </c>
      <c r="G122" s="101" vm="10589">
        <f ca="1"/>
        <v>19.449000000000002</v>
      </c>
      <c r="H122" s="101" vm="10590">
        <f ca="1"/>
        <v>18.228999999999999</v>
      </c>
      <c r="I122" s="102" vm="10591">
        <f ca="1"/>
        <v>2327050</v>
      </c>
    </row>
    <row r="123" spans="4:9" x14ac:dyDescent="0.3">
      <c r="D123" s="100" vm="677">
        <f ca="1"/>
        <v>42933</v>
      </c>
      <c r="E123" s="101" vm="10592">
        <f ca="1"/>
        <v>18.847999999999999</v>
      </c>
      <c r="F123" s="101" vm="10593">
        <f ca="1"/>
        <v>18.472000000000001</v>
      </c>
      <c r="G123" s="101" vm="10594">
        <f ca="1"/>
        <v>19.116</v>
      </c>
      <c r="H123" s="101" vm="10595">
        <f ca="1"/>
        <v>18.416</v>
      </c>
      <c r="I123" s="102" vm="10596">
        <f ca="1"/>
        <v>3283300</v>
      </c>
    </row>
    <row r="124" spans="4:9" x14ac:dyDescent="0.3">
      <c r="D124" s="100" vm="683">
        <f ca="1"/>
        <v>42940</v>
      </c>
      <c r="E124" s="101" vm="10597">
        <f ca="1"/>
        <v>13.999000000000001</v>
      </c>
      <c r="F124" s="101" vm="10598">
        <f ca="1"/>
        <v>18.780999999999999</v>
      </c>
      <c r="G124" s="101" vm="10599">
        <f ca="1"/>
        <v>19.635000000000002</v>
      </c>
      <c r="H124" s="101" vm="10600">
        <f ca="1"/>
        <v>13.521000000000001</v>
      </c>
      <c r="I124" s="102" vm="10601">
        <f ca="1"/>
        <v>10531420</v>
      </c>
    </row>
    <row r="125" spans="4:9" x14ac:dyDescent="0.3">
      <c r="D125" s="100" vm="689">
        <f ca="1"/>
        <v>42947</v>
      </c>
      <c r="E125" s="101" vm="10602">
        <f ca="1"/>
        <v>13.573</v>
      </c>
      <c r="F125" s="101" vm="10603">
        <f ca="1"/>
        <v>13.99</v>
      </c>
      <c r="G125" s="101" vm="10604">
        <f ca="1"/>
        <v>14.071</v>
      </c>
      <c r="H125" s="101" vm="10605">
        <f ca="1"/>
        <v>13.226000000000001</v>
      </c>
      <c r="I125" s="102" vm="10606">
        <f ca="1"/>
        <v>11194120</v>
      </c>
    </row>
    <row r="126" spans="4:9" x14ac:dyDescent="0.3">
      <c r="D126" s="100" vm="695">
        <f ca="1"/>
        <v>42954</v>
      </c>
      <c r="E126" s="101" vm="10607">
        <f ca="1"/>
        <v>12.901</v>
      </c>
      <c r="F126" s="101" vm="10608">
        <f ca="1"/>
        <v>13.555999999999999</v>
      </c>
      <c r="G126" s="101" vm="10609">
        <f ca="1"/>
        <v>13.563000000000001</v>
      </c>
      <c r="H126" s="101" vm="10610">
        <f ca="1"/>
        <v>12.606999999999999</v>
      </c>
      <c r="I126" s="102" vm="10611">
        <f ca="1"/>
        <v>6877570</v>
      </c>
    </row>
    <row r="127" spans="4:9" x14ac:dyDescent="0.3">
      <c r="D127" s="100" vm="701">
        <f ca="1"/>
        <v>42961</v>
      </c>
      <c r="E127" s="101" vm="10612">
        <f ca="1"/>
        <v>12.593</v>
      </c>
      <c r="F127" s="101" vm="10613">
        <f ca="1"/>
        <v>12.904999999999999</v>
      </c>
      <c r="G127" s="101" vm="10614">
        <f ca="1"/>
        <v>13.249000000000001</v>
      </c>
      <c r="H127" s="101" vm="10615">
        <f ca="1"/>
        <v>12.515000000000001</v>
      </c>
      <c r="I127" s="102" vm="10616">
        <f ca="1"/>
        <v>9709630</v>
      </c>
    </row>
    <row r="128" spans="4:9" x14ac:dyDescent="0.3">
      <c r="D128" s="100" vm="707">
        <f ca="1"/>
        <v>42968</v>
      </c>
      <c r="E128" s="101" vm="10617">
        <f ca="1"/>
        <v>12.576000000000001</v>
      </c>
      <c r="F128" s="101" vm="10618">
        <f ca="1"/>
        <v>12.56</v>
      </c>
      <c r="G128" s="101" vm="10619">
        <f ca="1"/>
        <v>12.816000000000001</v>
      </c>
      <c r="H128" s="101" vm="10620">
        <f ca="1"/>
        <v>12.336</v>
      </c>
      <c r="I128" s="102" vm="10621">
        <f ca="1"/>
        <v>4320260</v>
      </c>
    </row>
    <row r="129" spans="4:9" x14ac:dyDescent="0.3">
      <c r="D129" s="100" vm="712">
        <f ca="1"/>
        <v>42975</v>
      </c>
      <c r="E129" s="101" vm="10622">
        <f ca="1"/>
        <v>12.85</v>
      </c>
      <c r="F129" s="101" vm="10623">
        <f ca="1"/>
        <v>12.577999999999999</v>
      </c>
      <c r="G129" s="101" vm="6923">
        <f ca="1"/>
        <v>13.012</v>
      </c>
      <c r="H129" s="101" vm="10624">
        <f ca="1"/>
        <v>12.506</v>
      </c>
      <c r="I129" s="102" vm="10625">
        <f ca="1"/>
        <v>6292330</v>
      </c>
    </row>
    <row r="130" spans="4:9" x14ac:dyDescent="0.3">
      <c r="D130" s="100" vm="718">
        <f ca="1"/>
        <v>42983</v>
      </c>
      <c r="E130" s="101" vm="10626">
        <f ca="1"/>
        <v>12.824999999999999</v>
      </c>
      <c r="F130" s="101" vm="10619">
        <f ca="1"/>
        <v>12.816000000000001</v>
      </c>
      <c r="G130" s="101" vm="10627">
        <f ca="1"/>
        <v>13.0395</v>
      </c>
      <c r="H130" s="101" vm="10628">
        <f ca="1"/>
        <v>12.708299999999999</v>
      </c>
      <c r="I130" s="102" vm="10629">
        <f ca="1"/>
        <v>5109760</v>
      </c>
    </row>
    <row r="131" spans="4:9" x14ac:dyDescent="0.3">
      <c r="D131" s="100" vm="724">
        <f ca="1"/>
        <v>42989</v>
      </c>
      <c r="E131" s="101" vm="10630">
        <f ca="1"/>
        <v>12.680999999999999</v>
      </c>
      <c r="F131" s="101" vm="10631">
        <f ca="1"/>
        <v>12.891999999999999</v>
      </c>
      <c r="G131" s="101" vm="6915">
        <f ca="1"/>
        <v>13.346</v>
      </c>
      <c r="H131" s="101" vm="10632">
        <f ca="1"/>
        <v>12.601000000000001</v>
      </c>
      <c r="I131" s="102" vm="10633">
        <f ca="1"/>
        <v>7806210</v>
      </c>
    </row>
    <row r="132" spans="4:9" x14ac:dyDescent="0.3">
      <c r="D132" s="100" vm="730">
        <f ca="1"/>
        <v>42996</v>
      </c>
      <c r="E132" s="101" vm="10634">
        <f ca="1"/>
        <v>12.476000000000001</v>
      </c>
      <c r="F132" s="101" vm="10635">
        <f ca="1"/>
        <v>12.670999999999999</v>
      </c>
      <c r="G132" s="101" vm="10636">
        <f ca="1"/>
        <v>12.733000000000001</v>
      </c>
      <c r="H132" s="101" vm="10637">
        <f ca="1"/>
        <v>12.3154</v>
      </c>
      <c r="I132" s="102" vm="10638">
        <f ca="1"/>
        <v>4624340</v>
      </c>
    </row>
    <row r="133" spans="4:9" x14ac:dyDescent="0.3">
      <c r="D133" s="100" vm="735">
        <f ca="1"/>
        <v>43003</v>
      </c>
      <c r="E133" s="101" vm="10639">
        <f ca="1"/>
        <v>12.771000000000001</v>
      </c>
      <c r="F133" s="101" vm="10640">
        <f ca="1"/>
        <v>12.478999999999999</v>
      </c>
      <c r="G133" s="101" vm="10641">
        <f ca="1"/>
        <v>12.851000000000001</v>
      </c>
      <c r="H133" s="101" vm="10642">
        <f ca="1"/>
        <v>12.2905</v>
      </c>
      <c r="I133" s="102" vm="10643">
        <f ca="1"/>
        <v>3521540</v>
      </c>
    </row>
    <row r="134" spans="4:9" x14ac:dyDescent="0.3">
      <c r="D134" s="100" vm="741">
        <f ca="1"/>
        <v>43010</v>
      </c>
      <c r="E134" s="101" vm="10644">
        <f ca="1"/>
        <v>13.135999999999999</v>
      </c>
      <c r="F134" s="101" vm="3295">
        <f ca="1"/>
        <v>12.8</v>
      </c>
      <c r="G134" s="101" vm="10645">
        <f ca="1"/>
        <v>13.195</v>
      </c>
      <c r="H134" s="101" vm="3295">
        <f ca="1"/>
        <v>12.8</v>
      </c>
      <c r="I134" s="102" vm="10646">
        <f ca="1"/>
        <v>4185360</v>
      </c>
    </row>
    <row r="135" spans="4:9" x14ac:dyDescent="0.3">
      <c r="D135" s="100" vm="747">
        <f ca="1"/>
        <v>43017</v>
      </c>
      <c r="E135" s="101" vm="3320">
        <f ca="1"/>
        <v>13.5</v>
      </c>
      <c r="F135" s="101" vm="10647">
        <f ca="1"/>
        <v>13.185</v>
      </c>
      <c r="G135" s="101" vm="10648">
        <f ca="1"/>
        <v>13.6015</v>
      </c>
      <c r="H135" s="101" vm="10649">
        <f ca="1"/>
        <v>13.073499999999999</v>
      </c>
      <c r="I135" s="102" vm="10650">
        <f ca="1"/>
        <v>4809060</v>
      </c>
    </row>
    <row r="136" spans="4:9" x14ac:dyDescent="0.3">
      <c r="D136" s="100" vm="753">
        <f ca="1"/>
        <v>43024</v>
      </c>
      <c r="E136" s="101" vm="10651">
        <f ca="1"/>
        <v>13.7</v>
      </c>
      <c r="F136" s="101" vm="10652">
        <f ca="1"/>
        <v>13.499000000000001</v>
      </c>
      <c r="G136" s="101" vm="10653">
        <f ca="1"/>
        <v>13.855</v>
      </c>
      <c r="H136" s="101" vm="10654">
        <f ca="1"/>
        <v>13.4801</v>
      </c>
      <c r="I136" s="102" vm="10655">
        <f ca="1"/>
        <v>4548790</v>
      </c>
    </row>
    <row r="137" spans="4:9" x14ac:dyDescent="0.3">
      <c r="D137" s="100" vm="759">
        <f ca="1"/>
        <v>43031</v>
      </c>
      <c r="E137" s="101" vm="10656">
        <f ca="1"/>
        <v>14.086</v>
      </c>
      <c r="F137" s="101" vm="10657">
        <f ca="1"/>
        <v>13.727</v>
      </c>
      <c r="G137" s="101" vm="10658">
        <f ca="1"/>
        <v>14.337</v>
      </c>
      <c r="H137" s="101" vm="10659">
        <f ca="1"/>
        <v>13.51</v>
      </c>
      <c r="I137" s="102" vm="10660">
        <f ca="1"/>
        <v>6780920</v>
      </c>
    </row>
    <row r="138" spans="4:9" x14ac:dyDescent="0.3">
      <c r="D138" s="100" vm="765">
        <f ca="1"/>
        <v>43038</v>
      </c>
      <c r="E138" s="101" vm="10661">
        <f ca="1"/>
        <v>13.368</v>
      </c>
      <c r="F138" s="101" vm="10662">
        <f ca="1"/>
        <v>14.032</v>
      </c>
      <c r="G138" s="101" vm="10663">
        <f ca="1"/>
        <v>14.128</v>
      </c>
      <c r="H138" s="101" vm="10664">
        <f ca="1"/>
        <v>12.968</v>
      </c>
      <c r="I138" s="102" vm="10665">
        <f ca="1"/>
        <v>7925000</v>
      </c>
    </row>
    <row r="139" spans="4:9" x14ac:dyDescent="0.3">
      <c r="D139" s="100" vm="771">
        <f ca="1"/>
        <v>43045</v>
      </c>
      <c r="E139" s="101" vm="10666">
        <f ca="1"/>
        <v>13.35</v>
      </c>
      <c r="F139" s="101" vm="10667">
        <f ca="1"/>
        <v>13.332000000000001</v>
      </c>
      <c r="G139" s="101" vm="10668">
        <f ca="1"/>
        <v>13.599</v>
      </c>
      <c r="H139" s="101" vm="10669">
        <f ca="1"/>
        <v>13.21</v>
      </c>
      <c r="I139" s="102" vm="10670">
        <f ca="1"/>
        <v>4787660</v>
      </c>
    </row>
    <row r="140" spans="4:9" x14ac:dyDescent="0.3">
      <c r="D140" s="100" vm="777">
        <f ca="1"/>
        <v>43052</v>
      </c>
      <c r="E140" s="101" vm="10671">
        <f ca="1"/>
        <v>13.375999999999999</v>
      </c>
      <c r="F140" s="101" vm="6488">
        <f ca="1"/>
        <v>13.265000000000001</v>
      </c>
      <c r="G140" s="101" vm="10672">
        <f ca="1"/>
        <v>13.457000000000001</v>
      </c>
      <c r="H140" s="101" vm="10673">
        <f ca="1"/>
        <v>13.087</v>
      </c>
      <c r="I140" s="102" vm="10674">
        <f ca="1"/>
        <v>6013780</v>
      </c>
    </row>
    <row r="141" spans="4:9" x14ac:dyDescent="0.3">
      <c r="D141" s="100" vm="783">
        <f ca="1"/>
        <v>43059</v>
      </c>
      <c r="E141" s="101" vm="10675">
        <f ca="1"/>
        <v>13.743</v>
      </c>
      <c r="F141" s="101" vm="10676">
        <f ca="1"/>
        <v>13.4</v>
      </c>
      <c r="G141" s="101" vm="10677">
        <f ca="1"/>
        <v>13.811999999999999</v>
      </c>
      <c r="H141" s="101" vm="10678">
        <f ca="1"/>
        <v>13.379</v>
      </c>
      <c r="I141" s="102" vm="10679">
        <f ca="1"/>
        <v>2210950</v>
      </c>
    </row>
    <row r="142" spans="4:9" x14ac:dyDescent="0.3">
      <c r="D142" s="100" vm="789">
        <f ca="1"/>
        <v>43066</v>
      </c>
      <c r="E142" s="101" vm="3320">
        <f ca="1"/>
        <v>13.5</v>
      </c>
      <c r="F142" s="101" vm="10680">
        <f ca="1"/>
        <v>13.744</v>
      </c>
      <c r="G142" s="101" vm="3343">
        <f ca="1"/>
        <v>13.85</v>
      </c>
      <c r="H142" s="101" vm="10681">
        <f ca="1"/>
        <v>13.342000000000001</v>
      </c>
      <c r="I142" s="102" vm="10682">
        <f ca="1"/>
        <v>2777000</v>
      </c>
    </row>
    <row r="143" spans="4:9" x14ac:dyDescent="0.3">
      <c r="D143" s="100" vm="795">
        <f ca="1"/>
        <v>43073</v>
      </c>
      <c r="E143" s="101" vm="10683">
        <f ca="1"/>
        <v>13.625</v>
      </c>
      <c r="F143" s="101" vm="10684">
        <f ca="1"/>
        <v>13.616</v>
      </c>
      <c r="G143" s="101" vm="10685">
        <f ca="1"/>
        <v>13.88</v>
      </c>
      <c r="H143" s="101" vm="10686">
        <f ca="1"/>
        <v>13.106999999999999</v>
      </c>
      <c r="I143" s="102" vm="10687">
        <f ca="1"/>
        <v>4449320</v>
      </c>
    </row>
    <row r="144" spans="4:9" x14ac:dyDescent="0.3">
      <c r="D144" s="100" vm="801">
        <f ca="1"/>
        <v>43080</v>
      </c>
      <c r="E144" s="101" vm="6488">
        <f ca="1"/>
        <v>13.265000000000001</v>
      </c>
      <c r="F144" s="101" vm="10688">
        <f ca="1"/>
        <v>13.637</v>
      </c>
      <c r="G144" s="101" vm="10688">
        <f ca="1"/>
        <v>13.637</v>
      </c>
      <c r="H144" s="101" vm="10689">
        <f ca="1"/>
        <v>12.975</v>
      </c>
      <c r="I144" s="102" vm="10690">
        <f ca="1"/>
        <v>5477660</v>
      </c>
    </row>
    <row r="145" spans="4:9" x14ac:dyDescent="0.3">
      <c r="D145" s="100" vm="807">
        <f ca="1"/>
        <v>43087</v>
      </c>
      <c r="E145" s="101" vm="10691">
        <f ca="1"/>
        <v>13.193</v>
      </c>
      <c r="F145" s="101" vm="10692">
        <f ca="1"/>
        <v>13.287000000000001</v>
      </c>
      <c r="G145" s="101" vm="10693">
        <f ca="1"/>
        <v>13.648</v>
      </c>
      <c r="H145" s="101" vm="3196">
        <f ca="1"/>
        <v>13.15</v>
      </c>
      <c r="I145" s="102" vm="10694">
        <f ca="1"/>
        <v>3863890</v>
      </c>
    </row>
    <row r="146" spans="4:9" x14ac:dyDescent="0.3">
      <c r="D146" s="100" vm="813">
        <f ca="1"/>
        <v>43095</v>
      </c>
      <c r="E146" s="101" vm="10695">
        <f ca="1"/>
        <v>13.13</v>
      </c>
      <c r="F146" s="101" vm="10696">
        <f ca="1"/>
        <v>13.2028</v>
      </c>
      <c r="G146" s="101" vm="10697">
        <f ca="1"/>
        <v>13.295999999999999</v>
      </c>
      <c r="H146" s="101" vm="10698">
        <f ca="1"/>
        <v>13.0505</v>
      </c>
      <c r="I146" s="102" vm="10699">
        <f ca="1"/>
        <v>2097710</v>
      </c>
    </row>
    <row r="147" spans="4:9" x14ac:dyDescent="0.3">
      <c r="D147" s="100" vm="819">
        <f ca="1"/>
        <v>43102</v>
      </c>
      <c r="E147" s="101" vm="10700">
        <f ca="1"/>
        <v>13.500999999999999</v>
      </c>
      <c r="F147" s="101" vm="10701">
        <f ca="1"/>
        <v>13.164</v>
      </c>
      <c r="G147" s="101" vm="10702">
        <f ca="1"/>
        <v>13.589</v>
      </c>
      <c r="H147" s="101" vm="6507">
        <f ca="1"/>
        <v>13.055</v>
      </c>
      <c r="I147" s="102" vm="10703">
        <f ca="1"/>
        <v>2552220</v>
      </c>
    </row>
    <row r="148" spans="4:9" x14ac:dyDescent="0.3">
      <c r="D148" s="100" vm="825">
        <f ca="1"/>
        <v>43108</v>
      </c>
      <c r="E148" s="101" vm="10704">
        <f ca="1"/>
        <v>13.975</v>
      </c>
      <c r="F148" s="101" vm="10705">
        <f ca="1"/>
        <v>13.477</v>
      </c>
      <c r="G148" s="101" vm="10706">
        <f ca="1"/>
        <v>13.98</v>
      </c>
      <c r="H148" s="101" vm="10707">
        <f ca="1"/>
        <v>13.395</v>
      </c>
      <c r="I148" s="102" vm="10708">
        <f ca="1"/>
        <v>2665770</v>
      </c>
    </row>
    <row r="149" spans="4:9" x14ac:dyDescent="0.3">
      <c r="D149" s="100" vm="831">
        <f ca="1"/>
        <v>43116</v>
      </c>
      <c r="E149" s="101" vm="10709">
        <f ca="1"/>
        <v>14.098000000000001</v>
      </c>
      <c r="F149" s="101" vm="10710">
        <f ca="1"/>
        <v>13.996</v>
      </c>
      <c r="G149" s="101" vm="10711">
        <f ca="1"/>
        <v>14.215</v>
      </c>
      <c r="H149" s="101" vm="10712">
        <f ca="1"/>
        <v>13.788</v>
      </c>
      <c r="I149" s="102" vm="10713">
        <f ca="1"/>
        <v>2594410</v>
      </c>
    </row>
    <row r="150" spans="4:9" x14ac:dyDescent="0.3">
      <c r="D150" s="100" vm="837">
        <f ca="1"/>
        <v>43122</v>
      </c>
      <c r="E150" s="101" vm="10714">
        <f ca="1"/>
        <v>13.779</v>
      </c>
      <c r="F150" s="101" vm="10715">
        <f ca="1"/>
        <v>14.065</v>
      </c>
      <c r="G150" s="101" vm="10709">
        <f ca="1"/>
        <v>14.098000000000001</v>
      </c>
      <c r="H150" s="101" vm="10716">
        <f ca="1"/>
        <v>13.2</v>
      </c>
      <c r="I150" s="102" vm="10717">
        <f ca="1"/>
        <v>5717370</v>
      </c>
    </row>
    <row r="151" spans="4:9" x14ac:dyDescent="0.3">
      <c r="D151" s="100" vm="843">
        <f ca="1"/>
        <v>43129</v>
      </c>
      <c r="E151" s="101" vm="7840">
        <f ca="1"/>
        <v>13.577</v>
      </c>
      <c r="F151" s="101" vm="10718">
        <f ca="1"/>
        <v>13.712</v>
      </c>
      <c r="G151" s="101" vm="10719">
        <f ca="1"/>
        <v>13.984999999999999</v>
      </c>
      <c r="H151" s="101" vm="10720">
        <f ca="1"/>
        <v>13.482100000000001</v>
      </c>
      <c r="I151" s="102" vm="10721">
        <f ca="1"/>
        <v>4340680</v>
      </c>
    </row>
    <row r="152" spans="4:9" x14ac:dyDescent="0.3">
      <c r="D152" s="100" vm="846">
        <f ca="1"/>
        <v>43136</v>
      </c>
      <c r="E152" s="101" vm="10722">
        <f ca="1"/>
        <v>13.061999999999999</v>
      </c>
      <c r="F152" s="101" vm="3320">
        <f ca="1"/>
        <v>13.5</v>
      </c>
      <c r="G152" s="101" vm="10723">
        <f ca="1"/>
        <v>13.5565</v>
      </c>
      <c r="H152" s="101" vm="10622">
        <f ca="1"/>
        <v>12.85</v>
      </c>
      <c r="I152" s="102" vm="10724">
        <f ca="1"/>
        <v>4363730</v>
      </c>
    </row>
    <row r="153" spans="4:9" x14ac:dyDescent="0.3">
      <c r="D153" s="100" vm="852">
        <f ca="1"/>
        <v>43143</v>
      </c>
      <c r="E153" s="101" vm="10725">
        <f ca="1"/>
        <v>13.755000000000001</v>
      </c>
      <c r="F153" s="101" vm="10726">
        <f ca="1"/>
        <v>13.119</v>
      </c>
      <c r="G153" s="101" vm="10727">
        <f ca="1"/>
        <v>13.914</v>
      </c>
      <c r="H153" s="101" vm="10728">
        <f ca="1"/>
        <v>12.942</v>
      </c>
      <c r="I153" s="102" vm="10729">
        <f ca="1"/>
        <v>5317950</v>
      </c>
    </row>
    <row r="154" spans="4:9" x14ac:dyDescent="0.3">
      <c r="D154" s="100" vm="858">
        <f ca="1"/>
        <v>43151</v>
      </c>
      <c r="E154" s="101" vm="10730">
        <f ca="1"/>
        <v>13.798</v>
      </c>
      <c r="F154" s="101" vm="10731">
        <f ca="1"/>
        <v>13.724</v>
      </c>
      <c r="G154" s="101" vm="10732">
        <f ca="1"/>
        <v>13.971</v>
      </c>
      <c r="H154" s="101" vm="10733">
        <f ca="1"/>
        <v>13.605</v>
      </c>
      <c r="I154" s="102" vm="10734">
        <f ca="1"/>
        <v>2594870</v>
      </c>
    </row>
    <row r="155" spans="4:9" x14ac:dyDescent="0.3">
      <c r="D155" s="100" vm="863">
        <f ca="1"/>
        <v>43157</v>
      </c>
      <c r="E155" s="101" vm="10735">
        <f ca="1"/>
        <v>12.542999999999999</v>
      </c>
      <c r="F155" s="101" vm="10736">
        <f ca="1"/>
        <v>13.819000000000001</v>
      </c>
      <c r="G155" s="101" vm="10737">
        <f ca="1"/>
        <v>13.855499999999999</v>
      </c>
      <c r="H155" s="101" vm="10738">
        <f ca="1"/>
        <v>12.215999999999999</v>
      </c>
      <c r="I155" s="102" vm="10739">
        <f ca="1"/>
        <v>7409150</v>
      </c>
    </row>
    <row r="156" spans="4:9" x14ac:dyDescent="0.3">
      <c r="D156" s="100" vm="869">
        <f ca="1"/>
        <v>43164</v>
      </c>
      <c r="E156" s="101" vm="10740">
        <f ca="1"/>
        <v>13.627000000000001</v>
      </c>
      <c r="F156" s="101" vm="10741">
        <f ca="1"/>
        <v>12.484</v>
      </c>
      <c r="G156" s="101" vm="10742">
        <f ca="1"/>
        <v>13.693</v>
      </c>
      <c r="H156" s="101" vm="10741">
        <f ca="1"/>
        <v>12.484</v>
      </c>
      <c r="I156" s="102" vm="10743">
        <f ca="1"/>
        <v>6111080</v>
      </c>
    </row>
    <row r="157" spans="4:9" x14ac:dyDescent="0.3">
      <c r="D157" s="100" vm="875">
        <f ca="1"/>
        <v>43171</v>
      </c>
      <c r="E157" s="101" vm="10744">
        <f ca="1"/>
        <v>13.176</v>
      </c>
      <c r="F157" s="101" vm="10745">
        <f ca="1"/>
        <v>13.657999999999999</v>
      </c>
      <c r="G157" s="101" vm="10746">
        <f ca="1"/>
        <v>13.67</v>
      </c>
      <c r="H157" s="101" vm="10747">
        <f ca="1"/>
        <v>13.103</v>
      </c>
      <c r="I157" s="102" vm="10748">
        <f ca="1"/>
        <v>4599630</v>
      </c>
    </row>
    <row r="158" spans="4:9" x14ac:dyDescent="0.3">
      <c r="D158" s="100" vm="881">
        <f ca="1"/>
        <v>43178</v>
      </c>
      <c r="E158" s="101" vm="10749">
        <f ca="1"/>
        <v>12.977</v>
      </c>
      <c r="F158" s="101" vm="10750">
        <f ca="1"/>
        <v>13.154</v>
      </c>
      <c r="G158" s="101" vm="10751">
        <f ca="1"/>
        <v>13.273</v>
      </c>
      <c r="H158" s="101" vm="10752">
        <f ca="1"/>
        <v>12.775</v>
      </c>
      <c r="I158" s="102" vm="10753">
        <f ca="1"/>
        <v>4360820</v>
      </c>
    </row>
    <row r="159" spans="4:9" x14ac:dyDescent="0.3">
      <c r="D159" s="100" vm="885">
        <f ca="1"/>
        <v>43185</v>
      </c>
      <c r="E159" s="101" vm="10754">
        <f ca="1"/>
        <v>12.898999999999999</v>
      </c>
      <c r="F159" s="101" vm="10755">
        <f ca="1"/>
        <v>13.083</v>
      </c>
      <c r="G159" s="101" vm="10756">
        <f ca="1"/>
        <v>13.314500000000001</v>
      </c>
      <c r="H159" s="101" vm="10757">
        <f ca="1"/>
        <v>12.5945</v>
      </c>
      <c r="I159" s="102" vm="10758">
        <f ca="1"/>
        <v>3895700</v>
      </c>
    </row>
    <row r="160" spans="4:9" x14ac:dyDescent="0.3">
      <c r="D160" s="100" vm="891">
        <f ca="1"/>
        <v>43192</v>
      </c>
      <c r="E160" s="101" vm="10759">
        <f ca="1"/>
        <v>12.587</v>
      </c>
      <c r="F160" s="101" vm="10760">
        <f ca="1"/>
        <v>12.871</v>
      </c>
      <c r="G160" s="101" vm="10761">
        <f ca="1"/>
        <v>13.241</v>
      </c>
      <c r="H160" s="101" vm="3214">
        <f ca="1"/>
        <v>12.3</v>
      </c>
      <c r="I160" s="102" vm="10762">
        <f ca="1"/>
        <v>4960730</v>
      </c>
    </row>
    <row r="161" spans="4:9" x14ac:dyDescent="0.3">
      <c r="D161" s="100" vm="896">
        <f ca="1"/>
        <v>43199</v>
      </c>
      <c r="E161" s="101" vm="10763">
        <f ca="1"/>
        <v>13.018000000000001</v>
      </c>
      <c r="F161" s="101" vm="10764">
        <f ca="1"/>
        <v>12.657</v>
      </c>
      <c r="G161" s="101" vm="10765">
        <f ca="1"/>
        <v>13.09</v>
      </c>
      <c r="H161" s="101" vm="10766">
        <f ca="1"/>
        <v>12.532</v>
      </c>
      <c r="I161" s="102" vm="10767">
        <f ca="1"/>
        <v>4741800</v>
      </c>
    </row>
    <row r="162" spans="4:9" x14ac:dyDescent="0.3">
      <c r="D162" s="100" vm="902">
        <f ca="1"/>
        <v>43206</v>
      </c>
      <c r="E162" s="101" vm="3340">
        <f ca="1"/>
        <v>13.154999999999999</v>
      </c>
      <c r="F162" s="101" vm="10768">
        <f ca="1"/>
        <v>13.074</v>
      </c>
      <c r="G162" s="101" vm="10769">
        <f ca="1"/>
        <v>13.624000000000001</v>
      </c>
      <c r="H162" s="101" vm="10770">
        <f ca="1"/>
        <v>12.798</v>
      </c>
      <c r="I162" s="102" vm="10771">
        <f ca="1"/>
        <v>3639190</v>
      </c>
    </row>
    <row r="163" spans="4:9" x14ac:dyDescent="0.3">
      <c r="D163" s="100" vm="908">
        <f ca="1"/>
        <v>43213</v>
      </c>
      <c r="E163" s="101" vm="10772">
        <f ca="1"/>
        <v>12.669</v>
      </c>
      <c r="F163" s="101" vm="10773">
        <f ca="1"/>
        <v>13.238</v>
      </c>
      <c r="G163" s="101" vm="10774">
        <f ca="1"/>
        <v>13.406499999999999</v>
      </c>
      <c r="H163" s="101" vm="10775">
        <f ca="1"/>
        <v>12.362</v>
      </c>
      <c r="I163" s="102" vm="10776">
        <f ca="1"/>
        <v>3493100</v>
      </c>
    </row>
    <row r="164" spans="4:9" x14ac:dyDescent="0.3">
      <c r="D164" s="100" vm="914">
        <f ca="1"/>
        <v>43220</v>
      </c>
      <c r="E164" s="101" vm="10777">
        <f ca="1"/>
        <v>13.02</v>
      </c>
      <c r="F164" s="101" vm="10778">
        <f ca="1"/>
        <v>12.677</v>
      </c>
      <c r="G164" s="101" vm="10779">
        <f ca="1"/>
        <v>13.4092</v>
      </c>
      <c r="H164" s="101" vm="10780">
        <f ca="1"/>
        <v>12.584</v>
      </c>
      <c r="I164" s="102" vm="10781">
        <f ca="1"/>
        <v>4974530</v>
      </c>
    </row>
    <row r="165" spans="4:9" x14ac:dyDescent="0.3">
      <c r="D165" s="100" vm="920">
        <f ca="1"/>
        <v>43227</v>
      </c>
      <c r="E165" s="101" vm="10782">
        <f ca="1"/>
        <v>12.928000000000001</v>
      </c>
      <c r="F165" s="101" vm="10783">
        <f ca="1"/>
        <v>13.041</v>
      </c>
      <c r="G165" s="101" vm="10784">
        <f ca="1"/>
        <v>13.234999999999999</v>
      </c>
      <c r="H165" s="101" vm="10785">
        <f ca="1"/>
        <v>12.862</v>
      </c>
      <c r="I165" s="102" vm="10786">
        <f ca="1"/>
        <v>2900470</v>
      </c>
    </row>
    <row r="166" spans="4:9" x14ac:dyDescent="0.3">
      <c r="D166" s="100" vm="926">
        <f ca="1"/>
        <v>43234</v>
      </c>
      <c r="E166" s="101" vm="3338">
        <f ca="1"/>
        <v>13.08</v>
      </c>
      <c r="F166" s="101" vm="10787">
        <f ca="1"/>
        <v>12.958</v>
      </c>
      <c r="G166" s="101" vm="3196">
        <f ca="1"/>
        <v>13.15</v>
      </c>
      <c r="H166" s="101" vm="10788">
        <f ca="1"/>
        <v>12.648999999999999</v>
      </c>
      <c r="I166" s="102" vm="10789">
        <f ca="1"/>
        <v>4359730</v>
      </c>
    </row>
    <row r="167" spans="4:9" x14ac:dyDescent="0.3">
      <c r="D167" s="100" vm="932">
        <f ca="1"/>
        <v>43241</v>
      </c>
      <c r="E167" s="101" vm="10790">
        <f ca="1"/>
        <v>13.071999999999999</v>
      </c>
      <c r="F167" s="101" vm="10791">
        <f ca="1"/>
        <v>13.087999999999999</v>
      </c>
      <c r="G167" s="101" vm="10792">
        <f ca="1"/>
        <v>13.205</v>
      </c>
      <c r="H167" s="101" vm="10793">
        <f ca="1"/>
        <v>12.845000000000001</v>
      </c>
      <c r="I167" s="102" vm="10794">
        <f ca="1"/>
        <v>3514020</v>
      </c>
    </row>
    <row r="168" spans="4:9" x14ac:dyDescent="0.3">
      <c r="D168" s="100" vm="938">
        <f ca="1"/>
        <v>43249</v>
      </c>
      <c r="E168" s="101" vm="10795">
        <f ca="1"/>
        <v>13.042</v>
      </c>
      <c r="F168" s="101" vm="10796">
        <f ca="1"/>
        <v>13.032</v>
      </c>
      <c r="G168" s="101" vm="10797">
        <f ca="1"/>
        <v>13.5289</v>
      </c>
      <c r="H168" s="101" vm="10798">
        <f ca="1"/>
        <v>12.8978</v>
      </c>
      <c r="I168" s="102" vm="10799">
        <f ca="1"/>
        <v>2796710</v>
      </c>
    </row>
    <row r="169" spans="4:9" x14ac:dyDescent="0.3">
      <c r="D169" s="100" vm="944">
        <f ca="1"/>
        <v>43255</v>
      </c>
      <c r="E169" s="101" vm="10800">
        <f ca="1"/>
        <v>12.996</v>
      </c>
      <c r="F169" s="101" vm="10801">
        <f ca="1"/>
        <v>13.108000000000001</v>
      </c>
      <c r="G169" s="101" vm="10802">
        <f ca="1"/>
        <v>13.3665</v>
      </c>
      <c r="H169" s="101" vm="10803">
        <f ca="1"/>
        <v>12.925000000000001</v>
      </c>
      <c r="I169" s="102" vm="10804">
        <f ca="1"/>
        <v>2538500</v>
      </c>
    </row>
    <row r="170" spans="4:9" x14ac:dyDescent="0.3">
      <c r="D170" s="100" vm="950">
        <f ca="1"/>
        <v>43262</v>
      </c>
      <c r="E170" s="101" vm="10805">
        <f ca="1"/>
        <v>13.474</v>
      </c>
      <c r="F170" s="101" vm="10806">
        <f ca="1"/>
        <v>13.015000000000001</v>
      </c>
      <c r="G170" s="101" vm="10807">
        <f ca="1"/>
        <v>13.529</v>
      </c>
      <c r="H170" s="101" vm="10808">
        <f ca="1"/>
        <v>12.907</v>
      </c>
      <c r="I170" s="102" vm="10809">
        <f ca="1"/>
        <v>2998300</v>
      </c>
    </row>
    <row r="171" spans="4:9" x14ac:dyDescent="0.3">
      <c r="D171" s="100" vm="956">
        <f ca="1"/>
        <v>43269</v>
      </c>
      <c r="E171" s="101" vm="10810">
        <f ca="1"/>
        <v>13.115</v>
      </c>
      <c r="F171" s="101" vm="10811">
        <f ca="1"/>
        <v>13.428000000000001</v>
      </c>
      <c r="G171" s="101" vm="10812">
        <f ca="1"/>
        <v>13.699</v>
      </c>
      <c r="H171" s="101" vm="10813">
        <f ca="1"/>
        <v>12.9361</v>
      </c>
      <c r="I171" s="102" vm="10814">
        <f ca="1"/>
        <v>4742390</v>
      </c>
    </row>
    <row r="172" spans="4:9" x14ac:dyDescent="0.3">
      <c r="D172" s="100" vm="962">
        <f ca="1"/>
        <v>43276</v>
      </c>
      <c r="E172" s="101" vm="10752">
        <f ca="1"/>
        <v>12.775</v>
      </c>
      <c r="F172" s="101" vm="10815">
        <f ca="1"/>
        <v>13.069000000000001</v>
      </c>
      <c r="G172" s="101" vm="10816">
        <f ca="1"/>
        <v>13.242000000000001</v>
      </c>
      <c r="H172" s="101" vm="10817">
        <f ca="1"/>
        <v>12.4</v>
      </c>
      <c r="I172" s="102" vm="10818">
        <f ca="1"/>
        <v>3366110</v>
      </c>
    </row>
    <row r="173" spans="4:9" x14ac:dyDescent="0.3">
      <c r="D173" s="100" vm="968">
        <f ca="1"/>
        <v>43283</v>
      </c>
      <c r="E173" s="101" vm="10819">
        <f ca="1"/>
        <v>13.488</v>
      </c>
      <c r="F173" s="101" vm="6573">
        <f ca="1"/>
        <v>12.7</v>
      </c>
      <c r="G173" s="101" vm="10820">
        <f ca="1"/>
        <v>13.586</v>
      </c>
      <c r="H173" s="101" vm="10821">
        <f ca="1"/>
        <v>12.6</v>
      </c>
      <c r="I173" s="102" vm="10822">
        <f ca="1"/>
        <v>2643310</v>
      </c>
    </row>
    <row r="174" spans="4:9" x14ac:dyDescent="0.3">
      <c r="D174" s="100" vm="974">
        <f ca="1"/>
        <v>43290</v>
      </c>
      <c r="E174" s="101" vm="10823">
        <f ca="1"/>
        <v>13.583</v>
      </c>
      <c r="F174" s="101" vm="10824">
        <f ca="1"/>
        <v>13.454000000000001</v>
      </c>
      <c r="G174" s="101" vm="10825">
        <f ca="1"/>
        <v>13.722</v>
      </c>
      <c r="H174" s="101" vm="10826">
        <f ca="1"/>
        <v>13.31</v>
      </c>
      <c r="I174" s="102" vm="10827">
        <f ca="1"/>
        <v>2524120</v>
      </c>
    </row>
    <row r="175" spans="4:9" x14ac:dyDescent="0.3">
      <c r="D175" s="100" vm="980">
        <f ca="1"/>
        <v>43297</v>
      </c>
      <c r="E175" s="101" vm="10807">
        <f ca="1"/>
        <v>13.529</v>
      </c>
      <c r="F175" s="101" vm="10828">
        <f ca="1"/>
        <v>13.601000000000001</v>
      </c>
      <c r="G175" s="101" vm="10829">
        <f ca="1"/>
        <v>13.781000000000001</v>
      </c>
      <c r="H175" s="101" vm="10830">
        <f ca="1"/>
        <v>13.396000000000001</v>
      </c>
      <c r="I175" s="102" vm="10831">
        <f ca="1"/>
        <v>2002520</v>
      </c>
    </row>
    <row r="176" spans="4:9" x14ac:dyDescent="0.3">
      <c r="D176" s="100" vm="986">
        <f ca="1"/>
        <v>43304</v>
      </c>
      <c r="E176" s="101" vm="10832">
        <f ca="1"/>
        <v>12.916</v>
      </c>
      <c r="F176" s="101" vm="10833">
        <f ca="1"/>
        <v>13.509</v>
      </c>
      <c r="G176" s="101" vm="3343">
        <f ca="1"/>
        <v>13.85</v>
      </c>
      <c r="H176" s="101" vm="10834">
        <f ca="1"/>
        <v>12.848000000000001</v>
      </c>
      <c r="I176" s="102" vm="10835">
        <f ca="1"/>
        <v>4369240</v>
      </c>
    </row>
    <row r="177" spans="4:9" x14ac:dyDescent="0.3">
      <c r="D177" s="100" vm="992">
        <f ca="1"/>
        <v>43311</v>
      </c>
      <c r="E177" s="101" vm="10836">
        <f ca="1"/>
        <v>13.489000000000001</v>
      </c>
      <c r="F177" s="101" vm="10837">
        <f ca="1"/>
        <v>12.929</v>
      </c>
      <c r="G177" s="101" vm="10838">
        <f ca="1"/>
        <v>13.749000000000001</v>
      </c>
      <c r="H177" s="101" vm="10839">
        <f ca="1"/>
        <v>12.632</v>
      </c>
      <c r="I177" s="102" vm="10840">
        <f ca="1"/>
        <v>5454320</v>
      </c>
    </row>
    <row r="178" spans="4:9" x14ac:dyDescent="0.3">
      <c r="D178" s="100" vm="998">
        <f ca="1"/>
        <v>43318</v>
      </c>
      <c r="E178" s="101" vm="10841">
        <f ca="1"/>
        <v>14.146000000000001</v>
      </c>
      <c r="F178" s="101" vm="10842">
        <f ca="1"/>
        <v>13.446999999999999</v>
      </c>
      <c r="G178" s="101" vm="10843">
        <f ca="1"/>
        <v>14.26</v>
      </c>
      <c r="H178" s="101" vm="10844">
        <f ca="1"/>
        <v>13.42</v>
      </c>
      <c r="I178" s="102" vm="10845">
        <f ca="1"/>
        <v>4435200</v>
      </c>
    </row>
    <row r="179" spans="4:9" x14ac:dyDescent="0.3">
      <c r="D179" s="100" vm="1004">
        <f ca="1"/>
        <v>43325</v>
      </c>
      <c r="E179" s="101" vm="10846">
        <f ca="1"/>
        <v>13.952999999999999</v>
      </c>
      <c r="F179" s="101" vm="10847">
        <f ca="1"/>
        <v>14.121</v>
      </c>
      <c r="G179" s="101" vm="10848">
        <f ca="1"/>
        <v>14.381</v>
      </c>
      <c r="H179" s="101" vm="10849">
        <f ca="1"/>
        <v>13.851000000000001</v>
      </c>
      <c r="I179" s="102" vm="10850">
        <f ca="1"/>
        <v>4730780</v>
      </c>
    </row>
    <row r="180" spans="4:9" x14ac:dyDescent="0.3">
      <c r="D180" s="100" vm="1009">
        <f ca="1"/>
        <v>43332</v>
      </c>
      <c r="E180" s="101" vm="10851">
        <f ca="1"/>
        <v>14.967000000000001</v>
      </c>
      <c r="F180" s="101" vm="10852">
        <f ca="1"/>
        <v>14.007999999999999</v>
      </c>
      <c r="G180" s="101" vm="10853">
        <f ca="1"/>
        <v>15.007999999999999</v>
      </c>
      <c r="H180" s="101" vm="10854">
        <f ca="1"/>
        <v>13.871</v>
      </c>
      <c r="I180" s="102" vm="10855">
        <f ca="1"/>
        <v>4552610</v>
      </c>
    </row>
    <row r="181" spans="4:9" x14ac:dyDescent="0.3">
      <c r="D181" s="100" vm="1015">
        <f ca="1"/>
        <v>43339</v>
      </c>
      <c r="E181" s="101" vm="3411">
        <f ca="1"/>
        <v>14.9</v>
      </c>
      <c r="F181" s="101" vm="10851">
        <f ca="1"/>
        <v>14.967000000000001</v>
      </c>
      <c r="G181" s="101" vm="10851">
        <f ca="1"/>
        <v>14.967000000000001</v>
      </c>
      <c r="H181" s="101" vm="10856">
        <f ca="1"/>
        <v>14.651999999999999</v>
      </c>
      <c r="I181" s="102" vm="10857">
        <f ca="1"/>
        <v>2862720</v>
      </c>
    </row>
    <row r="182" spans="4:9" x14ac:dyDescent="0.3">
      <c r="D182" s="100" vm="1021">
        <f ca="1"/>
        <v>43347</v>
      </c>
      <c r="E182" s="101" vm="10858">
        <f ca="1"/>
        <v>14.454000000000001</v>
      </c>
      <c r="F182" s="101" vm="10859">
        <f ca="1"/>
        <v>14.849</v>
      </c>
      <c r="G182" s="101" vm="10859">
        <f ca="1"/>
        <v>14.849</v>
      </c>
      <c r="H182" s="101" vm="10860">
        <f ca="1"/>
        <v>14.2</v>
      </c>
      <c r="I182" s="102" vm="10861">
        <f ca="1"/>
        <v>3141030</v>
      </c>
    </row>
    <row r="183" spans="4:9" x14ac:dyDescent="0.3">
      <c r="D183" s="100" vm="1027">
        <f ca="1"/>
        <v>43353</v>
      </c>
      <c r="E183" s="101" vm="10862">
        <f ca="1"/>
        <v>14.913</v>
      </c>
      <c r="F183" s="101" vm="10863">
        <f ca="1"/>
        <v>14.487</v>
      </c>
      <c r="G183" s="101" vm="10864">
        <f ca="1"/>
        <v>14.986499999999999</v>
      </c>
      <c r="H183" s="101" vm="10865">
        <f ca="1"/>
        <v>14.374000000000001</v>
      </c>
      <c r="I183" s="102" vm="10866">
        <f ca="1"/>
        <v>2542860</v>
      </c>
    </row>
    <row r="184" spans="4:9" x14ac:dyDescent="0.3">
      <c r="D184" s="100" vm="1033">
        <f ca="1"/>
        <v>43360</v>
      </c>
      <c r="E184" s="101" vm="10867">
        <f ca="1"/>
        <v>14.811999999999999</v>
      </c>
      <c r="F184" s="101" vm="10862">
        <f ca="1"/>
        <v>14.913</v>
      </c>
      <c r="G184" s="101" vm="10868">
        <f ca="1"/>
        <v>15.1225</v>
      </c>
      <c r="H184" s="101" vm="10869">
        <f ca="1"/>
        <v>14.537000000000001</v>
      </c>
      <c r="I184" s="102" vm="10870">
        <f ca="1"/>
        <v>3839580</v>
      </c>
    </row>
    <row r="185" spans="4:9" x14ac:dyDescent="0.3">
      <c r="D185" s="100" vm="1039">
        <f ca="1"/>
        <v>43367</v>
      </c>
      <c r="E185" s="101" vm="10871">
        <f ca="1"/>
        <v>14.061999999999999</v>
      </c>
      <c r="F185" s="101" vm="10872">
        <f ca="1"/>
        <v>14.752000000000001</v>
      </c>
      <c r="G185" s="101" vm="10873">
        <f ca="1"/>
        <v>14.875500000000001</v>
      </c>
      <c r="H185" s="101" vm="10874">
        <f ca="1"/>
        <v>13.916</v>
      </c>
      <c r="I185" s="102" vm="10875">
        <f ca="1"/>
        <v>4985410</v>
      </c>
    </row>
    <row r="186" spans="4:9" x14ac:dyDescent="0.3">
      <c r="D186" s="100" vm="1045">
        <f ca="1"/>
        <v>43374</v>
      </c>
      <c r="E186" s="101" vm="3316">
        <f ca="1"/>
        <v>13.12</v>
      </c>
      <c r="F186" s="101" vm="10876">
        <f ca="1"/>
        <v>14.122999999999999</v>
      </c>
      <c r="G186" s="101" vm="10877">
        <f ca="1"/>
        <v>14.196</v>
      </c>
      <c r="H186" s="101" vm="10878">
        <f ca="1"/>
        <v>12.952500000000001</v>
      </c>
      <c r="I186" s="102" vm="10879">
        <f ca="1"/>
        <v>4065210</v>
      </c>
    </row>
    <row r="187" spans="4:9" x14ac:dyDescent="0.3">
      <c r="D187" s="100" vm="1051">
        <f ca="1"/>
        <v>43381</v>
      </c>
      <c r="E187" s="101" vm="10880">
        <f ca="1"/>
        <v>12.728</v>
      </c>
      <c r="F187" s="101" vm="10881">
        <f ca="1"/>
        <v>13.093999999999999</v>
      </c>
      <c r="G187" s="101" vm="10882">
        <f ca="1"/>
        <v>13.230499999999999</v>
      </c>
      <c r="H187" s="101" vm="10883">
        <f ca="1"/>
        <v>12.6075</v>
      </c>
      <c r="I187" s="102" vm="10884">
        <f ca="1"/>
        <v>4852830</v>
      </c>
    </row>
    <row r="188" spans="4:9" x14ac:dyDescent="0.3">
      <c r="D188" s="100" vm="1057">
        <f ca="1"/>
        <v>43388</v>
      </c>
      <c r="E188" s="101" vm="10885">
        <f ca="1"/>
        <v>12.648</v>
      </c>
      <c r="F188" s="101" vm="10886">
        <f ca="1"/>
        <v>12.696</v>
      </c>
      <c r="G188" s="101" vm="10887">
        <f ca="1"/>
        <v>13.196</v>
      </c>
      <c r="H188" s="101" vm="10888">
        <f ca="1"/>
        <v>12.558</v>
      </c>
      <c r="I188" s="102" vm="10889">
        <f ca="1"/>
        <v>4577000</v>
      </c>
    </row>
    <row r="189" spans="4:9" x14ac:dyDescent="0.3">
      <c r="D189" s="100" vm="1063">
        <f ca="1"/>
        <v>43395</v>
      </c>
      <c r="E189" s="101" vm="10890">
        <f ca="1"/>
        <v>12.249000000000001</v>
      </c>
      <c r="F189" s="101" vm="10891">
        <f ca="1"/>
        <v>12.686</v>
      </c>
      <c r="G189" s="101" vm="10892">
        <f ca="1"/>
        <v>12.8985</v>
      </c>
      <c r="H189" s="101" vm="10893">
        <f ca="1"/>
        <v>12.067</v>
      </c>
      <c r="I189" s="102" vm="10894">
        <f ca="1"/>
        <v>5834790</v>
      </c>
    </row>
    <row r="190" spans="4:9" x14ac:dyDescent="0.3">
      <c r="D190" s="100" vm="1069">
        <f ca="1"/>
        <v>43402</v>
      </c>
      <c r="E190" s="101" vm="10895">
        <f ca="1"/>
        <v>12.673</v>
      </c>
      <c r="F190" s="101" vm="10896">
        <f ca="1"/>
        <v>12.385999999999999</v>
      </c>
      <c r="G190" s="101" vm="10897">
        <f ca="1"/>
        <v>12.746</v>
      </c>
      <c r="H190" s="101" vm="10898">
        <f ca="1"/>
        <v>12.026</v>
      </c>
      <c r="I190" s="102" vm="10899">
        <f ca="1"/>
        <v>8071840</v>
      </c>
    </row>
    <row r="191" spans="4:9" x14ac:dyDescent="0.3">
      <c r="D191" s="100" vm="1075">
        <f ca="1"/>
        <v>43409</v>
      </c>
      <c r="E191" s="101" vm="10900">
        <f ca="1"/>
        <v>12.827999999999999</v>
      </c>
      <c r="F191" s="101" vm="10901">
        <f ca="1"/>
        <v>12.709</v>
      </c>
      <c r="G191" s="101" vm="10763">
        <f ca="1"/>
        <v>13.018000000000001</v>
      </c>
      <c r="H191" s="101" vm="10902">
        <f ca="1"/>
        <v>12.439500000000001</v>
      </c>
      <c r="I191" s="102" vm="10903">
        <f ca="1"/>
        <v>6491890</v>
      </c>
    </row>
    <row r="192" spans="4:9" x14ac:dyDescent="0.3">
      <c r="D192" s="100" vm="1081">
        <f ca="1"/>
        <v>43416</v>
      </c>
      <c r="E192" s="101" vm="10904">
        <f ca="1"/>
        <v>12.708</v>
      </c>
      <c r="F192" s="101" vm="10905">
        <f ca="1"/>
        <v>12.821999999999999</v>
      </c>
      <c r="G192" s="101" vm="10906">
        <f ca="1"/>
        <v>12.9</v>
      </c>
      <c r="H192" s="101" vm="10907">
        <f ca="1"/>
        <v>12.458</v>
      </c>
      <c r="I192" s="102" vm="10908">
        <f ca="1"/>
        <v>5999150</v>
      </c>
    </row>
    <row r="193" spans="4:9" x14ac:dyDescent="0.3">
      <c r="D193" s="100" vm="1087">
        <f ca="1"/>
        <v>43423</v>
      </c>
      <c r="E193" s="101" vm="10909">
        <f ca="1"/>
        <v>12.435</v>
      </c>
      <c r="F193" s="101" vm="10910">
        <f ca="1"/>
        <v>12.667999999999999</v>
      </c>
      <c r="G193" s="101" vm="10910">
        <f ca="1"/>
        <v>12.667999999999999</v>
      </c>
      <c r="H193" s="101" vm="10911">
        <f ca="1"/>
        <v>12.244999999999999</v>
      </c>
      <c r="I193" s="102" vm="10912">
        <f ca="1"/>
        <v>3697990</v>
      </c>
    </row>
    <row r="194" spans="4:9" x14ac:dyDescent="0.3">
      <c r="D194" s="100" vm="1093">
        <f ca="1"/>
        <v>43430</v>
      </c>
      <c r="E194" s="101" vm="10913">
        <f ca="1"/>
        <v>12.964</v>
      </c>
      <c r="F194" s="101" vm="10914">
        <f ca="1"/>
        <v>12.57</v>
      </c>
      <c r="G194" s="101" vm="10915">
        <f ca="1"/>
        <v>12.978</v>
      </c>
      <c r="H194" s="101" vm="10916">
        <f ca="1"/>
        <v>12.462999999999999</v>
      </c>
      <c r="I194" s="102" vm="10917">
        <f ca="1"/>
        <v>7634550</v>
      </c>
    </row>
    <row r="195" spans="4:9" x14ac:dyDescent="0.3">
      <c r="D195" s="100" vm="1099">
        <f ca="1"/>
        <v>43437</v>
      </c>
      <c r="E195" s="101" vm="10918">
        <f ca="1"/>
        <v>12.757999999999999</v>
      </c>
      <c r="F195" s="101" vm="3196">
        <f ca="1"/>
        <v>13.15</v>
      </c>
      <c r="G195" s="101" vm="10919">
        <f ca="1"/>
        <v>13.356999999999999</v>
      </c>
      <c r="H195" s="101" vm="10920">
        <f ca="1"/>
        <v>12.526</v>
      </c>
      <c r="I195" s="102" vm="10921">
        <f ca="1"/>
        <v>4872500</v>
      </c>
    </row>
    <row r="196" spans="4:9" x14ac:dyDescent="0.3">
      <c r="D196" s="100" vm="1105">
        <f ca="1"/>
        <v>43444</v>
      </c>
      <c r="E196" s="101" vm="10922">
        <f ca="1"/>
        <v>12.692</v>
      </c>
      <c r="F196" s="101" vm="10923">
        <f ca="1"/>
        <v>12.683</v>
      </c>
      <c r="G196" s="101" vm="10924">
        <f ca="1"/>
        <v>12.984999999999999</v>
      </c>
      <c r="H196" s="101" vm="3294">
        <f ca="1"/>
        <v>12.55</v>
      </c>
      <c r="I196" s="102" vm="10925">
        <f ca="1"/>
        <v>5826360</v>
      </c>
    </row>
    <row r="197" spans="4:9" x14ac:dyDescent="0.3">
      <c r="D197" s="100" vm="1111">
        <f ca="1"/>
        <v>43451</v>
      </c>
      <c r="E197" s="101" vm="10926">
        <f ca="1"/>
        <v>11.657999999999999</v>
      </c>
      <c r="F197" s="101" vm="10772">
        <f ca="1"/>
        <v>12.669</v>
      </c>
      <c r="G197" s="101" vm="10772">
        <f ca="1"/>
        <v>12.669</v>
      </c>
      <c r="H197" s="101" vm="10927">
        <f ca="1"/>
        <v>11.627000000000001</v>
      </c>
      <c r="I197" s="102" vm="10928">
        <f ca="1"/>
        <v>5833240</v>
      </c>
    </row>
    <row r="198" spans="4:9" x14ac:dyDescent="0.3">
      <c r="D198" s="100" vm="1117">
        <f ca="1"/>
        <v>43458</v>
      </c>
      <c r="E198" s="101" vm="10929">
        <f ca="1"/>
        <v>12.688000000000001</v>
      </c>
      <c r="F198" s="101" vm="10930">
        <f ca="1"/>
        <v>11.606999999999999</v>
      </c>
      <c r="G198" s="101" vm="10931">
        <f ca="1"/>
        <v>12.827</v>
      </c>
      <c r="H198" s="101" vm="10932">
        <f ca="1"/>
        <v>11.55</v>
      </c>
      <c r="I198" s="102" vm="10933">
        <f ca="1"/>
        <v>3010390</v>
      </c>
    </row>
    <row r="199" spans="4:9" x14ac:dyDescent="0.3">
      <c r="D199" s="100" vm="1123">
        <f ca="1"/>
        <v>43465</v>
      </c>
      <c r="E199" s="101" vm="10934">
        <f ca="1"/>
        <v>13.04</v>
      </c>
      <c r="F199" s="101" vm="10901">
        <f ca="1"/>
        <v>12.709</v>
      </c>
      <c r="G199" s="101" vm="10935">
        <f ca="1"/>
        <v>13.102</v>
      </c>
      <c r="H199" s="101" vm="10936">
        <f ca="1"/>
        <v>12.563000000000001</v>
      </c>
      <c r="I199" s="102" vm="10937">
        <f ca="1"/>
        <v>4137580</v>
      </c>
    </row>
    <row r="200" spans="4:9" x14ac:dyDescent="0.3">
      <c r="D200" s="100" vm="1128">
        <f ca="1"/>
        <v>43472</v>
      </c>
      <c r="E200" s="101" vm="10938">
        <f ca="1"/>
        <v>13.385999999999999</v>
      </c>
      <c r="F200" s="101" vm="10939">
        <f ca="1"/>
        <v>13.039</v>
      </c>
      <c r="G200" s="101" vm="10940">
        <f ca="1"/>
        <v>13.4108</v>
      </c>
      <c r="H200" s="101" vm="10941">
        <f ca="1"/>
        <v>12.972</v>
      </c>
      <c r="I200" s="102" vm="10942">
        <f ca="1"/>
        <v>5029760</v>
      </c>
    </row>
    <row r="201" spans="4:9" x14ac:dyDescent="0.3">
      <c r="D201" s="100" vm="1134">
        <f ca="1"/>
        <v>43479</v>
      </c>
      <c r="E201" s="101" vm="10943">
        <f ca="1"/>
        <v>13.632</v>
      </c>
      <c r="F201" s="101" vm="10944">
        <f ca="1"/>
        <v>13.324</v>
      </c>
      <c r="G201" s="101" vm="10945">
        <f ca="1"/>
        <v>13.765499999999999</v>
      </c>
      <c r="H201" s="101" vm="10946">
        <f ca="1"/>
        <v>12.752000000000001</v>
      </c>
      <c r="I201" s="102" vm="10947">
        <f ca="1"/>
        <v>4814040</v>
      </c>
    </row>
    <row r="202" spans="4:9" x14ac:dyDescent="0.3">
      <c r="D202" s="100" vm="1140">
        <f ca="1"/>
        <v>43487</v>
      </c>
      <c r="E202" s="101" vm="3344">
        <f ca="1"/>
        <v>13.94</v>
      </c>
      <c r="F202" s="101" vm="10602">
        <f ca="1"/>
        <v>13.573</v>
      </c>
      <c r="G202" s="101" vm="10948">
        <f ca="1"/>
        <v>13.989000000000001</v>
      </c>
      <c r="H202" s="101" vm="10949">
        <f ca="1"/>
        <v>13.523999999999999</v>
      </c>
      <c r="I202" s="102" vm="10950">
        <f ca="1"/>
        <v>2618870</v>
      </c>
    </row>
    <row r="203" spans="4:9" x14ac:dyDescent="0.3">
      <c r="D203" s="100" vm="1145">
        <f ca="1"/>
        <v>43493</v>
      </c>
      <c r="E203" s="101" vm="10951">
        <f ca="1"/>
        <v>12.804</v>
      </c>
      <c r="F203" s="101" vm="10952">
        <f ca="1"/>
        <v>13.821999999999999</v>
      </c>
      <c r="G203" s="101" vm="10953">
        <f ca="1"/>
        <v>14.023</v>
      </c>
      <c r="H203" s="101" vm="10954">
        <f ca="1"/>
        <v>12.535</v>
      </c>
      <c r="I203" s="102" vm="10955">
        <f ca="1"/>
        <v>11073910</v>
      </c>
    </row>
    <row r="204" spans="4:9" x14ac:dyDescent="0.3">
      <c r="D204" s="100" vm="1151">
        <f ca="1"/>
        <v>43500</v>
      </c>
      <c r="E204" s="101" vm="10956">
        <f ca="1"/>
        <v>13.077999999999999</v>
      </c>
      <c r="F204" s="101" vm="6573">
        <f ca="1"/>
        <v>12.7</v>
      </c>
      <c r="G204" s="101" vm="10957">
        <f ca="1"/>
        <v>13.284000000000001</v>
      </c>
      <c r="H204" s="101" vm="6573">
        <f ca="1"/>
        <v>12.7</v>
      </c>
      <c r="I204" s="102" vm="10958">
        <f ca="1"/>
        <v>8756280</v>
      </c>
    </row>
    <row r="205" spans="4:9" x14ac:dyDescent="0.3">
      <c r="D205" s="100" vm="1157">
        <f ca="1"/>
        <v>43507</v>
      </c>
      <c r="E205" s="101" vm="10240">
        <f ca="1"/>
        <v>14.106</v>
      </c>
      <c r="F205" s="101" vm="10692">
        <f ca="1"/>
        <v>13.287000000000001</v>
      </c>
      <c r="G205" s="101" vm="3356">
        <f ca="1"/>
        <v>14.3</v>
      </c>
      <c r="H205" s="101" vm="10692">
        <f ca="1"/>
        <v>13.287000000000001</v>
      </c>
      <c r="I205" s="102" vm="10959">
        <f ca="1"/>
        <v>5742690</v>
      </c>
    </row>
    <row r="206" spans="4:9" x14ac:dyDescent="0.3">
      <c r="D206" s="100" vm="1161">
        <f ca="1"/>
        <v>43515</v>
      </c>
      <c r="E206" s="101" vm="10960">
        <f ca="1"/>
        <v>14.541</v>
      </c>
      <c r="F206" s="101" vm="10961">
        <f ca="1"/>
        <v>14.077999999999999</v>
      </c>
      <c r="G206" s="101" vm="10962">
        <f ca="1"/>
        <v>14.545</v>
      </c>
      <c r="H206" s="101" vm="10963">
        <f ca="1"/>
        <v>14.023999999999999</v>
      </c>
      <c r="I206" s="102" vm="10964">
        <f ca="1"/>
        <v>4465530</v>
      </c>
    </row>
    <row r="207" spans="4:9" x14ac:dyDescent="0.3">
      <c r="D207" s="100" vm="1167">
        <f ca="1"/>
        <v>43521</v>
      </c>
      <c r="E207" s="101" vm="10965">
        <f ca="1"/>
        <v>14.173999999999999</v>
      </c>
      <c r="F207" s="101" vm="10966">
        <f ca="1"/>
        <v>14.634</v>
      </c>
      <c r="G207" s="101" vm="10967">
        <f ca="1"/>
        <v>14.7445</v>
      </c>
      <c r="H207" s="101" vm="10968">
        <f ca="1"/>
        <v>13.967000000000001</v>
      </c>
      <c r="I207" s="102" vm="10969">
        <f ca="1"/>
        <v>4463440</v>
      </c>
    </row>
    <row r="208" spans="4:9" x14ac:dyDescent="0.3">
      <c r="D208" s="100" vm="1172">
        <f ca="1"/>
        <v>43528</v>
      </c>
      <c r="E208" s="101" vm="10677">
        <f ca="1"/>
        <v>13.811999999999999</v>
      </c>
      <c r="F208" s="101" vm="10970">
        <f ca="1"/>
        <v>14.234999999999999</v>
      </c>
      <c r="G208" s="101" vm="10970">
        <f ca="1"/>
        <v>14.234999999999999</v>
      </c>
      <c r="H208" s="101" vm="10971">
        <f ca="1"/>
        <v>13.551</v>
      </c>
      <c r="I208" s="102" vm="10972">
        <f ca="1"/>
        <v>4877790</v>
      </c>
    </row>
    <row r="209" spans="4:9" x14ac:dyDescent="0.3">
      <c r="D209" s="100" vm="1178">
        <f ca="1"/>
        <v>43535</v>
      </c>
      <c r="E209" s="101" vm="10973">
        <f ca="1"/>
        <v>14.833</v>
      </c>
      <c r="F209" s="101" vm="10974">
        <f ca="1"/>
        <v>13.827</v>
      </c>
      <c r="G209" s="101" vm="10247">
        <f ca="1"/>
        <v>14.991</v>
      </c>
      <c r="H209" s="101" vm="10975">
        <f ca="1"/>
        <v>13.7491</v>
      </c>
      <c r="I209" s="102" vm="10976">
        <f ca="1"/>
        <v>8483280</v>
      </c>
    </row>
    <row r="210" spans="4:9" x14ac:dyDescent="0.3">
      <c r="D210" s="100" vm="1184">
        <f ca="1"/>
        <v>43542</v>
      </c>
      <c r="E210" s="101" vm="10977">
        <f ca="1"/>
        <v>14.382999999999999</v>
      </c>
      <c r="F210" s="101" vm="3201">
        <f ca="1"/>
        <v>14.82</v>
      </c>
      <c r="G210" s="101" vm="3432">
        <f ca="1"/>
        <v>15.05</v>
      </c>
      <c r="H210" s="101" vm="10978">
        <f ca="1"/>
        <v>14.361000000000001</v>
      </c>
      <c r="I210" s="102" vm="10979">
        <f ca="1"/>
        <v>4371640</v>
      </c>
    </row>
    <row r="211" spans="4:9" x14ac:dyDescent="0.3">
      <c r="D211" s="100" vm="1190">
        <f ca="1"/>
        <v>43549</v>
      </c>
      <c r="E211" s="101" vm="10980">
        <f ca="1"/>
        <v>14.425000000000001</v>
      </c>
      <c r="F211" s="101" vm="10981">
        <f ca="1"/>
        <v>14.333</v>
      </c>
      <c r="G211" s="101" vm="3374">
        <f ca="1"/>
        <v>14.75</v>
      </c>
      <c r="H211" s="101" vm="10982">
        <f ca="1"/>
        <v>14.176</v>
      </c>
      <c r="I211" s="102" vm="10983">
        <f ca="1"/>
        <v>3738390</v>
      </c>
    </row>
    <row r="212" spans="4:9" x14ac:dyDescent="0.3">
      <c r="D212" s="100" vm="1195">
        <f ca="1"/>
        <v>43556</v>
      </c>
      <c r="E212" s="101" vm="10856">
        <f ca="1"/>
        <v>14.651999999999999</v>
      </c>
      <c r="F212" s="101" vm="10984">
        <f ca="1"/>
        <v>14.523999999999999</v>
      </c>
      <c r="G212" s="101" vm="10985">
        <f ca="1"/>
        <v>14.867000000000001</v>
      </c>
      <c r="H212" s="101" vm="10986">
        <f ca="1"/>
        <v>14.297000000000001</v>
      </c>
      <c r="I212" s="102" vm="10987">
        <f ca="1"/>
        <v>3358530</v>
      </c>
    </row>
    <row r="213" spans="4:9" x14ac:dyDescent="0.3">
      <c r="D213" s="100" vm="1201">
        <f ca="1"/>
        <v>43563</v>
      </c>
      <c r="E213" s="101" vm="10988">
        <f ca="1"/>
        <v>15.065</v>
      </c>
      <c r="F213" s="101" vm="10989">
        <f ca="1"/>
        <v>14.611000000000001</v>
      </c>
      <c r="G213" s="101" vm="10990">
        <f ca="1"/>
        <v>15.093</v>
      </c>
      <c r="H213" s="101" vm="10991">
        <f ca="1"/>
        <v>14.3675</v>
      </c>
      <c r="I213" s="102" vm="10992">
        <f ca="1"/>
        <v>3030960</v>
      </c>
    </row>
    <row r="214" spans="4:9" x14ac:dyDescent="0.3">
      <c r="D214" s="100" vm="1207">
        <f ca="1"/>
        <v>43570</v>
      </c>
      <c r="E214" s="101" vm="10993">
        <f ca="1"/>
        <v>14.648</v>
      </c>
      <c r="F214" s="101" vm="10994">
        <f ca="1"/>
        <v>15.035</v>
      </c>
      <c r="G214" s="101" vm="10995">
        <f ca="1"/>
        <v>15.237500000000001</v>
      </c>
      <c r="H214" s="101" vm="10996">
        <f ca="1"/>
        <v>14.358000000000001</v>
      </c>
      <c r="I214" s="102" vm="10997">
        <f ca="1"/>
        <v>3015600</v>
      </c>
    </row>
    <row r="215" spans="4:9" x14ac:dyDescent="0.3">
      <c r="D215" s="100" vm="1213">
        <f ca="1"/>
        <v>43577</v>
      </c>
      <c r="E215" s="101" vm="10998">
        <f ca="1"/>
        <v>14.942</v>
      </c>
      <c r="F215" s="101" vm="10999">
        <f ca="1"/>
        <v>14.583</v>
      </c>
      <c r="G215" s="101" vm="11000">
        <f ca="1"/>
        <v>15.081</v>
      </c>
      <c r="H215" s="101" vm="11001">
        <f ca="1"/>
        <v>14.401</v>
      </c>
      <c r="I215" s="102" vm="11002">
        <f ca="1"/>
        <v>4589800</v>
      </c>
    </row>
    <row r="216" spans="4:9" x14ac:dyDescent="0.3">
      <c r="D216" s="100" vm="1218">
        <f ca="1"/>
        <v>43584</v>
      </c>
      <c r="E216" s="101" vm="11003">
        <f ca="1"/>
        <v>14.103</v>
      </c>
      <c r="F216" s="101" vm="11004">
        <f ca="1"/>
        <v>14.973000000000001</v>
      </c>
      <c r="G216" s="101" vm="11005">
        <f ca="1"/>
        <v>15.198</v>
      </c>
      <c r="H216" s="101" vm="10968">
        <f ca="1"/>
        <v>13.967000000000001</v>
      </c>
      <c r="I216" s="102" vm="11006">
        <f ca="1"/>
        <v>7727230</v>
      </c>
    </row>
    <row r="217" spans="4:9" x14ac:dyDescent="0.3">
      <c r="D217" s="100" vm="1224">
        <f ca="1"/>
        <v>43591</v>
      </c>
      <c r="E217" s="101" vm="11007">
        <f ca="1"/>
        <v>13.926</v>
      </c>
      <c r="F217" s="101" vm="11008">
        <f ca="1"/>
        <v>13.962</v>
      </c>
      <c r="G217" s="101" vm="11009">
        <f ca="1"/>
        <v>14.212</v>
      </c>
      <c r="H217" s="101" vm="3365">
        <f ca="1"/>
        <v>13.55</v>
      </c>
      <c r="I217" s="102" vm="11010">
        <f ca="1"/>
        <v>4574390</v>
      </c>
    </row>
    <row r="218" spans="4:9" x14ac:dyDescent="0.3">
      <c r="D218" s="100" vm="1230">
        <f ca="1"/>
        <v>43598</v>
      </c>
      <c r="E218" s="101" vm="11011">
        <f ca="1"/>
        <v>13.683999999999999</v>
      </c>
      <c r="F218" s="101" vm="11012">
        <f ca="1"/>
        <v>13.709</v>
      </c>
      <c r="G218" s="101" vm="11013">
        <f ca="1"/>
        <v>13.856</v>
      </c>
      <c r="H218" s="101" vm="11014">
        <f ca="1"/>
        <v>13.481999999999999</v>
      </c>
      <c r="I218" s="102" vm="11015">
        <f ca="1"/>
        <v>3279860</v>
      </c>
    </row>
    <row r="219" spans="4:9" x14ac:dyDescent="0.3">
      <c r="D219" s="100" vm="1236">
        <f ca="1"/>
        <v>43605</v>
      </c>
      <c r="E219" s="101" vm="11016">
        <f ca="1"/>
        <v>13.407999999999999</v>
      </c>
      <c r="F219" s="101" vm="11017">
        <f ca="1"/>
        <v>13.596</v>
      </c>
      <c r="G219" s="101" vm="10727">
        <f ca="1"/>
        <v>13.914</v>
      </c>
      <c r="H219" s="101" vm="11018">
        <f ca="1"/>
        <v>13.3</v>
      </c>
      <c r="I219" s="102" vm="11019">
        <f ca="1"/>
        <v>3748290</v>
      </c>
    </row>
    <row r="220" spans="4:9" x14ac:dyDescent="0.3">
      <c r="D220" s="100" vm="1241">
        <f ca="1"/>
        <v>43613</v>
      </c>
      <c r="E220" s="101" vm="11020">
        <f ca="1"/>
        <v>13.291</v>
      </c>
      <c r="F220" s="101" vm="11021">
        <f ca="1"/>
        <v>13.404999999999999</v>
      </c>
      <c r="G220" s="101" vm="11022">
        <f ca="1"/>
        <v>13.641299999999999</v>
      </c>
      <c r="H220" s="101" vm="11023">
        <f ca="1"/>
        <v>13.161</v>
      </c>
      <c r="I220" s="102" vm="11024">
        <f ca="1"/>
        <v>2413520</v>
      </c>
    </row>
    <row r="221" spans="4:9" x14ac:dyDescent="0.3">
      <c r="D221" s="100" vm="1246">
        <f ca="1"/>
        <v>43619</v>
      </c>
      <c r="E221" s="101" vm="11025">
        <f ca="1"/>
        <v>13.714</v>
      </c>
      <c r="F221" s="101" vm="11026">
        <f ca="1"/>
        <v>13.307</v>
      </c>
      <c r="G221" s="101" vm="11027">
        <f ca="1"/>
        <v>13.726000000000001</v>
      </c>
      <c r="H221" s="101" vm="11028">
        <f ca="1"/>
        <v>13.026</v>
      </c>
      <c r="I221" s="102" vm="11029">
        <f ca="1"/>
        <v>3186910</v>
      </c>
    </row>
    <row r="222" spans="4:9" x14ac:dyDescent="0.3">
      <c r="D222" s="100" vm="1252">
        <f ca="1"/>
        <v>43626</v>
      </c>
      <c r="E222" s="101" vm="11030">
        <f ca="1"/>
        <v>13.365</v>
      </c>
      <c r="F222" s="101" vm="3404">
        <f ca="1"/>
        <v>13.83</v>
      </c>
      <c r="G222" s="101" vm="10250">
        <f ca="1"/>
        <v>14.101000000000001</v>
      </c>
      <c r="H222" s="101" vm="11031">
        <f ca="1"/>
        <v>13.097</v>
      </c>
      <c r="I222" s="102" vm="11032">
        <f ca="1"/>
        <v>4497750</v>
      </c>
    </row>
    <row r="223" spans="4:9" x14ac:dyDescent="0.3">
      <c r="D223" s="100" vm="1258">
        <f ca="1"/>
        <v>43633</v>
      </c>
      <c r="E223" s="101" vm="11033">
        <f ca="1"/>
        <v>14.672000000000001</v>
      </c>
      <c r="F223" s="101" vm="11034">
        <f ca="1"/>
        <v>13.433</v>
      </c>
      <c r="G223" s="101" vm="11035">
        <f ca="1"/>
        <v>14.9885</v>
      </c>
      <c r="H223" s="101" vm="11034">
        <f ca="1"/>
        <v>13.433</v>
      </c>
      <c r="I223" s="102" vm="11036">
        <f ca="1"/>
        <v>15451610</v>
      </c>
    </row>
    <row r="224" spans="4:9" x14ac:dyDescent="0.3">
      <c r="D224" s="100" vm="1264">
        <f ca="1"/>
        <v>43640</v>
      </c>
      <c r="E224" s="101" vm="11037">
        <f ca="1"/>
        <v>14.331</v>
      </c>
      <c r="F224" s="101" vm="11038">
        <f ca="1"/>
        <v>14.685</v>
      </c>
      <c r="G224" s="101" vm="11039">
        <f ca="1"/>
        <v>14.746</v>
      </c>
      <c r="H224" s="101" vm="11040">
        <f ca="1"/>
        <v>13.872</v>
      </c>
      <c r="I224" s="102" vm="11041">
        <f ca="1"/>
        <v>8665980</v>
      </c>
    </row>
    <row r="225" spans="4:9" x14ac:dyDescent="0.3">
      <c r="D225" s="100" vm="1270">
        <f ca="1"/>
        <v>43647</v>
      </c>
      <c r="E225" s="101" vm="10963">
        <f ca="1"/>
        <v>14.023999999999999</v>
      </c>
      <c r="F225" s="101" vm="3356">
        <f ca="1"/>
        <v>14.3</v>
      </c>
      <c r="G225" s="101" vm="11042">
        <f ca="1"/>
        <v>14.430999999999999</v>
      </c>
      <c r="H225" s="101" vm="11043">
        <f ca="1"/>
        <v>13.756</v>
      </c>
      <c r="I225" s="102" vm="11044">
        <f ca="1"/>
        <v>3481180</v>
      </c>
    </row>
    <row r="226" spans="4:9" x14ac:dyDescent="0.3">
      <c r="D226" s="100" vm="1276">
        <f ca="1"/>
        <v>43654</v>
      </c>
      <c r="E226" s="101" vm="11045">
        <f ca="1"/>
        <v>12.302</v>
      </c>
      <c r="F226" s="101" vm="11046">
        <f ca="1"/>
        <v>13.92</v>
      </c>
      <c r="G226" s="101" vm="11046">
        <f ca="1"/>
        <v>13.92</v>
      </c>
      <c r="H226" s="101" vm="11047">
        <f ca="1"/>
        <v>12.05</v>
      </c>
      <c r="I226" s="102" vm="11048">
        <f ca="1"/>
        <v>9728880</v>
      </c>
    </row>
    <row r="227" spans="4:9" x14ac:dyDescent="0.3">
      <c r="D227" s="100" vm="1282">
        <f ca="1"/>
        <v>43661</v>
      </c>
      <c r="E227" s="101" vm="11049">
        <f ca="1"/>
        <v>12.175000000000001</v>
      </c>
      <c r="F227" s="101" vm="11050">
        <f ca="1"/>
        <v>12.297000000000001</v>
      </c>
      <c r="G227" s="101" vm="11051">
        <f ca="1"/>
        <v>12.5</v>
      </c>
      <c r="H227" s="101" vm="11052">
        <f ca="1"/>
        <v>12.086</v>
      </c>
      <c r="I227" s="102" vm="11053">
        <f ca="1"/>
        <v>5090810</v>
      </c>
    </row>
    <row r="228" spans="4:9" x14ac:dyDescent="0.3">
      <c r="D228" s="100" vm="1288">
        <f ca="1"/>
        <v>43668</v>
      </c>
      <c r="E228" s="101" vm="11054">
        <f ca="1"/>
        <v>12.332000000000001</v>
      </c>
      <c r="F228" s="101" vm="11055">
        <f ca="1"/>
        <v>12.183</v>
      </c>
      <c r="G228" s="101" vm="11056">
        <f ca="1"/>
        <v>12.384</v>
      </c>
      <c r="H228" s="101" vm="11057">
        <f ca="1"/>
        <v>12.053000000000001</v>
      </c>
      <c r="I228" s="102" vm="11058">
        <f ca="1"/>
        <v>3383940</v>
      </c>
    </row>
    <row r="229" spans="4:9" x14ac:dyDescent="0.3">
      <c r="D229" s="100" vm="1294">
        <f ca="1"/>
        <v>43675</v>
      </c>
      <c r="E229" s="101" vm="3321">
        <f ca="1"/>
        <v>13.43</v>
      </c>
      <c r="F229" s="101" vm="11059">
        <f ca="1"/>
        <v>12.313000000000001</v>
      </c>
      <c r="G229" s="101" vm="11060">
        <f ca="1"/>
        <v>14.071999999999999</v>
      </c>
      <c r="H229" s="101" vm="11061">
        <f ca="1"/>
        <v>12.113</v>
      </c>
      <c r="I229" s="102" vm="11062">
        <f ca="1"/>
        <v>8968500</v>
      </c>
    </row>
    <row r="230" spans="4:9" x14ac:dyDescent="0.3">
      <c r="D230" s="100" vm="1300">
        <f ca="1"/>
        <v>43682</v>
      </c>
      <c r="E230" s="101" vm="3372">
        <f ca="1"/>
        <v>14.07</v>
      </c>
      <c r="F230" s="101" vm="11063">
        <f ca="1"/>
        <v>13.246</v>
      </c>
      <c r="G230" s="101" vm="11064">
        <f ca="1"/>
        <v>14.356</v>
      </c>
      <c r="H230" s="101" vm="11065">
        <f ca="1"/>
        <v>13.061</v>
      </c>
      <c r="I230" s="102" vm="11066">
        <f ca="1"/>
        <v>5760210</v>
      </c>
    </row>
    <row r="231" spans="4:9" x14ac:dyDescent="0.3">
      <c r="D231" s="100" vm="1306">
        <f ca="1"/>
        <v>43689</v>
      </c>
      <c r="E231" s="101" vm="11067">
        <f ca="1"/>
        <v>13.733000000000001</v>
      </c>
      <c r="F231" s="101" vm="11068">
        <f ca="1"/>
        <v>13.959</v>
      </c>
      <c r="G231" s="101" vm="10860">
        <f ca="1"/>
        <v>14.2</v>
      </c>
      <c r="H231" s="101" vm="11069">
        <f ca="1"/>
        <v>13.553000000000001</v>
      </c>
      <c r="I231" s="102" vm="11070">
        <f ca="1"/>
        <v>7634630</v>
      </c>
    </row>
    <row r="232" spans="4:9" x14ac:dyDescent="0.3">
      <c r="D232" s="100" vm="1311">
        <f ca="1"/>
        <v>43696</v>
      </c>
      <c r="E232" s="101" vm="11071">
        <f ca="1"/>
        <v>13.811</v>
      </c>
      <c r="F232" s="101" vm="11072">
        <f ca="1"/>
        <v>13.882</v>
      </c>
      <c r="G232" s="101" vm="11073">
        <f ca="1"/>
        <v>14.29</v>
      </c>
      <c r="H232" s="101" vm="11074">
        <f ca="1"/>
        <v>13.670999999999999</v>
      </c>
      <c r="I232" s="102" vm="11075">
        <f ca="1"/>
        <v>4127830</v>
      </c>
    </row>
    <row r="233" spans="4:9" x14ac:dyDescent="0.3">
      <c r="D233" s="100" vm="1317">
        <f ca="1"/>
        <v>43703</v>
      </c>
      <c r="E233" s="101" vm="11076">
        <f ca="1"/>
        <v>14.329000000000001</v>
      </c>
      <c r="F233" s="101" vm="11077">
        <f ca="1"/>
        <v>13.917</v>
      </c>
      <c r="G233" s="101" vm="10848">
        <f ca="1"/>
        <v>14.381</v>
      </c>
      <c r="H233" s="101" vm="11078">
        <f ca="1"/>
        <v>13.686999999999999</v>
      </c>
      <c r="I233" s="102" vm="11079">
        <f ca="1"/>
        <v>5227490</v>
      </c>
    </row>
    <row r="234" spans="4:9" x14ac:dyDescent="0.3">
      <c r="D234" s="100" vm="1322">
        <f ca="1"/>
        <v>43711</v>
      </c>
      <c r="E234" s="101" vm="10948">
        <f ca="1"/>
        <v>13.989000000000001</v>
      </c>
      <c r="F234" s="101" vm="11080">
        <f ca="1"/>
        <v>14.247999999999999</v>
      </c>
      <c r="G234" s="101" vm="11081">
        <f ca="1"/>
        <v>14.483000000000001</v>
      </c>
      <c r="H234" s="101" vm="11082">
        <f ca="1"/>
        <v>13.592000000000001</v>
      </c>
      <c r="I234" s="102" vm="11083">
        <f ca="1"/>
        <v>6146610</v>
      </c>
    </row>
    <row r="235" spans="4:9" x14ac:dyDescent="0.3">
      <c r="D235" s="100" vm="1328">
        <f ca="1"/>
        <v>43717</v>
      </c>
      <c r="E235" s="101" vm="11084">
        <f ca="1"/>
        <v>14.577999999999999</v>
      </c>
      <c r="F235" s="101" vm="11085">
        <f ca="1"/>
        <v>13.978</v>
      </c>
      <c r="G235" s="101" vm="3386">
        <f ca="1"/>
        <v>15</v>
      </c>
      <c r="H235" s="101" vm="11086">
        <f ca="1"/>
        <v>13.792999999999999</v>
      </c>
      <c r="I235" s="102" vm="11087">
        <f ca="1"/>
        <v>5995140</v>
      </c>
    </row>
    <row r="236" spans="4:9" x14ac:dyDescent="0.3">
      <c r="D236" s="100" vm="1334">
        <f ca="1"/>
        <v>43724</v>
      </c>
      <c r="E236" s="101" vm="11088">
        <f ca="1"/>
        <v>14.904999999999999</v>
      </c>
      <c r="F236" s="101" vm="11089">
        <f ca="1"/>
        <v>14.484</v>
      </c>
      <c r="G236" s="101" vm="11090">
        <f ca="1"/>
        <v>15.346</v>
      </c>
      <c r="H236" s="101" vm="11091">
        <f ca="1"/>
        <v>14.429</v>
      </c>
      <c r="I236" s="102" vm="11092">
        <f ca="1"/>
        <v>7080980</v>
      </c>
    </row>
    <row r="237" spans="4:9" x14ac:dyDescent="0.3">
      <c r="D237" s="100" vm="1339">
        <f ca="1"/>
        <v>43731</v>
      </c>
      <c r="E237" s="101" vm="11093">
        <f ca="1"/>
        <v>14.702999999999999</v>
      </c>
      <c r="F237" s="101" vm="11094">
        <f ca="1"/>
        <v>14.864000000000001</v>
      </c>
      <c r="G237" s="101" vm="11095">
        <f ca="1"/>
        <v>15.226000000000001</v>
      </c>
      <c r="H237" s="101" vm="3395">
        <f ca="1"/>
        <v>14.48</v>
      </c>
      <c r="I237" s="102" vm="11096">
        <f ca="1"/>
        <v>3141140</v>
      </c>
    </row>
    <row r="238" spans="4:9" x14ac:dyDescent="0.3">
      <c r="D238" s="100" vm="1345">
        <f ca="1"/>
        <v>43738</v>
      </c>
      <c r="E238" s="101" vm="11097">
        <f ca="1"/>
        <v>14.659000000000001</v>
      </c>
      <c r="F238" s="101" vm="11098">
        <f ca="1"/>
        <v>14.715999999999999</v>
      </c>
      <c r="G238" s="101" vm="11099">
        <f ca="1"/>
        <v>14.99</v>
      </c>
      <c r="H238" s="101" vm="11100">
        <f ca="1"/>
        <v>14.257999999999999</v>
      </c>
      <c r="I238" s="102" vm="11101">
        <f ca="1"/>
        <v>3038380</v>
      </c>
    </row>
    <row r="239" spans="4:9" x14ac:dyDescent="0.3">
      <c r="D239" s="100" vm="1351">
        <f ca="1"/>
        <v>43745</v>
      </c>
      <c r="E239" s="101" vm="11102">
        <f ca="1"/>
        <v>14.414999999999999</v>
      </c>
      <c r="F239" s="101" vm="11103">
        <f ca="1"/>
        <v>14.673</v>
      </c>
      <c r="G239" s="101" vm="10237">
        <f ca="1"/>
        <v>14.815</v>
      </c>
      <c r="H239" s="101" vm="3200">
        <f ca="1"/>
        <v>14.31</v>
      </c>
      <c r="I239" s="102" vm="11104">
        <f ca="1"/>
        <v>3140600</v>
      </c>
    </row>
    <row r="240" spans="4:9" x14ac:dyDescent="0.3">
      <c r="D240" s="100" vm="1357">
        <f ca="1"/>
        <v>43752</v>
      </c>
      <c r="E240" s="101" vm="11105">
        <f ca="1"/>
        <v>14.315</v>
      </c>
      <c r="F240" s="101" vm="11106">
        <f ca="1"/>
        <v>14.394</v>
      </c>
      <c r="G240" s="101" vm="3188">
        <f ca="1"/>
        <v>14.5</v>
      </c>
      <c r="H240" s="101" vm="11107">
        <f ca="1"/>
        <v>13.958</v>
      </c>
      <c r="I240" s="102" vm="11108">
        <f ca="1"/>
        <v>3325430</v>
      </c>
    </row>
    <row r="241" spans="4:9" x14ac:dyDescent="0.3">
      <c r="D241" s="100" vm="1363">
        <f ca="1"/>
        <v>43759</v>
      </c>
      <c r="E241" s="101" vm="11109">
        <f ca="1"/>
        <v>14.577</v>
      </c>
      <c r="F241" s="101" vm="11110">
        <f ca="1"/>
        <v>14.385</v>
      </c>
      <c r="G241" s="101" vm="11111">
        <f ca="1"/>
        <v>14.661</v>
      </c>
      <c r="H241" s="101" vm="11112">
        <f ca="1"/>
        <v>14.195</v>
      </c>
      <c r="I241" s="102" vm="11113">
        <f ca="1"/>
        <v>2105050</v>
      </c>
    </row>
    <row r="242" spans="4:9" x14ac:dyDescent="0.3">
      <c r="D242" s="100" vm="1369">
        <f ca="1"/>
        <v>43766</v>
      </c>
      <c r="E242" s="101" vm="11114">
        <f ca="1"/>
        <v>15.369</v>
      </c>
      <c r="F242" s="101" vm="3360">
        <f ca="1"/>
        <v>14.6</v>
      </c>
      <c r="G242" s="101" vm="11115">
        <f ca="1"/>
        <v>15.484999999999999</v>
      </c>
      <c r="H242" s="101" vm="11116">
        <f ca="1"/>
        <v>14.525</v>
      </c>
      <c r="I242" s="102" vm="11117">
        <f ca="1"/>
        <v>2895570</v>
      </c>
    </row>
    <row r="243" spans="4:9" x14ac:dyDescent="0.3">
      <c r="D243" s="100" vm="1375">
        <f ca="1"/>
        <v>43773</v>
      </c>
      <c r="E243" s="101" vm="11118">
        <f ca="1"/>
        <v>15.613</v>
      </c>
      <c r="F243" s="101" vm="11119">
        <f ca="1"/>
        <v>15.499000000000001</v>
      </c>
      <c r="G243" s="101" vm="11120">
        <f ca="1"/>
        <v>15.7074</v>
      </c>
      <c r="H243" s="101" vm="11095">
        <f ca="1"/>
        <v>15.226000000000001</v>
      </c>
      <c r="I243" s="102" vm="11121">
        <f ca="1"/>
        <v>3388300</v>
      </c>
    </row>
    <row r="244" spans="4:9" x14ac:dyDescent="0.3">
      <c r="D244" s="100" vm="1381">
        <f ca="1"/>
        <v>43780</v>
      </c>
      <c r="E244" s="101" vm="11122">
        <f ca="1"/>
        <v>15.64</v>
      </c>
      <c r="F244" s="101" vm="11123">
        <f ca="1"/>
        <v>15.557</v>
      </c>
      <c r="G244" s="101" vm="3416">
        <f ca="1"/>
        <v>15.85</v>
      </c>
      <c r="H244" s="101" vm="11124">
        <f ca="1"/>
        <v>15.4825</v>
      </c>
      <c r="I244" s="102" vm="11125">
        <f ca="1"/>
        <v>3058630</v>
      </c>
    </row>
    <row r="245" spans="4:9" x14ac:dyDescent="0.3">
      <c r="D245" s="100" vm="1387">
        <f ca="1"/>
        <v>43787</v>
      </c>
      <c r="E245" s="101" vm="11126">
        <f ca="1"/>
        <v>15.16</v>
      </c>
      <c r="F245" s="101" vm="11127">
        <f ca="1"/>
        <v>15.611000000000001</v>
      </c>
      <c r="G245" s="101" vm="11128">
        <f ca="1"/>
        <v>15.89</v>
      </c>
      <c r="H245" s="101" vm="11129">
        <f ca="1"/>
        <v>14.87</v>
      </c>
      <c r="I245" s="102" vm="11130">
        <f ca="1"/>
        <v>3155000</v>
      </c>
    </row>
    <row r="246" spans="4:9" x14ac:dyDescent="0.3">
      <c r="D246" s="100" vm="1393">
        <f ca="1"/>
        <v>43794</v>
      </c>
      <c r="E246" s="101" vm="11131">
        <f ca="1"/>
        <v>15.032999999999999</v>
      </c>
      <c r="F246" s="101" vm="11132">
        <f ca="1"/>
        <v>15.2</v>
      </c>
      <c r="G246" s="101" vm="11133">
        <f ca="1"/>
        <v>15.335000000000001</v>
      </c>
      <c r="H246" s="101" vm="3411">
        <f ca="1"/>
        <v>14.9</v>
      </c>
      <c r="I246" s="102" vm="11134">
        <f ca="1"/>
        <v>2250050</v>
      </c>
    </row>
    <row r="247" spans="4:9" x14ac:dyDescent="0.3">
      <c r="D247" s="100" vm="1398">
        <f ca="1"/>
        <v>43801</v>
      </c>
      <c r="E247" s="101" vm="11126">
        <f ca="1"/>
        <v>15.16</v>
      </c>
      <c r="F247" s="101" vm="11135">
        <f ca="1"/>
        <v>15.071999999999999</v>
      </c>
      <c r="G247" s="101" vm="11136">
        <f ca="1"/>
        <v>15.2265</v>
      </c>
      <c r="H247" s="101" vm="11137">
        <f ca="1"/>
        <v>14.728</v>
      </c>
      <c r="I247" s="102" vm="11138">
        <f ca="1"/>
        <v>5406100</v>
      </c>
    </row>
    <row r="248" spans="4:9" x14ac:dyDescent="0.3">
      <c r="D248" s="100" vm="1404">
        <f ca="1"/>
        <v>43808</v>
      </c>
      <c r="E248" s="101" vm="11139">
        <f ca="1"/>
        <v>14.535</v>
      </c>
      <c r="F248" s="101" vm="11140">
        <f ca="1"/>
        <v>15.125999999999999</v>
      </c>
      <c r="G248" s="101" vm="11141">
        <f ca="1"/>
        <v>15.287000000000001</v>
      </c>
      <c r="H248" s="101" vm="11142">
        <f ca="1"/>
        <v>14.502000000000001</v>
      </c>
      <c r="I248" s="102" vm="11143">
        <f ca="1"/>
        <v>2330980</v>
      </c>
    </row>
    <row r="249" spans="4:9" x14ac:dyDescent="0.3">
      <c r="D249" s="100" vm="1410">
        <f ca="1"/>
        <v>43815</v>
      </c>
      <c r="E249" s="101" vm="3383">
        <f ca="1"/>
        <v>14.52</v>
      </c>
      <c r="F249" s="101" vm="6544">
        <f ca="1"/>
        <v>14.574999999999999</v>
      </c>
      <c r="G249" s="101" vm="3444">
        <f ca="1"/>
        <v>14.77</v>
      </c>
      <c r="H249" s="101" vm="11144">
        <f ca="1"/>
        <v>14.462999999999999</v>
      </c>
      <c r="I249" s="102" vm="11145">
        <f ca="1"/>
        <v>2731940</v>
      </c>
    </row>
    <row r="250" spans="4:9" x14ac:dyDescent="0.3">
      <c r="D250" s="100" vm="1416">
        <f ca="1"/>
        <v>43822</v>
      </c>
      <c r="E250" s="101" vm="11146">
        <f ca="1"/>
        <v>14.476000000000001</v>
      </c>
      <c r="F250" s="101" vm="10265">
        <f ca="1"/>
        <v>14.555</v>
      </c>
      <c r="G250" s="101" vm="10265">
        <f ca="1"/>
        <v>14.555</v>
      </c>
      <c r="H250" s="101" vm="11147">
        <f ca="1"/>
        <v>14.375</v>
      </c>
      <c r="I250" s="102" vm="11148">
        <f ca="1"/>
        <v>1436440</v>
      </c>
    </row>
    <row r="251" spans="4:9" x14ac:dyDescent="0.3">
      <c r="D251" s="100" vm="1422">
        <f ca="1"/>
        <v>43829</v>
      </c>
      <c r="E251" s="101" vm="11149">
        <f ca="1"/>
        <v>14.356999999999999</v>
      </c>
      <c r="F251" s="101" vm="11150">
        <f ca="1"/>
        <v>14.507999999999999</v>
      </c>
      <c r="G251" s="101" vm="11150">
        <f ca="1"/>
        <v>14.507999999999999</v>
      </c>
      <c r="H251" s="101" vm="10847">
        <f ca="1"/>
        <v>14.121</v>
      </c>
      <c r="I251" s="102" vm="11151">
        <f ca="1"/>
        <v>1857630</v>
      </c>
    </row>
    <row r="252" spans="4:9" x14ac:dyDescent="0.3">
      <c r="D252" s="100" vm="1428">
        <f ca="1"/>
        <v>43836</v>
      </c>
      <c r="E252" s="101" vm="11152">
        <f ca="1"/>
        <v>14.239000000000001</v>
      </c>
      <c r="F252" s="101" vm="11153">
        <f ca="1"/>
        <v>14.324999999999999</v>
      </c>
      <c r="G252" s="101" vm="6919">
        <f ca="1"/>
        <v>14.547000000000001</v>
      </c>
      <c r="H252" s="101" vm="11154">
        <f ca="1"/>
        <v>14.2075</v>
      </c>
      <c r="I252" s="102" vm="11155">
        <f ca="1"/>
        <v>2124610</v>
      </c>
    </row>
    <row r="253" spans="4:9" x14ac:dyDescent="0.3">
      <c r="D253" s="100" vm="1434">
        <f ca="1"/>
        <v>43843</v>
      </c>
      <c r="E253" s="101" vm="11156">
        <f ca="1"/>
        <v>14.673999999999999</v>
      </c>
      <c r="F253" s="101" vm="11157">
        <f ca="1"/>
        <v>14.252000000000001</v>
      </c>
      <c r="G253" s="101" vm="11158">
        <f ca="1"/>
        <v>14.795999999999999</v>
      </c>
      <c r="H253" s="101" vm="11157">
        <f ca="1"/>
        <v>14.252000000000001</v>
      </c>
      <c r="I253" s="102" vm="11159">
        <f ca="1"/>
        <v>2186040</v>
      </c>
    </row>
    <row r="254" spans="4:9" x14ac:dyDescent="0.3">
      <c r="D254" s="100" vm="1440">
        <f ca="1"/>
        <v>43851</v>
      </c>
      <c r="E254" s="101" vm="11160">
        <f ca="1"/>
        <v>14.316000000000001</v>
      </c>
      <c r="F254" s="101" vm="11161">
        <f ca="1"/>
        <v>14.629</v>
      </c>
      <c r="G254" s="101" vm="11162">
        <f ca="1"/>
        <v>14.757</v>
      </c>
      <c r="H254" s="101" vm="11163">
        <f ca="1"/>
        <v>14.278</v>
      </c>
      <c r="I254" s="102" vm="11164">
        <f ca="1"/>
        <v>1838830</v>
      </c>
    </row>
    <row r="255" spans="4:9" x14ac:dyDescent="0.3">
      <c r="D255" s="100" vm="1446">
        <f ca="1"/>
        <v>43857</v>
      </c>
      <c r="E255" s="101" vm="11165">
        <f ca="1"/>
        <v>15.202999999999999</v>
      </c>
      <c r="F255" s="101" vm="11166">
        <f ca="1"/>
        <v>14.151999999999999</v>
      </c>
      <c r="G255" s="101" vm="11167">
        <f ca="1"/>
        <v>16.5</v>
      </c>
      <c r="H255" s="101" vm="11168">
        <f ca="1"/>
        <v>14.125</v>
      </c>
      <c r="I255" s="102" vm="11169">
        <f ca="1"/>
        <v>5713460</v>
      </c>
    </row>
    <row r="256" spans="4:9" x14ac:dyDescent="0.3">
      <c r="D256" s="100" vm="1452">
        <f ca="1"/>
        <v>43864</v>
      </c>
      <c r="E256" s="101" vm="11170">
        <f ca="1"/>
        <v>15.266</v>
      </c>
      <c r="F256" s="101" vm="11171">
        <f ca="1"/>
        <v>15.244999999999999</v>
      </c>
      <c r="G256" s="101" vm="11172">
        <f ca="1"/>
        <v>15.608499999999999</v>
      </c>
      <c r="H256" s="101" vm="11173">
        <f ca="1"/>
        <v>14.901</v>
      </c>
      <c r="I256" s="102" vm="11174">
        <f ca="1"/>
        <v>4157150</v>
      </c>
    </row>
    <row r="257" spans="4:9" x14ac:dyDescent="0.3">
      <c r="D257" s="100" vm="1458">
        <f ca="1"/>
        <v>43871</v>
      </c>
      <c r="E257" s="101" vm="11175">
        <f ca="1"/>
        <v>14.884</v>
      </c>
      <c r="F257" s="101" vm="11176">
        <f ca="1"/>
        <v>15.305999999999999</v>
      </c>
      <c r="G257" s="101" vm="11177">
        <f ca="1"/>
        <v>15.356999999999999</v>
      </c>
      <c r="H257" s="101" vm="11178">
        <f ca="1"/>
        <v>14.693</v>
      </c>
      <c r="I257" s="102" vm="11179">
        <f ca="1"/>
        <v>2471770</v>
      </c>
    </row>
    <row r="258" spans="4:9" x14ac:dyDescent="0.3">
      <c r="D258" s="100" vm="1464">
        <f ca="1"/>
        <v>43879</v>
      </c>
      <c r="E258" s="101" vm="11180">
        <f ca="1"/>
        <v>14.994999999999999</v>
      </c>
      <c r="F258" s="101" vm="11181">
        <f ca="1"/>
        <v>14.863</v>
      </c>
      <c r="G258" s="101" vm="11182">
        <f ca="1"/>
        <v>15.068</v>
      </c>
      <c r="H258" s="101" vm="11183">
        <f ca="1"/>
        <v>14.753</v>
      </c>
      <c r="I258" s="102" vm="11184">
        <f ca="1"/>
        <v>2208130</v>
      </c>
    </row>
    <row r="259" spans="4:9" x14ac:dyDescent="0.3">
      <c r="D259" s="100" vm="1470">
        <f ca="1"/>
        <v>43885</v>
      </c>
      <c r="E259" s="101" vm="11185">
        <f ca="1"/>
        <v>13.516</v>
      </c>
      <c r="F259" s="101" vm="11186">
        <f ca="1"/>
        <v>14.632</v>
      </c>
      <c r="G259" s="101" vm="11187">
        <f ca="1"/>
        <v>14.786</v>
      </c>
      <c r="H259" s="101" vm="11188">
        <f ca="1"/>
        <v>13.262</v>
      </c>
      <c r="I259" s="102" vm="11189">
        <f ca="1"/>
        <v>3733570</v>
      </c>
    </row>
    <row r="260" spans="4:9" x14ac:dyDescent="0.3">
      <c r="D260" s="100" vm="1476">
        <f ca="1"/>
        <v>43892</v>
      </c>
      <c r="E260" s="101" vm="11190">
        <f ca="1"/>
        <v>13.628</v>
      </c>
      <c r="F260" s="101" vm="10602">
        <f ca="1"/>
        <v>13.573</v>
      </c>
      <c r="G260" s="101" vm="11072">
        <f ca="1"/>
        <v>13.882</v>
      </c>
      <c r="H260" s="101" vm="10669">
        <f ca="1"/>
        <v>13.21</v>
      </c>
      <c r="I260" s="102" vm="11191">
        <f ca="1"/>
        <v>3902170</v>
      </c>
    </row>
    <row r="261" spans="4:9" x14ac:dyDescent="0.3">
      <c r="D261" s="100" vm="1482">
        <f ca="1"/>
        <v>43899</v>
      </c>
      <c r="E261" s="101" vm="11192">
        <f ca="1"/>
        <v>11.132999999999999</v>
      </c>
      <c r="F261" s="101" vm="11193">
        <f ca="1"/>
        <v>13.135</v>
      </c>
      <c r="G261" s="101" vm="11194">
        <f ca="1"/>
        <v>13.281000000000001</v>
      </c>
      <c r="H261" s="101" vm="11195">
        <f ca="1"/>
        <v>10.627000000000001</v>
      </c>
      <c r="I261" s="102" vm="11196">
        <f ca="1"/>
        <v>5801610</v>
      </c>
    </row>
    <row r="262" spans="4:9" x14ac:dyDescent="0.3">
      <c r="D262" s="100" vm="1488">
        <f ca="1"/>
        <v>43906</v>
      </c>
      <c r="E262" s="101" vm="11197">
        <f ca="1"/>
        <v>10.074</v>
      </c>
      <c r="F262" s="101" vm="11198">
        <f ca="1"/>
        <v>10.288</v>
      </c>
      <c r="G262" s="101" vm="11199">
        <f ca="1"/>
        <v>11.281000000000001</v>
      </c>
      <c r="H262" s="101" vm="11200">
        <f ca="1"/>
        <v>9</v>
      </c>
      <c r="I262" s="102" vm="11201">
        <f ca="1"/>
        <v>5527440</v>
      </c>
    </row>
    <row r="263" spans="4:9" x14ac:dyDescent="0.3">
      <c r="D263" s="100" vm="1494">
        <f ca="1"/>
        <v>43913</v>
      </c>
      <c r="E263" s="101" vm="11202">
        <f ca="1"/>
        <v>10.631</v>
      </c>
      <c r="F263" s="101" vm="11203">
        <f ca="1"/>
        <v>10.231</v>
      </c>
      <c r="G263" s="101" vm="11204">
        <f ca="1"/>
        <v>11.164</v>
      </c>
      <c r="H263" s="101" vm="11205">
        <f ca="1"/>
        <v>9.6530000000000005</v>
      </c>
      <c r="I263" s="102" vm="11206">
        <f ca="1"/>
        <v>3705380</v>
      </c>
    </row>
    <row r="264" spans="4:9" x14ac:dyDescent="0.3">
      <c r="D264" s="100" vm="1500">
        <f ca="1"/>
        <v>43920</v>
      </c>
      <c r="E264" s="101" vm="11207">
        <f ca="1"/>
        <v>11.223000000000001</v>
      </c>
      <c r="F264" s="101" vm="11208">
        <f ca="1"/>
        <v>10.72</v>
      </c>
      <c r="G264" s="101" vm="11209">
        <f ca="1"/>
        <v>11.817500000000001</v>
      </c>
      <c r="H264" s="101" vm="11210">
        <f ca="1"/>
        <v>10.467000000000001</v>
      </c>
      <c r="I264" s="102" vm="11211">
        <f ca="1"/>
        <v>3526670</v>
      </c>
    </row>
    <row r="265" spans="4:9" x14ac:dyDescent="0.3">
      <c r="D265" s="100" vm="1506">
        <f ca="1"/>
        <v>43927</v>
      </c>
      <c r="E265" s="101" vm="11212">
        <f ca="1"/>
        <v>12.542</v>
      </c>
      <c r="F265" s="101" vm="11213">
        <f ca="1"/>
        <v>11.756</v>
      </c>
      <c r="G265" s="101" vm="10636">
        <f ca="1"/>
        <v>12.733000000000001</v>
      </c>
      <c r="H265" s="101" vm="11214">
        <f ca="1"/>
        <v>11.249000000000001</v>
      </c>
      <c r="I265" s="102" vm="11215">
        <f ca="1"/>
        <v>2331760</v>
      </c>
    </row>
    <row r="266" spans="4:9" x14ac:dyDescent="0.3">
      <c r="D266" s="100" vm="1512">
        <f ca="1"/>
        <v>43934</v>
      </c>
      <c r="E266" s="101" vm="11216">
        <f ca="1"/>
        <v>12.653</v>
      </c>
      <c r="F266" s="101" vm="11217">
        <f ca="1"/>
        <v>12.43</v>
      </c>
      <c r="G266" s="101" vm="11218">
        <f ca="1"/>
        <v>12.7605</v>
      </c>
      <c r="H266" s="101" vm="11219">
        <f ca="1"/>
        <v>11.957000000000001</v>
      </c>
      <c r="I266" s="102" vm="11220">
        <f ca="1"/>
        <v>3149920</v>
      </c>
    </row>
    <row r="267" spans="4:9" x14ac:dyDescent="0.3">
      <c r="D267" s="100" vm="1518">
        <f ca="1"/>
        <v>43941</v>
      </c>
      <c r="E267" s="101" vm="11221">
        <f ca="1"/>
        <v>12.555</v>
      </c>
      <c r="F267" s="101" vm="11222">
        <f ca="1"/>
        <v>12.406000000000001</v>
      </c>
      <c r="G267" s="101" vm="10918">
        <f ca="1"/>
        <v>12.757999999999999</v>
      </c>
      <c r="H267" s="101" vm="11223">
        <f ca="1"/>
        <v>12.1655</v>
      </c>
      <c r="I267" s="102" vm="11224">
        <f ca="1"/>
        <v>2609690</v>
      </c>
    </row>
    <row r="268" spans="4:9" x14ac:dyDescent="0.3">
      <c r="D268" s="100" vm="1524">
        <f ca="1"/>
        <v>43948</v>
      </c>
      <c r="E268" s="101" vm="11225">
        <f ca="1"/>
        <v>12.259</v>
      </c>
      <c r="F268" s="101" vm="11226">
        <f ca="1"/>
        <v>12.727</v>
      </c>
      <c r="G268" s="101" vm="10695">
        <f ca="1"/>
        <v>13.13</v>
      </c>
      <c r="H268" s="101" vm="11227">
        <f ca="1"/>
        <v>12.096500000000001</v>
      </c>
      <c r="I268" s="102" vm="11228">
        <f ca="1"/>
        <v>4689290</v>
      </c>
    </row>
    <row r="269" spans="4:9" x14ac:dyDescent="0.3">
      <c r="D269" s="100" vm="1530">
        <f ca="1"/>
        <v>43955</v>
      </c>
      <c r="E269" s="101" vm="11229">
        <f ca="1"/>
        <v>12.467000000000001</v>
      </c>
      <c r="F269" s="101" vm="11230">
        <f ca="1"/>
        <v>12.218999999999999</v>
      </c>
      <c r="G269" s="101" vm="11231">
        <f ca="1"/>
        <v>12.574999999999999</v>
      </c>
      <c r="H269" s="101" vm="11232">
        <f ca="1"/>
        <v>11.714</v>
      </c>
      <c r="I269" s="102" vm="11233">
        <f ca="1"/>
        <v>3916470</v>
      </c>
    </row>
    <row r="270" spans="4:9" x14ac:dyDescent="0.3">
      <c r="D270" s="100" vm="1536">
        <f ca="1"/>
        <v>43962</v>
      </c>
      <c r="E270" s="101" vm="11234">
        <f ca="1"/>
        <v>11.558</v>
      </c>
      <c r="F270" s="101" vm="11235">
        <f ca="1"/>
        <v>12.49</v>
      </c>
      <c r="G270" s="101" vm="11236">
        <f ca="1"/>
        <v>12.557499999999999</v>
      </c>
      <c r="H270" s="101" vm="11237">
        <f ca="1"/>
        <v>10.964</v>
      </c>
      <c r="I270" s="102" vm="11238">
        <f ca="1"/>
        <v>5142640</v>
      </c>
    </row>
    <row r="271" spans="4:9" x14ac:dyDescent="0.3">
      <c r="D271" s="100" vm="1542">
        <f ca="1"/>
        <v>43969</v>
      </c>
      <c r="E271" s="101" vm="11239">
        <f ca="1"/>
        <v>12.237</v>
      </c>
      <c r="F271" s="101" vm="11240">
        <f ca="1"/>
        <v>11.881</v>
      </c>
      <c r="G271" s="101" vm="11241">
        <f ca="1"/>
        <v>12.2675</v>
      </c>
      <c r="H271" s="101" vm="11242">
        <f ca="1"/>
        <v>11.824</v>
      </c>
      <c r="I271" s="102" vm="11243">
        <f ca="1"/>
        <v>4108440</v>
      </c>
    </row>
    <row r="272" spans="4:9" x14ac:dyDescent="0.3">
      <c r="D272" s="100" vm="1548">
        <f ca="1"/>
        <v>43977</v>
      </c>
      <c r="E272" s="101" vm="11244">
        <f ca="1"/>
        <v>12.448</v>
      </c>
      <c r="F272" s="101" vm="10817">
        <f ca="1"/>
        <v>12.4</v>
      </c>
      <c r="G272" s="101" vm="11245">
        <f ca="1"/>
        <v>12.734999999999999</v>
      </c>
      <c r="H272" s="101" vm="11246">
        <f ca="1"/>
        <v>12.2845</v>
      </c>
      <c r="I272" s="102" vm="11247">
        <f ca="1"/>
        <v>3146330</v>
      </c>
    </row>
    <row r="273" spans="4:9" x14ac:dyDescent="0.3">
      <c r="D273" s="100" vm="1554">
        <f ca="1"/>
        <v>43983</v>
      </c>
      <c r="E273" s="101" vm="11248">
        <f ca="1"/>
        <v>12.521000000000001</v>
      </c>
      <c r="F273" s="101" vm="11249">
        <f ca="1"/>
        <v>12.499000000000001</v>
      </c>
      <c r="G273" s="101" vm="11250">
        <f ca="1"/>
        <v>13.048</v>
      </c>
      <c r="H273" s="101" vm="11251">
        <f ca="1"/>
        <v>12.0305</v>
      </c>
      <c r="I273" s="102" vm="11252">
        <f ca="1"/>
        <v>3712780</v>
      </c>
    </row>
    <row r="274" spans="4:9" x14ac:dyDescent="0.3">
      <c r="D274" s="100" vm="1560">
        <f ca="1"/>
        <v>43990</v>
      </c>
      <c r="E274" s="101" vm="11253">
        <f ca="1"/>
        <v>11.802</v>
      </c>
      <c r="F274" s="101" vm="11254">
        <f ca="1"/>
        <v>12.552</v>
      </c>
      <c r="G274" s="101" vm="11255">
        <f ca="1"/>
        <v>12.782500000000001</v>
      </c>
      <c r="H274" s="101" vm="11256">
        <f ca="1"/>
        <v>11.576000000000001</v>
      </c>
      <c r="I274" s="102" vm="11257">
        <f ca="1"/>
        <v>2959240</v>
      </c>
    </row>
    <row r="275" spans="4:9" x14ac:dyDescent="0.3">
      <c r="D275" s="100" vm="1566">
        <f ca="1"/>
        <v>43997</v>
      </c>
      <c r="E275" s="101" vm="11258">
        <f ca="1"/>
        <v>11.819000000000001</v>
      </c>
      <c r="F275" s="101" vm="11259">
        <f ca="1"/>
        <v>11.577999999999999</v>
      </c>
      <c r="G275" s="101" vm="11260">
        <f ca="1"/>
        <v>12.613</v>
      </c>
      <c r="H275" s="101" vm="11261">
        <f ca="1"/>
        <v>11.507999999999999</v>
      </c>
      <c r="I275" s="102" vm="11262">
        <f ca="1"/>
        <v>7775000</v>
      </c>
    </row>
    <row r="276" spans="4:9" x14ac:dyDescent="0.3">
      <c r="D276" s="100" vm="1572">
        <f ca="1"/>
        <v>44004</v>
      </c>
      <c r="E276" s="101" vm="3218">
        <f ca="1"/>
        <v>11.6</v>
      </c>
      <c r="F276" s="101" vm="11263">
        <f ca="1"/>
        <v>11.901</v>
      </c>
      <c r="G276" s="101" vm="11264">
        <f ca="1"/>
        <v>11.999000000000001</v>
      </c>
      <c r="H276" s="101" vm="11265">
        <f ca="1"/>
        <v>11.355</v>
      </c>
      <c r="I276" s="102" vm="11266">
        <f ca="1"/>
        <v>3594720</v>
      </c>
    </row>
    <row r="277" spans="4:9" x14ac:dyDescent="0.3">
      <c r="D277" s="100" vm="1578">
        <f ca="1"/>
        <v>44011</v>
      </c>
      <c r="E277" s="101" vm="11267">
        <f ca="1"/>
        <v>11.734999999999999</v>
      </c>
      <c r="F277" s="101" vm="11268">
        <f ca="1"/>
        <v>11.718999999999999</v>
      </c>
      <c r="G277" s="101" vm="11269">
        <f ca="1"/>
        <v>11.997</v>
      </c>
      <c r="H277" s="101" vm="3222">
        <f ca="1"/>
        <v>11.7</v>
      </c>
      <c r="I277" s="102" vm="11270">
        <f ca="1"/>
        <v>1834300</v>
      </c>
    </row>
    <row r="278" spans="4:9" x14ac:dyDescent="0.3">
      <c r="D278" s="100" vm="1584">
        <f ca="1"/>
        <v>44018</v>
      </c>
      <c r="E278" s="101" vm="11271">
        <f ca="1"/>
        <v>11.766</v>
      </c>
      <c r="F278" s="101" vm="11272">
        <f ca="1"/>
        <v>11.882999999999999</v>
      </c>
      <c r="G278" s="101" vm="11273">
        <f ca="1"/>
        <v>12.102</v>
      </c>
      <c r="H278" s="101" vm="11274">
        <f ca="1"/>
        <v>11.609</v>
      </c>
      <c r="I278" s="102" vm="11275">
        <f ca="1"/>
        <v>3096310</v>
      </c>
    </row>
    <row r="279" spans="4:9" x14ac:dyDescent="0.3">
      <c r="D279" s="100" vm="1590">
        <f ca="1"/>
        <v>44025</v>
      </c>
      <c r="E279" s="101" vm="11276">
        <f ca="1"/>
        <v>11.834</v>
      </c>
      <c r="F279" s="101" vm="11277">
        <f ca="1"/>
        <v>11.811</v>
      </c>
      <c r="G279" s="101" vm="11278">
        <f ca="1"/>
        <v>12.1435</v>
      </c>
      <c r="H279" s="101" vm="11279">
        <f ca="1"/>
        <v>11.420999999999999</v>
      </c>
      <c r="I279" s="102" vm="11280">
        <f ca="1"/>
        <v>3577240</v>
      </c>
    </row>
    <row r="280" spans="4:9" x14ac:dyDescent="0.3">
      <c r="D280" s="100" vm="1596">
        <f ca="1"/>
        <v>44032</v>
      </c>
      <c r="E280" s="101" vm="11281">
        <f ca="1"/>
        <v>11.695</v>
      </c>
      <c r="F280" s="101" vm="11282">
        <f ca="1"/>
        <v>11.81</v>
      </c>
      <c r="G280" s="101" vm="11283">
        <f ca="1"/>
        <v>12.2585</v>
      </c>
      <c r="H280" s="101" vm="11284">
        <f ca="1"/>
        <v>11.632</v>
      </c>
      <c r="I280" s="102" vm="11285">
        <f ca="1"/>
        <v>2504570</v>
      </c>
    </row>
    <row r="281" spans="4:9" x14ac:dyDescent="0.3">
      <c r="D281" s="100" vm="1602">
        <f ca="1"/>
        <v>44039</v>
      </c>
      <c r="E281" s="101" vm="11286">
        <f ca="1"/>
        <v>12.391999999999999</v>
      </c>
      <c r="F281" s="101" vm="11287">
        <f ca="1"/>
        <v>11.755000000000001</v>
      </c>
      <c r="G281" s="101" vm="11288">
        <f ca="1"/>
        <v>12.726000000000001</v>
      </c>
      <c r="H281" s="101" vm="11289">
        <f ca="1"/>
        <v>11.587</v>
      </c>
      <c r="I281" s="102" vm="11290">
        <f ca="1"/>
        <v>4168140</v>
      </c>
    </row>
    <row r="282" spans="4:9" x14ac:dyDescent="0.3">
      <c r="D282" s="100" vm="1608">
        <f ca="1"/>
        <v>44046</v>
      </c>
      <c r="E282" s="101" vm="11291">
        <f ca="1"/>
        <v>12.339</v>
      </c>
      <c r="F282" s="101" vm="11292">
        <f ca="1"/>
        <v>12.436999999999999</v>
      </c>
      <c r="G282" s="101" vm="11293">
        <f ca="1"/>
        <v>12.516999999999999</v>
      </c>
      <c r="H282" s="101" vm="11294">
        <f ca="1"/>
        <v>12.1835</v>
      </c>
      <c r="I282" s="102" vm="11295">
        <f ca="1"/>
        <v>2269160</v>
      </c>
    </row>
    <row r="283" spans="4:9" x14ac:dyDescent="0.3">
      <c r="D283" s="100" vm="1614">
        <f ca="1"/>
        <v>44053</v>
      </c>
      <c r="E283" s="101" vm="11296">
        <f ca="1"/>
        <v>14.663</v>
      </c>
      <c r="F283" s="101" vm="11297">
        <f ca="1"/>
        <v>12.337999999999999</v>
      </c>
      <c r="G283" s="101" vm="11298">
        <f ca="1"/>
        <v>14.675000000000001</v>
      </c>
      <c r="H283" s="101" vm="11299">
        <f ca="1"/>
        <v>12.238</v>
      </c>
      <c r="I283" s="102" vm="11300">
        <f ca="1"/>
        <v>9227270</v>
      </c>
    </row>
    <row r="284" spans="4:9" x14ac:dyDescent="0.3">
      <c r="D284" s="100" vm="1620">
        <f ca="1"/>
        <v>44060</v>
      </c>
      <c r="E284" s="101" vm="11150">
        <f ca="1"/>
        <v>14.507999999999999</v>
      </c>
      <c r="F284" s="101" vm="11301">
        <f ca="1"/>
        <v>14.801</v>
      </c>
      <c r="G284" s="101" vm="3462">
        <f ca="1"/>
        <v>15.17</v>
      </c>
      <c r="H284" s="101" vm="11302">
        <f ca="1"/>
        <v>13.971500000000001</v>
      </c>
      <c r="I284" s="102" vm="11303">
        <f ca="1"/>
        <v>6814750</v>
      </c>
    </row>
    <row r="285" spans="4:9" x14ac:dyDescent="0.3">
      <c r="D285" s="100" vm="1626">
        <f ca="1"/>
        <v>44067</v>
      </c>
      <c r="E285" s="101" vm="11304">
        <f ca="1"/>
        <v>14.689</v>
      </c>
      <c r="F285" s="101" vm="11305">
        <f ca="1"/>
        <v>14.65</v>
      </c>
      <c r="G285" s="101" vm="11306">
        <f ca="1"/>
        <v>15.045999999999999</v>
      </c>
      <c r="H285" s="101" vm="11307">
        <f ca="1"/>
        <v>14.414</v>
      </c>
      <c r="I285" s="102" vm="11308">
        <f ca="1"/>
        <v>4463990</v>
      </c>
    </row>
    <row r="286" spans="4:9" x14ac:dyDescent="0.3">
      <c r="D286" s="100" vm="1632">
        <f ca="1"/>
        <v>44074</v>
      </c>
      <c r="E286" s="101" vm="11309">
        <f ca="1"/>
        <v>14.218999999999999</v>
      </c>
      <c r="F286" s="101" vm="11310">
        <f ca="1"/>
        <v>14.726000000000001</v>
      </c>
      <c r="G286" s="101" vm="11311">
        <f ca="1"/>
        <v>15.122999999999999</v>
      </c>
      <c r="H286" s="101" vm="11312">
        <f ca="1"/>
        <v>13.689</v>
      </c>
      <c r="I286" s="102" vm="11313">
        <f ca="1"/>
        <v>4679200</v>
      </c>
    </row>
    <row r="287" spans="4:9" x14ac:dyDescent="0.3">
      <c r="D287" s="100" vm="1638">
        <f ca="1"/>
        <v>44082</v>
      </c>
      <c r="E287" s="101" vm="11314">
        <f ca="1"/>
        <v>14.113</v>
      </c>
      <c r="F287" s="101" vm="11315">
        <f ca="1"/>
        <v>14.061</v>
      </c>
      <c r="G287" s="101" vm="11105">
        <f ca="1"/>
        <v>14.315</v>
      </c>
      <c r="H287" s="101" vm="11072">
        <f ca="1"/>
        <v>13.882</v>
      </c>
      <c r="I287" s="102" vm="11316">
        <f ca="1"/>
        <v>4261840</v>
      </c>
    </row>
    <row r="288" spans="4:9" x14ac:dyDescent="0.3">
      <c r="D288" s="100" vm="1644">
        <f ca="1"/>
        <v>44088</v>
      </c>
      <c r="E288" s="101" vm="11317">
        <f ca="1"/>
        <v>15.959</v>
      </c>
      <c r="F288" s="101" vm="11318">
        <f ca="1"/>
        <v>14.163</v>
      </c>
      <c r="G288" s="101" vm="11319">
        <f ca="1"/>
        <v>17.655999999999999</v>
      </c>
      <c r="H288" s="101" vm="11320">
        <f ca="1"/>
        <v>14.021000000000001</v>
      </c>
      <c r="I288" s="102" vm="11321">
        <f ca="1"/>
        <v>13176970</v>
      </c>
    </row>
    <row r="289" spans="4:9" x14ac:dyDescent="0.3">
      <c r="D289" s="100" vm="1650">
        <f ca="1"/>
        <v>44095</v>
      </c>
      <c r="E289" s="101" vm="11322">
        <f ca="1"/>
        <v>14.613</v>
      </c>
      <c r="F289" s="101" vm="3463">
        <f ca="1"/>
        <v>15.77</v>
      </c>
      <c r="G289" s="101" vm="3463">
        <f ca="1"/>
        <v>15.77</v>
      </c>
      <c r="H289" s="101" vm="11323">
        <f ca="1"/>
        <v>14.46</v>
      </c>
      <c r="I289" s="102" vm="11324">
        <f ca="1"/>
        <v>6521640</v>
      </c>
    </row>
    <row r="290" spans="4:9" x14ac:dyDescent="0.3">
      <c r="D290" s="100" vm="1656">
        <f ca="1"/>
        <v>44102</v>
      </c>
      <c r="E290" s="101" vm="11325">
        <f ca="1"/>
        <v>14.646000000000001</v>
      </c>
      <c r="F290" s="101" vm="11326">
        <f ca="1"/>
        <v>14.845000000000001</v>
      </c>
      <c r="G290" s="101" vm="11327">
        <f ca="1"/>
        <v>15.340999999999999</v>
      </c>
      <c r="H290" s="101" vm="11328">
        <f ca="1"/>
        <v>14.516</v>
      </c>
      <c r="I290" s="102" vm="11329">
        <f ca="1"/>
        <v>4688500</v>
      </c>
    </row>
    <row r="291" spans="4:9" x14ac:dyDescent="0.3">
      <c r="D291" s="100" vm="1662">
        <f ca="1"/>
        <v>44109</v>
      </c>
      <c r="E291" s="101" vm="11330">
        <f ca="1"/>
        <v>16.472999999999999</v>
      </c>
      <c r="F291" s="101" vm="11331">
        <f ca="1"/>
        <v>14.773</v>
      </c>
      <c r="G291" s="101" vm="11332">
        <f ca="1"/>
        <v>16.553000000000001</v>
      </c>
      <c r="H291" s="101" vm="11333">
        <f ca="1"/>
        <v>14.69</v>
      </c>
      <c r="I291" s="102" vm="11334">
        <f ca="1"/>
        <v>4623480</v>
      </c>
    </row>
    <row r="292" spans="4:9" x14ac:dyDescent="0.3">
      <c r="D292" s="100" vm="1668">
        <f ca="1"/>
        <v>44116</v>
      </c>
      <c r="E292" s="101" vm="11335">
        <f ca="1"/>
        <v>16.47</v>
      </c>
      <c r="F292" s="101" vm="11336">
        <f ca="1"/>
        <v>16.716000000000001</v>
      </c>
      <c r="G292" s="101" vm="11337">
        <f ca="1"/>
        <v>16.940000000000001</v>
      </c>
      <c r="H292" s="101" vm="11338">
        <f ca="1"/>
        <v>16.233000000000001</v>
      </c>
      <c r="I292" s="102" vm="11339">
        <f ca="1"/>
        <v>2922060</v>
      </c>
    </row>
    <row r="293" spans="4:9" x14ac:dyDescent="0.3">
      <c r="D293" s="100" vm="1674">
        <f ca="1"/>
        <v>44123</v>
      </c>
      <c r="E293" s="101" vm="3536">
        <f ca="1"/>
        <v>18.43</v>
      </c>
      <c r="F293" s="101" vm="11340">
        <f ca="1"/>
        <v>16.559999999999999</v>
      </c>
      <c r="G293" s="101" vm="11341">
        <f ca="1"/>
        <v>18.620999999999999</v>
      </c>
      <c r="H293" s="101" vm="11342">
        <f ca="1"/>
        <v>16.343</v>
      </c>
      <c r="I293" s="102" vm="11343">
        <f ca="1"/>
        <v>9708110</v>
      </c>
    </row>
    <row r="294" spans="4:9" x14ac:dyDescent="0.3">
      <c r="D294" s="100" vm="1680">
        <f ca="1"/>
        <v>44130</v>
      </c>
      <c r="E294" s="101" vm="11344">
        <f ca="1"/>
        <v>16.707000000000001</v>
      </c>
      <c r="F294" s="101" vm="11345">
        <f ca="1"/>
        <v>18.448</v>
      </c>
      <c r="G294" s="101" vm="11346">
        <f ca="1"/>
        <v>18.7</v>
      </c>
      <c r="H294" s="101" vm="11347">
        <f ca="1"/>
        <v>15.954000000000001</v>
      </c>
      <c r="I294" s="102" vm="11348">
        <f ca="1"/>
        <v>11465700</v>
      </c>
    </row>
    <row r="295" spans="4:9" x14ac:dyDescent="0.3">
      <c r="D295" s="100" vm="1686">
        <f ca="1"/>
        <v>44137</v>
      </c>
      <c r="E295" s="101" vm="11349">
        <f ca="1"/>
        <v>18.562000000000001</v>
      </c>
      <c r="F295" s="101" vm="11350">
        <f ca="1"/>
        <v>16.890999999999998</v>
      </c>
      <c r="G295" s="101" vm="11351">
        <f ca="1"/>
        <v>18.617999999999999</v>
      </c>
      <c r="H295" s="101" vm="3429">
        <f ca="1"/>
        <v>16.25</v>
      </c>
      <c r="I295" s="102" vm="11352">
        <f ca="1"/>
        <v>6586190</v>
      </c>
    </row>
    <row r="296" spans="4:9" x14ac:dyDescent="0.3">
      <c r="D296" s="100" vm="1692">
        <f ca="1"/>
        <v>44144</v>
      </c>
      <c r="E296" s="101" vm="11353">
        <f ca="1"/>
        <v>19.227</v>
      </c>
      <c r="F296" s="101" vm="11354">
        <f ca="1"/>
        <v>18.399000000000001</v>
      </c>
      <c r="G296" s="101" vm="11355">
        <f ca="1"/>
        <v>19.608000000000001</v>
      </c>
      <c r="H296" s="101" vm="11356">
        <f ca="1"/>
        <v>18.173999999999999</v>
      </c>
      <c r="I296" s="102" vm="11357">
        <f ca="1"/>
        <v>9547290</v>
      </c>
    </row>
    <row r="297" spans="4:9" x14ac:dyDescent="0.3">
      <c r="D297" s="100" vm="1697">
        <f ca="1"/>
        <v>44151</v>
      </c>
      <c r="E297" s="101" vm="11358">
        <f ca="1"/>
        <v>22.210999999999999</v>
      </c>
      <c r="F297" s="101" vm="10506">
        <f ca="1"/>
        <v>19.433</v>
      </c>
      <c r="G297" s="101" vm="3750">
        <f ca="1"/>
        <v>22.7</v>
      </c>
      <c r="H297" s="101" vm="11359">
        <f ca="1"/>
        <v>19.220800000000001</v>
      </c>
      <c r="I297" s="102" vm="11360">
        <f ca="1"/>
        <v>11232410</v>
      </c>
    </row>
    <row r="298" spans="4:9" x14ac:dyDescent="0.3">
      <c r="D298" s="100" vm="1703">
        <f ca="1"/>
        <v>44158</v>
      </c>
      <c r="E298" s="101" vm="11361">
        <f ca="1"/>
        <v>27.126000000000001</v>
      </c>
      <c r="F298" s="101" vm="3750">
        <f ca="1"/>
        <v>22.7</v>
      </c>
      <c r="G298" s="101" vm="4375">
        <f ca="1"/>
        <v>28</v>
      </c>
      <c r="H298" s="101" vm="11362">
        <f ca="1"/>
        <v>21.437000000000001</v>
      </c>
      <c r="I298" s="102" vm="11363">
        <f ca="1"/>
        <v>27685270</v>
      </c>
    </row>
    <row r="299" spans="4:9" x14ac:dyDescent="0.3">
      <c r="D299" s="100" vm="1709">
        <f ca="1"/>
        <v>44165</v>
      </c>
      <c r="E299" s="101" vm="40">
        <f ca="1"/>
        <v>32.799999999999997</v>
      </c>
      <c r="F299" s="101" vm="11364">
        <f ca="1"/>
        <v>30.03</v>
      </c>
      <c r="G299" s="101" vm="11365">
        <f ca="1"/>
        <v>35.893999999999998</v>
      </c>
      <c r="H299" s="101" vm="4342">
        <f ca="1"/>
        <v>29.9</v>
      </c>
      <c r="I299" s="102" vm="11366">
        <f ca="1"/>
        <v>32853360</v>
      </c>
    </row>
    <row r="300" spans="4:9" x14ac:dyDescent="0.3">
      <c r="D300" s="100" vm="1713">
        <f ca="1"/>
        <v>44172</v>
      </c>
      <c r="E300" s="101" vm="11367">
        <f ca="1"/>
        <v>28.591999999999999</v>
      </c>
      <c r="F300" s="101" vm="11368">
        <f ca="1"/>
        <v>33.006999999999998</v>
      </c>
      <c r="G300" s="101" vm="11369">
        <f ca="1"/>
        <v>34.972000000000001</v>
      </c>
      <c r="H300" s="101" vm="11370">
        <f ca="1"/>
        <v>27.408999999999999</v>
      </c>
      <c r="I300" s="102" vm="11371">
        <f ca="1"/>
        <v>40368720</v>
      </c>
    </row>
    <row r="301" spans="4:9" x14ac:dyDescent="0.3">
      <c r="D301" s="100" vm="1719">
        <f ca="1"/>
        <v>44179</v>
      </c>
      <c r="E301" s="101" vm="4326">
        <f ca="1"/>
        <v>30.12</v>
      </c>
      <c r="F301" s="101" vm="11372">
        <f ca="1"/>
        <v>29.893000000000001</v>
      </c>
      <c r="G301" s="101" vm="11373">
        <f ca="1"/>
        <v>32.232500000000002</v>
      </c>
      <c r="H301" s="101" vm="11374">
        <f ca="1"/>
        <v>27.638000000000002</v>
      </c>
      <c r="I301" s="102" vm="11375">
        <f ca="1"/>
        <v>50397820</v>
      </c>
    </row>
    <row r="302" spans="4:9" x14ac:dyDescent="0.3">
      <c r="D302" s="100" vm="1725">
        <f ca="1"/>
        <v>44186</v>
      </c>
      <c r="E302" s="101" vm="11376">
        <f ca="1"/>
        <v>32.261000000000003</v>
      </c>
      <c r="F302" s="101" vm="11377">
        <f ca="1"/>
        <v>29.763000000000002</v>
      </c>
      <c r="G302" s="101" vm="11378">
        <f ca="1"/>
        <v>34.32</v>
      </c>
      <c r="H302" s="101" vm="11379">
        <f ca="1"/>
        <v>29.501999999999999</v>
      </c>
      <c r="I302" s="102" vm="11380">
        <f ca="1"/>
        <v>21813870</v>
      </c>
    </row>
    <row r="303" spans="4:9" x14ac:dyDescent="0.3">
      <c r="D303" s="100" vm="1731">
        <f ca="1"/>
        <v>44193</v>
      </c>
      <c r="E303" s="101" vm="11381">
        <f ca="1"/>
        <v>38.854999999999997</v>
      </c>
      <c r="F303" s="101" vm="11382">
        <f ca="1"/>
        <v>36.728999999999999</v>
      </c>
      <c r="G303" s="101" vm="11383">
        <f ca="1"/>
        <v>39.997999999999998</v>
      </c>
      <c r="H303" s="101" vm="4550">
        <f ca="1"/>
        <v>34.4</v>
      </c>
      <c r="I303" s="102" vm="11384">
        <f ca="1"/>
        <v>34879120</v>
      </c>
    </row>
    <row r="304" spans="4:9" x14ac:dyDescent="0.3">
      <c r="D304" s="100" vm="1737">
        <f ca="1"/>
        <v>44200</v>
      </c>
      <c r="E304" s="101" vm="11385">
        <f ca="1"/>
        <v>53.164000000000001</v>
      </c>
      <c r="F304" s="101" vm="11386">
        <f ca="1"/>
        <v>41.633000000000003</v>
      </c>
      <c r="G304" s="101" vm="11387">
        <f ca="1"/>
        <v>56.866</v>
      </c>
      <c r="H304" s="101" vm="11388">
        <f ca="1"/>
        <v>40.651000000000003</v>
      </c>
      <c r="I304" s="102" vm="11389">
        <f ca="1"/>
        <v>79903700</v>
      </c>
    </row>
    <row r="305" spans="4:9" x14ac:dyDescent="0.3">
      <c r="D305" s="100" vm="1743">
        <f ca="1"/>
        <v>44207</v>
      </c>
      <c r="E305" s="101" vm="11390">
        <f ca="1"/>
        <v>57.807000000000002</v>
      </c>
      <c r="F305" s="101" vm="11391">
        <f ca="1"/>
        <v>47.213999999999999</v>
      </c>
      <c r="G305" s="101" vm="11392">
        <f ca="1"/>
        <v>63.16</v>
      </c>
      <c r="H305" s="101" vm="11393">
        <f ca="1"/>
        <v>46.451000000000001</v>
      </c>
      <c r="I305" s="102" vm="11394">
        <f ca="1"/>
        <v>62955430</v>
      </c>
    </row>
    <row r="306" spans="4:9" x14ac:dyDescent="0.3">
      <c r="D306" s="100" vm="1749">
        <f ca="1"/>
        <v>44215</v>
      </c>
      <c r="E306" s="101" vm="11395">
        <f ca="1"/>
        <v>57.703000000000003</v>
      </c>
      <c r="F306" s="101" vm="11396">
        <f ca="1"/>
        <v>61.652999999999999</v>
      </c>
      <c r="G306" s="101" vm="11397">
        <f ca="1"/>
        <v>62.145000000000003</v>
      </c>
      <c r="H306" s="101" vm="11398">
        <f ca="1"/>
        <v>50.46</v>
      </c>
      <c r="I306" s="102" vm="11399">
        <f ca="1"/>
        <v>45811770</v>
      </c>
    </row>
    <row r="307" spans="4:9" x14ac:dyDescent="0.3">
      <c r="D307" s="100" vm="1755">
        <f ca="1"/>
        <v>44221</v>
      </c>
      <c r="E307" s="101" vm="11400">
        <f ca="1"/>
        <v>61.731000000000002</v>
      </c>
      <c r="F307" s="101" vm="11401">
        <f ca="1"/>
        <v>59.03</v>
      </c>
      <c r="G307" s="101" vm="11402">
        <f ca="1"/>
        <v>69.647599999999997</v>
      </c>
      <c r="H307" s="101" vm="11403">
        <f ca="1"/>
        <v>50.57</v>
      </c>
      <c r="I307" s="102" vm="11404">
        <f ca="1"/>
        <v>40171110</v>
      </c>
    </row>
    <row r="308" spans="4:9" x14ac:dyDescent="0.3">
      <c r="D308" s="100" vm="1761">
        <f ca="1"/>
        <v>44228</v>
      </c>
      <c r="E308" s="101" vm="11405">
        <f ca="1"/>
        <v>80.599999999999994</v>
      </c>
      <c r="F308" s="101" vm="11406">
        <f ca="1"/>
        <v>62.033999999999999</v>
      </c>
      <c r="G308" s="101" vm="11407">
        <f ca="1"/>
        <v>80.600999999999999</v>
      </c>
      <c r="H308" s="101" vm="11408">
        <f ca="1"/>
        <v>58.604999999999997</v>
      </c>
      <c r="I308" s="102" vm="11409">
        <f ca="1"/>
        <v>34141420</v>
      </c>
    </row>
    <row r="309" spans="4:9" x14ac:dyDescent="0.3">
      <c r="D309" s="100" vm="1767">
        <f ca="1"/>
        <v>44235</v>
      </c>
      <c r="E309" s="101" vm="11410">
        <f ca="1"/>
        <v>103.431</v>
      </c>
      <c r="F309" s="101" vm="11411">
        <f ca="1"/>
        <v>92.582999999999998</v>
      </c>
      <c r="G309" s="101" vm="11412">
        <f ca="1"/>
        <v>131.5</v>
      </c>
      <c r="H309" s="101" vm="11413">
        <f ca="1"/>
        <v>89.001000000000005</v>
      </c>
      <c r="I309" s="102" vm="11414">
        <f ca="1"/>
        <v>90973210</v>
      </c>
    </row>
    <row r="310" spans="4:9" x14ac:dyDescent="0.3">
      <c r="D310" s="100" vm="1773">
        <f ca="1"/>
        <v>44243</v>
      </c>
      <c r="E310" s="101" vm="11415">
        <f ca="1"/>
        <v>96.372</v>
      </c>
      <c r="F310" s="101" vm="11416">
        <f ca="1"/>
        <v>107.084</v>
      </c>
      <c r="G310" s="101" vm="11417">
        <f ca="1"/>
        <v>108.2568</v>
      </c>
      <c r="H310" s="101" vm="11418">
        <f ca="1"/>
        <v>87.8</v>
      </c>
      <c r="I310" s="102" vm="11419">
        <f ca="1"/>
        <v>52683660</v>
      </c>
    </row>
    <row r="311" spans="4:9" x14ac:dyDescent="0.3">
      <c r="D311" s="100" vm="1779">
        <f ca="1"/>
        <v>44249</v>
      </c>
      <c r="E311" s="101" vm="11420">
        <f ca="1"/>
        <v>75.040999999999997</v>
      </c>
      <c r="F311" s="101" vm="11421">
        <f ca="1"/>
        <v>87.1</v>
      </c>
      <c r="G311" s="101" vm="11422">
        <f ca="1"/>
        <v>93.227999999999994</v>
      </c>
      <c r="H311" s="101" vm="11423">
        <f ca="1"/>
        <v>66</v>
      </c>
      <c r="I311" s="102" vm="11424">
        <f ca="1"/>
        <v>58043200</v>
      </c>
    </row>
    <row r="312" spans="4:9" x14ac:dyDescent="0.3">
      <c r="D312" s="100" vm="1785">
        <f ca="1"/>
        <v>44256</v>
      </c>
      <c r="E312" s="101" vm="11425">
        <f ca="1"/>
        <v>62.024000000000001</v>
      </c>
      <c r="F312" s="101" vm="11426">
        <f ca="1"/>
        <v>79.84</v>
      </c>
      <c r="G312" s="101" vm="11427">
        <f ca="1"/>
        <v>81.748599999999996</v>
      </c>
      <c r="H312" s="101" vm="11428">
        <f ca="1"/>
        <v>53.722000000000001</v>
      </c>
      <c r="I312" s="102" vm="11429">
        <f ca="1"/>
        <v>47594490</v>
      </c>
    </row>
    <row r="313" spans="4:9" x14ac:dyDescent="0.3">
      <c r="D313" s="100" vm="1791">
        <f ca="1"/>
        <v>44263</v>
      </c>
      <c r="E313" s="101" vm="11430">
        <f ca="1"/>
        <v>78.400000000000006</v>
      </c>
      <c r="F313" s="101" vm="11431">
        <f ca="1"/>
        <v>64.501000000000005</v>
      </c>
      <c r="G313" s="101" vm="11432">
        <f ca="1"/>
        <v>81</v>
      </c>
      <c r="H313" s="101" vm="11433">
        <f ca="1"/>
        <v>61.7</v>
      </c>
      <c r="I313" s="102" vm="11434">
        <f ca="1"/>
        <v>31847800</v>
      </c>
    </row>
    <row r="314" spans="4:9" x14ac:dyDescent="0.3">
      <c r="D314" s="100" vm="1797">
        <f ca="1"/>
        <v>44270</v>
      </c>
      <c r="E314" s="101" vm="11435">
        <f ca="1"/>
        <v>77.703999999999994</v>
      </c>
      <c r="F314" s="101" vm="11436">
        <f ca="1"/>
        <v>78.832999999999998</v>
      </c>
      <c r="G314" s="101" vm="11437">
        <f ca="1"/>
        <v>80.900000000000006</v>
      </c>
      <c r="H314" s="101" vm="11438">
        <f ca="1"/>
        <v>69.826999999999998</v>
      </c>
      <c r="I314" s="102" vm="11439">
        <f ca="1"/>
        <v>29774160</v>
      </c>
    </row>
    <row r="315" spans="4:9" x14ac:dyDescent="0.3">
      <c r="D315" s="100" vm="1803">
        <f ca="1"/>
        <v>44277</v>
      </c>
      <c r="E315" s="101" vm="11440">
        <f ca="1"/>
        <v>62.4</v>
      </c>
      <c r="F315" s="101" vm="11441">
        <f ca="1"/>
        <v>76.72</v>
      </c>
      <c r="G315" s="101" vm="11442">
        <f ca="1"/>
        <v>77.5</v>
      </c>
      <c r="H315" s="101" vm="11443">
        <f ca="1"/>
        <v>56.6</v>
      </c>
      <c r="I315" s="102" vm="11444">
        <f ca="1"/>
        <v>33282150</v>
      </c>
    </row>
    <row r="316" spans="4:9" x14ac:dyDescent="0.3">
      <c r="D316" s="100" vm="1808">
        <f ca="1"/>
        <v>44284</v>
      </c>
      <c r="E316" s="101" vm="11445">
        <f ca="1"/>
        <v>70.355999999999995</v>
      </c>
      <c r="F316" s="101" vm="11446">
        <f ca="1"/>
        <v>65.885999999999996</v>
      </c>
      <c r="G316" s="101" vm="11447">
        <f ca="1"/>
        <v>72.582999999999998</v>
      </c>
      <c r="H316" s="101" vm="11448">
        <f ca="1"/>
        <v>62.030999999999999</v>
      </c>
      <c r="I316" s="102" vm="11449">
        <f ca="1"/>
        <v>19695310</v>
      </c>
    </row>
    <row r="317" spans="4:9" x14ac:dyDescent="0.3">
      <c r="D317" s="100" vm="1814">
        <f ca="1"/>
        <v>44291</v>
      </c>
      <c r="E317" s="101" vm="11450">
        <f ca="1"/>
        <v>71.099999999999994</v>
      </c>
      <c r="F317" s="101" vm="11451">
        <f ca="1"/>
        <v>70.974999999999994</v>
      </c>
      <c r="G317" s="101" vm="11452">
        <f ca="1"/>
        <v>73.603499999999997</v>
      </c>
      <c r="H317" s="101" vm="11453">
        <f ca="1"/>
        <v>65.2</v>
      </c>
      <c r="I317" s="102" vm="11454">
        <f ca="1"/>
        <v>23125740</v>
      </c>
    </row>
    <row r="318" spans="4:9" x14ac:dyDescent="0.3">
      <c r="D318" s="100" vm="1820">
        <f ca="1"/>
        <v>44298</v>
      </c>
      <c r="E318" s="101" vm="11455">
        <f ca="1"/>
        <v>69.361999999999995</v>
      </c>
      <c r="F318" s="101" vm="11456">
        <f ca="1"/>
        <v>73.519000000000005</v>
      </c>
      <c r="G318" s="101" vm="11457">
        <f ca="1"/>
        <v>88.21</v>
      </c>
      <c r="H318" s="101" vm="11458">
        <f ca="1"/>
        <v>68.5</v>
      </c>
      <c r="I318" s="102" vm="11459">
        <f ca="1"/>
        <v>52131160</v>
      </c>
    </row>
    <row r="319" spans="4:9" x14ac:dyDescent="0.3">
      <c r="D319" s="100" vm="1826">
        <f ca="1"/>
        <v>44305</v>
      </c>
      <c r="E319" s="101" vm="11460">
        <f ca="1"/>
        <v>61.304000000000002</v>
      </c>
      <c r="F319" s="101" vm="11461">
        <f ca="1"/>
        <v>65.004000000000005</v>
      </c>
      <c r="G319" s="101" vm="11462">
        <f ca="1"/>
        <v>66.546000000000006</v>
      </c>
      <c r="H319" s="101" vm="11463">
        <f ca="1"/>
        <v>56.9</v>
      </c>
      <c r="I319" s="102" vm="11464">
        <f ca="1"/>
        <v>32274030</v>
      </c>
    </row>
    <row r="320" spans="4:9" x14ac:dyDescent="0.3">
      <c r="D320" s="100" vm="1832">
        <f ca="1"/>
        <v>44312</v>
      </c>
      <c r="E320" s="101" vm="11465">
        <f ca="1"/>
        <v>65.715999999999994</v>
      </c>
      <c r="F320" s="101" vm="11466">
        <f ca="1"/>
        <v>63.676000000000002</v>
      </c>
      <c r="G320" s="101" vm="11467">
        <f ca="1"/>
        <v>68.900000000000006</v>
      </c>
      <c r="H320" s="101" vm="11468">
        <f ca="1"/>
        <v>62.8</v>
      </c>
      <c r="I320" s="102" vm="11469">
        <f ca="1"/>
        <v>22871190</v>
      </c>
    </row>
    <row r="321" spans="4:9" x14ac:dyDescent="0.3">
      <c r="D321" s="100" vm="1838">
        <f ca="1"/>
        <v>44319</v>
      </c>
      <c r="E321" s="101" vm="11470">
        <f ca="1"/>
        <v>62.045999999999999</v>
      </c>
      <c r="F321" s="101" vm="11471">
        <f ca="1"/>
        <v>67.397000000000006</v>
      </c>
      <c r="G321" s="101" vm="11471">
        <f ca="1"/>
        <v>67.397000000000006</v>
      </c>
      <c r="H321" s="101" vm="11472">
        <f ca="1"/>
        <v>58.701000000000001</v>
      </c>
      <c r="I321" s="102" vm="11473">
        <f ca="1"/>
        <v>21953130</v>
      </c>
    </row>
    <row r="322" spans="4:9" x14ac:dyDescent="0.3">
      <c r="D322" s="100" vm="1843">
        <f ca="1"/>
        <v>44326</v>
      </c>
      <c r="E322" s="101" vm="11474">
        <f ca="1"/>
        <v>52.131</v>
      </c>
      <c r="F322" s="101" vm="11475">
        <f ca="1"/>
        <v>61.585999999999999</v>
      </c>
      <c r="G322" s="101" vm="11475">
        <f ca="1"/>
        <v>61.585999999999999</v>
      </c>
      <c r="H322" s="101" vm="11476">
        <f ca="1"/>
        <v>47.807000000000002</v>
      </c>
      <c r="I322" s="102" vm="11477">
        <f ca="1"/>
        <v>31055390</v>
      </c>
    </row>
    <row r="323" spans="4:9" x14ac:dyDescent="0.3">
      <c r="D323" s="100" vm="1848">
        <f ca="1"/>
        <v>44333</v>
      </c>
      <c r="E323" s="101" vm="11478">
        <f ca="1"/>
        <v>45.052</v>
      </c>
      <c r="F323" s="101" vm="11479">
        <f ca="1"/>
        <v>48.4</v>
      </c>
      <c r="G323" s="101" vm="11480">
        <f ca="1"/>
        <v>50.426000000000002</v>
      </c>
      <c r="H323" s="101" vm="11481">
        <f ca="1"/>
        <v>41.158000000000001</v>
      </c>
      <c r="I323" s="102" vm="11482">
        <f ca="1"/>
        <v>46227200</v>
      </c>
    </row>
    <row r="324" spans="4:9" x14ac:dyDescent="0.3">
      <c r="D324" s="100" vm="1854">
        <f ca="1"/>
        <v>44340</v>
      </c>
      <c r="E324" s="101" vm="934">
        <f ca="1"/>
        <v>47</v>
      </c>
      <c r="F324" s="101" vm="11483">
        <f ca="1"/>
        <v>46.5</v>
      </c>
      <c r="G324" s="101" vm="11484">
        <f ca="1"/>
        <v>50.206099999999999</v>
      </c>
      <c r="H324" s="101" vm="11485">
        <f ca="1"/>
        <v>44.724899999999998</v>
      </c>
      <c r="I324" s="102" vm="11486">
        <f ca="1"/>
        <v>29621000</v>
      </c>
    </row>
    <row r="325" spans="4:9" x14ac:dyDescent="0.3">
      <c r="D325" s="100" vm="1860">
        <f ca="1"/>
        <v>44348</v>
      </c>
      <c r="E325" s="101" vm="11487">
        <f ca="1"/>
        <v>48.466999999999999</v>
      </c>
      <c r="F325" s="101" vm="11488">
        <f ca="1"/>
        <v>47.124000000000002</v>
      </c>
      <c r="G325" s="101" vm="11489">
        <f ca="1"/>
        <v>50.198</v>
      </c>
      <c r="H325" s="101" vm="11490">
        <f ca="1"/>
        <v>46.898000000000003</v>
      </c>
      <c r="I325" s="102" vm="11491">
        <f ca="1"/>
        <v>14980920</v>
      </c>
    </row>
    <row r="326" spans="4:9" x14ac:dyDescent="0.3">
      <c r="D326" s="100" vm="1866">
        <f ca="1"/>
        <v>44354</v>
      </c>
      <c r="E326" s="101" vm="11492">
        <f ca="1"/>
        <v>51.643999999999998</v>
      </c>
      <c r="F326" s="101" vm="11493">
        <f ca="1"/>
        <v>48.25</v>
      </c>
      <c r="G326" s="101" vm="11494">
        <f ca="1"/>
        <v>52.987000000000002</v>
      </c>
      <c r="H326" s="101" vm="11495">
        <f ca="1"/>
        <v>42.792999999999999</v>
      </c>
      <c r="I326" s="102" vm="11496">
        <f ca="1"/>
        <v>46384110</v>
      </c>
    </row>
    <row r="327" spans="4:9" x14ac:dyDescent="0.3">
      <c r="D327" s="100" vm="1872">
        <f ca="1"/>
        <v>44361</v>
      </c>
      <c r="E327" s="101" vm="11497">
        <f ca="1"/>
        <v>64.646000000000001</v>
      </c>
      <c r="F327" s="101" vm="11498">
        <f ca="1"/>
        <v>54.4</v>
      </c>
      <c r="G327" s="101" vm="11499">
        <f ca="1"/>
        <v>64.765000000000001</v>
      </c>
      <c r="H327" s="101" vm="11498">
        <f ca="1"/>
        <v>54.4</v>
      </c>
      <c r="I327" s="102" vm="11500">
        <f ca="1"/>
        <v>63352840</v>
      </c>
    </row>
    <row r="328" spans="4:9" x14ac:dyDescent="0.3">
      <c r="D328" s="100" vm="1878">
        <f ca="1"/>
        <v>44368</v>
      </c>
      <c r="E328" s="101" vm="11501">
        <f ca="1"/>
        <v>55.005000000000003</v>
      </c>
      <c r="F328" s="101" vm="11502">
        <f ca="1"/>
        <v>59.917000000000002</v>
      </c>
      <c r="G328" s="101" vm="11503">
        <f ca="1"/>
        <v>61.4</v>
      </c>
      <c r="H328" s="101" vm="11504">
        <f ca="1"/>
        <v>51.302</v>
      </c>
      <c r="I328" s="102" vm="11505">
        <f ca="1"/>
        <v>67989160</v>
      </c>
    </row>
    <row r="329" spans="4:9" x14ac:dyDescent="0.3">
      <c r="D329" s="100" vm="1884">
        <f ca="1"/>
        <v>44375</v>
      </c>
      <c r="E329" s="101" vm="11506">
        <f ca="1"/>
        <v>63.561</v>
      </c>
      <c r="F329" s="101" vm="11507">
        <f ca="1"/>
        <v>57.033000000000001</v>
      </c>
      <c r="G329" s="101" vm="11508">
        <f ca="1"/>
        <v>69.299000000000007</v>
      </c>
      <c r="H329" s="101" vm="11509">
        <f ca="1"/>
        <v>56.5867</v>
      </c>
      <c r="I329" s="102" vm="11510">
        <f ca="1"/>
        <v>53182790</v>
      </c>
    </row>
    <row r="330" spans="4:9" x14ac:dyDescent="0.3">
      <c r="D330" s="100" vm="1890">
        <f ca="1"/>
        <v>44383</v>
      </c>
      <c r="E330" s="101" vm="11511">
        <f ca="1"/>
        <v>62.866</v>
      </c>
      <c r="F330" s="101" vm="11512">
        <f ca="1"/>
        <v>65.207999999999998</v>
      </c>
      <c r="G330" s="101" vm="11513">
        <f ca="1"/>
        <v>65.352000000000004</v>
      </c>
      <c r="H330" s="101" vm="11514">
        <f ca="1"/>
        <v>59.469000000000001</v>
      </c>
      <c r="I330" s="102" vm="11515">
        <f ca="1"/>
        <v>18493100</v>
      </c>
    </row>
    <row r="331" spans="4:9" x14ac:dyDescent="0.3">
      <c r="D331" s="100" vm="1895">
        <f ca="1"/>
        <v>44389</v>
      </c>
      <c r="E331" s="101" vm="11516">
        <f ca="1"/>
        <v>52.308999999999997</v>
      </c>
      <c r="F331" s="101" vm="11517">
        <f ca="1"/>
        <v>63.225000000000001</v>
      </c>
      <c r="G331" s="101" vm="11518">
        <f ca="1"/>
        <v>63.241999999999997</v>
      </c>
      <c r="H331" s="101" vm="11519">
        <f ca="1"/>
        <v>52.052</v>
      </c>
      <c r="I331" s="102" vm="11520">
        <f ca="1"/>
        <v>35141110</v>
      </c>
    </row>
    <row r="332" spans="4:9" x14ac:dyDescent="0.3">
      <c r="D332" s="100" vm="1901">
        <f ca="1"/>
        <v>44396</v>
      </c>
      <c r="E332" s="101" vm="11521">
        <f ca="1"/>
        <v>53.970999999999997</v>
      </c>
      <c r="F332" s="101" vm="11522">
        <f ca="1"/>
        <v>50.765999999999998</v>
      </c>
      <c r="G332" s="101" vm="11523">
        <f ca="1"/>
        <v>56.981200000000001</v>
      </c>
      <c r="H332" s="101" vm="11524">
        <f ca="1"/>
        <v>47.238</v>
      </c>
      <c r="I332" s="102" vm="11525">
        <f ca="1"/>
        <v>38487640</v>
      </c>
    </row>
    <row r="333" spans="4:9" x14ac:dyDescent="0.3">
      <c r="D333" s="100" vm="1907">
        <f ca="1"/>
        <v>44403</v>
      </c>
      <c r="E333" s="101" vm="11526">
        <f ca="1"/>
        <v>62.600999999999999</v>
      </c>
      <c r="F333" s="101" vm="11527">
        <f ca="1"/>
        <v>62.1</v>
      </c>
      <c r="G333" s="101" vm="11528">
        <f ca="1"/>
        <v>69.5</v>
      </c>
      <c r="H333" s="101" vm="11529">
        <f ca="1"/>
        <v>60.691000000000003</v>
      </c>
      <c r="I333" s="102" vm="11530">
        <f ca="1"/>
        <v>52813750</v>
      </c>
    </row>
    <row r="334" spans="4:9" x14ac:dyDescent="0.3">
      <c r="D334" s="100" vm="1913">
        <f ca="1"/>
        <v>44410</v>
      </c>
      <c r="E334" s="101" vm="11531">
        <f ca="1"/>
        <v>74.872</v>
      </c>
      <c r="F334" s="101" vm="11532">
        <f ca="1"/>
        <v>62.259</v>
      </c>
      <c r="G334" s="101" vm="11533">
        <f ca="1"/>
        <v>75.099000000000004</v>
      </c>
      <c r="H334" s="101" vm="11534">
        <f ca="1"/>
        <v>60.512999999999998</v>
      </c>
      <c r="I334" s="102" vm="11535">
        <f ca="1"/>
        <v>55795110</v>
      </c>
    </row>
    <row r="335" spans="4:9" x14ac:dyDescent="0.3">
      <c r="D335" s="100" vm="1919">
        <f ca="1"/>
        <v>44417</v>
      </c>
      <c r="E335" s="101" vm="11536">
        <f ca="1"/>
        <v>72.8</v>
      </c>
      <c r="F335" s="101" vm="11537">
        <f ca="1"/>
        <v>79.631100000000004</v>
      </c>
      <c r="G335" s="101" vm="11538">
        <f ca="1"/>
        <v>79.8</v>
      </c>
      <c r="H335" s="101" vm="11539">
        <f ca="1"/>
        <v>71.239999999999995</v>
      </c>
      <c r="I335" s="102" vm="11540">
        <f ca="1"/>
        <v>43244290</v>
      </c>
    </row>
    <row r="336" spans="4:9" x14ac:dyDescent="0.3">
      <c r="D336" s="100" vm="1925">
        <f ca="1"/>
        <v>44424</v>
      </c>
      <c r="E336" s="101" vm="11541">
        <f ca="1"/>
        <v>71.656000000000006</v>
      </c>
      <c r="F336" s="101" vm="11542">
        <f ca="1"/>
        <v>74</v>
      </c>
      <c r="G336" s="101" vm="11543">
        <f ca="1"/>
        <v>74.099999999999994</v>
      </c>
      <c r="H336" s="101" vm="11544">
        <f ca="1"/>
        <v>64.143000000000001</v>
      </c>
      <c r="I336" s="102" vm="11545">
        <f ca="1"/>
        <v>35363530</v>
      </c>
    </row>
    <row r="337" spans="4:9" x14ac:dyDescent="0.3">
      <c r="D337" s="100" vm="1931">
        <f ca="1"/>
        <v>44431</v>
      </c>
      <c r="E337" s="101" vm="11546">
        <f ca="1"/>
        <v>70.72</v>
      </c>
      <c r="F337" s="101" vm="11547">
        <f ca="1"/>
        <v>74.19</v>
      </c>
      <c r="G337" s="101" vm="11548">
        <f ca="1"/>
        <v>74.778000000000006</v>
      </c>
      <c r="H337" s="101" vm="11549">
        <f ca="1"/>
        <v>69.122</v>
      </c>
      <c r="I337" s="102" vm="11550">
        <f ca="1"/>
        <v>36723940</v>
      </c>
    </row>
    <row r="338" spans="4:9" x14ac:dyDescent="0.3">
      <c r="D338" s="100" vm="1937">
        <f ca="1"/>
        <v>44438</v>
      </c>
      <c r="E338" s="101" vm="11551">
        <f ca="1"/>
        <v>71.225999999999999</v>
      </c>
      <c r="F338" s="101" vm="11552">
        <f ca="1"/>
        <v>70.259</v>
      </c>
      <c r="G338" s="101" vm="11553">
        <f ca="1"/>
        <v>73.266000000000005</v>
      </c>
      <c r="H338" s="101" vm="11554">
        <f ca="1"/>
        <v>68.709000000000003</v>
      </c>
      <c r="I338" s="102" vm="11555">
        <f ca="1"/>
        <v>33587450</v>
      </c>
    </row>
    <row r="339" spans="4:9" x14ac:dyDescent="0.3">
      <c r="D339" s="100" vm="1943">
        <f ca="1"/>
        <v>44446</v>
      </c>
      <c r="E339" s="101" vm="11556">
        <f ca="1"/>
        <v>61.557000000000002</v>
      </c>
      <c r="F339" s="101" vm="11557">
        <f ca="1"/>
        <v>69.900000000000006</v>
      </c>
      <c r="G339" s="101" vm="11558">
        <f ca="1"/>
        <v>70.2</v>
      </c>
      <c r="H339" s="101" vm="11559">
        <f ca="1"/>
        <v>61.203000000000003</v>
      </c>
      <c r="I339" s="102" vm="11560">
        <f ca="1"/>
        <v>39646650</v>
      </c>
    </row>
    <row r="340" spans="4:9" x14ac:dyDescent="0.3">
      <c r="D340" s="100" vm="1949">
        <f ca="1"/>
        <v>44452</v>
      </c>
      <c r="E340" s="101" vm="11561">
        <f ca="1"/>
        <v>61.429000000000002</v>
      </c>
      <c r="F340" s="101" vm="11562">
        <f ca="1"/>
        <v>60.9</v>
      </c>
      <c r="G340" s="101" vm="11563">
        <f ca="1"/>
        <v>65.101399999999998</v>
      </c>
      <c r="H340" s="101" vm="11564">
        <f ca="1"/>
        <v>60.031100000000002</v>
      </c>
      <c r="I340" s="102" vm="11565">
        <f ca="1"/>
        <v>47378610</v>
      </c>
    </row>
    <row r="341" spans="4:9" x14ac:dyDescent="0.3">
      <c r="D341" s="100" vm="1955">
        <f ca="1"/>
        <v>44459</v>
      </c>
      <c r="E341" s="101" vm="11566">
        <f ca="1"/>
        <v>59.939</v>
      </c>
      <c r="F341" s="101" vm="11567">
        <f ca="1"/>
        <v>57.442</v>
      </c>
      <c r="G341" s="101" vm="11568">
        <f ca="1"/>
        <v>61.776000000000003</v>
      </c>
      <c r="H341" s="101" vm="11569">
        <f ca="1"/>
        <v>56.829000000000001</v>
      </c>
      <c r="I341" s="102" vm="11570">
        <f ca="1"/>
        <v>24828630</v>
      </c>
    </row>
    <row r="342" spans="4:9" x14ac:dyDescent="0.3">
      <c r="D342" s="100" vm="1961">
        <f ca="1"/>
        <v>44466</v>
      </c>
      <c r="E342" s="101" vm="11571">
        <f ca="1"/>
        <v>61.246000000000002</v>
      </c>
      <c r="F342" s="101" vm="11572">
        <f ca="1"/>
        <v>60.325000000000003</v>
      </c>
      <c r="G342" s="101" vm="11573">
        <f ca="1"/>
        <v>61.561</v>
      </c>
      <c r="H342" s="101" vm="11574">
        <f ca="1"/>
        <v>56.526000000000003</v>
      </c>
      <c r="I342" s="102" vm="11575">
        <f ca="1"/>
        <v>17350110</v>
      </c>
    </row>
    <row r="343" spans="4:9" x14ac:dyDescent="0.3">
      <c r="D343" s="100" vm="1967">
        <f ca="1"/>
        <v>44473</v>
      </c>
      <c r="E343" s="101" vm="11576">
        <f ca="1"/>
        <v>70.882000000000005</v>
      </c>
      <c r="F343" s="101" vm="11577">
        <f ca="1"/>
        <v>61.148000000000003</v>
      </c>
      <c r="G343" s="101" vm="11578">
        <f ca="1"/>
        <v>71.278999999999996</v>
      </c>
      <c r="H343" s="101" vm="11579">
        <f ca="1"/>
        <v>58.279000000000003</v>
      </c>
      <c r="I343" s="102" vm="11580">
        <f ca="1"/>
        <v>27859610</v>
      </c>
    </row>
    <row r="344" spans="4:9" x14ac:dyDescent="0.3">
      <c r="D344" s="100" vm="1973">
        <f ca="1"/>
        <v>44480</v>
      </c>
      <c r="E344" s="101" vm="11581">
        <f ca="1"/>
        <v>74.984999999999999</v>
      </c>
      <c r="F344" s="101" vm="11582">
        <f ca="1"/>
        <v>72</v>
      </c>
      <c r="G344" s="101" vm="11583">
        <f ca="1"/>
        <v>76.197999999999993</v>
      </c>
      <c r="H344" s="101" vm="11584">
        <f ca="1"/>
        <v>70.194000000000003</v>
      </c>
      <c r="I344" s="102" vm="11585">
        <f ca="1"/>
        <v>22947130</v>
      </c>
    </row>
    <row r="345" spans="4:9" x14ac:dyDescent="0.3">
      <c r="D345" s="100" vm="1979">
        <f ca="1"/>
        <v>44487</v>
      </c>
      <c r="E345" s="101" vm="11586">
        <f ca="1"/>
        <v>71.852000000000004</v>
      </c>
      <c r="F345" s="101" vm="11587">
        <f ca="1"/>
        <v>74.8</v>
      </c>
      <c r="G345" s="101" vm="11588">
        <f ca="1"/>
        <v>77.706999999999994</v>
      </c>
      <c r="H345" s="101" vm="11589">
        <f ca="1"/>
        <v>70.100999999999999</v>
      </c>
      <c r="I345" s="102" vm="11590">
        <f ca="1"/>
        <v>29034120</v>
      </c>
    </row>
    <row r="346" spans="4:9" x14ac:dyDescent="0.3">
      <c r="D346" s="100" vm="1985">
        <f ca="1"/>
        <v>44494</v>
      </c>
      <c r="E346" s="101" vm="11591">
        <f ca="1"/>
        <v>71.506</v>
      </c>
      <c r="F346" s="101" vm="11592">
        <f ca="1"/>
        <v>73.644999999999996</v>
      </c>
      <c r="G346" s="101" vm="11593">
        <f ca="1"/>
        <v>75.548500000000004</v>
      </c>
      <c r="H346" s="101" vm="11594">
        <f ca="1"/>
        <v>69.141000000000005</v>
      </c>
      <c r="I346" s="102" vm="11595">
        <f ca="1"/>
        <v>24383470</v>
      </c>
    </row>
    <row r="347" spans="4:9" x14ac:dyDescent="0.3">
      <c r="D347" s="100" vm="1991">
        <f ca="1"/>
        <v>44501</v>
      </c>
      <c r="E347" s="101" vm="11596">
        <f ca="1"/>
        <v>79.751000000000005</v>
      </c>
      <c r="F347" s="101" vm="11597">
        <f ca="1"/>
        <v>72.099999999999994</v>
      </c>
      <c r="G347" s="101" vm="11598">
        <f ca="1"/>
        <v>84.1</v>
      </c>
      <c r="H347" s="101" vm="11599">
        <f ca="1"/>
        <v>71.119</v>
      </c>
      <c r="I347" s="102" vm="11600">
        <f ca="1"/>
        <v>35897200</v>
      </c>
    </row>
    <row r="348" spans="4:9" x14ac:dyDescent="0.3">
      <c r="D348" s="100" vm="1997">
        <f ca="1"/>
        <v>44508</v>
      </c>
      <c r="E348" s="101" vm="11601">
        <f ca="1"/>
        <v>81.173000000000002</v>
      </c>
      <c r="F348" s="101" vm="11602">
        <f ca="1"/>
        <v>84.198999999999998</v>
      </c>
      <c r="G348" s="101" vm="11603">
        <f ca="1"/>
        <v>89.138000000000005</v>
      </c>
      <c r="H348" s="101" vm="11604">
        <f ca="1"/>
        <v>78.585700000000003</v>
      </c>
      <c r="I348" s="102" vm="11605">
        <f ca="1"/>
        <v>25575420</v>
      </c>
    </row>
    <row r="349" spans="4:9" x14ac:dyDescent="0.3">
      <c r="D349" s="100" vm="2003">
        <f ca="1"/>
        <v>44515</v>
      </c>
      <c r="E349" s="101" vm="11606">
        <f ca="1"/>
        <v>71.831000000000003</v>
      </c>
      <c r="F349" s="101" vm="11607">
        <f ca="1"/>
        <v>81.995999999999995</v>
      </c>
      <c r="G349" s="101" vm="11607">
        <f ca="1"/>
        <v>81.995999999999995</v>
      </c>
      <c r="H349" s="101" vm="11608">
        <f ca="1"/>
        <v>71.697000000000003</v>
      </c>
      <c r="I349" s="102" vm="11609">
        <f ca="1"/>
        <v>21786940</v>
      </c>
    </row>
    <row r="350" spans="4:9" x14ac:dyDescent="0.3">
      <c r="D350" s="100" vm="2009">
        <f ca="1"/>
        <v>44522</v>
      </c>
      <c r="E350" s="101" vm="7262">
        <f ca="1"/>
        <v>66.3</v>
      </c>
      <c r="F350" s="101" vm="11610">
        <f ca="1"/>
        <v>72.471000000000004</v>
      </c>
      <c r="G350" s="101" vm="11611">
        <f ca="1"/>
        <v>72.581000000000003</v>
      </c>
      <c r="H350" s="101" vm="11612">
        <f ca="1"/>
        <v>65.5</v>
      </c>
      <c r="I350" s="102" vm="11613">
        <f ca="1"/>
        <v>16741720</v>
      </c>
    </row>
    <row r="351" spans="4:9" x14ac:dyDescent="0.3">
      <c r="D351" s="100" vm="2015">
        <f ca="1"/>
        <v>44529</v>
      </c>
      <c r="E351" s="101" vm="11614">
        <f ca="1"/>
        <v>63.098999999999997</v>
      </c>
      <c r="F351" s="101" vm="11615">
        <f ca="1"/>
        <v>69</v>
      </c>
      <c r="G351" s="101" vm="11616">
        <f ca="1"/>
        <v>74.399000000000001</v>
      </c>
      <c r="H351" s="101" vm="11617">
        <f ca="1"/>
        <v>61.624000000000002</v>
      </c>
      <c r="I351" s="102" vm="11618">
        <f ca="1"/>
        <v>33255660</v>
      </c>
    </row>
    <row r="352" spans="4:9" x14ac:dyDescent="0.3">
      <c r="D352" s="100" vm="2021">
        <f ca="1"/>
        <v>44536</v>
      </c>
      <c r="E352" s="101" vm="11619">
        <f ca="1"/>
        <v>60.084000000000003</v>
      </c>
      <c r="F352" s="101" vm="11620">
        <f ca="1"/>
        <v>59.491999999999997</v>
      </c>
      <c r="G352" s="101" vm="11621">
        <f ca="1"/>
        <v>64.718999999999994</v>
      </c>
      <c r="H352" s="101" vm="11622">
        <f ca="1"/>
        <v>56.573</v>
      </c>
      <c r="I352" s="102" vm="11623">
        <f ca="1"/>
        <v>19906200</v>
      </c>
    </row>
    <row r="353" spans="4:9" x14ac:dyDescent="0.3">
      <c r="D353" s="100" vm="2027">
        <f ca="1"/>
        <v>44543</v>
      </c>
      <c r="E353" s="101" vm="11624">
        <f ca="1"/>
        <v>57.158000000000001</v>
      </c>
      <c r="F353" s="101" vm="11625">
        <f ca="1"/>
        <v>59.494999999999997</v>
      </c>
      <c r="G353" s="101" vm="11626">
        <f ca="1"/>
        <v>60.3</v>
      </c>
      <c r="H353" s="101" vm="11627">
        <f ca="1"/>
        <v>52.881</v>
      </c>
      <c r="I353" s="102" vm="11628">
        <f ca="1"/>
        <v>24177860</v>
      </c>
    </row>
    <row r="354" spans="4:9" x14ac:dyDescent="0.3">
      <c r="D354" s="100" vm="2033">
        <f ca="1"/>
        <v>44550</v>
      </c>
      <c r="E354" s="101" vm="11629">
        <f ca="1"/>
        <v>59.720999999999997</v>
      </c>
      <c r="F354" s="101" vm="11630">
        <f ca="1"/>
        <v>55.281999999999996</v>
      </c>
      <c r="G354" s="101" vm="11631">
        <f ca="1"/>
        <v>60</v>
      </c>
      <c r="H354" s="101" vm="11632">
        <f ca="1"/>
        <v>54.3</v>
      </c>
      <c r="I354" s="102" vm="11633">
        <f ca="1"/>
        <v>14429470</v>
      </c>
    </row>
    <row r="355" spans="4:9" x14ac:dyDescent="0.3">
      <c r="D355" s="100" vm="2039">
        <f ca="1"/>
        <v>44557</v>
      </c>
      <c r="E355" s="101" vm="11634">
        <f ca="1"/>
        <v>54.448999999999998</v>
      </c>
      <c r="F355" s="101" vm="11631">
        <f ca="1"/>
        <v>60</v>
      </c>
      <c r="G355" s="101" vm="11635">
        <f ca="1"/>
        <v>62.151699999999998</v>
      </c>
      <c r="H355" s="101" vm="11636">
        <f ca="1"/>
        <v>54.332500000000003</v>
      </c>
      <c r="I355" s="102" vm="11637">
        <f ca="1"/>
        <v>15887240</v>
      </c>
    </row>
    <row r="356" spans="4:9" x14ac:dyDescent="0.3">
      <c r="D356" s="100" vm="2045">
        <f ca="1"/>
        <v>44564</v>
      </c>
      <c r="E356" s="101" vm="11638">
        <f ca="1"/>
        <v>48.295000000000002</v>
      </c>
      <c r="F356" s="101" vm="11639">
        <f ca="1"/>
        <v>55.061</v>
      </c>
      <c r="G356" s="101" vm="11640">
        <f ca="1"/>
        <v>57.625999999999998</v>
      </c>
      <c r="H356" s="101" vm="11641">
        <f ca="1"/>
        <v>47.121000000000002</v>
      </c>
      <c r="I356" s="102" vm="11642">
        <f ca="1"/>
        <v>21989450</v>
      </c>
    </row>
    <row r="357" spans="4:9" x14ac:dyDescent="0.3">
      <c r="D357" s="100" vm="2051">
        <f ca="1"/>
        <v>44571</v>
      </c>
      <c r="E357" s="101" vm="11643">
        <f ca="1"/>
        <v>49.956000000000003</v>
      </c>
      <c r="F357" s="101" vm="11644">
        <f ca="1"/>
        <v>46.369</v>
      </c>
      <c r="G357" s="101" vm="11645">
        <f ca="1"/>
        <v>52.997999999999998</v>
      </c>
      <c r="H357" s="101" vm="11646">
        <f ca="1"/>
        <v>44.825000000000003</v>
      </c>
      <c r="I357" s="102" vm="11647">
        <f ca="1"/>
        <v>19859630</v>
      </c>
    </row>
    <row r="358" spans="4:9" x14ac:dyDescent="0.3">
      <c r="D358" s="100" vm="2057">
        <f ca="1"/>
        <v>44579</v>
      </c>
      <c r="E358" s="101" vm="11648">
        <f ca="1"/>
        <v>37.588999999999999</v>
      </c>
      <c r="F358" s="101" vm="11649">
        <f ca="1"/>
        <v>48.48</v>
      </c>
      <c r="G358" s="101" vm="11650">
        <f ca="1"/>
        <v>49.198999999999998</v>
      </c>
      <c r="H358" s="101" vm="11651">
        <f ca="1"/>
        <v>36.598500000000001</v>
      </c>
      <c r="I358" s="102" vm="11652">
        <f ca="1"/>
        <v>28415590</v>
      </c>
    </row>
    <row r="359" spans="4:9" x14ac:dyDescent="0.3">
      <c r="D359" s="100" vm="2063">
        <f ca="1"/>
        <v>44585</v>
      </c>
      <c r="E359" s="101" vm="11653">
        <f ca="1"/>
        <v>33.895000000000003</v>
      </c>
      <c r="F359" s="101" vm="11654">
        <f ca="1"/>
        <v>32</v>
      </c>
      <c r="G359" s="101" vm="11655">
        <f ca="1"/>
        <v>39.366</v>
      </c>
      <c r="H359" s="101" vm="11656">
        <f ca="1"/>
        <v>30.719000000000001</v>
      </c>
      <c r="I359" s="102" vm="11657">
        <f ca="1"/>
        <v>48152780</v>
      </c>
    </row>
    <row r="360" spans="4:9" x14ac:dyDescent="0.3">
      <c r="D360" s="100" vm="2069">
        <f ca="1"/>
        <v>44592</v>
      </c>
      <c r="E360" s="101" vm="11658">
        <f ca="1"/>
        <v>39.164000000000001</v>
      </c>
      <c r="F360" s="101" vm="11659">
        <f ca="1"/>
        <v>33.787999999999997</v>
      </c>
      <c r="G360" s="101" vm="11660">
        <f ca="1"/>
        <v>39.857999999999997</v>
      </c>
      <c r="H360" s="101" vm="11661">
        <f ca="1"/>
        <v>33.195999999999998</v>
      </c>
      <c r="I360" s="102" vm="11662">
        <f ca="1"/>
        <v>36413510</v>
      </c>
    </row>
    <row r="361" spans="4:9" x14ac:dyDescent="0.3">
      <c r="D361" s="100" vm="2075">
        <f ca="1"/>
        <v>44599</v>
      </c>
      <c r="E361" s="101" vm="11663">
        <f ca="1"/>
        <v>41.100999999999999</v>
      </c>
      <c r="F361" s="101" vm="11664">
        <f ca="1"/>
        <v>40.4512</v>
      </c>
      <c r="G361" s="101" vm="11665">
        <f ca="1"/>
        <v>46.304000000000002</v>
      </c>
      <c r="H361" s="101" vm="11666">
        <f ca="1"/>
        <v>40.347499999999997</v>
      </c>
      <c r="I361" s="102" vm="11667">
        <f ca="1"/>
        <v>30959250</v>
      </c>
    </row>
    <row r="362" spans="4:9" x14ac:dyDescent="0.3">
      <c r="D362" s="100" vm="2081">
        <f ca="1"/>
        <v>44606</v>
      </c>
      <c r="E362" s="101" vm="11668">
        <f ca="1"/>
        <v>39.597000000000001</v>
      </c>
      <c r="F362" s="101" vm="4507">
        <f ca="1"/>
        <v>41.47</v>
      </c>
      <c r="G362" s="101" vm="11669">
        <f ca="1"/>
        <v>43.827599999999997</v>
      </c>
      <c r="H362" s="101" vm="11670">
        <f ca="1"/>
        <v>38.521999999999998</v>
      </c>
      <c r="I362" s="102" vm="11671">
        <f ca="1"/>
        <v>18321260</v>
      </c>
    </row>
    <row r="363" spans="4:9" x14ac:dyDescent="0.3">
      <c r="D363" s="100" vm="2087">
        <f ca="1"/>
        <v>44614</v>
      </c>
      <c r="E363" s="101" vm="7184">
        <f ca="1"/>
        <v>40.5</v>
      </c>
      <c r="F363" s="101" vm="11672">
        <f ca="1"/>
        <v>37.581400000000002</v>
      </c>
      <c r="G363" s="101" vm="11673">
        <f ca="1"/>
        <v>41.2</v>
      </c>
      <c r="H363" s="101" vm="11674">
        <f ca="1"/>
        <v>33.683999999999997</v>
      </c>
      <c r="I363" s="102" vm="11675">
        <f ca="1"/>
        <v>19710650</v>
      </c>
    </row>
    <row r="364" spans="4:9" x14ac:dyDescent="0.3">
      <c r="D364" s="100" vm="2093">
        <f ca="1"/>
        <v>44620</v>
      </c>
      <c r="E364" s="101" vm="11676">
        <f ca="1"/>
        <v>41.036000000000001</v>
      </c>
      <c r="F364" s="101" vm="11677">
        <f ca="1"/>
        <v>40.156999999999996</v>
      </c>
      <c r="G364" s="101" vm="11678">
        <f ca="1"/>
        <v>47.3048</v>
      </c>
      <c r="H364" s="101" vm="11677">
        <f ca="1"/>
        <v>40.156999999999996</v>
      </c>
      <c r="I364" s="102" vm="11679">
        <f ca="1"/>
        <v>23176640</v>
      </c>
    </row>
    <row r="365" spans="4:9" x14ac:dyDescent="0.3">
      <c r="D365" s="100" vm="2099">
        <f ca="1"/>
        <v>44627</v>
      </c>
      <c r="E365" s="101" vm="11680">
        <f ca="1"/>
        <v>39.082000000000001</v>
      </c>
      <c r="F365" s="101" vm="11681">
        <f ca="1"/>
        <v>41.51</v>
      </c>
      <c r="G365" s="101" vm="11682">
        <f ca="1"/>
        <v>45.445</v>
      </c>
      <c r="H365" s="101" vm="11683">
        <f ca="1"/>
        <v>38.843000000000004</v>
      </c>
      <c r="I365" s="102" vm="11684">
        <f ca="1"/>
        <v>20193600</v>
      </c>
    </row>
    <row r="366" spans="4:9" x14ac:dyDescent="0.3">
      <c r="D366" s="100" vm="2105">
        <f ca="1"/>
        <v>44634</v>
      </c>
      <c r="E366" s="101" vm="11685">
        <f ca="1"/>
        <v>45.427999999999997</v>
      </c>
      <c r="F366" s="101" vm="647">
        <f ca="1"/>
        <v>38.994999999999997</v>
      </c>
      <c r="G366" s="101" vm="11686">
        <f ca="1"/>
        <v>45.69</v>
      </c>
      <c r="H366" s="101" vm="11687">
        <f ca="1"/>
        <v>36.32</v>
      </c>
      <c r="I366" s="102" vm="11688">
        <f ca="1"/>
        <v>24907550</v>
      </c>
    </row>
    <row r="367" spans="4:9" x14ac:dyDescent="0.3">
      <c r="D367" s="100" vm="2111">
        <f ca="1"/>
        <v>44641</v>
      </c>
      <c r="E367" s="101" vm="11689">
        <f ca="1"/>
        <v>47.241999999999997</v>
      </c>
      <c r="F367" s="101" vm="11690">
        <f ca="1"/>
        <v>45.106999999999999</v>
      </c>
      <c r="G367" s="101" vm="11691">
        <f ca="1"/>
        <v>49.3934</v>
      </c>
      <c r="H367" s="101" vm="11692">
        <f ca="1"/>
        <v>43.029400000000003</v>
      </c>
      <c r="I367" s="102" vm="11693">
        <f ca="1"/>
        <v>18899500</v>
      </c>
    </row>
    <row r="368" spans="4:9" x14ac:dyDescent="0.3">
      <c r="D368" s="100" vm="2117">
        <f ca="1"/>
        <v>44648</v>
      </c>
      <c r="E368" s="101" vm="11694">
        <f ca="1"/>
        <v>49.097999999999999</v>
      </c>
      <c r="F368" s="101" vm="11695">
        <f ca="1"/>
        <v>49.603999999999999</v>
      </c>
      <c r="G368" s="101" vm="11696">
        <f ca="1"/>
        <v>52.280299999999997</v>
      </c>
      <c r="H368" s="101" vm="982">
        <f ca="1"/>
        <v>47.88</v>
      </c>
      <c r="I368" s="102" vm="11697">
        <f ca="1"/>
        <v>16725270</v>
      </c>
    </row>
    <row r="369" spans="4:9" x14ac:dyDescent="0.3">
      <c r="D369" s="100" vm="2122">
        <f ca="1"/>
        <v>44655</v>
      </c>
      <c r="E369" s="101" vm="11698">
        <f ca="1"/>
        <v>45.323999999999998</v>
      </c>
      <c r="F369" s="101" vm="11699">
        <f ca="1"/>
        <v>49.171999999999997</v>
      </c>
      <c r="G369" s="101" vm="11700">
        <f ca="1"/>
        <v>50.856999999999999</v>
      </c>
      <c r="H369" s="101" vm="11701">
        <f ca="1"/>
        <v>44.6</v>
      </c>
      <c r="I369" s="102" vm="11702">
        <f ca="1"/>
        <v>17690530</v>
      </c>
    </row>
    <row r="370" spans="4:9" x14ac:dyDescent="0.3">
      <c r="D370" s="100" vm="2128">
        <f ca="1"/>
        <v>44662</v>
      </c>
      <c r="E370" s="101" vm="11703">
        <f ca="1"/>
        <v>44.918999999999997</v>
      </c>
      <c r="F370" s="101" vm="11704">
        <f ca="1"/>
        <v>44.122</v>
      </c>
      <c r="G370" s="101" vm="11705">
        <f ca="1"/>
        <v>47.606999999999999</v>
      </c>
      <c r="H370" s="101" vm="7105">
        <f ca="1"/>
        <v>42.503</v>
      </c>
      <c r="I370" s="102" vm="11706">
        <f ca="1"/>
        <v>13669640</v>
      </c>
    </row>
    <row r="371" spans="4:9" x14ac:dyDescent="0.3">
      <c r="D371" s="100" vm="2134">
        <f ca="1"/>
        <v>44669</v>
      </c>
      <c r="E371" s="101" vm="11707">
        <f ca="1"/>
        <v>40.908000000000001</v>
      </c>
      <c r="F371" s="101" vm="11708">
        <f ca="1"/>
        <v>44.78</v>
      </c>
      <c r="G371" s="101" vm="11709">
        <f ca="1"/>
        <v>47.728000000000002</v>
      </c>
      <c r="H371" s="101" vm="11710">
        <f ca="1"/>
        <v>40.799999999999997</v>
      </c>
      <c r="I371" s="102" vm="11711">
        <f ca="1"/>
        <v>15896870</v>
      </c>
    </row>
    <row r="372" spans="4:9" x14ac:dyDescent="0.3">
      <c r="D372" s="100" vm="2140">
        <f ca="1"/>
        <v>44676</v>
      </c>
      <c r="E372" s="101" vm="11712">
        <f ca="1"/>
        <v>35.417000000000002</v>
      </c>
      <c r="F372" s="101" vm="11713">
        <f ca="1"/>
        <v>40.508000000000003</v>
      </c>
      <c r="G372" s="101" vm="11714">
        <f ca="1"/>
        <v>42.8</v>
      </c>
      <c r="H372" s="101" vm="11715">
        <f ca="1"/>
        <v>35.299999999999997</v>
      </c>
      <c r="I372" s="102" vm="11716">
        <f ca="1"/>
        <v>19647940</v>
      </c>
    </row>
    <row r="373" spans="4:9" x14ac:dyDescent="0.3">
      <c r="D373" s="100" vm="2146">
        <f ca="1"/>
        <v>44683</v>
      </c>
      <c r="E373" s="101" vm="11717">
        <f ca="1"/>
        <v>29.423999999999999</v>
      </c>
      <c r="F373" s="101" vm="11718">
        <f ca="1"/>
        <v>35.600999999999999</v>
      </c>
      <c r="G373" s="101" vm="11719">
        <f ca="1"/>
        <v>36.953000000000003</v>
      </c>
      <c r="H373" s="101" vm="11720">
        <f ca="1"/>
        <v>28.2545</v>
      </c>
      <c r="I373" s="102" vm="11721">
        <f ca="1"/>
        <v>38694500</v>
      </c>
    </row>
    <row r="374" spans="4:9" x14ac:dyDescent="0.3">
      <c r="D374" s="100" vm="2152">
        <f ca="1"/>
        <v>44690</v>
      </c>
      <c r="E374" s="101" vm="11722">
        <f ca="1"/>
        <v>20.457000000000001</v>
      </c>
      <c r="F374" s="101" vm="11723">
        <f ca="1"/>
        <v>27.125</v>
      </c>
      <c r="G374" s="101" vm="11723">
        <f ca="1"/>
        <v>27.125</v>
      </c>
      <c r="H374" s="101" vm="11724">
        <f ca="1"/>
        <v>13.409000000000001</v>
      </c>
      <c r="I374" s="102" vm="11725">
        <f ca="1"/>
        <v>144681220</v>
      </c>
    </row>
    <row r="375" spans="4:9" x14ac:dyDescent="0.3">
      <c r="D375" s="100" vm="2158">
        <f ca="1"/>
        <v>44697</v>
      </c>
      <c r="E375" s="101" vm="11726">
        <f ca="1"/>
        <v>20.274999999999999</v>
      </c>
      <c r="F375" s="101" vm="3988">
        <f ca="1"/>
        <v>20</v>
      </c>
      <c r="G375" s="101" vm="11727">
        <f ca="1"/>
        <v>22.596</v>
      </c>
      <c r="H375" s="101" vm="3572">
        <f ca="1"/>
        <v>18.899999999999999</v>
      </c>
      <c r="I375" s="102" vm="11728">
        <f ca="1"/>
        <v>47419940</v>
      </c>
    </row>
    <row r="376" spans="4:9" x14ac:dyDescent="0.3">
      <c r="D376" s="100" vm="2164">
        <f ca="1"/>
        <v>44704</v>
      </c>
      <c r="E376" s="101" vm="11729">
        <f ca="1"/>
        <v>21.939</v>
      </c>
      <c r="F376" s="101" vm="11730">
        <f ca="1"/>
        <v>21.164000000000001</v>
      </c>
      <c r="G376" s="101" vm="11731">
        <f ca="1"/>
        <v>23.387</v>
      </c>
      <c r="H376" s="101" vm="3543">
        <f ca="1"/>
        <v>17.61</v>
      </c>
      <c r="I376" s="102" vm="11732">
        <f ca="1"/>
        <v>41826240</v>
      </c>
    </row>
    <row r="377" spans="4:9" x14ac:dyDescent="0.3">
      <c r="D377" s="100" vm="2170">
        <f ca="1"/>
        <v>44712</v>
      </c>
      <c r="E377" s="101" vm="6672">
        <f ca="1"/>
        <v>22.722000000000001</v>
      </c>
      <c r="F377" s="101" vm="11733">
        <f ca="1"/>
        <v>23.516999999999999</v>
      </c>
      <c r="G377" s="101" vm="11734">
        <f ca="1"/>
        <v>27.288</v>
      </c>
      <c r="H377" s="101" vm="11735">
        <f ca="1"/>
        <v>22.355</v>
      </c>
      <c r="I377" s="102" vm="11736">
        <f ca="1"/>
        <v>35189850</v>
      </c>
    </row>
    <row r="378" spans="4:9" x14ac:dyDescent="0.3">
      <c r="D378" s="100" vm="2176">
        <f ca="1"/>
        <v>44718</v>
      </c>
      <c r="E378" s="101" vm="11737">
        <f ca="1"/>
        <v>20.335999999999999</v>
      </c>
      <c r="F378" s="101" vm="11738">
        <f ca="1"/>
        <v>24.395</v>
      </c>
      <c r="G378" s="101" vm="11739">
        <f ca="1"/>
        <v>24.876999999999999</v>
      </c>
      <c r="H378" s="101" vm="3580">
        <f ca="1"/>
        <v>19.78</v>
      </c>
      <c r="I378" s="102" vm="11740">
        <f ca="1"/>
        <v>28720970</v>
      </c>
    </row>
    <row r="379" spans="4:9" x14ac:dyDescent="0.3">
      <c r="D379" s="100" vm="2182">
        <f ca="1"/>
        <v>44725</v>
      </c>
      <c r="E379" s="101" vm="10386">
        <f ca="1"/>
        <v>16.760000000000002</v>
      </c>
      <c r="F379" s="101" vm="11741">
        <f ca="1"/>
        <v>14.930999999999999</v>
      </c>
      <c r="G379" s="101" vm="11742">
        <f ca="1"/>
        <v>17.687999999999999</v>
      </c>
      <c r="H379" s="101" vm="3362">
        <f ca="1"/>
        <v>14.39</v>
      </c>
      <c r="I379" s="102" vm="11743">
        <f ca="1"/>
        <v>98176170</v>
      </c>
    </row>
    <row r="380" spans="4:9" x14ac:dyDescent="0.3">
      <c r="D380" s="100" vm="2188">
        <f ca="1"/>
        <v>44733</v>
      </c>
      <c r="E380" s="101" vm="11744">
        <f ca="1"/>
        <v>20.544</v>
      </c>
      <c r="F380" s="101" vm="10413">
        <f ca="1"/>
        <v>17.094000000000001</v>
      </c>
      <c r="G380" s="101" vm="11745">
        <f ca="1"/>
        <v>20.798999999999999</v>
      </c>
      <c r="H380" s="101" vm="11746">
        <f ca="1"/>
        <v>16.827999999999999</v>
      </c>
      <c r="I380" s="102" vm="11747">
        <f ca="1"/>
        <v>35517570</v>
      </c>
    </row>
    <row r="381" spans="4:9" x14ac:dyDescent="0.3">
      <c r="D381" s="100" vm="2194">
        <f ca="1"/>
        <v>44739</v>
      </c>
      <c r="E381" s="101" vm="11748">
        <f ca="1"/>
        <v>16.677</v>
      </c>
      <c r="F381" s="101" vm="11749">
        <f ca="1"/>
        <v>20.251000000000001</v>
      </c>
      <c r="G381" s="101" vm="11750">
        <f ca="1"/>
        <v>20.612500000000001</v>
      </c>
      <c r="H381" s="101" vm="11751">
        <f ca="1"/>
        <v>16.138999999999999</v>
      </c>
      <c r="I381" s="102" vm="11752">
        <f ca="1"/>
        <v>37299080</v>
      </c>
    </row>
    <row r="382" spans="4:9" x14ac:dyDescent="0.3">
      <c r="D382" s="100" vm="2200">
        <f ca="1"/>
        <v>44747</v>
      </c>
      <c r="E382" s="101" vm="11753">
        <f ca="1"/>
        <v>22.128</v>
      </c>
      <c r="F382" s="101" vm="11754">
        <f ca="1"/>
        <v>16.584</v>
      </c>
      <c r="G382" s="101" vm="11755">
        <f ca="1"/>
        <v>23.6281</v>
      </c>
      <c r="H382" s="101" vm="6882">
        <f ca="1"/>
        <v>16.001999999999999</v>
      </c>
      <c r="I382" s="102" vm="11756">
        <f ca="1"/>
        <v>37955230</v>
      </c>
    </row>
    <row r="383" spans="4:9" x14ac:dyDescent="0.3">
      <c r="D383" s="100" vm="2206">
        <f ca="1"/>
        <v>44753</v>
      </c>
      <c r="E383" s="101" vm="11757">
        <f ca="1"/>
        <v>21.398</v>
      </c>
      <c r="F383" s="101" vm="11758">
        <f ca="1"/>
        <v>21.035</v>
      </c>
      <c r="G383" s="101" vm="11759">
        <f ca="1"/>
        <v>21.419</v>
      </c>
      <c r="H383" s="101" vm="11760">
        <f ca="1"/>
        <v>18.244499999999999</v>
      </c>
      <c r="I383" s="102" vm="11761">
        <f ca="1"/>
        <v>30619520</v>
      </c>
    </row>
    <row r="384" spans="4:9" x14ac:dyDescent="0.3">
      <c r="D384" s="100" vm="2211">
        <f ca="1"/>
        <v>44760</v>
      </c>
      <c r="E384" s="101" vm="11762">
        <f ca="1"/>
        <v>28.192</v>
      </c>
      <c r="F384" s="101" vm="11763">
        <f ca="1"/>
        <v>23.012</v>
      </c>
      <c r="G384" s="101" vm="4748">
        <f ca="1"/>
        <v>29.95</v>
      </c>
      <c r="H384" s="101" vm="11764">
        <f ca="1"/>
        <v>22.425000000000001</v>
      </c>
      <c r="I384" s="102" vm="11765">
        <f ca="1"/>
        <v>53307040</v>
      </c>
    </row>
    <row r="385" spans="4:9" x14ac:dyDescent="0.3">
      <c r="D385" s="100" vm="2217">
        <f ca="1"/>
        <v>44767</v>
      </c>
      <c r="E385" s="101" vm="11766">
        <f ca="1"/>
        <v>28.606000000000002</v>
      </c>
      <c r="F385" s="101" vm="11767">
        <f ca="1"/>
        <v>26.702000000000002</v>
      </c>
      <c r="G385" s="101" vm="11768">
        <f ca="1"/>
        <v>28.797000000000001</v>
      </c>
      <c r="H385" s="101" vm="11769">
        <f ca="1"/>
        <v>23.568000000000001</v>
      </c>
      <c r="I385" s="102" vm="11770">
        <f ca="1"/>
        <v>30631900</v>
      </c>
    </row>
    <row r="386" spans="4:9" x14ac:dyDescent="0.3">
      <c r="D386" s="100" vm="2223">
        <f ca="1"/>
        <v>44774</v>
      </c>
      <c r="E386" s="101" vm="11771">
        <f ca="1"/>
        <v>31.914999999999999</v>
      </c>
      <c r="F386" s="101" vm="11772">
        <f ca="1"/>
        <v>27.652999999999999</v>
      </c>
      <c r="G386" s="101" vm="11773">
        <f ca="1"/>
        <v>33.222999999999999</v>
      </c>
      <c r="H386" s="101" vm="11774">
        <f ca="1"/>
        <v>27.146000000000001</v>
      </c>
      <c r="I386" s="102" vm="11775">
        <f ca="1"/>
        <v>39601910</v>
      </c>
    </row>
    <row r="387" spans="4:9" x14ac:dyDescent="0.3">
      <c r="D387" s="100" vm="2229">
        <f ca="1"/>
        <v>44781</v>
      </c>
      <c r="E387" s="101" vm="11776">
        <f ca="1"/>
        <v>35.283999999999999</v>
      </c>
      <c r="F387" s="101" vm="11777">
        <f ca="1"/>
        <v>33.564999999999998</v>
      </c>
      <c r="G387" s="101" vm="8801">
        <f ca="1"/>
        <v>36.197000000000003</v>
      </c>
      <c r="H387" s="101" vm="11778">
        <f ca="1"/>
        <v>31.425000000000001</v>
      </c>
      <c r="I387" s="102" vm="11779">
        <f ca="1"/>
        <v>25164290</v>
      </c>
    </row>
    <row r="388" spans="4:9" x14ac:dyDescent="0.3">
      <c r="D388" s="100" vm="2234">
        <f ca="1"/>
        <v>44788</v>
      </c>
      <c r="E388" s="101" vm="11780">
        <f ca="1"/>
        <v>28.3</v>
      </c>
      <c r="F388" s="101" vm="11781">
        <f ca="1"/>
        <v>34.646000000000001</v>
      </c>
      <c r="G388" s="101" vm="11782">
        <f ca="1"/>
        <v>35.8322</v>
      </c>
      <c r="H388" s="101" vm="11783">
        <f ca="1"/>
        <v>28.175999999999998</v>
      </c>
      <c r="I388" s="102" vm="11784">
        <f ca="1"/>
        <v>19741920</v>
      </c>
    </row>
    <row r="389" spans="4:9" x14ac:dyDescent="0.3">
      <c r="D389" s="100" vm="2239">
        <f ca="1"/>
        <v>44795</v>
      </c>
      <c r="E389" s="101" vm="4611">
        <f ca="1"/>
        <v>24.92</v>
      </c>
      <c r="F389" s="101" vm="11785">
        <f ca="1"/>
        <v>27.300999999999998</v>
      </c>
      <c r="G389" s="101" vm="11786">
        <f ca="1"/>
        <v>28.327000000000002</v>
      </c>
      <c r="H389" s="101" vm="3795">
        <f ca="1"/>
        <v>24.8</v>
      </c>
      <c r="I389" s="102" vm="11787">
        <f ca="1"/>
        <v>21124030</v>
      </c>
    </row>
    <row r="390" spans="4:9" x14ac:dyDescent="0.3">
      <c r="D390" s="100" vm="2244">
        <f ca="1"/>
        <v>44802</v>
      </c>
      <c r="E390" s="101" vm="11788">
        <f ca="1"/>
        <v>21.806000000000001</v>
      </c>
      <c r="F390" s="101" vm="11789">
        <f ca="1"/>
        <v>24.137</v>
      </c>
      <c r="G390" s="101" vm="11790">
        <f ca="1"/>
        <v>25.419799999999999</v>
      </c>
      <c r="H390" s="101" vm="11791">
        <f ca="1"/>
        <v>21.329000000000001</v>
      </c>
      <c r="I390" s="102" vm="11792">
        <f ca="1"/>
        <v>29169380</v>
      </c>
    </row>
    <row r="391" spans="4:9" x14ac:dyDescent="0.3">
      <c r="D391" s="100" vm="2250">
        <f ca="1"/>
        <v>44810</v>
      </c>
      <c r="E391" s="101" vm="11793">
        <f ca="1"/>
        <v>26.196999999999999</v>
      </c>
      <c r="F391" s="101" vm="11794">
        <f ca="1"/>
        <v>21.853000000000002</v>
      </c>
      <c r="G391" s="101" vm="11795">
        <f ca="1"/>
        <v>26.221</v>
      </c>
      <c r="H391" s="101" vm="3685">
        <f ca="1"/>
        <v>20.29</v>
      </c>
      <c r="I391" s="102" vm="11796">
        <f ca="1"/>
        <v>28085600</v>
      </c>
    </row>
    <row r="392" spans="4:9" x14ac:dyDescent="0.3">
      <c r="D392" s="100" vm="2256">
        <f ca="1"/>
        <v>44816</v>
      </c>
      <c r="E392" s="101" vm="11797">
        <f ca="1"/>
        <v>20.634</v>
      </c>
      <c r="F392" s="101" vm="11798">
        <f ca="1"/>
        <v>26.321000000000002</v>
      </c>
      <c r="G392" s="101" vm="11799">
        <f ca="1"/>
        <v>26.798999999999999</v>
      </c>
      <c r="H392" s="101" vm="11800">
        <f ca="1"/>
        <v>20.321999999999999</v>
      </c>
      <c r="I392" s="102" vm="11801">
        <f ca="1"/>
        <v>40894450</v>
      </c>
    </row>
    <row r="393" spans="4:9" x14ac:dyDescent="0.3">
      <c r="D393" s="100" vm="2262">
        <f ca="1"/>
        <v>44823</v>
      </c>
      <c r="E393" s="101" vm="11802">
        <f ca="1"/>
        <v>19.145</v>
      </c>
      <c r="F393" s="101" vm="11803">
        <f ca="1"/>
        <v>19.926500000000001</v>
      </c>
      <c r="G393" s="101" vm="11804">
        <f ca="1"/>
        <v>20.832999999999998</v>
      </c>
      <c r="H393" s="101" vm="11805">
        <f ca="1"/>
        <v>18.349</v>
      </c>
      <c r="I393" s="102" vm="11806">
        <f ca="1"/>
        <v>36024870</v>
      </c>
    </row>
    <row r="394" spans="4:9" x14ac:dyDescent="0.3">
      <c r="D394" s="100" vm="2267">
        <f ca="1"/>
        <v>44830</v>
      </c>
      <c r="E394" s="101" vm="11807">
        <f ca="1"/>
        <v>21.225999999999999</v>
      </c>
      <c r="F394" s="101" vm="11808">
        <f ca="1"/>
        <v>19.181999999999999</v>
      </c>
      <c r="G394" s="101" vm="11809">
        <f ca="1"/>
        <v>22.603999999999999</v>
      </c>
      <c r="H394" s="101" vm="3561">
        <f ca="1"/>
        <v>19.149999999999999</v>
      </c>
      <c r="I394" s="102" vm="11810">
        <f ca="1"/>
        <v>25237720</v>
      </c>
    </row>
    <row r="395" spans="4:9" x14ac:dyDescent="0.3">
      <c r="D395" s="100" vm="2273">
        <f ca="1"/>
        <v>44837</v>
      </c>
      <c r="E395" s="101" vm="11811">
        <f ca="1"/>
        <v>22.03</v>
      </c>
      <c r="F395" s="101" vm="3976">
        <f ca="1"/>
        <v>21.39</v>
      </c>
      <c r="G395" s="101" vm="11812">
        <f ca="1"/>
        <v>24.916599999999999</v>
      </c>
      <c r="H395" s="101" vm="11813">
        <f ca="1"/>
        <v>21.213999999999999</v>
      </c>
      <c r="I395" s="102" vm="11814">
        <f ca="1"/>
        <v>22520520</v>
      </c>
    </row>
    <row r="396" spans="4:9" x14ac:dyDescent="0.3">
      <c r="D396" s="100" vm="2279">
        <f ca="1"/>
        <v>44844</v>
      </c>
      <c r="E396" s="101" vm="11815">
        <f ca="1"/>
        <v>20.931000000000001</v>
      </c>
      <c r="F396" s="101" vm="11816">
        <f ca="1"/>
        <v>21.962</v>
      </c>
      <c r="G396" s="101" vm="11817">
        <f ca="1"/>
        <v>23.186</v>
      </c>
      <c r="H396" s="101" vm="11818">
        <f ca="1"/>
        <v>19.8125</v>
      </c>
      <c r="I396" s="102" vm="11819">
        <f ca="1"/>
        <v>19682860</v>
      </c>
    </row>
    <row r="397" spans="4:9" x14ac:dyDescent="0.3">
      <c r="D397" s="100" vm="2285">
        <f ca="1"/>
        <v>44851</v>
      </c>
      <c r="E397" s="101" vm="11820">
        <f ca="1"/>
        <v>23.262</v>
      </c>
      <c r="F397" s="101" vm="3608">
        <f ca="1"/>
        <v>22</v>
      </c>
      <c r="G397" s="101" vm="11821">
        <f ca="1"/>
        <v>23.530999999999999</v>
      </c>
      <c r="H397" s="101" vm="11822">
        <f ca="1"/>
        <v>21.649000000000001</v>
      </c>
      <c r="I397" s="102" vm="11823">
        <f ca="1"/>
        <v>18461340</v>
      </c>
    </row>
    <row r="398" spans="4:9" x14ac:dyDescent="0.3">
      <c r="D398" s="100" vm="2291">
        <f ca="1"/>
        <v>44858</v>
      </c>
      <c r="E398" s="101" vm="11824">
        <f ca="1"/>
        <v>27.998999999999999</v>
      </c>
      <c r="F398" s="101" vm="3674">
        <f ca="1"/>
        <v>23.3</v>
      </c>
      <c r="G398" s="101" vm="11825">
        <f ca="1"/>
        <v>29</v>
      </c>
      <c r="H398" s="101" vm="6670">
        <f ca="1"/>
        <v>22.635999999999999</v>
      </c>
      <c r="I398" s="102" vm="11826">
        <f ca="1"/>
        <v>23377730</v>
      </c>
    </row>
    <row r="399" spans="4:9" x14ac:dyDescent="0.3">
      <c r="D399" s="100" vm="2297">
        <f ca="1"/>
        <v>44865</v>
      </c>
      <c r="E399" s="101" vm="11827">
        <f ca="1"/>
        <v>27.71</v>
      </c>
      <c r="F399" s="101" vm="4384">
        <f ca="1"/>
        <v>27.89</v>
      </c>
      <c r="G399" s="101" vm="11828">
        <f ca="1"/>
        <v>28.388000000000002</v>
      </c>
      <c r="H399" s="101" vm="11829">
        <f ca="1"/>
        <v>24.135999999999999</v>
      </c>
      <c r="I399" s="102" vm="11830">
        <f ca="1"/>
        <v>22391270</v>
      </c>
    </row>
    <row r="400" spans="4:9" x14ac:dyDescent="0.3">
      <c r="D400" s="100" vm="2302">
        <f ca="1"/>
        <v>44872</v>
      </c>
      <c r="E400" s="101" vm="11831">
        <f ca="1"/>
        <v>17.518000000000001</v>
      </c>
      <c r="F400" s="101" vm="11832">
        <f ca="1"/>
        <v>27.140999999999998</v>
      </c>
      <c r="G400" s="101" vm="4382">
        <f ca="1"/>
        <v>27.38</v>
      </c>
      <c r="H400" s="101" vm="3385">
        <f ca="1"/>
        <v>15.53</v>
      </c>
      <c r="I400" s="102" vm="11833">
        <f ca="1"/>
        <v>97950900</v>
      </c>
    </row>
    <row r="401" spans="4:9" x14ac:dyDescent="0.3">
      <c r="D401" s="100" vm="2308">
        <f ca="1"/>
        <v>44879</v>
      </c>
      <c r="E401" s="101" vm="11834">
        <f ca="1"/>
        <v>17.012</v>
      </c>
      <c r="F401" s="101" vm="11835">
        <f ca="1"/>
        <v>17.131</v>
      </c>
      <c r="G401" s="101" vm="11836">
        <f ca="1"/>
        <v>17.91</v>
      </c>
      <c r="H401" s="101" vm="6857">
        <f ca="1"/>
        <v>16</v>
      </c>
      <c r="I401" s="102" vm="11837">
        <f ca="1"/>
        <v>35112370</v>
      </c>
    </row>
    <row r="402" spans="4:9" x14ac:dyDescent="0.3">
      <c r="D402" s="100" vm="2313">
        <f ca="1"/>
        <v>44886</v>
      </c>
      <c r="E402" s="101" vm="4160">
        <f ca="1"/>
        <v>18.3</v>
      </c>
      <c r="F402" s="101" vm="11167">
        <f ca="1"/>
        <v>16.5</v>
      </c>
      <c r="G402" s="101" vm="4160">
        <f ca="1"/>
        <v>18.3</v>
      </c>
      <c r="H402" s="101" vm="11838">
        <f ca="1"/>
        <v>15.234</v>
      </c>
      <c r="I402" s="102" vm="11839">
        <f ca="1"/>
        <v>22368810</v>
      </c>
    </row>
    <row r="403" spans="4:9" x14ac:dyDescent="0.3">
      <c r="D403" s="100" vm="2319">
        <f ca="1"/>
        <v>44893</v>
      </c>
      <c r="E403" s="101" vm="11840">
        <f ca="1"/>
        <v>20.693999999999999</v>
      </c>
      <c r="F403" s="101" vm="11841">
        <f ca="1"/>
        <v>17.872</v>
      </c>
      <c r="G403" s="101" vm="11842">
        <f ca="1"/>
        <v>21.149000000000001</v>
      </c>
      <c r="H403" s="101" vm="11843">
        <f ca="1"/>
        <v>16.916</v>
      </c>
      <c r="I403" s="102" vm="11844">
        <f ca="1"/>
        <v>28821590</v>
      </c>
    </row>
    <row r="404" spans="4:9" x14ac:dyDescent="0.3">
      <c r="D404" s="100" vm="2325">
        <f ca="1"/>
        <v>44900</v>
      </c>
      <c r="E404" s="101" vm="11845">
        <f ca="1"/>
        <v>20.324999999999999</v>
      </c>
      <c r="F404" s="101" vm="11846">
        <f ca="1"/>
        <v>20.85</v>
      </c>
      <c r="G404" s="101" vm="11847">
        <f ca="1"/>
        <v>21.073</v>
      </c>
      <c r="H404" s="101" vm="11848">
        <f ca="1"/>
        <v>18.725000000000001</v>
      </c>
      <c r="I404" s="102" vm="11849">
        <f ca="1"/>
        <v>21763240</v>
      </c>
    </row>
    <row r="405" spans="4:9" x14ac:dyDescent="0.3">
      <c r="D405" s="100" vm="2330">
        <f ca="1"/>
        <v>44907</v>
      </c>
      <c r="E405" s="101" vm="11850">
        <f ca="1"/>
        <v>17.375</v>
      </c>
      <c r="F405" s="101" vm="4039">
        <f ca="1"/>
        <v>19.899999999999999</v>
      </c>
      <c r="G405" s="101" vm="11851">
        <f ca="1"/>
        <v>21.378</v>
      </c>
      <c r="H405" s="101" vm="11852">
        <f ca="1"/>
        <v>17.233000000000001</v>
      </c>
      <c r="I405" s="102" vm="11853">
        <f ca="1"/>
        <v>25391910</v>
      </c>
    </row>
    <row r="406" spans="4:9" x14ac:dyDescent="0.3">
      <c r="D406" s="100" vm="2336">
        <f ca="1"/>
        <v>44914</v>
      </c>
      <c r="E406" s="101" vm="11854">
        <f ca="1"/>
        <v>16.266999999999999</v>
      </c>
      <c r="F406" s="101" vm="10409">
        <f ca="1"/>
        <v>17.231000000000002</v>
      </c>
      <c r="G406" s="101" vm="11855">
        <f ca="1"/>
        <v>17.884</v>
      </c>
      <c r="H406" s="101" vm="11856">
        <f ca="1"/>
        <v>16.053999999999998</v>
      </c>
      <c r="I406" s="102" vm="11857">
        <f ca="1"/>
        <v>16120280</v>
      </c>
    </row>
    <row r="407" spans="4:9" x14ac:dyDescent="0.3">
      <c r="D407" s="100" vm="2342">
        <f ca="1"/>
        <v>44922</v>
      </c>
      <c r="E407" s="101" vm="6604">
        <f ca="1"/>
        <v>14.157</v>
      </c>
      <c r="F407" s="101" vm="6857">
        <f ca="1"/>
        <v>16</v>
      </c>
      <c r="G407" s="101" vm="11858">
        <f ca="1"/>
        <v>16.007000000000001</v>
      </c>
      <c r="H407" s="101" vm="11859">
        <f ca="1"/>
        <v>13.256</v>
      </c>
      <c r="I407" s="102" vm="11860">
        <f ca="1"/>
        <v>28238540</v>
      </c>
    </row>
    <row r="408" spans="4:9" x14ac:dyDescent="0.3">
      <c r="D408" s="100" vm="2348">
        <f ca="1"/>
        <v>44929</v>
      </c>
      <c r="E408" s="101" vm="11861">
        <f ca="1"/>
        <v>16.045000000000002</v>
      </c>
      <c r="F408" s="101" vm="11862">
        <f ca="1"/>
        <v>14.567</v>
      </c>
      <c r="G408" s="101" vm="11863">
        <f ca="1"/>
        <v>16.569500000000001</v>
      </c>
      <c r="H408" s="101" vm="11864">
        <f ca="1"/>
        <v>13.938000000000001</v>
      </c>
      <c r="I408" s="102" vm="11865">
        <f ca="1"/>
        <v>25406900</v>
      </c>
    </row>
    <row r="409" spans="4:9" x14ac:dyDescent="0.3">
      <c r="D409" s="100" vm="2354">
        <f ca="1"/>
        <v>44935</v>
      </c>
      <c r="E409" s="101" vm="11866">
        <f ca="1"/>
        <v>21.696999999999999</v>
      </c>
      <c r="F409" s="101" vm="4111">
        <f ca="1"/>
        <v>17</v>
      </c>
      <c r="G409" s="101" vm="11867">
        <f ca="1"/>
        <v>22.216999999999999</v>
      </c>
      <c r="H409" s="101" vm="11868">
        <f ca="1"/>
        <v>16.54</v>
      </c>
      <c r="I409" s="102" vm="11869">
        <f ca="1"/>
        <v>38745580</v>
      </c>
    </row>
    <row r="410" spans="4:9" x14ac:dyDescent="0.3">
      <c r="D410" s="100" vm="2360">
        <f ca="1"/>
        <v>44943</v>
      </c>
      <c r="E410" s="101" vm="11870">
        <f ca="1"/>
        <v>24.003</v>
      </c>
      <c r="F410" s="101" vm="11871">
        <f ca="1"/>
        <v>23.2</v>
      </c>
      <c r="G410" s="101" vm="11872">
        <f ca="1"/>
        <v>24.202999999999999</v>
      </c>
      <c r="H410" s="101" vm="7019">
        <f ca="1"/>
        <v>20.962</v>
      </c>
      <c r="I410" s="102" vm="11873">
        <f ca="1"/>
        <v>34482200</v>
      </c>
    </row>
    <row r="411" spans="4:9" x14ac:dyDescent="0.3">
      <c r="D411" s="100" vm="2365">
        <f ca="1"/>
        <v>44949</v>
      </c>
      <c r="E411" s="101" vm="11874">
        <f ca="1"/>
        <v>25.835999999999999</v>
      </c>
      <c r="F411" s="101" vm="11875">
        <f ca="1"/>
        <v>24.094999999999999</v>
      </c>
      <c r="G411" s="101" vm="11876">
        <f ca="1"/>
        <v>26.21</v>
      </c>
      <c r="H411" s="101" vm="11877">
        <f ca="1"/>
        <v>23.215</v>
      </c>
      <c r="I411" s="102" vm="11878">
        <f ca="1"/>
        <v>24594440</v>
      </c>
    </row>
    <row r="412" spans="4:9" x14ac:dyDescent="0.3">
      <c r="D412" s="100" vm="2371">
        <f ca="1"/>
        <v>44956</v>
      </c>
      <c r="E412" s="101" vm="11879">
        <f ca="1"/>
        <v>28.475999999999999</v>
      </c>
      <c r="F412" s="101" vm="11880">
        <f ca="1"/>
        <v>25.234999999999999</v>
      </c>
      <c r="G412" s="101" vm="11881">
        <f ca="1"/>
        <v>30.34</v>
      </c>
      <c r="H412" s="101" vm="11882">
        <f ca="1"/>
        <v>23.942</v>
      </c>
      <c r="I412" s="102" vm="11883">
        <f ca="1"/>
        <v>32400510</v>
      </c>
    </row>
    <row r="413" spans="4:9" x14ac:dyDescent="0.3">
      <c r="D413" s="100" vm="2376">
        <f ca="1"/>
        <v>44963</v>
      </c>
      <c r="E413" s="101" vm="11884">
        <f ca="1"/>
        <v>24.337</v>
      </c>
      <c r="F413" s="101" vm="11885">
        <f ca="1"/>
        <v>27.431000000000001</v>
      </c>
      <c r="G413" s="101" vm="11886">
        <f ca="1"/>
        <v>29.040900000000001</v>
      </c>
      <c r="H413" s="101" vm="11887">
        <f ca="1"/>
        <v>24.100999999999999</v>
      </c>
      <c r="I413" s="102" vm="11888">
        <f ca="1"/>
        <v>24005710</v>
      </c>
    </row>
    <row r="414" spans="4:9" x14ac:dyDescent="0.3">
      <c r="D414" s="100" vm="2382">
        <f ca="1"/>
        <v>44970</v>
      </c>
      <c r="E414" s="101" vm="11889">
        <f ca="1"/>
        <v>29.405000000000001</v>
      </c>
      <c r="F414" s="101" vm="11890">
        <f ca="1"/>
        <v>23.902999999999999</v>
      </c>
      <c r="G414" s="101" vm="11891">
        <f ca="1"/>
        <v>31.5</v>
      </c>
      <c r="H414" s="101" vm="11892">
        <f ca="1"/>
        <v>23.654199999999999</v>
      </c>
      <c r="I414" s="102" vm="11893">
        <f ca="1"/>
        <v>32001620</v>
      </c>
    </row>
    <row r="415" spans="4:9" x14ac:dyDescent="0.3">
      <c r="D415" s="100" vm="2388">
        <f ca="1"/>
        <v>44978</v>
      </c>
      <c r="E415" s="101" vm="5070">
        <f ca="1"/>
        <v>25.58</v>
      </c>
      <c r="F415" s="101" vm="11894">
        <f ca="1"/>
        <v>28.623999999999999</v>
      </c>
      <c r="G415" s="101" vm="11895">
        <f ca="1"/>
        <v>29.074000000000002</v>
      </c>
      <c r="H415" s="101" vm="11896">
        <f ca="1"/>
        <v>24.887</v>
      </c>
      <c r="I415" s="102" vm="11897">
        <f ca="1"/>
        <v>17979370</v>
      </c>
    </row>
    <row r="416" spans="4:9" x14ac:dyDescent="0.3">
      <c r="D416" s="100" vm="2394">
        <f ca="1"/>
        <v>44984</v>
      </c>
      <c r="E416" s="101" vm="11898">
        <f ca="1"/>
        <v>24.690999999999999</v>
      </c>
      <c r="F416" s="101" vm="11899">
        <f ca="1"/>
        <v>26.359000000000002</v>
      </c>
      <c r="G416" s="101" vm="426">
        <f ca="1"/>
        <v>26.975000000000001</v>
      </c>
      <c r="H416" s="101" vm="11900">
        <f ca="1"/>
        <v>23.684999999999999</v>
      </c>
      <c r="I416" s="102" vm="11901">
        <f ca="1"/>
        <v>23484670</v>
      </c>
    </row>
    <row r="417" spans="4:9" x14ac:dyDescent="0.3">
      <c r="D417" s="100" vm="2400">
        <f ca="1"/>
        <v>44991</v>
      </c>
      <c r="E417" s="101" vm="11902">
        <f ca="1"/>
        <v>19.201000000000001</v>
      </c>
      <c r="F417" s="101" vm="11903">
        <f ca="1"/>
        <v>24.934999999999999</v>
      </c>
      <c r="G417" s="101" vm="11904">
        <f ca="1"/>
        <v>25.204000000000001</v>
      </c>
      <c r="H417" s="101" vm="3513">
        <f ca="1"/>
        <v>18.829999999999998</v>
      </c>
      <c r="I417" s="102" vm="11905">
        <f ca="1"/>
        <v>35952150</v>
      </c>
    </row>
    <row r="418" spans="4:9" x14ac:dyDescent="0.3">
      <c r="D418" s="100" vm="2406">
        <f ca="1"/>
        <v>44998</v>
      </c>
      <c r="E418" s="101" vm="11906">
        <f ca="1"/>
        <v>26.765999999999998</v>
      </c>
      <c r="F418" s="101" vm="11907">
        <f ca="1"/>
        <v>20.202000000000002</v>
      </c>
      <c r="G418" s="101" vm="11908">
        <f ca="1"/>
        <v>27.4</v>
      </c>
      <c r="H418" s="101" vm="10599">
        <f ca="1"/>
        <v>19.635000000000002</v>
      </c>
      <c r="I418" s="102" vm="11909">
        <f ca="1"/>
        <v>61452930</v>
      </c>
    </row>
    <row r="419" spans="4:9" x14ac:dyDescent="0.3">
      <c r="D419" s="100" vm="2411">
        <f ca="1"/>
        <v>45005</v>
      </c>
      <c r="E419" s="101" vm="11910">
        <f ca="1"/>
        <v>25.667000000000002</v>
      </c>
      <c r="F419" s="101" vm="11911">
        <f ca="1"/>
        <v>28.042999999999999</v>
      </c>
      <c r="G419" s="101" vm="11912">
        <f ca="1"/>
        <v>28.172999999999998</v>
      </c>
      <c r="H419" s="101" vm="11913">
        <f ca="1"/>
        <v>24.600999999999999</v>
      </c>
      <c r="I419" s="102" vm="11914">
        <f ca="1"/>
        <v>50284160</v>
      </c>
    </row>
    <row r="420" spans="4:9" x14ac:dyDescent="0.3">
      <c r="D420" s="100" vm="2417">
        <f ca="1"/>
        <v>45012</v>
      </c>
      <c r="E420" s="101" vm="11915">
        <f ca="1"/>
        <v>29.231999999999999</v>
      </c>
      <c r="F420" s="101" vm="11916">
        <f ca="1"/>
        <v>25.986000000000001</v>
      </c>
      <c r="G420" s="101" vm="521">
        <f ca="1"/>
        <v>29.54</v>
      </c>
      <c r="H420" s="101" vm="11917">
        <f ca="1"/>
        <v>23.071999999999999</v>
      </c>
      <c r="I420" s="102" vm="11918">
        <f ca="1"/>
        <v>45621220</v>
      </c>
    </row>
    <row r="421" spans="4:9" x14ac:dyDescent="0.3">
      <c r="D421" s="100" vm="2423">
        <f ca="1"/>
        <v>45019</v>
      </c>
      <c r="E421" s="101" vm="103">
        <f ca="1"/>
        <v>29.01</v>
      </c>
      <c r="F421" s="101" vm="11919">
        <f ca="1"/>
        <v>29.099</v>
      </c>
      <c r="G421" s="101" vm="4334">
        <f ca="1"/>
        <v>30.7</v>
      </c>
      <c r="H421" s="101" vm="11920">
        <f ca="1"/>
        <v>27.837</v>
      </c>
      <c r="I421" s="102" vm="11921">
        <f ca="1"/>
        <v>26273430</v>
      </c>
    </row>
    <row r="422" spans="4:9" x14ac:dyDescent="0.3">
      <c r="D422" s="100" vm="2429">
        <f ca="1"/>
        <v>45026</v>
      </c>
      <c r="E422" s="101" vm="11922">
        <f ca="1"/>
        <v>33.375</v>
      </c>
      <c r="F422" s="101" vm="11825">
        <f ca="1"/>
        <v>29</v>
      </c>
      <c r="G422" s="101" vm="11923">
        <f ca="1"/>
        <v>34.762999999999998</v>
      </c>
      <c r="H422" s="101" vm="4891">
        <f ca="1"/>
        <v>28.5</v>
      </c>
      <c r="I422" s="102" vm="11924">
        <f ca="1"/>
        <v>52958280</v>
      </c>
    </row>
    <row r="423" spans="4:9" x14ac:dyDescent="0.3">
      <c r="D423" s="100" vm="2435">
        <f ca="1"/>
        <v>45033</v>
      </c>
      <c r="E423" s="101" vm="11925">
        <f ca="1"/>
        <v>29.102</v>
      </c>
      <c r="F423" s="101" vm="11926">
        <f ca="1"/>
        <v>32.173000000000002</v>
      </c>
      <c r="G423" s="101" vm="11927">
        <f ca="1"/>
        <v>33.4</v>
      </c>
      <c r="H423" s="101" vm="11928">
        <f ca="1"/>
        <v>28.774000000000001</v>
      </c>
      <c r="I423" s="102" vm="11929">
        <f ca="1"/>
        <v>38769990</v>
      </c>
    </row>
    <row r="424" spans="4:9" x14ac:dyDescent="0.3">
      <c r="D424" s="100" vm="2440">
        <f ca="1"/>
        <v>45040</v>
      </c>
      <c r="E424" s="101" vm="11930">
        <f ca="1"/>
        <v>32.838000000000001</v>
      </c>
      <c r="F424" s="101" vm="11931">
        <f ca="1"/>
        <v>29.103000000000002</v>
      </c>
      <c r="G424" s="101" vm="11932">
        <f ca="1"/>
        <v>32.898000000000003</v>
      </c>
      <c r="H424" s="101" vm="11933">
        <f ca="1"/>
        <v>28.015000000000001</v>
      </c>
      <c r="I424" s="102" vm="11934">
        <f ca="1"/>
        <v>39968760</v>
      </c>
    </row>
    <row r="425" spans="4:9" x14ac:dyDescent="0.3">
      <c r="D425" s="100" vm="2445">
        <f ca="1"/>
        <v>45047</v>
      </c>
      <c r="E425" s="101" vm="11935">
        <f ca="1"/>
        <v>32.671999999999997</v>
      </c>
      <c r="F425" s="101" vm="11654">
        <f ca="1"/>
        <v>32</v>
      </c>
      <c r="G425" s="101" vm="11936">
        <f ca="1"/>
        <v>33.292700000000004</v>
      </c>
      <c r="H425" s="101" vm="11937">
        <f ca="1"/>
        <v>30.167999999999999</v>
      </c>
      <c r="I425" s="102" vm="11938">
        <f ca="1"/>
        <v>50950970</v>
      </c>
    </row>
    <row r="426" spans="4:9" x14ac:dyDescent="0.3">
      <c r="D426" s="100" vm="2451">
        <f ca="1"/>
        <v>45054</v>
      </c>
      <c r="E426" s="101" vm="4246">
        <f ca="1"/>
        <v>27.1</v>
      </c>
      <c r="F426" s="101" vm="11939">
        <f ca="1"/>
        <v>31.114999999999998</v>
      </c>
      <c r="G426" s="101" vm="11940">
        <f ca="1"/>
        <v>32.564999999999998</v>
      </c>
      <c r="H426" s="101" vm="11941">
        <f ca="1"/>
        <v>26.651</v>
      </c>
      <c r="I426" s="102" vm="11942">
        <f ca="1"/>
        <v>56874910</v>
      </c>
    </row>
    <row r="427" spans="4:9" x14ac:dyDescent="0.3">
      <c r="D427" s="100" vm="2457">
        <f ca="1"/>
        <v>45061</v>
      </c>
      <c r="E427" s="101" vm="11943">
        <f ca="1"/>
        <v>28.827999999999999</v>
      </c>
      <c r="F427" s="101" vm="4375">
        <f ca="1"/>
        <v>28</v>
      </c>
      <c r="G427" s="101" vm="11944">
        <f ca="1"/>
        <v>29.721</v>
      </c>
      <c r="H427" s="101" vm="11945">
        <f ca="1"/>
        <v>26.925999999999998</v>
      </c>
      <c r="I427" s="102" vm="11946">
        <f ca="1"/>
        <v>27702360</v>
      </c>
    </row>
    <row r="428" spans="4:9" x14ac:dyDescent="0.3">
      <c r="D428" s="100" vm="2463">
        <f ca="1"/>
        <v>45068</v>
      </c>
      <c r="E428" s="101" vm="11947">
        <f ca="1"/>
        <v>28.51</v>
      </c>
      <c r="F428" s="101" vm="6721">
        <f ca="1"/>
        <v>28.777999999999999</v>
      </c>
      <c r="G428" s="101" vm="4326">
        <f ca="1"/>
        <v>30.12</v>
      </c>
      <c r="H428" s="101" vm="11948">
        <f ca="1"/>
        <v>27.285</v>
      </c>
      <c r="I428" s="102" vm="11949">
        <f ca="1"/>
        <v>35741010</v>
      </c>
    </row>
    <row r="429" spans="4:9" x14ac:dyDescent="0.3">
      <c r="D429" s="100" vm="2469">
        <f ca="1"/>
        <v>45076</v>
      </c>
      <c r="E429" s="101" vm="11950">
        <f ca="1"/>
        <v>30.213000000000001</v>
      </c>
      <c r="F429" s="101" vm="4567">
        <f ca="1"/>
        <v>30.01</v>
      </c>
      <c r="G429" s="101" vm="11951">
        <f ca="1"/>
        <v>31.364000000000001</v>
      </c>
      <c r="H429" s="101" vm="4330">
        <f ca="1"/>
        <v>28.9</v>
      </c>
      <c r="I429" s="102" vm="11952">
        <f ca="1"/>
        <v>28453860</v>
      </c>
    </row>
    <row r="430" spans="4:9" x14ac:dyDescent="0.3">
      <c r="D430" s="100" vm="2475">
        <f ca="1"/>
        <v>45082</v>
      </c>
      <c r="E430" s="101" vm="11953">
        <f ca="1"/>
        <v>28.233000000000001</v>
      </c>
      <c r="F430" s="101" vm="11954">
        <f ca="1"/>
        <v>29.446999999999999</v>
      </c>
      <c r="G430" s="101" vm="11955">
        <f ca="1"/>
        <v>30.456499999999998</v>
      </c>
      <c r="H430" s="101" vm="420">
        <f ca="1"/>
        <v>26.655000000000001</v>
      </c>
      <c r="I430" s="102" vm="11956">
        <f ca="1"/>
        <v>50109300</v>
      </c>
    </row>
    <row r="431" spans="4:9" x14ac:dyDescent="0.3">
      <c r="D431" s="100" vm="2481">
        <f ca="1"/>
        <v>45089</v>
      </c>
      <c r="E431" s="101" vm="11957">
        <f ca="1"/>
        <v>29.338999999999999</v>
      </c>
      <c r="F431" s="101" vm="121">
        <f ca="1"/>
        <v>27.912500000000001</v>
      </c>
      <c r="G431" s="101" vm="4742">
        <f ca="1"/>
        <v>29.8</v>
      </c>
      <c r="H431" s="101" vm="11958">
        <f ca="1"/>
        <v>26.6</v>
      </c>
      <c r="I431" s="102" vm="11959">
        <f ca="1"/>
        <v>34239000</v>
      </c>
    </row>
    <row r="432" spans="4:9" x14ac:dyDescent="0.3">
      <c r="D432" s="100" vm="2487">
        <f ca="1"/>
        <v>45097</v>
      </c>
      <c r="E432" s="101" vm="11960">
        <f ca="1"/>
        <v>32.911000000000001</v>
      </c>
      <c r="F432" s="101" vm="531">
        <f ca="1"/>
        <v>30</v>
      </c>
      <c r="G432" s="101" vm="4289">
        <f ca="1"/>
        <v>33.799999999999997</v>
      </c>
      <c r="H432" s="101" vm="11961">
        <f ca="1"/>
        <v>28.969000000000001</v>
      </c>
      <c r="I432" s="102" vm="11962">
        <f ca="1"/>
        <v>65191820</v>
      </c>
    </row>
    <row r="433" spans="4:9" x14ac:dyDescent="0.3">
      <c r="D433" s="100" vm="2493">
        <f ca="1"/>
        <v>45103</v>
      </c>
      <c r="E433" s="101" vm="11963">
        <f ca="1"/>
        <v>34.241999999999997</v>
      </c>
      <c r="F433" s="101" vm="11964">
        <f ca="1"/>
        <v>32.4</v>
      </c>
      <c r="G433" s="101" vm="5048">
        <f ca="1"/>
        <v>35.274999999999999</v>
      </c>
      <c r="H433" s="101" vm="11965">
        <f ca="1"/>
        <v>30.108499999999999</v>
      </c>
      <c r="I433" s="102" vm="11966">
        <f ca="1"/>
        <v>50466190</v>
      </c>
    </row>
    <row r="434" spans="4:9" x14ac:dyDescent="0.3">
      <c r="D434" s="100" vm="2499">
        <f ca="1"/>
        <v>45110</v>
      </c>
      <c r="E434" s="101" vm="11967">
        <f ca="1"/>
        <v>38.073999999999998</v>
      </c>
      <c r="F434" s="101" vm="11968">
        <f ca="1"/>
        <v>34.700000000000003</v>
      </c>
      <c r="G434" s="101" vm="7091">
        <f ca="1"/>
        <v>39.200000000000003</v>
      </c>
      <c r="H434" s="101" vm="11969">
        <f ca="1"/>
        <v>34.598999999999997</v>
      </c>
      <c r="I434" s="102" vm="11970">
        <f ca="1"/>
        <v>41277890</v>
      </c>
    </row>
    <row r="435" spans="4:9" x14ac:dyDescent="0.3">
      <c r="D435" s="100" vm="2505">
        <f ca="1"/>
        <v>45117</v>
      </c>
      <c r="E435" s="101" vm="11971">
        <f ca="1"/>
        <v>45.886000000000003</v>
      </c>
      <c r="F435" s="101" vm="11972">
        <f ca="1"/>
        <v>38.116999999999997</v>
      </c>
      <c r="G435" s="101" vm="11973">
        <f ca="1"/>
        <v>47.5092</v>
      </c>
      <c r="H435" s="101" vm="11974">
        <f ca="1"/>
        <v>37.0047</v>
      </c>
      <c r="I435" s="102" vm="11975">
        <f ca="1"/>
        <v>69287730</v>
      </c>
    </row>
    <row r="436" spans="4:9" x14ac:dyDescent="0.3">
      <c r="D436" s="100" vm="2511">
        <f ca="1"/>
        <v>45124</v>
      </c>
      <c r="E436" s="101" vm="11976">
        <f ca="1"/>
        <v>43.664999999999999</v>
      </c>
      <c r="F436" s="101" vm="11977">
        <f ca="1"/>
        <v>45.719499999999996</v>
      </c>
      <c r="G436" s="101" vm="11978">
        <f ca="1"/>
        <v>46.7</v>
      </c>
      <c r="H436" s="101" vm="11979">
        <f ca="1"/>
        <v>42.655000000000001</v>
      </c>
      <c r="I436" s="102" vm="11980">
        <f ca="1"/>
        <v>33922640</v>
      </c>
    </row>
    <row r="437" spans="4:9" x14ac:dyDescent="0.3">
      <c r="D437" s="100" vm="2517">
        <f ca="1"/>
        <v>45131</v>
      </c>
      <c r="E437" s="101" vm="11981">
        <f ca="1"/>
        <v>43.460999999999999</v>
      </c>
      <c r="F437" s="101" vm="7102">
        <f ca="1"/>
        <v>42.764000000000003</v>
      </c>
      <c r="G437" s="101" vm="11982">
        <f ca="1"/>
        <v>45.246000000000002</v>
      </c>
      <c r="H437" s="101" vm="11983">
        <f ca="1"/>
        <v>41.292999999999999</v>
      </c>
      <c r="I437" s="102" vm="11984">
        <f ca="1"/>
        <v>26631400</v>
      </c>
    </row>
    <row r="438" spans="4:9" x14ac:dyDescent="0.3">
      <c r="D438" s="100" vm="2523">
        <f ca="1"/>
        <v>45138</v>
      </c>
      <c r="E438" s="101" vm="11985">
        <f ca="1"/>
        <v>37.697000000000003</v>
      </c>
      <c r="F438" s="101" vm="11986">
        <f ca="1"/>
        <v>44</v>
      </c>
      <c r="G438" s="101" vm="11987">
        <f ca="1"/>
        <v>44.283999999999999</v>
      </c>
      <c r="H438" s="101" vm="11988">
        <f ca="1"/>
        <v>37.445</v>
      </c>
      <c r="I438" s="102" vm="11989">
        <f ca="1"/>
        <v>34158190</v>
      </c>
    </row>
    <row r="439" spans="4:9" x14ac:dyDescent="0.3">
      <c r="D439" s="100" vm="2529">
        <f ca="1"/>
        <v>45145</v>
      </c>
      <c r="E439" s="101" vm="11990">
        <f ca="1"/>
        <v>38.430999999999997</v>
      </c>
      <c r="F439" s="101" vm="11991">
        <f ca="1"/>
        <v>37.103000000000002</v>
      </c>
      <c r="G439" s="101" vm="4456">
        <f ca="1"/>
        <v>39.65</v>
      </c>
      <c r="H439" s="101" vm="11992">
        <f ca="1"/>
        <v>35.770000000000003</v>
      </c>
      <c r="I439" s="102" vm="11993">
        <f ca="1"/>
        <v>27259020</v>
      </c>
    </row>
    <row r="440" spans="4:9" x14ac:dyDescent="0.3">
      <c r="D440" s="100" vm="2534">
        <f ca="1"/>
        <v>45152</v>
      </c>
      <c r="E440" s="101" vm="11994">
        <f ca="1"/>
        <v>32.862000000000002</v>
      </c>
      <c r="F440" s="101" vm="11995">
        <f ca="1"/>
        <v>38.156999999999996</v>
      </c>
      <c r="G440" s="101" vm="11996">
        <f ca="1"/>
        <v>39.268999999999998</v>
      </c>
      <c r="H440" s="101" vm="11997">
        <f ca="1"/>
        <v>32.228999999999999</v>
      </c>
      <c r="I440" s="102" vm="11998">
        <f ca="1"/>
        <v>30217370</v>
      </c>
    </row>
    <row r="441" spans="4:9" x14ac:dyDescent="0.3">
      <c r="D441" s="100" vm="2540">
        <f ca="1"/>
        <v>45159</v>
      </c>
      <c r="E441" s="101" vm="5045">
        <f ca="1"/>
        <v>33.604999999999997</v>
      </c>
      <c r="F441" s="101" vm="11999">
        <f ca="1"/>
        <v>33.029000000000003</v>
      </c>
      <c r="G441" s="101" vm="12000">
        <f ca="1"/>
        <v>35.052500000000002</v>
      </c>
      <c r="H441" s="101" vm="12001">
        <f ca="1"/>
        <v>32.502000000000002</v>
      </c>
      <c r="I441" s="102" vm="12002">
        <f ca="1"/>
        <v>21946880</v>
      </c>
    </row>
    <row r="442" spans="4:9" x14ac:dyDescent="0.3">
      <c r="D442" s="100" vm="2546">
        <f ca="1"/>
        <v>45166</v>
      </c>
      <c r="E442" s="101" vm="12003">
        <f ca="1"/>
        <v>35.148000000000003</v>
      </c>
      <c r="F442" s="101" vm="12004">
        <f ca="1"/>
        <v>33.936</v>
      </c>
      <c r="G442" s="101" vm="12005">
        <f ca="1"/>
        <v>38.799300000000002</v>
      </c>
      <c r="H442" s="101" vm="12006">
        <f ca="1"/>
        <v>33.854500000000002</v>
      </c>
      <c r="I442" s="102" vm="12007">
        <f ca="1"/>
        <v>34985570</v>
      </c>
    </row>
    <row r="443" spans="4:9" x14ac:dyDescent="0.3">
      <c r="D443" s="100" vm="2552">
        <f ca="1"/>
        <v>45174</v>
      </c>
      <c r="E443" s="101" vm="12008">
        <f ca="1"/>
        <v>35.628</v>
      </c>
      <c r="F443" s="101" vm="12003">
        <f ca="1"/>
        <v>35.148000000000003</v>
      </c>
      <c r="G443" s="101" vm="601">
        <f ca="1"/>
        <v>35.9</v>
      </c>
      <c r="H443" s="101" vm="12009">
        <f ca="1"/>
        <v>33.783999999999999</v>
      </c>
      <c r="I443" s="102" vm="12010">
        <f ca="1"/>
        <v>18254390</v>
      </c>
    </row>
    <row r="444" spans="4:9" x14ac:dyDescent="0.3">
      <c r="D444" s="100" vm="2558">
        <f ca="1"/>
        <v>45180</v>
      </c>
      <c r="E444" s="101" vm="12011">
        <f ca="1"/>
        <v>34.078000000000003</v>
      </c>
      <c r="F444" s="101" vm="1126">
        <f ca="1"/>
        <v>35.5</v>
      </c>
      <c r="G444" s="101" vm="12012">
        <f ca="1"/>
        <v>36.76</v>
      </c>
      <c r="H444" s="101" vm="12013">
        <f ca="1"/>
        <v>33.6</v>
      </c>
      <c r="I444" s="102" vm="12014">
        <f ca="1"/>
        <v>31666510</v>
      </c>
    </row>
    <row r="445" spans="4:9" x14ac:dyDescent="0.3">
      <c r="D445" s="100" vm="2564">
        <f ca="1"/>
        <v>45187</v>
      </c>
      <c r="E445" s="101" vm="12015">
        <f ca="1"/>
        <v>32.280999999999999</v>
      </c>
      <c r="F445" s="101" vm="12016">
        <f ca="1"/>
        <v>35.125</v>
      </c>
      <c r="G445" s="101" vm="12017">
        <f ca="1"/>
        <v>35.633000000000003</v>
      </c>
      <c r="H445" s="101" vm="12018">
        <f ca="1"/>
        <v>32.056699999999999</v>
      </c>
      <c r="I445" s="102" vm="12019">
        <f ca="1"/>
        <v>21688110</v>
      </c>
    </row>
    <row r="446" spans="4:9" x14ac:dyDescent="0.3">
      <c r="D446" s="100" vm="2570">
        <f ca="1"/>
        <v>45194</v>
      </c>
      <c r="E446" s="101" vm="12020">
        <f ca="1"/>
        <v>32.828000000000003</v>
      </c>
      <c r="F446" s="101" vm="4409">
        <f ca="1"/>
        <v>31.95</v>
      </c>
      <c r="G446" s="101" vm="12021">
        <f ca="1"/>
        <v>33.755299999999998</v>
      </c>
      <c r="H446" s="101" vm="12022">
        <f ca="1"/>
        <v>31.01</v>
      </c>
      <c r="I446" s="102" vm="12023">
        <f ca="1"/>
        <v>21935200</v>
      </c>
    </row>
    <row r="447" spans="4:9" x14ac:dyDescent="0.3">
      <c r="D447" s="100" vm="2576">
        <f ca="1"/>
        <v>45201</v>
      </c>
      <c r="E447" s="101" vm="12024">
        <f ca="1"/>
        <v>34.063000000000002</v>
      </c>
      <c r="F447" s="101" vm="12025">
        <f ca="1"/>
        <v>34.656999999999996</v>
      </c>
      <c r="G447" s="101" vm="11776">
        <f ca="1"/>
        <v>35.283999999999999</v>
      </c>
      <c r="H447" s="101" vm="6755">
        <f ca="1"/>
        <v>30.710999999999999</v>
      </c>
      <c r="I447" s="102" vm="12026">
        <f ca="1"/>
        <v>28762490</v>
      </c>
    </row>
    <row r="448" spans="4:9" x14ac:dyDescent="0.3">
      <c r="D448" s="100" vm="2582">
        <f ca="1"/>
        <v>45208</v>
      </c>
      <c r="E448" s="101" vm="12027">
        <f ca="1"/>
        <v>31.821999999999999</v>
      </c>
      <c r="F448" s="101" vm="12028">
        <f ca="1"/>
        <v>33.152999999999999</v>
      </c>
      <c r="G448" s="101" vm="6729">
        <f ca="1"/>
        <v>34.646999999999998</v>
      </c>
      <c r="H448" s="101" vm="11778">
        <f ca="1"/>
        <v>31.425000000000001</v>
      </c>
      <c r="I448" s="102" vm="12029">
        <f ca="1"/>
        <v>19161040</v>
      </c>
    </row>
    <row r="449" spans="4:9" x14ac:dyDescent="0.3">
      <c r="D449" s="100" vm="2588">
        <f ca="1"/>
        <v>45215</v>
      </c>
      <c r="E449" s="101" vm="12030">
        <f ca="1"/>
        <v>34.804000000000002</v>
      </c>
      <c r="F449" s="101" vm="4289">
        <f ca="1"/>
        <v>33.799999999999997</v>
      </c>
      <c r="G449" s="101" vm="4478">
        <f ca="1"/>
        <v>36.200000000000003</v>
      </c>
      <c r="H449" s="101" vm="12031">
        <f ca="1"/>
        <v>32.104999999999997</v>
      </c>
      <c r="I449" s="102" vm="12032">
        <f ca="1"/>
        <v>36541210</v>
      </c>
    </row>
    <row r="450" spans="4:9" x14ac:dyDescent="0.3">
      <c r="D450" s="100" vm="2594">
        <f ca="1"/>
        <v>45222</v>
      </c>
      <c r="E450" s="101" vm="12033">
        <f ca="1"/>
        <v>40.676000000000002</v>
      </c>
      <c r="F450" s="101" vm="12034">
        <f ca="1"/>
        <v>35.534999999999997</v>
      </c>
      <c r="G450" s="101" vm="12035">
        <f ca="1"/>
        <v>44.948999999999998</v>
      </c>
      <c r="H450" s="101" vm="12036">
        <f ca="1"/>
        <v>34.609000000000002</v>
      </c>
      <c r="I450" s="102" vm="12037">
        <f ca="1"/>
        <v>65287550</v>
      </c>
    </row>
    <row r="451" spans="4:9" x14ac:dyDescent="0.3">
      <c r="D451" s="100" vm="2600">
        <f ca="1"/>
        <v>45229</v>
      </c>
      <c r="E451" s="101" vm="12038">
        <f ca="1"/>
        <v>45.395000000000003</v>
      </c>
      <c r="F451" s="101" vm="803">
        <f ca="1"/>
        <v>42.3</v>
      </c>
      <c r="G451" s="101" vm="12039">
        <f ca="1"/>
        <v>46.418999999999997</v>
      </c>
      <c r="H451" s="101" vm="12040">
        <f ca="1"/>
        <v>41</v>
      </c>
      <c r="I451" s="102" vm="12041">
        <f ca="1"/>
        <v>43230130</v>
      </c>
    </row>
    <row r="452" spans="4:9" x14ac:dyDescent="0.3">
      <c r="D452" s="100" vm="2605">
        <f ca="1"/>
        <v>45236</v>
      </c>
      <c r="E452" s="101" vm="12042">
        <f ca="1"/>
        <v>50.917999999999999</v>
      </c>
      <c r="F452" s="101" vm="12043">
        <f ca="1"/>
        <v>46.101999999999997</v>
      </c>
      <c r="G452" s="101" vm="12044">
        <f ca="1"/>
        <v>53.521000000000001</v>
      </c>
      <c r="H452" s="101" vm="12045">
        <f ca="1"/>
        <v>44.9</v>
      </c>
      <c r="I452" s="102" vm="12046">
        <f ca="1"/>
        <v>53579440</v>
      </c>
    </row>
    <row r="453" spans="4:9" x14ac:dyDescent="0.3">
      <c r="D453" s="100" vm="2611">
        <f ca="1"/>
        <v>45243</v>
      </c>
      <c r="E453" s="101" vm="12047">
        <f ca="1"/>
        <v>48.622</v>
      </c>
      <c r="F453" s="101" vm="12048">
        <f ca="1"/>
        <v>50.2</v>
      </c>
      <c r="G453" s="101" vm="12049">
        <f ca="1"/>
        <v>50.927999999999997</v>
      </c>
      <c r="H453" s="101" vm="12050">
        <f ca="1"/>
        <v>46</v>
      </c>
      <c r="I453" s="102" vm="12051">
        <f ca="1"/>
        <v>59343430</v>
      </c>
    </row>
    <row r="454" spans="4:9" x14ac:dyDescent="0.3">
      <c r="D454" s="100" vm="2617">
        <f ca="1"/>
        <v>45250</v>
      </c>
      <c r="E454" s="101" vm="12052">
        <f ca="1"/>
        <v>52.024000000000001</v>
      </c>
      <c r="F454" s="101" vm="12053">
        <f ca="1"/>
        <v>49.201000000000001</v>
      </c>
      <c r="G454" s="101" vm="12054">
        <f ca="1"/>
        <v>52.679000000000002</v>
      </c>
      <c r="H454" s="101" vm="12055">
        <f ca="1"/>
        <v>48.107999999999997</v>
      </c>
      <c r="I454" s="102" vm="12056">
        <f ca="1"/>
        <v>34973130</v>
      </c>
    </row>
    <row r="455" spans="4:9" x14ac:dyDescent="0.3">
      <c r="D455" s="100" vm="2623">
        <f ca="1"/>
        <v>45257</v>
      </c>
      <c r="E455" s="101" vm="12057">
        <f ca="1"/>
        <v>52.768000000000001</v>
      </c>
      <c r="F455" s="101" vm="12058">
        <f ca="1"/>
        <v>50.575000000000003</v>
      </c>
      <c r="G455" s="101" vm="12059">
        <f ca="1"/>
        <v>52.98</v>
      </c>
      <c r="H455" s="101" vm="12060">
        <f ca="1"/>
        <v>48.731400000000001</v>
      </c>
      <c r="I455" s="102" vm="12061">
        <f ca="1"/>
        <v>47447130</v>
      </c>
    </row>
    <row r="456" spans="4:9" x14ac:dyDescent="0.3">
      <c r="D456" s="100" vm="2628">
        <f ca="1"/>
        <v>45264</v>
      </c>
      <c r="E456" s="101" vm="11566">
        <f ca="1"/>
        <v>59.939</v>
      </c>
      <c r="F456" s="101" vm="12062">
        <f ca="1"/>
        <v>56.7</v>
      </c>
      <c r="G456" s="101" vm="11566">
        <f ca="1"/>
        <v>59.939</v>
      </c>
      <c r="H456" s="101" vm="12063">
        <f ca="1"/>
        <v>55</v>
      </c>
      <c r="I456" s="102" vm="12064">
        <f ca="1"/>
        <v>56829600</v>
      </c>
    </row>
    <row r="457" spans="4:9" x14ac:dyDescent="0.3">
      <c r="D457" s="100" vm="2633">
        <f ca="1"/>
        <v>45271</v>
      </c>
      <c r="E457" s="101" vm="12065">
        <f ca="1"/>
        <v>57.040999999999997</v>
      </c>
      <c r="F457" s="101" vm="12066">
        <f ca="1"/>
        <v>57.411000000000001</v>
      </c>
      <c r="G457" s="101" vm="12067">
        <f ca="1"/>
        <v>59</v>
      </c>
      <c r="H457" s="101" vm="12068">
        <f ca="1"/>
        <v>54.617899999999999</v>
      </c>
      <c r="I457" s="102" vm="12069">
        <f ca="1"/>
        <v>49276710</v>
      </c>
    </row>
    <row r="458" spans="4:9" x14ac:dyDescent="0.3">
      <c r="D458" s="100" vm="2639">
        <f ca="1"/>
        <v>45278</v>
      </c>
      <c r="E458" s="101" vm="12070">
        <f ca="1"/>
        <v>61.923999999999999</v>
      </c>
      <c r="F458" s="101" vm="12071">
        <f ca="1"/>
        <v>56.11</v>
      </c>
      <c r="G458" s="101" vm="12072">
        <f ca="1"/>
        <v>62.258000000000003</v>
      </c>
      <c r="H458" s="101" vm="12073">
        <f ca="1"/>
        <v>55.9</v>
      </c>
      <c r="I458" s="102" vm="12074">
        <f ca="1"/>
        <v>50805030</v>
      </c>
    </row>
    <row r="459" spans="4:9" x14ac:dyDescent="0.3">
      <c r="D459" s="103" vm="2645">
        <f ca="1"/>
        <v>45286</v>
      </c>
      <c r="E459" s="101" vm="12075">
        <f ca="1"/>
        <v>63.161999999999999</v>
      </c>
      <c r="F459" s="101" vm="12076">
        <f ca="1"/>
        <v>60.948999999999998</v>
      </c>
      <c r="G459" s="101" vm="12077">
        <f ca="1"/>
        <v>68.935000000000002</v>
      </c>
      <c r="H459" s="101" vm="12078">
        <f ca="1"/>
        <v>59.649000000000001</v>
      </c>
      <c r="I459" s="102" vm="12079">
        <f ca="1"/>
        <v>64945320</v>
      </c>
    </row>
    <row r="460" spans="4:9" x14ac:dyDescent="0.3">
      <c r="D460" s="100" vm="2651">
        <f ca="1"/>
        <v>45293</v>
      </c>
      <c r="E460" s="101" vm="12080">
        <f ca="1"/>
        <v>63.107999999999997</v>
      </c>
      <c r="F460" s="101" vm="12081">
        <f ca="1"/>
        <v>69.248999999999995</v>
      </c>
      <c r="G460" s="101" vm="12082">
        <f ca="1"/>
        <v>72.777000000000001</v>
      </c>
      <c r="H460" s="101" vm="12083">
        <f ca="1"/>
        <v>62.53</v>
      </c>
      <c r="I460" s="102" vm="12084">
        <f ca="1"/>
        <v>61395890</v>
      </c>
    </row>
    <row r="461" spans="4:9" x14ac:dyDescent="0.3">
      <c r="D461" s="100" vm="2657">
        <f ca="1"/>
        <v>45299</v>
      </c>
      <c r="E461" s="101" vm="12085">
        <f ca="1"/>
        <v>48.552999999999997</v>
      </c>
      <c r="F461" s="101" vm="12086">
        <f ca="1"/>
        <v>64</v>
      </c>
      <c r="G461" s="101" vm="12087">
        <f ca="1"/>
        <v>64.688000000000002</v>
      </c>
      <c r="H461" s="101" vm="12088">
        <f ca="1"/>
        <v>48.1</v>
      </c>
      <c r="I461" s="102" vm="12089">
        <f ca="1"/>
        <v>109005130</v>
      </c>
    </row>
    <row r="462" spans="4:9" x14ac:dyDescent="0.3">
      <c r="D462" s="100" vm="2663">
        <f ca="1"/>
        <v>45307</v>
      </c>
      <c r="E462" s="101" vm="12088">
        <f ca="1"/>
        <v>48.1</v>
      </c>
      <c r="F462" s="101" vm="12090">
        <f ca="1"/>
        <v>47.9</v>
      </c>
      <c r="G462" s="101" vm="12091">
        <f ca="1"/>
        <v>52.2</v>
      </c>
      <c r="H462" s="101" vm="11483">
        <f ca="1"/>
        <v>46.5</v>
      </c>
      <c r="I462" s="102" vm="12092">
        <f ca="1"/>
        <v>54596010</v>
      </c>
    </row>
    <row r="463" spans="4:9" x14ac:dyDescent="0.3">
      <c r="D463" s="100" vm="2668">
        <f ca="1"/>
        <v>45313</v>
      </c>
      <c r="E463" s="101" vm="12093">
        <f ca="1"/>
        <v>49.45</v>
      </c>
      <c r="F463" s="101" vm="12094">
        <f ca="1"/>
        <v>46.8</v>
      </c>
      <c r="G463" s="101" vm="12095">
        <f ca="1"/>
        <v>50.094999999999999</v>
      </c>
      <c r="H463" s="101" vm="12096">
        <f ca="1"/>
        <v>43.874000000000002</v>
      </c>
      <c r="I463" s="102" vm="12097">
        <f ca="1"/>
        <v>52649050</v>
      </c>
    </row>
    <row r="464" spans="4:9" x14ac:dyDescent="0.3">
      <c r="D464" s="100" vm="2673">
        <f ca="1"/>
        <v>45320</v>
      </c>
      <c r="E464" s="101" vm="12098">
        <f ca="1"/>
        <v>50.01</v>
      </c>
      <c r="F464" s="101" vm="12099">
        <f ca="1"/>
        <v>50</v>
      </c>
      <c r="G464" s="101" vm="12100">
        <f ca="1"/>
        <v>52.789000000000001</v>
      </c>
      <c r="H464" s="101" vm="12101">
        <f ca="1"/>
        <v>49.021000000000001</v>
      </c>
      <c r="I464" s="102" vm="12102">
        <f ca="1"/>
        <v>42795480</v>
      </c>
    </row>
    <row r="465" spans="4:9" x14ac:dyDescent="0.3">
      <c r="D465" s="100" vm="2679">
        <f ca="1"/>
        <v>45327</v>
      </c>
      <c r="E465" s="101" vm="12103">
        <f ca="1"/>
        <v>64.632000000000005</v>
      </c>
      <c r="F465" s="101" vm="12048">
        <f ca="1"/>
        <v>50.2</v>
      </c>
      <c r="G465" s="101" vm="12104">
        <f ca="1"/>
        <v>64.89</v>
      </c>
      <c r="H465" s="101" vm="12105">
        <f ca="1"/>
        <v>46.749000000000002</v>
      </c>
      <c r="I465" s="102" vm="12106">
        <f ca="1"/>
        <v>73811190</v>
      </c>
    </row>
    <row r="466" spans="4:9" x14ac:dyDescent="0.3">
      <c r="D466" s="100" vm="2685">
        <f ca="1"/>
        <v>45334</v>
      </c>
      <c r="E466" s="101" vm="12107">
        <f ca="1"/>
        <v>69.956000000000003</v>
      </c>
      <c r="F466" s="101" vm="12108">
        <f ca="1"/>
        <v>65.198999999999998</v>
      </c>
      <c r="G466" s="101" vm="12109">
        <f ca="1"/>
        <v>80.677999999999997</v>
      </c>
      <c r="H466" s="101" vm="12110">
        <f ca="1"/>
        <v>65.016999999999996</v>
      </c>
      <c r="I466" s="102" vm="12111">
        <f ca="1"/>
        <v>94953800</v>
      </c>
    </row>
    <row r="467" spans="4:9" x14ac:dyDescent="0.3">
      <c r="D467" s="100" vm="2691">
        <f ca="1"/>
        <v>45342</v>
      </c>
      <c r="E467" s="101" vm="12112">
        <f ca="1"/>
        <v>68.744</v>
      </c>
      <c r="F467" s="101" vm="12113">
        <f ca="1"/>
        <v>71.078999999999994</v>
      </c>
      <c r="G467" s="101" vm="12114">
        <f ca="1"/>
        <v>72.325000000000003</v>
      </c>
      <c r="H467" s="101" vm="12115">
        <f ca="1"/>
        <v>66.425700000000006</v>
      </c>
      <c r="I467" s="102" vm="12116">
        <f ca="1"/>
        <v>34531070</v>
      </c>
    </row>
    <row r="468" spans="4:9" x14ac:dyDescent="0.3">
      <c r="D468" s="100" vm="2697">
        <f ca="1"/>
        <v>45348</v>
      </c>
      <c r="E468" s="101" vm="12117">
        <f ca="1"/>
        <v>107.93899999999999</v>
      </c>
      <c r="F468" s="101" vm="12118">
        <f ca="1"/>
        <v>68.793999999999997</v>
      </c>
      <c r="G468" s="101" vm="12119">
        <f ca="1"/>
        <v>108</v>
      </c>
      <c r="H468" s="101" vm="12118">
        <f ca="1"/>
        <v>68.793999999999997</v>
      </c>
      <c r="I468" s="108" vm="12120">
        <f ca="1"/>
        <v>156001480</v>
      </c>
    </row>
    <row r="469" spans="4:9" x14ac:dyDescent="0.3">
      <c r="D469" s="100" vm="2703">
        <f ca="1"/>
        <v>45355</v>
      </c>
      <c r="E469" s="101" vm="12121">
        <f ca="1"/>
        <v>142.559</v>
      </c>
      <c r="F469" s="101" vm="12122">
        <f ca="1"/>
        <v>120</v>
      </c>
      <c r="G469" s="101" vm="12123">
        <f ca="1"/>
        <v>145.173</v>
      </c>
      <c r="H469" s="101" vm="12124">
        <f ca="1"/>
        <v>103.506</v>
      </c>
      <c r="I469" s="102" vm="12125">
        <f ca="1"/>
        <v>207651060</v>
      </c>
    </row>
    <row r="470" spans="4:9" x14ac:dyDescent="0.3">
      <c r="D470" s="100" vm="2708">
        <f ca="1"/>
        <v>45362</v>
      </c>
      <c r="E470" s="101" vm="12126">
        <f ca="1"/>
        <v>178.23599999999999</v>
      </c>
      <c r="F470" s="101" vm="2407">
        <f ca="1"/>
        <v>155</v>
      </c>
      <c r="G470" s="101" vm="2661">
        <f ca="1"/>
        <v>181.5</v>
      </c>
      <c r="H470" s="101" vm="12127">
        <f ca="1"/>
        <v>143.80019999999999</v>
      </c>
      <c r="I470" s="102" vm="12128">
        <f ca="1"/>
        <v>208889860</v>
      </c>
    </row>
    <row r="471" spans="4:9" x14ac:dyDescent="0.3">
      <c r="D471" s="100" vm="2714">
        <f ca="1"/>
        <v>45369</v>
      </c>
      <c r="E471" s="101" vm="12129">
        <f ca="1"/>
        <v>152.30000000000001</v>
      </c>
      <c r="F471" s="101" vm="12130">
        <f ca="1"/>
        <v>171.845</v>
      </c>
      <c r="G471" s="101" vm="12131">
        <f ca="1"/>
        <v>173.49</v>
      </c>
      <c r="H471" s="101" vm="12132">
        <f ca="1"/>
        <v>123.012</v>
      </c>
      <c r="I471" s="102" vm="12133">
        <f ca="1"/>
        <v>175495640</v>
      </c>
    </row>
    <row r="472" spans="4:9" x14ac:dyDescent="0.3">
      <c r="D472" s="100" vm="2720">
        <f ca="1"/>
        <v>45376</v>
      </c>
      <c r="E472" s="101" vm="12134">
        <f ca="1"/>
        <v>170.45599999999999</v>
      </c>
      <c r="F472" s="101" vm="12135">
        <f ca="1"/>
        <v>160.5</v>
      </c>
      <c r="G472" s="101" vm="12136">
        <f ca="1"/>
        <v>199.999</v>
      </c>
      <c r="H472" s="101" vm="12137">
        <f ca="1"/>
        <v>159.44200000000001</v>
      </c>
      <c r="I472" s="102" vm="12138">
        <f ca="1"/>
        <v>134564400</v>
      </c>
    </row>
    <row r="473" spans="4:9" x14ac:dyDescent="0.3">
      <c r="D473" s="100" vm="2726">
        <f ca="1"/>
        <v>45383</v>
      </c>
      <c r="E473" s="101" vm="2398">
        <f ca="1"/>
        <v>143.9</v>
      </c>
      <c r="F473" s="101" vm="12139">
        <f ca="1"/>
        <v>164.501</v>
      </c>
      <c r="G473" s="101" vm="12140">
        <f ca="1"/>
        <v>173.97200000000001</v>
      </c>
      <c r="H473" s="101" vm="12141">
        <f ca="1"/>
        <v>143.19999999999999</v>
      </c>
      <c r="I473" s="102" vm="12142">
        <f ca="1"/>
        <v>101159120</v>
      </c>
    </row>
    <row r="474" spans="4:9" x14ac:dyDescent="0.3">
      <c r="D474" s="100" vm="2732">
        <f ca="1"/>
        <v>45390</v>
      </c>
      <c r="E474" s="101" vm="12143">
        <f ca="1"/>
        <v>147.958</v>
      </c>
      <c r="F474" s="101" vm="12144">
        <f ca="1"/>
        <v>160.21</v>
      </c>
      <c r="G474" s="101" vm="12145">
        <f ca="1"/>
        <v>162.37799999999999</v>
      </c>
      <c r="H474" s="101" vm="12146">
        <f ca="1"/>
        <v>137.37700000000001</v>
      </c>
      <c r="I474" s="102" vm="12147">
        <f ca="1"/>
        <v>83973720</v>
      </c>
    </row>
    <row r="475" spans="4:9" x14ac:dyDescent="0.3">
      <c r="D475" s="100" vm="2737">
        <f ca="1"/>
        <v>45397</v>
      </c>
      <c r="E475" s="101" vm="12148">
        <f ca="1"/>
        <v>117.411</v>
      </c>
      <c r="F475" s="101" vm="12149">
        <f ca="1"/>
        <v>147</v>
      </c>
      <c r="G475" s="101" vm="12150">
        <f ca="1"/>
        <v>148.99700000000001</v>
      </c>
      <c r="H475" s="101" vm="12151">
        <f ca="1"/>
        <v>113.199</v>
      </c>
      <c r="I475" s="102" vm="12152">
        <f ca="1"/>
        <v>86234930</v>
      </c>
    </row>
    <row r="476" spans="4:9" x14ac:dyDescent="0.3">
      <c r="D476" s="100" vm="2742">
        <f ca="1"/>
        <v>45404</v>
      </c>
      <c r="E476" s="101" vm="12153">
        <f ca="1"/>
        <v>128.238</v>
      </c>
      <c r="F476" s="101" vm="12154">
        <f ca="1"/>
        <v>120.9</v>
      </c>
      <c r="G476" s="101" vm="12155">
        <f ca="1"/>
        <v>139.4451</v>
      </c>
      <c r="H476" s="101" vm="12156">
        <f ca="1"/>
        <v>120.114</v>
      </c>
      <c r="I476" s="102" vm="12157">
        <f ca="1"/>
        <v>55949660</v>
      </c>
    </row>
    <row r="477" spans="4:9" x14ac:dyDescent="0.3">
      <c r="D477" s="100" vm="2748">
        <f ca="1"/>
        <v>45411</v>
      </c>
      <c r="E477" s="101" vm="12158">
        <f ca="1"/>
        <v>122.301</v>
      </c>
      <c r="F477" s="101" vm="7395">
        <f ca="1"/>
        <v>125</v>
      </c>
      <c r="G477" s="101" vm="12159">
        <f ca="1"/>
        <v>130.8416</v>
      </c>
      <c r="H477" s="101" vm="12160">
        <f ca="1"/>
        <v>101</v>
      </c>
      <c r="I477" s="102" vm="12161">
        <f ca="1"/>
        <v>85327470</v>
      </c>
    </row>
    <row r="478" spans="4:9" x14ac:dyDescent="0.3">
      <c r="D478" s="100" vm="2754">
        <f ca="1"/>
        <v>45418</v>
      </c>
      <c r="E478" s="101" vm="12162">
        <f ca="1"/>
        <v>118.048</v>
      </c>
      <c r="F478" s="101" vm="12163">
        <f ca="1"/>
        <v>127.38500000000001</v>
      </c>
      <c r="G478" s="101" vm="12164">
        <f ca="1"/>
        <v>133.9</v>
      </c>
      <c r="H478" s="101" vm="12165">
        <f ca="1"/>
        <v>117.85299999999999</v>
      </c>
      <c r="I478" s="102" vm="12166">
        <f ca="1"/>
        <v>57000300</v>
      </c>
    </row>
    <row r="479" spans="4:9" x14ac:dyDescent="0.3">
      <c r="D479" s="100" vm="2760">
        <f ca="1"/>
        <v>45425</v>
      </c>
      <c r="E479" s="101" vm="12167">
        <f ca="1"/>
        <v>158.44999999999999</v>
      </c>
      <c r="F479" s="101" vm="12168">
        <f ca="1"/>
        <v>121.794</v>
      </c>
      <c r="G479" s="101" vm="12169">
        <f ca="1"/>
        <v>158.5</v>
      </c>
      <c r="H479" s="101" vm="12170">
        <f ca="1"/>
        <v>120.3</v>
      </c>
      <c r="I479" s="102" vm="12171">
        <f ca="1"/>
        <v>68796410</v>
      </c>
    </row>
    <row r="480" spans="4:9" x14ac:dyDescent="0.3">
      <c r="D480" s="100" vm="2766">
        <f ca="1"/>
        <v>45432</v>
      </c>
      <c r="E480" s="101" vm="12172">
        <f ca="1"/>
        <v>168.48400000000001</v>
      </c>
      <c r="F480" s="101" vm="12173">
        <f ca="1"/>
        <v>159.69999999999999</v>
      </c>
      <c r="G480" s="101" vm="12174">
        <f ca="1"/>
        <v>174</v>
      </c>
      <c r="H480" s="101" vm="12175">
        <f ca="1"/>
        <v>152.80000000000001</v>
      </c>
      <c r="I480" s="102" vm="12176">
        <f ca="1"/>
        <v>63690450</v>
      </c>
    </row>
    <row r="481" spans="4:9" x14ac:dyDescent="0.3">
      <c r="D481" s="100" vm="2771">
        <f ca="1"/>
        <v>45440</v>
      </c>
      <c r="E481" s="101" vm="12177">
        <f ca="1"/>
        <v>152.44900000000001</v>
      </c>
      <c r="F481" s="101" vm="2420">
        <f ca="1"/>
        <v>165</v>
      </c>
      <c r="G481" s="101" vm="12178">
        <f ca="1"/>
        <v>171.499</v>
      </c>
      <c r="H481" s="101" vm="12179">
        <f ca="1"/>
        <v>144.19999999999999</v>
      </c>
      <c r="I481" s="102" vm="12180">
        <f ca="1"/>
        <v>55073620</v>
      </c>
    </row>
    <row r="482" spans="4:9" x14ac:dyDescent="0.3">
      <c r="D482" s="100" vm="2776">
        <f ca="1"/>
        <v>45446</v>
      </c>
      <c r="E482" s="101" vm="12181">
        <f ca="1"/>
        <v>159.62</v>
      </c>
      <c r="F482" s="101" vm="12182">
        <f ca="1"/>
        <v>160.1</v>
      </c>
      <c r="G482" s="101" vm="12183">
        <f ca="1"/>
        <v>173.46979999999999</v>
      </c>
      <c r="H482" s="101" vm="12184">
        <f ca="1"/>
        <v>156.04169999999999</v>
      </c>
      <c r="I482" s="102" vm="12185">
        <f ca="1"/>
        <v>59657510</v>
      </c>
    </row>
    <row r="483" spans="4:9" x14ac:dyDescent="0.3">
      <c r="D483" s="100" vm="2782">
        <f ca="1"/>
        <v>45453</v>
      </c>
      <c r="E483" s="101" vm="12186">
        <f ca="1"/>
        <v>149.554</v>
      </c>
      <c r="F483" s="101" vm="12187">
        <f ca="1"/>
        <v>157.501</v>
      </c>
      <c r="G483" s="101" vm="12188">
        <f ca="1"/>
        <v>169.27099999999999</v>
      </c>
      <c r="H483" s="101" vm="12189">
        <f ca="1"/>
        <v>144.101</v>
      </c>
      <c r="I483" s="102" vm="12190">
        <f ca="1"/>
        <v>67255420</v>
      </c>
    </row>
    <row r="484" spans="4:9" x14ac:dyDescent="0.3">
      <c r="D484" s="100" vm="2788">
        <f ca="1"/>
        <v>45460</v>
      </c>
      <c r="E484" s="101" vm="12191">
        <f ca="1"/>
        <v>148.376</v>
      </c>
      <c r="F484" s="101" vm="12192">
        <f ca="1"/>
        <v>149.97999999999999</v>
      </c>
      <c r="G484" s="101" vm="12193">
        <f ca="1"/>
        <v>156.90100000000001</v>
      </c>
      <c r="H484" s="101" vm="12194">
        <f ca="1"/>
        <v>140.90199999999999</v>
      </c>
      <c r="I484" s="102" vm="12195">
        <f ca="1"/>
        <v>41602270</v>
      </c>
    </row>
    <row r="485" spans="4:9" x14ac:dyDescent="0.3">
      <c r="D485" s="100" vm="2794">
        <f ca="1"/>
        <v>45467</v>
      </c>
      <c r="E485" s="101" vm="12196">
        <f ca="1"/>
        <v>137.74799999999999</v>
      </c>
      <c r="F485" s="101" vm="12197">
        <f ca="1"/>
        <v>139.80000000000001</v>
      </c>
      <c r="G485" s="101" vm="12198">
        <f ca="1"/>
        <v>153.9</v>
      </c>
      <c r="H485" s="101" vm="12199">
        <f ca="1"/>
        <v>132.55410000000001</v>
      </c>
      <c r="I485" s="102" vm="12200">
        <f ca="1"/>
        <v>80631620</v>
      </c>
    </row>
    <row r="486" spans="4:9" x14ac:dyDescent="0.3">
      <c r="D486" s="100" vm="2800">
        <f ca="1"/>
        <v>45474</v>
      </c>
      <c r="E486" s="101" vm="12201">
        <f ca="1"/>
        <v>128.172</v>
      </c>
      <c r="F486" s="101" vm="12202">
        <f ca="1"/>
        <v>141</v>
      </c>
      <c r="G486" s="101" vm="12203">
        <f ca="1"/>
        <v>143.595</v>
      </c>
      <c r="H486" s="101" vm="12204">
        <f ca="1"/>
        <v>120.232</v>
      </c>
      <c r="I486" s="102" vm="12205">
        <f ca="1"/>
        <v>45046910</v>
      </c>
    </row>
    <row r="487" spans="4:9" x14ac:dyDescent="0.3">
      <c r="D487" s="100" vm="2806">
        <f ca="1"/>
        <v>45481</v>
      </c>
      <c r="E487" s="101" vm="12206">
        <f ca="1"/>
        <v>139.67599999999999</v>
      </c>
      <c r="F487" s="101" vm="12207">
        <f ca="1"/>
        <v>131.453</v>
      </c>
      <c r="G487" s="101" vm="12208">
        <f ca="1"/>
        <v>143.54040000000001</v>
      </c>
      <c r="H487" s="101" vm="12209">
        <f ca="1"/>
        <v>125.87820000000001</v>
      </c>
      <c r="I487" s="102" vm="12210">
        <f ca="1"/>
        <v>48281950</v>
      </c>
    </row>
    <row r="488" spans="4:9" x14ac:dyDescent="0.3">
      <c r="D488" s="100" vm="2812">
        <f ca="1"/>
        <v>45488</v>
      </c>
      <c r="E488" s="101" vm="12211">
        <f ca="1"/>
        <v>177.85</v>
      </c>
      <c r="F488" s="101" vm="12212">
        <f ca="1"/>
        <v>152.4</v>
      </c>
      <c r="G488" s="101" vm="12213">
        <f ca="1"/>
        <v>178.5</v>
      </c>
      <c r="H488" s="101" vm="12214">
        <f ca="1"/>
        <v>149.24250000000001</v>
      </c>
      <c r="I488" s="102" vm="12215">
        <f ca="1"/>
        <v>88386710</v>
      </c>
    </row>
    <row r="489" spans="4:9" x14ac:dyDescent="0.3">
      <c r="D489" s="100" vm="2818">
        <f ca="1"/>
        <v>45495</v>
      </c>
      <c r="E489" s="101" vm="12216">
        <f ca="1"/>
        <v>175.27099999999999</v>
      </c>
      <c r="F489" s="101" vm="12217">
        <f ca="1"/>
        <v>178.40199999999999</v>
      </c>
      <c r="G489" s="101" vm="12218">
        <f ca="1"/>
        <v>181.06620000000001</v>
      </c>
      <c r="H489" s="101" vm="12219">
        <f ca="1"/>
        <v>150.76599999999999</v>
      </c>
      <c r="I489" s="102" vm="12220">
        <f ca="1"/>
        <v>68821500</v>
      </c>
    </row>
    <row r="490" spans="4:9" x14ac:dyDescent="0.3">
      <c r="D490" s="100" vm="2824">
        <f ca="1"/>
        <v>45502</v>
      </c>
      <c r="E490" s="101" vm="12221">
        <f ca="1"/>
        <v>144.79900000000001</v>
      </c>
      <c r="F490" s="101" vm="12222">
        <f ca="1"/>
        <v>181.999</v>
      </c>
      <c r="G490" s="101" vm="12223">
        <f ca="1"/>
        <v>183.7</v>
      </c>
      <c r="H490" s="101" vm="12224">
        <f ca="1"/>
        <v>141.71</v>
      </c>
      <c r="I490" s="102" vm="12225">
        <f ca="1"/>
        <v>55546420</v>
      </c>
    </row>
    <row r="491" spans="4:9" x14ac:dyDescent="0.3">
      <c r="D491" s="100" vm="2830">
        <f ca="1"/>
        <v>45509</v>
      </c>
      <c r="E491" s="101" vm="1768">
        <f ca="1"/>
        <v>135.37</v>
      </c>
      <c r="F491" s="101" vm="12226">
        <f ca="1"/>
        <v>105.16500000000001</v>
      </c>
      <c r="G491" s="101" vm="12227">
        <f ca="1"/>
        <v>142.15799999999999</v>
      </c>
      <c r="H491" s="101" vm="12228">
        <f ca="1"/>
        <v>102.402</v>
      </c>
      <c r="I491" s="102" vm="12229">
        <f ca="1"/>
        <v>63580368</v>
      </c>
    </row>
    <row r="492" spans="4:9" x14ac:dyDescent="0.3">
      <c r="D492" s="100" vm="2836">
        <f ca="1"/>
        <v>45516</v>
      </c>
      <c r="E492" s="101" vm="1817">
        <f ca="1"/>
        <v>133.04</v>
      </c>
      <c r="F492" s="101" vm="12230">
        <f ca="1"/>
        <v>133.49</v>
      </c>
      <c r="G492" s="101" vm="1887">
        <f ca="1"/>
        <v>140</v>
      </c>
      <c r="H492" s="101" vm="12231">
        <f ca="1"/>
        <v>126.59</v>
      </c>
      <c r="I492" s="102" vm="12232">
        <f ca="1"/>
        <v>45808638</v>
      </c>
    </row>
    <row r="493" spans="4:9" x14ac:dyDescent="0.3">
      <c r="D493" s="100" vm="2841">
        <f ca="1"/>
        <v>45523</v>
      </c>
      <c r="E493" s="101" vm="2305">
        <f ca="1"/>
        <v>150.01</v>
      </c>
      <c r="F493" s="101" vm="12233">
        <f ca="1"/>
        <v>133.69999999999999</v>
      </c>
      <c r="G493" s="101" vm="12234">
        <f ca="1"/>
        <v>151.81</v>
      </c>
      <c r="H493" s="101" vm="1824">
        <f ca="1"/>
        <v>130.63</v>
      </c>
      <c r="I493" s="102" vm="12235">
        <f ca="1"/>
        <v>55399596</v>
      </c>
    </row>
    <row r="494" spans="4:9" x14ac:dyDescent="0.3">
      <c r="D494" s="100" vm="2847">
        <f ca="1"/>
        <v>45530</v>
      </c>
      <c r="E494" s="101" vm="12236">
        <f ca="1"/>
        <v>132.41999999999999</v>
      </c>
      <c r="F494" s="101" vm="12237">
        <f ca="1"/>
        <v>148.12</v>
      </c>
      <c r="G494" s="101" vm="12238">
        <f ca="1"/>
        <v>152.35</v>
      </c>
      <c r="H494" s="101" vm="12239">
        <f ca="1"/>
        <v>128.30000000000001</v>
      </c>
      <c r="I494" s="102" vm="12240">
        <f ca="1"/>
        <v>46456362</v>
      </c>
    </row>
    <row r="495" spans="4:9" x14ac:dyDescent="0.3">
      <c r="D495" s="100" vm="2853">
        <f ca="1"/>
        <v>45538</v>
      </c>
      <c r="E495" s="101" vm="12241">
        <f ca="1"/>
        <v>114.3</v>
      </c>
      <c r="F495" s="101" vm="12242">
        <f ca="1"/>
        <v>132</v>
      </c>
      <c r="G495" s="101" vm="12243">
        <f ca="1"/>
        <v>132.72999999999999</v>
      </c>
      <c r="H495" s="101" vm="7384">
        <f ca="1"/>
        <v>113.69</v>
      </c>
      <c r="I495" s="102" vm="12244">
        <f ca="1"/>
        <v>31312076</v>
      </c>
    </row>
    <row r="496" spans="4:9" x14ac:dyDescent="0.3">
      <c r="D496" s="100" vm="2858">
        <f ca="1"/>
        <v>45544</v>
      </c>
      <c r="E496" s="101" vm="12245">
        <f ca="1"/>
        <v>141.47</v>
      </c>
      <c r="F496" s="101" vm="12246">
        <f ca="1"/>
        <v>118.93</v>
      </c>
      <c r="G496" s="101" vm="7446">
        <f ca="1"/>
        <v>143</v>
      </c>
      <c r="H496" s="101" vm="12247">
        <f ca="1"/>
        <v>117.5003</v>
      </c>
      <c r="I496" s="102" vm="12248">
        <f ca="1"/>
        <v>44531929</v>
      </c>
    </row>
    <row r="497" spans="4:9" x14ac:dyDescent="0.3">
      <c r="D497" s="100" vm="2863">
        <f ca="1"/>
        <v>45551</v>
      </c>
      <c r="E497" s="101" vm="12249">
        <f ca="1"/>
        <v>144.78</v>
      </c>
      <c r="F497" s="101" vm="12250">
        <f ca="1"/>
        <v>137.02000000000001</v>
      </c>
      <c r="G497" s="101" vm="12251">
        <f ca="1"/>
        <v>148.96</v>
      </c>
      <c r="H497" s="101" vm="12252">
        <f ca="1"/>
        <v>128.51</v>
      </c>
      <c r="I497" s="102" vm="12253">
        <f ca="1"/>
        <v>78664549</v>
      </c>
    </row>
    <row r="498" spans="4:9" x14ac:dyDescent="0.3">
      <c r="D498" s="100" vm="2869">
        <f ca="1"/>
        <v>45558</v>
      </c>
      <c r="E498" s="101" vm="12254">
        <f ca="1"/>
        <v>176.22</v>
      </c>
      <c r="F498" s="101" vm="2001">
        <f ca="1"/>
        <v>147.47999999999999</v>
      </c>
      <c r="G498" s="101" vm="12255">
        <f ca="1"/>
        <v>179.6</v>
      </c>
      <c r="H498" s="101" vm="12256">
        <f ca="1"/>
        <v>145.01490000000001</v>
      </c>
      <c r="I498" s="102" vm="12257">
        <f ca="1"/>
        <v>61684523</v>
      </c>
    </row>
    <row r="499" spans="4:9" x14ac:dyDescent="0.3">
      <c r="D499" s="100" vm="2875">
        <f ca="1"/>
        <v>45565</v>
      </c>
      <c r="E499" s="101" vm="12258">
        <f ca="1"/>
        <v>176.51</v>
      </c>
      <c r="F499" s="101" vm="12259">
        <f ca="1"/>
        <v>168.63</v>
      </c>
      <c r="G499" s="101" vm="2532">
        <f ca="1"/>
        <v>176.55</v>
      </c>
      <c r="H499" s="101" vm="12260">
        <f ca="1"/>
        <v>157.02000000000001</v>
      </c>
      <c r="I499" s="102" vm="12261">
        <f ca="1"/>
        <v>62988155</v>
      </c>
    </row>
    <row r="500" spans="4:9" x14ac:dyDescent="0.3">
      <c r="D500" s="100" vm="2881">
        <f ca="1"/>
        <v>45572</v>
      </c>
      <c r="E500" s="101" vm="12262">
        <f ca="1"/>
        <v>212.59</v>
      </c>
      <c r="F500" s="101" vm="12263">
        <f ca="1"/>
        <v>179.71</v>
      </c>
      <c r="G500" s="101" vm="12264">
        <f ca="1"/>
        <v>212.81</v>
      </c>
      <c r="H500" s="101" vm="12265">
        <f ca="1"/>
        <v>178</v>
      </c>
      <c r="I500" s="102" vm="12266">
        <f ca="1"/>
        <v>100127323</v>
      </c>
    </row>
    <row r="501" spans="4:9" x14ac:dyDescent="0.3">
      <c r="D501" s="100" vm="2887">
        <f ca="1"/>
        <v>45579</v>
      </c>
      <c r="E501" s="101" vm="12267">
        <f ca="1"/>
        <v>215.86</v>
      </c>
      <c r="F501" s="101" vm="12268">
        <f ca="1"/>
        <v>224.48</v>
      </c>
      <c r="G501" s="101" vm="12269">
        <f ca="1"/>
        <v>227.15</v>
      </c>
      <c r="H501" s="101" vm="12270">
        <f ca="1"/>
        <v>185.81</v>
      </c>
      <c r="I501" s="102" vm="12271">
        <f ca="1"/>
        <v>101514892</v>
      </c>
    </row>
    <row r="502" spans="4:9" x14ac:dyDescent="0.3">
      <c r="D502" s="100" vm="2893">
        <f ca="1"/>
        <v>45586</v>
      </c>
      <c r="E502" s="101" vm="12272">
        <f ca="1"/>
        <v>234.34</v>
      </c>
      <c r="F502" s="101" vm="12273">
        <f ca="1"/>
        <v>214.49</v>
      </c>
      <c r="G502" s="101" vm="12274">
        <f ca="1"/>
        <v>245.56569999999999</v>
      </c>
      <c r="H502" s="101" vm="12275">
        <f ca="1"/>
        <v>204.91</v>
      </c>
      <c r="I502" s="102" vm="12276">
        <f ca="1"/>
        <v>97126942</v>
      </c>
    </row>
    <row r="503" spans="4:9" x14ac:dyDescent="0.3">
      <c r="D503" s="100" vm="2899">
        <f ca="1"/>
        <v>45593</v>
      </c>
      <c r="E503" s="101" vm="12277">
        <f ca="1"/>
        <v>229.71</v>
      </c>
      <c r="F503" s="101" vm="12278">
        <f ca="1"/>
        <v>244.64</v>
      </c>
      <c r="G503" s="101" vm="12279">
        <f ca="1"/>
        <v>267.89</v>
      </c>
      <c r="H503" s="101" vm="12280">
        <f ca="1"/>
        <v>225.93</v>
      </c>
      <c r="I503" s="102" vm="12281">
        <f ca="1"/>
        <v>117946822</v>
      </c>
    </row>
    <row r="504" spans="4:9" x14ac:dyDescent="0.3">
      <c r="D504" s="100" vm="2905">
        <f ca="1"/>
        <v>45600</v>
      </c>
      <c r="E504" s="101" vm="12282">
        <f ca="1"/>
        <v>270.42</v>
      </c>
      <c r="F504" s="101" vm="12283">
        <f ca="1"/>
        <v>226.97</v>
      </c>
      <c r="G504" s="101" vm="12284">
        <f ca="1"/>
        <v>280.80070000000001</v>
      </c>
      <c r="H504" s="101" vm="2854">
        <f ca="1"/>
        <v>220.82</v>
      </c>
      <c r="I504" s="102" vm="12285">
        <f ca="1"/>
        <v>100398980</v>
      </c>
    </row>
    <row r="505" spans="4:9" x14ac:dyDescent="0.3">
      <c r="D505" s="100" vm="2911">
        <f ca="1"/>
        <v>45607</v>
      </c>
      <c r="E505" s="101" vm="12286">
        <f ca="1"/>
        <v>340.65</v>
      </c>
      <c r="F505" s="101" vm="12287">
        <f ca="1"/>
        <v>297</v>
      </c>
      <c r="G505" s="101" vm="12288">
        <f ca="1"/>
        <v>383.4</v>
      </c>
      <c r="H505" s="101" vm="12289">
        <f ca="1"/>
        <v>293.3</v>
      </c>
      <c r="I505" s="102" vm="12290">
        <f ca="1"/>
        <v>185707642</v>
      </c>
    </row>
    <row r="506" spans="4:9" x14ac:dyDescent="0.3">
      <c r="D506" s="100" vm="2916">
        <f ca="1"/>
        <v>45614</v>
      </c>
      <c r="E506" s="101" vm="12291">
        <f ca="1"/>
        <v>421.88</v>
      </c>
      <c r="F506" s="101" vm="12292">
        <f ca="1"/>
        <v>345.41500000000002</v>
      </c>
      <c r="G506" s="101" vm="12293">
        <f ca="1"/>
        <v>543</v>
      </c>
      <c r="H506" s="101" vm="12294">
        <f ca="1"/>
        <v>339.375</v>
      </c>
      <c r="I506" s="102" vm="12295">
        <f ca="1"/>
        <v>310292050</v>
      </c>
    </row>
    <row r="507" spans="4:9" x14ac:dyDescent="0.3">
      <c r="D507" s="100" vm="2922">
        <f ca="1"/>
        <v>45621</v>
      </c>
      <c r="E507" s="101" vm="12296">
        <f ca="1"/>
        <v>387.47</v>
      </c>
      <c r="F507" s="101" vm="12297">
        <f ca="1"/>
        <v>440.75</v>
      </c>
      <c r="G507" s="101" vm="12297">
        <f ca="1"/>
        <v>440.75</v>
      </c>
      <c r="H507" s="101" vm="12298">
        <f ca="1"/>
        <v>338.67009999999999</v>
      </c>
      <c r="I507" s="102" vm="12299">
        <f ca="1"/>
        <v>144980249</v>
      </c>
    </row>
    <row r="508" spans="4:9" x14ac:dyDescent="0.3">
      <c r="D508" s="100" vm="2928">
        <f ca="1"/>
        <v>45628</v>
      </c>
      <c r="E508" s="101" vm="12300">
        <f ca="1"/>
        <v>395.01</v>
      </c>
      <c r="F508" s="101" vm="12301">
        <f ca="1"/>
        <v>393.64</v>
      </c>
      <c r="G508" s="101" vm="12302">
        <f ca="1"/>
        <v>444.94470000000001</v>
      </c>
      <c r="H508" s="101" vm="12303">
        <f ca="1"/>
        <v>362.67</v>
      </c>
      <c r="I508" s="102" vm="12304">
        <f ca="1"/>
        <v>148479908</v>
      </c>
    </row>
    <row r="509" spans="4:9" x14ac:dyDescent="0.3">
      <c r="D509" s="100" vm="2934">
        <f ca="1"/>
        <v>45635</v>
      </c>
      <c r="E509" s="101" vm="12305">
        <f ca="1"/>
        <v>408.67</v>
      </c>
      <c r="F509" s="101" vm="10019">
        <f ca="1"/>
        <v>394</v>
      </c>
      <c r="G509" s="101" vm="12306">
        <f ca="1"/>
        <v>415.80430000000001</v>
      </c>
      <c r="H509" s="101" vm="12307">
        <f ca="1"/>
        <v>356.05</v>
      </c>
      <c r="I509" s="102" vm="12308">
        <f ca="1"/>
        <v>112951477</v>
      </c>
    </row>
    <row r="510" spans="4:9" x14ac:dyDescent="0.3">
      <c r="D510" s="100" vm="2940">
        <f ca="1"/>
        <v>45642</v>
      </c>
      <c r="E510" s="101" vm="12309">
        <f ca="1"/>
        <v>364.2</v>
      </c>
      <c r="F510" s="101" vm="12310">
        <f ca="1"/>
        <v>424.87</v>
      </c>
      <c r="G510" s="101" vm="12311">
        <f ca="1"/>
        <v>437.60989999999998</v>
      </c>
      <c r="H510" s="101" vm="12312">
        <f ca="1"/>
        <v>317</v>
      </c>
      <c r="I510" s="102" vm="12313">
        <f ca="1"/>
        <v>149157100</v>
      </c>
    </row>
    <row r="511" spans="4:9" x14ac:dyDescent="0.3">
      <c r="D511" s="100" vm="2946">
        <f ca="1"/>
        <v>45649</v>
      </c>
      <c r="E511" s="101" vm="12314">
        <f ca="1"/>
        <v>330</v>
      </c>
      <c r="F511" s="101" vm="12315">
        <f ca="1"/>
        <v>358</v>
      </c>
      <c r="G511" s="101" vm="12316">
        <f ca="1"/>
        <v>361</v>
      </c>
      <c r="H511" s="101" vm="12317">
        <f ca="1"/>
        <v>323.2</v>
      </c>
      <c r="I511" s="102" vm="12318">
        <f ca="1"/>
        <v>65193856</v>
      </c>
    </row>
    <row r="512" spans="4:9" x14ac:dyDescent="0.3">
      <c r="D512" s="100" vm="2952">
        <f ca="1"/>
        <v>45656</v>
      </c>
      <c r="E512" s="101" vm="12319">
        <f ca="1"/>
        <v>339.66</v>
      </c>
      <c r="F512" s="101" vm="12320">
        <f ca="1"/>
        <v>319.39999999999998</v>
      </c>
      <c r="G512" s="101" vm="12321">
        <f ca="1"/>
        <v>343.4</v>
      </c>
      <c r="H512" s="101" vm="12322">
        <f ca="1"/>
        <v>285.01</v>
      </c>
      <c r="I512" s="102" vm="12323">
        <f ca="1"/>
        <v>91230256</v>
      </c>
    </row>
    <row r="513" spans="4:9" x14ac:dyDescent="0.3">
      <c r="D513" s="100" vm="2958">
        <f ca="1"/>
        <v>45663</v>
      </c>
      <c r="E513" s="101" vm="12324">
        <f ca="1"/>
        <v>327.91</v>
      </c>
      <c r="F513" s="101" vm="12325">
        <f ca="1"/>
        <v>349.85</v>
      </c>
      <c r="G513" s="101" vm="12326">
        <f ca="1"/>
        <v>383.02</v>
      </c>
      <c r="H513" s="101" vm="12327">
        <f ca="1"/>
        <v>317.22000000000003</v>
      </c>
      <c r="I513" s="102" vm="12328">
        <f ca="1"/>
        <v>86197553</v>
      </c>
    </row>
    <row r="514" spans="4:9" x14ac:dyDescent="0.3">
      <c r="D514" s="100" vm="2962">
        <f ca="1"/>
        <v>45670</v>
      </c>
      <c r="E514" s="101" vm="12329">
        <f ca="1"/>
        <v>396.5</v>
      </c>
      <c r="F514" s="101" vm="12330">
        <f ca="1"/>
        <v>309.95</v>
      </c>
      <c r="G514" s="101" vm="12331">
        <f ca="1"/>
        <v>398.68</v>
      </c>
      <c r="H514" s="101" vm="12332">
        <f ca="1"/>
        <v>303.8</v>
      </c>
      <c r="I514" s="102" vm="12333">
        <f ca="1"/>
        <v>92911144</v>
      </c>
    </row>
    <row r="515" spans="4:9" x14ac:dyDescent="0.3">
      <c r="D515" s="100" vm="2968">
        <f ca="1"/>
        <v>45678</v>
      </c>
      <c r="E515" s="101" vm="12334">
        <f ca="1"/>
        <v>353.67</v>
      </c>
      <c r="F515" s="101" vm="12335">
        <f ca="1"/>
        <v>395.45499999999998</v>
      </c>
      <c r="G515" s="101" vm="12336">
        <f ca="1"/>
        <v>404.41730000000001</v>
      </c>
      <c r="H515" s="101" vm="12337">
        <f ca="1"/>
        <v>351</v>
      </c>
      <c r="I515" s="102" vm="12338">
        <f ca="1"/>
        <v>88466324</v>
      </c>
    </row>
    <row r="516" spans="4:9" x14ac:dyDescent="0.3">
      <c r="D516" s="100" vm="2974">
        <f ca="1"/>
        <v>45684</v>
      </c>
      <c r="E516" s="101" vm="12339">
        <f ca="1"/>
        <v>334.79</v>
      </c>
      <c r="F516" s="101" vm="12340">
        <f ca="1"/>
        <v>340.5</v>
      </c>
      <c r="G516" s="101" vm="12341">
        <f ca="1"/>
        <v>356.88</v>
      </c>
      <c r="H516" s="101" vm="12342">
        <f ca="1"/>
        <v>322.3</v>
      </c>
      <c r="I516" s="102" vm="12343">
        <f ca="1"/>
        <v>72576340</v>
      </c>
    </row>
    <row r="517" spans="4:9" x14ac:dyDescent="0.3">
      <c r="D517" s="100" vm="2979">
        <f ca="1"/>
        <v>45691</v>
      </c>
      <c r="E517" s="101" vm="12344">
        <f ca="1"/>
        <v>327.56</v>
      </c>
      <c r="F517" s="101" vm="12345">
        <f ca="1"/>
        <v>310</v>
      </c>
      <c r="G517" s="101" vm="12346">
        <f ca="1"/>
        <v>353.79</v>
      </c>
      <c r="H517" s="101" vm="12347">
        <f ca="1"/>
        <v>308.89999999999998</v>
      </c>
      <c r="I517" s="102" vm="12348">
        <f ca="1"/>
        <v>69512073</v>
      </c>
    </row>
    <row r="518" spans="4:9" x14ac:dyDescent="0.3">
      <c r="D518" s="100" vm="2985">
        <f ca="1"/>
        <v>45698</v>
      </c>
      <c r="E518" s="101" vm="12349">
        <f ca="1"/>
        <v>337.73</v>
      </c>
      <c r="F518" s="101" vm="12350">
        <f ca="1"/>
        <v>333.5</v>
      </c>
      <c r="G518" s="101" vm="12351">
        <f ca="1"/>
        <v>344.89</v>
      </c>
      <c r="H518" s="101" vm="12352">
        <f ca="1"/>
        <v>314.19</v>
      </c>
      <c r="I518" s="102" vm="12353">
        <f ca="1"/>
        <v>55720020</v>
      </c>
    </row>
    <row r="519" spans="4:9" x14ac:dyDescent="0.3">
      <c r="D519" s="100" vm="2991">
        <f ca="1"/>
        <v>45706</v>
      </c>
      <c r="E519" s="101" vm="12354">
        <f ca="1"/>
        <v>299.69</v>
      </c>
      <c r="F519" s="101" vm="12355">
        <f ca="1"/>
        <v>337.35</v>
      </c>
      <c r="G519" s="101" vm="12356">
        <f ca="1"/>
        <v>340.49</v>
      </c>
      <c r="H519" s="101" vm="12357">
        <f ca="1"/>
        <v>299.04000000000002</v>
      </c>
      <c r="I519" s="102" vm="12358">
        <f ca="1"/>
        <v>57445466</v>
      </c>
    </row>
    <row r="520" spans="4:9" x14ac:dyDescent="0.3">
      <c r="D520" s="100" vm="2996">
        <f ca="1"/>
        <v>45712</v>
      </c>
      <c r="E520" s="101" vm="12359">
        <f ca="1"/>
        <v>255.43</v>
      </c>
      <c r="F520" s="101" vm="12360">
        <f ca="1"/>
        <v>304</v>
      </c>
      <c r="G520" s="101" vm="12361">
        <f ca="1"/>
        <v>304.04000000000002</v>
      </c>
      <c r="H520" s="101" vm="12362">
        <f ca="1"/>
        <v>231.92</v>
      </c>
      <c r="I520" s="102" vm="12363">
        <f ca="1"/>
        <v>110414320</v>
      </c>
    </row>
    <row r="521" spans="4:9" x14ac:dyDescent="0.3">
      <c r="D521" s="100" vm="3001">
        <f ca="1"/>
        <v>45719</v>
      </c>
      <c r="E521" s="101" vm="12364">
        <f ca="1"/>
        <v>287.18</v>
      </c>
      <c r="F521" s="101" vm="12365">
        <f ca="1"/>
        <v>293.14999999999998</v>
      </c>
      <c r="G521" s="101" vm="12366">
        <f ca="1"/>
        <v>320.94</v>
      </c>
      <c r="H521" s="101" vm="12367">
        <f ca="1"/>
        <v>237.0102</v>
      </c>
      <c r="I521" s="102" vm="12368">
        <f ca="1"/>
        <v>134979658</v>
      </c>
    </row>
    <row r="522" spans="4:9" x14ac:dyDescent="0.3">
      <c r="D522" s="100" vm="3007">
        <f ca="1"/>
        <v>45726</v>
      </c>
      <c r="E522" s="101" vm="12369">
        <f ca="1"/>
        <v>297.49</v>
      </c>
      <c r="F522" s="101" vm="12370">
        <f ca="1"/>
        <v>268</v>
      </c>
      <c r="G522" s="101" vm="12371">
        <f ca="1"/>
        <v>298.7</v>
      </c>
      <c r="H522" s="101" vm="12372">
        <f ca="1"/>
        <v>231.51</v>
      </c>
      <c r="I522" s="102" vm="12373">
        <f ca="1"/>
        <v>105401746</v>
      </c>
    </row>
    <row r="523" spans="4:9" x14ac:dyDescent="0.3">
      <c r="D523" s="100" vm="3013">
        <f ca="1"/>
        <v>45733</v>
      </c>
      <c r="E523" s="101" vm="12360">
        <f ca="1"/>
        <v>304</v>
      </c>
      <c r="F523" s="101" vm="12374">
        <f ca="1"/>
        <v>292.14999999999998</v>
      </c>
      <c r="G523" s="101" vm="12375">
        <f ca="1"/>
        <v>309.39999999999998</v>
      </c>
      <c r="H523" s="101" vm="12376">
        <f ca="1"/>
        <v>272.5</v>
      </c>
      <c r="I523" s="102" vm="12377">
        <f ca="1"/>
        <v>84607767</v>
      </c>
    </row>
    <row r="524" spans="4:9" x14ac:dyDescent="0.3">
      <c r="D524" s="100" vm="3019">
        <f ca="1"/>
        <v>45740</v>
      </c>
      <c r="E524" s="101" vm="12378">
        <f ca="1"/>
        <v>289.41000000000003</v>
      </c>
      <c r="F524" s="101" vm="12379">
        <f ca="1"/>
        <v>316.14</v>
      </c>
      <c r="G524" s="101" vm="12380">
        <f ca="1"/>
        <v>343.5899</v>
      </c>
      <c r="H524" s="101" vm="12381">
        <f ca="1"/>
        <v>289.25</v>
      </c>
      <c r="I524" s="102" vm="12382">
        <f ca="1"/>
        <v>89847899</v>
      </c>
    </row>
    <row r="525" spans="4:9" x14ac:dyDescent="0.3">
      <c r="D525" s="100" vm="3025">
        <f ca="1"/>
        <v>45747</v>
      </c>
      <c r="E525" s="101" vm="12383">
        <f ca="1"/>
        <v>293.61</v>
      </c>
      <c r="F525" s="101" vm="12384">
        <f ca="1"/>
        <v>281.87</v>
      </c>
      <c r="G525" s="101" vm="12385">
        <f ca="1"/>
        <v>319.47000000000003</v>
      </c>
      <c r="H525" s="101" vm="12386">
        <f ca="1"/>
        <v>265.30220000000003</v>
      </c>
      <c r="I525" s="102" vm="12387">
        <f ca="1"/>
        <v>91010362</v>
      </c>
    </row>
    <row r="526" spans="4:9" x14ac:dyDescent="0.3">
      <c r="D526" s="100" vm="3031">
        <f ca="1"/>
        <v>45754</v>
      </c>
      <c r="E526" s="101" vm="12388">
        <f ca="1"/>
        <v>299.98</v>
      </c>
      <c r="F526" s="101" vm="12389">
        <f ca="1"/>
        <v>260.14</v>
      </c>
      <c r="G526" s="101" vm="12390">
        <f ca="1"/>
        <v>304.14999999999998</v>
      </c>
      <c r="H526" s="101" vm="12391">
        <f ca="1"/>
        <v>235.93</v>
      </c>
      <c r="I526" s="102" vm="12392">
        <f ca="1"/>
        <v>130320318</v>
      </c>
    </row>
    <row r="527" spans="4:9" x14ac:dyDescent="0.3">
      <c r="D527" s="100" vm="3037">
        <f ca="1"/>
        <v>45761</v>
      </c>
      <c r="E527" s="101" vm="12393">
        <f ca="1"/>
        <v>317.2</v>
      </c>
      <c r="F527" s="101" vm="12394">
        <f ca="1"/>
        <v>309.8</v>
      </c>
      <c r="G527" s="101" vm="12395">
        <f ca="1"/>
        <v>320</v>
      </c>
      <c r="H527" s="101" vm="12396">
        <f ca="1"/>
        <v>300.10000000000002</v>
      </c>
      <c r="I527" s="102" vm="12397">
        <f ca="1"/>
        <v>53211508</v>
      </c>
    </row>
    <row r="528" spans="4:9" x14ac:dyDescent="0.3">
      <c r="D528" s="100" vm="3043">
        <f ca="1"/>
        <v>45768</v>
      </c>
      <c r="E528" s="101" vm="12398">
        <f ca="1"/>
        <v>368.71</v>
      </c>
      <c r="F528" s="101" vm="12399">
        <f ca="1"/>
        <v>324.99</v>
      </c>
      <c r="G528" s="101" vm="12400">
        <f ca="1"/>
        <v>373.23</v>
      </c>
      <c r="H528" s="101" vm="12401">
        <f ca="1"/>
        <v>309</v>
      </c>
      <c r="I528" s="102" vm="12402">
        <f ca="1"/>
        <v>86900246</v>
      </c>
    </row>
    <row r="529" spans="4:9" ht="15" thickBot="1" x14ac:dyDescent="0.35">
      <c r="D529" s="105" vm="3049">
        <f ca="1"/>
        <v>45775</v>
      </c>
      <c r="E529" s="106" vm="12403">
        <f ca="1"/>
        <v>394.37</v>
      </c>
      <c r="F529" s="106" vm="12404">
        <f ca="1"/>
        <v>373.29</v>
      </c>
      <c r="G529" s="106" vm="12405">
        <f ca="1"/>
        <v>403.9</v>
      </c>
      <c r="H529" s="106" vm="12406">
        <f ca="1"/>
        <v>354.53</v>
      </c>
      <c r="I529" s="107" vm="12407">
        <f ca="1"/>
        <v>71184733</v>
      </c>
    </row>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820AF6-6DE0-473F-A3BB-C905F260D523}">
  <dimension ref="A1:O529"/>
  <sheetViews>
    <sheetView showGridLines="0" workbookViewId="0">
      <selection activeCell="A2" sqref="A2"/>
    </sheetView>
  </sheetViews>
  <sheetFormatPr defaultRowHeight="14.4" x14ac:dyDescent="0.3"/>
  <cols>
    <col min="1" max="1" width="14.77734375" customWidth="1"/>
    <col min="2" max="2" width="2.33203125" customWidth="1"/>
    <col min="3" max="3" width="1" customWidth="1"/>
    <col min="4" max="4" width="10.5546875" bestFit="1" customWidth="1"/>
    <col min="9" max="9" width="11.44140625" bestFit="1" customWidth="1"/>
    <col min="15" max="15" width="9.5546875" bestFit="1" customWidth="1"/>
  </cols>
  <sheetData>
    <row r="1" spans="1:15" ht="46.8" customHeight="1" x14ac:dyDescent="0.7">
      <c r="A1" s="142" t="s">
        <v>8</v>
      </c>
    </row>
    <row r="3" spans="1:15" ht="15" thickBot="1" x14ac:dyDescent="0.35"/>
    <row r="4" spans="1:15" x14ac:dyDescent="0.3">
      <c r="D4" s="97" t="e" vm="6">
        <v>#VALUE!</v>
      </c>
      <c r="E4" s="98"/>
      <c r="F4" s="98"/>
      <c r="G4" s="98"/>
      <c r="H4" s="98"/>
      <c r="I4" s="99"/>
    </row>
    <row r="5" spans="1:15" x14ac:dyDescent="0.3">
      <c r="D5" s="100"/>
      <c r="E5" s="101"/>
      <c r="F5" s="101"/>
      <c r="G5" s="101"/>
      <c r="H5" s="101"/>
      <c r="I5" s="102"/>
    </row>
    <row r="6" spans="1:15" x14ac:dyDescent="0.3">
      <c r="D6" s="100" t="str" cm="1">
        <f t="array" aca="1" ref="D6:I529" ca="1">_xlfn.STOCKHISTORY(D4,"5/1/2015","5/1/2025",1,1,0,1,2,3,4,5)</f>
        <v>Date</v>
      </c>
      <c r="E6" s="101" t="str">
        <f ca="1"/>
        <v>Close</v>
      </c>
      <c r="F6" s="101" t="str">
        <f ca="1"/>
        <v>Open</v>
      </c>
      <c r="G6" s="101" t="str">
        <f ca="1"/>
        <v>High</v>
      </c>
      <c r="H6" s="101" t="str">
        <f ca="1"/>
        <v>Low</v>
      </c>
      <c r="I6" s="102" t="str">
        <f ca="1"/>
        <v>Volume</v>
      </c>
      <c r="M6" s="124" t="s">
        <v>12</v>
      </c>
      <c r="N6" s="124"/>
      <c r="O6" s="125">
        <f ca="1">AVERAGE(E7:E529)</f>
        <v>107.38715105162528</v>
      </c>
    </row>
    <row r="7" spans="1:15" x14ac:dyDescent="0.3">
      <c r="D7" s="103" vm="8">
        <f ca="1"/>
        <v>42121</v>
      </c>
      <c r="E7" s="101" vm="12408">
        <f ca="1"/>
        <v>21.1435</v>
      </c>
      <c r="F7" s="101" vm="12409">
        <f ca="1"/>
        <v>22.193000000000001</v>
      </c>
      <c r="G7" s="101" vm="12410">
        <f ca="1"/>
        <v>22.349499999999999</v>
      </c>
      <c r="H7" s="101" vm="12411">
        <f ca="1"/>
        <v>20.8</v>
      </c>
      <c r="I7" s="108" vm="12412">
        <f ca="1"/>
        <v>20406821</v>
      </c>
      <c r="M7" s="124" t="s">
        <v>13</v>
      </c>
      <c r="N7" s="124"/>
      <c r="O7" s="124"/>
    </row>
    <row r="8" spans="1:15" x14ac:dyDescent="0.3">
      <c r="D8" s="100" vm="14">
        <f ca="1"/>
        <v>42128</v>
      </c>
      <c r="E8" s="101" vm="12413">
        <f ca="1"/>
        <v>21.6845</v>
      </c>
      <c r="F8" s="101" vm="3633">
        <f ca="1"/>
        <v>21.24</v>
      </c>
      <c r="G8" s="101" vm="12414">
        <f ca="1"/>
        <v>21.76</v>
      </c>
      <c r="H8" s="101" vm="12415">
        <f ca="1"/>
        <v>20.727499999999999</v>
      </c>
      <c r="I8" s="102" vm="12416">
        <f ca="1"/>
        <v>13354278</v>
      </c>
      <c r="M8" s="124" t="s">
        <v>14</v>
      </c>
      <c r="N8" s="124"/>
      <c r="O8" s="125">
        <f ca="1">_xlfn.STDEV.S(E7:E529)</f>
        <v>55.357341319838184</v>
      </c>
    </row>
    <row r="9" spans="1:15" x14ac:dyDescent="0.3">
      <c r="D9" s="100" vm="20">
        <f ca="1"/>
        <v>42135</v>
      </c>
      <c r="E9" s="101" vm="12417">
        <f ca="1"/>
        <v>21.3</v>
      </c>
      <c r="F9" s="101" vm="12418">
        <f ca="1"/>
        <v>21.625499999999999</v>
      </c>
      <c r="G9" s="101" vm="12419">
        <f ca="1"/>
        <v>21.95</v>
      </c>
      <c r="H9" s="101" vm="12420">
        <f ca="1"/>
        <v>21.215</v>
      </c>
      <c r="I9" s="102" vm="12421">
        <f ca="1"/>
        <v>12466670</v>
      </c>
      <c r="M9" s="124"/>
      <c r="N9" s="124"/>
      <c r="O9" s="124"/>
    </row>
    <row r="10" spans="1:15" x14ac:dyDescent="0.3">
      <c r="D10" s="100" vm="26">
        <f ca="1"/>
        <v>42142</v>
      </c>
      <c r="E10" s="101" vm="12422">
        <f ca="1"/>
        <v>21.381499999999999</v>
      </c>
      <c r="F10" s="101" vm="12417">
        <f ca="1"/>
        <v>21.3</v>
      </c>
      <c r="G10" s="101" vm="4070">
        <f ca="1"/>
        <v>21.844999999999999</v>
      </c>
      <c r="H10" s="101" vm="12423">
        <f ca="1"/>
        <v>20.917999999999999</v>
      </c>
      <c r="I10" s="102" vm="12424">
        <f ca="1"/>
        <v>13193658</v>
      </c>
      <c r="M10" s="124" t="s">
        <v>17</v>
      </c>
      <c r="N10" s="124"/>
      <c r="O10" s="126">
        <f ca="1">MAX(G477:H529)</f>
        <v>242.52</v>
      </c>
    </row>
    <row r="11" spans="1:15" x14ac:dyDescent="0.3">
      <c r="D11" s="100" vm="32">
        <f ca="1"/>
        <v>42150</v>
      </c>
      <c r="E11" s="101" vm="12425">
        <f ca="1"/>
        <v>21.461500000000001</v>
      </c>
      <c r="F11" s="101" vm="12426">
        <f ca="1"/>
        <v>21.31</v>
      </c>
      <c r="G11" s="101" vm="12427">
        <f ca="1"/>
        <v>21.625</v>
      </c>
      <c r="H11" s="101" vm="7008">
        <f ca="1"/>
        <v>21.1</v>
      </c>
      <c r="I11" s="102" vm="12428">
        <f ca="1"/>
        <v>9403769</v>
      </c>
      <c r="M11" s="124" t="s">
        <v>18</v>
      </c>
      <c r="N11" s="124"/>
      <c r="O11" s="126">
        <f ca="1">MIN(G478:H530)</f>
        <v>151.61000000000001</v>
      </c>
    </row>
    <row r="12" spans="1:15" x14ac:dyDescent="0.3">
      <c r="D12" s="100" vm="38">
        <f ca="1"/>
        <v>42156</v>
      </c>
      <c r="E12" s="101" vm="12429">
        <f ca="1"/>
        <v>21.3475</v>
      </c>
      <c r="F12" s="101" vm="3981">
        <f ca="1"/>
        <v>21.52</v>
      </c>
      <c r="G12" s="101" vm="12430">
        <f ca="1"/>
        <v>21.919499999999999</v>
      </c>
      <c r="H12" s="101" vm="12426">
        <f ca="1"/>
        <v>21.31</v>
      </c>
      <c r="I12" s="102" vm="12431">
        <f ca="1"/>
        <v>11069639</v>
      </c>
    </row>
    <row r="13" spans="1:15" x14ac:dyDescent="0.3">
      <c r="D13" s="100" vm="43">
        <f ca="1"/>
        <v>42163</v>
      </c>
      <c r="E13" s="101" vm="12432">
        <f ca="1"/>
        <v>21.495999999999999</v>
      </c>
      <c r="F13" s="101" vm="12433">
        <f ca="1"/>
        <v>21.280999999999999</v>
      </c>
      <c r="G13" s="101" vm="12434">
        <f ca="1"/>
        <v>21.944500000000001</v>
      </c>
      <c r="H13" s="101" vm="12435">
        <f ca="1"/>
        <v>20.957000000000001</v>
      </c>
      <c r="I13" s="102" vm="12436">
        <f ca="1"/>
        <v>11610365</v>
      </c>
    </row>
    <row r="14" spans="1:15" x14ac:dyDescent="0.3">
      <c r="D14" s="100" vm="49">
        <f ca="1"/>
        <v>42170</v>
      </c>
      <c r="E14" s="101" vm="12437">
        <f ca="1"/>
        <v>21.745999999999999</v>
      </c>
      <c r="F14" s="101" vm="12438">
        <f ca="1"/>
        <v>21.382999999999999</v>
      </c>
      <c r="G14" s="101" vm="12439">
        <f ca="1"/>
        <v>22.249500000000001</v>
      </c>
      <c r="H14" s="101" vm="12440">
        <f ca="1"/>
        <v>21.132000000000001</v>
      </c>
      <c r="I14" s="102" vm="12441">
        <f ca="1"/>
        <v>14407772</v>
      </c>
    </row>
    <row r="15" spans="1:15" x14ac:dyDescent="0.3">
      <c r="D15" s="100" vm="55">
        <f ca="1"/>
        <v>42177</v>
      </c>
      <c r="E15" s="101" vm="12442">
        <f ca="1"/>
        <v>21.905000000000001</v>
      </c>
      <c r="F15" s="101" vm="3705">
        <f ca="1"/>
        <v>21.85</v>
      </c>
      <c r="G15" s="101" vm="12443">
        <f ca="1"/>
        <v>22.352</v>
      </c>
      <c r="H15" s="101" vm="12413">
        <f ca="1"/>
        <v>21.6845</v>
      </c>
      <c r="I15" s="102" vm="12444">
        <f ca="1"/>
        <v>12551385</v>
      </c>
    </row>
    <row r="16" spans="1:15" x14ac:dyDescent="0.3">
      <c r="D16" s="100" vm="61">
        <f ca="1"/>
        <v>42184</v>
      </c>
      <c r="E16" s="101" vm="12445">
        <f ca="1"/>
        <v>21.8855</v>
      </c>
      <c r="F16" s="101" vm="6707">
        <f ca="1"/>
        <v>21.748999999999999</v>
      </c>
      <c r="G16" s="101" vm="3608">
        <f ca="1"/>
        <v>22</v>
      </c>
      <c r="H16" s="101" vm="12446">
        <f ca="1"/>
        <v>21.45</v>
      </c>
      <c r="I16" s="102" vm="12447">
        <f ca="1"/>
        <v>8680539</v>
      </c>
    </row>
    <row r="17" spans="4:9" x14ac:dyDescent="0.3">
      <c r="D17" s="100" vm="67">
        <f ca="1"/>
        <v>42191</v>
      </c>
      <c r="E17" s="101" vm="12448">
        <f ca="1"/>
        <v>22.1755</v>
      </c>
      <c r="F17" s="101" vm="12449">
        <f ca="1"/>
        <v>21.761500000000002</v>
      </c>
      <c r="G17" s="101" vm="12450">
        <f ca="1"/>
        <v>22.236000000000001</v>
      </c>
      <c r="H17" s="101" vm="8206">
        <f ca="1"/>
        <v>21.278500000000001</v>
      </c>
      <c r="I17" s="102" vm="12451">
        <f ca="1"/>
        <v>12412915</v>
      </c>
    </row>
    <row r="18" spans="4:9" x14ac:dyDescent="0.3">
      <c r="D18" s="100" vm="73">
        <f ca="1"/>
        <v>42198</v>
      </c>
      <c r="E18" s="101" vm="12452">
        <f ca="1"/>
        <v>24.150500000000001</v>
      </c>
      <c r="F18" s="101" vm="12453">
        <f ca="1"/>
        <v>22.4145</v>
      </c>
      <c r="G18" s="101" vm="12454">
        <f ca="1"/>
        <v>24.271000000000001</v>
      </c>
      <c r="H18" s="101" vm="12455">
        <f ca="1"/>
        <v>22.376999999999999</v>
      </c>
      <c r="I18" s="102" vm="12456">
        <f ca="1"/>
        <v>20708173</v>
      </c>
    </row>
    <row r="19" spans="4:9" x14ac:dyDescent="0.3">
      <c r="D19" s="100" vm="78">
        <f ca="1"/>
        <v>42205</v>
      </c>
      <c r="E19" s="101" vm="12457">
        <f ca="1"/>
        <v>26.471</v>
      </c>
      <c r="F19" s="101" vm="12458">
        <f ca="1"/>
        <v>24.628499999999999</v>
      </c>
      <c r="G19" s="101" vm="12459">
        <f ca="1"/>
        <v>29.028500000000001</v>
      </c>
      <c r="H19" s="101" vm="12460">
        <f ca="1"/>
        <v>23.785</v>
      </c>
      <c r="I19" s="102" vm="12461">
        <f ca="1"/>
        <v>42333032</v>
      </c>
    </row>
    <row r="20" spans="4:9" x14ac:dyDescent="0.3">
      <c r="D20" s="100" vm="83">
        <f ca="1"/>
        <v>42212</v>
      </c>
      <c r="E20" s="101" vm="12462">
        <f ca="1"/>
        <v>26.807500000000001</v>
      </c>
      <c r="F20" s="101" vm="12463">
        <f ca="1"/>
        <v>26.387499999999999</v>
      </c>
      <c r="G20" s="101" vm="12464">
        <f ca="1"/>
        <v>27.247499999999999</v>
      </c>
      <c r="H20" s="101" vm="12465">
        <f ca="1"/>
        <v>26.155999999999999</v>
      </c>
      <c r="I20" s="102" vm="12466">
        <f ca="1"/>
        <v>23285349</v>
      </c>
    </row>
    <row r="21" spans="4:9" x14ac:dyDescent="0.3">
      <c r="D21" s="100" vm="89">
        <f ca="1"/>
        <v>42219</v>
      </c>
      <c r="E21" s="101" vm="12467">
        <f ca="1"/>
        <v>26.131</v>
      </c>
      <c r="F21" s="101" vm="12468">
        <f ca="1"/>
        <v>26.872499999999999</v>
      </c>
      <c r="G21" s="101" vm="12469">
        <f ca="1"/>
        <v>27.137</v>
      </c>
      <c r="H21" s="101" vm="12470">
        <f ca="1"/>
        <v>25.910499999999999</v>
      </c>
      <c r="I21" s="102" vm="12471">
        <f ca="1"/>
        <v>16627844</v>
      </c>
    </row>
    <row r="22" spans="4:9" x14ac:dyDescent="0.3">
      <c r="D22" s="100" vm="95">
        <f ca="1"/>
        <v>42226</v>
      </c>
      <c r="E22" s="101" vm="12472">
        <f ca="1"/>
        <v>26.576000000000001</v>
      </c>
      <c r="F22" s="101" vm="12473">
        <f ca="1"/>
        <v>26.425999999999998</v>
      </c>
      <c r="G22" s="101" vm="12474">
        <f ca="1"/>
        <v>26.733000000000001</v>
      </c>
      <c r="H22" s="101" vm="12475">
        <f ca="1"/>
        <v>25.652999999999999</v>
      </c>
      <c r="I22" s="102" vm="12476">
        <f ca="1"/>
        <v>14197247</v>
      </c>
    </row>
    <row r="23" spans="4:9" x14ac:dyDescent="0.3">
      <c r="D23" s="100" vm="101">
        <f ca="1"/>
        <v>42233</v>
      </c>
      <c r="E23" s="101" vm="12477">
        <f ca="1"/>
        <v>24.723500000000001</v>
      </c>
      <c r="F23" s="101" vm="12478">
        <f ca="1"/>
        <v>26.564499999999999</v>
      </c>
      <c r="G23" s="101" vm="12479">
        <f ca="1"/>
        <v>26.974499999999999</v>
      </c>
      <c r="H23" s="101" vm="12477">
        <f ca="1"/>
        <v>24.723500000000001</v>
      </c>
      <c r="I23" s="102" vm="12480">
        <f ca="1"/>
        <v>18091518</v>
      </c>
    </row>
    <row r="24" spans="4:9" x14ac:dyDescent="0.3">
      <c r="D24" s="100" vm="107">
        <f ca="1"/>
        <v>42240</v>
      </c>
      <c r="E24" s="101" vm="12481">
        <f ca="1"/>
        <v>25.900500000000001</v>
      </c>
      <c r="F24" s="101" vm="12482">
        <f ca="1"/>
        <v>23.178999999999998</v>
      </c>
      <c r="G24" s="101" vm="12483">
        <f ca="1"/>
        <v>26.134499999999999</v>
      </c>
      <c r="H24" s="101" vm="3693">
        <f ca="1"/>
        <v>22.55</v>
      </c>
      <c r="I24" s="102" vm="12484">
        <f ca="1"/>
        <v>30996783</v>
      </c>
    </row>
    <row r="25" spans="4:9" x14ac:dyDescent="0.3">
      <c r="D25" s="100" vm="113">
        <f ca="1"/>
        <v>42247</v>
      </c>
      <c r="E25" s="101" vm="12485">
        <f ca="1"/>
        <v>24.95</v>
      </c>
      <c r="F25" s="101" vm="12486">
        <f ca="1"/>
        <v>25.821999999999999</v>
      </c>
      <c r="G25" s="101" vm="12487">
        <f ca="1"/>
        <v>25.970500000000001</v>
      </c>
      <c r="H25" s="101" vm="12488">
        <f ca="1"/>
        <v>24.671500000000002</v>
      </c>
      <c r="I25" s="102" vm="12489">
        <f ca="1"/>
        <v>16416127</v>
      </c>
    </row>
    <row r="26" spans="4:9" x14ac:dyDescent="0.3">
      <c r="D26" s="100" vm="119">
        <f ca="1"/>
        <v>42255</v>
      </c>
      <c r="E26" s="101" vm="12490">
        <f ca="1"/>
        <v>26.472000000000001</v>
      </c>
      <c r="F26" s="101" vm="12491">
        <f ca="1"/>
        <v>25.4345</v>
      </c>
      <c r="G26" s="101" vm="12492">
        <f ca="1"/>
        <v>26.497499999999999</v>
      </c>
      <c r="H26" s="101" vm="12493">
        <f ca="1"/>
        <v>25.425699999999999</v>
      </c>
      <c r="I26" s="102" vm="12494">
        <f ca="1"/>
        <v>13985154</v>
      </c>
    </row>
    <row r="27" spans="4:9" x14ac:dyDescent="0.3">
      <c r="D27" s="100" vm="124">
        <f ca="1"/>
        <v>42261</v>
      </c>
      <c r="E27" s="101" vm="7059">
        <f ca="1"/>
        <v>27.013000000000002</v>
      </c>
      <c r="F27" s="101" vm="12490">
        <f ca="1"/>
        <v>26.472000000000001</v>
      </c>
      <c r="G27" s="101" vm="12495">
        <f ca="1"/>
        <v>27.348500000000001</v>
      </c>
      <c r="H27" s="101" vm="4816">
        <f ca="1"/>
        <v>25.86</v>
      </c>
      <c r="I27" s="102" vm="12496">
        <f ca="1"/>
        <v>18578523</v>
      </c>
    </row>
    <row r="28" spans="4:9" x14ac:dyDescent="0.3">
      <c r="D28" s="100" vm="130">
        <f ca="1"/>
        <v>42268</v>
      </c>
      <c r="E28" s="101" vm="12497">
        <f ca="1"/>
        <v>26.212499999999999</v>
      </c>
      <c r="F28" s="101" vm="12498">
        <f ca="1"/>
        <v>27.2165</v>
      </c>
      <c r="G28" s="101" vm="12499">
        <f ca="1"/>
        <v>27.489000000000001</v>
      </c>
      <c r="H28" s="101" vm="12500">
        <f ca="1"/>
        <v>26.07</v>
      </c>
      <c r="I28" s="102" vm="12501">
        <f ca="1"/>
        <v>16894594</v>
      </c>
    </row>
    <row r="29" spans="4:9" x14ac:dyDescent="0.3">
      <c r="D29" s="100" vm="136">
        <f ca="1"/>
        <v>42275</v>
      </c>
      <c r="E29" s="101" vm="12502">
        <f ca="1"/>
        <v>26.626999999999999</v>
      </c>
      <c r="F29" s="101" vm="12503">
        <f ca="1"/>
        <v>26.001000000000001</v>
      </c>
      <c r="G29" s="101" vm="12504">
        <f ca="1"/>
        <v>26.63</v>
      </c>
      <c r="H29" s="101" vm="12505">
        <f ca="1"/>
        <v>24.524999999999999</v>
      </c>
      <c r="I29" s="102" vm="12506">
        <f ca="1"/>
        <v>22263023</v>
      </c>
    </row>
    <row r="30" spans="4:9" x14ac:dyDescent="0.3">
      <c r="D30" s="100" vm="142">
        <f ca="1"/>
        <v>42282</v>
      </c>
      <c r="E30" s="101" vm="4251">
        <f ca="1"/>
        <v>26.99</v>
      </c>
      <c r="F30" s="101" vm="12507">
        <f ca="1"/>
        <v>26.849499999999999</v>
      </c>
      <c r="G30" s="101" vm="12508">
        <f ca="1"/>
        <v>27.574999999999999</v>
      </c>
      <c r="H30" s="101" vm="12509">
        <f ca="1"/>
        <v>25.994499999999999</v>
      </c>
      <c r="I30" s="102" vm="12510">
        <f ca="1"/>
        <v>19964769</v>
      </c>
    </row>
    <row r="31" spans="4:9" x14ac:dyDescent="0.3">
      <c r="D31" s="100" vm="148">
        <f ca="1"/>
        <v>42289</v>
      </c>
      <c r="E31" s="101" vm="12511">
        <f ca="1"/>
        <v>28.538</v>
      </c>
      <c r="F31" s="101" vm="12512">
        <f ca="1"/>
        <v>26.998000000000001</v>
      </c>
      <c r="G31" s="101" vm="12513">
        <f ca="1"/>
        <v>28.547000000000001</v>
      </c>
      <c r="H31" s="101" vm="12514">
        <f ca="1"/>
        <v>26.984000000000002</v>
      </c>
      <c r="I31" s="102" vm="12515">
        <f ca="1"/>
        <v>18549033</v>
      </c>
    </row>
    <row r="32" spans="4:9" x14ac:dyDescent="0.3">
      <c r="D32" s="100" vm="154">
        <f ca="1"/>
        <v>42296</v>
      </c>
      <c r="E32" s="101" vm="12516">
        <f ca="1"/>
        <v>29.951499999999999</v>
      </c>
      <c r="F32" s="101" vm="12511">
        <f ca="1"/>
        <v>28.538</v>
      </c>
      <c r="G32" s="101" vm="12517">
        <f ca="1"/>
        <v>30.9725</v>
      </c>
      <c r="H32" s="101" vm="12518">
        <f ca="1"/>
        <v>27.626000000000001</v>
      </c>
      <c r="I32" s="102" vm="12519">
        <f ca="1"/>
        <v>30555323</v>
      </c>
    </row>
    <row r="33" spans="4:9" x14ac:dyDescent="0.3">
      <c r="D33" s="100" vm="160">
        <f ca="1"/>
        <v>42303</v>
      </c>
      <c r="E33" s="101" vm="12520">
        <f ca="1"/>
        <v>31.295000000000002</v>
      </c>
      <c r="F33" s="101" vm="12521">
        <f ca="1"/>
        <v>30.114999999999998</v>
      </c>
      <c r="G33" s="101" vm="12522">
        <f ca="1"/>
        <v>31.536000000000001</v>
      </c>
      <c r="H33" s="101" vm="12523">
        <f ca="1"/>
        <v>29.814499999999999</v>
      </c>
      <c r="I33" s="102" vm="12524">
        <f ca="1"/>
        <v>19753440</v>
      </c>
    </row>
    <row r="34" spans="4:9" x14ac:dyDescent="0.3">
      <c r="D34" s="100" vm="166">
        <f ca="1"/>
        <v>42310</v>
      </c>
      <c r="E34" s="101" vm="12525">
        <f ca="1"/>
        <v>32.968499999999999</v>
      </c>
      <c r="F34" s="101" vm="12526">
        <f ca="1"/>
        <v>31.3565</v>
      </c>
      <c r="G34" s="101" vm="12527">
        <f ca="1"/>
        <v>33.113</v>
      </c>
      <c r="H34" s="101" vm="12528">
        <f ca="1"/>
        <v>31.020499999999998</v>
      </c>
      <c r="I34" s="102" vm="12529">
        <f ca="1"/>
        <v>19719880</v>
      </c>
    </row>
    <row r="35" spans="4:9" x14ac:dyDescent="0.3">
      <c r="D35" s="100" vm="172">
        <f ca="1"/>
        <v>42317</v>
      </c>
      <c r="E35" s="101" vm="12530">
        <f ca="1"/>
        <v>32.1175</v>
      </c>
      <c r="F35" s="101" vm="12531">
        <f ca="1"/>
        <v>32.932499999999997</v>
      </c>
      <c r="G35" s="101" vm="12532">
        <f ca="1"/>
        <v>33.798000000000002</v>
      </c>
      <c r="H35" s="101" vm="12533">
        <f ca="1"/>
        <v>32.022500000000001</v>
      </c>
      <c r="I35" s="102" vm="12534">
        <f ca="1"/>
        <v>23471369</v>
      </c>
    </row>
    <row r="36" spans="4:9" x14ac:dyDescent="0.3">
      <c r="D36" s="100" vm="178">
        <f ca="1"/>
        <v>42324</v>
      </c>
      <c r="E36" s="101" vm="12535">
        <f ca="1"/>
        <v>33.422499999999999</v>
      </c>
      <c r="F36" s="101" vm="12536">
        <f ca="1"/>
        <v>32.045999999999999</v>
      </c>
      <c r="G36" s="101" vm="12537">
        <f ca="1"/>
        <v>33.643000000000001</v>
      </c>
      <c r="H36" s="101" vm="12538">
        <f ca="1"/>
        <v>31.1145</v>
      </c>
      <c r="I36" s="102" vm="12539">
        <f ca="1"/>
        <v>24827252</v>
      </c>
    </row>
    <row r="37" spans="4:9" x14ac:dyDescent="0.3">
      <c r="D37" s="100" vm="184">
        <f ca="1"/>
        <v>42331</v>
      </c>
      <c r="E37" s="101" vm="12540">
        <f ca="1"/>
        <v>33.662999999999997</v>
      </c>
      <c r="F37" s="101" vm="12541">
        <f ca="1"/>
        <v>33.575000000000003</v>
      </c>
      <c r="G37" s="101" vm="12542">
        <f ca="1"/>
        <v>34.138500000000001</v>
      </c>
      <c r="H37" s="101" vm="12543">
        <f ca="1"/>
        <v>33.060600000000001</v>
      </c>
      <c r="I37" s="102" vm="12544">
        <f ca="1"/>
        <v>13593164</v>
      </c>
    </row>
    <row r="38" spans="4:9" x14ac:dyDescent="0.3">
      <c r="D38" s="100" vm="190">
        <f ca="1"/>
        <v>42338</v>
      </c>
      <c r="E38" s="101" vm="12545">
        <f ca="1"/>
        <v>33.631999999999998</v>
      </c>
      <c r="F38" s="101" vm="12546">
        <f ca="1"/>
        <v>33.795000000000002</v>
      </c>
      <c r="G38" s="101" vm="12547">
        <f ca="1"/>
        <v>34.241</v>
      </c>
      <c r="H38" s="101" vm="12548">
        <f ca="1"/>
        <v>33.07</v>
      </c>
      <c r="I38" s="102" vm="12549">
        <f ca="1"/>
        <v>24291149</v>
      </c>
    </row>
    <row r="39" spans="4:9" x14ac:dyDescent="0.3">
      <c r="D39" s="100" vm="196">
        <f ca="1"/>
        <v>42345</v>
      </c>
      <c r="E39" s="101" vm="12550">
        <f ca="1"/>
        <v>32.0075</v>
      </c>
      <c r="F39" s="101" vm="12551">
        <f ca="1"/>
        <v>33.737000000000002</v>
      </c>
      <c r="G39" s="101" vm="12552">
        <f ca="1"/>
        <v>33.999499999999998</v>
      </c>
      <c r="H39" s="101" vm="12553">
        <f ca="1"/>
        <v>31.981000000000002</v>
      </c>
      <c r="I39" s="102" vm="12554">
        <f ca="1"/>
        <v>21472786</v>
      </c>
    </row>
    <row r="40" spans="4:9" x14ac:dyDescent="0.3">
      <c r="D40" s="100" vm="202">
        <f ca="1"/>
        <v>42352</v>
      </c>
      <c r="E40" s="101" vm="12555">
        <f ca="1"/>
        <v>33.207000000000001</v>
      </c>
      <c r="F40" s="101" vm="12556">
        <f ca="1"/>
        <v>32.087499999999999</v>
      </c>
      <c r="G40" s="101" vm="12557">
        <f ca="1"/>
        <v>34.125</v>
      </c>
      <c r="H40" s="101" vm="12558">
        <f ca="1"/>
        <v>31.763500000000001</v>
      </c>
      <c r="I40" s="102" vm="12559">
        <f ca="1"/>
        <v>23602107</v>
      </c>
    </row>
    <row r="41" spans="4:9" x14ac:dyDescent="0.3">
      <c r="D41" s="100" vm="208">
        <f ca="1"/>
        <v>42359</v>
      </c>
      <c r="E41" s="101" vm="12560">
        <f ca="1"/>
        <v>33.139499999999998</v>
      </c>
      <c r="F41" s="101" vm="12561">
        <f ca="1"/>
        <v>33.424999999999997</v>
      </c>
      <c r="G41" s="101" vm="12562">
        <f ca="1"/>
        <v>33.494999999999997</v>
      </c>
      <c r="H41" s="101" vm="12563">
        <f ca="1"/>
        <v>32.831499999999998</v>
      </c>
      <c r="I41" s="102" vm="12564">
        <f ca="1"/>
        <v>9734587</v>
      </c>
    </row>
    <row r="42" spans="4:9" x14ac:dyDescent="0.3">
      <c r="D42" s="100" vm="214">
        <f ca="1"/>
        <v>42366</v>
      </c>
      <c r="E42" s="101" vm="12565">
        <f ca="1"/>
        <v>33.794499999999999</v>
      </c>
      <c r="F42" s="101" vm="12566">
        <f ca="1"/>
        <v>33.277999999999999</v>
      </c>
      <c r="G42" s="101" vm="12567">
        <f ca="1"/>
        <v>34.822000000000003</v>
      </c>
      <c r="H42" s="101" vm="12568">
        <f ca="1"/>
        <v>33.274999999999999</v>
      </c>
      <c r="I42" s="102" vm="12569">
        <f ca="1"/>
        <v>16787114</v>
      </c>
    </row>
    <row r="43" spans="4:9" x14ac:dyDescent="0.3">
      <c r="D43" s="100" vm="220">
        <f ca="1"/>
        <v>42373</v>
      </c>
      <c r="E43" s="101" vm="12570">
        <f ca="1"/>
        <v>30.352499999999999</v>
      </c>
      <c r="F43" s="101" vm="12571">
        <f ca="1"/>
        <v>32.814500000000002</v>
      </c>
      <c r="G43" s="101" vm="12572">
        <f ca="1"/>
        <v>32.885800000000003</v>
      </c>
      <c r="H43" s="101" vm="12573">
        <f ca="1"/>
        <v>30.2605</v>
      </c>
      <c r="I43" s="102" vm="12574">
        <f ca="1"/>
        <v>33054149</v>
      </c>
    </row>
    <row r="44" spans="4:9" x14ac:dyDescent="0.3">
      <c r="D44" s="100" vm="226">
        <f ca="1"/>
        <v>42380</v>
      </c>
      <c r="E44" s="101" vm="12575">
        <f ca="1"/>
        <v>28.509</v>
      </c>
      <c r="F44" s="101" vm="12576">
        <f ca="1"/>
        <v>30.623999999999999</v>
      </c>
      <c r="G44" s="101" vm="12577">
        <f ca="1"/>
        <v>31.299499999999998</v>
      </c>
      <c r="H44" s="101" vm="12578">
        <f ca="1"/>
        <v>28.265000000000001</v>
      </c>
      <c r="I44" s="102" vm="12579">
        <f ca="1"/>
        <v>32293391</v>
      </c>
    </row>
    <row r="45" spans="4:9" x14ac:dyDescent="0.3">
      <c r="D45" s="100" vm="232">
        <f ca="1"/>
        <v>42388</v>
      </c>
      <c r="E45" s="101" vm="12580">
        <f ca="1"/>
        <v>29.818999999999999</v>
      </c>
      <c r="F45" s="101" vm="12581">
        <f ca="1"/>
        <v>28.854500000000002</v>
      </c>
      <c r="G45" s="101" vm="12582">
        <f ca="1"/>
        <v>30.004999999999999</v>
      </c>
      <c r="H45" s="101" vm="12583">
        <f ca="1"/>
        <v>27.359000000000002</v>
      </c>
      <c r="I45" s="102" vm="12584">
        <f ca="1"/>
        <v>22845932</v>
      </c>
    </row>
    <row r="46" spans="4:9" x14ac:dyDescent="0.3">
      <c r="D46" s="100" vm="238">
        <f ca="1"/>
        <v>42394</v>
      </c>
      <c r="E46" s="101" vm="4708">
        <f ca="1"/>
        <v>29.35</v>
      </c>
      <c r="F46" s="101" vm="12585">
        <f ca="1"/>
        <v>29.8995</v>
      </c>
      <c r="G46" s="101" vm="12586">
        <f ca="1"/>
        <v>31.902999999999999</v>
      </c>
      <c r="H46" s="101" vm="4891">
        <f ca="1"/>
        <v>28.5</v>
      </c>
      <c r="I46" s="102" vm="12587">
        <f ca="1"/>
        <v>42007308</v>
      </c>
    </row>
    <row r="47" spans="4:9" x14ac:dyDescent="0.3">
      <c r="D47" s="100" vm="244">
        <f ca="1"/>
        <v>42401</v>
      </c>
      <c r="E47" s="101" vm="12588">
        <f ca="1"/>
        <v>25.1065</v>
      </c>
      <c r="F47" s="101" vm="12589">
        <f ca="1"/>
        <v>28.907499999999999</v>
      </c>
      <c r="G47" s="101" vm="12590">
        <f ca="1"/>
        <v>29.09</v>
      </c>
      <c r="H47" s="101" vm="12591">
        <f ca="1"/>
        <v>24.959499999999998</v>
      </c>
      <c r="I47" s="102" vm="12592">
        <f ca="1"/>
        <v>38623876</v>
      </c>
    </row>
    <row r="48" spans="4:9" x14ac:dyDescent="0.3">
      <c r="D48" s="100" vm="250">
        <f ca="1"/>
        <v>42408</v>
      </c>
      <c r="E48" s="101" vm="12593">
        <f ca="1"/>
        <v>25.353999999999999</v>
      </c>
      <c r="F48" s="101" vm="12594">
        <f ca="1"/>
        <v>24.323499999999999</v>
      </c>
      <c r="G48" s="101" vm="12595">
        <f ca="1"/>
        <v>25.837499999999999</v>
      </c>
      <c r="H48" s="101" vm="3666">
        <f ca="1"/>
        <v>23.7</v>
      </c>
      <c r="I48" s="102" vm="12596">
        <f ca="1"/>
        <v>36471785</v>
      </c>
    </row>
    <row r="49" spans="4:9" x14ac:dyDescent="0.3">
      <c r="D49" s="100" vm="256">
        <f ca="1"/>
        <v>42416</v>
      </c>
      <c r="E49" s="101" vm="4805">
        <f ca="1"/>
        <v>26.745000000000001</v>
      </c>
      <c r="F49" s="101" vm="12597">
        <f ca="1"/>
        <v>25.974</v>
      </c>
      <c r="G49" s="101" vm="4385">
        <f ca="1"/>
        <v>27.06</v>
      </c>
      <c r="H49" s="101" vm="12598">
        <f ca="1"/>
        <v>25.582999999999998</v>
      </c>
      <c r="I49" s="102" vm="12599">
        <f ca="1"/>
        <v>19652227</v>
      </c>
    </row>
    <row r="50" spans="4:9" x14ac:dyDescent="0.3">
      <c r="D50" s="100" vm="262">
        <f ca="1"/>
        <v>42422</v>
      </c>
      <c r="E50" s="101" vm="12600">
        <f ca="1"/>
        <v>27.761500000000002</v>
      </c>
      <c r="F50" s="101" vm="4701">
        <f ca="1"/>
        <v>27.11</v>
      </c>
      <c r="G50" s="101" vm="12601">
        <f ca="1"/>
        <v>28.125</v>
      </c>
      <c r="H50" s="101" vm="12602">
        <f ca="1"/>
        <v>26.657499999999999</v>
      </c>
      <c r="I50" s="102" vm="12603">
        <f ca="1"/>
        <v>25251513</v>
      </c>
    </row>
    <row r="51" spans="4:9" x14ac:dyDescent="0.3">
      <c r="D51" s="100" vm="268">
        <f ca="1"/>
        <v>42429</v>
      </c>
      <c r="E51" s="101" vm="12604">
        <f ca="1"/>
        <v>28.757000000000001</v>
      </c>
      <c r="F51" s="101" vm="156">
        <f ca="1"/>
        <v>27.7</v>
      </c>
      <c r="G51" s="101" vm="4797">
        <f ca="1"/>
        <v>29.25</v>
      </c>
      <c r="H51" s="101" vm="12605">
        <f ca="1"/>
        <v>27.625499999999999</v>
      </c>
      <c r="I51" s="102" vm="12606">
        <f ca="1"/>
        <v>19923855</v>
      </c>
    </row>
    <row r="52" spans="4:9" x14ac:dyDescent="0.3">
      <c r="D52" s="100" vm="274">
        <f ca="1"/>
        <v>42436</v>
      </c>
      <c r="E52" s="101" vm="12607">
        <f ca="1"/>
        <v>28.480499999999999</v>
      </c>
      <c r="F52" s="101" vm="12608">
        <f ca="1"/>
        <v>28.677</v>
      </c>
      <c r="G52" s="101" vm="12609">
        <f ca="1"/>
        <v>28.6815</v>
      </c>
      <c r="H52" s="101" vm="12610">
        <f ca="1"/>
        <v>27.395</v>
      </c>
      <c r="I52" s="102" vm="12611">
        <f ca="1"/>
        <v>21730964</v>
      </c>
    </row>
    <row r="53" spans="4:9" x14ac:dyDescent="0.3">
      <c r="D53" s="100" vm="280">
        <f ca="1"/>
        <v>42443</v>
      </c>
      <c r="E53" s="101" vm="12612">
        <f ca="1"/>
        <v>27.603999999999999</v>
      </c>
      <c r="F53" s="101" vm="4350">
        <f ca="1"/>
        <v>28.35</v>
      </c>
      <c r="G53" s="101" vm="12613">
        <f ca="1"/>
        <v>29.076000000000001</v>
      </c>
      <c r="H53" s="101" vm="12614">
        <f ca="1"/>
        <v>27.304500000000001</v>
      </c>
      <c r="I53" s="102" vm="12615">
        <f ca="1"/>
        <v>24093632</v>
      </c>
    </row>
    <row r="54" spans="4:9" x14ac:dyDescent="0.3">
      <c r="D54" s="100" vm="286">
        <f ca="1"/>
        <v>42450</v>
      </c>
      <c r="E54" s="101" vm="12616">
        <f ca="1"/>
        <v>29.147500000000001</v>
      </c>
      <c r="F54" s="101" vm="12617">
        <f ca="1"/>
        <v>27.445499999999999</v>
      </c>
      <c r="G54" s="101" vm="12618">
        <f ca="1"/>
        <v>29.177499999999998</v>
      </c>
      <c r="H54" s="101" vm="12619">
        <f ca="1"/>
        <v>26.928999999999998</v>
      </c>
      <c r="I54" s="102" vm="12620">
        <f ca="1"/>
        <v>18325555</v>
      </c>
    </row>
    <row r="55" spans="4:9" x14ac:dyDescent="0.3">
      <c r="D55" s="100" vm="292">
        <f ca="1"/>
        <v>42457</v>
      </c>
      <c r="E55" s="101" vm="4343">
        <f ca="1"/>
        <v>29.925000000000001</v>
      </c>
      <c r="F55" s="101" vm="4689">
        <f ca="1"/>
        <v>29.22</v>
      </c>
      <c r="G55" s="101" vm="12621">
        <f ca="1"/>
        <v>30.161999999999999</v>
      </c>
      <c r="H55" s="101" vm="6721">
        <f ca="1"/>
        <v>28.777999999999999</v>
      </c>
      <c r="I55" s="102" vm="12622">
        <f ca="1"/>
        <v>17003747</v>
      </c>
    </row>
    <row r="56" spans="4:9" x14ac:dyDescent="0.3">
      <c r="D56" s="100" vm="298">
        <f ca="1"/>
        <v>42464</v>
      </c>
      <c r="E56" s="101" vm="4656">
        <f ca="1"/>
        <v>29.73</v>
      </c>
      <c r="F56" s="101" vm="4748">
        <f ca="1"/>
        <v>29.95</v>
      </c>
      <c r="G56" s="101" vm="12623">
        <f ca="1"/>
        <v>30.119499999999999</v>
      </c>
      <c r="H56" s="101" vm="12624">
        <f ca="1"/>
        <v>29.262499999999999</v>
      </c>
      <c r="I56" s="102" vm="12625">
        <f ca="1"/>
        <v>13410591</v>
      </c>
    </row>
    <row r="57" spans="4:9" x14ac:dyDescent="0.3">
      <c r="D57" s="100" vm="303">
        <f ca="1"/>
        <v>42471</v>
      </c>
      <c r="E57" s="101" vm="12626">
        <f ca="1"/>
        <v>31.294499999999999</v>
      </c>
      <c r="F57" s="101" vm="157">
        <f ca="1"/>
        <v>29.806999999999999</v>
      </c>
      <c r="G57" s="101" vm="12627">
        <f ca="1"/>
        <v>31.3385</v>
      </c>
      <c r="H57" s="101" vm="12628">
        <f ca="1"/>
        <v>29.615500000000001</v>
      </c>
      <c r="I57" s="102" vm="12629">
        <f ca="1"/>
        <v>15973495</v>
      </c>
    </row>
    <row r="58" spans="4:9" x14ac:dyDescent="0.3">
      <c r="D58" s="100" vm="308">
        <f ca="1"/>
        <v>42478</v>
      </c>
      <c r="E58" s="101" vm="12630">
        <f ca="1"/>
        <v>31.024999999999999</v>
      </c>
      <c r="F58" s="101" vm="12631">
        <f ca="1"/>
        <v>31.267499999999998</v>
      </c>
      <c r="G58" s="101" vm="12632">
        <f ca="1"/>
        <v>31.900500000000001</v>
      </c>
      <c r="H58" s="101" vm="12633">
        <f ca="1"/>
        <v>30.577999999999999</v>
      </c>
      <c r="I58" s="102" vm="12634">
        <f ca="1"/>
        <v>18706380</v>
      </c>
    </row>
    <row r="59" spans="4:9" x14ac:dyDescent="0.3">
      <c r="D59" s="100" vm="314">
        <f ca="1"/>
        <v>42485</v>
      </c>
      <c r="E59" s="101" vm="12635">
        <f ca="1"/>
        <v>32.979500000000002</v>
      </c>
      <c r="F59" s="101" vm="12636">
        <f ca="1"/>
        <v>30.830500000000001</v>
      </c>
      <c r="G59" s="101" vm="12637">
        <f ca="1"/>
        <v>33.499000000000002</v>
      </c>
      <c r="H59" s="101" vm="12638">
        <f ca="1"/>
        <v>29.96</v>
      </c>
      <c r="I59" s="102" vm="12639">
        <f ca="1"/>
        <v>27456468</v>
      </c>
    </row>
    <row r="60" spans="4:9" x14ac:dyDescent="0.3">
      <c r="D60" s="100" vm="320">
        <f ca="1"/>
        <v>42492</v>
      </c>
      <c r="E60" s="101" vm="12640">
        <f ca="1"/>
        <v>33.697499999999998</v>
      </c>
      <c r="F60" s="101" vm="11661">
        <f ca="1"/>
        <v>33.195999999999998</v>
      </c>
      <c r="G60" s="101" vm="12641">
        <f ca="1"/>
        <v>34.274999999999999</v>
      </c>
      <c r="H60" s="101" vm="40">
        <f ca="1"/>
        <v>32.799999999999997</v>
      </c>
      <c r="I60" s="102" vm="12642">
        <f ca="1"/>
        <v>25386789</v>
      </c>
    </row>
    <row r="61" spans="4:9" x14ac:dyDescent="0.3">
      <c r="D61" s="100" vm="326">
        <f ca="1"/>
        <v>42499</v>
      </c>
      <c r="E61" s="101" vm="12643">
        <f ca="1"/>
        <v>35.496000000000002</v>
      </c>
      <c r="F61" s="101" vm="12640">
        <f ca="1"/>
        <v>33.697499999999998</v>
      </c>
      <c r="G61" s="101" vm="12644">
        <f ca="1"/>
        <v>36.122500000000002</v>
      </c>
      <c r="H61" s="101" vm="12645">
        <f ca="1"/>
        <v>33.570500000000003</v>
      </c>
      <c r="I61" s="102" vm="12646">
        <f ca="1"/>
        <v>27237496</v>
      </c>
    </row>
    <row r="62" spans="4:9" x14ac:dyDescent="0.3">
      <c r="D62" s="100" vm="332">
        <f ca="1"/>
        <v>42506</v>
      </c>
      <c r="E62" s="101" vm="12647">
        <f ca="1"/>
        <v>35.14</v>
      </c>
      <c r="F62" s="101" vm="12648">
        <f ca="1"/>
        <v>35.506500000000003</v>
      </c>
      <c r="G62" s="101" vm="12649">
        <f ca="1"/>
        <v>35.723500000000001</v>
      </c>
      <c r="H62" s="101" vm="12650">
        <f ca="1"/>
        <v>34.438000000000002</v>
      </c>
      <c r="I62" s="102" vm="12651">
        <f ca="1"/>
        <v>20779197</v>
      </c>
    </row>
    <row r="63" spans="4:9" x14ac:dyDescent="0.3">
      <c r="D63" s="100" vm="337">
        <f ca="1"/>
        <v>42513</v>
      </c>
      <c r="E63" s="101" vm="12652">
        <f ca="1"/>
        <v>35.612000000000002</v>
      </c>
      <c r="F63" s="101" vm="12653">
        <f ca="1"/>
        <v>35.212499999999999</v>
      </c>
      <c r="G63" s="101" vm="12654">
        <f ca="1"/>
        <v>35.83</v>
      </c>
      <c r="H63" s="101" vm="12655">
        <f ca="1"/>
        <v>34.820999999999998</v>
      </c>
      <c r="I63" s="102" vm="12656">
        <f ca="1"/>
        <v>13601340</v>
      </c>
    </row>
    <row r="64" spans="4:9" x14ac:dyDescent="0.3">
      <c r="D64" s="100" vm="343">
        <f ca="1"/>
        <v>42521</v>
      </c>
      <c r="E64" s="101" vm="12657">
        <f ca="1"/>
        <v>36.277000000000001</v>
      </c>
      <c r="F64" s="101" vm="12658">
        <f ca="1"/>
        <v>35.616500000000002</v>
      </c>
      <c r="G64" s="101" vm="12659">
        <f ca="1"/>
        <v>36.414000000000001</v>
      </c>
      <c r="H64" s="101" vm="12660">
        <f ca="1"/>
        <v>35.566000000000003</v>
      </c>
      <c r="I64" s="102" vm="12661">
        <f ca="1"/>
        <v>13275319</v>
      </c>
    </row>
    <row r="65" spans="4:9" x14ac:dyDescent="0.3">
      <c r="D65" s="100" vm="349">
        <f ca="1"/>
        <v>42527</v>
      </c>
      <c r="E65" s="101" vm="12662">
        <f ca="1"/>
        <v>35.895499999999998</v>
      </c>
      <c r="F65" s="101" vm="668">
        <f ca="1"/>
        <v>36.325000000000003</v>
      </c>
      <c r="G65" s="101" vm="12663">
        <f ca="1"/>
        <v>36.575000000000003</v>
      </c>
      <c r="H65" s="101" vm="12664">
        <f ca="1"/>
        <v>35.710500000000003</v>
      </c>
      <c r="I65" s="102" vm="12665">
        <f ca="1"/>
        <v>13256671</v>
      </c>
    </row>
    <row r="66" spans="4:9" x14ac:dyDescent="0.3">
      <c r="D66" s="100" vm="355">
        <f ca="1"/>
        <v>42534</v>
      </c>
      <c r="E66" s="101" vm="12666">
        <f ca="1"/>
        <v>35.319499999999998</v>
      </c>
      <c r="F66" s="101" vm="12667">
        <f ca="1"/>
        <v>35.700499999999998</v>
      </c>
      <c r="G66" s="101" vm="12668">
        <f ca="1"/>
        <v>36.128</v>
      </c>
      <c r="H66" s="101" vm="12669">
        <f ca="1"/>
        <v>34.959000000000003</v>
      </c>
      <c r="I66" s="102" vm="12670">
        <f ca="1"/>
        <v>17564319</v>
      </c>
    </row>
    <row r="67" spans="4:9" x14ac:dyDescent="0.3">
      <c r="D67" s="100" vm="361">
        <f ca="1"/>
        <v>42541</v>
      </c>
      <c r="E67" s="101" vm="12671">
        <f ca="1"/>
        <v>34.948</v>
      </c>
      <c r="F67" s="101" vm="12672">
        <f ca="1"/>
        <v>35.674999999999997</v>
      </c>
      <c r="G67" s="101" vm="12673">
        <f ca="1"/>
        <v>36.106000000000002</v>
      </c>
      <c r="H67" s="101" vm="12674">
        <f ca="1"/>
        <v>34.61</v>
      </c>
      <c r="I67" s="102" vm="12675">
        <f ca="1"/>
        <v>18532635</v>
      </c>
    </row>
    <row r="68" spans="4:9" x14ac:dyDescent="0.3">
      <c r="D68" s="100" vm="367">
        <f ca="1"/>
        <v>42548</v>
      </c>
      <c r="E68" s="101" vm="12676">
        <f ca="1"/>
        <v>36.283999999999999</v>
      </c>
      <c r="F68" s="101" vm="12677">
        <f ca="1"/>
        <v>34.600499999999997</v>
      </c>
      <c r="G68" s="101" vm="4939">
        <f ca="1"/>
        <v>36.4</v>
      </c>
      <c r="H68" s="101" vm="12678">
        <f ca="1"/>
        <v>34.105800000000002</v>
      </c>
      <c r="I68" s="102" vm="12679">
        <f ca="1"/>
        <v>18466611</v>
      </c>
    </row>
    <row r="69" spans="4:9" x14ac:dyDescent="0.3">
      <c r="D69" s="100" vm="372">
        <f ca="1"/>
        <v>42556</v>
      </c>
      <c r="E69" s="101" vm="12680">
        <f ca="1"/>
        <v>37.290500000000002</v>
      </c>
      <c r="F69" s="101" vm="12681">
        <f ca="1"/>
        <v>36.14</v>
      </c>
      <c r="G69" s="101" vm="1138">
        <f ca="1"/>
        <v>37.305</v>
      </c>
      <c r="H69" s="101" vm="12682">
        <f ca="1"/>
        <v>35.980499999999999</v>
      </c>
      <c r="I69" s="102" vm="12683">
        <f ca="1"/>
        <v>12744680</v>
      </c>
    </row>
    <row r="70" spans="4:9" x14ac:dyDescent="0.3">
      <c r="D70" s="100" vm="377">
        <f ca="1"/>
        <v>42562</v>
      </c>
      <c r="E70" s="101" vm="12684">
        <f ca="1"/>
        <v>36.771999999999998</v>
      </c>
      <c r="F70" s="101" vm="12685">
        <f ca="1"/>
        <v>37.5</v>
      </c>
      <c r="G70" s="101" vm="12686">
        <f ca="1"/>
        <v>37.866999999999997</v>
      </c>
      <c r="H70" s="101" vm="12687">
        <f ca="1"/>
        <v>36.702500000000001</v>
      </c>
      <c r="I70" s="102" vm="12688">
        <f ca="1"/>
        <v>18473051</v>
      </c>
    </row>
    <row r="71" spans="4:9" x14ac:dyDescent="0.3">
      <c r="D71" s="100" vm="383">
        <f ca="1"/>
        <v>42569</v>
      </c>
      <c r="E71" s="101" vm="12689">
        <f ca="1"/>
        <v>37.243000000000002</v>
      </c>
      <c r="F71" s="101" vm="12690">
        <f ca="1"/>
        <v>36.774500000000003</v>
      </c>
      <c r="G71" s="101" vm="12691">
        <f ca="1"/>
        <v>37.564</v>
      </c>
      <c r="H71" s="101" vm="12692">
        <f ca="1"/>
        <v>36.436</v>
      </c>
      <c r="I71" s="102" vm="12693">
        <f ca="1"/>
        <v>11980540</v>
      </c>
    </row>
    <row r="72" spans="4:9" x14ac:dyDescent="0.3">
      <c r="D72" s="100" vm="389">
        <f ca="1"/>
        <v>42576</v>
      </c>
      <c r="E72" s="101" vm="12694">
        <f ca="1"/>
        <v>37.9405</v>
      </c>
      <c r="F72" s="101" vm="12695">
        <f ca="1"/>
        <v>37.327500000000001</v>
      </c>
      <c r="G72" s="101" vm="12696">
        <f ca="1"/>
        <v>38.299999999999997</v>
      </c>
      <c r="H72" s="101" vm="12697">
        <f ca="1"/>
        <v>36.637599999999999</v>
      </c>
      <c r="I72" s="102" vm="12698">
        <f ca="1"/>
        <v>22516746</v>
      </c>
    </row>
    <row r="73" spans="4:9" x14ac:dyDescent="0.3">
      <c r="D73" s="100" vm="395">
        <f ca="1"/>
        <v>42583</v>
      </c>
      <c r="E73" s="101" vm="12699">
        <f ca="1"/>
        <v>38.298999999999999</v>
      </c>
      <c r="F73" s="101" vm="12700">
        <f ca="1"/>
        <v>37.993499999999997</v>
      </c>
      <c r="G73" s="101" vm="12701">
        <f ca="1"/>
        <v>38.524999999999999</v>
      </c>
      <c r="H73" s="101" vm="12702">
        <f ca="1"/>
        <v>37.517499999999998</v>
      </c>
      <c r="I73" s="102" vm="12703">
        <f ca="1"/>
        <v>16645609</v>
      </c>
    </row>
    <row r="74" spans="4:9" x14ac:dyDescent="0.3">
      <c r="D74" s="100" vm="400">
        <f ca="1"/>
        <v>42590</v>
      </c>
      <c r="E74" s="101" vm="12704">
        <f ca="1"/>
        <v>38.628</v>
      </c>
      <c r="F74" s="101" vm="12705">
        <f ca="1"/>
        <v>38.340499999999999</v>
      </c>
      <c r="G74" s="101" vm="12706">
        <f ca="1"/>
        <v>38.6875</v>
      </c>
      <c r="H74" s="101" vm="12707">
        <f ca="1"/>
        <v>38.050800000000002</v>
      </c>
      <c r="I74" s="102" vm="12708">
        <f ca="1"/>
        <v>9049701</v>
      </c>
    </row>
    <row r="75" spans="4:9" x14ac:dyDescent="0.3">
      <c r="D75" s="100" vm="406">
        <f ca="1"/>
        <v>42597</v>
      </c>
      <c r="E75" s="101" vm="12709">
        <f ca="1"/>
        <v>37.865499999999997</v>
      </c>
      <c r="F75" s="101" vm="12710">
        <f ca="1"/>
        <v>38.594999999999999</v>
      </c>
      <c r="G75" s="101" vm="12711">
        <f ca="1"/>
        <v>38.601999999999997</v>
      </c>
      <c r="H75" s="101" vm="12712">
        <f ca="1"/>
        <v>37.844499999999996</v>
      </c>
      <c r="I75" s="102" vm="12713">
        <f ca="1"/>
        <v>9416269</v>
      </c>
    </row>
    <row r="76" spans="4:9" x14ac:dyDescent="0.3">
      <c r="D76" s="100" vm="412">
        <f ca="1"/>
        <v>42604</v>
      </c>
      <c r="E76" s="101" vm="12714">
        <f ca="1"/>
        <v>38.450000000000003</v>
      </c>
      <c r="F76" s="101" vm="12715">
        <f ca="1"/>
        <v>37.875</v>
      </c>
      <c r="G76" s="101" vm="636">
        <f ca="1"/>
        <v>38.5</v>
      </c>
      <c r="H76" s="101" vm="12716">
        <f ca="1"/>
        <v>37.604999999999997</v>
      </c>
      <c r="I76" s="102" vm="12717">
        <f ca="1"/>
        <v>9347311</v>
      </c>
    </row>
    <row r="77" spans="4:9" x14ac:dyDescent="0.3">
      <c r="D77" s="100" vm="418">
        <f ca="1"/>
        <v>42611</v>
      </c>
      <c r="E77" s="101" vm="12718">
        <f ca="1"/>
        <v>38.622</v>
      </c>
      <c r="F77" s="101" vm="12719">
        <f ca="1"/>
        <v>38.436</v>
      </c>
      <c r="G77" s="101" vm="12720">
        <f ca="1"/>
        <v>38.799999999999997</v>
      </c>
      <c r="H77" s="101" vm="12721">
        <f ca="1"/>
        <v>38.200000000000003</v>
      </c>
      <c r="I77" s="102" vm="12722">
        <f ca="1"/>
        <v>9515570</v>
      </c>
    </row>
    <row r="78" spans="4:9" x14ac:dyDescent="0.3">
      <c r="D78" s="100" vm="424">
        <f ca="1"/>
        <v>42619</v>
      </c>
      <c r="E78" s="101" vm="12723">
        <f ca="1"/>
        <v>38.006999999999998</v>
      </c>
      <c r="F78" s="101" vm="12724">
        <f ca="1"/>
        <v>38.701999999999998</v>
      </c>
      <c r="G78" s="101" vm="12725">
        <f ca="1"/>
        <v>39.539499999999997</v>
      </c>
      <c r="H78" s="101" vm="12726">
        <f ca="1"/>
        <v>38.005499999999998</v>
      </c>
      <c r="I78" s="102" vm="12727">
        <f ca="1"/>
        <v>12432265</v>
      </c>
    </row>
    <row r="79" spans="4:9" x14ac:dyDescent="0.3">
      <c r="D79" s="100" vm="429">
        <f ca="1"/>
        <v>42625</v>
      </c>
      <c r="E79" s="101" vm="12728">
        <f ca="1"/>
        <v>38.926000000000002</v>
      </c>
      <c r="F79" s="101" vm="12729">
        <f ca="1"/>
        <v>37.8675</v>
      </c>
      <c r="G79" s="101" vm="12730">
        <f ca="1"/>
        <v>39.023000000000003</v>
      </c>
      <c r="H79" s="101" vm="4433">
        <f ca="1"/>
        <v>37.799999999999997</v>
      </c>
      <c r="I79" s="102" vm="12731">
        <f ca="1"/>
        <v>17316466</v>
      </c>
    </row>
    <row r="80" spans="4:9" x14ac:dyDescent="0.3">
      <c r="D80" s="100" vm="435">
        <f ca="1"/>
        <v>42632</v>
      </c>
      <c r="E80" s="101" vm="12732">
        <f ca="1"/>
        <v>40.287500000000001</v>
      </c>
      <c r="F80" s="101" vm="12733">
        <f ca="1"/>
        <v>38.9985</v>
      </c>
      <c r="G80" s="101" vm="12734">
        <f ca="1"/>
        <v>40.387500000000003</v>
      </c>
      <c r="H80" s="101" vm="12735">
        <f ca="1"/>
        <v>38.549999999999997</v>
      </c>
      <c r="I80" s="102" vm="12736">
        <f ca="1"/>
        <v>13385450</v>
      </c>
    </row>
    <row r="81" spans="4:9" x14ac:dyDescent="0.3">
      <c r="D81" s="100" vm="441">
        <f ca="1"/>
        <v>42639</v>
      </c>
      <c r="E81" s="101" vm="12737">
        <f ca="1"/>
        <v>41.865499999999997</v>
      </c>
      <c r="F81" s="101" vm="12738">
        <f ca="1"/>
        <v>40.090000000000003</v>
      </c>
      <c r="G81" s="101" vm="12739">
        <f ca="1"/>
        <v>41.997500000000002</v>
      </c>
      <c r="H81" s="101" vm="12740">
        <f ca="1"/>
        <v>39.857300000000002</v>
      </c>
      <c r="I81" s="102" vm="12741">
        <f ca="1"/>
        <v>20245889</v>
      </c>
    </row>
    <row r="82" spans="4:9" x14ac:dyDescent="0.3">
      <c r="D82" s="100" vm="446">
        <f ca="1"/>
        <v>42646</v>
      </c>
      <c r="E82" s="101" vm="12742">
        <f ca="1"/>
        <v>41.971499999999999</v>
      </c>
      <c r="F82" s="101" vm="12743">
        <f ca="1"/>
        <v>41.8</v>
      </c>
      <c r="G82" s="101" vm="12744">
        <f ca="1"/>
        <v>42.360500000000002</v>
      </c>
      <c r="H82" s="101" vm="12745">
        <f ca="1"/>
        <v>41.512999999999998</v>
      </c>
      <c r="I82" s="102" vm="12746">
        <f ca="1"/>
        <v>14299058</v>
      </c>
    </row>
    <row r="83" spans="4:9" x14ac:dyDescent="0.3">
      <c r="D83" s="100" vm="450">
        <f ca="1"/>
        <v>42653</v>
      </c>
      <c r="E83" s="101" vm="12747">
        <f ca="1"/>
        <v>41.148000000000003</v>
      </c>
      <c r="F83" s="101" vm="12748">
        <f ca="1"/>
        <v>42.162500000000001</v>
      </c>
      <c r="G83" s="101" vm="12749">
        <f ca="1"/>
        <v>42.26</v>
      </c>
      <c r="H83" s="101" vm="12750">
        <f ca="1"/>
        <v>41.060499999999998</v>
      </c>
      <c r="I83" s="102" vm="12751">
        <f ca="1"/>
        <v>13886940</v>
      </c>
    </row>
    <row r="84" spans="4:9" x14ac:dyDescent="0.3">
      <c r="D84" s="100" vm="456">
        <f ca="1"/>
        <v>42660</v>
      </c>
      <c r="E84" s="101" vm="12752">
        <f ca="1"/>
        <v>40.9495</v>
      </c>
      <c r="F84" s="101" vm="12753">
        <f ca="1"/>
        <v>41.075000000000003</v>
      </c>
      <c r="G84" s="101" vm="12754">
        <f ca="1"/>
        <v>41.162999999999997</v>
      </c>
      <c r="H84" s="101" vm="12755">
        <f ca="1"/>
        <v>40.155000000000001</v>
      </c>
      <c r="I84" s="102" vm="12756">
        <f ca="1"/>
        <v>13909671</v>
      </c>
    </row>
    <row r="85" spans="4:9" x14ac:dyDescent="0.3">
      <c r="D85" s="100" vm="462">
        <f ca="1"/>
        <v>42667</v>
      </c>
      <c r="E85" s="101" vm="12757">
        <f ca="1"/>
        <v>38.816000000000003</v>
      </c>
      <c r="F85" s="101" vm="12758">
        <f ca="1"/>
        <v>41.247500000000002</v>
      </c>
      <c r="G85" s="101" vm="12759">
        <f ca="1"/>
        <v>42.154499999999999</v>
      </c>
      <c r="H85" s="101" vm="12760">
        <f ca="1"/>
        <v>38.730499999999999</v>
      </c>
      <c r="I85" s="102" vm="12761">
        <f ca="1"/>
        <v>29554817</v>
      </c>
    </row>
    <row r="86" spans="4:9" x14ac:dyDescent="0.3">
      <c r="D86" s="100" vm="467">
        <f ca="1"/>
        <v>42674</v>
      </c>
      <c r="E86" s="101" vm="12762">
        <f ca="1"/>
        <v>37.752499999999998</v>
      </c>
      <c r="F86" s="101" vm="12763">
        <f ca="1"/>
        <v>39.051499999999997</v>
      </c>
      <c r="G86" s="101" vm="12764">
        <f ca="1"/>
        <v>40.042000000000002</v>
      </c>
      <c r="H86" s="101" vm="12765">
        <f ca="1"/>
        <v>37.661499999999997</v>
      </c>
      <c r="I86" s="102" vm="12766">
        <f ca="1"/>
        <v>24739857</v>
      </c>
    </row>
    <row r="87" spans="4:9" x14ac:dyDescent="0.3">
      <c r="D87" s="100" vm="473">
        <f ca="1"/>
        <v>42681</v>
      </c>
      <c r="E87" s="101" vm="12767">
        <f ca="1"/>
        <v>36.950499999999998</v>
      </c>
      <c r="F87" s="101" vm="12768">
        <f ca="1"/>
        <v>38.582000000000001</v>
      </c>
      <c r="G87" s="101" vm="12769">
        <f ca="1"/>
        <v>39.587000000000003</v>
      </c>
      <c r="H87" s="101" vm="12770">
        <f ca="1"/>
        <v>35.884999999999998</v>
      </c>
      <c r="I87" s="102" vm="12771">
        <f ca="1"/>
        <v>37329653</v>
      </c>
    </row>
    <row r="88" spans="4:9" x14ac:dyDescent="0.3">
      <c r="D88" s="100" vm="479">
        <f ca="1"/>
        <v>42688</v>
      </c>
      <c r="E88" s="101" vm="12772">
        <f ca="1"/>
        <v>38.008000000000003</v>
      </c>
      <c r="F88" s="101" vm="12773">
        <f ca="1"/>
        <v>37.275500000000001</v>
      </c>
      <c r="G88" s="101" vm="12774">
        <f ca="1"/>
        <v>38.387</v>
      </c>
      <c r="H88" s="101" vm="12775">
        <f ca="1"/>
        <v>35.505000000000003</v>
      </c>
      <c r="I88" s="102" vm="12776">
        <f ca="1"/>
        <v>25789440</v>
      </c>
    </row>
    <row r="89" spans="4:9" x14ac:dyDescent="0.3">
      <c r="D89" s="100" vm="485">
        <f ca="1"/>
        <v>42695</v>
      </c>
      <c r="E89" s="101" vm="12777">
        <f ca="1"/>
        <v>39.018500000000003</v>
      </c>
      <c r="F89" s="101" vm="12696">
        <f ca="1"/>
        <v>38.299999999999997</v>
      </c>
      <c r="G89" s="101" vm="12778">
        <f ca="1"/>
        <v>39.619999999999997</v>
      </c>
      <c r="H89" s="101" vm="12779">
        <f ca="1"/>
        <v>38.255499999999998</v>
      </c>
      <c r="I89" s="102" vm="12780">
        <f ca="1"/>
        <v>15303225</v>
      </c>
    </row>
    <row r="90" spans="4:9" x14ac:dyDescent="0.3">
      <c r="D90" s="100" vm="491">
        <f ca="1"/>
        <v>42702</v>
      </c>
      <c r="E90" s="101" vm="12781">
        <f ca="1"/>
        <v>37.017000000000003</v>
      </c>
      <c r="F90" s="101" vm="12782">
        <f ca="1"/>
        <v>38.849499999999999</v>
      </c>
      <c r="G90" s="101" vm="12783">
        <f ca="1"/>
        <v>38.85</v>
      </c>
      <c r="H90" s="101" vm="12784">
        <f ca="1"/>
        <v>36.835000000000001</v>
      </c>
      <c r="I90" s="102" vm="12785">
        <f ca="1"/>
        <v>20564418</v>
      </c>
    </row>
    <row r="91" spans="4:9" x14ac:dyDescent="0.3">
      <c r="D91" s="100" vm="497">
        <f ca="1"/>
        <v>42709</v>
      </c>
      <c r="E91" s="101" vm="12786">
        <f ca="1"/>
        <v>38.433</v>
      </c>
      <c r="F91" s="101" vm="12787">
        <f ca="1"/>
        <v>37.25</v>
      </c>
      <c r="G91" s="101" vm="12788">
        <f ca="1"/>
        <v>38.689500000000002</v>
      </c>
      <c r="H91" s="101" vm="12789">
        <f ca="1"/>
        <v>37.1</v>
      </c>
      <c r="I91" s="102" vm="12790">
        <f ca="1"/>
        <v>17454906</v>
      </c>
    </row>
    <row r="92" spans="4:9" x14ac:dyDescent="0.3">
      <c r="D92" s="100" vm="503">
        <f ca="1"/>
        <v>42716</v>
      </c>
      <c r="E92" s="101" vm="12791">
        <f ca="1"/>
        <v>37.888500000000001</v>
      </c>
      <c r="F92" s="101" vm="12792">
        <f ca="1"/>
        <v>38.32</v>
      </c>
      <c r="G92" s="101" vm="12793">
        <f ca="1"/>
        <v>39.122999999999998</v>
      </c>
      <c r="H92" s="101" vm="12794">
        <f ca="1"/>
        <v>37.700000000000003</v>
      </c>
      <c r="I92" s="102" vm="12795">
        <f ca="1"/>
        <v>22354215</v>
      </c>
    </row>
    <row r="93" spans="4:9" x14ac:dyDescent="0.3">
      <c r="D93" s="100" vm="508">
        <f ca="1"/>
        <v>42723</v>
      </c>
      <c r="E93" s="101" vm="12796">
        <f ca="1"/>
        <v>38.029499999999999</v>
      </c>
      <c r="F93" s="101" vm="12797">
        <f ca="1"/>
        <v>37.944499999999998</v>
      </c>
      <c r="G93" s="101" vm="12798">
        <f ca="1"/>
        <v>38.719499999999996</v>
      </c>
      <c r="H93" s="101" vm="12799">
        <f ca="1"/>
        <v>37.808</v>
      </c>
      <c r="I93" s="102" vm="12800">
        <f ca="1"/>
        <v>12386665</v>
      </c>
    </row>
    <row r="94" spans="4:9" x14ac:dyDescent="0.3">
      <c r="D94" s="100" vm="514">
        <f ca="1"/>
        <v>42731</v>
      </c>
      <c r="E94" s="101" vm="12801">
        <f ca="1"/>
        <v>37.493499999999997</v>
      </c>
      <c r="F94" s="101" vm="12802">
        <f ca="1"/>
        <v>38.17</v>
      </c>
      <c r="G94" s="101" vm="12803">
        <f ca="1"/>
        <v>39</v>
      </c>
      <c r="H94" s="101" vm="12804">
        <f ca="1"/>
        <v>37.414000000000001</v>
      </c>
      <c r="I94" s="102" vm="12805">
        <f ca="1"/>
        <v>13237498</v>
      </c>
    </row>
    <row r="95" spans="4:9" x14ac:dyDescent="0.3">
      <c r="D95" s="100" vm="519">
        <f ca="1"/>
        <v>42738</v>
      </c>
      <c r="E95" s="101" vm="12806">
        <f ca="1"/>
        <v>39.799500000000002</v>
      </c>
      <c r="F95" s="101" vm="12807">
        <f ca="1"/>
        <v>37.896000000000001</v>
      </c>
      <c r="G95" s="101" vm="12808">
        <f ca="1"/>
        <v>39.972000000000001</v>
      </c>
      <c r="H95" s="101" vm="12809">
        <f ca="1"/>
        <v>37.384999999999998</v>
      </c>
      <c r="I95" s="102" vm="12810">
        <f ca="1"/>
        <v>17847894</v>
      </c>
    </row>
    <row r="96" spans="4:9" x14ac:dyDescent="0.3">
      <c r="D96" s="100" vm="524">
        <f ca="1"/>
        <v>42744</v>
      </c>
      <c r="E96" s="101" vm="12811">
        <f ca="1"/>
        <v>40.856999999999999</v>
      </c>
      <c r="F96" s="101" vm="12812">
        <f ca="1"/>
        <v>39.9</v>
      </c>
      <c r="G96" s="101" vm="12813">
        <f ca="1"/>
        <v>41.082500000000003</v>
      </c>
      <c r="H96" s="101" vm="12814">
        <f ca="1"/>
        <v>39.475499999999997</v>
      </c>
      <c r="I96" s="102" vm="12815">
        <f ca="1"/>
        <v>17663136</v>
      </c>
    </row>
    <row r="97" spans="4:9" x14ac:dyDescent="0.3">
      <c r="D97" s="100" vm="530">
        <f ca="1"/>
        <v>42752</v>
      </c>
      <c r="E97" s="101" vm="12816">
        <f ca="1"/>
        <v>40.416499999999999</v>
      </c>
      <c r="F97" s="101" vm="12817">
        <f ca="1"/>
        <v>40.784999999999997</v>
      </c>
      <c r="G97" s="101" vm="12818">
        <f ca="1"/>
        <v>40.801000000000002</v>
      </c>
      <c r="H97" s="101" vm="12819">
        <f ca="1"/>
        <v>40.171999999999997</v>
      </c>
      <c r="I97" s="102" vm="12820">
        <f ca="1"/>
        <v>11941710</v>
      </c>
    </row>
    <row r="98" spans="4:9" x14ac:dyDescent="0.3">
      <c r="D98" s="100" vm="536">
        <f ca="1"/>
        <v>42758</v>
      </c>
      <c r="E98" s="101" vm="12821">
        <f ca="1"/>
        <v>41.788499999999999</v>
      </c>
      <c r="F98" s="101" vm="12822">
        <f ca="1"/>
        <v>40.340000000000003</v>
      </c>
      <c r="G98" s="101" vm="12823">
        <f ca="1"/>
        <v>42.192</v>
      </c>
      <c r="H98" s="101" vm="12824">
        <f ca="1"/>
        <v>40.253999999999998</v>
      </c>
      <c r="I98" s="102" vm="12825">
        <f ca="1"/>
        <v>16377315</v>
      </c>
    </row>
    <row r="99" spans="4:9" x14ac:dyDescent="0.3">
      <c r="D99" s="100" vm="540">
        <f ca="1"/>
        <v>42765</v>
      </c>
      <c r="E99" s="101" vm="12826">
        <f ca="1"/>
        <v>40.51</v>
      </c>
      <c r="F99" s="101" vm="12827">
        <f ca="1"/>
        <v>41.65</v>
      </c>
      <c r="G99" s="101" vm="12828">
        <f ca="1"/>
        <v>42.124499999999998</v>
      </c>
      <c r="H99" s="101" vm="12829">
        <f ca="1"/>
        <v>40.200000000000003</v>
      </c>
      <c r="I99" s="102" vm="12830">
        <f ca="1"/>
        <v>28953978</v>
      </c>
    </row>
    <row r="100" spans="4:9" x14ac:dyDescent="0.3">
      <c r="D100" s="100" vm="546">
        <f ca="1"/>
        <v>42772</v>
      </c>
      <c r="E100" s="101" vm="12831">
        <f ca="1"/>
        <v>41.372999999999998</v>
      </c>
      <c r="F100" s="101" vm="12832">
        <f ca="1"/>
        <v>40.49</v>
      </c>
      <c r="G100" s="101" vm="12833">
        <f ca="1"/>
        <v>41.4</v>
      </c>
      <c r="H100" s="101" vm="12834">
        <f ca="1"/>
        <v>40.15</v>
      </c>
      <c r="I100" s="102" vm="12835">
        <f ca="1"/>
        <v>15135934</v>
      </c>
    </row>
    <row r="101" spans="4:9" x14ac:dyDescent="0.3">
      <c r="D101" s="100" vm="551">
        <f ca="1"/>
        <v>42779</v>
      </c>
      <c r="E101" s="101" vm="12836">
        <f ca="1"/>
        <v>42.253500000000003</v>
      </c>
      <c r="F101" s="101" vm="12837">
        <f ca="1"/>
        <v>41.581000000000003</v>
      </c>
      <c r="G101" s="101" vm="12838">
        <f ca="1"/>
        <v>42.363500000000002</v>
      </c>
      <c r="H101" s="101" vm="12839">
        <f ca="1"/>
        <v>41.427500000000002</v>
      </c>
      <c r="I101" s="102" vm="12840">
        <f ca="1"/>
        <v>15760855</v>
      </c>
    </row>
    <row r="102" spans="4:9" x14ac:dyDescent="0.3">
      <c r="D102" s="100" vm="557">
        <f ca="1"/>
        <v>42787</v>
      </c>
      <c r="E102" s="101" vm="12841">
        <f ca="1"/>
        <v>42.262</v>
      </c>
      <c r="F102" s="101" vm="12842">
        <f ca="1"/>
        <v>42.442</v>
      </c>
      <c r="G102" s="101" vm="12843">
        <f ca="1"/>
        <v>43.042999999999999</v>
      </c>
      <c r="H102" s="101" vm="12844">
        <f ca="1"/>
        <v>41.887500000000003</v>
      </c>
      <c r="I102" s="102" vm="12845">
        <f ca="1"/>
        <v>13274660</v>
      </c>
    </row>
    <row r="103" spans="4:9" x14ac:dyDescent="0.3">
      <c r="D103" s="100" vm="563">
        <f ca="1"/>
        <v>42793</v>
      </c>
      <c r="E103" s="101" vm="12846">
        <f ca="1"/>
        <v>42.494</v>
      </c>
      <c r="F103" s="101" vm="12847">
        <f ca="1"/>
        <v>42.119</v>
      </c>
      <c r="G103" s="101" vm="12848">
        <f ca="1"/>
        <v>42.741500000000002</v>
      </c>
      <c r="H103" s="101" vm="12849">
        <f ca="1"/>
        <v>41.983499999999999</v>
      </c>
      <c r="I103" s="102" vm="12850">
        <f ca="1"/>
        <v>12351092</v>
      </c>
    </row>
    <row r="104" spans="4:9" x14ac:dyDescent="0.3">
      <c r="D104" s="100" vm="569">
        <f ca="1"/>
        <v>42800</v>
      </c>
      <c r="E104" s="101" vm="12851">
        <f ca="1"/>
        <v>42.622999999999998</v>
      </c>
      <c r="F104" s="101" vm="12852">
        <f ca="1"/>
        <v>42.261499999999998</v>
      </c>
      <c r="G104" s="101" vm="12853">
        <f ca="1"/>
        <v>42.8675</v>
      </c>
      <c r="H104" s="101" vm="12854">
        <f ca="1"/>
        <v>42.055999999999997</v>
      </c>
      <c r="I104" s="102" vm="12855">
        <f ca="1"/>
        <v>11630862</v>
      </c>
    </row>
    <row r="105" spans="4:9" x14ac:dyDescent="0.3">
      <c r="D105" s="100" vm="575">
        <f ca="1"/>
        <v>42807</v>
      </c>
      <c r="E105" s="101" vm="12856">
        <f ca="1"/>
        <v>42.615499999999997</v>
      </c>
      <c r="F105" s="101" vm="12857">
        <f ca="1"/>
        <v>42.588500000000003</v>
      </c>
      <c r="G105" s="101" vm="12858">
        <f ca="1"/>
        <v>42.784500000000001</v>
      </c>
      <c r="H105" s="101" vm="12859">
        <f ca="1"/>
        <v>42.355499999999999</v>
      </c>
      <c r="I105" s="102" vm="12860">
        <f ca="1"/>
        <v>11829133</v>
      </c>
    </row>
    <row r="106" spans="4:9" x14ac:dyDescent="0.3">
      <c r="D106" s="100" vm="581">
        <f ca="1"/>
        <v>42814</v>
      </c>
      <c r="E106" s="101" vm="12861">
        <f ca="1"/>
        <v>42.280500000000004</v>
      </c>
      <c r="F106" s="101" vm="12862">
        <f ca="1"/>
        <v>42.575499999999998</v>
      </c>
      <c r="G106" s="101" vm="12863">
        <f ca="1"/>
        <v>43.139800000000001</v>
      </c>
      <c r="H106" s="101" vm="12864">
        <f ca="1"/>
        <v>41.952500000000001</v>
      </c>
      <c r="I106" s="102" vm="12865">
        <f ca="1"/>
        <v>13415481</v>
      </c>
    </row>
    <row r="107" spans="4:9" x14ac:dyDescent="0.3">
      <c r="D107" s="100" vm="587">
        <f ca="1"/>
        <v>42821</v>
      </c>
      <c r="E107" s="101" vm="12866">
        <f ca="1"/>
        <v>44.326999999999998</v>
      </c>
      <c r="F107" s="101" vm="12867">
        <f ca="1"/>
        <v>41.903500000000001</v>
      </c>
      <c r="G107" s="101" vm="12868">
        <f ca="1"/>
        <v>44.517499999999998</v>
      </c>
      <c r="H107" s="101" vm="12869">
        <f ca="1"/>
        <v>41.674999999999997</v>
      </c>
      <c r="I107" s="102" vm="12870">
        <f ca="1"/>
        <v>17003520</v>
      </c>
    </row>
    <row r="108" spans="4:9" x14ac:dyDescent="0.3">
      <c r="D108" s="100" vm="593">
        <f ca="1"/>
        <v>42828</v>
      </c>
      <c r="E108" s="101" vm="12871">
        <f ca="1"/>
        <v>44.744</v>
      </c>
      <c r="F108" s="101" vm="12872">
        <f ca="1"/>
        <v>44.4</v>
      </c>
      <c r="G108" s="101" vm="12873">
        <f ca="1"/>
        <v>46.186</v>
      </c>
      <c r="H108" s="101" vm="12874">
        <f ca="1"/>
        <v>44.271000000000001</v>
      </c>
      <c r="I108" s="102" vm="12875">
        <f ca="1"/>
        <v>25970341</v>
      </c>
    </row>
    <row r="109" spans="4:9" x14ac:dyDescent="0.3">
      <c r="D109" s="100" vm="599">
        <f ca="1"/>
        <v>42835</v>
      </c>
      <c r="E109" s="101" vm="12876">
        <f ca="1"/>
        <v>44.233499999999999</v>
      </c>
      <c r="F109" s="101" vm="12877">
        <f ca="1"/>
        <v>44.981499999999997</v>
      </c>
      <c r="G109" s="101" vm="12878">
        <f ca="1"/>
        <v>45.561999999999998</v>
      </c>
      <c r="H109" s="101" vm="12879">
        <f ca="1"/>
        <v>44.224499999999999</v>
      </c>
      <c r="I109" s="102" vm="12880">
        <f ca="1"/>
        <v>11827767</v>
      </c>
    </row>
    <row r="110" spans="4:9" x14ac:dyDescent="0.3">
      <c r="D110" s="100" vm="605">
        <f ca="1"/>
        <v>42842</v>
      </c>
      <c r="E110" s="101" vm="12881">
        <f ca="1"/>
        <v>44.926499999999997</v>
      </c>
      <c r="F110" s="101" vm="12882">
        <f ca="1"/>
        <v>44.375</v>
      </c>
      <c r="G110" s="101" vm="12883">
        <f ca="1"/>
        <v>45.524999999999999</v>
      </c>
      <c r="H110" s="101" vm="12882">
        <f ca="1"/>
        <v>44.375</v>
      </c>
      <c r="I110" s="102" vm="12884">
        <f ca="1"/>
        <v>13959088</v>
      </c>
    </row>
    <row r="111" spans="4:9" x14ac:dyDescent="0.3">
      <c r="D111" s="100" vm="611">
        <f ca="1"/>
        <v>42849</v>
      </c>
      <c r="E111" s="101" vm="12885">
        <f ca="1"/>
        <v>46.249499999999998</v>
      </c>
      <c r="F111" s="101" vm="12886">
        <f ca="1"/>
        <v>45.433999999999997</v>
      </c>
      <c r="G111" s="101" vm="12887">
        <f ca="1"/>
        <v>47.479500000000002</v>
      </c>
      <c r="H111" s="101" vm="12888">
        <f ca="1"/>
        <v>45.15</v>
      </c>
      <c r="I111" s="102" vm="12889">
        <f ca="1"/>
        <v>21782704</v>
      </c>
    </row>
    <row r="112" spans="4:9" x14ac:dyDescent="0.3">
      <c r="D112" s="100" vm="617">
        <f ca="1"/>
        <v>42856</v>
      </c>
      <c r="E112" s="101" vm="12890">
        <f ca="1"/>
        <v>46.707500000000003</v>
      </c>
      <c r="F112" s="101" vm="12891">
        <f ca="1"/>
        <v>46.39</v>
      </c>
      <c r="G112" s="101" vm="12892">
        <f ca="1"/>
        <v>47.72</v>
      </c>
      <c r="H112" s="101" vm="12891">
        <f ca="1"/>
        <v>46.39</v>
      </c>
      <c r="I112" s="102" vm="12893">
        <f ca="1"/>
        <v>18182843</v>
      </c>
    </row>
    <row r="113" spans="4:9" x14ac:dyDescent="0.3">
      <c r="D113" s="100" vm="623">
        <f ca="1"/>
        <v>42863</v>
      </c>
      <c r="E113" s="101" vm="12894">
        <f ca="1"/>
        <v>48.067500000000003</v>
      </c>
      <c r="F113" s="101" vm="12895">
        <f ca="1"/>
        <v>47.047499999999999</v>
      </c>
      <c r="G113" s="101" vm="12896">
        <f ca="1"/>
        <v>48.139499999999998</v>
      </c>
      <c r="H113" s="101" vm="12897">
        <f ca="1"/>
        <v>46.960500000000003</v>
      </c>
      <c r="I113" s="102" vm="12898">
        <f ca="1"/>
        <v>14594283</v>
      </c>
    </row>
    <row r="114" spans="4:9" x14ac:dyDescent="0.3">
      <c r="D114" s="100" vm="628">
        <f ca="1"/>
        <v>42870</v>
      </c>
      <c r="E114" s="101" vm="12899">
        <f ca="1"/>
        <v>47.991999999999997</v>
      </c>
      <c r="F114" s="101" vm="12900">
        <f ca="1"/>
        <v>47.936500000000002</v>
      </c>
      <c r="G114" s="101" vm="12901">
        <f ca="1"/>
        <v>48.503</v>
      </c>
      <c r="H114" s="101" vm="12902">
        <f ca="1"/>
        <v>47.206000000000003</v>
      </c>
      <c r="I114" s="102" vm="12903">
        <f ca="1"/>
        <v>20453690</v>
      </c>
    </row>
    <row r="115" spans="4:9" x14ac:dyDescent="0.3">
      <c r="D115" s="100" vm="634">
        <f ca="1"/>
        <v>42877</v>
      </c>
      <c r="E115" s="101" vm="12904">
        <f ca="1"/>
        <v>49.789000000000001</v>
      </c>
      <c r="F115" s="101" vm="12905">
        <f ca="1"/>
        <v>48.2</v>
      </c>
      <c r="G115" s="101" vm="12906">
        <f ca="1"/>
        <v>49.95</v>
      </c>
      <c r="H115" s="101" vm="1304">
        <f ca="1"/>
        <v>48.145000000000003</v>
      </c>
      <c r="I115" s="102" vm="12907">
        <f ca="1"/>
        <v>15812049</v>
      </c>
    </row>
    <row r="116" spans="4:9" x14ac:dyDescent="0.3">
      <c r="D116" s="100" vm="640">
        <f ca="1"/>
        <v>42885</v>
      </c>
      <c r="E116" s="101" vm="12908">
        <f ca="1"/>
        <v>50.336500000000001</v>
      </c>
      <c r="F116" s="101" vm="12909">
        <f ca="1"/>
        <v>49.825499999999998</v>
      </c>
      <c r="G116" s="101" vm="12910">
        <f ca="1"/>
        <v>50.423999999999999</v>
      </c>
      <c r="H116" s="101" vm="12911">
        <f ca="1"/>
        <v>49.107999999999997</v>
      </c>
      <c r="I116" s="102" vm="12912">
        <f ca="1"/>
        <v>13383353</v>
      </c>
    </row>
    <row r="117" spans="4:9" x14ac:dyDescent="0.3">
      <c r="D117" s="100" vm="645">
        <f ca="1"/>
        <v>42891</v>
      </c>
      <c r="E117" s="101" vm="12913">
        <f ca="1"/>
        <v>48.915500000000002</v>
      </c>
      <c r="F117" s="101" vm="12914">
        <f ca="1"/>
        <v>50.361499999999999</v>
      </c>
      <c r="G117" s="101" vm="1277">
        <f ca="1"/>
        <v>50.825000000000003</v>
      </c>
      <c r="H117" s="101" vm="12915">
        <f ca="1"/>
        <v>46.35</v>
      </c>
      <c r="I117" s="102" vm="12916">
        <f ca="1"/>
        <v>19304881</v>
      </c>
    </row>
    <row r="118" spans="4:9" x14ac:dyDescent="0.3">
      <c r="D118" s="100" vm="650">
        <f ca="1"/>
        <v>42898</v>
      </c>
      <c r="E118" s="101" vm="12917">
        <f ca="1"/>
        <v>49.3855</v>
      </c>
      <c r="F118" s="101" vm="12918">
        <f ca="1"/>
        <v>48.35</v>
      </c>
      <c r="G118" s="101" vm="12919">
        <f ca="1"/>
        <v>49.987499999999997</v>
      </c>
      <c r="H118" s="101" vm="1231">
        <f ca="1"/>
        <v>47.25</v>
      </c>
      <c r="I118" s="102" vm="12920">
        <f ca="1"/>
        <v>34848671</v>
      </c>
    </row>
    <row r="119" spans="4:9" x14ac:dyDescent="0.3">
      <c r="D119" s="100" vm="655">
        <f ca="1"/>
        <v>42905</v>
      </c>
      <c r="E119" s="101" vm="12921">
        <f ca="1"/>
        <v>50.186999999999998</v>
      </c>
      <c r="F119" s="101" vm="12922">
        <f ca="1"/>
        <v>50.85</v>
      </c>
      <c r="G119" s="101" vm="12922">
        <f ca="1"/>
        <v>50.85</v>
      </c>
      <c r="H119" s="101" vm="12923">
        <f ca="1"/>
        <v>49.494999999999997</v>
      </c>
      <c r="I119" s="102" vm="12924">
        <f ca="1"/>
        <v>17175287</v>
      </c>
    </row>
    <row r="120" spans="4:9" x14ac:dyDescent="0.3">
      <c r="D120" s="100" vm="659">
        <f ca="1"/>
        <v>42912</v>
      </c>
      <c r="E120" s="101" vm="11479">
        <f ca="1"/>
        <v>48.4</v>
      </c>
      <c r="F120" s="101" vm="12925">
        <f ca="1"/>
        <v>50.424999999999997</v>
      </c>
      <c r="G120" s="101" vm="12926">
        <f ca="1"/>
        <v>50.49</v>
      </c>
      <c r="H120" s="101" vm="12927">
        <f ca="1"/>
        <v>48.262500000000003</v>
      </c>
      <c r="I120" s="102" vm="12928">
        <f ca="1"/>
        <v>18599426</v>
      </c>
    </row>
    <row r="121" spans="4:9" x14ac:dyDescent="0.3">
      <c r="D121" s="100" vm="665">
        <f ca="1"/>
        <v>42919</v>
      </c>
      <c r="E121" s="101" vm="12929">
        <f ca="1"/>
        <v>48.938000000000002</v>
      </c>
      <c r="F121" s="101" vm="12930">
        <f ca="1"/>
        <v>48.639499999999998</v>
      </c>
      <c r="G121" s="101" vm="12931">
        <f ca="1"/>
        <v>49.005499999999998</v>
      </c>
      <c r="H121" s="101" vm="12932">
        <f ca="1"/>
        <v>47.55</v>
      </c>
      <c r="I121" s="102" vm="12933">
        <f ca="1"/>
        <v>12465063</v>
      </c>
    </row>
    <row r="122" spans="4:9" x14ac:dyDescent="0.3">
      <c r="D122" s="100" vm="671">
        <f ca="1"/>
        <v>42926</v>
      </c>
      <c r="E122" s="101" vm="12934">
        <f ca="1"/>
        <v>50.090499999999999</v>
      </c>
      <c r="F122" s="101" vm="1196">
        <f ca="1"/>
        <v>49.25</v>
      </c>
      <c r="G122" s="101" vm="12935">
        <f ca="1"/>
        <v>50.427500000000002</v>
      </c>
      <c r="H122" s="101" vm="12936">
        <f ca="1"/>
        <v>49.174999999999997</v>
      </c>
      <c r="I122" s="102" vm="12937">
        <f ca="1"/>
        <v>15120806</v>
      </c>
    </row>
    <row r="123" spans="4:9" x14ac:dyDescent="0.3">
      <c r="D123" s="100" vm="677">
        <f ca="1"/>
        <v>42933</v>
      </c>
      <c r="E123" s="101" vm="12938">
        <f ca="1"/>
        <v>51.283499999999997</v>
      </c>
      <c r="F123" s="101" vm="12939">
        <f ca="1"/>
        <v>50.234499999999997</v>
      </c>
      <c r="G123" s="101" vm="12940">
        <f ca="1"/>
        <v>51.7485</v>
      </c>
      <c r="H123" s="101" vm="12941">
        <f ca="1"/>
        <v>50.1905</v>
      </c>
      <c r="I123" s="102" vm="12942">
        <f ca="1"/>
        <v>16516239</v>
      </c>
    </row>
    <row r="124" spans="4:9" x14ac:dyDescent="0.3">
      <c r="D124" s="100" vm="683">
        <f ca="1"/>
        <v>42940</v>
      </c>
      <c r="E124" s="101" vm="12943">
        <f ca="1"/>
        <v>51.002000000000002</v>
      </c>
      <c r="F124" s="101" vm="12944">
        <f ca="1"/>
        <v>51.417000000000002</v>
      </c>
      <c r="G124" s="101" vm="12945">
        <f ca="1"/>
        <v>54.165500000000002</v>
      </c>
      <c r="H124" s="101" vm="12946">
        <f ca="1"/>
        <v>50.05</v>
      </c>
      <c r="I124" s="102" vm="12947">
        <f ca="1"/>
        <v>27358037</v>
      </c>
    </row>
    <row r="125" spans="4:9" x14ac:dyDescent="0.3">
      <c r="D125" s="100" vm="689">
        <f ca="1"/>
        <v>42947</v>
      </c>
      <c r="E125" s="101" vm="12948">
        <f ca="1"/>
        <v>49.378999999999998</v>
      </c>
      <c r="F125" s="101" vm="12949">
        <f ca="1"/>
        <v>50.952500000000001</v>
      </c>
      <c r="G125" s="101" vm="12949">
        <f ca="1"/>
        <v>50.952500000000001</v>
      </c>
      <c r="H125" s="101" vm="12950">
        <f ca="1"/>
        <v>49.086500000000001</v>
      </c>
      <c r="I125" s="102" vm="12951">
        <f ca="1"/>
        <v>21980704</v>
      </c>
    </row>
    <row r="126" spans="4:9" x14ac:dyDescent="0.3">
      <c r="D126" s="100" vm="695">
        <f ca="1"/>
        <v>42954</v>
      </c>
      <c r="E126" s="101" vm="12952">
        <f ca="1"/>
        <v>48.399500000000003</v>
      </c>
      <c r="F126" s="101" vm="12953">
        <f ca="1"/>
        <v>49.532499999999999</v>
      </c>
      <c r="G126" s="101" vm="12954">
        <f ca="1"/>
        <v>49.814</v>
      </c>
      <c r="H126" s="101" vm="12955">
        <f ca="1"/>
        <v>47.569000000000003</v>
      </c>
      <c r="I126" s="102" vm="12956">
        <f ca="1"/>
        <v>18301238</v>
      </c>
    </row>
    <row r="127" spans="4:9" x14ac:dyDescent="0.3">
      <c r="D127" s="100" vm="701">
        <f ca="1"/>
        <v>42961</v>
      </c>
      <c r="E127" s="101" vm="12957">
        <f ca="1"/>
        <v>47.923499999999997</v>
      </c>
      <c r="F127" s="101" vm="12958">
        <f ca="1"/>
        <v>48.920499999999997</v>
      </c>
      <c r="G127" s="101" vm="12959">
        <f ca="1"/>
        <v>49.587000000000003</v>
      </c>
      <c r="H127" s="101" vm="12960">
        <f ca="1"/>
        <v>47.732500000000002</v>
      </c>
      <c r="I127" s="102" vm="12961">
        <f ca="1"/>
        <v>15651471</v>
      </c>
    </row>
    <row r="128" spans="4:9" x14ac:dyDescent="0.3">
      <c r="D128" s="100" vm="707">
        <f ca="1"/>
        <v>42968</v>
      </c>
      <c r="E128" s="101" vm="12962">
        <f ca="1"/>
        <v>47.262999999999998</v>
      </c>
      <c r="F128" s="101" vm="12963">
        <f ca="1"/>
        <v>47.878500000000003</v>
      </c>
      <c r="G128" s="101" vm="12964">
        <f ca="1"/>
        <v>48.396500000000003</v>
      </c>
      <c r="H128" s="101" vm="12965">
        <f ca="1"/>
        <v>47.057000000000002</v>
      </c>
      <c r="I128" s="102" vm="12966">
        <f ca="1"/>
        <v>17103234</v>
      </c>
    </row>
    <row r="129" spans="4:9" x14ac:dyDescent="0.3">
      <c r="D129" s="100" vm="712">
        <f ca="1"/>
        <v>42975</v>
      </c>
      <c r="E129" s="101" vm="12967">
        <f ca="1"/>
        <v>48.912500000000001</v>
      </c>
      <c r="F129" s="101" vm="12968">
        <f ca="1"/>
        <v>47.326999999999998</v>
      </c>
      <c r="G129" s="101" vm="12969">
        <f ca="1"/>
        <v>49.225000000000001</v>
      </c>
      <c r="H129" s="101" vm="12970">
        <f ca="1"/>
        <v>46.816499999999998</v>
      </c>
      <c r="I129" s="102" vm="12971">
        <f ca="1"/>
        <v>14243045</v>
      </c>
    </row>
    <row r="130" spans="4:9" x14ac:dyDescent="0.3">
      <c r="D130" s="100" vm="718">
        <f ca="1"/>
        <v>42983</v>
      </c>
      <c r="E130" s="101" vm="11638">
        <f ca="1"/>
        <v>48.295000000000002</v>
      </c>
      <c r="F130" s="101" vm="12972">
        <f ca="1"/>
        <v>48.77</v>
      </c>
      <c r="G130" s="101" vm="12973">
        <f ca="1"/>
        <v>49.029499999999999</v>
      </c>
      <c r="H130" s="101" vm="12974">
        <f ca="1"/>
        <v>48.018500000000003</v>
      </c>
      <c r="I130" s="102" vm="12975">
        <f ca="1"/>
        <v>10300626</v>
      </c>
    </row>
    <row r="131" spans="4:9" x14ac:dyDescent="0.3">
      <c r="D131" s="100" vm="724">
        <f ca="1"/>
        <v>42989</v>
      </c>
      <c r="E131" s="101" vm="12976">
        <f ca="1"/>
        <v>49.339500000000001</v>
      </c>
      <c r="F131" s="101" vm="12977">
        <f ca="1"/>
        <v>48.722999999999999</v>
      </c>
      <c r="G131" s="101" vm="12099">
        <f ca="1"/>
        <v>50</v>
      </c>
      <c r="H131" s="101" vm="12978">
        <f ca="1"/>
        <v>48.710999999999999</v>
      </c>
      <c r="I131" s="102" vm="12979">
        <f ca="1"/>
        <v>15715828</v>
      </c>
    </row>
    <row r="132" spans="4:9" x14ac:dyDescent="0.3">
      <c r="D132" s="100" vm="730">
        <f ca="1"/>
        <v>42996</v>
      </c>
      <c r="E132" s="101" vm="12980">
        <f ca="1"/>
        <v>47.755000000000003</v>
      </c>
      <c r="F132" s="101" vm="12981">
        <f ca="1"/>
        <v>49.52</v>
      </c>
      <c r="G132" s="101" vm="12982">
        <f ca="1"/>
        <v>49.639600000000002</v>
      </c>
      <c r="H132" s="101" vm="12983">
        <f ca="1"/>
        <v>47.720999999999997</v>
      </c>
      <c r="I132" s="102" vm="12984">
        <f ca="1"/>
        <v>13950536</v>
      </c>
    </row>
    <row r="133" spans="4:9" x14ac:dyDescent="0.3">
      <c r="D133" s="100" vm="735">
        <f ca="1"/>
        <v>43003</v>
      </c>
      <c r="E133" s="101" vm="12894">
        <f ca="1"/>
        <v>48.067500000000003</v>
      </c>
      <c r="F133" s="101" vm="12985">
        <f ca="1"/>
        <v>47.465499999999999</v>
      </c>
      <c r="G133" s="101" vm="12986">
        <f ca="1"/>
        <v>48.241500000000002</v>
      </c>
      <c r="H133" s="101" vm="12987">
        <f ca="1"/>
        <v>46.587499999999999</v>
      </c>
      <c r="I133" s="102" vm="12988">
        <f ca="1"/>
        <v>16904104</v>
      </c>
    </row>
    <row r="134" spans="4:9" x14ac:dyDescent="0.3">
      <c r="D134" s="100" vm="741">
        <f ca="1"/>
        <v>43010</v>
      </c>
      <c r="E134" s="101" vm="7242">
        <f ca="1"/>
        <v>49.478999999999999</v>
      </c>
      <c r="F134" s="101" vm="12905">
        <f ca="1"/>
        <v>48.2</v>
      </c>
      <c r="G134" s="101" vm="1309">
        <f ca="1"/>
        <v>49.787500000000001</v>
      </c>
      <c r="H134" s="101" vm="12989">
        <f ca="1"/>
        <v>47.518500000000003</v>
      </c>
      <c r="I134" s="102" vm="12990">
        <f ca="1"/>
        <v>14648154</v>
      </c>
    </row>
    <row r="135" spans="4:9" x14ac:dyDescent="0.3">
      <c r="D135" s="100" vm="747">
        <f ca="1"/>
        <v>43017</v>
      </c>
      <c r="E135" s="101" vm="12991">
        <f ca="1"/>
        <v>50.146999999999998</v>
      </c>
      <c r="F135" s="101" vm="12992">
        <f ca="1"/>
        <v>49.661999999999999</v>
      </c>
      <c r="G135" s="101" vm="12993">
        <f ca="1"/>
        <v>50.421999999999997</v>
      </c>
      <c r="H135" s="101" vm="12994">
        <f ca="1"/>
        <v>49.005000000000003</v>
      </c>
      <c r="I135" s="102" vm="12995">
        <f ca="1"/>
        <v>14859399</v>
      </c>
    </row>
    <row r="136" spans="4:9" x14ac:dyDescent="0.3">
      <c r="D136" s="100" vm="753">
        <f ca="1"/>
        <v>43024</v>
      </c>
      <c r="E136" s="101" vm="12996">
        <f ca="1"/>
        <v>49.145499999999998</v>
      </c>
      <c r="F136" s="101" vm="12993">
        <f ca="1"/>
        <v>50.421999999999997</v>
      </c>
      <c r="G136" s="101" vm="12997">
        <f ca="1"/>
        <v>51.115499999999997</v>
      </c>
      <c r="H136" s="101" vm="12998">
        <f ca="1"/>
        <v>49.012</v>
      </c>
      <c r="I136" s="102" vm="12999">
        <f ca="1"/>
        <v>12301650</v>
      </c>
    </row>
    <row r="137" spans="4:9" x14ac:dyDescent="0.3">
      <c r="D137" s="100" vm="759">
        <f ca="1"/>
        <v>43031</v>
      </c>
      <c r="E137" s="101" vm="13000">
        <f ca="1"/>
        <v>55.047499999999999</v>
      </c>
      <c r="F137" s="101" vm="13001">
        <f ca="1"/>
        <v>49.336500000000001</v>
      </c>
      <c r="G137" s="101" vm="13002">
        <f ca="1"/>
        <v>55.279000000000003</v>
      </c>
      <c r="H137" s="101" vm="13003">
        <f ca="1"/>
        <v>48.125</v>
      </c>
      <c r="I137" s="102" vm="13004">
        <f ca="1"/>
        <v>31434844</v>
      </c>
    </row>
    <row r="138" spans="4:9" x14ac:dyDescent="0.3">
      <c r="D138" s="100" vm="765">
        <f ca="1"/>
        <v>43038</v>
      </c>
      <c r="E138" s="101" vm="13005">
        <f ca="1"/>
        <v>55.58</v>
      </c>
      <c r="F138" s="101" vm="13006">
        <f ca="1"/>
        <v>54.750500000000002</v>
      </c>
      <c r="G138" s="101" vm="13007">
        <f ca="1"/>
        <v>56.139499999999998</v>
      </c>
      <c r="H138" s="101" vm="13008">
        <f ca="1"/>
        <v>54.343499999999999</v>
      </c>
      <c r="I138" s="102" vm="13009">
        <f ca="1"/>
        <v>21281898</v>
      </c>
    </row>
    <row r="139" spans="4:9" x14ac:dyDescent="0.3">
      <c r="D139" s="100" vm="771">
        <f ca="1"/>
        <v>43045</v>
      </c>
      <c r="E139" s="101" vm="13010">
        <f ca="1"/>
        <v>56.267499999999998</v>
      </c>
      <c r="F139" s="101" vm="13011">
        <f ca="1"/>
        <v>55.457500000000003</v>
      </c>
      <c r="G139" s="101" vm="13012">
        <f ca="1"/>
        <v>56.777000000000001</v>
      </c>
      <c r="H139" s="101" vm="13013">
        <f ca="1"/>
        <v>55.438499999999998</v>
      </c>
      <c r="I139" s="102" vm="13014">
        <f ca="1"/>
        <v>14564235</v>
      </c>
    </row>
    <row r="140" spans="4:9" x14ac:dyDescent="0.3">
      <c r="D140" s="100" vm="777">
        <f ca="1"/>
        <v>43052</v>
      </c>
      <c r="E140" s="101" vm="13015">
        <f ca="1"/>
        <v>56.494</v>
      </c>
      <c r="F140" s="101" vm="13016">
        <f ca="1"/>
        <v>56.15</v>
      </c>
      <c r="G140" s="101" vm="13017">
        <f ca="1"/>
        <v>56.994999999999997</v>
      </c>
      <c r="H140" s="101" vm="13018">
        <f ca="1"/>
        <v>56.081499999999998</v>
      </c>
      <c r="I140" s="102" vm="13019">
        <f ca="1"/>
        <v>14612252</v>
      </c>
    </row>
    <row r="141" spans="4:9" x14ac:dyDescent="0.3">
      <c r="D141" s="100" vm="783">
        <f ca="1"/>
        <v>43059</v>
      </c>
      <c r="E141" s="101" vm="13020">
        <f ca="1"/>
        <v>59.3</v>
      </c>
      <c r="F141" s="101" vm="13021">
        <f ca="1"/>
        <v>56.488500000000002</v>
      </c>
      <c r="G141" s="101" vm="13022">
        <f ca="1"/>
        <v>59.341999999999999</v>
      </c>
      <c r="H141" s="101" vm="13023">
        <f ca="1"/>
        <v>56.127499999999998</v>
      </c>
      <c r="I141" s="102" vm="13024">
        <f ca="1"/>
        <v>11726536</v>
      </c>
    </row>
    <row r="142" spans="4:9" x14ac:dyDescent="0.3">
      <c r="D142" s="100" vm="789">
        <f ca="1"/>
        <v>43066</v>
      </c>
      <c r="E142" s="101" vm="13025">
        <f ca="1"/>
        <v>58.1175</v>
      </c>
      <c r="F142" s="101" vm="13026">
        <f ca="1"/>
        <v>60.133000000000003</v>
      </c>
      <c r="G142" s="101" vm="13027">
        <f ca="1"/>
        <v>60.670499999999997</v>
      </c>
      <c r="H142" s="101" vm="13028">
        <f ca="1"/>
        <v>57.259500000000003</v>
      </c>
      <c r="I142" s="102" vm="13029">
        <f ca="1"/>
        <v>29177308</v>
      </c>
    </row>
    <row r="143" spans="4:9" x14ac:dyDescent="0.3">
      <c r="D143" s="100" vm="795">
        <f ca="1"/>
        <v>43073</v>
      </c>
      <c r="E143" s="101" vm="13030">
        <f ca="1"/>
        <v>58.1</v>
      </c>
      <c r="F143" s="101" vm="13031">
        <f ca="1"/>
        <v>58.692500000000003</v>
      </c>
      <c r="G143" s="101" vm="13032">
        <f ca="1"/>
        <v>58.76</v>
      </c>
      <c r="H143" s="101" vm="13033">
        <f ca="1"/>
        <v>56.237000000000002</v>
      </c>
      <c r="I143" s="102" vm="13034">
        <f ca="1"/>
        <v>18426648</v>
      </c>
    </row>
    <row r="144" spans="4:9" x14ac:dyDescent="0.3">
      <c r="D144" s="100" vm="801">
        <f ca="1"/>
        <v>43080</v>
      </c>
      <c r="E144" s="101" vm="13035">
        <f ca="1"/>
        <v>58.957000000000001</v>
      </c>
      <c r="F144" s="101" vm="13036">
        <f ca="1"/>
        <v>58.23</v>
      </c>
      <c r="G144" s="101" vm="13037">
        <f ca="1"/>
        <v>59.137500000000003</v>
      </c>
      <c r="H144" s="101" vm="13038">
        <f ca="1"/>
        <v>57.85</v>
      </c>
      <c r="I144" s="102" vm="13039">
        <f ca="1"/>
        <v>15209083</v>
      </c>
    </row>
    <row r="145" spans="4:9" x14ac:dyDescent="0.3">
      <c r="D145" s="100" vm="807">
        <f ca="1"/>
        <v>43087</v>
      </c>
      <c r="E145" s="101" vm="13040">
        <f ca="1"/>
        <v>58.417999999999999</v>
      </c>
      <c r="F145" s="101" vm="13041">
        <f ca="1"/>
        <v>59.368499999999997</v>
      </c>
      <c r="G145" s="101" vm="13042">
        <f ca="1"/>
        <v>59.738999999999997</v>
      </c>
      <c r="H145" s="101" vm="13043">
        <f ca="1"/>
        <v>58.381999999999998</v>
      </c>
      <c r="I145" s="102" vm="13044">
        <f ca="1"/>
        <v>11614754</v>
      </c>
    </row>
    <row r="146" spans="4:9" x14ac:dyDescent="0.3">
      <c r="D146" s="100" vm="813">
        <f ca="1"/>
        <v>43095</v>
      </c>
      <c r="E146" s="101" vm="13045">
        <f ca="1"/>
        <v>58.473500000000001</v>
      </c>
      <c r="F146" s="101" vm="13040">
        <f ca="1"/>
        <v>58.417999999999999</v>
      </c>
      <c r="G146" s="101" vm="13046">
        <f ca="1"/>
        <v>59.505000000000003</v>
      </c>
      <c r="H146" s="101" vm="13047">
        <f ca="1"/>
        <v>58.027500000000003</v>
      </c>
      <c r="I146" s="102" vm="13048">
        <f ca="1"/>
        <v>8402462</v>
      </c>
    </row>
    <row r="147" spans="4:9" x14ac:dyDescent="0.3">
      <c r="D147" s="100" vm="819">
        <f ca="1"/>
        <v>43102</v>
      </c>
      <c r="E147" s="101" vm="13049">
        <f ca="1"/>
        <v>61.457000000000001</v>
      </c>
      <c r="F147" s="101" vm="13050">
        <f ca="1"/>
        <v>58.6</v>
      </c>
      <c r="G147" s="101" vm="13049">
        <f ca="1"/>
        <v>61.457000000000001</v>
      </c>
      <c r="H147" s="101" vm="13051">
        <f ca="1"/>
        <v>58.525500000000001</v>
      </c>
      <c r="I147" s="102" vm="13052">
        <f ca="1"/>
        <v>12370119</v>
      </c>
    </row>
    <row r="148" spans="4:9" x14ac:dyDescent="0.3">
      <c r="D148" s="100" vm="825">
        <f ca="1"/>
        <v>43108</v>
      </c>
      <c r="E148" s="101" vm="13053">
        <f ca="1"/>
        <v>65.260000000000005</v>
      </c>
      <c r="F148" s="101" vm="13054">
        <f ca="1"/>
        <v>61.8</v>
      </c>
      <c r="G148" s="101" vm="13055">
        <f ca="1"/>
        <v>65.287999999999997</v>
      </c>
      <c r="H148" s="101" vm="13056">
        <f ca="1"/>
        <v>61.601500000000001</v>
      </c>
      <c r="I148" s="102" vm="13057">
        <f ca="1"/>
        <v>19195586</v>
      </c>
    </row>
    <row r="149" spans="4:9" x14ac:dyDescent="0.3">
      <c r="D149" s="100" vm="831">
        <f ca="1"/>
        <v>43116</v>
      </c>
      <c r="E149" s="101" vm="13058">
        <f ca="1"/>
        <v>64.728999999999999</v>
      </c>
      <c r="F149" s="101" vm="13059">
        <f ca="1"/>
        <v>66.150000000000006</v>
      </c>
      <c r="G149" s="101" vm="13060">
        <f ca="1"/>
        <v>66.997</v>
      </c>
      <c r="H149" s="101" vm="13061">
        <f ca="1"/>
        <v>64.043999999999997</v>
      </c>
      <c r="I149" s="102" vm="13062">
        <f ca="1"/>
        <v>21079906</v>
      </c>
    </row>
    <row r="150" spans="4:9" x14ac:dyDescent="0.3">
      <c r="D150" s="100" vm="837">
        <f ca="1"/>
        <v>43122</v>
      </c>
      <c r="E150" s="101" vm="13063">
        <f ca="1"/>
        <v>70.102500000000006</v>
      </c>
      <c r="F150" s="101" vm="13064">
        <f ca="1"/>
        <v>64.858500000000006</v>
      </c>
      <c r="G150" s="101" vm="13065">
        <f ca="1"/>
        <v>70.126499999999993</v>
      </c>
      <c r="H150" s="101" vm="13066">
        <f ca="1"/>
        <v>64.833200000000005</v>
      </c>
      <c r="I150" s="102" vm="13067">
        <f ca="1"/>
        <v>25727146</v>
      </c>
    </row>
    <row r="151" spans="4:9" x14ac:dyDescent="0.3">
      <c r="D151" s="100" vm="843">
        <f ca="1"/>
        <v>43129</v>
      </c>
      <c r="E151" s="101" vm="13068">
        <f ca="1"/>
        <v>71.497500000000002</v>
      </c>
      <c r="F151" s="101" vm="13069">
        <f ca="1"/>
        <v>70.459000000000003</v>
      </c>
      <c r="G151" s="101" vm="13070">
        <f ca="1"/>
        <v>74.900000000000006</v>
      </c>
      <c r="H151" s="101" vm="13071">
        <f ca="1"/>
        <v>69.257099999999994</v>
      </c>
      <c r="I151" s="102" vm="13072">
        <f ca="1"/>
        <v>38238063</v>
      </c>
    </row>
    <row r="152" spans="4:9" x14ac:dyDescent="0.3">
      <c r="D152" s="100" vm="846">
        <f ca="1"/>
        <v>43136</v>
      </c>
      <c r="E152" s="101" vm="13073">
        <f ca="1"/>
        <v>66.98</v>
      </c>
      <c r="F152" s="101" vm="13074">
        <f ca="1"/>
        <v>70.131</v>
      </c>
      <c r="G152" s="101" vm="13075">
        <f ca="1"/>
        <v>73.049499999999995</v>
      </c>
      <c r="H152" s="101" vm="13076">
        <f ca="1"/>
        <v>63.296500000000002</v>
      </c>
      <c r="I152" s="102" vm="13077">
        <f ca="1"/>
        <v>52444626</v>
      </c>
    </row>
    <row r="153" spans="4:9" x14ac:dyDescent="0.3">
      <c r="D153" s="100" vm="852">
        <f ca="1"/>
        <v>43143</v>
      </c>
      <c r="E153" s="101" vm="13078">
        <f ca="1"/>
        <v>72.4345</v>
      </c>
      <c r="F153" s="101" vm="13079">
        <f ca="1"/>
        <v>68.233500000000006</v>
      </c>
      <c r="G153" s="101" vm="13080">
        <f ca="1"/>
        <v>73.447000000000003</v>
      </c>
      <c r="H153" s="101" vm="13081">
        <f ca="1"/>
        <v>67.200500000000005</v>
      </c>
      <c r="I153" s="102" vm="13082">
        <f ca="1"/>
        <v>28741332</v>
      </c>
    </row>
    <row r="154" spans="4:9" x14ac:dyDescent="0.3">
      <c r="D154" s="100" vm="858">
        <f ca="1"/>
        <v>43151</v>
      </c>
      <c r="E154" s="101" vm="13083">
        <f ca="1"/>
        <v>75</v>
      </c>
      <c r="F154" s="101" vm="13084">
        <f ca="1"/>
        <v>72.3245</v>
      </c>
      <c r="G154" s="101" vm="13085">
        <f ca="1"/>
        <v>75.174499999999995</v>
      </c>
      <c r="H154" s="101" vm="13084">
        <f ca="1"/>
        <v>72.3245</v>
      </c>
      <c r="I154" s="102" vm="13086">
        <f ca="1"/>
        <v>22079745</v>
      </c>
    </row>
    <row r="155" spans="4:9" x14ac:dyDescent="0.3">
      <c r="D155" s="100" vm="863">
        <f ca="1"/>
        <v>43157</v>
      </c>
      <c r="E155" s="101" vm="13087">
        <f ca="1"/>
        <v>75.012500000000003</v>
      </c>
      <c r="F155" s="101" vm="13088">
        <f ca="1"/>
        <v>75.459999999999994</v>
      </c>
      <c r="G155" s="101" vm="13089">
        <f ca="1"/>
        <v>76.435000000000002</v>
      </c>
      <c r="H155" s="101" vm="13090">
        <f ca="1"/>
        <v>72.750500000000002</v>
      </c>
      <c r="I155" s="102" vm="13091">
        <f ca="1"/>
        <v>27701581</v>
      </c>
    </row>
    <row r="156" spans="4:9" x14ac:dyDescent="0.3">
      <c r="D156" s="100" vm="869">
        <f ca="1"/>
        <v>43164</v>
      </c>
      <c r="E156" s="101" vm="13092">
        <f ca="1"/>
        <v>78.944500000000005</v>
      </c>
      <c r="F156" s="101" vm="13093">
        <f ca="1"/>
        <v>74.712000000000003</v>
      </c>
      <c r="G156" s="101" vm="13094">
        <f ca="1"/>
        <v>78.947000000000003</v>
      </c>
      <c r="H156" s="101" vm="13095">
        <f ca="1"/>
        <v>74.05</v>
      </c>
      <c r="I156" s="102" vm="13096">
        <f ca="1"/>
        <v>22366640</v>
      </c>
    </row>
    <row r="157" spans="4:9" x14ac:dyDescent="0.3">
      <c r="D157" s="100" vm="875">
        <f ca="1"/>
        <v>43171</v>
      </c>
      <c r="E157" s="101" vm="13097">
        <f ca="1"/>
        <v>78.584000000000003</v>
      </c>
      <c r="F157" s="101" vm="13098">
        <f ca="1"/>
        <v>79.63</v>
      </c>
      <c r="G157" s="101" vm="13099">
        <f ca="1"/>
        <v>80.876999999999995</v>
      </c>
      <c r="H157" s="101" vm="13100">
        <f ca="1"/>
        <v>78.375</v>
      </c>
      <c r="I157" s="102" vm="13101">
        <f ca="1"/>
        <v>25460259</v>
      </c>
    </row>
    <row r="158" spans="4:9" x14ac:dyDescent="0.3">
      <c r="D158" s="100" vm="881">
        <f ca="1"/>
        <v>43178</v>
      </c>
      <c r="E158" s="101" vm="11548">
        <f ca="1"/>
        <v>74.778000000000006</v>
      </c>
      <c r="F158" s="101" vm="13102">
        <f ca="1"/>
        <v>77.726500000000001</v>
      </c>
      <c r="G158" s="101" vm="13103">
        <f ca="1"/>
        <v>79.5</v>
      </c>
      <c r="H158" s="101" vm="13104">
        <f ca="1"/>
        <v>74.768000000000001</v>
      </c>
      <c r="I158" s="102" vm="13105">
        <f ca="1"/>
        <v>30239689</v>
      </c>
    </row>
    <row r="159" spans="4:9" x14ac:dyDescent="0.3">
      <c r="D159" s="100" vm="885">
        <f ca="1"/>
        <v>43185</v>
      </c>
      <c r="E159" s="101" vm="13106">
        <f ca="1"/>
        <v>72.367000000000004</v>
      </c>
      <c r="F159" s="101" vm="13107">
        <f ca="1"/>
        <v>76.5</v>
      </c>
      <c r="G159" s="101" vm="13108">
        <f ca="1"/>
        <v>78.798299999999998</v>
      </c>
      <c r="H159" s="101" vm="13109">
        <f ca="1"/>
        <v>68.260000000000005</v>
      </c>
      <c r="I159" s="102" vm="13110">
        <f ca="1"/>
        <v>38910769</v>
      </c>
    </row>
    <row r="160" spans="4:9" x14ac:dyDescent="0.3">
      <c r="D160" s="100" vm="891">
        <f ca="1"/>
        <v>43192</v>
      </c>
      <c r="E160" s="101" vm="13111">
        <f ca="1"/>
        <v>70.261499999999998</v>
      </c>
      <c r="F160" s="101" vm="13112">
        <f ca="1"/>
        <v>70.881</v>
      </c>
      <c r="G160" s="101" vm="13113">
        <f ca="1"/>
        <v>72.977900000000005</v>
      </c>
      <c r="H160" s="101" vm="13114">
        <f ca="1"/>
        <v>67.644000000000005</v>
      </c>
      <c r="I160" s="102" vm="13115">
        <f ca="1"/>
        <v>39972840</v>
      </c>
    </row>
    <row r="161" spans="4:9" x14ac:dyDescent="0.3">
      <c r="D161" s="100" vm="896">
        <f ca="1"/>
        <v>43199</v>
      </c>
      <c r="E161" s="101" vm="13116">
        <f ca="1"/>
        <v>71.539500000000004</v>
      </c>
      <c r="F161" s="101" vm="13117">
        <f ca="1"/>
        <v>71.251499999999993</v>
      </c>
      <c r="G161" s="101" vm="13118">
        <f ca="1"/>
        <v>72.989000000000004</v>
      </c>
      <c r="H161" s="101" vm="13119">
        <f ca="1"/>
        <v>70.128600000000006</v>
      </c>
      <c r="I161" s="102" vm="13120">
        <f ca="1"/>
        <v>18891177</v>
      </c>
    </row>
    <row r="162" spans="4:9" x14ac:dyDescent="0.3">
      <c r="D162" s="100" vm="902">
        <f ca="1"/>
        <v>43206</v>
      </c>
      <c r="E162" s="101" vm="13121">
        <f ca="1"/>
        <v>76.374499999999998</v>
      </c>
      <c r="F162" s="101" vm="13122">
        <f ca="1"/>
        <v>72.25</v>
      </c>
      <c r="G162" s="101" vm="13123">
        <f ca="1"/>
        <v>78.426000000000002</v>
      </c>
      <c r="H162" s="101" vm="13124">
        <f ca="1"/>
        <v>71.373999999999995</v>
      </c>
      <c r="I162" s="102" vm="13125">
        <f ca="1"/>
        <v>25084948</v>
      </c>
    </row>
    <row r="163" spans="4:9" x14ac:dyDescent="0.3">
      <c r="D163" s="100" vm="908">
        <f ca="1"/>
        <v>43213</v>
      </c>
      <c r="E163" s="101" vm="13126">
        <f ca="1"/>
        <v>78.631</v>
      </c>
      <c r="F163" s="101" vm="13127">
        <f ca="1"/>
        <v>77.334699999999998</v>
      </c>
      <c r="G163" s="101" vm="13128">
        <f ca="1"/>
        <v>81.905000000000001</v>
      </c>
      <c r="H163" s="101" vm="13129">
        <f ca="1"/>
        <v>70.751000000000005</v>
      </c>
      <c r="I163" s="102" vm="13130">
        <f ca="1"/>
        <v>40401755</v>
      </c>
    </row>
    <row r="164" spans="4:9" x14ac:dyDescent="0.3">
      <c r="D164" s="100" vm="914">
        <f ca="1"/>
        <v>43220</v>
      </c>
      <c r="E164" s="101" vm="13131">
        <f ca="1"/>
        <v>79.047499999999999</v>
      </c>
      <c r="F164" s="101" vm="13132">
        <f ca="1"/>
        <v>79.125</v>
      </c>
      <c r="G164" s="101" vm="11538">
        <f ca="1"/>
        <v>79.8</v>
      </c>
      <c r="H164" s="101" vm="13133">
        <f ca="1"/>
        <v>77.301000000000002</v>
      </c>
      <c r="I164" s="102" vm="13134">
        <f ca="1"/>
        <v>22091913</v>
      </c>
    </row>
    <row r="165" spans="4:9" x14ac:dyDescent="0.3">
      <c r="D165" s="100" vm="920">
        <f ca="1"/>
        <v>43227</v>
      </c>
      <c r="E165" s="101" vm="13135">
        <f ca="1"/>
        <v>80.145499999999998</v>
      </c>
      <c r="F165" s="101" vm="13136">
        <f ca="1"/>
        <v>79.466899999999995</v>
      </c>
      <c r="G165" s="101" vm="13137">
        <f ca="1"/>
        <v>80.78</v>
      </c>
      <c r="H165" s="101" vm="13138">
        <f ca="1"/>
        <v>79.125500000000002</v>
      </c>
      <c r="I165" s="102" vm="13139">
        <f ca="1"/>
        <v>15588456</v>
      </c>
    </row>
    <row r="166" spans="4:9" x14ac:dyDescent="0.3">
      <c r="D166" s="100" vm="926">
        <f ca="1"/>
        <v>43234</v>
      </c>
      <c r="E166" s="101" vm="13140">
        <f ca="1"/>
        <v>78.718500000000006</v>
      </c>
      <c r="F166" s="101" vm="13141">
        <f ca="1"/>
        <v>80.2</v>
      </c>
      <c r="G166" s="101" vm="13142">
        <f ca="1"/>
        <v>80.558999999999997</v>
      </c>
      <c r="H166" s="101" vm="13143">
        <f ca="1"/>
        <v>78.260999999999996</v>
      </c>
      <c r="I166" s="102" vm="13144">
        <f ca="1"/>
        <v>14947710</v>
      </c>
    </row>
    <row r="167" spans="4:9" x14ac:dyDescent="0.3">
      <c r="D167" s="100" vm="932">
        <f ca="1"/>
        <v>43241</v>
      </c>
      <c r="E167" s="101" vm="13145">
        <f ca="1"/>
        <v>80.507499999999993</v>
      </c>
      <c r="F167" s="101" vm="13146">
        <f ca="1"/>
        <v>79.25</v>
      </c>
      <c r="G167" s="101" vm="13147">
        <f ca="1"/>
        <v>80.706000000000003</v>
      </c>
      <c r="H167" s="101" vm="13148">
        <f ca="1"/>
        <v>78.316999999999993</v>
      </c>
      <c r="I167" s="102" vm="13149">
        <f ca="1"/>
        <v>14531141</v>
      </c>
    </row>
    <row r="168" spans="4:9" x14ac:dyDescent="0.3">
      <c r="D168" s="100" vm="938">
        <f ca="1"/>
        <v>43249</v>
      </c>
      <c r="E168" s="101" vm="13150">
        <f ca="1"/>
        <v>82.076999999999998</v>
      </c>
      <c r="F168" s="101" vm="13151">
        <f ca="1"/>
        <v>80.035399999999996</v>
      </c>
      <c r="G168" s="101" vm="13152">
        <f ca="1"/>
        <v>82.336500000000001</v>
      </c>
      <c r="H168" s="101" vm="1453">
        <f ca="1"/>
        <v>80.007499999999993</v>
      </c>
      <c r="I168" s="102" vm="13153">
        <f ca="1"/>
        <v>13233549</v>
      </c>
    </row>
    <row r="169" spans="4:9" x14ac:dyDescent="0.3">
      <c r="D169" s="100" vm="944">
        <f ca="1"/>
        <v>43255</v>
      </c>
      <c r="E169" s="101" vm="13154">
        <f ca="1"/>
        <v>84.1995</v>
      </c>
      <c r="F169" s="101" vm="13155">
        <f ca="1"/>
        <v>82.444999999999993</v>
      </c>
      <c r="G169" s="101" vm="13156">
        <f ca="1"/>
        <v>85.724999999999994</v>
      </c>
      <c r="H169" s="101" vm="13157">
        <f ca="1"/>
        <v>82.274500000000003</v>
      </c>
      <c r="I169" s="102" vm="13158">
        <f ca="1"/>
        <v>20163924</v>
      </c>
    </row>
    <row r="170" spans="4:9" x14ac:dyDescent="0.3">
      <c r="D170" s="100" vm="950">
        <f ca="1"/>
        <v>43262</v>
      </c>
      <c r="E170" s="101" vm="13159">
        <f ca="1"/>
        <v>85.798500000000004</v>
      </c>
      <c r="F170" s="101" vm="13160">
        <f ca="1"/>
        <v>84.075500000000005</v>
      </c>
      <c r="G170" s="101" vm="13161">
        <f ca="1"/>
        <v>86.24</v>
      </c>
      <c r="H170" s="101" vm="13162">
        <f ca="1"/>
        <v>84.029600000000002</v>
      </c>
      <c r="I170" s="102" vm="13163">
        <f ca="1"/>
        <v>15874289</v>
      </c>
    </row>
    <row r="171" spans="4:9" x14ac:dyDescent="0.3">
      <c r="D171" s="100" vm="956">
        <f ca="1"/>
        <v>43269</v>
      </c>
      <c r="E171" s="101" vm="13164">
        <f ca="1"/>
        <v>85.783500000000004</v>
      </c>
      <c r="F171" s="101" vm="13165">
        <f ca="1"/>
        <v>85.313000000000002</v>
      </c>
      <c r="G171" s="101" vm="13166">
        <f ca="1"/>
        <v>88.155000000000001</v>
      </c>
      <c r="H171" s="101" vm="13167">
        <f ca="1"/>
        <v>85.019499999999994</v>
      </c>
      <c r="I171" s="102" vm="13168">
        <f ca="1"/>
        <v>20746722</v>
      </c>
    </row>
    <row r="172" spans="4:9" x14ac:dyDescent="0.3">
      <c r="D172" s="100" vm="962">
        <f ca="1"/>
        <v>43276</v>
      </c>
      <c r="E172" s="101" vm="13169">
        <f ca="1"/>
        <v>84.99</v>
      </c>
      <c r="F172" s="101" vm="13170">
        <f ca="1"/>
        <v>85.125500000000002</v>
      </c>
      <c r="G172" s="101" vm="13171">
        <f ca="1"/>
        <v>86.170500000000004</v>
      </c>
      <c r="H172" s="101" vm="13172">
        <f ca="1"/>
        <v>82.315399999999997</v>
      </c>
      <c r="I172" s="102" vm="13173">
        <f ca="1"/>
        <v>25843190</v>
      </c>
    </row>
    <row r="173" spans="4:9" x14ac:dyDescent="0.3">
      <c r="D173" s="100" vm="968">
        <f ca="1"/>
        <v>43283</v>
      </c>
      <c r="E173" s="101" vm="13174">
        <f ca="1"/>
        <v>85.531499999999994</v>
      </c>
      <c r="F173" s="101" vm="13175">
        <f ca="1"/>
        <v>84.135000000000005</v>
      </c>
      <c r="G173" s="101" vm="13176">
        <f ca="1"/>
        <v>86.25</v>
      </c>
      <c r="H173" s="101" vm="13177">
        <f ca="1"/>
        <v>83.903000000000006</v>
      </c>
      <c r="I173" s="102" vm="13178">
        <f ca="1"/>
        <v>10996344</v>
      </c>
    </row>
    <row r="174" spans="4:9" x14ac:dyDescent="0.3">
      <c r="D174" s="100" vm="974">
        <f ca="1"/>
        <v>43290</v>
      </c>
      <c r="E174" s="101" vm="13179">
        <f ca="1"/>
        <v>90.651499999999999</v>
      </c>
      <c r="F174" s="101" vm="13180">
        <f ca="1"/>
        <v>86.202500000000001</v>
      </c>
      <c r="G174" s="101" vm="13181">
        <f ca="1"/>
        <v>90.765000000000001</v>
      </c>
      <c r="H174" s="101" vm="13182">
        <f ca="1"/>
        <v>85.811499999999995</v>
      </c>
      <c r="I174" s="102" vm="13183">
        <f ca="1"/>
        <v>18144097</v>
      </c>
    </row>
    <row r="175" spans="4:9" x14ac:dyDescent="0.3">
      <c r="D175" s="100" vm="980">
        <f ca="1"/>
        <v>43297</v>
      </c>
      <c r="E175" s="101" vm="13184">
        <f ca="1"/>
        <v>90.685000000000002</v>
      </c>
      <c r="F175" s="101" vm="13185">
        <f ca="1"/>
        <v>91.097499999999997</v>
      </c>
      <c r="G175" s="101" vm="13186">
        <f ca="1"/>
        <v>92.944000000000003</v>
      </c>
      <c r="H175" s="101" vm="13187">
        <f ca="1"/>
        <v>89.869200000000006</v>
      </c>
      <c r="I175" s="102" vm="13188">
        <f ca="1"/>
        <v>24579497</v>
      </c>
    </row>
    <row r="176" spans="4:9" x14ac:dyDescent="0.3">
      <c r="D176" s="100" vm="986">
        <f ca="1"/>
        <v>43304</v>
      </c>
      <c r="E176" s="101" vm="13189">
        <f ca="1"/>
        <v>90.863500000000002</v>
      </c>
      <c r="F176" s="101" vm="13190">
        <f ca="1"/>
        <v>90.610500000000002</v>
      </c>
      <c r="G176" s="101" vm="13191">
        <f ca="1"/>
        <v>94.002499999999998</v>
      </c>
      <c r="H176" s="101" vm="13192">
        <f ca="1"/>
        <v>88.499499999999998</v>
      </c>
      <c r="I176" s="102" vm="13193">
        <f ca="1"/>
        <v>31608848</v>
      </c>
    </row>
    <row r="177" spans="4:9" x14ac:dyDescent="0.3">
      <c r="D177" s="100" vm="992">
        <f ca="1"/>
        <v>43311</v>
      </c>
      <c r="E177" s="101" vm="13194">
        <f ca="1"/>
        <v>91.164500000000004</v>
      </c>
      <c r="F177" s="101" vm="13195">
        <f ca="1"/>
        <v>91.366500000000002</v>
      </c>
      <c r="G177" s="101" vm="13196">
        <f ca="1"/>
        <v>92.05</v>
      </c>
      <c r="H177" s="101" vm="13197">
        <f ca="1"/>
        <v>86.965999999999994</v>
      </c>
      <c r="I177" s="102" vm="13198">
        <f ca="1"/>
        <v>24269298</v>
      </c>
    </row>
    <row r="178" spans="4:9" x14ac:dyDescent="0.3">
      <c r="D178" s="100" vm="998">
        <f ca="1"/>
        <v>43318</v>
      </c>
      <c r="E178" s="101" vm="13199">
        <f ca="1"/>
        <v>94.314999999999998</v>
      </c>
      <c r="F178" s="101" vm="13200">
        <f ca="1"/>
        <v>91.290499999999994</v>
      </c>
      <c r="G178" s="101" vm="13201">
        <f ca="1"/>
        <v>95.728499999999997</v>
      </c>
      <c r="H178" s="101" vm="13202">
        <f ca="1"/>
        <v>90.945999999999998</v>
      </c>
      <c r="I178" s="102" vm="13203">
        <f ca="1"/>
        <v>19232616</v>
      </c>
    </row>
    <row r="179" spans="4:9" x14ac:dyDescent="0.3">
      <c r="D179" s="100" vm="1004">
        <f ca="1"/>
        <v>43325</v>
      </c>
      <c r="E179" s="101" vm="13204">
        <f ca="1"/>
        <v>94.111000000000004</v>
      </c>
      <c r="F179" s="101" vm="13205">
        <f ca="1"/>
        <v>94.924999999999997</v>
      </c>
      <c r="G179" s="101" vm="13206">
        <f ca="1"/>
        <v>96.25</v>
      </c>
      <c r="H179" s="101" vm="13207">
        <f ca="1"/>
        <v>92.777500000000003</v>
      </c>
      <c r="I179" s="102" vm="13208">
        <f ca="1"/>
        <v>25279670</v>
      </c>
    </row>
    <row r="180" spans="4:9" x14ac:dyDescent="0.3">
      <c r="D180" s="100" vm="1009">
        <f ca="1"/>
        <v>43332</v>
      </c>
      <c r="E180" s="101" vm="13209">
        <f ca="1"/>
        <v>95.269499999999994</v>
      </c>
      <c r="F180" s="101" vm="13210">
        <f ca="1"/>
        <v>94.528499999999994</v>
      </c>
      <c r="G180" s="101" vm="13211">
        <f ca="1"/>
        <v>95.974999999999994</v>
      </c>
      <c r="H180" s="101" vm="13212">
        <f ca="1"/>
        <v>93.303100000000001</v>
      </c>
      <c r="I180" s="102" vm="13213">
        <f ca="1"/>
        <v>15342474</v>
      </c>
    </row>
    <row r="181" spans="4:9" x14ac:dyDescent="0.3">
      <c r="D181" s="100" vm="1015">
        <f ca="1"/>
        <v>43339</v>
      </c>
      <c r="E181" s="101" vm="13214">
        <f ca="1"/>
        <v>100.63549999999999</v>
      </c>
      <c r="F181" s="101" vm="13215">
        <f ca="1"/>
        <v>95.75</v>
      </c>
      <c r="G181" s="101" vm="13216">
        <f ca="1"/>
        <v>101.27849999999999</v>
      </c>
      <c r="H181" s="101" vm="13217">
        <f ca="1"/>
        <v>95.464100000000002</v>
      </c>
      <c r="I181" s="102" vm="13218">
        <f ca="1"/>
        <v>24683160</v>
      </c>
    </row>
    <row r="182" spans="4:9" x14ac:dyDescent="0.3">
      <c r="D182" s="100" vm="1021">
        <f ca="1"/>
        <v>43347</v>
      </c>
      <c r="E182" s="101" vm="13219">
        <f ca="1"/>
        <v>97.603499999999997</v>
      </c>
      <c r="F182" s="101" vm="13220">
        <f ca="1"/>
        <v>101.325</v>
      </c>
      <c r="G182" s="101" vm="13221">
        <f ca="1"/>
        <v>102.52500000000001</v>
      </c>
      <c r="H182" s="101" vm="13222">
        <f ca="1"/>
        <v>96.760499999999993</v>
      </c>
      <c r="I182" s="102" vm="13223">
        <f ca="1"/>
        <v>26322992</v>
      </c>
    </row>
    <row r="183" spans="4:9" x14ac:dyDescent="0.3">
      <c r="D183" s="100" vm="1027">
        <f ca="1"/>
        <v>43353</v>
      </c>
      <c r="E183" s="101" vm="13224">
        <f ca="1"/>
        <v>98.509500000000003</v>
      </c>
      <c r="F183" s="101" vm="13225">
        <f ca="1"/>
        <v>98.55</v>
      </c>
      <c r="G183" s="101" vm="13226">
        <f ca="1"/>
        <v>100.438</v>
      </c>
      <c r="H183" s="101" vm="13227">
        <f ca="1"/>
        <v>95.85</v>
      </c>
      <c r="I183" s="102" vm="13228">
        <f ca="1"/>
        <v>21256029</v>
      </c>
    </row>
    <row r="184" spans="4:9" x14ac:dyDescent="0.3">
      <c r="D184" s="100" vm="1033">
        <f ca="1"/>
        <v>43360</v>
      </c>
      <c r="E184" s="101" vm="13229">
        <f ca="1"/>
        <v>95.750500000000002</v>
      </c>
      <c r="F184" s="101" vm="13230">
        <f ca="1"/>
        <v>97.736500000000007</v>
      </c>
      <c r="G184" s="101" vm="13231">
        <f ca="1"/>
        <v>97.91</v>
      </c>
      <c r="H184" s="101" vm="13232">
        <f ca="1"/>
        <v>94.370500000000007</v>
      </c>
      <c r="I184" s="102" vm="13233">
        <f ca="1"/>
        <v>25386552</v>
      </c>
    </row>
    <row r="185" spans="4:9" x14ac:dyDescent="0.3">
      <c r="D185" s="100" vm="1039">
        <f ca="1"/>
        <v>43367</v>
      </c>
      <c r="E185" s="101" vm="13234">
        <f ca="1"/>
        <v>100.15</v>
      </c>
      <c r="F185" s="101" vm="13235">
        <f ca="1"/>
        <v>95.189499999999995</v>
      </c>
      <c r="G185" s="101" vm="13236">
        <f ca="1"/>
        <v>101.32599999999999</v>
      </c>
      <c r="H185" s="101" vm="13237">
        <f ca="1"/>
        <v>93.25</v>
      </c>
      <c r="I185" s="102" vm="13238">
        <f ca="1"/>
        <v>21480120</v>
      </c>
    </row>
    <row r="186" spans="4:9" x14ac:dyDescent="0.3">
      <c r="D186" s="100" vm="1045">
        <f ca="1"/>
        <v>43374</v>
      </c>
      <c r="E186" s="101" vm="13239">
        <f ca="1"/>
        <v>94.482500000000002</v>
      </c>
      <c r="F186" s="101" vm="13240">
        <f ca="1"/>
        <v>101.09950000000001</v>
      </c>
      <c r="G186" s="101" vm="13241">
        <f ca="1"/>
        <v>101.65949999999999</v>
      </c>
      <c r="H186" s="101" vm="13242">
        <f ca="1"/>
        <v>93.141499999999994</v>
      </c>
      <c r="I186" s="102" vm="13243">
        <f ca="1"/>
        <v>28201465</v>
      </c>
    </row>
    <row r="187" spans="4:9" x14ac:dyDescent="0.3">
      <c r="D187" s="100" vm="1051">
        <f ca="1"/>
        <v>43381</v>
      </c>
      <c r="E187" s="101" vm="13244">
        <f ca="1"/>
        <v>89.430499999999995</v>
      </c>
      <c r="F187" s="101" vm="13245">
        <f ca="1"/>
        <v>93.7</v>
      </c>
      <c r="G187" s="101" vm="13246">
        <f ca="1"/>
        <v>95.099800000000002</v>
      </c>
      <c r="H187" s="101" vm="13247">
        <f ca="1"/>
        <v>84.254999999999995</v>
      </c>
      <c r="I187" s="102" vm="13248">
        <f ca="1"/>
        <v>46535379</v>
      </c>
    </row>
    <row r="188" spans="4:9" x14ac:dyDescent="0.3">
      <c r="D188" s="100" vm="1057">
        <f ca="1"/>
        <v>43388</v>
      </c>
      <c r="E188" s="101" vm="13249">
        <f ca="1"/>
        <v>88.201499999999996</v>
      </c>
      <c r="F188" s="101" vm="13250">
        <f ca="1"/>
        <v>89.75</v>
      </c>
      <c r="G188" s="101" vm="13251">
        <f ca="1"/>
        <v>92.25</v>
      </c>
      <c r="H188" s="101" vm="13252">
        <f ca="1"/>
        <v>86.711500000000001</v>
      </c>
      <c r="I188" s="102" vm="13253">
        <f ca="1"/>
        <v>29373498</v>
      </c>
    </row>
    <row r="189" spans="4:9" x14ac:dyDescent="0.3">
      <c r="D189" s="100" vm="1063">
        <f ca="1"/>
        <v>43395</v>
      </c>
      <c r="E189" s="101" vm="13254">
        <f ca="1"/>
        <v>82.140500000000003</v>
      </c>
      <c r="F189" s="101" vm="13255">
        <f ca="1"/>
        <v>89.2</v>
      </c>
      <c r="G189" s="101" vm="13256">
        <f ca="1"/>
        <v>90.474999999999994</v>
      </c>
      <c r="H189" s="101" vm="13257">
        <f ca="1"/>
        <v>80.150000000000006</v>
      </c>
      <c r="I189" s="102" vm="13258">
        <f ca="1"/>
        <v>43239862</v>
      </c>
    </row>
    <row r="190" spans="4:9" x14ac:dyDescent="0.3">
      <c r="D190" s="100" vm="1069">
        <f ca="1"/>
        <v>43402</v>
      </c>
      <c r="E190" s="101" vm="13259">
        <f ca="1"/>
        <v>83.276499999999999</v>
      </c>
      <c r="F190" s="101" vm="13260">
        <f ca="1"/>
        <v>83</v>
      </c>
      <c r="G190" s="101" vm="13261">
        <f ca="1"/>
        <v>84.872</v>
      </c>
      <c r="H190" s="101" vm="13262">
        <f ca="1"/>
        <v>73.817999999999998</v>
      </c>
      <c r="I190" s="102" vm="13263">
        <f ca="1"/>
        <v>50807461</v>
      </c>
    </row>
    <row r="191" spans="4:9" x14ac:dyDescent="0.3">
      <c r="D191" s="100" vm="1075">
        <f ca="1"/>
        <v>43409</v>
      </c>
      <c r="E191" s="101" vm="13264">
        <f ca="1"/>
        <v>85.621499999999997</v>
      </c>
      <c r="F191" s="101" vm="13265">
        <f ca="1"/>
        <v>82.878500000000003</v>
      </c>
      <c r="G191" s="101" vm="13255">
        <f ca="1"/>
        <v>89.2</v>
      </c>
      <c r="H191" s="101" vm="13266">
        <f ca="1"/>
        <v>79.817999999999998</v>
      </c>
      <c r="I191" s="102" vm="13267">
        <f ca="1"/>
        <v>30511366</v>
      </c>
    </row>
    <row r="192" spans="4:9" x14ac:dyDescent="0.3">
      <c r="D192" s="100" vm="1081">
        <f ca="1"/>
        <v>43416</v>
      </c>
      <c r="E192" s="101" vm="13268">
        <f ca="1"/>
        <v>79.670500000000004</v>
      </c>
      <c r="F192" s="101" vm="13269">
        <f ca="1"/>
        <v>84.912000000000006</v>
      </c>
      <c r="G192" s="101" vm="13270">
        <f ca="1"/>
        <v>85.427499999999995</v>
      </c>
      <c r="H192" s="101" vm="13271">
        <f ca="1"/>
        <v>77.325500000000005</v>
      </c>
      <c r="I192" s="102" vm="13272">
        <f ca="1"/>
        <v>33684389</v>
      </c>
    </row>
    <row r="193" spans="4:9" x14ac:dyDescent="0.3">
      <c r="D193" s="100" vm="1087">
        <f ca="1"/>
        <v>43423</v>
      </c>
      <c r="E193" s="101" vm="13273">
        <f ca="1"/>
        <v>75.102999999999994</v>
      </c>
      <c r="F193" s="101" vm="13274">
        <f ca="1"/>
        <v>78.850499999999997</v>
      </c>
      <c r="G193" s="101" vm="13275">
        <f ca="1"/>
        <v>79.0595</v>
      </c>
      <c r="H193" s="101" vm="13276">
        <f ca="1"/>
        <v>71</v>
      </c>
      <c r="I193" s="102" vm="13277">
        <f ca="1"/>
        <v>27025124</v>
      </c>
    </row>
    <row r="194" spans="4:9" x14ac:dyDescent="0.3">
      <c r="D194" s="100" vm="1093">
        <f ca="1"/>
        <v>43430</v>
      </c>
      <c r="E194" s="101" vm="13278">
        <f ca="1"/>
        <v>84.508499999999998</v>
      </c>
      <c r="F194" s="101" vm="13279">
        <f ca="1"/>
        <v>76.95</v>
      </c>
      <c r="G194" s="101" vm="13280">
        <f ca="1"/>
        <v>84.8</v>
      </c>
      <c r="H194" s="101" vm="13281">
        <f ca="1"/>
        <v>76.210999999999999</v>
      </c>
      <c r="I194" s="102" vm="13282">
        <f ca="1"/>
        <v>32805553</v>
      </c>
    </row>
    <row r="195" spans="4:9" x14ac:dyDescent="0.3">
      <c r="D195" s="100" vm="1099">
        <f ca="1"/>
        <v>43437</v>
      </c>
      <c r="E195" s="101" vm="13283">
        <f ca="1"/>
        <v>81.456500000000005</v>
      </c>
      <c r="F195" s="101" vm="13284">
        <f ca="1"/>
        <v>88.472999999999999</v>
      </c>
      <c r="G195" s="101" vm="13285">
        <f ca="1"/>
        <v>88.917000000000002</v>
      </c>
      <c r="H195" s="101" vm="13286">
        <f ca="1"/>
        <v>80.492500000000007</v>
      </c>
      <c r="I195" s="102" vm="13287">
        <f ca="1"/>
        <v>31801934</v>
      </c>
    </row>
    <row r="196" spans="4:9" x14ac:dyDescent="0.3">
      <c r="D196" s="100" vm="1105">
        <f ca="1"/>
        <v>43444</v>
      </c>
      <c r="E196" s="101" vm="13288">
        <f ca="1"/>
        <v>79.595500000000001</v>
      </c>
      <c r="F196" s="101" vm="13289">
        <f ca="1"/>
        <v>81.191999999999993</v>
      </c>
      <c r="G196" s="101" vm="13290">
        <f ca="1"/>
        <v>85.249499999999998</v>
      </c>
      <c r="H196" s="101" vm="13146">
        <f ca="1"/>
        <v>79.25</v>
      </c>
      <c r="I196" s="102" vm="13291">
        <f ca="1"/>
        <v>31934390</v>
      </c>
    </row>
    <row r="197" spans="4:9" x14ac:dyDescent="0.3">
      <c r="D197" s="100" vm="1111">
        <f ca="1"/>
        <v>43451</v>
      </c>
      <c r="E197" s="101" vm="13292">
        <f ca="1"/>
        <v>68.872500000000002</v>
      </c>
      <c r="F197" s="101" vm="13293">
        <f ca="1"/>
        <v>78.3</v>
      </c>
      <c r="G197" s="101" vm="13294">
        <f ca="1"/>
        <v>79.226500000000001</v>
      </c>
      <c r="H197" s="101" vm="13295">
        <f ca="1"/>
        <v>68.197999999999993</v>
      </c>
      <c r="I197" s="102" vm="13296">
        <f ca="1"/>
        <v>47591572</v>
      </c>
    </row>
    <row r="198" spans="4:9" x14ac:dyDescent="0.3">
      <c r="D198" s="100" vm="1117">
        <f ca="1"/>
        <v>43458</v>
      </c>
      <c r="E198" s="101" vm="13297">
        <f ca="1"/>
        <v>73.900999999999996</v>
      </c>
      <c r="F198" s="101" vm="13298">
        <f ca="1"/>
        <v>67.3</v>
      </c>
      <c r="G198" s="101" vm="13299">
        <f ca="1"/>
        <v>75.673500000000004</v>
      </c>
      <c r="H198" s="101" vm="13300">
        <f ca="1"/>
        <v>65.349999999999994</v>
      </c>
      <c r="I198" s="102" vm="13301">
        <f ca="1"/>
        <v>36182781</v>
      </c>
    </row>
    <row r="199" spans="4:9" x14ac:dyDescent="0.3">
      <c r="D199" s="100" vm="1123">
        <f ca="1"/>
        <v>43465</v>
      </c>
      <c r="E199" s="101" vm="13302">
        <f ca="1"/>
        <v>78.769499999999994</v>
      </c>
      <c r="F199" s="101" vm="13303">
        <f ca="1"/>
        <v>75.540000000000006</v>
      </c>
      <c r="G199" s="101" vm="7275">
        <f ca="1"/>
        <v>79.7</v>
      </c>
      <c r="H199" s="101" vm="13304">
        <f ca="1"/>
        <v>73.046499999999995</v>
      </c>
      <c r="I199" s="102" vm="13305">
        <f ca="1"/>
        <v>30827985</v>
      </c>
    </row>
    <row r="200" spans="4:9" x14ac:dyDescent="0.3">
      <c r="D200" s="100" vm="1128">
        <f ca="1"/>
        <v>43472</v>
      </c>
      <c r="E200" s="101" vm="13306">
        <f ca="1"/>
        <v>82.028000000000006</v>
      </c>
      <c r="F200" s="101" vm="13307">
        <f ca="1"/>
        <v>80.115499999999997</v>
      </c>
      <c r="G200" s="101" vm="13308">
        <f ca="1"/>
        <v>83.830500000000001</v>
      </c>
      <c r="H200" s="101" vm="13309">
        <f ca="1"/>
        <v>79.459299999999999</v>
      </c>
      <c r="I200" s="102" vm="13310">
        <f ca="1"/>
        <v>34310840</v>
      </c>
    </row>
    <row r="201" spans="4:9" x14ac:dyDescent="0.3">
      <c r="D201" s="100" vm="1134">
        <f ca="1"/>
        <v>43479</v>
      </c>
      <c r="E201" s="101" vm="13311">
        <f ca="1"/>
        <v>84.81</v>
      </c>
      <c r="F201" s="101" vm="13312">
        <f ca="1"/>
        <v>80.75</v>
      </c>
      <c r="G201" s="101" vm="13313">
        <f ca="1"/>
        <v>85.81</v>
      </c>
      <c r="H201" s="101" vm="13314">
        <f ca="1"/>
        <v>79.757499999999993</v>
      </c>
      <c r="I201" s="102" vm="13315">
        <f ca="1"/>
        <v>28509684</v>
      </c>
    </row>
    <row r="202" spans="4:9" x14ac:dyDescent="0.3">
      <c r="D202" s="100" vm="1140">
        <f ca="1"/>
        <v>43487</v>
      </c>
      <c r="E202" s="101" vm="13316">
        <f ca="1"/>
        <v>83.528499999999994</v>
      </c>
      <c r="F202" s="101" vm="13317">
        <f ca="1"/>
        <v>84.05</v>
      </c>
      <c r="G202" s="101" vm="13318">
        <f ca="1"/>
        <v>84.174000000000007</v>
      </c>
      <c r="H202" s="101" vm="13319">
        <f ca="1"/>
        <v>80.510000000000005</v>
      </c>
      <c r="I202" s="102" vm="13320">
        <f ca="1"/>
        <v>20564107</v>
      </c>
    </row>
    <row r="203" spans="4:9" x14ac:dyDescent="0.3">
      <c r="D203" s="100" vm="1145">
        <f ca="1"/>
        <v>43493</v>
      </c>
      <c r="E203" s="101" vm="13321">
        <f ca="1"/>
        <v>81.311499999999995</v>
      </c>
      <c r="F203" s="101" vm="13322">
        <f ca="1"/>
        <v>82.179500000000004</v>
      </c>
      <c r="G203" s="101" vm="13323">
        <f ca="1"/>
        <v>86.820599999999999</v>
      </c>
      <c r="H203" s="101" vm="13324">
        <f ca="1"/>
        <v>79.536000000000001</v>
      </c>
      <c r="I203" s="102" vm="13325">
        <f ca="1"/>
        <v>36496027</v>
      </c>
    </row>
    <row r="204" spans="4:9" x14ac:dyDescent="0.3">
      <c r="D204" s="100" vm="1151">
        <f ca="1"/>
        <v>43500</v>
      </c>
      <c r="E204" s="101" vm="13326">
        <f ca="1"/>
        <v>79.411000000000001</v>
      </c>
      <c r="F204" s="101" vm="13327">
        <f ca="1"/>
        <v>81.150000000000006</v>
      </c>
      <c r="G204" s="101" vm="13328">
        <f ca="1"/>
        <v>83.613</v>
      </c>
      <c r="H204" s="101" vm="13329">
        <f ca="1"/>
        <v>78.337800000000001</v>
      </c>
      <c r="I204" s="102" vm="13330">
        <f ca="1"/>
        <v>23490293</v>
      </c>
    </row>
    <row r="205" spans="4:9" x14ac:dyDescent="0.3">
      <c r="D205" s="100" vm="1157">
        <f ca="1"/>
        <v>43507</v>
      </c>
      <c r="E205" s="101" vm="13331">
        <f ca="1"/>
        <v>80.397499999999994</v>
      </c>
      <c r="F205" s="101" vm="13332">
        <f ca="1"/>
        <v>80.049000000000007</v>
      </c>
      <c r="G205" s="101" vm="13333">
        <f ca="1"/>
        <v>82.819000000000003</v>
      </c>
      <c r="H205" s="101" vm="13334">
        <f ca="1"/>
        <v>79.3</v>
      </c>
      <c r="I205" s="102" vm="13335">
        <f ca="1"/>
        <v>20099308</v>
      </c>
    </row>
    <row r="206" spans="4:9" x14ac:dyDescent="0.3">
      <c r="D206" s="100" vm="1161">
        <f ca="1"/>
        <v>43515</v>
      </c>
      <c r="E206" s="101" vm="13336">
        <f ca="1"/>
        <v>81.578000000000003</v>
      </c>
      <c r="F206" s="101" vm="13337">
        <f ca="1"/>
        <v>80.05</v>
      </c>
      <c r="G206" s="101" vm="13338">
        <f ca="1"/>
        <v>81.747</v>
      </c>
      <c r="H206" s="101" vm="13339">
        <f ca="1"/>
        <v>80.028000000000006</v>
      </c>
      <c r="I206" s="102" vm="13340">
        <f ca="1"/>
        <v>13598828</v>
      </c>
    </row>
    <row r="207" spans="4:9" x14ac:dyDescent="0.3">
      <c r="D207" s="100" vm="1167">
        <f ca="1"/>
        <v>43521</v>
      </c>
      <c r="E207" s="101" vm="13341">
        <f ca="1"/>
        <v>83.586500000000001</v>
      </c>
      <c r="F207" s="101" vm="13342">
        <f ca="1"/>
        <v>82.072500000000005</v>
      </c>
      <c r="G207" s="101" vm="13343">
        <f ca="1"/>
        <v>83.712999999999994</v>
      </c>
      <c r="H207" s="101" vm="13344">
        <f ca="1"/>
        <v>80.754999999999995</v>
      </c>
      <c r="I207" s="102" vm="13345">
        <f ca="1"/>
        <v>16999869</v>
      </c>
    </row>
    <row r="208" spans="4:9" x14ac:dyDescent="0.3">
      <c r="D208" s="100" vm="1172">
        <f ca="1"/>
        <v>43528</v>
      </c>
      <c r="E208" s="101" vm="13346">
        <f ca="1"/>
        <v>81.040000000000006</v>
      </c>
      <c r="F208" s="101" vm="13347">
        <f ca="1"/>
        <v>84.25</v>
      </c>
      <c r="G208" s="101" vm="13348">
        <f ca="1"/>
        <v>85.471500000000006</v>
      </c>
      <c r="H208" s="101" vm="13349">
        <f ca="1"/>
        <v>79.328500000000005</v>
      </c>
      <c r="I208" s="102" vm="13350">
        <f ca="1"/>
        <v>23468912</v>
      </c>
    </row>
    <row r="209" spans="4:9" x14ac:dyDescent="0.3">
      <c r="D209" s="100" vm="1178">
        <f ca="1"/>
        <v>43535</v>
      </c>
      <c r="E209" s="101" vm="13351">
        <f ca="1"/>
        <v>85.617999999999995</v>
      </c>
      <c r="F209" s="101" vm="13352">
        <f ca="1"/>
        <v>81.305999999999997</v>
      </c>
      <c r="G209" s="101" vm="13353">
        <f ca="1"/>
        <v>85.94</v>
      </c>
      <c r="H209" s="101" vm="13354">
        <f ca="1"/>
        <v>81.3005</v>
      </c>
      <c r="I209" s="102" vm="13355">
        <f ca="1"/>
        <v>21540379</v>
      </c>
    </row>
    <row r="210" spans="4:9" x14ac:dyDescent="0.3">
      <c r="D210" s="100" vm="1184">
        <f ca="1"/>
        <v>43542</v>
      </c>
      <c r="E210" s="101" vm="13356">
        <f ca="1"/>
        <v>88.238500000000002</v>
      </c>
      <c r="F210" s="101" vm="13357">
        <f ca="1"/>
        <v>85.635000000000005</v>
      </c>
      <c r="G210" s="101" vm="13358">
        <f ca="1"/>
        <v>91.1875</v>
      </c>
      <c r="H210" s="101" vm="13359">
        <f ca="1"/>
        <v>85.631500000000003</v>
      </c>
      <c r="I210" s="102" vm="13360">
        <f ca="1"/>
        <v>30189632</v>
      </c>
    </row>
    <row r="211" spans="4:9" x14ac:dyDescent="0.3">
      <c r="D211" s="100" vm="1190">
        <f ca="1"/>
        <v>43549</v>
      </c>
      <c r="E211" s="101" vm="13361">
        <f ca="1"/>
        <v>89.037499999999994</v>
      </c>
      <c r="F211" s="101" vm="13362">
        <f ca="1"/>
        <v>87.889499999999998</v>
      </c>
      <c r="G211" s="101" vm="13363">
        <f ca="1"/>
        <v>90.288499999999999</v>
      </c>
      <c r="H211" s="101" vm="13364">
        <f ca="1"/>
        <v>87.284000000000006</v>
      </c>
      <c r="I211" s="102" vm="13365">
        <f ca="1"/>
        <v>20658235</v>
      </c>
    </row>
    <row r="212" spans="4:9" x14ac:dyDescent="0.3">
      <c r="D212" s="100" vm="1195">
        <f ca="1"/>
        <v>43556</v>
      </c>
      <c r="E212" s="101" vm="13366">
        <f ca="1"/>
        <v>91.864000000000004</v>
      </c>
      <c r="F212" s="101" vm="13367">
        <f ca="1"/>
        <v>90.005499999999998</v>
      </c>
      <c r="G212" s="101" vm="13368">
        <f ca="1"/>
        <v>91.929000000000002</v>
      </c>
      <c r="H212" s="101" vm="13369">
        <f ca="1"/>
        <v>89.936499999999995</v>
      </c>
      <c r="I212" s="102" vm="13370">
        <f ca="1"/>
        <v>18931800</v>
      </c>
    </row>
    <row r="213" spans="4:9" x14ac:dyDescent="0.3">
      <c r="D213" s="100" vm="1201">
        <f ca="1"/>
        <v>43563</v>
      </c>
      <c r="E213" s="101" vm="13371">
        <f ca="1"/>
        <v>92.153000000000006</v>
      </c>
      <c r="F213" s="101" vm="13372">
        <f ca="1"/>
        <v>91.661500000000004</v>
      </c>
      <c r="G213" s="101" vm="13373">
        <f ca="1"/>
        <v>92.654499999999999</v>
      </c>
      <c r="H213" s="101" vm="13374">
        <f ca="1"/>
        <v>91.255499999999998</v>
      </c>
      <c r="I213" s="102" vm="13375">
        <f ca="1"/>
        <v>16200437</v>
      </c>
    </row>
    <row r="214" spans="4:9" x14ac:dyDescent="0.3">
      <c r="D214" s="100" vm="1207">
        <f ca="1"/>
        <v>43570</v>
      </c>
      <c r="E214" s="101" vm="13376">
        <f ca="1"/>
        <v>93.084500000000006</v>
      </c>
      <c r="F214" s="101" vm="13377">
        <f ca="1"/>
        <v>92.1</v>
      </c>
      <c r="G214" s="101" vm="13378">
        <f ca="1"/>
        <v>93.823700000000002</v>
      </c>
      <c r="H214" s="101" vm="13379">
        <f ca="1"/>
        <v>90.944999999999993</v>
      </c>
      <c r="I214" s="102" vm="13380">
        <f ca="1"/>
        <v>12412440</v>
      </c>
    </row>
    <row r="215" spans="4:9" x14ac:dyDescent="0.3">
      <c r="D215" s="100" vm="1213">
        <f ca="1"/>
        <v>43577</v>
      </c>
      <c r="E215" s="101" vm="13381">
        <f ca="1"/>
        <v>97.531499999999994</v>
      </c>
      <c r="F215" s="101" vm="13382">
        <f ca="1"/>
        <v>92.77</v>
      </c>
      <c r="G215" s="101" vm="13383">
        <f ca="1"/>
        <v>97.55</v>
      </c>
      <c r="H215" s="101" vm="13384">
        <f ca="1"/>
        <v>92.281999999999996</v>
      </c>
      <c r="I215" s="102" vm="13385">
        <f ca="1"/>
        <v>26221693</v>
      </c>
    </row>
    <row r="216" spans="4:9" x14ac:dyDescent="0.3">
      <c r="D216" s="100" vm="1218">
        <f ca="1"/>
        <v>43584</v>
      </c>
      <c r="E216" s="101" vm="13386">
        <f ca="1"/>
        <v>98.123000000000005</v>
      </c>
      <c r="F216" s="101" vm="13387">
        <f ca="1"/>
        <v>97.45</v>
      </c>
      <c r="G216" s="101" vm="13388">
        <f ca="1"/>
        <v>98.22</v>
      </c>
      <c r="H216" s="101" vm="13389">
        <f ca="1"/>
        <v>94.093500000000006</v>
      </c>
      <c r="I216" s="102" vm="13390">
        <f ca="1"/>
        <v>20988705</v>
      </c>
    </row>
    <row r="217" spans="4:9" x14ac:dyDescent="0.3">
      <c r="D217" s="100" vm="1224">
        <f ca="1"/>
        <v>43591</v>
      </c>
      <c r="E217" s="101" vm="13391">
        <f ca="1"/>
        <v>94.498999999999995</v>
      </c>
      <c r="F217" s="101" vm="13392">
        <f ca="1"/>
        <v>95.899000000000001</v>
      </c>
      <c r="G217" s="101" vm="13393">
        <f ca="1"/>
        <v>97.95</v>
      </c>
      <c r="H217" s="101" vm="13394">
        <f ca="1"/>
        <v>92.8</v>
      </c>
      <c r="I217" s="102" vm="13395">
        <f ca="1"/>
        <v>26424800</v>
      </c>
    </row>
    <row r="218" spans="4:9" x14ac:dyDescent="0.3">
      <c r="D218" s="100" vm="1230">
        <f ca="1"/>
        <v>43598</v>
      </c>
      <c r="E218" s="101" vm="13396">
        <f ca="1"/>
        <v>93.45</v>
      </c>
      <c r="F218" s="101" vm="13397">
        <f ca="1"/>
        <v>91.828000000000003</v>
      </c>
      <c r="G218" s="101" vm="13398">
        <f ca="1"/>
        <v>95.875500000000002</v>
      </c>
      <c r="H218" s="101" vm="13399">
        <f ca="1"/>
        <v>90.787499999999994</v>
      </c>
      <c r="I218" s="102" vm="13400">
        <f ca="1"/>
        <v>24549599</v>
      </c>
    </row>
    <row r="219" spans="4:9" x14ac:dyDescent="0.3">
      <c r="D219" s="100" vm="1236">
        <f ca="1"/>
        <v>43605</v>
      </c>
      <c r="E219" s="101" vm="13401">
        <f ca="1"/>
        <v>91.164000000000001</v>
      </c>
      <c r="F219" s="101" vm="13402">
        <f ca="1"/>
        <v>92.634500000000003</v>
      </c>
      <c r="G219" s="101" vm="13403">
        <f ca="1"/>
        <v>93.95</v>
      </c>
      <c r="H219" s="101" vm="13404">
        <f ca="1"/>
        <v>90.21</v>
      </c>
      <c r="I219" s="102" vm="13405">
        <f ca="1"/>
        <v>18533859</v>
      </c>
    </row>
    <row r="220" spans="4:9" x14ac:dyDescent="0.3">
      <c r="D220" s="100" vm="1241">
        <f ca="1"/>
        <v>43613</v>
      </c>
      <c r="E220" s="101" vm="13406">
        <f ca="1"/>
        <v>88.753500000000003</v>
      </c>
      <c r="F220" s="101" vm="13407">
        <f ca="1"/>
        <v>91.637500000000003</v>
      </c>
      <c r="G220" s="101" vm="13408">
        <f ca="1"/>
        <v>92.463300000000004</v>
      </c>
      <c r="H220" s="101" vm="13409">
        <f ca="1"/>
        <v>88.635199999999998</v>
      </c>
      <c r="I220" s="102" vm="13410">
        <f ca="1"/>
        <v>15244659</v>
      </c>
    </row>
    <row r="221" spans="4:9" x14ac:dyDescent="0.3">
      <c r="D221" s="100" vm="1246">
        <f ca="1"/>
        <v>43619</v>
      </c>
      <c r="E221" s="101" vm="13411">
        <f ca="1"/>
        <v>90.201499999999996</v>
      </c>
      <c r="F221" s="101" vm="13412">
        <f ca="1"/>
        <v>88.000500000000002</v>
      </c>
      <c r="G221" s="101" vm="13413">
        <f ca="1"/>
        <v>90.312700000000007</v>
      </c>
      <c r="H221" s="101" vm="13414">
        <f ca="1"/>
        <v>83.6</v>
      </c>
      <c r="I221" s="102" vm="13415">
        <f ca="1"/>
        <v>27515129</v>
      </c>
    </row>
    <row r="222" spans="4:9" x14ac:dyDescent="0.3">
      <c r="D222" s="100" vm="1252">
        <f ca="1"/>
        <v>43626</v>
      </c>
      <c r="E222" s="101" vm="13416">
        <f ca="1"/>
        <v>93.483500000000006</v>
      </c>
      <c r="F222" s="101" vm="13417">
        <f ca="1"/>
        <v>91.1</v>
      </c>
      <c r="G222" s="101" vm="13418">
        <f ca="1"/>
        <v>94.685000000000002</v>
      </c>
      <c r="H222" s="101" vm="13419">
        <f ca="1"/>
        <v>90.9</v>
      </c>
      <c r="I222" s="102" vm="13420">
        <f ca="1"/>
        <v>17739009</v>
      </c>
    </row>
    <row r="223" spans="4:9" x14ac:dyDescent="0.3">
      <c r="D223" s="100" vm="1258">
        <f ca="1"/>
        <v>43633</v>
      </c>
      <c r="E223" s="101" vm="13421">
        <f ca="1"/>
        <v>95.564999999999998</v>
      </c>
      <c r="F223" s="101" vm="13422">
        <f ca="1"/>
        <v>93.825000000000003</v>
      </c>
      <c r="G223" s="101" vm="13423">
        <f ca="1"/>
        <v>96.76</v>
      </c>
      <c r="H223" s="101" vm="13424">
        <f ca="1"/>
        <v>93.772499999999994</v>
      </c>
      <c r="I223" s="102" vm="13425">
        <f ca="1"/>
        <v>16576146</v>
      </c>
    </row>
    <row r="224" spans="4:9" x14ac:dyDescent="0.3">
      <c r="D224" s="100" vm="1264">
        <f ca="1"/>
        <v>43640</v>
      </c>
      <c r="E224" s="101" vm="13426">
        <f ca="1"/>
        <v>94.6815</v>
      </c>
      <c r="F224" s="101" vm="13427">
        <f ca="1"/>
        <v>95.632999999999996</v>
      </c>
      <c r="G224" s="101" vm="13428">
        <f ca="1"/>
        <v>95.843000000000004</v>
      </c>
      <c r="H224" s="101" vm="13429">
        <f ca="1"/>
        <v>93.620999999999995</v>
      </c>
      <c r="I224" s="102" vm="13430">
        <f ca="1"/>
        <v>12916305</v>
      </c>
    </row>
    <row r="225" spans="4:9" x14ac:dyDescent="0.3">
      <c r="D225" s="100" vm="1270">
        <f ca="1"/>
        <v>43647</v>
      </c>
      <c r="E225" s="101" vm="13431">
        <f ca="1"/>
        <v>97.145499999999998</v>
      </c>
      <c r="F225" s="101" vm="13432">
        <f ca="1"/>
        <v>96.149000000000001</v>
      </c>
      <c r="G225" s="101" vm="13433">
        <f ca="1"/>
        <v>97.295000000000002</v>
      </c>
      <c r="H225" s="101" vm="13434">
        <f ca="1"/>
        <v>95.331500000000005</v>
      </c>
      <c r="I225" s="102" vm="13435">
        <f ca="1"/>
        <v>10173299</v>
      </c>
    </row>
    <row r="226" spans="4:9" x14ac:dyDescent="0.3">
      <c r="D226" s="100" vm="1276">
        <f ca="1"/>
        <v>43654</v>
      </c>
      <c r="E226" s="101" vm="13436">
        <f ca="1"/>
        <v>100.55</v>
      </c>
      <c r="F226" s="101" vm="13437">
        <f ca="1"/>
        <v>96.706000000000003</v>
      </c>
      <c r="G226" s="101" vm="13438">
        <f ca="1"/>
        <v>101.79</v>
      </c>
      <c r="H226" s="101" vm="13439">
        <f ca="1"/>
        <v>96.412700000000001</v>
      </c>
      <c r="I226" s="102" vm="13440">
        <f ca="1"/>
        <v>18988034</v>
      </c>
    </row>
    <row r="227" spans="4:9" x14ac:dyDescent="0.3">
      <c r="D227" s="100" vm="1282">
        <f ca="1"/>
        <v>43661</v>
      </c>
      <c r="E227" s="101" vm="13441">
        <f ca="1"/>
        <v>98.225999999999999</v>
      </c>
      <c r="F227" s="101" vm="13442">
        <f ca="1"/>
        <v>101.07</v>
      </c>
      <c r="G227" s="101" vm="13443">
        <f ca="1"/>
        <v>101.316</v>
      </c>
      <c r="H227" s="101" vm="13444">
        <f ca="1"/>
        <v>97.577500000000001</v>
      </c>
      <c r="I227" s="102" vm="13445">
        <f ca="1"/>
        <v>14848214</v>
      </c>
    </row>
    <row r="228" spans="4:9" x14ac:dyDescent="0.3">
      <c r="D228" s="100" vm="1288">
        <f ca="1"/>
        <v>43668</v>
      </c>
      <c r="E228" s="101" vm="13446">
        <f ca="1"/>
        <v>97.152500000000003</v>
      </c>
      <c r="F228" s="101" vm="13447">
        <f ca="1"/>
        <v>98.557000000000002</v>
      </c>
      <c r="G228" s="101" vm="13448">
        <f ca="1"/>
        <v>100.065</v>
      </c>
      <c r="H228" s="101" vm="13449">
        <f ca="1"/>
        <v>96.225499999999997</v>
      </c>
      <c r="I228" s="102" vm="13450">
        <f ca="1"/>
        <v>17306495</v>
      </c>
    </row>
    <row r="229" spans="4:9" x14ac:dyDescent="0.3">
      <c r="D229" s="100" vm="1294">
        <f ca="1"/>
        <v>43675</v>
      </c>
      <c r="E229" s="101" vm="13451">
        <f ca="1"/>
        <v>91.162000000000006</v>
      </c>
      <c r="F229" s="101" vm="13452">
        <f ca="1"/>
        <v>96.5</v>
      </c>
      <c r="G229" s="101" vm="13453">
        <f ca="1"/>
        <v>96.6113</v>
      </c>
      <c r="H229" s="101" vm="13454">
        <f ca="1"/>
        <v>90.400999999999996</v>
      </c>
      <c r="I229" s="102" vm="13455">
        <f ca="1"/>
        <v>21544341</v>
      </c>
    </row>
    <row r="230" spans="4:9" x14ac:dyDescent="0.3">
      <c r="D230" s="100" vm="1300">
        <f ca="1"/>
        <v>43682</v>
      </c>
      <c r="E230" s="101" vm="13456">
        <f ca="1"/>
        <v>90.379000000000005</v>
      </c>
      <c r="F230" s="101" vm="13457">
        <f ca="1"/>
        <v>88.510999999999996</v>
      </c>
      <c r="G230" s="101" vm="13458">
        <f ca="1"/>
        <v>91.712999999999994</v>
      </c>
      <c r="H230" s="101" vm="13459">
        <f ca="1"/>
        <v>87.438999999999993</v>
      </c>
      <c r="I230" s="102" vm="13460">
        <f ca="1"/>
        <v>22236366</v>
      </c>
    </row>
    <row r="231" spans="4:9" x14ac:dyDescent="0.3">
      <c r="D231" s="100" vm="1306">
        <f ca="1"/>
        <v>43689</v>
      </c>
      <c r="E231" s="101" vm="13461">
        <f ca="1"/>
        <v>89.628500000000003</v>
      </c>
      <c r="F231" s="101" vm="13462">
        <f ca="1"/>
        <v>89.799499999999995</v>
      </c>
      <c r="G231" s="101" vm="13463">
        <f ca="1"/>
        <v>91.587100000000007</v>
      </c>
      <c r="H231" s="101" vm="13464">
        <f ca="1"/>
        <v>87.860799999999998</v>
      </c>
      <c r="I231" s="102" vm="13465">
        <f ca="1"/>
        <v>18738356</v>
      </c>
    </row>
    <row r="232" spans="4:9" x14ac:dyDescent="0.3">
      <c r="D232" s="100" vm="1311">
        <f ca="1"/>
        <v>43696</v>
      </c>
      <c r="E232" s="101" vm="13466">
        <f ca="1"/>
        <v>87.480999999999995</v>
      </c>
      <c r="F232" s="101" vm="13467">
        <f ca="1"/>
        <v>90.903999999999996</v>
      </c>
      <c r="G232" s="101" vm="13468">
        <f ca="1"/>
        <v>91.478899999999996</v>
      </c>
      <c r="H232" s="101" vm="13469">
        <f ca="1"/>
        <v>87.261499999999998</v>
      </c>
      <c r="I232" s="102" vm="13470">
        <f ca="1"/>
        <v>14728655</v>
      </c>
    </row>
    <row r="233" spans="4:9" x14ac:dyDescent="0.3">
      <c r="D233" s="100" vm="1317">
        <f ca="1"/>
        <v>43703</v>
      </c>
      <c r="E233" s="101" vm="13471">
        <f ca="1"/>
        <v>88.814499999999995</v>
      </c>
      <c r="F233" s="101" vm="13472">
        <f ca="1"/>
        <v>88.345500000000001</v>
      </c>
      <c r="G233" s="101" vm="13473">
        <f ca="1"/>
        <v>89.986999999999995</v>
      </c>
      <c r="H233" s="101" vm="13474">
        <f ca="1"/>
        <v>87.1755</v>
      </c>
      <c r="I233" s="102" vm="13475">
        <f ca="1"/>
        <v>14616617</v>
      </c>
    </row>
    <row r="234" spans="4:9" x14ac:dyDescent="0.3">
      <c r="D234" s="100" vm="1322">
        <f ca="1"/>
        <v>43711</v>
      </c>
      <c r="E234" s="101" vm="13476">
        <f ca="1"/>
        <v>91.6755</v>
      </c>
      <c r="F234" s="101" vm="13477">
        <f ca="1"/>
        <v>88.5</v>
      </c>
      <c r="G234" s="101" vm="13377">
        <f ca="1"/>
        <v>92.1</v>
      </c>
      <c r="H234" s="101" vm="13478">
        <f ca="1"/>
        <v>88.4</v>
      </c>
      <c r="I234" s="102" vm="13479">
        <f ca="1"/>
        <v>11695209</v>
      </c>
    </row>
    <row r="235" spans="4:9" x14ac:dyDescent="0.3">
      <c r="D235" s="100" vm="1328">
        <f ca="1"/>
        <v>43717</v>
      </c>
      <c r="E235" s="101" vm="13480">
        <f ca="1"/>
        <v>91.966999999999999</v>
      </c>
      <c r="F235" s="101" vm="13196">
        <f ca="1"/>
        <v>92.05</v>
      </c>
      <c r="G235" s="101" vm="13481">
        <f ca="1"/>
        <v>92.683000000000007</v>
      </c>
      <c r="H235" s="101" vm="13482">
        <f ca="1"/>
        <v>90.266800000000003</v>
      </c>
      <c r="I235" s="102" vm="13483">
        <f ca="1"/>
        <v>12840983</v>
      </c>
    </row>
    <row r="236" spans="4:9" x14ac:dyDescent="0.3">
      <c r="D236" s="100" vm="1334">
        <f ca="1"/>
        <v>43724</v>
      </c>
      <c r="E236" s="101" vm="13484">
        <f ca="1"/>
        <v>89.707999999999998</v>
      </c>
      <c r="F236" s="101" vm="13485">
        <f ca="1"/>
        <v>91.200999999999993</v>
      </c>
      <c r="G236" s="101" vm="13486">
        <f ca="1"/>
        <v>91.628500000000003</v>
      </c>
      <c r="H236" s="101" vm="13487">
        <f ca="1"/>
        <v>89.046000000000006</v>
      </c>
      <c r="I236" s="102" vm="13488">
        <f ca="1"/>
        <v>15878717</v>
      </c>
    </row>
    <row r="237" spans="4:9" x14ac:dyDescent="0.3">
      <c r="D237" s="100" vm="1339">
        <f ca="1"/>
        <v>43731</v>
      </c>
      <c r="E237" s="101" vm="13489">
        <f ca="1"/>
        <v>86.272499999999994</v>
      </c>
      <c r="F237" s="101" vm="13490">
        <f ca="1"/>
        <v>88.85</v>
      </c>
      <c r="G237" s="101" vm="13491">
        <f ca="1"/>
        <v>89.785300000000007</v>
      </c>
      <c r="H237" s="101" vm="13492">
        <f ca="1"/>
        <v>85.691000000000003</v>
      </c>
      <c r="I237" s="102" vm="13493">
        <f ca="1"/>
        <v>18828122</v>
      </c>
    </row>
    <row r="238" spans="4:9" x14ac:dyDescent="0.3">
      <c r="D238" s="100" vm="1345">
        <f ca="1"/>
        <v>43738</v>
      </c>
      <c r="E238" s="101" vm="13494">
        <f ca="1"/>
        <v>86.982500000000002</v>
      </c>
      <c r="F238" s="101" vm="13495">
        <f ca="1"/>
        <v>86.349500000000006</v>
      </c>
      <c r="G238" s="101" vm="13496">
        <f ca="1"/>
        <v>87.78</v>
      </c>
      <c r="H238" s="101" vm="13497">
        <f ca="1"/>
        <v>84.253</v>
      </c>
      <c r="I238" s="102" vm="13498">
        <f ca="1"/>
        <v>15383352</v>
      </c>
    </row>
    <row r="239" spans="4:9" x14ac:dyDescent="0.3">
      <c r="D239" s="100" vm="1351">
        <f ca="1"/>
        <v>43745</v>
      </c>
      <c r="E239" s="101" vm="13499">
        <f ca="1"/>
        <v>86.596000000000004</v>
      </c>
      <c r="F239" s="101" vm="13500">
        <f ca="1"/>
        <v>86.581500000000005</v>
      </c>
      <c r="G239" s="101" vm="13501">
        <f ca="1"/>
        <v>87.391499999999994</v>
      </c>
      <c r="H239" s="101" vm="13502">
        <f ca="1"/>
        <v>85.25</v>
      </c>
      <c r="I239" s="102" vm="13503">
        <f ca="1"/>
        <v>12733705</v>
      </c>
    </row>
    <row r="240" spans="4:9" x14ac:dyDescent="0.3">
      <c r="D240" s="100" vm="1357">
        <f ca="1"/>
        <v>43752</v>
      </c>
      <c r="E240" s="101" vm="13504">
        <f ca="1"/>
        <v>87.875500000000002</v>
      </c>
      <c r="F240" s="101" vm="13505">
        <f ca="1"/>
        <v>86.445499999999996</v>
      </c>
      <c r="G240" s="101" vm="13506">
        <f ca="1"/>
        <v>89.942499999999995</v>
      </c>
      <c r="H240" s="101" vm="13507">
        <f ca="1"/>
        <v>86.1</v>
      </c>
      <c r="I240" s="102" vm="13508">
        <f ca="1"/>
        <v>13765612</v>
      </c>
    </row>
    <row r="241" spans="4:9" x14ac:dyDescent="0.3">
      <c r="D241" s="100" vm="1363">
        <f ca="1"/>
        <v>43759</v>
      </c>
      <c r="E241" s="101" vm="13509">
        <f ca="1"/>
        <v>88.066500000000005</v>
      </c>
      <c r="F241" s="101" vm="13510">
        <f ca="1"/>
        <v>88.483000000000004</v>
      </c>
      <c r="G241" s="101" vm="13511">
        <f ca="1"/>
        <v>89.489000000000004</v>
      </c>
      <c r="H241" s="101" vm="13512">
        <f ca="1"/>
        <v>84.75</v>
      </c>
      <c r="I241" s="102" vm="13513">
        <f ca="1"/>
        <v>20652848</v>
      </c>
    </row>
    <row r="242" spans="4:9" x14ac:dyDescent="0.3">
      <c r="D242" s="100" vm="1369">
        <f ca="1"/>
        <v>43766</v>
      </c>
      <c r="E242" s="101" vm="13514">
        <f ca="1"/>
        <v>89.572000000000003</v>
      </c>
      <c r="F242" s="101" vm="13515">
        <f ca="1"/>
        <v>87.403000000000006</v>
      </c>
      <c r="G242" s="101" vm="13516">
        <f ca="1"/>
        <v>89.872299999999996</v>
      </c>
      <c r="H242" s="101" vm="13517">
        <f ca="1"/>
        <v>87.125</v>
      </c>
      <c r="I242" s="102" vm="13518">
        <f ca="1"/>
        <v>13915971</v>
      </c>
    </row>
    <row r="243" spans="4:9" x14ac:dyDescent="0.3">
      <c r="D243" s="100" vm="1375">
        <f ca="1"/>
        <v>43773</v>
      </c>
      <c r="E243" s="101" vm="13519">
        <f ca="1"/>
        <v>89.293999999999997</v>
      </c>
      <c r="F243" s="101" vm="13520">
        <f ca="1"/>
        <v>90.0505</v>
      </c>
      <c r="G243" s="101" vm="13521">
        <f ca="1"/>
        <v>90.753</v>
      </c>
      <c r="H243" s="101" vm="13522">
        <f ca="1"/>
        <v>88.701999999999998</v>
      </c>
      <c r="I243" s="102" vm="13523">
        <f ca="1"/>
        <v>11348549</v>
      </c>
    </row>
    <row r="244" spans="4:9" x14ac:dyDescent="0.3">
      <c r="D244" s="100" vm="1381">
        <f ca="1"/>
        <v>43780</v>
      </c>
      <c r="E244" s="101" vm="13524">
        <f ca="1"/>
        <v>86.974500000000006</v>
      </c>
      <c r="F244" s="101" vm="13525">
        <f ca="1"/>
        <v>88.9</v>
      </c>
      <c r="G244" s="101" vm="13526">
        <f ca="1"/>
        <v>89.311000000000007</v>
      </c>
      <c r="H244" s="101" vm="13527">
        <f ca="1"/>
        <v>86.643000000000001</v>
      </c>
      <c r="I244" s="102" vm="13528">
        <f ca="1"/>
        <v>13031957</v>
      </c>
    </row>
    <row r="245" spans="4:9" x14ac:dyDescent="0.3">
      <c r="D245" s="100" vm="1387">
        <f ca="1"/>
        <v>43787</v>
      </c>
      <c r="E245" s="101" vm="13529">
        <f ca="1"/>
        <v>87.286000000000001</v>
      </c>
      <c r="F245" s="101" vm="13530">
        <f ca="1"/>
        <v>86.915000000000006</v>
      </c>
      <c r="G245" s="101" vm="13531">
        <f ca="1"/>
        <v>88.126199999999997</v>
      </c>
      <c r="H245" s="101" vm="13532">
        <f ca="1"/>
        <v>86.135499999999993</v>
      </c>
      <c r="I245" s="102" vm="13533">
        <f ca="1"/>
        <v>13009496</v>
      </c>
    </row>
    <row r="246" spans="4:9" x14ac:dyDescent="0.3">
      <c r="D246" s="100" vm="1393">
        <f ca="1"/>
        <v>43794</v>
      </c>
      <c r="E246" s="101" vm="13534">
        <f ca="1"/>
        <v>90.04</v>
      </c>
      <c r="F246" s="101" vm="13535">
        <f ca="1"/>
        <v>87.662499999999994</v>
      </c>
      <c r="G246" s="101" vm="13536">
        <f ca="1"/>
        <v>91.234499999999997</v>
      </c>
      <c r="H246" s="101" vm="13537">
        <f ca="1"/>
        <v>87.662000000000006</v>
      </c>
      <c r="I246" s="102" vm="13538">
        <f ca="1"/>
        <v>11547129</v>
      </c>
    </row>
    <row r="247" spans="4:9" x14ac:dyDescent="0.3">
      <c r="D247" s="100" vm="1398">
        <f ca="1"/>
        <v>43801</v>
      </c>
      <c r="E247" s="101" vm="13539">
        <f ca="1"/>
        <v>87.58</v>
      </c>
      <c r="F247" s="101" vm="13540">
        <f ca="1"/>
        <v>90.22</v>
      </c>
      <c r="G247" s="101" vm="13541">
        <f ca="1"/>
        <v>90.277500000000003</v>
      </c>
      <c r="H247" s="101" vm="13542">
        <f ca="1"/>
        <v>87</v>
      </c>
      <c r="I247" s="102" vm="13543">
        <f ca="1"/>
        <v>15493746</v>
      </c>
    </row>
    <row r="248" spans="4:9" x14ac:dyDescent="0.3">
      <c r="D248" s="100" vm="1404">
        <f ca="1"/>
        <v>43808</v>
      </c>
      <c r="E248" s="101" vm="13544">
        <f ca="1"/>
        <v>88.046999999999997</v>
      </c>
      <c r="F248" s="101" vm="13545">
        <f ca="1"/>
        <v>87.533000000000001</v>
      </c>
      <c r="G248" s="101" vm="13546">
        <f ca="1"/>
        <v>88.4495</v>
      </c>
      <c r="H248" s="101" vm="13547">
        <f ca="1"/>
        <v>86.75</v>
      </c>
      <c r="I248" s="102" vm="13548">
        <f ca="1"/>
        <v>12677380</v>
      </c>
    </row>
    <row r="249" spans="4:9" x14ac:dyDescent="0.3">
      <c r="D249" s="100" vm="1410">
        <f ca="1"/>
        <v>43815</v>
      </c>
      <c r="E249" s="101" vm="13549">
        <f ca="1"/>
        <v>89.325000000000003</v>
      </c>
      <c r="F249" s="101" vm="13550">
        <f ca="1"/>
        <v>88.35</v>
      </c>
      <c r="G249" s="101" vm="13551">
        <f ca="1"/>
        <v>90.148499999999999</v>
      </c>
      <c r="H249" s="101" vm="13552">
        <f ca="1"/>
        <v>87.852500000000006</v>
      </c>
      <c r="I249" s="102" vm="13553">
        <f ca="1"/>
        <v>17749261</v>
      </c>
    </row>
    <row r="250" spans="4:9" x14ac:dyDescent="0.3">
      <c r="D250" s="100" vm="1416">
        <f ca="1"/>
        <v>43822</v>
      </c>
      <c r="E250" s="101" vm="13554">
        <f ca="1"/>
        <v>93.49</v>
      </c>
      <c r="F250" s="101" vm="13555">
        <f ca="1"/>
        <v>89.412999999999997</v>
      </c>
      <c r="G250" s="101" vm="13556">
        <f ca="1"/>
        <v>95.07</v>
      </c>
      <c r="H250" s="101" vm="13557">
        <f ca="1"/>
        <v>89.225499999999997</v>
      </c>
      <c r="I250" s="102" vm="13558">
        <f ca="1"/>
        <v>15232192</v>
      </c>
    </row>
    <row r="251" spans="4:9" x14ac:dyDescent="0.3">
      <c r="D251" s="100" vm="1422">
        <f ca="1"/>
        <v>43829</v>
      </c>
      <c r="E251" s="101" vm="13559">
        <f ca="1"/>
        <v>93.748500000000007</v>
      </c>
      <c r="F251" s="101" vm="13245">
        <f ca="1"/>
        <v>93.7</v>
      </c>
      <c r="G251" s="101" vm="13560">
        <f ca="1"/>
        <v>94.900499999999994</v>
      </c>
      <c r="H251" s="101" vm="13561">
        <f ca="1"/>
        <v>91.611500000000007</v>
      </c>
      <c r="I251" s="102" vm="13562">
        <f ca="1"/>
        <v>13899709</v>
      </c>
    </row>
    <row r="252" spans="4:9" x14ac:dyDescent="0.3">
      <c r="D252" s="100" vm="1428">
        <f ca="1"/>
        <v>43836</v>
      </c>
      <c r="E252" s="101" vm="13563">
        <f ca="1"/>
        <v>94.158000000000001</v>
      </c>
      <c r="F252" s="101" vm="13564">
        <f ca="1"/>
        <v>93</v>
      </c>
      <c r="G252" s="101" vm="13565">
        <f ca="1"/>
        <v>95.891000000000005</v>
      </c>
      <c r="H252" s="101" vm="13564">
        <f ca="1"/>
        <v>93</v>
      </c>
      <c r="I252" s="102" vm="13566">
        <f ca="1"/>
        <v>17724014</v>
      </c>
    </row>
    <row r="253" spans="4:9" x14ac:dyDescent="0.3">
      <c r="D253" s="100" vm="1434">
        <f ca="1"/>
        <v>43843</v>
      </c>
      <c r="E253" s="101" vm="13567">
        <f ca="1"/>
        <v>93.236000000000004</v>
      </c>
      <c r="F253" s="101" vm="13568">
        <f ca="1"/>
        <v>94.5655</v>
      </c>
      <c r="G253" s="101" vm="13569">
        <f ca="1"/>
        <v>94.9</v>
      </c>
      <c r="H253" s="101" vm="13570">
        <f ca="1"/>
        <v>92.754499999999993</v>
      </c>
      <c r="I253" s="102" vm="13571">
        <f ca="1"/>
        <v>15657678</v>
      </c>
    </row>
    <row r="254" spans="4:9" x14ac:dyDescent="0.3">
      <c r="D254" s="100" vm="1440">
        <f ca="1"/>
        <v>43851</v>
      </c>
      <c r="E254" s="101" vm="13572">
        <f ca="1"/>
        <v>93.081999999999994</v>
      </c>
      <c r="F254" s="101" vm="13237">
        <f ca="1"/>
        <v>93.25</v>
      </c>
      <c r="G254" s="101" vm="13573">
        <f ca="1"/>
        <v>95.125</v>
      </c>
      <c r="H254" s="101" vm="13574">
        <f ca="1"/>
        <v>92.372</v>
      </c>
      <c r="I254" s="102" vm="13575">
        <f ca="1"/>
        <v>13053282</v>
      </c>
    </row>
    <row r="255" spans="4:9" x14ac:dyDescent="0.3">
      <c r="D255" s="100" vm="1446">
        <f ca="1"/>
        <v>43857</v>
      </c>
      <c r="E255" s="101" vm="13576">
        <f ca="1"/>
        <v>100.43600000000001</v>
      </c>
      <c r="F255" s="101" vm="13577">
        <f ca="1"/>
        <v>91</v>
      </c>
      <c r="G255" s="101" vm="13578">
        <f ca="1"/>
        <v>102.786</v>
      </c>
      <c r="H255" s="101" vm="13579">
        <f ca="1"/>
        <v>90.766999999999996</v>
      </c>
      <c r="I255" s="102" vm="13580">
        <f ca="1"/>
        <v>29091665</v>
      </c>
    </row>
    <row r="256" spans="4:9" x14ac:dyDescent="0.3">
      <c r="D256" s="100" vm="1452">
        <f ca="1"/>
        <v>43864</v>
      </c>
      <c r="E256" s="101" vm="13581">
        <f ca="1"/>
        <v>103.964</v>
      </c>
      <c r="F256" s="101" vm="13582">
        <f ca="1"/>
        <v>100.53</v>
      </c>
      <c r="G256" s="101" vm="13583">
        <f ca="1"/>
        <v>104.9265</v>
      </c>
      <c r="H256" s="101" vm="13584">
        <f ca="1"/>
        <v>100.0125</v>
      </c>
      <c r="I256" s="102" vm="13585">
        <f ca="1"/>
        <v>23822329</v>
      </c>
    </row>
    <row r="257" spans="4:9" x14ac:dyDescent="0.3">
      <c r="D257" s="100" vm="1458">
        <f ca="1"/>
        <v>43871</v>
      </c>
      <c r="E257" s="101" vm="13586">
        <f ca="1"/>
        <v>106.7435</v>
      </c>
      <c r="F257" s="101" vm="13587">
        <f ca="1"/>
        <v>104.2505</v>
      </c>
      <c r="G257" s="101" vm="13588">
        <f ca="1"/>
        <v>109.2975</v>
      </c>
      <c r="H257" s="101" vm="13589">
        <f ca="1"/>
        <v>104.248</v>
      </c>
      <c r="I257" s="102" vm="13590">
        <f ca="1"/>
        <v>19760219</v>
      </c>
    </row>
    <row r="258" spans="4:9" x14ac:dyDescent="0.3">
      <c r="D258" s="100" vm="1464">
        <f ca="1"/>
        <v>43879</v>
      </c>
      <c r="E258" s="101" vm="13591">
        <f ca="1"/>
        <v>104.7985</v>
      </c>
      <c r="F258" s="101" vm="13592">
        <f ca="1"/>
        <v>106.251</v>
      </c>
      <c r="G258" s="101" vm="13593">
        <f ca="1"/>
        <v>109.255</v>
      </c>
      <c r="H258" s="101" vm="13594">
        <f ca="1"/>
        <v>104.4</v>
      </c>
      <c r="I258" s="102" vm="13595">
        <f ca="1"/>
        <v>13253816</v>
      </c>
    </row>
    <row r="259" spans="4:9" x14ac:dyDescent="0.3">
      <c r="D259" s="100" vm="1470">
        <f ca="1"/>
        <v>43885</v>
      </c>
      <c r="E259" s="101" vm="13596">
        <f ca="1"/>
        <v>94.1875</v>
      </c>
      <c r="F259" s="101" vm="13597">
        <f ca="1"/>
        <v>100.15900000000001</v>
      </c>
      <c r="G259" s="101" vm="13598">
        <f ca="1"/>
        <v>101.9648</v>
      </c>
      <c r="H259" s="101" vm="13599">
        <f ca="1"/>
        <v>90.5565</v>
      </c>
      <c r="I259" s="102" vm="13600">
        <f ca="1"/>
        <v>35516727</v>
      </c>
    </row>
    <row r="260" spans="4:9" x14ac:dyDescent="0.3">
      <c r="D260" s="100" vm="1476">
        <f ca="1"/>
        <v>43892</v>
      </c>
      <c r="E260" s="101" vm="13601">
        <f ca="1"/>
        <v>95.054500000000004</v>
      </c>
      <c r="F260" s="101" vm="13602">
        <f ca="1"/>
        <v>95.3245</v>
      </c>
      <c r="G260" s="101" vm="13603">
        <f ca="1"/>
        <v>99.816500000000005</v>
      </c>
      <c r="H260" s="101" vm="13604">
        <f ca="1"/>
        <v>93.474999999999994</v>
      </c>
      <c r="I260" s="102" vm="13605">
        <f ca="1"/>
        <v>29070933</v>
      </c>
    </row>
    <row r="261" spans="4:9" x14ac:dyDescent="0.3">
      <c r="D261" s="100" vm="1482">
        <f ca="1"/>
        <v>43899</v>
      </c>
      <c r="E261" s="101" vm="13606">
        <f ca="1"/>
        <v>89.25</v>
      </c>
      <c r="F261" s="101" vm="13607">
        <f ca="1"/>
        <v>88.692999999999998</v>
      </c>
      <c r="G261" s="101" vm="13608">
        <f ca="1"/>
        <v>94.713499999999996</v>
      </c>
      <c r="H261" s="101" vm="13609">
        <f ca="1"/>
        <v>83.75</v>
      </c>
      <c r="I261" s="102" vm="13610">
        <f ca="1"/>
        <v>40515525</v>
      </c>
    </row>
    <row r="262" spans="4:9" x14ac:dyDescent="0.3">
      <c r="D262" s="100" vm="1488">
        <f ca="1"/>
        <v>43906</v>
      </c>
      <c r="E262" s="101" vm="13611">
        <f ca="1"/>
        <v>92.304500000000004</v>
      </c>
      <c r="F262" s="101" vm="13612">
        <f ca="1"/>
        <v>82.075500000000005</v>
      </c>
      <c r="G262" s="101" vm="13613">
        <f ca="1"/>
        <v>97.85</v>
      </c>
      <c r="H262" s="101" vm="13614">
        <f ca="1"/>
        <v>81.301599999999993</v>
      </c>
      <c r="I262" s="102" vm="13615">
        <f ca="1"/>
        <v>49621163</v>
      </c>
    </row>
    <row r="263" spans="4:9" x14ac:dyDescent="0.3">
      <c r="D263" s="100" vm="1494">
        <f ca="1"/>
        <v>43913</v>
      </c>
      <c r="E263" s="101" vm="13616">
        <f ca="1"/>
        <v>95.004999999999995</v>
      </c>
      <c r="F263" s="101" vm="13617">
        <f ca="1"/>
        <v>91.387500000000003</v>
      </c>
      <c r="G263" s="101" vm="13618">
        <f ca="1"/>
        <v>97.8245</v>
      </c>
      <c r="H263" s="101" vm="13619">
        <f ca="1"/>
        <v>90.6</v>
      </c>
      <c r="I263" s="102" vm="13620">
        <f ca="1"/>
        <v>32979346</v>
      </c>
    </row>
    <row r="264" spans="4:9" x14ac:dyDescent="0.3">
      <c r="D264" s="100" vm="1500">
        <f ca="1"/>
        <v>43920</v>
      </c>
      <c r="E264" s="101" vm="13621">
        <f ca="1"/>
        <v>95.329499999999996</v>
      </c>
      <c r="F264" s="101" vm="13622">
        <f ca="1"/>
        <v>96.141499999999994</v>
      </c>
      <c r="G264" s="101" vm="13623">
        <f ca="1"/>
        <v>99.650999999999996</v>
      </c>
      <c r="H264" s="101" vm="13624">
        <f ca="1"/>
        <v>94.457499999999996</v>
      </c>
      <c r="I264" s="102" vm="13625">
        <f ca="1"/>
        <v>23090265</v>
      </c>
    </row>
    <row r="265" spans="4:9" x14ac:dyDescent="0.3">
      <c r="D265" s="100" vm="1506">
        <f ca="1"/>
        <v>43927</v>
      </c>
      <c r="E265" s="101" vm="13626">
        <f ca="1"/>
        <v>102.13800000000001</v>
      </c>
      <c r="F265" s="101" vm="13627">
        <f ca="1"/>
        <v>96.8</v>
      </c>
      <c r="G265" s="101" vm="13628">
        <f ca="1"/>
        <v>102.65</v>
      </c>
      <c r="H265" s="101" vm="13629">
        <f ca="1"/>
        <v>96.501000000000005</v>
      </c>
      <c r="I265" s="102" vm="13630">
        <f ca="1"/>
        <v>19436216</v>
      </c>
    </row>
    <row r="266" spans="4:9" x14ac:dyDescent="0.3">
      <c r="D266" s="100" vm="1512">
        <f ca="1"/>
        <v>43934</v>
      </c>
      <c r="E266" s="101" vm="13631">
        <f ca="1"/>
        <v>118.75</v>
      </c>
      <c r="F266" s="101" vm="13632">
        <f ca="1"/>
        <v>102</v>
      </c>
      <c r="G266" s="101" vm="13633">
        <f ca="1"/>
        <v>123.04989999999999</v>
      </c>
      <c r="H266" s="101" vm="13634">
        <f ca="1"/>
        <v>101.9</v>
      </c>
      <c r="I266" s="102" vm="13635">
        <f ca="1"/>
        <v>41219376</v>
      </c>
    </row>
    <row r="267" spans="4:9" x14ac:dyDescent="0.3">
      <c r="D267" s="100" vm="1518">
        <f ca="1"/>
        <v>43941</v>
      </c>
      <c r="E267" s="101" vm="13636">
        <f ca="1"/>
        <v>120.511</v>
      </c>
      <c r="F267" s="101" vm="13637">
        <f ca="1"/>
        <v>119.4975</v>
      </c>
      <c r="G267" s="101" vm="13638">
        <f ca="1"/>
        <v>122.249</v>
      </c>
      <c r="H267" s="101" vm="13639">
        <f ca="1"/>
        <v>113.983</v>
      </c>
      <c r="I267" s="102" vm="13640">
        <f ca="1"/>
        <v>26088955</v>
      </c>
    </row>
    <row r="268" spans="4:9" x14ac:dyDescent="0.3">
      <c r="D268" s="100" vm="1524">
        <f ca="1"/>
        <v>43948</v>
      </c>
      <c r="E268" s="101" vm="13641">
        <f ca="1"/>
        <v>114.30200000000001</v>
      </c>
      <c r="F268" s="101" vm="13642">
        <f ca="1"/>
        <v>122.16</v>
      </c>
      <c r="G268" s="101" vm="1787">
        <f ca="1"/>
        <v>123.75</v>
      </c>
      <c r="H268" s="101" vm="13643">
        <f ca="1"/>
        <v>112.90949999999999</v>
      </c>
      <c r="I268" s="102" vm="13644">
        <f ca="1"/>
        <v>34553976</v>
      </c>
    </row>
    <row r="269" spans="4:9" x14ac:dyDescent="0.3">
      <c r="D269" s="100" vm="1530">
        <f ca="1"/>
        <v>43955</v>
      </c>
      <c r="E269" s="101" vm="13645">
        <f ca="1"/>
        <v>118.98050000000001</v>
      </c>
      <c r="F269" s="101" vm="13646">
        <f ca="1"/>
        <v>112.819</v>
      </c>
      <c r="G269" s="101" vm="13647">
        <f ca="1"/>
        <v>119.3622</v>
      </c>
      <c r="H269" s="101" vm="13646">
        <f ca="1"/>
        <v>112.819</v>
      </c>
      <c r="I269" s="102" vm="13648">
        <f ca="1"/>
        <v>17677577</v>
      </c>
    </row>
    <row r="270" spans="4:9" x14ac:dyDescent="0.3">
      <c r="D270" s="100" vm="1536">
        <f ca="1"/>
        <v>43962</v>
      </c>
      <c r="E270" s="101" vm="13649">
        <f ca="1"/>
        <v>120.489</v>
      </c>
      <c r="F270" s="101" vm="13650">
        <f ca="1"/>
        <v>118.735</v>
      </c>
      <c r="G270" s="101" vm="13651">
        <f ca="1"/>
        <v>120.9833</v>
      </c>
      <c r="H270" s="101" vm="13652">
        <f ca="1"/>
        <v>116.8903</v>
      </c>
      <c r="I270" s="102" vm="13653">
        <f ca="1"/>
        <v>18796131</v>
      </c>
    </row>
    <row r="271" spans="4:9" x14ac:dyDescent="0.3">
      <c r="D271" s="100" vm="1542">
        <f ca="1"/>
        <v>43969</v>
      </c>
      <c r="E271" s="101" vm="13654">
        <f ca="1"/>
        <v>121.84399999999999</v>
      </c>
      <c r="F271" s="101" vm="13655">
        <f ca="1"/>
        <v>120.21729999999999</v>
      </c>
      <c r="G271" s="101" vm="13656">
        <f ca="1"/>
        <v>126.27249999999999</v>
      </c>
      <c r="H271" s="101" vm="13657">
        <f ca="1"/>
        <v>119.20050000000001</v>
      </c>
      <c r="I271" s="102" vm="13658">
        <f ca="1"/>
        <v>20608180</v>
      </c>
    </row>
    <row r="272" spans="4:9" x14ac:dyDescent="0.3">
      <c r="D272" s="100" vm="1548">
        <f ca="1"/>
        <v>43977</v>
      </c>
      <c r="E272" s="101" vm="13659">
        <f ca="1"/>
        <v>122.1185</v>
      </c>
      <c r="F272" s="101" vm="13660">
        <f ca="1"/>
        <v>122.9</v>
      </c>
      <c r="G272" s="101" vm="7400">
        <f ca="1"/>
        <v>123.1</v>
      </c>
      <c r="H272" s="101" vm="13661">
        <f ca="1"/>
        <v>116.5</v>
      </c>
      <c r="I272" s="102" vm="13662">
        <f ca="1"/>
        <v>15193472</v>
      </c>
    </row>
    <row r="273" spans="4:9" x14ac:dyDescent="0.3">
      <c r="D273" s="100" vm="1554">
        <f ca="1"/>
        <v>43983</v>
      </c>
      <c r="E273" s="101" vm="13663">
        <f ca="1"/>
        <v>124.15</v>
      </c>
      <c r="F273" s="101" vm="9516">
        <f ca="1"/>
        <v>122.4</v>
      </c>
      <c r="G273" s="101" vm="13664">
        <f ca="1"/>
        <v>125.377</v>
      </c>
      <c r="H273" s="101" vm="13665">
        <f ca="1"/>
        <v>121.8565</v>
      </c>
      <c r="I273" s="102" vm="13666">
        <f ca="1"/>
        <v>14329168</v>
      </c>
    </row>
    <row r="274" spans="4:9" x14ac:dyDescent="0.3">
      <c r="D274" s="100" vm="1560">
        <f ca="1"/>
        <v>43990</v>
      </c>
      <c r="E274" s="101" vm="13667">
        <f ca="1"/>
        <v>127.251</v>
      </c>
      <c r="F274" s="101" vm="13668">
        <f ca="1"/>
        <v>125.01</v>
      </c>
      <c r="G274" s="101" vm="13669">
        <f ca="1"/>
        <v>136.11750000000001</v>
      </c>
      <c r="H274" s="101" vm="13670">
        <f ca="1"/>
        <v>124.3668</v>
      </c>
      <c r="I274" s="102" vm="13671">
        <f ca="1"/>
        <v>25106355</v>
      </c>
    </row>
    <row r="275" spans="4:9" x14ac:dyDescent="0.3">
      <c r="D275" s="100" vm="1566">
        <f ca="1"/>
        <v>43997</v>
      </c>
      <c r="E275" s="101" vm="13672">
        <f ca="1"/>
        <v>133.75049999999999</v>
      </c>
      <c r="F275" s="101" vm="13673">
        <f ca="1"/>
        <v>126.33</v>
      </c>
      <c r="G275" s="101" vm="13674">
        <f ca="1"/>
        <v>134.8715</v>
      </c>
      <c r="H275" s="101" vm="13675">
        <f ca="1"/>
        <v>125.4</v>
      </c>
      <c r="I275" s="102" vm="13676">
        <f ca="1"/>
        <v>18534953</v>
      </c>
    </row>
    <row r="276" spans="4:9" x14ac:dyDescent="0.3">
      <c r="D276" s="100" vm="1572">
        <f ca="1"/>
        <v>44004</v>
      </c>
      <c r="E276" s="101" vm="13677">
        <f ca="1"/>
        <v>134.64349999999999</v>
      </c>
      <c r="F276" s="101" vm="13678">
        <f ca="1"/>
        <v>134.22499999999999</v>
      </c>
      <c r="G276" s="101" vm="12197">
        <f ca="1"/>
        <v>139.80000000000001</v>
      </c>
      <c r="H276" s="101" vm="13679">
        <f ca="1"/>
        <v>133.44999999999999</v>
      </c>
      <c r="I276" s="102" vm="13680">
        <f ca="1"/>
        <v>21227615</v>
      </c>
    </row>
    <row r="277" spans="4:9" x14ac:dyDescent="0.3">
      <c r="D277" s="100" vm="1578">
        <f ca="1"/>
        <v>44011</v>
      </c>
      <c r="E277" s="101" vm="13681">
        <f ca="1"/>
        <v>144.51499999999999</v>
      </c>
      <c r="F277" s="101" vm="13682">
        <f ca="1"/>
        <v>134.50049999999999</v>
      </c>
      <c r="G277" s="101" vm="13683">
        <f ca="1"/>
        <v>147.77799999999999</v>
      </c>
      <c r="H277" s="101" vm="13684">
        <f ca="1"/>
        <v>131.50399999999999</v>
      </c>
      <c r="I277" s="102" vm="13685">
        <f ca="1"/>
        <v>20836096</v>
      </c>
    </row>
    <row r="278" spans="4:9" x14ac:dyDescent="0.3">
      <c r="D278" s="100" vm="1584">
        <f ca="1"/>
        <v>44018</v>
      </c>
      <c r="E278" s="101" vm="13686">
        <f ca="1"/>
        <v>160</v>
      </c>
      <c r="F278" s="101" vm="13687">
        <f ca="1"/>
        <v>146.74850000000001</v>
      </c>
      <c r="G278" s="101" vm="13688">
        <f ca="1"/>
        <v>160.75</v>
      </c>
      <c r="H278" s="101" vm="13689">
        <f ca="1"/>
        <v>146.5</v>
      </c>
      <c r="I278" s="102" vm="13690">
        <f ca="1"/>
        <v>28828229</v>
      </c>
    </row>
    <row r="279" spans="4:9" x14ac:dyDescent="0.3">
      <c r="D279" s="100" vm="1590">
        <f ca="1"/>
        <v>44025</v>
      </c>
      <c r="E279" s="101" vm="13691">
        <f ca="1"/>
        <v>148.0985</v>
      </c>
      <c r="F279" s="101" vm="13692">
        <f ca="1"/>
        <v>162.553</v>
      </c>
      <c r="G279" s="101" vm="13693">
        <f ca="1"/>
        <v>167.21449999999999</v>
      </c>
      <c r="H279" s="101" vm="13694">
        <f ca="1"/>
        <v>145.91149999999999</v>
      </c>
      <c r="I279" s="102" vm="13695">
        <f ca="1"/>
        <v>31677739</v>
      </c>
    </row>
    <row r="280" spans="4:9" x14ac:dyDescent="0.3">
      <c r="D280" s="100" vm="1596">
        <f ca="1"/>
        <v>44032</v>
      </c>
      <c r="E280" s="101" vm="13696">
        <f ca="1"/>
        <v>150.44550000000001</v>
      </c>
      <c r="F280" s="101" vm="2305">
        <f ca="1"/>
        <v>150.01</v>
      </c>
      <c r="G280" s="101" vm="13697">
        <f ca="1"/>
        <v>162.02879999999999</v>
      </c>
      <c r="H280" s="101" vm="13698">
        <f ca="1"/>
        <v>144.4</v>
      </c>
      <c r="I280" s="102" vm="13699">
        <f ca="1"/>
        <v>28853130</v>
      </c>
    </row>
    <row r="281" spans="4:9" x14ac:dyDescent="0.3">
      <c r="D281" s="100" vm="1602">
        <f ca="1"/>
        <v>44039</v>
      </c>
      <c r="E281" s="101" vm="13700">
        <f ca="1"/>
        <v>158.23400000000001</v>
      </c>
      <c r="F281" s="101" vm="13701">
        <f ca="1"/>
        <v>153.1</v>
      </c>
      <c r="G281" s="101" vm="13702">
        <f ca="1"/>
        <v>162.34100000000001</v>
      </c>
      <c r="H281" s="101" vm="13703">
        <f ca="1"/>
        <v>149.78800000000001</v>
      </c>
      <c r="I281" s="102" vm="13704">
        <f ca="1"/>
        <v>23793484</v>
      </c>
    </row>
    <row r="282" spans="4:9" x14ac:dyDescent="0.3">
      <c r="D282" s="100" vm="1608">
        <f ca="1"/>
        <v>44046</v>
      </c>
      <c r="E282" s="101" vm="13705">
        <f ca="1"/>
        <v>158.37299999999999</v>
      </c>
      <c r="F282" s="101" vm="13706">
        <f ca="1"/>
        <v>159.02549999999999</v>
      </c>
      <c r="G282" s="101" vm="13707">
        <f ca="1"/>
        <v>162.37350000000001</v>
      </c>
      <c r="H282" s="101" vm="13708">
        <f ca="1"/>
        <v>155.06049999999999</v>
      </c>
      <c r="I282" s="102" vm="13709">
        <f ca="1"/>
        <v>21335970</v>
      </c>
    </row>
    <row r="283" spans="4:9" x14ac:dyDescent="0.3">
      <c r="D283" s="100" vm="1614">
        <f ca="1"/>
        <v>44053</v>
      </c>
      <c r="E283" s="101" vm="13710">
        <f ca="1"/>
        <v>157.40100000000001</v>
      </c>
      <c r="F283" s="101" vm="13711">
        <f ca="1"/>
        <v>158.5155</v>
      </c>
      <c r="G283" s="101" vm="13712">
        <f ca="1"/>
        <v>160.87610000000001</v>
      </c>
      <c r="H283" s="101" vm="13713">
        <f ca="1"/>
        <v>153.65</v>
      </c>
      <c r="I283" s="102" vm="13714">
        <f ca="1"/>
        <v>16189502</v>
      </c>
    </row>
    <row r="284" spans="4:9" x14ac:dyDescent="0.3">
      <c r="D284" s="100" vm="1620">
        <f ca="1"/>
        <v>44060</v>
      </c>
      <c r="E284" s="101" vm="13715">
        <f ca="1"/>
        <v>164.23599999999999</v>
      </c>
      <c r="F284" s="101" vm="13716">
        <f ca="1"/>
        <v>158.65600000000001</v>
      </c>
      <c r="G284" s="101" vm="13717">
        <f ca="1"/>
        <v>166</v>
      </c>
      <c r="H284" s="101" vm="13718">
        <f ca="1"/>
        <v>157.7089</v>
      </c>
      <c r="I284" s="102" vm="13719">
        <f ca="1"/>
        <v>18994162</v>
      </c>
    </row>
    <row r="285" spans="4:9" x14ac:dyDescent="0.3">
      <c r="D285" s="100" vm="1626">
        <f ca="1"/>
        <v>44067</v>
      </c>
      <c r="E285" s="101" vm="2123">
        <f ca="1"/>
        <v>170.09</v>
      </c>
      <c r="F285" s="101" vm="13720">
        <f ca="1"/>
        <v>165.50749999999999</v>
      </c>
      <c r="G285" s="101" vm="13721">
        <f ca="1"/>
        <v>172.65</v>
      </c>
      <c r="H285" s="101" vm="13722">
        <f ca="1"/>
        <v>162.87799999999999</v>
      </c>
      <c r="I285" s="102" vm="13723">
        <f ca="1"/>
        <v>21994431</v>
      </c>
    </row>
    <row r="286" spans="4:9" x14ac:dyDescent="0.3">
      <c r="D286" s="100" vm="1632">
        <f ca="1"/>
        <v>44074</v>
      </c>
      <c r="E286" s="101" vm="13724">
        <f ca="1"/>
        <v>164.73099999999999</v>
      </c>
      <c r="F286" s="101" vm="13725">
        <f ca="1"/>
        <v>170.4495</v>
      </c>
      <c r="G286" s="101" vm="13726">
        <f ca="1"/>
        <v>177.61250000000001</v>
      </c>
      <c r="H286" s="101" vm="13727">
        <f ca="1"/>
        <v>155.5565</v>
      </c>
      <c r="I286" s="102" vm="13728">
        <f ca="1"/>
        <v>28139586</v>
      </c>
    </row>
    <row r="287" spans="4:9" x14ac:dyDescent="0.3">
      <c r="D287" s="100" vm="1638">
        <f ca="1"/>
        <v>44082</v>
      </c>
      <c r="E287" s="101" vm="13729">
        <f ca="1"/>
        <v>155.81100000000001</v>
      </c>
      <c r="F287" s="101" vm="13730">
        <f ca="1"/>
        <v>157.19999999999999</v>
      </c>
      <c r="G287" s="101" vm="13731">
        <f ca="1"/>
        <v>167.49449999999999</v>
      </c>
      <c r="H287" s="101" vm="13732">
        <f ca="1"/>
        <v>154.19900000000001</v>
      </c>
      <c r="I287" s="102" vm="13733">
        <f ca="1"/>
        <v>21463754</v>
      </c>
    </row>
    <row r="288" spans="4:9" x14ac:dyDescent="0.3">
      <c r="D288" s="100" vm="1644">
        <f ca="1"/>
        <v>44088</v>
      </c>
      <c r="E288" s="101" vm="13734">
        <f ca="1"/>
        <v>147.74549999999999</v>
      </c>
      <c r="F288" s="101" vm="13735">
        <f ca="1"/>
        <v>158.64689999999999</v>
      </c>
      <c r="G288" s="101" vm="13736">
        <f ca="1"/>
        <v>159.36949999999999</v>
      </c>
      <c r="H288" s="101" vm="13737">
        <f ca="1"/>
        <v>145.27699999999999</v>
      </c>
      <c r="I288" s="102" vm="13738">
        <f ca="1"/>
        <v>28112693</v>
      </c>
    </row>
    <row r="289" spans="4:9" x14ac:dyDescent="0.3">
      <c r="D289" s="100" vm="1650">
        <f ca="1"/>
        <v>44095</v>
      </c>
      <c r="E289" s="101" vm="13739">
        <f ca="1"/>
        <v>154.75649999999999</v>
      </c>
      <c r="F289" s="101" vm="13740">
        <f ca="1"/>
        <v>145.32499999999999</v>
      </c>
      <c r="G289" s="101" vm="13741">
        <f ca="1"/>
        <v>156.6995</v>
      </c>
      <c r="H289" s="101" vm="13742">
        <f ca="1"/>
        <v>143.55000000000001</v>
      </c>
      <c r="I289" s="102" vm="13743">
        <f ca="1"/>
        <v>28462588</v>
      </c>
    </row>
    <row r="290" spans="4:9" x14ac:dyDescent="0.3">
      <c r="D290" s="100" vm="1656">
        <f ca="1"/>
        <v>44102</v>
      </c>
      <c r="E290" s="101" vm="13744">
        <f ca="1"/>
        <v>156.25</v>
      </c>
      <c r="F290" s="101" vm="13745">
        <f ca="1"/>
        <v>157.4425</v>
      </c>
      <c r="G290" s="101" vm="13746">
        <f ca="1"/>
        <v>161.19999999999999</v>
      </c>
      <c r="H290" s="101" vm="13747">
        <f ca="1"/>
        <v>155.85839999999999</v>
      </c>
      <c r="I290" s="102" vm="13748">
        <f ca="1"/>
        <v>22911267</v>
      </c>
    </row>
    <row r="291" spans="4:9" x14ac:dyDescent="0.3">
      <c r="D291" s="100" vm="1662">
        <f ca="1"/>
        <v>44109</v>
      </c>
      <c r="E291" s="101" vm="13749">
        <f ca="1"/>
        <v>164.33250000000001</v>
      </c>
      <c r="F291" s="101" vm="13750">
        <f ca="1"/>
        <v>157.292</v>
      </c>
      <c r="G291" s="101" vm="13751">
        <f ca="1"/>
        <v>164.4495</v>
      </c>
      <c r="H291" s="101" vm="2103">
        <f ca="1"/>
        <v>154.5</v>
      </c>
      <c r="I291" s="102" vm="13752">
        <f ca="1"/>
        <v>20985370</v>
      </c>
    </row>
    <row r="292" spans="4:9" x14ac:dyDescent="0.3">
      <c r="D292" s="100" vm="1668">
        <f ca="1"/>
        <v>44116</v>
      </c>
      <c r="E292" s="101" vm="13753">
        <f ca="1"/>
        <v>163.63550000000001</v>
      </c>
      <c r="F292" s="101" vm="13754">
        <f ca="1"/>
        <v>167.49700000000001</v>
      </c>
      <c r="G292" s="101" vm="13755">
        <f ca="1"/>
        <v>174.81200000000001</v>
      </c>
      <c r="H292" s="101" vm="13756">
        <f ca="1"/>
        <v>158</v>
      </c>
      <c r="I292" s="102" vm="13757">
        <f ca="1"/>
        <v>31125191</v>
      </c>
    </row>
    <row r="293" spans="4:9" x14ac:dyDescent="0.3">
      <c r="D293" s="100" vm="1674">
        <f ca="1"/>
        <v>44123</v>
      </c>
      <c r="E293" s="101" vm="13758">
        <f ca="1"/>
        <v>160.22</v>
      </c>
      <c r="F293" s="101" vm="13759">
        <f ca="1"/>
        <v>164.98050000000001</v>
      </c>
      <c r="G293" s="101" vm="13760">
        <f ca="1"/>
        <v>166.45</v>
      </c>
      <c r="H293" s="101" vm="13761">
        <f ca="1"/>
        <v>156.09700000000001</v>
      </c>
      <c r="I293" s="102" vm="13762">
        <f ca="1"/>
        <v>21524330</v>
      </c>
    </row>
    <row r="294" spans="4:9" x14ac:dyDescent="0.3">
      <c r="D294" s="100" vm="1680">
        <f ca="1"/>
        <v>44130</v>
      </c>
      <c r="E294" s="101" vm="13763">
        <f ca="1"/>
        <v>151.8075</v>
      </c>
      <c r="F294" s="101" vm="13764">
        <f ca="1"/>
        <v>159.93700000000001</v>
      </c>
      <c r="G294" s="101" vm="13765">
        <f ca="1"/>
        <v>164.583</v>
      </c>
      <c r="H294" s="101" vm="13766">
        <f ca="1"/>
        <v>150.94999999999999</v>
      </c>
      <c r="I294" s="102" vm="13767">
        <f ca="1"/>
        <v>30719710</v>
      </c>
    </row>
    <row r="295" spans="4:9" x14ac:dyDescent="0.3">
      <c r="D295" s="100" vm="1686">
        <f ca="1"/>
        <v>44137</v>
      </c>
      <c r="E295" s="101" vm="13768">
        <f ca="1"/>
        <v>165.5685</v>
      </c>
      <c r="F295" s="101" vm="13769">
        <f ca="1"/>
        <v>153.08699999999999</v>
      </c>
      <c r="G295" s="101" vm="13770">
        <f ca="1"/>
        <v>168.34</v>
      </c>
      <c r="H295" s="101" vm="13771">
        <f ca="1"/>
        <v>147.506</v>
      </c>
      <c r="I295" s="102" vm="13772">
        <f ca="1"/>
        <v>29124622</v>
      </c>
    </row>
    <row r="296" spans="4:9" x14ac:dyDescent="0.3">
      <c r="D296" s="100" vm="1692">
        <f ca="1"/>
        <v>44144</v>
      </c>
      <c r="E296" s="101" vm="13773">
        <f ca="1"/>
        <v>156.44049999999999</v>
      </c>
      <c r="F296" s="101" vm="13774">
        <f ca="1"/>
        <v>161.5515</v>
      </c>
      <c r="G296" s="101" vm="13775">
        <f ca="1"/>
        <v>164.45</v>
      </c>
      <c r="H296" s="101" vm="13776">
        <f ca="1"/>
        <v>150.97409999999999</v>
      </c>
      <c r="I296" s="102" vm="13777">
        <f ca="1"/>
        <v>25940193</v>
      </c>
    </row>
    <row r="297" spans="4:9" x14ac:dyDescent="0.3">
      <c r="D297" s="100" vm="1697">
        <f ca="1"/>
        <v>44151</v>
      </c>
      <c r="E297" s="101" vm="1945">
        <f ca="1"/>
        <v>154.97</v>
      </c>
      <c r="F297" s="101" vm="13778">
        <f ca="1"/>
        <v>154.66</v>
      </c>
      <c r="G297" s="101" vm="13779">
        <f ca="1"/>
        <v>159.46250000000001</v>
      </c>
      <c r="H297" s="101" vm="13780">
        <f ca="1"/>
        <v>153.6343</v>
      </c>
      <c r="I297" s="102" vm="13781">
        <f ca="1"/>
        <v>16377024</v>
      </c>
    </row>
    <row r="298" spans="4:9" x14ac:dyDescent="0.3">
      <c r="D298" s="100" vm="1703">
        <f ca="1"/>
        <v>44158</v>
      </c>
      <c r="E298" s="101" vm="13782">
        <f ca="1"/>
        <v>159.767</v>
      </c>
      <c r="F298" s="101" vm="13783">
        <f ca="1"/>
        <v>155.8349</v>
      </c>
      <c r="G298" s="101" vm="13784">
        <f ca="1"/>
        <v>160.80950000000001</v>
      </c>
      <c r="H298" s="101" vm="13785">
        <f ca="1"/>
        <v>153.273</v>
      </c>
      <c r="I298" s="102" vm="13786">
        <f ca="1"/>
        <v>14460838</v>
      </c>
    </row>
    <row r="299" spans="4:9" x14ac:dyDescent="0.3">
      <c r="D299" s="100" vm="1709">
        <f ca="1"/>
        <v>44165</v>
      </c>
      <c r="E299" s="101" vm="13787">
        <f ca="1"/>
        <v>158.12899999999999</v>
      </c>
      <c r="F299" s="101" vm="13788">
        <f ca="1"/>
        <v>160.42400000000001</v>
      </c>
      <c r="G299" s="101" vm="13789">
        <f ca="1"/>
        <v>162.44749999999999</v>
      </c>
      <c r="H299" s="101" vm="13790">
        <f ca="1"/>
        <v>156.2775</v>
      </c>
      <c r="I299" s="102" vm="13791">
        <f ca="1"/>
        <v>17446086</v>
      </c>
    </row>
    <row r="300" spans="4:9" x14ac:dyDescent="0.3">
      <c r="D300" s="100" vm="1713">
        <f ca="1"/>
        <v>44172</v>
      </c>
      <c r="E300" s="101" vm="13792">
        <f ca="1"/>
        <v>155.821</v>
      </c>
      <c r="F300" s="101" vm="13793">
        <f ca="1"/>
        <v>157.82400000000001</v>
      </c>
      <c r="G300" s="101" vm="13794">
        <f ca="1"/>
        <v>159.20650000000001</v>
      </c>
      <c r="H300" s="101" vm="13795">
        <f ca="1"/>
        <v>153.64099999999999</v>
      </c>
      <c r="I300" s="102" vm="13796">
        <f ca="1"/>
        <v>16109570</v>
      </c>
    </row>
    <row r="301" spans="4:9" x14ac:dyDescent="0.3">
      <c r="D301" s="100" vm="1719">
        <f ca="1"/>
        <v>44179</v>
      </c>
      <c r="E301" s="101" vm="13797">
        <f ca="1"/>
        <v>160.08250000000001</v>
      </c>
      <c r="F301" s="101" vm="13798">
        <f ca="1"/>
        <v>157.15</v>
      </c>
      <c r="G301" s="101" vm="13799">
        <f ca="1"/>
        <v>163.1755</v>
      </c>
      <c r="H301" s="101" vm="2403">
        <f ca="1"/>
        <v>156.30000000000001</v>
      </c>
      <c r="I301" s="102" vm="13800">
        <f ca="1"/>
        <v>21105578</v>
      </c>
    </row>
    <row r="302" spans="4:9" x14ac:dyDescent="0.3">
      <c r="D302" s="100" vm="1725">
        <f ca="1"/>
        <v>44186</v>
      </c>
      <c r="E302" s="101" vm="13801">
        <f ca="1"/>
        <v>158.6345</v>
      </c>
      <c r="F302" s="101" vm="13802">
        <f ca="1"/>
        <v>160.00049999999999</v>
      </c>
      <c r="G302" s="101" vm="13803">
        <f ca="1"/>
        <v>161.34829999999999</v>
      </c>
      <c r="H302" s="101" vm="13804">
        <f ca="1"/>
        <v>158.30000000000001</v>
      </c>
      <c r="I302" s="102" vm="13805">
        <f ca="1"/>
        <v>9711714</v>
      </c>
    </row>
    <row r="303" spans="4:9" x14ac:dyDescent="0.3">
      <c r="D303" s="100" vm="1731">
        <f ca="1"/>
        <v>44193</v>
      </c>
      <c r="E303" s="101" vm="13806">
        <f ca="1"/>
        <v>162.84649999999999</v>
      </c>
      <c r="F303" s="101" vm="12173">
        <f ca="1"/>
        <v>159.69999999999999</v>
      </c>
      <c r="G303" s="101" vm="13807">
        <f ca="1"/>
        <v>167.5325</v>
      </c>
      <c r="H303" s="101" vm="13801">
        <f ca="1"/>
        <v>158.6345</v>
      </c>
      <c r="I303" s="102" vm="13808">
        <f ca="1"/>
        <v>16590481</v>
      </c>
    </row>
    <row r="304" spans="4:9" x14ac:dyDescent="0.3">
      <c r="D304" s="100" vm="1737">
        <f ca="1"/>
        <v>44200</v>
      </c>
      <c r="E304" s="101" vm="13809">
        <f ca="1"/>
        <v>159.13499999999999</v>
      </c>
      <c r="F304" s="101" vm="13810">
        <f ca="1"/>
        <v>163.5</v>
      </c>
      <c r="G304" s="101" vm="13811">
        <f ca="1"/>
        <v>163.6</v>
      </c>
      <c r="H304" s="101" vm="13812">
        <f ca="1"/>
        <v>156.55799999999999</v>
      </c>
      <c r="I304" s="102" vm="13813">
        <f ca="1"/>
        <v>18328336</v>
      </c>
    </row>
    <row r="305" spans="4:9" x14ac:dyDescent="0.3">
      <c r="D305" s="100" vm="1743">
        <f ca="1"/>
        <v>44207</v>
      </c>
      <c r="E305" s="101" vm="13814">
        <f ca="1"/>
        <v>155.21250000000001</v>
      </c>
      <c r="F305" s="101" vm="13815">
        <f ca="1"/>
        <v>157.40049999999999</v>
      </c>
      <c r="G305" s="101" vm="13816">
        <f ca="1"/>
        <v>159.4975</v>
      </c>
      <c r="H305" s="101" vm="1938">
        <f ca="1"/>
        <v>154.30000000000001</v>
      </c>
      <c r="I305" s="102" vm="13817">
        <f ca="1"/>
        <v>17791865</v>
      </c>
    </row>
    <row r="306" spans="4:9" x14ac:dyDescent="0.3">
      <c r="D306" s="100" vm="1749">
        <f ca="1"/>
        <v>44215</v>
      </c>
      <c r="E306" s="101" vm="13818">
        <f ca="1"/>
        <v>164.61150000000001</v>
      </c>
      <c r="F306" s="101" vm="13819">
        <f ca="1"/>
        <v>155.35</v>
      </c>
      <c r="G306" s="101" vm="13820">
        <f ca="1"/>
        <v>167.42750000000001</v>
      </c>
      <c r="H306" s="101" vm="13821">
        <f ca="1"/>
        <v>154.80000000000001</v>
      </c>
      <c r="I306" s="102" vm="13822">
        <f ca="1"/>
        <v>16381942</v>
      </c>
    </row>
    <row r="307" spans="4:9" x14ac:dyDescent="0.3">
      <c r="D307" s="100" vm="1755">
        <f ca="1"/>
        <v>44221</v>
      </c>
      <c r="E307" s="101" vm="13823">
        <f ca="1"/>
        <v>160.31</v>
      </c>
      <c r="F307" s="101" vm="13824">
        <f ca="1"/>
        <v>166.42500000000001</v>
      </c>
      <c r="G307" s="101" vm="13825">
        <f ca="1"/>
        <v>168.19450000000001</v>
      </c>
      <c r="H307" s="101" vm="13826">
        <f ca="1"/>
        <v>159.22749999999999</v>
      </c>
      <c r="I307" s="102" vm="13827">
        <f ca="1"/>
        <v>18807935</v>
      </c>
    </row>
    <row r="308" spans="4:9" x14ac:dyDescent="0.3">
      <c r="D308" s="100" vm="1761">
        <f ca="1"/>
        <v>44228</v>
      </c>
      <c r="E308" s="101" vm="13828">
        <f ca="1"/>
        <v>167.60749999999999</v>
      </c>
      <c r="F308" s="101" vm="13829">
        <f ca="1"/>
        <v>162.11799999999999</v>
      </c>
      <c r="G308" s="101" vm="13830">
        <f ca="1"/>
        <v>171.7</v>
      </c>
      <c r="H308" s="101" vm="13831">
        <f ca="1"/>
        <v>161.75129999999999</v>
      </c>
      <c r="I308" s="102" vm="13832">
        <f ca="1"/>
        <v>25639099</v>
      </c>
    </row>
    <row r="309" spans="4:9" x14ac:dyDescent="0.3">
      <c r="D309" s="100" vm="1767">
        <f ca="1"/>
        <v>44235</v>
      </c>
      <c r="E309" s="101" vm="13833">
        <f ca="1"/>
        <v>163.88550000000001</v>
      </c>
      <c r="F309" s="101" vm="13834">
        <f ca="1"/>
        <v>167.92500000000001</v>
      </c>
      <c r="G309" s="101" vm="13835">
        <f ca="1"/>
        <v>168.25</v>
      </c>
      <c r="H309" s="101" vm="13836">
        <f ca="1"/>
        <v>161.66550000000001</v>
      </c>
      <c r="I309" s="102" vm="13837">
        <f ca="1"/>
        <v>13249223</v>
      </c>
    </row>
    <row r="310" spans="4:9" x14ac:dyDescent="0.3">
      <c r="D310" s="100" vm="1773">
        <f ca="1"/>
        <v>44243</v>
      </c>
      <c r="E310" s="101" vm="13838">
        <f ca="1"/>
        <v>162.495</v>
      </c>
      <c r="F310" s="101" vm="13839">
        <f ca="1"/>
        <v>162.70249999999999</v>
      </c>
      <c r="G310" s="101" vm="13840">
        <f ca="1"/>
        <v>166.9</v>
      </c>
      <c r="H310" s="101" vm="13841">
        <f ca="1"/>
        <v>162.28749999999999</v>
      </c>
      <c r="I310" s="102" vm="13842">
        <f ca="1"/>
        <v>13215611</v>
      </c>
    </row>
    <row r="311" spans="4:9" x14ac:dyDescent="0.3">
      <c r="D311" s="100" vm="1779">
        <f ca="1"/>
        <v>44249</v>
      </c>
      <c r="E311" s="101" vm="13843">
        <f ca="1"/>
        <v>154.6465</v>
      </c>
      <c r="F311" s="101" vm="13844">
        <f ca="1"/>
        <v>160.40649999999999</v>
      </c>
      <c r="G311" s="101" vm="13845">
        <f ca="1"/>
        <v>161.61600000000001</v>
      </c>
      <c r="H311" s="101" vm="13846">
        <f ca="1"/>
        <v>151.83500000000001</v>
      </c>
      <c r="I311" s="102" vm="13847">
        <f ca="1"/>
        <v>20013907</v>
      </c>
    </row>
    <row r="312" spans="4:9" x14ac:dyDescent="0.3">
      <c r="D312" s="100" vm="1785">
        <f ca="1"/>
        <v>44256</v>
      </c>
      <c r="E312" s="101" vm="13848">
        <f ca="1"/>
        <v>150.023</v>
      </c>
      <c r="F312" s="101" vm="13849">
        <f ca="1"/>
        <v>156.39449999999999</v>
      </c>
      <c r="G312" s="101" vm="13850">
        <f ca="1"/>
        <v>158.17599999999999</v>
      </c>
      <c r="H312" s="101" vm="13851">
        <f ca="1"/>
        <v>144.05000000000001</v>
      </c>
      <c r="I312" s="102" vm="13852">
        <f ca="1"/>
        <v>20188579</v>
      </c>
    </row>
    <row r="313" spans="4:9" x14ac:dyDescent="0.3">
      <c r="D313" s="100" vm="1791">
        <f ca="1"/>
        <v>44263</v>
      </c>
      <c r="E313" s="101" vm="13853">
        <f ca="1"/>
        <v>154.47450000000001</v>
      </c>
      <c r="F313" s="101" vm="13854">
        <f ca="1"/>
        <v>150.75</v>
      </c>
      <c r="G313" s="101" vm="13855">
        <f ca="1"/>
        <v>156.58920000000001</v>
      </c>
      <c r="H313" s="101" vm="13856">
        <f ca="1"/>
        <v>147.56549999999999</v>
      </c>
      <c r="I313" s="102" vm="13857">
        <f ca="1"/>
        <v>16425808</v>
      </c>
    </row>
    <row r="314" spans="4:9" x14ac:dyDescent="0.3">
      <c r="D314" s="100" vm="1797">
        <f ca="1"/>
        <v>44270</v>
      </c>
      <c r="E314" s="101" vm="13858">
        <f ca="1"/>
        <v>153.74799999999999</v>
      </c>
      <c r="F314" s="101" vm="13859">
        <f ca="1"/>
        <v>153.7285</v>
      </c>
      <c r="G314" s="101" vm="13860">
        <f ca="1"/>
        <v>158.6525</v>
      </c>
      <c r="H314" s="101" vm="13861">
        <f ca="1"/>
        <v>150.83150000000001</v>
      </c>
      <c r="I314" s="102" vm="13862">
        <f ca="1"/>
        <v>16858321</v>
      </c>
    </row>
    <row r="315" spans="4:9" x14ac:dyDescent="0.3">
      <c r="D315" s="100" vm="1803">
        <f ca="1"/>
        <v>44277</v>
      </c>
      <c r="E315" s="101" vm="13863">
        <f ca="1"/>
        <v>152.60149999999999</v>
      </c>
      <c r="F315" s="101" vm="13864">
        <f ca="1"/>
        <v>153.39250000000001</v>
      </c>
      <c r="G315" s="101" vm="13865">
        <f ca="1"/>
        <v>159.1</v>
      </c>
      <c r="H315" s="101" vm="1986">
        <f ca="1"/>
        <v>149.80000000000001</v>
      </c>
      <c r="I315" s="102" vm="13866">
        <f ca="1"/>
        <v>16554816</v>
      </c>
    </row>
    <row r="316" spans="4:9" x14ac:dyDescent="0.3">
      <c r="D316" s="100" vm="1808">
        <f ca="1"/>
        <v>44284</v>
      </c>
      <c r="E316" s="101" vm="13867">
        <f ca="1"/>
        <v>158.05000000000001</v>
      </c>
      <c r="F316" s="101" vm="13868">
        <f ca="1"/>
        <v>152.77199999999999</v>
      </c>
      <c r="G316" s="101" vm="13869">
        <f ca="1"/>
        <v>158.12200000000001</v>
      </c>
      <c r="H316" s="101" vm="13870">
        <f ca="1"/>
        <v>151.42230000000001</v>
      </c>
      <c r="I316" s="102" vm="13871">
        <f ca="1"/>
        <v>11117785</v>
      </c>
    </row>
    <row r="317" spans="4:9" x14ac:dyDescent="0.3">
      <c r="D317" s="100" vm="1814">
        <f ca="1"/>
        <v>44291</v>
      </c>
      <c r="E317" s="101" vm="13872">
        <f ca="1"/>
        <v>168.61</v>
      </c>
      <c r="F317" s="101" vm="13873">
        <f ca="1"/>
        <v>158.65</v>
      </c>
      <c r="G317" s="101" vm="13872">
        <f ca="1"/>
        <v>168.61</v>
      </c>
      <c r="H317" s="101" vm="13874">
        <f ca="1"/>
        <v>158.06200000000001</v>
      </c>
      <c r="I317" s="102" vm="13875">
        <f ca="1"/>
        <v>16372481</v>
      </c>
    </row>
    <row r="318" spans="4:9" x14ac:dyDescent="0.3">
      <c r="D318" s="100" vm="1820">
        <f ca="1"/>
        <v>44298</v>
      </c>
      <c r="E318" s="101" vm="13876">
        <f ca="1"/>
        <v>169.97200000000001</v>
      </c>
      <c r="F318" s="101" vm="13877">
        <f ca="1"/>
        <v>167.76050000000001</v>
      </c>
      <c r="G318" s="101" vm="13878">
        <f ca="1"/>
        <v>171.6</v>
      </c>
      <c r="H318" s="101" vm="13879">
        <f ca="1"/>
        <v>166.3</v>
      </c>
      <c r="I318" s="102" vm="13880">
        <f ca="1"/>
        <v>16141961</v>
      </c>
    </row>
    <row r="319" spans="4:9" x14ac:dyDescent="0.3">
      <c r="D319" s="100" vm="1826">
        <f ca="1"/>
        <v>44305</v>
      </c>
      <c r="E319" s="101" vm="13881">
        <f ca="1"/>
        <v>167.04400000000001</v>
      </c>
      <c r="F319" s="101" vm="13882">
        <f ca="1"/>
        <v>169.51650000000001</v>
      </c>
      <c r="G319" s="101" vm="13883">
        <f ca="1"/>
        <v>171.79669999999999</v>
      </c>
      <c r="H319" s="101" vm="13884">
        <f ca="1"/>
        <v>165.07249999999999</v>
      </c>
      <c r="I319" s="102" vm="13885">
        <f ca="1"/>
        <v>13336845</v>
      </c>
    </row>
    <row r="320" spans="4:9" x14ac:dyDescent="0.3">
      <c r="D320" s="100" vm="1832">
        <f ca="1"/>
        <v>44312</v>
      </c>
      <c r="E320" s="101" vm="13886">
        <f ca="1"/>
        <v>173.37100000000001</v>
      </c>
      <c r="F320" s="101" vm="13887">
        <f ca="1"/>
        <v>167.4</v>
      </c>
      <c r="G320" s="101" vm="13888">
        <f ca="1"/>
        <v>177.7</v>
      </c>
      <c r="H320" s="101" vm="13889">
        <f ca="1"/>
        <v>166.547</v>
      </c>
      <c r="I320" s="102" vm="13890">
        <f ca="1"/>
        <v>28031459</v>
      </c>
    </row>
    <row r="321" spans="4:9" x14ac:dyDescent="0.3">
      <c r="D321" s="100" vm="1838">
        <f ca="1"/>
        <v>44319</v>
      </c>
      <c r="E321" s="101" vm="13891">
        <f ca="1"/>
        <v>164.5805</v>
      </c>
      <c r="F321" s="101" vm="13892">
        <f ca="1"/>
        <v>174.23650000000001</v>
      </c>
      <c r="G321" s="101" vm="13893">
        <f ca="1"/>
        <v>174.3323</v>
      </c>
      <c r="H321" s="101" vm="13894">
        <f ca="1"/>
        <v>162.36000000000001</v>
      </c>
      <c r="I321" s="102" vm="13895">
        <f ca="1"/>
        <v>24184259</v>
      </c>
    </row>
    <row r="322" spans="4:9" x14ac:dyDescent="0.3">
      <c r="D322" s="100" vm="1843">
        <f ca="1"/>
        <v>44326</v>
      </c>
      <c r="E322" s="101" vm="2246">
        <f ca="1"/>
        <v>161.14500000000001</v>
      </c>
      <c r="F322" s="101" vm="13896">
        <f ca="1"/>
        <v>164.11600000000001</v>
      </c>
      <c r="G322" s="101" vm="13897">
        <f ca="1"/>
        <v>164.15</v>
      </c>
      <c r="H322" s="101" vm="13898">
        <f ca="1"/>
        <v>156.36850000000001</v>
      </c>
      <c r="I322" s="102" vm="13899">
        <f ca="1"/>
        <v>21880289</v>
      </c>
    </row>
    <row r="323" spans="4:9" x14ac:dyDescent="0.3">
      <c r="D323" s="100" vm="1848">
        <f ca="1"/>
        <v>44333</v>
      </c>
      <c r="E323" s="101" vm="13900">
        <f ca="1"/>
        <v>160.154</v>
      </c>
      <c r="F323" s="101" vm="13901">
        <f ca="1"/>
        <v>162.29650000000001</v>
      </c>
      <c r="G323" s="101" vm="13902">
        <f ca="1"/>
        <v>165.6</v>
      </c>
      <c r="H323" s="101" vm="13903">
        <f ca="1"/>
        <v>159.19999999999999</v>
      </c>
      <c r="I323" s="102" vm="13904">
        <f ca="1"/>
        <v>15970098</v>
      </c>
    </row>
    <row r="324" spans="4:9" x14ac:dyDescent="0.3">
      <c r="D324" s="100" vm="1854">
        <f ca="1"/>
        <v>44340</v>
      </c>
      <c r="E324" s="101" vm="13905">
        <f ca="1"/>
        <v>161.15350000000001</v>
      </c>
      <c r="F324" s="101" vm="13906">
        <f ca="1"/>
        <v>160.77500000000001</v>
      </c>
      <c r="G324" s="101" vm="13907">
        <f ca="1"/>
        <v>164.78649999999999</v>
      </c>
      <c r="H324" s="101" vm="13908">
        <f ca="1"/>
        <v>160.52500000000001</v>
      </c>
      <c r="I324" s="102" vm="13909">
        <f ca="1"/>
        <v>12960574</v>
      </c>
    </row>
    <row r="325" spans="4:9" x14ac:dyDescent="0.3">
      <c r="D325" s="100" vm="1860">
        <f ca="1"/>
        <v>44348</v>
      </c>
      <c r="E325" s="101" vm="13910">
        <f ca="1"/>
        <v>160.31100000000001</v>
      </c>
      <c r="F325" s="101" vm="13911">
        <f ca="1"/>
        <v>162.1748</v>
      </c>
      <c r="G325" s="101" vm="13912">
        <f ca="1"/>
        <v>162.54900000000001</v>
      </c>
      <c r="H325" s="101" vm="13913">
        <f ca="1"/>
        <v>159.20150000000001</v>
      </c>
      <c r="I325" s="102" vm="13914">
        <f ca="1"/>
        <v>9092611</v>
      </c>
    </row>
    <row r="326" spans="4:9" x14ac:dyDescent="0.3">
      <c r="D326" s="100" vm="1866">
        <f ca="1"/>
        <v>44354</v>
      </c>
      <c r="E326" s="101" vm="13915">
        <f ca="1"/>
        <v>167.3415</v>
      </c>
      <c r="F326" s="101" vm="13916">
        <f ca="1"/>
        <v>159.8665</v>
      </c>
      <c r="G326" s="101" vm="13917">
        <f ca="1"/>
        <v>168.32900000000001</v>
      </c>
      <c r="H326" s="101" vm="13918">
        <f ca="1"/>
        <v>158.61000000000001</v>
      </c>
      <c r="I326" s="102" vm="13919">
        <f ca="1"/>
        <v>14381848</v>
      </c>
    </row>
    <row r="327" spans="4:9" x14ac:dyDescent="0.3">
      <c r="D327" s="100" vm="1872">
        <f ca="1"/>
        <v>44361</v>
      </c>
      <c r="E327" s="101" vm="13920">
        <f ca="1"/>
        <v>174.345</v>
      </c>
      <c r="F327" s="101" vm="13915">
        <f ca="1"/>
        <v>167.3415</v>
      </c>
      <c r="G327" s="101" vm="13921">
        <f ca="1"/>
        <v>175.35</v>
      </c>
      <c r="H327" s="101" vm="13922">
        <f ca="1"/>
        <v>166.77500000000001</v>
      </c>
      <c r="I327" s="102" vm="13923">
        <f ca="1"/>
        <v>19347233</v>
      </c>
    </row>
    <row r="328" spans="4:9" x14ac:dyDescent="0.3">
      <c r="D328" s="100" vm="1878">
        <f ca="1"/>
        <v>44368</v>
      </c>
      <c r="E328" s="101" vm="13924">
        <f ca="1"/>
        <v>170.07300000000001</v>
      </c>
      <c r="F328" s="101" vm="13925">
        <f ca="1"/>
        <v>173.821</v>
      </c>
      <c r="G328" s="101" vm="13926">
        <f ca="1"/>
        <v>176.24299999999999</v>
      </c>
      <c r="H328" s="101" vm="13927">
        <f ca="1"/>
        <v>169.709</v>
      </c>
      <c r="I328" s="102" vm="13928">
        <f ca="1"/>
        <v>17208549</v>
      </c>
    </row>
    <row r="329" spans="4:9" x14ac:dyDescent="0.3">
      <c r="D329" s="100" vm="1884">
        <f ca="1"/>
        <v>44375</v>
      </c>
      <c r="E329" s="101" vm="13929">
        <f ca="1"/>
        <v>175.54900000000001</v>
      </c>
      <c r="F329" s="101" vm="13930">
        <f ca="1"/>
        <v>170.8</v>
      </c>
      <c r="G329" s="101" vm="13931">
        <f ca="1"/>
        <v>175.58600000000001</v>
      </c>
      <c r="H329" s="101" vm="13932">
        <f ca="1"/>
        <v>170.471</v>
      </c>
      <c r="I329" s="102" vm="13933">
        <f ca="1"/>
        <v>11958974</v>
      </c>
    </row>
    <row r="330" spans="4:9" x14ac:dyDescent="0.3">
      <c r="D330" s="100" vm="1890">
        <f ca="1"/>
        <v>44383</v>
      </c>
      <c r="E330" s="101" vm="13934">
        <f ca="1"/>
        <v>185.96700000000001</v>
      </c>
      <c r="F330" s="101" vm="13935">
        <f ca="1"/>
        <v>176.50550000000001</v>
      </c>
      <c r="G330" s="101" vm="13936">
        <f ca="1"/>
        <v>187.99930000000001</v>
      </c>
      <c r="H330" s="101" vm="13937">
        <f ca="1"/>
        <v>176.45</v>
      </c>
      <c r="I330" s="102" vm="13938">
        <f ca="1"/>
        <v>21001690</v>
      </c>
    </row>
    <row r="331" spans="4:9" x14ac:dyDescent="0.3">
      <c r="D331" s="100" vm="1895">
        <f ca="1"/>
        <v>44389</v>
      </c>
      <c r="E331" s="101" vm="13939">
        <f ca="1"/>
        <v>178.6815</v>
      </c>
      <c r="F331" s="101" vm="13940">
        <f ca="1"/>
        <v>187.2</v>
      </c>
      <c r="G331" s="101" vm="13941">
        <f ca="1"/>
        <v>188.65389999999999</v>
      </c>
      <c r="H331" s="101" vm="13942">
        <f ca="1"/>
        <v>178.52279999999999</v>
      </c>
      <c r="I331" s="102" vm="13943">
        <f ca="1"/>
        <v>16943118</v>
      </c>
    </row>
    <row r="332" spans="4:9" x14ac:dyDescent="0.3">
      <c r="D332" s="100" vm="1901">
        <f ca="1"/>
        <v>44396</v>
      </c>
      <c r="E332" s="101" vm="13944">
        <f ca="1"/>
        <v>182.83199999999999</v>
      </c>
      <c r="F332" s="101" vm="13945">
        <f ca="1"/>
        <v>176.62899999999999</v>
      </c>
      <c r="G332" s="101" vm="13946">
        <f ca="1"/>
        <v>183.30549999999999</v>
      </c>
      <c r="H332" s="101" vm="13947">
        <f ca="1"/>
        <v>174.958</v>
      </c>
      <c r="I332" s="102" vm="13948">
        <f ca="1"/>
        <v>15060908</v>
      </c>
    </row>
    <row r="333" spans="4:9" x14ac:dyDescent="0.3">
      <c r="D333" s="100" vm="1907">
        <f ca="1"/>
        <v>44403</v>
      </c>
      <c r="E333" s="101" vm="13949">
        <f ca="1"/>
        <v>166.37950000000001</v>
      </c>
      <c r="F333" s="101" vm="13950">
        <f ca="1"/>
        <v>183.6585</v>
      </c>
      <c r="G333" s="101" vm="13951">
        <f ca="1"/>
        <v>185.60400000000001</v>
      </c>
      <c r="H333" s="101" vm="13952">
        <f ca="1"/>
        <v>165.34899999999999</v>
      </c>
      <c r="I333" s="102" vm="13953">
        <f ca="1"/>
        <v>25516881</v>
      </c>
    </row>
    <row r="334" spans="4:9" x14ac:dyDescent="0.3">
      <c r="D334" s="100" vm="1913">
        <f ca="1"/>
        <v>44410</v>
      </c>
      <c r="E334" s="101" vm="13954">
        <f ca="1"/>
        <v>167.24700000000001</v>
      </c>
      <c r="F334" s="101" vm="9596">
        <f ca="1"/>
        <v>167.655</v>
      </c>
      <c r="G334" s="101" vm="13955">
        <f ca="1"/>
        <v>169.55</v>
      </c>
      <c r="H334" s="101" vm="13956">
        <f ca="1"/>
        <v>164.98849999999999</v>
      </c>
      <c r="I334" s="102" vm="13957">
        <f ca="1"/>
        <v>14766350</v>
      </c>
    </row>
    <row r="335" spans="4:9" x14ac:dyDescent="0.3">
      <c r="D335" s="100" vm="1919">
        <f ca="1"/>
        <v>44417</v>
      </c>
      <c r="E335" s="101" vm="13958">
        <f ca="1"/>
        <v>164.6985</v>
      </c>
      <c r="F335" s="101" vm="13959">
        <f ca="1"/>
        <v>167.18049999999999</v>
      </c>
      <c r="G335" s="101" vm="2603">
        <f ca="1"/>
        <v>167.9</v>
      </c>
      <c r="H335" s="101" vm="13960">
        <f ca="1"/>
        <v>163.48349999999999</v>
      </c>
      <c r="I335" s="102" vm="13961">
        <f ca="1"/>
        <v>11888542</v>
      </c>
    </row>
    <row r="336" spans="4:9" x14ac:dyDescent="0.3">
      <c r="D336" s="100" vm="1925">
        <f ca="1"/>
        <v>44424</v>
      </c>
      <c r="E336" s="101" vm="13962">
        <f ca="1"/>
        <v>159.9975</v>
      </c>
      <c r="F336" s="101" vm="13897">
        <f ca="1"/>
        <v>164.15</v>
      </c>
      <c r="G336" s="101" vm="2420">
        <f ca="1"/>
        <v>165</v>
      </c>
      <c r="H336" s="101" vm="13963">
        <f ca="1"/>
        <v>158.78800000000001</v>
      </c>
      <c r="I336" s="102" vm="13964">
        <f ca="1"/>
        <v>16662017</v>
      </c>
    </row>
    <row r="337" spans="4:9" x14ac:dyDescent="0.3">
      <c r="D337" s="100" vm="1931">
        <f ca="1"/>
        <v>44431</v>
      </c>
      <c r="E337" s="101" vm="13965">
        <f ca="1"/>
        <v>167.48150000000001</v>
      </c>
      <c r="F337" s="101" vm="13966">
        <f ca="1"/>
        <v>160.595</v>
      </c>
      <c r="G337" s="101" vm="13967">
        <f ca="1"/>
        <v>167.61600000000001</v>
      </c>
      <c r="H337" s="101" vm="13968">
        <f ca="1"/>
        <v>160.50030000000001</v>
      </c>
      <c r="I337" s="102" vm="13969">
        <f ca="1"/>
        <v>12001408</v>
      </c>
    </row>
    <row r="338" spans="4:9" x14ac:dyDescent="0.3">
      <c r="D338" s="100" vm="1937">
        <f ca="1"/>
        <v>44438</v>
      </c>
      <c r="E338" s="101" vm="13970">
        <f ca="1"/>
        <v>173.9025</v>
      </c>
      <c r="F338" s="101" vm="13971">
        <f ca="1"/>
        <v>167.87129999999999</v>
      </c>
      <c r="G338" s="101" vm="9564">
        <f ca="1"/>
        <v>176.35</v>
      </c>
      <c r="H338" s="101" vm="13972">
        <f ca="1"/>
        <v>167.761</v>
      </c>
      <c r="I338" s="102" vm="13973">
        <f ca="1"/>
        <v>16682486</v>
      </c>
    </row>
    <row r="339" spans="4:9" x14ac:dyDescent="0.3">
      <c r="D339" s="100" vm="1943">
        <f ca="1"/>
        <v>44446</v>
      </c>
      <c r="E339" s="101" vm="13974">
        <f ca="1"/>
        <v>173.45750000000001</v>
      </c>
      <c r="F339" s="101" vm="13975">
        <f ca="1"/>
        <v>173.9</v>
      </c>
      <c r="G339" s="101" vm="13976">
        <f ca="1"/>
        <v>177.49950000000001</v>
      </c>
      <c r="H339" s="101" vm="13977">
        <f ca="1"/>
        <v>173.14529999999999</v>
      </c>
      <c r="I339" s="102" vm="13978">
        <f ca="1"/>
        <v>10911058</v>
      </c>
    </row>
    <row r="340" spans="4:9" x14ac:dyDescent="0.3">
      <c r="D340" s="100" vm="1949">
        <f ca="1"/>
        <v>44452</v>
      </c>
      <c r="E340" s="101" vm="13979">
        <f ca="1"/>
        <v>173.126</v>
      </c>
      <c r="F340" s="101" vm="13980">
        <f ca="1"/>
        <v>174.14</v>
      </c>
      <c r="G340" s="101" vm="13981">
        <f ca="1"/>
        <v>174.898</v>
      </c>
      <c r="H340" s="101" vm="13982">
        <f ca="1"/>
        <v>170.10050000000001</v>
      </c>
      <c r="I340" s="102" vm="13983">
        <f ca="1"/>
        <v>14663610</v>
      </c>
    </row>
    <row r="341" spans="4:9" x14ac:dyDescent="0.3">
      <c r="D341" s="100" vm="1955">
        <f ca="1"/>
        <v>44459</v>
      </c>
      <c r="E341" s="101" vm="13984">
        <f ca="1"/>
        <v>171.27600000000001</v>
      </c>
      <c r="F341" s="101" vm="13985">
        <f ca="1"/>
        <v>169.8</v>
      </c>
      <c r="G341" s="101" vm="13986">
        <f ca="1"/>
        <v>171.46299999999999</v>
      </c>
      <c r="H341" s="101" vm="13987">
        <f ca="1"/>
        <v>165.25049999999999</v>
      </c>
      <c r="I341" s="102" vm="13988">
        <f ca="1"/>
        <v>14357066</v>
      </c>
    </row>
    <row r="342" spans="4:9" x14ac:dyDescent="0.3">
      <c r="D342" s="100" vm="1961">
        <f ca="1"/>
        <v>44466</v>
      </c>
      <c r="E342" s="101" vm="13989">
        <f ca="1"/>
        <v>164.16300000000001</v>
      </c>
      <c r="F342" s="101" vm="13990">
        <f ca="1"/>
        <v>168.57499999999999</v>
      </c>
      <c r="G342" s="101" vm="13991">
        <f ca="1"/>
        <v>170.77850000000001</v>
      </c>
      <c r="H342" s="101" vm="13992">
        <f ca="1"/>
        <v>162.797</v>
      </c>
      <c r="I342" s="102" vm="13993">
        <f ca="1"/>
        <v>16310187</v>
      </c>
    </row>
    <row r="343" spans="4:9" x14ac:dyDescent="0.3">
      <c r="D343" s="100" vm="1967">
        <f ca="1"/>
        <v>44473</v>
      </c>
      <c r="E343" s="101" vm="13994">
        <f ca="1"/>
        <v>164.43100000000001</v>
      </c>
      <c r="F343" s="101" vm="13995">
        <f ca="1"/>
        <v>163.96950000000001</v>
      </c>
      <c r="G343" s="101" vm="13996">
        <f ca="1"/>
        <v>166.28729999999999</v>
      </c>
      <c r="H343" s="101" vm="13997">
        <f ca="1"/>
        <v>158.8125</v>
      </c>
      <c r="I343" s="102" vm="13998">
        <f ca="1"/>
        <v>14732534</v>
      </c>
    </row>
    <row r="344" spans="4:9" x14ac:dyDescent="0.3">
      <c r="D344" s="100" vm="1973">
        <f ca="1"/>
        <v>44480</v>
      </c>
      <c r="E344" s="101" vm="13999">
        <f ca="1"/>
        <v>170.45099999999999</v>
      </c>
      <c r="F344" s="101" vm="14000">
        <f ca="1"/>
        <v>163.75</v>
      </c>
      <c r="G344" s="101" vm="14001">
        <f ca="1"/>
        <v>170.52099999999999</v>
      </c>
      <c r="H344" s="101" vm="14002">
        <f ca="1"/>
        <v>161.81399999999999</v>
      </c>
      <c r="I344" s="102" vm="14003">
        <f ca="1"/>
        <v>13570821</v>
      </c>
    </row>
    <row r="345" spans="4:9" x14ac:dyDescent="0.3">
      <c r="D345" s="100" vm="1979">
        <f ca="1"/>
        <v>44487</v>
      </c>
      <c r="E345" s="101" vm="14004">
        <f ca="1"/>
        <v>166.7775</v>
      </c>
      <c r="F345" s="101" vm="14005">
        <f ca="1"/>
        <v>169.4179</v>
      </c>
      <c r="G345" s="101" vm="14006">
        <f ca="1"/>
        <v>173.143</v>
      </c>
      <c r="H345" s="101" vm="14007">
        <f ca="1"/>
        <v>166.565</v>
      </c>
      <c r="I345" s="102" vm="14008">
        <f ca="1"/>
        <v>12720409</v>
      </c>
    </row>
    <row r="346" spans="4:9" x14ac:dyDescent="0.3">
      <c r="D346" s="100" vm="1985">
        <f ca="1"/>
        <v>44494</v>
      </c>
      <c r="E346" s="101" vm="14009">
        <f ca="1"/>
        <v>168.6215</v>
      </c>
      <c r="F346" s="101" vm="14010">
        <f ca="1"/>
        <v>166.75</v>
      </c>
      <c r="G346" s="101" vm="14011">
        <f ca="1"/>
        <v>173.95</v>
      </c>
      <c r="H346" s="101" vm="14012">
        <f ca="1"/>
        <v>163.666</v>
      </c>
      <c r="I346" s="102" vm="14013">
        <f ca="1"/>
        <v>19821332</v>
      </c>
    </row>
    <row r="347" spans="4:9" x14ac:dyDescent="0.3">
      <c r="D347" s="100" vm="1991">
        <f ca="1"/>
        <v>44501</v>
      </c>
      <c r="E347" s="101" vm="14014">
        <f ca="1"/>
        <v>175.9495</v>
      </c>
      <c r="F347" s="101" vm="14015">
        <f ca="1"/>
        <v>168.09</v>
      </c>
      <c r="G347" s="101" vm="14016">
        <f ca="1"/>
        <v>178.3125</v>
      </c>
      <c r="H347" s="101" vm="14017">
        <f ca="1"/>
        <v>164.17750000000001</v>
      </c>
      <c r="I347" s="102" vm="14018">
        <f ca="1"/>
        <v>19983629</v>
      </c>
    </row>
    <row r="348" spans="4:9" x14ac:dyDescent="0.3">
      <c r="D348" s="100" vm="1997">
        <f ca="1"/>
        <v>44508</v>
      </c>
      <c r="E348" s="101" vm="14019">
        <f ca="1"/>
        <v>176.25749999999999</v>
      </c>
      <c r="F348" s="101" vm="14020">
        <f ca="1"/>
        <v>176.16200000000001</v>
      </c>
      <c r="G348" s="101" vm="14021">
        <f ca="1"/>
        <v>180.27250000000001</v>
      </c>
      <c r="H348" s="101" vm="14022">
        <f ca="1"/>
        <v>172.35249999999999</v>
      </c>
      <c r="I348" s="102" vm="14023">
        <f ca="1"/>
        <v>16350176</v>
      </c>
    </row>
    <row r="349" spans="4:9" x14ac:dyDescent="0.3">
      <c r="D349" s="100" vm="2003">
        <f ca="1"/>
        <v>44515</v>
      </c>
      <c r="E349" s="101" vm="14024">
        <f ca="1"/>
        <v>183.82849999999999</v>
      </c>
      <c r="F349" s="101" vm="14025">
        <f ca="1"/>
        <v>176.85</v>
      </c>
      <c r="G349" s="101" vm="14026">
        <f ca="1"/>
        <v>188.10730000000001</v>
      </c>
      <c r="H349" s="101" vm="14027">
        <f ca="1"/>
        <v>176.25729999999999</v>
      </c>
      <c r="I349" s="102" vm="14028">
        <f ca="1"/>
        <v>18356801</v>
      </c>
    </row>
    <row r="350" spans="4:9" x14ac:dyDescent="0.3">
      <c r="D350" s="100" vm="2009">
        <f ca="1"/>
        <v>44522</v>
      </c>
      <c r="E350" s="101" vm="14029">
        <f ca="1"/>
        <v>175.22800000000001</v>
      </c>
      <c r="F350" s="101" vm="14030">
        <f ca="1"/>
        <v>183.81880000000001</v>
      </c>
      <c r="G350" s="101" vm="14031">
        <f ca="1"/>
        <v>185.6728</v>
      </c>
      <c r="H350" s="101" vm="14032">
        <f ca="1"/>
        <v>175.20750000000001</v>
      </c>
      <c r="I350" s="102" vm="14033">
        <f ca="1"/>
        <v>13859411</v>
      </c>
    </row>
    <row r="351" spans="4:9" x14ac:dyDescent="0.3">
      <c r="D351" s="100" vm="2015">
        <f ca="1"/>
        <v>44529</v>
      </c>
      <c r="E351" s="101" vm="14034">
        <f ca="1"/>
        <v>169.48949999999999</v>
      </c>
      <c r="F351" s="101" vm="14035">
        <f ca="1"/>
        <v>177.38220000000001</v>
      </c>
      <c r="G351" s="101" vm="14036">
        <f ca="1"/>
        <v>179.8</v>
      </c>
      <c r="H351" s="101" vm="14037">
        <f ca="1"/>
        <v>166.93</v>
      </c>
      <c r="I351" s="102" vm="14038">
        <f ca="1"/>
        <v>18295497</v>
      </c>
    </row>
    <row r="352" spans="4:9" x14ac:dyDescent="0.3">
      <c r="D352" s="100" vm="2021">
        <f ca="1"/>
        <v>44536</v>
      </c>
      <c r="E352" s="101" vm="14039">
        <f ca="1"/>
        <v>172.21199999999999</v>
      </c>
      <c r="F352" s="101" vm="14040">
        <f ca="1"/>
        <v>169.65</v>
      </c>
      <c r="G352" s="101" vm="13976">
        <f ca="1"/>
        <v>177.49950000000001</v>
      </c>
      <c r="H352" s="101" vm="14041">
        <f ca="1"/>
        <v>166.93450000000001</v>
      </c>
      <c r="I352" s="102" vm="14042">
        <f ca="1"/>
        <v>14363798</v>
      </c>
    </row>
    <row r="353" spans="4:9" x14ac:dyDescent="0.3">
      <c r="D353" s="100" vm="2027">
        <f ca="1"/>
        <v>44543</v>
      </c>
      <c r="E353" s="101" vm="14043">
        <f ca="1"/>
        <v>170.01750000000001</v>
      </c>
      <c r="F353" s="101" vm="14044">
        <f ca="1"/>
        <v>172</v>
      </c>
      <c r="G353" s="101" vm="14045">
        <f ca="1"/>
        <v>174.166</v>
      </c>
      <c r="H353" s="101" vm="14046">
        <f ca="1"/>
        <v>165.19499999999999</v>
      </c>
      <c r="I353" s="102" vm="14047">
        <f ca="1"/>
        <v>17028527</v>
      </c>
    </row>
    <row r="354" spans="4:9" x14ac:dyDescent="0.3">
      <c r="D354" s="100" vm="2033">
        <f ca="1"/>
        <v>44550</v>
      </c>
      <c r="E354" s="101" vm="14048">
        <f ca="1"/>
        <v>171.0685</v>
      </c>
      <c r="F354" s="101" vm="14049">
        <f ca="1"/>
        <v>166.85</v>
      </c>
      <c r="G354" s="101" vm="14050">
        <f ca="1"/>
        <v>172.05</v>
      </c>
      <c r="H354" s="101" vm="13902">
        <f ca="1"/>
        <v>165.6</v>
      </c>
      <c r="I354" s="102" vm="14051">
        <f ca="1"/>
        <v>10257609</v>
      </c>
    </row>
    <row r="355" spans="4:9" x14ac:dyDescent="0.3">
      <c r="D355" s="100" vm="2039">
        <f ca="1"/>
        <v>44557</v>
      </c>
      <c r="E355" s="101" vm="14052">
        <f ca="1"/>
        <v>166.71700000000001</v>
      </c>
      <c r="F355" s="101" vm="14053">
        <f ca="1"/>
        <v>171.03700000000001</v>
      </c>
      <c r="G355" s="101" vm="14054">
        <f ca="1"/>
        <v>172.94300000000001</v>
      </c>
      <c r="H355" s="101" vm="14055">
        <f ca="1"/>
        <v>166.55850000000001</v>
      </c>
      <c r="I355" s="102" vm="14056">
        <f ca="1"/>
        <v>11736310</v>
      </c>
    </row>
    <row r="356" spans="4:9" x14ac:dyDescent="0.3">
      <c r="D356" s="100" vm="2045">
        <f ca="1"/>
        <v>44564</v>
      </c>
      <c r="E356" s="101" vm="14057">
        <f ca="1"/>
        <v>162.554</v>
      </c>
      <c r="F356" s="101" vm="14058">
        <f ca="1"/>
        <v>167.55</v>
      </c>
      <c r="G356" s="101" vm="14059">
        <f ca="1"/>
        <v>171.4</v>
      </c>
      <c r="H356" s="101" vm="14060">
        <f ca="1"/>
        <v>161.93719999999999</v>
      </c>
      <c r="I356" s="102" vm="14061">
        <f ca="1"/>
        <v>14873035</v>
      </c>
    </row>
    <row r="357" spans="4:9" x14ac:dyDescent="0.3">
      <c r="D357" s="100" vm="2051">
        <f ca="1"/>
        <v>44571</v>
      </c>
      <c r="E357" s="101" vm="14062">
        <f ca="1"/>
        <v>162.13800000000001</v>
      </c>
      <c r="F357" s="101" vm="14063">
        <f ca="1"/>
        <v>160.5855</v>
      </c>
      <c r="G357" s="101" vm="14064">
        <f ca="1"/>
        <v>166.87799999999999</v>
      </c>
      <c r="H357" s="101" vm="14065">
        <f ca="1"/>
        <v>156.30449999999999</v>
      </c>
      <c r="I357" s="102" vm="14066">
        <f ca="1"/>
        <v>14939808</v>
      </c>
    </row>
    <row r="358" spans="4:9" x14ac:dyDescent="0.3">
      <c r="D358" s="100" vm="2057">
        <f ca="1"/>
        <v>44579</v>
      </c>
      <c r="E358" s="101" vm="14067">
        <f ca="1"/>
        <v>142.643</v>
      </c>
      <c r="F358" s="101" vm="14068">
        <f ca="1"/>
        <v>159.10499999999999</v>
      </c>
      <c r="G358" s="101" vm="14069">
        <f ca="1"/>
        <v>159.7345</v>
      </c>
      <c r="H358" s="101" vm="14070">
        <f ca="1"/>
        <v>142.07040000000001</v>
      </c>
      <c r="I358" s="102" vm="14071">
        <f ca="1"/>
        <v>17831406</v>
      </c>
    </row>
    <row r="359" spans="4:9" x14ac:dyDescent="0.3">
      <c r="D359" s="100" vm="2063">
        <f ca="1"/>
        <v>44585</v>
      </c>
      <c r="E359" s="101" vm="14072">
        <f ca="1"/>
        <v>143.97800000000001</v>
      </c>
      <c r="F359" s="101" vm="14073">
        <f ca="1"/>
        <v>139</v>
      </c>
      <c r="G359" s="101" vm="14074">
        <f ca="1"/>
        <v>145.1848</v>
      </c>
      <c r="H359" s="101" vm="14075">
        <f ca="1"/>
        <v>135.352</v>
      </c>
      <c r="I359" s="102" vm="14076">
        <f ca="1"/>
        <v>24718944</v>
      </c>
    </row>
    <row r="360" spans="4:9" x14ac:dyDescent="0.3">
      <c r="D360" s="100" vm="2069">
        <f ca="1"/>
        <v>44592</v>
      </c>
      <c r="E360" s="101" vm="14077">
        <f ca="1"/>
        <v>157.6395</v>
      </c>
      <c r="F360" s="101" vm="14078">
        <f ca="1"/>
        <v>144.75</v>
      </c>
      <c r="G360" s="101" vm="13746">
        <f ca="1"/>
        <v>161.19999999999999</v>
      </c>
      <c r="H360" s="101" vm="14079">
        <f ca="1"/>
        <v>138.333</v>
      </c>
      <c r="I360" s="102" vm="14080">
        <f ca="1"/>
        <v>35192213</v>
      </c>
    </row>
    <row r="361" spans="4:9" x14ac:dyDescent="0.3">
      <c r="D361" s="100" vm="2075">
        <f ca="1"/>
        <v>44599</v>
      </c>
      <c r="E361" s="101" vm="14081">
        <f ca="1"/>
        <v>153.29349999999999</v>
      </c>
      <c r="F361" s="101" vm="14082">
        <f ca="1"/>
        <v>158.52000000000001</v>
      </c>
      <c r="G361" s="101" vm="14083">
        <f ca="1"/>
        <v>163.83449999999999</v>
      </c>
      <c r="H361" s="101" vm="14084">
        <f ca="1"/>
        <v>152.7338</v>
      </c>
      <c r="I361" s="102" vm="14085">
        <f ca="1"/>
        <v>19640945</v>
      </c>
    </row>
    <row r="362" spans="4:9" x14ac:dyDescent="0.3">
      <c r="D362" s="100" vm="2081">
        <f ca="1"/>
        <v>44606</v>
      </c>
      <c r="E362" s="101" vm="13863">
        <f ca="1"/>
        <v>152.60149999999999</v>
      </c>
      <c r="F362" s="101" vm="14086">
        <f ca="1"/>
        <v>151.751</v>
      </c>
      <c r="G362" s="101" vm="14087">
        <f ca="1"/>
        <v>160.34880000000001</v>
      </c>
      <c r="H362" s="101" vm="14088">
        <f ca="1"/>
        <v>150.893</v>
      </c>
      <c r="I362" s="102" vm="14089">
        <f ca="1"/>
        <v>16027112</v>
      </c>
    </row>
    <row r="363" spans="4:9" x14ac:dyDescent="0.3">
      <c r="D363" s="100" vm="2087">
        <f ca="1"/>
        <v>44614</v>
      </c>
      <c r="E363" s="101" vm="14090">
        <f ca="1"/>
        <v>153.7885</v>
      </c>
      <c r="F363" s="101" vm="14091">
        <f ca="1"/>
        <v>150.4785</v>
      </c>
      <c r="G363" s="101" vm="14092">
        <f ca="1"/>
        <v>153.99</v>
      </c>
      <c r="H363" s="101" vm="7459">
        <f ca="1"/>
        <v>139.5</v>
      </c>
      <c r="I363" s="102" vm="14093">
        <f ca="1"/>
        <v>14677646</v>
      </c>
    </row>
    <row r="364" spans="4:9" x14ac:dyDescent="0.3">
      <c r="D364" s="100" vm="2093">
        <f ca="1"/>
        <v>44620</v>
      </c>
      <c r="E364" s="101" vm="14094">
        <f ca="1"/>
        <v>145.64099999999999</v>
      </c>
      <c r="F364" s="101" vm="14095">
        <f ca="1"/>
        <v>152.42500000000001</v>
      </c>
      <c r="G364" s="101" vm="14096">
        <f ca="1"/>
        <v>154.44999999999999</v>
      </c>
      <c r="H364" s="101" vm="14097">
        <f ca="1"/>
        <v>143.80699999999999</v>
      </c>
      <c r="I364" s="102" vm="14098">
        <f ca="1"/>
        <v>13803602</v>
      </c>
    </row>
    <row r="365" spans="4:9" x14ac:dyDescent="0.3">
      <c r="D365" s="100" vm="2099">
        <f ca="1"/>
        <v>44627</v>
      </c>
      <c r="E365" s="101" vm="14099">
        <f ca="1"/>
        <v>145.52449999999999</v>
      </c>
      <c r="F365" s="101" vm="14100">
        <f ca="1"/>
        <v>145.4435</v>
      </c>
      <c r="G365" s="101" vm="14101">
        <f ca="1"/>
        <v>149.67500000000001</v>
      </c>
      <c r="H365" s="101" vm="14102">
        <f ca="1"/>
        <v>133.57249999999999</v>
      </c>
      <c r="I365" s="102" vm="14103">
        <f ca="1"/>
        <v>23260828</v>
      </c>
    </row>
    <row r="366" spans="4:9" x14ac:dyDescent="0.3">
      <c r="D366" s="100" vm="2105">
        <f ca="1"/>
        <v>44634</v>
      </c>
      <c r="E366" s="101" vm="14104">
        <f ca="1"/>
        <v>161.25049999999999</v>
      </c>
      <c r="F366" s="101" vm="14105">
        <f ca="1"/>
        <v>145.98099999999999</v>
      </c>
      <c r="G366" s="101" vm="14106">
        <f ca="1"/>
        <v>161.59399999999999</v>
      </c>
      <c r="H366" s="101" vm="14107">
        <f ca="1"/>
        <v>140.88399999999999</v>
      </c>
      <c r="I366" s="102" vm="14108">
        <f ca="1"/>
        <v>20526299</v>
      </c>
    </row>
    <row r="367" spans="4:9" x14ac:dyDescent="0.3">
      <c r="D367" s="100" vm="2111">
        <f ca="1"/>
        <v>44641</v>
      </c>
      <c r="E367" s="101" vm="14109">
        <f ca="1"/>
        <v>164.77350000000001</v>
      </c>
      <c r="F367" s="101" vm="14110">
        <f ca="1"/>
        <v>161.1208</v>
      </c>
      <c r="G367" s="101" vm="2231">
        <f ca="1"/>
        <v>166.37</v>
      </c>
      <c r="H367" s="101" vm="14111">
        <f ca="1"/>
        <v>159.553</v>
      </c>
      <c r="I367" s="102" vm="14112">
        <f ca="1"/>
        <v>14615953</v>
      </c>
    </row>
    <row r="368" spans="4:9" x14ac:dyDescent="0.3">
      <c r="D368" s="100" vm="2117">
        <f ca="1"/>
        <v>44648</v>
      </c>
      <c r="E368" s="101" vm="2242">
        <f ca="1"/>
        <v>163.56</v>
      </c>
      <c r="F368" s="101" vm="14113">
        <f ca="1"/>
        <v>164.97499999999999</v>
      </c>
      <c r="G368" s="101" vm="14114">
        <f ca="1"/>
        <v>170.83150000000001</v>
      </c>
      <c r="H368" s="101" vm="14115">
        <f ca="1"/>
        <v>162.31950000000001</v>
      </c>
      <c r="I368" s="102" vm="14116">
        <f ca="1"/>
        <v>14961498</v>
      </c>
    </row>
    <row r="369" spans="4:9" x14ac:dyDescent="0.3">
      <c r="D369" s="100" vm="2122">
        <f ca="1"/>
        <v>44655</v>
      </c>
      <c r="E369" s="101" vm="14117">
        <f ca="1"/>
        <v>154.4605</v>
      </c>
      <c r="F369" s="101" vm="14118">
        <f ca="1"/>
        <v>164.125</v>
      </c>
      <c r="G369" s="101" vm="14119">
        <f ca="1"/>
        <v>168.39449999999999</v>
      </c>
      <c r="H369" s="101" vm="14120">
        <f ca="1"/>
        <v>154.23079999999999</v>
      </c>
      <c r="I369" s="102" vm="14121">
        <f ca="1"/>
        <v>14846536</v>
      </c>
    </row>
    <row r="370" spans="4:9" x14ac:dyDescent="0.3">
      <c r="D370" s="100" vm="2128">
        <f ca="1"/>
        <v>44662</v>
      </c>
      <c r="E370" s="101" vm="14122">
        <f ca="1"/>
        <v>151.70650000000001</v>
      </c>
      <c r="F370" s="101" vm="14123">
        <f ca="1"/>
        <v>152.71299999999999</v>
      </c>
      <c r="G370" s="101" vm="14124">
        <f ca="1"/>
        <v>156.02500000000001</v>
      </c>
      <c r="H370" s="101" vm="14125">
        <f ca="1"/>
        <v>149.6</v>
      </c>
      <c r="I370" s="102" vm="14126">
        <f ca="1"/>
        <v>10613940</v>
      </c>
    </row>
    <row r="371" spans="4:9" x14ac:dyDescent="0.3">
      <c r="D371" s="100" vm="2134">
        <f ca="1"/>
        <v>44669</v>
      </c>
      <c r="E371" s="101" vm="14127">
        <f ca="1"/>
        <v>144.35</v>
      </c>
      <c r="F371" s="101" vm="14128">
        <f ca="1"/>
        <v>151.52350000000001</v>
      </c>
      <c r="G371" s="101" vm="14129">
        <f ca="1"/>
        <v>158.649</v>
      </c>
      <c r="H371" s="101" vm="14130">
        <f ca="1"/>
        <v>143.69749999999999</v>
      </c>
      <c r="I371" s="102" vm="14131">
        <f ca="1"/>
        <v>14905893</v>
      </c>
    </row>
    <row r="372" spans="4:9" x14ac:dyDescent="0.3">
      <c r="D372" s="100" vm="2140">
        <f ca="1"/>
        <v>44676</v>
      </c>
      <c r="E372" s="101" vm="14132">
        <f ca="1"/>
        <v>124.28149999999999</v>
      </c>
      <c r="F372" s="101" vm="14133">
        <f ca="1"/>
        <v>144.023</v>
      </c>
      <c r="G372" s="101" vm="14134">
        <f ca="1"/>
        <v>146.22149999999999</v>
      </c>
      <c r="H372" s="101" vm="14135">
        <f ca="1"/>
        <v>121.625</v>
      </c>
      <c r="I372" s="102" vm="14136">
        <f ca="1"/>
        <v>30035955</v>
      </c>
    </row>
    <row r="373" spans="4:9" x14ac:dyDescent="0.3">
      <c r="D373" s="100" vm="2146">
        <f ca="1"/>
        <v>44683</v>
      </c>
      <c r="E373" s="101" vm="14137">
        <f ca="1"/>
        <v>114.77249999999999</v>
      </c>
      <c r="F373" s="101" vm="14138">
        <f ca="1"/>
        <v>122.401</v>
      </c>
      <c r="G373" s="101" vm="14139">
        <f ca="1"/>
        <v>126.2205</v>
      </c>
      <c r="H373" s="101" vm="14140">
        <f ca="1"/>
        <v>113.0813</v>
      </c>
      <c r="I373" s="102" vm="14141">
        <f ca="1"/>
        <v>30365941</v>
      </c>
    </row>
    <row r="374" spans="4:9" x14ac:dyDescent="0.3">
      <c r="D374" s="100" vm="2152">
        <f ca="1"/>
        <v>44690</v>
      </c>
      <c r="E374" s="101" vm="14142">
        <f ca="1"/>
        <v>113.05500000000001</v>
      </c>
      <c r="F374" s="101" vm="14143">
        <f ca="1"/>
        <v>111.3125</v>
      </c>
      <c r="G374" s="101" vm="14144">
        <f ca="1"/>
        <v>114</v>
      </c>
      <c r="H374" s="101" vm="14145">
        <f ca="1"/>
        <v>102.4055</v>
      </c>
      <c r="I374" s="102" vm="14146">
        <f ca="1"/>
        <v>28448577</v>
      </c>
    </row>
    <row r="375" spans="4:9" x14ac:dyDescent="0.3">
      <c r="D375" s="100" vm="2158">
        <f ca="1"/>
        <v>44697</v>
      </c>
      <c r="E375" s="101" vm="14147">
        <f ca="1"/>
        <v>107.59099999999999</v>
      </c>
      <c r="F375" s="101" vm="14148">
        <f ca="1"/>
        <v>113.1</v>
      </c>
      <c r="G375" s="101" vm="14149">
        <f ca="1"/>
        <v>115.8</v>
      </c>
      <c r="H375" s="101" vm="14150">
        <f ca="1"/>
        <v>105.0093</v>
      </c>
      <c r="I375" s="102" vm="14151">
        <f ca="1"/>
        <v>22351792</v>
      </c>
    </row>
    <row r="376" spans="4:9" x14ac:dyDescent="0.3">
      <c r="D376" s="100" vm="2164">
        <f ca="1"/>
        <v>44704</v>
      </c>
      <c r="E376" s="101" vm="14152">
        <f ca="1"/>
        <v>115.1465</v>
      </c>
      <c r="F376" s="101" vm="14153">
        <f ca="1"/>
        <v>108.461</v>
      </c>
      <c r="G376" s="101" vm="14154">
        <f ca="1"/>
        <v>115.187</v>
      </c>
      <c r="H376" s="101" vm="14155">
        <f ca="1"/>
        <v>101.26</v>
      </c>
      <c r="I376" s="102" vm="14156">
        <f ca="1"/>
        <v>24525745</v>
      </c>
    </row>
    <row r="377" spans="4:9" x14ac:dyDescent="0.3">
      <c r="D377" s="100" vm="2170">
        <f ca="1"/>
        <v>44712</v>
      </c>
      <c r="E377" s="101" vm="14157">
        <f ca="1"/>
        <v>122.35</v>
      </c>
      <c r="F377" s="101" vm="14158">
        <f ca="1"/>
        <v>116.28</v>
      </c>
      <c r="G377" s="101" vm="14159">
        <f ca="1"/>
        <v>125.61</v>
      </c>
      <c r="H377" s="101" vm="14160">
        <f ca="1"/>
        <v>115.675</v>
      </c>
      <c r="I377" s="102" vm="14161">
        <f ca="1"/>
        <v>23516357</v>
      </c>
    </row>
    <row r="378" spans="4:9" x14ac:dyDescent="0.3">
      <c r="D378" s="100" vm="2176">
        <f ca="1"/>
        <v>44718</v>
      </c>
      <c r="E378" s="101" vm="14162">
        <f ca="1"/>
        <v>109.65</v>
      </c>
      <c r="F378" s="101" vm="14163">
        <f ca="1"/>
        <v>125.245</v>
      </c>
      <c r="G378" s="101" vm="14164">
        <f ca="1"/>
        <v>128.99</v>
      </c>
      <c r="H378" s="101" vm="14165">
        <f ca="1"/>
        <v>109.05</v>
      </c>
      <c r="I378" s="102" vm="14166">
        <f ca="1"/>
        <v>439794417</v>
      </c>
    </row>
    <row r="379" spans="4:9" x14ac:dyDescent="0.3">
      <c r="D379" s="100" vm="2182">
        <f ca="1"/>
        <v>44725</v>
      </c>
      <c r="E379" s="101" vm="14167">
        <f ca="1"/>
        <v>106.22</v>
      </c>
      <c r="F379" s="101" vm="14168">
        <f ca="1"/>
        <v>104.19</v>
      </c>
      <c r="G379" s="101" vm="14169">
        <f ca="1"/>
        <v>109.06</v>
      </c>
      <c r="H379" s="101" vm="14170">
        <f ca="1"/>
        <v>101.43</v>
      </c>
      <c r="I379" s="102" vm="14171">
        <f ca="1"/>
        <v>435976011</v>
      </c>
    </row>
    <row r="380" spans="4:9" x14ac:dyDescent="0.3">
      <c r="D380" s="100" vm="2188">
        <f ca="1"/>
        <v>44733</v>
      </c>
      <c r="E380" s="101" vm="14172">
        <f ca="1"/>
        <v>116.46</v>
      </c>
      <c r="F380" s="101" vm="1610">
        <f ca="1"/>
        <v>108.2</v>
      </c>
      <c r="G380" s="101" vm="7405">
        <f ca="1"/>
        <v>116.71</v>
      </c>
      <c r="H380" s="101" vm="14173">
        <f ca="1"/>
        <v>103.56</v>
      </c>
      <c r="I380" s="102" vm="14174">
        <f ca="1"/>
        <v>265154294</v>
      </c>
    </row>
    <row r="381" spans="4:9" x14ac:dyDescent="0.3">
      <c r="D381" s="100" vm="2194">
        <f ca="1"/>
        <v>44739</v>
      </c>
      <c r="E381" s="101" vm="14175">
        <f ca="1"/>
        <v>109.56</v>
      </c>
      <c r="F381" s="101" vm="14176">
        <f ca="1"/>
        <v>117.09</v>
      </c>
      <c r="G381" s="101" vm="14177">
        <f ca="1"/>
        <v>117.98</v>
      </c>
      <c r="H381" s="101" vm="14178">
        <f ca="1"/>
        <v>102.52</v>
      </c>
      <c r="I381" s="102" vm="14179">
        <f ca="1"/>
        <v>374381181</v>
      </c>
    </row>
    <row r="382" spans="4:9" x14ac:dyDescent="0.3">
      <c r="D382" s="100" vm="2200">
        <f ca="1"/>
        <v>44747</v>
      </c>
      <c r="E382" s="101" vm="14180">
        <f ca="1"/>
        <v>115.54</v>
      </c>
      <c r="F382" s="101" vm="14181">
        <f ca="1"/>
        <v>107.6</v>
      </c>
      <c r="G382" s="101" vm="14182">
        <f ca="1"/>
        <v>116.99</v>
      </c>
      <c r="H382" s="101" vm="14183">
        <f ca="1"/>
        <v>106.3242</v>
      </c>
      <c r="I382" s="102" vm="14184">
        <f ca="1"/>
        <v>247235315</v>
      </c>
    </row>
    <row r="383" spans="4:9" x14ac:dyDescent="0.3">
      <c r="D383" s="100" vm="2206">
        <f ca="1"/>
        <v>44753</v>
      </c>
      <c r="E383" s="101" vm="14185">
        <f ca="1"/>
        <v>113.55</v>
      </c>
      <c r="F383" s="101" vm="14186">
        <f ca="1"/>
        <v>114.08</v>
      </c>
      <c r="G383" s="101" vm="14187">
        <f ca="1"/>
        <v>115.59</v>
      </c>
      <c r="H383" s="101" vm="14188">
        <f ca="1"/>
        <v>106.01</v>
      </c>
      <c r="I383" s="102" vm="14189">
        <f ca="1"/>
        <v>304655044</v>
      </c>
    </row>
    <row r="384" spans="4:9" x14ac:dyDescent="0.3">
      <c r="D384" s="100" vm="2211">
        <f ca="1"/>
        <v>44760</v>
      </c>
      <c r="E384" s="101" vm="14190">
        <f ca="1"/>
        <v>122.42</v>
      </c>
      <c r="F384" s="101" vm="14191">
        <f ca="1"/>
        <v>115</v>
      </c>
      <c r="G384" s="101" vm="14192">
        <f ca="1"/>
        <v>125.5</v>
      </c>
      <c r="H384" s="101" vm="14193">
        <f ca="1"/>
        <v>113.15</v>
      </c>
      <c r="I384" s="102" vm="14194">
        <f ca="1"/>
        <v>303077473</v>
      </c>
    </row>
    <row r="385" spans="4:9" x14ac:dyDescent="0.3">
      <c r="D385" s="100" vm="2217">
        <f ca="1"/>
        <v>44767</v>
      </c>
      <c r="E385" s="101" vm="14195">
        <f ca="1"/>
        <v>134.94999999999999</v>
      </c>
      <c r="F385" s="101" vm="14196">
        <f ca="1"/>
        <v>122.69499999999999</v>
      </c>
      <c r="G385" s="101" vm="14197">
        <f ca="1"/>
        <v>137.65</v>
      </c>
      <c r="H385" s="101" vm="14198">
        <f ca="1"/>
        <v>114.53</v>
      </c>
      <c r="I385" s="102" vm="14199">
        <f ca="1"/>
        <v>410016770</v>
      </c>
    </row>
    <row r="386" spans="4:9" x14ac:dyDescent="0.3">
      <c r="D386" s="100" vm="2223">
        <f ca="1"/>
        <v>44774</v>
      </c>
      <c r="E386" s="101" vm="14200">
        <f ca="1"/>
        <v>140.80000000000001</v>
      </c>
      <c r="F386" s="101" vm="14201">
        <f ca="1"/>
        <v>134.96</v>
      </c>
      <c r="G386" s="101" vm="14202">
        <f ca="1"/>
        <v>143.56</v>
      </c>
      <c r="H386" s="101" vm="1828">
        <f ca="1"/>
        <v>133.51</v>
      </c>
      <c r="I386" s="102" vm="14203">
        <f ca="1"/>
        <v>331869002</v>
      </c>
    </row>
    <row r="387" spans="4:9" x14ac:dyDescent="0.3">
      <c r="D387" s="100" vm="2229">
        <f ca="1"/>
        <v>44781</v>
      </c>
      <c r="E387" s="101" vm="13742">
        <f ca="1"/>
        <v>143.55000000000001</v>
      </c>
      <c r="F387" s="101" vm="7465">
        <f ca="1"/>
        <v>142.05000000000001</v>
      </c>
      <c r="G387" s="101" vm="14204">
        <f ca="1"/>
        <v>144.6</v>
      </c>
      <c r="H387" s="101" vm="14205">
        <f ca="1"/>
        <v>136.21</v>
      </c>
      <c r="I387" s="102" vm="14206">
        <f ca="1"/>
        <v>240022829</v>
      </c>
    </row>
    <row r="388" spans="4:9" x14ac:dyDescent="0.3">
      <c r="D388" s="100" vm="2234">
        <f ca="1"/>
        <v>44788</v>
      </c>
      <c r="E388" s="101" vm="14207">
        <f ca="1"/>
        <v>138.22999999999999</v>
      </c>
      <c r="F388" s="101" vm="14208">
        <f ca="1"/>
        <v>142.80000000000001</v>
      </c>
      <c r="G388" s="101" vm="14209">
        <f ca="1"/>
        <v>146.57</v>
      </c>
      <c r="H388" s="101" vm="14210">
        <f ca="1"/>
        <v>137.91419999999999</v>
      </c>
      <c r="I388" s="102" vm="14211">
        <f ca="1"/>
        <v>231518800</v>
      </c>
    </row>
    <row r="389" spans="4:9" x14ac:dyDescent="0.3">
      <c r="D389" s="100" vm="2239">
        <f ca="1"/>
        <v>44795</v>
      </c>
      <c r="E389" s="101" vm="7399">
        <f ca="1"/>
        <v>130.75</v>
      </c>
      <c r="F389" s="101" vm="14212">
        <f ca="1"/>
        <v>135.72</v>
      </c>
      <c r="G389" s="101" vm="14213">
        <f ca="1"/>
        <v>137.83000000000001</v>
      </c>
      <c r="H389" s="101" vm="14214">
        <f ca="1"/>
        <v>130.5</v>
      </c>
      <c r="I389" s="102" vm="14215">
        <f ca="1"/>
        <v>216159531</v>
      </c>
    </row>
    <row r="390" spans="4:9" x14ac:dyDescent="0.3">
      <c r="D390" s="100" vm="2244">
        <f ca="1"/>
        <v>44802</v>
      </c>
      <c r="E390" s="101" vm="14216">
        <f ca="1"/>
        <v>127.51</v>
      </c>
      <c r="F390" s="101" vm="14217">
        <f ca="1"/>
        <v>129.9</v>
      </c>
      <c r="G390" s="101" vm="14218">
        <f ca="1"/>
        <v>132.0745</v>
      </c>
      <c r="H390" s="101" vm="14219">
        <f ca="1"/>
        <v>123.66</v>
      </c>
      <c r="I390" s="102" vm="14220">
        <f ca="1"/>
        <v>265019304</v>
      </c>
    </row>
    <row r="391" spans="4:9" x14ac:dyDescent="0.3">
      <c r="D391" s="100" vm="2250">
        <f ca="1"/>
        <v>44810</v>
      </c>
      <c r="E391" s="101" vm="14221">
        <f ca="1"/>
        <v>133.27000000000001</v>
      </c>
      <c r="F391" s="101" vm="14222">
        <f ca="1"/>
        <v>127.92</v>
      </c>
      <c r="G391" s="101" vm="14223">
        <f ca="1"/>
        <v>133.69</v>
      </c>
      <c r="H391" s="101" vm="14224">
        <f ca="1"/>
        <v>124.74</v>
      </c>
      <c r="I391" s="102" vm="14225">
        <f ca="1"/>
        <v>185133842</v>
      </c>
    </row>
    <row r="392" spans="4:9" x14ac:dyDescent="0.3">
      <c r="D392" s="100" vm="2256">
        <f ca="1"/>
        <v>44816</v>
      </c>
      <c r="E392" s="101" vm="14226">
        <f ca="1"/>
        <v>123.53</v>
      </c>
      <c r="F392" s="101" vm="14227">
        <f ca="1"/>
        <v>134.095</v>
      </c>
      <c r="G392" s="101" vm="14228">
        <f ca="1"/>
        <v>136.49</v>
      </c>
      <c r="H392" s="101" vm="14229">
        <f ca="1"/>
        <v>120.7</v>
      </c>
      <c r="I392" s="102" vm="14230">
        <f ca="1"/>
        <v>340392641</v>
      </c>
    </row>
    <row r="393" spans="4:9" x14ac:dyDescent="0.3">
      <c r="D393" s="100" vm="2262">
        <f ca="1"/>
        <v>44823</v>
      </c>
      <c r="E393" s="101" vm="14231">
        <f ca="1"/>
        <v>113.78</v>
      </c>
      <c r="F393" s="101" vm="13642">
        <f ca="1"/>
        <v>122.16</v>
      </c>
      <c r="G393" s="101" vm="14232">
        <f ca="1"/>
        <v>124.71</v>
      </c>
      <c r="H393" s="101" vm="14233">
        <f ca="1"/>
        <v>112.06</v>
      </c>
      <c r="I393" s="102" vm="14234">
        <f ca="1"/>
        <v>273832901</v>
      </c>
    </row>
    <row r="394" spans="4:9" x14ac:dyDescent="0.3">
      <c r="D394" s="100" vm="2267">
        <f ca="1"/>
        <v>44830</v>
      </c>
      <c r="E394" s="101" vm="14235">
        <f ca="1"/>
        <v>113</v>
      </c>
      <c r="F394" s="101" vm="14236">
        <f ca="1"/>
        <v>113.295</v>
      </c>
      <c r="G394" s="101" vm="14237">
        <f ca="1"/>
        <v>118.7</v>
      </c>
      <c r="H394" s="101" vm="14238">
        <f ca="1"/>
        <v>112.84</v>
      </c>
      <c r="I394" s="102" vm="14239">
        <f ca="1"/>
        <v>297031011</v>
      </c>
    </row>
    <row r="395" spans="4:9" x14ac:dyDescent="0.3">
      <c r="D395" s="100" vm="2273">
        <f ca="1"/>
        <v>44837</v>
      </c>
      <c r="E395" s="101" vm="14240">
        <f ca="1"/>
        <v>114.56</v>
      </c>
      <c r="F395" s="101" vm="14241">
        <f ca="1"/>
        <v>113.58</v>
      </c>
      <c r="G395" s="101" vm="1809">
        <f ca="1"/>
        <v>123</v>
      </c>
      <c r="H395" s="101" vm="14242">
        <f ca="1"/>
        <v>112.45</v>
      </c>
      <c r="I395" s="102" vm="14243">
        <f ca="1"/>
        <v>258903688</v>
      </c>
    </row>
    <row r="396" spans="4:9" x14ac:dyDescent="0.3">
      <c r="D396" s="103" vm="2279">
        <f ca="1"/>
        <v>44844</v>
      </c>
      <c r="E396" s="101" vm="14244">
        <f ca="1"/>
        <v>106.9</v>
      </c>
      <c r="F396" s="101" vm="7555">
        <f ca="1"/>
        <v>115.1</v>
      </c>
      <c r="G396" s="101" vm="7508">
        <f ca="1"/>
        <v>116.25</v>
      </c>
      <c r="H396" s="101" vm="14245">
        <f ca="1"/>
        <v>105.345</v>
      </c>
      <c r="I396" s="102" vm="14246">
        <f ca="1"/>
        <v>299106015</v>
      </c>
    </row>
    <row r="397" spans="4:9" x14ac:dyDescent="0.3">
      <c r="D397" s="100" vm="2285">
        <f ca="1"/>
        <v>44851</v>
      </c>
      <c r="E397" s="101" vm="14247">
        <f ca="1"/>
        <v>119.32</v>
      </c>
      <c r="F397" s="101" vm="14248">
        <f ca="1"/>
        <v>110.11</v>
      </c>
      <c r="G397" s="101" vm="14249">
        <f ca="1"/>
        <v>119.59</v>
      </c>
      <c r="H397" s="101" vm="14250">
        <f ca="1"/>
        <v>110.09</v>
      </c>
      <c r="I397" s="102" vm="14251">
        <f ca="1"/>
        <v>280043144</v>
      </c>
    </row>
    <row r="398" spans="4:9" x14ac:dyDescent="0.3">
      <c r="D398" s="100" vm="2291">
        <f ca="1"/>
        <v>44858</v>
      </c>
      <c r="E398" s="101" vm="14252">
        <f ca="1"/>
        <v>103.41</v>
      </c>
      <c r="F398" s="101" vm="14253">
        <f ca="1"/>
        <v>119.98</v>
      </c>
      <c r="G398" s="101" vm="14254">
        <f ca="1"/>
        <v>121.3152</v>
      </c>
      <c r="H398" s="101" vm="14255">
        <f ca="1"/>
        <v>97.66</v>
      </c>
      <c r="I398" s="102" vm="14256">
        <f ca="1"/>
        <v>522207349</v>
      </c>
    </row>
    <row r="399" spans="4:9" x14ac:dyDescent="0.3">
      <c r="D399" s="100" vm="2297">
        <f ca="1"/>
        <v>44865</v>
      </c>
      <c r="E399" s="101" vm="14257">
        <f ca="1"/>
        <v>90.98</v>
      </c>
      <c r="F399" s="101" vm="14173">
        <f ca="1"/>
        <v>103.56</v>
      </c>
      <c r="G399" s="101" vm="14258">
        <f ca="1"/>
        <v>104.87</v>
      </c>
      <c r="H399" s="101" vm="14259">
        <f ca="1"/>
        <v>88.04</v>
      </c>
      <c r="I399" s="102" vm="14260">
        <f ca="1"/>
        <v>654167864</v>
      </c>
    </row>
    <row r="400" spans="4:9" x14ac:dyDescent="0.3">
      <c r="D400" s="100" vm="2302">
        <f ca="1"/>
        <v>44872</v>
      </c>
      <c r="E400" s="101" vm="14261">
        <f ca="1"/>
        <v>100.79</v>
      </c>
      <c r="F400" s="101" vm="14262">
        <f ca="1"/>
        <v>91.95</v>
      </c>
      <c r="G400" s="101" vm="14263">
        <f ca="1"/>
        <v>101.19</v>
      </c>
      <c r="H400" s="101" vm="14264">
        <f ca="1"/>
        <v>85.87</v>
      </c>
      <c r="I400" s="102" vm="14265">
        <f ca="1"/>
        <v>542000753</v>
      </c>
    </row>
    <row r="401" spans="4:9" x14ac:dyDescent="0.3">
      <c r="D401" s="100" vm="2308">
        <f ca="1"/>
        <v>44879</v>
      </c>
      <c r="E401" s="101" vm="14266">
        <f ca="1"/>
        <v>94.14</v>
      </c>
      <c r="F401" s="101" vm="7564">
        <f ca="1"/>
        <v>98.77</v>
      </c>
      <c r="G401" s="101" vm="14267">
        <f ca="1"/>
        <v>103.79</v>
      </c>
      <c r="H401" s="101" vm="14268">
        <f ca="1"/>
        <v>92.48</v>
      </c>
      <c r="I401" s="102" vm="14269">
        <f ca="1"/>
        <v>453874267</v>
      </c>
    </row>
    <row r="402" spans="4:9" x14ac:dyDescent="0.3">
      <c r="D402" s="100" vm="2313">
        <f ca="1"/>
        <v>44886</v>
      </c>
      <c r="E402" s="101" vm="14270">
        <f ca="1"/>
        <v>93.41</v>
      </c>
      <c r="F402" s="101" vm="14271">
        <f ca="1"/>
        <v>93.97</v>
      </c>
      <c r="G402" s="101" vm="14272">
        <f ca="1"/>
        <v>95.02</v>
      </c>
      <c r="H402" s="101" vm="14273">
        <f ca="1"/>
        <v>90.59</v>
      </c>
      <c r="I402" s="102" vm="14274">
        <f ca="1"/>
        <v>241025525</v>
      </c>
    </row>
    <row r="403" spans="4:9" x14ac:dyDescent="0.3">
      <c r="D403" s="100" vm="2319">
        <f ca="1"/>
        <v>44893</v>
      </c>
      <c r="E403" s="101" vm="14275">
        <f ca="1"/>
        <v>94.13</v>
      </c>
      <c r="F403" s="101" vm="14276">
        <f ca="1"/>
        <v>93.93</v>
      </c>
      <c r="G403" s="101" vm="14277">
        <f ca="1"/>
        <v>97.23</v>
      </c>
      <c r="H403" s="101" vm="14278">
        <f ca="1"/>
        <v>91.44</v>
      </c>
      <c r="I403" s="102" vm="14279">
        <f ca="1"/>
        <v>384419765</v>
      </c>
    </row>
    <row r="404" spans="4:9" x14ac:dyDescent="0.3">
      <c r="D404" s="100" vm="2325">
        <f ca="1"/>
        <v>44900</v>
      </c>
      <c r="E404" s="101" vm="14280">
        <f ca="1"/>
        <v>89.09</v>
      </c>
      <c r="F404" s="101" vm="14281">
        <f ca="1"/>
        <v>93.05</v>
      </c>
      <c r="G404" s="101" vm="14282">
        <f ca="1"/>
        <v>94.06</v>
      </c>
      <c r="H404" s="101" vm="14283">
        <f ca="1"/>
        <v>87.48</v>
      </c>
      <c r="I404" s="102" vm="14284">
        <f ca="1"/>
        <v>355830427</v>
      </c>
    </row>
    <row r="405" spans="4:9" x14ac:dyDescent="0.3">
      <c r="D405" s="100" vm="2330">
        <f ca="1"/>
        <v>44907</v>
      </c>
      <c r="E405" s="101" vm="14285">
        <f ca="1"/>
        <v>87.86</v>
      </c>
      <c r="F405" s="101" vm="14286">
        <f ca="1"/>
        <v>89.21</v>
      </c>
      <c r="G405" s="101" vm="13206">
        <f ca="1"/>
        <v>96.25</v>
      </c>
      <c r="H405" s="101" vm="14287">
        <f ca="1"/>
        <v>86.73</v>
      </c>
      <c r="I405" s="102" vm="14288">
        <f ca="1"/>
        <v>463456747</v>
      </c>
    </row>
    <row r="406" spans="4:9" x14ac:dyDescent="0.3">
      <c r="D406" s="100" vm="2336">
        <f ca="1"/>
        <v>44914</v>
      </c>
      <c r="E406" s="101" vm="13502">
        <f ca="1"/>
        <v>85.25</v>
      </c>
      <c r="F406" s="101" vm="14289">
        <f ca="1"/>
        <v>87.51</v>
      </c>
      <c r="G406" s="101" vm="14290">
        <f ca="1"/>
        <v>87.63</v>
      </c>
      <c r="H406" s="101" vm="14291">
        <f ca="1"/>
        <v>82.25</v>
      </c>
      <c r="I406" s="102" vm="14292">
        <f ca="1"/>
        <v>356011886</v>
      </c>
    </row>
    <row r="407" spans="4:9" x14ac:dyDescent="0.3">
      <c r="D407" s="100" vm="2342">
        <f ca="1"/>
        <v>44922</v>
      </c>
      <c r="E407" s="101" vm="14293">
        <f ca="1"/>
        <v>84</v>
      </c>
      <c r="F407" s="101" vm="14294">
        <f ca="1"/>
        <v>84.97</v>
      </c>
      <c r="G407" s="101" vm="14295">
        <f ca="1"/>
        <v>85.35</v>
      </c>
      <c r="H407" s="101" vm="14296">
        <f ca="1"/>
        <v>81.69</v>
      </c>
      <c r="I407" s="102" vm="14297">
        <f ca="1"/>
        <v>232909699</v>
      </c>
    </row>
    <row r="408" spans="4:9" x14ac:dyDescent="0.3">
      <c r="D408" s="100" vm="2348">
        <f ca="1"/>
        <v>44929</v>
      </c>
      <c r="E408" s="101" vm="14298">
        <f ca="1"/>
        <v>86.08</v>
      </c>
      <c r="F408" s="101" vm="14299">
        <f ca="1"/>
        <v>85.46</v>
      </c>
      <c r="G408" s="101" vm="14300">
        <f ca="1"/>
        <v>86.98</v>
      </c>
      <c r="H408" s="101" vm="14301">
        <f ca="1"/>
        <v>81.430000000000007</v>
      </c>
      <c r="I408" s="102" vm="14302">
        <f ca="1"/>
        <v>296825349</v>
      </c>
    </row>
    <row r="409" spans="4:9" x14ac:dyDescent="0.3">
      <c r="D409" s="100" vm="2354">
        <f ca="1"/>
        <v>44935</v>
      </c>
      <c r="E409" s="101" vm="14303">
        <f ca="1"/>
        <v>98.12</v>
      </c>
      <c r="F409" s="101" vm="7554">
        <f ca="1"/>
        <v>87.46</v>
      </c>
      <c r="G409" s="101" vm="14304">
        <f ca="1"/>
        <v>98.37</v>
      </c>
      <c r="H409" s="101" vm="14305">
        <f ca="1"/>
        <v>87.08</v>
      </c>
      <c r="I409" s="102" vm="14306">
        <f ca="1"/>
        <v>406953053</v>
      </c>
    </row>
    <row r="410" spans="4:9" x14ac:dyDescent="0.3">
      <c r="D410" s="100" vm="2360">
        <f ca="1"/>
        <v>44943</v>
      </c>
      <c r="E410" s="101" vm="14307">
        <f ca="1"/>
        <v>97.25</v>
      </c>
      <c r="F410" s="101" vm="14308">
        <f ca="1"/>
        <v>98.68</v>
      </c>
      <c r="G410" s="101" vm="14309">
        <f ca="1"/>
        <v>99.32</v>
      </c>
      <c r="H410" s="101" vm="14310">
        <f ca="1"/>
        <v>92.86</v>
      </c>
      <c r="I410" s="102" vm="14311">
        <f ca="1"/>
        <v>288809573</v>
      </c>
    </row>
    <row r="411" spans="4:9" x14ac:dyDescent="0.3">
      <c r="D411" s="100" vm="2365">
        <f ca="1"/>
        <v>44949</v>
      </c>
      <c r="E411" s="101" vm="14312">
        <f ca="1"/>
        <v>102.24</v>
      </c>
      <c r="F411" s="101" vm="14313">
        <f ca="1"/>
        <v>97.56</v>
      </c>
      <c r="G411" s="101" vm="14314">
        <f ca="1"/>
        <v>103.485</v>
      </c>
      <c r="H411" s="101" vm="14315">
        <f ca="1"/>
        <v>91.52</v>
      </c>
      <c r="I411" s="102" vm="14316">
        <f ca="1"/>
        <v>393991296</v>
      </c>
    </row>
    <row r="412" spans="4:9" x14ac:dyDescent="0.3">
      <c r="D412" s="100" vm="2371">
        <f ca="1"/>
        <v>44956</v>
      </c>
      <c r="E412" s="101" vm="14317">
        <f ca="1"/>
        <v>103.39</v>
      </c>
      <c r="F412" s="101" vm="14318">
        <f ca="1"/>
        <v>101.09</v>
      </c>
      <c r="G412" s="101" vm="14144">
        <f ca="1"/>
        <v>114</v>
      </c>
      <c r="H412" s="101" vm="14319">
        <f ca="1"/>
        <v>99.01</v>
      </c>
      <c r="I412" s="102" vm="14320">
        <f ca="1"/>
        <v>520198305</v>
      </c>
    </row>
    <row r="413" spans="4:9" x14ac:dyDescent="0.3">
      <c r="D413" s="100" vm="2376">
        <f ca="1"/>
        <v>44963</v>
      </c>
      <c r="E413" s="101" vm="14321">
        <f ca="1"/>
        <v>97.61</v>
      </c>
      <c r="F413" s="101" vm="14322">
        <f ca="1"/>
        <v>102.925</v>
      </c>
      <c r="G413" s="101" vm="14323">
        <f ca="1"/>
        <v>103.94840000000001</v>
      </c>
      <c r="H413" s="101" vm="14324">
        <f ca="1"/>
        <v>96.23</v>
      </c>
      <c r="I413" s="102" vm="14325">
        <f ca="1"/>
        <v>394687426</v>
      </c>
    </row>
    <row r="414" spans="4:9" x14ac:dyDescent="0.3">
      <c r="D414" s="100" vm="2382">
        <f ca="1"/>
        <v>44970</v>
      </c>
      <c r="E414" s="101" vm="14326">
        <f ca="1"/>
        <v>97.2</v>
      </c>
      <c r="F414" s="101" vm="13613">
        <f ca="1"/>
        <v>97.85</v>
      </c>
      <c r="G414" s="101" vm="14327">
        <f ca="1"/>
        <v>101.17</v>
      </c>
      <c r="H414" s="101" vm="14328">
        <f ca="1"/>
        <v>95.65</v>
      </c>
      <c r="I414" s="102" vm="14329">
        <f ca="1"/>
        <v>273466819</v>
      </c>
    </row>
    <row r="415" spans="4:9" x14ac:dyDescent="0.3">
      <c r="D415" s="100" vm="2388">
        <f ca="1"/>
        <v>44978</v>
      </c>
      <c r="E415" s="101" vm="14330">
        <f ca="1"/>
        <v>93.5</v>
      </c>
      <c r="F415" s="101" vm="14331">
        <f ca="1"/>
        <v>95.334999999999994</v>
      </c>
      <c r="G415" s="101" vm="14332">
        <f ca="1"/>
        <v>97.01</v>
      </c>
      <c r="H415" s="101" vm="14333">
        <f ca="1"/>
        <v>92.318600000000004</v>
      </c>
      <c r="I415" s="102" vm="14334">
        <f ca="1"/>
        <v>221635260</v>
      </c>
    </row>
    <row r="416" spans="4:9" x14ac:dyDescent="0.3">
      <c r="D416" s="100" vm="2394">
        <f ca="1"/>
        <v>44984</v>
      </c>
      <c r="E416" s="101" vm="13569">
        <f ca="1"/>
        <v>94.9</v>
      </c>
      <c r="F416" s="101" vm="14335">
        <f ca="1"/>
        <v>94.28</v>
      </c>
      <c r="G416" s="101" vm="14336">
        <f ca="1"/>
        <v>94.94</v>
      </c>
      <c r="H416" s="101" vm="14337">
        <f ca="1"/>
        <v>90.39</v>
      </c>
      <c r="I416" s="102" vm="14338">
        <f ca="1"/>
        <v>255063564</v>
      </c>
    </row>
    <row r="417" spans="4:9" x14ac:dyDescent="0.3">
      <c r="D417" s="100" vm="2400">
        <f ca="1"/>
        <v>44991</v>
      </c>
      <c r="E417" s="101" vm="14339">
        <f ca="1"/>
        <v>90.73</v>
      </c>
      <c r="F417" s="101" vm="14340">
        <f ca="1"/>
        <v>95.19</v>
      </c>
      <c r="G417" s="101" vm="14341">
        <f ca="1"/>
        <v>96.545000000000002</v>
      </c>
      <c r="H417" s="101" vm="14342">
        <f ca="1"/>
        <v>90.245000000000005</v>
      </c>
      <c r="I417" s="102" vm="14343">
        <f ca="1"/>
        <v>272158346</v>
      </c>
    </row>
    <row r="418" spans="4:9" x14ac:dyDescent="0.3">
      <c r="D418" s="100" vm="2406">
        <f ca="1"/>
        <v>44998</v>
      </c>
      <c r="E418" s="101" vm="14344">
        <f ca="1"/>
        <v>98.95</v>
      </c>
      <c r="F418" s="101" vm="14345">
        <f ca="1"/>
        <v>89.97</v>
      </c>
      <c r="G418" s="101" vm="14346">
        <f ca="1"/>
        <v>100.99</v>
      </c>
      <c r="H418" s="101" vm="14347">
        <f ca="1"/>
        <v>88.12</v>
      </c>
      <c r="I418" s="102" vm="14348">
        <f ca="1"/>
        <v>375900695</v>
      </c>
    </row>
    <row r="419" spans="4:9" x14ac:dyDescent="0.3">
      <c r="D419" s="100" vm="2411">
        <f ca="1"/>
        <v>45005</v>
      </c>
      <c r="E419" s="101" vm="14349">
        <f ca="1"/>
        <v>98.13</v>
      </c>
      <c r="F419" s="101" vm="14350">
        <f ca="1"/>
        <v>98.41</v>
      </c>
      <c r="G419" s="101" vm="14351">
        <f ca="1"/>
        <v>102.1</v>
      </c>
      <c r="H419" s="101" vm="14352">
        <f ca="1"/>
        <v>95.7</v>
      </c>
      <c r="I419" s="102" vm="14353">
        <f ca="1"/>
        <v>292165662</v>
      </c>
    </row>
    <row r="420" spans="4:9" x14ac:dyDescent="0.3">
      <c r="D420" s="100" vm="2417">
        <f ca="1"/>
        <v>45012</v>
      </c>
      <c r="E420" s="101" vm="14354">
        <f ca="1"/>
        <v>103.29</v>
      </c>
      <c r="F420" s="101" vm="14355">
        <f ca="1"/>
        <v>99.07</v>
      </c>
      <c r="G420" s="101" vm="14356">
        <f ca="1"/>
        <v>103.49</v>
      </c>
      <c r="H420" s="101" vm="14357">
        <f ca="1"/>
        <v>96.29</v>
      </c>
      <c r="I420" s="102" vm="14358">
        <f ca="1"/>
        <v>245608340</v>
      </c>
    </row>
    <row r="421" spans="4:9" x14ac:dyDescent="0.3">
      <c r="D421" s="100" vm="2423">
        <f ca="1"/>
        <v>45019</v>
      </c>
      <c r="E421" s="101" vm="14359">
        <f ca="1"/>
        <v>102.06</v>
      </c>
      <c r="F421" s="101" vm="14360">
        <f ca="1"/>
        <v>102.3</v>
      </c>
      <c r="G421" s="101" vm="14361">
        <f ca="1"/>
        <v>104.2</v>
      </c>
      <c r="H421" s="101" vm="14362">
        <f ca="1"/>
        <v>99.800799999999995</v>
      </c>
      <c r="I421" s="102" vm="14363">
        <f ca="1"/>
        <v>178781642</v>
      </c>
    </row>
    <row r="422" spans="4:9" x14ac:dyDescent="0.3">
      <c r="D422" s="100" vm="2429">
        <f ca="1"/>
        <v>45026</v>
      </c>
      <c r="E422" s="101" vm="14364">
        <f ca="1"/>
        <v>102.51</v>
      </c>
      <c r="F422" s="101" vm="14365">
        <f ca="1"/>
        <v>100.96</v>
      </c>
      <c r="G422" s="101" vm="14366">
        <f ca="1"/>
        <v>103.2013</v>
      </c>
      <c r="H422" s="101" vm="14367">
        <f ca="1"/>
        <v>97.704999999999998</v>
      </c>
      <c r="I422" s="102" vm="14368">
        <f ca="1"/>
        <v>273789699</v>
      </c>
    </row>
    <row r="423" spans="4:9" x14ac:dyDescent="0.3">
      <c r="D423" s="100" vm="2435">
        <f ca="1"/>
        <v>45033</v>
      </c>
      <c r="E423" s="101" vm="14369">
        <f ca="1"/>
        <v>106.96</v>
      </c>
      <c r="F423" s="101" vm="14370">
        <f ca="1"/>
        <v>103.16</v>
      </c>
      <c r="G423" s="101" vm="14371">
        <f ca="1"/>
        <v>108.15</v>
      </c>
      <c r="H423" s="101" vm="14372">
        <f ca="1"/>
        <v>101.39</v>
      </c>
      <c r="I423" s="102" vm="14373">
        <f ca="1"/>
        <v>282579916</v>
      </c>
    </row>
    <row r="424" spans="4:9" x14ac:dyDescent="0.3">
      <c r="D424" s="100" vm="2440">
        <f ca="1"/>
        <v>45040</v>
      </c>
      <c r="E424" s="101" vm="14374">
        <f ca="1"/>
        <v>105.45</v>
      </c>
      <c r="F424" s="101" vm="14375">
        <f ca="1"/>
        <v>107.655</v>
      </c>
      <c r="G424" s="101" vm="14376">
        <f ca="1"/>
        <v>110.86</v>
      </c>
      <c r="H424" s="101" vm="14377">
        <f ca="1"/>
        <v>102.45</v>
      </c>
      <c r="I424" s="102" vm="14378">
        <f ca="1"/>
        <v>489083331</v>
      </c>
    </row>
    <row r="425" spans="4:9" x14ac:dyDescent="0.3">
      <c r="D425" s="100" vm="2445">
        <f ca="1"/>
        <v>45047</v>
      </c>
      <c r="E425" s="101" vm="14379">
        <f ca="1"/>
        <v>105.655</v>
      </c>
      <c r="F425" s="101" vm="14380">
        <f ca="1"/>
        <v>104.95</v>
      </c>
      <c r="G425" s="101" vm="14381">
        <f ca="1"/>
        <v>105.96</v>
      </c>
      <c r="H425" s="101" vm="14382">
        <f ca="1"/>
        <v>101.15</v>
      </c>
      <c r="I425" s="102" vm="14383">
        <f ca="1"/>
        <v>315546638</v>
      </c>
    </row>
    <row r="426" spans="4:9" x14ac:dyDescent="0.3">
      <c r="D426" s="100" vm="2451">
        <f ca="1"/>
        <v>45054</v>
      </c>
      <c r="E426" s="101" vm="14384">
        <f ca="1"/>
        <v>110.26</v>
      </c>
      <c r="F426" s="101" vm="14385">
        <f ca="1"/>
        <v>105.04</v>
      </c>
      <c r="G426" s="101" vm="14386">
        <f ca="1"/>
        <v>113.28</v>
      </c>
      <c r="H426" s="101" vm="14387">
        <f ca="1"/>
        <v>104.70010000000001</v>
      </c>
      <c r="I426" s="102" vm="14388">
        <f ca="1"/>
        <v>296925396</v>
      </c>
    </row>
    <row r="427" spans="4:9" x14ac:dyDescent="0.3">
      <c r="D427" s="100" vm="2457">
        <f ca="1"/>
        <v>45061</v>
      </c>
      <c r="E427" s="101" vm="7508">
        <f ca="1"/>
        <v>116.25</v>
      </c>
      <c r="F427" s="101" vm="14389">
        <f ca="1"/>
        <v>111.15</v>
      </c>
      <c r="G427" s="101" vm="14390">
        <f ca="1"/>
        <v>118.6</v>
      </c>
      <c r="H427" s="101" vm="14391">
        <f ca="1"/>
        <v>109.25</v>
      </c>
      <c r="I427" s="102" vm="14392">
        <f ca="1"/>
        <v>318369624</v>
      </c>
    </row>
    <row r="428" spans="4:9" x14ac:dyDescent="0.3">
      <c r="D428" s="100" vm="2463">
        <f ca="1"/>
        <v>45068</v>
      </c>
      <c r="E428" s="101" vm="14393">
        <f ca="1"/>
        <v>120.11</v>
      </c>
      <c r="F428" s="101" vm="14394">
        <f ca="1"/>
        <v>116.77</v>
      </c>
      <c r="G428" s="101" vm="14395">
        <f ca="1"/>
        <v>121.5</v>
      </c>
      <c r="H428" s="101" vm="14231">
        <f ca="1"/>
        <v>113.78</v>
      </c>
      <c r="I428" s="102" vm="14396">
        <f ca="1"/>
        <v>365081893</v>
      </c>
    </row>
    <row r="429" spans="4:9" x14ac:dyDescent="0.3">
      <c r="D429" s="100" vm="2469">
        <f ca="1"/>
        <v>45076</v>
      </c>
      <c r="E429" s="101" vm="14397">
        <f ca="1"/>
        <v>124.25</v>
      </c>
      <c r="F429" s="101" vm="14398">
        <f ca="1"/>
        <v>122.37</v>
      </c>
      <c r="G429" s="101" vm="14399">
        <f ca="1"/>
        <v>126.39</v>
      </c>
      <c r="H429" s="101" vm="14400">
        <f ca="1"/>
        <v>119.17</v>
      </c>
      <c r="I429" s="102" vm="14401">
        <f ca="1"/>
        <v>252755140</v>
      </c>
    </row>
    <row r="430" spans="4:9" x14ac:dyDescent="0.3">
      <c r="D430" s="100" vm="2475">
        <f ca="1"/>
        <v>45082</v>
      </c>
      <c r="E430" s="101" vm="14402">
        <f ca="1"/>
        <v>123.43</v>
      </c>
      <c r="F430" s="101" vm="14403">
        <f ca="1"/>
        <v>123.36</v>
      </c>
      <c r="G430" s="101" vm="14404">
        <f ca="1"/>
        <v>127.4</v>
      </c>
      <c r="H430" s="101" vm="14405">
        <f ca="1"/>
        <v>120.63</v>
      </c>
      <c r="I430" s="102" vm="14406">
        <f ca="1"/>
        <v>302863903</v>
      </c>
    </row>
    <row r="431" spans="4:9" x14ac:dyDescent="0.3">
      <c r="D431" s="100" vm="2481">
        <f ca="1"/>
        <v>45089</v>
      </c>
      <c r="E431" s="101" vm="14407">
        <f ca="1"/>
        <v>125.49</v>
      </c>
      <c r="F431" s="101" vm="14408">
        <f ca="1"/>
        <v>124.02</v>
      </c>
      <c r="G431" s="101" vm="14409">
        <f ca="1"/>
        <v>128.41</v>
      </c>
      <c r="H431" s="101" vm="14226">
        <f ca="1"/>
        <v>123.53</v>
      </c>
      <c r="I431" s="102" vm="14410">
        <f ca="1"/>
        <v>299166199</v>
      </c>
    </row>
    <row r="432" spans="4:9" x14ac:dyDescent="0.3">
      <c r="D432" s="100" vm="2487">
        <f ca="1"/>
        <v>45097</v>
      </c>
      <c r="E432" s="101" vm="14411">
        <f ca="1"/>
        <v>129.33000000000001</v>
      </c>
      <c r="F432" s="101" vm="14412">
        <f ca="1"/>
        <v>124.97</v>
      </c>
      <c r="G432" s="101" vm="14413">
        <f ca="1"/>
        <v>130.84</v>
      </c>
      <c r="H432" s="101" vm="14414">
        <f ca="1"/>
        <v>123.85</v>
      </c>
      <c r="I432" s="102" vm="14415">
        <f ca="1"/>
        <v>270994912</v>
      </c>
    </row>
    <row r="433" spans="4:9" x14ac:dyDescent="0.3">
      <c r="D433" s="100" vm="2493">
        <f ca="1"/>
        <v>45103</v>
      </c>
      <c r="E433" s="101" vm="14416">
        <f ca="1"/>
        <v>130.36000000000001</v>
      </c>
      <c r="F433" s="101" vm="14411">
        <f ca="1"/>
        <v>129.33000000000001</v>
      </c>
      <c r="G433" s="101" vm="14417">
        <f ca="1"/>
        <v>131.49</v>
      </c>
      <c r="H433" s="101" vm="14418">
        <f ca="1"/>
        <v>127.1</v>
      </c>
      <c r="I433" s="102" vm="14419">
        <f ca="1"/>
        <v>254051480</v>
      </c>
    </row>
    <row r="434" spans="4:9" x14ac:dyDescent="0.3">
      <c r="D434" s="100" vm="2499">
        <f ca="1"/>
        <v>45110</v>
      </c>
      <c r="E434" s="101" vm="14420">
        <f ca="1"/>
        <v>129.78</v>
      </c>
      <c r="F434" s="101" vm="14421">
        <f ca="1"/>
        <v>130.82</v>
      </c>
      <c r="G434" s="101" vm="14422">
        <f ca="1"/>
        <v>131.85</v>
      </c>
      <c r="H434" s="101" vm="14423">
        <f ca="1"/>
        <v>127.37</v>
      </c>
      <c r="I434" s="102" vm="14424">
        <f ca="1"/>
        <v>146850293</v>
      </c>
    </row>
    <row r="435" spans="4:9" x14ac:dyDescent="0.3">
      <c r="D435" s="100" vm="2505">
        <f ca="1"/>
        <v>45117</v>
      </c>
      <c r="E435" s="101" vm="14425">
        <f ca="1"/>
        <v>134.68</v>
      </c>
      <c r="F435" s="101" vm="14426">
        <f ca="1"/>
        <v>129.07</v>
      </c>
      <c r="G435" s="101" vm="14427">
        <f ca="1"/>
        <v>136.65</v>
      </c>
      <c r="H435" s="101" vm="14428">
        <f ca="1"/>
        <v>125.91500000000001</v>
      </c>
      <c r="I435" s="102" vm="14429">
        <f ca="1"/>
        <v>281521569</v>
      </c>
    </row>
    <row r="436" spans="4:9" x14ac:dyDescent="0.3">
      <c r="D436" s="100" vm="2511">
        <f ca="1"/>
        <v>45124</v>
      </c>
      <c r="E436" s="101" vm="14430">
        <f ca="1"/>
        <v>130</v>
      </c>
      <c r="F436" s="101" vm="14431">
        <f ca="1"/>
        <v>134.56</v>
      </c>
      <c r="G436" s="101" vm="14432">
        <f ca="1"/>
        <v>135.99</v>
      </c>
      <c r="H436" s="101" vm="14433">
        <f ca="1"/>
        <v>128.41499999999999</v>
      </c>
      <c r="I436" s="102" vm="14434">
        <f ca="1"/>
        <v>351078241</v>
      </c>
    </row>
    <row r="437" spans="4:9" x14ac:dyDescent="0.3">
      <c r="D437" s="100" vm="2517">
        <f ca="1"/>
        <v>45131</v>
      </c>
      <c r="E437" s="101" vm="14435">
        <f ca="1"/>
        <v>132.21</v>
      </c>
      <c r="F437" s="101" vm="14436">
        <f ca="1"/>
        <v>130.30500000000001</v>
      </c>
      <c r="G437" s="101" vm="14437">
        <f ca="1"/>
        <v>133.01</v>
      </c>
      <c r="H437" s="101" vm="14438">
        <f ca="1"/>
        <v>126.11</v>
      </c>
      <c r="I437" s="102" vm="14439">
        <f ca="1"/>
        <v>237746327</v>
      </c>
    </row>
    <row r="438" spans="4:9" x14ac:dyDescent="0.3">
      <c r="D438" s="100" vm="2523">
        <f ca="1"/>
        <v>45138</v>
      </c>
      <c r="E438" s="101" vm="14440">
        <f ca="1"/>
        <v>139.57</v>
      </c>
      <c r="F438" s="101" vm="14441">
        <f ca="1"/>
        <v>133.19999999999999</v>
      </c>
      <c r="G438" s="101" vm="1899">
        <f ca="1"/>
        <v>143.63</v>
      </c>
      <c r="H438" s="101" vm="14442">
        <f ca="1"/>
        <v>126.41</v>
      </c>
      <c r="I438" s="102" vm="14443">
        <f ca="1"/>
        <v>379520261</v>
      </c>
    </row>
    <row r="439" spans="4:9" x14ac:dyDescent="0.3">
      <c r="D439" s="100" vm="2529">
        <f ca="1"/>
        <v>45145</v>
      </c>
      <c r="E439" s="101" vm="14444">
        <f ca="1"/>
        <v>138.41</v>
      </c>
      <c r="F439" s="101" vm="14445">
        <f ca="1"/>
        <v>140.99</v>
      </c>
      <c r="G439" s="101" vm="1911">
        <f ca="1"/>
        <v>142.54</v>
      </c>
      <c r="H439" s="101" vm="14446">
        <f ca="1"/>
        <v>137</v>
      </c>
      <c r="I439" s="102" vm="14447">
        <f ca="1"/>
        <v>274775193</v>
      </c>
    </row>
    <row r="440" spans="4:9" x14ac:dyDescent="0.3">
      <c r="D440" s="100" vm="2534">
        <f ca="1"/>
        <v>45152</v>
      </c>
      <c r="E440" s="101" vm="14448">
        <f ca="1"/>
        <v>133.22</v>
      </c>
      <c r="F440" s="101" vm="14449">
        <f ca="1"/>
        <v>138.30000000000001</v>
      </c>
      <c r="G440" s="101" vm="14450">
        <f ca="1"/>
        <v>141.27780000000001</v>
      </c>
      <c r="H440" s="101" vm="14451">
        <f ca="1"/>
        <v>131.15</v>
      </c>
      <c r="I440" s="102" vm="14452">
        <f ca="1"/>
        <v>228457906</v>
      </c>
    </row>
    <row r="441" spans="4:9" x14ac:dyDescent="0.3">
      <c r="D441" s="100" vm="2540">
        <f ca="1"/>
        <v>45159</v>
      </c>
      <c r="E441" s="101" vm="14453">
        <f ca="1"/>
        <v>133.26</v>
      </c>
      <c r="F441" s="101" vm="14454">
        <f ca="1"/>
        <v>133.74</v>
      </c>
      <c r="G441" s="101" vm="14455">
        <f ca="1"/>
        <v>136.77500000000001</v>
      </c>
      <c r="H441" s="101" vm="14456">
        <f ca="1"/>
        <v>130.58000000000001</v>
      </c>
      <c r="I441" s="102" vm="14457">
        <f ca="1"/>
        <v>204972331</v>
      </c>
    </row>
    <row r="442" spans="4:9" x14ac:dyDescent="0.3">
      <c r="D442" s="100" vm="2546">
        <f ca="1"/>
        <v>45166</v>
      </c>
      <c r="E442" s="101" vm="2367">
        <f ca="1"/>
        <v>138.12</v>
      </c>
      <c r="F442" s="101" vm="14458">
        <f ca="1"/>
        <v>133.78</v>
      </c>
      <c r="G442" s="101" vm="1885">
        <f ca="1"/>
        <v>139.96</v>
      </c>
      <c r="H442" s="101" vm="14422">
        <f ca="1"/>
        <v>131.85</v>
      </c>
      <c r="I442" s="102" vm="14459">
        <f ca="1"/>
        <v>208664368</v>
      </c>
    </row>
    <row r="443" spans="4:9" x14ac:dyDescent="0.3">
      <c r="D443" s="100" vm="2552">
        <f ca="1"/>
        <v>45174</v>
      </c>
      <c r="E443" s="101" vm="14207">
        <f ca="1"/>
        <v>138.22999999999999</v>
      </c>
      <c r="F443" s="101" vm="14460">
        <f ca="1"/>
        <v>137.72999999999999</v>
      </c>
      <c r="G443" s="101" vm="14461">
        <f ca="1"/>
        <v>138.8519</v>
      </c>
      <c r="H443" s="101" vm="14462">
        <f ca="1"/>
        <v>133.16</v>
      </c>
      <c r="I443" s="102" vm="14463">
        <f ca="1"/>
        <v>169287086</v>
      </c>
    </row>
    <row r="444" spans="4:9" x14ac:dyDescent="0.3">
      <c r="D444" s="100" vm="2558">
        <f ca="1"/>
        <v>45180</v>
      </c>
      <c r="E444" s="101" vm="14464">
        <f ca="1"/>
        <v>140.38999999999999</v>
      </c>
      <c r="F444" s="101" vm="7498">
        <f ca="1"/>
        <v>138.75</v>
      </c>
      <c r="G444" s="101" vm="1908">
        <f ca="1"/>
        <v>145.86000000000001</v>
      </c>
      <c r="H444" s="101" vm="14465">
        <f ca="1"/>
        <v>138.63999999999999</v>
      </c>
      <c r="I444" s="102" vm="14466">
        <f ca="1"/>
        <v>326841086</v>
      </c>
    </row>
    <row r="445" spans="4:9" x14ac:dyDescent="0.3">
      <c r="D445" s="100" vm="2564">
        <f ca="1"/>
        <v>45187</v>
      </c>
      <c r="E445" s="101" vm="14467">
        <f ca="1"/>
        <v>129.12</v>
      </c>
      <c r="F445" s="101" vm="14468">
        <f ca="1"/>
        <v>140.47999999999999</v>
      </c>
      <c r="G445" s="101" vm="14469">
        <f ca="1"/>
        <v>141.75</v>
      </c>
      <c r="H445" s="101" vm="14470">
        <f ca="1"/>
        <v>128.52000000000001</v>
      </c>
      <c r="I445" s="102" vm="14471">
        <f ca="1"/>
        <v>280817356</v>
      </c>
    </row>
    <row r="446" spans="4:9" x14ac:dyDescent="0.3">
      <c r="D446" s="100" vm="2570">
        <f ca="1"/>
        <v>45194</v>
      </c>
      <c r="E446" s="101" vm="14472">
        <f ca="1"/>
        <v>127.12</v>
      </c>
      <c r="F446" s="101" vm="14473">
        <f ca="1"/>
        <v>129.36000000000001</v>
      </c>
      <c r="G446" s="101" vm="14474">
        <f ca="1"/>
        <v>131.78</v>
      </c>
      <c r="H446" s="101" vm="14475">
        <f ca="1"/>
        <v>123.04</v>
      </c>
      <c r="I446" s="102" vm="14476">
        <f ca="1"/>
        <v>302586179</v>
      </c>
    </row>
    <row r="447" spans="4:9" x14ac:dyDescent="0.3">
      <c r="D447" s="100" vm="2576">
        <f ca="1"/>
        <v>45201</v>
      </c>
      <c r="E447" s="101" vm="14477">
        <f ca="1"/>
        <v>127.96</v>
      </c>
      <c r="F447" s="101" vm="14478">
        <f ca="1"/>
        <v>127.28</v>
      </c>
      <c r="G447" s="101" vm="14479">
        <f ca="1"/>
        <v>130.47</v>
      </c>
      <c r="H447" s="101" vm="14480">
        <f ca="1"/>
        <v>124.13</v>
      </c>
      <c r="I447" s="102" vm="14481">
        <f ca="1"/>
        <v>230295946</v>
      </c>
    </row>
    <row r="448" spans="4:9" x14ac:dyDescent="0.3">
      <c r="D448" s="100" vm="2582">
        <f ca="1"/>
        <v>45208</v>
      </c>
      <c r="E448" s="101" vm="14482">
        <f ca="1"/>
        <v>129.79</v>
      </c>
      <c r="F448" s="101" vm="14483">
        <f ca="1"/>
        <v>126.22</v>
      </c>
      <c r="G448" s="101" vm="14484">
        <f ca="1"/>
        <v>134.47999999999999</v>
      </c>
      <c r="H448" s="101" vm="14485">
        <f ca="1"/>
        <v>124.76</v>
      </c>
      <c r="I448" s="102" vm="14486">
        <f ca="1"/>
        <v>223047465</v>
      </c>
    </row>
    <row r="449" spans="4:9" x14ac:dyDescent="0.3">
      <c r="D449" s="100" vm="2588">
        <f ca="1"/>
        <v>45215</v>
      </c>
      <c r="E449" s="101" vm="14487">
        <f ca="1"/>
        <v>125.17</v>
      </c>
      <c r="F449" s="101" vm="14488">
        <f ca="1"/>
        <v>130.69</v>
      </c>
      <c r="G449" s="101" vm="14489">
        <f ca="1"/>
        <v>133.07</v>
      </c>
      <c r="H449" s="101" vm="14412">
        <f ca="1"/>
        <v>124.97</v>
      </c>
      <c r="I449" s="102" vm="14490">
        <f ca="1"/>
        <v>252244712</v>
      </c>
    </row>
    <row r="450" spans="4:9" x14ac:dyDescent="0.3">
      <c r="D450" s="100" vm="2594">
        <f ca="1"/>
        <v>45222</v>
      </c>
      <c r="E450" s="101" vm="14491">
        <f ca="1"/>
        <v>127.74</v>
      </c>
      <c r="F450" s="101" vm="14492">
        <f ca="1"/>
        <v>124.63</v>
      </c>
      <c r="G450" s="101" vm="14493">
        <f ca="1"/>
        <v>130.02000000000001</v>
      </c>
      <c r="H450" s="101" vm="14494">
        <f ca="1"/>
        <v>118.35</v>
      </c>
      <c r="I450" s="102" vm="14495">
        <f ca="1"/>
        <v>395043681</v>
      </c>
    </row>
    <row r="451" spans="4:9" x14ac:dyDescent="0.3">
      <c r="D451" s="100" vm="2600">
        <f ca="1"/>
        <v>45229</v>
      </c>
      <c r="E451" s="101" vm="14496">
        <f ca="1"/>
        <v>138.6</v>
      </c>
      <c r="F451" s="101" vm="1782">
        <f ca="1"/>
        <v>129.72</v>
      </c>
      <c r="G451" s="101" vm="14497">
        <f ca="1"/>
        <v>139.49</v>
      </c>
      <c r="H451" s="101" vm="14498">
        <f ca="1"/>
        <v>128.56</v>
      </c>
      <c r="I451" s="102" vm="14499">
        <f ca="1"/>
        <v>281900829</v>
      </c>
    </row>
    <row r="452" spans="4:9" x14ac:dyDescent="0.3">
      <c r="D452" s="100" vm="2605">
        <f ca="1"/>
        <v>45236</v>
      </c>
      <c r="E452" s="101" vm="14202">
        <f ca="1"/>
        <v>143.56</v>
      </c>
      <c r="F452" s="101" vm="14500">
        <f ca="1"/>
        <v>138.76</v>
      </c>
      <c r="G452" s="101" vm="14501">
        <f ca="1"/>
        <v>143.65</v>
      </c>
      <c r="H452" s="101" vm="14502">
        <f ca="1"/>
        <v>138.36000000000001</v>
      </c>
      <c r="I452" s="102" vm="14503">
        <f ca="1"/>
        <v>228630916</v>
      </c>
    </row>
    <row r="453" spans="4:9" x14ac:dyDescent="0.3">
      <c r="D453" s="100" vm="2611">
        <f ca="1"/>
        <v>45243</v>
      </c>
      <c r="E453" s="101" vm="1917">
        <f ca="1"/>
        <v>145.18</v>
      </c>
      <c r="F453" s="101" vm="14504">
        <f ca="1"/>
        <v>142.08000000000001</v>
      </c>
      <c r="G453" s="101" vm="14505">
        <f ca="1"/>
        <v>147.29</v>
      </c>
      <c r="H453" s="101" vm="14506">
        <f ca="1"/>
        <v>139.52000000000001</v>
      </c>
      <c r="I453" s="102" vm="14507">
        <f ca="1"/>
        <v>255562790</v>
      </c>
    </row>
    <row r="454" spans="4:9" x14ac:dyDescent="0.3">
      <c r="D454" s="100" vm="2617">
        <f ca="1"/>
        <v>45250</v>
      </c>
      <c r="E454" s="101" vm="14508">
        <f ca="1"/>
        <v>146.74</v>
      </c>
      <c r="F454" s="101" vm="14509">
        <f ca="1"/>
        <v>145.13</v>
      </c>
      <c r="G454" s="101" vm="14510">
        <f ca="1"/>
        <v>147.74</v>
      </c>
      <c r="H454" s="101" vm="14511">
        <f ca="1"/>
        <v>141.5</v>
      </c>
      <c r="I454" s="102" vm="14512">
        <f ca="1"/>
        <v>181283139</v>
      </c>
    </row>
    <row r="455" spans="4:9" x14ac:dyDescent="0.3">
      <c r="D455" s="100" vm="2623">
        <f ca="1"/>
        <v>45257</v>
      </c>
      <c r="E455" s="101" vm="2178">
        <f ca="1"/>
        <v>147.03</v>
      </c>
      <c r="F455" s="101" vm="14513">
        <f ca="1"/>
        <v>147.53</v>
      </c>
      <c r="G455" s="101" vm="14514">
        <f ca="1"/>
        <v>149.26</v>
      </c>
      <c r="H455" s="101" vm="14515">
        <f ca="1"/>
        <v>144.33199999999999</v>
      </c>
      <c r="I455" s="102" vm="14516">
        <f ca="1"/>
        <v>242850872</v>
      </c>
    </row>
    <row r="456" spans="4:9" x14ac:dyDescent="0.3">
      <c r="D456" s="100" vm="2628">
        <f ca="1"/>
        <v>45264</v>
      </c>
      <c r="E456" s="101" vm="14517">
        <f ca="1"/>
        <v>147.41999999999999</v>
      </c>
      <c r="F456" s="101" vm="14518">
        <f ca="1"/>
        <v>145.25</v>
      </c>
      <c r="G456" s="101" vm="14519">
        <f ca="1"/>
        <v>148.57</v>
      </c>
      <c r="H456" s="101" vm="14520">
        <f ca="1"/>
        <v>142.81</v>
      </c>
      <c r="I456" s="102" vm="14521">
        <f ca="1"/>
        <v>229054410</v>
      </c>
    </row>
    <row r="457" spans="4:9" x14ac:dyDescent="0.3">
      <c r="D457" s="100" vm="2633">
        <f ca="1"/>
        <v>45271</v>
      </c>
      <c r="E457" s="101" vm="14522">
        <f ca="1"/>
        <v>149.97</v>
      </c>
      <c r="F457" s="101" vm="14523">
        <f ca="1"/>
        <v>145.66</v>
      </c>
      <c r="G457" s="101" vm="14524">
        <f ca="1"/>
        <v>150.57</v>
      </c>
      <c r="H457" s="101" vm="14525">
        <f ca="1"/>
        <v>143.63999999999999</v>
      </c>
      <c r="I457" s="102" vm="14526">
        <f ca="1"/>
        <v>317107938</v>
      </c>
    </row>
    <row r="458" spans="4:9" x14ac:dyDescent="0.3">
      <c r="D458" s="100" vm="2639">
        <f ca="1"/>
        <v>45278</v>
      </c>
      <c r="E458" s="101" vm="14527">
        <f ca="1"/>
        <v>153.41999999999999</v>
      </c>
      <c r="F458" s="101" vm="14528">
        <f ca="1"/>
        <v>150.56</v>
      </c>
      <c r="G458" s="101" vm="14529">
        <f ca="1"/>
        <v>155.63</v>
      </c>
      <c r="H458" s="101" vm="14530">
        <f ca="1"/>
        <v>150.05000000000001</v>
      </c>
      <c r="I458" s="102" vm="14531">
        <f ca="1"/>
        <v>221826052</v>
      </c>
    </row>
    <row r="459" spans="4:9" x14ac:dyDescent="0.3">
      <c r="D459" s="100" vm="2645">
        <f ca="1"/>
        <v>45286</v>
      </c>
      <c r="E459" s="101" vm="14532">
        <f ca="1"/>
        <v>151.94</v>
      </c>
      <c r="F459" s="101" vm="14533">
        <f ca="1"/>
        <v>153.56</v>
      </c>
      <c r="G459" s="101" vm="14534">
        <f ca="1"/>
        <v>154.78</v>
      </c>
      <c r="H459" s="101" vm="2395">
        <f ca="1"/>
        <v>151.03</v>
      </c>
      <c r="I459" s="102" vm="14535">
        <f ca="1"/>
        <v>123382161</v>
      </c>
    </row>
    <row r="460" spans="4:9" x14ac:dyDescent="0.3">
      <c r="D460" s="100" vm="2651">
        <f ca="1"/>
        <v>45293</v>
      </c>
      <c r="E460" s="101" vm="14536">
        <f ca="1"/>
        <v>145.24</v>
      </c>
      <c r="F460" s="101" vm="14537">
        <f ca="1"/>
        <v>151.54</v>
      </c>
      <c r="G460" s="101" vm="14538">
        <f ca="1"/>
        <v>152.38</v>
      </c>
      <c r="H460" s="101" vm="13851">
        <f ca="1"/>
        <v>144.05000000000001</v>
      </c>
      <c r="I460" s="102" vm="14539">
        <f ca="1"/>
        <v>197957873</v>
      </c>
    </row>
    <row r="461" spans="4:9" x14ac:dyDescent="0.3">
      <c r="D461" s="100" vm="2657">
        <f ca="1"/>
        <v>45299</v>
      </c>
      <c r="E461" s="101" vm="14540">
        <f ca="1"/>
        <v>154.62</v>
      </c>
      <c r="F461" s="101" vm="14508">
        <f ca="1"/>
        <v>146.74</v>
      </c>
      <c r="G461" s="101" vm="14541">
        <f ca="1"/>
        <v>157.16999999999999</v>
      </c>
      <c r="H461" s="101" vm="2311">
        <f ca="1"/>
        <v>146.15</v>
      </c>
      <c r="I461" s="102" vm="14542">
        <f ca="1"/>
        <v>224548296</v>
      </c>
    </row>
    <row r="462" spans="4:9" x14ac:dyDescent="0.3">
      <c r="D462" s="100" vm="2663">
        <f ca="1"/>
        <v>45307</v>
      </c>
      <c r="E462" s="101" vm="14543">
        <f ca="1"/>
        <v>155.34</v>
      </c>
      <c r="F462" s="101" vm="14544">
        <f ca="1"/>
        <v>153.53</v>
      </c>
      <c r="G462" s="101" vm="14545">
        <f ca="1"/>
        <v>155.76</v>
      </c>
      <c r="H462" s="101" vm="14546">
        <f ca="1"/>
        <v>149.91</v>
      </c>
      <c r="I462" s="102" vm="14547">
        <f ca="1"/>
        <v>165839872</v>
      </c>
    </row>
    <row r="463" spans="4:9" x14ac:dyDescent="0.3">
      <c r="D463" s="100" vm="2668">
        <f ca="1"/>
        <v>45313</v>
      </c>
      <c r="E463" s="101" vm="14548">
        <f ca="1"/>
        <v>159.12</v>
      </c>
      <c r="F463" s="101" vm="14549">
        <f ca="1"/>
        <v>156.88999999999999</v>
      </c>
      <c r="G463" s="101" vm="14550">
        <f ca="1"/>
        <v>160.72</v>
      </c>
      <c r="H463" s="101" vm="12198">
        <f ca="1"/>
        <v>153.9</v>
      </c>
      <c r="I463" s="102" vm="14551">
        <f ca="1"/>
        <v>224906767</v>
      </c>
    </row>
    <row r="464" spans="4:9" x14ac:dyDescent="0.3">
      <c r="D464" s="100" vm="2673">
        <f ca="1"/>
        <v>45320</v>
      </c>
      <c r="E464" s="101" vm="14552">
        <f ca="1"/>
        <v>171.81</v>
      </c>
      <c r="F464" s="101" vm="14553">
        <f ca="1"/>
        <v>159.34</v>
      </c>
      <c r="G464" s="101" vm="14554">
        <f ca="1"/>
        <v>172.5</v>
      </c>
      <c r="H464" s="101" vm="14555">
        <f ca="1"/>
        <v>154.81</v>
      </c>
      <c r="I464" s="102" vm="14556">
        <f ca="1"/>
        <v>334522918</v>
      </c>
    </row>
    <row r="465" spans="4:9" x14ac:dyDescent="0.3">
      <c r="D465" s="100" vm="2679">
        <f ca="1"/>
        <v>45327</v>
      </c>
      <c r="E465" s="101" vm="14557">
        <f ca="1"/>
        <v>174.45</v>
      </c>
      <c r="F465" s="101" vm="14558">
        <f ca="1"/>
        <v>170.2</v>
      </c>
      <c r="G465" s="101" vm="14559">
        <f ca="1"/>
        <v>175</v>
      </c>
      <c r="H465" s="101" vm="14560">
        <f ca="1"/>
        <v>167.65</v>
      </c>
      <c r="I465" s="102" vm="14561">
        <f ca="1"/>
        <v>244063315</v>
      </c>
    </row>
    <row r="466" spans="4:9" x14ac:dyDescent="0.3">
      <c r="D466" s="100" vm="2685">
        <f ca="1"/>
        <v>45334</v>
      </c>
      <c r="E466" s="101" vm="2073">
        <f ca="1"/>
        <v>169.51</v>
      </c>
      <c r="F466" s="101" vm="14562">
        <f ca="1"/>
        <v>174.8</v>
      </c>
      <c r="G466" s="101" vm="14563">
        <f ca="1"/>
        <v>175.39</v>
      </c>
      <c r="H466" s="101" vm="14564">
        <f ca="1"/>
        <v>165.75</v>
      </c>
      <c r="I466" s="102" vm="14565">
        <f ca="1"/>
        <v>248174046</v>
      </c>
    </row>
    <row r="467" spans="4:9" x14ac:dyDescent="0.3">
      <c r="D467" s="100" vm="2691">
        <f ca="1"/>
        <v>45342</v>
      </c>
      <c r="E467" s="101" vm="14566">
        <f ca="1"/>
        <v>174.99</v>
      </c>
      <c r="F467" s="101" vm="14567">
        <f ca="1"/>
        <v>167.83</v>
      </c>
      <c r="G467" s="101" vm="14568">
        <f ca="1"/>
        <v>175.75</v>
      </c>
      <c r="H467" s="101" vm="14569">
        <f ca="1"/>
        <v>165.74</v>
      </c>
      <c r="I467" s="102" vm="14570">
        <f ca="1"/>
        <v>201663546</v>
      </c>
    </row>
    <row r="468" spans="4:9" x14ac:dyDescent="0.3">
      <c r="D468" s="100" vm="2697">
        <f ca="1"/>
        <v>45348</v>
      </c>
      <c r="E468" s="101" vm="9602">
        <f ca="1"/>
        <v>178.22</v>
      </c>
      <c r="F468" s="101" vm="14571">
        <f ca="1"/>
        <v>175.7</v>
      </c>
      <c r="G468" s="101" vm="14572">
        <f ca="1"/>
        <v>178.72499999999999</v>
      </c>
      <c r="H468" s="101" vm="14573">
        <f ca="1"/>
        <v>172.27</v>
      </c>
      <c r="I468" s="102" vm="14574">
        <f ca="1"/>
        <v>189477339</v>
      </c>
    </row>
    <row r="469" spans="4:9" x14ac:dyDescent="0.3">
      <c r="D469" s="100" vm="2703">
        <f ca="1"/>
        <v>45355</v>
      </c>
      <c r="E469" s="101" vm="13921">
        <f ca="1"/>
        <v>175.35</v>
      </c>
      <c r="F469" s="101" vm="14575">
        <f ca="1"/>
        <v>177.53</v>
      </c>
      <c r="G469" s="101" vm="9595">
        <f ca="1"/>
        <v>180.14</v>
      </c>
      <c r="H469" s="101" vm="9843">
        <f ca="1"/>
        <v>173.26</v>
      </c>
      <c r="I469" s="102" vm="14576">
        <f ca="1"/>
        <v>178657314</v>
      </c>
    </row>
    <row r="470" spans="4:9" x14ac:dyDescent="0.3">
      <c r="D470" s="100" vm="2708">
        <f ca="1"/>
        <v>45362</v>
      </c>
      <c r="E470" s="101" vm="14577">
        <f ca="1"/>
        <v>174.42</v>
      </c>
      <c r="F470" s="101" vm="2118">
        <f ca="1"/>
        <v>174.31</v>
      </c>
      <c r="G470" s="101" vm="14578">
        <f ca="1"/>
        <v>179.53</v>
      </c>
      <c r="H470" s="101" vm="14579">
        <f ca="1"/>
        <v>171.47</v>
      </c>
      <c r="I470" s="102" vm="14580">
        <f ca="1"/>
        <v>211721211</v>
      </c>
    </row>
    <row r="471" spans="4:9" x14ac:dyDescent="0.3">
      <c r="D471" s="100" vm="2714">
        <f ca="1"/>
        <v>45369</v>
      </c>
      <c r="E471" s="101" vm="14581">
        <f ca="1"/>
        <v>178.87</v>
      </c>
      <c r="F471" s="101" vm="2586">
        <f ca="1"/>
        <v>175.8</v>
      </c>
      <c r="G471" s="101" vm="14582">
        <f ca="1"/>
        <v>181.41499999999999</v>
      </c>
      <c r="H471" s="101" vm="14583">
        <f ca="1"/>
        <v>173.52</v>
      </c>
      <c r="I471" s="102" vm="14584">
        <f ca="1"/>
        <v>148898429</v>
      </c>
    </row>
    <row r="472" spans="4:9" x14ac:dyDescent="0.3">
      <c r="D472" s="100" vm="2720">
        <f ca="1"/>
        <v>45376</v>
      </c>
      <c r="E472" s="101" vm="14585">
        <f ca="1"/>
        <v>180.38</v>
      </c>
      <c r="F472" s="101" vm="9853">
        <f ca="1"/>
        <v>178.01</v>
      </c>
      <c r="G472" s="101" vm="14586">
        <f ca="1"/>
        <v>181.7</v>
      </c>
      <c r="H472" s="101" vm="14587">
        <f ca="1"/>
        <v>177.24</v>
      </c>
      <c r="I472" s="102" vm="14588">
        <f ca="1"/>
        <v>130798585</v>
      </c>
    </row>
    <row r="473" spans="4:9" x14ac:dyDescent="0.3">
      <c r="D473" s="100" vm="2726">
        <f ca="1"/>
        <v>45383</v>
      </c>
      <c r="E473" s="101" vm="14589">
        <f ca="1"/>
        <v>185.07</v>
      </c>
      <c r="F473" s="101" vm="14590">
        <f ca="1"/>
        <v>180.79</v>
      </c>
      <c r="G473" s="101" vm="14591">
        <f ca="1"/>
        <v>186.27</v>
      </c>
      <c r="H473" s="101" vm="14592">
        <f ca="1"/>
        <v>178.37620000000001</v>
      </c>
      <c r="I473" s="102" vm="14593">
        <f ca="1"/>
        <v>176830958</v>
      </c>
    </row>
    <row r="474" spans="4:9" x14ac:dyDescent="0.3">
      <c r="D474" s="100" vm="2732">
        <f ca="1"/>
        <v>45390</v>
      </c>
      <c r="E474" s="101" vm="14594">
        <f ca="1"/>
        <v>186.13</v>
      </c>
      <c r="F474" s="101" vm="14595">
        <f ca="1"/>
        <v>186.9</v>
      </c>
      <c r="G474" s="101" vm="14596">
        <f ca="1"/>
        <v>189.77</v>
      </c>
      <c r="H474" s="101" vm="9846">
        <f ca="1"/>
        <v>182.67</v>
      </c>
      <c r="I474" s="102" vm="14597">
        <f ca="1"/>
        <v>190276970</v>
      </c>
    </row>
    <row r="475" spans="4:9" x14ac:dyDescent="0.3">
      <c r="D475" s="100" vm="2737">
        <f ca="1"/>
        <v>45397</v>
      </c>
      <c r="E475" s="101" vm="14598">
        <f ca="1"/>
        <v>174.63</v>
      </c>
      <c r="F475" s="101" vm="14599">
        <f ca="1"/>
        <v>187.42500000000001</v>
      </c>
      <c r="G475" s="101" vm="14600">
        <f ca="1"/>
        <v>188.69</v>
      </c>
      <c r="H475" s="101" vm="9551">
        <f ca="1"/>
        <v>173.44</v>
      </c>
      <c r="I475" s="102" vm="14601">
        <f ca="1"/>
        <v>199027855</v>
      </c>
    </row>
    <row r="476" spans="4:9" x14ac:dyDescent="0.3">
      <c r="D476" s="100" vm="2742">
        <f ca="1"/>
        <v>45404</v>
      </c>
      <c r="E476" s="101" vm="14602">
        <f ca="1"/>
        <v>179.62</v>
      </c>
      <c r="F476" s="101" vm="14603">
        <f ca="1"/>
        <v>176.94</v>
      </c>
      <c r="G476" s="101" vm="14604">
        <f ca="1"/>
        <v>180.82</v>
      </c>
      <c r="H476" s="101" vm="2432">
        <f ca="1"/>
        <v>166.32</v>
      </c>
      <c r="I476" s="102" vm="14605">
        <f ca="1"/>
        <v>202325673</v>
      </c>
    </row>
    <row r="477" spans="4:9" x14ac:dyDescent="0.3">
      <c r="D477" s="100" vm="2748">
        <f ca="1"/>
        <v>45411</v>
      </c>
      <c r="E477" s="101" vm="14606">
        <f ca="1"/>
        <v>186.21</v>
      </c>
      <c r="F477" s="101" vm="14607">
        <f ca="1"/>
        <v>182.75</v>
      </c>
      <c r="G477" s="101" vm="14608">
        <f ca="1"/>
        <v>187.87</v>
      </c>
      <c r="H477" s="101" vm="14562">
        <f ca="1"/>
        <v>174.8</v>
      </c>
      <c r="I477" s="102" vm="14609">
        <f ca="1"/>
        <v>336824385</v>
      </c>
    </row>
    <row r="478" spans="4:9" x14ac:dyDescent="0.3">
      <c r="D478" s="100" vm="2754">
        <f ca="1"/>
        <v>45418</v>
      </c>
      <c r="E478" s="101" vm="14610">
        <f ca="1"/>
        <v>187.48</v>
      </c>
      <c r="F478" s="101" vm="14611">
        <f ca="1"/>
        <v>186.28</v>
      </c>
      <c r="G478" s="101" vm="2508">
        <f ca="1"/>
        <v>191.7</v>
      </c>
      <c r="H478" s="101" vm="14612">
        <f ca="1"/>
        <v>184.8</v>
      </c>
      <c r="I478" s="102" vm="14613">
        <f ca="1"/>
        <v>172420695</v>
      </c>
    </row>
    <row r="479" spans="4:9" x14ac:dyDescent="0.3">
      <c r="D479" s="100" vm="2760">
        <f ca="1"/>
        <v>45425</v>
      </c>
      <c r="E479" s="101" vm="14614">
        <f ca="1"/>
        <v>184.7</v>
      </c>
      <c r="F479" s="101" vm="14615">
        <f ca="1"/>
        <v>188</v>
      </c>
      <c r="G479" s="101" vm="14616">
        <f ca="1"/>
        <v>188.31</v>
      </c>
      <c r="H479" s="101" vm="14617">
        <f ca="1"/>
        <v>182.73</v>
      </c>
      <c r="I479" s="102" vm="14618">
        <f ca="1"/>
        <v>211066800</v>
      </c>
    </row>
    <row r="480" spans="4:9" x14ac:dyDescent="0.3">
      <c r="D480" s="100" vm="2766">
        <f ca="1"/>
        <v>45432</v>
      </c>
      <c r="E480" s="101" vm="14619">
        <f ca="1"/>
        <v>180.75</v>
      </c>
      <c r="F480" s="101" vm="14620">
        <f ca="1"/>
        <v>184.34</v>
      </c>
      <c r="G480" s="101" vm="14621">
        <f ca="1"/>
        <v>186.66499999999999</v>
      </c>
      <c r="H480" s="101" vm="14622">
        <f ca="1"/>
        <v>180.08</v>
      </c>
      <c r="I480" s="102" vm="14623">
        <f ca="1"/>
        <v>170641494</v>
      </c>
    </row>
    <row r="481" spans="4:9" x14ac:dyDescent="0.3">
      <c r="D481" s="100" vm="2771">
        <f ca="1"/>
        <v>45440</v>
      </c>
      <c r="E481" s="101" vm="14624">
        <f ca="1"/>
        <v>176.44</v>
      </c>
      <c r="F481" s="101" vm="14625">
        <f ca="1"/>
        <v>179.93</v>
      </c>
      <c r="G481" s="101" vm="14626">
        <f ca="1"/>
        <v>184.08</v>
      </c>
      <c r="H481" s="101" vm="14627">
        <f ca="1"/>
        <v>173.87</v>
      </c>
      <c r="I481" s="102" vm="14628">
        <f ca="1"/>
        <v>150089425</v>
      </c>
    </row>
    <row r="482" spans="4:9" x14ac:dyDescent="0.3">
      <c r="D482" s="100" vm="2776">
        <f ca="1"/>
        <v>45446</v>
      </c>
      <c r="E482" s="101" vm="14629">
        <f ca="1"/>
        <v>184.3</v>
      </c>
      <c r="F482" s="101" vm="13888">
        <f ca="1"/>
        <v>177.7</v>
      </c>
      <c r="G482" s="101" vm="14630">
        <f ca="1"/>
        <v>186.28880000000001</v>
      </c>
      <c r="H482" s="101" vm="14631">
        <f ca="1"/>
        <v>175.92</v>
      </c>
      <c r="I482" s="102" vm="14632">
        <f ca="1"/>
        <v>149494046</v>
      </c>
    </row>
    <row r="483" spans="4:9" x14ac:dyDescent="0.3">
      <c r="D483" s="100" vm="2782">
        <f ca="1"/>
        <v>45453</v>
      </c>
      <c r="E483" s="101" vm="14633">
        <f ca="1"/>
        <v>183.66</v>
      </c>
      <c r="F483" s="101" vm="14634">
        <f ca="1"/>
        <v>184.07</v>
      </c>
      <c r="G483" s="101" vm="14635">
        <f ca="1"/>
        <v>188.35</v>
      </c>
      <c r="H483" s="101" vm="14636">
        <f ca="1"/>
        <v>182.23</v>
      </c>
      <c r="I483" s="102" vm="14637">
        <f ca="1"/>
        <v>160921777</v>
      </c>
    </row>
    <row r="484" spans="4:9" x14ac:dyDescent="0.3">
      <c r="D484" s="100" vm="2788">
        <f ca="1"/>
        <v>45460</v>
      </c>
      <c r="E484" s="101" vm="14638">
        <f ca="1"/>
        <v>189.08</v>
      </c>
      <c r="F484" s="101" vm="2692">
        <f ca="1"/>
        <v>182.52</v>
      </c>
      <c r="G484" s="101" vm="14639">
        <f ca="1"/>
        <v>189.27500000000001</v>
      </c>
      <c r="H484" s="101" vm="14640">
        <f ca="1"/>
        <v>181.22</v>
      </c>
      <c r="I484" s="102" vm="14641">
        <f ca="1"/>
        <v>189919597</v>
      </c>
    </row>
    <row r="485" spans="4:9" x14ac:dyDescent="0.3">
      <c r="D485" s="100" vm="2794">
        <f ca="1"/>
        <v>45467</v>
      </c>
      <c r="E485" s="101" vm="14642">
        <f ca="1"/>
        <v>193.25</v>
      </c>
      <c r="F485" s="101" vm="14643">
        <f ca="1"/>
        <v>189.33</v>
      </c>
      <c r="G485" s="101" vm="14644">
        <f ca="1"/>
        <v>199.84</v>
      </c>
      <c r="H485" s="101" vm="14645">
        <f ca="1"/>
        <v>185.33</v>
      </c>
      <c r="I485" s="102" vm="14646">
        <f ca="1"/>
        <v>312940430</v>
      </c>
    </row>
    <row r="486" spans="4:9" x14ac:dyDescent="0.3">
      <c r="D486" s="100" vm="2800">
        <f ca="1"/>
        <v>45474</v>
      </c>
      <c r="E486" s="101" vm="9893">
        <f ca="1"/>
        <v>200</v>
      </c>
      <c r="F486" s="101" vm="14647">
        <f ca="1"/>
        <v>193.49</v>
      </c>
      <c r="G486" s="101" vm="14648">
        <f ca="1"/>
        <v>200.55</v>
      </c>
      <c r="H486" s="101" vm="14649">
        <f ca="1"/>
        <v>192.82</v>
      </c>
      <c r="I486" s="102" vm="14650">
        <f ca="1"/>
        <v>158248835</v>
      </c>
    </row>
    <row r="487" spans="4:9" x14ac:dyDescent="0.3">
      <c r="D487" s="100" vm="2806">
        <f ca="1"/>
        <v>45481</v>
      </c>
      <c r="E487" s="101" vm="14651">
        <f ca="1"/>
        <v>194.49</v>
      </c>
      <c r="F487" s="101" vm="14652">
        <f ca="1"/>
        <v>200.04</v>
      </c>
      <c r="G487" s="101" vm="14653">
        <f ca="1"/>
        <v>201.2</v>
      </c>
      <c r="H487" s="101" vm="14654">
        <f ca="1"/>
        <v>192.86</v>
      </c>
      <c r="I487" s="102" vm="14655">
        <f ca="1"/>
        <v>175571316</v>
      </c>
    </row>
    <row r="488" spans="4:9" x14ac:dyDescent="0.3">
      <c r="D488" s="100" vm="2812">
        <f ca="1"/>
        <v>45488</v>
      </c>
      <c r="E488" s="101" vm="2531">
        <f ca="1"/>
        <v>183.13</v>
      </c>
      <c r="F488" s="101" vm="14656">
        <f ca="1"/>
        <v>194.56</v>
      </c>
      <c r="G488" s="101" vm="14657">
        <f ca="1"/>
        <v>196.62</v>
      </c>
      <c r="H488" s="101" vm="14658">
        <f ca="1"/>
        <v>180.11</v>
      </c>
      <c r="I488" s="102" vm="14659">
        <f ca="1"/>
        <v>216879535</v>
      </c>
    </row>
    <row r="489" spans="4:9" x14ac:dyDescent="0.3">
      <c r="D489" s="100" vm="2818">
        <f ca="1"/>
        <v>45495</v>
      </c>
      <c r="E489" s="101" vm="14660">
        <f ca="1"/>
        <v>182.5</v>
      </c>
      <c r="F489" s="101" vm="9575">
        <f ca="1"/>
        <v>185</v>
      </c>
      <c r="G489" s="101" vm="14661">
        <f ca="1"/>
        <v>189.39</v>
      </c>
      <c r="H489" s="101" vm="14662">
        <f ca="1"/>
        <v>176.8</v>
      </c>
      <c r="I489" s="102" vm="14663">
        <f ca="1"/>
        <v>202972080</v>
      </c>
    </row>
    <row r="490" spans="4:9" x14ac:dyDescent="0.3">
      <c r="D490" s="100" vm="2824">
        <f ca="1"/>
        <v>45502</v>
      </c>
      <c r="E490" s="101" vm="2603">
        <f ca="1"/>
        <v>167.9</v>
      </c>
      <c r="F490" s="101" vm="14664">
        <f ca="1"/>
        <v>183.84</v>
      </c>
      <c r="G490" s="101" vm="14665">
        <f ca="1"/>
        <v>190.6</v>
      </c>
      <c r="H490" s="101" vm="2004">
        <f ca="1"/>
        <v>160.55000000000001</v>
      </c>
      <c r="I490" s="102" vm="14666">
        <f ca="1"/>
        <v>326330023</v>
      </c>
    </row>
    <row r="491" spans="4:9" x14ac:dyDescent="0.3">
      <c r="D491" s="100" vm="2830">
        <f ca="1"/>
        <v>45509</v>
      </c>
      <c r="E491" s="101" vm="14667">
        <f ca="1"/>
        <v>166.94</v>
      </c>
      <c r="F491" s="101" vm="14668">
        <f ca="1"/>
        <v>154.21</v>
      </c>
      <c r="G491" s="101" vm="14669">
        <f ca="1"/>
        <v>168.55</v>
      </c>
      <c r="H491" s="101" vm="14670">
        <f ca="1"/>
        <v>151.61000000000001</v>
      </c>
      <c r="I491" s="102" vm="14671">
        <f ca="1"/>
        <v>272525762</v>
      </c>
    </row>
    <row r="492" spans="4:9" x14ac:dyDescent="0.3">
      <c r="D492" s="100" vm="2836">
        <f ca="1"/>
        <v>45516</v>
      </c>
      <c r="E492" s="101" vm="14672">
        <f ca="1"/>
        <v>177.06</v>
      </c>
      <c r="F492" s="101" vm="14673">
        <f ca="1"/>
        <v>168.14</v>
      </c>
      <c r="G492" s="101" vm="14674">
        <f ca="1"/>
        <v>178.34</v>
      </c>
      <c r="H492" s="101" vm="14675">
        <f ca="1"/>
        <v>166.11009999999999</v>
      </c>
      <c r="I492" s="102" vm="14676">
        <f ca="1"/>
        <v>181342195</v>
      </c>
    </row>
    <row r="493" spans="4:9" x14ac:dyDescent="0.3">
      <c r="D493" s="100" vm="2841">
        <f ca="1"/>
        <v>45523</v>
      </c>
      <c r="E493" s="101" vm="14677">
        <f ca="1"/>
        <v>177.04</v>
      </c>
      <c r="F493" s="101" vm="14678">
        <f ca="1"/>
        <v>177.64</v>
      </c>
      <c r="G493" s="101" vm="14679">
        <f ca="1"/>
        <v>182.38499999999999</v>
      </c>
      <c r="H493" s="101" vm="14680">
        <f ca="1"/>
        <v>175.24</v>
      </c>
      <c r="I493" s="102" vm="14681">
        <f ca="1"/>
        <v>154181704</v>
      </c>
    </row>
    <row r="494" spans="4:9" x14ac:dyDescent="0.3">
      <c r="D494" s="100" vm="2847">
        <f ca="1"/>
        <v>45530</v>
      </c>
      <c r="E494" s="101" vm="12213">
        <f ca="1"/>
        <v>178.5</v>
      </c>
      <c r="F494" s="101" vm="14682">
        <f ca="1"/>
        <v>176.7</v>
      </c>
      <c r="G494" s="101" vm="14683">
        <f ca="1"/>
        <v>178.9</v>
      </c>
      <c r="H494" s="101" vm="14684">
        <f ca="1"/>
        <v>168.92</v>
      </c>
      <c r="I494" s="102" vm="14685">
        <f ca="1"/>
        <v>151090410</v>
      </c>
    </row>
    <row r="495" spans="4:9" x14ac:dyDescent="0.3">
      <c r="D495" s="100" vm="2853">
        <f ca="1"/>
        <v>45538</v>
      </c>
      <c r="E495" s="101" vm="14686">
        <f ca="1"/>
        <v>171.39</v>
      </c>
      <c r="F495" s="101" vm="14687">
        <f ca="1"/>
        <v>177.55</v>
      </c>
      <c r="G495" s="101" vm="14688">
        <f ca="1"/>
        <v>179.875</v>
      </c>
      <c r="H495" s="101" vm="14689">
        <f ca="1"/>
        <v>171.16</v>
      </c>
      <c r="I495" s="102" vm="14690">
        <f ca="1"/>
        <v>149763799</v>
      </c>
    </row>
    <row r="496" spans="4:9" x14ac:dyDescent="0.3">
      <c r="D496" s="100" vm="2858">
        <f ca="1"/>
        <v>45544</v>
      </c>
      <c r="E496" s="101" vm="14691">
        <f ca="1"/>
        <v>186.49</v>
      </c>
      <c r="F496" s="101" vm="14692">
        <f ca="1"/>
        <v>174.53</v>
      </c>
      <c r="G496" s="101" vm="14693">
        <f ca="1"/>
        <v>188.5</v>
      </c>
      <c r="H496" s="101" vm="14694">
        <f ca="1"/>
        <v>173.51</v>
      </c>
      <c r="I496" s="102" vm="14695">
        <f ca="1"/>
        <v>167953690</v>
      </c>
    </row>
    <row r="497" spans="4:9" x14ac:dyDescent="0.3">
      <c r="D497" s="100" vm="2863">
        <f ca="1"/>
        <v>45551</v>
      </c>
      <c r="E497" s="101" vm="14696">
        <f ca="1"/>
        <v>191.6</v>
      </c>
      <c r="F497" s="101" vm="14697">
        <f ca="1"/>
        <v>185.29</v>
      </c>
      <c r="G497" s="101" vm="14698">
        <f ca="1"/>
        <v>191.84</v>
      </c>
      <c r="H497" s="101" vm="14699">
        <f ca="1"/>
        <v>183.36</v>
      </c>
      <c r="I497" s="102" vm="14700">
        <f ca="1"/>
        <v>226527018</v>
      </c>
    </row>
    <row r="498" spans="4:9" x14ac:dyDescent="0.3">
      <c r="D498" s="100" vm="2869">
        <f ca="1"/>
        <v>45558</v>
      </c>
      <c r="E498" s="101" vm="14701">
        <f ca="1"/>
        <v>187.97</v>
      </c>
      <c r="F498" s="101" vm="14702">
        <f ca="1"/>
        <v>191.64</v>
      </c>
      <c r="G498" s="101" vm="14703">
        <f ca="1"/>
        <v>195.37</v>
      </c>
      <c r="H498" s="101" vm="3029">
        <f ca="1"/>
        <v>187.34</v>
      </c>
      <c r="I498" s="102" vm="14704">
        <f ca="1"/>
        <v>179200351</v>
      </c>
    </row>
    <row r="499" spans="4:9" x14ac:dyDescent="0.3">
      <c r="D499" s="100" vm="2875">
        <f ca="1"/>
        <v>45565</v>
      </c>
      <c r="E499" s="101" vm="14705">
        <f ca="1"/>
        <v>186.51</v>
      </c>
      <c r="F499" s="101" vm="14706">
        <f ca="1"/>
        <v>187.14</v>
      </c>
      <c r="G499" s="101" vm="14707">
        <f ca="1"/>
        <v>188.49</v>
      </c>
      <c r="H499" s="101" vm="14708">
        <f ca="1"/>
        <v>180.875</v>
      </c>
      <c r="I499" s="102" vm="14709">
        <f ca="1"/>
        <v>172712675</v>
      </c>
    </row>
    <row r="500" spans="4:9" x14ac:dyDescent="0.3">
      <c r="D500" s="100" vm="2881">
        <f ca="1"/>
        <v>45572</v>
      </c>
      <c r="E500" s="101" vm="14710">
        <f ca="1"/>
        <v>188.82</v>
      </c>
      <c r="F500" s="101" vm="14711">
        <f ca="1"/>
        <v>182.95</v>
      </c>
      <c r="G500" s="101" vm="14712">
        <f ca="1"/>
        <v>189.92840000000001</v>
      </c>
      <c r="H500" s="101" vm="14713">
        <f ca="1"/>
        <v>180.25</v>
      </c>
      <c r="I500" s="102" vm="14714">
        <f ca="1"/>
        <v>148616004</v>
      </c>
    </row>
    <row r="501" spans="4:9" x14ac:dyDescent="0.3">
      <c r="D501" s="100" vm="2887">
        <f ca="1"/>
        <v>45579</v>
      </c>
      <c r="E501" s="101" vm="14715">
        <f ca="1"/>
        <v>188.99</v>
      </c>
      <c r="F501" s="101" vm="14716">
        <f ca="1"/>
        <v>189.78</v>
      </c>
      <c r="G501" s="101" vm="14717">
        <f ca="1"/>
        <v>190.74</v>
      </c>
      <c r="H501" s="101" vm="14718">
        <f ca="1"/>
        <v>184.58</v>
      </c>
      <c r="I501" s="102" vm="14719">
        <f ca="1"/>
        <v>140707228</v>
      </c>
    </row>
    <row r="502" spans="4:9" x14ac:dyDescent="0.3">
      <c r="D502" s="100" vm="2893">
        <f ca="1"/>
        <v>45586</v>
      </c>
      <c r="E502" s="101" vm="14720">
        <f ca="1"/>
        <v>187.83</v>
      </c>
      <c r="F502" s="101" vm="14721">
        <f ca="1"/>
        <v>188.05</v>
      </c>
      <c r="G502" s="101" vm="14722">
        <f ca="1"/>
        <v>191.52010000000001</v>
      </c>
      <c r="H502" s="101" vm="14723">
        <f ca="1"/>
        <v>183.69</v>
      </c>
      <c r="I502" s="102" vm="14724">
        <f ca="1"/>
        <v>137236530</v>
      </c>
    </row>
    <row r="503" spans="4:9" x14ac:dyDescent="0.3">
      <c r="D503" s="100" vm="2899">
        <f ca="1"/>
        <v>45593</v>
      </c>
      <c r="E503" s="101" vm="14725">
        <f ca="1"/>
        <v>197.93</v>
      </c>
      <c r="F503" s="101" vm="14726">
        <f ca="1"/>
        <v>189.565</v>
      </c>
      <c r="G503" s="101" vm="14727">
        <f ca="1"/>
        <v>200.5</v>
      </c>
      <c r="H503" s="101" vm="2497">
        <f ca="1"/>
        <v>185.23</v>
      </c>
      <c r="I503" s="102" vm="14728">
        <f ca="1"/>
        <v>276163150</v>
      </c>
    </row>
    <row r="504" spans="4:9" x14ac:dyDescent="0.3">
      <c r="D504" s="100" vm="2905">
        <f ca="1"/>
        <v>45600</v>
      </c>
      <c r="E504" s="101" vm="14729">
        <f ca="1"/>
        <v>208.18</v>
      </c>
      <c r="F504" s="101" vm="14730">
        <f ca="1"/>
        <v>196.45</v>
      </c>
      <c r="G504" s="101" vm="14731">
        <f ca="1"/>
        <v>212.25</v>
      </c>
      <c r="H504" s="101" vm="14732">
        <f ca="1"/>
        <v>194.31010000000001</v>
      </c>
      <c r="I504" s="102" vm="14733">
        <f ca="1"/>
        <v>230303242</v>
      </c>
    </row>
    <row r="505" spans="4:9" x14ac:dyDescent="0.3">
      <c r="D505" s="100" vm="2911">
        <f ca="1"/>
        <v>45607</v>
      </c>
      <c r="E505" s="101" vm="14734">
        <f ca="1"/>
        <v>202.61</v>
      </c>
      <c r="F505" s="101" vm="14735">
        <f ca="1"/>
        <v>208.5</v>
      </c>
      <c r="G505" s="101" vm="14736">
        <f ca="1"/>
        <v>215.9</v>
      </c>
      <c r="H505" s="101" vm="14737">
        <f ca="1"/>
        <v>199.61</v>
      </c>
      <c r="I505" s="102" vm="14738">
        <f ca="1"/>
        <v>249823326</v>
      </c>
    </row>
    <row r="506" spans="4:9" x14ac:dyDescent="0.3">
      <c r="D506" s="100" vm="2916">
        <f ca="1"/>
        <v>45614</v>
      </c>
      <c r="E506" s="101" vm="14739">
        <f ca="1"/>
        <v>197.12</v>
      </c>
      <c r="F506" s="101" vm="14740">
        <f ca="1"/>
        <v>204.15</v>
      </c>
      <c r="G506" s="101" vm="14741">
        <f ca="1"/>
        <v>205.3</v>
      </c>
      <c r="H506" s="101" vm="14742">
        <f ca="1"/>
        <v>195.75</v>
      </c>
      <c r="I506" s="102" vm="14743">
        <f ca="1"/>
        <v>190810207</v>
      </c>
    </row>
    <row r="507" spans="4:9" x14ac:dyDescent="0.3">
      <c r="D507" s="100" vm="2922">
        <f ca="1"/>
        <v>45621</v>
      </c>
      <c r="E507" s="101" vm="14744">
        <f ca="1"/>
        <v>207.89</v>
      </c>
      <c r="F507" s="101" vm="14745">
        <f ca="1"/>
        <v>199.28</v>
      </c>
      <c r="G507" s="101" vm="14746">
        <f ca="1"/>
        <v>208.2</v>
      </c>
      <c r="H507" s="101" vm="9530">
        <f ca="1"/>
        <v>199</v>
      </c>
      <c r="I507" s="102" vm="14747">
        <f ca="1"/>
        <v>135313494</v>
      </c>
    </row>
    <row r="508" spans="4:9" x14ac:dyDescent="0.3">
      <c r="D508" s="100" vm="2928">
        <f ca="1"/>
        <v>45628</v>
      </c>
      <c r="E508" s="101" vm="2971">
        <f ca="1"/>
        <v>227.03</v>
      </c>
      <c r="F508" s="101" vm="14748">
        <f ca="1"/>
        <v>209.96</v>
      </c>
      <c r="G508" s="101" vm="12269">
        <f ca="1"/>
        <v>227.15</v>
      </c>
      <c r="H508" s="101" vm="14749">
        <f ca="1"/>
        <v>209.51009999999999</v>
      </c>
      <c r="I508" s="102" vm="14750">
        <f ca="1"/>
        <v>205802018</v>
      </c>
    </row>
    <row r="509" spans="4:9" x14ac:dyDescent="0.3">
      <c r="D509" s="100" vm="2934">
        <f ca="1"/>
        <v>45635</v>
      </c>
      <c r="E509" s="101" vm="14751">
        <f ca="1"/>
        <v>227.46</v>
      </c>
      <c r="F509" s="101" vm="14752">
        <f ca="1"/>
        <v>227.21</v>
      </c>
      <c r="G509" s="101" vm="14753">
        <f ca="1"/>
        <v>231.2</v>
      </c>
      <c r="H509" s="101" vm="14754">
        <f ca="1"/>
        <v>224.2002</v>
      </c>
      <c r="I509" s="102" vm="14755">
        <f ca="1"/>
        <v>170377176</v>
      </c>
    </row>
    <row r="510" spans="4:9" x14ac:dyDescent="0.3">
      <c r="D510" s="100" vm="2940">
        <f ca="1"/>
        <v>45642</v>
      </c>
      <c r="E510" s="101" vm="14756">
        <f ca="1"/>
        <v>224.92</v>
      </c>
      <c r="F510" s="101" vm="14757">
        <f ca="1"/>
        <v>230.23</v>
      </c>
      <c r="G510" s="101" vm="2878">
        <f ca="1"/>
        <v>233</v>
      </c>
      <c r="H510" s="101" vm="14758">
        <f ca="1"/>
        <v>218.73</v>
      </c>
      <c r="I510" s="102" vm="14759">
        <f ca="1"/>
        <v>244979593</v>
      </c>
    </row>
    <row r="511" spans="4:9" x14ac:dyDescent="0.3">
      <c r="D511" s="100" vm="2946">
        <f ca="1"/>
        <v>45649</v>
      </c>
      <c r="E511" s="101" vm="14760">
        <f ca="1"/>
        <v>223.75</v>
      </c>
      <c r="F511" s="101" vm="14761">
        <f ca="1"/>
        <v>225.01</v>
      </c>
      <c r="G511" s="101" vm="14762">
        <f ca="1"/>
        <v>229.14</v>
      </c>
      <c r="H511" s="101" vm="14763">
        <f ca="1"/>
        <v>220.9</v>
      </c>
      <c r="I511" s="102" vm="14764">
        <f ca="1"/>
        <v>86619151</v>
      </c>
    </row>
    <row r="512" spans="4:9" x14ac:dyDescent="0.3">
      <c r="D512" s="100" vm="2952">
        <f ca="1"/>
        <v>45656</v>
      </c>
      <c r="E512" s="101" vm="14765">
        <f ca="1"/>
        <v>224.19</v>
      </c>
      <c r="F512" s="101" vm="14766">
        <f ca="1"/>
        <v>220.06</v>
      </c>
      <c r="G512" s="101" vm="14767">
        <f ca="1"/>
        <v>225.36</v>
      </c>
      <c r="H512" s="101" vm="14768">
        <f ca="1"/>
        <v>218.19</v>
      </c>
      <c r="I512" s="102" vm="14769">
        <f ca="1"/>
        <v>114613080</v>
      </c>
    </row>
    <row r="513" spans="4:9" x14ac:dyDescent="0.3">
      <c r="D513" s="100" vm="2958">
        <f ca="1"/>
        <v>45663</v>
      </c>
      <c r="E513" s="101" vm="14770">
        <f ca="1"/>
        <v>218.94</v>
      </c>
      <c r="F513" s="101" vm="14771">
        <f ca="1"/>
        <v>226.78</v>
      </c>
      <c r="G513" s="101" vm="14772">
        <f ca="1"/>
        <v>228.83500000000001</v>
      </c>
      <c r="H513" s="101" vm="14773">
        <f ca="1"/>
        <v>216.5</v>
      </c>
      <c r="I513" s="102" vm="14774">
        <f ca="1"/>
        <v>121778812</v>
      </c>
    </row>
    <row r="514" spans="4:9" x14ac:dyDescent="0.3">
      <c r="D514" s="100" vm="2962">
        <f ca="1"/>
        <v>45670</v>
      </c>
      <c r="E514" s="101" vm="14775">
        <f ca="1"/>
        <v>225.94</v>
      </c>
      <c r="F514" s="101" vm="14776">
        <f ca="1"/>
        <v>218.06</v>
      </c>
      <c r="G514" s="101" vm="14777">
        <f ca="1"/>
        <v>226.51</v>
      </c>
      <c r="H514" s="101" vm="9916">
        <f ca="1"/>
        <v>216.2</v>
      </c>
      <c r="I514" s="102" vm="14778">
        <f ca="1"/>
        <v>150392961</v>
      </c>
    </row>
    <row r="515" spans="4:9" x14ac:dyDescent="0.3">
      <c r="D515" s="100" vm="2968">
        <f ca="1"/>
        <v>45678</v>
      </c>
      <c r="E515" s="101" vm="14779">
        <f ca="1"/>
        <v>234.85</v>
      </c>
      <c r="F515" s="101" vm="14780">
        <f ca="1"/>
        <v>228.9</v>
      </c>
      <c r="G515" s="101" vm="14781">
        <f ca="1"/>
        <v>236.4</v>
      </c>
      <c r="H515" s="101" vm="14782">
        <f ca="1"/>
        <v>226.94</v>
      </c>
      <c r="I515" s="102" vm="14783">
        <f ca="1"/>
        <v>133694775</v>
      </c>
    </row>
    <row r="516" spans="4:9" x14ac:dyDescent="0.3">
      <c r="D516" s="100" vm="2974">
        <f ca="1"/>
        <v>45684</v>
      </c>
      <c r="E516" s="101" vm="14784">
        <f ca="1"/>
        <v>237.68</v>
      </c>
      <c r="F516" s="101" vm="14785">
        <f ca="1"/>
        <v>226.21</v>
      </c>
      <c r="G516" s="101" vm="14786">
        <f ca="1"/>
        <v>241.77</v>
      </c>
      <c r="H516" s="101" vm="14787">
        <f ca="1"/>
        <v>225.86</v>
      </c>
      <c r="I516" s="102" vm="14788">
        <f ca="1"/>
        <v>185290341</v>
      </c>
    </row>
    <row r="517" spans="4:9" x14ac:dyDescent="0.3">
      <c r="D517" s="100" vm="2979">
        <f ca="1"/>
        <v>45691</v>
      </c>
      <c r="E517" s="101" vm="14789">
        <f ca="1"/>
        <v>229.15</v>
      </c>
      <c r="F517" s="101" vm="14790">
        <f ca="1"/>
        <v>234.06</v>
      </c>
      <c r="G517" s="101" vm="14791">
        <f ca="1"/>
        <v>242.52</v>
      </c>
      <c r="H517" s="101" vm="14792">
        <f ca="1"/>
        <v>228.06</v>
      </c>
      <c r="I517" s="102" vm="14793">
        <f ca="1"/>
        <v>244268093</v>
      </c>
    </row>
    <row r="518" spans="4:9" x14ac:dyDescent="0.3">
      <c r="D518" s="100" vm="2985">
        <f ca="1"/>
        <v>45698</v>
      </c>
      <c r="E518" s="101" vm="14794">
        <f ca="1"/>
        <v>228.68</v>
      </c>
      <c r="F518" s="101" vm="14795">
        <f ca="1"/>
        <v>230.54499999999999</v>
      </c>
      <c r="G518" s="101" vm="14796">
        <f ca="1"/>
        <v>233.92</v>
      </c>
      <c r="H518" s="101" vm="14797">
        <f ca="1"/>
        <v>227.23</v>
      </c>
      <c r="I518" s="102" vm="14798">
        <f ca="1"/>
        <v>149796497</v>
      </c>
    </row>
    <row r="519" spans="4:9" x14ac:dyDescent="0.3">
      <c r="D519" s="100" vm="2991">
        <f ca="1"/>
        <v>45706</v>
      </c>
      <c r="E519" s="101" vm="14799">
        <f ca="1"/>
        <v>216.58</v>
      </c>
      <c r="F519" s="101" vm="14800">
        <f ca="1"/>
        <v>228.82</v>
      </c>
      <c r="G519" s="101" vm="9921">
        <f ca="1"/>
        <v>229.3</v>
      </c>
      <c r="H519" s="101" vm="14801">
        <f ca="1"/>
        <v>214.74</v>
      </c>
      <c r="I519" s="102" vm="14802">
        <f ca="1"/>
        <v>156867357</v>
      </c>
    </row>
    <row r="520" spans="4:9" x14ac:dyDescent="0.3">
      <c r="D520" s="100" vm="2996">
        <f ca="1"/>
        <v>45712</v>
      </c>
      <c r="E520" s="101" vm="14803">
        <f ca="1"/>
        <v>212.28</v>
      </c>
      <c r="F520" s="101" vm="14804">
        <f ca="1"/>
        <v>217.45</v>
      </c>
      <c r="G520" s="101" vm="14805">
        <f ca="1"/>
        <v>219.97</v>
      </c>
      <c r="H520" s="101" vm="9456">
        <f ca="1"/>
        <v>204.16</v>
      </c>
      <c r="I520" s="102" vm="14806">
        <f ca="1"/>
        <v>232786473</v>
      </c>
    </row>
    <row r="521" spans="4:9" x14ac:dyDescent="0.3">
      <c r="D521" s="100" vm="3001">
        <f ca="1"/>
        <v>45719</v>
      </c>
      <c r="E521" s="101" vm="14807">
        <f ca="1"/>
        <v>199.25</v>
      </c>
      <c r="F521" s="101" vm="14808">
        <f ca="1"/>
        <v>213.352</v>
      </c>
      <c r="G521" s="101" vm="14809">
        <f ca="1"/>
        <v>214.01</v>
      </c>
      <c r="H521" s="101" vm="2646">
        <f ca="1"/>
        <v>192.53</v>
      </c>
      <c r="I521" s="102" vm="14810">
        <f ca="1"/>
        <v>252078192</v>
      </c>
    </row>
    <row r="522" spans="4:9" x14ac:dyDescent="0.3">
      <c r="D522" s="100" vm="3007">
        <f ca="1"/>
        <v>45726</v>
      </c>
      <c r="E522" s="101" vm="14811">
        <f ca="1"/>
        <v>197.95</v>
      </c>
      <c r="F522" s="101" vm="14812">
        <f ca="1"/>
        <v>195.6</v>
      </c>
      <c r="G522" s="101" vm="14813">
        <f ca="1"/>
        <v>201.52</v>
      </c>
      <c r="H522" s="101" vm="14814">
        <f ca="1"/>
        <v>190.85</v>
      </c>
      <c r="I522" s="102" vm="14815">
        <f ca="1"/>
        <v>239400514</v>
      </c>
    </row>
    <row r="523" spans="4:9" x14ac:dyDescent="0.3">
      <c r="D523" s="100" vm="3013">
        <f ca="1"/>
        <v>45733</v>
      </c>
      <c r="E523" s="101" vm="14816">
        <f ca="1"/>
        <v>196.21</v>
      </c>
      <c r="F523" s="101" vm="14817">
        <f ca="1"/>
        <v>198.77</v>
      </c>
      <c r="G523" s="101" vm="14818">
        <f ca="1"/>
        <v>199.32</v>
      </c>
      <c r="H523" s="101" vm="14819">
        <f ca="1"/>
        <v>189.38</v>
      </c>
      <c r="I523" s="102" vm="14820">
        <f ca="1"/>
        <v>226177527</v>
      </c>
    </row>
    <row r="524" spans="4:9" x14ac:dyDescent="0.3">
      <c r="D524" s="100" vm="3019">
        <f ca="1"/>
        <v>45740</v>
      </c>
      <c r="E524" s="101" vm="14821">
        <f ca="1"/>
        <v>192.72</v>
      </c>
      <c r="F524" s="101" vm="9893">
        <f ca="1"/>
        <v>200</v>
      </c>
      <c r="G524" s="101" vm="14822">
        <f ca="1"/>
        <v>206.21</v>
      </c>
      <c r="H524" s="101" vm="14823">
        <f ca="1"/>
        <v>191.881</v>
      </c>
      <c r="I524" s="102" vm="14824">
        <f ca="1"/>
        <v>185653386</v>
      </c>
    </row>
    <row r="525" spans="4:9" x14ac:dyDescent="0.3">
      <c r="D525" s="100" vm="3025">
        <f ca="1"/>
        <v>45747</v>
      </c>
      <c r="E525" s="101" vm="2455">
        <f ca="1"/>
        <v>171</v>
      </c>
      <c r="F525" s="101" vm="2626">
        <f ca="1"/>
        <v>188.19</v>
      </c>
      <c r="G525" s="101" vm="14825">
        <f ca="1"/>
        <v>198.34</v>
      </c>
      <c r="H525" s="101" vm="13717">
        <f ca="1"/>
        <v>166</v>
      </c>
      <c r="I525" s="102" vm="14826">
        <f ca="1"/>
        <v>377207047</v>
      </c>
    </row>
    <row r="526" spans="4:9" x14ac:dyDescent="0.3">
      <c r="D526" s="100" vm="3031">
        <f ca="1"/>
        <v>45754</v>
      </c>
      <c r="E526" s="101" vm="14827">
        <f ca="1"/>
        <v>184.87</v>
      </c>
      <c r="F526" s="101" vm="14828">
        <f ca="1"/>
        <v>162</v>
      </c>
      <c r="G526" s="101" vm="14829">
        <f ca="1"/>
        <v>192.65</v>
      </c>
      <c r="H526" s="101" vm="14830">
        <f ca="1"/>
        <v>161.38</v>
      </c>
      <c r="I526" s="102" vm="14831">
        <f ca="1"/>
        <v>432738187</v>
      </c>
    </row>
    <row r="527" spans="4:9" x14ac:dyDescent="0.3">
      <c r="D527" s="100" vm="3037">
        <f ca="1"/>
        <v>45761</v>
      </c>
      <c r="E527" s="101" vm="14832">
        <f ca="1"/>
        <v>172.61</v>
      </c>
      <c r="F527" s="101" vm="14833">
        <f ca="1"/>
        <v>186.84</v>
      </c>
      <c r="G527" s="101" vm="14834">
        <f ca="1"/>
        <v>187.44</v>
      </c>
      <c r="H527" s="101" vm="14835">
        <f ca="1"/>
        <v>171.41</v>
      </c>
      <c r="I527" s="102" vm="14836">
        <f ca="1"/>
        <v>188246261</v>
      </c>
    </row>
    <row r="528" spans="4:9" x14ac:dyDescent="0.3">
      <c r="D528" s="100" vm="3043">
        <f ca="1"/>
        <v>45768</v>
      </c>
      <c r="E528" s="101" vm="14715">
        <f ca="1"/>
        <v>188.99</v>
      </c>
      <c r="F528" s="101" vm="14837">
        <f ca="1"/>
        <v>169.6</v>
      </c>
      <c r="G528" s="101" vm="14838">
        <f ca="1"/>
        <v>189.94</v>
      </c>
      <c r="H528" s="101" vm="14839">
        <f ca="1"/>
        <v>165.285</v>
      </c>
      <c r="I528" s="102" vm="14840">
        <f ca="1"/>
        <v>248380988</v>
      </c>
    </row>
    <row r="529" spans="4:9" ht="15" thickBot="1" x14ac:dyDescent="0.35">
      <c r="D529" s="105" vm="3049">
        <f ca="1"/>
        <v>45775</v>
      </c>
      <c r="E529" s="106" vm="2555">
        <f ca="1"/>
        <v>189.98</v>
      </c>
      <c r="F529" s="106" vm="14841">
        <f ca="1"/>
        <v>190.10499999999999</v>
      </c>
      <c r="G529" s="106" vm="14842">
        <f ca="1"/>
        <v>192.88</v>
      </c>
      <c r="H529" s="106" vm="2583">
        <f ca="1"/>
        <v>178.85</v>
      </c>
      <c r="I529" s="107" vm="14843">
        <f ca="1"/>
        <v>282237980</v>
      </c>
    </row>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1B7AD2-F59E-4417-AA4C-15FE0809278C}">
  <dimension ref="A1:N530"/>
  <sheetViews>
    <sheetView showGridLines="0" workbookViewId="0">
      <selection activeCell="A2" sqref="A2"/>
    </sheetView>
  </sheetViews>
  <sheetFormatPr defaultRowHeight="14.4" x14ac:dyDescent="0.3"/>
  <cols>
    <col min="1" max="1" width="15.88671875" customWidth="1"/>
    <col min="2" max="2" width="3.44140625" customWidth="1"/>
    <col min="3" max="3" width="1.21875" customWidth="1"/>
    <col min="4" max="4" width="10.5546875" bestFit="1" customWidth="1"/>
    <col min="5" max="8" width="11.109375" bestFit="1" customWidth="1"/>
    <col min="9" max="9" width="11.44140625" bestFit="1" customWidth="1"/>
    <col min="14" max="14" width="10.109375" bestFit="1" customWidth="1"/>
  </cols>
  <sheetData>
    <row r="1" spans="1:14" ht="38.4" customHeight="1" x14ac:dyDescent="0.7">
      <c r="A1" s="142" t="s">
        <v>9</v>
      </c>
    </row>
    <row r="4" spans="1:14" ht="15" thickBot="1" x14ac:dyDescent="0.35"/>
    <row r="5" spans="1:14" x14ac:dyDescent="0.3">
      <c r="D5" s="97" t="e" vm="7">
        <v>#VALUE!</v>
      </c>
      <c r="E5" s="98"/>
      <c r="F5" s="98"/>
      <c r="G5" s="98"/>
      <c r="H5" s="98"/>
      <c r="I5" s="99"/>
    </row>
    <row r="6" spans="1:14" x14ac:dyDescent="0.3">
      <c r="D6" s="100"/>
      <c r="E6" s="101"/>
      <c r="F6" s="101"/>
      <c r="G6" s="101"/>
      <c r="H6" s="101"/>
      <c r="I6" s="102"/>
    </row>
    <row r="7" spans="1:14" x14ac:dyDescent="0.3">
      <c r="D7" s="100" t="str" cm="1">
        <f t="array" aca="1" ref="D7:I530" ca="1">_xlfn.STOCKHISTORY(D5,"5/1/2015","5/1/2025",1,1,0,1,2,3,4,5)</f>
        <v>Date</v>
      </c>
      <c r="E7" s="101" t="str">
        <f ca="1"/>
        <v>Close</v>
      </c>
      <c r="F7" s="101" t="str">
        <f ca="1"/>
        <v>Open</v>
      </c>
      <c r="G7" s="101" t="str">
        <f ca="1"/>
        <v>High</v>
      </c>
      <c r="H7" s="101" t="str">
        <f ca="1"/>
        <v>Low</v>
      </c>
      <c r="I7" s="102" t="str">
        <f ca="1"/>
        <v>Volume</v>
      </c>
      <c r="L7" s="124" t="s">
        <v>11</v>
      </c>
      <c r="M7" s="124"/>
      <c r="N7" s="125">
        <f ca="1">AVERAGE(E8:E530)</f>
        <v>363.85165009560257</v>
      </c>
    </row>
    <row r="8" spans="1:14" x14ac:dyDescent="0.3">
      <c r="D8" s="103" vm="8">
        <f ca="1"/>
        <v>42121</v>
      </c>
      <c r="E8" s="101" vm="14844">
        <f ca="1"/>
        <v>79.575599999999994</v>
      </c>
      <c r="F8" s="101" vm="14845">
        <f ca="1"/>
        <v>80.2928</v>
      </c>
      <c r="G8" s="101" vm="14846">
        <f ca="1"/>
        <v>81.785600000000002</v>
      </c>
      <c r="H8" s="101" vm="14847">
        <f ca="1"/>
        <v>78.894199999999998</v>
      </c>
      <c r="I8" s="102" vm="14848">
        <f ca="1"/>
        <v>7583612</v>
      </c>
      <c r="L8" s="124" t="s">
        <v>13</v>
      </c>
      <c r="M8" s="124"/>
      <c r="N8" s="124"/>
    </row>
    <row r="9" spans="1:14" x14ac:dyDescent="0.3">
      <c r="D9" s="100" vm="14">
        <f ca="1"/>
        <v>42128</v>
      </c>
      <c r="E9" s="101" vm="14849">
        <f ca="1"/>
        <v>82.085599999999999</v>
      </c>
      <c r="F9" s="101" vm="14850">
        <f ca="1"/>
        <v>79.571299999999994</v>
      </c>
      <c r="G9" s="101" vm="14851">
        <f ca="1"/>
        <v>82.442800000000005</v>
      </c>
      <c r="H9" s="101" vm="14852">
        <f ca="1"/>
        <v>78.899900000000002</v>
      </c>
      <c r="I9" s="108" vm="14853">
        <f ca="1"/>
        <v>10090960</v>
      </c>
      <c r="L9" s="124" t="s">
        <v>14</v>
      </c>
      <c r="M9" s="124"/>
      <c r="N9" s="125">
        <f ca="1">_xlfn.STDEV.S(E8:E530)</f>
        <v>212.86748310376814</v>
      </c>
    </row>
    <row r="10" spans="1:14" x14ac:dyDescent="0.3">
      <c r="D10" s="100" vm="20">
        <f ca="1"/>
        <v>42135</v>
      </c>
      <c r="E10" s="101" vm="14854">
        <f ca="1"/>
        <v>87.607100000000003</v>
      </c>
      <c r="F10" s="101" vm="14855">
        <f ca="1"/>
        <v>82.324200000000005</v>
      </c>
      <c r="G10" s="101" vm="14856">
        <f ca="1"/>
        <v>88.348299999999995</v>
      </c>
      <c r="H10" s="101" vm="14857">
        <f ca="1"/>
        <v>82.185599999999994</v>
      </c>
      <c r="I10" s="102" vm="14858">
        <f ca="1"/>
        <v>13270964</v>
      </c>
      <c r="L10" s="124"/>
      <c r="M10" s="124"/>
      <c r="N10" s="124"/>
    </row>
    <row r="11" spans="1:14" x14ac:dyDescent="0.3">
      <c r="D11" s="100" vm="26">
        <f ca="1"/>
        <v>42142</v>
      </c>
      <c r="E11" s="101" vm="14859">
        <f ca="1"/>
        <v>88.838499999999996</v>
      </c>
      <c r="F11" s="101" vm="14860">
        <f ca="1"/>
        <v>87.544200000000004</v>
      </c>
      <c r="G11" s="101" vm="14861">
        <f ca="1"/>
        <v>89.785600000000002</v>
      </c>
      <c r="H11" s="101" vm="14862">
        <f ca="1"/>
        <v>87.024199999999993</v>
      </c>
      <c r="I11" s="102" vm="14863">
        <f ca="1"/>
        <v>9557634</v>
      </c>
      <c r="L11" s="124" t="s">
        <v>17</v>
      </c>
      <c r="M11" s="124"/>
      <c r="N11" s="126">
        <f ca="1">MAX(G478:H530)</f>
        <v>1106.7983999999999</v>
      </c>
    </row>
    <row r="12" spans="1:14" x14ac:dyDescent="0.3">
      <c r="D12" s="100" vm="32">
        <f ca="1"/>
        <v>42150</v>
      </c>
      <c r="E12" s="101" vm="14864">
        <f ca="1"/>
        <v>89.151300000000006</v>
      </c>
      <c r="F12" s="101" vm="14865">
        <f ca="1"/>
        <v>88.874200000000002</v>
      </c>
      <c r="G12" s="101" vm="14866">
        <f ca="1"/>
        <v>90.205600000000004</v>
      </c>
      <c r="H12" s="101" vm="14867">
        <f ca="1"/>
        <v>87.786199999999994</v>
      </c>
      <c r="I12" s="102" vm="14868">
        <f ca="1"/>
        <v>5812241</v>
      </c>
      <c r="L12" s="124" t="s">
        <v>18</v>
      </c>
      <c r="M12" s="124"/>
      <c r="N12" s="126">
        <f ca="1">MIN(G479:H531)</f>
        <v>108.262</v>
      </c>
    </row>
    <row r="13" spans="1:14" x14ac:dyDescent="0.3">
      <c r="D13" s="100" vm="38">
        <f ca="1"/>
        <v>42156</v>
      </c>
      <c r="E13" s="101" vm="14869">
        <f ca="1"/>
        <v>90.459900000000005</v>
      </c>
      <c r="F13" s="101" vm="14870">
        <f ca="1"/>
        <v>88.837100000000007</v>
      </c>
      <c r="G13" s="101" vm="14871">
        <f ca="1"/>
        <v>90.539900000000003</v>
      </c>
      <c r="H13" s="101" vm="14872">
        <f ca="1"/>
        <v>87.944199999999995</v>
      </c>
      <c r="I13" s="102" vm="14873">
        <f ca="1"/>
        <v>6484497</v>
      </c>
    </row>
    <row r="14" spans="1:14" x14ac:dyDescent="0.3">
      <c r="D14" s="100" vm="43">
        <f ca="1"/>
        <v>42163</v>
      </c>
      <c r="E14" s="101" vm="14874">
        <f ca="1"/>
        <v>94.418499999999995</v>
      </c>
      <c r="F14" s="101" vm="14875">
        <f ca="1"/>
        <v>90.714200000000005</v>
      </c>
      <c r="G14" s="101" vm="14876">
        <f ca="1"/>
        <v>98.969899999999996</v>
      </c>
      <c r="H14" s="101" vm="14877">
        <f ca="1"/>
        <v>88.995599999999996</v>
      </c>
      <c r="I14" s="102" vm="14878">
        <f ca="1"/>
        <v>18171083</v>
      </c>
    </row>
    <row r="15" spans="1:14" x14ac:dyDescent="0.3">
      <c r="D15" s="100" vm="49">
        <f ca="1"/>
        <v>42170</v>
      </c>
      <c r="E15" s="101" vm="14879">
        <f ca="1"/>
        <v>93.871300000000005</v>
      </c>
      <c r="F15" s="101" vm="14880">
        <f ca="1"/>
        <v>92.857100000000003</v>
      </c>
      <c r="G15" s="101" vm="14881">
        <f ca="1"/>
        <v>96.4178</v>
      </c>
      <c r="H15" s="101" vm="14882">
        <f ca="1"/>
        <v>91.658500000000004</v>
      </c>
      <c r="I15" s="102" vm="14883">
        <f ca="1"/>
        <v>10540002</v>
      </c>
    </row>
    <row r="16" spans="1:14" x14ac:dyDescent="0.3">
      <c r="D16" s="100" vm="55">
        <f ca="1"/>
        <v>42177</v>
      </c>
      <c r="E16" s="101" vm="14884">
        <f ca="1"/>
        <v>93.088499999999996</v>
      </c>
      <c r="F16" s="101" vm="14885">
        <f ca="1"/>
        <v>95.0428</v>
      </c>
      <c r="G16" s="101" vm="14886">
        <f ca="1"/>
        <v>100.8913</v>
      </c>
      <c r="H16" s="101" vm="14884">
        <f ca="1"/>
        <v>93.088499999999996</v>
      </c>
      <c r="I16" s="102" vm="14887">
        <f ca="1"/>
        <v>25919434</v>
      </c>
    </row>
    <row r="17" spans="4:9" x14ac:dyDescent="0.3">
      <c r="D17" s="100" vm="61">
        <f ca="1"/>
        <v>42184</v>
      </c>
      <c r="E17" s="101" vm="14888">
        <f ca="1"/>
        <v>94.044200000000004</v>
      </c>
      <c r="F17" s="101" vm="14889">
        <f ca="1"/>
        <v>91.505600000000001</v>
      </c>
      <c r="G17" s="101" vm="14890">
        <f ca="1"/>
        <v>95.238500000000002</v>
      </c>
      <c r="H17" s="101" vm="14891">
        <f ca="1"/>
        <v>91.117099999999994</v>
      </c>
      <c r="I17" s="102" vm="14892">
        <f ca="1"/>
        <v>9601285</v>
      </c>
    </row>
    <row r="18" spans="4:9" x14ac:dyDescent="0.3">
      <c r="D18" s="100" vm="67">
        <f ca="1"/>
        <v>42191</v>
      </c>
      <c r="E18" s="101" vm="14893">
        <f ca="1"/>
        <v>97.228499999999997</v>
      </c>
      <c r="F18" s="101" vm="14894">
        <f ca="1"/>
        <v>93.472800000000007</v>
      </c>
      <c r="G18" s="101" vm="14895">
        <f ca="1"/>
        <v>98.502700000000004</v>
      </c>
      <c r="H18" s="101" vm="14896">
        <f ca="1"/>
        <v>92.284199999999998</v>
      </c>
      <c r="I18" s="102" vm="14897">
        <f ca="1"/>
        <v>12105751</v>
      </c>
    </row>
    <row r="19" spans="4:9" x14ac:dyDescent="0.3">
      <c r="D19" s="100" vm="73">
        <f ca="1"/>
        <v>42198</v>
      </c>
      <c r="E19" s="101" vm="14898">
        <f ca="1"/>
        <v>114.77</v>
      </c>
      <c r="F19" s="101" vm="14899">
        <f ca="1"/>
        <v>98.098500000000001</v>
      </c>
      <c r="G19" s="101" vm="14900">
        <f ca="1"/>
        <v>117.88</v>
      </c>
      <c r="H19" s="101" vm="14901">
        <f ca="1"/>
        <v>97.05</v>
      </c>
      <c r="I19" s="102" vm="14902">
        <f ca="1"/>
        <v>127059598</v>
      </c>
    </row>
    <row r="20" spans="4:9" x14ac:dyDescent="0.3">
      <c r="D20" s="100" vm="78">
        <f ca="1"/>
        <v>42205</v>
      </c>
      <c r="E20" s="101" vm="14903">
        <f ca="1"/>
        <v>109.34</v>
      </c>
      <c r="F20" s="101" vm="14904">
        <f ca="1"/>
        <v>114.7</v>
      </c>
      <c r="G20" s="101" vm="14904">
        <f ca="1"/>
        <v>114.7</v>
      </c>
      <c r="H20" s="101" vm="14905">
        <f ca="1"/>
        <v>108.9</v>
      </c>
      <c r="I20" s="102" vm="14906">
        <f ca="1"/>
        <v>63694722</v>
      </c>
    </row>
    <row r="21" spans="4:9" x14ac:dyDescent="0.3">
      <c r="D21" s="100" vm="83">
        <f ca="1"/>
        <v>42212</v>
      </c>
      <c r="E21" s="101" vm="14907">
        <f ca="1"/>
        <v>114.31</v>
      </c>
      <c r="F21" s="101" vm="14908">
        <f ca="1"/>
        <v>107.79</v>
      </c>
      <c r="G21" s="101" vm="14191">
        <f ca="1"/>
        <v>115</v>
      </c>
      <c r="H21" s="101" vm="14909">
        <f ca="1"/>
        <v>103.88</v>
      </c>
      <c r="I21" s="102" vm="14910">
        <f ca="1"/>
        <v>59732476</v>
      </c>
    </row>
    <row r="22" spans="4:9" x14ac:dyDescent="0.3">
      <c r="D22" s="100" vm="89">
        <f ca="1"/>
        <v>42219</v>
      </c>
      <c r="E22" s="101" vm="14911">
        <f ca="1"/>
        <v>123.52</v>
      </c>
      <c r="F22" s="101" vm="14912">
        <f ca="1"/>
        <v>114.6</v>
      </c>
      <c r="G22" s="101" vm="14913">
        <f ca="1"/>
        <v>129.29</v>
      </c>
      <c r="H22" s="101" vm="14914">
        <f ca="1"/>
        <v>111.78</v>
      </c>
      <c r="I22" s="102" vm="14915">
        <f ca="1"/>
        <v>108822041</v>
      </c>
    </row>
    <row r="23" spans="4:9" x14ac:dyDescent="0.3">
      <c r="D23" s="100" vm="95">
        <f ca="1"/>
        <v>42226</v>
      </c>
      <c r="E23" s="101" vm="14916">
        <f ca="1"/>
        <v>123.39</v>
      </c>
      <c r="F23" s="101" vm="14917">
        <f ca="1"/>
        <v>126.09</v>
      </c>
      <c r="G23" s="101" vm="14918">
        <f ca="1"/>
        <v>126.5</v>
      </c>
      <c r="H23" s="101" vm="14919">
        <f ca="1"/>
        <v>118.66</v>
      </c>
      <c r="I23" s="102" vm="14920">
        <f ca="1"/>
        <v>62855077</v>
      </c>
    </row>
    <row r="24" spans="4:9" x14ac:dyDescent="0.3">
      <c r="D24" s="100" vm="101">
        <f ca="1"/>
        <v>42233</v>
      </c>
      <c r="E24" s="101" vm="14921">
        <f ca="1"/>
        <v>103.96</v>
      </c>
      <c r="F24" s="101" vm="14922">
        <f ca="1"/>
        <v>123.14</v>
      </c>
      <c r="G24" s="101" vm="14923">
        <f ca="1"/>
        <v>126.749</v>
      </c>
      <c r="H24" s="101" vm="14924">
        <f ca="1"/>
        <v>102.751</v>
      </c>
      <c r="I24" s="102" vm="14925">
        <f ca="1"/>
        <v>90004727</v>
      </c>
    </row>
    <row r="25" spans="4:9" x14ac:dyDescent="0.3">
      <c r="D25" s="100" vm="107">
        <f ca="1"/>
        <v>42240</v>
      </c>
      <c r="E25" s="101" vm="14926">
        <f ca="1"/>
        <v>117.63</v>
      </c>
      <c r="F25" s="101" vm="14927">
        <f ca="1"/>
        <v>88.75</v>
      </c>
      <c r="G25" s="101" vm="14928">
        <f ca="1"/>
        <v>119.35</v>
      </c>
      <c r="H25" s="101" vm="14929">
        <f ca="1"/>
        <v>85.5</v>
      </c>
      <c r="I25" s="102" vm="14930">
        <f ca="1"/>
        <v>191033613</v>
      </c>
    </row>
    <row r="26" spans="4:9" x14ac:dyDescent="0.3">
      <c r="D26" s="100" vm="113">
        <f ca="1"/>
        <v>42247</v>
      </c>
      <c r="E26" s="101" vm="14931">
        <f ca="1"/>
        <v>98.79</v>
      </c>
      <c r="F26" s="101" vm="14932">
        <f ca="1"/>
        <v>115.24</v>
      </c>
      <c r="G26" s="101" vm="1665">
        <f ca="1"/>
        <v>117</v>
      </c>
      <c r="H26" s="101" vm="14933">
        <f ca="1"/>
        <v>97.34</v>
      </c>
      <c r="I26" s="102" vm="14934">
        <f ca="1"/>
        <v>146584546</v>
      </c>
    </row>
    <row r="27" spans="4:9" x14ac:dyDescent="0.3">
      <c r="D27" s="100" vm="119">
        <f ca="1"/>
        <v>42255</v>
      </c>
      <c r="E27" s="101" vm="14935">
        <f ca="1"/>
        <v>97.51</v>
      </c>
      <c r="F27" s="101" vm="14936">
        <f ca="1"/>
        <v>102.08</v>
      </c>
      <c r="G27" s="101" vm="14937">
        <f ca="1"/>
        <v>102.79</v>
      </c>
      <c r="H27" s="101" vm="14938">
        <f ca="1"/>
        <v>93.55</v>
      </c>
      <c r="I27" s="102" vm="14939">
        <f ca="1"/>
        <v>117409877</v>
      </c>
    </row>
    <row r="28" spans="4:9" x14ac:dyDescent="0.3">
      <c r="D28" s="100" vm="124">
        <f ca="1"/>
        <v>42261</v>
      </c>
      <c r="E28" s="101" vm="14940">
        <f ca="1"/>
        <v>102.62</v>
      </c>
      <c r="F28" s="101" vm="14941">
        <f ca="1"/>
        <v>96.84</v>
      </c>
      <c r="G28" s="101" vm="14942">
        <f ca="1"/>
        <v>107.5</v>
      </c>
      <c r="H28" s="101" vm="14943">
        <f ca="1"/>
        <v>93.61</v>
      </c>
      <c r="I28" s="102" vm="14944">
        <f ca="1"/>
        <v>113727976</v>
      </c>
    </row>
    <row r="29" spans="4:9" x14ac:dyDescent="0.3">
      <c r="D29" s="100" vm="130">
        <f ca="1"/>
        <v>42268</v>
      </c>
      <c r="E29" s="101" vm="14312">
        <f ca="1"/>
        <v>102.24</v>
      </c>
      <c r="F29" s="101" vm="14945">
        <f ca="1"/>
        <v>103.3</v>
      </c>
      <c r="G29" s="101" vm="14946">
        <f ca="1"/>
        <v>105.4487</v>
      </c>
      <c r="H29" s="101" vm="14947">
        <f ca="1"/>
        <v>96.78</v>
      </c>
      <c r="I29" s="102" vm="14948">
        <f ca="1"/>
        <v>85224186</v>
      </c>
    </row>
    <row r="30" spans="4:9" x14ac:dyDescent="0.3">
      <c r="D30" s="100" vm="136">
        <f ca="1"/>
        <v>42275</v>
      </c>
      <c r="E30" s="101" vm="14949">
        <f ca="1"/>
        <v>106.11</v>
      </c>
      <c r="F30" s="101" vm="14950">
        <f ca="1"/>
        <v>101.57</v>
      </c>
      <c r="G30" s="101" vm="14951">
        <f ca="1"/>
        <v>106.87</v>
      </c>
      <c r="H30" s="101" vm="14952">
        <f ca="1"/>
        <v>96.85</v>
      </c>
      <c r="I30" s="102" vm="14953">
        <f ca="1"/>
        <v>90413824</v>
      </c>
    </row>
    <row r="31" spans="4:9" x14ac:dyDescent="0.3">
      <c r="D31" s="100" vm="142">
        <f ca="1"/>
        <v>42282</v>
      </c>
      <c r="E31" s="101" vm="14954">
        <f ca="1"/>
        <v>113.33</v>
      </c>
      <c r="F31" s="101" vm="14955">
        <f ca="1"/>
        <v>107.48</v>
      </c>
      <c r="G31" s="101" vm="14956">
        <f ca="1"/>
        <v>115.83</v>
      </c>
      <c r="H31" s="101" vm="14957">
        <f ca="1"/>
        <v>102.6</v>
      </c>
      <c r="I31" s="102" vm="14958">
        <f ca="1"/>
        <v>119610924</v>
      </c>
    </row>
    <row r="32" spans="4:9" x14ac:dyDescent="0.3">
      <c r="D32" s="100" vm="148">
        <f ca="1"/>
        <v>42289</v>
      </c>
      <c r="E32" s="101" vm="14959">
        <f ca="1"/>
        <v>98.99</v>
      </c>
      <c r="F32" s="101" vm="14960">
        <f ca="1"/>
        <v>114.45</v>
      </c>
      <c r="G32" s="101" vm="14961">
        <f ca="1"/>
        <v>115.42</v>
      </c>
      <c r="H32" s="101" vm="14350">
        <f ca="1"/>
        <v>98.41</v>
      </c>
      <c r="I32" s="102" vm="14962">
        <f ca="1"/>
        <v>133192935</v>
      </c>
    </row>
    <row r="33" spans="4:9" x14ac:dyDescent="0.3">
      <c r="D33" s="100" vm="154">
        <f ca="1"/>
        <v>42296</v>
      </c>
      <c r="E33" s="101" vm="14963">
        <f ca="1"/>
        <v>100.04</v>
      </c>
      <c r="F33" s="101" vm="14964">
        <f ca="1"/>
        <v>98.07</v>
      </c>
      <c r="G33" s="101" vm="14965">
        <f ca="1"/>
        <v>103.62</v>
      </c>
      <c r="H33" s="101" vm="14966">
        <f ca="1"/>
        <v>96.26</v>
      </c>
      <c r="I33" s="102" vm="14967">
        <f ca="1"/>
        <v>91876565</v>
      </c>
    </row>
    <row r="34" spans="4:9" x14ac:dyDescent="0.3">
      <c r="D34" s="100" vm="160">
        <f ca="1"/>
        <v>42303</v>
      </c>
      <c r="E34" s="101" vm="14968">
        <f ca="1"/>
        <v>108.38</v>
      </c>
      <c r="F34" s="101" vm="7561">
        <f ca="1"/>
        <v>100.05</v>
      </c>
      <c r="G34" s="101" vm="14969">
        <f ca="1"/>
        <v>110.1</v>
      </c>
      <c r="H34" s="101" vm="14970">
        <f ca="1"/>
        <v>99.38</v>
      </c>
      <c r="I34" s="102" vm="14971">
        <f ca="1"/>
        <v>62808062</v>
      </c>
    </row>
    <row r="35" spans="4:9" x14ac:dyDescent="0.3">
      <c r="D35" s="100" vm="166">
        <f ca="1"/>
        <v>42310</v>
      </c>
      <c r="E35" s="101" vm="14972">
        <f ca="1"/>
        <v>114.06</v>
      </c>
      <c r="F35" s="101" vm="14973">
        <f ca="1"/>
        <v>109.2</v>
      </c>
      <c r="G35" s="101" vm="14974">
        <f ca="1"/>
        <v>115.68</v>
      </c>
      <c r="H35" s="101" vm="7381">
        <f ca="1"/>
        <v>106.3</v>
      </c>
      <c r="I35" s="102" vm="14975">
        <f ca="1"/>
        <v>66525279</v>
      </c>
    </row>
    <row r="36" spans="4:9" x14ac:dyDescent="0.3">
      <c r="D36" s="100" vm="172">
        <f ca="1"/>
        <v>42317</v>
      </c>
      <c r="E36" s="101" vm="14976">
        <f ca="1"/>
        <v>103.65</v>
      </c>
      <c r="F36" s="101" vm="14977">
        <f ca="1"/>
        <v>113.36</v>
      </c>
      <c r="G36" s="101" vm="14978">
        <f ca="1"/>
        <v>115.25</v>
      </c>
      <c r="H36" s="101" vm="14979">
        <f ca="1"/>
        <v>103.27</v>
      </c>
      <c r="I36" s="102" vm="14980">
        <f ca="1"/>
        <v>74747739</v>
      </c>
    </row>
    <row r="37" spans="4:9" x14ac:dyDescent="0.3">
      <c r="D37" s="100" vm="178">
        <f ca="1"/>
        <v>42324</v>
      </c>
      <c r="E37" s="101" vm="14981">
        <f ca="1"/>
        <v>123.84</v>
      </c>
      <c r="F37" s="101" vm="14982">
        <f ca="1"/>
        <v>102.97</v>
      </c>
      <c r="G37" s="101" vm="14983">
        <f ca="1"/>
        <v>124.07</v>
      </c>
      <c r="H37" s="101" vm="14984">
        <f ca="1"/>
        <v>101.86</v>
      </c>
      <c r="I37" s="102" vm="14985">
        <f ca="1"/>
        <v>113466265</v>
      </c>
    </row>
    <row r="38" spans="4:9" x14ac:dyDescent="0.3">
      <c r="D38" s="100" vm="184">
        <f ca="1"/>
        <v>42331</v>
      </c>
      <c r="E38" s="101" vm="14986">
        <f ca="1"/>
        <v>125.44</v>
      </c>
      <c r="F38" s="101" vm="7357">
        <f ca="1"/>
        <v>124.3</v>
      </c>
      <c r="G38" s="101" vm="14399">
        <f ca="1"/>
        <v>126.39</v>
      </c>
      <c r="H38" s="101" vm="14987">
        <f ca="1"/>
        <v>120.03</v>
      </c>
      <c r="I38" s="102" vm="14988">
        <f ca="1"/>
        <v>51688400</v>
      </c>
    </row>
    <row r="39" spans="4:9" x14ac:dyDescent="0.3">
      <c r="D39" s="100" vm="190">
        <f ca="1"/>
        <v>42338</v>
      </c>
      <c r="E39" s="101" vm="1765">
        <f ca="1"/>
        <v>130.93</v>
      </c>
      <c r="F39" s="101" vm="14989">
        <f ca="1"/>
        <v>126.03</v>
      </c>
      <c r="G39" s="101" vm="14990">
        <f ca="1"/>
        <v>132.19999999999999</v>
      </c>
      <c r="H39" s="101" vm="14190">
        <f ca="1"/>
        <v>122.42</v>
      </c>
      <c r="I39" s="102" vm="14991">
        <f ca="1"/>
        <v>97373181</v>
      </c>
    </row>
    <row r="40" spans="4:9" x14ac:dyDescent="0.3">
      <c r="D40" s="100" vm="196">
        <f ca="1"/>
        <v>42345</v>
      </c>
      <c r="E40" s="101" vm="14992">
        <f ca="1"/>
        <v>118.91</v>
      </c>
      <c r="F40" s="101" vm="14993">
        <f ca="1"/>
        <v>131.19</v>
      </c>
      <c r="G40" s="101" vm="14221">
        <f ca="1"/>
        <v>133.27000000000001</v>
      </c>
      <c r="H40" s="101" vm="14390">
        <f ca="1"/>
        <v>118.6</v>
      </c>
      <c r="I40" s="102" vm="14994">
        <f ca="1"/>
        <v>89310988</v>
      </c>
    </row>
    <row r="41" spans="4:9" x14ac:dyDescent="0.3">
      <c r="D41" s="100" vm="202">
        <f ca="1"/>
        <v>42352</v>
      </c>
      <c r="E41" s="101" vm="14995">
        <f ca="1"/>
        <v>118.02</v>
      </c>
      <c r="F41" s="101" vm="14996">
        <f ca="1"/>
        <v>119.77</v>
      </c>
      <c r="G41" s="101" vm="14997">
        <f ca="1"/>
        <v>126.35</v>
      </c>
      <c r="H41" s="101" vm="14998">
        <f ca="1"/>
        <v>114.66</v>
      </c>
      <c r="I41" s="102" vm="14999">
        <f ca="1"/>
        <v>78909515</v>
      </c>
    </row>
    <row r="42" spans="4:9" x14ac:dyDescent="0.3">
      <c r="D42" s="100" vm="208">
        <f ca="1"/>
        <v>42359</v>
      </c>
      <c r="E42" s="101" vm="15000">
        <f ca="1"/>
        <v>117.33</v>
      </c>
      <c r="F42" s="101" vm="15001">
        <f ca="1"/>
        <v>119.51</v>
      </c>
      <c r="G42" s="101" vm="14249">
        <f ca="1"/>
        <v>119.59</v>
      </c>
      <c r="H42" s="101" vm="7424">
        <f ca="1"/>
        <v>114.86</v>
      </c>
      <c r="I42" s="102" vm="15002">
        <f ca="1"/>
        <v>34224773</v>
      </c>
    </row>
    <row r="43" spans="4:9" x14ac:dyDescent="0.3">
      <c r="D43" s="100" vm="214">
        <f ca="1"/>
        <v>42366</v>
      </c>
      <c r="E43" s="101" vm="15003">
        <f ca="1"/>
        <v>114.38</v>
      </c>
      <c r="F43" s="101" vm="15004">
        <f ca="1"/>
        <v>117.26</v>
      </c>
      <c r="G43" s="101" vm="15005">
        <f ca="1"/>
        <v>119.6</v>
      </c>
      <c r="H43" s="101" vm="15006">
        <f ca="1"/>
        <v>113.85</v>
      </c>
      <c r="I43" s="102" vm="15007">
        <f ca="1"/>
        <v>34006181</v>
      </c>
    </row>
    <row r="44" spans="4:9" x14ac:dyDescent="0.3">
      <c r="D44" s="100" vm="220">
        <f ca="1"/>
        <v>42373</v>
      </c>
      <c r="E44" s="101" vm="15008">
        <f ca="1"/>
        <v>111.39</v>
      </c>
      <c r="F44" s="101" vm="15009">
        <f ca="1"/>
        <v>109</v>
      </c>
      <c r="G44" s="101" vm="15010">
        <f ca="1"/>
        <v>122.18</v>
      </c>
      <c r="H44" s="101" vm="15011">
        <f ca="1"/>
        <v>104.96</v>
      </c>
      <c r="I44" s="102" vm="15012">
        <f ca="1"/>
        <v>123208867</v>
      </c>
    </row>
    <row r="45" spans="4:9" x14ac:dyDescent="0.3">
      <c r="D45" s="100" vm="226">
        <f ca="1"/>
        <v>42380</v>
      </c>
      <c r="E45" s="101" vm="15013">
        <f ca="1"/>
        <v>104.04</v>
      </c>
      <c r="F45" s="101" vm="15014">
        <f ca="1"/>
        <v>112.13</v>
      </c>
      <c r="G45" s="101" vm="15015">
        <f ca="1"/>
        <v>117.78</v>
      </c>
      <c r="H45" s="101" vm="15016">
        <f ca="1"/>
        <v>101.21</v>
      </c>
      <c r="I45" s="102" vm="15017">
        <f ca="1"/>
        <v>105415424</v>
      </c>
    </row>
    <row r="46" spans="4:9" x14ac:dyDescent="0.3">
      <c r="D46" s="100" vm="232">
        <f ca="1"/>
        <v>42388</v>
      </c>
      <c r="E46" s="101" vm="15018">
        <f ca="1"/>
        <v>100.72</v>
      </c>
      <c r="F46" s="101" vm="15019">
        <f ca="1"/>
        <v>106.57</v>
      </c>
      <c r="G46" s="101" vm="15020">
        <f ca="1"/>
        <v>110.14</v>
      </c>
      <c r="H46" s="101" vm="15021">
        <f ca="1"/>
        <v>97.0501</v>
      </c>
      <c r="I46" s="102" vm="15022">
        <f ca="1"/>
        <v>146581445</v>
      </c>
    </row>
    <row r="47" spans="4:9" x14ac:dyDescent="0.3">
      <c r="D47" s="100" vm="238">
        <f ca="1"/>
        <v>42394</v>
      </c>
      <c r="E47" s="101" vm="15023">
        <f ca="1"/>
        <v>91.84</v>
      </c>
      <c r="F47" s="101" vm="15024">
        <f ca="1"/>
        <v>99.78</v>
      </c>
      <c r="G47" s="101" vm="15025">
        <f ca="1"/>
        <v>102.68</v>
      </c>
      <c r="H47" s="101" vm="15026">
        <f ca="1"/>
        <v>90.11</v>
      </c>
      <c r="I47" s="102" vm="15027">
        <f ca="1"/>
        <v>112987392</v>
      </c>
    </row>
    <row r="48" spans="4:9" x14ac:dyDescent="0.3">
      <c r="D48" s="100" vm="244">
        <f ca="1"/>
        <v>42401</v>
      </c>
      <c r="E48" s="101" vm="15028">
        <f ca="1"/>
        <v>82.79</v>
      </c>
      <c r="F48" s="101" vm="15029">
        <f ca="1"/>
        <v>91.79</v>
      </c>
      <c r="G48" s="101" vm="15030">
        <f ca="1"/>
        <v>97.18</v>
      </c>
      <c r="H48" s="101" vm="15031">
        <f ca="1"/>
        <v>81.86</v>
      </c>
      <c r="I48" s="102" vm="15032">
        <f ca="1"/>
        <v>114094863</v>
      </c>
    </row>
    <row r="49" spans="4:9" x14ac:dyDescent="0.3">
      <c r="D49" s="100" vm="250">
        <f ca="1"/>
        <v>42408</v>
      </c>
      <c r="E49" s="101" vm="15033">
        <f ca="1"/>
        <v>87.4</v>
      </c>
      <c r="F49" s="101" vm="15034">
        <f ca="1"/>
        <v>80.569999999999993</v>
      </c>
      <c r="G49" s="101" vm="15035">
        <f ca="1"/>
        <v>92.21</v>
      </c>
      <c r="H49" s="101" vm="15036">
        <f ca="1"/>
        <v>79.95</v>
      </c>
      <c r="I49" s="102" vm="15037">
        <f ca="1"/>
        <v>114963029</v>
      </c>
    </row>
    <row r="50" spans="4:9" x14ac:dyDescent="0.3">
      <c r="D50" s="100" vm="256">
        <f ca="1"/>
        <v>42416</v>
      </c>
      <c r="E50" s="101" vm="15038">
        <f ca="1"/>
        <v>89.23</v>
      </c>
      <c r="F50" s="101" vm="15039">
        <f ca="1"/>
        <v>89</v>
      </c>
      <c r="G50" s="101" vm="13569">
        <f ca="1"/>
        <v>94.9</v>
      </c>
      <c r="H50" s="101" vm="15040">
        <f ca="1"/>
        <v>87.54</v>
      </c>
      <c r="I50" s="102" vm="15041">
        <f ca="1"/>
        <v>66634967</v>
      </c>
    </row>
    <row r="51" spans="4:9" x14ac:dyDescent="0.3">
      <c r="D51" s="100" vm="262">
        <f ca="1"/>
        <v>42422</v>
      </c>
      <c r="E51" s="101" vm="15042">
        <f ca="1"/>
        <v>94.79</v>
      </c>
      <c r="F51" s="101" vm="15043">
        <f ca="1"/>
        <v>90.75</v>
      </c>
      <c r="G51" s="101" vm="15044">
        <f ca="1"/>
        <v>97.48</v>
      </c>
      <c r="H51" s="101" vm="15045">
        <f ca="1"/>
        <v>86.7</v>
      </c>
      <c r="I51" s="102" vm="15046">
        <f ca="1"/>
        <v>79912997</v>
      </c>
    </row>
    <row r="52" spans="4:9" x14ac:dyDescent="0.3">
      <c r="D52" s="100" vm="268">
        <f ca="1"/>
        <v>42429</v>
      </c>
      <c r="E52" s="101" vm="15047">
        <f ca="1"/>
        <v>101.58</v>
      </c>
      <c r="F52" s="101" vm="15048">
        <f ca="1"/>
        <v>94.81</v>
      </c>
      <c r="G52" s="101" vm="15049">
        <f ca="1"/>
        <v>102.22</v>
      </c>
      <c r="H52" s="101" vm="15050">
        <f ca="1"/>
        <v>93.34</v>
      </c>
      <c r="I52" s="102" vm="15051">
        <f ca="1"/>
        <v>88550262</v>
      </c>
    </row>
    <row r="53" spans="4:9" x14ac:dyDescent="0.3">
      <c r="D53" s="100" vm="274">
        <f ca="1"/>
        <v>42436</v>
      </c>
      <c r="E53" s="101" vm="14255">
        <f ca="1"/>
        <v>97.66</v>
      </c>
      <c r="F53" s="101" vm="12160">
        <f ca="1"/>
        <v>101</v>
      </c>
      <c r="G53" s="101" vm="13438">
        <f ca="1"/>
        <v>101.79</v>
      </c>
      <c r="H53" s="101" vm="15052">
        <f ca="1"/>
        <v>94.5</v>
      </c>
      <c r="I53" s="102" vm="15053">
        <f ca="1"/>
        <v>83118662</v>
      </c>
    </row>
    <row r="54" spans="4:9" x14ac:dyDescent="0.3">
      <c r="D54" s="100" vm="280">
        <f ca="1"/>
        <v>42443</v>
      </c>
      <c r="E54" s="101" vm="15054">
        <f ca="1"/>
        <v>101.12</v>
      </c>
      <c r="F54" s="101" vm="14326">
        <f ca="1"/>
        <v>97.2</v>
      </c>
      <c r="G54" s="101" vm="15055">
        <f ca="1"/>
        <v>102.41</v>
      </c>
      <c r="H54" s="101" vm="15056">
        <f ca="1"/>
        <v>96.43</v>
      </c>
      <c r="I54" s="102" vm="15057">
        <f ca="1"/>
        <v>62852590</v>
      </c>
    </row>
    <row r="55" spans="4:9" x14ac:dyDescent="0.3">
      <c r="D55" s="100" vm="286">
        <f ca="1"/>
        <v>42450</v>
      </c>
      <c r="E55" s="101" vm="15058">
        <f ca="1"/>
        <v>98.36</v>
      </c>
      <c r="F55" s="101" vm="14382">
        <f ca="1"/>
        <v>101.15</v>
      </c>
      <c r="G55" s="101" vm="14351">
        <f ca="1"/>
        <v>102.1</v>
      </c>
      <c r="H55" s="101" vm="15059">
        <f ca="1"/>
        <v>97.07</v>
      </c>
      <c r="I55" s="102" vm="15060">
        <f ca="1"/>
        <v>37632990</v>
      </c>
    </row>
    <row r="56" spans="4:9" x14ac:dyDescent="0.3">
      <c r="D56" s="100" vm="292">
        <f ca="1"/>
        <v>42457</v>
      </c>
      <c r="E56" s="101" vm="15061">
        <f ca="1"/>
        <v>105.7</v>
      </c>
      <c r="F56" s="101" vm="15062">
        <f ca="1"/>
        <v>98.34</v>
      </c>
      <c r="G56" s="101" vm="15063">
        <f ca="1"/>
        <v>105.79</v>
      </c>
      <c r="H56" s="101" vm="15064">
        <f ca="1"/>
        <v>97.82</v>
      </c>
      <c r="I56" s="102" vm="15065">
        <f ca="1"/>
        <v>67075977</v>
      </c>
    </row>
    <row r="57" spans="4:9" x14ac:dyDescent="0.3">
      <c r="D57" s="100" vm="298">
        <f ca="1"/>
        <v>42464</v>
      </c>
      <c r="E57" s="101" vm="15066">
        <f ca="1"/>
        <v>103.81</v>
      </c>
      <c r="F57" s="101" vm="15067">
        <f ca="1"/>
        <v>105.9</v>
      </c>
      <c r="G57" s="101" vm="15068">
        <f ca="1"/>
        <v>106.44</v>
      </c>
      <c r="H57" s="101" vm="15069">
        <f ca="1"/>
        <v>102.82</v>
      </c>
      <c r="I57" s="102" vm="15070">
        <f ca="1"/>
        <v>49239645</v>
      </c>
    </row>
    <row r="58" spans="4:9" x14ac:dyDescent="0.3">
      <c r="D58" s="100" vm="303">
        <f ca="1"/>
        <v>42471</v>
      </c>
      <c r="E58" s="101" vm="15071">
        <f ca="1"/>
        <v>111.51</v>
      </c>
      <c r="F58" s="101" vm="15013">
        <f ca="1"/>
        <v>104.04</v>
      </c>
      <c r="G58" s="101" vm="15072">
        <f ca="1"/>
        <v>111.85</v>
      </c>
      <c r="H58" s="101" vm="15073">
        <f ca="1"/>
        <v>102.21</v>
      </c>
      <c r="I58" s="102" vm="15074">
        <f ca="1"/>
        <v>57889759</v>
      </c>
    </row>
    <row r="59" spans="4:9" x14ac:dyDescent="0.3">
      <c r="D59" s="100" vm="308">
        <f ca="1"/>
        <v>42478</v>
      </c>
      <c r="E59" s="101" vm="15075">
        <f ca="1"/>
        <v>95.9</v>
      </c>
      <c r="F59" s="101" vm="7534">
        <f ca="1"/>
        <v>109.9</v>
      </c>
      <c r="G59" s="101" vm="15076">
        <f ca="1"/>
        <v>110.7</v>
      </c>
      <c r="H59" s="101" vm="15077">
        <f ca="1"/>
        <v>93.14</v>
      </c>
      <c r="I59" s="102" vm="15078">
        <f ca="1"/>
        <v>150884422</v>
      </c>
    </row>
    <row r="60" spans="4:9" x14ac:dyDescent="0.3">
      <c r="D60" s="100" vm="314">
        <f ca="1"/>
        <v>42485</v>
      </c>
      <c r="E60" s="101" vm="15079">
        <f ca="1"/>
        <v>90.03</v>
      </c>
      <c r="F60" s="101" vm="14352">
        <f ca="1"/>
        <v>95.7</v>
      </c>
      <c r="G60" s="101" vm="15080">
        <f ca="1"/>
        <v>95.746099999999998</v>
      </c>
      <c r="H60" s="101" vm="11457">
        <f ca="1"/>
        <v>88.21</v>
      </c>
      <c r="I60" s="102" vm="15081">
        <f ca="1"/>
        <v>67978092</v>
      </c>
    </row>
    <row r="61" spans="4:9" x14ac:dyDescent="0.3">
      <c r="D61" s="100" vm="320">
        <f ca="1"/>
        <v>42492</v>
      </c>
      <c r="E61" s="101" vm="15082">
        <f ca="1"/>
        <v>90.84</v>
      </c>
      <c r="F61" s="101" vm="15083">
        <f ca="1"/>
        <v>90.41</v>
      </c>
      <c r="G61" s="101" vm="13237">
        <f ca="1"/>
        <v>93.25</v>
      </c>
      <c r="H61" s="101" vm="15084">
        <f ca="1"/>
        <v>88.11</v>
      </c>
      <c r="I61" s="102" vm="15085">
        <f ca="1"/>
        <v>51338054</v>
      </c>
    </row>
    <row r="62" spans="4:9" x14ac:dyDescent="0.3">
      <c r="D62" s="100" vm="326">
        <f ca="1"/>
        <v>42499</v>
      </c>
      <c r="E62" s="101" vm="15086">
        <f ca="1"/>
        <v>87.88</v>
      </c>
      <c r="F62" s="101" vm="14339">
        <f ca="1"/>
        <v>90.73</v>
      </c>
      <c r="G62" s="101" vm="13237">
        <f ca="1"/>
        <v>93.25</v>
      </c>
      <c r="H62" s="101" vm="15087">
        <f ca="1"/>
        <v>85.74</v>
      </c>
      <c r="I62" s="102" vm="15088">
        <f ca="1"/>
        <v>64391989</v>
      </c>
    </row>
    <row r="63" spans="4:9" x14ac:dyDescent="0.3">
      <c r="D63" s="100" vm="332">
        <f ca="1"/>
        <v>42506</v>
      </c>
      <c r="E63" s="101" vm="15089">
        <f ca="1"/>
        <v>92.49</v>
      </c>
      <c r="F63" s="101" vm="15090">
        <f ca="1"/>
        <v>87.56</v>
      </c>
      <c r="G63" s="101" vm="15091">
        <f ca="1"/>
        <v>93.28</v>
      </c>
      <c r="H63" s="101" vm="15092">
        <f ca="1"/>
        <v>86.15</v>
      </c>
      <c r="I63" s="102" vm="15093">
        <f ca="1"/>
        <v>63244280</v>
      </c>
    </row>
    <row r="64" spans="4:9" x14ac:dyDescent="0.3">
      <c r="D64" s="100" vm="337">
        <f ca="1"/>
        <v>42513</v>
      </c>
      <c r="E64" s="101" vm="14945">
        <f ca="1"/>
        <v>103.3</v>
      </c>
      <c r="F64" s="101" vm="15094">
        <f ca="1"/>
        <v>92.98</v>
      </c>
      <c r="G64" s="101" vm="15095">
        <f ca="1"/>
        <v>104</v>
      </c>
      <c r="H64" s="101" vm="15096">
        <f ca="1"/>
        <v>92.85</v>
      </c>
      <c r="I64" s="102" vm="15097">
        <f ca="1"/>
        <v>77366448</v>
      </c>
    </row>
    <row r="65" spans="4:9" x14ac:dyDescent="0.3">
      <c r="D65" s="100" vm="343">
        <f ca="1"/>
        <v>42521</v>
      </c>
      <c r="E65" s="101" vm="15098">
        <f ca="1"/>
        <v>99.59</v>
      </c>
      <c r="F65" s="101" vm="15099">
        <f ca="1"/>
        <v>102.95</v>
      </c>
      <c r="G65" s="101" vm="15100">
        <f ca="1"/>
        <v>103.45</v>
      </c>
      <c r="H65" s="101" vm="15101">
        <f ca="1"/>
        <v>98.53</v>
      </c>
      <c r="I65" s="102" vm="15102">
        <f ca="1"/>
        <v>34335478</v>
      </c>
    </row>
    <row r="66" spans="4:9" x14ac:dyDescent="0.3">
      <c r="D66" s="100" vm="349">
        <f ca="1"/>
        <v>42527</v>
      </c>
      <c r="E66" s="101" vm="7335">
        <f ca="1"/>
        <v>93.75</v>
      </c>
      <c r="F66" s="101" vm="15103">
        <f ca="1"/>
        <v>100.29</v>
      </c>
      <c r="G66" s="101" vm="15104">
        <f ca="1"/>
        <v>101.63</v>
      </c>
      <c r="H66" s="101" vm="15091">
        <f ca="1"/>
        <v>93.28</v>
      </c>
      <c r="I66" s="102" vm="15105">
        <f ca="1"/>
        <v>44558511</v>
      </c>
    </row>
    <row r="67" spans="4:9" x14ac:dyDescent="0.3">
      <c r="D67" s="100" vm="355">
        <f ca="1"/>
        <v>42534</v>
      </c>
      <c r="E67" s="101" vm="15106">
        <f ca="1"/>
        <v>94.45</v>
      </c>
      <c r="F67" s="101" vm="14272">
        <f ca="1"/>
        <v>95.02</v>
      </c>
      <c r="G67" s="101" vm="14326">
        <f ca="1"/>
        <v>97.2</v>
      </c>
      <c r="H67" s="101" vm="15107">
        <f ca="1"/>
        <v>93.247399999999999</v>
      </c>
      <c r="I67" s="102" vm="15108">
        <f ca="1"/>
        <v>46237797</v>
      </c>
    </row>
    <row r="68" spans="4:9" x14ac:dyDescent="0.3">
      <c r="D68" s="100" vm="361">
        <f ca="1"/>
        <v>42541</v>
      </c>
      <c r="E68" s="101" vm="15109">
        <f ca="1"/>
        <v>88.44</v>
      </c>
      <c r="F68" s="101" vm="15110">
        <f ca="1"/>
        <v>95.22</v>
      </c>
      <c r="G68" s="101" vm="15111">
        <f ca="1"/>
        <v>95.88</v>
      </c>
      <c r="H68" s="101" vm="15112">
        <f ca="1"/>
        <v>87.21</v>
      </c>
      <c r="I68" s="102" vm="15113">
        <f ca="1"/>
        <v>55748403</v>
      </c>
    </row>
    <row r="69" spans="4:9" x14ac:dyDescent="0.3">
      <c r="D69" s="100" vm="367">
        <f ca="1"/>
        <v>42548</v>
      </c>
      <c r="E69" s="101" vm="15114">
        <f ca="1"/>
        <v>96.67</v>
      </c>
      <c r="F69" s="101" vm="15086">
        <f ca="1"/>
        <v>87.88</v>
      </c>
      <c r="G69" s="101" vm="15115">
        <f ca="1"/>
        <v>97</v>
      </c>
      <c r="H69" s="101" vm="13311">
        <f ca="1"/>
        <v>84.81</v>
      </c>
      <c r="I69" s="102" vm="15116">
        <f ca="1"/>
        <v>62274597</v>
      </c>
    </row>
    <row r="70" spans="4:9" x14ac:dyDescent="0.3">
      <c r="D70" s="100" vm="372">
        <f ca="1"/>
        <v>42556</v>
      </c>
      <c r="E70" s="101" vm="15117">
        <f ca="1"/>
        <v>97.06</v>
      </c>
      <c r="F70" s="101" vm="15118">
        <f ca="1"/>
        <v>95.2</v>
      </c>
      <c r="G70" s="101" vm="15119">
        <f ca="1"/>
        <v>101.27</v>
      </c>
      <c r="H70" s="101" vm="7337">
        <f ca="1"/>
        <v>93.18</v>
      </c>
      <c r="I70" s="102" vm="15120">
        <f ca="1"/>
        <v>60429462</v>
      </c>
    </row>
    <row r="71" spans="4:9" x14ac:dyDescent="0.3">
      <c r="D71" s="100" vm="377">
        <f ca="1"/>
        <v>42562</v>
      </c>
      <c r="E71" s="101" vm="15121">
        <f ca="1"/>
        <v>98.39</v>
      </c>
      <c r="F71" s="101" vm="15122">
        <f ca="1"/>
        <v>96.19</v>
      </c>
      <c r="G71" s="101" vm="15123">
        <f ca="1"/>
        <v>98.7</v>
      </c>
      <c r="H71" s="101" vm="15124">
        <f ca="1"/>
        <v>94.09</v>
      </c>
      <c r="I71" s="102" vm="15125">
        <f ca="1"/>
        <v>52589308</v>
      </c>
    </row>
    <row r="72" spans="4:9" x14ac:dyDescent="0.3">
      <c r="D72" s="100" vm="383">
        <f ca="1"/>
        <v>42569</v>
      </c>
      <c r="E72" s="101" vm="15126">
        <f ca="1"/>
        <v>85.89</v>
      </c>
      <c r="F72" s="101" vm="15127">
        <f ca="1"/>
        <v>98.43</v>
      </c>
      <c r="G72" s="101" vm="15128">
        <f ca="1"/>
        <v>99.84</v>
      </c>
      <c r="H72" s="101" vm="15129">
        <f ca="1"/>
        <v>84.5</v>
      </c>
      <c r="I72" s="102" vm="15130">
        <f ca="1"/>
        <v>135323922</v>
      </c>
    </row>
    <row r="73" spans="4:9" x14ac:dyDescent="0.3">
      <c r="D73" s="100" vm="389">
        <f ca="1"/>
        <v>42576</v>
      </c>
      <c r="E73" s="101" vm="15131">
        <f ca="1"/>
        <v>91.25</v>
      </c>
      <c r="F73" s="101" vm="15132">
        <f ca="1"/>
        <v>85.73</v>
      </c>
      <c r="G73" s="101" vm="15133">
        <f ca="1"/>
        <v>93.1</v>
      </c>
      <c r="H73" s="101" vm="7292">
        <f ca="1"/>
        <v>85.01</v>
      </c>
      <c r="I73" s="102" vm="15134">
        <f ca="1"/>
        <v>55628087</v>
      </c>
    </row>
    <row r="74" spans="4:9" x14ac:dyDescent="0.3">
      <c r="D74" s="100" vm="395">
        <f ca="1"/>
        <v>42583</v>
      </c>
      <c r="E74" s="101" vm="15135">
        <f ca="1"/>
        <v>97.03</v>
      </c>
      <c r="F74" s="101" vm="15136">
        <f ca="1"/>
        <v>91.23</v>
      </c>
      <c r="G74" s="101" vm="15137">
        <f ca="1"/>
        <v>97.74</v>
      </c>
      <c r="H74" s="101" vm="15138">
        <f ca="1"/>
        <v>90.5</v>
      </c>
      <c r="I74" s="102" vm="15139">
        <f ca="1"/>
        <v>51942289</v>
      </c>
    </row>
    <row r="75" spans="4:9" x14ac:dyDescent="0.3">
      <c r="D75" s="100" vm="400">
        <f ca="1"/>
        <v>42590</v>
      </c>
      <c r="E75" s="101" vm="15140">
        <f ca="1"/>
        <v>96.59</v>
      </c>
      <c r="F75" s="101" vm="15141">
        <f ca="1"/>
        <v>95.91</v>
      </c>
      <c r="G75" s="101" vm="15142">
        <f ca="1"/>
        <v>96.83</v>
      </c>
      <c r="H75" s="101" vm="15143">
        <f ca="1"/>
        <v>92.95</v>
      </c>
      <c r="I75" s="102" vm="15144">
        <f ca="1"/>
        <v>40962538</v>
      </c>
    </row>
    <row r="76" spans="4:9" x14ac:dyDescent="0.3">
      <c r="D76" s="100" vm="406">
        <f ca="1"/>
        <v>42597</v>
      </c>
      <c r="E76" s="101" vm="15145">
        <f ca="1"/>
        <v>95.87</v>
      </c>
      <c r="F76" s="101" vm="15142">
        <f ca="1"/>
        <v>96.83</v>
      </c>
      <c r="G76" s="101" vm="15146">
        <f ca="1"/>
        <v>97.216800000000006</v>
      </c>
      <c r="H76" s="101" vm="15147">
        <f ca="1"/>
        <v>94.4</v>
      </c>
      <c r="I76" s="102" vm="15148">
        <f ca="1"/>
        <v>36127095</v>
      </c>
    </row>
    <row r="77" spans="4:9" x14ac:dyDescent="0.3">
      <c r="D77" s="100" vm="412">
        <f ca="1"/>
        <v>42604</v>
      </c>
      <c r="E77" s="101" vm="15149">
        <f ca="1"/>
        <v>97.58</v>
      </c>
      <c r="F77" s="101" vm="15150">
        <f ca="1"/>
        <v>95.67</v>
      </c>
      <c r="G77" s="101" vm="15151">
        <f ca="1"/>
        <v>98.245000000000005</v>
      </c>
      <c r="H77" s="101" vm="15152">
        <f ca="1"/>
        <v>94.91</v>
      </c>
      <c r="I77" s="102" vm="15153">
        <f ca="1"/>
        <v>34786813</v>
      </c>
    </row>
    <row r="78" spans="4:9" x14ac:dyDescent="0.3">
      <c r="D78" s="100" vm="418">
        <f ca="1"/>
        <v>42611</v>
      </c>
      <c r="E78" s="101" vm="15154">
        <f ca="1"/>
        <v>97.38</v>
      </c>
      <c r="F78" s="101" vm="15155">
        <f ca="1"/>
        <v>96.97</v>
      </c>
      <c r="G78" s="101" vm="15156">
        <f ca="1"/>
        <v>98.85</v>
      </c>
      <c r="H78" s="101" vm="15157">
        <f ca="1"/>
        <v>96.57</v>
      </c>
      <c r="I78" s="102" vm="15158">
        <f ca="1"/>
        <v>27188383</v>
      </c>
    </row>
    <row r="79" spans="4:9" x14ac:dyDescent="0.3">
      <c r="D79" s="100" vm="424">
        <f ca="1"/>
        <v>42619</v>
      </c>
      <c r="E79" s="101" vm="13452">
        <f ca="1"/>
        <v>96.5</v>
      </c>
      <c r="F79" s="101" vm="15159">
        <f ca="1"/>
        <v>97.76</v>
      </c>
      <c r="G79" s="101" vm="15160">
        <f ca="1"/>
        <v>100.32</v>
      </c>
      <c r="H79" s="101" vm="13452">
        <f ca="1"/>
        <v>96.5</v>
      </c>
      <c r="I79" s="102" vm="15161">
        <f ca="1"/>
        <v>28079131</v>
      </c>
    </row>
    <row r="80" spans="4:9" x14ac:dyDescent="0.3">
      <c r="D80" s="100" vm="429">
        <f ca="1"/>
        <v>42625</v>
      </c>
      <c r="E80" s="101" vm="15162">
        <f ca="1"/>
        <v>99.48</v>
      </c>
      <c r="F80" s="101" vm="15141">
        <f ca="1"/>
        <v>95.91</v>
      </c>
      <c r="G80" s="101" vm="15163">
        <f ca="1"/>
        <v>99.49</v>
      </c>
      <c r="H80" s="101" vm="15164">
        <f ca="1"/>
        <v>95.33</v>
      </c>
      <c r="I80" s="102" vm="15165">
        <f ca="1"/>
        <v>42779918</v>
      </c>
    </row>
    <row r="81" spans="4:9" x14ac:dyDescent="0.3">
      <c r="D81" s="100" vm="435">
        <f ca="1"/>
        <v>42632</v>
      </c>
      <c r="E81" s="101" vm="15166">
        <f ca="1"/>
        <v>95.94</v>
      </c>
      <c r="F81" s="101" vm="15167">
        <f ca="1"/>
        <v>99.9</v>
      </c>
      <c r="G81" s="101" vm="15168">
        <f ca="1"/>
        <v>100.35</v>
      </c>
      <c r="H81" s="101" vm="15169">
        <f ca="1"/>
        <v>93.26</v>
      </c>
      <c r="I81" s="102" vm="15170">
        <f ca="1"/>
        <v>50789625</v>
      </c>
    </row>
    <row r="82" spans="4:9" x14ac:dyDescent="0.3">
      <c r="D82" s="100" vm="441">
        <f ca="1"/>
        <v>42639</v>
      </c>
      <c r="E82" s="101" vm="13225">
        <f ca="1"/>
        <v>98.55</v>
      </c>
      <c r="F82" s="101" vm="15171">
        <f ca="1"/>
        <v>95.38</v>
      </c>
      <c r="G82" s="101" vm="15172">
        <f ca="1"/>
        <v>99.53</v>
      </c>
      <c r="H82" s="101" vm="15173">
        <f ca="1"/>
        <v>94.04</v>
      </c>
      <c r="I82" s="102" vm="15174">
        <f ca="1"/>
        <v>39679958</v>
      </c>
    </row>
    <row r="83" spans="4:9" x14ac:dyDescent="0.3">
      <c r="D83" s="100" vm="446">
        <f ca="1"/>
        <v>42646</v>
      </c>
      <c r="E83" s="101" vm="15175">
        <f ca="1"/>
        <v>104.82</v>
      </c>
      <c r="F83" s="101" vm="15176">
        <f ca="1"/>
        <v>98</v>
      </c>
      <c r="G83" s="101" vm="15177">
        <f ca="1"/>
        <v>106.97</v>
      </c>
      <c r="H83" s="101" vm="15176">
        <f ca="1"/>
        <v>98</v>
      </c>
      <c r="I83" s="102" vm="15178">
        <f ca="1"/>
        <v>55677730</v>
      </c>
    </row>
    <row r="84" spans="4:9" x14ac:dyDescent="0.3">
      <c r="D84" s="100" vm="450">
        <f ca="1"/>
        <v>42653</v>
      </c>
      <c r="E84" s="101" vm="15179">
        <f ca="1"/>
        <v>101.47</v>
      </c>
      <c r="F84" s="101" vm="15180">
        <f ca="1"/>
        <v>103.18</v>
      </c>
      <c r="G84" s="101" vm="15181">
        <f ca="1"/>
        <v>104.53</v>
      </c>
      <c r="H84" s="101" vm="15182">
        <f ca="1"/>
        <v>97.63</v>
      </c>
      <c r="I84" s="102" vm="15183">
        <f ca="1"/>
        <v>41009400</v>
      </c>
    </row>
    <row r="85" spans="4:9" x14ac:dyDescent="0.3">
      <c r="D85" s="100" vm="456">
        <f ca="1"/>
        <v>42660</v>
      </c>
      <c r="E85" s="101" vm="15184">
        <f ca="1"/>
        <v>127.5</v>
      </c>
      <c r="F85" s="101" vm="15185">
        <f ca="1"/>
        <v>100.5</v>
      </c>
      <c r="G85" s="101" vm="15186">
        <f ca="1"/>
        <v>127.85</v>
      </c>
      <c r="H85" s="101" vm="15187">
        <f ca="1"/>
        <v>98.38</v>
      </c>
      <c r="I85" s="102" vm="15188">
        <f ca="1"/>
        <v>124064693</v>
      </c>
    </row>
    <row r="86" spans="4:9" x14ac:dyDescent="0.3">
      <c r="D86" s="100" vm="462">
        <f ca="1"/>
        <v>42667</v>
      </c>
      <c r="E86" s="101" vm="7354">
        <f ca="1"/>
        <v>126.57</v>
      </c>
      <c r="F86" s="101" vm="15189">
        <f ca="1"/>
        <v>127.42</v>
      </c>
      <c r="G86" s="101" vm="14913">
        <f ca="1"/>
        <v>129.29</v>
      </c>
      <c r="H86" s="101" vm="15190">
        <f ca="1"/>
        <v>125.75</v>
      </c>
      <c r="I86" s="102" vm="15191">
        <f ca="1"/>
        <v>46828456</v>
      </c>
    </row>
    <row r="87" spans="4:9" x14ac:dyDescent="0.3">
      <c r="D87" s="100" vm="467">
        <f ca="1"/>
        <v>42674</v>
      </c>
      <c r="E87" s="101" vm="15192">
        <f ca="1"/>
        <v>122.03</v>
      </c>
      <c r="F87" s="101" vm="15193">
        <f ca="1"/>
        <v>126.85</v>
      </c>
      <c r="G87" s="101" vm="15194">
        <f ca="1"/>
        <v>126.9</v>
      </c>
      <c r="H87" s="101" vm="15195">
        <f ca="1"/>
        <v>121.62</v>
      </c>
      <c r="I87" s="102" vm="15196">
        <f ca="1"/>
        <v>28431699</v>
      </c>
    </row>
    <row r="88" spans="4:9" x14ac:dyDescent="0.3">
      <c r="D88" s="100" vm="473">
        <f ca="1"/>
        <v>42681</v>
      </c>
      <c r="E88" s="101" vm="15197">
        <f ca="1"/>
        <v>114.78</v>
      </c>
      <c r="F88" s="101" vm="15198">
        <f ca="1"/>
        <v>124.26</v>
      </c>
      <c r="G88" s="101" vm="15199">
        <f ca="1"/>
        <v>125.81</v>
      </c>
      <c r="H88" s="101" vm="15200">
        <f ca="1"/>
        <v>113.11</v>
      </c>
      <c r="I88" s="102" vm="15201">
        <f ca="1"/>
        <v>49022509</v>
      </c>
    </row>
    <row r="89" spans="4:9" x14ac:dyDescent="0.3">
      <c r="D89" s="100" vm="479">
        <f ca="1"/>
        <v>42688</v>
      </c>
      <c r="E89" s="101" vm="15202">
        <f ca="1"/>
        <v>115.21</v>
      </c>
      <c r="F89" s="101" vm="7511">
        <f ca="1"/>
        <v>114.75</v>
      </c>
      <c r="G89" s="101" vm="1701">
        <f ca="1"/>
        <v>116.81</v>
      </c>
      <c r="H89" s="101" vm="15203">
        <f ca="1"/>
        <v>110.68</v>
      </c>
      <c r="I89" s="102" vm="15204">
        <f ca="1"/>
        <v>36290728</v>
      </c>
    </row>
    <row r="90" spans="4:9" x14ac:dyDescent="0.3">
      <c r="D90" s="100" vm="485">
        <f ca="1"/>
        <v>42695</v>
      </c>
      <c r="E90" s="101" vm="15205">
        <f ca="1"/>
        <v>117.41</v>
      </c>
      <c r="F90" s="101" vm="15206">
        <f ca="1"/>
        <v>116.2</v>
      </c>
      <c r="G90" s="101" vm="15207">
        <f ca="1"/>
        <v>119.46</v>
      </c>
      <c r="H90" s="101" vm="15208">
        <f ca="1"/>
        <v>116.19</v>
      </c>
      <c r="I90" s="102" vm="15209">
        <f ca="1"/>
        <v>20209290</v>
      </c>
    </row>
    <row r="91" spans="4:9" x14ac:dyDescent="0.3">
      <c r="D91" s="100" vm="491">
        <f ca="1"/>
        <v>42702</v>
      </c>
      <c r="E91" s="101" vm="15210">
        <f ca="1"/>
        <v>120.81</v>
      </c>
      <c r="F91" s="101" vm="15211">
        <f ca="1"/>
        <v>117.05</v>
      </c>
      <c r="G91" s="101" vm="15212">
        <f ca="1"/>
        <v>120.98</v>
      </c>
      <c r="H91" s="101" vm="1640">
        <f ca="1"/>
        <v>113.95</v>
      </c>
      <c r="I91" s="102" vm="15213">
        <f ca="1"/>
        <v>37666761</v>
      </c>
    </row>
    <row r="92" spans="4:9" x14ac:dyDescent="0.3">
      <c r="D92" s="100" vm="497">
        <f ca="1"/>
        <v>42709</v>
      </c>
      <c r="E92" s="101" vm="15214">
        <f ca="1"/>
        <v>122.88</v>
      </c>
      <c r="F92" s="101" vm="15215">
        <f ca="1"/>
        <v>120.73</v>
      </c>
      <c r="G92" s="101" vm="14997">
        <f ca="1"/>
        <v>126.35</v>
      </c>
      <c r="H92" s="101" vm="15216">
        <f ca="1"/>
        <v>118.4</v>
      </c>
      <c r="I92" s="102" vm="15217">
        <f ca="1"/>
        <v>41032674</v>
      </c>
    </row>
    <row r="93" spans="4:9" x14ac:dyDescent="0.3">
      <c r="D93" s="100" vm="503">
        <f ca="1"/>
        <v>42716</v>
      </c>
      <c r="E93" s="101" vm="15218">
        <f ca="1"/>
        <v>124.22</v>
      </c>
      <c r="F93" s="101" vm="15219">
        <f ca="1"/>
        <v>122.84</v>
      </c>
      <c r="G93" s="101" vm="15220">
        <f ca="1"/>
        <v>127.43</v>
      </c>
      <c r="H93" s="101" vm="15221">
        <f ca="1"/>
        <v>122.3</v>
      </c>
      <c r="I93" s="102" vm="15222">
        <f ca="1"/>
        <v>30836546</v>
      </c>
    </row>
    <row r="94" spans="4:9" x14ac:dyDescent="0.3">
      <c r="D94" s="100" vm="508">
        <f ca="1"/>
        <v>42723</v>
      </c>
      <c r="E94" s="101" vm="15223">
        <f ca="1"/>
        <v>125.59</v>
      </c>
      <c r="F94" s="101" vm="7357">
        <f ca="1"/>
        <v>124.3</v>
      </c>
      <c r="G94" s="101" vm="15224">
        <f ca="1"/>
        <v>127.7372</v>
      </c>
      <c r="H94" s="101" vm="15225">
        <f ca="1"/>
        <v>122.87</v>
      </c>
      <c r="I94" s="102" vm="15226">
        <f ca="1"/>
        <v>21491673</v>
      </c>
    </row>
    <row r="95" spans="4:9" x14ac:dyDescent="0.3">
      <c r="D95" s="100" vm="514">
        <f ca="1"/>
        <v>42731</v>
      </c>
      <c r="E95" s="101" vm="15227">
        <f ca="1"/>
        <v>123.8</v>
      </c>
      <c r="F95" s="101" vm="15228">
        <f ca="1"/>
        <v>126.24</v>
      </c>
      <c r="G95" s="101" vm="14426">
        <f ca="1"/>
        <v>129.07</v>
      </c>
      <c r="H95" s="101" vm="15229">
        <f ca="1"/>
        <v>123.6</v>
      </c>
      <c r="I95" s="102" vm="15230">
        <f ca="1"/>
        <v>17577733</v>
      </c>
    </row>
    <row r="96" spans="4:9" x14ac:dyDescent="0.3">
      <c r="D96" s="100" vm="519">
        <f ca="1"/>
        <v>42738</v>
      </c>
      <c r="E96" s="101" vm="15231">
        <f ca="1"/>
        <v>131.07</v>
      </c>
      <c r="F96" s="101" vm="15232">
        <f ca="1"/>
        <v>124.96</v>
      </c>
      <c r="G96" s="101" vm="15233">
        <f ca="1"/>
        <v>133.88</v>
      </c>
      <c r="H96" s="101" vm="15234">
        <f ca="1"/>
        <v>124.31</v>
      </c>
      <c r="I96" s="102" vm="15235">
        <f ca="1"/>
        <v>38124809</v>
      </c>
    </row>
    <row r="97" spans="4:9" x14ac:dyDescent="0.3">
      <c r="D97" s="100" vm="524">
        <f ca="1"/>
        <v>42744</v>
      </c>
      <c r="E97" s="101" vm="12233">
        <f ca="1"/>
        <v>133.69999999999999</v>
      </c>
      <c r="F97" s="101" vm="15236">
        <f ca="1"/>
        <v>131.47999999999999</v>
      </c>
      <c r="G97" s="101" vm="15237">
        <f ca="1"/>
        <v>133.93</v>
      </c>
      <c r="H97" s="101" vm="8905">
        <f ca="1"/>
        <v>128.5</v>
      </c>
      <c r="I97" s="102" vm="15238">
        <f ca="1"/>
        <v>33276600</v>
      </c>
    </row>
    <row r="98" spans="4:9" x14ac:dyDescent="0.3">
      <c r="D98" s="100" vm="530">
        <f ca="1"/>
        <v>42752</v>
      </c>
      <c r="E98" s="101" vm="14496">
        <f ca="1"/>
        <v>138.6</v>
      </c>
      <c r="F98" s="101" vm="15239">
        <f ca="1"/>
        <v>135.04</v>
      </c>
      <c r="G98" s="101" vm="15240">
        <f ca="1"/>
        <v>143.46</v>
      </c>
      <c r="H98" s="101" vm="15241">
        <f ca="1"/>
        <v>131.06</v>
      </c>
      <c r="I98" s="102" vm="15242">
        <f ca="1"/>
        <v>61089654</v>
      </c>
    </row>
    <row r="99" spans="4:9" x14ac:dyDescent="0.3">
      <c r="D99" s="100" vm="536">
        <f ca="1"/>
        <v>42758</v>
      </c>
      <c r="E99" s="101" vm="15243">
        <f ca="1"/>
        <v>142.44999999999999</v>
      </c>
      <c r="F99" s="101" vm="15244">
        <f ca="1"/>
        <v>138.65</v>
      </c>
      <c r="G99" s="101" vm="15245">
        <f ca="1"/>
        <v>142.49</v>
      </c>
      <c r="H99" s="101" vm="15246">
        <f ca="1"/>
        <v>137.03</v>
      </c>
      <c r="I99" s="102" vm="15247">
        <f ca="1"/>
        <v>37163636</v>
      </c>
    </row>
    <row r="100" spans="4:9" x14ac:dyDescent="0.3">
      <c r="D100" s="100" vm="540">
        <f ca="1"/>
        <v>42765</v>
      </c>
      <c r="E100" s="101" vm="15248">
        <f ca="1"/>
        <v>140.25</v>
      </c>
      <c r="F100" s="101" vm="15249">
        <f ca="1"/>
        <v>141.77000000000001</v>
      </c>
      <c r="G100" s="101" vm="15250">
        <f ca="1"/>
        <v>142.41</v>
      </c>
      <c r="H100" s="101" vm="2156">
        <f ca="1"/>
        <v>138.80000000000001</v>
      </c>
      <c r="I100" s="102" vm="15251">
        <f ca="1"/>
        <v>25542472</v>
      </c>
    </row>
    <row r="101" spans="4:9" x14ac:dyDescent="0.3">
      <c r="D101" s="100" vm="546">
        <f ca="1"/>
        <v>42772</v>
      </c>
      <c r="E101" s="101" vm="15252">
        <f ca="1"/>
        <v>144.82</v>
      </c>
      <c r="F101" s="101" vm="1887">
        <f ca="1"/>
        <v>140</v>
      </c>
      <c r="G101" s="101" vm="15253">
        <f ca="1"/>
        <v>145.29920000000001</v>
      </c>
      <c r="H101" s="101" vm="7502">
        <f ca="1"/>
        <v>139.16</v>
      </c>
      <c r="I101" s="102" vm="15254">
        <f ca="1"/>
        <v>29739686</v>
      </c>
    </row>
    <row r="102" spans="4:9" x14ac:dyDescent="0.3">
      <c r="D102" s="100" vm="551">
        <f ca="1"/>
        <v>42779</v>
      </c>
      <c r="E102" s="101" vm="15255">
        <f ca="1"/>
        <v>142.22</v>
      </c>
      <c r="F102" s="101" vm="15256">
        <f ca="1"/>
        <v>145.19</v>
      </c>
      <c r="G102" s="101" vm="15257">
        <f ca="1"/>
        <v>145.94999999999999</v>
      </c>
      <c r="H102" s="101" vm="15258">
        <f ca="1"/>
        <v>140.05000000000001</v>
      </c>
      <c r="I102" s="102" vm="15259">
        <f ca="1"/>
        <v>25902840</v>
      </c>
    </row>
    <row r="103" spans="4:9" x14ac:dyDescent="0.3">
      <c r="D103" s="100" vm="557">
        <f ca="1"/>
        <v>42787</v>
      </c>
      <c r="E103" s="101" vm="15260">
        <f ca="1"/>
        <v>143.25</v>
      </c>
      <c r="F103" s="101" vm="15261">
        <f ca="1"/>
        <v>142.99</v>
      </c>
      <c r="G103" s="101" vm="15262">
        <f ca="1"/>
        <v>144.49</v>
      </c>
      <c r="H103" s="101" vm="15263">
        <f ca="1"/>
        <v>141.5196</v>
      </c>
      <c r="I103" s="102" vm="15264">
        <f ca="1"/>
        <v>15024141</v>
      </c>
    </row>
    <row r="104" spans="4:9" x14ac:dyDescent="0.3">
      <c r="D104" s="100" vm="563">
        <f ca="1"/>
        <v>42793</v>
      </c>
      <c r="E104" s="101" vm="15265">
        <f ca="1"/>
        <v>139.13999999999999</v>
      </c>
      <c r="F104" s="101" vm="15266">
        <f ca="1"/>
        <v>143.12</v>
      </c>
      <c r="G104" s="101" vm="15267">
        <f ca="1"/>
        <v>143.91999999999999</v>
      </c>
      <c r="H104" s="101" vm="15268">
        <f ca="1"/>
        <v>138.26</v>
      </c>
      <c r="I104" s="102" vm="15269">
        <f ca="1"/>
        <v>23461296</v>
      </c>
    </row>
    <row r="105" spans="4:9" x14ac:dyDescent="0.3">
      <c r="D105" s="100" vm="569">
        <f ca="1"/>
        <v>42800</v>
      </c>
      <c r="E105" s="101" vm="7437">
        <f ca="1"/>
        <v>140.88999999999999</v>
      </c>
      <c r="F105" s="101" vm="12202">
        <f ca="1"/>
        <v>141</v>
      </c>
      <c r="G105" s="101" vm="15270">
        <f ca="1"/>
        <v>142.84</v>
      </c>
      <c r="H105" s="101" vm="15271">
        <f ca="1"/>
        <v>139.74</v>
      </c>
      <c r="I105" s="102" vm="15272">
        <f ca="1"/>
        <v>21420909</v>
      </c>
    </row>
    <row r="106" spans="4:9" x14ac:dyDescent="0.3">
      <c r="D106" s="100" vm="575">
        <f ca="1"/>
        <v>42807</v>
      </c>
      <c r="E106" s="101" vm="1891">
        <f ca="1"/>
        <v>145.11000000000001</v>
      </c>
      <c r="F106" s="101" vm="15273">
        <f ca="1"/>
        <v>140.9</v>
      </c>
      <c r="G106" s="101" vm="13689">
        <f ca="1"/>
        <v>146.5</v>
      </c>
      <c r="H106" s="101" vm="15274">
        <f ca="1"/>
        <v>140.321</v>
      </c>
      <c r="I106" s="102" vm="15275">
        <f ca="1"/>
        <v>27137696</v>
      </c>
    </row>
    <row r="107" spans="4:9" x14ac:dyDescent="0.3">
      <c r="D107" s="100" vm="581">
        <f ca="1"/>
        <v>42814</v>
      </c>
      <c r="E107" s="101" vm="15276">
        <f ca="1"/>
        <v>142.02000000000001</v>
      </c>
      <c r="F107" s="101" vm="15277">
        <f ca="1"/>
        <v>145.44999999999999</v>
      </c>
      <c r="G107" s="101" vm="2409">
        <f ca="1"/>
        <v>147.69999999999999</v>
      </c>
      <c r="H107" s="101" vm="7356">
        <f ca="1"/>
        <v>140.76</v>
      </c>
      <c r="I107" s="102" vm="15278">
        <f ca="1"/>
        <v>24836916</v>
      </c>
    </row>
    <row r="108" spans="4:9" x14ac:dyDescent="0.3">
      <c r="D108" s="100" vm="587">
        <f ca="1"/>
        <v>42821</v>
      </c>
      <c r="E108" s="101" vm="2320">
        <f ca="1"/>
        <v>147.81</v>
      </c>
      <c r="F108" s="101" vm="15279">
        <f ca="1"/>
        <v>140.83000000000001</v>
      </c>
      <c r="G108" s="101" vm="15280">
        <f ca="1"/>
        <v>148.29</v>
      </c>
      <c r="H108" s="101" vm="1887">
        <f ca="1"/>
        <v>140</v>
      </c>
      <c r="I108" s="102" vm="15281">
        <f ca="1"/>
        <v>21613989</v>
      </c>
    </row>
    <row r="109" spans="4:9" x14ac:dyDescent="0.3">
      <c r="D109" s="100" vm="593">
        <f ca="1"/>
        <v>42828</v>
      </c>
      <c r="E109" s="101" vm="15282">
        <f ca="1"/>
        <v>143.11000000000001</v>
      </c>
      <c r="F109" s="101" vm="2215">
        <f ca="1"/>
        <v>146.69999999999999</v>
      </c>
      <c r="G109" s="101" vm="15283">
        <f ca="1"/>
        <v>148.005</v>
      </c>
      <c r="H109" s="101" vm="15284">
        <f ca="1"/>
        <v>142.71</v>
      </c>
      <c r="I109" s="102" vm="15285">
        <f ca="1"/>
        <v>19938807</v>
      </c>
    </row>
    <row r="110" spans="4:9" x14ac:dyDescent="0.3">
      <c r="D110" s="100" vm="599">
        <f ca="1"/>
        <v>42835</v>
      </c>
      <c r="E110" s="101" vm="15286">
        <f ca="1"/>
        <v>142.91999999999999</v>
      </c>
      <c r="F110" s="101" vm="15287">
        <f ca="1"/>
        <v>143.04</v>
      </c>
      <c r="G110" s="101" vm="15288">
        <f ca="1"/>
        <v>145.74</v>
      </c>
      <c r="H110" s="101" vm="15289">
        <f ca="1"/>
        <v>141.21</v>
      </c>
      <c r="I110" s="102" vm="15290">
        <f ca="1"/>
        <v>18501634</v>
      </c>
    </row>
    <row r="111" spans="4:9" x14ac:dyDescent="0.3">
      <c r="D111" s="100" vm="605">
        <f ca="1"/>
        <v>42842</v>
      </c>
      <c r="E111" s="101" vm="15291">
        <f ca="1"/>
        <v>142.87</v>
      </c>
      <c r="F111" s="101" vm="15292">
        <f ca="1"/>
        <v>144.43</v>
      </c>
      <c r="G111" s="101" vm="15293">
        <f ca="1"/>
        <v>147.4</v>
      </c>
      <c r="H111" s="101" vm="15294">
        <f ca="1"/>
        <v>138.66</v>
      </c>
      <c r="I111" s="102" vm="15295">
        <f ca="1"/>
        <v>62503748</v>
      </c>
    </row>
    <row r="112" spans="4:9" x14ac:dyDescent="0.3">
      <c r="D112" s="100" vm="611">
        <f ca="1"/>
        <v>42849</v>
      </c>
      <c r="E112" s="101" vm="15296">
        <f ca="1"/>
        <v>152.19999999999999</v>
      </c>
      <c r="F112" s="101" vm="15297">
        <f ca="1"/>
        <v>143.61000000000001</v>
      </c>
      <c r="G112" s="101" vm="15298">
        <f ca="1"/>
        <v>153.52000000000001</v>
      </c>
      <c r="H112" s="101" vm="15299">
        <f ca="1"/>
        <v>143.4</v>
      </c>
      <c r="I112" s="102" vm="15300">
        <f ca="1"/>
        <v>48834780</v>
      </c>
    </row>
    <row r="113" spans="4:9" x14ac:dyDescent="0.3">
      <c r="D113" s="100" vm="617">
        <f ca="1"/>
        <v>42856</v>
      </c>
      <c r="E113" s="101" vm="15301">
        <f ca="1"/>
        <v>156.6</v>
      </c>
      <c r="F113" s="101" vm="15302">
        <f ca="1"/>
        <v>151.91</v>
      </c>
      <c r="G113" s="101" vm="15303">
        <f ca="1"/>
        <v>158.59</v>
      </c>
      <c r="H113" s="101" vm="14670">
        <f ca="1"/>
        <v>151.61000000000001</v>
      </c>
      <c r="I113" s="102" vm="15304">
        <f ca="1"/>
        <v>29271779</v>
      </c>
    </row>
    <row r="114" spans="4:9" x14ac:dyDescent="0.3">
      <c r="D114" s="100" vm="623">
        <f ca="1"/>
        <v>42863</v>
      </c>
      <c r="E114" s="101" vm="15305">
        <f ca="1"/>
        <v>160.81</v>
      </c>
      <c r="F114" s="101" vm="15306">
        <f ca="1"/>
        <v>156.55000000000001</v>
      </c>
      <c r="G114" s="101" vm="15307">
        <f ca="1"/>
        <v>161.1</v>
      </c>
      <c r="H114" s="101" vm="15308">
        <f ca="1"/>
        <v>155.30000000000001</v>
      </c>
      <c r="I114" s="102" vm="15309">
        <f ca="1"/>
        <v>26369945</v>
      </c>
    </row>
    <row r="115" spans="4:9" x14ac:dyDescent="0.3">
      <c r="D115" s="100" vm="628">
        <f ca="1"/>
        <v>42870</v>
      </c>
      <c r="E115" s="101" vm="12260">
        <f ca="1"/>
        <v>157.02000000000001</v>
      </c>
      <c r="F115" s="101" vm="2412">
        <f ca="1"/>
        <v>160.25</v>
      </c>
      <c r="G115" s="101" vm="15310">
        <f ca="1"/>
        <v>161.78</v>
      </c>
      <c r="H115" s="101" vm="15311">
        <f ca="1"/>
        <v>153</v>
      </c>
      <c r="I115" s="102" vm="15312">
        <f ca="1"/>
        <v>27515505</v>
      </c>
    </row>
    <row r="116" spans="4:9" x14ac:dyDescent="0.3">
      <c r="D116" s="100" vm="634">
        <f ca="1"/>
        <v>42877</v>
      </c>
      <c r="E116" s="101" vm="15313">
        <f ca="1"/>
        <v>162.43</v>
      </c>
      <c r="F116" s="101" vm="15314">
        <f ca="1"/>
        <v>157.86000000000001</v>
      </c>
      <c r="G116" s="101" vm="15315">
        <f ca="1"/>
        <v>164.1</v>
      </c>
      <c r="H116" s="101" vm="15316">
        <f ca="1"/>
        <v>156.43</v>
      </c>
      <c r="I116" s="102" vm="15317">
        <f ca="1"/>
        <v>23500034</v>
      </c>
    </row>
    <row r="117" spans="4:9" x14ac:dyDescent="0.3">
      <c r="D117" s="100" vm="640">
        <f ca="1"/>
        <v>42885</v>
      </c>
      <c r="E117" s="101" vm="15318">
        <f ca="1"/>
        <v>165.18</v>
      </c>
      <c r="F117" s="101" vm="13811">
        <f ca="1"/>
        <v>163.6</v>
      </c>
      <c r="G117" s="101" vm="15319">
        <f ca="1"/>
        <v>165.36</v>
      </c>
      <c r="H117" s="101" vm="15320">
        <f ca="1"/>
        <v>160.74</v>
      </c>
      <c r="I117" s="102" vm="15321">
        <f ca="1"/>
        <v>18312954</v>
      </c>
    </row>
    <row r="118" spans="4:9" x14ac:dyDescent="0.3">
      <c r="D118" s="100" vm="645">
        <f ca="1"/>
        <v>42891</v>
      </c>
      <c r="E118" s="101" vm="15322">
        <f ca="1"/>
        <v>158.03</v>
      </c>
      <c r="F118" s="101" vm="15323">
        <f ca="1"/>
        <v>165.49</v>
      </c>
      <c r="G118" s="101" vm="15324">
        <f ca="1"/>
        <v>166.87</v>
      </c>
      <c r="H118" s="101" vm="2103">
        <f ca="1"/>
        <v>154.5</v>
      </c>
      <c r="I118" s="102" vm="15325">
        <f ca="1"/>
        <v>25621421</v>
      </c>
    </row>
    <row r="119" spans="4:9" x14ac:dyDescent="0.3">
      <c r="D119" s="100" vm="650">
        <f ca="1"/>
        <v>42898</v>
      </c>
      <c r="E119" s="101" vm="14538">
        <f ca="1"/>
        <v>152.38</v>
      </c>
      <c r="F119" s="101" vm="15308">
        <f ca="1"/>
        <v>155.30000000000001</v>
      </c>
      <c r="G119" s="101" vm="15326">
        <f ca="1"/>
        <v>155.68</v>
      </c>
      <c r="H119" s="101" vm="15327">
        <f ca="1"/>
        <v>147.30000000000001</v>
      </c>
      <c r="I119" s="102" vm="15328">
        <f ca="1"/>
        <v>43290432</v>
      </c>
    </row>
    <row r="120" spans="4:9" x14ac:dyDescent="0.3">
      <c r="D120" s="100" vm="655">
        <f ca="1"/>
        <v>42905</v>
      </c>
      <c r="E120" s="101" vm="15329">
        <f ca="1"/>
        <v>158.02000000000001</v>
      </c>
      <c r="F120" s="101" vm="15330">
        <f ca="1"/>
        <v>154.29</v>
      </c>
      <c r="G120" s="101" vm="15331">
        <f ca="1"/>
        <v>158.19</v>
      </c>
      <c r="H120" s="101" vm="15332">
        <f ca="1"/>
        <v>151.4</v>
      </c>
      <c r="I120" s="102" vm="15333">
        <f ca="1"/>
        <v>27246345</v>
      </c>
    </row>
    <row r="121" spans="4:9" x14ac:dyDescent="0.3">
      <c r="D121" s="100" vm="659">
        <f ca="1"/>
        <v>42912</v>
      </c>
      <c r="E121" s="101" vm="15334">
        <f ca="1"/>
        <v>149.41</v>
      </c>
      <c r="F121" s="101" vm="15335">
        <f ca="1"/>
        <v>158.78</v>
      </c>
      <c r="G121" s="101" vm="15336">
        <f ca="1"/>
        <v>159.97</v>
      </c>
      <c r="H121" s="101" vm="15337">
        <f ca="1"/>
        <v>148</v>
      </c>
      <c r="I121" s="102" vm="15338">
        <f ca="1"/>
        <v>31385886</v>
      </c>
    </row>
    <row r="122" spans="4:9" x14ac:dyDescent="0.3">
      <c r="D122" s="100" vm="665">
        <f ca="1"/>
        <v>42919</v>
      </c>
      <c r="E122" s="101" vm="1982">
        <f ca="1"/>
        <v>150.18</v>
      </c>
      <c r="F122" s="101" vm="1986">
        <f ca="1"/>
        <v>149.80000000000001</v>
      </c>
      <c r="G122" s="101" vm="13854">
        <f ca="1"/>
        <v>150.75</v>
      </c>
      <c r="H122" s="101" vm="15339">
        <f ca="1"/>
        <v>144.25</v>
      </c>
      <c r="I122" s="102" vm="15340">
        <f ca="1"/>
        <v>19583763</v>
      </c>
    </row>
    <row r="123" spans="4:9" x14ac:dyDescent="0.3">
      <c r="D123" s="100" vm="671">
        <f ca="1"/>
        <v>42926</v>
      </c>
      <c r="E123" s="101" vm="2142">
        <f ca="1"/>
        <v>161.12</v>
      </c>
      <c r="F123" s="101" vm="15341">
        <f ca="1"/>
        <v>150.34</v>
      </c>
      <c r="G123" s="101" vm="15342">
        <f ca="1"/>
        <v>161.35</v>
      </c>
      <c r="H123" s="101" vm="7455">
        <f ca="1"/>
        <v>149.65</v>
      </c>
      <c r="I123" s="102" vm="15343">
        <f ca="1"/>
        <v>30990303</v>
      </c>
    </row>
    <row r="124" spans="4:9" x14ac:dyDescent="0.3">
      <c r="D124" s="100" vm="677">
        <f ca="1"/>
        <v>42933</v>
      </c>
      <c r="E124" s="101" vm="15344">
        <f ca="1"/>
        <v>188.54</v>
      </c>
      <c r="F124" s="101" vm="15345">
        <f ca="1"/>
        <v>162.91</v>
      </c>
      <c r="G124" s="101" vm="15346">
        <f ca="1"/>
        <v>191.5</v>
      </c>
      <c r="H124" s="101" vm="15347">
        <f ca="1"/>
        <v>160.02010000000001</v>
      </c>
      <c r="I124" s="102" vm="15348">
        <f ca="1"/>
        <v>93613031</v>
      </c>
    </row>
    <row r="125" spans="4:9" x14ac:dyDescent="0.3">
      <c r="D125" s="100" vm="683">
        <f ca="1"/>
        <v>42940</v>
      </c>
      <c r="E125" s="101" vm="15349">
        <f ca="1"/>
        <v>184.04</v>
      </c>
      <c r="F125" s="101" vm="15350">
        <f ca="1"/>
        <v>188.685</v>
      </c>
      <c r="G125" s="101" vm="15351">
        <f ca="1"/>
        <v>190.25</v>
      </c>
      <c r="H125" s="101" vm="15352">
        <f ca="1"/>
        <v>179.38</v>
      </c>
      <c r="I125" s="102" vm="15353">
        <f ca="1"/>
        <v>36073951</v>
      </c>
    </row>
    <row r="126" spans="4:9" x14ac:dyDescent="0.3">
      <c r="D126" s="100" vm="689">
        <f ca="1"/>
        <v>42947</v>
      </c>
      <c r="E126" s="101" vm="15354">
        <f ca="1"/>
        <v>180.27</v>
      </c>
      <c r="F126" s="101" vm="9773">
        <f ca="1"/>
        <v>184.26</v>
      </c>
      <c r="G126" s="101" vm="15355">
        <f ca="1"/>
        <v>184.97380000000001</v>
      </c>
      <c r="H126" s="101" vm="15356">
        <f ca="1"/>
        <v>177.81489999999999</v>
      </c>
      <c r="I126" s="102" vm="15357">
        <f ca="1"/>
        <v>24886436</v>
      </c>
    </row>
    <row r="127" spans="4:9" x14ac:dyDescent="0.3">
      <c r="D127" s="100" vm="695">
        <f ca="1"/>
        <v>42954</v>
      </c>
      <c r="E127" s="101" vm="14059">
        <f ca="1"/>
        <v>171.4</v>
      </c>
      <c r="F127" s="101" vm="15358">
        <f ca="1"/>
        <v>181</v>
      </c>
      <c r="G127" s="101" vm="15359">
        <f ca="1"/>
        <v>182.27</v>
      </c>
      <c r="H127" s="101" vm="15360">
        <f ca="1"/>
        <v>167.6</v>
      </c>
      <c r="I127" s="102" vm="15361">
        <f ca="1"/>
        <v>35099724</v>
      </c>
    </row>
    <row r="128" spans="4:9" x14ac:dyDescent="0.3">
      <c r="D128" s="100" vm="701">
        <f ca="1"/>
        <v>42961</v>
      </c>
      <c r="E128" s="101" vm="15362">
        <f ca="1"/>
        <v>166.54</v>
      </c>
      <c r="F128" s="101" vm="13985">
        <f ca="1"/>
        <v>169.8</v>
      </c>
      <c r="G128" s="101" vm="15363">
        <f ca="1"/>
        <v>172.45</v>
      </c>
      <c r="H128" s="101" vm="15364">
        <f ca="1"/>
        <v>165.72</v>
      </c>
      <c r="I128" s="102" vm="15365">
        <f ca="1"/>
        <v>32752953</v>
      </c>
    </row>
    <row r="129" spans="4:9" x14ac:dyDescent="0.3">
      <c r="D129" s="100" vm="707">
        <f ca="1"/>
        <v>42968</v>
      </c>
      <c r="E129" s="101" vm="15366">
        <f ca="1"/>
        <v>165.95</v>
      </c>
      <c r="F129" s="101" vm="15367">
        <f ca="1"/>
        <v>166.91</v>
      </c>
      <c r="G129" s="101" vm="15368">
        <f ca="1"/>
        <v>171.2363</v>
      </c>
      <c r="H129" s="101" vm="15369">
        <f ca="1"/>
        <v>164.23</v>
      </c>
      <c r="I129" s="102" vm="15370">
        <f ca="1"/>
        <v>25425079</v>
      </c>
    </row>
    <row r="130" spans="4:9" x14ac:dyDescent="0.3">
      <c r="D130" s="100" vm="712">
        <f ca="1"/>
        <v>42975</v>
      </c>
      <c r="E130" s="101" vm="15371">
        <f ca="1"/>
        <v>174.74</v>
      </c>
      <c r="F130" s="101" vm="15372">
        <f ca="1"/>
        <v>166.43</v>
      </c>
      <c r="G130" s="101" vm="2566">
        <f ca="1"/>
        <v>176.48</v>
      </c>
      <c r="H130" s="101" vm="15373">
        <f ca="1"/>
        <v>164.73</v>
      </c>
      <c r="I130" s="102" vm="15374">
        <f ca="1"/>
        <v>27066885</v>
      </c>
    </row>
    <row r="131" spans="4:9" x14ac:dyDescent="0.3">
      <c r="D131" s="100" vm="718">
        <f ca="1"/>
        <v>42983</v>
      </c>
      <c r="E131" s="101" vm="15375">
        <f ca="1"/>
        <v>176.42</v>
      </c>
      <c r="F131" s="101" vm="15376">
        <f ca="1"/>
        <v>173.4</v>
      </c>
      <c r="G131" s="101" vm="15377">
        <f ca="1"/>
        <v>180.39</v>
      </c>
      <c r="H131" s="101" vm="15378">
        <f ca="1"/>
        <v>172.44</v>
      </c>
      <c r="I131" s="102" vm="15379">
        <f ca="1"/>
        <v>23967076</v>
      </c>
    </row>
    <row r="132" spans="4:9" x14ac:dyDescent="0.3">
      <c r="D132" s="100" vm="724">
        <f ca="1"/>
        <v>42989</v>
      </c>
      <c r="E132" s="101" vm="15380">
        <f ca="1"/>
        <v>182.35</v>
      </c>
      <c r="F132" s="101" vm="15381">
        <f ca="1"/>
        <v>178.1</v>
      </c>
      <c r="G132" s="101" vm="14645">
        <f ca="1"/>
        <v>185.33</v>
      </c>
      <c r="H132" s="101" vm="15382">
        <f ca="1"/>
        <v>178.03</v>
      </c>
      <c r="I132" s="102" vm="15383">
        <f ca="1"/>
        <v>27091829</v>
      </c>
    </row>
    <row r="133" spans="4:9" x14ac:dyDescent="0.3">
      <c r="D133" s="100" vm="730">
        <f ca="1"/>
        <v>42996</v>
      </c>
      <c r="E133" s="101" vm="15384">
        <f ca="1"/>
        <v>187.35</v>
      </c>
      <c r="F133" s="101" vm="15385">
        <f ca="1"/>
        <v>183.61</v>
      </c>
      <c r="G133" s="101" vm="15386">
        <f ca="1"/>
        <v>189.95</v>
      </c>
      <c r="H133" s="101" vm="14617">
        <f ca="1"/>
        <v>182.73</v>
      </c>
      <c r="I133" s="102" vm="15387">
        <f ca="1"/>
        <v>27579064</v>
      </c>
    </row>
    <row r="134" spans="4:9" x14ac:dyDescent="0.3">
      <c r="D134" s="100" vm="735">
        <f ca="1"/>
        <v>43003</v>
      </c>
      <c r="E134" s="101" vm="2689">
        <f ca="1"/>
        <v>181.35</v>
      </c>
      <c r="F134" s="101" vm="15388">
        <f ca="1"/>
        <v>186.46</v>
      </c>
      <c r="G134" s="101" vm="15389">
        <f ca="1"/>
        <v>186.55</v>
      </c>
      <c r="H134" s="101" vm="2532">
        <f ca="1"/>
        <v>176.55</v>
      </c>
      <c r="I134" s="102" vm="15390">
        <f ca="1"/>
        <v>28985096</v>
      </c>
    </row>
    <row r="135" spans="4:9" x14ac:dyDescent="0.3">
      <c r="D135" s="100" vm="741">
        <f ca="1"/>
        <v>43010</v>
      </c>
      <c r="E135" s="101" vm="15391">
        <f ca="1"/>
        <v>198.02</v>
      </c>
      <c r="F135" s="101" vm="15392">
        <f ca="1"/>
        <v>182.11</v>
      </c>
      <c r="G135" s="101" vm="9489">
        <f ca="1"/>
        <v>198.92</v>
      </c>
      <c r="H135" s="101" vm="15393">
        <f ca="1"/>
        <v>176.58</v>
      </c>
      <c r="I135" s="102" vm="15394">
        <f ca="1"/>
        <v>55295860</v>
      </c>
    </row>
    <row r="136" spans="4:9" x14ac:dyDescent="0.3">
      <c r="D136" s="100" vm="747">
        <f ca="1"/>
        <v>43017</v>
      </c>
      <c r="E136" s="101" vm="15395">
        <f ca="1"/>
        <v>199.49</v>
      </c>
      <c r="F136" s="101" vm="15396">
        <f ca="1"/>
        <v>199.1</v>
      </c>
      <c r="G136" s="101" vm="15397">
        <f ca="1"/>
        <v>200.81989999999999</v>
      </c>
      <c r="H136" s="101" vm="15398">
        <f ca="1"/>
        <v>192.1</v>
      </c>
      <c r="I136" s="102" vm="15399">
        <f ca="1"/>
        <v>39490291</v>
      </c>
    </row>
    <row r="137" spans="4:9" x14ac:dyDescent="0.3">
      <c r="D137" s="100" vm="753">
        <f ca="1"/>
        <v>43024</v>
      </c>
      <c r="E137" s="101" vm="15400">
        <f ca="1"/>
        <v>194.16</v>
      </c>
      <c r="F137" s="101" vm="15401">
        <f ca="1"/>
        <v>201.95</v>
      </c>
      <c r="G137" s="101" vm="15402">
        <f ca="1"/>
        <v>204.38</v>
      </c>
      <c r="H137" s="101" vm="15403">
        <f ca="1"/>
        <v>191.16</v>
      </c>
      <c r="I137" s="102" vm="15404">
        <f ca="1"/>
        <v>70234668</v>
      </c>
    </row>
    <row r="138" spans="4:9" x14ac:dyDescent="0.3">
      <c r="D138" s="100" vm="759">
        <f ca="1"/>
        <v>43031</v>
      </c>
      <c r="E138" s="101" vm="15405">
        <f ca="1"/>
        <v>199.54</v>
      </c>
      <c r="F138" s="101" vm="15406">
        <f ca="1"/>
        <v>194.17</v>
      </c>
      <c r="G138" s="101" vm="15407">
        <f ca="1"/>
        <v>200.65</v>
      </c>
      <c r="H138" s="101" vm="15408">
        <f ca="1"/>
        <v>191.03460000000001</v>
      </c>
      <c r="I138" s="102" vm="15409">
        <f ca="1"/>
        <v>32678768</v>
      </c>
    </row>
    <row r="139" spans="4:9" x14ac:dyDescent="0.3">
      <c r="D139" s="100" vm="765">
        <f ca="1"/>
        <v>43038</v>
      </c>
      <c r="E139" s="101" vm="15410">
        <f ca="1"/>
        <v>200.01</v>
      </c>
      <c r="F139" s="101" vm="2636">
        <f ca="1"/>
        <v>199.62</v>
      </c>
      <c r="G139" s="101" vm="15411">
        <f ca="1"/>
        <v>201.09899999999999</v>
      </c>
      <c r="H139" s="101" vm="15412">
        <f ca="1"/>
        <v>195.21799999999999</v>
      </c>
      <c r="I139" s="102" vm="15413">
        <f ca="1"/>
        <v>23260739</v>
      </c>
    </row>
    <row r="140" spans="4:9" x14ac:dyDescent="0.3">
      <c r="D140" s="100" vm="771">
        <f ca="1"/>
        <v>43045</v>
      </c>
      <c r="E140" s="101" vm="15414">
        <f ca="1"/>
        <v>192.02</v>
      </c>
      <c r="F140" s="101" vm="9893">
        <f ca="1"/>
        <v>200</v>
      </c>
      <c r="G140" s="101" vm="15415">
        <f ca="1"/>
        <v>202.48</v>
      </c>
      <c r="H140" s="101" vm="15416">
        <f ca="1"/>
        <v>189.5</v>
      </c>
      <c r="I140" s="102" vm="15417">
        <f ca="1"/>
        <v>29154041</v>
      </c>
    </row>
    <row r="141" spans="4:9" x14ac:dyDescent="0.3">
      <c r="D141" s="100" vm="777">
        <f ca="1"/>
        <v>43052</v>
      </c>
      <c r="E141" s="101" vm="15418">
        <f ca="1"/>
        <v>193.2</v>
      </c>
      <c r="F141" s="101" vm="15419">
        <f ca="1"/>
        <v>191.12</v>
      </c>
      <c r="G141" s="101" vm="15420">
        <f ca="1"/>
        <v>197.7</v>
      </c>
      <c r="H141" s="101" vm="15421">
        <f ca="1"/>
        <v>191</v>
      </c>
      <c r="I141" s="102" vm="15422">
        <f ca="1"/>
        <v>21845224</v>
      </c>
    </row>
    <row r="142" spans="4:9" x14ac:dyDescent="0.3">
      <c r="D142" s="100" vm="783">
        <f ca="1"/>
        <v>43059</v>
      </c>
      <c r="E142" s="101" vm="14742">
        <f ca="1"/>
        <v>195.75</v>
      </c>
      <c r="F142" s="101" vm="15423">
        <f ca="1"/>
        <v>193.3</v>
      </c>
      <c r="G142" s="101" vm="15424">
        <f ca="1"/>
        <v>197.52</v>
      </c>
      <c r="H142" s="101" vm="2513">
        <f ca="1"/>
        <v>191.9</v>
      </c>
      <c r="I142" s="102" vm="15425">
        <f ca="1"/>
        <v>16670722</v>
      </c>
    </row>
    <row r="143" spans="4:9" x14ac:dyDescent="0.3">
      <c r="D143" s="100" vm="789">
        <f ca="1"/>
        <v>43066</v>
      </c>
      <c r="E143" s="101" vm="15426">
        <f ca="1"/>
        <v>186.82</v>
      </c>
      <c r="F143" s="101" vm="15427">
        <f ca="1"/>
        <v>195.56</v>
      </c>
      <c r="G143" s="101" vm="15428">
        <f ca="1"/>
        <v>199.68</v>
      </c>
      <c r="H143" s="101" vm="15429">
        <f ca="1"/>
        <v>184.32</v>
      </c>
      <c r="I143" s="102" vm="15430">
        <f ca="1"/>
        <v>37243534</v>
      </c>
    </row>
    <row r="144" spans="4:9" x14ac:dyDescent="0.3">
      <c r="D144" s="100" vm="795">
        <f ca="1"/>
        <v>43073</v>
      </c>
      <c r="E144" s="101" vm="15344">
        <f ca="1"/>
        <v>188.54</v>
      </c>
      <c r="F144" s="101" vm="15431">
        <f ca="1"/>
        <v>189.36</v>
      </c>
      <c r="G144" s="101" vm="15432">
        <f ca="1"/>
        <v>189.72</v>
      </c>
      <c r="H144" s="101" vm="15433">
        <f ca="1"/>
        <v>178.38</v>
      </c>
      <c r="I144" s="102" vm="15434">
        <f ca="1"/>
        <v>29990362</v>
      </c>
    </row>
    <row r="145" spans="4:9" x14ac:dyDescent="0.3">
      <c r="D145" s="100" vm="801">
        <f ca="1"/>
        <v>43080</v>
      </c>
      <c r="E145" s="101" vm="15435">
        <f ca="1"/>
        <v>190.12</v>
      </c>
      <c r="F145" s="101" vm="15436">
        <f ca="1"/>
        <v>187.85</v>
      </c>
      <c r="G145" s="101" vm="15437">
        <f ca="1"/>
        <v>192.64</v>
      </c>
      <c r="H145" s="101" vm="15438">
        <f ca="1"/>
        <v>184.81829999999999</v>
      </c>
      <c r="I145" s="102" vm="15439">
        <f ca="1"/>
        <v>29353021</v>
      </c>
    </row>
    <row r="146" spans="4:9" x14ac:dyDescent="0.3">
      <c r="D146" s="100" vm="807">
        <f ca="1"/>
        <v>43087</v>
      </c>
      <c r="E146" s="101" vm="14838">
        <f ca="1"/>
        <v>189.94</v>
      </c>
      <c r="F146" s="101" vm="15440">
        <f ca="1"/>
        <v>191.2</v>
      </c>
      <c r="G146" s="101" vm="15441">
        <f ca="1"/>
        <v>191.65</v>
      </c>
      <c r="H146" s="101" vm="15442">
        <f ca="1"/>
        <v>185.26</v>
      </c>
      <c r="I146" s="102" vm="15443">
        <f ca="1"/>
        <v>27198073</v>
      </c>
    </row>
    <row r="147" spans="4:9" x14ac:dyDescent="0.3">
      <c r="D147" s="100" vm="813">
        <f ca="1"/>
        <v>43095</v>
      </c>
      <c r="E147" s="101" vm="15444">
        <f ca="1"/>
        <v>191.96</v>
      </c>
      <c r="F147" s="101" vm="14716">
        <f ca="1"/>
        <v>189.78</v>
      </c>
      <c r="G147" s="101" vm="14651">
        <f ca="1"/>
        <v>194.49</v>
      </c>
      <c r="H147" s="101" vm="9894">
        <f ca="1"/>
        <v>185.22</v>
      </c>
      <c r="I147" s="102" vm="15445">
        <f ca="1"/>
        <v>22342748</v>
      </c>
    </row>
    <row r="148" spans="4:9" x14ac:dyDescent="0.3">
      <c r="D148" s="100" vm="819">
        <f ca="1"/>
        <v>43102</v>
      </c>
      <c r="E148" s="101" vm="15446">
        <f ca="1"/>
        <v>209.99</v>
      </c>
      <c r="F148" s="101" vm="15447">
        <f ca="1"/>
        <v>196.1</v>
      </c>
      <c r="G148" s="101" vm="15448">
        <f ca="1"/>
        <v>210.02</v>
      </c>
      <c r="H148" s="101" vm="15449">
        <f ca="1"/>
        <v>195.42</v>
      </c>
      <c r="I148" s="102" vm="15450">
        <f ca="1"/>
        <v>32621114</v>
      </c>
    </row>
    <row r="149" spans="4:9" x14ac:dyDescent="0.3">
      <c r="D149" s="100" vm="825">
        <f ca="1"/>
        <v>43108</v>
      </c>
      <c r="E149" s="101" vm="15451">
        <f ca="1"/>
        <v>221.23</v>
      </c>
      <c r="F149" s="101" vm="15448">
        <f ca="1"/>
        <v>210.02</v>
      </c>
      <c r="G149" s="101" vm="15452">
        <f ca="1"/>
        <v>222.55</v>
      </c>
      <c r="H149" s="101" vm="15453">
        <f ca="1"/>
        <v>206.91</v>
      </c>
      <c r="I149" s="102" vm="15454">
        <f ca="1"/>
        <v>33516427</v>
      </c>
    </row>
    <row r="150" spans="4:9" x14ac:dyDescent="0.3">
      <c r="D150" s="100" vm="831">
        <f ca="1"/>
        <v>43116</v>
      </c>
      <c r="E150" s="101" vm="15455">
        <f ca="1"/>
        <v>220.46</v>
      </c>
      <c r="F150" s="101" vm="15456">
        <f ca="1"/>
        <v>224.24</v>
      </c>
      <c r="G150" s="101" vm="15457">
        <f ca="1"/>
        <v>226.07</v>
      </c>
      <c r="H150" s="101" vm="15458">
        <f ca="1"/>
        <v>216.32</v>
      </c>
      <c r="I150" s="102" vm="15459">
        <f ca="1"/>
        <v>41413029</v>
      </c>
    </row>
    <row r="151" spans="4:9" x14ac:dyDescent="0.3">
      <c r="D151" s="100" vm="837">
        <f ca="1"/>
        <v>43122</v>
      </c>
      <c r="E151" s="101" vm="15460">
        <f ca="1"/>
        <v>274.60000000000002</v>
      </c>
      <c r="F151" s="101" vm="15461">
        <f ca="1"/>
        <v>222</v>
      </c>
      <c r="G151" s="101" vm="15460">
        <f ca="1"/>
        <v>274.60000000000002</v>
      </c>
      <c r="H151" s="101" vm="15462">
        <f ca="1"/>
        <v>221.2</v>
      </c>
      <c r="I151" s="102" vm="15463">
        <f ca="1"/>
        <v>89119290</v>
      </c>
    </row>
    <row r="152" spans="4:9" x14ac:dyDescent="0.3">
      <c r="D152" s="100" vm="843">
        <f ca="1"/>
        <v>43129</v>
      </c>
      <c r="E152" s="101" vm="15464">
        <f ca="1"/>
        <v>267.43</v>
      </c>
      <c r="F152" s="101" vm="15465">
        <f ca="1"/>
        <v>274.2</v>
      </c>
      <c r="G152" s="101" vm="15466">
        <f ca="1"/>
        <v>286.81</v>
      </c>
      <c r="H152" s="101" vm="15467">
        <f ca="1"/>
        <v>262.70999999999998</v>
      </c>
      <c r="I152" s="102" vm="15468">
        <f ca="1"/>
        <v>60500294</v>
      </c>
    </row>
    <row r="153" spans="4:9" x14ac:dyDescent="0.3">
      <c r="D153" s="100" vm="846">
        <f ca="1"/>
        <v>43136</v>
      </c>
      <c r="E153" s="101" vm="15469">
        <f ca="1"/>
        <v>249.47</v>
      </c>
      <c r="F153" s="101" vm="15470">
        <f ca="1"/>
        <v>262</v>
      </c>
      <c r="G153" s="101" vm="15471">
        <f ca="1"/>
        <v>272.45</v>
      </c>
      <c r="H153" s="101" vm="15472">
        <f ca="1"/>
        <v>236.11</v>
      </c>
      <c r="I153" s="102" vm="15473">
        <f ca="1"/>
        <v>59687045</v>
      </c>
    </row>
    <row r="154" spans="4:9" x14ac:dyDescent="0.3">
      <c r="D154" s="100" vm="852">
        <f ca="1"/>
        <v>43143</v>
      </c>
      <c r="E154" s="101" vm="15474">
        <f ca="1"/>
        <v>278.52</v>
      </c>
      <c r="F154" s="101" vm="15475">
        <f ca="1"/>
        <v>252.14</v>
      </c>
      <c r="G154" s="101" vm="15476">
        <f ca="1"/>
        <v>281.95999999999998</v>
      </c>
      <c r="H154" s="101" vm="9933">
        <f ca="1"/>
        <v>249</v>
      </c>
      <c r="I154" s="102" vm="15477">
        <f ca="1"/>
        <v>45434089</v>
      </c>
    </row>
    <row r="155" spans="4:9" x14ac:dyDescent="0.3">
      <c r="D155" s="100" vm="858">
        <f ca="1"/>
        <v>43151</v>
      </c>
      <c r="E155" s="101" vm="15478">
        <f ca="1"/>
        <v>285.93</v>
      </c>
      <c r="F155" s="101" vm="15479">
        <f ca="1"/>
        <v>277.74</v>
      </c>
      <c r="G155" s="101" vm="15480">
        <f ca="1"/>
        <v>286.64</v>
      </c>
      <c r="H155" s="101" vm="15481">
        <f ca="1"/>
        <v>274.45</v>
      </c>
      <c r="I155" s="102" vm="15482">
        <f ca="1"/>
        <v>33333488</v>
      </c>
    </row>
    <row r="156" spans="4:9" x14ac:dyDescent="0.3">
      <c r="D156" s="100" vm="863">
        <f ca="1"/>
        <v>43157</v>
      </c>
      <c r="E156" s="101" vm="15483">
        <f ca="1"/>
        <v>301.05</v>
      </c>
      <c r="F156" s="101" vm="15484">
        <f ca="1"/>
        <v>288.75</v>
      </c>
      <c r="G156" s="101" vm="15485">
        <f ca="1"/>
        <v>301.18</v>
      </c>
      <c r="H156" s="101" vm="15486">
        <f ca="1"/>
        <v>283.23</v>
      </c>
      <c r="I156" s="102" vm="15487">
        <f ca="1"/>
        <v>52615940</v>
      </c>
    </row>
    <row r="157" spans="4:9" x14ac:dyDescent="0.3">
      <c r="D157" s="100" vm="869">
        <f ca="1"/>
        <v>43164</v>
      </c>
      <c r="E157" s="101" vm="15488">
        <f ca="1"/>
        <v>331.44</v>
      </c>
      <c r="F157" s="101" vm="15489">
        <f ca="1"/>
        <v>302.85000000000002</v>
      </c>
      <c r="G157" s="101" vm="15488">
        <f ca="1"/>
        <v>331.44</v>
      </c>
      <c r="H157" s="101" vm="15490">
        <f ca="1"/>
        <v>297.60000000000002</v>
      </c>
      <c r="I157" s="102" vm="15491">
        <f ca="1"/>
        <v>80484450</v>
      </c>
    </row>
    <row r="158" spans="4:9" x14ac:dyDescent="0.3">
      <c r="D158" s="100" vm="875">
        <f ca="1"/>
        <v>43171</v>
      </c>
      <c r="E158" s="101" vm="15492">
        <f ca="1"/>
        <v>318.45</v>
      </c>
      <c r="F158" s="101" vm="15493">
        <f ca="1"/>
        <v>333.56</v>
      </c>
      <c r="G158" s="101" vm="15494">
        <f ca="1"/>
        <v>333.98</v>
      </c>
      <c r="H158" s="101" vm="15495">
        <f ca="1"/>
        <v>313.27800000000002</v>
      </c>
      <c r="I158" s="102" vm="15496">
        <f ca="1"/>
        <v>56738066</v>
      </c>
    </row>
    <row r="159" spans="4:9" x14ac:dyDescent="0.3">
      <c r="D159" s="100" vm="881">
        <f ca="1"/>
        <v>43178</v>
      </c>
      <c r="E159" s="101" vm="15497">
        <f ca="1"/>
        <v>300.94</v>
      </c>
      <c r="F159" s="101" vm="15498">
        <f ca="1"/>
        <v>315.8</v>
      </c>
      <c r="G159" s="101" vm="15499">
        <f ca="1"/>
        <v>319.5</v>
      </c>
      <c r="H159" s="101" vm="15500">
        <f ca="1"/>
        <v>300.36</v>
      </c>
      <c r="I159" s="102" vm="15501">
        <f ca="1"/>
        <v>38774271</v>
      </c>
    </row>
    <row r="160" spans="4:9" x14ac:dyDescent="0.3">
      <c r="D160" s="100" vm="885">
        <f ca="1"/>
        <v>43185</v>
      </c>
      <c r="E160" s="101" vm="15502">
        <f ca="1"/>
        <v>295.35000000000002</v>
      </c>
      <c r="F160" s="101" vm="15503">
        <f ca="1"/>
        <v>309.36</v>
      </c>
      <c r="G160" s="101" vm="15504">
        <f ca="1"/>
        <v>322.89999999999998</v>
      </c>
      <c r="H160" s="101" vm="15505">
        <f ca="1"/>
        <v>275.89999999999998</v>
      </c>
      <c r="I160" s="102" vm="15506">
        <f ca="1"/>
        <v>62175340</v>
      </c>
    </row>
    <row r="161" spans="4:9" x14ac:dyDescent="0.3">
      <c r="D161" s="100" vm="891">
        <f ca="1"/>
        <v>43192</v>
      </c>
      <c r="E161" s="101" vm="15507">
        <f ca="1"/>
        <v>288.85000000000002</v>
      </c>
      <c r="F161" s="101" vm="15508">
        <f ca="1"/>
        <v>291.94</v>
      </c>
      <c r="G161" s="101" vm="15509">
        <f ca="1"/>
        <v>299.16000000000003</v>
      </c>
      <c r="H161" s="101" vm="15510">
        <f ca="1"/>
        <v>271.22390000000001</v>
      </c>
      <c r="I161" s="102" vm="15511">
        <f ca="1"/>
        <v>61114555</v>
      </c>
    </row>
    <row r="162" spans="4:9" x14ac:dyDescent="0.3">
      <c r="D162" s="100" vm="896">
        <f ca="1"/>
        <v>43199</v>
      </c>
      <c r="E162" s="101" vm="15512">
        <f ca="1"/>
        <v>311.64999999999998</v>
      </c>
      <c r="F162" s="101" vm="15513">
        <f ca="1"/>
        <v>291.77</v>
      </c>
      <c r="G162" s="101" vm="15514">
        <f ca="1"/>
        <v>317.49</v>
      </c>
      <c r="H162" s="101" vm="15515">
        <f ca="1"/>
        <v>289.12</v>
      </c>
      <c r="I162" s="102" vm="15516">
        <f ca="1"/>
        <v>57746066</v>
      </c>
    </row>
    <row r="163" spans="4:9" x14ac:dyDescent="0.3">
      <c r="D163" s="100" vm="902">
        <f ca="1"/>
        <v>43206</v>
      </c>
      <c r="E163" s="101" vm="15517">
        <f ca="1"/>
        <v>327.77</v>
      </c>
      <c r="F163" s="101" vm="15518">
        <f ca="1"/>
        <v>315.99</v>
      </c>
      <c r="G163" s="101" vm="15519">
        <f ca="1"/>
        <v>338.82</v>
      </c>
      <c r="H163" s="101" vm="12360">
        <f ca="1"/>
        <v>304</v>
      </c>
      <c r="I163" s="102" vm="15520">
        <f ca="1"/>
        <v>82725727</v>
      </c>
    </row>
    <row r="164" spans="4:9" x14ac:dyDescent="0.3">
      <c r="D164" s="100" vm="908">
        <f ca="1"/>
        <v>43213</v>
      </c>
      <c r="E164" s="101" vm="15521">
        <f ca="1"/>
        <v>311.76</v>
      </c>
      <c r="F164" s="101" vm="15522">
        <f ca="1"/>
        <v>329.1499</v>
      </c>
      <c r="G164" s="101" vm="15523">
        <f ca="1"/>
        <v>331.22</v>
      </c>
      <c r="H164" s="101" vm="15524">
        <f ca="1"/>
        <v>292.61500000000001</v>
      </c>
      <c r="I164" s="102" vm="15525">
        <f ca="1"/>
        <v>54122013</v>
      </c>
    </row>
    <row r="165" spans="4:9" x14ac:dyDescent="0.3">
      <c r="D165" s="100" vm="914">
        <f ca="1"/>
        <v>43220</v>
      </c>
      <c r="E165" s="101" vm="15526">
        <f ca="1"/>
        <v>320.08999999999997</v>
      </c>
      <c r="F165" s="101" vm="15527">
        <f ca="1"/>
        <v>311.07</v>
      </c>
      <c r="G165" s="101" vm="15528">
        <f ca="1"/>
        <v>320.98</v>
      </c>
      <c r="H165" s="101" vm="15529">
        <f ca="1"/>
        <v>305.73</v>
      </c>
      <c r="I165" s="102" vm="15530">
        <f ca="1"/>
        <v>32167887</v>
      </c>
    </row>
    <row r="166" spans="4:9" x14ac:dyDescent="0.3">
      <c r="D166" s="100" vm="920">
        <f ca="1"/>
        <v>43227</v>
      </c>
      <c r="E166" s="101" vm="15531">
        <f ca="1"/>
        <v>326.45999999999998</v>
      </c>
      <c r="F166" s="101" vm="15532">
        <f ca="1"/>
        <v>321.99470000000002</v>
      </c>
      <c r="G166" s="101" vm="15533">
        <f ca="1"/>
        <v>332.05500000000001</v>
      </c>
      <c r="H166" s="101" vm="15534">
        <f ca="1"/>
        <v>319.33999999999997</v>
      </c>
      <c r="I166" s="102" vm="15535">
        <f ca="1"/>
        <v>27378990</v>
      </c>
    </row>
    <row r="167" spans="4:9" x14ac:dyDescent="0.3">
      <c r="D167" s="100" vm="926">
        <f ca="1"/>
        <v>43234</v>
      </c>
      <c r="E167" s="101" vm="15536">
        <f ca="1"/>
        <v>324.18</v>
      </c>
      <c r="F167" s="101" vm="15537">
        <f ca="1"/>
        <v>327.25</v>
      </c>
      <c r="G167" s="101" vm="15538">
        <f ca="1"/>
        <v>330.50380000000001</v>
      </c>
      <c r="H167" s="101" vm="15539">
        <f ca="1"/>
        <v>322.43400000000003</v>
      </c>
      <c r="I167" s="102" vm="15540">
        <f ca="1"/>
        <v>21021011</v>
      </c>
    </row>
    <row r="168" spans="4:9" x14ac:dyDescent="0.3">
      <c r="D168" s="100" vm="932">
        <f ca="1"/>
        <v>43241</v>
      </c>
      <c r="E168" s="101" vm="15541">
        <f ca="1"/>
        <v>351.29</v>
      </c>
      <c r="F168" s="101" vm="15542">
        <f ca="1"/>
        <v>327.11</v>
      </c>
      <c r="G168" s="101" vm="15543">
        <f ca="1"/>
        <v>354.36</v>
      </c>
      <c r="H168" s="101" vm="15544">
        <f ca="1"/>
        <v>325.45</v>
      </c>
      <c r="I168" s="102" vm="15545">
        <f ca="1"/>
        <v>45246874</v>
      </c>
    </row>
    <row r="169" spans="4:9" x14ac:dyDescent="0.3">
      <c r="D169" s="100" vm="938">
        <f ca="1"/>
        <v>43249</v>
      </c>
      <c r="E169" s="101" vm="15546">
        <f ca="1"/>
        <v>359.93</v>
      </c>
      <c r="F169" s="101" vm="15547">
        <f ca="1"/>
        <v>351.5</v>
      </c>
      <c r="G169" s="101" vm="15548">
        <f ca="1"/>
        <v>359.99</v>
      </c>
      <c r="H169" s="101" vm="15549">
        <f ca="1"/>
        <v>346.71</v>
      </c>
      <c r="I169" s="102" vm="15550">
        <f ca="1"/>
        <v>29437431</v>
      </c>
    </row>
    <row r="170" spans="4:9" x14ac:dyDescent="0.3">
      <c r="D170" s="100" vm="944">
        <f ca="1"/>
        <v>43255</v>
      </c>
      <c r="E170" s="101" vm="15551">
        <f ca="1"/>
        <v>360.57</v>
      </c>
      <c r="F170" s="101" vm="15552">
        <f ca="1"/>
        <v>362.68470000000002</v>
      </c>
      <c r="G170" s="101" vm="15553">
        <f ca="1"/>
        <v>369.83</v>
      </c>
      <c r="H170" s="101" vm="15554">
        <f ca="1"/>
        <v>355.51</v>
      </c>
      <c r="I170" s="102" vm="15555">
        <f ca="1"/>
        <v>37256118</v>
      </c>
    </row>
    <row r="171" spans="4:9" x14ac:dyDescent="0.3">
      <c r="D171" s="100" vm="950">
        <f ca="1"/>
        <v>43262</v>
      </c>
      <c r="E171" s="101" vm="15556">
        <f ca="1"/>
        <v>391.98</v>
      </c>
      <c r="F171" s="101" vm="15557">
        <f ca="1"/>
        <v>361.88</v>
      </c>
      <c r="G171" s="101" vm="15558">
        <f ca="1"/>
        <v>398.86</v>
      </c>
      <c r="H171" s="101" vm="15559">
        <f ca="1"/>
        <v>360.91</v>
      </c>
      <c r="I171" s="102" vm="15560">
        <f ca="1"/>
        <v>55132660</v>
      </c>
    </row>
    <row r="172" spans="4:9" x14ac:dyDescent="0.3">
      <c r="D172" s="100" vm="956">
        <f ca="1"/>
        <v>43269</v>
      </c>
      <c r="E172" s="101" vm="15561">
        <f ca="1"/>
        <v>411.09</v>
      </c>
      <c r="F172" s="101" vm="15562">
        <f ca="1"/>
        <v>387.72</v>
      </c>
      <c r="G172" s="101" vm="15563">
        <f ca="1"/>
        <v>423.2056</v>
      </c>
      <c r="H172" s="101" vm="15564">
        <f ca="1"/>
        <v>386.5</v>
      </c>
      <c r="I172" s="102" vm="15565">
        <f ca="1"/>
        <v>68835027</v>
      </c>
    </row>
    <row r="173" spans="4:9" x14ac:dyDescent="0.3">
      <c r="D173" s="100" vm="962">
        <f ca="1"/>
        <v>43276</v>
      </c>
      <c r="E173" s="101" vm="15566">
        <f ca="1"/>
        <v>391.43</v>
      </c>
      <c r="F173" s="101" vm="15567">
        <f ca="1"/>
        <v>404.69</v>
      </c>
      <c r="G173" s="101" vm="15568">
        <f ca="1"/>
        <v>411.5865</v>
      </c>
      <c r="H173" s="101" vm="15569">
        <f ca="1"/>
        <v>378.75</v>
      </c>
      <c r="I173" s="102" vm="15570">
        <f ca="1"/>
        <v>75695904</v>
      </c>
    </row>
    <row r="174" spans="4:9" x14ac:dyDescent="0.3">
      <c r="D174" s="100" vm="968">
        <f ca="1"/>
        <v>43283</v>
      </c>
      <c r="E174" s="101" vm="15571">
        <f ca="1"/>
        <v>408.25</v>
      </c>
      <c r="F174" s="101" vm="15572">
        <f ca="1"/>
        <v>385.45</v>
      </c>
      <c r="G174" s="101" vm="15573">
        <f ca="1"/>
        <v>408.64949999999999</v>
      </c>
      <c r="H174" s="101" vm="15574">
        <f ca="1"/>
        <v>380</v>
      </c>
      <c r="I174" s="102" vm="15575">
        <f ca="1"/>
        <v>30501344</v>
      </c>
    </row>
    <row r="175" spans="4:9" x14ac:dyDescent="0.3">
      <c r="D175" s="100" vm="974">
        <f ca="1"/>
        <v>43290</v>
      </c>
      <c r="E175" s="101" vm="15576">
        <f ca="1"/>
        <v>395.8</v>
      </c>
      <c r="F175" s="101" vm="15577">
        <f ca="1"/>
        <v>415.95</v>
      </c>
      <c r="G175" s="101" vm="15578">
        <f ca="1"/>
        <v>419.77</v>
      </c>
      <c r="H175" s="101" vm="15579">
        <f ca="1"/>
        <v>395.08100000000002</v>
      </c>
      <c r="I175" s="102" vm="15580">
        <f ca="1"/>
        <v>58714864</v>
      </c>
    </row>
    <row r="176" spans="4:9" x14ac:dyDescent="0.3">
      <c r="D176" s="100" vm="980">
        <f ca="1"/>
        <v>43297</v>
      </c>
      <c r="E176" s="101" vm="15581">
        <f ca="1"/>
        <v>361.05</v>
      </c>
      <c r="F176" s="101" vm="15582">
        <f ca="1"/>
        <v>398.98</v>
      </c>
      <c r="G176" s="101" vm="15583">
        <f ca="1"/>
        <v>403.35500000000002</v>
      </c>
      <c r="H176" s="101" vm="15584">
        <f ca="1"/>
        <v>344</v>
      </c>
      <c r="I176" s="102" vm="15585">
        <f ca="1"/>
        <v>135109033</v>
      </c>
    </row>
    <row r="177" spans="4:9" x14ac:dyDescent="0.3">
      <c r="D177" s="100" vm="986">
        <f ca="1"/>
        <v>43304</v>
      </c>
      <c r="E177" s="101" vm="15586">
        <f ca="1"/>
        <v>355.21</v>
      </c>
      <c r="F177" s="101" vm="15587">
        <f ca="1"/>
        <v>359.14530000000002</v>
      </c>
      <c r="G177" s="101" vm="15588">
        <f ca="1"/>
        <v>367.4</v>
      </c>
      <c r="H177" s="101" vm="15589">
        <f ca="1"/>
        <v>351.65</v>
      </c>
      <c r="I177" s="102" vm="15590">
        <f ca="1"/>
        <v>48816112</v>
      </c>
    </row>
    <row r="178" spans="4:9" x14ac:dyDescent="0.3">
      <c r="D178" s="100" vm="992">
        <f ca="1"/>
        <v>43311</v>
      </c>
      <c r="E178" s="101" vm="15591">
        <f ca="1"/>
        <v>343.09</v>
      </c>
      <c r="F178" s="101" vm="15592">
        <f ca="1"/>
        <v>351.93</v>
      </c>
      <c r="G178" s="101" vm="15593">
        <f ca="1"/>
        <v>352.03</v>
      </c>
      <c r="H178" s="101" vm="15594">
        <f ca="1"/>
        <v>328</v>
      </c>
      <c r="I178" s="102" vm="15595">
        <f ca="1"/>
        <v>56116251</v>
      </c>
    </row>
    <row r="179" spans="4:9" x14ac:dyDescent="0.3">
      <c r="D179" s="100" vm="998">
        <f ca="1"/>
        <v>43318</v>
      </c>
      <c r="E179" s="101" vm="15596">
        <f ca="1"/>
        <v>345.87</v>
      </c>
      <c r="F179" s="101" vm="15597">
        <f ca="1"/>
        <v>342.86529999999999</v>
      </c>
      <c r="G179" s="101" vm="15598">
        <f ca="1"/>
        <v>357.31</v>
      </c>
      <c r="H179" s="101" vm="15599">
        <f ca="1"/>
        <v>341.74</v>
      </c>
      <c r="I179" s="102" vm="15600">
        <f ca="1"/>
        <v>30729265</v>
      </c>
    </row>
    <row r="180" spans="4:9" x14ac:dyDescent="0.3">
      <c r="D180" s="100" vm="1004">
        <f ca="1"/>
        <v>43325</v>
      </c>
      <c r="E180" s="101" vm="15601">
        <f ca="1"/>
        <v>316.77999999999997</v>
      </c>
      <c r="F180" s="101" vm="15602">
        <f ca="1"/>
        <v>339.89</v>
      </c>
      <c r="G180" s="101" vm="15603">
        <f ca="1"/>
        <v>347.19</v>
      </c>
      <c r="H180" s="101" vm="15604">
        <f ca="1"/>
        <v>312.95999999999998</v>
      </c>
      <c r="I180" s="102" vm="15605">
        <f ca="1"/>
        <v>41580957</v>
      </c>
    </row>
    <row r="181" spans="4:9" x14ac:dyDescent="0.3">
      <c r="D181" s="100" vm="1009">
        <f ca="1"/>
        <v>43332</v>
      </c>
      <c r="E181" s="101" vm="15606">
        <f ca="1"/>
        <v>358.82</v>
      </c>
      <c r="F181" s="101" vm="15607">
        <f ca="1"/>
        <v>314.64</v>
      </c>
      <c r="G181" s="101" vm="15608">
        <f ca="1"/>
        <v>359.15</v>
      </c>
      <c r="H181" s="101" vm="15609">
        <f ca="1"/>
        <v>310.928</v>
      </c>
      <c r="I181" s="102" vm="15610">
        <f ca="1"/>
        <v>63303904</v>
      </c>
    </row>
    <row r="182" spans="4:9" x14ac:dyDescent="0.3">
      <c r="D182" s="100" vm="1015">
        <f ca="1"/>
        <v>43339</v>
      </c>
      <c r="E182" s="101" vm="15611">
        <f ca="1"/>
        <v>367.68</v>
      </c>
      <c r="F182" s="101" vm="15612">
        <f ca="1"/>
        <v>367.14530000000002</v>
      </c>
      <c r="G182" s="101" vm="15613">
        <f ca="1"/>
        <v>376.80849999999998</v>
      </c>
      <c r="H182" s="101" vm="15614">
        <f ca="1"/>
        <v>360</v>
      </c>
      <c r="I182" s="102" vm="15615">
        <f ca="1"/>
        <v>53693111</v>
      </c>
    </row>
    <row r="183" spans="4:9" x14ac:dyDescent="0.3">
      <c r="D183" s="100" vm="1021">
        <f ca="1"/>
        <v>43347</v>
      </c>
      <c r="E183" s="101" vm="15616">
        <f ca="1"/>
        <v>348.68</v>
      </c>
      <c r="F183" s="101" vm="15617">
        <f ca="1"/>
        <v>366.47</v>
      </c>
      <c r="G183" s="101" vm="15618">
        <f ca="1"/>
        <v>368.88</v>
      </c>
      <c r="H183" s="101" vm="15619">
        <f ca="1"/>
        <v>335.83</v>
      </c>
      <c r="I183" s="102" vm="15620">
        <f ca="1"/>
        <v>42853981</v>
      </c>
    </row>
    <row r="184" spans="4:9" x14ac:dyDescent="0.3">
      <c r="D184" s="100" vm="1027">
        <f ca="1"/>
        <v>43353</v>
      </c>
      <c r="E184" s="101" vm="15621">
        <f ca="1"/>
        <v>364.56</v>
      </c>
      <c r="F184" s="101" vm="15622">
        <f ca="1"/>
        <v>352.27</v>
      </c>
      <c r="G184" s="101" vm="15623">
        <f ca="1"/>
        <v>374.09</v>
      </c>
      <c r="H184" s="101" vm="15624">
        <f ca="1"/>
        <v>343.08</v>
      </c>
      <c r="I184" s="102" vm="15625">
        <f ca="1"/>
        <v>35553564</v>
      </c>
    </row>
    <row r="185" spans="4:9" x14ac:dyDescent="0.3">
      <c r="D185" s="100" vm="1033">
        <f ca="1"/>
        <v>43360</v>
      </c>
      <c r="E185" s="101" vm="15626">
        <f ca="1"/>
        <v>361.19</v>
      </c>
      <c r="F185" s="101" vm="15627">
        <f ca="1"/>
        <v>364.22</v>
      </c>
      <c r="G185" s="101" vm="15628">
        <f ca="1"/>
        <v>377.61</v>
      </c>
      <c r="H185" s="101" vm="15629">
        <f ca="1"/>
        <v>349.57</v>
      </c>
      <c r="I185" s="102" vm="15630">
        <f ca="1"/>
        <v>48061421</v>
      </c>
    </row>
    <row r="186" spans="4:9" x14ac:dyDescent="0.3">
      <c r="D186" s="100" vm="1039">
        <f ca="1"/>
        <v>43367</v>
      </c>
      <c r="E186" s="101" vm="15631">
        <f ca="1"/>
        <v>374.13</v>
      </c>
      <c r="F186" s="101" vm="15632">
        <f ca="1"/>
        <v>359</v>
      </c>
      <c r="G186" s="101" vm="15633">
        <f ca="1"/>
        <v>383.2</v>
      </c>
      <c r="H186" s="101" vm="15634">
        <f ca="1"/>
        <v>354.33</v>
      </c>
      <c r="I186" s="102" vm="15635">
        <f ca="1"/>
        <v>44363190</v>
      </c>
    </row>
    <row r="187" spans="4:9" x14ac:dyDescent="0.3">
      <c r="D187" s="100" vm="1045">
        <f ca="1"/>
        <v>43374</v>
      </c>
      <c r="E187" s="101" vm="15636">
        <f ca="1"/>
        <v>351.35</v>
      </c>
      <c r="F187" s="101" vm="15637">
        <f ca="1"/>
        <v>375.85</v>
      </c>
      <c r="G187" s="101" vm="15638">
        <f ca="1"/>
        <v>386.79989999999998</v>
      </c>
      <c r="H187" s="101" vm="15639">
        <f ca="1"/>
        <v>343</v>
      </c>
      <c r="I187" s="102" vm="15640">
        <f ca="1"/>
        <v>45411189</v>
      </c>
    </row>
    <row r="188" spans="4:9" x14ac:dyDescent="0.3">
      <c r="D188" s="100" vm="1051">
        <f ca="1"/>
        <v>43381</v>
      </c>
      <c r="E188" s="101" vm="15641">
        <f ca="1"/>
        <v>339.56</v>
      </c>
      <c r="F188" s="101" vm="15642">
        <f ca="1"/>
        <v>345.18</v>
      </c>
      <c r="G188" s="101" vm="15643">
        <f ca="1"/>
        <v>358.72</v>
      </c>
      <c r="H188" s="101" vm="15644">
        <f ca="1"/>
        <v>315.81</v>
      </c>
      <c r="I188" s="102" vm="15645">
        <f ca="1"/>
        <v>69266492</v>
      </c>
    </row>
    <row r="189" spans="4:9" x14ac:dyDescent="0.3">
      <c r="D189" s="100" vm="1057">
        <f ca="1"/>
        <v>43388</v>
      </c>
      <c r="E189" s="101" vm="15646">
        <f ca="1"/>
        <v>332.67</v>
      </c>
      <c r="F189" s="101" vm="15647">
        <f ca="1"/>
        <v>337.63</v>
      </c>
      <c r="G189" s="101" vm="15574">
        <f ca="1"/>
        <v>380</v>
      </c>
      <c r="H189" s="101" vm="15648">
        <f ca="1"/>
        <v>326.93</v>
      </c>
      <c r="I189" s="102" vm="15649">
        <f ca="1"/>
        <v>99160594</v>
      </c>
    </row>
    <row r="190" spans="4:9" x14ac:dyDescent="0.3">
      <c r="D190" s="100" vm="1063">
        <f ca="1"/>
        <v>43395</v>
      </c>
      <c r="E190" s="101" vm="15650">
        <f ca="1"/>
        <v>299.83</v>
      </c>
      <c r="F190" s="101" vm="15651">
        <f ca="1"/>
        <v>333.1</v>
      </c>
      <c r="G190" s="101" vm="15652">
        <f ca="1"/>
        <v>336.58</v>
      </c>
      <c r="H190" s="101" vm="15653">
        <f ca="1"/>
        <v>292.3</v>
      </c>
      <c r="I190" s="102" vm="15654">
        <f ca="1"/>
        <v>83959111</v>
      </c>
    </row>
    <row r="191" spans="4:9" x14ac:dyDescent="0.3">
      <c r="D191" s="100" vm="1069">
        <f ca="1"/>
        <v>43402</v>
      </c>
      <c r="E191" s="101" vm="15655">
        <f ca="1"/>
        <v>309.10000000000002</v>
      </c>
      <c r="F191" s="101" vm="15656">
        <f ca="1"/>
        <v>305.26</v>
      </c>
      <c r="G191" s="101" vm="15657">
        <f ca="1"/>
        <v>321.88</v>
      </c>
      <c r="H191" s="101" vm="15658">
        <f ca="1"/>
        <v>271.20929999999998</v>
      </c>
      <c r="I191" s="102" vm="15659">
        <f ca="1"/>
        <v>94184268</v>
      </c>
    </row>
    <row r="192" spans="4:9" x14ac:dyDescent="0.3">
      <c r="D192" s="100" vm="1075">
        <f ca="1"/>
        <v>43409</v>
      </c>
      <c r="E192" s="101" vm="15660">
        <f ca="1"/>
        <v>303.47000000000003</v>
      </c>
      <c r="F192" s="101" vm="15661">
        <f ca="1"/>
        <v>311.10000000000002</v>
      </c>
      <c r="G192" s="101" vm="15662">
        <f ca="1"/>
        <v>332.04989999999998</v>
      </c>
      <c r="H192" s="101" vm="15663">
        <f ca="1"/>
        <v>298.01</v>
      </c>
      <c r="I192" s="102" vm="15664">
        <f ca="1"/>
        <v>57781092</v>
      </c>
    </row>
    <row r="193" spans="4:9" x14ac:dyDescent="0.3">
      <c r="D193" s="100" vm="1081">
        <f ca="1"/>
        <v>43416</v>
      </c>
      <c r="E193" s="101" vm="15665">
        <f ca="1"/>
        <v>286.20999999999998</v>
      </c>
      <c r="F193" s="101" vm="15666">
        <f ca="1"/>
        <v>300</v>
      </c>
      <c r="G193" s="101" vm="15667">
        <f ca="1"/>
        <v>303.55</v>
      </c>
      <c r="H193" s="101" vm="15668">
        <f ca="1"/>
        <v>278.29689999999999</v>
      </c>
      <c r="I193" s="102" vm="15669">
        <f ca="1"/>
        <v>58918883</v>
      </c>
    </row>
    <row r="194" spans="4:9" x14ac:dyDescent="0.3">
      <c r="D194" s="100" vm="1087">
        <f ca="1"/>
        <v>43423</v>
      </c>
      <c r="E194" s="101" vm="15670">
        <f ca="1"/>
        <v>258.82</v>
      </c>
      <c r="F194" s="101" vm="15671">
        <f ca="1"/>
        <v>283.79000000000002</v>
      </c>
      <c r="G194" s="101" vm="15672">
        <f ca="1"/>
        <v>285.08999999999997</v>
      </c>
      <c r="H194" s="101" vm="2998">
        <f ca="1"/>
        <v>250</v>
      </c>
      <c r="I194" s="102" vm="15673">
        <f ca="1"/>
        <v>45585407</v>
      </c>
    </row>
    <row r="195" spans="4:9" x14ac:dyDescent="0.3">
      <c r="D195" s="100" vm="1093">
        <f ca="1"/>
        <v>43430</v>
      </c>
      <c r="E195" s="101" vm="15674">
        <f ca="1"/>
        <v>286.13</v>
      </c>
      <c r="F195" s="101" vm="15675">
        <f ca="1"/>
        <v>260.55</v>
      </c>
      <c r="G195" s="101" vm="15676">
        <f ca="1"/>
        <v>290.81</v>
      </c>
      <c r="H195" s="101" vm="15677">
        <f ca="1"/>
        <v>253.8</v>
      </c>
      <c r="I195" s="102" vm="15678">
        <f ca="1"/>
        <v>65633896</v>
      </c>
    </row>
    <row r="196" spans="4:9" x14ac:dyDescent="0.3">
      <c r="D196" s="100" vm="1099">
        <f ca="1"/>
        <v>43437</v>
      </c>
      <c r="E196" s="101" vm="15679">
        <f ca="1"/>
        <v>265.14</v>
      </c>
      <c r="F196" s="101" vm="15680">
        <f ca="1"/>
        <v>293.19</v>
      </c>
      <c r="G196" s="101" vm="15681">
        <f ca="1"/>
        <v>298.72000000000003</v>
      </c>
      <c r="H196" s="101" vm="15682">
        <f ca="1"/>
        <v>263.38</v>
      </c>
      <c r="I196" s="102" vm="15683">
        <f ca="1"/>
        <v>52413910</v>
      </c>
    </row>
    <row r="197" spans="4:9" x14ac:dyDescent="0.3">
      <c r="D197" s="100" vm="1105">
        <f ca="1"/>
        <v>43444</v>
      </c>
      <c r="E197" s="101" vm="15684">
        <f ca="1"/>
        <v>266.83999999999997</v>
      </c>
      <c r="F197" s="101" vm="15685">
        <f ca="1"/>
        <v>264.19</v>
      </c>
      <c r="G197" s="101" vm="15686">
        <f ca="1"/>
        <v>281.76949999999999</v>
      </c>
      <c r="H197" s="101" vm="15687">
        <f ca="1"/>
        <v>260.60939999999999</v>
      </c>
      <c r="I197" s="102" vm="15688">
        <f ca="1"/>
        <v>49191508</v>
      </c>
    </row>
    <row r="198" spans="4:9" x14ac:dyDescent="0.3">
      <c r="D198" s="100" vm="1111">
        <f ca="1"/>
        <v>43451</v>
      </c>
      <c r="E198" s="101" vm="15689">
        <f ca="1"/>
        <v>246.39</v>
      </c>
      <c r="F198" s="101" vm="15690">
        <f ca="1"/>
        <v>266.51</v>
      </c>
      <c r="G198" s="101" vm="15691">
        <f ca="1"/>
        <v>280.87</v>
      </c>
      <c r="H198" s="101" vm="15692">
        <f ca="1"/>
        <v>241.29</v>
      </c>
      <c r="I198" s="102" vm="15693">
        <f ca="1"/>
        <v>71918542</v>
      </c>
    </row>
    <row r="199" spans="4:9" x14ac:dyDescent="0.3">
      <c r="D199" s="100" vm="1117">
        <f ca="1"/>
        <v>43458</v>
      </c>
      <c r="E199" s="101" vm="15694">
        <f ca="1"/>
        <v>256.08</v>
      </c>
      <c r="F199" s="101" vm="15695">
        <f ca="1"/>
        <v>242</v>
      </c>
      <c r="G199" s="101" vm="15696">
        <f ca="1"/>
        <v>261.9144</v>
      </c>
      <c r="H199" s="101" vm="15697">
        <f ca="1"/>
        <v>231.23</v>
      </c>
      <c r="I199" s="102" vm="15698">
        <f ca="1"/>
        <v>47172854</v>
      </c>
    </row>
    <row r="200" spans="4:9" x14ac:dyDescent="0.3">
      <c r="D200" s="100" vm="1123">
        <f ca="1"/>
        <v>43465</v>
      </c>
      <c r="E200" s="101" vm="15699">
        <f ca="1"/>
        <v>297.57</v>
      </c>
      <c r="F200" s="101" vm="15700">
        <f ca="1"/>
        <v>260.16000000000003</v>
      </c>
      <c r="G200" s="101" vm="15701">
        <f ca="1"/>
        <v>297.8</v>
      </c>
      <c r="H200" s="101" vm="15702">
        <f ca="1"/>
        <v>256.58</v>
      </c>
      <c r="I200" s="102" vm="15703">
        <f ca="1"/>
        <v>59321400</v>
      </c>
    </row>
    <row r="201" spans="4:9" x14ac:dyDescent="0.3">
      <c r="D201" s="100" vm="1128">
        <f ca="1"/>
        <v>43472</v>
      </c>
      <c r="E201" s="101" vm="15704">
        <f ca="1"/>
        <v>337.59</v>
      </c>
      <c r="F201" s="101" vm="15705">
        <f ca="1"/>
        <v>302.10000000000002</v>
      </c>
      <c r="G201" s="101" vm="15706">
        <f ca="1"/>
        <v>341.09</v>
      </c>
      <c r="H201" s="101" vm="15707">
        <f ca="1"/>
        <v>301.64999999999998</v>
      </c>
      <c r="I201" s="102" vm="15708">
        <f ca="1"/>
        <v>80135500</v>
      </c>
    </row>
    <row r="202" spans="4:9" x14ac:dyDescent="0.3">
      <c r="D202" s="100" vm="1134">
        <f ca="1"/>
        <v>43479</v>
      </c>
      <c r="E202" s="101" vm="15709">
        <f ca="1"/>
        <v>339.1</v>
      </c>
      <c r="F202" s="101" vm="15710">
        <f ca="1"/>
        <v>334.24</v>
      </c>
      <c r="G202" s="101" vm="15711">
        <f ca="1"/>
        <v>358.85</v>
      </c>
      <c r="H202" s="101" vm="15712">
        <f ca="1"/>
        <v>329.13</v>
      </c>
      <c r="I202" s="102" vm="15713">
        <f ca="1"/>
        <v>90657897</v>
      </c>
    </row>
    <row r="203" spans="4:9" x14ac:dyDescent="0.3">
      <c r="D203" s="100" vm="1140">
        <f ca="1"/>
        <v>43487</v>
      </c>
      <c r="E203" s="101" vm="15714">
        <f ca="1"/>
        <v>338.05</v>
      </c>
      <c r="F203" s="101" vm="15715">
        <f ca="1"/>
        <v>334.89</v>
      </c>
      <c r="G203" s="101" vm="15716">
        <f ca="1"/>
        <v>340</v>
      </c>
      <c r="H203" s="101" vm="15717">
        <f ca="1"/>
        <v>318.60000000000002</v>
      </c>
      <c r="I203" s="102" vm="15718">
        <f ca="1"/>
        <v>53235905</v>
      </c>
    </row>
    <row r="204" spans="4:9" x14ac:dyDescent="0.3">
      <c r="D204" s="100" vm="1145">
        <f ca="1"/>
        <v>43493</v>
      </c>
      <c r="E204" s="101" vm="15719">
        <f ca="1"/>
        <v>339.85</v>
      </c>
      <c r="F204" s="101" vm="15720">
        <f ca="1"/>
        <v>334.7</v>
      </c>
      <c r="G204" s="101" vm="15721">
        <f ca="1"/>
        <v>346.84</v>
      </c>
      <c r="H204" s="101" vm="15722">
        <f ca="1"/>
        <v>328.15100000000001</v>
      </c>
      <c r="I204" s="102" vm="15723">
        <f ca="1"/>
        <v>43808324</v>
      </c>
    </row>
    <row r="205" spans="4:9" x14ac:dyDescent="0.3">
      <c r="D205" s="100" vm="1151">
        <f ca="1"/>
        <v>43500</v>
      </c>
      <c r="E205" s="101" vm="15724">
        <f ca="1"/>
        <v>347.57</v>
      </c>
      <c r="F205" s="101" vm="15725">
        <f ca="1"/>
        <v>342.6</v>
      </c>
      <c r="G205" s="101" vm="15614">
        <f ca="1"/>
        <v>360</v>
      </c>
      <c r="H205" s="101" vm="15726">
        <f ca="1"/>
        <v>338</v>
      </c>
      <c r="I205" s="102" vm="15727">
        <f ca="1"/>
        <v>40014167</v>
      </c>
    </row>
    <row r="206" spans="4:9" x14ac:dyDescent="0.3">
      <c r="D206" s="100" vm="1157">
        <f ca="1"/>
        <v>43507</v>
      </c>
      <c r="E206" s="101" vm="15728">
        <f ca="1"/>
        <v>356.87</v>
      </c>
      <c r="F206" s="101" vm="15729">
        <f ca="1"/>
        <v>350</v>
      </c>
      <c r="G206" s="101" vm="15730">
        <f ca="1"/>
        <v>364.4</v>
      </c>
      <c r="H206" s="101" vm="15731">
        <f ca="1"/>
        <v>344.81</v>
      </c>
      <c r="I206" s="102" vm="15732">
        <f ca="1"/>
        <v>44845628</v>
      </c>
    </row>
    <row r="207" spans="4:9" x14ac:dyDescent="0.3">
      <c r="D207" s="100" vm="1161">
        <f ca="1"/>
        <v>43515</v>
      </c>
      <c r="E207" s="101" vm="15733">
        <f ca="1"/>
        <v>363.02</v>
      </c>
      <c r="F207" s="101" vm="15734">
        <f ca="1"/>
        <v>355.8</v>
      </c>
      <c r="G207" s="101" vm="15735">
        <f ca="1"/>
        <v>366.71</v>
      </c>
      <c r="H207" s="101" vm="15736">
        <f ca="1"/>
        <v>353.88</v>
      </c>
      <c r="I207" s="102" vm="15737">
        <f ca="1"/>
        <v>28823411</v>
      </c>
    </row>
    <row r="208" spans="4:9" x14ac:dyDescent="0.3">
      <c r="D208" s="100" vm="1167">
        <f ca="1"/>
        <v>43521</v>
      </c>
      <c r="E208" s="101" vm="15738">
        <f ca="1"/>
        <v>357.32</v>
      </c>
      <c r="F208" s="101" vm="15739">
        <f ca="1"/>
        <v>367.01</v>
      </c>
      <c r="G208" s="101" vm="15740">
        <f ca="1"/>
        <v>371.49</v>
      </c>
      <c r="H208" s="101" vm="15741">
        <f ca="1"/>
        <v>354.69150000000002</v>
      </c>
      <c r="I208" s="102" vm="15742">
        <f ca="1"/>
        <v>29857160</v>
      </c>
    </row>
    <row r="209" spans="4:9" x14ac:dyDescent="0.3">
      <c r="D209" s="100" vm="1172">
        <f ca="1"/>
        <v>43528</v>
      </c>
      <c r="E209" s="101" vm="15743">
        <f ca="1"/>
        <v>349.6</v>
      </c>
      <c r="F209" s="101" vm="15744">
        <f ca="1"/>
        <v>359.72</v>
      </c>
      <c r="G209" s="101" vm="15745">
        <f ca="1"/>
        <v>362.86</v>
      </c>
      <c r="H209" s="101" vm="15746">
        <f ca="1"/>
        <v>342.47</v>
      </c>
      <c r="I209" s="102" vm="15747">
        <f ca="1"/>
        <v>32686814</v>
      </c>
    </row>
    <row r="210" spans="4:9" x14ac:dyDescent="0.3">
      <c r="D210" s="100" vm="1178">
        <f ca="1"/>
        <v>43535</v>
      </c>
      <c r="E210" s="101" vm="15748">
        <f ca="1"/>
        <v>361.46</v>
      </c>
      <c r="F210" s="101" vm="15749">
        <f ca="1"/>
        <v>352</v>
      </c>
      <c r="G210" s="101" vm="15750">
        <f ca="1"/>
        <v>364</v>
      </c>
      <c r="H210" s="101" vm="15751">
        <f ca="1"/>
        <v>350.03</v>
      </c>
      <c r="I210" s="102" vm="15752">
        <f ca="1"/>
        <v>30710587</v>
      </c>
    </row>
    <row r="211" spans="4:9" x14ac:dyDescent="0.3">
      <c r="D211" s="100" vm="1184">
        <f ca="1"/>
        <v>43542</v>
      </c>
      <c r="E211" s="101" vm="15753">
        <f ca="1"/>
        <v>361.01</v>
      </c>
      <c r="F211" s="101" vm="15754">
        <f ca="1"/>
        <v>362.47</v>
      </c>
      <c r="G211" s="101" vm="15755">
        <f ca="1"/>
        <v>379</v>
      </c>
      <c r="H211" s="101" vm="15756">
        <f ca="1"/>
        <v>356.8</v>
      </c>
      <c r="I211" s="102" vm="15757">
        <f ca="1"/>
        <v>42858679</v>
      </c>
    </row>
    <row r="212" spans="4:9" x14ac:dyDescent="0.3">
      <c r="D212" s="100" vm="1190">
        <f ca="1"/>
        <v>43549</v>
      </c>
      <c r="E212" s="101" vm="15758">
        <f ca="1"/>
        <v>356.56</v>
      </c>
      <c r="F212" s="101" vm="15632">
        <f ca="1"/>
        <v>359</v>
      </c>
      <c r="G212" s="101" vm="15759">
        <f ca="1"/>
        <v>368.38</v>
      </c>
      <c r="H212" s="101" vm="15760">
        <f ca="1"/>
        <v>349.2</v>
      </c>
      <c r="I212" s="102" vm="15761">
        <f ca="1"/>
        <v>33059286</v>
      </c>
    </row>
    <row r="213" spans="4:9" x14ac:dyDescent="0.3">
      <c r="D213" s="100" vm="1195">
        <f ca="1"/>
        <v>43556</v>
      </c>
      <c r="E213" s="101" vm="15762">
        <f ca="1"/>
        <v>365.49</v>
      </c>
      <c r="F213" s="101" vm="15632">
        <f ca="1"/>
        <v>359</v>
      </c>
      <c r="G213" s="101" vm="15763">
        <f ca="1"/>
        <v>373.41050000000001</v>
      </c>
      <c r="H213" s="101" vm="15764">
        <f ca="1"/>
        <v>358.51</v>
      </c>
      <c r="I213" s="102" vm="15765">
        <f ca="1"/>
        <v>26104260</v>
      </c>
    </row>
    <row r="214" spans="4:9" x14ac:dyDescent="0.3">
      <c r="D214" s="100" vm="1201">
        <f ca="1"/>
        <v>43563</v>
      </c>
      <c r="E214" s="101" vm="15766">
        <f ca="1"/>
        <v>351.14</v>
      </c>
      <c r="F214" s="101" vm="15767">
        <f ca="1"/>
        <v>365.11</v>
      </c>
      <c r="G214" s="101" vm="15768">
        <f ca="1"/>
        <v>370.12</v>
      </c>
      <c r="H214" s="101" vm="15769">
        <f ca="1"/>
        <v>349.36</v>
      </c>
      <c r="I214" s="102" vm="15770">
        <f ca="1"/>
        <v>36811697</v>
      </c>
    </row>
    <row r="215" spans="4:9" x14ac:dyDescent="0.3">
      <c r="D215" s="100" vm="1207">
        <f ca="1"/>
        <v>43570</v>
      </c>
      <c r="E215" s="101" vm="15771">
        <f ca="1"/>
        <v>360.35</v>
      </c>
      <c r="F215" s="101" vm="15772">
        <f ca="1"/>
        <v>350.71</v>
      </c>
      <c r="G215" s="101" vm="15773">
        <f ca="1"/>
        <v>368.76400000000001</v>
      </c>
      <c r="H215" s="101" vm="15774">
        <f ca="1"/>
        <v>342.27</v>
      </c>
      <c r="I215" s="102" vm="15775">
        <f ca="1"/>
        <v>53989842</v>
      </c>
    </row>
    <row r="216" spans="4:9" x14ac:dyDescent="0.3">
      <c r="D216" s="100" vm="1213">
        <f ca="1"/>
        <v>43577</v>
      </c>
      <c r="E216" s="101" vm="15776">
        <f ca="1"/>
        <v>374.85</v>
      </c>
      <c r="F216" s="101" vm="15777">
        <f ca="1"/>
        <v>359.7</v>
      </c>
      <c r="G216" s="101" vm="15778">
        <f ca="1"/>
        <v>384.8</v>
      </c>
      <c r="H216" s="101" vm="15632">
        <f ca="1"/>
        <v>359</v>
      </c>
      <c r="I216" s="102" vm="15779">
        <f ca="1"/>
        <v>40489623</v>
      </c>
    </row>
    <row r="217" spans="4:9" x14ac:dyDescent="0.3">
      <c r="D217" s="100" vm="1218">
        <f ca="1"/>
        <v>43584</v>
      </c>
      <c r="E217" s="101" vm="15780">
        <f ca="1"/>
        <v>385.03</v>
      </c>
      <c r="F217" s="101" vm="15781">
        <f ca="1"/>
        <v>373.68</v>
      </c>
      <c r="G217" s="101" vm="15782">
        <f ca="1"/>
        <v>385.99</v>
      </c>
      <c r="H217" s="101" vm="15783">
        <f ca="1"/>
        <v>368.34800000000001</v>
      </c>
      <c r="I217" s="102" vm="15784">
        <f ca="1"/>
        <v>27477550</v>
      </c>
    </row>
    <row r="218" spans="4:9" x14ac:dyDescent="0.3">
      <c r="D218" s="100" vm="1224">
        <f ca="1"/>
        <v>43591</v>
      </c>
      <c r="E218" s="101" vm="15785">
        <f ca="1"/>
        <v>361.04</v>
      </c>
      <c r="F218" s="101" vm="15786">
        <f ca="1"/>
        <v>377.69</v>
      </c>
      <c r="G218" s="101" vm="15787">
        <f ca="1"/>
        <v>381.35</v>
      </c>
      <c r="H218" s="101" vm="15788">
        <f ca="1"/>
        <v>352.75</v>
      </c>
      <c r="I218" s="102" vm="15789">
        <f ca="1"/>
        <v>30879720</v>
      </c>
    </row>
    <row r="219" spans="4:9" x14ac:dyDescent="0.3">
      <c r="D219" s="100" vm="1230">
        <f ca="1"/>
        <v>43598</v>
      </c>
      <c r="E219" s="101" vm="15790">
        <f ca="1"/>
        <v>354.45</v>
      </c>
      <c r="F219" s="101" vm="15791">
        <f ca="1"/>
        <v>352.29</v>
      </c>
      <c r="G219" s="101" vm="15750">
        <f ca="1"/>
        <v>364</v>
      </c>
      <c r="H219" s="101" vm="15792">
        <f ca="1"/>
        <v>341.39</v>
      </c>
      <c r="I219" s="102" vm="15793">
        <f ca="1"/>
        <v>30886755</v>
      </c>
    </row>
    <row r="220" spans="4:9" x14ac:dyDescent="0.3">
      <c r="D220" s="100" vm="1236">
        <f ca="1"/>
        <v>43605</v>
      </c>
      <c r="E220" s="101" vm="15794">
        <f ca="1"/>
        <v>354.39</v>
      </c>
      <c r="F220" s="101" vm="15795">
        <f ca="1"/>
        <v>351.23</v>
      </c>
      <c r="G220" s="101" vm="15796">
        <f ca="1"/>
        <v>370.46</v>
      </c>
      <c r="H220" s="101" vm="15797">
        <f ca="1"/>
        <v>345.4</v>
      </c>
      <c r="I220" s="102" vm="15798">
        <f ca="1"/>
        <v>24338679</v>
      </c>
    </row>
    <row r="221" spans="4:9" x14ac:dyDescent="0.3">
      <c r="D221" s="100" vm="1241">
        <f ca="1"/>
        <v>43613</v>
      </c>
      <c r="E221" s="101" vm="15799">
        <f ca="1"/>
        <v>343.28</v>
      </c>
      <c r="F221" s="101" vm="15794">
        <f ca="1"/>
        <v>354.39</v>
      </c>
      <c r="G221" s="101" vm="15800">
        <f ca="1"/>
        <v>361.2</v>
      </c>
      <c r="H221" s="101" vm="15801">
        <f ca="1"/>
        <v>342.92</v>
      </c>
      <c r="I221" s="102" vm="15802">
        <f ca="1"/>
        <v>19407548</v>
      </c>
    </row>
    <row r="222" spans="4:9" x14ac:dyDescent="0.3">
      <c r="D222" s="100" vm="1246">
        <f ca="1"/>
        <v>43619</v>
      </c>
      <c r="E222" s="101" vm="15803">
        <f ca="1"/>
        <v>360.87</v>
      </c>
      <c r="F222" s="101" vm="15804">
        <f ca="1"/>
        <v>343.56</v>
      </c>
      <c r="G222" s="101" vm="15805">
        <f ca="1"/>
        <v>365.15</v>
      </c>
      <c r="H222" s="101" vm="15806">
        <f ca="1"/>
        <v>332.65</v>
      </c>
      <c r="I222" s="102" vm="15807">
        <f ca="1"/>
        <v>29248578</v>
      </c>
    </row>
    <row r="223" spans="4:9" x14ac:dyDescent="0.3">
      <c r="D223" s="100" vm="1252">
        <f ca="1"/>
        <v>43626</v>
      </c>
      <c r="E223" s="101" vm="15808">
        <f ca="1"/>
        <v>339.73</v>
      </c>
      <c r="F223" s="101" vm="15809">
        <f ca="1"/>
        <v>363.65</v>
      </c>
      <c r="G223" s="101" vm="15810">
        <f ca="1"/>
        <v>367.1</v>
      </c>
      <c r="H223" s="101" vm="15811">
        <f ca="1"/>
        <v>336.15499999999997</v>
      </c>
      <c r="I223" s="102" vm="15812">
        <f ca="1"/>
        <v>29020035</v>
      </c>
    </row>
    <row r="224" spans="4:9" x14ac:dyDescent="0.3">
      <c r="D224" s="100" vm="1258">
        <f ca="1"/>
        <v>43633</v>
      </c>
      <c r="E224" s="101" vm="15813">
        <f ca="1"/>
        <v>369.21</v>
      </c>
      <c r="F224" s="101" vm="15814">
        <f ca="1"/>
        <v>342.69</v>
      </c>
      <c r="G224" s="101" vm="15815">
        <f ca="1"/>
        <v>371.45</v>
      </c>
      <c r="H224" s="101" vm="15816">
        <f ca="1"/>
        <v>342.06</v>
      </c>
      <c r="I224" s="102" vm="15817">
        <f ca="1"/>
        <v>29801740</v>
      </c>
    </row>
    <row r="225" spans="4:9" x14ac:dyDescent="0.3">
      <c r="D225" s="100" vm="1264">
        <f ca="1"/>
        <v>43640</v>
      </c>
      <c r="E225" s="101" vm="15818">
        <f ca="1"/>
        <v>367.32</v>
      </c>
      <c r="F225" s="101" vm="15819">
        <f ca="1"/>
        <v>370.27</v>
      </c>
      <c r="G225" s="101" vm="15820">
        <f ca="1"/>
        <v>375</v>
      </c>
      <c r="H225" s="101" vm="15821">
        <f ca="1"/>
        <v>358.29</v>
      </c>
      <c r="I225" s="102" vm="15822">
        <f ca="1"/>
        <v>22981581</v>
      </c>
    </row>
    <row r="226" spans="4:9" x14ac:dyDescent="0.3">
      <c r="D226" s="100" vm="1270">
        <f ca="1"/>
        <v>43647</v>
      </c>
      <c r="E226" s="101" vm="15823">
        <f ca="1"/>
        <v>380.55</v>
      </c>
      <c r="F226" s="101" vm="15824">
        <f ca="1"/>
        <v>373.5</v>
      </c>
      <c r="G226" s="101" vm="15825">
        <f ca="1"/>
        <v>381.99</v>
      </c>
      <c r="H226" s="101" vm="15826">
        <f ca="1"/>
        <v>370.31</v>
      </c>
      <c r="I226" s="102" vm="15827">
        <f ca="1"/>
        <v>16161651</v>
      </c>
    </row>
    <row r="227" spans="4:9" x14ac:dyDescent="0.3">
      <c r="D227" s="100" vm="1276">
        <f ca="1"/>
        <v>43654</v>
      </c>
      <c r="E227" s="101" vm="15828">
        <f ca="1"/>
        <v>373.25</v>
      </c>
      <c r="F227" s="101" vm="15829">
        <f ca="1"/>
        <v>378.19</v>
      </c>
      <c r="G227" s="101" vm="15830">
        <f ca="1"/>
        <v>384.76</v>
      </c>
      <c r="H227" s="101" vm="15831">
        <f ca="1"/>
        <v>372.79169999999999</v>
      </c>
      <c r="I227" s="102" vm="15832">
        <f ca="1"/>
        <v>26898238</v>
      </c>
    </row>
    <row r="228" spans="4:9" x14ac:dyDescent="0.3">
      <c r="D228" s="100" vm="1282">
        <f ca="1"/>
        <v>43661</v>
      </c>
      <c r="E228" s="101" vm="15833">
        <f ca="1"/>
        <v>315.10000000000002</v>
      </c>
      <c r="F228" s="101" vm="15834">
        <f ca="1"/>
        <v>372.94</v>
      </c>
      <c r="G228" s="101" vm="15781">
        <f ca="1"/>
        <v>373.68</v>
      </c>
      <c r="H228" s="101" vm="15835">
        <f ca="1"/>
        <v>314.23</v>
      </c>
      <c r="I228" s="102" vm="15836">
        <f ca="1"/>
        <v>75055819</v>
      </c>
    </row>
    <row r="229" spans="4:9" x14ac:dyDescent="0.3">
      <c r="D229" s="100" vm="1288">
        <f ca="1"/>
        <v>43668</v>
      </c>
      <c r="E229" s="101" vm="15837">
        <f ca="1"/>
        <v>335.78</v>
      </c>
      <c r="F229" s="101" vm="15838">
        <f ca="1"/>
        <v>312</v>
      </c>
      <c r="G229" s="101" vm="15839">
        <f ca="1"/>
        <v>336</v>
      </c>
      <c r="H229" s="101" vm="15840">
        <f ca="1"/>
        <v>305.81</v>
      </c>
      <c r="I229" s="102" vm="15841">
        <f ca="1"/>
        <v>60504211</v>
      </c>
    </row>
    <row r="230" spans="4:9" x14ac:dyDescent="0.3">
      <c r="D230" s="100" vm="1294">
        <f ca="1"/>
        <v>43675</v>
      </c>
      <c r="E230" s="101" vm="15842">
        <f ca="1"/>
        <v>318.83</v>
      </c>
      <c r="F230" s="101" vm="15843">
        <f ca="1"/>
        <v>335.98</v>
      </c>
      <c r="G230" s="101" vm="15844">
        <f ca="1"/>
        <v>336.4</v>
      </c>
      <c r="H230" s="101" vm="15845">
        <f ca="1"/>
        <v>311.8</v>
      </c>
      <c r="I230" s="102" vm="15846">
        <f ca="1"/>
        <v>30915130</v>
      </c>
    </row>
    <row r="231" spans="4:9" x14ac:dyDescent="0.3">
      <c r="D231" s="100" vm="1300">
        <f ca="1"/>
        <v>43682</v>
      </c>
      <c r="E231" s="101" vm="15847">
        <f ca="1"/>
        <v>308.93</v>
      </c>
      <c r="F231" s="101" vm="15848">
        <f ca="1"/>
        <v>310.95999999999998</v>
      </c>
      <c r="G231" s="101" vm="15849">
        <f ca="1"/>
        <v>316.64</v>
      </c>
      <c r="H231" s="101" vm="15850">
        <f ca="1"/>
        <v>296.81259999999997</v>
      </c>
      <c r="I231" s="102" vm="15851">
        <f ca="1"/>
        <v>35448932</v>
      </c>
    </row>
    <row r="232" spans="4:9" x14ac:dyDescent="0.3">
      <c r="D232" s="100" vm="1306">
        <f ca="1"/>
        <v>43689</v>
      </c>
      <c r="E232" s="101" vm="15852">
        <f ca="1"/>
        <v>302.8</v>
      </c>
      <c r="F232" s="101" vm="15853">
        <f ca="1"/>
        <v>305.45999999999998</v>
      </c>
      <c r="G232" s="101" vm="15854">
        <f ca="1"/>
        <v>316.43</v>
      </c>
      <c r="H232" s="101" vm="15855">
        <f ca="1"/>
        <v>288</v>
      </c>
      <c r="I232" s="102" vm="15856">
        <f ca="1"/>
        <v>36000377</v>
      </c>
    </row>
    <row r="233" spans="4:9" x14ac:dyDescent="0.3">
      <c r="D233" s="100" vm="1311">
        <f ca="1"/>
        <v>43696</v>
      </c>
      <c r="E233" s="101" vm="15857">
        <f ca="1"/>
        <v>291.44</v>
      </c>
      <c r="F233" s="101" vm="15858">
        <f ca="1"/>
        <v>306.25</v>
      </c>
      <c r="G233" s="101" vm="15859">
        <f ca="1"/>
        <v>311.75</v>
      </c>
      <c r="H233" s="101" vm="15860">
        <f ca="1"/>
        <v>290.32</v>
      </c>
      <c r="I233" s="102" vm="15861">
        <f ca="1"/>
        <v>29301872</v>
      </c>
    </row>
    <row r="234" spans="4:9" x14ac:dyDescent="0.3">
      <c r="D234" s="100" vm="1317">
        <f ca="1"/>
        <v>43703</v>
      </c>
      <c r="E234" s="101" vm="15862">
        <f ca="1"/>
        <v>293.75</v>
      </c>
      <c r="F234" s="101" vm="15863">
        <f ca="1"/>
        <v>295.24</v>
      </c>
      <c r="G234" s="101" vm="15864">
        <f ca="1"/>
        <v>299.93</v>
      </c>
      <c r="H234" s="101" vm="15865">
        <f ca="1"/>
        <v>287.1968</v>
      </c>
      <c r="I234" s="102" vm="15866">
        <f ca="1"/>
        <v>23810106</v>
      </c>
    </row>
    <row r="235" spans="4:9" x14ac:dyDescent="0.3">
      <c r="D235" s="100" vm="1322">
        <f ca="1"/>
        <v>43711</v>
      </c>
      <c r="E235" s="101" vm="15867">
        <f ca="1"/>
        <v>290.17</v>
      </c>
      <c r="F235" s="101" vm="15868">
        <f ca="1"/>
        <v>290.82</v>
      </c>
      <c r="G235" s="101" vm="15869">
        <f ca="1"/>
        <v>293.97000000000003</v>
      </c>
      <c r="H235" s="101" vm="15870">
        <f ca="1"/>
        <v>282.78500000000003</v>
      </c>
      <c r="I235" s="102" vm="15871">
        <f ca="1"/>
        <v>22476754</v>
      </c>
    </row>
    <row r="236" spans="4:9" x14ac:dyDescent="0.3">
      <c r="D236" s="100" vm="1328">
        <f ca="1"/>
        <v>43717</v>
      </c>
      <c r="E236" s="101" vm="15872">
        <f ca="1"/>
        <v>294.14999999999998</v>
      </c>
      <c r="F236" s="101" vm="15873">
        <f ca="1"/>
        <v>294.81</v>
      </c>
      <c r="G236" s="101" vm="15874">
        <f ca="1"/>
        <v>301.55</v>
      </c>
      <c r="H236" s="101" vm="15875">
        <f ca="1"/>
        <v>282.66289999999998</v>
      </c>
      <c r="I236" s="102" vm="15876">
        <f ca="1"/>
        <v>39552992</v>
      </c>
    </row>
    <row r="237" spans="4:9" x14ac:dyDescent="0.3">
      <c r="D237" s="100" vm="1334">
        <f ca="1"/>
        <v>43724</v>
      </c>
      <c r="E237" s="101" vm="15877">
        <f ca="1"/>
        <v>270.75</v>
      </c>
      <c r="F237" s="101" vm="15878">
        <f ca="1"/>
        <v>294.23</v>
      </c>
      <c r="G237" s="101" vm="15879">
        <f ca="1"/>
        <v>299.14999999999998</v>
      </c>
      <c r="H237" s="101" vm="15880">
        <f ca="1"/>
        <v>266</v>
      </c>
      <c r="I237" s="102" vm="15881">
        <f ca="1"/>
        <v>50465997</v>
      </c>
    </row>
    <row r="238" spans="4:9" x14ac:dyDescent="0.3">
      <c r="D238" s="100" vm="1339">
        <f ca="1"/>
        <v>43731</v>
      </c>
      <c r="E238" s="101" vm="15882">
        <f ca="1"/>
        <v>263.08</v>
      </c>
      <c r="F238" s="101" vm="15883">
        <f ca="1"/>
        <v>268.34500000000003</v>
      </c>
      <c r="G238" s="101" vm="15884">
        <f ca="1"/>
        <v>273.39</v>
      </c>
      <c r="H238" s="101" vm="15885">
        <f ca="1"/>
        <v>252.28</v>
      </c>
      <c r="I238" s="102" vm="15886">
        <f ca="1"/>
        <v>56914199</v>
      </c>
    </row>
    <row r="239" spans="4:9" x14ac:dyDescent="0.3">
      <c r="D239" s="100" vm="1345">
        <f ca="1"/>
        <v>43738</v>
      </c>
      <c r="E239" s="101" vm="15887">
        <f ca="1"/>
        <v>272.79000000000002</v>
      </c>
      <c r="F239" s="101" vm="15888">
        <f ca="1"/>
        <v>264</v>
      </c>
      <c r="G239" s="101" vm="15889">
        <f ca="1"/>
        <v>275.4846</v>
      </c>
      <c r="H239" s="101" vm="15890">
        <f ca="1"/>
        <v>257.01</v>
      </c>
      <c r="I239" s="102" vm="15891">
        <f ca="1"/>
        <v>42444267</v>
      </c>
    </row>
    <row r="240" spans="4:9" x14ac:dyDescent="0.3">
      <c r="D240" s="100" vm="1351">
        <f ca="1"/>
        <v>43745</v>
      </c>
      <c r="E240" s="101" vm="15892">
        <f ca="1"/>
        <v>282.93</v>
      </c>
      <c r="F240" s="101" vm="15893">
        <f ca="1"/>
        <v>271.99</v>
      </c>
      <c r="G240" s="101" vm="15894">
        <f ca="1"/>
        <v>287.87</v>
      </c>
      <c r="H240" s="101" vm="15895">
        <f ca="1"/>
        <v>264.57</v>
      </c>
      <c r="I240" s="102" vm="15896">
        <f ca="1"/>
        <v>39689885</v>
      </c>
    </row>
    <row r="241" spans="4:9" x14ac:dyDescent="0.3">
      <c r="D241" s="100" vm="1357">
        <f ca="1"/>
        <v>43752</v>
      </c>
      <c r="E241" s="101" vm="15897">
        <f ca="1"/>
        <v>275.3</v>
      </c>
      <c r="F241" s="101" vm="15898">
        <f ca="1"/>
        <v>283.93</v>
      </c>
      <c r="G241" s="101" vm="15899">
        <f ca="1"/>
        <v>308.75</v>
      </c>
      <c r="H241" s="101" vm="15900">
        <f ca="1"/>
        <v>273.36</v>
      </c>
      <c r="I241" s="102" vm="15901">
        <f ca="1"/>
        <v>93596597</v>
      </c>
    </row>
    <row r="242" spans="4:9" x14ac:dyDescent="0.3">
      <c r="D242" s="100" vm="1363">
        <f ca="1"/>
        <v>43759</v>
      </c>
      <c r="E242" s="101" vm="15902">
        <f ca="1"/>
        <v>276.82</v>
      </c>
      <c r="F242" s="101" vm="15903">
        <f ca="1"/>
        <v>272.89</v>
      </c>
      <c r="G242" s="101" vm="15904">
        <f ca="1"/>
        <v>279.93990000000002</v>
      </c>
      <c r="H242" s="101" vm="15905">
        <f ca="1"/>
        <v>265.8</v>
      </c>
      <c r="I242" s="102" vm="15906">
        <f ca="1"/>
        <v>41312844</v>
      </c>
    </row>
    <row r="243" spans="4:9" x14ac:dyDescent="0.3">
      <c r="D243" s="100" vm="1369">
        <f ca="1"/>
        <v>43766</v>
      </c>
      <c r="E243" s="101" vm="15466">
        <f ca="1"/>
        <v>286.81</v>
      </c>
      <c r="F243" s="101" vm="15907">
        <f ca="1"/>
        <v>278.05</v>
      </c>
      <c r="G243" s="101" vm="15908">
        <f ca="1"/>
        <v>293.49</v>
      </c>
      <c r="H243" s="101" vm="15909">
        <f ca="1"/>
        <v>277.35000000000002</v>
      </c>
      <c r="I243" s="102" vm="15910">
        <f ca="1"/>
        <v>30634490</v>
      </c>
    </row>
    <row r="244" spans="4:9" x14ac:dyDescent="0.3">
      <c r="D244" s="100" vm="1375">
        <f ca="1"/>
        <v>43773</v>
      </c>
      <c r="E244" s="101" vm="15911">
        <f ca="1"/>
        <v>291.57</v>
      </c>
      <c r="F244" s="101" vm="15855">
        <f ca="1"/>
        <v>288</v>
      </c>
      <c r="G244" s="101" vm="15912">
        <f ca="1"/>
        <v>298.19</v>
      </c>
      <c r="H244" s="101" vm="15913">
        <f ca="1"/>
        <v>285.83999999999997</v>
      </c>
      <c r="I244" s="102" vm="15914">
        <f ca="1"/>
        <v>23482750</v>
      </c>
    </row>
    <row r="245" spans="4:9" x14ac:dyDescent="0.3">
      <c r="D245" s="100" vm="1381">
        <f ca="1"/>
        <v>43780</v>
      </c>
      <c r="E245" s="101" vm="15915">
        <f ca="1"/>
        <v>295.02999999999997</v>
      </c>
      <c r="F245" s="101" vm="15916">
        <f ca="1"/>
        <v>289.16000000000003</v>
      </c>
      <c r="G245" s="101" vm="15917">
        <f ca="1"/>
        <v>296.36</v>
      </c>
      <c r="H245" s="101" vm="15918">
        <f ca="1"/>
        <v>281.14</v>
      </c>
      <c r="I245" s="102" vm="15919">
        <f ca="1"/>
        <v>31831334</v>
      </c>
    </row>
    <row r="246" spans="4:9" x14ac:dyDescent="0.3">
      <c r="D246" s="100" vm="1387">
        <f ca="1"/>
        <v>43787</v>
      </c>
      <c r="E246" s="101" vm="15920">
        <f ca="1"/>
        <v>310.48</v>
      </c>
      <c r="F246" s="101" vm="15921">
        <f ca="1"/>
        <v>296</v>
      </c>
      <c r="G246" s="101" vm="15922">
        <f ca="1"/>
        <v>312.69</v>
      </c>
      <c r="H246" s="101" vm="15923">
        <f ca="1"/>
        <v>293.27999999999997</v>
      </c>
      <c r="I246" s="102" vm="15924">
        <f ca="1"/>
        <v>33115251</v>
      </c>
    </row>
    <row r="247" spans="4:9" x14ac:dyDescent="0.3">
      <c r="D247" s="100" vm="1393">
        <f ca="1"/>
        <v>43794</v>
      </c>
      <c r="E247" s="101" vm="15925">
        <f ca="1"/>
        <v>314.66000000000003</v>
      </c>
      <c r="F247" s="101" vm="15926">
        <f ca="1"/>
        <v>308.83</v>
      </c>
      <c r="G247" s="101" vm="15927">
        <f ca="1"/>
        <v>316.82</v>
      </c>
      <c r="H247" s="101" vm="15928">
        <f ca="1"/>
        <v>305.25</v>
      </c>
      <c r="I247" s="102" vm="15929">
        <f ca="1"/>
        <v>19719717</v>
      </c>
    </row>
    <row r="248" spans="4:9" x14ac:dyDescent="0.3">
      <c r="D248" s="100" vm="1398">
        <f ca="1"/>
        <v>43801</v>
      </c>
      <c r="E248" s="101" vm="15930">
        <f ca="1"/>
        <v>307.35000000000002</v>
      </c>
      <c r="F248" s="101" vm="15931">
        <f ca="1"/>
        <v>314.39</v>
      </c>
      <c r="G248" s="101" vm="15931">
        <f ca="1"/>
        <v>314.39</v>
      </c>
      <c r="H248" s="101" vm="15932">
        <f ca="1"/>
        <v>298.81</v>
      </c>
      <c r="I248" s="102" vm="15933">
        <f ca="1"/>
        <v>23995454</v>
      </c>
    </row>
    <row r="249" spans="4:9" x14ac:dyDescent="0.3">
      <c r="D249" s="100" vm="1404">
        <f ca="1"/>
        <v>43808</v>
      </c>
      <c r="E249" s="101" vm="15934">
        <f ca="1"/>
        <v>298.5</v>
      </c>
      <c r="F249" s="101" vm="15930">
        <f ca="1"/>
        <v>307.35000000000002</v>
      </c>
      <c r="G249" s="101" vm="15935">
        <f ca="1"/>
        <v>311.49</v>
      </c>
      <c r="H249" s="101" vm="15936">
        <f ca="1"/>
        <v>292.02</v>
      </c>
      <c r="I249" s="102" vm="15937">
        <f ca="1"/>
        <v>30419397</v>
      </c>
    </row>
    <row r="250" spans="4:9" x14ac:dyDescent="0.3">
      <c r="D250" s="100" vm="1410">
        <f ca="1"/>
        <v>43815</v>
      </c>
      <c r="E250" s="101" vm="15938">
        <f ca="1"/>
        <v>336.9</v>
      </c>
      <c r="F250" s="101" vm="15939">
        <f ca="1"/>
        <v>300.85000000000002</v>
      </c>
      <c r="G250" s="101" vm="15726">
        <f ca="1"/>
        <v>338</v>
      </c>
      <c r="H250" s="101" vm="15940">
        <f ca="1"/>
        <v>298.63</v>
      </c>
      <c r="I250" s="102" vm="15941">
        <f ca="1"/>
        <v>46064645</v>
      </c>
    </row>
    <row r="251" spans="4:9" x14ac:dyDescent="0.3">
      <c r="D251" s="100" vm="1416">
        <f ca="1"/>
        <v>43822</v>
      </c>
      <c r="E251" s="101" vm="15942">
        <f ca="1"/>
        <v>329.09</v>
      </c>
      <c r="F251" s="101" vm="15943">
        <f ca="1"/>
        <v>337.76</v>
      </c>
      <c r="G251" s="101" vm="15944">
        <f ca="1"/>
        <v>337.95</v>
      </c>
      <c r="H251" s="101" vm="15945">
        <f ca="1"/>
        <v>326.01</v>
      </c>
      <c r="I251" s="102" vm="15946">
        <f ca="1"/>
        <v>16420269</v>
      </c>
    </row>
    <row r="252" spans="4:9" x14ac:dyDescent="0.3">
      <c r="D252" s="100" vm="1422">
        <f ca="1"/>
        <v>43829</v>
      </c>
      <c r="E252" s="101" vm="15947">
        <f ca="1"/>
        <v>325.89999999999998</v>
      </c>
      <c r="F252" s="101" vm="15948">
        <f ca="1"/>
        <v>329.08</v>
      </c>
      <c r="G252" s="101" vm="15949">
        <f ca="1"/>
        <v>329.98</v>
      </c>
      <c r="H252" s="101" vm="15950">
        <f ca="1"/>
        <v>321.08999999999997</v>
      </c>
      <c r="I252" s="102" vm="15951">
        <f ca="1"/>
        <v>16072234</v>
      </c>
    </row>
    <row r="253" spans="4:9" x14ac:dyDescent="0.3">
      <c r="D253" s="100" vm="1428">
        <f ca="1"/>
        <v>43836</v>
      </c>
      <c r="E253" s="101" vm="15952">
        <f ca="1"/>
        <v>329.05</v>
      </c>
      <c r="F253" s="101" vm="15953">
        <f ca="1"/>
        <v>323.12</v>
      </c>
      <c r="G253" s="101" vm="15954">
        <f ca="1"/>
        <v>343.4196</v>
      </c>
      <c r="H253" s="101" vm="15955">
        <f ca="1"/>
        <v>321.2</v>
      </c>
      <c r="I253" s="102" vm="15956">
        <f ca="1"/>
        <v>26904424</v>
      </c>
    </row>
    <row r="254" spans="4:9" x14ac:dyDescent="0.3">
      <c r="D254" s="100" vm="1434">
        <f ca="1"/>
        <v>43843</v>
      </c>
      <c r="E254" s="101" vm="15957">
        <f ca="1"/>
        <v>339.67</v>
      </c>
      <c r="F254" s="101" vm="15958">
        <f ca="1"/>
        <v>331.8</v>
      </c>
      <c r="G254" s="101" vm="15959">
        <f ca="1"/>
        <v>345.38</v>
      </c>
      <c r="H254" s="101" vm="15960">
        <f ca="1"/>
        <v>331.51</v>
      </c>
      <c r="I254" s="102" vm="15961">
        <f ca="1"/>
        <v>29641577</v>
      </c>
    </row>
    <row r="255" spans="4:9" x14ac:dyDescent="0.3">
      <c r="D255" s="100" vm="1440">
        <f ca="1"/>
        <v>43851</v>
      </c>
      <c r="E255" s="101" vm="15962">
        <f ca="1"/>
        <v>353.16</v>
      </c>
      <c r="F255" s="101" vm="15716">
        <f ca="1"/>
        <v>340</v>
      </c>
      <c r="G255" s="101" vm="15963">
        <f ca="1"/>
        <v>359.85</v>
      </c>
      <c r="H255" s="101" vm="15964">
        <f ca="1"/>
        <v>323.60000000000002</v>
      </c>
      <c r="I255" s="102" vm="15965">
        <f ca="1"/>
        <v>70288595</v>
      </c>
    </row>
    <row r="256" spans="4:9" x14ac:dyDescent="0.3">
      <c r="D256" s="100" vm="1446">
        <f ca="1"/>
        <v>43857</v>
      </c>
      <c r="E256" s="101" vm="15966">
        <f ca="1"/>
        <v>345.09</v>
      </c>
      <c r="F256" s="101" vm="15967">
        <f ca="1"/>
        <v>345.95</v>
      </c>
      <c r="G256" s="101" vm="15968">
        <f ca="1"/>
        <v>352.4</v>
      </c>
      <c r="H256" s="101" vm="15969">
        <f ca="1"/>
        <v>338.55</v>
      </c>
      <c r="I256" s="102" vm="15970">
        <f ca="1"/>
        <v>31971312</v>
      </c>
    </row>
    <row r="257" spans="4:9" x14ac:dyDescent="0.3">
      <c r="D257" s="100" vm="1452">
        <f ca="1"/>
        <v>43864</v>
      </c>
      <c r="E257" s="101" vm="15971">
        <f ca="1"/>
        <v>366.77</v>
      </c>
      <c r="F257" s="101" vm="15972">
        <f ca="1"/>
        <v>347.24</v>
      </c>
      <c r="G257" s="101" vm="15973">
        <f ca="1"/>
        <v>375.25</v>
      </c>
      <c r="H257" s="101" vm="15974">
        <f ca="1"/>
        <v>346.28</v>
      </c>
      <c r="I257" s="102" vm="15975">
        <f ca="1"/>
        <v>28572831</v>
      </c>
    </row>
    <row r="258" spans="4:9" x14ac:dyDescent="0.3">
      <c r="D258" s="100" vm="1458">
        <f ca="1"/>
        <v>43871</v>
      </c>
      <c r="E258" s="101" vm="15976">
        <f ca="1"/>
        <v>380.4</v>
      </c>
      <c r="F258" s="101" vm="15977">
        <f ca="1"/>
        <v>365</v>
      </c>
      <c r="G258" s="101" vm="15978">
        <f ca="1"/>
        <v>385.37</v>
      </c>
      <c r="H258" s="101" vm="15979">
        <f ca="1"/>
        <v>362.52</v>
      </c>
      <c r="I258" s="102" vm="15980">
        <f ca="1"/>
        <v>22891927</v>
      </c>
    </row>
    <row r="259" spans="4:9" x14ac:dyDescent="0.3">
      <c r="D259" s="100" vm="1464">
        <f ca="1"/>
        <v>43879</v>
      </c>
      <c r="E259" s="101" vm="10005">
        <f ca="1"/>
        <v>380.07</v>
      </c>
      <c r="F259" s="101" vm="15981">
        <f ca="1"/>
        <v>379.3</v>
      </c>
      <c r="G259" s="101" vm="15982">
        <f ca="1"/>
        <v>392.95</v>
      </c>
      <c r="H259" s="101" vm="15983">
        <f ca="1"/>
        <v>376.68</v>
      </c>
      <c r="I259" s="102" vm="15984">
        <f ca="1"/>
        <v>18061664</v>
      </c>
    </row>
    <row r="260" spans="4:9" x14ac:dyDescent="0.3">
      <c r="D260" s="100" vm="1470">
        <f ca="1"/>
        <v>43885</v>
      </c>
      <c r="E260" s="101" vm="15985">
        <f ca="1"/>
        <v>369.03</v>
      </c>
      <c r="F260" s="101" vm="15986">
        <f ca="1"/>
        <v>364.76</v>
      </c>
      <c r="G260" s="101" vm="15987">
        <f ca="1"/>
        <v>391.56240000000003</v>
      </c>
      <c r="H260" s="101" vm="15756">
        <f ca="1"/>
        <v>356.8</v>
      </c>
      <c r="I260" s="102" vm="15988">
        <f ca="1"/>
        <v>44463184</v>
      </c>
    </row>
    <row r="261" spans="4:9" x14ac:dyDescent="0.3">
      <c r="D261" s="100" vm="1476">
        <f ca="1"/>
        <v>43892</v>
      </c>
      <c r="E261" s="101" vm="15989">
        <f ca="1"/>
        <v>368.97</v>
      </c>
      <c r="F261" s="101" vm="15990">
        <f ca="1"/>
        <v>373.11</v>
      </c>
      <c r="G261" s="101" vm="15991">
        <f ca="1"/>
        <v>393.52</v>
      </c>
      <c r="H261" s="101" vm="15992">
        <f ca="1"/>
        <v>356.85</v>
      </c>
      <c r="I261" s="102" vm="15993">
        <f ca="1"/>
        <v>37706424</v>
      </c>
    </row>
    <row r="262" spans="4:9" x14ac:dyDescent="0.3">
      <c r="D262" s="100" vm="1482">
        <f ca="1"/>
        <v>43899</v>
      </c>
      <c r="E262" s="101" vm="15994">
        <f ca="1"/>
        <v>336.29500000000002</v>
      </c>
      <c r="F262" s="101" vm="15995">
        <f ca="1"/>
        <v>343.86</v>
      </c>
      <c r="G262" s="101" vm="15996">
        <f ca="1"/>
        <v>364.54</v>
      </c>
      <c r="H262" s="101" vm="15997">
        <f ca="1"/>
        <v>307.32</v>
      </c>
      <c r="I262" s="102" vm="15998">
        <f ca="1"/>
        <v>42497802</v>
      </c>
    </row>
    <row r="263" spans="4:9" x14ac:dyDescent="0.3">
      <c r="D263" s="100" vm="1488">
        <f ca="1"/>
        <v>43906</v>
      </c>
      <c r="E263" s="101" vm="15999">
        <f ca="1"/>
        <v>332.83</v>
      </c>
      <c r="F263" s="101" vm="16000">
        <f ca="1"/>
        <v>306.63</v>
      </c>
      <c r="G263" s="101" vm="16001">
        <f ca="1"/>
        <v>350.49</v>
      </c>
      <c r="H263" s="101" vm="16002">
        <f ca="1"/>
        <v>290.25</v>
      </c>
      <c r="I263" s="102" vm="16003">
        <f ca="1"/>
        <v>54601703</v>
      </c>
    </row>
    <row r="264" spans="4:9" x14ac:dyDescent="0.3">
      <c r="D264" s="100" vm="1494">
        <f ca="1"/>
        <v>43913</v>
      </c>
      <c r="E264" s="101" vm="16004">
        <f ca="1"/>
        <v>357.12</v>
      </c>
      <c r="F264" s="101" vm="16005">
        <f ca="1"/>
        <v>347.89</v>
      </c>
      <c r="G264" s="101" vm="16006">
        <f ca="1"/>
        <v>372.93</v>
      </c>
      <c r="H264" s="101" vm="16007">
        <f ca="1"/>
        <v>339.17</v>
      </c>
      <c r="I264" s="102" vm="16008">
        <f ca="1"/>
        <v>49039023</v>
      </c>
    </row>
    <row r="265" spans="4:9" x14ac:dyDescent="0.3">
      <c r="D265" s="100" vm="1500">
        <f ca="1"/>
        <v>43920</v>
      </c>
      <c r="E265" s="101" vm="16009">
        <f ca="1"/>
        <v>361.76</v>
      </c>
      <c r="F265" s="101" vm="16010">
        <f ca="1"/>
        <v>363</v>
      </c>
      <c r="G265" s="101" vm="16011">
        <f ca="1"/>
        <v>383.01</v>
      </c>
      <c r="H265" s="101" vm="16012">
        <f ca="1"/>
        <v>357.51</v>
      </c>
      <c r="I265" s="102" vm="16013">
        <f ca="1"/>
        <v>33906523</v>
      </c>
    </row>
    <row r="266" spans="4:9" x14ac:dyDescent="0.3">
      <c r="D266" s="100" vm="1506">
        <f ca="1"/>
        <v>43927</v>
      </c>
      <c r="E266" s="101" vm="16014">
        <f ca="1"/>
        <v>370.72</v>
      </c>
      <c r="F266" s="101" vm="16015">
        <f ca="1"/>
        <v>365.22</v>
      </c>
      <c r="G266" s="101" vm="16016">
        <f ca="1"/>
        <v>381.33</v>
      </c>
      <c r="H266" s="101" vm="16017">
        <f ca="1"/>
        <v>361.71</v>
      </c>
      <c r="I266" s="102" vm="16018">
        <f ca="1"/>
        <v>29644177</v>
      </c>
    </row>
    <row r="267" spans="4:9" x14ac:dyDescent="0.3">
      <c r="D267" s="100" vm="1512">
        <f ca="1"/>
        <v>43934</v>
      </c>
      <c r="E267" s="101" vm="16019">
        <f ca="1"/>
        <v>422.96</v>
      </c>
      <c r="F267" s="101" vm="16020">
        <f ca="1"/>
        <v>371.31</v>
      </c>
      <c r="G267" s="101" vm="16021">
        <f ca="1"/>
        <v>449.52</v>
      </c>
      <c r="H267" s="101" vm="16022">
        <f ca="1"/>
        <v>367.70030000000003</v>
      </c>
      <c r="I267" s="102" vm="16023">
        <f ca="1"/>
        <v>65233416</v>
      </c>
    </row>
    <row r="268" spans="4:9" x14ac:dyDescent="0.3">
      <c r="D268" s="100" vm="1518">
        <f ca="1"/>
        <v>43941</v>
      </c>
      <c r="E268" s="101" vm="16024">
        <f ca="1"/>
        <v>424.99</v>
      </c>
      <c r="F268" s="101" vm="16025">
        <f ca="1"/>
        <v>435.17</v>
      </c>
      <c r="G268" s="101" vm="16026">
        <f ca="1"/>
        <v>447</v>
      </c>
      <c r="H268" s="101" vm="16027">
        <f ca="1"/>
        <v>413</v>
      </c>
      <c r="I268" s="102" vm="16028">
        <f ca="1"/>
        <v>77808398</v>
      </c>
    </row>
    <row r="269" spans="4:9" x14ac:dyDescent="0.3">
      <c r="D269" s="100" vm="1524">
        <f ca="1"/>
        <v>43948</v>
      </c>
      <c r="E269" s="101" vm="16029">
        <f ca="1"/>
        <v>415.27</v>
      </c>
      <c r="F269" s="101" vm="16030">
        <f ca="1"/>
        <v>425</v>
      </c>
      <c r="G269" s="101" vm="16031">
        <f ca="1"/>
        <v>429</v>
      </c>
      <c r="H269" s="101" vm="16032">
        <f ca="1"/>
        <v>393.6</v>
      </c>
      <c r="I269" s="102" vm="16033">
        <f ca="1"/>
        <v>42271115</v>
      </c>
    </row>
    <row r="270" spans="4:9" x14ac:dyDescent="0.3">
      <c r="D270" s="100" vm="1530">
        <f ca="1"/>
        <v>43955</v>
      </c>
      <c r="E270" s="101" vm="16034">
        <f ca="1"/>
        <v>435.55</v>
      </c>
      <c r="F270" s="101" vm="16035">
        <f ca="1"/>
        <v>417.78</v>
      </c>
      <c r="G270" s="101" vm="16036">
        <f ca="1"/>
        <v>442</v>
      </c>
      <c r="H270" s="101" vm="16037">
        <f ca="1"/>
        <v>414.87</v>
      </c>
      <c r="I270" s="102" vm="16038">
        <f ca="1"/>
        <v>31375058</v>
      </c>
    </row>
    <row r="271" spans="4:9" x14ac:dyDescent="0.3">
      <c r="D271" s="100" vm="1536">
        <f ca="1"/>
        <v>43962</v>
      </c>
      <c r="E271" s="101" vm="16039">
        <f ca="1"/>
        <v>454.19</v>
      </c>
      <c r="F271" s="101" vm="16040">
        <f ca="1"/>
        <v>436.33</v>
      </c>
      <c r="G271" s="101" vm="16041">
        <f ca="1"/>
        <v>455</v>
      </c>
      <c r="H271" s="101" vm="16042">
        <f ca="1"/>
        <v>427.27</v>
      </c>
      <c r="I271" s="102" vm="16043">
        <f ca="1"/>
        <v>33246384</v>
      </c>
    </row>
    <row r="272" spans="4:9" x14ac:dyDescent="0.3">
      <c r="D272" s="100" vm="1542">
        <f ca="1"/>
        <v>43969</v>
      </c>
      <c r="E272" s="101" vm="16044">
        <f ca="1"/>
        <v>429.32</v>
      </c>
      <c r="F272" s="101" vm="16045">
        <f ca="1"/>
        <v>451.16</v>
      </c>
      <c r="G272" s="101" vm="16046">
        <f ca="1"/>
        <v>458.97</v>
      </c>
      <c r="H272" s="101" vm="16047">
        <f ca="1"/>
        <v>427.18</v>
      </c>
      <c r="I272" s="102" vm="16048">
        <f ca="1"/>
        <v>32701565</v>
      </c>
    </row>
    <row r="273" spans="4:9" x14ac:dyDescent="0.3">
      <c r="D273" s="100" vm="1548">
        <f ca="1"/>
        <v>43977</v>
      </c>
      <c r="E273" s="101" vm="16049">
        <f ca="1"/>
        <v>419.73</v>
      </c>
      <c r="F273" s="101" vm="16050">
        <f ca="1"/>
        <v>427.77</v>
      </c>
      <c r="G273" s="101" vm="16051">
        <f ca="1"/>
        <v>428.5</v>
      </c>
      <c r="H273" s="101" vm="16052">
        <f ca="1"/>
        <v>397.86</v>
      </c>
      <c r="I273" s="102" vm="16053">
        <f ca="1"/>
        <v>29104622</v>
      </c>
    </row>
    <row r="274" spans="4:9" x14ac:dyDescent="0.3">
      <c r="D274" s="100" vm="1554">
        <f ca="1"/>
        <v>43983</v>
      </c>
      <c r="E274" s="101" vm="16054">
        <f ca="1"/>
        <v>419.6</v>
      </c>
      <c r="F274" s="101" vm="16055">
        <f ca="1"/>
        <v>418.83</v>
      </c>
      <c r="G274" s="101" vm="16056">
        <f ca="1"/>
        <v>428.71</v>
      </c>
      <c r="H274" s="101" vm="16057">
        <f ca="1"/>
        <v>404.25</v>
      </c>
      <c r="I274" s="102" vm="16058">
        <f ca="1"/>
        <v>21968956</v>
      </c>
    </row>
    <row r="275" spans="4:9" x14ac:dyDescent="0.3">
      <c r="D275" s="100" vm="1560">
        <f ca="1"/>
        <v>43990</v>
      </c>
      <c r="E275" s="101" vm="16059">
        <f ca="1"/>
        <v>418.07</v>
      </c>
      <c r="F275" s="101" vm="16060">
        <f ca="1"/>
        <v>416</v>
      </c>
      <c r="G275" s="101" vm="16061">
        <f ca="1"/>
        <v>445.57</v>
      </c>
      <c r="H275" s="101" vm="16062">
        <f ca="1"/>
        <v>406.5</v>
      </c>
      <c r="I275" s="102" vm="16063">
        <f ca="1"/>
        <v>30988951</v>
      </c>
    </row>
    <row r="276" spans="4:9" x14ac:dyDescent="0.3">
      <c r="D276" s="100" vm="1566">
        <f ca="1"/>
        <v>43997</v>
      </c>
      <c r="E276" s="101" vm="16064">
        <f ca="1"/>
        <v>453.72</v>
      </c>
      <c r="F276" s="101" vm="16065">
        <f ca="1"/>
        <v>421.4</v>
      </c>
      <c r="G276" s="101" vm="16066">
        <f ca="1"/>
        <v>453.97</v>
      </c>
      <c r="H276" s="101" vm="16067">
        <f ca="1"/>
        <v>415.42380000000003</v>
      </c>
      <c r="I276" s="102" vm="16068">
        <f ca="1"/>
        <v>26605892</v>
      </c>
    </row>
    <row r="277" spans="4:9" x14ac:dyDescent="0.3">
      <c r="D277" s="100" vm="1572">
        <f ca="1"/>
        <v>44004</v>
      </c>
      <c r="E277" s="101" vm="16069">
        <f ca="1"/>
        <v>443.4</v>
      </c>
      <c r="F277" s="101" vm="16070">
        <f ca="1"/>
        <v>455.01</v>
      </c>
      <c r="G277" s="101" vm="16071">
        <f ca="1"/>
        <v>474.01</v>
      </c>
      <c r="H277" s="101" vm="16072">
        <f ca="1"/>
        <v>442.24</v>
      </c>
      <c r="I277" s="102" vm="16073">
        <f ca="1"/>
        <v>27693791</v>
      </c>
    </row>
    <row r="278" spans="4:9" x14ac:dyDescent="0.3">
      <c r="D278" s="100" vm="1578">
        <f ca="1"/>
        <v>44011</v>
      </c>
      <c r="E278" s="101" vm="16074">
        <f ca="1"/>
        <v>476.89</v>
      </c>
      <c r="F278" s="101" vm="16075">
        <f ca="1"/>
        <v>445.23</v>
      </c>
      <c r="G278" s="101" vm="16076">
        <f ca="1"/>
        <v>492.28</v>
      </c>
      <c r="H278" s="101" vm="16077">
        <f ca="1"/>
        <v>432.14</v>
      </c>
      <c r="I278" s="102" vm="16078">
        <f ca="1"/>
        <v>25068522</v>
      </c>
    </row>
    <row r="279" spans="4:9" x14ac:dyDescent="0.3">
      <c r="D279" s="100" vm="1584">
        <f ca="1"/>
        <v>44018</v>
      </c>
      <c r="E279" s="101" vm="16079">
        <f ca="1"/>
        <v>548.73</v>
      </c>
      <c r="F279" s="101" vm="16080">
        <f ca="1"/>
        <v>480.77</v>
      </c>
      <c r="G279" s="101" vm="16081">
        <f ca="1"/>
        <v>555.87990000000002</v>
      </c>
      <c r="H279" s="101" vm="16082">
        <f ca="1"/>
        <v>479.8</v>
      </c>
      <c r="I279" s="102" vm="16083">
        <f ca="1"/>
        <v>46440832</v>
      </c>
    </row>
    <row r="280" spans="4:9" x14ac:dyDescent="0.3">
      <c r="D280" s="100" vm="1590">
        <f ca="1"/>
        <v>44025</v>
      </c>
      <c r="E280" s="101" vm="16084">
        <f ca="1"/>
        <v>492.99</v>
      </c>
      <c r="F280" s="101" vm="16085">
        <f ca="1"/>
        <v>567.98</v>
      </c>
      <c r="G280" s="101" vm="16086">
        <f ca="1"/>
        <v>575.37</v>
      </c>
      <c r="H280" s="101" vm="16087">
        <f ca="1"/>
        <v>484.14</v>
      </c>
      <c r="I280" s="102" vm="16088">
        <f ca="1"/>
        <v>90547441</v>
      </c>
    </row>
    <row r="281" spans="4:9" x14ac:dyDescent="0.3">
      <c r="D281" s="100" vm="1596">
        <f ca="1"/>
        <v>44032</v>
      </c>
      <c r="E281" s="101" vm="16089">
        <f ca="1"/>
        <v>480.45</v>
      </c>
      <c r="F281" s="101" vm="16090">
        <f ca="1"/>
        <v>489.14</v>
      </c>
      <c r="G281" s="101" vm="16091">
        <f ca="1"/>
        <v>506.22</v>
      </c>
      <c r="H281" s="101" vm="16092">
        <f ca="1"/>
        <v>467.54</v>
      </c>
      <c r="I281" s="102" vm="16093">
        <f ca="1"/>
        <v>43429880</v>
      </c>
    </row>
    <row r="282" spans="4:9" x14ac:dyDescent="0.3">
      <c r="D282" s="100" vm="1602">
        <f ca="1"/>
        <v>44039</v>
      </c>
      <c r="E282" s="101" vm="16094">
        <f ca="1"/>
        <v>488.88</v>
      </c>
      <c r="F282" s="101" vm="16095">
        <f ca="1"/>
        <v>484.51</v>
      </c>
      <c r="G282" s="101" vm="16096">
        <f ca="1"/>
        <v>497.79270000000002</v>
      </c>
      <c r="H282" s="101" vm="16097">
        <f ca="1"/>
        <v>477.51010000000002</v>
      </c>
      <c r="I282" s="102" vm="16098">
        <f ca="1"/>
        <v>32867979</v>
      </c>
    </row>
    <row r="283" spans="4:9" x14ac:dyDescent="0.3">
      <c r="D283" s="100" vm="1608">
        <f ca="1"/>
        <v>44046</v>
      </c>
      <c r="E283" s="101" vm="16099">
        <f ca="1"/>
        <v>494.73</v>
      </c>
      <c r="F283" s="101" vm="16100">
        <f ca="1"/>
        <v>490.86</v>
      </c>
      <c r="G283" s="101" vm="16101">
        <f ca="1"/>
        <v>510.82</v>
      </c>
      <c r="H283" s="101" vm="16102">
        <f ca="1"/>
        <v>486.68</v>
      </c>
      <c r="I283" s="102" vm="16103">
        <f ca="1"/>
        <v>25336754</v>
      </c>
    </row>
    <row r="284" spans="4:9" x14ac:dyDescent="0.3">
      <c r="D284" s="100" vm="1614">
        <f ca="1"/>
        <v>44053</v>
      </c>
      <c r="E284" s="101" vm="16104">
        <f ca="1"/>
        <v>482.68</v>
      </c>
      <c r="F284" s="101" vm="16105">
        <f ca="1"/>
        <v>493.35</v>
      </c>
      <c r="G284" s="101" vm="16106">
        <f ca="1"/>
        <v>497.45839999999998</v>
      </c>
      <c r="H284" s="101" vm="16107">
        <f ca="1"/>
        <v>466.55</v>
      </c>
      <c r="I284" s="102" vm="16108">
        <f ca="1"/>
        <v>23369347</v>
      </c>
    </row>
    <row r="285" spans="4:9" x14ac:dyDescent="0.3">
      <c r="D285" s="100" vm="1620">
        <f ca="1"/>
        <v>44060</v>
      </c>
      <c r="E285" s="101" vm="16109">
        <f ca="1"/>
        <v>492.31</v>
      </c>
      <c r="F285" s="101" vm="16110">
        <f ca="1"/>
        <v>484.19</v>
      </c>
      <c r="G285" s="101" vm="16111">
        <f ca="1"/>
        <v>498.94</v>
      </c>
      <c r="H285" s="101" vm="16112">
        <f ca="1"/>
        <v>479.1</v>
      </c>
      <c r="I285" s="102" vm="16113">
        <f ca="1"/>
        <v>18043311</v>
      </c>
    </row>
    <row r="286" spans="4:9" x14ac:dyDescent="0.3">
      <c r="D286" s="100" vm="1626">
        <f ca="1"/>
        <v>44067</v>
      </c>
      <c r="E286" s="101" vm="16114">
        <f ca="1"/>
        <v>523.89</v>
      </c>
      <c r="F286" s="101" vm="16115">
        <f ca="1"/>
        <v>495.43830000000003</v>
      </c>
      <c r="G286" s="101" vm="16116">
        <f ca="1"/>
        <v>549.04</v>
      </c>
      <c r="H286" s="101" vm="16117">
        <f ca="1"/>
        <v>483.16</v>
      </c>
      <c r="I286" s="102" vm="16118">
        <f ca="1"/>
        <v>43727944</v>
      </c>
    </row>
    <row r="287" spans="4:9" x14ac:dyDescent="0.3">
      <c r="D287" s="100" vm="1632">
        <f ca="1"/>
        <v>44074</v>
      </c>
      <c r="E287" s="101" vm="16119">
        <f ca="1"/>
        <v>516.04999999999995</v>
      </c>
      <c r="F287" s="101" vm="16120">
        <f ca="1"/>
        <v>521.16</v>
      </c>
      <c r="G287" s="101" vm="16121">
        <f ca="1"/>
        <v>557.3895</v>
      </c>
      <c r="H287" s="101" vm="16122">
        <f ca="1"/>
        <v>485.98</v>
      </c>
      <c r="I287" s="102" vm="16123">
        <f ca="1"/>
        <v>37465840</v>
      </c>
    </row>
    <row r="288" spans="4:9" x14ac:dyDescent="0.3">
      <c r="D288" s="100" vm="1638">
        <f ca="1"/>
        <v>44082</v>
      </c>
      <c r="E288" s="101" vm="16124">
        <f ca="1"/>
        <v>482.03</v>
      </c>
      <c r="F288" s="101" vm="16125">
        <f ca="1"/>
        <v>498.4</v>
      </c>
      <c r="G288" s="101" vm="16126">
        <f ca="1"/>
        <v>522</v>
      </c>
      <c r="H288" s="101" vm="16127">
        <f ca="1"/>
        <v>476.81</v>
      </c>
      <c r="I288" s="102" vm="16128">
        <f ca="1"/>
        <v>23455864</v>
      </c>
    </row>
    <row r="289" spans="4:9" x14ac:dyDescent="0.3">
      <c r="D289" s="100" vm="1644">
        <f ca="1"/>
        <v>44088</v>
      </c>
      <c r="E289" s="101" vm="16129">
        <f ca="1"/>
        <v>469.96</v>
      </c>
      <c r="F289" s="101" vm="16130">
        <f ca="1"/>
        <v>480.62</v>
      </c>
      <c r="G289" s="101" vm="16131">
        <f ca="1"/>
        <v>504.66</v>
      </c>
      <c r="H289" s="101" vm="16132">
        <f ca="1"/>
        <v>458.6</v>
      </c>
      <c r="I289" s="102" vm="16133">
        <f ca="1"/>
        <v>28932568</v>
      </c>
    </row>
    <row r="290" spans="4:9" x14ac:dyDescent="0.3">
      <c r="D290" s="100" vm="1650">
        <f ca="1"/>
        <v>44095</v>
      </c>
      <c r="E290" s="101" vm="16134">
        <f ca="1"/>
        <v>482.88</v>
      </c>
      <c r="F290" s="101" vm="16135">
        <f ca="1"/>
        <v>467.69229999999999</v>
      </c>
      <c r="G290" s="101" vm="16136">
        <f ca="1"/>
        <v>491.82</v>
      </c>
      <c r="H290" s="101" vm="16137">
        <f ca="1"/>
        <v>466.32</v>
      </c>
      <c r="I290" s="102" vm="16138">
        <f ca="1"/>
        <v>19985570</v>
      </c>
    </row>
    <row r="291" spans="4:9" x14ac:dyDescent="0.3">
      <c r="D291" s="100" vm="1656">
        <f ca="1"/>
        <v>44102</v>
      </c>
      <c r="E291" s="101" vm="16139">
        <f ca="1"/>
        <v>503.06</v>
      </c>
      <c r="F291" s="101" vm="16140">
        <f ca="1"/>
        <v>489.10939999999999</v>
      </c>
      <c r="G291" s="101" vm="16141">
        <f ca="1"/>
        <v>529.54999999999995</v>
      </c>
      <c r="H291" s="101" vm="16142">
        <f ca="1"/>
        <v>477.88</v>
      </c>
      <c r="I291" s="102" vm="16143">
        <f ca="1"/>
        <v>27041927</v>
      </c>
    </row>
    <row r="292" spans="4:9" x14ac:dyDescent="0.3">
      <c r="D292" s="100" vm="1662">
        <f ca="1"/>
        <v>44109</v>
      </c>
      <c r="E292" s="101" vm="16144">
        <f ca="1"/>
        <v>539.44000000000005</v>
      </c>
      <c r="F292" s="101" vm="16145">
        <f ca="1"/>
        <v>506.8</v>
      </c>
      <c r="G292" s="101" vm="16146">
        <f ca="1"/>
        <v>544.28</v>
      </c>
      <c r="H292" s="101" vm="16147">
        <f ca="1"/>
        <v>501.69970000000001</v>
      </c>
      <c r="I292" s="102" vm="16148">
        <f ca="1"/>
        <v>26047330</v>
      </c>
    </row>
    <row r="293" spans="4:9" x14ac:dyDescent="0.3">
      <c r="D293" s="100" vm="1668">
        <f ca="1"/>
        <v>44116</v>
      </c>
      <c r="E293" s="101" vm="16149">
        <f ca="1"/>
        <v>530.79</v>
      </c>
      <c r="F293" s="101" vm="16150">
        <f ca="1"/>
        <v>548.80999999999995</v>
      </c>
      <c r="G293" s="101" vm="16151">
        <f ca="1"/>
        <v>572.49</v>
      </c>
      <c r="H293" s="101" vm="16152">
        <f ca="1"/>
        <v>530.03</v>
      </c>
      <c r="I293" s="102" vm="16153">
        <f ca="1"/>
        <v>31453040</v>
      </c>
    </row>
    <row r="294" spans="4:9" x14ac:dyDescent="0.3">
      <c r="D294" s="100" vm="1674">
        <f ca="1"/>
        <v>44123</v>
      </c>
      <c r="E294" s="101" vm="16154">
        <f ca="1"/>
        <v>488.28</v>
      </c>
      <c r="F294" s="101" vm="16155">
        <f ca="1"/>
        <v>537.07000000000005</v>
      </c>
      <c r="G294" s="101" vm="16156">
        <f ca="1"/>
        <v>541.79999999999995</v>
      </c>
      <c r="H294" s="101" vm="16157">
        <f ca="1"/>
        <v>481.35</v>
      </c>
      <c r="I294" s="102" vm="16158">
        <f ca="1"/>
        <v>45691143</v>
      </c>
    </row>
    <row r="295" spans="4:9" x14ac:dyDescent="0.3">
      <c r="D295" s="100" vm="1680">
        <f ca="1"/>
        <v>44130</v>
      </c>
      <c r="E295" s="101" vm="16159">
        <f ca="1"/>
        <v>475.74</v>
      </c>
      <c r="F295" s="101" vm="16160">
        <f ca="1"/>
        <v>487.02499999999998</v>
      </c>
      <c r="G295" s="101" vm="16161">
        <f ca="1"/>
        <v>513.8999</v>
      </c>
      <c r="H295" s="101" vm="16162">
        <f ca="1"/>
        <v>472.21</v>
      </c>
      <c r="I295" s="102" vm="16163">
        <f ca="1"/>
        <v>34718987</v>
      </c>
    </row>
    <row r="296" spans="4:9" x14ac:dyDescent="0.3">
      <c r="D296" s="100" vm="1686">
        <f ca="1"/>
        <v>44137</v>
      </c>
      <c r="E296" s="101" vm="16164">
        <f ca="1"/>
        <v>514.73</v>
      </c>
      <c r="F296" s="101" vm="16165">
        <f ca="1"/>
        <v>478.87</v>
      </c>
      <c r="G296" s="101" vm="16166">
        <f ca="1"/>
        <v>518.7337</v>
      </c>
      <c r="H296" s="101" vm="16167">
        <f ca="1"/>
        <v>475</v>
      </c>
      <c r="I296" s="102" vm="16168">
        <f ca="1"/>
        <v>22507895</v>
      </c>
    </row>
    <row r="297" spans="4:9" x14ac:dyDescent="0.3">
      <c r="D297" s="100" vm="1692">
        <f ca="1"/>
        <v>44144</v>
      </c>
      <c r="E297" s="101" vm="16169">
        <f ca="1"/>
        <v>482.84</v>
      </c>
      <c r="F297" s="101" vm="16170">
        <f ca="1"/>
        <v>485.54</v>
      </c>
      <c r="G297" s="101" vm="16171">
        <f ca="1"/>
        <v>496.52</v>
      </c>
      <c r="H297" s="101" vm="16172">
        <f ca="1"/>
        <v>463.41</v>
      </c>
      <c r="I297" s="102" vm="16173">
        <f ca="1"/>
        <v>32191259</v>
      </c>
    </row>
    <row r="298" spans="4:9" x14ac:dyDescent="0.3">
      <c r="D298" s="100" vm="1697">
        <f ca="1"/>
        <v>44151</v>
      </c>
      <c r="E298" s="101" vm="16174">
        <f ca="1"/>
        <v>488.24</v>
      </c>
      <c r="F298" s="101" vm="16175">
        <f ca="1"/>
        <v>480</v>
      </c>
      <c r="G298" s="101" vm="16176">
        <f ca="1"/>
        <v>494.76</v>
      </c>
      <c r="H298" s="101" vm="16177">
        <f ca="1"/>
        <v>477.3</v>
      </c>
      <c r="I298" s="102" vm="16178">
        <f ca="1"/>
        <v>17691594</v>
      </c>
    </row>
    <row r="299" spans="4:9" x14ac:dyDescent="0.3">
      <c r="D299" s="100" vm="1703">
        <f ca="1"/>
        <v>44158</v>
      </c>
      <c r="E299" s="101" vm="16179">
        <f ca="1"/>
        <v>491.36</v>
      </c>
      <c r="F299" s="101" vm="16180">
        <f ca="1"/>
        <v>490.46</v>
      </c>
      <c r="G299" s="101" vm="16181">
        <f ca="1"/>
        <v>493.25</v>
      </c>
      <c r="H299" s="101" vm="16182">
        <f ca="1"/>
        <v>475.84</v>
      </c>
      <c r="I299" s="102" vm="16183">
        <f ca="1"/>
        <v>15280805</v>
      </c>
    </row>
    <row r="300" spans="4:9" x14ac:dyDescent="0.3">
      <c r="D300" s="100" vm="1709">
        <f ca="1"/>
        <v>44165</v>
      </c>
      <c r="E300" s="101" vm="16184">
        <f ca="1"/>
        <v>498.31</v>
      </c>
      <c r="F300" s="101" vm="16185">
        <f ca="1"/>
        <v>490.08</v>
      </c>
      <c r="G300" s="101" vm="16186">
        <f ca="1"/>
        <v>509.47</v>
      </c>
      <c r="H300" s="101" vm="16187">
        <f ca="1"/>
        <v>481.26780000000002</v>
      </c>
      <c r="I300" s="102" vm="16188">
        <f ca="1"/>
        <v>17815913</v>
      </c>
    </row>
    <row r="301" spans="4:9" x14ac:dyDescent="0.3">
      <c r="D301" s="100" vm="1713">
        <f ca="1"/>
        <v>44172</v>
      </c>
      <c r="E301" s="101" vm="16189">
        <f ca="1"/>
        <v>503.22</v>
      </c>
      <c r="F301" s="101" vm="16190">
        <f ca="1"/>
        <v>500.01</v>
      </c>
      <c r="G301" s="101" vm="16191">
        <f ca="1"/>
        <v>521.49090000000001</v>
      </c>
      <c r="H301" s="101" vm="16192">
        <f ca="1"/>
        <v>491.29</v>
      </c>
      <c r="I301" s="102" vm="16193">
        <f ca="1"/>
        <v>18791926</v>
      </c>
    </row>
    <row r="302" spans="4:9" x14ac:dyDescent="0.3">
      <c r="D302" s="100" vm="1719">
        <f ca="1"/>
        <v>44179</v>
      </c>
      <c r="E302" s="101" vm="16194">
        <f ca="1"/>
        <v>534.45000000000005</v>
      </c>
      <c r="F302" s="101" vm="16195">
        <f ca="1"/>
        <v>505.44</v>
      </c>
      <c r="G302" s="101" vm="16196">
        <f ca="1"/>
        <v>536.37</v>
      </c>
      <c r="H302" s="101" vm="16197">
        <f ca="1"/>
        <v>501.18</v>
      </c>
      <c r="I302" s="102" vm="16198">
        <f ca="1"/>
        <v>20297971</v>
      </c>
    </row>
    <row r="303" spans="4:9" x14ac:dyDescent="0.3">
      <c r="D303" s="100" vm="1725">
        <f ca="1"/>
        <v>44186</v>
      </c>
      <c r="E303" s="101" vm="16199">
        <f ca="1"/>
        <v>513.97</v>
      </c>
      <c r="F303" s="101" vm="16200">
        <f ca="1"/>
        <v>530.04999999999995</v>
      </c>
      <c r="G303" s="101" vm="16201">
        <f ca="1"/>
        <v>532.62</v>
      </c>
      <c r="H303" s="101" vm="16202">
        <f ca="1"/>
        <v>512.21040000000005</v>
      </c>
      <c r="I303" s="102" vm="16203">
        <f ca="1"/>
        <v>9303882</v>
      </c>
    </row>
    <row r="304" spans="4:9" x14ac:dyDescent="0.3">
      <c r="D304" s="100" vm="1731">
        <f ca="1"/>
        <v>44193</v>
      </c>
      <c r="E304" s="101" vm="16204">
        <f ca="1"/>
        <v>540.73</v>
      </c>
      <c r="F304" s="101" vm="16205">
        <f ca="1"/>
        <v>516.42999999999995</v>
      </c>
      <c r="G304" s="101" vm="16206">
        <f ca="1"/>
        <v>545.5</v>
      </c>
      <c r="H304" s="101" vm="16207">
        <f ca="1"/>
        <v>507.13</v>
      </c>
      <c r="I304" s="102" vm="16208">
        <f ca="1"/>
        <v>14089961</v>
      </c>
    </row>
    <row r="305" spans="4:9" x14ac:dyDescent="0.3">
      <c r="D305" s="100" vm="1737">
        <f ca="1"/>
        <v>44200</v>
      </c>
      <c r="E305" s="101" vm="16209">
        <f ca="1"/>
        <v>510.4</v>
      </c>
      <c r="F305" s="101" vm="16210">
        <f ca="1"/>
        <v>539</v>
      </c>
      <c r="G305" s="101" vm="16211">
        <f ca="1"/>
        <v>540.79999999999995</v>
      </c>
      <c r="H305" s="101" vm="16212">
        <f ca="1"/>
        <v>499.5</v>
      </c>
      <c r="I305" s="102" vm="16213">
        <f ca="1"/>
        <v>19455903</v>
      </c>
    </row>
    <row r="306" spans="4:9" x14ac:dyDescent="0.3">
      <c r="D306" s="100" vm="1743">
        <f ca="1"/>
        <v>44207</v>
      </c>
      <c r="E306" s="101" vm="16214">
        <f ca="1"/>
        <v>497.98</v>
      </c>
      <c r="F306" s="101" vm="16215">
        <f ca="1"/>
        <v>507.84</v>
      </c>
      <c r="G306" s="101" vm="16216">
        <f ca="1"/>
        <v>514.5</v>
      </c>
      <c r="H306" s="101" vm="16217">
        <f ca="1"/>
        <v>485.67009999999999</v>
      </c>
      <c r="I306" s="102" vm="16218">
        <f ca="1"/>
        <v>24908389</v>
      </c>
    </row>
    <row r="307" spans="4:9" x14ac:dyDescent="0.3">
      <c r="D307" s="100" vm="1749">
        <f ca="1"/>
        <v>44215</v>
      </c>
      <c r="E307" s="101" vm="16219">
        <f ca="1"/>
        <v>565.16999999999996</v>
      </c>
      <c r="F307" s="101" vm="16220">
        <f ca="1"/>
        <v>501</v>
      </c>
      <c r="G307" s="101" vm="16221">
        <f ca="1"/>
        <v>593.28769999999997</v>
      </c>
      <c r="H307" s="101" vm="16222">
        <f ca="1"/>
        <v>493.54270000000002</v>
      </c>
      <c r="I307" s="102" vm="16223">
        <f ca="1"/>
        <v>64344719</v>
      </c>
    </row>
    <row r="308" spans="4:9" x14ac:dyDescent="0.3">
      <c r="D308" s="100" vm="1755">
        <f ca="1"/>
        <v>44221</v>
      </c>
      <c r="E308" s="101" vm="16224">
        <f ca="1"/>
        <v>532.39</v>
      </c>
      <c r="F308" s="101" vm="16225">
        <f ca="1"/>
        <v>567</v>
      </c>
      <c r="G308" s="101" vm="16226">
        <f ca="1"/>
        <v>569.75</v>
      </c>
      <c r="H308" s="101" vm="16227">
        <f ca="1"/>
        <v>515.73</v>
      </c>
      <c r="I308" s="102" vm="16228">
        <f ca="1"/>
        <v>31195695</v>
      </c>
    </row>
    <row r="309" spans="4:9" x14ac:dyDescent="0.3">
      <c r="D309" s="100" vm="1761">
        <f ca="1"/>
        <v>44228</v>
      </c>
      <c r="E309" s="101" vm="16229">
        <f ca="1"/>
        <v>550.79</v>
      </c>
      <c r="F309" s="101" vm="16230">
        <f ca="1"/>
        <v>536.79</v>
      </c>
      <c r="G309" s="101" vm="16231">
        <f ca="1"/>
        <v>559.48</v>
      </c>
      <c r="H309" s="101" vm="16232">
        <f ca="1"/>
        <v>531.73</v>
      </c>
      <c r="I309" s="102" vm="16233">
        <f ca="1"/>
        <v>18028076</v>
      </c>
    </row>
    <row r="310" spans="4:9" x14ac:dyDescent="0.3">
      <c r="D310" s="100" vm="1767">
        <f ca="1"/>
        <v>44235</v>
      </c>
      <c r="E310" s="101" vm="16234">
        <f ca="1"/>
        <v>556.52</v>
      </c>
      <c r="F310" s="101" vm="16235">
        <f ca="1"/>
        <v>555</v>
      </c>
      <c r="G310" s="101" vm="16236">
        <f ca="1"/>
        <v>566.65</v>
      </c>
      <c r="H310" s="101" vm="12293">
        <f ca="1"/>
        <v>543</v>
      </c>
      <c r="I310" s="102" vm="16237">
        <f ca="1"/>
        <v>15414199</v>
      </c>
    </row>
    <row r="311" spans="4:9" x14ac:dyDescent="0.3">
      <c r="D311" s="100" vm="1773">
        <f ca="1"/>
        <v>44243</v>
      </c>
      <c r="E311" s="101" vm="16238">
        <f ca="1"/>
        <v>540.22</v>
      </c>
      <c r="F311" s="101" vm="16239">
        <f ca="1"/>
        <v>557.28599999999994</v>
      </c>
      <c r="G311" s="101" vm="16240">
        <f ca="1"/>
        <v>563.63</v>
      </c>
      <c r="H311" s="101" vm="16241">
        <f ca="1"/>
        <v>538.22649999999999</v>
      </c>
      <c r="I311" s="102" vm="16242">
        <f ca="1"/>
        <v>9994748</v>
      </c>
    </row>
    <row r="312" spans="4:9" x14ac:dyDescent="0.3">
      <c r="D312" s="100" vm="1779">
        <f ca="1"/>
        <v>44249</v>
      </c>
      <c r="E312" s="101" vm="16243">
        <f ca="1"/>
        <v>538.85</v>
      </c>
      <c r="F312" s="101" vm="16244">
        <f ca="1"/>
        <v>534.99</v>
      </c>
      <c r="G312" s="101" vm="16245">
        <f ca="1"/>
        <v>556.84990000000005</v>
      </c>
      <c r="H312" s="101" vm="16246">
        <f ca="1"/>
        <v>518.28</v>
      </c>
      <c r="I312" s="102" vm="16247">
        <f ca="1"/>
        <v>18468617</v>
      </c>
    </row>
    <row r="313" spans="4:9" x14ac:dyDescent="0.3">
      <c r="D313" s="100" vm="1785">
        <f ca="1"/>
        <v>44256</v>
      </c>
      <c r="E313" s="101" vm="16248">
        <f ca="1"/>
        <v>516.39</v>
      </c>
      <c r="F313" s="101" vm="16249">
        <f ca="1"/>
        <v>545.57339999999999</v>
      </c>
      <c r="G313" s="101" vm="16250">
        <f ca="1"/>
        <v>556.99</v>
      </c>
      <c r="H313" s="101" vm="16251">
        <f ca="1"/>
        <v>498.7901</v>
      </c>
      <c r="I313" s="102" vm="16252">
        <f ca="1"/>
        <v>21551614</v>
      </c>
    </row>
    <row r="314" spans="4:9" x14ac:dyDescent="0.3">
      <c r="D314" s="100" vm="1791">
        <f ca="1"/>
        <v>44263</v>
      </c>
      <c r="E314" s="101" vm="16253">
        <f ca="1"/>
        <v>518.02</v>
      </c>
      <c r="F314" s="101" vm="16254">
        <f ca="1"/>
        <v>514.46</v>
      </c>
      <c r="G314" s="101" vm="16255">
        <f ca="1"/>
        <v>530.23500000000001</v>
      </c>
      <c r="H314" s="101" vm="16256">
        <f ca="1"/>
        <v>492.85</v>
      </c>
      <c r="I314" s="102" vm="16257">
        <f ca="1"/>
        <v>19919496</v>
      </c>
    </row>
    <row r="315" spans="4:9" x14ac:dyDescent="0.3">
      <c r="D315" s="100" vm="1797">
        <f ca="1"/>
        <v>44270</v>
      </c>
      <c r="E315" s="101" vm="16258">
        <f ca="1"/>
        <v>512.17999999999995</v>
      </c>
      <c r="F315" s="101" vm="16259">
        <f ca="1"/>
        <v>516.32000000000005</v>
      </c>
      <c r="G315" s="101" vm="16260">
        <f ca="1"/>
        <v>533.41999999999996</v>
      </c>
      <c r="H315" s="101" vm="16261">
        <f ca="1"/>
        <v>501.63</v>
      </c>
      <c r="I315" s="102" vm="16262">
        <f ca="1"/>
        <v>18024749</v>
      </c>
    </row>
    <row r="316" spans="4:9" x14ac:dyDescent="0.3">
      <c r="D316" s="100" vm="1803">
        <f ca="1"/>
        <v>44277</v>
      </c>
      <c r="E316" s="101" vm="16263">
        <f ca="1"/>
        <v>508.05</v>
      </c>
      <c r="F316" s="101" vm="16264">
        <f ca="1"/>
        <v>509.13</v>
      </c>
      <c r="G316" s="101" vm="16265">
        <f ca="1"/>
        <v>543.12</v>
      </c>
      <c r="H316" s="101" vm="16266">
        <f ca="1"/>
        <v>496.68</v>
      </c>
      <c r="I316" s="102" vm="16267">
        <f ca="1"/>
        <v>21440820</v>
      </c>
    </row>
    <row r="317" spans="4:9" x14ac:dyDescent="0.3">
      <c r="D317" s="100" vm="1808">
        <f ca="1"/>
        <v>44284</v>
      </c>
      <c r="E317" s="101" vm="16268">
        <f ca="1"/>
        <v>539.41999999999996</v>
      </c>
      <c r="F317" s="101" vm="16269">
        <f ca="1"/>
        <v>505.66</v>
      </c>
      <c r="G317" s="101" vm="16270">
        <f ca="1"/>
        <v>540.5</v>
      </c>
      <c r="H317" s="101" vm="16271">
        <f ca="1"/>
        <v>504.4</v>
      </c>
      <c r="I317" s="102" vm="16272">
        <f ca="1"/>
        <v>13189926</v>
      </c>
    </row>
    <row r="318" spans="4:9" x14ac:dyDescent="0.3">
      <c r="D318" s="100" vm="1814">
        <f ca="1"/>
        <v>44291</v>
      </c>
      <c r="E318" s="101" vm="16273">
        <f ca="1"/>
        <v>555.30999999999995</v>
      </c>
      <c r="F318" s="101" vm="16274">
        <f ca="1"/>
        <v>540.01</v>
      </c>
      <c r="G318" s="101" vm="16275">
        <f ca="1"/>
        <v>556.9</v>
      </c>
      <c r="H318" s="101" vm="16276">
        <f ca="1"/>
        <v>529.23</v>
      </c>
      <c r="I318" s="102" vm="16277">
        <f ca="1"/>
        <v>16185291</v>
      </c>
    </row>
    <row r="319" spans="4:9" x14ac:dyDescent="0.3">
      <c r="D319" s="100" vm="1820">
        <f ca="1"/>
        <v>44298</v>
      </c>
      <c r="E319" s="101" vm="16278">
        <f ca="1"/>
        <v>546.54</v>
      </c>
      <c r="F319" s="101" vm="16279">
        <f ca="1"/>
        <v>551.04999999999995</v>
      </c>
      <c r="G319" s="101" vm="16280">
        <f ca="1"/>
        <v>559.75</v>
      </c>
      <c r="H319" s="101" vm="16281">
        <f ca="1"/>
        <v>538.53</v>
      </c>
      <c r="I319" s="102" vm="16282">
        <f ca="1"/>
        <v>15739196</v>
      </c>
    </row>
    <row r="320" spans="4:9" x14ac:dyDescent="0.3">
      <c r="D320" s="100" vm="1826">
        <f ca="1"/>
        <v>44305</v>
      </c>
      <c r="E320" s="101" vm="16283">
        <f ca="1"/>
        <v>505.55</v>
      </c>
      <c r="F320" s="101" vm="16284">
        <f ca="1"/>
        <v>546.9</v>
      </c>
      <c r="G320" s="101" vm="16285">
        <f ca="1"/>
        <v>563.55999999999995</v>
      </c>
      <c r="H320" s="101" vm="16286">
        <f ca="1"/>
        <v>500.55</v>
      </c>
      <c r="I320" s="102" vm="16287">
        <f ca="1"/>
        <v>54819530</v>
      </c>
    </row>
    <row r="321" spans="4:9" x14ac:dyDescent="0.3">
      <c r="D321" s="100" vm="1832">
        <f ca="1"/>
        <v>44312</v>
      </c>
      <c r="E321" s="101" vm="16288">
        <f ca="1"/>
        <v>513.47</v>
      </c>
      <c r="F321" s="101" vm="16289">
        <f ca="1"/>
        <v>506.76</v>
      </c>
      <c r="G321" s="101" vm="16290">
        <f ca="1"/>
        <v>514.54999999999995</v>
      </c>
      <c r="H321" s="101" vm="16291">
        <f ca="1"/>
        <v>499</v>
      </c>
      <c r="I321" s="102" vm="16292">
        <f ca="1"/>
        <v>20884183</v>
      </c>
    </row>
    <row r="322" spans="4:9" x14ac:dyDescent="0.3">
      <c r="D322" s="100" vm="1838">
        <f ca="1"/>
        <v>44319</v>
      </c>
      <c r="E322" s="101" vm="16293">
        <f ca="1"/>
        <v>503.84</v>
      </c>
      <c r="F322" s="101" vm="16294">
        <f ca="1"/>
        <v>512.65</v>
      </c>
      <c r="G322" s="101" vm="16295">
        <f ca="1"/>
        <v>518.95000000000005</v>
      </c>
      <c r="H322" s="101" vm="16296">
        <f ca="1"/>
        <v>491.37</v>
      </c>
      <c r="I322" s="102" vm="16297">
        <f ca="1"/>
        <v>18487247</v>
      </c>
    </row>
    <row r="323" spans="4:9" x14ac:dyDescent="0.3">
      <c r="D323" s="100" vm="1843">
        <f ca="1"/>
        <v>44326</v>
      </c>
      <c r="E323" s="101" vm="16298">
        <f ca="1"/>
        <v>493.37</v>
      </c>
      <c r="F323" s="101" vm="16299">
        <f ca="1"/>
        <v>502</v>
      </c>
      <c r="G323" s="101" vm="16300">
        <f ca="1"/>
        <v>503.15</v>
      </c>
      <c r="H323" s="101" vm="16301">
        <f ca="1"/>
        <v>478.63</v>
      </c>
      <c r="I323" s="102" vm="16302">
        <f ca="1"/>
        <v>19240454</v>
      </c>
    </row>
    <row r="324" spans="4:9" x14ac:dyDescent="0.3">
      <c r="D324" s="100" vm="1848">
        <f ca="1"/>
        <v>44333</v>
      </c>
      <c r="E324" s="101" vm="16303">
        <f ca="1"/>
        <v>497.89</v>
      </c>
      <c r="F324" s="101" vm="16304">
        <f ca="1"/>
        <v>485.59</v>
      </c>
      <c r="G324" s="101" vm="16305">
        <f ca="1"/>
        <v>505.4</v>
      </c>
      <c r="H324" s="101" vm="16306">
        <f ca="1"/>
        <v>478.54</v>
      </c>
      <c r="I324" s="102" vm="16307">
        <f ca="1"/>
        <v>15449818</v>
      </c>
    </row>
    <row r="325" spans="4:9" x14ac:dyDescent="0.3">
      <c r="D325" s="100" vm="1854">
        <f ca="1"/>
        <v>44340</v>
      </c>
      <c r="E325" s="101" vm="16308">
        <f ca="1"/>
        <v>502.81</v>
      </c>
      <c r="F325" s="101" vm="16309">
        <f ca="1"/>
        <v>501.05</v>
      </c>
      <c r="G325" s="101" vm="16310">
        <f ca="1"/>
        <v>511.76</v>
      </c>
      <c r="H325" s="101" vm="16311">
        <f ca="1"/>
        <v>498.54</v>
      </c>
      <c r="I325" s="102" vm="16312">
        <f ca="1"/>
        <v>13742427</v>
      </c>
    </row>
    <row r="326" spans="4:9" x14ac:dyDescent="0.3">
      <c r="D326" s="100" vm="1860">
        <f ca="1"/>
        <v>44348</v>
      </c>
      <c r="E326" s="101" vm="16313">
        <f ca="1"/>
        <v>494.74</v>
      </c>
      <c r="F326" s="101" vm="16314">
        <f ca="1"/>
        <v>504.01</v>
      </c>
      <c r="G326" s="101" vm="16315">
        <f ca="1"/>
        <v>505.41</v>
      </c>
      <c r="H326" s="101" vm="16316">
        <f ca="1"/>
        <v>487.25</v>
      </c>
      <c r="I326" s="102" vm="16317">
        <f ca="1"/>
        <v>11799466</v>
      </c>
    </row>
    <row r="327" spans="4:9" x14ac:dyDescent="0.3">
      <c r="D327" s="100" vm="1866">
        <f ca="1"/>
        <v>44354</v>
      </c>
      <c r="E327" s="101" vm="16318">
        <f ca="1"/>
        <v>488.77</v>
      </c>
      <c r="F327" s="101" vm="16319">
        <f ca="1"/>
        <v>492.9169</v>
      </c>
      <c r="G327" s="101" vm="16320">
        <f ca="1"/>
        <v>498.82</v>
      </c>
      <c r="H327" s="101" vm="16321">
        <f ca="1"/>
        <v>482.14</v>
      </c>
      <c r="I327" s="102" vm="16322">
        <f ca="1"/>
        <v>15727895</v>
      </c>
    </row>
    <row r="328" spans="4:9" x14ac:dyDescent="0.3">
      <c r="D328" s="100" vm="1872">
        <f ca="1"/>
        <v>44361</v>
      </c>
      <c r="E328" s="101" vm="16323">
        <f ca="1"/>
        <v>500.77</v>
      </c>
      <c r="F328" s="101" vm="16324">
        <f ca="1"/>
        <v>489.68</v>
      </c>
      <c r="G328" s="101" vm="16325">
        <f ca="1"/>
        <v>504.49</v>
      </c>
      <c r="H328" s="101" vm="16326">
        <f ca="1"/>
        <v>486.28</v>
      </c>
      <c r="I328" s="102" vm="16327">
        <f ca="1"/>
        <v>19330486</v>
      </c>
    </row>
    <row r="329" spans="4:9" x14ac:dyDescent="0.3">
      <c r="D329" s="100" vm="1878">
        <f ca="1"/>
        <v>44368</v>
      </c>
      <c r="E329" s="101" vm="16328">
        <f ca="1"/>
        <v>527.07000000000005</v>
      </c>
      <c r="F329" s="101" vm="16329">
        <f ca="1"/>
        <v>501.64</v>
      </c>
      <c r="G329" s="101" vm="16330">
        <f ca="1"/>
        <v>533.05999999999995</v>
      </c>
      <c r="H329" s="101" vm="16076">
        <f ca="1"/>
        <v>492.28</v>
      </c>
      <c r="I329" s="102" vm="16331">
        <f ca="1"/>
        <v>23691624</v>
      </c>
    </row>
    <row r="330" spans="4:9" x14ac:dyDescent="0.3">
      <c r="D330" s="100" vm="1884">
        <f ca="1"/>
        <v>44375</v>
      </c>
      <c r="E330" s="101" vm="16332">
        <f ca="1"/>
        <v>533.98</v>
      </c>
      <c r="F330" s="101" vm="16333">
        <f ca="1"/>
        <v>528.12</v>
      </c>
      <c r="G330" s="101" vm="16334">
        <f ca="1"/>
        <v>538.53510000000006</v>
      </c>
      <c r="H330" s="101" vm="16335">
        <f ca="1"/>
        <v>524.55999999999995</v>
      </c>
      <c r="I330" s="102" vm="16336">
        <f ca="1"/>
        <v>12694037</v>
      </c>
    </row>
    <row r="331" spans="4:9" x14ac:dyDescent="0.3">
      <c r="D331" s="100" vm="1890">
        <f ca="1"/>
        <v>44383</v>
      </c>
      <c r="E331" s="101" vm="16337">
        <f ca="1"/>
        <v>535.98</v>
      </c>
      <c r="F331" s="101" vm="16338">
        <f ca="1"/>
        <v>533</v>
      </c>
      <c r="G331" s="101" vm="16339">
        <f ca="1"/>
        <v>544.64</v>
      </c>
      <c r="H331" s="101" vm="16340">
        <f ca="1"/>
        <v>528.58000000000004</v>
      </c>
      <c r="I331" s="102" vm="16341">
        <f ca="1"/>
        <v>11543768</v>
      </c>
    </row>
    <row r="332" spans="4:9" x14ac:dyDescent="0.3">
      <c r="D332" s="100" vm="1895">
        <f ca="1"/>
        <v>44389</v>
      </c>
      <c r="E332" s="101" vm="16342">
        <f ca="1"/>
        <v>530.30999999999995</v>
      </c>
      <c r="F332" s="101" vm="16343">
        <f ca="1"/>
        <v>540.29999999999995</v>
      </c>
      <c r="G332" s="101" vm="16344">
        <f ca="1"/>
        <v>557.53989999999999</v>
      </c>
      <c r="H332" s="101" vm="16345">
        <f ca="1"/>
        <v>527.04999999999995</v>
      </c>
      <c r="I332" s="102" vm="16346">
        <f ca="1"/>
        <v>18347840</v>
      </c>
    </row>
    <row r="333" spans="4:9" x14ac:dyDescent="0.3">
      <c r="D333" s="100" vm="1901">
        <f ca="1"/>
        <v>44396</v>
      </c>
      <c r="E333" s="101" vm="16347">
        <f ca="1"/>
        <v>515.41</v>
      </c>
      <c r="F333" s="101" vm="16348">
        <f ca="1"/>
        <v>526.04999999999995</v>
      </c>
      <c r="G333" s="101" vm="16349">
        <f ca="1"/>
        <v>536.64</v>
      </c>
      <c r="H333" s="101" vm="16131">
        <f ca="1"/>
        <v>504.66</v>
      </c>
      <c r="I333" s="102" vm="16350">
        <f ca="1"/>
        <v>30871536</v>
      </c>
    </row>
    <row r="334" spans="4:9" x14ac:dyDescent="0.3">
      <c r="D334" s="100" vm="1907">
        <f ca="1"/>
        <v>44403</v>
      </c>
      <c r="E334" s="101" vm="16351">
        <f ca="1"/>
        <v>517.57000000000005</v>
      </c>
      <c r="F334" s="101" vm="16352">
        <f ca="1"/>
        <v>514.38</v>
      </c>
      <c r="G334" s="101" vm="16353">
        <f ca="1"/>
        <v>524.47</v>
      </c>
      <c r="H334" s="101" vm="16354">
        <f ca="1"/>
        <v>509.01010000000002</v>
      </c>
      <c r="I334" s="102" vm="16355">
        <f ca="1"/>
        <v>11677162</v>
      </c>
    </row>
    <row r="335" spans="4:9" x14ac:dyDescent="0.3">
      <c r="D335" s="100" vm="1913">
        <f ca="1"/>
        <v>44410</v>
      </c>
      <c r="E335" s="101" vm="16356">
        <f ca="1"/>
        <v>520.54999999999995</v>
      </c>
      <c r="F335" s="101" vm="16357">
        <f ca="1"/>
        <v>519</v>
      </c>
      <c r="G335" s="101" vm="16358">
        <f ca="1"/>
        <v>526.84</v>
      </c>
      <c r="H335" s="101" vm="16359">
        <f ca="1"/>
        <v>505.37</v>
      </c>
      <c r="I335" s="102" vm="16360">
        <f ca="1"/>
        <v>11191918</v>
      </c>
    </row>
    <row r="336" spans="4:9" x14ac:dyDescent="0.3">
      <c r="D336" s="100" vm="1919">
        <f ca="1"/>
        <v>44417</v>
      </c>
      <c r="E336" s="101" vm="16361">
        <f ca="1"/>
        <v>515.91999999999996</v>
      </c>
      <c r="F336" s="101" vm="16362">
        <f ca="1"/>
        <v>521.14689999999996</v>
      </c>
      <c r="G336" s="101" vm="16363">
        <f ca="1"/>
        <v>522.66989999999998</v>
      </c>
      <c r="H336" s="101" vm="16364">
        <f ca="1"/>
        <v>507.20139999999998</v>
      </c>
      <c r="I336" s="102" vm="16365">
        <f ca="1"/>
        <v>8866136</v>
      </c>
    </row>
    <row r="337" spans="4:9" x14ac:dyDescent="0.3">
      <c r="D337" s="100" vm="1925">
        <f ca="1"/>
        <v>44424</v>
      </c>
      <c r="E337" s="101" vm="16366">
        <f ca="1"/>
        <v>546.88</v>
      </c>
      <c r="F337" s="101" vm="16367">
        <f ca="1"/>
        <v>515.24</v>
      </c>
      <c r="G337" s="101" vm="16368">
        <f ca="1"/>
        <v>551.38829999999996</v>
      </c>
      <c r="H337" s="101" vm="16369">
        <f ca="1"/>
        <v>512.29999999999995</v>
      </c>
      <c r="I337" s="102" vm="16370">
        <f ca="1"/>
        <v>18198746</v>
      </c>
    </row>
    <row r="338" spans="4:9" x14ac:dyDescent="0.3">
      <c r="D338" s="100" vm="1931">
        <f ca="1"/>
        <v>44431</v>
      </c>
      <c r="E338" s="101" vm="16371">
        <f ca="1"/>
        <v>558.91999999999996</v>
      </c>
      <c r="F338" s="101" vm="16372">
        <f ca="1"/>
        <v>545.98</v>
      </c>
      <c r="G338" s="101" vm="16373">
        <f ca="1"/>
        <v>564.16999999999996</v>
      </c>
      <c r="H338" s="101" vm="16374">
        <f ca="1"/>
        <v>543.74</v>
      </c>
      <c r="I338" s="102" vm="16375">
        <f ca="1"/>
        <v>11625250</v>
      </c>
    </row>
    <row r="339" spans="4:9" x14ac:dyDescent="0.3">
      <c r="D339" s="100" vm="1937">
        <f ca="1"/>
        <v>44438</v>
      </c>
      <c r="E339" s="101" vm="16376">
        <f ca="1"/>
        <v>590.53</v>
      </c>
      <c r="F339" s="101" vm="16377">
        <f ca="1"/>
        <v>557.25</v>
      </c>
      <c r="G339" s="101" vm="16378">
        <f ca="1"/>
        <v>598.75670000000002</v>
      </c>
      <c r="H339" s="101" vm="16379">
        <f ca="1"/>
        <v>556.45000000000005</v>
      </c>
      <c r="I339" s="102" vm="16380">
        <f ca="1"/>
        <v>19361726</v>
      </c>
    </row>
    <row r="340" spans="4:9" x14ac:dyDescent="0.3">
      <c r="D340" s="100" vm="1943">
        <f ca="1"/>
        <v>44446</v>
      </c>
      <c r="E340" s="101" vm="16381">
        <f ca="1"/>
        <v>598.72</v>
      </c>
      <c r="F340" s="101" vm="16382">
        <f ca="1"/>
        <v>594.69000000000005</v>
      </c>
      <c r="G340" s="101" vm="16383">
        <f ca="1"/>
        <v>615.6</v>
      </c>
      <c r="H340" s="101" vm="16384">
        <f ca="1"/>
        <v>593.66999999999996</v>
      </c>
      <c r="I340" s="102" vm="16385">
        <f ca="1"/>
        <v>18160460</v>
      </c>
    </row>
    <row r="341" spans="4:9" x14ac:dyDescent="0.3">
      <c r="D341" s="100" vm="1949">
        <f ca="1"/>
        <v>44452</v>
      </c>
      <c r="E341" s="101" vm="16386">
        <f ca="1"/>
        <v>589.35</v>
      </c>
      <c r="F341" s="101" vm="16387">
        <f ca="1"/>
        <v>598.57000000000005</v>
      </c>
      <c r="G341" s="101" vm="16387">
        <f ca="1"/>
        <v>598.57000000000005</v>
      </c>
      <c r="H341" s="101" vm="16086">
        <f ca="1"/>
        <v>575.37</v>
      </c>
      <c r="I341" s="102" vm="16388">
        <f ca="1"/>
        <v>15252617</v>
      </c>
    </row>
    <row r="342" spans="4:9" x14ac:dyDescent="0.3">
      <c r="D342" s="100" vm="1955">
        <f ca="1"/>
        <v>44459</v>
      </c>
      <c r="E342" s="101" vm="16389">
        <f ca="1"/>
        <v>592.39</v>
      </c>
      <c r="F342" s="101" vm="16390">
        <f ca="1"/>
        <v>586.79</v>
      </c>
      <c r="G342" s="101" vm="16391">
        <f ca="1"/>
        <v>599.32000000000005</v>
      </c>
      <c r="H342" s="101" vm="16392">
        <f ca="1"/>
        <v>568.08000000000004</v>
      </c>
      <c r="I342" s="102" vm="16393">
        <f ca="1"/>
        <v>14657363</v>
      </c>
    </row>
    <row r="343" spans="4:9" x14ac:dyDescent="0.3">
      <c r="D343" s="100" vm="1961">
        <f ca="1"/>
        <v>44466</v>
      </c>
      <c r="E343" s="101" vm="16394">
        <f ca="1"/>
        <v>613.15</v>
      </c>
      <c r="F343" s="101" vm="16395">
        <f ca="1"/>
        <v>587.95000000000005</v>
      </c>
      <c r="G343" s="101" vm="16396">
        <f ca="1"/>
        <v>619</v>
      </c>
      <c r="H343" s="101" vm="16397">
        <f ca="1"/>
        <v>576.92999999999995</v>
      </c>
      <c r="I343" s="102" vm="16398">
        <f ca="1"/>
        <v>23863702</v>
      </c>
    </row>
    <row r="344" spans="4:9" x14ac:dyDescent="0.3">
      <c r="D344" s="100" vm="1967">
        <f ca="1"/>
        <v>44473</v>
      </c>
      <c r="E344" s="101" vm="16399">
        <f ca="1"/>
        <v>632.66</v>
      </c>
      <c r="F344" s="101" vm="16400">
        <f ca="1"/>
        <v>613.39</v>
      </c>
      <c r="G344" s="101" vm="16401">
        <f ca="1"/>
        <v>646.84</v>
      </c>
      <c r="H344" s="101" vm="16402">
        <f ca="1"/>
        <v>594.67999999999995</v>
      </c>
      <c r="I344" s="102" vm="16403">
        <f ca="1"/>
        <v>25939638</v>
      </c>
    </row>
    <row r="345" spans="4:9" x14ac:dyDescent="0.3">
      <c r="D345" s="100" vm="1973">
        <f ca="1"/>
        <v>44480</v>
      </c>
      <c r="E345" s="101" vm="16404">
        <f ca="1"/>
        <v>628.29</v>
      </c>
      <c r="F345" s="101" vm="16405">
        <f ca="1"/>
        <v>633.19500000000005</v>
      </c>
      <c r="G345" s="101" vm="16406">
        <f ca="1"/>
        <v>639.41999999999996</v>
      </c>
      <c r="H345" s="101" vm="16407">
        <f ca="1"/>
        <v>621.99</v>
      </c>
      <c r="I345" s="102" vm="16408">
        <f ca="1"/>
        <v>15303866</v>
      </c>
    </row>
    <row r="346" spans="4:9" x14ac:dyDescent="0.3">
      <c r="D346" s="100" vm="1979">
        <f ca="1"/>
        <v>44487</v>
      </c>
      <c r="E346" s="101" vm="16409">
        <f ca="1"/>
        <v>664.78</v>
      </c>
      <c r="F346" s="101" vm="16410">
        <f ca="1"/>
        <v>632.1</v>
      </c>
      <c r="G346" s="101" vm="16411">
        <f ca="1"/>
        <v>665.46</v>
      </c>
      <c r="H346" s="101" vm="16412">
        <f ca="1"/>
        <v>617.15</v>
      </c>
      <c r="I346" s="102" vm="16413">
        <f ca="1"/>
        <v>37547301</v>
      </c>
    </row>
    <row r="347" spans="4:9" x14ac:dyDescent="0.3">
      <c r="D347" s="100" vm="1985">
        <f ca="1"/>
        <v>44494</v>
      </c>
      <c r="E347" s="101" vm="16414">
        <f ca="1"/>
        <v>690.31</v>
      </c>
      <c r="F347" s="101" vm="16415">
        <f ca="1"/>
        <v>663.74</v>
      </c>
      <c r="G347" s="101" vm="16416">
        <f ca="1"/>
        <v>690.96990000000005</v>
      </c>
      <c r="H347" s="101" vm="16417">
        <f ca="1"/>
        <v>657.07</v>
      </c>
      <c r="I347" s="102" vm="16418">
        <f ca="1"/>
        <v>15699968</v>
      </c>
    </row>
    <row r="348" spans="4:9" x14ac:dyDescent="0.3">
      <c r="D348" s="100" vm="1991">
        <f ca="1"/>
        <v>44501</v>
      </c>
      <c r="E348" s="101" vm="16419">
        <f ca="1"/>
        <v>645.72</v>
      </c>
      <c r="F348" s="101" vm="16420">
        <f ca="1"/>
        <v>689.06</v>
      </c>
      <c r="G348" s="101" vm="16421">
        <f ca="1"/>
        <v>689.97</v>
      </c>
      <c r="H348" s="101" vm="16422">
        <f ca="1"/>
        <v>645.01</v>
      </c>
      <c r="I348" s="102" vm="16423">
        <f ca="1"/>
        <v>19482871</v>
      </c>
    </row>
    <row r="349" spans="4:9" x14ac:dyDescent="0.3">
      <c r="D349" s="100" vm="1997">
        <f ca="1"/>
        <v>44508</v>
      </c>
      <c r="E349" s="101" vm="16424">
        <f ca="1"/>
        <v>682.61</v>
      </c>
      <c r="F349" s="101" vm="16425">
        <f ca="1"/>
        <v>650.29</v>
      </c>
      <c r="G349" s="101" vm="16426">
        <f ca="1"/>
        <v>683.34</v>
      </c>
      <c r="H349" s="101" vm="16427">
        <f ca="1"/>
        <v>642.11</v>
      </c>
      <c r="I349" s="102" vm="16428">
        <f ca="1"/>
        <v>14775659</v>
      </c>
    </row>
    <row r="350" spans="4:9" x14ac:dyDescent="0.3">
      <c r="D350" s="100" vm="2003">
        <f ca="1"/>
        <v>44515</v>
      </c>
      <c r="E350" s="101" vm="16429">
        <f ca="1"/>
        <v>678.8</v>
      </c>
      <c r="F350" s="101" vm="16430">
        <f ca="1"/>
        <v>681.23500000000001</v>
      </c>
      <c r="G350" s="101" vm="16431">
        <f ca="1"/>
        <v>700.98940000000005</v>
      </c>
      <c r="H350" s="101" vm="16432">
        <f ca="1"/>
        <v>671.49</v>
      </c>
      <c r="I350" s="102" vm="16433">
        <f ca="1"/>
        <v>12312248</v>
      </c>
    </row>
    <row r="351" spans="4:9" x14ac:dyDescent="0.3">
      <c r="D351" s="100" vm="2009">
        <f ca="1"/>
        <v>44522</v>
      </c>
      <c r="E351" s="101" vm="16434">
        <f ca="1"/>
        <v>665.64</v>
      </c>
      <c r="F351" s="101" vm="16435">
        <f ca="1"/>
        <v>676.02</v>
      </c>
      <c r="G351" s="101" vm="16436">
        <f ca="1"/>
        <v>679.48</v>
      </c>
      <c r="H351" s="101" vm="16437">
        <f ca="1"/>
        <v>646.04999999999995</v>
      </c>
      <c r="I351" s="102" vm="16438">
        <f ca="1"/>
        <v>9826030</v>
      </c>
    </row>
    <row r="352" spans="4:9" x14ac:dyDescent="0.3">
      <c r="D352" s="100" vm="2015">
        <f ca="1"/>
        <v>44529</v>
      </c>
      <c r="E352" s="101" vm="16439">
        <f ca="1"/>
        <v>602.13</v>
      </c>
      <c r="F352" s="101" vm="16440">
        <f ca="1"/>
        <v>663.2</v>
      </c>
      <c r="G352" s="101" vm="16441">
        <f ca="1"/>
        <v>675.38</v>
      </c>
      <c r="H352" s="101" vm="16442">
        <f ca="1"/>
        <v>594</v>
      </c>
      <c r="I352" s="102" vm="16443">
        <f ca="1"/>
        <v>20195715</v>
      </c>
    </row>
    <row r="353" spans="4:9" x14ac:dyDescent="0.3">
      <c r="D353" s="100" vm="2021">
        <f ca="1"/>
        <v>44536</v>
      </c>
      <c r="E353" s="101" vm="16444">
        <f ca="1"/>
        <v>611.66</v>
      </c>
      <c r="F353" s="101" vm="16445">
        <f ca="1"/>
        <v>606.01</v>
      </c>
      <c r="G353" s="101" vm="16446">
        <f ca="1"/>
        <v>632.45500000000004</v>
      </c>
      <c r="H353" s="101" vm="16447">
        <f ca="1"/>
        <v>601</v>
      </c>
      <c r="I353" s="102" vm="16448">
        <f ca="1"/>
        <v>13546265</v>
      </c>
    </row>
    <row r="354" spans="4:9" x14ac:dyDescent="0.3">
      <c r="D354" s="100" vm="2027">
        <f ca="1"/>
        <v>44543</v>
      </c>
      <c r="E354" s="101" vm="16449">
        <f ca="1"/>
        <v>586.73</v>
      </c>
      <c r="F354" s="101" vm="16450">
        <f ca="1"/>
        <v>612</v>
      </c>
      <c r="G354" s="101" vm="16451">
        <f ca="1"/>
        <v>612.64</v>
      </c>
      <c r="H354" s="101" vm="16452">
        <f ca="1"/>
        <v>581.74</v>
      </c>
      <c r="I354" s="102" vm="16453">
        <f ca="1"/>
        <v>15945570</v>
      </c>
    </row>
    <row r="355" spans="4:9" x14ac:dyDescent="0.3">
      <c r="D355" s="100" vm="2033">
        <f ca="1"/>
        <v>44550</v>
      </c>
      <c r="E355" s="101" vm="16454">
        <f ca="1"/>
        <v>614.09</v>
      </c>
      <c r="F355" s="101" vm="16455">
        <f ca="1"/>
        <v>586.42999999999995</v>
      </c>
      <c r="G355" s="101" vm="16456">
        <f ca="1"/>
        <v>616.88</v>
      </c>
      <c r="H355" s="101" vm="16457">
        <f ca="1"/>
        <v>584.26</v>
      </c>
      <c r="I355" s="102" vm="16458">
        <f ca="1"/>
        <v>9634685</v>
      </c>
    </row>
    <row r="356" spans="4:9" x14ac:dyDescent="0.3">
      <c r="D356" s="100" vm="2039">
        <f ca="1"/>
        <v>44557</v>
      </c>
      <c r="E356" s="101" vm="16459">
        <f ca="1"/>
        <v>602.44000000000005</v>
      </c>
      <c r="F356" s="101" vm="16460">
        <f ca="1"/>
        <v>615</v>
      </c>
      <c r="G356" s="101" vm="16461">
        <f ca="1"/>
        <v>620.61</v>
      </c>
      <c r="H356" s="101" vm="16462">
        <f ca="1"/>
        <v>602.04999999999995</v>
      </c>
      <c r="I356" s="102" vm="16463">
        <f ca="1"/>
        <v>8854873</v>
      </c>
    </row>
    <row r="357" spans="4:9" x14ac:dyDescent="0.3">
      <c r="D357" s="100" vm="2045">
        <f ca="1"/>
        <v>44564</v>
      </c>
      <c r="E357" s="101" vm="16464">
        <f ca="1"/>
        <v>541.05999999999995</v>
      </c>
      <c r="F357" s="101" vm="16465">
        <f ca="1"/>
        <v>605.61</v>
      </c>
      <c r="G357" s="101" vm="16466">
        <f ca="1"/>
        <v>609.99</v>
      </c>
      <c r="H357" s="101" vm="16467">
        <f ca="1"/>
        <v>538.21749999999997</v>
      </c>
      <c r="I357" s="102" vm="16468">
        <f ca="1"/>
        <v>20705360</v>
      </c>
    </row>
    <row r="358" spans="4:9" x14ac:dyDescent="0.3">
      <c r="D358" s="100" vm="2051">
        <f ca="1"/>
        <v>44571</v>
      </c>
      <c r="E358" s="101" vm="16469">
        <f ca="1"/>
        <v>525.69000000000005</v>
      </c>
      <c r="F358" s="101" vm="16470">
        <f ca="1"/>
        <v>538.49</v>
      </c>
      <c r="G358" s="101" vm="16471">
        <f ca="1"/>
        <v>544.27</v>
      </c>
      <c r="H358" s="101" vm="16472">
        <f ca="1"/>
        <v>511.88</v>
      </c>
      <c r="I358" s="102" vm="16473">
        <f ca="1"/>
        <v>23687525</v>
      </c>
    </row>
    <row r="359" spans="4:9" x14ac:dyDescent="0.3">
      <c r="D359" s="100" vm="2057">
        <f ca="1"/>
        <v>44579</v>
      </c>
      <c r="E359" s="101" vm="16474">
        <f ca="1"/>
        <v>397.5</v>
      </c>
      <c r="F359" s="101" vm="16475">
        <f ca="1"/>
        <v>520.08000000000004</v>
      </c>
      <c r="G359" s="101" vm="16476">
        <f ca="1"/>
        <v>526.64</v>
      </c>
      <c r="H359" s="101" vm="16477">
        <f ca="1"/>
        <v>379.99</v>
      </c>
      <c r="I359" s="102" vm="16478">
        <f ca="1"/>
        <v>80761185</v>
      </c>
    </row>
    <row r="360" spans="4:9" x14ac:dyDescent="0.3">
      <c r="D360" s="100" vm="2063">
        <f ca="1"/>
        <v>44585</v>
      </c>
      <c r="E360" s="101" vm="16479">
        <f ca="1"/>
        <v>384.36</v>
      </c>
      <c r="F360" s="101" vm="16480">
        <f ca="1"/>
        <v>383.91</v>
      </c>
      <c r="G360" s="101" vm="10013">
        <f ca="1"/>
        <v>394.8</v>
      </c>
      <c r="H360" s="101" vm="16481">
        <f ca="1"/>
        <v>351.46</v>
      </c>
      <c r="I360" s="102" vm="16482">
        <f ca="1"/>
        <v>96507931</v>
      </c>
    </row>
    <row r="361" spans="4:9" x14ac:dyDescent="0.3">
      <c r="D361" s="100" vm="2069">
        <f ca="1"/>
        <v>44592</v>
      </c>
      <c r="E361" s="101" vm="16483">
        <f ca="1"/>
        <v>410.17</v>
      </c>
      <c r="F361" s="101" vm="16484">
        <f ca="1"/>
        <v>401.97</v>
      </c>
      <c r="G361" s="101" vm="16485">
        <f ca="1"/>
        <v>458.48</v>
      </c>
      <c r="H361" s="101" vm="16486">
        <f ca="1"/>
        <v>396.63909999999998</v>
      </c>
      <c r="I361" s="102" vm="16487">
        <f ca="1"/>
        <v>74656569</v>
      </c>
    </row>
    <row r="362" spans="4:9" x14ac:dyDescent="0.3">
      <c r="D362" s="100" vm="2075">
        <f ca="1"/>
        <v>44599</v>
      </c>
      <c r="E362" s="101" vm="16488">
        <f ca="1"/>
        <v>391.31</v>
      </c>
      <c r="F362" s="101" vm="16483">
        <f ca="1"/>
        <v>410.17</v>
      </c>
      <c r="G362" s="101" vm="16489">
        <f ca="1"/>
        <v>412.98</v>
      </c>
      <c r="H362" s="101" vm="16490">
        <f ca="1"/>
        <v>387.65</v>
      </c>
      <c r="I362" s="102" vm="16491">
        <f ca="1"/>
        <v>38801483</v>
      </c>
    </row>
    <row r="363" spans="4:9" x14ac:dyDescent="0.3">
      <c r="D363" s="100" vm="2081">
        <f ca="1"/>
        <v>44606</v>
      </c>
      <c r="E363" s="101" vm="16492">
        <f ca="1"/>
        <v>391.29</v>
      </c>
      <c r="F363" s="101" vm="16493">
        <f ca="1"/>
        <v>387.59</v>
      </c>
      <c r="G363" s="101" vm="16494">
        <f ca="1"/>
        <v>409.36</v>
      </c>
      <c r="H363" s="101" vm="16495">
        <f ca="1"/>
        <v>385.7</v>
      </c>
      <c r="I363" s="102" vm="16496">
        <f ca="1"/>
        <v>29346336</v>
      </c>
    </row>
    <row r="364" spans="4:9" x14ac:dyDescent="0.3">
      <c r="D364" s="100" vm="2087">
        <f ca="1"/>
        <v>44614</v>
      </c>
      <c r="E364" s="101" vm="16497">
        <f ca="1"/>
        <v>390.8</v>
      </c>
      <c r="F364" s="101" vm="16498">
        <f ca="1"/>
        <v>388.95</v>
      </c>
      <c r="G364" s="101" vm="16499">
        <f ca="1"/>
        <v>392.42</v>
      </c>
      <c r="H364" s="101" vm="16500">
        <f ca="1"/>
        <v>354.72</v>
      </c>
      <c r="I364" s="102" vm="16501">
        <f ca="1"/>
        <v>23222165</v>
      </c>
    </row>
    <row r="365" spans="4:9" x14ac:dyDescent="0.3">
      <c r="D365" s="100" vm="2093">
        <f ca="1"/>
        <v>44620</v>
      </c>
      <c r="E365" s="101" vm="16502">
        <f ca="1"/>
        <v>361.73</v>
      </c>
      <c r="F365" s="101" vm="16503">
        <f ca="1"/>
        <v>387.33</v>
      </c>
      <c r="G365" s="101" vm="16504">
        <f ca="1"/>
        <v>397.75</v>
      </c>
      <c r="H365" s="101" vm="16505">
        <f ca="1"/>
        <v>357.17</v>
      </c>
      <c r="I365" s="102" vm="16506">
        <f ca="1"/>
        <v>25088310</v>
      </c>
    </row>
    <row r="366" spans="4:9" x14ac:dyDescent="0.3">
      <c r="D366" s="100" vm="2099">
        <f ca="1"/>
        <v>44627</v>
      </c>
      <c r="E366" s="101" vm="16507">
        <f ca="1"/>
        <v>340.32</v>
      </c>
      <c r="F366" s="101" vm="16508">
        <f ca="1"/>
        <v>360.41</v>
      </c>
      <c r="G366" s="101" vm="16509">
        <f ca="1"/>
        <v>367.02</v>
      </c>
      <c r="H366" s="101" vm="15716">
        <f ca="1"/>
        <v>340</v>
      </c>
      <c r="I366" s="102" vm="16510">
        <f ca="1"/>
        <v>28284916</v>
      </c>
    </row>
    <row r="367" spans="4:9" x14ac:dyDescent="0.3">
      <c r="D367" s="100" vm="2105">
        <f ca="1"/>
        <v>44634</v>
      </c>
      <c r="E367" s="101" vm="16511">
        <f ca="1"/>
        <v>380.6</v>
      </c>
      <c r="F367" s="101" vm="16512">
        <f ca="1"/>
        <v>338.72</v>
      </c>
      <c r="G367" s="101" vm="16513">
        <f ca="1"/>
        <v>381.8</v>
      </c>
      <c r="H367" s="101" vm="16514">
        <f ca="1"/>
        <v>329.82</v>
      </c>
      <c r="I367" s="102" vm="16515">
        <f ca="1"/>
        <v>32494099</v>
      </c>
    </row>
    <row r="368" spans="4:9" x14ac:dyDescent="0.3">
      <c r="D368" s="100" vm="2111">
        <f ca="1"/>
        <v>44641</v>
      </c>
      <c r="E368" s="101" vm="16516">
        <f ca="1"/>
        <v>373.85</v>
      </c>
      <c r="F368" s="101" vm="16517">
        <f ca="1"/>
        <v>378.02</v>
      </c>
      <c r="G368" s="101" vm="16518">
        <f ca="1"/>
        <v>386.66</v>
      </c>
      <c r="H368" s="101" vm="16519">
        <f ca="1"/>
        <v>366.43</v>
      </c>
      <c r="I368" s="102" vm="16520">
        <f ca="1"/>
        <v>20302593</v>
      </c>
    </row>
    <row r="369" spans="4:9" x14ac:dyDescent="0.3">
      <c r="D369" s="100" vm="2117">
        <f ca="1"/>
        <v>44648</v>
      </c>
      <c r="E369" s="101" vm="16521">
        <f ca="1"/>
        <v>373.47</v>
      </c>
      <c r="F369" s="101" vm="16522">
        <f ca="1"/>
        <v>375.23</v>
      </c>
      <c r="G369" s="101" vm="12329">
        <f ca="1"/>
        <v>396.5</v>
      </c>
      <c r="H369" s="101" vm="16523">
        <f ca="1"/>
        <v>366.73</v>
      </c>
      <c r="I369" s="102" vm="16524">
        <f ca="1"/>
        <v>23006416</v>
      </c>
    </row>
    <row r="370" spans="4:9" x14ac:dyDescent="0.3">
      <c r="D370" s="100" vm="2122">
        <f ca="1"/>
        <v>44655</v>
      </c>
      <c r="E370" s="101" vm="16525">
        <f ca="1"/>
        <v>355.88</v>
      </c>
      <c r="F370" s="101" vm="16526">
        <f ca="1"/>
        <v>373.55</v>
      </c>
      <c r="G370" s="101" vm="16527">
        <f ca="1"/>
        <v>396.02</v>
      </c>
      <c r="H370" s="101" vm="16528">
        <f ca="1"/>
        <v>353.68970000000002</v>
      </c>
      <c r="I370" s="102" vm="16529">
        <f ca="1"/>
        <v>24572720</v>
      </c>
    </row>
    <row r="371" spans="4:9" x14ac:dyDescent="0.3">
      <c r="D371" s="100" vm="2128">
        <f ca="1"/>
        <v>44662</v>
      </c>
      <c r="E371" s="101" vm="16530">
        <f ca="1"/>
        <v>341.13</v>
      </c>
      <c r="F371" s="101" vm="15729">
        <f ca="1"/>
        <v>350</v>
      </c>
      <c r="G371" s="101" vm="16531">
        <f ca="1"/>
        <v>359.41</v>
      </c>
      <c r="H371" s="101" vm="16532">
        <f ca="1"/>
        <v>339.86</v>
      </c>
      <c r="I371" s="102" vm="16533">
        <f ca="1"/>
        <v>15176144</v>
      </c>
    </row>
    <row r="372" spans="4:9" x14ac:dyDescent="0.3">
      <c r="D372" s="100" vm="2134">
        <f ca="1"/>
        <v>44669</v>
      </c>
      <c r="E372" s="101" vm="16534">
        <f ca="1"/>
        <v>215.52</v>
      </c>
      <c r="F372" s="101" vm="15716">
        <f ca="1"/>
        <v>340</v>
      </c>
      <c r="G372" s="101" vm="16535">
        <f ca="1"/>
        <v>351.68</v>
      </c>
      <c r="H372" s="101" vm="16536">
        <f ca="1"/>
        <v>210.05</v>
      </c>
      <c r="I372" s="102" vm="16537">
        <f ca="1"/>
        <v>250416136</v>
      </c>
    </row>
    <row r="373" spans="4:9" x14ac:dyDescent="0.3">
      <c r="D373" s="100" vm="2140">
        <f ca="1"/>
        <v>44676</v>
      </c>
      <c r="E373" s="101" vm="16538">
        <f ca="1"/>
        <v>190.36</v>
      </c>
      <c r="F373" s="101" vm="16539">
        <f ca="1"/>
        <v>213.81</v>
      </c>
      <c r="G373" s="101" vm="16540">
        <f ca="1"/>
        <v>216.66</v>
      </c>
      <c r="H373" s="101" vm="16541">
        <f ca="1"/>
        <v>185.6</v>
      </c>
      <c r="I373" s="102" vm="16542">
        <f ca="1"/>
        <v>108523579</v>
      </c>
    </row>
    <row r="374" spans="4:9" x14ac:dyDescent="0.3">
      <c r="D374" s="100" vm="2146">
        <f ca="1"/>
        <v>44683</v>
      </c>
      <c r="E374" s="101" vm="2485">
        <f ca="1"/>
        <v>180.97</v>
      </c>
      <c r="F374" s="101" vm="16543">
        <f ca="1"/>
        <v>191.71</v>
      </c>
      <c r="G374" s="101" vm="15402">
        <f ca="1"/>
        <v>204.38</v>
      </c>
      <c r="H374" s="101" vm="16544">
        <f ca="1"/>
        <v>175.81</v>
      </c>
      <c r="I374" s="102" vm="16545">
        <f ca="1"/>
        <v>69806615</v>
      </c>
    </row>
    <row r="375" spans="4:9" x14ac:dyDescent="0.3">
      <c r="D375" s="100" vm="2152">
        <f ca="1"/>
        <v>44690</v>
      </c>
      <c r="E375" s="101" vm="16546">
        <f ca="1"/>
        <v>187.64</v>
      </c>
      <c r="F375" s="101" vm="16547">
        <f ca="1"/>
        <v>177.655</v>
      </c>
      <c r="G375" s="101" vm="16548">
        <f ca="1"/>
        <v>187.77</v>
      </c>
      <c r="H375" s="101" vm="16549">
        <f ca="1"/>
        <v>162.71</v>
      </c>
      <c r="I375" s="102" vm="16550">
        <f ca="1"/>
        <v>71379202</v>
      </c>
    </row>
    <row r="376" spans="4:9" x14ac:dyDescent="0.3">
      <c r="D376" s="100" vm="2158">
        <f ca="1"/>
        <v>44697</v>
      </c>
      <c r="E376" s="101" vm="16551">
        <f ca="1"/>
        <v>186.35</v>
      </c>
      <c r="F376" s="101" vm="15423">
        <f ca="1"/>
        <v>193.3</v>
      </c>
      <c r="G376" s="101" vm="16552">
        <f ca="1"/>
        <v>195.89</v>
      </c>
      <c r="H376" s="101" vm="16553">
        <f ca="1"/>
        <v>175.71</v>
      </c>
      <c r="I376" s="102" vm="16554">
        <f ca="1"/>
        <v>56565237</v>
      </c>
    </row>
    <row r="377" spans="4:9" x14ac:dyDescent="0.3">
      <c r="D377" s="100" vm="2164">
        <f ca="1"/>
        <v>44704</v>
      </c>
      <c r="E377" s="101" vm="16555">
        <f ca="1"/>
        <v>195.19</v>
      </c>
      <c r="F377" s="101" vm="16556">
        <f ca="1"/>
        <v>186.15</v>
      </c>
      <c r="G377" s="101" vm="16557">
        <f ca="1"/>
        <v>195.25</v>
      </c>
      <c r="H377" s="101" vm="16558">
        <f ca="1"/>
        <v>177.17</v>
      </c>
      <c r="I377" s="102" vm="16559">
        <f ca="1"/>
        <v>42466411</v>
      </c>
    </row>
    <row r="378" spans="4:9" x14ac:dyDescent="0.3">
      <c r="D378" s="100" vm="2170">
        <f ca="1"/>
        <v>44712</v>
      </c>
      <c r="E378" s="101" vm="16560">
        <f ca="1"/>
        <v>198.98</v>
      </c>
      <c r="F378" s="101" vm="16561">
        <f ca="1"/>
        <v>196.18</v>
      </c>
      <c r="G378" s="101" vm="16562">
        <f ca="1"/>
        <v>205.47</v>
      </c>
      <c r="H378" s="101" vm="16563">
        <f ca="1"/>
        <v>190.8</v>
      </c>
      <c r="I378" s="102" vm="16564">
        <f ca="1"/>
        <v>36629507</v>
      </c>
    </row>
    <row r="379" spans="4:9" x14ac:dyDescent="0.3">
      <c r="D379" s="100" vm="2176">
        <f ca="1"/>
        <v>44718</v>
      </c>
      <c r="E379" s="101" vm="2048">
        <f ca="1"/>
        <v>182.94</v>
      </c>
      <c r="F379" s="101" vm="16565">
        <f ca="1"/>
        <v>202.09</v>
      </c>
      <c r="G379" s="101" vm="16566">
        <f ca="1"/>
        <v>207.38</v>
      </c>
      <c r="H379" s="101" vm="16567">
        <f ca="1"/>
        <v>180.85</v>
      </c>
      <c r="I379" s="102" vm="16568">
        <f ca="1"/>
        <v>37478902</v>
      </c>
    </row>
    <row r="380" spans="4:9" x14ac:dyDescent="0.3">
      <c r="D380" s="100" vm="2182">
        <f ca="1"/>
        <v>44725</v>
      </c>
      <c r="E380" s="101" vm="16569">
        <f ca="1"/>
        <v>175.51</v>
      </c>
      <c r="F380" s="101" vm="2043">
        <f ca="1"/>
        <v>177.07</v>
      </c>
      <c r="G380" s="101" vm="16570">
        <f ca="1"/>
        <v>183.845</v>
      </c>
      <c r="H380" s="101" vm="2025">
        <f ca="1"/>
        <v>164.28</v>
      </c>
      <c r="I380" s="102" vm="16571">
        <f ca="1"/>
        <v>54508449</v>
      </c>
    </row>
    <row r="381" spans="4:9" x14ac:dyDescent="0.3">
      <c r="D381" s="100" vm="2188">
        <f ca="1"/>
        <v>44733</v>
      </c>
      <c r="E381" s="101" vm="14814">
        <f ca="1"/>
        <v>190.85</v>
      </c>
      <c r="F381" s="101" vm="16572">
        <f ca="1"/>
        <v>177.6</v>
      </c>
      <c r="G381" s="101" vm="16573">
        <f ca="1"/>
        <v>191.19</v>
      </c>
      <c r="H381" s="101" vm="13985">
        <f ca="1"/>
        <v>169.8</v>
      </c>
      <c r="I381" s="102" vm="16574">
        <f ca="1"/>
        <v>46150407</v>
      </c>
    </row>
    <row r="382" spans="4:9" x14ac:dyDescent="0.3">
      <c r="D382" s="100" vm="2194">
        <f ca="1"/>
        <v>44739</v>
      </c>
      <c r="E382" s="101" vm="16575">
        <f ca="1"/>
        <v>179.95</v>
      </c>
      <c r="F382" s="101" vm="16576">
        <f ca="1"/>
        <v>191.77</v>
      </c>
      <c r="G382" s="101" vm="2676">
        <f ca="1"/>
        <v>192.2</v>
      </c>
      <c r="H382" s="101" vm="2018">
        <f ca="1"/>
        <v>170.3</v>
      </c>
      <c r="I382" s="102" vm="16577">
        <f ca="1"/>
        <v>34428916</v>
      </c>
    </row>
    <row r="383" spans="4:9" x14ac:dyDescent="0.3">
      <c r="D383" s="100" vm="2200">
        <f ca="1"/>
        <v>44747</v>
      </c>
      <c r="E383" s="101" vm="16578">
        <f ca="1"/>
        <v>186.97499999999999</v>
      </c>
      <c r="F383" s="101" vm="2034">
        <f ca="1"/>
        <v>176.28</v>
      </c>
      <c r="G383" s="101" vm="16579">
        <f ca="1"/>
        <v>190.21</v>
      </c>
      <c r="H383" s="101" vm="16580">
        <f ca="1"/>
        <v>172.68010000000001</v>
      </c>
      <c r="I383" s="102" vm="16581">
        <f ca="1"/>
        <v>25262633</v>
      </c>
    </row>
    <row r="384" spans="4:9" x14ac:dyDescent="0.3">
      <c r="D384" s="100" vm="2206">
        <f ca="1"/>
        <v>44753</v>
      </c>
      <c r="E384" s="101" vm="16582">
        <f ca="1"/>
        <v>189.11</v>
      </c>
      <c r="F384" s="101" vm="16583">
        <f ca="1"/>
        <v>184.73</v>
      </c>
      <c r="G384" s="101" vm="16584">
        <f ca="1"/>
        <v>189.22</v>
      </c>
      <c r="H384" s="101" vm="16585">
        <f ca="1"/>
        <v>169.702</v>
      </c>
      <c r="I384" s="102" vm="16586">
        <f ca="1"/>
        <v>50986705</v>
      </c>
    </row>
    <row r="385" spans="4:9" x14ac:dyDescent="0.3">
      <c r="D385" s="100" vm="2211">
        <f ca="1"/>
        <v>44760</v>
      </c>
      <c r="E385" s="101" vm="16587">
        <f ca="1"/>
        <v>220.44</v>
      </c>
      <c r="F385" s="101" vm="16588">
        <f ca="1"/>
        <v>192.5</v>
      </c>
      <c r="G385" s="101" vm="16589">
        <f ca="1"/>
        <v>229.35</v>
      </c>
      <c r="H385" s="101" vm="16590">
        <f ca="1"/>
        <v>188.4</v>
      </c>
      <c r="I385" s="102" vm="16591">
        <f ca="1"/>
        <v>139657396</v>
      </c>
    </row>
    <row r="386" spans="4:9" x14ac:dyDescent="0.3">
      <c r="D386" s="100" vm="2217">
        <f ca="1"/>
        <v>44767</v>
      </c>
      <c r="E386" s="101" vm="9889">
        <f ca="1"/>
        <v>224.9</v>
      </c>
      <c r="F386" s="101" vm="16592">
        <f ca="1"/>
        <v>221.31</v>
      </c>
      <c r="G386" s="101" vm="16593">
        <f ca="1"/>
        <v>230.75</v>
      </c>
      <c r="H386" s="101" vm="16594">
        <f ca="1"/>
        <v>211.64</v>
      </c>
      <c r="I386" s="102" vm="16595">
        <f ca="1"/>
        <v>48989839</v>
      </c>
    </row>
    <row r="387" spans="4:9" x14ac:dyDescent="0.3">
      <c r="D387" s="100" vm="2223">
        <f ca="1"/>
        <v>44774</v>
      </c>
      <c r="E387" s="101" vm="14771">
        <f ca="1"/>
        <v>226.78</v>
      </c>
      <c r="F387" s="101" vm="16596">
        <f ca="1"/>
        <v>223.095</v>
      </c>
      <c r="G387" s="101" vm="16597">
        <f ca="1"/>
        <v>232.07</v>
      </c>
      <c r="H387" s="101" vm="16598">
        <f ca="1"/>
        <v>220.88</v>
      </c>
      <c r="I387" s="102" vm="16599">
        <f ca="1"/>
        <v>30969546</v>
      </c>
    </row>
    <row r="388" spans="4:9" x14ac:dyDescent="0.3">
      <c r="D388" s="100" vm="2229">
        <f ca="1"/>
        <v>44781</v>
      </c>
      <c r="E388" s="101" vm="16600">
        <f ca="1"/>
        <v>249.3</v>
      </c>
      <c r="F388" s="101" vm="16601">
        <f ca="1"/>
        <v>227.49</v>
      </c>
      <c r="G388" s="101" vm="16602">
        <f ca="1"/>
        <v>251.62</v>
      </c>
      <c r="H388" s="101" vm="16603">
        <f ca="1"/>
        <v>224.65</v>
      </c>
      <c r="I388" s="102" vm="16604">
        <f ca="1"/>
        <v>41311956</v>
      </c>
    </row>
    <row r="389" spans="4:9" x14ac:dyDescent="0.3">
      <c r="D389" s="100" vm="2234">
        <f ca="1"/>
        <v>44788</v>
      </c>
      <c r="E389" s="101" vm="16605">
        <f ca="1"/>
        <v>241.16</v>
      </c>
      <c r="F389" s="101" vm="16606">
        <f ca="1"/>
        <v>248.11</v>
      </c>
      <c r="G389" s="101" vm="16607">
        <f ca="1"/>
        <v>251.99</v>
      </c>
      <c r="H389" s="101" vm="16608">
        <f ca="1"/>
        <v>235.68</v>
      </c>
      <c r="I389" s="102" vm="16609">
        <f ca="1"/>
        <v>30076515</v>
      </c>
    </row>
    <row r="390" spans="4:9" x14ac:dyDescent="0.3">
      <c r="D390" s="100" vm="2239">
        <f ca="1"/>
        <v>44795</v>
      </c>
      <c r="E390" s="101" vm="16610">
        <f ca="1"/>
        <v>223.28</v>
      </c>
      <c r="F390" s="101" vm="16611">
        <f ca="1"/>
        <v>232.55</v>
      </c>
      <c r="G390" s="101" vm="16612">
        <f ca="1"/>
        <v>236.95</v>
      </c>
      <c r="H390" s="101" vm="16613">
        <f ca="1"/>
        <v>223.15</v>
      </c>
      <c r="I390" s="102" vm="16614">
        <f ca="1"/>
        <v>28450070</v>
      </c>
    </row>
    <row r="391" spans="4:9" x14ac:dyDescent="0.3">
      <c r="D391" s="100" vm="2244">
        <f ca="1"/>
        <v>44802</v>
      </c>
      <c r="E391" s="101" vm="16615">
        <f ca="1"/>
        <v>226.11</v>
      </c>
      <c r="F391" s="101" vm="16616">
        <f ca="1"/>
        <v>221.93</v>
      </c>
      <c r="G391" s="101" vm="16617">
        <f ca="1"/>
        <v>233.88140000000001</v>
      </c>
      <c r="H391" s="101" vm="16618">
        <f ca="1"/>
        <v>218.74</v>
      </c>
      <c r="I391" s="102" vm="16619">
        <f ca="1"/>
        <v>36923537</v>
      </c>
    </row>
    <row r="392" spans="4:9" x14ac:dyDescent="0.3">
      <c r="D392" s="100" vm="2250">
        <f ca="1"/>
        <v>44810</v>
      </c>
      <c r="E392" s="101" vm="16620">
        <f ca="1"/>
        <v>233.57</v>
      </c>
      <c r="F392" s="101" vm="16621">
        <f ca="1"/>
        <v>225.59</v>
      </c>
      <c r="G392" s="101" vm="16622">
        <f ca="1"/>
        <v>234.7799</v>
      </c>
      <c r="H392" s="101" vm="16623">
        <f ca="1"/>
        <v>214.69</v>
      </c>
      <c r="I392" s="102" vm="16624">
        <f ca="1"/>
        <v>29057841</v>
      </c>
    </row>
    <row r="393" spans="4:9" x14ac:dyDescent="0.3">
      <c r="D393" s="100" vm="2256">
        <f ca="1"/>
        <v>44816</v>
      </c>
      <c r="E393" s="101" vm="16625">
        <f ca="1"/>
        <v>240.13</v>
      </c>
      <c r="F393" s="101" vm="16626">
        <f ca="1"/>
        <v>233.61</v>
      </c>
      <c r="G393" s="101" vm="16627">
        <f ca="1"/>
        <v>242.28710000000001</v>
      </c>
      <c r="H393" s="101" vm="16628">
        <f ca="1"/>
        <v>215.8</v>
      </c>
      <c r="I393" s="102" vm="16629">
        <f ca="1"/>
        <v>60646192</v>
      </c>
    </row>
    <row r="394" spans="4:9" x14ac:dyDescent="0.3">
      <c r="D394" s="100" vm="2262">
        <f ca="1"/>
        <v>44823</v>
      </c>
      <c r="E394" s="101" vm="16630">
        <f ca="1"/>
        <v>226.41</v>
      </c>
      <c r="F394" s="101" vm="16631">
        <f ca="1"/>
        <v>245.05</v>
      </c>
      <c r="G394" s="101" vm="9652">
        <f ca="1"/>
        <v>250.49</v>
      </c>
      <c r="H394" s="101" vm="16632">
        <f ca="1"/>
        <v>221.43</v>
      </c>
      <c r="I394" s="102" vm="16633">
        <f ca="1"/>
        <v>64341766</v>
      </c>
    </row>
    <row r="395" spans="4:9" x14ac:dyDescent="0.3">
      <c r="D395" s="100" vm="2267">
        <f ca="1"/>
        <v>44830</v>
      </c>
      <c r="E395" s="101" vm="16634">
        <f ca="1"/>
        <v>235.44</v>
      </c>
      <c r="F395" s="101" vm="2827">
        <f ca="1"/>
        <v>225.6</v>
      </c>
      <c r="G395" s="101" vm="16635">
        <f ca="1"/>
        <v>246.98</v>
      </c>
      <c r="H395" s="101" vm="16636">
        <f ca="1"/>
        <v>220.72</v>
      </c>
      <c r="I395" s="102" vm="16637">
        <f ca="1"/>
        <v>64419728</v>
      </c>
    </row>
    <row r="396" spans="4:9" x14ac:dyDescent="0.3">
      <c r="D396" s="100" vm="2273">
        <f ca="1"/>
        <v>44837</v>
      </c>
      <c r="E396" s="101" vm="16638">
        <f ca="1"/>
        <v>224.75</v>
      </c>
      <c r="F396" s="101" vm="16639">
        <f ca="1"/>
        <v>237.85</v>
      </c>
      <c r="G396" s="101" vm="16640">
        <f ca="1"/>
        <v>245.79990000000001</v>
      </c>
      <c r="H396" s="101" vm="16641">
        <f ca="1"/>
        <v>224.28</v>
      </c>
      <c r="I396" s="102" vm="16642">
        <f ca="1"/>
        <v>52403998</v>
      </c>
    </row>
    <row r="397" spans="4:9" x14ac:dyDescent="0.3">
      <c r="D397" s="100" vm="2279">
        <f ca="1"/>
        <v>44844</v>
      </c>
      <c r="E397" s="101" vm="16643">
        <f ca="1"/>
        <v>230</v>
      </c>
      <c r="F397" s="101" vm="16644">
        <f ca="1"/>
        <v>225.64</v>
      </c>
      <c r="G397" s="101" vm="16645">
        <f ca="1"/>
        <v>238.8</v>
      </c>
      <c r="H397" s="101" vm="16646">
        <f ca="1"/>
        <v>211.73</v>
      </c>
      <c r="I397" s="102" vm="16647">
        <f ca="1"/>
        <v>71024611</v>
      </c>
    </row>
    <row r="398" spans="4:9" x14ac:dyDescent="0.3">
      <c r="D398" s="100" vm="2285">
        <f ca="1"/>
        <v>44851</v>
      </c>
      <c r="E398" s="101" vm="16648">
        <f ca="1"/>
        <v>289.57</v>
      </c>
      <c r="F398" s="101" vm="16649">
        <f ca="1"/>
        <v>234.41</v>
      </c>
      <c r="G398" s="101" vm="16650">
        <f ca="1"/>
        <v>290.75</v>
      </c>
      <c r="H398" s="101" vm="16651">
        <f ca="1"/>
        <v>234.4</v>
      </c>
      <c r="I398" s="102" vm="16652">
        <f ca="1"/>
        <v>135615969</v>
      </c>
    </row>
    <row r="399" spans="4:9" x14ac:dyDescent="0.3">
      <c r="D399" s="100" vm="2291">
        <f ca="1"/>
        <v>44858</v>
      </c>
      <c r="E399" s="101" vm="16653">
        <f ca="1"/>
        <v>295.72000000000003</v>
      </c>
      <c r="F399" s="101" vm="16654">
        <f ca="1"/>
        <v>290.23</v>
      </c>
      <c r="G399" s="101" vm="16655">
        <f ca="1"/>
        <v>305.63</v>
      </c>
      <c r="H399" s="101" vm="16656">
        <f ca="1"/>
        <v>280.36</v>
      </c>
      <c r="I399" s="102" vm="16657">
        <f ca="1"/>
        <v>68749521</v>
      </c>
    </row>
    <row r="400" spans="4:9" x14ac:dyDescent="0.3">
      <c r="D400" s="100" vm="2297">
        <f ca="1"/>
        <v>44865</v>
      </c>
      <c r="E400" s="101" vm="16658">
        <f ca="1"/>
        <v>260.79000000000002</v>
      </c>
      <c r="F400" s="101" vm="16659">
        <f ca="1"/>
        <v>295.13</v>
      </c>
      <c r="G400" s="101" vm="16660">
        <f ca="1"/>
        <v>299.7</v>
      </c>
      <c r="H400" s="101" vm="16661">
        <f ca="1"/>
        <v>255.32</v>
      </c>
      <c r="I400" s="102" vm="16662">
        <f ca="1"/>
        <v>42971221</v>
      </c>
    </row>
    <row r="401" spans="4:9" x14ac:dyDescent="0.3">
      <c r="D401" s="100" vm="2302">
        <f ca="1"/>
        <v>44872</v>
      </c>
      <c r="E401" s="101" vm="16663">
        <f ca="1"/>
        <v>290.13</v>
      </c>
      <c r="F401" s="101" vm="16664">
        <f ca="1"/>
        <v>261.06</v>
      </c>
      <c r="G401" s="101" vm="16665">
        <f ca="1"/>
        <v>290.66000000000003</v>
      </c>
      <c r="H401" s="101" vm="16666">
        <f ca="1"/>
        <v>252.09</v>
      </c>
      <c r="I401" s="102" vm="16667">
        <f ca="1"/>
        <v>42118010</v>
      </c>
    </row>
    <row r="402" spans="4:9" x14ac:dyDescent="0.3">
      <c r="D402" s="100" vm="2308">
        <f ca="1"/>
        <v>44879</v>
      </c>
      <c r="E402" s="101" vm="16668">
        <f ca="1"/>
        <v>287.98</v>
      </c>
      <c r="F402" s="101" vm="16669">
        <f ca="1"/>
        <v>290</v>
      </c>
      <c r="G402" s="101" vm="16670">
        <f ca="1"/>
        <v>312.70999999999998</v>
      </c>
      <c r="H402" s="101" vm="16671">
        <f ca="1"/>
        <v>287</v>
      </c>
      <c r="I402" s="102" vm="16672">
        <f ca="1"/>
        <v>58877214</v>
      </c>
    </row>
    <row r="403" spans="4:9" x14ac:dyDescent="0.3">
      <c r="D403" s="100" vm="2313">
        <f ca="1"/>
        <v>44886</v>
      </c>
      <c r="E403" s="101" vm="16673">
        <f ca="1"/>
        <v>285.54000000000002</v>
      </c>
      <c r="F403" s="101" vm="16674">
        <f ca="1"/>
        <v>291</v>
      </c>
      <c r="G403" s="101" vm="16675">
        <f ca="1"/>
        <v>292.47000000000003</v>
      </c>
      <c r="H403" s="101" vm="16676">
        <f ca="1"/>
        <v>277.33999999999997</v>
      </c>
      <c r="I403" s="102" vm="16677">
        <f ca="1"/>
        <v>22656567</v>
      </c>
    </row>
    <row r="404" spans="4:9" x14ac:dyDescent="0.3">
      <c r="D404" s="100" vm="2319">
        <f ca="1"/>
        <v>44893</v>
      </c>
      <c r="E404" s="101" vm="16678">
        <f ca="1"/>
        <v>320.41000000000003</v>
      </c>
      <c r="F404" s="101" vm="16679">
        <f ca="1"/>
        <v>284</v>
      </c>
      <c r="G404" s="101" vm="16680">
        <f ca="1"/>
        <v>321.99</v>
      </c>
      <c r="H404" s="101" vm="16681">
        <f ca="1"/>
        <v>275.94</v>
      </c>
      <c r="I404" s="102" vm="16682">
        <f ca="1"/>
        <v>53919511</v>
      </c>
    </row>
    <row r="405" spans="4:9" x14ac:dyDescent="0.3">
      <c r="D405" s="100" vm="2325">
        <f ca="1"/>
        <v>44900</v>
      </c>
      <c r="E405" s="101" vm="16683">
        <f ca="1"/>
        <v>320.01</v>
      </c>
      <c r="F405" s="101" vm="16684">
        <f ca="1"/>
        <v>316.45999999999998</v>
      </c>
      <c r="G405" s="101" vm="16685">
        <f ca="1"/>
        <v>329</v>
      </c>
      <c r="H405" s="101" vm="15705">
        <f ca="1"/>
        <v>302.10000000000002</v>
      </c>
      <c r="I405" s="102" vm="16686">
        <f ca="1"/>
        <v>45009416</v>
      </c>
    </row>
    <row r="406" spans="4:9" x14ac:dyDescent="0.3">
      <c r="D406" s="100" vm="2330">
        <f ca="1"/>
        <v>44907</v>
      </c>
      <c r="E406" s="101" vm="16687">
        <f ca="1"/>
        <v>290.70999999999998</v>
      </c>
      <c r="F406" s="101" vm="12395">
        <f ca="1"/>
        <v>320</v>
      </c>
      <c r="G406" s="101" vm="16688">
        <f ca="1"/>
        <v>332.72359999999998</v>
      </c>
      <c r="H406" s="101" vm="16689">
        <f ca="1"/>
        <v>286.55</v>
      </c>
      <c r="I406" s="102" vm="16690">
        <f ca="1"/>
        <v>60252934</v>
      </c>
    </row>
    <row r="407" spans="4:9" x14ac:dyDescent="0.3">
      <c r="D407" s="100" vm="2336">
        <f ca="1"/>
        <v>44914</v>
      </c>
      <c r="E407" s="101" vm="16691">
        <f ca="1"/>
        <v>294.96499999999997</v>
      </c>
      <c r="F407" s="101" vm="16692">
        <f ca="1"/>
        <v>289.73</v>
      </c>
      <c r="G407" s="101" vm="16693">
        <f ca="1"/>
        <v>300.66000000000003</v>
      </c>
      <c r="H407" s="101" vm="16694">
        <f ca="1"/>
        <v>280.81</v>
      </c>
      <c r="I407" s="102" vm="16695">
        <f ca="1"/>
        <v>31565254</v>
      </c>
    </row>
    <row r="408" spans="4:9" x14ac:dyDescent="0.3">
      <c r="D408" s="100" vm="2342">
        <f ca="1"/>
        <v>44922</v>
      </c>
      <c r="E408" s="101" vm="16696">
        <f ca="1"/>
        <v>294.88</v>
      </c>
      <c r="F408" s="101" vm="15680">
        <f ca="1"/>
        <v>293.19</v>
      </c>
      <c r="G408" s="101" vm="16697">
        <f ca="1"/>
        <v>295.49990000000003</v>
      </c>
      <c r="H408" s="101" vm="16698">
        <f ca="1"/>
        <v>273.41000000000003</v>
      </c>
      <c r="I408" s="102" vm="16699">
        <f ca="1"/>
        <v>28897886</v>
      </c>
    </row>
    <row r="409" spans="4:9" x14ac:dyDescent="0.3">
      <c r="D409" s="100" vm="2348">
        <f ca="1"/>
        <v>44929</v>
      </c>
      <c r="E409" s="101" vm="16700">
        <f ca="1"/>
        <v>315.55</v>
      </c>
      <c r="F409" s="101" vm="16701">
        <f ca="1"/>
        <v>298.06</v>
      </c>
      <c r="G409" s="101" vm="16702">
        <f ca="1"/>
        <v>316.77</v>
      </c>
      <c r="H409" s="101" vm="16703">
        <f ca="1"/>
        <v>288.7</v>
      </c>
      <c r="I409" s="102" vm="16704">
        <f ca="1"/>
        <v>33397247</v>
      </c>
    </row>
    <row r="410" spans="4:9" x14ac:dyDescent="0.3">
      <c r="D410" s="100" vm="2354">
        <f ca="1"/>
        <v>44935</v>
      </c>
      <c r="E410" s="101" vm="16705">
        <f ca="1"/>
        <v>332.82</v>
      </c>
      <c r="F410" s="101" vm="16706">
        <f ca="1"/>
        <v>316.83</v>
      </c>
      <c r="G410" s="101" vm="16707">
        <f ca="1"/>
        <v>336.65</v>
      </c>
      <c r="H410" s="101" vm="15527">
        <f ca="1"/>
        <v>311.07</v>
      </c>
      <c r="I410" s="102" vm="16708">
        <f ca="1"/>
        <v>48561657</v>
      </c>
    </row>
    <row r="411" spans="4:9" x14ac:dyDescent="0.3">
      <c r="D411" s="100" vm="2360">
        <f ca="1"/>
        <v>44943</v>
      </c>
      <c r="E411" s="101" vm="16709">
        <f ca="1"/>
        <v>342.5</v>
      </c>
      <c r="F411" s="101" vm="16710">
        <f ca="1"/>
        <v>331.08</v>
      </c>
      <c r="G411" s="101" vm="15584">
        <f ca="1"/>
        <v>344</v>
      </c>
      <c r="H411" s="101" vm="16711">
        <f ca="1"/>
        <v>313.39</v>
      </c>
      <c r="I411" s="102" vm="16712">
        <f ca="1"/>
        <v>62291311</v>
      </c>
    </row>
    <row r="412" spans="4:9" x14ac:dyDescent="0.3">
      <c r="D412" s="100" vm="2365">
        <f ca="1"/>
        <v>44949</v>
      </c>
      <c r="E412" s="101" vm="16713">
        <f ca="1"/>
        <v>360.77</v>
      </c>
      <c r="F412" s="101" vm="16714">
        <f ca="1"/>
        <v>341.71499999999997</v>
      </c>
      <c r="G412" s="101" vm="16715">
        <f ca="1"/>
        <v>369.02</v>
      </c>
      <c r="H412" s="101" vm="16716">
        <f ca="1"/>
        <v>340.63290000000001</v>
      </c>
      <c r="I412" s="102" vm="16717">
        <f ca="1"/>
        <v>50170680</v>
      </c>
    </row>
    <row r="413" spans="4:9" x14ac:dyDescent="0.3">
      <c r="D413" s="100" vm="2371">
        <f ca="1"/>
        <v>44956</v>
      </c>
      <c r="E413" s="101" vm="16718">
        <f ca="1"/>
        <v>365.9</v>
      </c>
      <c r="F413" s="101" vm="16719">
        <f ca="1"/>
        <v>358.44</v>
      </c>
      <c r="G413" s="101" vm="16720">
        <f ca="1"/>
        <v>379.43009999999998</v>
      </c>
      <c r="H413" s="101" vm="16721">
        <f ca="1"/>
        <v>348.71</v>
      </c>
      <c r="I413" s="102" vm="16722">
        <f ca="1"/>
        <v>36052487</v>
      </c>
    </row>
    <row r="414" spans="4:9" x14ac:dyDescent="0.3">
      <c r="D414" s="100" vm="2376">
        <f ca="1"/>
        <v>44963</v>
      </c>
      <c r="E414" s="101" vm="16723">
        <f ca="1"/>
        <v>347.36</v>
      </c>
      <c r="F414" s="101" vm="16724">
        <f ca="1"/>
        <v>363.642</v>
      </c>
      <c r="G414" s="101" vm="16725">
        <f ca="1"/>
        <v>373.83</v>
      </c>
      <c r="H414" s="101" vm="16726">
        <f ca="1"/>
        <v>347.14</v>
      </c>
      <c r="I414" s="102" vm="16727">
        <f ca="1"/>
        <v>31729685</v>
      </c>
    </row>
    <row r="415" spans="4:9" x14ac:dyDescent="0.3">
      <c r="D415" s="100" vm="2382">
        <f ca="1"/>
        <v>44970</v>
      </c>
      <c r="E415" s="101" vm="16728">
        <f ca="1"/>
        <v>347.96</v>
      </c>
      <c r="F415" s="101" vm="16729">
        <f ca="1"/>
        <v>349.5</v>
      </c>
      <c r="G415" s="101" vm="16730">
        <f ca="1"/>
        <v>363.75</v>
      </c>
      <c r="H415" s="101" vm="16731">
        <f ca="1"/>
        <v>342.44</v>
      </c>
      <c r="I415" s="102" vm="16732">
        <f ca="1"/>
        <v>26239601</v>
      </c>
    </row>
    <row r="416" spans="4:9" x14ac:dyDescent="0.3">
      <c r="D416" s="100" vm="2388">
        <f ca="1"/>
        <v>44978</v>
      </c>
      <c r="E416" s="101" vm="16733">
        <f ca="1"/>
        <v>317.14999999999998</v>
      </c>
      <c r="F416" s="101" vm="16734">
        <f ca="1"/>
        <v>342.85</v>
      </c>
      <c r="G416" s="101" vm="16735">
        <f ca="1"/>
        <v>344.12529999999998</v>
      </c>
      <c r="H416" s="101" vm="16736">
        <f ca="1"/>
        <v>314.3</v>
      </c>
      <c r="I416" s="102" vm="16737">
        <f ca="1"/>
        <v>30325906</v>
      </c>
    </row>
    <row r="417" spans="4:9" x14ac:dyDescent="0.3">
      <c r="D417" s="100" vm="2394">
        <f ca="1"/>
        <v>44984</v>
      </c>
      <c r="E417" s="101" vm="16738">
        <f ca="1"/>
        <v>315.18</v>
      </c>
      <c r="F417" s="101" vm="16739">
        <f ca="1"/>
        <v>323.87</v>
      </c>
      <c r="G417" s="101" vm="12314">
        <f ca="1"/>
        <v>330</v>
      </c>
      <c r="H417" s="101" vm="16740">
        <f ca="1"/>
        <v>310.38</v>
      </c>
      <c r="I417" s="102" vm="16741">
        <f ca="1"/>
        <v>25604338</v>
      </c>
    </row>
    <row r="418" spans="4:9" x14ac:dyDescent="0.3">
      <c r="D418" s="100" vm="2400">
        <f ca="1"/>
        <v>44991</v>
      </c>
      <c r="E418" s="101" vm="16742">
        <f ca="1"/>
        <v>292.76</v>
      </c>
      <c r="F418" s="101" vm="12312">
        <f ca="1"/>
        <v>317</v>
      </c>
      <c r="G418" s="101" vm="16743">
        <f ca="1"/>
        <v>323.3</v>
      </c>
      <c r="H418" s="101" vm="9445">
        <f ca="1"/>
        <v>289</v>
      </c>
      <c r="I418" s="102" vm="16744">
        <f ca="1"/>
        <v>26895964</v>
      </c>
    </row>
    <row r="419" spans="4:9" x14ac:dyDescent="0.3">
      <c r="D419" s="100" vm="2406">
        <f ca="1"/>
        <v>44998</v>
      </c>
      <c r="E419" s="101" vm="16745">
        <f ca="1"/>
        <v>303.5</v>
      </c>
      <c r="F419" s="101" vm="16746">
        <f ca="1"/>
        <v>287.33999999999997</v>
      </c>
      <c r="G419" s="101" vm="16747">
        <f ca="1"/>
        <v>316.60000000000002</v>
      </c>
      <c r="H419" s="101" vm="16748">
        <f ca="1"/>
        <v>285.33010000000002</v>
      </c>
      <c r="I419" s="102" vm="16749">
        <f ca="1"/>
        <v>36295565</v>
      </c>
    </row>
    <row r="420" spans="4:9" x14ac:dyDescent="0.3">
      <c r="D420" s="100" vm="2411">
        <f ca="1"/>
        <v>45005</v>
      </c>
      <c r="E420" s="101" vm="16750">
        <f ca="1"/>
        <v>328.39</v>
      </c>
      <c r="F420" s="101" vm="16751">
        <f ca="1"/>
        <v>299.79000000000002</v>
      </c>
      <c r="G420" s="101" vm="16752">
        <f ca="1"/>
        <v>331.83</v>
      </c>
      <c r="H420" s="101" vm="16753">
        <f ca="1"/>
        <v>293.54000000000002</v>
      </c>
      <c r="I420" s="102" vm="16754">
        <f ca="1"/>
        <v>44465176</v>
      </c>
    </row>
    <row r="421" spans="4:9" x14ac:dyDescent="0.3">
      <c r="D421" s="100" vm="2417">
        <f ca="1"/>
        <v>45012</v>
      </c>
      <c r="E421" s="101" vm="16755">
        <f ca="1"/>
        <v>345.48</v>
      </c>
      <c r="F421" s="101" vm="16756">
        <f ca="1"/>
        <v>327.55</v>
      </c>
      <c r="G421" s="101" vm="16757">
        <f ca="1"/>
        <v>345.84</v>
      </c>
      <c r="H421" s="101" vm="16758">
        <f ca="1"/>
        <v>321.27999999999997</v>
      </c>
      <c r="I421" s="102" vm="16759">
        <f ca="1"/>
        <v>34144116</v>
      </c>
    </row>
    <row r="422" spans="4:9" x14ac:dyDescent="0.3">
      <c r="D422" s="100" vm="2423">
        <f ca="1"/>
        <v>45019</v>
      </c>
      <c r="E422" s="101" vm="16760">
        <f ca="1"/>
        <v>339.33</v>
      </c>
      <c r="F422" s="101" vm="16761">
        <f ca="1"/>
        <v>341.83</v>
      </c>
      <c r="G422" s="101" vm="16762">
        <f ca="1"/>
        <v>349.8</v>
      </c>
      <c r="H422" s="101" vm="16763">
        <f ca="1"/>
        <v>332.63</v>
      </c>
      <c r="I422" s="102" vm="16764">
        <f ca="1"/>
        <v>16577809</v>
      </c>
    </row>
    <row r="423" spans="4:9" x14ac:dyDescent="0.3">
      <c r="D423" s="100" vm="2429">
        <f ca="1"/>
        <v>45026</v>
      </c>
      <c r="E423" s="101" vm="16765">
        <f ca="1"/>
        <v>338.63</v>
      </c>
      <c r="F423" s="101" vm="16766">
        <f ca="1"/>
        <v>335.27</v>
      </c>
      <c r="G423" s="101" vm="16726">
        <f ca="1"/>
        <v>347.14</v>
      </c>
      <c r="H423" s="101" vm="16767">
        <f ca="1"/>
        <v>330.04</v>
      </c>
      <c r="I423" s="102" vm="16768">
        <f ca="1"/>
        <v>23425061</v>
      </c>
    </row>
    <row r="424" spans="4:9" x14ac:dyDescent="0.3">
      <c r="D424" s="100" vm="2435">
        <f ca="1"/>
        <v>45033</v>
      </c>
      <c r="E424" s="101" vm="16769">
        <f ca="1"/>
        <v>327.98</v>
      </c>
      <c r="F424" s="101" vm="15726">
        <f ca="1"/>
        <v>338</v>
      </c>
      <c r="G424" s="101" vm="16770">
        <f ca="1"/>
        <v>338.39</v>
      </c>
      <c r="H424" s="101" vm="16771">
        <f ca="1"/>
        <v>316.10000000000002</v>
      </c>
      <c r="I424" s="102" vm="16772">
        <f ca="1"/>
        <v>62504610</v>
      </c>
    </row>
    <row r="425" spans="4:9" x14ac:dyDescent="0.3">
      <c r="D425" s="100" vm="2440">
        <f ca="1"/>
        <v>45040</v>
      </c>
      <c r="E425" s="101" vm="16773">
        <f ca="1"/>
        <v>329.93</v>
      </c>
      <c r="F425" s="101" vm="16774">
        <f ca="1"/>
        <v>330.2</v>
      </c>
      <c r="G425" s="101" vm="16775">
        <f ca="1"/>
        <v>334.66</v>
      </c>
      <c r="H425" s="101" vm="16776">
        <f ca="1"/>
        <v>317.44</v>
      </c>
      <c r="I425" s="102" vm="16777">
        <f ca="1"/>
        <v>25483649</v>
      </c>
    </row>
    <row r="426" spans="4:9" x14ac:dyDescent="0.3">
      <c r="D426" s="100" vm="2445">
        <f ca="1"/>
        <v>45047</v>
      </c>
      <c r="E426" s="101" vm="16778">
        <f ca="1"/>
        <v>322.76</v>
      </c>
      <c r="F426" s="101" vm="16779">
        <f ca="1"/>
        <v>329.435</v>
      </c>
      <c r="G426" s="101" vm="16780">
        <f ca="1"/>
        <v>331.23</v>
      </c>
      <c r="H426" s="101" vm="16781">
        <f ca="1"/>
        <v>315.62</v>
      </c>
      <c r="I426" s="102" vm="16782">
        <f ca="1"/>
        <v>22594447</v>
      </c>
    </row>
    <row r="427" spans="4:9" x14ac:dyDescent="0.3">
      <c r="D427" s="100" vm="2451">
        <f ca="1"/>
        <v>45054</v>
      </c>
      <c r="E427" s="101" vm="15602">
        <f ca="1"/>
        <v>339.89</v>
      </c>
      <c r="F427" s="101" vm="16783">
        <f ca="1"/>
        <v>322.99</v>
      </c>
      <c r="G427" s="101" vm="16784">
        <f ca="1"/>
        <v>348.16640000000001</v>
      </c>
      <c r="H427" s="101" vm="16785">
        <f ca="1"/>
        <v>322.02999999999997</v>
      </c>
      <c r="I427" s="102" vm="16786">
        <f ca="1"/>
        <v>29439233</v>
      </c>
    </row>
    <row r="428" spans="4:9" x14ac:dyDescent="0.3">
      <c r="D428" s="100" vm="2457">
        <f ca="1"/>
        <v>45061</v>
      </c>
      <c r="E428" s="101" vm="16787">
        <f ca="1"/>
        <v>365.36</v>
      </c>
      <c r="F428" s="101" vm="16788">
        <f ca="1"/>
        <v>340.62</v>
      </c>
      <c r="G428" s="101" vm="16789">
        <f ca="1"/>
        <v>375.87</v>
      </c>
      <c r="H428" s="101" vm="16790">
        <f ca="1"/>
        <v>329.61500000000001</v>
      </c>
      <c r="I428" s="102" vm="16791">
        <f ca="1"/>
        <v>39731578</v>
      </c>
    </row>
    <row r="429" spans="4:9" x14ac:dyDescent="0.3">
      <c r="D429" s="100" vm="2463">
        <f ca="1"/>
        <v>45068</v>
      </c>
      <c r="E429" s="101" vm="16792">
        <f ca="1"/>
        <v>378.88</v>
      </c>
      <c r="F429" s="101" vm="16787">
        <f ca="1"/>
        <v>365.36</v>
      </c>
      <c r="G429" s="101" vm="16793">
        <f ca="1"/>
        <v>383.76</v>
      </c>
      <c r="H429" s="101" vm="16794">
        <f ca="1"/>
        <v>354.31</v>
      </c>
      <c r="I429" s="102" vm="16795">
        <f ca="1"/>
        <v>35869355</v>
      </c>
    </row>
    <row r="430" spans="4:9" x14ac:dyDescent="0.3">
      <c r="D430" s="100" vm="2469">
        <f ca="1"/>
        <v>45076</v>
      </c>
      <c r="E430" s="101" vm="16796">
        <f ca="1"/>
        <v>400.47</v>
      </c>
      <c r="F430" s="101" vm="16797">
        <f ca="1"/>
        <v>397.48</v>
      </c>
      <c r="G430" s="101" vm="16798">
        <f ca="1"/>
        <v>407.52</v>
      </c>
      <c r="H430" s="101" vm="16799">
        <f ca="1"/>
        <v>385.79</v>
      </c>
      <c r="I430" s="102" vm="16800">
        <f ca="1"/>
        <v>30915563</v>
      </c>
    </row>
    <row r="431" spans="4:9" x14ac:dyDescent="0.3">
      <c r="D431" s="100" vm="2475">
        <f ca="1"/>
        <v>45082</v>
      </c>
      <c r="E431" s="101" vm="16801">
        <f ca="1"/>
        <v>420.02</v>
      </c>
      <c r="F431" s="101" vm="16796">
        <f ca="1"/>
        <v>400.47</v>
      </c>
      <c r="G431" s="101" vm="16802">
        <f ca="1"/>
        <v>425.9</v>
      </c>
      <c r="H431" s="101" vm="16803">
        <f ca="1"/>
        <v>396.34</v>
      </c>
      <c r="I431" s="102" vm="16804">
        <f ca="1"/>
        <v>42535251</v>
      </c>
    </row>
    <row r="432" spans="4:9" x14ac:dyDescent="0.3">
      <c r="D432" s="100" vm="2481">
        <f ca="1"/>
        <v>45089</v>
      </c>
      <c r="E432" s="101" vm="16805">
        <f ca="1"/>
        <v>431.96</v>
      </c>
      <c r="F432" s="101" vm="16055">
        <f ca="1"/>
        <v>418.83</v>
      </c>
      <c r="G432" s="101" vm="16806">
        <f ca="1"/>
        <v>448.65</v>
      </c>
      <c r="H432" s="101" vm="16807">
        <f ca="1"/>
        <v>416.56689999999998</v>
      </c>
      <c r="I432" s="102" vm="16808">
        <f ca="1"/>
        <v>38054991</v>
      </c>
    </row>
    <row r="433" spans="4:9" x14ac:dyDescent="0.3">
      <c r="D433" s="100" vm="2487">
        <f ca="1"/>
        <v>45097</v>
      </c>
      <c r="E433" s="101" vm="16809">
        <f ca="1"/>
        <v>424.02</v>
      </c>
      <c r="F433" s="101" vm="16810">
        <f ca="1"/>
        <v>430.18</v>
      </c>
      <c r="G433" s="101" vm="16811">
        <f ca="1"/>
        <v>440</v>
      </c>
      <c r="H433" s="101" vm="16812">
        <f ca="1"/>
        <v>417.73</v>
      </c>
      <c r="I433" s="102" vm="16813">
        <f ca="1"/>
        <v>23079600</v>
      </c>
    </row>
    <row r="434" spans="4:9" x14ac:dyDescent="0.3">
      <c r="D434" s="100" vm="2493">
        <f ca="1"/>
        <v>45103</v>
      </c>
      <c r="E434" s="101" vm="16814">
        <f ca="1"/>
        <v>440.49</v>
      </c>
      <c r="F434" s="101" vm="16815">
        <f ca="1"/>
        <v>422.435</v>
      </c>
      <c r="G434" s="101" vm="16816">
        <f ca="1"/>
        <v>444.12</v>
      </c>
      <c r="H434" s="101" vm="16817">
        <f ca="1"/>
        <v>411.5</v>
      </c>
      <c r="I434" s="102" vm="16818">
        <f ca="1"/>
        <v>30548134</v>
      </c>
    </row>
    <row r="435" spans="4:9" x14ac:dyDescent="0.3">
      <c r="D435" s="100" vm="2499">
        <f ca="1"/>
        <v>45110</v>
      </c>
      <c r="E435" s="101" vm="16819">
        <f ca="1"/>
        <v>438.1</v>
      </c>
      <c r="F435" s="101" vm="16820">
        <f ca="1"/>
        <v>439.76</v>
      </c>
      <c r="G435" s="101" vm="16821">
        <f ca="1"/>
        <v>450.97</v>
      </c>
      <c r="H435" s="101" vm="16822">
        <f ca="1"/>
        <v>430.72</v>
      </c>
      <c r="I435" s="102" vm="16823">
        <f ca="1"/>
        <v>19718657</v>
      </c>
    </row>
    <row r="436" spans="4:9" x14ac:dyDescent="0.3">
      <c r="D436" s="100" vm="2505">
        <f ca="1"/>
        <v>45117</v>
      </c>
      <c r="E436" s="101" vm="16824">
        <f ca="1"/>
        <v>441.91</v>
      </c>
      <c r="F436" s="101" vm="16825">
        <f ca="1"/>
        <v>438.52</v>
      </c>
      <c r="G436" s="101" vm="16826">
        <f ca="1"/>
        <v>456.48</v>
      </c>
      <c r="H436" s="101" vm="16827">
        <f ca="1"/>
        <v>431.04149999999998</v>
      </c>
      <c r="I436" s="102" vm="16828">
        <f ca="1"/>
        <v>27911288</v>
      </c>
    </row>
    <row r="437" spans="4:9" x14ac:dyDescent="0.3">
      <c r="D437" s="100" vm="2511">
        <f ca="1"/>
        <v>45124</v>
      </c>
      <c r="E437" s="101" vm="16829">
        <f ca="1"/>
        <v>427.5</v>
      </c>
      <c r="F437" s="101" vm="16061">
        <f ca="1"/>
        <v>445.57</v>
      </c>
      <c r="G437" s="101" vm="16830">
        <f ca="1"/>
        <v>485</v>
      </c>
      <c r="H437" s="101" vm="16831">
        <f ca="1"/>
        <v>423.19</v>
      </c>
      <c r="I437" s="102" vm="16832">
        <f ca="1"/>
        <v>82424238</v>
      </c>
    </row>
    <row r="438" spans="4:9" x14ac:dyDescent="0.3">
      <c r="D438" s="100" vm="2517">
        <f ca="1"/>
        <v>45131</v>
      </c>
      <c r="E438" s="101" vm="16833">
        <f ca="1"/>
        <v>425.78</v>
      </c>
      <c r="F438" s="101" vm="16030">
        <f ca="1"/>
        <v>425</v>
      </c>
      <c r="G438" s="101" vm="16834">
        <f ca="1"/>
        <v>430.87990000000002</v>
      </c>
      <c r="H438" s="101" vm="16835">
        <f ca="1"/>
        <v>411.88</v>
      </c>
      <c r="I438" s="102" vm="16836">
        <f ca="1"/>
        <v>32174058</v>
      </c>
    </row>
    <row r="439" spans="4:9" x14ac:dyDescent="0.3">
      <c r="D439" s="100" vm="2523">
        <f ca="1"/>
        <v>45138</v>
      </c>
      <c r="E439" s="101" vm="16837">
        <f ca="1"/>
        <v>431.6</v>
      </c>
      <c r="F439" s="101" vm="16838">
        <f ca="1"/>
        <v>426.51</v>
      </c>
      <c r="G439" s="101" vm="16839">
        <f ca="1"/>
        <v>445.24990000000003</v>
      </c>
      <c r="H439" s="101" vm="16840">
        <f ca="1"/>
        <v>426.27</v>
      </c>
      <c r="I439" s="102" vm="16841">
        <f ca="1"/>
        <v>28936064</v>
      </c>
    </row>
    <row r="440" spans="4:9" x14ac:dyDescent="0.3">
      <c r="D440" s="100" vm="2529">
        <f ca="1"/>
        <v>45145</v>
      </c>
      <c r="E440" s="101" vm="16842">
        <f ca="1"/>
        <v>421.66</v>
      </c>
      <c r="F440" s="101" vm="16843">
        <f ca="1"/>
        <v>436.45499999999998</v>
      </c>
      <c r="G440" s="101" vm="16844">
        <f ca="1"/>
        <v>443.57</v>
      </c>
      <c r="H440" s="101" vm="16845">
        <f ca="1"/>
        <v>421.32769999999999</v>
      </c>
      <c r="I440" s="102" vm="16846">
        <f ca="1"/>
        <v>21790658</v>
      </c>
    </row>
    <row r="441" spans="4:9" x14ac:dyDescent="0.3">
      <c r="D441" s="100" vm="2534">
        <f ca="1"/>
        <v>45152</v>
      </c>
      <c r="E441" s="101" vm="16847">
        <f ca="1"/>
        <v>404.53</v>
      </c>
      <c r="F441" s="101" vm="16848">
        <f ca="1"/>
        <v>421.99</v>
      </c>
      <c r="G441" s="101" vm="16849">
        <f ca="1"/>
        <v>429.12</v>
      </c>
      <c r="H441" s="101" vm="16850">
        <f ca="1"/>
        <v>398.15</v>
      </c>
      <c r="I441" s="102" vm="16851">
        <f ca="1"/>
        <v>21644647</v>
      </c>
    </row>
    <row r="442" spans="4:9" x14ac:dyDescent="0.3">
      <c r="D442" s="100" vm="2540">
        <f ca="1"/>
        <v>45159</v>
      </c>
      <c r="E442" s="101" vm="16852">
        <f ca="1"/>
        <v>416.03</v>
      </c>
      <c r="F442" s="101" vm="16853">
        <f ca="1"/>
        <v>402.23</v>
      </c>
      <c r="G442" s="101" vm="16854">
        <f ca="1"/>
        <v>437.02</v>
      </c>
      <c r="H442" s="101" vm="16855">
        <f ca="1"/>
        <v>399.5</v>
      </c>
      <c r="I442" s="102" vm="16856">
        <f ca="1"/>
        <v>26718316</v>
      </c>
    </row>
    <row r="443" spans="4:9" x14ac:dyDescent="0.3">
      <c r="D443" s="100" vm="2546">
        <f ca="1"/>
        <v>45166</v>
      </c>
      <c r="E443" s="101" vm="16857">
        <f ca="1"/>
        <v>439.88</v>
      </c>
      <c r="F443" s="101" vm="16858">
        <f ca="1"/>
        <v>418.04</v>
      </c>
      <c r="G443" s="101" vm="16859">
        <f ca="1"/>
        <v>445.5</v>
      </c>
      <c r="H443" s="101" vm="16860">
        <f ca="1"/>
        <v>413.27</v>
      </c>
      <c r="I443" s="102" vm="16861">
        <f ca="1"/>
        <v>19637029</v>
      </c>
    </row>
    <row r="444" spans="4:9" x14ac:dyDescent="0.3">
      <c r="D444" s="100" vm="2552">
        <f ca="1"/>
        <v>45174</v>
      </c>
      <c r="E444" s="101" vm="16862">
        <f ca="1"/>
        <v>442.8</v>
      </c>
      <c r="F444" s="101" vm="16863">
        <f ca="1"/>
        <v>438.39</v>
      </c>
      <c r="G444" s="101" vm="16864">
        <f ca="1"/>
        <v>453.45</v>
      </c>
      <c r="H444" s="101" vm="16865">
        <f ca="1"/>
        <v>436.7</v>
      </c>
      <c r="I444" s="102" vm="16866">
        <f ca="1"/>
        <v>15645168</v>
      </c>
    </row>
    <row r="445" spans="4:9" x14ac:dyDescent="0.3">
      <c r="D445" s="100" vm="2558">
        <f ca="1"/>
        <v>45180</v>
      </c>
      <c r="E445" s="101" vm="16867">
        <f ca="1"/>
        <v>396.94</v>
      </c>
      <c r="F445" s="101" vm="16868">
        <f ca="1"/>
        <v>443.07</v>
      </c>
      <c r="G445" s="101" vm="16869">
        <f ca="1"/>
        <v>449.89</v>
      </c>
      <c r="H445" s="101" vm="16870">
        <f ca="1"/>
        <v>395.03</v>
      </c>
      <c r="I445" s="102" vm="16871">
        <f ca="1"/>
        <v>37706606</v>
      </c>
    </row>
    <row r="446" spans="4:9" x14ac:dyDescent="0.3">
      <c r="D446" s="100" vm="2564">
        <f ca="1"/>
        <v>45187</v>
      </c>
      <c r="E446" s="101" vm="16872">
        <f ca="1"/>
        <v>379.81</v>
      </c>
      <c r="F446" s="101" vm="16873">
        <f ca="1"/>
        <v>395.5</v>
      </c>
      <c r="G446" s="101" vm="16874">
        <f ca="1"/>
        <v>399.46499999999997</v>
      </c>
      <c r="H446" s="101" vm="16875">
        <f ca="1"/>
        <v>378.36</v>
      </c>
      <c r="I446" s="102" vm="16876">
        <f ca="1"/>
        <v>21907563</v>
      </c>
    </row>
    <row r="447" spans="4:9" x14ac:dyDescent="0.3">
      <c r="D447" s="100" vm="2570">
        <f ca="1"/>
        <v>45194</v>
      </c>
      <c r="E447" s="101" vm="16877">
        <f ca="1"/>
        <v>377.6</v>
      </c>
      <c r="F447" s="101" vm="16878">
        <f ca="1"/>
        <v>382.9</v>
      </c>
      <c r="G447" s="101" vm="16879">
        <f ca="1"/>
        <v>386.62</v>
      </c>
      <c r="H447" s="101" vm="16880">
        <f ca="1"/>
        <v>371.1</v>
      </c>
      <c r="I447" s="102" vm="16881">
        <f ca="1"/>
        <v>20265395</v>
      </c>
    </row>
    <row r="448" spans="4:9" x14ac:dyDescent="0.3">
      <c r="D448" s="100" vm="2576">
        <f ca="1"/>
        <v>45201</v>
      </c>
      <c r="E448" s="101" vm="16882">
        <f ca="1"/>
        <v>381.51</v>
      </c>
      <c r="F448" s="101" vm="16883">
        <f ca="1"/>
        <v>377.48</v>
      </c>
      <c r="G448" s="101" vm="16884">
        <f ca="1"/>
        <v>394.9</v>
      </c>
      <c r="H448" s="101" vm="16885">
        <f ca="1"/>
        <v>367.24</v>
      </c>
      <c r="I448" s="102" vm="16886">
        <f ca="1"/>
        <v>26096784</v>
      </c>
    </row>
    <row r="449" spans="4:9" x14ac:dyDescent="0.3">
      <c r="D449" s="100" vm="2582">
        <f ca="1"/>
        <v>45208</v>
      </c>
      <c r="E449" s="101" vm="16887">
        <f ca="1"/>
        <v>355.68</v>
      </c>
      <c r="F449" s="101" vm="16888">
        <f ca="1"/>
        <v>378.05</v>
      </c>
      <c r="G449" s="101" vm="16889">
        <f ca="1"/>
        <v>388.7</v>
      </c>
      <c r="H449" s="101" vm="16890">
        <f ca="1"/>
        <v>352.05</v>
      </c>
      <c r="I449" s="102" vm="16891">
        <f ca="1"/>
        <v>33432542</v>
      </c>
    </row>
    <row r="450" spans="4:9" x14ac:dyDescent="0.3">
      <c r="D450" s="100" vm="2588">
        <f ca="1"/>
        <v>45215</v>
      </c>
      <c r="E450" s="101" vm="16892">
        <f ca="1"/>
        <v>400.96</v>
      </c>
      <c r="F450" s="101" vm="10023">
        <f ca="1"/>
        <v>356.21</v>
      </c>
      <c r="G450" s="101" vm="16893">
        <f ca="1"/>
        <v>410.64</v>
      </c>
      <c r="H450" s="101" vm="16894">
        <f ca="1"/>
        <v>344.73</v>
      </c>
      <c r="I450" s="102" vm="16895">
        <f ca="1"/>
        <v>63324340</v>
      </c>
    </row>
    <row r="451" spans="4:9" x14ac:dyDescent="0.3">
      <c r="D451" s="100" vm="2594">
        <f ca="1"/>
        <v>45222</v>
      </c>
      <c r="E451" s="101" vm="16896">
        <f ca="1"/>
        <v>397.87</v>
      </c>
      <c r="F451" s="101" vm="16897">
        <f ca="1"/>
        <v>403.32</v>
      </c>
      <c r="G451" s="101" vm="16898">
        <f ca="1"/>
        <v>418.84</v>
      </c>
      <c r="H451" s="101" vm="16899">
        <f ca="1"/>
        <v>395.62</v>
      </c>
      <c r="I451" s="102" vm="16900">
        <f ca="1"/>
        <v>31996180</v>
      </c>
    </row>
    <row r="452" spans="4:9" x14ac:dyDescent="0.3">
      <c r="D452" s="100" vm="2600">
        <f ca="1"/>
        <v>45229</v>
      </c>
      <c r="E452" s="101" vm="16901">
        <f ca="1"/>
        <v>432.36</v>
      </c>
      <c r="F452" s="101" vm="16902">
        <f ca="1"/>
        <v>402.35</v>
      </c>
      <c r="G452" s="101" vm="16903">
        <f ca="1"/>
        <v>434.815</v>
      </c>
      <c r="H452" s="101" vm="16904">
        <f ca="1"/>
        <v>399.41</v>
      </c>
      <c r="I452" s="102" vm="16905">
        <f ca="1"/>
        <v>22143913</v>
      </c>
    </row>
    <row r="453" spans="4:9" x14ac:dyDescent="0.3">
      <c r="D453" s="100" vm="2605">
        <f ca="1"/>
        <v>45236</v>
      </c>
      <c r="E453" s="101" vm="16906">
        <f ca="1"/>
        <v>447.24</v>
      </c>
      <c r="F453" s="101" vm="16907">
        <f ca="1"/>
        <v>434.38</v>
      </c>
      <c r="G453" s="101" vm="16908">
        <f ca="1"/>
        <v>447.48</v>
      </c>
      <c r="H453" s="101" vm="16909">
        <f ca="1"/>
        <v>429.61</v>
      </c>
      <c r="I453" s="102" vm="16910">
        <f ca="1"/>
        <v>15829935</v>
      </c>
    </row>
    <row r="454" spans="4:9" x14ac:dyDescent="0.3">
      <c r="D454" s="100" vm="2611">
        <f ca="1"/>
        <v>45243</v>
      </c>
      <c r="E454" s="101" vm="16911">
        <f ca="1"/>
        <v>465.91</v>
      </c>
      <c r="F454" s="101" vm="16912">
        <f ca="1"/>
        <v>447.25</v>
      </c>
      <c r="G454" s="101" vm="16913">
        <f ca="1"/>
        <v>467.65</v>
      </c>
      <c r="H454" s="101" vm="16914">
        <f ca="1"/>
        <v>442.6</v>
      </c>
      <c r="I454" s="102" vm="16915">
        <f ca="1"/>
        <v>18448498</v>
      </c>
    </row>
    <row r="455" spans="4:9" x14ac:dyDescent="0.3">
      <c r="D455" s="100" vm="2617">
        <f ca="1"/>
        <v>45250</v>
      </c>
      <c r="E455" s="101" vm="16916">
        <f ca="1"/>
        <v>479.56</v>
      </c>
      <c r="F455" s="101" vm="16917">
        <f ca="1"/>
        <v>465.4</v>
      </c>
      <c r="G455" s="101" vm="16918">
        <f ca="1"/>
        <v>482.7</v>
      </c>
      <c r="H455" s="101" vm="16917">
        <f ca="1"/>
        <v>465.4</v>
      </c>
      <c r="I455" s="102" vm="16919">
        <f ca="1"/>
        <v>10867441</v>
      </c>
    </row>
    <row r="456" spans="4:9" x14ac:dyDescent="0.3">
      <c r="D456" s="100" vm="2623">
        <f ca="1"/>
        <v>45257</v>
      </c>
      <c r="E456" s="101" vm="16920">
        <f ca="1"/>
        <v>465.74</v>
      </c>
      <c r="F456" s="101" vm="16921">
        <f ca="1"/>
        <v>479.03</v>
      </c>
      <c r="G456" s="101" vm="16922">
        <f ca="1"/>
        <v>482</v>
      </c>
      <c r="H456" s="101" vm="16923">
        <f ca="1"/>
        <v>464.6</v>
      </c>
      <c r="I456" s="102" vm="16924">
        <f ca="1"/>
        <v>18000448</v>
      </c>
    </row>
    <row r="457" spans="4:9" x14ac:dyDescent="0.3">
      <c r="D457" s="100" vm="2628">
        <f ca="1"/>
        <v>45264</v>
      </c>
      <c r="E457" s="101" vm="16925">
        <f ca="1"/>
        <v>453.76</v>
      </c>
      <c r="F457" s="101" vm="16926">
        <f ca="1"/>
        <v>460.99</v>
      </c>
      <c r="G457" s="101" vm="16927">
        <f ca="1"/>
        <v>461.2</v>
      </c>
      <c r="H457" s="101" vm="16928">
        <f ca="1"/>
        <v>445.73</v>
      </c>
      <c r="I457" s="102" vm="16929">
        <f ca="1"/>
        <v>19682248</v>
      </c>
    </row>
    <row r="458" spans="4:9" x14ac:dyDescent="0.3">
      <c r="D458" s="100" vm="2633">
        <f ca="1"/>
        <v>45271</v>
      </c>
      <c r="E458" s="101" vm="16930">
        <f ca="1"/>
        <v>472.06</v>
      </c>
      <c r="F458" s="101" vm="16931">
        <f ca="1"/>
        <v>459.36</v>
      </c>
      <c r="G458" s="101" vm="16932">
        <f ca="1"/>
        <v>481.25</v>
      </c>
      <c r="H458" s="101" vm="16933">
        <f ca="1"/>
        <v>457.21</v>
      </c>
      <c r="I458" s="102" vm="16934">
        <f ca="1"/>
        <v>27069943</v>
      </c>
    </row>
    <row r="459" spans="4:9" x14ac:dyDescent="0.3">
      <c r="D459" s="103" vm="2639">
        <f ca="1"/>
        <v>45278</v>
      </c>
      <c r="E459" s="101" vm="16935">
        <f ca="1"/>
        <v>486.76</v>
      </c>
      <c r="F459" s="101" vm="16936">
        <f ca="1"/>
        <v>476.3</v>
      </c>
      <c r="G459" s="101" vm="16937">
        <f ca="1"/>
        <v>500.89</v>
      </c>
      <c r="H459" s="101" vm="16938">
        <f ca="1"/>
        <v>475.09500000000003</v>
      </c>
      <c r="I459" s="102" vm="16939">
        <f ca="1"/>
        <v>20282261</v>
      </c>
    </row>
    <row r="460" spans="4:9" x14ac:dyDescent="0.3">
      <c r="D460" s="100" vm="2645">
        <f ca="1"/>
        <v>45286</v>
      </c>
      <c r="E460" s="101" vm="16940">
        <f ca="1"/>
        <v>486.88</v>
      </c>
      <c r="F460" s="101" vm="16941">
        <f ca="1"/>
        <v>489.39</v>
      </c>
      <c r="G460" s="101" vm="16942">
        <f ca="1"/>
        <v>494.01499999999999</v>
      </c>
      <c r="H460" s="101" vm="16943">
        <f ca="1"/>
        <v>481.935</v>
      </c>
      <c r="I460" s="102" vm="16944">
        <f ca="1"/>
        <v>9046894</v>
      </c>
    </row>
    <row r="461" spans="4:9" x14ac:dyDescent="0.3">
      <c r="D461" s="100" vm="2651">
        <f ca="1"/>
        <v>45293</v>
      </c>
      <c r="E461" s="101" vm="16945">
        <f ca="1"/>
        <v>474.06</v>
      </c>
      <c r="F461" s="101" vm="16946">
        <f ca="1"/>
        <v>483.185</v>
      </c>
      <c r="G461" s="101" vm="16947">
        <f ca="1"/>
        <v>484.65</v>
      </c>
      <c r="H461" s="101" vm="16948">
        <f ca="1"/>
        <v>461.86</v>
      </c>
      <c r="I461" s="102" vm="16949">
        <f ca="1"/>
        <v>14760880</v>
      </c>
    </row>
    <row r="462" spans="4:9" x14ac:dyDescent="0.3">
      <c r="D462" s="100" vm="2657">
        <f ca="1"/>
        <v>45299</v>
      </c>
      <c r="E462" s="101" vm="16950">
        <f ca="1"/>
        <v>492.16</v>
      </c>
      <c r="F462" s="101" vm="16951">
        <f ca="1"/>
        <v>473.89</v>
      </c>
      <c r="G462" s="101" vm="16952">
        <f ca="1"/>
        <v>503.41</v>
      </c>
      <c r="H462" s="101" vm="16953">
        <f ca="1"/>
        <v>472.95</v>
      </c>
      <c r="I462" s="102" vm="16954">
        <f ca="1"/>
        <v>24541963</v>
      </c>
    </row>
    <row r="463" spans="4:9" x14ac:dyDescent="0.3">
      <c r="D463" s="100" vm="2663">
        <f ca="1"/>
        <v>45307</v>
      </c>
      <c r="E463" s="101" vm="16955">
        <f ca="1"/>
        <v>482.95</v>
      </c>
      <c r="F463" s="101" vm="16956">
        <f ca="1"/>
        <v>490</v>
      </c>
      <c r="G463" s="101" vm="16957">
        <f ca="1"/>
        <v>494.15</v>
      </c>
      <c r="H463" s="101" vm="16958">
        <f ca="1"/>
        <v>475.26420000000002</v>
      </c>
      <c r="I463" s="102" vm="16959">
        <f ca="1"/>
        <v>19300317</v>
      </c>
    </row>
    <row r="464" spans="4:9" x14ac:dyDescent="0.3">
      <c r="D464" s="100" vm="2668">
        <f ca="1"/>
        <v>45313</v>
      </c>
      <c r="E464" s="101" vm="16960">
        <f ca="1"/>
        <v>570.41999999999996</v>
      </c>
      <c r="F464" s="101" vm="16961">
        <f ca="1"/>
        <v>487.55</v>
      </c>
      <c r="G464" s="101" vm="16962">
        <f ca="1"/>
        <v>579.64</v>
      </c>
      <c r="H464" s="101" vm="16963">
        <f ca="1"/>
        <v>479.9</v>
      </c>
      <c r="I464" s="102" vm="16964">
        <f ca="1"/>
        <v>69373616</v>
      </c>
    </row>
    <row r="465" spans="4:9" x14ac:dyDescent="0.3">
      <c r="D465" s="100" vm="2673">
        <f ca="1"/>
        <v>45320</v>
      </c>
      <c r="E465" s="101" vm="16965">
        <f ca="1"/>
        <v>564.64</v>
      </c>
      <c r="F465" s="101" vm="16966">
        <f ca="1"/>
        <v>571.35</v>
      </c>
      <c r="G465" s="101" vm="16967">
        <f ca="1"/>
        <v>578.54989999999998</v>
      </c>
      <c r="H465" s="101" vm="16968">
        <f ca="1"/>
        <v>560.82000000000005</v>
      </c>
      <c r="I465" s="102" vm="16969">
        <f ca="1"/>
        <v>25151632</v>
      </c>
    </row>
    <row r="466" spans="4:9" x14ac:dyDescent="0.3">
      <c r="D466" s="100" vm="2679">
        <f ca="1"/>
        <v>45327</v>
      </c>
      <c r="E466" s="101" vm="16970">
        <f ca="1"/>
        <v>561.32000000000005</v>
      </c>
      <c r="F466" s="101" vm="16971">
        <f ca="1"/>
        <v>562.47</v>
      </c>
      <c r="G466" s="101" vm="16972">
        <f ca="1"/>
        <v>575.75</v>
      </c>
      <c r="H466" s="101" vm="16973">
        <f ca="1"/>
        <v>554.37</v>
      </c>
      <c r="I466" s="102" vm="16974">
        <f ca="1"/>
        <v>17588156</v>
      </c>
    </row>
    <row r="467" spans="4:9" x14ac:dyDescent="0.3">
      <c r="D467" s="100" vm="2685">
        <f ca="1"/>
        <v>45334</v>
      </c>
      <c r="E467" s="101" vm="16975">
        <f ca="1"/>
        <v>583.95000000000005</v>
      </c>
      <c r="F467" s="101" vm="16976">
        <f ca="1"/>
        <v>560.36</v>
      </c>
      <c r="G467" s="101" vm="16977">
        <f ca="1"/>
        <v>597</v>
      </c>
      <c r="H467" s="101" vm="16978">
        <f ca="1"/>
        <v>549</v>
      </c>
      <c r="I467" s="102" vm="16979">
        <f ca="1"/>
        <v>22300793</v>
      </c>
    </row>
    <row r="468" spans="4:9" x14ac:dyDescent="0.3">
      <c r="D468" s="100" vm="2691">
        <f ca="1"/>
        <v>45342</v>
      </c>
      <c r="E468" s="101" vm="16980">
        <f ca="1"/>
        <v>583.55999999999995</v>
      </c>
      <c r="F468" s="101" vm="16981">
        <f ca="1"/>
        <v>580.17999999999995</v>
      </c>
      <c r="G468" s="101" vm="16982">
        <f ca="1"/>
        <v>592.42999999999995</v>
      </c>
      <c r="H468" s="101" vm="16983">
        <f ca="1"/>
        <v>567.32000000000005</v>
      </c>
      <c r="I468" s="102" vm="16984">
        <f ca="1"/>
        <v>11500828</v>
      </c>
    </row>
    <row r="469" spans="4:9" x14ac:dyDescent="0.3">
      <c r="D469" s="100" vm="2697">
        <f ca="1"/>
        <v>45348</v>
      </c>
      <c r="E469" s="101" vm="16985">
        <f ca="1"/>
        <v>619.34</v>
      </c>
      <c r="F469" s="101" vm="16980">
        <f ca="1"/>
        <v>583.55999999999995</v>
      </c>
      <c r="G469" s="101" vm="16986">
        <f ca="1"/>
        <v>620.28</v>
      </c>
      <c r="H469" s="101" vm="16987">
        <f ca="1"/>
        <v>583.27</v>
      </c>
      <c r="I469" s="102" vm="16988">
        <f ca="1"/>
        <v>17330696</v>
      </c>
    </row>
    <row r="470" spans="4:9" x14ac:dyDescent="0.3">
      <c r="D470" s="100" vm="2703">
        <f ca="1"/>
        <v>45355</v>
      </c>
      <c r="E470" s="101" vm="16989">
        <f ca="1"/>
        <v>604.82000000000005</v>
      </c>
      <c r="F470" s="101" vm="16990">
        <f ca="1"/>
        <v>621.55999999999995</v>
      </c>
      <c r="G470" s="101" vm="16991">
        <f ca="1"/>
        <v>624.41999999999996</v>
      </c>
      <c r="H470" s="101" vm="16992">
        <f ca="1"/>
        <v>592</v>
      </c>
      <c r="I470" s="102" vm="16993">
        <f ca="1"/>
        <v>14859509</v>
      </c>
    </row>
    <row r="471" spans="4:9" x14ac:dyDescent="0.3">
      <c r="D471" s="100" vm="2708">
        <f ca="1"/>
        <v>45362</v>
      </c>
      <c r="E471" s="101" vm="16994">
        <f ca="1"/>
        <v>605.88</v>
      </c>
      <c r="F471" s="101" vm="16995">
        <f ca="1"/>
        <v>608.08000000000004</v>
      </c>
      <c r="G471" s="101" vm="16996">
        <f ca="1"/>
        <v>622.91999999999996</v>
      </c>
      <c r="H471" s="101" vm="16997">
        <f ca="1"/>
        <v>596.27</v>
      </c>
      <c r="I471" s="102" vm="16998">
        <f ca="1"/>
        <v>17306746</v>
      </c>
    </row>
    <row r="472" spans="4:9" x14ac:dyDescent="0.3">
      <c r="D472" s="100" vm="2714">
        <f ca="1"/>
        <v>45369</v>
      </c>
      <c r="E472" s="101" vm="16999">
        <f ca="1"/>
        <v>628.01</v>
      </c>
      <c r="F472" s="101" vm="17000">
        <f ca="1"/>
        <v>613.55999999999995</v>
      </c>
      <c r="G472" s="101" vm="17001">
        <f ca="1"/>
        <v>634.36170000000004</v>
      </c>
      <c r="H472" s="101" vm="17002">
        <f ca="1"/>
        <v>608</v>
      </c>
      <c r="I472" s="102" vm="17003">
        <f ca="1"/>
        <v>12769725</v>
      </c>
    </row>
    <row r="473" spans="4:9" x14ac:dyDescent="0.3">
      <c r="D473" s="100" vm="2720">
        <f ca="1"/>
        <v>45376</v>
      </c>
      <c r="E473" s="101" vm="17004">
        <f ca="1"/>
        <v>607.33000000000004</v>
      </c>
      <c r="F473" s="101" vm="17005">
        <f ca="1"/>
        <v>627.9</v>
      </c>
      <c r="G473" s="101" vm="17006">
        <f ca="1"/>
        <v>634.38990000000001</v>
      </c>
      <c r="H473" s="101" vm="17007">
        <f ca="1"/>
        <v>601.59</v>
      </c>
      <c r="I473" s="102" vm="17008">
        <f ca="1"/>
        <v>10944787</v>
      </c>
    </row>
    <row r="474" spans="4:9" x14ac:dyDescent="0.3">
      <c r="D474" s="100" vm="2726">
        <f ca="1"/>
        <v>45383</v>
      </c>
      <c r="E474" s="101" vm="17009">
        <f ca="1"/>
        <v>636.17999999999995</v>
      </c>
      <c r="F474" s="101" vm="17002">
        <f ca="1"/>
        <v>608</v>
      </c>
      <c r="G474" s="101" vm="17010">
        <f ca="1"/>
        <v>638</v>
      </c>
      <c r="H474" s="101" vm="17011">
        <f ca="1"/>
        <v>605.51009999999997</v>
      </c>
      <c r="I474" s="102" vm="17012">
        <f ca="1"/>
        <v>13519564</v>
      </c>
    </row>
    <row r="475" spans="4:9" x14ac:dyDescent="0.3">
      <c r="D475" s="100" vm="2732">
        <f ca="1"/>
        <v>45390</v>
      </c>
      <c r="E475" s="101" vm="17013">
        <f ca="1"/>
        <v>622.83000000000004</v>
      </c>
      <c r="F475" s="101" vm="17014">
        <f ca="1"/>
        <v>636.39</v>
      </c>
      <c r="G475" s="101" vm="17015">
        <f ca="1"/>
        <v>639</v>
      </c>
      <c r="H475" s="101" vm="17016">
        <f ca="1"/>
        <v>609.34</v>
      </c>
      <c r="I475" s="102" vm="17017">
        <f ca="1"/>
        <v>12720545</v>
      </c>
    </row>
    <row r="476" spans="4:9" x14ac:dyDescent="0.3">
      <c r="D476" s="100" vm="2737">
        <f ca="1"/>
        <v>45397</v>
      </c>
      <c r="E476" s="101" vm="17018">
        <f ca="1"/>
        <v>555.04</v>
      </c>
      <c r="F476" s="101" vm="17019">
        <f ca="1"/>
        <v>630.16999999999996</v>
      </c>
      <c r="G476" s="101" vm="17019">
        <f ca="1"/>
        <v>630.16999999999996</v>
      </c>
      <c r="H476" s="101" vm="17020">
        <f ca="1"/>
        <v>552.16</v>
      </c>
      <c r="I476" s="102" vm="17021">
        <f ca="1"/>
        <v>34834844</v>
      </c>
    </row>
    <row r="477" spans="4:9" x14ac:dyDescent="0.3">
      <c r="D477" s="100" vm="2742">
        <f ca="1"/>
        <v>45404</v>
      </c>
      <c r="E477" s="101" vm="17022">
        <f ca="1"/>
        <v>561.23</v>
      </c>
      <c r="F477" s="101" vm="17023">
        <f ca="1"/>
        <v>550.66</v>
      </c>
      <c r="G477" s="101" vm="17024">
        <f ca="1"/>
        <v>579.21</v>
      </c>
      <c r="H477" s="101" vm="17025">
        <f ca="1"/>
        <v>542.01</v>
      </c>
      <c r="I477" s="102" vm="17026">
        <f ca="1"/>
        <v>27068177</v>
      </c>
    </row>
    <row r="478" spans="4:9" x14ac:dyDescent="0.3">
      <c r="D478" s="100" vm="2748">
        <f ca="1"/>
        <v>45411</v>
      </c>
      <c r="E478" s="101" vm="17027">
        <f ca="1"/>
        <v>579.34</v>
      </c>
      <c r="F478" s="101" vm="17028">
        <f ca="1"/>
        <v>559.17999999999995</v>
      </c>
      <c r="G478" s="101" vm="17029">
        <f ca="1"/>
        <v>580.26</v>
      </c>
      <c r="H478" s="101" vm="17030">
        <f ca="1"/>
        <v>544.25</v>
      </c>
      <c r="I478" s="102" vm="17031">
        <f ca="1"/>
        <v>15719359</v>
      </c>
    </row>
    <row r="479" spans="4:9" x14ac:dyDescent="0.3">
      <c r="D479" s="100" vm="2754">
        <f ca="1"/>
        <v>45418</v>
      </c>
      <c r="E479" s="101" vm="17032">
        <f ca="1"/>
        <v>610.87</v>
      </c>
      <c r="F479" s="101" vm="17033">
        <f ca="1"/>
        <v>581.82000000000005</v>
      </c>
      <c r="G479" s="101" vm="17034">
        <f ca="1"/>
        <v>623.98</v>
      </c>
      <c r="H479" s="101" vm="17035">
        <f ca="1"/>
        <v>580.25</v>
      </c>
      <c r="I479" s="102" vm="17036">
        <f ca="1"/>
        <v>15113294</v>
      </c>
    </row>
    <row r="480" spans="4:9" x14ac:dyDescent="0.3">
      <c r="D480" s="100" vm="2760">
        <f ca="1"/>
        <v>45425</v>
      </c>
      <c r="E480" s="101" vm="17037">
        <f ca="1"/>
        <v>621.1</v>
      </c>
      <c r="F480" s="101" vm="17038">
        <f ca="1"/>
        <v>614.29999999999995</v>
      </c>
      <c r="G480" s="101" vm="17039">
        <f ca="1"/>
        <v>625.79</v>
      </c>
      <c r="H480" s="101" vm="17040">
        <f ca="1"/>
        <v>606.83000000000004</v>
      </c>
      <c r="I480" s="102" vm="17041">
        <f ca="1"/>
        <v>17388220</v>
      </c>
    </row>
    <row r="481" spans="4:9" x14ac:dyDescent="0.3">
      <c r="D481" s="100" vm="2766">
        <f ca="1"/>
        <v>45432</v>
      </c>
      <c r="E481" s="101" vm="17042">
        <f ca="1"/>
        <v>646.75</v>
      </c>
      <c r="F481" s="101" vm="17043">
        <f ca="1"/>
        <v>620.4</v>
      </c>
      <c r="G481" s="101" vm="17044">
        <f ca="1"/>
        <v>652</v>
      </c>
      <c r="H481" s="101" vm="17045">
        <f ca="1"/>
        <v>619.52</v>
      </c>
      <c r="I481" s="102" vm="17046">
        <f ca="1"/>
        <v>13883381</v>
      </c>
    </row>
    <row r="482" spans="4:9" x14ac:dyDescent="0.3">
      <c r="D482" s="100" vm="2771">
        <f ca="1"/>
        <v>45440</v>
      </c>
      <c r="E482" s="101" vm="17047">
        <f ca="1"/>
        <v>641.62</v>
      </c>
      <c r="F482" s="101" vm="17048">
        <f ca="1"/>
        <v>647.04999999999995</v>
      </c>
      <c r="G482" s="101" vm="17049">
        <f ca="1"/>
        <v>664.25</v>
      </c>
      <c r="H482" s="101" vm="17050">
        <f ca="1"/>
        <v>628.29999999999995</v>
      </c>
      <c r="I482" s="102" vm="17051">
        <f ca="1"/>
        <v>12769763</v>
      </c>
    </row>
    <row r="483" spans="4:9" x14ac:dyDescent="0.3">
      <c r="D483" s="100" vm="2776">
        <f ca="1"/>
        <v>45446</v>
      </c>
      <c r="E483" s="101" vm="17052">
        <f ca="1"/>
        <v>641.47</v>
      </c>
      <c r="F483" s="101" vm="17053">
        <f ca="1"/>
        <v>645.21500000000003</v>
      </c>
      <c r="G483" s="101" vm="17054">
        <f ca="1"/>
        <v>657.99</v>
      </c>
      <c r="H483" s="101" vm="17055">
        <f ca="1"/>
        <v>626.44000000000005</v>
      </c>
      <c r="I483" s="102" vm="17056">
        <f ca="1"/>
        <v>12357566</v>
      </c>
    </row>
    <row r="484" spans="4:9" x14ac:dyDescent="0.3">
      <c r="D484" s="100" vm="2782">
        <f ca="1"/>
        <v>45453</v>
      </c>
      <c r="E484" s="101" vm="17057">
        <f ca="1"/>
        <v>669.38</v>
      </c>
      <c r="F484" s="101" vm="17058">
        <f ca="1"/>
        <v>641.01</v>
      </c>
      <c r="G484" s="101" vm="17059">
        <f ca="1"/>
        <v>675.58</v>
      </c>
      <c r="H484" s="101" vm="17060">
        <f ca="1"/>
        <v>635.59</v>
      </c>
      <c r="I484" s="102" vm="17061">
        <f ca="1"/>
        <v>12639260</v>
      </c>
    </row>
    <row r="485" spans="4:9" x14ac:dyDescent="0.3">
      <c r="D485" s="100" vm="2788">
        <f ca="1"/>
        <v>45460</v>
      </c>
      <c r="E485" s="101" vm="17062">
        <f ca="1"/>
        <v>686.12</v>
      </c>
      <c r="F485" s="101" vm="17063">
        <f ca="1"/>
        <v>669.11</v>
      </c>
      <c r="G485" s="101" vm="17064">
        <f ca="1"/>
        <v>689.88</v>
      </c>
      <c r="H485" s="101" vm="17065">
        <f ca="1"/>
        <v>665.11009999999999</v>
      </c>
      <c r="I485" s="102" vm="17066">
        <f ca="1"/>
        <v>13717134</v>
      </c>
    </row>
    <row r="486" spans="4:9" x14ac:dyDescent="0.3">
      <c r="D486" s="100" vm="2794">
        <f ca="1"/>
        <v>45467</v>
      </c>
      <c r="E486" s="101" vm="17067">
        <f ca="1"/>
        <v>674.88</v>
      </c>
      <c r="F486" s="101" vm="17068">
        <f ca="1"/>
        <v>685</v>
      </c>
      <c r="G486" s="101" vm="17069">
        <f ca="1"/>
        <v>688.57</v>
      </c>
      <c r="H486" s="101" vm="17070">
        <f ca="1"/>
        <v>662.3</v>
      </c>
      <c r="I486" s="102" vm="17071">
        <f ca="1"/>
        <v>15558158</v>
      </c>
    </row>
    <row r="487" spans="4:9" x14ac:dyDescent="0.3">
      <c r="D487" s="100" vm="2800">
        <f ca="1"/>
        <v>45474</v>
      </c>
      <c r="E487" s="101" vm="17072">
        <f ca="1"/>
        <v>690.65</v>
      </c>
      <c r="F487" s="101" vm="17073">
        <f ca="1"/>
        <v>674.89</v>
      </c>
      <c r="G487" s="101" vm="17074">
        <f ca="1"/>
        <v>697.49</v>
      </c>
      <c r="H487" s="101" vm="17075">
        <f ca="1"/>
        <v>663.78</v>
      </c>
      <c r="I487" s="102" vm="17076">
        <f ca="1"/>
        <v>8686862</v>
      </c>
    </row>
    <row r="488" spans="4:9" x14ac:dyDescent="0.3">
      <c r="D488" s="100" vm="2806">
        <f ca="1"/>
        <v>45481</v>
      </c>
      <c r="E488" s="101" vm="17077">
        <f ca="1"/>
        <v>647.6</v>
      </c>
      <c r="F488" s="101" vm="17078">
        <f ca="1"/>
        <v>687</v>
      </c>
      <c r="G488" s="101" vm="17079">
        <f ca="1"/>
        <v>695.27</v>
      </c>
      <c r="H488" s="101" vm="17080">
        <f ca="1"/>
        <v>643.70749999999998</v>
      </c>
      <c r="I488" s="102" vm="17081">
        <f ca="1"/>
        <v>15649313</v>
      </c>
    </row>
    <row r="489" spans="4:9" x14ac:dyDescent="0.3">
      <c r="D489" s="100" vm="2812">
        <f ca="1"/>
        <v>45488</v>
      </c>
      <c r="E489" s="101" vm="17082">
        <f ca="1"/>
        <v>633.34</v>
      </c>
      <c r="F489" s="101" vm="17083">
        <f ca="1"/>
        <v>647.5</v>
      </c>
      <c r="G489" s="101" vm="17084">
        <f ca="1"/>
        <v>678.97</v>
      </c>
      <c r="H489" s="101" vm="17085">
        <f ca="1"/>
        <v>629.12009999999998</v>
      </c>
      <c r="I489" s="102" vm="17086">
        <f ca="1"/>
        <v>27303140</v>
      </c>
    </row>
    <row r="490" spans="4:9" x14ac:dyDescent="0.3">
      <c r="D490" s="100" vm="2818">
        <f ca="1"/>
        <v>45495</v>
      </c>
      <c r="E490" s="101" vm="17087">
        <f ca="1"/>
        <v>631.37</v>
      </c>
      <c r="F490" s="101" vm="17088">
        <f ca="1"/>
        <v>639.5</v>
      </c>
      <c r="G490" s="101" vm="17089">
        <f ca="1"/>
        <v>656.29</v>
      </c>
      <c r="H490" s="101" vm="17090">
        <f ca="1"/>
        <v>621.70010000000002</v>
      </c>
      <c r="I490" s="102" vm="17091">
        <f ca="1"/>
        <v>20246017</v>
      </c>
    </row>
    <row r="491" spans="4:9" x14ac:dyDescent="0.3">
      <c r="D491" s="100" vm="2824">
        <f ca="1"/>
        <v>45502</v>
      </c>
      <c r="E491" s="101" vm="17092">
        <f ca="1"/>
        <v>613.64</v>
      </c>
      <c r="F491" s="101" vm="17093">
        <f ca="1"/>
        <v>634.61</v>
      </c>
      <c r="G491" s="101" vm="17094">
        <f ca="1"/>
        <v>646.70989999999995</v>
      </c>
      <c r="H491" s="101" vm="17095">
        <f ca="1"/>
        <v>608.35</v>
      </c>
      <c r="I491" s="102" vm="17096">
        <f ca="1"/>
        <v>16275599</v>
      </c>
    </row>
    <row r="492" spans="4:9" x14ac:dyDescent="0.3">
      <c r="D492" s="100" vm="2830">
        <f ca="1"/>
        <v>45509</v>
      </c>
      <c r="E492" s="101" vm="17097">
        <f ca="1"/>
        <v>633.94000000000005</v>
      </c>
      <c r="F492" s="101" vm="17098">
        <f ca="1"/>
        <v>587.04</v>
      </c>
      <c r="G492" s="101" vm="17099">
        <f ca="1"/>
        <v>636.62</v>
      </c>
      <c r="H492" s="101" vm="17098">
        <f ca="1"/>
        <v>587.04</v>
      </c>
      <c r="I492" s="102" vm="17100">
        <f ca="1"/>
        <v>16815461</v>
      </c>
    </row>
    <row r="493" spans="4:9" x14ac:dyDescent="0.3">
      <c r="D493" s="100" vm="2836">
        <f ca="1"/>
        <v>45516</v>
      </c>
      <c r="E493" s="101" vm="17101">
        <f ca="1"/>
        <v>674.07</v>
      </c>
      <c r="F493" s="101" vm="17102">
        <f ca="1"/>
        <v>631</v>
      </c>
      <c r="G493" s="101" vm="17103">
        <f ca="1"/>
        <v>680.23</v>
      </c>
      <c r="H493" s="101" vm="17104">
        <f ca="1"/>
        <v>627.07000000000005</v>
      </c>
      <c r="I493" s="102" vm="17105">
        <f ca="1"/>
        <v>15706814</v>
      </c>
    </row>
    <row r="494" spans="4:9" x14ac:dyDescent="0.3">
      <c r="D494" s="100" vm="2841">
        <f ca="1"/>
        <v>45523</v>
      </c>
      <c r="E494" s="101" vm="17106">
        <f ca="1"/>
        <v>686.73</v>
      </c>
      <c r="F494" s="101" vm="17101">
        <f ca="1"/>
        <v>674.07</v>
      </c>
      <c r="G494" s="101" vm="17107">
        <f ca="1"/>
        <v>711.33</v>
      </c>
      <c r="H494" s="101" vm="17108">
        <f ca="1"/>
        <v>672.91</v>
      </c>
      <c r="I494" s="102" vm="17109">
        <f ca="1"/>
        <v>15148527</v>
      </c>
    </row>
    <row r="495" spans="4:9" x14ac:dyDescent="0.3">
      <c r="D495" s="100" vm="2847">
        <f ca="1"/>
        <v>45530</v>
      </c>
      <c r="E495" s="101" vm="17110">
        <f ca="1"/>
        <v>701.35</v>
      </c>
      <c r="F495" s="101" vm="17111">
        <f ca="1"/>
        <v>687.26</v>
      </c>
      <c r="G495" s="101" vm="17112">
        <f ca="1"/>
        <v>707.89</v>
      </c>
      <c r="H495" s="101" vm="17113">
        <f ca="1"/>
        <v>677.1</v>
      </c>
      <c r="I495" s="102" vm="17114">
        <f ca="1"/>
        <v>12403312</v>
      </c>
    </row>
    <row r="496" spans="4:9" x14ac:dyDescent="0.3">
      <c r="D496" s="100" vm="2853">
        <f ca="1"/>
        <v>45538</v>
      </c>
      <c r="E496" s="101" vm="17115">
        <f ca="1"/>
        <v>665.77</v>
      </c>
      <c r="F496" s="101" vm="17116">
        <f ca="1"/>
        <v>700.1</v>
      </c>
      <c r="G496" s="101" vm="17117">
        <f ca="1"/>
        <v>703.86</v>
      </c>
      <c r="H496" s="101" vm="17118">
        <f ca="1"/>
        <v>662.34</v>
      </c>
      <c r="I496" s="102" vm="17119">
        <f ca="1"/>
        <v>9747638</v>
      </c>
    </row>
    <row r="497" spans="4:9" x14ac:dyDescent="0.3">
      <c r="D497" s="100" vm="2858">
        <f ca="1"/>
        <v>45544</v>
      </c>
      <c r="E497" s="101" vm="17120">
        <f ca="1"/>
        <v>697.06</v>
      </c>
      <c r="F497" s="101" vm="17121">
        <f ca="1"/>
        <v>674</v>
      </c>
      <c r="G497" s="101" vm="17122">
        <f ca="1"/>
        <v>699.64</v>
      </c>
      <c r="H497" s="101" vm="17123">
        <f ca="1"/>
        <v>660.8</v>
      </c>
      <c r="I497" s="102" vm="17124">
        <f ca="1"/>
        <v>12019136</v>
      </c>
    </row>
    <row r="498" spans="4:9" x14ac:dyDescent="0.3">
      <c r="D498" s="100" vm="2863">
        <f ca="1"/>
        <v>45551</v>
      </c>
      <c r="E498" s="101" vm="17125">
        <f ca="1"/>
        <v>701.03</v>
      </c>
      <c r="F498" s="101" vm="17126">
        <f ca="1"/>
        <v>700</v>
      </c>
      <c r="G498" s="101" vm="17127">
        <f ca="1"/>
        <v>715.66</v>
      </c>
      <c r="H498" s="101" vm="17128">
        <f ca="1"/>
        <v>688</v>
      </c>
      <c r="I498" s="102" vm="17129">
        <f ca="1"/>
        <v>15353328</v>
      </c>
    </row>
    <row r="499" spans="4:9" x14ac:dyDescent="0.3">
      <c r="D499" s="100" vm="2869">
        <f ca="1"/>
        <v>45558</v>
      </c>
      <c r="E499" s="101" vm="17130">
        <f ca="1"/>
        <v>707.35</v>
      </c>
      <c r="F499" s="101" vm="17131">
        <f ca="1"/>
        <v>702.39</v>
      </c>
      <c r="G499" s="101" vm="17132">
        <f ca="1"/>
        <v>725.26</v>
      </c>
      <c r="H499" s="101" vm="17133">
        <f ca="1"/>
        <v>699.16</v>
      </c>
      <c r="I499" s="102" vm="17134">
        <f ca="1"/>
        <v>14278425</v>
      </c>
    </row>
    <row r="500" spans="4:9" x14ac:dyDescent="0.3">
      <c r="D500" s="100" vm="2875">
        <f ca="1"/>
        <v>45565</v>
      </c>
      <c r="E500" s="101" vm="17135">
        <f ca="1"/>
        <v>719.7</v>
      </c>
      <c r="F500" s="101" vm="17136">
        <f ca="1"/>
        <v>707</v>
      </c>
      <c r="G500" s="101" vm="17137">
        <f ca="1"/>
        <v>721.01</v>
      </c>
      <c r="H500" s="101" vm="17138">
        <f ca="1"/>
        <v>698.59</v>
      </c>
      <c r="I500" s="102" vm="17139">
        <f ca="1"/>
        <v>10769745</v>
      </c>
    </row>
    <row r="501" spans="4:9" x14ac:dyDescent="0.3">
      <c r="D501" s="100" vm="2881">
        <f ca="1"/>
        <v>45572</v>
      </c>
      <c r="E501" s="101" vm="17140">
        <f ca="1"/>
        <v>722.79</v>
      </c>
      <c r="F501" s="101" vm="17141">
        <f ca="1"/>
        <v>714.755</v>
      </c>
      <c r="G501" s="101" vm="17142">
        <f ca="1"/>
        <v>736</v>
      </c>
      <c r="H501" s="101" vm="17143">
        <f ca="1"/>
        <v>696.43</v>
      </c>
      <c r="I501" s="102" vm="17144">
        <f ca="1"/>
        <v>13596379</v>
      </c>
    </row>
    <row r="502" spans="4:9" x14ac:dyDescent="0.3">
      <c r="D502" s="100" vm="2887">
        <f ca="1"/>
        <v>45579</v>
      </c>
      <c r="E502" s="101" vm="17145">
        <f ca="1"/>
        <v>763.89</v>
      </c>
      <c r="F502" s="101" vm="17146">
        <f ca="1"/>
        <v>725</v>
      </c>
      <c r="G502" s="101" vm="17147">
        <f ca="1"/>
        <v>766.28099999999995</v>
      </c>
      <c r="H502" s="101" vm="17148">
        <f ca="1"/>
        <v>677.88</v>
      </c>
      <c r="I502" s="102" vm="17149">
        <f ca="1"/>
        <v>33124890</v>
      </c>
    </row>
    <row r="503" spans="4:9" x14ac:dyDescent="0.3">
      <c r="D503" s="100" vm="2893">
        <f ca="1"/>
        <v>45586</v>
      </c>
      <c r="E503" s="101" vm="17150">
        <f ca="1"/>
        <v>754.68</v>
      </c>
      <c r="F503" s="101" vm="17151">
        <f ca="1"/>
        <v>765.76</v>
      </c>
      <c r="G503" s="101" vm="17152">
        <f ca="1"/>
        <v>773</v>
      </c>
      <c r="H503" s="101" vm="17153">
        <f ca="1"/>
        <v>744.26</v>
      </c>
      <c r="I503" s="102" vm="17154">
        <f ca="1"/>
        <v>18255787</v>
      </c>
    </row>
    <row r="504" spans="4:9" x14ac:dyDescent="0.3">
      <c r="D504" s="100" vm="2899">
        <f ca="1"/>
        <v>45593</v>
      </c>
      <c r="E504" s="101" vm="17155">
        <f ca="1"/>
        <v>756.1</v>
      </c>
      <c r="F504" s="101" vm="17156">
        <f ca="1"/>
        <v>758.68</v>
      </c>
      <c r="G504" s="101" vm="17157">
        <f ca="1"/>
        <v>763.88</v>
      </c>
      <c r="H504" s="101" vm="17158">
        <f ca="1"/>
        <v>747.77</v>
      </c>
      <c r="I504" s="102" vm="17159">
        <f ca="1"/>
        <v>14299378</v>
      </c>
    </row>
    <row r="505" spans="4:9" x14ac:dyDescent="0.3">
      <c r="D505" s="100" vm="2905">
        <f ca="1"/>
        <v>45600</v>
      </c>
      <c r="E505" s="101" vm="17160">
        <f ca="1"/>
        <v>795.04</v>
      </c>
      <c r="F505" s="101" vm="17161">
        <f ca="1"/>
        <v>753.14</v>
      </c>
      <c r="G505" s="101" vm="17162">
        <f ca="1"/>
        <v>799.06</v>
      </c>
      <c r="H505" s="101" vm="17163">
        <f ca="1"/>
        <v>749.69</v>
      </c>
      <c r="I505" s="102" vm="17164">
        <f ca="1"/>
        <v>12999356</v>
      </c>
    </row>
    <row r="506" spans="4:9" x14ac:dyDescent="0.3">
      <c r="D506" s="100" vm="2911">
        <f ca="1"/>
        <v>45607</v>
      </c>
      <c r="E506" s="101" vm="17165">
        <f ca="1"/>
        <v>823.96</v>
      </c>
      <c r="F506" s="101" vm="17166">
        <f ca="1"/>
        <v>795.9</v>
      </c>
      <c r="G506" s="101" vm="17167">
        <f ca="1"/>
        <v>840.99969999999996</v>
      </c>
      <c r="H506" s="101" vm="17168">
        <f ca="1"/>
        <v>795.56500000000005</v>
      </c>
      <c r="I506" s="102" vm="17169">
        <f ca="1"/>
        <v>14692937</v>
      </c>
    </row>
    <row r="507" spans="4:9" x14ac:dyDescent="0.3">
      <c r="D507" s="100" vm="2916">
        <f ca="1"/>
        <v>45614</v>
      </c>
      <c r="E507" s="101" vm="17170">
        <f ca="1"/>
        <v>897.79</v>
      </c>
      <c r="F507" s="101" vm="17171">
        <f ca="1"/>
        <v>815.5</v>
      </c>
      <c r="G507" s="101" vm="17172">
        <f ca="1"/>
        <v>908</v>
      </c>
      <c r="H507" s="101" vm="17173">
        <f ca="1"/>
        <v>809.33010000000002</v>
      </c>
      <c r="I507" s="102" vm="17174">
        <f ca="1"/>
        <v>19717434</v>
      </c>
    </row>
    <row r="508" spans="4:9" x14ac:dyDescent="0.3">
      <c r="D508" s="100" vm="2922">
        <f ca="1"/>
        <v>45621</v>
      </c>
      <c r="E508" s="101" vm="17175">
        <f ca="1"/>
        <v>886.81</v>
      </c>
      <c r="F508" s="101" vm="17176">
        <f ca="1"/>
        <v>902.05</v>
      </c>
      <c r="G508" s="101" vm="17176">
        <f ca="1"/>
        <v>902.05</v>
      </c>
      <c r="H508" s="101" vm="17177">
        <f ca="1"/>
        <v>858.91</v>
      </c>
      <c r="I508" s="102" vm="17178">
        <f ca="1"/>
        <v>13757921</v>
      </c>
    </row>
    <row r="509" spans="4:9" x14ac:dyDescent="0.3">
      <c r="D509" s="100" vm="2928">
        <f ca="1"/>
        <v>45628</v>
      </c>
      <c r="E509" s="101" vm="17179">
        <f ca="1"/>
        <v>934.74</v>
      </c>
      <c r="F509" s="101" vm="17180">
        <f ca="1"/>
        <v>887.51</v>
      </c>
      <c r="G509" s="101" vm="17181">
        <f ca="1"/>
        <v>935.27</v>
      </c>
      <c r="H509" s="101" vm="17182">
        <f ca="1"/>
        <v>884.12</v>
      </c>
      <c r="I509" s="102" vm="17183">
        <f ca="1"/>
        <v>13270919</v>
      </c>
    </row>
    <row r="510" spans="4:9" x14ac:dyDescent="0.3">
      <c r="D510" s="100" vm="2934">
        <f ca="1"/>
        <v>45635</v>
      </c>
      <c r="E510" s="101" vm="17184">
        <f ca="1"/>
        <v>918.87</v>
      </c>
      <c r="F510" s="101" vm="17185">
        <f ca="1"/>
        <v>928</v>
      </c>
      <c r="G510" s="101" vm="17186">
        <f ca="1"/>
        <v>941.75</v>
      </c>
      <c r="H510" s="101" vm="17187">
        <f ca="1"/>
        <v>902.59</v>
      </c>
      <c r="I510" s="102" vm="17188">
        <f ca="1"/>
        <v>14212374</v>
      </c>
    </row>
    <row r="511" spans="4:9" x14ac:dyDescent="0.3">
      <c r="D511" s="100" vm="2940">
        <f ca="1"/>
        <v>45642</v>
      </c>
      <c r="E511" s="101" vm="17189">
        <f ca="1"/>
        <v>909.05</v>
      </c>
      <c r="F511" s="101" vm="17190">
        <f ca="1"/>
        <v>923.94</v>
      </c>
      <c r="G511" s="101" vm="17191">
        <f ca="1"/>
        <v>928.94</v>
      </c>
      <c r="H511" s="101" vm="17192">
        <f ca="1"/>
        <v>886.56</v>
      </c>
      <c r="I511" s="102" vm="17193">
        <f ca="1"/>
        <v>15418573</v>
      </c>
    </row>
    <row r="512" spans="4:9" x14ac:dyDescent="0.3">
      <c r="D512" s="100" vm="2946">
        <f ca="1"/>
        <v>45649</v>
      </c>
      <c r="E512" s="101" vm="17194">
        <f ca="1"/>
        <v>907.55</v>
      </c>
      <c r="F512" s="101" vm="17195">
        <f ca="1"/>
        <v>913.42</v>
      </c>
      <c r="G512" s="101" vm="17196">
        <f ca="1"/>
        <v>935.85</v>
      </c>
      <c r="H512" s="101" vm="17197">
        <f ca="1"/>
        <v>894.5</v>
      </c>
      <c r="I512" s="102" vm="17198">
        <f ca="1"/>
        <v>10228244</v>
      </c>
    </row>
    <row r="513" spans="4:9" x14ac:dyDescent="0.3">
      <c r="D513" s="100" vm="2952">
        <f ca="1"/>
        <v>45656</v>
      </c>
      <c r="E513" s="101" vm="17199">
        <f ca="1"/>
        <v>881.05</v>
      </c>
      <c r="F513" s="101" vm="17200">
        <f ca="1"/>
        <v>894.51</v>
      </c>
      <c r="G513" s="101" vm="17201">
        <f ca="1"/>
        <v>908.22990000000004</v>
      </c>
      <c r="H513" s="101" vm="17202">
        <f ca="1"/>
        <v>877</v>
      </c>
      <c r="I513" s="102" vm="17203">
        <f ca="1"/>
        <v>9364571</v>
      </c>
    </row>
    <row r="514" spans="4:9" x14ac:dyDescent="0.3">
      <c r="D514" s="100" vm="2958">
        <f ca="1"/>
        <v>45663</v>
      </c>
      <c r="E514" s="101" vm="17204">
        <f ca="1"/>
        <v>837.69</v>
      </c>
      <c r="F514" s="101" vm="17205">
        <f ca="1"/>
        <v>888.76</v>
      </c>
      <c r="G514" s="101" vm="17206">
        <f ca="1"/>
        <v>892.83</v>
      </c>
      <c r="H514" s="101" vm="17207">
        <f ca="1"/>
        <v>834.4</v>
      </c>
      <c r="I514" s="102" vm="17208">
        <f ca="1"/>
        <v>13258740</v>
      </c>
    </row>
    <row r="515" spans="4:9" x14ac:dyDescent="0.3">
      <c r="D515" s="100" vm="2962">
        <f ca="1"/>
        <v>45670</v>
      </c>
      <c r="E515" s="101" vm="17209">
        <f ca="1"/>
        <v>858.1</v>
      </c>
      <c r="F515" s="101" vm="17210">
        <f ca="1"/>
        <v>831.52499999999998</v>
      </c>
      <c r="G515" s="101" vm="17211">
        <f ca="1"/>
        <v>868.98</v>
      </c>
      <c r="H515" s="101" vm="17212">
        <f ca="1"/>
        <v>823.51900000000001</v>
      </c>
      <c r="I515" s="102" vm="17213">
        <f ca="1"/>
        <v>16889652</v>
      </c>
    </row>
    <row r="516" spans="4:9" x14ac:dyDescent="0.3">
      <c r="D516" s="100" vm="2968">
        <f ca="1"/>
        <v>45678</v>
      </c>
      <c r="E516" s="101" vm="17214">
        <f ca="1"/>
        <v>977.59</v>
      </c>
      <c r="F516" s="101" vm="17215">
        <f ca="1"/>
        <v>863.53</v>
      </c>
      <c r="G516" s="101" vm="17216">
        <f ca="1"/>
        <v>999</v>
      </c>
      <c r="H516" s="101" vm="17217">
        <f ca="1"/>
        <v>854.745</v>
      </c>
      <c r="I516" s="102" vm="17218">
        <f ca="1"/>
        <v>36427090</v>
      </c>
    </row>
    <row r="517" spans="4:9" x14ac:dyDescent="0.3">
      <c r="D517" s="100" vm="2974">
        <f ca="1"/>
        <v>45684</v>
      </c>
      <c r="E517" s="101" vm="17219">
        <f ca="1"/>
        <v>976.76</v>
      </c>
      <c r="F517" s="101" vm="17220">
        <f ca="1"/>
        <v>971.1</v>
      </c>
      <c r="G517" s="101" vm="17221">
        <f ca="1"/>
        <v>994.59</v>
      </c>
      <c r="H517" s="101" vm="17222">
        <f ca="1"/>
        <v>957.3</v>
      </c>
      <c r="I517" s="102" vm="17223">
        <f ca="1"/>
        <v>18485447</v>
      </c>
    </row>
    <row r="518" spans="4:9" x14ac:dyDescent="0.3">
      <c r="D518" s="100" vm="2979">
        <f ca="1"/>
        <v>45691</v>
      </c>
      <c r="E518" s="101" vm="17224">
        <f ca="1"/>
        <v>1013.93</v>
      </c>
      <c r="F518" s="101" vm="17225">
        <f ca="1"/>
        <v>973</v>
      </c>
      <c r="G518" s="101" vm="17226">
        <f ca="1"/>
        <v>1027.76</v>
      </c>
      <c r="H518" s="101" vm="17227">
        <f ca="1"/>
        <v>964.375</v>
      </c>
      <c r="I518" s="102" vm="17228">
        <f ca="1"/>
        <v>20069213</v>
      </c>
    </row>
    <row r="519" spans="4:9" x14ac:dyDescent="0.3">
      <c r="D519" s="100" vm="2985">
        <f ca="1"/>
        <v>45698</v>
      </c>
      <c r="E519" s="101" vm="17229">
        <f ca="1"/>
        <v>1058.5999999999999</v>
      </c>
      <c r="F519" s="101" vm="17230">
        <f ca="1"/>
        <v>1023.05</v>
      </c>
      <c r="G519" s="101" vm="17231">
        <f ca="1"/>
        <v>1064.5</v>
      </c>
      <c r="H519" s="101" vm="17232">
        <f ca="1"/>
        <v>998.34730000000002</v>
      </c>
      <c r="I519" s="102" vm="17233">
        <f ca="1"/>
        <v>16638827</v>
      </c>
    </row>
    <row r="520" spans="4:9" x14ac:dyDescent="0.3">
      <c r="D520" s="100" vm="2991">
        <f ca="1"/>
        <v>45706</v>
      </c>
      <c r="E520" s="138" vm="17234">
        <f ca="1"/>
        <v>1003.15</v>
      </c>
      <c r="F520" s="101" vm="17235">
        <f ca="1"/>
        <v>1060</v>
      </c>
      <c r="G520" s="101" vm="17236">
        <f ca="1"/>
        <v>1062</v>
      </c>
      <c r="H520" s="101" vm="17237">
        <f ca="1"/>
        <v>999.39</v>
      </c>
      <c r="I520" s="102" vm="17238">
        <f ca="1"/>
        <v>13679928</v>
      </c>
    </row>
    <row r="521" spans="4:9" x14ac:dyDescent="0.3">
      <c r="D521" s="100" vm="2996">
        <f ca="1"/>
        <v>45712</v>
      </c>
      <c r="E521" s="101" vm="17239">
        <f ca="1"/>
        <v>980.56</v>
      </c>
      <c r="F521" s="101" vm="17240">
        <f ca="1"/>
        <v>1008</v>
      </c>
      <c r="G521" s="101" vm="17241">
        <f ca="1"/>
        <v>1015.17</v>
      </c>
      <c r="H521" s="101" vm="17242">
        <f ca="1"/>
        <v>955</v>
      </c>
      <c r="I521" s="102" vm="17243">
        <f ca="1"/>
        <v>21045711</v>
      </c>
    </row>
    <row r="522" spans="4:9" x14ac:dyDescent="0.3">
      <c r="D522" s="100" vm="3001">
        <f ca="1"/>
        <v>45719</v>
      </c>
      <c r="E522" s="101" vm="17244">
        <f ca="1"/>
        <v>891.11</v>
      </c>
      <c r="F522" s="101" vm="17245">
        <f ca="1"/>
        <v>983</v>
      </c>
      <c r="G522" s="101" vm="17246">
        <f ca="1"/>
        <v>995.59990000000005</v>
      </c>
      <c r="H522" s="101" vm="17247">
        <f ca="1"/>
        <v>858.07</v>
      </c>
      <c r="I522" s="102" vm="17248">
        <f ca="1"/>
        <v>27698243</v>
      </c>
    </row>
    <row r="523" spans="4:9" x14ac:dyDescent="0.3">
      <c r="D523" s="100" vm="3007">
        <f ca="1"/>
        <v>45726</v>
      </c>
      <c r="E523" s="101" vm="17249">
        <f ca="1"/>
        <v>918</v>
      </c>
      <c r="F523" s="101" vm="17250">
        <f ca="1"/>
        <v>875.07</v>
      </c>
      <c r="G523" s="101" vm="17251">
        <f ca="1"/>
        <v>927.18</v>
      </c>
      <c r="H523" s="101" vm="17252">
        <f ca="1"/>
        <v>854.5</v>
      </c>
      <c r="I523" s="102" vm="17253">
        <f ca="1"/>
        <v>31462462</v>
      </c>
    </row>
    <row r="524" spans="4:9" x14ac:dyDescent="0.3">
      <c r="D524" s="100" vm="3013">
        <f ca="1"/>
        <v>45733</v>
      </c>
      <c r="E524" s="101" vm="17254">
        <f ca="1"/>
        <v>960.29</v>
      </c>
      <c r="F524" s="101" vm="17255">
        <f ca="1"/>
        <v>939.95</v>
      </c>
      <c r="G524" s="101" vm="17256">
        <f ca="1"/>
        <v>968</v>
      </c>
      <c r="H524" s="101" vm="17257">
        <f ca="1"/>
        <v>916.3</v>
      </c>
      <c r="I524" s="102" vm="17258">
        <f ca="1"/>
        <v>30586641</v>
      </c>
    </row>
    <row r="525" spans="4:9" x14ac:dyDescent="0.3">
      <c r="D525" s="100" vm="3019">
        <f ca="1"/>
        <v>45740</v>
      </c>
      <c r="E525" s="101" vm="17259">
        <f ca="1"/>
        <v>933.85</v>
      </c>
      <c r="F525" s="101" vm="17260">
        <f ca="1"/>
        <v>969.67</v>
      </c>
      <c r="G525" s="101" vm="17261">
        <f ca="1"/>
        <v>998.7</v>
      </c>
      <c r="H525" s="101" vm="17262">
        <f ca="1"/>
        <v>929.23</v>
      </c>
      <c r="I525" s="102" vm="17263">
        <f ca="1"/>
        <v>19464777</v>
      </c>
    </row>
    <row r="526" spans="4:9" x14ac:dyDescent="0.3">
      <c r="D526" s="100" vm="3025">
        <f ca="1"/>
        <v>45747</v>
      </c>
      <c r="E526" s="101" vm="17264">
        <f ca="1"/>
        <v>855.86</v>
      </c>
      <c r="F526" s="101" vm="17265">
        <f ca="1"/>
        <v>920.53</v>
      </c>
      <c r="G526" s="101" vm="17266">
        <f ca="1"/>
        <v>949.54790000000003</v>
      </c>
      <c r="H526" s="101" vm="17267">
        <f ca="1"/>
        <v>853.87</v>
      </c>
      <c r="I526" s="102" vm="17268">
        <f ca="1"/>
        <v>24074345</v>
      </c>
    </row>
    <row r="527" spans="4:9" x14ac:dyDescent="0.3">
      <c r="D527" s="100" vm="3031">
        <f ca="1"/>
        <v>45754</v>
      </c>
      <c r="E527" s="101" vm="17269">
        <f ca="1"/>
        <v>918.29</v>
      </c>
      <c r="F527" s="101" vm="17270">
        <f ca="1"/>
        <v>827.84500000000003</v>
      </c>
      <c r="G527" s="101" vm="17271">
        <f ca="1"/>
        <v>951.43</v>
      </c>
      <c r="H527" s="101" vm="17272">
        <f ca="1"/>
        <v>821.1</v>
      </c>
      <c r="I527" s="102" vm="17273">
        <f ca="1"/>
        <v>28983572</v>
      </c>
    </row>
    <row r="528" spans="4:9" x14ac:dyDescent="0.3">
      <c r="D528" s="100" vm="3037">
        <f ca="1"/>
        <v>45761</v>
      </c>
      <c r="E528" s="101" vm="17274">
        <f ca="1"/>
        <v>973.03</v>
      </c>
      <c r="F528" s="101" vm="17275">
        <f ca="1"/>
        <v>932.7</v>
      </c>
      <c r="G528" s="101" vm="17276">
        <f ca="1"/>
        <v>993.44989999999996</v>
      </c>
      <c r="H528" s="101" vm="17277">
        <f ca="1"/>
        <v>919.49789999999996</v>
      </c>
      <c r="I528" s="102" vm="17278">
        <f ca="1"/>
        <v>26707725</v>
      </c>
    </row>
    <row r="529" spans="4:9" x14ac:dyDescent="0.3">
      <c r="D529" s="100" vm="3043">
        <f ca="1"/>
        <v>45768</v>
      </c>
      <c r="E529" s="101" vm="17279">
        <f ca="1"/>
        <v>1101.53</v>
      </c>
      <c r="F529" s="101" vm="17280">
        <f ca="1"/>
        <v>984.4</v>
      </c>
      <c r="G529" s="138" vm="17281">
        <f ca="1"/>
        <v>1106.7983999999999</v>
      </c>
      <c r="H529" s="101" vm="17282">
        <f ca="1"/>
        <v>973.05</v>
      </c>
      <c r="I529" s="102" vm="17283">
        <f ca="1"/>
        <v>35948400</v>
      </c>
    </row>
    <row r="530" spans="4:9" ht="15" thickBot="1" x14ac:dyDescent="0.35">
      <c r="D530" s="105" vm="3049">
        <f ca="1"/>
        <v>45775</v>
      </c>
      <c r="E530" s="106" vm="17284">
        <f ca="1"/>
        <v>115.649</v>
      </c>
      <c r="F530" s="139" vm="1642">
        <f ca="1"/>
        <v>110</v>
      </c>
      <c r="G530" s="106" vm="17285">
        <f ca="1"/>
        <v>115.944</v>
      </c>
      <c r="H530" s="139" vm="17286">
        <f ca="1"/>
        <v>108.262</v>
      </c>
      <c r="I530" s="107" vm="17287">
        <f ca="1"/>
        <v>191488720</v>
      </c>
    </row>
  </sheetData>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15D0B8-1BDF-4656-9E72-1E362A5C94C5}">
  <dimension ref="M1:R1"/>
  <sheetViews>
    <sheetView showGridLines="0" workbookViewId="0">
      <selection activeCell="A2" sqref="A2"/>
    </sheetView>
  </sheetViews>
  <sheetFormatPr defaultRowHeight="14.4" x14ac:dyDescent="0.3"/>
  <cols>
    <col min="1" max="10" width="8.88671875" style="78"/>
    <col min="11" max="11" width="8.77734375" style="78" customWidth="1"/>
    <col min="12" max="12" width="0" style="78" hidden="1" customWidth="1"/>
    <col min="13" max="18" width="1.5546875" style="78" hidden="1" customWidth="1"/>
    <col min="19" max="20" width="0" style="78" hidden="1" customWidth="1"/>
    <col min="21" max="16384" width="8.88671875" style="78"/>
  </cols>
  <sheetData/>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11A3E7-DD5B-4D2F-B9B3-6348694F9915}">
  <dimension ref="A1:T16"/>
  <sheetViews>
    <sheetView showGridLines="0" topLeftCell="D1" workbookViewId="0">
      <selection activeCell="D1" sqref="D1:D1048576"/>
    </sheetView>
  </sheetViews>
  <sheetFormatPr defaultColWidth="0" defaultRowHeight="14.4" x14ac:dyDescent="0.3"/>
  <cols>
    <col min="1" max="3" width="0" hidden="1" customWidth="1"/>
    <col min="4" max="4" width="3.77734375" customWidth="1"/>
    <col min="5" max="14" width="8.88671875" customWidth="1"/>
    <col min="15" max="15" width="10.109375" bestFit="1" customWidth="1"/>
    <col min="16" max="20" width="8.88671875" customWidth="1"/>
    <col min="21" max="16384" width="8.88671875" hidden="1"/>
  </cols>
  <sheetData>
    <row r="1" spans="5:19" ht="15" thickBot="1" x14ac:dyDescent="0.35"/>
    <row r="2" spans="5:19" ht="14.4" customHeight="1" thickBot="1" x14ac:dyDescent="0.4">
      <c r="E2" s="94" t="s">
        <v>19</v>
      </c>
      <c r="F2" s="95"/>
      <c r="G2" s="95"/>
      <c r="H2" s="95"/>
      <c r="I2" s="95"/>
      <c r="J2" s="95"/>
      <c r="K2" s="95"/>
      <c r="L2" s="95"/>
      <c r="M2" s="95"/>
      <c r="N2" s="95"/>
      <c r="O2" s="95"/>
      <c r="P2" s="95"/>
      <c r="Q2" s="95"/>
      <c r="R2" s="95"/>
      <c r="S2" s="96"/>
    </row>
    <row r="3" spans="5:19" ht="15" thickBot="1" x14ac:dyDescent="0.35">
      <c r="E3" s="2"/>
      <c r="F3" t="s">
        <v>4</v>
      </c>
      <c r="J3" t="s">
        <v>5</v>
      </c>
      <c r="N3" t="s">
        <v>20</v>
      </c>
      <c r="R3" t="s">
        <v>6</v>
      </c>
      <c r="S3" s="3"/>
    </row>
    <row r="4" spans="5:19" x14ac:dyDescent="0.3">
      <c r="E4" s="7" t="s">
        <v>10</v>
      </c>
      <c r="F4" s="8"/>
      <c r="G4" s="9">
        <f ca="1">AVERAGE(Apple!D7:D529)</f>
        <v>102.77916826003823</v>
      </c>
      <c r="I4" s="18" t="s">
        <v>11</v>
      </c>
      <c r="J4" s="19"/>
      <c r="K4" s="20">
        <f ca="1">AVERAGE(HPQ!D6:D528)</f>
        <v>23.812173804971319</v>
      </c>
      <c r="M4" s="28" t="s">
        <v>12</v>
      </c>
      <c r="N4" s="29"/>
      <c r="O4" s="30">
        <f ca="1">AVERAGE(NIVIDIA!E7:E529)</f>
        <v>24.933303250478019</v>
      </c>
      <c r="Q4" s="38" t="s">
        <v>12</v>
      </c>
      <c r="R4" s="39"/>
      <c r="S4" s="40">
        <f ca="1">AVERAGE(Apple!D7:D529)</f>
        <v>102.77916826003823</v>
      </c>
    </row>
    <row r="5" spans="5:19" x14ac:dyDescent="0.3">
      <c r="E5" s="10" t="s">
        <v>13</v>
      </c>
      <c r="F5" s="11"/>
      <c r="G5" s="12"/>
      <c r="I5" s="21" t="s">
        <v>13</v>
      </c>
      <c r="J5" s="22"/>
      <c r="K5" s="23" t="e">
        <f>_xlfn.VAR.S(A5:B519)</f>
        <v>#DIV/0!</v>
      </c>
      <c r="M5" s="31" t="s">
        <v>13</v>
      </c>
      <c r="N5" s="32"/>
      <c r="O5" s="33"/>
      <c r="Q5" s="41" t="s">
        <v>13</v>
      </c>
      <c r="R5" s="42"/>
      <c r="S5" s="43"/>
    </row>
    <row r="6" spans="5:19" x14ac:dyDescent="0.3">
      <c r="E6" s="10" t="s">
        <v>14</v>
      </c>
      <c r="F6" s="11"/>
      <c r="G6" s="13">
        <f ca="1">Apple!M8</f>
        <v>68.131698649900542</v>
      </c>
      <c r="I6" s="21" t="s">
        <v>14</v>
      </c>
      <c r="J6" s="22"/>
      <c r="K6" s="23">
        <f ca="1">_xlfn.STDEV.S(HPQ!D6:D528)</f>
        <v>7.6086031719508647</v>
      </c>
      <c r="M6" s="31" t="s">
        <v>14</v>
      </c>
      <c r="N6" s="32"/>
      <c r="O6" s="33">
        <f ca="1">_xlfn.STDEV.S(Apple!D7:D529)</f>
        <v>68.131698649900542</v>
      </c>
      <c r="Q6" s="41" t="s">
        <v>14</v>
      </c>
      <c r="R6" s="42"/>
      <c r="S6" s="43">
        <f ca="1">_xlfn.STDEV.S(TSLA!E7:E529)</f>
        <v>118.55363273125415</v>
      </c>
    </row>
    <row r="7" spans="5:19" x14ac:dyDescent="0.3">
      <c r="E7" s="10" t="s">
        <v>17</v>
      </c>
      <c r="F7" s="11"/>
      <c r="G7" s="14">
        <f ca="1">MAX(Apple!M10)</f>
        <v>260.10000000000002</v>
      </c>
      <c r="I7" s="21" t="s">
        <v>17</v>
      </c>
      <c r="J7" s="22"/>
      <c r="K7" s="24">
        <f ca="1">MAX(HPQ!F476:G528)</f>
        <v>39.795000000000002</v>
      </c>
      <c r="M7" s="31" t="s">
        <v>17</v>
      </c>
      <c r="N7" s="32"/>
      <c r="O7" s="34">
        <f ca="1">MAX(NIVIDIA!G477:H529)</f>
        <v>153.13</v>
      </c>
      <c r="Q7" s="41" t="s">
        <v>17</v>
      </c>
      <c r="R7" s="42"/>
      <c r="S7" s="44">
        <f ca="1">MAX(TSLA!G477:H529)</f>
        <v>488.53989999999999</v>
      </c>
    </row>
    <row r="8" spans="5:19" ht="15" thickBot="1" x14ac:dyDescent="0.35">
      <c r="E8" s="15" t="s">
        <v>18</v>
      </c>
      <c r="F8" s="16"/>
      <c r="G8" s="17">
        <f ca="1">MIN(Apple!M11)</f>
        <v>169.21010000000001</v>
      </c>
      <c r="I8" s="25" t="s">
        <v>18</v>
      </c>
      <c r="J8" s="26"/>
      <c r="K8" s="27">
        <f ca="1">MIN(HPQ!F477:G529)</f>
        <v>21.21</v>
      </c>
      <c r="M8" s="35" t="s">
        <v>18</v>
      </c>
      <c r="N8" s="36"/>
      <c r="O8" s="37">
        <f ca="1">MIN(NIVIDIA!G478:H530)</f>
        <v>86.62</v>
      </c>
      <c r="Q8" s="45" t="s">
        <v>18</v>
      </c>
      <c r="R8" s="46"/>
      <c r="S8" s="47">
        <f ca="1">MIN(TSLA!G478:H530)</f>
        <v>167.41</v>
      </c>
    </row>
    <row r="9" spans="5:19" x14ac:dyDescent="0.3">
      <c r="E9" s="2"/>
      <c r="S9" s="3"/>
    </row>
    <row r="10" spans="5:19" ht="15" thickBot="1" x14ac:dyDescent="0.35">
      <c r="E10" s="2"/>
      <c r="F10" t="s">
        <v>7</v>
      </c>
      <c r="J10" t="s">
        <v>8</v>
      </c>
      <c r="N10" t="s">
        <v>9</v>
      </c>
      <c r="S10" s="3"/>
    </row>
    <row r="11" spans="5:19" x14ac:dyDescent="0.3">
      <c r="E11" s="48" t="s">
        <v>12</v>
      </c>
      <c r="F11" s="49"/>
      <c r="G11" s="50">
        <f ca="1">AVERAGE(MSTR!E7:E529)</f>
        <v>50.161325047801157</v>
      </c>
      <c r="I11" s="58" t="s">
        <v>12</v>
      </c>
      <c r="J11" s="59"/>
      <c r="K11" s="60">
        <f ca="1">AVERAGE(AMZN!E7:E529)</f>
        <v>107.38715105162528</v>
      </c>
      <c r="M11" s="68" t="s">
        <v>11</v>
      </c>
      <c r="N11" s="69"/>
      <c r="O11" s="70">
        <f ca="1">AVERAGE(NFLX!E8:E530)</f>
        <v>363.85165009560257</v>
      </c>
      <c r="S11" s="3"/>
    </row>
    <row r="12" spans="5:19" x14ac:dyDescent="0.3">
      <c r="E12" s="51" t="s">
        <v>13</v>
      </c>
      <c r="F12" s="52"/>
      <c r="G12" s="53"/>
      <c r="I12" s="61" t="s">
        <v>13</v>
      </c>
      <c r="J12" s="62"/>
      <c r="K12" s="63"/>
      <c r="M12" s="71" t="s">
        <v>13</v>
      </c>
      <c r="N12" s="72"/>
      <c r="O12" s="73"/>
      <c r="S12" s="3"/>
    </row>
    <row r="13" spans="5:19" x14ac:dyDescent="0.3">
      <c r="E13" s="51" t="s">
        <v>14</v>
      </c>
      <c r="F13" s="52"/>
      <c r="G13" s="53">
        <f ca="1">_xlfn.STDEV.S(MSTR!E7:E529)</f>
        <v>76.133103425744693</v>
      </c>
      <c r="I13" s="61" t="s">
        <v>14</v>
      </c>
      <c r="J13" s="62"/>
      <c r="K13" s="63">
        <f ca="1">_xlfn.STDEV.S(AMZN!E7:E529)</f>
        <v>55.357341319838184</v>
      </c>
      <c r="M13" s="71" t="s">
        <v>14</v>
      </c>
      <c r="N13" s="72"/>
      <c r="O13" s="73">
        <f ca="1">_xlfn.STDEV.S(NFLX!E8:E530)</f>
        <v>212.86748310376814</v>
      </c>
      <c r="S13" s="3"/>
    </row>
    <row r="14" spans="5:19" x14ac:dyDescent="0.3">
      <c r="E14" s="51" t="s">
        <v>17</v>
      </c>
      <c r="F14" s="52"/>
      <c r="G14" s="54">
        <f ca="1">MAX(MSTR!G477:H529)</f>
        <v>543</v>
      </c>
      <c r="I14" s="61" t="s">
        <v>17</v>
      </c>
      <c r="J14" s="62"/>
      <c r="K14" s="64">
        <f ca="1">MAX(AMZN!G477:H529)</f>
        <v>242.52</v>
      </c>
      <c r="M14" s="71" t="s">
        <v>17</v>
      </c>
      <c r="N14" s="72"/>
      <c r="O14" s="74">
        <f ca="1">MAX(NFLX!G477:H530)</f>
        <v>1106.7983999999999</v>
      </c>
      <c r="S14" s="3"/>
    </row>
    <row r="15" spans="5:19" ht="15" thickBot="1" x14ac:dyDescent="0.35">
      <c r="E15" s="55" t="s">
        <v>18</v>
      </c>
      <c r="F15" s="56"/>
      <c r="G15" s="57">
        <f ca="1">MIN(MSTR!G478:H530)</f>
        <v>102.402</v>
      </c>
      <c r="I15" s="65" t="s">
        <v>18</v>
      </c>
      <c r="J15" s="66"/>
      <c r="K15" s="67">
        <f ca="1">MIN(AMZN!G478:H530)</f>
        <v>151.61000000000001</v>
      </c>
      <c r="M15" s="75" t="s">
        <v>18</v>
      </c>
      <c r="N15" s="76"/>
      <c r="O15" s="77">
        <f ca="1">MIN(NFLX!G478:H531)</f>
        <v>108.262</v>
      </c>
      <c r="S15" s="3"/>
    </row>
    <row r="16" spans="5:19" ht="15" thickBot="1" x14ac:dyDescent="0.35">
      <c r="E16" s="4"/>
      <c r="F16" s="5"/>
      <c r="G16" s="5"/>
      <c r="H16" s="5"/>
      <c r="I16" s="5"/>
      <c r="J16" s="5"/>
      <c r="K16" s="5"/>
      <c r="L16" s="5"/>
      <c r="M16" s="5"/>
      <c r="N16" s="5"/>
      <c r="O16" s="5"/>
      <c r="P16" s="5"/>
      <c r="Q16" s="5"/>
      <c r="R16" s="5"/>
      <c r="S16" s="6"/>
    </row>
  </sheetData>
  <mergeCells count="1">
    <mergeCell ref="E2:S2"/>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193AD5-F9AA-43B6-9E54-E2B792D30DC3}">
  <dimension ref="A1:J11"/>
  <sheetViews>
    <sheetView showGridLines="0" workbookViewId="0">
      <selection sqref="A1:J1048576"/>
    </sheetView>
  </sheetViews>
  <sheetFormatPr defaultColWidth="0" defaultRowHeight="14.4" zeroHeight="1" x14ac:dyDescent="0.3"/>
  <cols>
    <col min="1" max="1" width="8.88671875" style="149" customWidth="1"/>
    <col min="2" max="2" width="4.44140625" style="150" customWidth="1"/>
    <col min="3" max="3" width="39.109375" style="150" customWidth="1"/>
    <col min="4" max="4" width="17.109375" style="150" customWidth="1"/>
    <col min="5" max="5" width="17.88671875" style="150" customWidth="1"/>
    <col min="6" max="6" width="17.109375" style="150" customWidth="1"/>
    <col min="7" max="7" width="20.77734375" style="150" customWidth="1"/>
    <col min="8" max="8" width="24.77734375" style="150" customWidth="1"/>
    <col min="9" max="9" width="17.77734375" style="150" customWidth="1"/>
    <col min="10" max="10" width="15.88671875" style="151" customWidth="1"/>
    <col min="11" max="16384" width="8.88671875" style="91" hidden="1"/>
  </cols>
  <sheetData>
    <row r="1" spans="1:10" x14ac:dyDescent="0.3">
      <c r="A1" s="146"/>
      <c r="B1" s="147"/>
      <c r="C1" s="147"/>
      <c r="D1" s="147"/>
      <c r="E1" s="147"/>
      <c r="F1" s="147"/>
      <c r="G1" s="147"/>
      <c r="H1" s="147"/>
      <c r="I1" s="147"/>
      <c r="J1" s="148"/>
    </row>
    <row r="2" spans="1:10" x14ac:dyDescent="0.3"/>
    <row r="3" spans="1:10" x14ac:dyDescent="0.3">
      <c r="D3" s="150" t="s">
        <v>21</v>
      </c>
      <c r="E3" s="150" t="s">
        <v>22</v>
      </c>
      <c r="F3" s="150" t="s">
        <v>23</v>
      </c>
      <c r="G3" s="150" t="s">
        <v>24</v>
      </c>
      <c r="H3" s="150" t="s">
        <v>25</v>
      </c>
      <c r="I3" s="150" t="s">
        <v>26</v>
      </c>
      <c r="J3" s="151" t="s">
        <v>27</v>
      </c>
    </row>
    <row r="4" spans="1:10" x14ac:dyDescent="0.3">
      <c r="C4" s="150" t="e" vm="1">
        <v>#VALUE!</v>
      </c>
      <c r="D4" s="152" cm="1">
        <f t="array" aca="1" ref="D4" ca="1">_FV(C4,"Previous close",TRUE)</f>
        <v>259.88</v>
      </c>
      <c r="E4" s="152" cm="1">
        <f t="array" aca="1" ref="E4" ca="1">_FV(C4,"52 week high",TRUE)</f>
        <v>288.62</v>
      </c>
      <c r="F4" s="152" cm="1">
        <f t="array" aca="1" ref="F4" ca="1">_FV(C4,"52 week low",TRUE)</f>
        <v>169.21010000000001</v>
      </c>
      <c r="G4" s="153" cm="1">
        <f t="array" aca="1" ref="G4" ca="1">_FV(C4,"Volume")</f>
        <v>28544718</v>
      </c>
      <c r="H4" s="154" cm="1">
        <f t="array" aca="1" ref="H4" ca="1">_FV(C4,"Market cap",TRUE)</f>
        <v>3834905241000</v>
      </c>
      <c r="I4" s="155" cm="1">
        <f t="array" aca="1" ref="I4" ca="1">_FV(C4,"P/E",TRUE)</f>
        <v>33.137700000000002</v>
      </c>
      <c r="J4" s="156">
        <f ca="1">Apple!D529/Dashboard!I4</f>
        <v>6.1968694266650965</v>
      </c>
    </row>
    <row r="5" spans="1:10" x14ac:dyDescent="0.3">
      <c r="C5" s="150" t="e" vm="2">
        <v>#VALUE!</v>
      </c>
      <c r="D5" s="152" cm="1">
        <f t="array" aca="1" ref="D5" ca="1">_FV(C5,"Previous close",TRUE)</f>
        <v>18.93</v>
      </c>
      <c r="E5" s="152" cm="1">
        <f t="array" aca="1" ref="E5" ca="1">_FV(C5,"52 week high",TRUE)</f>
        <v>30.5</v>
      </c>
      <c r="F5" s="152" cm="1">
        <f t="array" aca="1" ref="F5" ca="1">_FV(C5,"52 week low",TRUE)</f>
        <v>17.559999999999999</v>
      </c>
      <c r="G5" s="153" cm="1">
        <f t="array" aca="1" ref="G5" ca="1">_FV(C5,"Volume")</f>
        <v>18300737</v>
      </c>
      <c r="H5" s="154" cm="1">
        <f t="array" aca="1" ref="H5" ca="1">_FV(C5,"Market cap",TRUE)</f>
        <v>17193543760</v>
      </c>
      <c r="I5" s="155" cm="1">
        <f t="array" aca="1" ref="I5" ca="1">_FV(C5,"P/E",TRUE)</f>
        <v>7.0978000000000003</v>
      </c>
      <c r="J5" s="156">
        <f ca="1">HPQ!$D$528/Dashboard!I5</f>
        <v>3.6560624418834</v>
      </c>
    </row>
    <row r="6" spans="1:10" x14ac:dyDescent="0.3">
      <c r="C6" s="150" t="e" vm="3">
        <v>#VALUE!</v>
      </c>
      <c r="D6" s="152" cm="1">
        <f t="array" aca="1" ref="D6" ca="1">_FV(C6,"Previous close",TRUE)</f>
        <v>182.65</v>
      </c>
      <c r="E6" s="152" cm="1">
        <f t="array" aca="1" ref="E6" ca="1">_FV(C6,"52 week high",TRUE)</f>
        <v>212.18989999999999</v>
      </c>
      <c r="F6" s="152" cm="1">
        <f t="array" aca="1" ref="F6" ca="1">_FV(C6,"52 week low",TRUE)</f>
        <v>86.62</v>
      </c>
      <c r="G6" s="153" cm="1">
        <f t="array" aca="1" ref="G6" ca="1">_FV(C6,"Volume")</f>
        <v>177545459</v>
      </c>
      <c r="H6" s="154" cm="1">
        <f t="array" aca="1" ref="H6" ca="1">_FV(C6,"Market cap",TRUE)</f>
        <v>4489911000000</v>
      </c>
      <c r="I6" s="155" cm="1">
        <f t="array" aca="1" ref="I6" ca="1">_FV(C6,"P/E",TRUE)</f>
        <v>37.694299999999998</v>
      </c>
      <c r="J6" s="156">
        <f ca="1">NIVIDIA!E529/Dashboard!I6</f>
        <v>3.0375945434720899</v>
      </c>
    </row>
    <row r="7" spans="1:10" x14ac:dyDescent="0.3">
      <c r="C7" s="150" t="e" vm="4">
        <v>#VALUE!</v>
      </c>
      <c r="D7" s="152" cm="1">
        <f t="array" aca="1" ref="D7" ca="1">_FV(C7,"Previous close",TRUE)</f>
        <v>398.68</v>
      </c>
      <c r="E7" s="152" cm="1">
        <f t="array" aca="1" ref="E7" ca="1">_FV(C7,"52 week high",TRUE)</f>
        <v>498.83</v>
      </c>
      <c r="F7" s="152" cm="1">
        <f t="array" aca="1" ref="F7" ca="1">_FV(C7,"52 week low",TRUE)</f>
        <v>214.25</v>
      </c>
      <c r="G7" s="153" cm="1">
        <f t="array" aca="1" ref="G7" ca="1">_FV(C7,"Volume")</f>
        <v>58631119</v>
      </c>
      <c r="H7" s="154" cm="1">
        <f t="array" aca="1" ref="H7" ca="1">_FV(C7,"Market cap",TRUE)</f>
        <v>1498102189520</v>
      </c>
      <c r="I7" s="155" cm="1">
        <f t="array" aca="1" ref="I7" ca="1">_FV(C7,"P/E",TRUE)</f>
        <v>371.24329999999998</v>
      </c>
      <c r="J7" s="156">
        <f ca="1">TSLA!E529/Dashboard!I7</f>
        <v>0.77364359168232799</v>
      </c>
    </row>
    <row r="8" spans="1:10" x14ac:dyDescent="0.3">
      <c r="C8" s="150" t="e" vm="5">
        <v>#VALUE!</v>
      </c>
      <c r="D8" s="152" cm="1">
        <f t="array" aca="1" ref="D8" ca="1">_FV(C8,"Previous close",TRUE)</f>
        <v>138.94999999999999</v>
      </c>
      <c r="E8" s="152" cm="1">
        <f t="array" aca="1" ref="E8" ca="1">_FV(C8,"52 week high",TRUE)</f>
        <v>457.22</v>
      </c>
      <c r="F8" s="152" cm="1">
        <f t="array" aca="1" ref="F8" ca="1">_FV(C8,"52 week low",TRUE)</f>
        <v>104.16500000000001</v>
      </c>
      <c r="G8" s="153" cm="1">
        <f t="array" aca="1" ref="G8" ca="1">_FV(C8,"Volume")</f>
        <v>18159623</v>
      </c>
      <c r="H8" s="154" cm="1">
        <f t="array" aca="1" ref="H8" ca="1">_FV(C8,"Market cap",TRUE)</f>
        <v>44372553120</v>
      </c>
      <c r="I8" s="155" cm="1">
        <f t="array" aca="1" ref="I8" ca="1">_FV(C8,"P/E",TRUE)</f>
        <v>0</v>
      </c>
      <c r="J8" s="151" t="e">
        <f ca="1">MSTR!E529/[1]I8I9Dashboard!I8</f>
        <v>#REF!</v>
      </c>
    </row>
    <row r="9" spans="1:10" x14ac:dyDescent="0.3">
      <c r="C9" s="150" t="e" vm="6">
        <v>#VALUE!</v>
      </c>
      <c r="D9" s="152" cm="1">
        <f t="array" aca="1" ref="D9" ca="1">_FV(C9,"Previous close",TRUE)</f>
        <v>213.49</v>
      </c>
      <c r="E9" s="152" cm="1">
        <f t="array" aca="1" ref="E9" ca="1">_FV(C9,"52 week high",TRUE)</f>
        <v>258.60000000000002</v>
      </c>
      <c r="F9" s="152" cm="1">
        <f t="array" aca="1" ref="F9" ca="1">_FV(C9,"52 week low",TRUE)</f>
        <v>161.38</v>
      </c>
      <c r="G9" s="153" cm="1">
        <f t="array" aca="1" ref="G9" ca="1">_FV(C9,"Volume")</f>
        <v>35435341</v>
      </c>
      <c r="H9" s="154" cm="1">
        <f t="array" aca="1" ref="H9" ca="1">_FV(C9,"Market cap",TRUE)</f>
        <v>2300815403600</v>
      </c>
      <c r="I9" s="155" cm="1">
        <f t="array" aca="1" ref="I9" ca="1">_FV(C9,"P/E",TRUE)</f>
        <v>29.883400000000002</v>
      </c>
      <c r="J9" s="156">
        <f ca="1">AMZN!E529/Dashboard!I9</f>
        <v>6.3573756667581325</v>
      </c>
    </row>
    <row r="10" spans="1:10" x14ac:dyDescent="0.3">
      <c r="C10" s="150" t="e" vm="7">
        <v>#VALUE!</v>
      </c>
      <c r="D10" s="152" cm="1">
        <f t="array" aca="1" ref="D10" ca="1">_FV(C10,"Previous close",TRUE)</f>
        <v>98.32</v>
      </c>
      <c r="E10" s="152" cm="1">
        <f t="array" aca="1" ref="E10" ca="1">_FV(C10,"52 week high",TRUE)</f>
        <v>134.11500000000001</v>
      </c>
      <c r="F10" s="152" cm="1">
        <f t="array" aca="1" ref="F10" ca="1">_FV(C10,"52 week low",TRUE)</f>
        <v>75.010000000000005</v>
      </c>
      <c r="G10" s="153" cm="1">
        <f t="array" aca="1" ref="G10" ca="1">_FV(C10,"Volume")</f>
        <v>40877954</v>
      </c>
      <c r="H10" s="154" cm="1">
        <f t="array" aca="1" ref="H10" ca="1">_FV(C10,"Market cap",TRUE)</f>
        <v>409296384280</v>
      </c>
      <c r="I10" s="155" cm="1">
        <f t="array" aca="1" ref="I10" ca="1">_FV(C10,"P/E",TRUE)</f>
        <v>38.358699999999999</v>
      </c>
      <c r="J10" s="156">
        <f ca="1">NFLX!E530/Dashboard!I10</f>
        <v>3.014935334096307</v>
      </c>
    </row>
    <row r="11" spans="1:10" ht="15" thickBot="1" x14ac:dyDescent="0.35">
      <c r="A11" s="157"/>
      <c r="B11" s="158"/>
      <c r="C11" s="158"/>
      <c r="D11" s="158"/>
      <c r="E11" s="158"/>
      <c r="F11" s="158"/>
      <c r="G11" s="158"/>
      <c r="H11" s="158"/>
      <c r="I11" s="158"/>
      <c r="J11" s="159"/>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A2"/>
  <sheetViews>
    <sheetView workbookViewId="0"/>
  </sheetViews>
  <sheetFormatPr defaultRowHeight="14.4" x14ac:dyDescent="0.3"/>
  <sheetData>
    <row r="1" spans="1:1" x14ac:dyDescent="0.3">
      <c r="A1" t="s">
        <v>2</v>
      </c>
    </row>
    <row r="2" spans="1:1" x14ac:dyDescent="0.3">
      <c r="A2" t="s">
        <v>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Stock Picks</vt:lpstr>
      <vt:lpstr>Apple</vt:lpstr>
      <vt:lpstr>HPQ</vt:lpstr>
      <vt:lpstr>NIVIDIA</vt:lpstr>
      <vt:lpstr>TSLA</vt:lpstr>
      <vt:lpstr>MSTR</vt:lpstr>
      <vt:lpstr>AMZN</vt:lpstr>
      <vt:lpstr>NFLX</vt:lpstr>
      <vt:lpstr>Summary</vt:lpstr>
      <vt:lpstr>Results</vt:lpstr>
      <vt:lpstr>Dashboard</vt:lpstr>
    </vt:vector>
  </TitlesOfParts>
  <Company>Brigham Young University Idaho</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Jayson Kunzler</dc:creator>
  <cp:lastModifiedBy>Jones, Travis</cp:lastModifiedBy>
  <dcterms:created xsi:type="dcterms:W3CDTF">2016-04-12T22:10:30Z</dcterms:created>
  <dcterms:modified xsi:type="dcterms:W3CDTF">2026-03-10T20:12:42Z</dcterms:modified>
</cp:coreProperties>
</file>